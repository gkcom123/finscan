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risil-my.sharepoint.com/personal/lokeshk_ad_crisil_com/Documents/1_Team_Fixed Income (Credit)/Bara Model Work/Bara - Model Update/WIP/Apr 2026 - Funo Mexico - Fibra Uno Administracion SA de/1Q26/"/>
    </mc:Choice>
  </mc:AlternateContent>
  <xr:revisionPtr revIDLastSave="0" documentId="8_{84CE33F6-2306-4B53-84A8-B20BB24B13E0}" xr6:coauthVersionLast="47" xr6:coauthVersionMax="47" xr10:uidLastSave="{00000000-0000-0000-0000-000000000000}"/>
  <bookViews>
    <workbookView xWindow="-120" yWindow="-120" windowWidth="29040" windowHeight="15720" tabRatio="876" firstSheet="2" activeTab="2" xr2:uid="{00000000-000D-0000-FFFF-FFFF00000000}"/>
  </bookViews>
  <sheets>
    <sheet name="Operating Summary" sheetId="1" state="hidden" r:id="rId1"/>
    <sheet name="Capitalisation" sheetId="10" r:id="rId2"/>
    <sheet name="Model" sheetId="9" r:id="rId3"/>
    <sheet name="DCF Model" sheetId="3" state="hidden" r:id="rId4"/>
    <sheet name="KPIs" sheetId="11" r:id="rId5"/>
    <sheet name="Break" sheetId="12" state="hidden" r:id="rId6"/>
    <sheet name="Old model" sheetId="2" state="hidden" r:id="rId7"/>
    <sheet name="Capital Structure" sheetId="4" state="hidden" r:id="rId8"/>
    <sheet name="ICO template" sheetId="5" state="hidden" r:id="rId9"/>
    <sheet name="Rel Val" sheetId="6" state="hidden" r:id="rId10"/>
    <sheet name="Peer comparison" sheetId="7" state="hidden" r:id="rId11"/>
    <sheet name="Sheet4" sheetId="8" state="hidden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</externalReferences>
  <definedNames>
    <definedName name="\A">#REF!</definedName>
    <definedName name="\B">#REF!</definedName>
    <definedName name="\C">#REF!</definedName>
    <definedName name="\L">#REF!</definedName>
    <definedName name="\M">#REF!</definedName>
    <definedName name="\P">#REF!</definedName>
    <definedName name="\Y">#REF!</definedName>
    <definedName name="__FDS_HYPERLINK_TOGGLE_STATE__" hidden="1">"ON"</definedName>
    <definedName name="_01_30_04">MonthlyOpStats</definedName>
    <definedName name="_1_30_01">MonthlyOpStats</definedName>
    <definedName name="_1_30_02">MonthlyOpStats</definedName>
    <definedName name="_1_31_01">MonthlyOpStats</definedName>
    <definedName name="_1_31_02">MonthlyOpStats</definedName>
    <definedName name="_12_31_05">MonthlyOpStats</definedName>
    <definedName name="_A">#REF!</definedName>
    <definedName name="_A___0">#REF!</definedName>
    <definedName name="_B">#REF!</definedName>
    <definedName name="_B___0">#REF!</definedName>
    <definedName name="_C">#REF!</definedName>
    <definedName name="_C___0">#REF!</definedName>
    <definedName name="_Common_Size_Income_Statement" function="1" xlm="1">[1]Model!#REF!</definedName>
    <definedName name="_ent1">[2]Inputs!$J$17</definedName>
    <definedName name="_ent10">[2]Inputs!$J$476</definedName>
    <definedName name="_ent11">[2]Inputs!$J$527</definedName>
    <definedName name="_ent12">[2]Inputs!$J$578</definedName>
    <definedName name="_ent13">[2]Inputs!$J$629</definedName>
    <definedName name="_ent14">[2]Inputs!$J$680</definedName>
    <definedName name="_ent15">[2]Inputs!$J$731</definedName>
    <definedName name="_ent2">[2]Inputs!$J$68</definedName>
    <definedName name="_ent3">[2]Inputs!$J$119</definedName>
    <definedName name="_ent4">[2]Inputs!$J$170</definedName>
    <definedName name="_ent5">[2]Inputs!$J$221</definedName>
    <definedName name="_ent6">[2]Inputs!$J$272</definedName>
    <definedName name="_ent7">[2]Inputs!$J$323</definedName>
    <definedName name="_ent8">[2]Inputs!$J$374</definedName>
    <definedName name="_ent9">[2]Inputs!$J$425</definedName>
    <definedName name="_eps1">[2]Inputs!$P$42</definedName>
    <definedName name="_eps10">[2]Inputs!$P$501</definedName>
    <definedName name="_eps11">[2]Inputs!$P$552</definedName>
    <definedName name="_eps12">[2]Inputs!$P$603</definedName>
    <definedName name="_eps13">[2]Inputs!$P$654</definedName>
    <definedName name="_eps14">[2]Inputs!$P$705</definedName>
    <definedName name="_eps15">[2]Inputs!$P$756</definedName>
    <definedName name="_eps2">[2]Inputs!$P$93</definedName>
    <definedName name="_eps3">[2]Inputs!$P$144</definedName>
    <definedName name="_eps4">[2]Inputs!$P$195</definedName>
    <definedName name="_eps5">[2]Inputs!$P$246</definedName>
    <definedName name="_eps6">[2]Inputs!$P$297</definedName>
    <definedName name="_eps7">[2]Inputs!$P$348</definedName>
    <definedName name="_eps8">[2]Inputs!$P$399</definedName>
    <definedName name="_eps9">[2]Inputs!$P$450</definedName>
    <definedName name="_Fill" hidden="1">[3]FxdChg!#REF!</definedName>
    <definedName name="_fye1">[2]Inputs!$E$12</definedName>
    <definedName name="_fye10">[2]Inputs!$E$471</definedName>
    <definedName name="_fye11">[2]Inputs!$E$522</definedName>
    <definedName name="_fye12">[2]Inputs!$E$573</definedName>
    <definedName name="_fye13">[2]Inputs!$E$624</definedName>
    <definedName name="_fye14">[2]Inputs!$E$675</definedName>
    <definedName name="_fye15">[2]Inputs!$E$726</definedName>
    <definedName name="_fye2">[2]Inputs!$E$63</definedName>
    <definedName name="_fye3">[2]Inputs!$E$114</definedName>
    <definedName name="_fye4">[2]Inputs!$E$165</definedName>
    <definedName name="_fye5">[2]Inputs!$E$216</definedName>
    <definedName name="_fye6">[2]Inputs!$E$267</definedName>
    <definedName name="_fye7">[2]Inputs!$E$318</definedName>
    <definedName name="_fye8">[2]Inputs!$E$369</definedName>
    <definedName name="_fye9">[2]Inputs!$E$420</definedName>
    <definedName name="_GEI_Returns">[1]Model!#REF!</definedName>
    <definedName name="_L">#REF!</definedName>
    <definedName name="_L___0">#REF!</definedName>
    <definedName name="_mv1">[2]Inputs!$J$16</definedName>
    <definedName name="_mv10">[2]Inputs!$J$475</definedName>
    <definedName name="_mv11">[2]Inputs!$J$526</definedName>
    <definedName name="_mv12">[2]Inputs!$J$577</definedName>
    <definedName name="_mv13">[2]Inputs!$J$628</definedName>
    <definedName name="_mv14">[2]Inputs!$J$679</definedName>
    <definedName name="_mv15">[2]Inputs!$J$730</definedName>
    <definedName name="_mv2">[2]Inputs!$J$67</definedName>
    <definedName name="_mv3">[2]Inputs!$J$118</definedName>
    <definedName name="_mv4">[2]Inputs!$J$169</definedName>
    <definedName name="_mv5">[2]Inputs!$J$220</definedName>
    <definedName name="_mv6">[2]Inputs!$J$271</definedName>
    <definedName name="_mv7">[2]Inputs!$J$322</definedName>
    <definedName name="_mv8">[2]Inputs!$J$373</definedName>
    <definedName name="_mv9">[2]Inputs!$J$424</definedName>
    <definedName name="_Order1" hidden="1">0</definedName>
    <definedName name="_Order2" hidden="1">0</definedName>
    <definedName name="_P">#REF!</definedName>
    <definedName name="_P___0">#REF!</definedName>
    <definedName name="_Returns" function="1" xlm="1">[1]Model!#REF!</definedName>
    <definedName name="_Table2_Out" hidden="1">#REF!</definedName>
    <definedName name="_xleta.SUM" hidden="1" xlm="1">#NAME?</definedName>
    <definedName name="_Y">#REF!</definedName>
    <definedName name="_Y___0">#REF!</definedName>
    <definedName name="Aa_Recovery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ccrued_Comp_Sales">'[4]Tanning Assumptions'!#REF!</definedName>
    <definedName name="acq">#REF!</definedName>
    <definedName name="acquiror">#REF!</definedName>
    <definedName name="AdSalesCash">#REF!</definedName>
    <definedName name="AdSalesTrade">#REF!</definedName>
    <definedName name="AdSalesWebsite">#REF!</definedName>
    <definedName name="AICORR">#REF!</definedName>
    <definedName name="AllBH">#REF!</definedName>
    <definedName name="allProjects">#REF!</definedName>
    <definedName name="amort">[5]Inputs!#REF!</definedName>
    <definedName name="AP_Sales">'[4]Tanning Assumptions'!#REF!</definedName>
    <definedName name="AR_Other_Sales">'[4]Tanning Assumptions'!#REF!</definedName>
    <definedName name="AR_Trade_Sales">'[4]Tanning Assumptions'!#REF!</definedName>
    <definedName name="As_Of_Date">[6]Selections!$C$2</definedName>
    <definedName name="asdfa">#REF!</definedName>
    <definedName name="AsOfDate">'[7]AUM YTD 2000'!$W$1</definedName>
    <definedName name="AssetPur" function="1" xlm="1">[1]Model!#REF!</definedName>
    <definedName name="ASSUMPTIONS">#REF!</definedName>
    <definedName name="B_S">#REF!</definedName>
    <definedName name="Baa_Recovery">#REF!</definedName>
    <definedName name="bal">#REF!</definedName>
    <definedName name="banner2">[8]CONTROL!$D$10</definedName>
    <definedName name="banner2___0">[8]CONTROL!$D$10</definedName>
    <definedName name="Base_Case">#REF!</definedName>
    <definedName name="Billable">#REF!</definedName>
    <definedName name="BillableHeadcount">#REF!</definedName>
    <definedName name="body">#REF!</definedName>
    <definedName name="BREAK_EVEN">#REF!</definedName>
    <definedName name="BREAK_EVEN___0">#REF!</definedName>
    <definedName name="Broadwing__Inc__Cincinnati_Bell">#REF!</definedName>
    <definedName name="brob">#REF!</definedName>
    <definedName name="bs">[5]Inputs!#REF!</definedName>
    <definedName name="case">#REF!</definedName>
    <definedName name="case1">[9]CONTROL!$A$12</definedName>
    <definedName name="case2">[9]CONTROL!$A$13</definedName>
    <definedName name="case3">[9]CONTROL!$A$14</definedName>
    <definedName name="CASH_FLOW">#REF!</definedName>
    <definedName name="Cash_Sales">'[4]Tanning Assumptions'!#REF!</definedName>
    <definedName name="CASHBUDGET">#REF!</definedName>
    <definedName name="CASHBUDGET___0">#REF!</definedName>
    <definedName name="CASHFLOWS_MONTH">#REF!</definedName>
    <definedName name="CASHFLOWS_MONTH___0">#REF!</definedName>
    <definedName name="CASHFLOWS_YEARS">#REF!</definedName>
    <definedName name="CASHFLOWS_YEARS___0">#REF!</definedName>
    <definedName name="cashint">#REF!</definedName>
    <definedName name="cashint___0">#REF!</definedName>
    <definedName name="CBHC">#REF!</definedName>
    <definedName name="cfl">#REF!</definedName>
    <definedName name="ChartDataRange">#REF!</definedName>
    <definedName name="CINC">#REF!</definedName>
    <definedName name="CIQWBGuid" hidden="1">"cc54e600-8fbe-4b3c-a066-5fea1174a901"</definedName>
    <definedName name="CIQWBInfo" hidden="1">"{ ""CIQVersion"":""9.45.614.5792"" }"</definedName>
    <definedName name="circ">[5]Inputs!#REF!</definedName>
    <definedName name="CircRev">#REF!</definedName>
    <definedName name="Class_3_Agg_Cash">[10]Revolver!#REF!</definedName>
    <definedName name="Class_3_Amt_BET">[10]Revolver!#REF!</definedName>
    <definedName name="Class_A_Interest">#REF!</definedName>
    <definedName name="Class_A_Principal">#REF!</definedName>
    <definedName name="Class_B_Interest">#REF!</definedName>
    <definedName name="Class_B_Principal">#REF!</definedName>
    <definedName name="Class_C_Payment">#REF!</definedName>
    <definedName name="ClassABC">'[6]Debt Structure'!$AN$7</definedName>
    <definedName name="ClassABCD">'[6]Debt Structure'!$AN$8</definedName>
    <definedName name="ClassABCDE">'[6]Debt Structure'!$AN$9</definedName>
    <definedName name="Clients">#REF!</definedName>
    <definedName name="closing_date">#REF!</definedName>
    <definedName name="closingttmrevenue">#REF!</definedName>
    <definedName name="CMBSIG">#REF!</definedName>
    <definedName name="Column_Lookup">'[11]MASTER DRIVER'!$C$5:$D$29</definedName>
    <definedName name="COMBINED_J_W__3_111403_JUP_IND_PROFORMA_List">#REF!</definedName>
    <definedName name="company">[12]CONTROL!$D$7</definedName>
    <definedName name="company___0">[8]CONTROL!$D$7</definedName>
    <definedName name="cons">#REF!</definedName>
    <definedName name="consultants">#REF!</definedName>
    <definedName name="contrib2" hidden="1">{"page1",#N/A,FALSE,"Temp";"page2",#N/A,FALSE,"Temp";"page3",#N/A,FALSE,"Temp";"page4",#N/A,FALSE,"Temp";"page5",#N/A,FALSE,"Temp";"page6",#N/A,FALSE,"Temp"}</definedName>
    <definedName name="contrib3" hidden="1">{"page1",#N/A,FALSE,"Temp";"page2",#N/A,FALSE,"Temp";"page3",#N/A,FALSE,"Temp";"page4",#N/A,FALSE,"Temp";"page5",#N/A,FALSE,"Temp";"page6",#N/A,FALSE,"Temp"}</definedName>
    <definedName name="convertamt">#REF!</definedName>
    <definedName name="convertamt___0">#REF!</definedName>
    <definedName name="convertper">#REF!</definedName>
    <definedName name="convertper___0">#REF!</definedName>
    <definedName name="CorpName">'[13]MASTER DRIVERS'!$A$1</definedName>
    <definedName name="COSTREPORT">#REF!</definedName>
    <definedName name="COSTREPORT___0">#REF!</definedName>
    <definedName name="counter">'[14]Portfolio Input'!#REF!</definedName>
    <definedName name="counter2">'[14]Portfolio Input'!#REF!</definedName>
    <definedName name="Coupon">[15]Inputs!$J$30</definedName>
    <definedName name="CSEnd">#REF!</definedName>
    <definedName name="CSHO">#REF!</definedName>
    <definedName name="CSHPRI">#REF!</definedName>
    <definedName name="current1">[2]Inputs!$E$21</definedName>
    <definedName name="current10">[2]Inputs!$E$480</definedName>
    <definedName name="current11">[2]Inputs!$E$531</definedName>
    <definedName name="current12">[2]Inputs!$E$582</definedName>
    <definedName name="current13">[2]Inputs!$E$633</definedName>
    <definedName name="current14">[2]Inputs!$E$684</definedName>
    <definedName name="current15">[2]Inputs!$E$735</definedName>
    <definedName name="current2">[2]Inputs!$E$72</definedName>
    <definedName name="current3">[2]Inputs!$E$123</definedName>
    <definedName name="current4">[2]Inputs!$E$174</definedName>
    <definedName name="current5">[2]Inputs!$E$225</definedName>
    <definedName name="current6">[2]Inputs!$E$276</definedName>
    <definedName name="current7">[2]Inputs!$E$327</definedName>
    <definedName name="current8">[2]Inputs!$E$378</definedName>
    <definedName name="current9">[2]Inputs!$E$429</definedName>
    <definedName name="CustomPubSales">#REF!</definedName>
    <definedName name="Date">[16]Comps!#REF!</definedName>
    <definedName name="Date_OC1">OFFSET([6]OCTrends!$B$2,0,0,COUNTA([6]OCTrends!$B$1:$B$65536)-1)</definedName>
    <definedName name="Date_OC2">OFFSET([6]OCTrends!$G$2,0,0,COUNTA([6]OCTrends!$G$1:$G$65536)-1)</definedName>
    <definedName name="Date_OC3">OFFSET([6]OCTrends!$L$2,0,0,COUNTA([6]OCTrends!$L$1:$L$65536)-1)</definedName>
    <definedName name="debtsched">[5]Inputs!#REF!</definedName>
    <definedName name="decconsultants">#REF!</definedName>
    <definedName name="decemberemployees">#REF!</definedName>
    <definedName name="decemployees">#REF!</definedName>
    <definedName name="default">#REF!</definedName>
    <definedName name="Default_Scenario">#REF!</definedName>
    <definedName name="Default_Table">#REF!</definedName>
    <definedName name="Default_Timing">#REF!</definedName>
    <definedName name="depsched">[5]Inputs!#REF!</definedName>
    <definedName name="detail">MonthlyOpStats</definedName>
    <definedName name="DivActual">OFFSET([6]DivTrends!$C$2,0,0,COUNTA([6]DivTrends!$C$1:$C$65536)-1)</definedName>
    <definedName name="DivCovenant">OFFSET([6]DivTrends!$D$2,0,0,COUNTA([6]DivTrends!$D$1:$D$65536)-1)</definedName>
    <definedName name="DivDate">OFFSET([6]DivTrends!$B$2,0,0,COUNTA([6]DivTrends!$B$1:$B$65536)-1)</definedName>
    <definedName name="Diversity">'[7]Actual vs Covenant'!$P$41:$Q$48</definedName>
    <definedName name="DiversityScore">#REF!</definedName>
    <definedName name="earnout">#REF!</definedName>
    <definedName name="earnout___0">#REF!</definedName>
    <definedName name="EBIT">#REF!</definedName>
    <definedName name="EBITDA">#REF!</definedName>
    <definedName name="ebitda1">[2]Inputs!$P$46</definedName>
    <definedName name="ebitda10">[2]Inputs!$P$505</definedName>
    <definedName name="ebitda11">[2]Inputs!$P$556</definedName>
    <definedName name="ebitda12">[2]Inputs!$P$607</definedName>
    <definedName name="ebitda13">[2]Inputs!$P$658</definedName>
    <definedName name="ebitda14">[2]Inputs!$P$709</definedName>
    <definedName name="ebitda15">[2]Inputs!$P$760</definedName>
    <definedName name="ebitda2">[2]Inputs!$P$97</definedName>
    <definedName name="ebitda3">[2]Inputs!$P$148</definedName>
    <definedName name="ebitda4">[2]Inputs!$P$199</definedName>
    <definedName name="ebitda5">[2]Inputs!$P$250</definedName>
    <definedName name="ebitda6">[2]Inputs!$P$301</definedName>
    <definedName name="ebitda7">[2]Inputs!$P$352</definedName>
    <definedName name="ebitda8">[2]Inputs!$P$403</definedName>
    <definedName name="ebitda9">[2]Inputs!$P$454</definedName>
    <definedName name="effective_date">#REF!</definedName>
    <definedName name="ELC1_Top3">[7]TOP10!$D$3</definedName>
    <definedName name="ELC1_Top4">[7]TOP10!$D$8</definedName>
    <definedName name="ELC1FitchRatingChartData">[7]ELC1!$G$2:$H$11</definedName>
    <definedName name="ELC1FitchRatingChartSerial1">[7]ELC1!$H$2:$H$11</definedName>
    <definedName name="ELC1FitchRatingChartXScale">[7]ELC1!$G$2:$G$11</definedName>
    <definedName name="ELC1MoodyRatingChartData">[7]ELC1!$A$2:$B$14</definedName>
    <definedName name="ELC1MoodyRatingChartSerial1">[7]ELC1!$B$2:$B$14</definedName>
    <definedName name="ELC1MoodyRatingChartXScale">[7]ELC1!$A$2:$A$14</definedName>
    <definedName name="ELC1SPRatingChartData">[7]ELC1!$D$2:$E$14</definedName>
    <definedName name="ELC1SPRatingChartSerial1">[7]ELC1!$E$2:$E$14</definedName>
    <definedName name="ELC1SPRatingChartXScale">[7]ELC1!$D$2:$D$14</definedName>
    <definedName name="ELC2_Top3">[7]TOP10!$G$3</definedName>
    <definedName name="ELC2_Top4">[7]TOP10!$G$8</definedName>
    <definedName name="ELC2FitchRatingChartData">[7]ELC2!$G$2:$H$12</definedName>
    <definedName name="ELC2FitchRatingChartSerial1">[7]ELC2!$H$2:$H$12</definedName>
    <definedName name="ELC2FitchRatingChartXScale">[7]ELC2!$G$2:$G$12</definedName>
    <definedName name="ELC2MoodyRatingChartData">[7]ELC2!$A$2:$B$15</definedName>
    <definedName name="ELC2MoodyRatingChartSerial1">[7]ELC2!$B$2:$B$15</definedName>
    <definedName name="ELC2MoodyRatingChartXScale">[7]ELC2!$A$2:$A$15</definedName>
    <definedName name="ELC2SPRatingChartData">[7]ELC2!$D$2:$E$15</definedName>
    <definedName name="ELC2SPRatingChartSerial1">[7]ELC2!$E$2:$E$15</definedName>
    <definedName name="ELC2SPRatingChartXScale">[7]ELC2!$D$2:$D$15</definedName>
    <definedName name="ELC3_Top3">[7]TOP10!$J$3</definedName>
    <definedName name="ELC3_Top4">[7]TOP10!$J$8</definedName>
    <definedName name="ELC3FitchRatingChartData">[7]ELC3!$G$2:$H$14</definedName>
    <definedName name="ELC3FitchRatingChartSerial1">[7]ELC3!$H$2:$H$14</definedName>
    <definedName name="ELC3FitchRatingChartXScale">[7]ELC3!$G$2:$G$14</definedName>
    <definedName name="ELC3MoodyRatingChartData">[7]ELC3!$A$2:$B$15</definedName>
    <definedName name="ELC3MoodyRatingChartSerial1">[7]ELC3!$B$2:$B$15</definedName>
    <definedName name="ELC3MoodyRatingChartXScale">[7]ELC3!$A$2:$A$15</definedName>
    <definedName name="ELC3SPRatingChartData">[7]ELC3!$D$2:$E$16</definedName>
    <definedName name="ELC3SPRatingChartSerial1">[7]ELC3!$E$2:$E$16</definedName>
    <definedName name="ELC3SPRatingChartXScale">[7]ELC3!$D$2:$D$16</definedName>
    <definedName name="ELC4_Top3">[7]TOP10!$M$3</definedName>
    <definedName name="ELC4_Top4">[7]TOP10!$M$8</definedName>
    <definedName name="ELC4FitchRatingChartData">[7]ELC4!$G$2:$H$8</definedName>
    <definedName name="ELC4FitchRatingChartSerial1">[7]ELC4!$H$2:$H$8</definedName>
    <definedName name="ELC4FitchRatingChartXScale">[7]ELC4!$G$2:$G$8</definedName>
    <definedName name="ELC4MoodyRatingChartData">[7]ELC4!$A$2:$B$13</definedName>
    <definedName name="ELC4MoodyRatingChartSerial1">[7]ELC4!$B$2:$B$13</definedName>
    <definedName name="ELC4MoodyRatingChartXScale">[7]ELC4!$A$2:$A$13</definedName>
    <definedName name="ELC4SPRatingChartData">[7]ELC4!$D$2:$E$14</definedName>
    <definedName name="ELC4SPRatingChartSerial1">[7]ELC4!$E$2:$E$14</definedName>
    <definedName name="ELC4SPRatingChartXScale">[7]ELC4!$D$2:$D$14</definedName>
    <definedName name="ELC5_Top3">[7]TOP10!$P$3</definedName>
    <definedName name="ELC5_Top4">[7]TOP10!$P$8</definedName>
    <definedName name="ELC5FitchRatingChartData">[7]ELC5!$G$2:$H$9</definedName>
    <definedName name="ELC5FitchRatingChartSerial1">[7]ELC5!$H$2:$H$9</definedName>
    <definedName name="ELC5FitchRatingChartXScale">[7]ELC5!$G$2:$G$9</definedName>
    <definedName name="ELC5MoodyRatingChartData">[7]ELC5!$A$2:$B$14</definedName>
    <definedName name="ELC5MoodyRatingChartSerial1">[7]ELC5!$B$2:$B$14</definedName>
    <definedName name="ELC5MoodyRatingChartXScale">[7]ELC5!$A$2:$A$14</definedName>
    <definedName name="ELC5SPRatingChartData">[7]ELC5!$D$2:$E$14</definedName>
    <definedName name="ELC5SPRatingChartSerial1">[7]ELC5!$E$2:$E$14</definedName>
    <definedName name="ELC5SPRatingChartXScale">[7]ELC5!$D$2:$D$14</definedName>
    <definedName name="employees">#REF!</definedName>
    <definedName name="EndDay">[6]Selections!$R$3</definedName>
    <definedName name="EndMonth">[6]Selections!$R$2</definedName>
    <definedName name="EndYear">[6]Selections!$R$1</definedName>
    <definedName name="ePrint">[17]Consolidated!#REF!</definedName>
    <definedName name="EQUITY">'[9]S&amp;U'!$E$12</definedName>
    <definedName name="equityamt">#REF!</definedName>
    <definedName name="equityamt___0">#REF!</definedName>
    <definedName name="equityper">#REF!</definedName>
    <definedName name="equityper___0">#REF!</definedName>
    <definedName name="ev.Calculation" hidden="1">-4105</definedName>
    <definedName name="ev.Initialized" hidden="1">FALSE</definedName>
    <definedName name="exe">#REF!</definedName>
    <definedName name="fianal">[18]Preliminary!$A$1:$D$65</definedName>
    <definedName name="filename">[6]Selections!$U$2</definedName>
    <definedName name="Final_Number">#REF!</definedName>
    <definedName name="FinanceRev">#REF!</definedName>
    <definedName name="FinanceRev2">#REF!</definedName>
    <definedName name="firstHourDate">#REF!</definedName>
    <definedName name="firstProject">#REF!</definedName>
    <definedName name="Flat_Swap">#REF!</definedName>
    <definedName name="FSoPacific" hidden="1">{"BS",#N/A,FALSE,"USA"}</definedName>
    <definedName name="Fund">[6]Selections!$A$1</definedName>
    <definedName name="Fwd_Curve">#REF!</definedName>
    <definedName name="FYEMarker">#REF!</definedName>
    <definedName name="FYEMonth">#REF!</definedName>
    <definedName name="G_A_SUMMARY">#REF!</definedName>
    <definedName name="group_quarterly">#REF!</definedName>
    <definedName name="high1">[2]Inputs!$E$23</definedName>
    <definedName name="high10">[2]Inputs!$E$482</definedName>
    <definedName name="high11">[2]Inputs!$E$533</definedName>
    <definedName name="high12">[2]Inputs!$E$584</definedName>
    <definedName name="high13">[2]Inputs!$E$635</definedName>
    <definedName name="high14">[2]Inputs!$E$686</definedName>
    <definedName name="high15">[2]Inputs!$E$737</definedName>
    <definedName name="high2">[2]Inputs!$E$74</definedName>
    <definedName name="high3">[2]Inputs!$E$125</definedName>
    <definedName name="high4">[2]Inputs!$E$176</definedName>
    <definedName name="high5">[2]Inputs!$E$227</definedName>
    <definedName name="high6">[2]Inputs!$E$278</definedName>
    <definedName name="high7">[2]Inputs!$E$329</definedName>
    <definedName name="high8">[2]Inputs!$E$380</definedName>
    <definedName name="high9">[2]Inputs!$E$431</definedName>
    <definedName name="hl">'[19]LBO Summary'!#REF!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C1Actual">OFFSET([6]ICTrends!$C$2,0,0,COUNTA([6]ICTrends!$C$1:$C$65536)-1)</definedName>
    <definedName name="IC1ChartTitle">[6]ICTrends!$W$1</definedName>
    <definedName name="IC1Covenant">OFFSET([6]ICTrends!$D$2,0,0,COUNTA([6]ICTrends!$D$1:$D$65536)-1)</definedName>
    <definedName name="IC1Date">OFFSET([6]ICTrends!$B$2,0,0,COUNTA([6]ICTrends!$B$1:$B$65536)-1)</definedName>
    <definedName name="IC2Actual">OFFSET([6]ICTrends!$H$2,0,0,COUNTA([6]ICTrends!$H$1:$H$65536)-1)</definedName>
    <definedName name="IC2Covenant">OFFSET([6]ICTrends!$I$2,0,0,COUNTA([6]ICTrends!$I$1:$I$65536)-1)</definedName>
    <definedName name="IC2Date">OFFSET([6]ICTrends!$G$2,0,0,COUNTA([6]ICTrends!$G$1:$G$65536)-1)</definedName>
    <definedName name="IC3Actual">OFFSET([6]ICTrends!$M$2,0,0,COUNTA([6]ICTrends!$M$1:$M$65536)-1)</definedName>
    <definedName name="IC3Covenant">OFFSET([6]ICTrends!$N$2,0,0,COUNTA([6]ICTrends!$N$1:$N$65536)-1)</definedName>
    <definedName name="IC3Date">OFFSET([6]ICTrends!$L$2,0,0,COUNTA([6]ICTrends!$L$1:$L$65536)-1)</definedName>
    <definedName name="IC4Actual">OFFSET([6]ICTrends!$R$2,0,0,COUNTA([6]ICTrends!$R$1:$R$65536)-1)</definedName>
    <definedName name="IC4Covenant">OFFSET([6]ICTrends!$S$2,0,0,COUNTA([6]ICTrends!$S$1:$S$65536)-1)</definedName>
    <definedName name="IC4Date">OFFSET([6]ICTrends!$Q$2,0,0,COUNTA([6]ICTrends!$Q$1:$Q$65536)-1)</definedName>
    <definedName name="inc">#REF!</definedName>
    <definedName name="incsyntog">#REF!</definedName>
    <definedName name="incsyntog___0">#REF!</definedName>
    <definedName name="inputs">#REF!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APEX_BR" hidden="1">"c111"</definedName>
    <definedName name="IQ_CH">110000</definedName>
    <definedName name="IQ_CHANGE_AP_BR" hidden="1">"c135"</definedName>
    <definedName name="IQ_CHANGE_AR_BR" hidden="1">"c142"</definedName>
    <definedName name="IQ_CHANGE_OTHER_NET_OPER_ASSETS_BR" hidden="1">"c3595"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ONV_RATE" hidden="1">"c2192"</definedName>
    <definedName name="IQ_CQ">5000</definedName>
    <definedName name="IQ_CURRENCY_GAIN_BR" hidden="1">"c236"</definedName>
    <definedName name="IQ_CURRENT_PORT_DEBT_BR" hidden="1">"c1567"</definedName>
    <definedName name="IQ_CY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BT_BR" hidden="1">"c378"</definedName>
    <definedName name="IQ_EBT_EXCL_BR" hidden="1">"c381"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EPS_SURPRISE" hidden="1">"c1635"</definedName>
    <definedName name="IQ_EV_OVER_REVENUE_EST" hidden="1">"IQ_EV_OVER_REVENUE_EST"</definedName>
    <definedName name="IQ_EV_OVER_REVENUE_EST_1" hidden="1">"IQ_EV_OVER_REVENUE_EST_1"</definedName>
    <definedName name="IQ_EXTRA_ACC_ITEMS_BR" hidden="1">"c412"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1" hidden="1">"LTM"</definedName>
    <definedName name="IQ_FY">1000</definedName>
    <definedName name="IQ_FY_DATE" hidden="1">"IQ_FY_DATE"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VEST_LOANS_CF_BR" hidden="1">"c630"</definedName>
    <definedName name="IQ_INVEST_SECURITY_CF_BR" hidden="1">"c639"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>2000</definedName>
    <definedName name="IQ_LTM_DATE" hidden="1">"IQ_LTM_DATE"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>15000</definedName>
    <definedName name="IQ_MTD" hidden="1">800000</definedName>
    <definedName name="IQ_NAMES_REVISION_DATE_" hidden="1">44229.2342361111</definedName>
    <definedName name="IQ_NET_DEBT_ISSUED_BR" hidden="1">"c753"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ET_INT_INC_BR" hidden="1">"c765"</definedName>
    <definedName name="IQ_NTM">6000</definedName>
    <definedName name="IQ_OG_TOTAL_OIL_PRODUCTON" hidden="1">"c2059"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REF_ISSUED_BR" hidden="1">"c1047"</definedName>
    <definedName name="IQ_PREF_OTHER_BR" hidden="1">"c1055"</definedName>
    <definedName name="IQ_PREF_REP_BR" hidden="1">"c1062"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PENSION_OBLIGATION" hidden="1">"c1292"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>50000</definedName>
    <definedName name="IQ_YTD">3000</definedName>
    <definedName name="IQ_YTDMONTH" hidden="1">130000</definedName>
    <definedName name="IsColHidden" hidden="1">FALSE</definedName>
    <definedName name="IsLTMColHidden" hidden="1">FALSE</definedName>
    <definedName name="Item">#REF!</definedName>
    <definedName name="K2_WBEVMODE" hidden="1">-1</definedName>
    <definedName name="lastCol">#REF!</definedName>
    <definedName name="latest1">[2]Inputs!$E$13</definedName>
    <definedName name="latest10">[2]Inputs!$E$472</definedName>
    <definedName name="latest11">[2]Inputs!$E$523</definedName>
    <definedName name="latest12">[2]Inputs!$E$574</definedName>
    <definedName name="latest13">[2]Inputs!$E$625</definedName>
    <definedName name="latest14">[2]Inputs!$E$676</definedName>
    <definedName name="latest15">[2]Inputs!$E$727</definedName>
    <definedName name="latest2">[2]Inputs!$E$64</definedName>
    <definedName name="latest3">[2]Inputs!$E$115</definedName>
    <definedName name="latest4">[2]Inputs!$E$166</definedName>
    <definedName name="latest5">[2]Inputs!$E$217</definedName>
    <definedName name="latest6">[2]Inputs!$E$268</definedName>
    <definedName name="latest7">[2]Inputs!$E$319</definedName>
    <definedName name="latest8">[2]Inputs!$E$370</definedName>
    <definedName name="latest9">[2]Inputs!$E$421</definedName>
    <definedName name="LBO">'[9]S&amp;U'!#REF!</definedName>
    <definedName name="left">#REF!</definedName>
    <definedName name="lett">#REF!</definedName>
    <definedName name="LIBOR">[20]Portfolio!$E$2</definedName>
    <definedName name="Libor_Assumptions">#REF!</definedName>
    <definedName name="Libor_Curve">#REF!</definedName>
    <definedName name="Libor_Down">#REF!</definedName>
    <definedName name="Libor_Down_Up">#REF!</definedName>
    <definedName name="LIBOR_Minus_1SD">[10]Revolver!#REF!</definedName>
    <definedName name="Libor_Minus_2SD">[10]Revolver!#REF!</definedName>
    <definedName name="Libor_Plus_0SD">[10]Revolver!#REF!</definedName>
    <definedName name="Libor_Plus_1SD">[10]Revolver!#REF!</definedName>
    <definedName name="Libor_Plus_2SD">[10]Revolver!#REF!</definedName>
    <definedName name="Libor_Scenario">#REF!</definedName>
    <definedName name="Libor_Up">#REF!</definedName>
    <definedName name="longterm">[5]Inputs!#REF!</definedName>
    <definedName name="LTM_DATE">#REF!</definedName>
    <definedName name="Marketable_securities">'[21]Fly-by-night - problem 5'!#REF!</definedName>
    <definedName name="MaxMarkDate">[7]SaleData!$M$3</definedName>
    <definedName name="mcs03g.ReqArray">{"Price","ICTG","TS131","D","0","0","H"}</definedName>
    <definedName name="mcs03g.ReqArray___0">#N/A</definedName>
    <definedName name="mcs03g.ReqArray___12">#N/A</definedName>
    <definedName name="mcs03g.ReqArray___2">#N/A</definedName>
    <definedName name="MKVALM">#REF!</definedName>
    <definedName name="MONTHLYSALES">#REF!</definedName>
    <definedName name="MONTHLYSALES___0">#REF!</definedName>
    <definedName name="moodys">#REF!</definedName>
    <definedName name="mu">'[22]LBO Summary'!$G$130</definedName>
    <definedName name="Name">[5]Info!$C$8</definedName>
    <definedName name="name1">[2]Inputs!$E$10</definedName>
    <definedName name="name10">[2]Inputs!$E$469</definedName>
    <definedName name="name11">[2]Inputs!$E$520</definedName>
    <definedName name="name12">[2]Inputs!$E$571</definedName>
    <definedName name="name13">[2]Inputs!$E$622</definedName>
    <definedName name="name14">[2]Inputs!$E$673</definedName>
    <definedName name="name15">[2]Inputs!$E$724</definedName>
    <definedName name="name2">[2]Inputs!$E$61</definedName>
    <definedName name="name3">[2]Inputs!$E$112</definedName>
    <definedName name="name4">[2]Inputs!$E$163</definedName>
    <definedName name="name5">[2]Inputs!$E$214</definedName>
    <definedName name="name6">[2]Inputs!$E$265</definedName>
    <definedName name="name7">[2]Inputs!$E$316</definedName>
    <definedName name="name8">[2]Inputs!$E$367</definedName>
    <definedName name="name9">[2]Inputs!$E$418</definedName>
    <definedName name="NDY">#REF!</definedName>
    <definedName name="NDYWGT">#REF!</definedName>
    <definedName name="OC1Actual">OFFSET([6]OCTrends!$C$2,0,0,COUNTA([6]OCTrends!$C$1:$C$65536)-1)</definedName>
    <definedName name="OC1ChartTitle">[6]OCTrends!$W$1</definedName>
    <definedName name="OC1Covenant">OFFSET([6]OCTrends!$D$2,0,0,COUNTA([6]OCTrends!$D$1:$D$65536)-1)</definedName>
    <definedName name="OC1Date">OFFSET([6]OCTrends!$B$2,0,0,COUNTA([6]OCTrends!$B$1:$B$65536)-1)</definedName>
    <definedName name="OC2Actual">OFFSET([6]OCTrends!$H$2,0,0,COUNTA([6]OCTrends!$H$1:$H$65536)-1)</definedName>
    <definedName name="OC2Covenant">OFFSET([6]OCTrends!$I$2,0,0,COUNTA([6]OCTrends!$I$1:$I$65536)-1)</definedName>
    <definedName name="OC2Date">OFFSET([6]OCTrends!$G$2,0,0,COUNTA([6]OCTrends!$G$1:$G$65536)-1)</definedName>
    <definedName name="OC3Actual">OFFSET([6]OCTrends!$M$2,0,0,COUNTA([6]OCTrends!$M$1:$M$65536)-1)</definedName>
    <definedName name="OC3Covenant">OFFSET([6]OCTrends!$N$2,0,0,COUNTA([6]OCTrends!$N$1:$N$65536)-1)</definedName>
    <definedName name="OC3Date">OFFSET([6]OCTrends!$L$2,0,0,COUNTA([6]OCTrends!$L$1:$L$65536)-1)</definedName>
    <definedName name="OC4Actual">OFFSET([6]OCTrends!$R$2,0,0,COUNTA([6]OCTrends!$R$1:$R$65536)-1)</definedName>
    <definedName name="OC4Covenant">OFFSET([6]OCTrends!$S$2,0,0,COUNTA([6]OCTrends!$S$1:$S$65536)-1)</definedName>
    <definedName name="OC4Date">OFFSET([6]OCTrends!$Q$2,0,0,COUNTA([6]OCTrends!$Q$1:$Q$65536)-1)</definedName>
    <definedName name="Order">#REF!</definedName>
    <definedName name="Other_assets">'[21]Fly-by-night - problem 5'!#REF!</definedName>
    <definedName name="Other_current_liabilities_Sales">'[4]Tanning Assumptions'!#REF!</definedName>
    <definedName name="Other_long_term_liabilities">'[4]Tanning Assumptions'!#REF!</definedName>
    <definedName name="OtherRev">#REF!</definedName>
    <definedName name="P_L">#REF!</definedName>
    <definedName name="PCV">[6]Calcs!$B$1</definedName>
    <definedName name="Percentage">#REF!</definedName>
    <definedName name="Period">#REF!</definedName>
    <definedName name="Period1">#REF!</definedName>
    <definedName name="Period2">#REF!</definedName>
    <definedName name="Period3">#REF!</definedName>
    <definedName name="Period4">#REF!</definedName>
    <definedName name="Period5">#REF!</definedName>
    <definedName name="Period6">#REF!</definedName>
    <definedName name="Period7">#REF!</definedName>
    <definedName name="Period8">#REF!</definedName>
    <definedName name="PERSONAL_FINANCIAL">#REF!</definedName>
    <definedName name="PERSONAL_FINANCIAL___0">#REF!</definedName>
    <definedName name="PFLTM">'[23]VeCTOR Import'!#REF!</definedName>
    <definedName name="pik">'[9]S&amp;U'!#REF!</definedName>
    <definedName name="portion1">[2]Inputs!$E$14</definedName>
    <definedName name="portion10">[2]Inputs!$E$473</definedName>
    <definedName name="portion11">[2]Inputs!$E$524</definedName>
    <definedName name="portion12">[2]Inputs!$E$575</definedName>
    <definedName name="portion13">[2]Inputs!$E$626</definedName>
    <definedName name="portion14">[2]Inputs!$E$677</definedName>
    <definedName name="portion15">[2]Inputs!$E$728</definedName>
    <definedName name="portion2">[2]Inputs!$E$65</definedName>
    <definedName name="portion3">[2]Inputs!$E$116</definedName>
    <definedName name="portion4">[2]Inputs!$E$167</definedName>
    <definedName name="portion5">[2]Inputs!$E$218</definedName>
    <definedName name="portion6">[2]Inputs!$E$269</definedName>
    <definedName name="portion7">[2]Inputs!$E$320</definedName>
    <definedName name="portion8">[2]Inputs!$E$371</definedName>
    <definedName name="portion9">[2]Inputs!$E$422</definedName>
    <definedName name="PP_E_Sales">'[4]Tanning Assumptions'!#REF!</definedName>
    <definedName name="prefbamt">#REF!</definedName>
    <definedName name="prefbamt___0">#REF!</definedName>
    <definedName name="prefbper">#REF!</definedName>
    <definedName name="prefbper___0">#REF!</definedName>
    <definedName name="Preliminary">#REF!</definedName>
    <definedName name="Prepaids_Sales">'[4]Tanning Assumptions'!#REF!</definedName>
    <definedName name="PRICES">#REF!</definedName>
    <definedName name="PRICES___0">#REF!</definedName>
    <definedName name="_xlnm.Print_Area" localSheetId="6">'Old model'!$A$1:$R$123</definedName>
    <definedName name="_xlnm.Print_Area">#REF!</definedName>
    <definedName name="_xlnm.Print_Titles">#REF!</definedName>
    <definedName name="project">[12]CONTROL!$D$8</definedName>
    <definedName name="project___0">[8]CONTROL!$D$8</definedName>
    <definedName name="ProjList">#REF!</definedName>
    <definedName name="PublicCompany">#REF!</definedName>
    <definedName name="purchase">[24]TRANSACTION!$Q$2</definedName>
    <definedName name="PURCHASE_PRICE">[25]Sheet5:D!$A$1:$H$23</definedName>
    <definedName name="qryWSO_Positions_ByFunds_CrossTab">#REF!</definedName>
    <definedName name="quarterly">#REF!</definedName>
    <definedName name="rate">#REF!</definedName>
    <definedName name="RateTable">[26]MASTER!#REF!</definedName>
    <definedName name="Rating">'[7]Actual vs Covenant'!$P$11:$Q$18</definedName>
    <definedName name="RatingFactors">#REF!</definedName>
    <definedName name="RATIOS">#REF!</definedName>
    <definedName name="RATIOS___0">#REF!</definedName>
    <definedName name="recovery">#REF!</definedName>
    <definedName name="refi">'[27]OBS - REFI'!$AP$5</definedName>
    <definedName name="REPORT">#REF!</definedName>
    <definedName name="REPORT___0">#REF!</definedName>
    <definedName name="ReprintRev">#REF!</definedName>
    <definedName name="ret">#REF!</definedName>
    <definedName name="rhl">'[19]LBO Summary'!#REF!</definedName>
    <definedName name="RoyaltyRev">#REF!</definedName>
    <definedName name="rptData">#REF!</definedName>
    <definedName name="rr">'[19]LBO Summary'!#REF!</definedName>
    <definedName name="s">#REF!</definedName>
    <definedName name="s.outstand">[5]Inputs!#REF!</definedName>
    <definedName name="SALES">#REF!</definedName>
    <definedName name="SALES___0">#REF!</definedName>
    <definedName name="sales1">[2]Inputs!$P$29</definedName>
    <definedName name="sales10">[2]Inputs!$P$488</definedName>
    <definedName name="sales11">[2]Inputs!$P$539</definedName>
    <definedName name="sales12">[2]Inputs!$P$590</definedName>
    <definedName name="sales13">[2]Inputs!$P$641</definedName>
    <definedName name="sales14">[2]Inputs!$P$692</definedName>
    <definedName name="sales15">[2]Inputs!$P$743</definedName>
    <definedName name="sales2">[2]Inputs!$P$80</definedName>
    <definedName name="sales3">[2]Inputs!$P$131</definedName>
    <definedName name="sales4">[2]Inputs!$P$182</definedName>
    <definedName name="sales5">[2]Inputs!$P$233</definedName>
    <definedName name="sales6">[2]Inputs!$P$284</definedName>
    <definedName name="sales7">[2]Inputs!$P$335</definedName>
    <definedName name="sales8">[2]Inputs!$P$386</definedName>
    <definedName name="sales9">[2]Inputs!$P$437</definedName>
    <definedName name="scen">#REF!</definedName>
    <definedName name="Scenario_11">#REF!</definedName>
    <definedName name="Scenario_12">#REF!</definedName>
    <definedName name="Scenario_13">#REF!</definedName>
    <definedName name="Scenario_14">#REF!</definedName>
    <definedName name="Scenario_15">#REF!</definedName>
    <definedName name="Scenario_16">#REF!</definedName>
    <definedName name="Scenario_17">#REF!</definedName>
    <definedName name="Scenario_18">#REF!</definedName>
    <definedName name="Scenario_19">#REF!</definedName>
    <definedName name="Scenario_20">#REF!</definedName>
    <definedName name="Scenario_21">#REF!</definedName>
    <definedName name="Scenario_22">#REF!</definedName>
    <definedName name="Scenario_23">#REF!</definedName>
    <definedName name="Scenario_24">#REF!</definedName>
    <definedName name="Scenario_25">#REF!</definedName>
    <definedName name="Scenario_26">#REF!</definedName>
    <definedName name="Scenario_27">#REF!</definedName>
    <definedName name="Scenario_28">#REF!</definedName>
    <definedName name="Scenario_31">#REF!</definedName>
    <definedName name="Scenario_32">#REF!</definedName>
    <definedName name="Scenario_33">#REF!</definedName>
    <definedName name="Scenario_34">#REF!</definedName>
    <definedName name="Scenario_35">#REF!</definedName>
    <definedName name="Scenario_36">#REF!</definedName>
    <definedName name="Scenario_37">#REF!</definedName>
    <definedName name="Scenario_38">#REF!</definedName>
    <definedName name="Scenario_39">#REF!</definedName>
    <definedName name="Scenario_41">#REF!</definedName>
    <definedName name="Scenario_42">#REF!</definedName>
    <definedName name="Scenario_43">#REF!</definedName>
    <definedName name="Scenario_44">#REF!</definedName>
    <definedName name="Scenario_51">#REF!</definedName>
    <definedName name="Scenario_52">#REF!</definedName>
    <definedName name="Scenario_53">#REF!</definedName>
    <definedName name="Section">#REF!</definedName>
    <definedName name="SENSITIVITY">#REF!</definedName>
    <definedName name="SENSITIVITY___0">#REF!</definedName>
    <definedName name="sh.equity">[5]Inputs!#REF!</definedName>
    <definedName name="sl">'[19]LBO Summary'!#REF!</definedName>
    <definedName name="snapshotdate">#REF!</definedName>
    <definedName name="sort_range">#REF!</definedName>
    <definedName name="sponsor">'[9]S&amp;U'!$J$21</definedName>
    <definedName name="Start">#REF!</definedName>
    <definedName name="Start_Date">[6]Selections!$C$1</definedName>
    <definedName name="StartDay">[6]Selections!$P$3</definedName>
    <definedName name="StartMonth">[6]Selections!$P$2</definedName>
    <definedName name="StartRefresh">'[14]Portfolio Input'!#REF!</definedName>
    <definedName name="StartYear">[6]Selections!$P$1</definedName>
    <definedName name="Strip_Amount">#REF!</definedName>
    <definedName name="Strip_PV">#REF!</definedName>
    <definedName name="stub">#REF!</definedName>
    <definedName name="stubmonths">'[28]D&amp;A'!$C$5</definedName>
    <definedName name="sub">'[19]LBO Summary'!#REF!</definedName>
    <definedName name="subdebtamount">[15]Inputs!$J$26</definedName>
    <definedName name="subdebtdate">[15]Inputs!$J$28</definedName>
    <definedName name="subHeading">#REF!</definedName>
    <definedName name="summary">#REF!</definedName>
    <definedName name="support">#REF!</definedName>
    <definedName name="sweep___9">[29]COVS_ACTUAL!#REF!</definedName>
    <definedName name="target">#REF!</definedName>
    <definedName name="Taxes_Receivable_Sales">'[4]Tanning Assumptions'!#REF!</definedName>
    <definedName name="Test">#REF!</definedName>
    <definedName name="tgt">#REF!</definedName>
    <definedName name="ticker1">[2]Inputs!$E$11</definedName>
    <definedName name="ticker10">[2]Inputs!$E$470</definedName>
    <definedName name="ticker11">[2]Inputs!$E$521</definedName>
    <definedName name="ticker12">[2]Inputs!$E$572</definedName>
    <definedName name="ticker13">[2]Inputs!$E$623</definedName>
    <definedName name="ticker14">[2]Inputs!$E$674</definedName>
    <definedName name="ticker15">[2]Inputs!$E$725</definedName>
    <definedName name="ticker2">[2]Inputs!$E$62</definedName>
    <definedName name="ticker3">[2]Inputs!$E$113</definedName>
    <definedName name="ticker4">[2]Inputs!$E$164</definedName>
    <definedName name="ticker5">[2]Inputs!$E$215</definedName>
    <definedName name="ticker6">[2]Inputs!$E$266</definedName>
    <definedName name="ticker7">[2]Inputs!$E$317</definedName>
    <definedName name="ticker8">[2]Inputs!$E$368</definedName>
    <definedName name="ticker9">[2]Inputs!$E$419</definedName>
    <definedName name="TimeEnd">[6]Selections!$L$3</definedName>
    <definedName name="TimeStart">[6]Selections!$L$2</definedName>
    <definedName name="title">[27]SUM!$A$2</definedName>
    <definedName name="today">#REF!</definedName>
    <definedName name="top">#REF!</definedName>
    <definedName name="TopIC">'[7]Actual vs Covenant'!$P$31:$Q$38</definedName>
    <definedName name="TopOC">'[7]Actual vs Covenant'!$P$21:$Q$28</definedName>
    <definedName name="TOTAL">#REF!</definedName>
    <definedName name="TOTAL___0">#REF!</definedName>
    <definedName name="Total_Europe">#REF!</definedName>
    <definedName name="TotalRev">#REF!</definedName>
    <definedName name="TradedCash">[6]Principal!$G$5</definedName>
    <definedName name="trigger">[8]OBS!$U$5</definedName>
    <definedName name="TRYN_Top3">[7]TOP10!$S$3</definedName>
    <definedName name="TRYN_Top4">[7]TOP10!$S$8</definedName>
    <definedName name="TryonFitchRatingChartData">[7]TRYN!$G$2:$H$9</definedName>
    <definedName name="TryonFitchRatingChartSerial1">[7]TRYN!$H$2:$H$9</definedName>
    <definedName name="TryonFitchRatingChartXScale">[7]TRYN!$G$2:$G$9</definedName>
    <definedName name="TryonMoodyRatingChartData">[7]TRYN!$A$2:$B$15</definedName>
    <definedName name="TryonMoodyRatingChartSerial1">[7]TRYN!$B$2:$B$15</definedName>
    <definedName name="TryonMoodyRatingChartXScale">[7]TRYN!$A$2:$A$15</definedName>
    <definedName name="TryonSPRatingChartData">[7]TRYN!$D$2:$E$15</definedName>
    <definedName name="TryonSPRatingChartSerial1">[7]TRYN!$E$2:$E$15</definedName>
    <definedName name="TryonSPRatingChartXScale">[7]TRYN!$D$2:$D$15</definedName>
    <definedName name="units">'[9]S&amp;U'!$K$2</definedName>
    <definedName name="version">[27]SUM!$AE$2</definedName>
    <definedName name="version___0">[8]CONTROL!$D$9</definedName>
    <definedName name="WACActual">OFFSET([6]WACTrends!$C$2,0,0,COUNTA([6]WACTrends!$C$1:$C$65536)-1)</definedName>
    <definedName name="WACCovenant">OFFSET([6]WACTrends!$D$2,0,0,COUNTA([6]WACTrends!$D$1:$D$65536)-1)</definedName>
    <definedName name="WACDate">OFFSET([6]WACTrends!$B$2,0,0,COUNTA([6]WACTrends!$B$1:$B$65536)-1)</definedName>
    <definedName name="WALActual">OFFSET([6]WALTrends!$C$2,0,0,COUNTA([6]WALTrends!$C$1:$C$65536)-1)</definedName>
    <definedName name="WALCovenant">OFFSET([6]WALTrends!$D$2,0,0,COUNTA([6]WALTrends!$D$1:$D$65536)-1)</definedName>
    <definedName name="WALDate">OFFSET([6]WALTrends!$B$2,0,0,COUNTA([6]WALTrends!$B$1:$B$65536)-1)</definedName>
    <definedName name="WARFActual">OFFSET([6]WARFTrends!$C$2,0,0,COUNTA([6]WARFTrends!$C$1:$C$65536)-1)</definedName>
    <definedName name="WARFCovenant">OFFSET([6]WARFTrends!$D$2,0,0,COUNTA([6]WARFTrends!$D$1:$D$65536)-1)</definedName>
    <definedName name="WARFDate">OFFSET([6]WARFTrends!$B$2,0,0,COUNTA([6]WARFTrends!$B$1:$B$65536)-1)</definedName>
    <definedName name="WARFFitchActual">OFFSET([6]WARFFitchTrends!$C$2,0,0,COUNTA([6]WARFFitchTrends!$C$1:$C$65536)-1)</definedName>
    <definedName name="WARFFitchCovenant">OFFSET([6]WARFFitchTrends!$D$2,0,0,COUNTA([6]WARFFitchTrends!$D$1:$D$65536)-1)</definedName>
    <definedName name="WARFFitchDate">OFFSET([6]WARFFitchTrends!$B$2,0,0,COUNTA([6]WARFFitchTrends!$B$1:$B$65536)-1)</definedName>
    <definedName name="warrants">[15]Inputs!$O$13</definedName>
    <definedName name="WASActual">OFFSET([6]WASTrends!$C$2,0,0,COUNTA([6]WASTrends!$C$1:$C$65536)-1)</definedName>
    <definedName name="WASCovenant">OFFSET([6]WASTrends!$D$2,0,0,COUNTA([6]WASTrends!$D$1:$D$65536)-1)</definedName>
    <definedName name="WASDate">OFFSET([6]WASTrends!$B$2,0,0,COUNTA([6]WASTrends!$B$1:$B$65536)-1)</definedName>
    <definedName name="WBMIN">'[14]Portfolio Input'!#REF!</definedName>
    <definedName name="WHAT_IF">#REF!</definedName>
    <definedName name="WHAT_IF___0">#REF!</definedName>
    <definedName name="whec">[27]WHEC!$AX$2</definedName>
    <definedName name="wicksequity">[15]Inputs!$E$35</definedName>
    <definedName name="WORKING_CAPITAL">#REF!</definedName>
    <definedName name="WORKING_CAPITAL___0">#REF!</definedName>
    <definedName name="wrn.Alloutput.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CGIC._.PLICO._.Statutory._.Results.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IS.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rossroads." hidden="1">{#N/A,#N/A,FALSE,"RENT ROLL";#N/A,#N/A,FALSE,"CAM";#N/A,#N/A,FALSE,"TAXES";#N/A,#N/A,FALSE,"INSURANCE";#N/A,#N/A,FALSE,"HVAC";#N/A,#N/A,FALSE,"MARKETING"}</definedName>
    <definedName name="wrn.crossroads2" hidden="1">{#N/A,#N/A,FALSE,"RENT ROLL";#N/A,#N/A,FALSE,"CAM";#N/A,#N/A,FALSE,"TAXES";#N/A,#N/A,FALSE,"INSURANCE";#N/A,#N/A,FALSE,"HVAC";#N/A,#N/A,FALSE,"MARKETING"}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quick.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Sales._.Activity." hidden="1">{#N/A,#N/A,FALSE,"Integration Systems"}</definedName>
    <definedName name="wrn.Summary.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UHCO._.Statutory._.Results." hidden="1">{#N/A,#N/A,FALSE,"UHCO Statutory Info ----&gt;";#N/A,#N/A,FALSE,"UHCO Source_Use";#N/A,#N/A,FALSE,"UHCO_Debt Paydown";#N/A,#N/A,FALSE,"Union Bankers";#N/A,#N/A,FALSE,"Penn Life";#N/A,#N/A,FALSE,"Constitution"}</definedName>
    <definedName name="wrn.Weekly._.Inventory._.Report." hidden="1">{#N/A,#N/A,FALSE,"Combo"}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Z_1B2504A4_7288_49BA_A9D5_232D32B8BF61_.wvu.PrintArea" localSheetId="3" hidden="1">'DCF Model'!$A$1:$N$147</definedName>
    <definedName name="Z_60A5D7D3_597C_4544_9487_00DE81AA14D0_.wvu.PrintArea" localSheetId="3" hidden="1">'DCF Model'!$A$1:$N$147</definedName>
    <definedName name="Z_9E03B340_36A7_4E6D_8D58_A21713C869F6_.wvu.PrintArea" localSheetId="6" hidden="1">'Old model'!$A$1:$R$123</definedName>
    <definedName name="zip">#REF!</definedName>
  </definedNames>
  <calcPr calcId="191028" calcCompleted="0"/>
  <customWorkbookViews>
    <customWorkbookView name="cp59575 - Personal View" guid="{9E03B340-36A7-4E6D-8D58-A21713C869F6}" mergeInterval="0" personalView="1" maximized="1" windowWidth="1276" windowHeight="856" tabRatio="688" activeSheetId="2"/>
    <customWorkbookView name="WNS - Personal View" guid="{1B2504A4-7288-49BA-A9D5-232D32B8BF61}" mergeInterval="0" personalView="1" maximized="1" windowWidth="1276" windowHeight="848" activeSheetId="2"/>
    <customWorkbookView name="Gupta, Bhavna - Personal View" guid="{60A5D7D3-597C-4544-9487-00DE81AA14D0}" mergeInterval="0" personalView="1" maximized="1" windowWidth="1280" windowHeight="799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2" i="10" l="1"/>
  <c r="E91" i="10"/>
  <c r="E90" i="10"/>
  <c r="E89" i="10"/>
  <c r="E88" i="10"/>
  <c r="E87" i="10"/>
  <c r="E86" i="10"/>
  <c r="E85" i="10"/>
  <c r="E84" i="10"/>
  <c r="E83" i="10"/>
  <c r="E82" i="10"/>
  <c r="E81" i="10"/>
  <c r="AZ203" i="9"/>
  <c r="AZ105" i="11"/>
  <c r="AZ104" i="11"/>
  <c r="AZ103" i="11"/>
  <c r="AZ101" i="11"/>
  <c r="AZ100" i="11"/>
  <c r="M100" i="11" s="1"/>
  <c r="AZ99" i="11"/>
  <c r="D71" i="10"/>
  <c r="D69" i="10"/>
  <c r="D67" i="10"/>
  <c r="D93" i="10"/>
  <c r="E75" i="10"/>
  <c r="E80" i="10" s="1"/>
  <c r="D75" i="10"/>
  <c r="D80" i="10" s="1"/>
  <c r="J3" i="10"/>
  <c r="M105" i="11"/>
  <c r="M104" i="11"/>
  <c r="M101" i="11"/>
  <c r="M92" i="11"/>
  <c r="M91" i="11"/>
  <c r="M90" i="11"/>
  <c r="M89" i="11"/>
  <c r="M87" i="11"/>
  <c r="M86" i="11"/>
  <c r="M85" i="11"/>
  <c r="M69" i="11"/>
  <c r="M68" i="11"/>
  <c r="M67" i="11"/>
  <c r="M66" i="11"/>
  <c r="M65" i="11"/>
  <c r="M61" i="11"/>
  <c r="M60" i="11"/>
  <c r="M59" i="11"/>
  <c r="M58" i="11"/>
  <c r="M55" i="11"/>
  <c r="M54" i="11"/>
  <c r="M53" i="11"/>
  <c r="M52" i="11"/>
  <c r="M49" i="11"/>
  <c r="M48" i="11"/>
  <c r="M47" i="11"/>
  <c r="M46" i="11"/>
  <c r="M43" i="11"/>
  <c r="M42" i="11"/>
  <c r="M41" i="11"/>
  <c r="M40" i="11"/>
  <c r="M33" i="11"/>
  <c r="M35" i="11"/>
  <c r="M34" i="11"/>
  <c r="M32" i="11"/>
  <c r="M31" i="11"/>
  <c r="M30" i="11"/>
  <c r="M26" i="11"/>
  <c r="M25" i="11"/>
  <c r="M22" i="11"/>
  <c r="M21" i="11"/>
  <c r="M20" i="11"/>
  <c r="M19" i="11"/>
  <c r="M15" i="11"/>
  <c r="M12" i="11"/>
  <c r="M11" i="11"/>
  <c r="M10" i="11"/>
  <c r="M3" i="11"/>
  <c r="AZ70" i="11"/>
  <c r="N202" i="9"/>
  <c r="AZ202" i="9"/>
  <c r="AY204" i="9"/>
  <c r="AX204" i="9"/>
  <c r="AW204" i="9"/>
  <c r="AV204" i="9"/>
  <c r="AU204" i="9"/>
  <c r="AT204" i="9"/>
  <c r="AS204" i="9"/>
  <c r="AR204" i="9"/>
  <c r="AQ204" i="9"/>
  <c r="AP204" i="9"/>
  <c r="AO204" i="9"/>
  <c r="AN204" i="9"/>
  <c r="AM204" i="9"/>
  <c r="AL204" i="9"/>
  <c r="AK204" i="9"/>
  <c r="AJ204" i="9"/>
  <c r="AI204" i="9"/>
  <c r="AH204" i="9"/>
  <c r="AG204" i="9"/>
  <c r="AF204" i="9"/>
  <c r="AE204" i="9"/>
  <c r="AD204" i="9"/>
  <c r="AC204" i="9"/>
  <c r="AB204" i="9"/>
  <c r="AA204" i="9"/>
  <c r="Z204" i="9"/>
  <c r="Y204" i="9"/>
  <c r="X204" i="9"/>
  <c r="W204" i="9"/>
  <c r="V204" i="9"/>
  <c r="U204" i="9"/>
  <c r="T204" i="9"/>
  <c r="S204" i="9"/>
  <c r="R204" i="9"/>
  <c r="Q204" i="9"/>
  <c r="P204" i="9"/>
  <c r="M204" i="9"/>
  <c r="L204" i="9"/>
  <c r="K204" i="9"/>
  <c r="J204" i="9"/>
  <c r="I204" i="9"/>
  <c r="H204" i="9"/>
  <c r="G204" i="9"/>
  <c r="F204" i="9"/>
  <c r="E204" i="9"/>
  <c r="D204" i="9"/>
  <c r="C204" i="9"/>
  <c r="AZ173" i="9"/>
  <c r="AZ114" i="9"/>
  <c r="AZ115" i="9" s="1"/>
  <c r="N128" i="9"/>
  <c r="N123" i="9"/>
  <c r="N120" i="9"/>
  <c r="N119" i="9"/>
  <c r="N114" i="9"/>
  <c r="N113" i="9"/>
  <c r="N112" i="9"/>
  <c r="N111" i="9"/>
  <c r="N110" i="9"/>
  <c r="AZ89" i="9"/>
  <c r="AZ88" i="9"/>
  <c r="AZ84" i="9"/>
  <c r="AZ79" i="9"/>
  <c r="AZ75" i="9"/>
  <c r="AZ187" i="9"/>
  <c r="AZ183" i="9"/>
  <c r="AZ179" i="9"/>
  <c r="AZ178" i="9"/>
  <c r="AZ177" i="9"/>
  <c r="AZ174" i="9"/>
  <c r="AZ172" i="9"/>
  <c r="AZ169" i="9"/>
  <c r="AZ168" i="9"/>
  <c r="AZ148" i="9"/>
  <c r="AZ121" i="9"/>
  <c r="AZ14" i="9"/>
  <c r="N203" i="9" l="1"/>
  <c r="AZ204" i="9"/>
  <c r="AZ256" i="9"/>
  <c r="E71" i="10"/>
  <c r="D76" i="10"/>
  <c r="AZ106" i="11"/>
  <c r="M103" i="11"/>
  <c r="AZ78" i="11"/>
  <c r="AZ74" i="11"/>
  <c r="AZ77" i="11"/>
  <c r="AZ73" i="11"/>
  <c r="AZ76" i="11"/>
  <c r="AZ75" i="11"/>
  <c r="AZ250" i="9"/>
  <c r="AZ245" i="9"/>
  <c r="AZ244" i="9"/>
  <c r="AZ241" i="9"/>
  <c r="AZ240" i="9"/>
  <c r="AZ239" i="9"/>
  <c r="AZ236" i="9"/>
  <c r="AZ235" i="9"/>
  <c r="AZ246" i="9"/>
  <c r="AZ254" i="9"/>
  <c r="AZ213" i="9"/>
  <c r="AZ248" i="9"/>
  <c r="AZ181" i="9"/>
  <c r="AZ238" i="9"/>
  <c r="AZ171" i="9"/>
  <c r="AZ223" i="9"/>
  <c r="AZ51" i="9"/>
  <c r="AZ50" i="9"/>
  <c r="AZ46" i="9"/>
  <c r="AZ43" i="9"/>
  <c r="AZ158" i="9"/>
  <c r="AZ52" i="9"/>
  <c r="AZ44" i="9"/>
  <c r="AZ58" i="9"/>
  <c r="AZ49" i="9"/>
  <c r="AZ48" i="9"/>
  <c r="AZ47" i="9"/>
  <c r="AZ45" i="9"/>
  <c r="AZ21" i="9"/>
  <c r="AZ126" i="9"/>
  <c r="AZ125" i="9"/>
  <c r="AZ247" i="9"/>
  <c r="AZ180" i="9"/>
  <c r="AZ176" i="9"/>
  <c r="AZ243" i="9"/>
  <c r="AZ234" i="9"/>
  <c r="AZ167" i="9"/>
  <c r="D183" i="10"/>
  <c r="E171" i="10"/>
  <c r="E176" i="10" s="1"/>
  <c r="D171" i="10"/>
  <c r="D176" i="10" s="1"/>
  <c r="D165" i="10"/>
  <c r="D163" i="10"/>
  <c r="D172" i="10" s="1"/>
  <c r="AY203" i="9"/>
  <c r="AY105" i="11"/>
  <c r="AY104" i="11"/>
  <c r="AY103" i="11"/>
  <c r="AY101" i="11"/>
  <c r="AY100" i="11"/>
  <c r="AY99" i="11"/>
  <c r="L99" i="11"/>
  <c r="L85" i="11"/>
  <c r="L88" i="11"/>
  <c r="L92" i="11"/>
  <c r="L91" i="11"/>
  <c r="L90" i="11"/>
  <c r="L89" i="11"/>
  <c r="L87" i="11"/>
  <c r="L86" i="11"/>
  <c r="L84" i="11"/>
  <c r="L83" i="11"/>
  <c r="L82" i="11"/>
  <c r="L69" i="11"/>
  <c r="L68" i="11"/>
  <c r="L67" i="11"/>
  <c r="L66" i="11"/>
  <c r="L65" i="11"/>
  <c r="L61" i="11"/>
  <c r="L60" i="11"/>
  <c r="L59" i="11"/>
  <c r="L58" i="11"/>
  <c r="L55" i="11"/>
  <c r="L54" i="11"/>
  <c r="L53" i="11"/>
  <c r="L52" i="11"/>
  <c r="L49" i="11"/>
  <c r="L48" i="11"/>
  <c r="L47" i="11"/>
  <c r="L46" i="11"/>
  <c r="L43" i="11"/>
  <c r="L42" i="11"/>
  <c r="L41" i="11"/>
  <c r="L40" i="11"/>
  <c r="L35" i="11"/>
  <c r="L34" i="11"/>
  <c r="L33" i="11"/>
  <c r="L32" i="11"/>
  <c r="L31" i="11"/>
  <c r="L30" i="11"/>
  <c r="L26" i="11"/>
  <c r="L25" i="11"/>
  <c r="L22" i="11"/>
  <c r="L21" i="11"/>
  <c r="L20" i="11"/>
  <c r="L19" i="11"/>
  <c r="L15" i="11"/>
  <c r="L12" i="11"/>
  <c r="L11" i="11"/>
  <c r="L14" i="11" s="1"/>
  <c r="L10" i="11"/>
  <c r="AY70" i="11"/>
  <c r="AY73" i="11" s="1"/>
  <c r="AY202" i="9"/>
  <c r="AY128" i="9"/>
  <c r="AY123" i="9"/>
  <c r="AY120" i="9"/>
  <c r="AY119" i="9"/>
  <c r="W112" i="9"/>
  <c r="AA112" i="9"/>
  <c r="AE112" i="9"/>
  <c r="AI112" i="9"/>
  <c r="AM112" i="9"/>
  <c r="AQ112" i="9"/>
  <c r="AU112" i="9"/>
  <c r="Q115" i="9"/>
  <c r="P115" i="9"/>
  <c r="O115" i="9"/>
  <c r="AY113" i="9"/>
  <c r="AY112" i="9"/>
  <c r="AY111" i="9"/>
  <c r="AY110" i="9"/>
  <c r="M114" i="9"/>
  <c r="M115" i="9" s="1"/>
  <c r="M89" i="9"/>
  <c r="M87" i="9"/>
  <c r="M85" i="9"/>
  <c r="M88" i="9"/>
  <c r="M84" i="9"/>
  <c r="M80" i="9"/>
  <c r="M79" i="9"/>
  <c r="M75" i="9"/>
  <c r="D77" i="10" l="1"/>
  <c r="AZ114" i="11"/>
  <c r="AZ113" i="11"/>
  <c r="AZ115" i="11"/>
  <c r="N204" i="9"/>
  <c r="J2" i="10"/>
  <c r="AZ110" i="11"/>
  <c r="AZ116" i="11"/>
  <c r="AZ119" i="11"/>
  <c r="AZ111" i="11"/>
  <c r="AZ112" i="11"/>
  <c r="AZ117" i="11"/>
  <c r="AZ118" i="11"/>
  <c r="AZ62" i="9"/>
  <c r="AZ64" i="9" s="1"/>
  <c r="AZ53" i="9"/>
  <c r="AZ25" i="9"/>
  <c r="AZ39" i="9" s="1"/>
  <c r="AZ56" i="9" s="1"/>
  <c r="AZ129" i="9"/>
  <c r="AZ149" i="9"/>
  <c r="AZ214" i="9" s="1"/>
  <c r="AZ190" i="9"/>
  <c r="AZ259" i="9"/>
  <c r="AZ139" i="9"/>
  <c r="AZ200" i="9" s="1"/>
  <c r="AZ150" i="9"/>
  <c r="AZ215" i="9" s="1"/>
  <c r="AZ189" i="9"/>
  <c r="AZ258" i="9"/>
  <c r="M203" i="9"/>
  <c r="M256" i="9" s="1"/>
  <c r="J98" i="10"/>
  <c r="E179" i="10"/>
  <c r="D173" i="10"/>
  <c r="AY74" i="11"/>
  <c r="AY75" i="11"/>
  <c r="AY77" i="11"/>
  <c r="AY76" i="11"/>
  <c r="AY78" i="11"/>
  <c r="L16" i="11"/>
  <c r="L13" i="11"/>
  <c r="AY106" i="11"/>
  <c r="AY116" i="11" s="1"/>
  <c r="L70" i="11"/>
  <c r="L73" i="11" s="1"/>
  <c r="AY114" i="9"/>
  <c r="AY32" i="9"/>
  <c r="N32" i="9" s="1"/>
  <c r="AY148" i="9"/>
  <c r="M206" i="9"/>
  <c r="M187" i="9"/>
  <c r="M183" i="9"/>
  <c r="M181" i="9"/>
  <c r="M179" i="9"/>
  <c r="M178" i="9"/>
  <c r="M177" i="9"/>
  <c r="M174" i="9"/>
  <c r="M173" i="9"/>
  <c r="M172" i="9"/>
  <c r="M169" i="9"/>
  <c r="M168" i="9"/>
  <c r="M148" i="9"/>
  <c r="M121" i="9"/>
  <c r="M126" i="9" s="1"/>
  <c r="M108" i="9"/>
  <c r="M131" i="9" s="1"/>
  <c r="M220" i="9" s="1"/>
  <c r="M141" i="9" s="1"/>
  <c r="M103" i="9"/>
  <c r="M145" i="9" s="1"/>
  <c r="M180" i="9"/>
  <c r="M176" i="9"/>
  <c r="M167" i="9"/>
  <c r="M61" i="9"/>
  <c r="M73" i="9" s="1"/>
  <c r="M98" i="9" s="1"/>
  <c r="M155" i="9" s="1"/>
  <c r="M55" i="9"/>
  <c r="M14" i="9"/>
  <c r="AX203" i="9"/>
  <c r="AX256" i="9" s="1"/>
  <c r="D241" i="10"/>
  <c r="D239" i="10"/>
  <c r="D247" i="10" s="1"/>
  <c r="AX105" i="11"/>
  <c r="AX104" i="11"/>
  <c r="AX103" i="11"/>
  <c r="AX101" i="11"/>
  <c r="AX100" i="11"/>
  <c r="AX98" i="11"/>
  <c r="AX97" i="11"/>
  <c r="AX96" i="11"/>
  <c r="AX70" i="11"/>
  <c r="AX78" i="11" s="1"/>
  <c r="AX202" i="9"/>
  <c r="AX114" i="9"/>
  <c r="AX115" i="9" s="1"/>
  <c r="AX187" i="9"/>
  <c r="AX148" i="9"/>
  <c r="AX121" i="9"/>
  <c r="AX126" i="9" s="1"/>
  <c r="AX91" i="9"/>
  <c r="AX81" i="9"/>
  <c r="AX14" i="9"/>
  <c r="AX47" i="9" s="1"/>
  <c r="D332" i="10"/>
  <c r="D330" i="10"/>
  <c r="AW203" i="9"/>
  <c r="AW256" i="9" s="1"/>
  <c r="D317" i="10"/>
  <c r="D315" i="10"/>
  <c r="AW105" i="11"/>
  <c r="AW104" i="11"/>
  <c r="AW103" i="11"/>
  <c r="AW101" i="11"/>
  <c r="AW100" i="11"/>
  <c r="AW98" i="11"/>
  <c r="AW97" i="11"/>
  <c r="AW96" i="11"/>
  <c r="AW70" i="11"/>
  <c r="AW73" i="11" s="1"/>
  <c r="AW114" i="9"/>
  <c r="AW115" i="9" s="1"/>
  <c r="AW89" i="9"/>
  <c r="AW85" i="9"/>
  <c r="AW87" i="9"/>
  <c r="AW86" i="9"/>
  <c r="AW80" i="9"/>
  <c r="AW82" i="9"/>
  <c r="AW79" i="9"/>
  <c r="AW77" i="9"/>
  <c r="AW76" i="9"/>
  <c r="AW38" i="9"/>
  <c r="AW37" i="9"/>
  <c r="AW34" i="9"/>
  <c r="AW33" i="9"/>
  <c r="AW29" i="9"/>
  <c r="AW28" i="9"/>
  <c r="AW27" i="9"/>
  <c r="AW36" i="9"/>
  <c r="AW35" i="9"/>
  <c r="AW31" i="9"/>
  <c r="AW30" i="9"/>
  <c r="AW26" i="9"/>
  <c r="AW20" i="9"/>
  <c r="AW19" i="9"/>
  <c r="AW18" i="9"/>
  <c r="AW17" i="9"/>
  <c r="AW16" i="9"/>
  <c r="AW22" i="9"/>
  <c r="AW24" i="9"/>
  <c r="AW23" i="9"/>
  <c r="AW13" i="9"/>
  <c r="AW12" i="9"/>
  <c r="AW11" i="9"/>
  <c r="AW10" i="9"/>
  <c r="AW9" i="9"/>
  <c r="AW8" i="9"/>
  <c r="AW7" i="9"/>
  <c r="AW250" i="9"/>
  <c r="AW240" i="9"/>
  <c r="AW187" i="9"/>
  <c r="AW183" i="9"/>
  <c r="AW173" i="9"/>
  <c r="AW148" i="9"/>
  <c r="AW121" i="9"/>
  <c r="D389" i="10"/>
  <c r="D387" i="10"/>
  <c r="D396" i="10" s="1"/>
  <c r="J339" i="10"/>
  <c r="E380" i="10" s="1"/>
  <c r="D383" i="10"/>
  <c r="AV105" i="11"/>
  <c r="AV104" i="11"/>
  <c r="AV103" i="11"/>
  <c r="AV101" i="11"/>
  <c r="AV100" i="11"/>
  <c r="AV98" i="11"/>
  <c r="AV97" i="11"/>
  <c r="AV96" i="11"/>
  <c r="AV70" i="11"/>
  <c r="AV73" i="11" s="1"/>
  <c r="AV203" i="9"/>
  <c r="AV114" i="9"/>
  <c r="AV115" i="9" s="1"/>
  <c r="AV88" i="9"/>
  <c r="AV84" i="9"/>
  <c r="AV75" i="9"/>
  <c r="AV250" i="9"/>
  <c r="AV245" i="9"/>
  <c r="AV244" i="9"/>
  <c r="AV241" i="9"/>
  <c r="AV240" i="9"/>
  <c r="AV239" i="9"/>
  <c r="AV236" i="9"/>
  <c r="AV235" i="9"/>
  <c r="AV246" i="9"/>
  <c r="AV187" i="9"/>
  <c r="AV183" i="9"/>
  <c r="AV179" i="9"/>
  <c r="AV178" i="9"/>
  <c r="AV177" i="9"/>
  <c r="AV174" i="9"/>
  <c r="AV173" i="9"/>
  <c r="AV172" i="9"/>
  <c r="AV171" i="9"/>
  <c r="AV169" i="9"/>
  <c r="AV168" i="9"/>
  <c r="AV148" i="9"/>
  <c r="AV121" i="9"/>
  <c r="AV125" i="9" s="1"/>
  <c r="AV248" i="9"/>
  <c r="AV14" i="9"/>
  <c r="D478" i="10"/>
  <c r="D456" i="10"/>
  <c r="K92" i="11"/>
  <c r="K91" i="11"/>
  <c r="K90" i="11"/>
  <c r="K89" i="11"/>
  <c r="K88" i="11"/>
  <c r="K87" i="11"/>
  <c r="K86" i="11"/>
  <c r="K84" i="11"/>
  <c r="K83" i="11"/>
  <c r="K82" i="11"/>
  <c r="K69" i="11"/>
  <c r="K68" i="11"/>
  <c r="K67" i="11"/>
  <c r="K66" i="11"/>
  <c r="K65" i="11"/>
  <c r="K61" i="11"/>
  <c r="K60" i="11"/>
  <c r="K59" i="11"/>
  <c r="K58" i="11"/>
  <c r="K55" i="11"/>
  <c r="K54" i="11"/>
  <c r="K53" i="11"/>
  <c r="K52" i="11"/>
  <c r="K49" i="11"/>
  <c r="K48" i="11"/>
  <c r="K47" i="11"/>
  <c r="K46" i="11"/>
  <c r="K43" i="11"/>
  <c r="K42" i="11"/>
  <c r="K41" i="11"/>
  <c r="K40" i="11"/>
  <c r="K35" i="11"/>
  <c r="K34" i="11"/>
  <c r="K33" i="11"/>
  <c r="K32" i="11"/>
  <c r="K31" i="11"/>
  <c r="K30" i="11"/>
  <c r="K26" i="11"/>
  <c r="K25" i="11"/>
  <c r="K22" i="11"/>
  <c r="K21" i="11"/>
  <c r="K20" i="11"/>
  <c r="K19" i="11"/>
  <c r="K15" i="11"/>
  <c r="K12" i="11"/>
  <c r="K11" i="11"/>
  <c r="K10" i="11"/>
  <c r="AU105" i="11"/>
  <c r="AU104" i="11"/>
  <c r="AU103" i="11"/>
  <c r="AU101" i="11"/>
  <c r="AU100" i="11"/>
  <c r="AU98" i="11"/>
  <c r="AU97" i="11"/>
  <c r="AU96" i="11"/>
  <c r="AU70" i="11"/>
  <c r="AU73" i="11" s="1"/>
  <c r="E158" i="10" l="1"/>
  <c r="E181" i="10"/>
  <c r="E135" i="10"/>
  <c r="E154" i="10"/>
  <c r="D143" i="10"/>
  <c r="E76" i="10"/>
  <c r="E77" i="10" s="1"/>
  <c r="D146" i="10"/>
  <c r="E117" i="10"/>
  <c r="E129" i="10"/>
  <c r="E156" i="10"/>
  <c r="D145" i="10"/>
  <c r="E114" i="10"/>
  <c r="E150" i="10"/>
  <c r="E67" i="10"/>
  <c r="E69" i="10"/>
  <c r="D13" i="10"/>
  <c r="E18" i="10"/>
  <c r="E21" i="10"/>
  <c r="E23" i="10"/>
  <c r="E29" i="10"/>
  <c r="E31" i="10"/>
  <c r="E33" i="10"/>
  <c r="E35" i="10"/>
  <c r="E38" i="10"/>
  <c r="D43" i="10"/>
  <c r="D46" i="10"/>
  <c r="D49" i="10"/>
  <c r="D52" i="10"/>
  <c r="E55" i="10"/>
  <c r="E58" i="10"/>
  <c r="E63" i="10"/>
  <c r="D14" i="10"/>
  <c r="E19" i="10"/>
  <c r="E26" i="10"/>
  <c r="E34" i="10"/>
  <c r="D47" i="10"/>
  <c r="D11" i="10"/>
  <c r="D15" i="10"/>
  <c r="E20" i="10"/>
  <c r="E28" i="10"/>
  <c r="E60" i="10"/>
  <c r="D10" i="10"/>
  <c r="D12" i="10"/>
  <c r="E17" i="10"/>
  <c r="E22" i="10"/>
  <c r="E25" i="10"/>
  <c r="E30" i="10"/>
  <c r="E32" i="10"/>
  <c r="E36" i="10"/>
  <c r="E39" i="10"/>
  <c r="D44" i="10"/>
  <c r="D45" i="10"/>
  <c r="D50" i="10"/>
  <c r="E54" i="10"/>
  <c r="E56" i="10"/>
  <c r="E57" i="10"/>
  <c r="E62" i="10"/>
  <c r="E64" i="10"/>
  <c r="D110" i="10"/>
  <c r="D139" i="10"/>
  <c r="E151" i="10"/>
  <c r="D141" i="10"/>
  <c r="D107" i="10"/>
  <c r="E128" i="10"/>
  <c r="D140" i="10"/>
  <c r="E113" i="10"/>
  <c r="E122" i="10"/>
  <c r="E131" i="10"/>
  <c r="D106" i="10"/>
  <c r="E115" i="10"/>
  <c r="E125" i="10"/>
  <c r="E134" i="10"/>
  <c r="D111" i="10"/>
  <c r="E116" i="10"/>
  <c r="E126" i="10"/>
  <c r="E163" i="10"/>
  <c r="E165" i="10"/>
  <c r="E153" i="10"/>
  <c r="E159" i="10"/>
  <c r="E177" i="10"/>
  <c r="E178" i="10"/>
  <c r="E180" i="10"/>
  <c r="AX173" i="9"/>
  <c r="E121" i="10"/>
  <c r="E119" i="10"/>
  <c r="E152" i="10"/>
  <c r="E130" i="10"/>
  <c r="D148" i="10"/>
  <c r="E118" i="10"/>
  <c r="E132" i="10"/>
  <c r="D109" i="10"/>
  <c r="E123" i="10"/>
  <c r="D142" i="10"/>
  <c r="D108" i="10"/>
  <c r="E127" i="10"/>
  <c r="AY38" i="9"/>
  <c r="N38" i="9"/>
  <c r="AY37" i="9"/>
  <c r="N37" i="9"/>
  <c r="AY29" i="9"/>
  <c r="N29" i="9"/>
  <c r="AY28" i="9"/>
  <c r="N28" i="9"/>
  <c r="AY27" i="9"/>
  <c r="N27" i="9"/>
  <c r="AY36" i="9"/>
  <c r="N36" i="9"/>
  <c r="AY35" i="9"/>
  <c r="N35" i="9"/>
  <c r="AY30" i="9"/>
  <c r="N30" i="9"/>
  <c r="AY20" i="9"/>
  <c r="N20" i="9"/>
  <c r="AY19" i="9"/>
  <c r="N19" i="9"/>
  <c r="AY18" i="9"/>
  <c r="N18" i="9"/>
  <c r="AY17" i="9"/>
  <c r="N17" i="9"/>
  <c r="AY12" i="9"/>
  <c r="N12" i="9"/>
  <c r="AY10" i="9"/>
  <c r="N10" i="9"/>
  <c r="AY9" i="9"/>
  <c r="N9" i="9"/>
  <c r="AY8" i="9"/>
  <c r="N8" i="9"/>
  <c r="AZ66" i="9"/>
  <c r="AZ69" i="9"/>
  <c r="AZ269" i="9"/>
  <c r="E172" i="10"/>
  <c r="E182" i="10"/>
  <c r="E160" i="10"/>
  <c r="M202" i="9"/>
  <c r="AV46" i="9"/>
  <c r="AZ15" i="9"/>
  <c r="L97" i="11"/>
  <c r="L105" i="11"/>
  <c r="L98" i="11"/>
  <c r="L100" i="11"/>
  <c r="L101" i="11"/>
  <c r="L103" i="11"/>
  <c r="L96" i="11"/>
  <c r="L104" i="11"/>
  <c r="AY117" i="11"/>
  <c r="AY119" i="11"/>
  <c r="AY115" i="11"/>
  <c r="AY112" i="11"/>
  <c r="AY114" i="11"/>
  <c r="AY118" i="11"/>
  <c r="AY113" i="11"/>
  <c r="AY111" i="11"/>
  <c r="AY110" i="11"/>
  <c r="L77" i="11"/>
  <c r="L78" i="11"/>
  <c r="L76" i="11"/>
  <c r="L74" i="11"/>
  <c r="L75" i="11"/>
  <c r="N115" i="9"/>
  <c r="AY115" i="9"/>
  <c r="AY11" i="9"/>
  <c r="N11" i="9" s="1"/>
  <c r="AW213" i="9"/>
  <c r="AY22" i="9"/>
  <c r="N22" i="9" s="1"/>
  <c r="AY31" i="9"/>
  <c r="N31" i="9" s="1"/>
  <c r="AX86" i="9"/>
  <c r="AW179" i="9"/>
  <c r="AY23" i="9"/>
  <c r="N23" i="9" s="1"/>
  <c r="AX85" i="9"/>
  <c r="AY13" i="9"/>
  <c r="N13" i="9" s="1"/>
  <c r="AY24" i="9"/>
  <c r="N24" i="9" s="1"/>
  <c r="AY33" i="9"/>
  <c r="N33" i="9" s="1"/>
  <c r="AX76" i="9"/>
  <c r="AW181" i="9"/>
  <c r="AY16" i="9"/>
  <c r="N16" i="9" s="1"/>
  <c r="AY26" i="9"/>
  <c r="N26" i="9" s="1"/>
  <c r="AY34" i="9"/>
  <c r="N34" i="9" s="1"/>
  <c r="AY7" i="9"/>
  <c r="N7" i="9" s="1"/>
  <c r="AW254" i="9"/>
  <c r="AX77" i="9"/>
  <c r="AV167" i="9"/>
  <c r="AW238" i="9"/>
  <c r="AX240" i="9"/>
  <c r="AY81" i="9"/>
  <c r="N81" i="9" s="1"/>
  <c r="AW84" i="9"/>
  <c r="AW174" i="9"/>
  <c r="AX183" i="9"/>
  <c r="AY91" i="9"/>
  <c r="N91" i="9" s="1"/>
  <c r="AW88" i="9"/>
  <c r="AW245" i="9"/>
  <c r="AX80" i="9"/>
  <c r="AY121" i="9"/>
  <c r="AY126" i="9" s="1"/>
  <c r="M47" i="9"/>
  <c r="M49" i="9"/>
  <c r="M48" i="9"/>
  <c r="M51" i="9"/>
  <c r="M44" i="9"/>
  <c r="M43" i="9"/>
  <c r="M99" i="9"/>
  <c r="M142" i="9" s="1"/>
  <c r="M58" i="9"/>
  <c r="M21" i="9"/>
  <c r="M53" i="9" s="1"/>
  <c r="AW235" i="9"/>
  <c r="M54" i="9"/>
  <c r="M213" i="9"/>
  <c r="J264" i="10"/>
  <c r="M239" i="9"/>
  <c r="AV176" i="9"/>
  <c r="AW178" i="9"/>
  <c r="J263" i="10"/>
  <c r="E303" i="10" s="1"/>
  <c r="M254" i="9"/>
  <c r="AY187" i="9"/>
  <c r="M190" i="9"/>
  <c r="M149" i="9"/>
  <c r="M214" i="9" s="1"/>
  <c r="M259" i="9"/>
  <c r="M129" i="9"/>
  <c r="AX79" i="9"/>
  <c r="AW168" i="9"/>
  <c r="AX213" i="9"/>
  <c r="AX82" i="9"/>
  <c r="J188" i="10"/>
  <c r="E232" i="10" s="1"/>
  <c r="M50" i="9"/>
  <c r="AW246" i="9"/>
  <c r="AW177" i="9"/>
  <c r="AW172" i="9"/>
  <c r="AX254" i="9"/>
  <c r="M52" i="9"/>
  <c r="M158" i="9"/>
  <c r="AX87" i="9"/>
  <c r="M45" i="9"/>
  <c r="AV47" i="9"/>
  <c r="M46" i="9"/>
  <c r="M125" i="9"/>
  <c r="M171" i="9"/>
  <c r="AX178" i="9"/>
  <c r="AX89" i="9"/>
  <c r="M105" i="9"/>
  <c r="M146" i="9" s="1"/>
  <c r="D248" i="10"/>
  <c r="AU76" i="11"/>
  <c r="AV76" i="11"/>
  <c r="AV77" i="11"/>
  <c r="AX76" i="11"/>
  <c r="AU77" i="11"/>
  <c r="AW76" i="11"/>
  <c r="AW77" i="11"/>
  <c r="AX77" i="11"/>
  <c r="AX73" i="11"/>
  <c r="AX74" i="11"/>
  <c r="AX75" i="11"/>
  <c r="AX106" i="11"/>
  <c r="AX117" i="11" s="1"/>
  <c r="AX172" i="9"/>
  <c r="AX125" i="9"/>
  <c r="AX258" i="9" s="1"/>
  <c r="AX269" i="9" s="1"/>
  <c r="AW171" i="9"/>
  <c r="AX21" i="9"/>
  <c r="AX53" i="9" s="1"/>
  <c r="AX48" i="9"/>
  <c r="AX49" i="9"/>
  <c r="AX190" i="9"/>
  <c r="AX259" i="9"/>
  <c r="AV247" i="9"/>
  <c r="AX43" i="9"/>
  <c r="AX51" i="9"/>
  <c r="AX250" i="9"/>
  <c r="AV51" i="9"/>
  <c r="AW244" i="9"/>
  <c r="AX149" i="9"/>
  <c r="AX214" i="9" s="1"/>
  <c r="AX50" i="9"/>
  <c r="AX44" i="9"/>
  <c r="AX52" i="9"/>
  <c r="AV58" i="9"/>
  <c r="AX129" i="9"/>
  <c r="AV223" i="9"/>
  <c r="AZ224" i="9" s="1"/>
  <c r="AX45" i="9"/>
  <c r="AX223" i="9"/>
  <c r="AW75" i="9"/>
  <c r="AX46" i="9"/>
  <c r="AX158" i="9"/>
  <c r="AV45" i="9"/>
  <c r="AV158" i="9"/>
  <c r="AZ159" i="9" s="1"/>
  <c r="D323" i="10"/>
  <c r="AW106" i="11"/>
  <c r="AW116" i="11" s="1"/>
  <c r="AW78" i="11"/>
  <c r="AW74" i="11"/>
  <c r="AW75" i="11"/>
  <c r="AW241" i="9"/>
  <c r="AW239" i="9"/>
  <c r="AW14" i="9"/>
  <c r="AW50" i="9" s="1"/>
  <c r="AV256" i="9"/>
  <c r="J338" i="10"/>
  <c r="E356" i="10" s="1"/>
  <c r="AW169" i="9"/>
  <c r="AW236" i="9"/>
  <c r="AV243" i="9"/>
  <c r="AV213" i="9"/>
  <c r="AW126" i="9"/>
  <c r="AW125" i="9"/>
  <c r="AV254" i="9"/>
  <c r="AW248" i="9"/>
  <c r="AV52" i="9"/>
  <c r="D397" i="10"/>
  <c r="E379" i="10"/>
  <c r="AV106" i="11"/>
  <c r="AV111" i="11" s="1"/>
  <c r="AV74" i="11"/>
  <c r="AV75" i="11"/>
  <c r="AV78" i="11"/>
  <c r="AV234" i="9"/>
  <c r="AV43" i="9"/>
  <c r="AV44" i="9"/>
  <c r="AV48" i="9"/>
  <c r="AV49" i="9"/>
  <c r="AV21" i="9"/>
  <c r="AV50" i="9"/>
  <c r="AV189" i="9"/>
  <c r="AV139" i="9"/>
  <c r="AV200" i="9" s="1"/>
  <c r="AV150" i="9"/>
  <c r="AV215" i="9" s="1"/>
  <c r="AV258" i="9"/>
  <c r="AV126" i="9"/>
  <c r="AV180" i="9"/>
  <c r="AV181" i="9"/>
  <c r="AV238" i="9"/>
  <c r="AU106" i="11"/>
  <c r="AU119" i="11" s="1"/>
  <c r="AU74" i="11"/>
  <c r="AU75" i="11"/>
  <c r="AU78" i="11"/>
  <c r="AT256" i="9"/>
  <c r="AS256" i="9"/>
  <c r="AR256" i="9"/>
  <c r="AP256" i="9"/>
  <c r="AO256" i="9"/>
  <c r="AN256" i="9"/>
  <c r="K256" i="9"/>
  <c r="E93" i="10" l="1"/>
  <c r="D184" i="10"/>
  <c r="E66" i="10"/>
  <c r="E70" i="10" s="1"/>
  <c r="G70" i="10" s="1"/>
  <c r="E183" i="10"/>
  <c r="D94" i="10"/>
  <c r="D66" i="10"/>
  <c r="D72" i="10" s="1"/>
  <c r="M211" i="9"/>
  <c r="M210" i="9"/>
  <c r="M250" i="9"/>
  <c r="M238" i="9"/>
  <c r="M234" i="9"/>
  <c r="M241" i="9"/>
  <c r="M247" i="9"/>
  <c r="M243" i="9"/>
  <c r="M223" i="9"/>
  <c r="M236" i="9"/>
  <c r="M244" i="9"/>
  <c r="M245" i="9"/>
  <c r="AY86" i="9"/>
  <c r="AY245" i="9" s="1"/>
  <c r="N86" i="9"/>
  <c r="AY85" i="9"/>
  <c r="AY244" i="9" s="1"/>
  <c r="N85" i="9"/>
  <c r="AY76" i="9"/>
  <c r="AX168" i="9"/>
  <c r="N76" i="9"/>
  <c r="AY77" i="9"/>
  <c r="AY236" i="9" s="1"/>
  <c r="N77" i="9"/>
  <c r="AX84" i="9"/>
  <c r="AX88" i="9"/>
  <c r="AY88" i="9" s="1"/>
  <c r="N88" i="9"/>
  <c r="AY80" i="9"/>
  <c r="AY239" i="9" s="1"/>
  <c r="N80" i="9"/>
  <c r="AY79" i="9"/>
  <c r="AZ105" i="9" s="1"/>
  <c r="AZ146" i="9" s="1"/>
  <c r="AZ211" i="9" s="1"/>
  <c r="N79" i="9"/>
  <c r="AY82" i="9"/>
  <c r="N82" i="9"/>
  <c r="AY87" i="9"/>
  <c r="N87" i="9"/>
  <c r="AY89" i="9"/>
  <c r="N89" i="9"/>
  <c r="AX75" i="9"/>
  <c r="AY75" i="9" s="1"/>
  <c r="N75" i="9"/>
  <c r="M235" i="9"/>
  <c r="M240" i="9"/>
  <c r="AZ68" i="9"/>
  <c r="AZ229" i="9"/>
  <c r="AZ231" i="9" s="1"/>
  <c r="AZ74" i="9"/>
  <c r="AZ71" i="9"/>
  <c r="AZ162" i="9"/>
  <c r="AZ166" i="9"/>
  <c r="AZ233" i="9"/>
  <c r="AZ78" i="9"/>
  <c r="AZ164" i="9"/>
  <c r="J189" i="10"/>
  <c r="J99" i="10"/>
  <c r="M207" i="9"/>
  <c r="M246" i="9"/>
  <c r="M248" i="9"/>
  <c r="AZ54" i="9"/>
  <c r="AZ55" i="9"/>
  <c r="AY235" i="9"/>
  <c r="AZ103" i="9"/>
  <c r="AZ145" i="9" s="1"/>
  <c r="AZ210" i="9" s="1"/>
  <c r="AY84" i="9"/>
  <c r="N84" i="9" s="1"/>
  <c r="AX176" i="9"/>
  <c r="D287" i="10"/>
  <c r="D289" i="10"/>
  <c r="E247" i="10"/>
  <c r="E248" i="10" s="1"/>
  <c r="E173" i="10"/>
  <c r="AX243" i="9"/>
  <c r="AX235" i="9"/>
  <c r="E305" i="10"/>
  <c r="AY247" i="9"/>
  <c r="AW247" i="9"/>
  <c r="AX247" i="9"/>
  <c r="AY55" i="9"/>
  <c r="AY180" i="9"/>
  <c r="AW180" i="9"/>
  <c r="AX245" i="9"/>
  <c r="AX180" i="9"/>
  <c r="AY178" i="9"/>
  <c r="E239" i="10"/>
  <c r="E285" i="10"/>
  <c r="E284" i="10"/>
  <c r="E299" i="10"/>
  <c r="E306" i="10"/>
  <c r="AY14" i="9"/>
  <c r="AY168" i="9"/>
  <c r="AY103" i="9"/>
  <c r="AY145" i="9" s="1"/>
  <c r="AY210" i="9" s="1"/>
  <c r="AY172" i="9"/>
  <c r="D295" i="10"/>
  <c r="D329" i="10" s="1"/>
  <c r="E273" i="10"/>
  <c r="D288" i="10"/>
  <c r="E274" i="10"/>
  <c r="AX246" i="9"/>
  <c r="AY177" i="9"/>
  <c r="AY54" i="9"/>
  <c r="AX236" i="9"/>
  <c r="AY125" i="9"/>
  <c r="AY189" i="9" s="1"/>
  <c r="AX169" i="9"/>
  <c r="AX179" i="9"/>
  <c r="AX244" i="9"/>
  <c r="AY169" i="9"/>
  <c r="AX177" i="9"/>
  <c r="AX239" i="9"/>
  <c r="E301" i="10"/>
  <c r="E307" i="10"/>
  <c r="E317" i="10"/>
  <c r="E275" i="10"/>
  <c r="E300" i="10"/>
  <c r="E315" i="10"/>
  <c r="E271" i="10"/>
  <c r="D290" i="10"/>
  <c r="E283" i="10"/>
  <c r="E309" i="10"/>
  <c r="E298" i="10"/>
  <c r="E241" i="10"/>
  <c r="D296" i="10"/>
  <c r="D331" i="10" s="1"/>
  <c r="E279" i="10"/>
  <c r="E281" i="10"/>
  <c r="E278" i="10"/>
  <c r="E302" i="10"/>
  <c r="E282" i="10"/>
  <c r="E304" i="10"/>
  <c r="D292" i="10"/>
  <c r="E280" i="10"/>
  <c r="E308" i="10"/>
  <c r="E312" i="10"/>
  <c r="E226" i="10"/>
  <c r="M62" i="9"/>
  <c r="M64" i="9" s="1"/>
  <c r="M66" i="9" s="1"/>
  <c r="M100" i="9"/>
  <c r="M116" i="9"/>
  <c r="AY248" i="9"/>
  <c r="AY181" i="9"/>
  <c r="M25" i="9"/>
  <c r="M39" i="9" s="1"/>
  <c r="M104" i="9" s="1"/>
  <c r="AY246" i="9"/>
  <c r="AY179" i="9"/>
  <c r="AY238" i="9"/>
  <c r="AY171" i="9"/>
  <c r="AY105" i="9"/>
  <c r="AY146" i="9" s="1"/>
  <c r="AY211" i="9" s="1"/>
  <c r="AY250" i="9"/>
  <c r="AY183" i="9"/>
  <c r="AY173" i="9"/>
  <c r="AY240" i="9"/>
  <c r="AY49" i="9"/>
  <c r="E286" i="10"/>
  <c r="E297" i="10"/>
  <c r="E272" i="10"/>
  <c r="D291" i="10"/>
  <c r="E311" i="10"/>
  <c r="E310" i="10"/>
  <c r="AY241" i="9"/>
  <c r="AY174" i="9"/>
  <c r="AY44" i="9"/>
  <c r="AY129" i="9"/>
  <c r="AY190" i="9"/>
  <c r="AY149" i="9"/>
  <c r="E229" i="10"/>
  <c r="E224" i="10"/>
  <c r="D214" i="10"/>
  <c r="E206" i="10"/>
  <c r="E196" i="10"/>
  <c r="D220" i="10"/>
  <c r="E210" i="10"/>
  <c r="E197" i="10"/>
  <c r="E234" i="10"/>
  <c r="E223" i="10"/>
  <c r="D213" i="10"/>
  <c r="E205" i="10"/>
  <c r="E231" i="10"/>
  <c r="E225" i="10"/>
  <c r="E235" i="10"/>
  <c r="E233" i="10"/>
  <c r="E222" i="10"/>
  <c r="D212" i="10"/>
  <c r="E204" i="10"/>
  <c r="E202" i="10"/>
  <c r="E236" i="10"/>
  <c r="E221" i="10"/>
  <c r="D211" i="10"/>
  <c r="E203" i="10"/>
  <c r="D215" i="10"/>
  <c r="E228" i="10"/>
  <c r="D219" i="10"/>
  <c r="E209" i="10"/>
  <c r="E199" i="10"/>
  <c r="E227" i="10"/>
  <c r="D216" i="10"/>
  <c r="E208" i="10"/>
  <c r="E198" i="10"/>
  <c r="E207" i="10"/>
  <c r="M189" i="9"/>
  <c r="M139" i="9"/>
  <c r="M200" i="9" s="1"/>
  <c r="M258" i="9"/>
  <c r="M150" i="9"/>
  <c r="M215" i="9" s="1"/>
  <c r="E230" i="10"/>
  <c r="AX114" i="11"/>
  <c r="AX118" i="11"/>
  <c r="AX119" i="11"/>
  <c r="AX111" i="11"/>
  <c r="AX115" i="11"/>
  <c r="AX112" i="11"/>
  <c r="AX116" i="11"/>
  <c r="AX113" i="11"/>
  <c r="AX110" i="11"/>
  <c r="AX150" i="9"/>
  <c r="AX215" i="9" s="1"/>
  <c r="AX139" i="9"/>
  <c r="AX200" i="9" s="1"/>
  <c r="AX189" i="9"/>
  <c r="AX25" i="9"/>
  <c r="AX39" i="9" s="1"/>
  <c r="AX56" i="9" s="1"/>
  <c r="AX62" i="9"/>
  <c r="AX64" i="9" s="1"/>
  <c r="AX66" i="9" s="1"/>
  <c r="AW234" i="9"/>
  <c r="AW167" i="9"/>
  <c r="AX238" i="9"/>
  <c r="AX58" i="9"/>
  <c r="AX171" i="9"/>
  <c r="AX181" i="9"/>
  <c r="AX248" i="9"/>
  <c r="AX241" i="9"/>
  <c r="AX174" i="9"/>
  <c r="E355" i="10"/>
  <c r="E358" i="10"/>
  <c r="E389" i="10"/>
  <c r="D365" i="10"/>
  <c r="E372" i="10"/>
  <c r="D364" i="10"/>
  <c r="E353" i="10"/>
  <c r="E374" i="10"/>
  <c r="D363" i="10"/>
  <c r="E345" i="10"/>
  <c r="E368" i="10"/>
  <c r="D361" i="10"/>
  <c r="E371" i="10"/>
  <c r="E384" i="10"/>
  <c r="E357" i="10"/>
  <c r="E354" i="10"/>
  <c r="E387" i="10"/>
  <c r="E396" i="10"/>
  <c r="E351" i="10"/>
  <c r="E352" i="10"/>
  <c r="E378" i="10"/>
  <c r="D324" i="10"/>
  <c r="E323" i="10"/>
  <c r="E348" i="10"/>
  <c r="E377" i="10"/>
  <c r="E347" i="10"/>
  <c r="E376" i="10"/>
  <c r="D360" i="10"/>
  <c r="E369" i="10"/>
  <c r="E346" i="10"/>
  <c r="E373" i="10"/>
  <c r="D381" i="10"/>
  <c r="AW118" i="11"/>
  <c r="AW110" i="11"/>
  <c r="AW113" i="11"/>
  <c r="AW111" i="11"/>
  <c r="AW114" i="11"/>
  <c r="AW119" i="11"/>
  <c r="AW115" i="11"/>
  <c r="AW112" i="11"/>
  <c r="AW117" i="11"/>
  <c r="AW46" i="9"/>
  <c r="AW158" i="9"/>
  <c r="AW48" i="9"/>
  <c r="AW47" i="9"/>
  <c r="AW44" i="9"/>
  <c r="AW58" i="9"/>
  <c r="AW52" i="9"/>
  <c r="AW21" i="9"/>
  <c r="AW51" i="9"/>
  <c r="AW49" i="9"/>
  <c r="AW223" i="9"/>
  <c r="AW45" i="9"/>
  <c r="AW43" i="9"/>
  <c r="AW129" i="9"/>
  <c r="AW259" i="9"/>
  <c r="AW190" i="9"/>
  <c r="AW149" i="9"/>
  <c r="AW214" i="9" s="1"/>
  <c r="AW176" i="9"/>
  <c r="AW243" i="9"/>
  <c r="E344" i="10"/>
  <c r="E375" i="10"/>
  <c r="E370" i="10"/>
  <c r="E359" i="10"/>
  <c r="D362" i="10"/>
  <c r="AW150" i="9"/>
  <c r="AW215" i="9" s="1"/>
  <c r="AW258" i="9"/>
  <c r="AW189" i="9"/>
  <c r="AW139" i="9"/>
  <c r="AW200" i="9" s="1"/>
  <c r="E383" i="10"/>
  <c r="D382" i="10"/>
  <c r="AV117" i="11"/>
  <c r="AV116" i="11"/>
  <c r="AV115" i="11"/>
  <c r="AV112" i="11"/>
  <c r="AV114" i="11"/>
  <c r="AV110" i="11"/>
  <c r="AV113" i="11"/>
  <c r="AV119" i="11"/>
  <c r="AV118" i="11"/>
  <c r="AV62" i="9"/>
  <c r="AV64" i="9" s="1"/>
  <c r="AZ65" i="9" s="1"/>
  <c r="AV53" i="9"/>
  <c r="AV25" i="9"/>
  <c r="AV39" i="9" s="1"/>
  <c r="AV259" i="9"/>
  <c r="AV129" i="9"/>
  <c r="AV190" i="9"/>
  <c r="AV149" i="9"/>
  <c r="AV214" i="9" s="1"/>
  <c r="AV269" i="9"/>
  <c r="AU114" i="11"/>
  <c r="AU117" i="11"/>
  <c r="AU113" i="11"/>
  <c r="AU115" i="11"/>
  <c r="AU116" i="11"/>
  <c r="AU110" i="11"/>
  <c r="AU118" i="11"/>
  <c r="AU111" i="11"/>
  <c r="AU112" i="11"/>
  <c r="K14" i="11"/>
  <c r="K70" i="11"/>
  <c r="K16" i="11"/>
  <c r="K13" i="11"/>
  <c r="E68" i="10" l="1"/>
  <c r="G68" i="10" s="1"/>
  <c r="G66" i="10"/>
  <c r="F66" i="10"/>
  <c r="D68" i="10"/>
  <c r="F68" i="10" s="1"/>
  <c r="D70" i="10"/>
  <c r="F70" i="10" s="1"/>
  <c r="AY223" i="9"/>
  <c r="AY158" i="9"/>
  <c r="AY21" i="9"/>
  <c r="AZ100" i="9" s="1"/>
  <c r="AY51" i="9"/>
  <c r="AY46" i="9"/>
  <c r="AY50" i="9"/>
  <c r="AY43" i="9"/>
  <c r="AY243" i="9"/>
  <c r="AY176" i="9"/>
  <c r="AY48" i="9"/>
  <c r="AY47" i="9"/>
  <c r="AZ170" i="9"/>
  <c r="AZ83" i="9"/>
  <c r="AZ237" i="9"/>
  <c r="AY99" i="9"/>
  <c r="AY58" i="9"/>
  <c r="AY45" i="9"/>
  <c r="AZ99" i="9"/>
  <c r="E162" i="10"/>
  <c r="E164" i="10" s="1"/>
  <c r="D162" i="10"/>
  <c r="D168" i="10" s="1"/>
  <c r="AY52" i="9"/>
  <c r="M101" i="9"/>
  <c r="AY150" i="9"/>
  <c r="D314" i="10"/>
  <c r="AY139" i="9"/>
  <c r="AY200" i="9" s="1"/>
  <c r="M69" i="9"/>
  <c r="M162" i="9" s="1"/>
  <c r="E314" i="10"/>
  <c r="E318" i="10" s="1"/>
  <c r="D333" i="10"/>
  <c r="D335" i="10" s="1"/>
  <c r="E332" i="10" s="1"/>
  <c r="M56" i="9"/>
  <c r="AY53" i="9"/>
  <c r="AY25" i="9"/>
  <c r="AY39" i="9" s="1"/>
  <c r="AZ104" i="9" s="1"/>
  <c r="AY100" i="9"/>
  <c r="AY62" i="9"/>
  <c r="AY64" i="9" s="1"/>
  <c r="E238" i="10"/>
  <c r="E240" i="10" s="1"/>
  <c r="M269" i="9"/>
  <c r="D238" i="10"/>
  <c r="D244" i="10" s="1"/>
  <c r="D259" i="10"/>
  <c r="K77" i="11"/>
  <c r="K76" i="11"/>
  <c r="AX69" i="9"/>
  <c r="AX74" i="9" s="1"/>
  <c r="AX167" i="9"/>
  <c r="AX234" i="9"/>
  <c r="E386" i="10"/>
  <c r="E390" i="10" s="1"/>
  <c r="AW25" i="9"/>
  <c r="AW39" i="9" s="1"/>
  <c r="AW62" i="9"/>
  <c r="AW64" i="9" s="1"/>
  <c r="AW53" i="9"/>
  <c r="AV56" i="9"/>
  <c r="AW269" i="9"/>
  <c r="AV66" i="9"/>
  <c r="AV69" i="9"/>
  <c r="AZ70" i="9" s="1"/>
  <c r="K78" i="11"/>
  <c r="K75" i="11"/>
  <c r="K74" i="11"/>
  <c r="K73" i="11"/>
  <c r="AZ101" i="9" l="1"/>
  <c r="AY142" i="9"/>
  <c r="AY207" i="9" s="1"/>
  <c r="AY116" i="9"/>
  <c r="AZ242" i="9"/>
  <c r="AZ90" i="9"/>
  <c r="AZ92" i="9" s="1"/>
  <c r="AZ175" i="9"/>
  <c r="AZ116" i="9"/>
  <c r="AZ142" i="9"/>
  <c r="AZ207" i="9" s="1"/>
  <c r="E166" i="10"/>
  <c r="D260" i="10"/>
  <c r="E256" i="10"/>
  <c r="E255" i="10"/>
  <c r="E254" i="10"/>
  <c r="E253" i="10"/>
  <c r="E257" i="10"/>
  <c r="D164" i="10"/>
  <c r="D166" i="10"/>
  <c r="M68" i="9"/>
  <c r="E316" i="10"/>
  <c r="M74" i="9"/>
  <c r="M229" i="9"/>
  <c r="M231" i="9" s="1"/>
  <c r="M71" i="9"/>
  <c r="E333" i="10"/>
  <c r="E329" i="10"/>
  <c r="D336" i="10"/>
  <c r="M102" i="9"/>
  <c r="M134" i="9" s="1"/>
  <c r="E331" i="10"/>
  <c r="D242" i="10"/>
  <c r="E330" i="10"/>
  <c r="E242" i="10"/>
  <c r="AY66" i="9"/>
  <c r="AY69" i="9"/>
  <c r="AY101" i="9"/>
  <c r="AY104" i="9"/>
  <c r="AY56" i="9"/>
  <c r="M164" i="9"/>
  <c r="D240" i="10"/>
  <c r="AX68" i="9"/>
  <c r="AX229" i="9"/>
  <c r="AX231" i="9" s="1"/>
  <c r="AX162" i="9"/>
  <c r="AX164" i="9" s="1"/>
  <c r="AX71" i="9"/>
  <c r="AX233" i="9"/>
  <c r="AX166" i="9"/>
  <c r="AX78" i="9"/>
  <c r="AW56" i="9"/>
  <c r="E388" i="10"/>
  <c r="D316" i="10"/>
  <c r="D318" i="10"/>
  <c r="AW69" i="9"/>
  <c r="AW66" i="9"/>
  <c r="AV162" i="9"/>
  <c r="AV229" i="9"/>
  <c r="AZ230" i="9" s="1"/>
  <c r="AV74" i="9"/>
  <c r="AV68" i="9"/>
  <c r="AV71" i="9"/>
  <c r="J412" i="10"/>
  <c r="AU128" i="9"/>
  <c r="AU123" i="9"/>
  <c r="AU187" i="9" s="1"/>
  <c r="AU120" i="9"/>
  <c r="AU119" i="9"/>
  <c r="AU113" i="9"/>
  <c r="AU111" i="9"/>
  <c r="AU110" i="9"/>
  <c r="AU38" i="9"/>
  <c r="AU37" i="9"/>
  <c r="AU36" i="9"/>
  <c r="AU35" i="9"/>
  <c r="AU34" i="9"/>
  <c r="AU33" i="9"/>
  <c r="AU31" i="9"/>
  <c r="AU30" i="9"/>
  <c r="AU29" i="9"/>
  <c r="AU28" i="9"/>
  <c r="AU27" i="9"/>
  <c r="AU26" i="9"/>
  <c r="AU24" i="9"/>
  <c r="AU23" i="9"/>
  <c r="AU22" i="9"/>
  <c r="AU20" i="9"/>
  <c r="AU19" i="9"/>
  <c r="AU18" i="9"/>
  <c r="AU17" i="9"/>
  <c r="AU16" i="9"/>
  <c r="AU13" i="9"/>
  <c r="AU12" i="9"/>
  <c r="AU11" i="9"/>
  <c r="AU10" i="9"/>
  <c r="AU8" i="9"/>
  <c r="AU7" i="9"/>
  <c r="M233" i="9" l="1"/>
  <c r="M261" i="9" s="1"/>
  <c r="M78" i="9"/>
  <c r="M166" i="9"/>
  <c r="AZ102" i="9"/>
  <c r="AZ182" i="9"/>
  <c r="AZ93" i="9"/>
  <c r="AZ249" i="9"/>
  <c r="AZ143" i="9"/>
  <c r="AZ137" i="9"/>
  <c r="AZ198" i="9" s="1"/>
  <c r="AZ136" i="9"/>
  <c r="AZ197" i="9" s="1"/>
  <c r="AZ134" i="9"/>
  <c r="AZ133" i="9"/>
  <c r="AV164" i="9"/>
  <c r="AZ163" i="9"/>
  <c r="E259" i="10"/>
  <c r="M133" i="9"/>
  <c r="M152" i="9" s="1"/>
  <c r="M143" i="9"/>
  <c r="M136" i="9"/>
  <c r="M197" i="9" s="1"/>
  <c r="M137" i="9"/>
  <c r="M198" i="9" s="1"/>
  <c r="AY229" i="9"/>
  <c r="AY162" i="9"/>
  <c r="AY68" i="9"/>
  <c r="AY102" i="9"/>
  <c r="D167" i="10" s="1"/>
  <c r="AY74" i="9"/>
  <c r="AY71" i="9"/>
  <c r="AV231" i="9"/>
  <c r="M267" i="9"/>
  <c r="M266" i="9"/>
  <c r="M264" i="9"/>
  <c r="M263" i="9"/>
  <c r="M194" i="9"/>
  <c r="M237" i="9"/>
  <c r="M170" i="9"/>
  <c r="M83" i="9"/>
  <c r="M192" i="9"/>
  <c r="M208" i="9"/>
  <c r="M144" i="9"/>
  <c r="M195" i="9"/>
  <c r="M151" i="9"/>
  <c r="AX170" i="9"/>
  <c r="AX237" i="9"/>
  <c r="AX83" i="9"/>
  <c r="AX54" i="9"/>
  <c r="AW54" i="9"/>
  <c r="AX55" i="9"/>
  <c r="N55" i="9"/>
  <c r="AW55" i="9"/>
  <c r="AW229" i="9"/>
  <c r="AW71" i="9"/>
  <c r="AW162" i="9"/>
  <c r="AW164" i="9" s="1"/>
  <c r="AW74" i="9"/>
  <c r="AW68" i="9"/>
  <c r="AV78" i="9"/>
  <c r="AV166" i="9"/>
  <c r="AV233" i="9"/>
  <c r="D462" i="10"/>
  <c r="E453" i="10"/>
  <c r="E452" i="10"/>
  <c r="E422" i="10"/>
  <c r="AU121" i="9"/>
  <c r="AU126" i="9" s="1"/>
  <c r="AV55" i="9"/>
  <c r="AU148" i="9"/>
  <c r="D460" i="10"/>
  <c r="AV54" i="9"/>
  <c r="AU55" i="9"/>
  <c r="L202" i="9"/>
  <c r="L236" i="9" s="1"/>
  <c r="L203" i="9"/>
  <c r="K114" i="9"/>
  <c r="K115" i="9" s="1"/>
  <c r="L114" i="9"/>
  <c r="L115" i="9" s="1"/>
  <c r="K84" i="9"/>
  <c r="K89" i="9"/>
  <c r="L88" i="9"/>
  <c r="L84" i="9"/>
  <c r="L79" i="9"/>
  <c r="L75" i="9"/>
  <c r="AT9" i="9"/>
  <c r="AQ9" i="9"/>
  <c r="AS14" i="9"/>
  <c r="AW15" i="9" s="1"/>
  <c r="AR14" i="9"/>
  <c r="AV15" i="9" s="1"/>
  <c r="AO14" i="9"/>
  <c r="AN14" i="9"/>
  <c r="AK14" i="9"/>
  <c r="AB14" i="9"/>
  <c r="Z14" i="9"/>
  <c r="Y14" i="9"/>
  <c r="X14" i="9"/>
  <c r="V14" i="9"/>
  <c r="U14" i="9"/>
  <c r="T14" i="9"/>
  <c r="R14" i="9"/>
  <c r="Q14" i="9"/>
  <c r="P14" i="9"/>
  <c r="G14" i="9"/>
  <c r="F14" i="9"/>
  <c r="E14" i="9"/>
  <c r="D14" i="9"/>
  <c r="C14" i="9"/>
  <c r="L9" i="9"/>
  <c r="L206" i="9"/>
  <c r="L187" i="9"/>
  <c r="L183" i="9"/>
  <c r="L179" i="9"/>
  <c r="L178" i="9"/>
  <c r="L177" i="9"/>
  <c r="L174" i="9"/>
  <c r="L173" i="9"/>
  <c r="L169" i="9"/>
  <c r="L168" i="9"/>
  <c r="L148" i="9"/>
  <c r="L121" i="9"/>
  <c r="L126" i="9" s="1"/>
  <c r="L108" i="9"/>
  <c r="L131" i="9" s="1"/>
  <c r="L220" i="9" s="1"/>
  <c r="L141" i="9" s="1"/>
  <c r="L103" i="9"/>
  <c r="L145" i="9" s="1"/>
  <c r="L181" i="9"/>
  <c r="L172" i="9"/>
  <c r="L61" i="9"/>
  <c r="L73" i="9" s="1"/>
  <c r="L98" i="9" s="1"/>
  <c r="L155" i="9" s="1"/>
  <c r="L55" i="9"/>
  <c r="D553" i="10"/>
  <c r="D540" i="10"/>
  <c r="D538" i="10"/>
  <c r="D547" i="10" s="1"/>
  <c r="D534" i="10"/>
  <c r="J487" i="10"/>
  <c r="E531" i="10" s="1"/>
  <c r="J486" i="10"/>
  <c r="AT105" i="11"/>
  <c r="AT104" i="11"/>
  <c r="AT103" i="11"/>
  <c r="AT101" i="11"/>
  <c r="AT100" i="11"/>
  <c r="AT98" i="11"/>
  <c r="AT97" i="11"/>
  <c r="AT96" i="11"/>
  <c r="AT114" i="9"/>
  <c r="AT115" i="9" s="1"/>
  <c r="AT70" i="11"/>
  <c r="AT187" i="9"/>
  <c r="AT254" i="9" s="1"/>
  <c r="AT148" i="9"/>
  <c r="AT213" i="9" s="1"/>
  <c r="AT121" i="9"/>
  <c r="AT125" i="9" s="1"/>
  <c r="AT91" i="9"/>
  <c r="AT85" i="9"/>
  <c r="AT82" i="9"/>
  <c r="AT81" i="9"/>
  <c r="AZ251" i="9" l="1"/>
  <c r="AZ184" i="9"/>
  <c r="AZ185" i="9"/>
  <c r="AZ252" i="9"/>
  <c r="AZ144" i="9"/>
  <c r="AZ192" i="9"/>
  <c r="AZ208" i="9"/>
  <c r="AZ195" i="9"/>
  <c r="AZ151" i="9"/>
  <c r="AZ194" i="9"/>
  <c r="AZ152" i="9"/>
  <c r="F162" i="10"/>
  <c r="F166" i="10"/>
  <c r="F164" i="10"/>
  <c r="E167" i="10"/>
  <c r="AW231" i="9"/>
  <c r="AZ261" i="9"/>
  <c r="L238" i="9"/>
  <c r="AY233" i="9"/>
  <c r="AY166" i="9"/>
  <c r="AY137" i="9"/>
  <c r="AY198" i="9" s="1"/>
  <c r="AY136" i="9"/>
  <c r="AY197" i="9" s="1"/>
  <c r="AY143" i="9"/>
  <c r="AY134" i="9"/>
  <c r="AY133" i="9"/>
  <c r="AY164" i="9"/>
  <c r="AY261" i="9"/>
  <c r="AY231" i="9"/>
  <c r="M209" i="9"/>
  <c r="M216" i="9"/>
  <c r="M217" i="9"/>
  <c r="M242" i="9"/>
  <c r="M90" i="9"/>
  <c r="M92" i="9" s="1"/>
  <c r="M106" i="9"/>
  <c r="M147" i="9" s="1"/>
  <c r="M212" i="9" s="1"/>
  <c r="M175" i="9"/>
  <c r="AT78" i="11"/>
  <c r="AT76" i="11"/>
  <c r="AT77" i="11"/>
  <c r="AU9" i="9"/>
  <c r="AX175" i="9"/>
  <c r="AX90" i="9"/>
  <c r="AX242" i="9"/>
  <c r="L210" i="9"/>
  <c r="AW78" i="9"/>
  <c r="AW233" i="9"/>
  <c r="AW166" i="9"/>
  <c r="AU54" i="9"/>
  <c r="L243" i="9"/>
  <c r="L240" i="9"/>
  <c r="AV237" i="9"/>
  <c r="AV83" i="9"/>
  <c r="AV170" i="9"/>
  <c r="D469" i="10"/>
  <c r="AU125" i="9"/>
  <c r="AU189" i="9" s="1"/>
  <c r="L241" i="9"/>
  <c r="L244" i="9"/>
  <c r="L245" i="9"/>
  <c r="AT14" i="9"/>
  <c r="AT50" i="9" s="1"/>
  <c r="AU203" i="9"/>
  <c r="L256" i="9"/>
  <c r="L246" i="9"/>
  <c r="E546" i="10"/>
  <c r="L213" i="9"/>
  <c r="L176" i="9"/>
  <c r="AT173" i="9"/>
  <c r="AU81" i="9"/>
  <c r="L254" i="9"/>
  <c r="L180" i="9"/>
  <c r="L234" i="9"/>
  <c r="AT244" i="9"/>
  <c r="AU85" i="9"/>
  <c r="L235" i="9"/>
  <c r="L250" i="9"/>
  <c r="AT241" i="9"/>
  <c r="AU82" i="9"/>
  <c r="AT183" i="9"/>
  <c r="AU91" i="9"/>
  <c r="L14" i="9"/>
  <c r="M15" i="9" s="1"/>
  <c r="AU114" i="9"/>
  <c r="AU115" i="9" s="1"/>
  <c r="AU129" i="9"/>
  <c r="AU190" i="9"/>
  <c r="AU149" i="9"/>
  <c r="D532" i="10"/>
  <c r="D511" i="10"/>
  <c r="L54" i="9"/>
  <c r="L167" i="9"/>
  <c r="D513" i="10"/>
  <c r="E524" i="10"/>
  <c r="D514" i="10"/>
  <c r="AT177" i="9"/>
  <c r="E547" i="10"/>
  <c r="D512" i="10"/>
  <c r="L129" i="9"/>
  <c r="L190" i="9"/>
  <c r="L149" i="9"/>
  <c r="L214" i="9" s="1"/>
  <c r="L259" i="9"/>
  <c r="L125" i="9"/>
  <c r="L171" i="9"/>
  <c r="L239" i="9"/>
  <c r="L247" i="9"/>
  <c r="L105" i="9"/>
  <c r="L146" i="9" s="1"/>
  <c r="L211" i="9" s="1"/>
  <c r="L248" i="9"/>
  <c r="AT174" i="9"/>
  <c r="D533" i="10"/>
  <c r="D510" i="10"/>
  <c r="AT250" i="9"/>
  <c r="AT106" i="11"/>
  <c r="AT119" i="11" s="1"/>
  <c r="AT73" i="11"/>
  <c r="AT126" i="9"/>
  <c r="AT129" i="9" s="1"/>
  <c r="AT74" i="11"/>
  <c r="AT75" i="11"/>
  <c r="AT150" i="9"/>
  <c r="AT215" i="9" s="1"/>
  <c r="AT189" i="9"/>
  <c r="AT139" i="9"/>
  <c r="AT258" i="9"/>
  <c r="AT269" i="9" s="1"/>
  <c r="AT240" i="9"/>
  <c r="E507" i="10"/>
  <c r="E534" i="10"/>
  <c r="E495" i="10"/>
  <c r="E540" i="10"/>
  <c r="D548" i="10"/>
  <c r="E517" i="10"/>
  <c r="E525" i="10"/>
  <c r="E538" i="10"/>
  <c r="E496" i="10"/>
  <c r="E508" i="10"/>
  <c r="E518" i="10"/>
  <c r="E526" i="10"/>
  <c r="E527" i="10"/>
  <c r="E528" i="10"/>
  <c r="E509" i="10"/>
  <c r="E535" i="10"/>
  <c r="E503" i="10"/>
  <c r="E521" i="10"/>
  <c r="E529" i="10"/>
  <c r="E519" i="10"/>
  <c r="E502" i="10"/>
  <c r="E492" i="10"/>
  <c r="E522" i="10"/>
  <c r="E530" i="10"/>
  <c r="E520" i="10"/>
  <c r="E504" i="10"/>
  <c r="E493" i="10"/>
  <c r="E505" i="10"/>
  <c r="E523" i="10"/>
  <c r="E501" i="10"/>
  <c r="E494" i="10"/>
  <c r="E506" i="10"/>
  <c r="D611" i="10"/>
  <c r="D617" i="10"/>
  <c r="D615" i="10"/>
  <c r="D630" i="10"/>
  <c r="J565" i="10"/>
  <c r="J564" i="10"/>
  <c r="M70" i="11"/>
  <c r="M16" i="11"/>
  <c r="AS70" i="11"/>
  <c r="N148" i="9"/>
  <c r="AZ217" i="9" l="1"/>
  <c r="AZ216" i="9"/>
  <c r="AZ209" i="9"/>
  <c r="G166" i="10"/>
  <c r="G162" i="10"/>
  <c r="G164" i="10"/>
  <c r="AZ263" i="9"/>
  <c r="AZ264" i="9"/>
  <c r="AZ266" i="9"/>
  <c r="AZ267" i="9"/>
  <c r="L106" i="11"/>
  <c r="AT49" i="9"/>
  <c r="AT48" i="9"/>
  <c r="AY152" i="9"/>
  <c r="AY194" i="9"/>
  <c r="AY195" i="9"/>
  <c r="AY151" i="9"/>
  <c r="AY144" i="9"/>
  <c r="AY192" i="9"/>
  <c r="AY208" i="9"/>
  <c r="AY209" i="9" s="1"/>
  <c r="AY267" i="9"/>
  <c r="AY266" i="9"/>
  <c r="M249" i="9"/>
  <c r="M182" i="9"/>
  <c r="AU14" i="9"/>
  <c r="AY15" i="9" s="1"/>
  <c r="AT45" i="9"/>
  <c r="AS77" i="11"/>
  <c r="AS76" i="11"/>
  <c r="M76" i="11"/>
  <c r="M77" i="11"/>
  <c r="AX249" i="9"/>
  <c r="AX182" i="9"/>
  <c r="AU150" i="9"/>
  <c r="AU215" i="9" s="1"/>
  <c r="AU139" i="9"/>
  <c r="AU200" i="9" s="1"/>
  <c r="AU258" i="9"/>
  <c r="AT223" i="9"/>
  <c r="AX224" i="9" s="1"/>
  <c r="AX15" i="9"/>
  <c r="AW237" i="9"/>
  <c r="AW83" i="9"/>
  <c r="AW170" i="9"/>
  <c r="AS106" i="11"/>
  <c r="AS111" i="11" s="1"/>
  <c r="AU214" i="9"/>
  <c r="AT51" i="9"/>
  <c r="AT21" i="9"/>
  <c r="AT52" i="9"/>
  <c r="AT47" i="9"/>
  <c r="AU213" i="9"/>
  <c r="AT44" i="9"/>
  <c r="AT158" i="9"/>
  <c r="AX159" i="9" s="1"/>
  <c r="AU259" i="9"/>
  <c r="AT43" i="9"/>
  <c r="AT46" i="9"/>
  <c r="AV175" i="9"/>
  <c r="AV90" i="9"/>
  <c r="AV92" i="9" s="1"/>
  <c r="AV242" i="9"/>
  <c r="AU254" i="9"/>
  <c r="J411" i="10"/>
  <c r="E324" i="10" s="1"/>
  <c r="AU256" i="9"/>
  <c r="N256" i="9"/>
  <c r="D470" i="10"/>
  <c r="AS75" i="11"/>
  <c r="AU240" i="9"/>
  <c r="AU173" i="9"/>
  <c r="AU244" i="9"/>
  <c r="AU177" i="9"/>
  <c r="AU183" i="9"/>
  <c r="AU250" i="9"/>
  <c r="AU241" i="9"/>
  <c r="AU174" i="9"/>
  <c r="AT149" i="9"/>
  <c r="AT214" i="9" s="1"/>
  <c r="AT259" i="9"/>
  <c r="AT190" i="9"/>
  <c r="L150" i="9"/>
  <c r="L215" i="9" s="1"/>
  <c r="L189" i="9"/>
  <c r="L139" i="9"/>
  <c r="L258" i="9"/>
  <c r="L269" i="9" s="1"/>
  <c r="L52" i="9"/>
  <c r="L43" i="9"/>
  <c r="L50" i="9"/>
  <c r="L99" i="9"/>
  <c r="L49" i="9"/>
  <c r="L45" i="9"/>
  <c r="L48" i="9"/>
  <c r="L21" i="9"/>
  <c r="L158" i="9"/>
  <c r="M159" i="9" s="1"/>
  <c r="L223" i="9"/>
  <c r="M224" i="9" s="1"/>
  <c r="L44" i="9"/>
  <c r="L51" i="9"/>
  <c r="L47" i="9"/>
  <c r="L58" i="9"/>
  <c r="L46" i="9"/>
  <c r="AT117" i="11"/>
  <c r="AT112" i="11"/>
  <c r="AT118" i="11"/>
  <c r="AT110" i="11"/>
  <c r="AT115" i="11"/>
  <c r="AT114" i="11"/>
  <c r="AT111" i="11"/>
  <c r="AT113" i="11"/>
  <c r="AT116" i="11"/>
  <c r="AT200" i="9"/>
  <c r="E615" i="10"/>
  <c r="N121" i="9"/>
  <c r="N126" i="9" s="1"/>
  <c r="N259" i="9" s="1"/>
  <c r="N213" i="9"/>
  <c r="E574" i="10"/>
  <c r="D589" i="10"/>
  <c r="E604" i="10"/>
  <c r="D590" i="10"/>
  <c r="E612" i="10"/>
  <c r="D591" i="10"/>
  <c r="E601" i="10"/>
  <c r="D554" i="10"/>
  <c r="D592" i="10"/>
  <c r="D609" i="10"/>
  <c r="E537" i="10"/>
  <c r="E571" i="10"/>
  <c r="D610" i="10"/>
  <c r="E579" i="10"/>
  <c r="D588" i="10"/>
  <c r="E617" i="10"/>
  <c r="E583" i="10"/>
  <c r="E586" i="10"/>
  <c r="E587" i="10"/>
  <c r="E597" i="10"/>
  <c r="E605" i="10"/>
  <c r="E608" i="10"/>
  <c r="E596" i="10"/>
  <c r="D624" i="10"/>
  <c r="E624" i="10" s="1"/>
  <c r="E572" i="10"/>
  <c r="E584" i="10"/>
  <c r="E602" i="10"/>
  <c r="E573" i="10"/>
  <c r="E585" i="10"/>
  <c r="E595" i="10"/>
  <c r="E603" i="10"/>
  <c r="E611" i="10"/>
  <c r="E580" i="10"/>
  <c r="E598" i="10"/>
  <c r="E607" i="10"/>
  <c r="E606" i="10"/>
  <c r="E581" i="10"/>
  <c r="E599" i="10"/>
  <c r="E570" i="10"/>
  <c r="E582" i="10"/>
  <c r="E600" i="10"/>
  <c r="M14" i="11"/>
  <c r="M75" i="11"/>
  <c r="M74" i="11"/>
  <c r="M78" i="11"/>
  <c r="M73" i="11"/>
  <c r="M13" i="11"/>
  <c r="AS78" i="11"/>
  <c r="AS73" i="11"/>
  <c r="AS74" i="11"/>
  <c r="N187" i="9"/>
  <c r="N254" i="9" s="1"/>
  <c r="AS114" i="9"/>
  <c r="AS115" i="9" s="1"/>
  <c r="AS86" i="9"/>
  <c r="AS80" i="9"/>
  <c r="AS79" i="9"/>
  <c r="AS77" i="9"/>
  <c r="AS76" i="9"/>
  <c r="AS250" i="9"/>
  <c r="AS244" i="9"/>
  <c r="AS241" i="9"/>
  <c r="AS240" i="9"/>
  <c r="AS187" i="9"/>
  <c r="AS254" i="9" s="1"/>
  <c r="AS183" i="9"/>
  <c r="AS177" i="9"/>
  <c r="AS174" i="9"/>
  <c r="AS173" i="9"/>
  <c r="AS148" i="9"/>
  <c r="AS213" i="9" s="1"/>
  <c r="AS121" i="9"/>
  <c r="AS87" i="9"/>
  <c r="J641" i="10"/>
  <c r="E548" i="10" s="1"/>
  <c r="D694" i="10"/>
  <c r="D692" i="10"/>
  <c r="L119" i="11" l="1"/>
  <c r="L113" i="11"/>
  <c r="L112" i="11"/>
  <c r="L116" i="11"/>
  <c r="L114" i="11"/>
  <c r="L117" i="11"/>
  <c r="L118" i="11"/>
  <c r="L110" i="11"/>
  <c r="L111" i="11"/>
  <c r="L115" i="11"/>
  <c r="AU52" i="9"/>
  <c r="AV99" i="9"/>
  <c r="AV116" i="9" s="1"/>
  <c r="AW99" i="9"/>
  <c r="AW142" i="9" s="1"/>
  <c r="AW207" i="9" s="1"/>
  <c r="AX99" i="9"/>
  <c r="AU47" i="9"/>
  <c r="AU21" i="9"/>
  <c r="AU49" i="9"/>
  <c r="AU223" i="9"/>
  <c r="AY224" i="9" s="1"/>
  <c r="AU44" i="9"/>
  <c r="AU45" i="9"/>
  <c r="AU46" i="9"/>
  <c r="AU50" i="9"/>
  <c r="AU158" i="9"/>
  <c r="AY159" i="9" s="1"/>
  <c r="AU51" i="9"/>
  <c r="AU48" i="9"/>
  <c r="AU43" i="9"/>
  <c r="AU99" i="9"/>
  <c r="AU142" i="9" s="1"/>
  <c r="M184" i="9"/>
  <c r="M251" i="9"/>
  <c r="M93" i="9"/>
  <c r="AS114" i="11"/>
  <c r="AS115" i="11"/>
  <c r="AS113" i="11"/>
  <c r="AU269" i="9"/>
  <c r="AT25" i="9"/>
  <c r="AT39" i="9" s="1"/>
  <c r="AT56" i="9" s="1"/>
  <c r="AS116" i="11"/>
  <c r="AT62" i="9"/>
  <c r="AT64" i="9" s="1"/>
  <c r="AT69" i="9" s="1"/>
  <c r="AS119" i="11"/>
  <c r="AS112" i="11"/>
  <c r="AS117" i="11"/>
  <c r="AS110" i="11"/>
  <c r="AS118" i="11"/>
  <c r="AW242" i="9"/>
  <c r="AW175" i="9"/>
  <c r="AW90" i="9"/>
  <c r="AT53" i="9"/>
  <c r="E395" i="10"/>
  <c r="AV182" i="9"/>
  <c r="AV249" i="9"/>
  <c r="E443" i="10"/>
  <c r="E468" i="10"/>
  <c r="D437" i="10"/>
  <c r="E432" i="10"/>
  <c r="E428" i="10"/>
  <c r="E445" i="10"/>
  <c r="E446" i="10"/>
  <c r="D454" i="10"/>
  <c r="D477" i="10" s="1"/>
  <c r="E447" i="10"/>
  <c r="E429" i="10"/>
  <c r="E420" i="10"/>
  <c r="D436" i="10"/>
  <c r="E419" i="10"/>
  <c r="E450" i="10"/>
  <c r="D438" i="10"/>
  <c r="D476" i="10" s="1"/>
  <c r="E421" i="10"/>
  <c r="E433" i="10"/>
  <c r="E417" i="10"/>
  <c r="E448" i="10"/>
  <c r="E456" i="10"/>
  <c r="D455" i="10"/>
  <c r="D475" i="10" s="1"/>
  <c r="E449" i="10"/>
  <c r="E442" i="10"/>
  <c r="E451" i="10"/>
  <c r="E431" i="10"/>
  <c r="D434" i="10"/>
  <c r="E427" i="10"/>
  <c r="E441" i="10"/>
  <c r="D435" i="10"/>
  <c r="E418" i="10"/>
  <c r="E457" i="10"/>
  <c r="E426" i="10"/>
  <c r="E444" i="10"/>
  <c r="E430" i="10"/>
  <c r="E460" i="10"/>
  <c r="E462" i="10"/>
  <c r="E469" i="10"/>
  <c r="AT86" i="9"/>
  <c r="AT76" i="9"/>
  <c r="AT77" i="9"/>
  <c r="AV142" i="9"/>
  <c r="AV207" i="9" s="1"/>
  <c r="AT79" i="9"/>
  <c r="AT238" i="9" s="1"/>
  <c r="AT80" i="9"/>
  <c r="L53" i="9"/>
  <c r="L100" i="9"/>
  <c r="L25" i="9"/>
  <c r="L39" i="9" s="1"/>
  <c r="L62" i="9"/>
  <c r="L64" i="9" s="1"/>
  <c r="M65" i="9" s="1"/>
  <c r="L142" i="9"/>
  <c r="L207" i="9" s="1"/>
  <c r="L116" i="9"/>
  <c r="L200" i="9"/>
  <c r="N149" i="9"/>
  <c r="N214" i="9" s="1"/>
  <c r="N125" i="9"/>
  <c r="N150" i="9" s="1"/>
  <c r="N215" i="9" s="1"/>
  <c r="N190" i="9"/>
  <c r="AS169" i="9"/>
  <c r="N129" i="9"/>
  <c r="AS168" i="9"/>
  <c r="AS158" i="9"/>
  <c r="AW159" i="9" s="1"/>
  <c r="AS178" i="9"/>
  <c r="AS179" i="9"/>
  <c r="AT87" i="9"/>
  <c r="AS172" i="9"/>
  <c r="E539" i="10"/>
  <c r="E541" i="10"/>
  <c r="D537" i="10"/>
  <c r="D543" i="10" s="1"/>
  <c r="D555" i="10"/>
  <c r="D556" i="10"/>
  <c r="E614" i="10"/>
  <c r="D625" i="10"/>
  <c r="E681" i="10"/>
  <c r="E623" i="10"/>
  <c r="E625" i="10" s="1"/>
  <c r="D631" i="10"/>
  <c r="AS246" i="9"/>
  <c r="AS245" i="9"/>
  <c r="AS50" i="9"/>
  <c r="AS21" i="9"/>
  <c r="AS51" i="9"/>
  <c r="AS58" i="9"/>
  <c r="AS45" i="9"/>
  <c r="AS47" i="9"/>
  <c r="AS43" i="9"/>
  <c r="AS48" i="9"/>
  <c r="AS49" i="9"/>
  <c r="AS44" i="9"/>
  <c r="AS52" i="9"/>
  <c r="AS125" i="9"/>
  <c r="AS171" i="9"/>
  <c r="AS239" i="9"/>
  <c r="AS238" i="9"/>
  <c r="AS126" i="9"/>
  <c r="AS46" i="9"/>
  <c r="AS235" i="9"/>
  <c r="AS223" i="9"/>
  <c r="AW224" i="9" s="1"/>
  <c r="AS236" i="9"/>
  <c r="E682" i="10"/>
  <c r="D707" i="10"/>
  <c r="D701" i="10"/>
  <c r="J718" i="10"/>
  <c r="J719" i="10"/>
  <c r="AR105" i="11"/>
  <c r="AR104" i="11"/>
  <c r="AR103" i="11"/>
  <c r="AR101" i="11"/>
  <c r="AR100" i="11"/>
  <c r="AR98" i="11"/>
  <c r="AR97" i="11"/>
  <c r="AR96" i="11"/>
  <c r="AR70" i="11"/>
  <c r="AW116" i="9" l="1"/>
  <c r="AT66" i="9"/>
  <c r="AV100" i="9"/>
  <c r="AX100" i="9"/>
  <c r="AU62" i="9"/>
  <c r="AU64" i="9" s="1"/>
  <c r="AY65" i="9" s="1"/>
  <c r="AU53" i="9"/>
  <c r="AU25" i="9"/>
  <c r="AU39" i="9" s="1"/>
  <c r="M252" i="9"/>
  <c r="M185" i="9"/>
  <c r="AT171" i="9"/>
  <c r="AU116" i="9"/>
  <c r="AX116" i="9"/>
  <c r="AX142" i="9"/>
  <c r="AX207" i="9" s="1"/>
  <c r="AW100" i="9"/>
  <c r="AR73" i="11"/>
  <c r="AR76" i="11"/>
  <c r="AR77" i="11"/>
  <c r="AU77" i="9"/>
  <c r="AU169" i="9" s="1"/>
  <c r="AU87" i="9"/>
  <c r="AU76" i="9"/>
  <c r="AU103" i="9" s="1"/>
  <c r="AU145" i="9" s="1"/>
  <c r="AU210" i="9" s="1"/>
  <c r="AU86" i="9"/>
  <c r="AU80" i="9"/>
  <c r="AU79" i="9"/>
  <c r="AW105" i="9" s="1"/>
  <c r="AW146" i="9" s="1"/>
  <c r="AW211" i="9" s="1"/>
  <c r="AX65" i="9"/>
  <c r="AX70" i="9"/>
  <c r="AW92" i="9"/>
  <c r="AT58" i="9"/>
  <c r="AW249" i="9"/>
  <c r="AW182" i="9"/>
  <c r="AW103" i="9"/>
  <c r="AW145" i="9" s="1"/>
  <c r="AW210" i="9" s="1"/>
  <c r="E397" i="10"/>
  <c r="D408" i="10"/>
  <c r="D386" i="10"/>
  <c r="D392" i="10" s="1"/>
  <c r="K96" i="11"/>
  <c r="K98" i="11"/>
  <c r="K97" i="11"/>
  <c r="K103" i="11"/>
  <c r="K104" i="11"/>
  <c r="K100" i="11"/>
  <c r="K101" i="11"/>
  <c r="K105" i="11"/>
  <c r="AV251" i="9"/>
  <c r="AV184" i="9"/>
  <c r="AV93" i="9"/>
  <c r="D479" i="10"/>
  <c r="D481" i="10" s="1"/>
  <c r="E475" i="10" s="1"/>
  <c r="D459" i="10"/>
  <c r="E459" i="10"/>
  <c r="E470" i="10"/>
  <c r="AR106" i="11"/>
  <c r="AR119" i="11" s="1"/>
  <c r="AU207" i="9"/>
  <c r="N189" i="9"/>
  <c r="L66" i="9"/>
  <c r="L101" i="9"/>
  <c r="L69" i="9"/>
  <c r="M70" i="9" s="1"/>
  <c r="L104" i="9"/>
  <c r="L56" i="9"/>
  <c r="N139" i="9"/>
  <c r="N200" i="9" s="1"/>
  <c r="N258" i="9"/>
  <c r="N269" i="9" s="1"/>
  <c r="AT74" i="9"/>
  <c r="AT71" i="9"/>
  <c r="AT162" i="9"/>
  <c r="AX163" i="9" s="1"/>
  <c r="AT229" i="9"/>
  <c r="AT68" i="9"/>
  <c r="AT168" i="9"/>
  <c r="AT235" i="9"/>
  <c r="AS25" i="9"/>
  <c r="AS39" i="9" s="1"/>
  <c r="AT172" i="9"/>
  <c r="AT239" i="9"/>
  <c r="AT245" i="9"/>
  <c r="AT178" i="9"/>
  <c r="AT236" i="9"/>
  <c r="AT169" i="9"/>
  <c r="AT179" i="9"/>
  <c r="AT246" i="9"/>
  <c r="D541" i="10"/>
  <c r="D539" i="10"/>
  <c r="D557" i="10"/>
  <c r="D614" i="10"/>
  <c r="D620" i="10" s="1"/>
  <c r="D633" i="10"/>
  <c r="D632" i="10"/>
  <c r="E618" i="10"/>
  <c r="E616" i="10"/>
  <c r="AS53" i="9"/>
  <c r="AS62" i="9"/>
  <c r="AS64" i="9" s="1"/>
  <c r="J642" i="10"/>
  <c r="AS150" i="9"/>
  <c r="AS215" i="9" s="1"/>
  <c r="AS258" i="9"/>
  <c r="AS269" i="9" s="1"/>
  <c r="AS189" i="9"/>
  <c r="AS139" i="9"/>
  <c r="AS129" i="9"/>
  <c r="AS190" i="9"/>
  <c r="AS149" i="9"/>
  <c r="AS214" i="9" s="1"/>
  <c r="AS259" i="9"/>
  <c r="D742" i="10"/>
  <c r="D743" i="10"/>
  <c r="D744" i="10"/>
  <c r="D745" i="10"/>
  <c r="D746" i="10"/>
  <c r="E672" i="10"/>
  <c r="D687" i="10"/>
  <c r="D686" i="10"/>
  <c r="E757" i="10"/>
  <c r="E760" i="10"/>
  <c r="E647" i="10"/>
  <c r="E648" i="10"/>
  <c r="E656" i="10"/>
  <c r="E700" i="10"/>
  <c r="E701" i="10"/>
  <c r="E664" i="10"/>
  <c r="E692" i="10"/>
  <c r="D665" i="10"/>
  <c r="D666" i="10"/>
  <c r="D667" i="10"/>
  <c r="D669" i="10"/>
  <c r="D668" i="10"/>
  <c r="E683" i="10"/>
  <c r="E673" i="10"/>
  <c r="E649" i="10"/>
  <c r="E675" i="10"/>
  <c r="E657" i="10"/>
  <c r="E684" i="10"/>
  <c r="E658" i="10"/>
  <c r="E685" i="10"/>
  <c r="E660" i="10"/>
  <c r="E689" i="10"/>
  <c r="E659" i="10"/>
  <c r="E674" i="10"/>
  <c r="E688" i="10"/>
  <c r="E650" i="10"/>
  <c r="E661" i="10"/>
  <c r="E676" i="10"/>
  <c r="E662" i="10"/>
  <c r="E677" i="10"/>
  <c r="E694" i="10"/>
  <c r="E651" i="10"/>
  <c r="E663" i="10"/>
  <c r="E678" i="10"/>
  <c r="D702" i="10"/>
  <c r="AR74" i="11"/>
  <c r="AR75" i="11"/>
  <c r="AR78" i="11"/>
  <c r="AR114" i="9"/>
  <c r="AR115" i="9" s="1"/>
  <c r="AR121" i="9"/>
  <c r="AR126" i="9" s="1"/>
  <c r="AR129" i="9" s="1"/>
  <c r="AR89" i="9"/>
  <c r="AR88" i="9"/>
  <c r="AR84" i="9"/>
  <c r="AR75" i="9"/>
  <c r="AR250" i="9"/>
  <c r="AR246" i="9"/>
  <c r="AR245" i="9"/>
  <c r="AR244" i="9"/>
  <c r="AR241" i="9"/>
  <c r="AR240" i="9"/>
  <c r="AR239" i="9"/>
  <c r="AR238" i="9"/>
  <c r="AR236" i="9"/>
  <c r="AR235" i="9"/>
  <c r="AR187" i="9"/>
  <c r="AR254" i="9" s="1"/>
  <c r="AR183" i="9"/>
  <c r="AR179" i="9"/>
  <c r="AR178" i="9"/>
  <c r="AR177" i="9"/>
  <c r="AR174" i="9"/>
  <c r="AR173" i="9"/>
  <c r="AR172" i="9"/>
  <c r="AR171" i="9"/>
  <c r="AR169" i="9"/>
  <c r="AR168" i="9"/>
  <c r="AR148" i="9"/>
  <c r="AR213" i="9" s="1"/>
  <c r="D782" i="10"/>
  <c r="D767" i="10"/>
  <c r="D769" i="10"/>
  <c r="E755" i="10"/>
  <c r="J98" i="11"/>
  <c r="K13" i="9"/>
  <c r="K12" i="9"/>
  <c r="AW101" i="9" l="1"/>
  <c r="AU238" i="9"/>
  <c r="AV104" i="9"/>
  <c r="AU246" i="9"/>
  <c r="AU179" i="9"/>
  <c r="AU178" i="9"/>
  <c r="AU105" i="9"/>
  <c r="AU146" i="9" s="1"/>
  <c r="AU211" i="9" s="1"/>
  <c r="AX104" i="9"/>
  <c r="AU56" i="9"/>
  <c r="AU245" i="9"/>
  <c r="AX92" i="9"/>
  <c r="AX103" i="9"/>
  <c r="AX145" i="9" s="1"/>
  <c r="AX210" i="9" s="1"/>
  <c r="AW104" i="9"/>
  <c r="AU172" i="9"/>
  <c r="AX101" i="9"/>
  <c r="AU66" i="9"/>
  <c r="AU69" i="9"/>
  <c r="AY70" i="9" s="1"/>
  <c r="AU235" i="9"/>
  <c r="AV103" i="9"/>
  <c r="AV145" i="9" s="1"/>
  <c r="AV210" i="9" s="1"/>
  <c r="AU236" i="9"/>
  <c r="AU239" i="9"/>
  <c r="AX93" i="9"/>
  <c r="AW251" i="9"/>
  <c r="AW184" i="9"/>
  <c r="AX105" i="9"/>
  <c r="AU171" i="9"/>
  <c r="AU58" i="9"/>
  <c r="AX230" i="9"/>
  <c r="AU168" i="9"/>
  <c r="AV105" i="9"/>
  <c r="AV146" i="9" s="1"/>
  <c r="AV211" i="9" s="1"/>
  <c r="AW93" i="9"/>
  <c r="AW185" i="9" s="1"/>
  <c r="AV101" i="9"/>
  <c r="AW65" i="9"/>
  <c r="E402" i="10"/>
  <c r="E406" i="10"/>
  <c r="E405" i="10"/>
  <c r="E404" i="10"/>
  <c r="E403" i="10"/>
  <c r="D409" i="10"/>
  <c r="D390" i="10"/>
  <c r="D388" i="10"/>
  <c r="AV185" i="9"/>
  <c r="AV252" i="9"/>
  <c r="D482" i="10"/>
  <c r="E478" i="10"/>
  <c r="E476" i="10"/>
  <c r="E463" i="10"/>
  <c r="E461" i="10"/>
  <c r="D465" i="10"/>
  <c r="D463" i="10"/>
  <c r="D461" i="10"/>
  <c r="AS75" i="9"/>
  <c r="AS167" i="9" s="1"/>
  <c r="E479" i="10"/>
  <c r="E477" i="10"/>
  <c r="AS84" i="9"/>
  <c r="AS88" i="9"/>
  <c r="AS247" i="9" s="1"/>
  <c r="AS89" i="9"/>
  <c r="AS181" i="9" s="1"/>
  <c r="K14" i="9"/>
  <c r="L102" i="9"/>
  <c r="L74" i="9"/>
  <c r="L71" i="9"/>
  <c r="L68" i="9"/>
  <c r="L162" i="9"/>
  <c r="M163" i="9" s="1"/>
  <c r="L229" i="9"/>
  <c r="M230" i="9" s="1"/>
  <c r="D559" i="10"/>
  <c r="AT164" i="9"/>
  <c r="AS56" i="9"/>
  <c r="AT231" i="9"/>
  <c r="AS69" i="9"/>
  <c r="AT166" i="9"/>
  <c r="AT233" i="9"/>
  <c r="AR247" i="9"/>
  <c r="AR180" i="9"/>
  <c r="D634" i="10"/>
  <c r="D616" i="10"/>
  <c r="D618" i="10"/>
  <c r="AR181" i="9"/>
  <c r="AS66" i="9"/>
  <c r="AR176" i="9"/>
  <c r="AR158" i="9"/>
  <c r="AV159" i="9" s="1"/>
  <c r="AR167" i="9"/>
  <c r="AS200" i="9"/>
  <c r="E702" i="10"/>
  <c r="D691" i="10"/>
  <c r="D697" i="10" s="1"/>
  <c r="AR117" i="11"/>
  <c r="AR112" i="11"/>
  <c r="AR114" i="11"/>
  <c r="AR113" i="11"/>
  <c r="AR115" i="11"/>
  <c r="AR116" i="11"/>
  <c r="AR110" i="11"/>
  <c r="AR118" i="11"/>
  <c r="AR111" i="11"/>
  <c r="AR125" i="9"/>
  <c r="AR139" i="9" s="1"/>
  <c r="AR45" i="9"/>
  <c r="AR248" i="9"/>
  <c r="AR47" i="9"/>
  <c r="AR21" i="9"/>
  <c r="AU100" i="9" s="1"/>
  <c r="AR48" i="9"/>
  <c r="AR49" i="9"/>
  <c r="AR58" i="9"/>
  <c r="AR234" i="9"/>
  <c r="AR46" i="9"/>
  <c r="AR50" i="9"/>
  <c r="AR243" i="9"/>
  <c r="AR43" i="9"/>
  <c r="AR51" i="9"/>
  <c r="AR223" i="9"/>
  <c r="AV224" i="9" s="1"/>
  <c r="AR44" i="9"/>
  <c r="AR52" i="9"/>
  <c r="E729" i="10"/>
  <c r="E741" i="10"/>
  <c r="E753" i="10"/>
  <c r="E759" i="10"/>
  <c r="E751" i="10"/>
  <c r="J65" i="11"/>
  <c r="AX251" i="9" l="1"/>
  <c r="AS234" i="9"/>
  <c r="AX184" i="9"/>
  <c r="AY92" i="9"/>
  <c r="N92" i="9" s="1"/>
  <c r="AX102" i="9"/>
  <c r="AU68" i="9"/>
  <c r="AU74" i="9"/>
  <c r="AU162" i="9"/>
  <c r="AU71" i="9"/>
  <c r="AU229" i="9"/>
  <c r="AY230" i="9" s="1"/>
  <c r="AW102" i="9"/>
  <c r="AW252" i="9"/>
  <c r="AX185" i="9"/>
  <c r="AX252" i="9"/>
  <c r="AX146" i="9"/>
  <c r="AX211" i="9" s="1"/>
  <c r="AX136" i="9"/>
  <c r="AX197" i="9" s="1"/>
  <c r="E335" i="10"/>
  <c r="AT84" i="9"/>
  <c r="AT176" i="9" s="1"/>
  <c r="AT88" i="9"/>
  <c r="AT89" i="9"/>
  <c r="AS248" i="9"/>
  <c r="AV102" i="9"/>
  <c r="D391" i="10" s="1"/>
  <c r="F390" i="10" s="1"/>
  <c r="AW70" i="9"/>
  <c r="AS180" i="9"/>
  <c r="AT75" i="9"/>
  <c r="E408" i="10"/>
  <c r="E557" i="10"/>
  <c r="AS71" i="9"/>
  <c r="L166" i="9"/>
  <c r="L233" i="9"/>
  <c r="L261" i="9" s="1"/>
  <c r="L78" i="9"/>
  <c r="L164" i="9"/>
  <c r="L143" i="9"/>
  <c r="L137" i="9"/>
  <c r="L136" i="9"/>
  <c r="L134" i="9"/>
  <c r="L133" i="9"/>
  <c r="L231" i="9"/>
  <c r="D560" i="10"/>
  <c r="E553" i="10"/>
  <c r="E554" i="10"/>
  <c r="E556" i="10"/>
  <c r="E555" i="10"/>
  <c r="AS68" i="9"/>
  <c r="AS74" i="9"/>
  <c r="AS78" i="9" s="1"/>
  <c r="AS162" i="9"/>
  <c r="AS229" i="9"/>
  <c r="D636" i="10"/>
  <c r="E634" i="10" s="1"/>
  <c r="AR150" i="9"/>
  <c r="AR215" i="9" s="1"/>
  <c r="AR258" i="9"/>
  <c r="AR269" i="9" s="1"/>
  <c r="AS176" i="9"/>
  <c r="AS243" i="9"/>
  <c r="AR189" i="9"/>
  <c r="AR259" i="9"/>
  <c r="AR190" i="9"/>
  <c r="AR149" i="9"/>
  <c r="AR214" i="9" s="1"/>
  <c r="AR62" i="9"/>
  <c r="AR64" i="9" s="1"/>
  <c r="AR25" i="9"/>
  <c r="AR39" i="9" s="1"/>
  <c r="AU104" i="9" s="1"/>
  <c r="AR53" i="9"/>
  <c r="AR200" i="9"/>
  <c r="J790" i="10"/>
  <c r="AQ203" i="9"/>
  <c r="AQ202" i="9"/>
  <c r="AQ128" i="9"/>
  <c r="AQ123" i="9"/>
  <c r="AQ120" i="9"/>
  <c r="AQ119" i="9"/>
  <c r="AQ113" i="9"/>
  <c r="AQ111" i="9"/>
  <c r="AQ110" i="9"/>
  <c r="AQ38" i="9"/>
  <c r="AQ37" i="9"/>
  <c r="AQ36" i="9"/>
  <c r="AQ35" i="9"/>
  <c r="AQ34" i="9"/>
  <c r="AQ33" i="9"/>
  <c r="AQ31" i="9"/>
  <c r="AQ30" i="9"/>
  <c r="AQ29" i="9"/>
  <c r="AQ28" i="9"/>
  <c r="AQ27" i="9"/>
  <c r="AQ26" i="9"/>
  <c r="AQ24" i="9"/>
  <c r="AQ23" i="9"/>
  <c r="AQ22" i="9"/>
  <c r="AQ20" i="9"/>
  <c r="AQ19" i="9"/>
  <c r="AQ18" i="9"/>
  <c r="AQ17" i="9"/>
  <c r="AQ16" i="9"/>
  <c r="AQ12" i="9"/>
  <c r="AQ11" i="9"/>
  <c r="AQ10" i="9"/>
  <c r="AQ7" i="9"/>
  <c r="AQ114" i="9"/>
  <c r="K181" i="9"/>
  <c r="K88" i="9"/>
  <c r="K180" i="9" s="1"/>
  <c r="K176" i="9"/>
  <c r="K80" i="9"/>
  <c r="K79" i="9"/>
  <c r="K75" i="9"/>
  <c r="K55" i="9"/>
  <c r="K61" i="9"/>
  <c r="K103" i="9"/>
  <c r="K145" i="9" s="1"/>
  <c r="K108" i="9"/>
  <c r="K131" i="9" s="1"/>
  <c r="K121" i="9"/>
  <c r="K54" i="9" s="1"/>
  <c r="K148" i="9"/>
  <c r="K168" i="9"/>
  <c r="K169" i="9"/>
  <c r="K173" i="9"/>
  <c r="K174" i="9"/>
  <c r="K177" i="9"/>
  <c r="K178" i="9"/>
  <c r="K179" i="9"/>
  <c r="K183" i="9"/>
  <c r="K187" i="9"/>
  <c r="K206" i="9"/>
  <c r="K235" i="9"/>
  <c r="K236" i="9"/>
  <c r="K240" i="9"/>
  <c r="K241" i="9"/>
  <c r="K244" i="9"/>
  <c r="K245" i="9"/>
  <c r="K246" i="9"/>
  <c r="K250" i="9"/>
  <c r="J105" i="11"/>
  <c r="J104" i="11"/>
  <c r="J103" i="11"/>
  <c r="J101" i="11"/>
  <c r="J100" i="11"/>
  <c r="J97" i="11"/>
  <c r="J96" i="11"/>
  <c r="J92" i="11"/>
  <c r="J91" i="11"/>
  <c r="J90" i="11"/>
  <c r="J89" i="11"/>
  <c r="J87" i="11"/>
  <c r="J86" i="11"/>
  <c r="J83" i="11"/>
  <c r="J82" i="11"/>
  <c r="J69" i="11"/>
  <c r="J68" i="11"/>
  <c r="J67" i="11"/>
  <c r="J66" i="11"/>
  <c r="J61" i="11"/>
  <c r="J60" i="11"/>
  <c r="J59" i="11"/>
  <c r="J58" i="11"/>
  <c r="J55" i="11"/>
  <c r="J54" i="11"/>
  <c r="J53" i="11"/>
  <c r="J52" i="11"/>
  <c r="J49" i="11"/>
  <c r="J48" i="11"/>
  <c r="J47" i="11"/>
  <c r="J46" i="11"/>
  <c r="J43" i="11"/>
  <c r="J42" i="11"/>
  <c r="J41" i="11"/>
  <c r="J40" i="11"/>
  <c r="J35" i="11"/>
  <c r="J34" i="11"/>
  <c r="J33" i="11"/>
  <c r="J32" i="11"/>
  <c r="J31" i="11"/>
  <c r="J30" i="11"/>
  <c r="J26" i="11"/>
  <c r="J25" i="11"/>
  <c r="J22" i="11"/>
  <c r="J21" i="11"/>
  <c r="J20" i="11"/>
  <c r="J19" i="11"/>
  <c r="J15" i="11"/>
  <c r="J12" i="11"/>
  <c r="J11" i="11"/>
  <c r="J10" i="11"/>
  <c r="AQ70" i="11"/>
  <c r="D849" i="10"/>
  <c r="D836" i="10"/>
  <c r="D834" i="10"/>
  <c r="AQ115" i="9" l="1"/>
  <c r="AU164" i="9"/>
  <c r="AY163" i="9"/>
  <c r="AX261" i="9"/>
  <c r="AU231" i="9"/>
  <c r="AW261" i="9"/>
  <c r="AU233" i="9"/>
  <c r="AU166" i="9"/>
  <c r="AV134" i="9"/>
  <c r="AV195" i="9" s="1"/>
  <c r="D319" i="10"/>
  <c r="AW137" i="9"/>
  <c r="AW198" i="9" s="1"/>
  <c r="AW143" i="9"/>
  <c r="AW134" i="9"/>
  <c r="AW136" i="9"/>
  <c r="AW197" i="9" s="1"/>
  <c r="AW133" i="9"/>
  <c r="AX143" i="9"/>
  <c r="D243" i="10"/>
  <c r="AX134" i="9"/>
  <c r="AX133" i="9"/>
  <c r="AX137" i="9"/>
  <c r="AX198" i="9" s="1"/>
  <c r="AQ76" i="11"/>
  <c r="AQ77" i="11"/>
  <c r="AV143" i="9"/>
  <c r="AV144" i="9" s="1"/>
  <c r="AV133" i="9"/>
  <c r="AV194" i="9" s="1"/>
  <c r="AV137" i="9"/>
  <c r="AV198" i="9" s="1"/>
  <c r="F388" i="10"/>
  <c r="AU88" i="9"/>
  <c r="AU84" i="9"/>
  <c r="AV136" i="9"/>
  <c r="AV197" i="9" s="1"/>
  <c r="AT180" i="9"/>
  <c r="E391" i="10"/>
  <c r="F386" i="10"/>
  <c r="AU75" i="9"/>
  <c r="AT78" i="9"/>
  <c r="AT234" i="9"/>
  <c r="AT167" i="9"/>
  <c r="L267" i="9"/>
  <c r="L266" i="9"/>
  <c r="AT247" i="9"/>
  <c r="AS231" i="9"/>
  <c r="AV261" i="9"/>
  <c r="AW230" i="9"/>
  <c r="AQ256" i="9"/>
  <c r="AS164" i="9"/>
  <c r="AW163" i="9"/>
  <c r="AT243" i="9"/>
  <c r="AU89" i="9"/>
  <c r="AT248" i="9"/>
  <c r="AT181" i="9"/>
  <c r="AU101" i="9"/>
  <c r="AV65" i="9"/>
  <c r="E481" i="10"/>
  <c r="L198" i="9"/>
  <c r="L144" i="9"/>
  <c r="L208" i="9"/>
  <c r="L192" i="9"/>
  <c r="L195" i="9"/>
  <c r="L151" i="9"/>
  <c r="L194" i="9"/>
  <c r="L152" i="9"/>
  <c r="L197" i="9"/>
  <c r="L237" i="9"/>
  <c r="L83" i="9"/>
  <c r="L170" i="9"/>
  <c r="N54" i="9"/>
  <c r="AT54" i="9"/>
  <c r="AS166" i="9"/>
  <c r="AT55" i="9"/>
  <c r="AS233" i="9"/>
  <c r="D637" i="10"/>
  <c r="E630" i="10"/>
  <c r="E631" i="10"/>
  <c r="E632" i="10"/>
  <c r="E633" i="10"/>
  <c r="AS237" i="9"/>
  <c r="AS170" i="9"/>
  <c r="AS83" i="9"/>
  <c r="AQ55" i="9"/>
  <c r="AS55" i="9"/>
  <c r="AR55" i="9"/>
  <c r="AS54" i="9"/>
  <c r="AR54" i="9"/>
  <c r="E796" i="10"/>
  <c r="E798" i="10"/>
  <c r="E799" i="10"/>
  <c r="E800" i="10"/>
  <c r="E801" i="10"/>
  <c r="E802" i="10"/>
  <c r="D708" i="10"/>
  <c r="AR69" i="9"/>
  <c r="AR66" i="9"/>
  <c r="AR56" i="9"/>
  <c r="E834" i="10"/>
  <c r="J70" i="11"/>
  <c r="J78" i="11" s="1"/>
  <c r="K105" i="9"/>
  <c r="K146" i="9" s="1"/>
  <c r="K220" i="9"/>
  <c r="K172" i="9"/>
  <c r="K210" i="9"/>
  <c r="AQ148" i="9"/>
  <c r="AQ213" i="9" s="1"/>
  <c r="K73" i="9"/>
  <c r="K254" i="9"/>
  <c r="K213" i="9"/>
  <c r="E728" i="10"/>
  <c r="K167" i="9"/>
  <c r="E836" i="10"/>
  <c r="K239" i="9"/>
  <c r="E767" i="10"/>
  <c r="K234" i="9"/>
  <c r="E769" i="10"/>
  <c r="E730" i="10"/>
  <c r="E749" i="10"/>
  <c r="E738" i="10"/>
  <c r="E737" i="10"/>
  <c r="E727" i="10"/>
  <c r="E736" i="10"/>
  <c r="E725" i="10"/>
  <c r="E734" i="10"/>
  <c r="E733" i="10"/>
  <c r="E724" i="10"/>
  <c r="E752" i="10"/>
  <c r="E740" i="10"/>
  <c r="AQ13" i="9"/>
  <c r="K238" i="9"/>
  <c r="D776" i="10"/>
  <c r="E776" i="10" s="1"/>
  <c r="AQ187" i="9"/>
  <c r="AQ254" i="9" s="1"/>
  <c r="K171" i="9"/>
  <c r="K248" i="9"/>
  <c r="K247" i="9"/>
  <c r="K126" i="9"/>
  <c r="K125" i="9"/>
  <c r="K243" i="9"/>
  <c r="AQ121" i="9"/>
  <c r="J14" i="11"/>
  <c r="J16" i="11"/>
  <c r="J13" i="11"/>
  <c r="AQ78" i="11"/>
  <c r="AQ73" i="11"/>
  <c r="AQ74" i="11"/>
  <c r="AQ75" i="11"/>
  <c r="J791" i="10"/>
  <c r="E842" i="10"/>
  <c r="D843" i="10"/>
  <c r="AP70" i="11"/>
  <c r="AP114" i="9"/>
  <c r="AP115" i="9" s="1"/>
  <c r="AP91" i="9"/>
  <c r="AV192" i="9" l="1"/>
  <c r="AV208" i="9"/>
  <c r="AV209" i="9" s="1"/>
  <c r="AV151" i="9"/>
  <c r="AX152" i="9"/>
  <c r="AX194" i="9"/>
  <c r="AX195" i="9"/>
  <c r="AX151" i="9"/>
  <c r="F318" i="10"/>
  <c r="E319" i="10"/>
  <c r="F314" i="10"/>
  <c r="F316" i="10"/>
  <c r="E243" i="10"/>
  <c r="F238" i="10"/>
  <c r="F242" i="10"/>
  <c r="F240" i="10"/>
  <c r="AX144" i="9"/>
  <c r="AX208" i="9"/>
  <c r="AX192" i="9"/>
  <c r="AW194" i="9"/>
  <c r="AW152" i="9"/>
  <c r="AW263" i="9"/>
  <c r="AW266" i="9"/>
  <c r="AW267" i="9"/>
  <c r="AW264" i="9"/>
  <c r="AV152" i="9"/>
  <c r="AW195" i="9"/>
  <c r="AW151" i="9"/>
  <c r="AW192" i="9"/>
  <c r="AW144" i="9"/>
  <c r="AW208" i="9"/>
  <c r="AX266" i="9"/>
  <c r="AX263" i="9"/>
  <c r="AX264" i="9"/>
  <c r="AX267" i="9"/>
  <c r="AP77" i="11"/>
  <c r="AP76" i="11"/>
  <c r="J77" i="11"/>
  <c r="J76" i="11"/>
  <c r="AU243" i="9"/>
  <c r="AU176" i="9"/>
  <c r="AU247" i="9"/>
  <c r="AU180" i="9"/>
  <c r="AT83" i="9"/>
  <c r="AT237" i="9"/>
  <c r="AT170" i="9"/>
  <c r="AU167" i="9"/>
  <c r="AU234" i="9"/>
  <c r="AU78" i="9"/>
  <c r="AU248" i="9"/>
  <c r="AU181" i="9"/>
  <c r="G386" i="10"/>
  <c r="G388" i="10"/>
  <c r="G390" i="10"/>
  <c r="AV267" i="9"/>
  <c r="AV266" i="9"/>
  <c r="AV263" i="9"/>
  <c r="AV264" i="9"/>
  <c r="AU102" i="9"/>
  <c r="D464" i="10" s="1"/>
  <c r="AV70" i="9"/>
  <c r="K158" i="9"/>
  <c r="L159" i="9" s="1"/>
  <c r="L15" i="9"/>
  <c r="L209" i="9"/>
  <c r="L216" i="9"/>
  <c r="L217" i="9"/>
  <c r="L90" i="9"/>
  <c r="L92" i="9" s="1"/>
  <c r="L242" i="9"/>
  <c r="L106" i="9"/>
  <c r="L147" i="9" s="1"/>
  <c r="L212" i="9" s="1"/>
  <c r="L175" i="9"/>
  <c r="L264" i="9"/>
  <c r="L263" i="9"/>
  <c r="E559" i="10"/>
  <c r="AS90" i="9"/>
  <c r="AS175" i="9"/>
  <c r="AS242" i="9"/>
  <c r="D709" i="10"/>
  <c r="D710" i="10"/>
  <c r="AR74" i="9"/>
  <c r="AR71" i="9"/>
  <c r="AR229" i="9"/>
  <c r="AR162" i="9"/>
  <c r="AV163" i="9" s="1"/>
  <c r="AR68" i="9"/>
  <c r="K44" i="9"/>
  <c r="K45" i="9"/>
  <c r="K48" i="9"/>
  <c r="K52" i="9"/>
  <c r="K46" i="9"/>
  <c r="K21" i="9"/>
  <c r="K100" i="9" s="1"/>
  <c r="AP78" i="11"/>
  <c r="K43" i="9"/>
  <c r="K58" i="9"/>
  <c r="K51" i="9"/>
  <c r="K99" i="9"/>
  <c r="K142" i="9" s="1"/>
  <c r="K207" i="9" s="1"/>
  <c r="K49" i="9"/>
  <c r="K223" i="9"/>
  <c r="L224" i="9" s="1"/>
  <c r="E735" i="10"/>
  <c r="E739" i="10"/>
  <c r="K47" i="9"/>
  <c r="K50" i="9"/>
  <c r="E764" i="10"/>
  <c r="E756" i="10"/>
  <c r="D762" i="10"/>
  <c r="K98" i="9"/>
  <c r="K155" i="9" s="1"/>
  <c r="AQ125" i="9"/>
  <c r="AQ258" i="9" s="1"/>
  <c r="AQ269" i="9" s="1"/>
  <c r="E775" i="10"/>
  <c r="E777" i="10" s="1"/>
  <c r="D783" i="10"/>
  <c r="E750" i="10"/>
  <c r="K141" i="9"/>
  <c r="E754" i="10"/>
  <c r="E758" i="10"/>
  <c r="D761" i="10"/>
  <c r="E763" i="10"/>
  <c r="K211" i="9"/>
  <c r="E726" i="10"/>
  <c r="AQ91" i="9"/>
  <c r="AQ54" i="9"/>
  <c r="AQ126" i="9"/>
  <c r="AQ259" i="9" s="1"/>
  <c r="J73" i="11"/>
  <c r="J75" i="11"/>
  <c r="J74" i="11"/>
  <c r="D777" i="10"/>
  <c r="E843" i="10"/>
  <c r="K150" i="9"/>
  <c r="K139" i="9"/>
  <c r="K189" i="9"/>
  <c r="K258" i="9"/>
  <c r="K269" i="9" s="1"/>
  <c r="K129" i="9"/>
  <c r="K149" i="9"/>
  <c r="K190" i="9"/>
  <c r="K259" i="9"/>
  <c r="E826" i="10"/>
  <c r="E827" i="10"/>
  <c r="D829" i="10"/>
  <c r="D828" i="10"/>
  <c r="E830" i="10"/>
  <c r="E831" i="10"/>
  <c r="E822" i="10"/>
  <c r="E797" i="10"/>
  <c r="E812" i="10"/>
  <c r="E809" i="10"/>
  <c r="D817" i="10"/>
  <c r="E810" i="10"/>
  <c r="D818" i="10"/>
  <c r="E811" i="10"/>
  <c r="E821" i="10"/>
  <c r="E805" i="10"/>
  <c r="E813" i="10"/>
  <c r="E823" i="10"/>
  <c r="E806" i="10"/>
  <c r="D814" i="10"/>
  <c r="E824" i="10"/>
  <c r="E807" i="10"/>
  <c r="D815" i="10"/>
  <c r="E825" i="10"/>
  <c r="E808" i="10"/>
  <c r="D816" i="10"/>
  <c r="D844" i="10"/>
  <c r="AP73" i="11"/>
  <c r="AP74" i="11"/>
  <c r="AP75" i="11"/>
  <c r="AP106" i="11"/>
  <c r="AP82" i="9"/>
  <c r="AP81" i="9"/>
  <c r="AK79" i="9"/>
  <c r="AO79" i="9"/>
  <c r="AV216" i="9" l="1"/>
  <c r="AV217" i="9"/>
  <c r="AX209" i="9"/>
  <c r="AX216" i="9"/>
  <c r="AX217" i="9"/>
  <c r="G316" i="10"/>
  <c r="G318" i="10"/>
  <c r="G314" i="10"/>
  <c r="AW217" i="9"/>
  <c r="AW209" i="9"/>
  <c r="AW216" i="9"/>
  <c r="G238" i="10"/>
  <c r="G242" i="10"/>
  <c r="G240" i="10"/>
  <c r="AV230" i="9"/>
  <c r="AU261" i="9"/>
  <c r="AU237" i="9"/>
  <c r="AU170" i="9"/>
  <c r="AU83" i="9"/>
  <c r="AX106" i="9" s="1"/>
  <c r="AX147" i="9" s="1"/>
  <c r="AX212" i="9" s="1"/>
  <c r="AT90" i="9"/>
  <c r="AT242" i="9"/>
  <c r="AT175" i="9"/>
  <c r="AU133" i="9"/>
  <c r="AU152" i="9" s="1"/>
  <c r="AU143" i="9"/>
  <c r="AU208" i="9" s="1"/>
  <c r="AU137" i="9"/>
  <c r="AU198" i="9" s="1"/>
  <c r="E464" i="10"/>
  <c r="F459" i="10"/>
  <c r="F463" i="10"/>
  <c r="F461" i="10"/>
  <c r="AU136" i="9"/>
  <c r="AU197" i="9" s="1"/>
  <c r="AU134" i="9"/>
  <c r="AU195" i="9" s="1"/>
  <c r="AU192" i="9"/>
  <c r="K62" i="9"/>
  <c r="K64" i="9" s="1"/>
  <c r="L182" i="9"/>
  <c r="L249" i="9"/>
  <c r="L93" i="9"/>
  <c r="AS182" i="9"/>
  <c r="AS249" i="9"/>
  <c r="AR231" i="9"/>
  <c r="AR164" i="9"/>
  <c r="AR78" i="9"/>
  <c r="AR166" i="9"/>
  <c r="AR233" i="9"/>
  <c r="K53" i="9"/>
  <c r="K116" i="9"/>
  <c r="K25" i="9"/>
  <c r="K39" i="9" s="1"/>
  <c r="K104" i="9" s="1"/>
  <c r="AQ139" i="9"/>
  <c r="AQ189" i="9"/>
  <c r="E766" i="10"/>
  <c r="E770" i="10" s="1"/>
  <c r="K215" i="9"/>
  <c r="D784" i="10"/>
  <c r="D785" i="10"/>
  <c r="AQ150" i="9"/>
  <c r="AQ215" i="9" s="1"/>
  <c r="AQ129" i="9"/>
  <c r="D766" i="10"/>
  <c r="D772" i="10" s="1"/>
  <c r="K214" i="9"/>
  <c r="AQ190" i="9"/>
  <c r="AQ149" i="9"/>
  <c r="AQ214" i="9" s="1"/>
  <c r="AQ81" i="9"/>
  <c r="AQ82" i="9"/>
  <c r="K200" i="9"/>
  <c r="D833" i="10"/>
  <c r="AP114" i="11"/>
  <c r="AP112" i="11"/>
  <c r="AP110" i="11"/>
  <c r="AP118" i="11"/>
  <c r="AP117" i="11"/>
  <c r="AP116" i="11"/>
  <c r="AP119" i="11"/>
  <c r="AP115" i="11"/>
  <c r="AP111" i="11"/>
  <c r="AP113" i="11"/>
  <c r="AP79" i="9"/>
  <c r="AI31" i="9"/>
  <c r="AE31" i="9"/>
  <c r="AE30" i="9"/>
  <c r="AA31" i="9"/>
  <c r="BB31" i="9"/>
  <c r="AA30" i="9"/>
  <c r="BB30" i="9"/>
  <c r="W31" i="9"/>
  <c r="W30" i="9"/>
  <c r="S31" i="9"/>
  <c r="S30" i="9"/>
  <c r="BB23" i="9"/>
  <c r="AI23" i="9"/>
  <c r="AE23" i="9"/>
  <c r="AA23" i="9"/>
  <c r="W23" i="9"/>
  <c r="S23" i="9"/>
  <c r="AM23" i="9"/>
  <c r="AP187" i="9"/>
  <c r="AP254" i="9" s="1"/>
  <c r="AP174" i="9"/>
  <c r="AP148" i="9"/>
  <c r="AP213" i="9" s="1"/>
  <c r="AP121" i="9"/>
  <c r="AP126" i="9" s="1"/>
  <c r="AP250" i="9"/>
  <c r="AP85" i="9"/>
  <c r="AP240" i="9"/>
  <c r="AP8" i="9"/>
  <c r="AP14" i="9" s="1"/>
  <c r="D917" i="10"/>
  <c r="D904" i="10"/>
  <c r="D902" i="10"/>
  <c r="D911" i="10" s="1"/>
  <c r="J859" i="10"/>
  <c r="AO102" i="11"/>
  <c r="AO70" i="11"/>
  <c r="AO114" i="9"/>
  <c r="AO115" i="9" s="1"/>
  <c r="AO87" i="9"/>
  <c r="AO86" i="9"/>
  <c r="AO80" i="9"/>
  <c r="AO238" i="9"/>
  <c r="AO77" i="9"/>
  <c r="AO76" i="9"/>
  <c r="AO250" i="9"/>
  <c r="AO244" i="9"/>
  <c r="AO241" i="9"/>
  <c r="AO240" i="9"/>
  <c r="AO187" i="9"/>
  <c r="AO254" i="9" s="1"/>
  <c r="AO183" i="9"/>
  <c r="AO177" i="9"/>
  <c r="AO174" i="9"/>
  <c r="AO173" i="9"/>
  <c r="AO148" i="9"/>
  <c r="AO213" i="9" s="1"/>
  <c r="AO121" i="9"/>
  <c r="AO126" i="9" s="1"/>
  <c r="D24" i="5"/>
  <c r="C5" i="5"/>
  <c r="D12" i="5"/>
  <c r="C18" i="5"/>
  <c r="C7" i="5"/>
  <c r="D11" i="5"/>
  <c r="D29" i="5"/>
  <c r="D26" i="5"/>
  <c r="C8" i="5"/>
  <c r="D18" i="5"/>
  <c r="C26" i="5"/>
  <c r="C29" i="5"/>
  <c r="C23" i="5"/>
  <c r="D8" i="5"/>
  <c r="G8" i="6"/>
  <c r="D23" i="5"/>
  <c r="C21" i="5"/>
  <c r="D6" i="5"/>
  <c r="D21" i="5"/>
  <c r="D7" i="5"/>
  <c r="C12" i="5"/>
  <c r="C10" i="5"/>
  <c r="C22" i="5"/>
  <c r="D5" i="5"/>
  <c r="D19" i="5"/>
  <c r="C20" i="5"/>
  <c r="D13" i="5"/>
  <c r="C11" i="5"/>
  <c r="C13" i="5"/>
  <c r="G5" i="6"/>
  <c r="D22" i="5"/>
  <c r="G7" i="6"/>
  <c r="D10" i="5"/>
  <c r="D20" i="5"/>
  <c r="C24" i="5"/>
  <c r="C6" i="5"/>
  <c r="C19" i="5"/>
  <c r="G6" i="6"/>
  <c r="AU144" i="9" l="1"/>
  <c r="AO76" i="11"/>
  <c r="AO77" i="11"/>
  <c r="AT182" i="9"/>
  <c r="AT249" i="9"/>
  <c r="AU151" i="9"/>
  <c r="AW106" i="9"/>
  <c r="AW147" i="9" s="1"/>
  <c r="AW212" i="9" s="1"/>
  <c r="AU242" i="9"/>
  <c r="AU90" i="9"/>
  <c r="AU175" i="9"/>
  <c r="AV106" i="9"/>
  <c r="AV147" i="9" s="1"/>
  <c r="AV212" i="9" s="1"/>
  <c r="AU194" i="9"/>
  <c r="G459" i="10"/>
  <c r="G461" i="10"/>
  <c r="G463" i="10"/>
  <c r="AU266" i="9"/>
  <c r="AU267" i="9"/>
  <c r="AU263" i="9"/>
  <c r="AU264" i="9"/>
  <c r="AU216" i="9"/>
  <c r="AU217" i="9"/>
  <c r="AU209" i="9"/>
  <c r="K101" i="9"/>
  <c r="L65" i="9"/>
  <c r="L184" i="9"/>
  <c r="L251" i="9"/>
  <c r="L252" i="9"/>
  <c r="L185" i="9"/>
  <c r="N174" i="9"/>
  <c r="N241" i="9"/>
  <c r="N183" i="9"/>
  <c r="N250" i="9"/>
  <c r="AQ79" i="9"/>
  <c r="AO51" i="9"/>
  <c r="AS15" i="9"/>
  <c r="AQ200" i="9"/>
  <c r="AR237" i="9"/>
  <c r="AR170" i="9"/>
  <c r="AR83" i="9"/>
  <c r="AU106" i="9" s="1"/>
  <c r="AU147" i="9" s="1"/>
  <c r="AU212" i="9" s="1"/>
  <c r="D786" i="10"/>
  <c r="D788" i="10" s="1"/>
  <c r="K56" i="9"/>
  <c r="E768" i="10"/>
  <c r="D770" i="10"/>
  <c r="D768" i="10"/>
  <c r="K66" i="9"/>
  <c r="K69" i="9"/>
  <c r="AQ8" i="9"/>
  <c r="AQ85" i="9"/>
  <c r="AO236" i="9"/>
  <c r="AO239" i="9"/>
  <c r="AP80" i="9"/>
  <c r="AO245" i="9"/>
  <c r="AP86" i="9"/>
  <c r="AO179" i="9"/>
  <c r="AP87" i="9"/>
  <c r="AP77" i="9"/>
  <c r="AO235" i="9"/>
  <c r="AP76" i="9"/>
  <c r="AO106" i="11"/>
  <c r="AO114" i="11" s="1"/>
  <c r="D839" i="10"/>
  <c r="D882" i="10"/>
  <c r="E865" i="10"/>
  <c r="E874" i="10"/>
  <c r="E878" i="10"/>
  <c r="D896" i="10"/>
  <c r="E894" i="10"/>
  <c r="D850" i="10"/>
  <c r="E904" i="10"/>
  <c r="E867" i="10"/>
  <c r="E868" i="10"/>
  <c r="AO73" i="11"/>
  <c r="AP244" i="9"/>
  <c r="AP125" i="9"/>
  <c r="AP189" i="9" s="1"/>
  <c r="AP171" i="9"/>
  <c r="D885" i="10"/>
  <c r="D886" i="10"/>
  <c r="D920" i="10" s="1"/>
  <c r="E892" i="10"/>
  <c r="AP241" i="9"/>
  <c r="AP259" i="9"/>
  <c r="AP129" i="9"/>
  <c r="AP190" i="9"/>
  <c r="AP149" i="9"/>
  <c r="AP214" i="9" s="1"/>
  <c r="AP173" i="9"/>
  <c r="AP183" i="9"/>
  <c r="AP177" i="9"/>
  <c r="E877" i="10"/>
  <c r="E895" i="10"/>
  <c r="AO246" i="9"/>
  <c r="E880" i="10"/>
  <c r="E870" i="10"/>
  <c r="E890" i="10"/>
  <c r="E869" i="10"/>
  <c r="E879" i="10"/>
  <c r="E889" i="10"/>
  <c r="D897" i="10"/>
  <c r="E898" i="10"/>
  <c r="E873" i="10"/>
  <c r="E881" i="10"/>
  <c r="E891" i="10"/>
  <c r="E899" i="10"/>
  <c r="E875" i="10"/>
  <c r="D883" i="10"/>
  <c r="E893" i="10"/>
  <c r="E866" i="10"/>
  <c r="E876" i="10"/>
  <c r="D884" i="10"/>
  <c r="D918" i="10" s="1"/>
  <c r="E911" i="10"/>
  <c r="E902" i="10"/>
  <c r="D912" i="10"/>
  <c r="AO75" i="11"/>
  <c r="AO74" i="11"/>
  <c r="AO78" i="11"/>
  <c r="AO125" i="9"/>
  <c r="AO139" i="9" s="1"/>
  <c r="AO168" i="9"/>
  <c r="AO49" i="9"/>
  <c r="AO44" i="9"/>
  <c r="AO52" i="9"/>
  <c r="AO58" i="9"/>
  <c r="AO129" i="9"/>
  <c r="AO259" i="9"/>
  <c r="AO190" i="9"/>
  <c r="AO149" i="9"/>
  <c r="AO214" i="9" s="1"/>
  <c r="AO45" i="9"/>
  <c r="AO172" i="9"/>
  <c r="AO171" i="9"/>
  <c r="AO46" i="9"/>
  <c r="AO47" i="9"/>
  <c r="AO21" i="9"/>
  <c r="AO25" i="9" s="1"/>
  <c r="AO48" i="9"/>
  <c r="AO50" i="9"/>
  <c r="AO158" i="9"/>
  <c r="AS159" i="9" s="1"/>
  <c r="AO169" i="9"/>
  <c r="AO223" i="9"/>
  <c r="AS224" i="9" s="1"/>
  <c r="AO43" i="9"/>
  <c r="AO178" i="9"/>
  <c r="D989" i="10"/>
  <c r="D986" i="10"/>
  <c r="D973" i="10"/>
  <c r="D971" i="10"/>
  <c r="D980" i="10" s="1"/>
  <c r="J927" i="10"/>
  <c r="AN70" i="11"/>
  <c r="AN77" i="11" l="1"/>
  <c r="AN76" i="11"/>
  <c r="AU182" i="9"/>
  <c r="AU249" i="9"/>
  <c r="N14" i="9"/>
  <c r="AQ14" i="9"/>
  <c r="AU15" i="9" s="1"/>
  <c r="K74" i="9"/>
  <c r="K166" i="9" s="1"/>
  <c r="L70" i="9"/>
  <c r="AP43" i="9"/>
  <c r="AT15" i="9"/>
  <c r="N238" i="9"/>
  <c r="AT105" i="9"/>
  <c r="AT146" i="9" s="1"/>
  <c r="AT211" i="9" s="1"/>
  <c r="AQ76" i="9"/>
  <c r="AS103" i="9" s="1"/>
  <c r="AS145" i="9" s="1"/>
  <c r="AS210" i="9" s="1"/>
  <c r="N105" i="9"/>
  <c r="N146" i="9" s="1"/>
  <c r="N211" i="9" s="1"/>
  <c r="N171" i="9"/>
  <c r="AR105" i="9"/>
  <c r="AR146" i="9" s="1"/>
  <c r="AR211" i="9" s="1"/>
  <c r="AP169" i="9"/>
  <c r="AS105" i="9"/>
  <c r="AS146" i="9" s="1"/>
  <c r="AS211" i="9" s="1"/>
  <c r="AQ80" i="9"/>
  <c r="N240" i="9"/>
  <c r="N173" i="9"/>
  <c r="AP21" i="9"/>
  <c r="AP53" i="9" s="1"/>
  <c r="AP223" i="9"/>
  <c r="AT224" i="9" s="1"/>
  <c r="AP50" i="9"/>
  <c r="AP47" i="9"/>
  <c r="E786" i="10"/>
  <c r="AR90" i="9"/>
  <c r="AR92" i="9" s="1"/>
  <c r="AR175" i="9"/>
  <c r="AR242" i="9"/>
  <c r="E784" i="10"/>
  <c r="E785" i="10"/>
  <c r="D789" i="10"/>
  <c r="E782" i="10"/>
  <c r="E783" i="10"/>
  <c r="K229" i="9"/>
  <c r="K162" i="9"/>
  <c r="K71" i="9"/>
  <c r="AP168" i="9"/>
  <c r="AP239" i="9"/>
  <c r="K102" i="9"/>
  <c r="K134" i="9" s="1"/>
  <c r="AP172" i="9"/>
  <c r="K68" i="9"/>
  <c r="AO119" i="11"/>
  <c r="AO117" i="11"/>
  <c r="AO115" i="11"/>
  <c r="AO110" i="11"/>
  <c r="AP49" i="9"/>
  <c r="AO112" i="11"/>
  <c r="AO118" i="11"/>
  <c r="AP158" i="9"/>
  <c r="AT159" i="9" s="1"/>
  <c r="AO116" i="11"/>
  <c r="AO113" i="11"/>
  <c r="AO111" i="11"/>
  <c r="AP45" i="9"/>
  <c r="AP51" i="9"/>
  <c r="AP236" i="9"/>
  <c r="AQ77" i="9"/>
  <c r="AP235" i="9"/>
  <c r="AP52" i="9"/>
  <c r="AP179" i="9"/>
  <c r="AQ87" i="9"/>
  <c r="AP44" i="9"/>
  <c r="AP245" i="9"/>
  <c r="AQ86" i="9"/>
  <c r="AP46" i="9"/>
  <c r="AP48" i="9"/>
  <c r="AP58" i="9"/>
  <c r="D919" i="10"/>
  <c r="D851" i="10"/>
  <c r="D852" i="10"/>
  <c r="E833" i="10"/>
  <c r="AP150" i="9"/>
  <c r="AP215" i="9" s="1"/>
  <c r="AP258" i="9"/>
  <c r="AP269" i="9" s="1"/>
  <c r="AP139" i="9"/>
  <c r="AP246" i="9"/>
  <c r="AP238" i="9"/>
  <c r="E980" i="10"/>
  <c r="AP178" i="9"/>
  <c r="AO189" i="9"/>
  <c r="D901" i="10"/>
  <c r="D907" i="10" s="1"/>
  <c r="D966" i="10"/>
  <c r="E973" i="10"/>
  <c r="E948" i="10"/>
  <c r="AO150" i="9"/>
  <c r="AO215" i="9" s="1"/>
  <c r="AO258" i="9"/>
  <c r="AO269" i="9" s="1"/>
  <c r="E949" i="10"/>
  <c r="AO62" i="9"/>
  <c r="AO64" i="9" s="1"/>
  <c r="AS65" i="9" s="1"/>
  <c r="AO39" i="9"/>
  <c r="AO53" i="9"/>
  <c r="E971" i="10"/>
  <c r="AO200" i="9"/>
  <c r="E960" i="10"/>
  <c r="E962" i="10"/>
  <c r="E957" i="10"/>
  <c r="E958" i="10"/>
  <c r="E936" i="10"/>
  <c r="E946" i="10"/>
  <c r="D950" i="10"/>
  <c r="E937" i="10"/>
  <c r="E947" i="10"/>
  <c r="D951" i="10"/>
  <c r="E938" i="10"/>
  <c r="D952" i="10"/>
  <c r="D987" i="10" s="1"/>
  <c r="E941" i="10"/>
  <c r="E959" i="10"/>
  <c r="D953" i="10"/>
  <c r="E942" i="10"/>
  <c r="E967" i="10"/>
  <c r="D954" i="10"/>
  <c r="D988" i="10" s="1"/>
  <c r="E933" i="10"/>
  <c r="E943" i="10"/>
  <c r="E961" i="10"/>
  <c r="E968" i="10"/>
  <c r="E934" i="10"/>
  <c r="E944" i="10"/>
  <c r="E963" i="10"/>
  <c r="D965" i="10"/>
  <c r="E935" i="10"/>
  <c r="E945" i="10"/>
  <c r="E964" i="10"/>
  <c r="D981" i="10"/>
  <c r="AN102" i="11"/>
  <c r="AN73" i="11"/>
  <c r="G46" i="9"/>
  <c r="F46" i="9"/>
  <c r="E46" i="9"/>
  <c r="D46" i="9"/>
  <c r="C46" i="9"/>
  <c r="AN114" i="9"/>
  <c r="AN115" i="9" s="1"/>
  <c r="AN89" i="9"/>
  <c r="AN88" i="9"/>
  <c r="AN84" i="9"/>
  <c r="AN75" i="9"/>
  <c r="AO15" i="9"/>
  <c r="AB46" i="9"/>
  <c r="Z46" i="9"/>
  <c r="Y46" i="9"/>
  <c r="X46" i="9"/>
  <c r="V46" i="9"/>
  <c r="U46" i="9"/>
  <c r="T46" i="9"/>
  <c r="R46" i="9"/>
  <c r="Q46" i="9"/>
  <c r="P46" i="9"/>
  <c r="AR15" i="9"/>
  <c r="S12" i="9"/>
  <c r="W12" i="9"/>
  <c r="AA12" i="9"/>
  <c r="AE12" i="9"/>
  <c r="AI12" i="9"/>
  <c r="AM12" i="9"/>
  <c r="AT99" i="9" l="1"/>
  <c r="AT142" i="9" s="1"/>
  <c r="AT207" i="9" s="1"/>
  <c r="AS92" i="9"/>
  <c r="AP25" i="9"/>
  <c r="AP39" i="9" s="1"/>
  <c r="AP62" i="9"/>
  <c r="AP64" i="9" s="1"/>
  <c r="AT65" i="9" s="1"/>
  <c r="K233" i="9"/>
  <c r="K261" i="9" s="1"/>
  <c r="K78" i="9"/>
  <c r="K237" i="9" s="1"/>
  <c r="K164" i="9"/>
  <c r="L163" i="9"/>
  <c r="K231" i="9"/>
  <c r="L230" i="9"/>
  <c r="AR103" i="9"/>
  <c r="AR145" i="9" s="1"/>
  <c r="AR210" i="9" s="1"/>
  <c r="N235" i="9"/>
  <c r="AT103" i="9"/>
  <c r="AT145" i="9" s="1"/>
  <c r="AT210" i="9" s="1"/>
  <c r="N172" i="9"/>
  <c r="N239" i="9"/>
  <c r="N177" i="9"/>
  <c r="N244" i="9"/>
  <c r="N99" i="9"/>
  <c r="N21" i="9"/>
  <c r="N158" i="9"/>
  <c r="N223" i="9"/>
  <c r="N50" i="9"/>
  <c r="N52" i="9"/>
  <c r="N45" i="9"/>
  <c r="N44" i="9"/>
  <c r="N46" i="9"/>
  <c r="N43" i="9"/>
  <c r="N48" i="9"/>
  <c r="N51" i="9"/>
  <c r="N49" i="9"/>
  <c r="N47" i="9"/>
  <c r="N58" i="9"/>
  <c r="N168" i="9"/>
  <c r="K133" i="9"/>
  <c r="K194" i="9" s="1"/>
  <c r="AQ223" i="9"/>
  <c r="AU224" i="9" s="1"/>
  <c r="AR99" i="9"/>
  <c r="AS99" i="9"/>
  <c r="AQ48" i="9"/>
  <c r="AQ46" i="9"/>
  <c r="AR93" i="9"/>
  <c r="AR182" i="9"/>
  <c r="AR249" i="9"/>
  <c r="K137" i="9"/>
  <c r="K198" i="9" s="1"/>
  <c r="D771" i="10"/>
  <c r="AQ49" i="9"/>
  <c r="K143" i="9"/>
  <c r="K192" i="9" s="1"/>
  <c r="K136" i="9"/>
  <c r="K197" i="9" s="1"/>
  <c r="AQ51" i="9"/>
  <c r="AQ43" i="9"/>
  <c r="AQ44" i="9"/>
  <c r="AQ158" i="9"/>
  <c r="AU159" i="9" s="1"/>
  <c r="AQ47" i="9"/>
  <c r="AQ50" i="9"/>
  <c r="AQ52" i="9"/>
  <c r="AQ45" i="9"/>
  <c r="AQ99" i="9"/>
  <c r="AQ116" i="9" s="1"/>
  <c r="AQ21" i="9"/>
  <c r="AT100" i="9" s="1"/>
  <c r="AO75" i="9"/>
  <c r="AO167" i="9" s="1"/>
  <c r="AO89" i="9"/>
  <c r="AO84" i="9"/>
  <c r="AO88" i="9"/>
  <c r="AO180" i="9" s="1"/>
  <c r="K151" i="9"/>
  <c r="K195" i="9"/>
  <c r="AN106" i="11"/>
  <c r="AN114" i="11" s="1"/>
  <c r="D853" i="10"/>
  <c r="D837" i="10"/>
  <c r="D835" i="10"/>
  <c r="E835" i="10"/>
  <c r="E837" i="10"/>
  <c r="AP200" i="9"/>
  <c r="AN46" i="9"/>
  <c r="AK46" i="9"/>
  <c r="AP56" i="9"/>
  <c r="D921" i="10"/>
  <c r="E901" i="10"/>
  <c r="AO56" i="9"/>
  <c r="AO69" i="9"/>
  <c r="AS70" i="9" s="1"/>
  <c r="AO66" i="9"/>
  <c r="AN21" i="9"/>
  <c r="AN25" i="9" s="1"/>
  <c r="AN74" i="11"/>
  <c r="AN75" i="11"/>
  <c r="AN78" i="11"/>
  <c r="AN250" i="9"/>
  <c r="AN246" i="9"/>
  <c r="AN245" i="9"/>
  <c r="AN244" i="9"/>
  <c r="AN241" i="9"/>
  <c r="AN240" i="9"/>
  <c r="AN239" i="9"/>
  <c r="AN238" i="9"/>
  <c r="AN236" i="9"/>
  <c r="AN235" i="9"/>
  <c r="AN187" i="9"/>
  <c r="AN183" i="9"/>
  <c r="AN179" i="9"/>
  <c r="AN178" i="9"/>
  <c r="AN177" i="9"/>
  <c r="AN174" i="9"/>
  <c r="AN173" i="9"/>
  <c r="AN172" i="9"/>
  <c r="AN171" i="9"/>
  <c r="AN169" i="9"/>
  <c r="AN168" i="9"/>
  <c r="AN148" i="9"/>
  <c r="AN121" i="9"/>
  <c r="AN126" i="9" s="1"/>
  <c r="AN248" i="9"/>
  <c r="AN247" i="9"/>
  <c r="AN243" i="9"/>
  <c r="AN234" i="9"/>
  <c r="I68" i="11"/>
  <c r="I92" i="11"/>
  <c r="I91" i="11"/>
  <c r="I90" i="11"/>
  <c r="I89" i="11"/>
  <c r="I87" i="11"/>
  <c r="I86" i="11"/>
  <c r="I83" i="11"/>
  <c r="I82" i="11"/>
  <c r="H92" i="11"/>
  <c r="H91" i="11"/>
  <c r="H90" i="11"/>
  <c r="H89" i="11"/>
  <c r="H87" i="11"/>
  <c r="H86" i="11"/>
  <c r="H83" i="11"/>
  <c r="H82" i="11"/>
  <c r="I10" i="11"/>
  <c r="I25" i="11"/>
  <c r="I69" i="11"/>
  <c r="I67" i="11"/>
  <c r="I66" i="11"/>
  <c r="I65" i="11"/>
  <c r="I61" i="11"/>
  <c r="I60" i="11"/>
  <c r="I59" i="11"/>
  <c r="I58" i="11"/>
  <c r="I55" i="11"/>
  <c r="I54" i="11"/>
  <c r="I53" i="11"/>
  <c r="I52" i="11"/>
  <c r="I49" i="11"/>
  <c r="I48" i="11"/>
  <c r="I47" i="11"/>
  <c r="I46" i="11"/>
  <c r="I43" i="11"/>
  <c r="I42" i="11"/>
  <c r="I41" i="11"/>
  <c r="I40" i="11"/>
  <c r="I35" i="11"/>
  <c r="I34" i="11"/>
  <c r="I33" i="11"/>
  <c r="I32" i="11"/>
  <c r="I31" i="11"/>
  <c r="I30" i="11"/>
  <c r="I26" i="11"/>
  <c r="I22" i="11"/>
  <c r="I21" i="11"/>
  <c r="I20" i="11"/>
  <c r="I19" i="11"/>
  <c r="I15" i="11"/>
  <c r="I12" i="11"/>
  <c r="I11" i="11"/>
  <c r="AM70" i="11"/>
  <c r="J114" i="9"/>
  <c r="AL114" i="9"/>
  <c r="AL115" i="9" s="1"/>
  <c r="I114" i="9"/>
  <c r="I115" i="9" s="1"/>
  <c r="J203" i="9"/>
  <c r="J256" i="9" s="1"/>
  <c r="AM203" i="9"/>
  <c r="D1058" i="10"/>
  <c r="D1056" i="10"/>
  <c r="AM128" i="9"/>
  <c r="AM123" i="9"/>
  <c r="AM120" i="9"/>
  <c r="AM119" i="9"/>
  <c r="D1055" i="10" s="1"/>
  <c r="AM113" i="9"/>
  <c r="AM111" i="9"/>
  <c r="AM110" i="9"/>
  <c r="AM38" i="9"/>
  <c r="AM37" i="9"/>
  <c r="AM36" i="9"/>
  <c r="AM35" i="9"/>
  <c r="AM34" i="9"/>
  <c r="AM33" i="9"/>
  <c r="AM31" i="9"/>
  <c r="AM30" i="9"/>
  <c r="AM29" i="9"/>
  <c r="AM28" i="9"/>
  <c r="AM27" i="9"/>
  <c r="AM26" i="9"/>
  <c r="AM24" i="9"/>
  <c r="AM22" i="9"/>
  <c r="AM20" i="9"/>
  <c r="AM19" i="9"/>
  <c r="AM18" i="9"/>
  <c r="AM17" i="9"/>
  <c r="AM16" i="9"/>
  <c r="AM11" i="9"/>
  <c r="AM10" i="9"/>
  <c r="AM7" i="9"/>
  <c r="J84" i="9"/>
  <c r="J89" i="9"/>
  <c r="J88" i="9"/>
  <c r="J180" i="9" s="1"/>
  <c r="J80" i="9"/>
  <c r="J79" i="9"/>
  <c r="J171" i="9" s="1"/>
  <c r="J75" i="9"/>
  <c r="J167" i="9" s="1"/>
  <c r="J8" i="9"/>
  <c r="J13" i="9"/>
  <c r="AM13" i="9" s="1"/>
  <c r="J206" i="9"/>
  <c r="J245" i="9"/>
  <c r="J187" i="9"/>
  <c r="J183" i="9"/>
  <c r="J179" i="9"/>
  <c r="J178" i="9"/>
  <c r="J177" i="9"/>
  <c r="J174" i="9"/>
  <c r="J173" i="9"/>
  <c r="J169" i="9"/>
  <c r="J168" i="9"/>
  <c r="J148" i="9"/>
  <c r="J121" i="9"/>
  <c r="J125" i="9" s="1"/>
  <c r="J108" i="9"/>
  <c r="J131" i="9" s="1"/>
  <c r="J220" i="9" s="1"/>
  <c r="J141" i="9" s="1"/>
  <c r="J103" i="9"/>
  <c r="J145" i="9" s="1"/>
  <c r="J61" i="9"/>
  <c r="J73" i="9" s="1"/>
  <c r="J98" i="9" s="1"/>
  <c r="J155" i="9" s="1"/>
  <c r="J55" i="9"/>
  <c r="D1126" i="10"/>
  <c r="D1127" i="10"/>
  <c r="AL203" i="9"/>
  <c r="AL256" i="9" s="1"/>
  <c r="D1113" i="10"/>
  <c r="D1111" i="10"/>
  <c r="D1120" i="10" s="1"/>
  <c r="D1129" i="10"/>
  <c r="AL105" i="11"/>
  <c r="AL104" i="11"/>
  <c r="AL103" i="11"/>
  <c r="AL101" i="11"/>
  <c r="AL100" i="11"/>
  <c r="AL98" i="11"/>
  <c r="AL97" i="11"/>
  <c r="AL96" i="11"/>
  <c r="AL70" i="11"/>
  <c r="AL121" i="9"/>
  <c r="AL126" i="9" s="1"/>
  <c r="AL129" i="9" s="1"/>
  <c r="AL8" i="9"/>
  <c r="AL14" i="9" s="1"/>
  <c r="AL187" i="9"/>
  <c r="AL148" i="9"/>
  <c r="AL91" i="9"/>
  <c r="AL85" i="9"/>
  <c r="AL82" i="9"/>
  <c r="AL81" i="9"/>
  <c r="AK203" i="9"/>
  <c r="AK70" i="11"/>
  <c r="D1197" i="10"/>
  <c r="AK35" i="11"/>
  <c r="AK58" i="11"/>
  <c r="AK52" i="11"/>
  <c r="AK46" i="11"/>
  <c r="AK40" i="11"/>
  <c r="AK34" i="11"/>
  <c r="AK30" i="11"/>
  <c r="AK102" i="11"/>
  <c r="D1183" i="10"/>
  <c r="D1181" i="10"/>
  <c r="D1191" i="10" s="1"/>
  <c r="D1200" i="10"/>
  <c r="AS184" i="9" l="1"/>
  <c r="AS93" i="9"/>
  <c r="AM114" i="9"/>
  <c r="AM115" i="9" s="1"/>
  <c r="J115" i="9"/>
  <c r="AP69" i="9"/>
  <c r="AT116" i="9"/>
  <c r="AP66" i="9"/>
  <c r="AT92" i="9"/>
  <c r="AT93" i="9" s="1"/>
  <c r="AT185" i="9" s="1"/>
  <c r="AS251" i="9"/>
  <c r="AL74" i="11"/>
  <c r="AL76" i="11"/>
  <c r="AL77" i="11"/>
  <c r="AM76" i="11"/>
  <c r="AM77" i="11"/>
  <c r="AK73" i="11"/>
  <c r="AK76" i="11"/>
  <c r="AK77" i="11"/>
  <c r="K170" i="9"/>
  <c r="K267" i="9"/>
  <c r="K266" i="9"/>
  <c r="J1137" i="10"/>
  <c r="E1173" i="10" s="1"/>
  <c r="AK256" i="9"/>
  <c r="J996" i="10"/>
  <c r="E979" i="10" s="1"/>
  <c r="AM256" i="9"/>
  <c r="K83" i="9"/>
  <c r="K106" i="9" s="1"/>
  <c r="K147" i="9" s="1"/>
  <c r="J14" i="9"/>
  <c r="J158" i="9" s="1"/>
  <c r="K159" i="9" s="1"/>
  <c r="K152" i="9"/>
  <c r="N103" i="9"/>
  <c r="N145" i="9" s="1"/>
  <c r="N210" i="9" s="1"/>
  <c r="AP162" i="9"/>
  <c r="AT70" i="9"/>
  <c r="N142" i="9"/>
  <c r="N207" i="9" s="1"/>
  <c r="N116" i="9"/>
  <c r="N169" i="9"/>
  <c r="N236" i="9"/>
  <c r="N179" i="9"/>
  <c r="N246" i="9"/>
  <c r="N245" i="9"/>
  <c r="N178" i="9"/>
  <c r="N53" i="9"/>
  <c r="N25" i="9"/>
  <c r="N39" i="9" s="1"/>
  <c r="N62" i="9"/>
  <c r="N64" i="9" s="1"/>
  <c r="N100" i="9"/>
  <c r="K144" i="9"/>
  <c r="AP88" i="9"/>
  <c r="AP247" i="9" s="1"/>
  <c r="AS185" i="9"/>
  <c r="AS252" i="9"/>
  <c r="K208" i="9"/>
  <c r="K209" i="9" s="1"/>
  <c r="AP84" i="9"/>
  <c r="AP176" i="9" s="1"/>
  <c r="AP89" i="9"/>
  <c r="AP75" i="9"/>
  <c r="AS142" i="9"/>
  <c r="AS207" i="9" s="1"/>
  <c r="AS116" i="9"/>
  <c r="AQ25" i="9"/>
  <c r="AQ39" i="9" s="1"/>
  <c r="AT104" i="9" s="1"/>
  <c r="AS100" i="9"/>
  <c r="AR100" i="9"/>
  <c r="AR142" i="9"/>
  <c r="AR207" i="9" s="1"/>
  <c r="AR116" i="9"/>
  <c r="AR184" i="9"/>
  <c r="AR251" i="9"/>
  <c r="AR185" i="9"/>
  <c r="AR252" i="9"/>
  <c r="AQ53" i="9"/>
  <c r="AQ62" i="9"/>
  <c r="AQ64" i="9" s="1"/>
  <c r="AQ142" i="9"/>
  <c r="AQ207" i="9" s="1"/>
  <c r="AO181" i="9"/>
  <c r="J254" i="9"/>
  <c r="AO248" i="9"/>
  <c r="AN116" i="11"/>
  <c r="AN111" i="11"/>
  <c r="AO176" i="9"/>
  <c r="K263" i="9"/>
  <c r="AO247" i="9"/>
  <c r="AO234" i="9"/>
  <c r="AO243" i="9"/>
  <c r="AQ100" i="9"/>
  <c r="AN112" i="11"/>
  <c r="AN118" i="11"/>
  <c r="AN115" i="11"/>
  <c r="AN117" i="11"/>
  <c r="D855" i="10"/>
  <c r="AN110" i="11"/>
  <c r="AN113" i="11"/>
  <c r="AN119" i="11"/>
  <c r="E844" i="10"/>
  <c r="I14" i="11"/>
  <c r="AP229" i="9"/>
  <c r="AP68" i="9"/>
  <c r="AP54" i="9"/>
  <c r="AP74" i="9"/>
  <c r="AP55" i="9"/>
  <c r="AP71" i="9"/>
  <c r="AL254" i="9"/>
  <c r="D923" i="10"/>
  <c r="E903" i="10"/>
  <c r="E905" i="10"/>
  <c r="D905" i="10"/>
  <c r="D903" i="10"/>
  <c r="AK106" i="11"/>
  <c r="AL45" i="9"/>
  <c r="AO54" i="9"/>
  <c r="AO55" i="9"/>
  <c r="AO71" i="9"/>
  <c r="AO229" i="9"/>
  <c r="AO68" i="9"/>
  <c r="AO162" i="9"/>
  <c r="AS163" i="9" s="1"/>
  <c r="AO74" i="9"/>
  <c r="AM91" i="9"/>
  <c r="AM85" i="9"/>
  <c r="I70" i="11"/>
  <c r="I76" i="11" s="1"/>
  <c r="AN213" i="9"/>
  <c r="AM55" i="9"/>
  <c r="AM187" i="9"/>
  <c r="AM254" i="9" s="1"/>
  <c r="AM148" i="9"/>
  <c r="AM213" i="9" s="1"/>
  <c r="D1040" i="10"/>
  <c r="AN254" i="9"/>
  <c r="AN54" i="9"/>
  <c r="AN55" i="9"/>
  <c r="AN125" i="9"/>
  <c r="AN139" i="9" s="1"/>
  <c r="AN44" i="9"/>
  <c r="AN223" i="9"/>
  <c r="AR224" i="9" s="1"/>
  <c r="AN158" i="9"/>
  <c r="AR159" i="9" s="1"/>
  <c r="AN52" i="9"/>
  <c r="AN43" i="9"/>
  <c r="AN51" i="9"/>
  <c r="AN50" i="9"/>
  <c r="AN58" i="9"/>
  <c r="AN49" i="9"/>
  <c r="AN48" i="9"/>
  <c r="AN45" i="9"/>
  <c r="AN47" i="9"/>
  <c r="AN129" i="9"/>
  <c r="AN259" i="9"/>
  <c r="AN190" i="9"/>
  <c r="AN149" i="9"/>
  <c r="AN180" i="9"/>
  <c r="AN181" i="9"/>
  <c r="AN167" i="9"/>
  <c r="AN176" i="9"/>
  <c r="D1042" i="10"/>
  <c r="J54" i="9"/>
  <c r="J1066" i="10"/>
  <c r="I13" i="11"/>
  <c r="I16" i="11"/>
  <c r="I101" i="11"/>
  <c r="I96" i="11"/>
  <c r="I100" i="11"/>
  <c r="I103" i="11"/>
  <c r="I105" i="11"/>
  <c r="I104" i="11"/>
  <c r="I97" i="11"/>
  <c r="AM73" i="11"/>
  <c r="AM74" i="11"/>
  <c r="AM75" i="11"/>
  <c r="AM78" i="11"/>
  <c r="J239" i="9"/>
  <c r="AM121" i="9"/>
  <c r="AM126" i="9" s="1"/>
  <c r="AM129" i="9" s="1"/>
  <c r="J234" i="9"/>
  <c r="AM81" i="9"/>
  <c r="J241" i="9"/>
  <c r="AM202" i="9"/>
  <c r="AM82" i="9"/>
  <c r="J244" i="9"/>
  <c r="J246" i="9"/>
  <c r="J172" i="9"/>
  <c r="J213" i="9"/>
  <c r="J247" i="9"/>
  <c r="J248" i="9"/>
  <c r="J250" i="9"/>
  <c r="J210" i="9"/>
  <c r="J236" i="9"/>
  <c r="J240" i="9"/>
  <c r="J243" i="9"/>
  <c r="J181" i="9"/>
  <c r="J105" i="9"/>
  <c r="J146" i="9" s="1"/>
  <c r="J211" i="9" s="1"/>
  <c r="J189" i="9"/>
  <c r="J139" i="9"/>
  <c r="J150" i="9"/>
  <c r="J215" i="9" s="1"/>
  <c r="J258" i="9"/>
  <c r="J269" i="9" s="1"/>
  <c r="J126" i="9"/>
  <c r="J238" i="9"/>
  <c r="J176" i="9"/>
  <c r="J235" i="9"/>
  <c r="J1067" i="10"/>
  <c r="E1111" i="10" s="1"/>
  <c r="AL213" i="9"/>
  <c r="D1121" i="10"/>
  <c r="AL106" i="11"/>
  <c r="AL119" i="11" s="1"/>
  <c r="AL75" i="11"/>
  <c r="AL78" i="11"/>
  <c r="AL73" i="11"/>
  <c r="AL125" i="9"/>
  <c r="AL189" i="9" s="1"/>
  <c r="AL190" i="9"/>
  <c r="AL202" i="9"/>
  <c r="AL173" i="9"/>
  <c r="AL174" i="9"/>
  <c r="AL183" i="9"/>
  <c r="AL177" i="9"/>
  <c r="AK78" i="11"/>
  <c r="AK74" i="11"/>
  <c r="AK75" i="11"/>
  <c r="D1192" i="10"/>
  <c r="AK114" i="9"/>
  <c r="AK115" i="9" s="1"/>
  <c r="AK87" i="9"/>
  <c r="AK86" i="9"/>
  <c r="AK80" i="9"/>
  <c r="AK77" i="9"/>
  <c r="AK76" i="9"/>
  <c r="AK250" i="9"/>
  <c r="AK244" i="9"/>
  <c r="AK241" i="9"/>
  <c r="AK240" i="9"/>
  <c r="AK187" i="9"/>
  <c r="AK254" i="9" s="1"/>
  <c r="AK183" i="9"/>
  <c r="AK177" i="9"/>
  <c r="AK174" i="9"/>
  <c r="AK173" i="9"/>
  <c r="AK148" i="9"/>
  <c r="AK121" i="9"/>
  <c r="AK126" i="9" s="1"/>
  <c r="D1257" i="10"/>
  <c r="D1255" i="10"/>
  <c r="AJ203" i="9"/>
  <c r="D1274" i="10"/>
  <c r="AJ102" i="11"/>
  <c r="AJ58" i="11"/>
  <c r="AJ52" i="11"/>
  <c r="AJ46" i="11"/>
  <c r="AJ40" i="11"/>
  <c r="AJ35" i="11"/>
  <c r="AJ34" i="11"/>
  <c r="AJ30" i="11"/>
  <c r="O92" i="11"/>
  <c r="O91" i="11"/>
  <c r="O90" i="11"/>
  <c r="O89" i="11"/>
  <c r="O88" i="11"/>
  <c r="O87" i="11"/>
  <c r="O86" i="11"/>
  <c r="O83" i="11"/>
  <c r="O82" i="11"/>
  <c r="O69" i="11"/>
  <c r="O67" i="11"/>
  <c r="O66" i="11"/>
  <c r="O65" i="11"/>
  <c r="O61" i="11"/>
  <c r="O60" i="11"/>
  <c r="O59" i="11"/>
  <c r="O55" i="11"/>
  <c r="O54" i="11"/>
  <c r="O53" i="11"/>
  <c r="O49" i="11"/>
  <c r="O48" i="11"/>
  <c r="O47" i="11"/>
  <c r="O43" i="11"/>
  <c r="O42" i="11"/>
  <c r="O41" i="11"/>
  <c r="O33" i="11"/>
  <c r="O32" i="11"/>
  <c r="O31" i="11"/>
  <c r="O26" i="11"/>
  <c r="O25" i="11"/>
  <c r="O22" i="11"/>
  <c r="O21" i="11"/>
  <c r="O20" i="11"/>
  <c r="O19" i="11"/>
  <c r="O15" i="11"/>
  <c r="O12" i="11"/>
  <c r="O11" i="11"/>
  <c r="O10" i="11"/>
  <c r="AJ70" i="11"/>
  <c r="AJ114" i="9"/>
  <c r="AJ115" i="9" s="1"/>
  <c r="AJ121" i="9"/>
  <c r="AJ125" i="9" s="1"/>
  <c r="AJ89" i="9"/>
  <c r="AJ88" i="9"/>
  <c r="AJ247" i="9" s="1"/>
  <c r="AJ84" i="9"/>
  <c r="AK84" i="9" s="1"/>
  <c r="AJ75" i="9"/>
  <c r="AJ8" i="9"/>
  <c r="AJ187" i="9"/>
  <c r="AJ183" i="9"/>
  <c r="AJ177" i="9"/>
  <c r="AJ174" i="9"/>
  <c r="AJ173" i="9"/>
  <c r="AJ171" i="9"/>
  <c r="AJ169" i="9"/>
  <c r="AJ168" i="9"/>
  <c r="AJ148" i="9"/>
  <c r="AJ179" i="9"/>
  <c r="AJ172" i="9"/>
  <c r="AJ178" i="9"/>
  <c r="D1342" i="10"/>
  <c r="AI203" i="9"/>
  <c r="H69" i="11"/>
  <c r="H67" i="11"/>
  <c r="H66" i="11"/>
  <c r="H65" i="11"/>
  <c r="H61" i="11"/>
  <c r="H60" i="11"/>
  <c r="H59" i="11"/>
  <c r="H58" i="11"/>
  <c r="H55" i="11"/>
  <c r="H54" i="11"/>
  <c r="H53" i="11"/>
  <c r="H52" i="11"/>
  <c r="H49" i="11"/>
  <c r="H48" i="11"/>
  <c r="H47" i="11"/>
  <c r="H46" i="11"/>
  <c r="H43" i="11"/>
  <c r="H42" i="11"/>
  <c r="H41" i="11"/>
  <c r="H40" i="11"/>
  <c r="H35" i="11"/>
  <c r="H34" i="11"/>
  <c r="H33" i="11"/>
  <c r="H32" i="11"/>
  <c r="H31" i="11"/>
  <c r="H30" i="11"/>
  <c r="H26" i="11"/>
  <c r="H25" i="11"/>
  <c r="H22" i="11"/>
  <c r="H21" i="11"/>
  <c r="H20" i="11"/>
  <c r="H19" i="11"/>
  <c r="H15" i="11"/>
  <c r="H12" i="11"/>
  <c r="H11" i="11"/>
  <c r="H10" i="11"/>
  <c r="AI70" i="11"/>
  <c r="H88" i="11"/>
  <c r="AI30" i="9"/>
  <c r="I203" i="9"/>
  <c r="I256" i="9" s="1"/>
  <c r="I202" i="9"/>
  <c r="I246" i="9" s="1"/>
  <c r="H8" i="9"/>
  <c r="I88" i="9"/>
  <c r="I180" i="9" s="1"/>
  <c r="I84" i="9"/>
  <c r="I176" i="9" s="1"/>
  <c r="I80" i="9"/>
  <c r="I172" i="9" s="1"/>
  <c r="I79" i="9"/>
  <c r="I171" i="9" s="1"/>
  <c r="I75" i="9"/>
  <c r="I167" i="9" s="1"/>
  <c r="I8" i="9"/>
  <c r="AI128" i="9"/>
  <c r="D1325" i="10" s="1"/>
  <c r="AI123" i="9"/>
  <c r="D1323" i="10" s="1"/>
  <c r="D1333" i="10" s="1"/>
  <c r="D1334" i="10" s="1"/>
  <c r="AI120" i="9"/>
  <c r="AI119" i="9"/>
  <c r="D1339" i="10" s="1"/>
  <c r="AI113" i="9"/>
  <c r="AI111" i="9"/>
  <c r="AI110" i="9"/>
  <c r="AI38" i="9"/>
  <c r="AI37" i="9"/>
  <c r="AI36" i="9"/>
  <c r="AI35" i="9"/>
  <c r="AI34" i="9"/>
  <c r="AI33" i="9"/>
  <c r="AI29" i="9"/>
  <c r="AI28" i="9"/>
  <c r="AI27" i="9"/>
  <c r="AI26" i="9"/>
  <c r="AI24" i="9"/>
  <c r="AI22" i="9"/>
  <c r="AI20" i="9"/>
  <c r="AI19" i="9"/>
  <c r="AI18" i="9"/>
  <c r="AI17" i="9"/>
  <c r="AI16" i="9"/>
  <c r="AI13" i="9"/>
  <c r="AI11" i="9"/>
  <c r="AI10" i="9"/>
  <c r="AI7" i="9"/>
  <c r="I206" i="9"/>
  <c r="I187" i="9"/>
  <c r="I183" i="9"/>
  <c r="I181" i="9"/>
  <c r="I179" i="9"/>
  <c r="I178" i="9"/>
  <c r="I177" i="9"/>
  <c r="I174" i="9"/>
  <c r="I173" i="9"/>
  <c r="I169" i="9"/>
  <c r="I168" i="9"/>
  <c r="I148" i="9"/>
  <c r="I121" i="9"/>
  <c r="I54" i="9" s="1"/>
  <c r="I108" i="9"/>
  <c r="I131" i="9" s="1"/>
  <c r="I220" i="9" s="1"/>
  <c r="I141" i="9" s="1"/>
  <c r="I103" i="9"/>
  <c r="I145" i="9" s="1"/>
  <c r="I61" i="9"/>
  <c r="I73" i="9" s="1"/>
  <c r="I98" i="9" s="1"/>
  <c r="I155" i="9" s="1"/>
  <c r="I55" i="9"/>
  <c r="AH203" i="9"/>
  <c r="AH256" i="9" s="1"/>
  <c r="D1406" i="10"/>
  <c r="D1392" i="10"/>
  <c r="D1390" i="10"/>
  <c r="D1400" i="10" s="1"/>
  <c r="D1401" i="10" s="1"/>
  <c r="D1407" i="10"/>
  <c r="AH70" i="11"/>
  <c r="AH114" i="9"/>
  <c r="AH115" i="9" s="1"/>
  <c r="AH8" i="9"/>
  <c r="AH14" i="9" s="1"/>
  <c r="AH187" i="9"/>
  <c r="AH148" i="9"/>
  <c r="AH121" i="9"/>
  <c r="AH125" i="9" s="1"/>
  <c r="AH139" i="9" s="1"/>
  <c r="AH200" i="9" s="1"/>
  <c r="AH106" i="11"/>
  <c r="AH119" i="11" s="1"/>
  <c r="D1476" i="10"/>
  <c r="AG203" i="9"/>
  <c r="AG256" i="9" s="1"/>
  <c r="D1462" i="10"/>
  <c r="D1460" i="10"/>
  <c r="D1470" i="10" s="1"/>
  <c r="D1471" i="10" s="1"/>
  <c r="D1477" i="10"/>
  <c r="AG70" i="11"/>
  <c r="AG106" i="11"/>
  <c r="AG114" i="11" s="1"/>
  <c r="AG114" i="9"/>
  <c r="AG115" i="9" s="1"/>
  <c r="AG89" i="9"/>
  <c r="AG181" i="9" s="1"/>
  <c r="AG85" i="9"/>
  <c r="AG177" i="9" s="1"/>
  <c r="AG79" i="9"/>
  <c r="AH79" i="9" s="1"/>
  <c r="AG77" i="9"/>
  <c r="AH77" i="9" s="1"/>
  <c r="AG76" i="9"/>
  <c r="AG8" i="9"/>
  <c r="AG187" i="9"/>
  <c r="AG148" i="9"/>
  <c r="AG121" i="9"/>
  <c r="AG91" i="9"/>
  <c r="AG183" i="9" s="1"/>
  <c r="AG82" i="9"/>
  <c r="AG81" i="9"/>
  <c r="AG173" i="9" s="1"/>
  <c r="AF70" i="11"/>
  <c r="AF75" i="11" s="1"/>
  <c r="D1550" i="10"/>
  <c r="D1549" i="10"/>
  <c r="D1535" i="10"/>
  <c r="D1533" i="10"/>
  <c r="D1543" i="10" s="1"/>
  <c r="D1544" i="10" s="1"/>
  <c r="AF203" i="9"/>
  <c r="AF256" i="9" s="1"/>
  <c r="AF187" i="9"/>
  <c r="AF183" i="9"/>
  <c r="AF181" i="9"/>
  <c r="AF177" i="9"/>
  <c r="AF174" i="9"/>
  <c r="AF173" i="9"/>
  <c r="AF171" i="9"/>
  <c r="AF169" i="9"/>
  <c r="AF168" i="9"/>
  <c r="AF87" i="9"/>
  <c r="AG87" i="9" s="1"/>
  <c r="AF84" i="9"/>
  <c r="AF176" i="9" s="1"/>
  <c r="AF80" i="9"/>
  <c r="AF172" i="9" s="1"/>
  <c r="AF148" i="9"/>
  <c r="AF121" i="9"/>
  <c r="AF114" i="9"/>
  <c r="AF115" i="9" s="1"/>
  <c r="AF88" i="9"/>
  <c r="AF180" i="9" s="1"/>
  <c r="AF86" i="9"/>
  <c r="AF75" i="9"/>
  <c r="AF8" i="9"/>
  <c r="AF106" i="11"/>
  <c r="AF116" i="11" s="1"/>
  <c r="D8" i="7"/>
  <c r="E8" i="7"/>
  <c r="G8" i="7"/>
  <c r="J8" i="7"/>
  <c r="L8" i="7"/>
  <c r="O8" i="7"/>
  <c r="O11" i="7"/>
  <c r="O15" i="7"/>
  <c r="D9" i="7"/>
  <c r="E9" i="7"/>
  <c r="G9" i="7"/>
  <c r="G11" i="7"/>
  <c r="J9" i="7"/>
  <c r="L9" i="7"/>
  <c r="C10" i="7"/>
  <c r="C11" i="7"/>
  <c r="D10" i="7"/>
  <c r="E10" i="7"/>
  <c r="G10" i="7"/>
  <c r="H10" i="7"/>
  <c r="H11" i="7"/>
  <c r="J10" i="7"/>
  <c r="J11" i="7"/>
  <c r="J15" i="7" s="1"/>
  <c r="K10" i="7"/>
  <c r="K11" i="7"/>
  <c r="B11" i="7"/>
  <c r="B15" i="7" s="1"/>
  <c r="F11" i="7"/>
  <c r="F15" i="7"/>
  <c r="F21" i="7"/>
  <c r="I11" i="7"/>
  <c r="M11" i="7"/>
  <c r="M34" i="7" s="1"/>
  <c r="N11" i="7"/>
  <c r="P11" i="7"/>
  <c r="Q11" i="7"/>
  <c r="Q15" i="7"/>
  <c r="R11" i="7"/>
  <c r="R34" i="7"/>
  <c r="R17" i="7"/>
  <c r="K13" i="7"/>
  <c r="K24" i="7"/>
  <c r="B34" i="7"/>
  <c r="F34" i="7"/>
  <c r="B36" i="7"/>
  <c r="C36" i="7"/>
  <c r="D36" i="7"/>
  <c r="E36" i="7"/>
  <c r="F36" i="7"/>
  <c r="G36" i="7"/>
  <c r="H36" i="7"/>
  <c r="I36" i="7"/>
  <c r="J37" i="7"/>
  <c r="K37" i="7"/>
  <c r="L36" i="7"/>
  <c r="M36" i="7"/>
  <c r="N36" i="7"/>
  <c r="O36" i="7"/>
  <c r="P36" i="7"/>
  <c r="Q36" i="7"/>
  <c r="R36" i="7"/>
  <c r="B39" i="7"/>
  <c r="C39" i="7"/>
  <c r="C40" i="7"/>
  <c r="D39" i="7"/>
  <c r="D40" i="7"/>
  <c r="E39" i="7"/>
  <c r="E40" i="7"/>
  <c r="F39" i="7"/>
  <c r="F54" i="7" s="1"/>
  <c r="G39" i="7"/>
  <c r="G40" i="7"/>
  <c r="H39" i="7"/>
  <c r="H40" i="7"/>
  <c r="I39" i="7"/>
  <c r="L39" i="7"/>
  <c r="L40" i="7"/>
  <c r="M39" i="7"/>
  <c r="M40" i="7"/>
  <c r="N39" i="7"/>
  <c r="O39" i="7"/>
  <c r="O40" i="7"/>
  <c r="P39" i="7"/>
  <c r="P54" i="7" s="1"/>
  <c r="Q39" i="7"/>
  <c r="Q54" i="7"/>
  <c r="R39" i="7"/>
  <c r="Q40" i="7"/>
  <c r="B43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B44" i="7"/>
  <c r="C44" i="7"/>
  <c r="D44" i="7"/>
  <c r="E44" i="7"/>
  <c r="F44" i="7"/>
  <c r="G44" i="7"/>
  <c r="H44" i="7"/>
  <c r="I44" i="7"/>
  <c r="L44" i="7"/>
  <c r="M44" i="7"/>
  <c r="N44" i="7"/>
  <c r="O44" i="7"/>
  <c r="P44" i="7"/>
  <c r="Q44" i="7"/>
  <c r="R44" i="7"/>
  <c r="B48" i="7"/>
  <c r="C48" i="7"/>
  <c r="D48" i="7"/>
  <c r="E48" i="7"/>
  <c r="F48" i="7"/>
  <c r="G48" i="7"/>
  <c r="H48" i="7"/>
  <c r="I48" i="7"/>
  <c r="L48" i="7"/>
  <c r="M48" i="7"/>
  <c r="N48" i="7"/>
  <c r="O48" i="7"/>
  <c r="P48" i="7"/>
  <c r="Q48" i="7"/>
  <c r="R48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E54" i="7"/>
  <c r="B55" i="7"/>
  <c r="C55" i="7"/>
  <c r="D55" i="7"/>
  <c r="E55" i="7"/>
  <c r="F55" i="7"/>
  <c r="G55" i="7"/>
  <c r="H55" i="7"/>
  <c r="I55" i="7"/>
  <c r="L55" i="7"/>
  <c r="M55" i="7"/>
  <c r="N55" i="7"/>
  <c r="O55" i="7"/>
  <c r="P55" i="7"/>
  <c r="Q55" i="7"/>
  <c r="R55" i="7"/>
  <c r="J57" i="7"/>
  <c r="J59" i="7" s="1"/>
  <c r="B59" i="7"/>
  <c r="C59" i="7"/>
  <c r="D59" i="7"/>
  <c r="E59" i="7"/>
  <c r="F59" i="7"/>
  <c r="G59" i="7"/>
  <c r="H59" i="7"/>
  <c r="I59" i="7"/>
  <c r="K59" i="7"/>
  <c r="L59" i="7"/>
  <c r="M59" i="7"/>
  <c r="N59" i="7"/>
  <c r="O59" i="7"/>
  <c r="P59" i="7"/>
  <c r="Q59" i="7"/>
  <c r="R59" i="7"/>
  <c r="R15" i="7"/>
  <c r="R30" i="7" s="1"/>
  <c r="R21" i="7"/>
  <c r="N15" i="7"/>
  <c r="B19" i="7"/>
  <c r="C3" i="5"/>
  <c r="D3" i="5"/>
  <c r="B30" i="7"/>
  <c r="A1" i="4"/>
  <c r="B3" i="4"/>
  <c r="B4" i="4"/>
  <c r="B12" i="4"/>
  <c r="F29" i="4"/>
  <c r="M27" i="4"/>
  <c r="M38" i="4"/>
  <c r="C3" i="2"/>
  <c r="C118" i="2"/>
  <c r="C124" i="2" s="1"/>
  <c r="C131" i="2" s="1"/>
  <c r="J3" i="2"/>
  <c r="K3" i="2"/>
  <c r="D5" i="2"/>
  <c r="F5" i="2"/>
  <c r="S5" i="2"/>
  <c r="S9" i="2"/>
  <c r="S18" i="2" s="1"/>
  <c r="T5" i="2"/>
  <c r="F6" i="2"/>
  <c r="F7" i="2"/>
  <c r="F8" i="2"/>
  <c r="B9" i="2"/>
  <c r="C9" i="2"/>
  <c r="E9" i="2"/>
  <c r="E132" i="2" s="1"/>
  <c r="E18" i="2"/>
  <c r="I9" i="2"/>
  <c r="I18" i="2"/>
  <c r="I27" i="2" s="1"/>
  <c r="J9" i="2"/>
  <c r="J18" i="2"/>
  <c r="K9" i="2"/>
  <c r="K18" i="2"/>
  <c r="L9" i="2"/>
  <c r="L18" i="2"/>
  <c r="M9" i="2"/>
  <c r="M18" i="2" s="1"/>
  <c r="N9" i="2"/>
  <c r="N18" i="2"/>
  <c r="O9" i="2"/>
  <c r="O18" i="2"/>
  <c r="P9" i="2"/>
  <c r="Q9" i="2"/>
  <c r="Q18" i="2"/>
  <c r="R9" i="2"/>
  <c r="R18" i="2" s="1"/>
  <c r="T9" i="2"/>
  <c r="T18" i="2"/>
  <c r="V9" i="2"/>
  <c r="V18" i="2" s="1"/>
  <c r="V27" i="2" s="1"/>
  <c r="Y9" i="2"/>
  <c r="Y18" i="2"/>
  <c r="Z9" i="2"/>
  <c r="Z18" i="2" s="1"/>
  <c r="F11" i="2"/>
  <c r="F12" i="2"/>
  <c r="F13" i="2"/>
  <c r="F14" i="2"/>
  <c r="F15" i="2"/>
  <c r="F16" i="2"/>
  <c r="F17" i="2"/>
  <c r="P18" i="2"/>
  <c r="F20" i="2"/>
  <c r="F141" i="2"/>
  <c r="F21" i="2"/>
  <c r="F22" i="2"/>
  <c r="F23" i="2"/>
  <c r="D24" i="2"/>
  <c r="F24" i="2"/>
  <c r="S24" i="2"/>
  <c r="T24" i="2"/>
  <c r="F25" i="2"/>
  <c r="F26" i="2"/>
  <c r="B35" i="2"/>
  <c r="F35" i="2"/>
  <c r="I35" i="2"/>
  <c r="Q45" i="2"/>
  <c r="D53" i="2"/>
  <c r="O53" i="2"/>
  <c r="P53" i="2"/>
  <c r="S53" i="2"/>
  <c r="T53" i="2"/>
  <c r="B62" i="2"/>
  <c r="C62" i="2"/>
  <c r="D62" i="2"/>
  <c r="D71" i="2" s="1"/>
  <c r="D74" i="2" s="1"/>
  <c r="I62" i="2"/>
  <c r="I71" i="2" s="1"/>
  <c r="I74" i="2" s="1"/>
  <c r="I75" i="2"/>
  <c r="L62" i="2"/>
  <c r="M62" i="2"/>
  <c r="N62" i="2"/>
  <c r="O62" i="2"/>
  <c r="O71" i="2" s="1"/>
  <c r="O74" i="2" s="1"/>
  <c r="O75" i="2" s="1"/>
  <c r="P62" i="2"/>
  <c r="Q62" i="2"/>
  <c r="R62" i="2"/>
  <c r="S62" i="2"/>
  <c r="T62" i="2"/>
  <c r="T71" i="2" s="1"/>
  <c r="T74" i="2" s="1"/>
  <c r="B69" i="2"/>
  <c r="C69" i="2"/>
  <c r="D69" i="2"/>
  <c r="I69" i="2"/>
  <c r="L69" i="2"/>
  <c r="M69" i="2"/>
  <c r="N69" i="2"/>
  <c r="O69" i="2"/>
  <c r="P69" i="2"/>
  <c r="Q69" i="2"/>
  <c r="R69" i="2"/>
  <c r="S69" i="2"/>
  <c r="T69" i="2"/>
  <c r="D75" i="2"/>
  <c r="J75" i="2"/>
  <c r="K75" i="2"/>
  <c r="B77" i="2"/>
  <c r="F77" i="2"/>
  <c r="I77" i="2"/>
  <c r="D82" i="2"/>
  <c r="D85" i="2" s="1"/>
  <c r="E82" i="2"/>
  <c r="E85" i="2"/>
  <c r="F82" i="2"/>
  <c r="F85" i="2"/>
  <c r="Q82" i="2"/>
  <c r="Q85" i="2" s="1"/>
  <c r="R82" i="2"/>
  <c r="R85" i="2"/>
  <c r="B85" i="2"/>
  <c r="B95" i="2"/>
  <c r="C85" i="2"/>
  <c r="C95" i="2" s="1"/>
  <c r="I85" i="2"/>
  <c r="L85" i="2"/>
  <c r="M85" i="2"/>
  <c r="P85" i="2"/>
  <c r="B93" i="2"/>
  <c r="C93" i="2"/>
  <c r="D93" i="2"/>
  <c r="E93" i="2"/>
  <c r="E95" i="2" s="1"/>
  <c r="F93" i="2"/>
  <c r="I93" i="2"/>
  <c r="I95" i="2" s="1"/>
  <c r="L93" i="2"/>
  <c r="M93" i="2"/>
  <c r="M95" i="2" s="1"/>
  <c r="P93" i="2"/>
  <c r="Q93" i="2"/>
  <c r="R93" i="2"/>
  <c r="B105" i="2"/>
  <c r="C105" i="2"/>
  <c r="D105" i="2"/>
  <c r="E105" i="2"/>
  <c r="F105" i="2"/>
  <c r="I105" i="2"/>
  <c r="L105" i="2"/>
  <c r="M105" i="2"/>
  <c r="P105" i="2"/>
  <c r="Q105" i="2"/>
  <c r="R105" i="2"/>
  <c r="B113" i="2"/>
  <c r="B115" i="2"/>
  <c r="C113" i="2"/>
  <c r="D113" i="2"/>
  <c r="D115" i="2" s="1"/>
  <c r="E113" i="2"/>
  <c r="E115" i="2"/>
  <c r="F113" i="2"/>
  <c r="F115" i="2" s="1"/>
  <c r="I113" i="2"/>
  <c r="L113" i="2"/>
  <c r="L115" i="2"/>
  <c r="M113" i="2"/>
  <c r="M115" i="2"/>
  <c r="P113" i="2"/>
  <c r="P115" i="2" s="1"/>
  <c r="Q113" i="2"/>
  <c r="R113" i="2"/>
  <c r="R115" i="2"/>
  <c r="B118" i="2"/>
  <c r="B124" i="2" s="1"/>
  <c r="B131" i="2" s="1"/>
  <c r="F118" i="2"/>
  <c r="I118" i="2"/>
  <c r="I124" i="2"/>
  <c r="D119" i="2"/>
  <c r="D120" i="2"/>
  <c r="D121" i="2"/>
  <c r="B122" i="2"/>
  <c r="C122" i="2"/>
  <c r="E122" i="2"/>
  <c r="E127" i="2"/>
  <c r="F122" i="2"/>
  <c r="F125" i="2" s="1"/>
  <c r="F128" i="2" s="1"/>
  <c r="I122" i="2"/>
  <c r="L122" i="2"/>
  <c r="M122" i="2"/>
  <c r="P122" i="2"/>
  <c r="Q122" i="2"/>
  <c r="Q125" i="2" s="1"/>
  <c r="Q126" i="2"/>
  <c r="R122" i="2"/>
  <c r="R123" i="2"/>
  <c r="S122" i="2"/>
  <c r="S127" i="2" s="1"/>
  <c r="T122" i="2"/>
  <c r="T125" i="2" s="1"/>
  <c r="T127" i="2"/>
  <c r="V122" i="2"/>
  <c r="V125" i="2"/>
  <c r="V128" i="2" s="1"/>
  <c r="Y122" i="2"/>
  <c r="Z122" i="2"/>
  <c r="Z126" i="2" s="1"/>
  <c r="J123" i="2"/>
  <c r="K123" i="2"/>
  <c r="N123" i="2"/>
  <c r="O123" i="2"/>
  <c r="F124" i="2"/>
  <c r="F131" i="2" s="1"/>
  <c r="N125" i="2"/>
  <c r="N128" i="2"/>
  <c r="O125" i="2"/>
  <c r="O128" i="2"/>
  <c r="E126" i="2"/>
  <c r="N126" i="2"/>
  <c r="O126" i="2"/>
  <c r="T126" i="2"/>
  <c r="F127" i="2"/>
  <c r="N127" i="2"/>
  <c r="O127" i="2"/>
  <c r="B133" i="2"/>
  <c r="C133" i="2"/>
  <c r="C142" i="2"/>
  <c r="E133" i="2"/>
  <c r="B136" i="2"/>
  <c r="B137" i="2" s="1"/>
  <c r="B139" i="2" s="1"/>
  <c r="C136" i="2"/>
  <c r="C137" i="2" s="1"/>
  <c r="D136" i="2"/>
  <c r="D137" i="2"/>
  <c r="D139" i="2"/>
  <c r="E136" i="2"/>
  <c r="E137" i="2"/>
  <c r="E139" i="2"/>
  <c r="F136" i="2"/>
  <c r="F137" i="2" s="1"/>
  <c r="F139" i="2" s="1"/>
  <c r="B141" i="2"/>
  <c r="B142" i="2"/>
  <c r="C141" i="2"/>
  <c r="D141" i="2"/>
  <c r="E141" i="2"/>
  <c r="B144" i="2"/>
  <c r="C144" i="2"/>
  <c r="D144" i="2"/>
  <c r="E144" i="2"/>
  <c r="F144" i="2"/>
  <c r="C154" i="2"/>
  <c r="D154" i="2"/>
  <c r="B169" i="2"/>
  <c r="F169" i="2"/>
  <c r="B188" i="2"/>
  <c r="C188" i="2"/>
  <c r="D188" i="2"/>
  <c r="E188" i="2"/>
  <c r="F188" i="2"/>
  <c r="I188" i="2"/>
  <c r="J188" i="2"/>
  <c r="K188" i="2"/>
  <c r="L188" i="2"/>
  <c r="M188" i="2"/>
  <c r="N188" i="2"/>
  <c r="O188" i="2"/>
  <c r="P188" i="2"/>
  <c r="Q188" i="2"/>
  <c r="Q3" i="11"/>
  <c r="R3" i="11" s="1"/>
  <c r="S3" i="11" s="1"/>
  <c r="T3" i="11" s="1"/>
  <c r="U3" i="11" s="1"/>
  <c r="V3" i="11" s="1"/>
  <c r="W3" i="11" s="1"/>
  <c r="X3" i="11" s="1"/>
  <c r="Y3" i="11" s="1"/>
  <c r="Z3" i="11" s="1"/>
  <c r="AA3" i="11" s="1"/>
  <c r="AB3" i="11" s="1"/>
  <c r="AC3" i="11" s="1"/>
  <c r="AD3" i="11" s="1"/>
  <c r="AE3" i="11" s="1"/>
  <c r="AF3" i="11" s="1"/>
  <c r="AG3" i="11" s="1"/>
  <c r="AH3" i="11" s="1"/>
  <c r="AI3" i="11" s="1"/>
  <c r="AJ3" i="11" s="1"/>
  <c r="D10" i="11"/>
  <c r="E10" i="11"/>
  <c r="F10" i="11"/>
  <c r="G10" i="11"/>
  <c r="D11" i="11"/>
  <c r="E11" i="11"/>
  <c r="F11" i="11"/>
  <c r="G11" i="11"/>
  <c r="D12" i="11"/>
  <c r="E12" i="11"/>
  <c r="F12" i="11"/>
  <c r="F13" i="11" s="1"/>
  <c r="G12" i="11"/>
  <c r="G13" i="11" s="1"/>
  <c r="D15" i="11"/>
  <c r="D16" i="11" s="1"/>
  <c r="E15" i="11"/>
  <c r="E16" i="11" s="1"/>
  <c r="F15" i="11"/>
  <c r="G15" i="11"/>
  <c r="D19" i="11"/>
  <c r="E19" i="11"/>
  <c r="F19" i="11"/>
  <c r="G19" i="11"/>
  <c r="D20" i="11"/>
  <c r="E20" i="11"/>
  <c r="F20" i="11"/>
  <c r="G20" i="11"/>
  <c r="D21" i="11"/>
  <c r="E21" i="11"/>
  <c r="F21" i="11"/>
  <c r="G21" i="11"/>
  <c r="D22" i="11"/>
  <c r="E22" i="11"/>
  <c r="F22" i="11"/>
  <c r="G22" i="11"/>
  <c r="D25" i="11"/>
  <c r="E25" i="11"/>
  <c r="F25" i="11"/>
  <c r="G25" i="11"/>
  <c r="D26" i="11"/>
  <c r="E26" i="11"/>
  <c r="F26" i="11"/>
  <c r="G26" i="11"/>
  <c r="D30" i="11"/>
  <c r="E30" i="11"/>
  <c r="F30" i="11"/>
  <c r="G30" i="11"/>
  <c r="D31" i="11"/>
  <c r="E31" i="11"/>
  <c r="F31" i="11"/>
  <c r="G31" i="11"/>
  <c r="D32" i="11"/>
  <c r="E32" i="11"/>
  <c r="F32" i="11"/>
  <c r="G32" i="11"/>
  <c r="D33" i="11"/>
  <c r="E33" i="11"/>
  <c r="F33" i="11"/>
  <c r="G33" i="11"/>
  <c r="D34" i="11"/>
  <c r="E34" i="11"/>
  <c r="F34" i="11"/>
  <c r="G34" i="11"/>
  <c r="D35" i="11"/>
  <c r="E35" i="11"/>
  <c r="F35" i="11"/>
  <c r="G35" i="11"/>
  <c r="D40" i="11"/>
  <c r="E40" i="11"/>
  <c r="F40" i="11"/>
  <c r="G40" i="11"/>
  <c r="D41" i="11"/>
  <c r="E41" i="11"/>
  <c r="F41" i="11"/>
  <c r="G41" i="11"/>
  <c r="D42" i="11"/>
  <c r="E42" i="11"/>
  <c r="F42" i="11"/>
  <c r="G42" i="11"/>
  <c r="D43" i="11"/>
  <c r="E43" i="11"/>
  <c r="F43" i="11"/>
  <c r="G43" i="11"/>
  <c r="D46" i="11"/>
  <c r="E46" i="11"/>
  <c r="F46" i="11"/>
  <c r="G46" i="11"/>
  <c r="D47" i="11"/>
  <c r="E47" i="11"/>
  <c r="F47" i="11"/>
  <c r="G47" i="11"/>
  <c r="D48" i="11"/>
  <c r="E48" i="11"/>
  <c r="F48" i="11"/>
  <c r="G48" i="11"/>
  <c r="D49" i="11"/>
  <c r="E49" i="11"/>
  <c r="F49" i="11"/>
  <c r="G49" i="11"/>
  <c r="D52" i="11"/>
  <c r="E52" i="11"/>
  <c r="F52" i="11"/>
  <c r="G52" i="11"/>
  <c r="D53" i="11"/>
  <c r="E53" i="11"/>
  <c r="F53" i="11"/>
  <c r="G53" i="11"/>
  <c r="D54" i="11"/>
  <c r="E54" i="11"/>
  <c r="F54" i="11"/>
  <c r="G54" i="11"/>
  <c r="D55" i="11"/>
  <c r="E55" i="11"/>
  <c r="F55" i="11"/>
  <c r="G55" i="11"/>
  <c r="F58" i="11"/>
  <c r="G58" i="11"/>
  <c r="F59" i="11"/>
  <c r="G59" i="11"/>
  <c r="F60" i="11"/>
  <c r="G60" i="11"/>
  <c r="F61" i="11"/>
  <c r="G61" i="11"/>
  <c r="F65" i="11"/>
  <c r="G65" i="11"/>
  <c r="F66" i="11"/>
  <c r="G66" i="11"/>
  <c r="F67" i="11"/>
  <c r="G67" i="11"/>
  <c r="AC70" i="11"/>
  <c r="AD70" i="11"/>
  <c r="AE70" i="11"/>
  <c r="AB70" i="11"/>
  <c r="U70" i="11"/>
  <c r="V70" i="11"/>
  <c r="W70" i="11"/>
  <c r="X70" i="11"/>
  <c r="Y70" i="11"/>
  <c r="Z70" i="11"/>
  <c r="AA70" i="11"/>
  <c r="D82" i="11"/>
  <c r="E82" i="11"/>
  <c r="F82" i="11"/>
  <c r="G82" i="11"/>
  <c r="D83" i="11"/>
  <c r="E83" i="11"/>
  <c r="F83" i="11"/>
  <c r="G83" i="11"/>
  <c r="D86" i="11"/>
  <c r="E86" i="11"/>
  <c r="F86" i="11"/>
  <c r="G86" i="11"/>
  <c r="D87" i="11"/>
  <c r="E87" i="11"/>
  <c r="F87" i="11"/>
  <c r="G87" i="11"/>
  <c r="D88" i="11"/>
  <c r="E88" i="11"/>
  <c r="F88" i="11"/>
  <c r="G88" i="11"/>
  <c r="D89" i="11"/>
  <c r="E89" i="11"/>
  <c r="F89" i="11"/>
  <c r="G89" i="11"/>
  <c r="D90" i="11"/>
  <c r="E90" i="11"/>
  <c r="F90" i="11"/>
  <c r="G90" i="11"/>
  <c r="D91" i="11"/>
  <c r="E91" i="11"/>
  <c r="F91" i="11"/>
  <c r="G91" i="11"/>
  <c r="D92" i="11"/>
  <c r="E92" i="11"/>
  <c r="F92" i="11"/>
  <c r="G92" i="11"/>
  <c r="D96" i="11"/>
  <c r="E96" i="11"/>
  <c r="F96" i="11"/>
  <c r="G96" i="11"/>
  <c r="D97" i="11"/>
  <c r="E97" i="11"/>
  <c r="F97" i="11"/>
  <c r="G97" i="11"/>
  <c r="D100" i="11"/>
  <c r="E100" i="11"/>
  <c r="F100" i="11"/>
  <c r="G100" i="11"/>
  <c r="D101" i="11"/>
  <c r="E101" i="11"/>
  <c r="F101" i="11"/>
  <c r="G101" i="11"/>
  <c r="D102" i="11"/>
  <c r="E102" i="11"/>
  <c r="F102" i="11"/>
  <c r="G102" i="11"/>
  <c r="D103" i="11"/>
  <c r="E103" i="11"/>
  <c r="F103" i="11"/>
  <c r="G103" i="11"/>
  <c r="D104" i="11"/>
  <c r="E104" i="11"/>
  <c r="F104" i="11"/>
  <c r="G104" i="11"/>
  <c r="D105" i="11"/>
  <c r="E105" i="11"/>
  <c r="F105" i="11"/>
  <c r="G105" i="11"/>
  <c r="Q106" i="11"/>
  <c r="Q110" i="11" s="1"/>
  <c r="R106" i="11"/>
  <c r="R115" i="11" s="1"/>
  <c r="S106" i="11"/>
  <c r="S111" i="11" s="1"/>
  <c r="T106" i="11"/>
  <c r="T113" i="11" s="1"/>
  <c r="U106" i="11"/>
  <c r="V106" i="11"/>
  <c r="V116" i="11" s="1"/>
  <c r="W106" i="11"/>
  <c r="W113" i="11" s="1"/>
  <c r="X106" i="11"/>
  <c r="X114" i="11" s="1"/>
  <c r="Y106" i="11"/>
  <c r="Y110" i="11" s="1"/>
  <c r="Z106" i="11"/>
  <c r="Z114" i="11" s="1"/>
  <c r="AA106" i="11"/>
  <c r="AA114" i="11" s="1"/>
  <c r="AB106" i="11"/>
  <c r="AB114" i="11" s="1"/>
  <c r="AC106" i="11"/>
  <c r="AC110" i="11" s="1"/>
  <c r="AD106" i="11"/>
  <c r="AD117" i="11" s="1"/>
  <c r="AE106" i="11"/>
  <c r="AE117" i="11" s="1"/>
  <c r="P110" i="11"/>
  <c r="P111" i="11"/>
  <c r="P113" i="11"/>
  <c r="P114" i="11"/>
  <c r="P115" i="11"/>
  <c r="P116" i="11"/>
  <c r="P117" i="11"/>
  <c r="P118" i="11"/>
  <c r="P119" i="11"/>
  <c r="G4" i="3"/>
  <c r="I4" i="3"/>
  <c r="J4" i="3"/>
  <c r="G5" i="3"/>
  <c r="I5" i="3"/>
  <c r="J5" i="3"/>
  <c r="G6" i="3"/>
  <c r="I6" i="3"/>
  <c r="G7" i="3"/>
  <c r="I7" i="3"/>
  <c r="G8" i="3"/>
  <c r="I8" i="3"/>
  <c r="G9" i="3"/>
  <c r="I9" i="3"/>
  <c r="D11" i="3"/>
  <c r="E15" i="3"/>
  <c r="G15" i="3"/>
  <c r="E16" i="3"/>
  <c r="E24" i="3" s="1"/>
  <c r="G16" i="3"/>
  <c r="G24" i="3"/>
  <c r="E17" i="3"/>
  <c r="G17" i="3"/>
  <c r="E18" i="3"/>
  <c r="G18" i="3"/>
  <c r="E19" i="3"/>
  <c r="G19" i="3"/>
  <c r="E20" i="3"/>
  <c r="G20" i="3"/>
  <c r="E21" i="3"/>
  <c r="G21" i="3"/>
  <c r="E22" i="3"/>
  <c r="G22" i="3"/>
  <c r="E23" i="3"/>
  <c r="G23" i="3"/>
  <c r="C24" i="3"/>
  <c r="D24" i="3"/>
  <c r="F24" i="3"/>
  <c r="G28" i="3"/>
  <c r="C39" i="3" s="1"/>
  <c r="H28" i="3"/>
  <c r="C51" i="3" s="1"/>
  <c r="G29" i="3"/>
  <c r="B39" i="3" s="1"/>
  <c r="H29" i="3"/>
  <c r="B51" i="3"/>
  <c r="G30" i="3"/>
  <c r="H30" i="3"/>
  <c r="G37" i="3"/>
  <c r="F110" i="3" s="1"/>
  <c r="D40" i="3"/>
  <c r="D41" i="3" s="1"/>
  <c r="B41" i="3" s="1"/>
  <c r="G49" i="3"/>
  <c r="H49" i="3" s="1"/>
  <c r="D52" i="3"/>
  <c r="B52" i="3"/>
  <c r="G62" i="3"/>
  <c r="R62" i="3" s="1"/>
  <c r="D63" i="3"/>
  <c r="G63" i="3"/>
  <c r="F63" i="3"/>
  <c r="Q63" i="3"/>
  <c r="G64" i="3"/>
  <c r="C95" i="3"/>
  <c r="C96" i="3"/>
  <c r="C104" i="3" s="1"/>
  <c r="I67" i="3"/>
  <c r="D72" i="3"/>
  <c r="E72" i="3" s="1"/>
  <c r="D76" i="3"/>
  <c r="C100" i="3"/>
  <c r="D113" i="3"/>
  <c r="E113" i="3"/>
  <c r="F113" i="3"/>
  <c r="G113" i="3" s="1"/>
  <c r="H113" i="3"/>
  <c r="E114" i="3"/>
  <c r="F114" i="3" s="1"/>
  <c r="G114" i="3" s="1"/>
  <c r="H114" i="3" s="1"/>
  <c r="E115" i="3"/>
  <c r="F115" i="3"/>
  <c r="G115" i="3" s="1"/>
  <c r="H115" i="3"/>
  <c r="J122" i="3"/>
  <c r="B127" i="3"/>
  <c r="B130" i="3"/>
  <c r="D132" i="3"/>
  <c r="E132" i="3"/>
  <c r="F132" i="3" s="1"/>
  <c r="G132" i="3" s="1"/>
  <c r="H132" i="3" s="1"/>
  <c r="J132" i="3" s="1"/>
  <c r="C136" i="3"/>
  <c r="E143" i="3"/>
  <c r="F143" i="3"/>
  <c r="G143" i="3"/>
  <c r="H143" i="3" s="1"/>
  <c r="J143" i="3" s="1"/>
  <c r="Q3" i="9"/>
  <c r="Q61" i="9" s="1"/>
  <c r="Q73" i="9" s="1"/>
  <c r="Q98" i="9" s="1"/>
  <c r="Q155" i="9" s="1"/>
  <c r="AE7" i="9"/>
  <c r="S7" i="9"/>
  <c r="W7" i="9"/>
  <c r="AA7" i="9"/>
  <c r="BB7" i="9"/>
  <c r="AC8" i="9"/>
  <c r="AC14" i="9" s="1"/>
  <c r="AD8" i="9"/>
  <c r="S8" i="9"/>
  <c r="W8" i="9"/>
  <c r="AA8" i="9"/>
  <c r="BB8" i="9"/>
  <c r="AE10" i="9"/>
  <c r="S10" i="9"/>
  <c r="W10" i="9"/>
  <c r="AA10" i="9"/>
  <c r="BB10" i="9"/>
  <c r="AE11" i="9"/>
  <c r="S11" i="9"/>
  <c r="W11" i="9"/>
  <c r="AA11" i="9"/>
  <c r="BB11" i="9"/>
  <c r="AE13" i="9"/>
  <c r="S13" i="9"/>
  <c r="W13" i="9"/>
  <c r="AA13" i="9"/>
  <c r="BB13" i="9"/>
  <c r="C158" i="9"/>
  <c r="D99" i="9"/>
  <c r="D142" i="9" s="1"/>
  <c r="D207" i="9" s="1"/>
  <c r="E47" i="9"/>
  <c r="F43" i="9"/>
  <c r="G51" i="9"/>
  <c r="P44" i="9"/>
  <c r="Q158" i="9"/>
  <c r="R21" i="9"/>
  <c r="R25" i="9" s="1"/>
  <c r="T45" i="9"/>
  <c r="U52" i="9"/>
  <c r="V158" i="9"/>
  <c r="X51" i="9"/>
  <c r="Y49" i="9"/>
  <c r="Z47" i="9"/>
  <c r="AB44" i="9"/>
  <c r="AE16" i="9"/>
  <c r="S16" i="9"/>
  <c r="W16" i="9"/>
  <c r="AA16" i="9"/>
  <c r="BB16" i="9"/>
  <c r="AE17" i="9"/>
  <c r="S17" i="9"/>
  <c r="W17" i="9"/>
  <c r="AA17" i="9"/>
  <c r="BB17" i="9"/>
  <c r="AE18" i="9"/>
  <c r="S18" i="9"/>
  <c r="W18" i="9"/>
  <c r="AA18" i="9"/>
  <c r="BB18" i="9"/>
  <c r="AE19" i="9"/>
  <c r="S19" i="9"/>
  <c r="W19" i="9"/>
  <c r="AA19" i="9"/>
  <c r="BB19" i="9"/>
  <c r="AE20" i="9"/>
  <c r="S20" i="9"/>
  <c r="W20" i="9"/>
  <c r="AA20" i="9"/>
  <c r="BB20" i="9"/>
  <c r="AE22" i="9"/>
  <c r="S22" i="9"/>
  <c r="W22" i="9"/>
  <c r="AA22" i="9"/>
  <c r="BB22" i="9"/>
  <c r="AE24" i="9"/>
  <c r="AH55" i="9" s="1"/>
  <c r="S24" i="9"/>
  <c r="U55" i="9" s="1"/>
  <c r="W24" i="9"/>
  <c r="Y55" i="9" s="1"/>
  <c r="AA24" i="9"/>
  <c r="AC55" i="9" s="1"/>
  <c r="BB24" i="9"/>
  <c r="AE26" i="9"/>
  <c r="S26" i="9"/>
  <c r="W26" i="9"/>
  <c r="AA26" i="9"/>
  <c r="BB26" i="9"/>
  <c r="AE27" i="9"/>
  <c r="S27" i="9"/>
  <c r="W27" i="9"/>
  <c r="AA27" i="9"/>
  <c r="BB27" i="9"/>
  <c r="AE28" i="9"/>
  <c r="S28" i="9"/>
  <c r="W28" i="9"/>
  <c r="AA28" i="9"/>
  <c r="BB28" i="9"/>
  <c r="AE29" i="9"/>
  <c r="S29" i="9"/>
  <c r="W29" i="9"/>
  <c r="AA29" i="9"/>
  <c r="BB29" i="9"/>
  <c r="AE33" i="9"/>
  <c r="S33" i="9"/>
  <c r="W33" i="9"/>
  <c r="AA33" i="9"/>
  <c r="BB33" i="9"/>
  <c r="AE34" i="9"/>
  <c r="S34" i="9"/>
  <c r="W34" i="9"/>
  <c r="AA34" i="9"/>
  <c r="BB34" i="9"/>
  <c r="AE35" i="9"/>
  <c r="S35" i="9"/>
  <c r="W35" i="9"/>
  <c r="AA35" i="9"/>
  <c r="BB35" i="9"/>
  <c r="AE36" i="9"/>
  <c r="S36" i="9"/>
  <c r="W36" i="9"/>
  <c r="AA36" i="9"/>
  <c r="BB36" i="9"/>
  <c r="AE37" i="9"/>
  <c r="AA37" i="9"/>
  <c r="BB37" i="9"/>
  <c r="AE38" i="9"/>
  <c r="S38" i="9"/>
  <c r="W38" i="9"/>
  <c r="AA38" i="9"/>
  <c r="BB38" i="9"/>
  <c r="B44" i="9"/>
  <c r="B45" i="9"/>
  <c r="B47" i="9"/>
  <c r="B48" i="9"/>
  <c r="B49" i="9"/>
  <c r="B50" i="9"/>
  <c r="B51" i="9"/>
  <c r="B52" i="9"/>
  <c r="B53" i="9"/>
  <c r="C121" i="9"/>
  <c r="C125" i="9" s="1"/>
  <c r="C189" i="9" s="1"/>
  <c r="D121" i="9"/>
  <c r="D126" i="9" s="1"/>
  <c r="D129" i="9" s="1"/>
  <c r="E121" i="9"/>
  <c r="E125" i="9" s="1"/>
  <c r="F121" i="9"/>
  <c r="F126" i="9" s="1"/>
  <c r="G121" i="9"/>
  <c r="G125" i="9" s="1"/>
  <c r="H121" i="9"/>
  <c r="H54" i="9" s="1"/>
  <c r="AE119" i="9"/>
  <c r="D1621" i="10" s="1"/>
  <c r="AE120" i="9"/>
  <c r="S119" i="9"/>
  <c r="S120" i="9"/>
  <c r="T121" i="9"/>
  <c r="T125" i="9" s="1"/>
  <c r="U121" i="9"/>
  <c r="U125" i="9" s="1"/>
  <c r="V121" i="9"/>
  <c r="V126" i="9" s="1"/>
  <c r="V190" i="9" s="1"/>
  <c r="W119" i="9"/>
  <c r="W120" i="9"/>
  <c r="X121" i="9"/>
  <c r="X125" i="9" s="1"/>
  <c r="Y121" i="9"/>
  <c r="Y125" i="9" s="1"/>
  <c r="Z121" i="9"/>
  <c r="AA119" i="9"/>
  <c r="AA120" i="9"/>
  <c r="AB121" i="9"/>
  <c r="AB126" i="9" s="1"/>
  <c r="AB129" i="9" s="1"/>
  <c r="AC121" i="9"/>
  <c r="AC125" i="9" s="1"/>
  <c r="AC150" i="9" s="1"/>
  <c r="AD121" i="9"/>
  <c r="AD126" i="9" s="1"/>
  <c r="AD129" i="9" s="1"/>
  <c r="BB119" i="9"/>
  <c r="BB120" i="9"/>
  <c r="C55" i="9"/>
  <c r="D55" i="9"/>
  <c r="E55" i="9"/>
  <c r="F55" i="9"/>
  <c r="G55" i="9"/>
  <c r="H55" i="9"/>
  <c r="AE123" i="9"/>
  <c r="AE187" i="9" s="1"/>
  <c r="S123" i="9"/>
  <c r="W123" i="9"/>
  <c r="W148" i="9" s="1"/>
  <c r="AA123" i="9"/>
  <c r="AA148" i="9" s="1"/>
  <c r="BB123" i="9"/>
  <c r="BB187" i="9" s="1"/>
  <c r="D79" i="9"/>
  <c r="D238" i="9" s="1"/>
  <c r="E79" i="9"/>
  <c r="F79" i="9"/>
  <c r="F238" i="9" s="1"/>
  <c r="G79" i="9"/>
  <c r="H79" i="9"/>
  <c r="H105" i="9" s="1"/>
  <c r="H146" i="9" s="1"/>
  <c r="H211" i="9" s="1"/>
  <c r="AC79" i="9"/>
  <c r="AD79" i="9" s="1"/>
  <c r="AD171" i="9" s="1"/>
  <c r="Q79" i="9"/>
  <c r="T79" i="9"/>
  <c r="T171" i="9" s="1"/>
  <c r="Y79" i="9"/>
  <c r="C61" i="9"/>
  <c r="C73" i="9" s="1"/>
  <c r="C98" i="9" s="1"/>
  <c r="C108" i="9" s="1"/>
  <c r="C131" i="9" s="1"/>
  <c r="C220" i="9" s="1"/>
  <c r="C141" i="9" s="1"/>
  <c r="D61" i="9"/>
  <c r="D73" i="9" s="1"/>
  <c r="D98" i="9" s="1"/>
  <c r="D108" i="9" s="1"/>
  <c r="D131" i="9" s="1"/>
  <c r="D220" i="9" s="1"/>
  <c r="D141" i="9" s="1"/>
  <c r="E61" i="9"/>
  <c r="E73" i="9" s="1"/>
  <c r="E98" i="9" s="1"/>
  <c r="E155" i="9" s="1"/>
  <c r="F61" i="9"/>
  <c r="F73" i="9" s="1"/>
  <c r="F98" i="9" s="1"/>
  <c r="F155" i="9" s="1"/>
  <c r="G61" i="9"/>
  <c r="G73" i="9" s="1"/>
  <c r="G98" i="9" s="1"/>
  <c r="G155" i="9" s="1"/>
  <c r="H61" i="9"/>
  <c r="H73" i="9" s="1"/>
  <c r="H98" i="9" s="1"/>
  <c r="H155" i="9" s="1"/>
  <c r="P61" i="9"/>
  <c r="P73" i="9" s="1"/>
  <c r="P98" i="9" s="1"/>
  <c r="P155" i="9" s="1"/>
  <c r="C75" i="9"/>
  <c r="D75" i="9"/>
  <c r="D167" i="9" s="1"/>
  <c r="E75" i="9"/>
  <c r="E234" i="9" s="1"/>
  <c r="F75" i="9"/>
  <c r="G75" i="9"/>
  <c r="H75" i="9"/>
  <c r="H234" i="9" s="1"/>
  <c r="AB75" i="9"/>
  <c r="AC75" i="9" s="1"/>
  <c r="AD75" i="9" s="1"/>
  <c r="AD167" i="9" s="1"/>
  <c r="P75" i="9"/>
  <c r="T75" i="9"/>
  <c r="U75" i="9" s="1"/>
  <c r="X75" i="9"/>
  <c r="AC76" i="9"/>
  <c r="Q76" i="9"/>
  <c r="U76" i="9"/>
  <c r="U235" i="9" s="1"/>
  <c r="Y76" i="9"/>
  <c r="Z76" i="9" s="1"/>
  <c r="BB76" i="9" s="1"/>
  <c r="AC77" i="9"/>
  <c r="AC169" i="9" s="1"/>
  <c r="Q77" i="9"/>
  <c r="U77" i="9"/>
  <c r="V77" i="9" s="1"/>
  <c r="W77" i="9" s="1"/>
  <c r="Y77" i="9"/>
  <c r="Z77" i="9" s="1"/>
  <c r="Z236" i="9" s="1"/>
  <c r="F80" i="9"/>
  <c r="F172" i="9" s="1"/>
  <c r="AC80" i="9"/>
  <c r="AC172" i="9" s="1"/>
  <c r="Q80" i="9"/>
  <c r="U80" i="9"/>
  <c r="U239" i="9" s="1"/>
  <c r="Y80" i="9"/>
  <c r="Y172" i="9" s="1"/>
  <c r="AC81" i="9"/>
  <c r="AD81" i="9" s="1"/>
  <c r="Q81" i="9"/>
  <c r="U81" i="9"/>
  <c r="V81" i="9" s="1"/>
  <c r="W81" i="9" s="1"/>
  <c r="Y81" i="9"/>
  <c r="Y173" i="9" s="1"/>
  <c r="AC82" i="9"/>
  <c r="AD82" i="9" s="1"/>
  <c r="AD174" i="9" s="1"/>
  <c r="Q82" i="9"/>
  <c r="U82" i="9"/>
  <c r="V82" i="9" s="1"/>
  <c r="W82" i="9" s="1"/>
  <c r="W174" i="9" s="1"/>
  <c r="Y82" i="9"/>
  <c r="Y174" i="9" s="1"/>
  <c r="C84" i="9"/>
  <c r="C243" i="9" s="1"/>
  <c r="D84" i="9"/>
  <c r="D243" i="9" s="1"/>
  <c r="E84" i="9"/>
  <c r="E176" i="9" s="1"/>
  <c r="G84" i="9"/>
  <c r="G243" i="9" s="1"/>
  <c r="H84" i="9"/>
  <c r="H176" i="9" s="1"/>
  <c r="AC84" i="9"/>
  <c r="AC176" i="9" s="1"/>
  <c r="Q84" i="9"/>
  <c r="T84" i="9"/>
  <c r="T176" i="9" s="1"/>
  <c r="Y84" i="9"/>
  <c r="Y243" i="9" s="1"/>
  <c r="AC85" i="9"/>
  <c r="AD85" i="9" s="1"/>
  <c r="Q85" i="9"/>
  <c r="U85" i="9"/>
  <c r="U177" i="9" s="1"/>
  <c r="Y85" i="9"/>
  <c r="Z85" i="9" s="1"/>
  <c r="AC86" i="9"/>
  <c r="AC178" i="9" s="1"/>
  <c r="Q86" i="9"/>
  <c r="U86" i="9"/>
  <c r="V86" i="9" s="1"/>
  <c r="Y86" i="9"/>
  <c r="Z86" i="9" s="1"/>
  <c r="AC87" i="9"/>
  <c r="AC179" i="9" s="1"/>
  <c r="Q87" i="9"/>
  <c r="U87" i="9"/>
  <c r="U246" i="9" s="1"/>
  <c r="Y87" i="9"/>
  <c r="Y179" i="9" s="1"/>
  <c r="C88" i="9"/>
  <c r="C180" i="9" s="1"/>
  <c r="D88" i="9"/>
  <c r="D180" i="9" s="1"/>
  <c r="E88" i="9"/>
  <c r="E180" i="9" s="1"/>
  <c r="F88" i="9"/>
  <c r="F247" i="9" s="1"/>
  <c r="G88" i="9"/>
  <c r="G180" i="9" s="1"/>
  <c r="H88" i="9"/>
  <c r="H247" i="9" s="1"/>
  <c r="AB88" i="9"/>
  <c r="AB180" i="9" s="1"/>
  <c r="Q88" i="9"/>
  <c r="T88" i="9"/>
  <c r="T180" i="9" s="1"/>
  <c r="X88" i="9"/>
  <c r="Y88" i="9" s="1"/>
  <c r="Y180" i="9" s="1"/>
  <c r="H89" i="9"/>
  <c r="AD89" i="9"/>
  <c r="AD181" i="9" s="1"/>
  <c r="Q89" i="9"/>
  <c r="Q181" i="9" s="1"/>
  <c r="U89" i="9"/>
  <c r="U248" i="9" s="1"/>
  <c r="Y89" i="9"/>
  <c r="Y181" i="9" s="1"/>
  <c r="AC91" i="9"/>
  <c r="AD91" i="9" s="1"/>
  <c r="AD183" i="9" s="1"/>
  <c r="Q91" i="9"/>
  <c r="U91" i="9"/>
  <c r="U183" i="9" s="1"/>
  <c r="Y91" i="9"/>
  <c r="Z91" i="9" s="1"/>
  <c r="AA91" i="9" s="1"/>
  <c r="AA183" i="9" s="1"/>
  <c r="B99" i="9"/>
  <c r="B142" i="9" s="1"/>
  <c r="C103" i="9"/>
  <c r="C145" i="9" s="1"/>
  <c r="C210" i="9" s="1"/>
  <c r="D103" i="9"/>
  <c r="D145" i="9" s="1"/>
  <c r="D210" i="9" s="1"/>
  <c r="E103" i="9"/>
  <c r="E145" i="9" s="1"/>
  <c r="E210" i="9" s="1"/>
  <c r="F103" i="9"/>
  <c r="F145" i="9" s="1"/>
  <c r="F210" i="9" s="1"/>
  <c r="G103" i="9"/>
  <c r="G145" i="9" s="1"/>
  <c r="G210" i="9" s="1"/>
  <c r="H103" i="9"/>
  <c r="H145" i="9" s="1"/>
  <c r="H210" i="9" s="1"/>
  <c r="C105" i="9"/>
  <c r="C146" i="9" s="1"/>
  <c r="C211" i="9" s="1"/>
  <c r="E108" i="9"/>
  <c r="E131" i="9" s="1"/>
  <c r="E220" i="9" s="1"/>
  <c r="E141" i="9" s="1"/>
  <c r="F108" i="9"/>
  <c r="F131" i="9" s="1"/>
  <c r="F220" i="9" s="1"/>
  <c r="F141" i="9" s="1"/>
  <c r="G108" i="9"/>
  <c r="G131" i="9" s="1"/>
  <c r="G220" i="9" s="1"/>
  <c r="G141" i="9" s="1"/>
  <c r="H108" i="9"/>
  <c r="H131" i="9" s="1"/>
  <c r="H220" i="9" s="1"/>
  <c r="H141" i="9" s="1"/>
  <c r="AE110" i="9"/>
  <c r="S110" i="9"/>
  <c r="W110" i="9"/>
  <c r="AA110" i="9"/>
  <c r="BB110" i="9"/>
  <c r="AE111" i="9"/>
  <c r="S111" i="9"/>
  <c r="W111" i="9"/>
  <c r="AA111" i="9"/>
  <c r="BB111" i="9"/>
  <c r="AE113" i="9"/>
  <c r="S113" i="9"/>
  <c r="W113" i="9"/>
  <c r="AA113" i="9"/>
  <c r="BB113" i="9"/>
  <c r="C114" i="9"/>
  <c r="C115" i="9" s="1"/>
  <c r="D114" i="9"/>
  <c r="D115" i="9" s="1"/>
  <c r="E114" i="9"/>
  <c r="F114" i="9"/>
  <c r="G114" i="9"/>
  <c r="H114" i="9"/>
  <c r="R114" i="9"/>
  <c r="R115" i="9" s="1"/>
  <c r="T114" i="9"/>
  <c r="T115" i="9" s="1"/>
  <c r="U114" i="9"/>
  <c r="U115" i="9" s="1"/>
  <c r="V114" i="9"/>
  <c r="V115" i="9" s="1"/>
  <c r="X114" i="9"/>
  <c r="X115" i="9" s="1"/>
  <c r="Y114" i="9"/>
  <c r="Y115" i="9" s="1"/>
  <c r="Z114" i="9"/>
  <c r="Z115" i="9" s="1"/>
  <c r="AB114" i="9"/>
  <c r="AB115" i="9" s="1"/>
  <c r="AC114" i="9"/>
  <c r="AC115" i="9" s="1"/>
  <c r="AD114" i="9"/>
  <c r="AD115" i="9" s="1"/>
  <c r="P121" i="9"/>
  <c r="P126" i="9" s="1"/>
  <c r="Q121" i="9"/>
  <c r="Q125" i="9" s="1"/>
  <c r="Q189" i="9" s="1"/>
  <c r="R121" i="9"/>
  <c r="R126" i="9" s="1"/>
  <c r="R190" i="9" s="1"/>
  <c r="AE128" i="9"/>
  <c r="D1607" i="10" s="1"/>
  <c r="S128" i="9"/>
  <c r="W128" i="9"/>
  <c r="AA128" i="9"/>
  <c r="D1860" i="10" s="1"/>
  <c r="BB128" i="9"/>
  <c r="B143" i="9"/>
  <c r="B145" i="9"/>
  <c r="B146" i="9"/>
  <c r="B147" i="9"/>
  <c r="C148" i="9"/>
  <c r="D148" i="9"/>
  <c r="E148" i="9"/>
  <c r="F148" i="9"/>
  <c r="G148" i="9"/>
  <c r="H148" i="9"/>
  <c r="T148" i="9"/>
  <c r="U148" i="9"/>
  <c r="V148" i="9"/>
  <c r="X148" i="9"/>
  <c r="Y148" i="9"/>
  <c r="Z148" i="9"/>
  <c r="AB148" i="9"/>
  <c r="AC148" i="9"/>
  <c r="AD148" i="9"/>
  <c r="B158" i="9"/>
  <c r="B162" i="9"/>
  <c r="B166" i="9"/>
  <c r="B167" i="9"/>
  <c r="B168" i="9"/>
  <c r="C168" i="9"/>
  <c r="D168" i="9"/>
  <c r="E168" i="9"/>
  <c r="F168" i="9"/>
  <c r="G168" i="9"/>
  <c r="H168" i="9"/>
  <c r="P168" i="9"/>
  <c r="T168" i="9"/>
  <c r="X168" i="9"/>
  <c r="AB168" i="9"/>
  <c r="B169" i="9"/>
  <c r="C169" i="9"/>
  <c r="D169" i="9"/>
  <c r="E169" i="9"/>
  <c r="F169" i="9"/>
  <c r="G169" i="9"/>
  <c r="H169" i="9"/>
  <c r="P169" i="9"/>
  <c r="T169" i="9"/>
  <c r="X169" i="9"/>
  <c r="AB169" i="9"/>
  <c r="B170" i="9"/>
  <c r="B171" i="9"/>
  <c r="C171" i="9"/>
  <c r="P171" i="9"/>
  <c r="X171" i="9"/>
  <c r="AB171" i="9"/>
  <c r="B172" i="9"/>
  <c r="C172" i="9"/>
  <c r="D172" i="9"/>
  <c r="E172" i="9"/>
  <c r="G172" i="9"/>
  <c r="H172" i="9"/>
  <c r="P172" i="9"/>
  <c r="T172" i="9"/>
  <c r="X172" i="9"/>
  <c r="AB172" i="9"/>
  <c r="B173" i="9"/>
  <c r="C173" i="9"/>
  <c r="D173" i="9"/>
  <c r="E173" i="9"/>
  <c r="F173" i="9"/>
  <c r="G173" i="9"/>
  <c r="H173" i="9"/>
  <c r="P173" i="9"/>
  <c r="T173" i="9"/>
  <c r="X173" i="9"/>
  <c r="AB173" i="9"/>
  <c r="B174" i="9"/>
  <c r="C174" i="9"/>
  <c r="D174" i="9"/>
  <c r="E174" i="9"/>
  <c r="F174" i="9"/>
  <c r="G174" i="9"/>
  <c r="H174" i="9"/>
  <c r="P174" i="9"/>
  <c r="T174" i="9"/>
  <c r="X174" i="9"/>
  <c r="AB174" i="9"/>
  <c r="B175" i="9"/>
  <c r="B176" i="9"/>
  <c r="F176" i="9"/>
  <c r="P176" i="9"/>
  <c r="X176" i="9"/>
  <c r="AB176" i="9"/>
  <c r="B177" i="9"/>
  <c r="C177" i="9"/>
  <c r="D177" i="9"/>
  <c r="E177" i="9"/>
  <c r="F177" i="9"/>
  <c r="G177" i="9"/>
  <c r="H177" i="9"/>
  <c r="P177" i="9"/>
  <c r="T177" i="9"/>
  <c r="X177" i="9"/>
  <c r="AB177" i="9"/>
  <c r="B178" i="9"/>
  <c r="C178" i="9"/>
  <c r="D178" i="9"/>
  <c r="E178" i="9"/>
  <c r="F178" i="9"/>
  <c r="G178" i="9"/>
  <c r="H178" i="9"/>
  <c r="P178" i="9"/>
  <c r="T178" i="9"/>
  <c r="X178" i="9"/>
  <c r="AB178" i="9"/>
  <c r="B179" i="9"/>
  <c r="C179" i="9"/>
  <c r="D179" i="9"/>
  <c r="E179" i="9"/>
  <c r="F179" i="9"/>
  <c r="G179" i="9"/>
  <c r="H179" i="9"/>
  <c r="P179" i="9"/>
  <c r="T179" i="9"/>
  <c r="X179" i="9"/>
  <c r="AB179" i="9"/>
  <c r="B180" i="9"/>
  <c r="P180" i="9"/>
  <c r="B181" i="9"/>
  <c r="C181" i="9"/>
  <c r="D181" i="9"/>
  <c r="E181" i="9"/>
  <c r="F181" i="9"/>
  <c r="G181" i="9"/>
  <c r="P181" i="9"/>
  <c r="T181" i="9"/>
  <c r="X181" i="9"/>
  <c r="AB181" i="9"/>
  <c r="AC181" i="9"/>
  <c r="B182" i="9"/>
  <c r="B183" i="9"/>
  <c r="C183" i="9"/>
  <c r="D183" i="9"/>
  <c r="E183" i="9"/>
  <c r="F183" i="9"/>
  <c r="G183" i="9"/>
  <c r="H183" i="9"/>
  <c r="P183" i="9"/>
  <c r="T183" i="9"/>
  <c r="X183" i="9"/>
  <c r="AB183" i="9"/>
  <c r="B184" i="9"/>
  <c r="B185" i="9"/>
  <c r="C187" i="9"/>
  <c r="D187" i="9"/>
  <c r="E187" i="9"/>
  <c r="F187" i="9"/>
  <c r="G187" i="9"/>
  <c r="H187" i="9"/>
  <c r="P187" i="9"/>
  <c r="Q187" i="9"/>
  <c r="R187" i="9"/>
  <c r="T187" i="9"/>
  <c r="U187" i="9"/>
  <c r="V187" i="9"/>
  <c r="X187" i="9"/>
  <c r="Y187" i="9"/>
  <c r="Z187" i="9"/>
  <c r="AB187" i="9"/>
  <c r="AC187" i="9"/>
  <c r="AD187" i="9"/>
  <c r="F203" i="9"/>
  <c r="AB203" i="9"/>
  <c r="AC203" i="9"/>
  <c r="AC256" i="9" s="1"/>
  <c r="AD203" i="9"/>
  <c r="AD256" i="9" s="1"/>
  <c r="AE203" i="9"/>
  <c r="C203" i="9"/>
  <c r="C256" i="9" s="1"/>
  <c r="D203" i="9"/>
  <c r="D256" i="9" s="1"/>
  <c r="E203" i="9"/>
  <c r="G203" i="9"/>
  <c r="H203" i="9"/>
  <c r="H256" i="9" s="1"/>
  <c r="P203" i="9"/>
  <c r="Q203" i="9"/>
  <c r="Q256" i="9" s="1"/>
  <c r="R203" i="9"/>
  <c r="R256" i="9" s="1"/>
  <c r="T203" i="9"/>
  <c r="T256" i="9" s="1"/>
  <c r="U203" i="9"/>
  <c r="U256" i="9" s="1"/>
  <c r="V203" i="9"/>
  <c r="V256" i="9" s="1"/>
  <c r="X203" i="9"/>
  <c r="Y203" i="9"/>
  <c r="Z203" i="9"/>
  <c r="C206" i="9"/>
  <c r="D206" i="9"/>
  <c r="E206" i="9"/>
  <c r="F206" i="9"/>
  <c r="G206" i="9"/>
  <c r="H206" i="9"/>
  <c r="P206" i="9"/>
  <c r="B223" i="9"/>
  <c r="B224" i="9"/>
  <c r="B229" i="9"/>
  <c r="B230" i="9"/>
  <c r="B231" i="9"/>
  <c r="B233" i="9"/>
  <c r="B234" i="9"/>
  <c r="B235" i="9"/>
  <c r="C235" i="9"/>
  <c r="D235" i="9"/>
  <c r="E235" i="9"/>
  <c r="F235" i="9"/>
  <c r="G235" i="9"/>
  <c r="H235" i="9"/>
  <c r="P235" i="9"/>
  <c r="T235" i="9"/>
  <c r="X235" i="9"/>
  <c r="B236" i="9"/>
  <c r="C236" i="9"/>
  <c r="D236" i="9"/>
  <c r="E236" i="9"/>
  <c r="F236" i="9"/>
  <c r="G236" i="9"/>
  <c r="H236" i="9"/>
  <c r="P236" i="9"/>
  <c r="T236" i="9"/>
  <c r="X236" i="9"/>
  <c r="B237" i="9"/>
  <c r="B238" i="9"/>
  <c r="C238" i="9"/>
  <c r="P238" i="9"/>
  <c r="X238" i="9"/>
  <c r="B239" i="9"/>
  <c r="C239" i="9"/>
  <c r="D239" i="9"/>
  <c r="E239" i="9"/>
  <c r="G239" i="9"/>
  <c r="H239" i="9"/>
  <c r="P239" i="9"/>
  <c r="T239" i="9"/>
  <c r="X239" i="9"/>
  <c r="B240" i="9"/>
  <c r="C240" i="9"/>
  <c r="D240" i="9"/>
  <c r="E240" i="9"/>
  <c r="F240" i="9"/>
  <c r="G240" i="9"/>
  <c r="H240" i="9"/>
  <c r="P240" i="9"/>
  <c r="T240" i="9"/>
  <c r="X240" i="9"/>
  <c r="B241" i="9"/>
  <c r="C241" i="9"/>
  <c r="D241" i="9"/>
  <c r="E241" i="9"/>
  <c r="F241" i="9"/>
  <c r="G241" i="9"/>
  <c r="H241" i="9"/>
  <c r="P241" i="9"/>
  <c r="T241" i="9"/>
  <c r="X241" i="9"/>
  <c r="B242" i="9"/>
  <c r="B243" i="9"/>
  <c r="F243" i="9"/>
  <c r="P243" i="9"/>
  <c r="X243" i="9"/>
  <c r="B244" i="9"/>
  <c r="C244" i="9"/>
  <c r="D244" i="9"/>
  <c r="E244" i="9"/>
  <c r="F244" i="9"/>
  <c r="G244" i="9"/>
  <c r="H244" i="9"/>
  <c r="P244" i="9"/>
  <c r="T244" i="9"/>
  <c r="X244" i="9"/>
  <c r="B245" i="9"/>
  <c r="C245" i="9"/>
  <c r="D245" i="9"/>
  <c r="E245" i="9"/>
  <c r="F245" i="9"/>
  <c r="G245" i="9"/>
  <c r="H245" i="9"/>
  <c r="P245" i="9"/>
  <c r="T245" i="9"/>
  <c r="X245" i="9"/>
  <c r="B246" i="9"/>
  <c r="C246" i="9"/>
  <c r="D246" i="9"/>
  <c r="E246" i="9"/>
  <c r="F246" i="9"/>
  <c r="G246" i="9"/>
  <c r="H246" i="9"/>
  <c r="P246" i="9"/>
  <c r="T246" i="9"/>
  <c r="X246" i="9"/>
  <c r="B247" i="9"/>
  <c r="P247" i="9"/>
  <c r="B248" i="9"/>
  <c r="C248" i="9"/>
  <c r="D248" i="9"/>
  <c r="E248" i="9"/>
  <c r="F248" i="9"/>
  <c r="G248" i="9"/>
  <c r="P248" i="9"/>
  <c r="T248" i="9"/>
  <c r="X248" i="9"/>
  <c r="B249" i="9"/>
  <c r="B250" i="9"/>
  <c r="C250" i="9"/>
  <c r="D250" i="9"/>
  <c r="E250" i="9"/>
  <c r="F250" i="9"/>
  <c r="G250" i="9"/>
  <c r="H250" i="9"/>
  <c r="P250" i="9"/>
  <c r="T250" i="9"/>
  <c r="X250" i="9"/>
  <c r="B251" i="9"/>
  <c r="B252" i="9"/>
  <c r="B263" i="9"/>
  <c r="B264" i="9"/>
  <c r="B266" i="9"/>
  <c r="B267" i="9"/>
  <c r="B269" i="9"/>
  <c r="D1622" i="10"/>
  <c r="D1623" i="10"/>
  <c r="D1669" i="10"/>
  <c r="D1679" i="10" s="1"/>
  <c r="D1671" i="10"/>
  <c r="D1685" i="10"/>
  <c r="D1687" i="10"/>
  <c r="D1734" i="10"/>
  <c r="D1744" i="10" s="1"/>
  <c r="D1736" i="10"/>
  <c r="D1750" i="10"/>
  <c r="D1752" i="10"/>
  <c r="D1798" i="10"/>
  <c r="D1808" i="10" s="1"/>
  <c r="D1800" i="10"/>
  <c r="D1814" i="10"/>
  <c r="D1816" i="10"/>
  <c r="J1825" i="10"/>
  <c r="D1876" i="10"/>
  <c r="J1886" i="10"/>
  <c r="D1916" i="10"/>
  <c r="D1926" i="10" s="1"/>
  <c r="D1927" i="10" s="1"/>
  <c r="D1918" i="10"/>
  <c r="D1932" i="10"/>
  <c r="D1935" i="10"/>
  <c r="J1944" i="10"/>
  <c r="D1975" i="10"/>
  <c r="D1985" i="10" s="1"/>
  <c r="D1986" i="10" s="1"/>
  <c r="D1977" i="10"/>
  <c r="D1991" i="10"/>
  <c r="D1994" i="10"/>
  <c r="J2002" i="10"/>
  <c r="D2036" i="10"/>
  <c r="D2046" i="10" s="1"/>
  <c r="D2038" i="10"/>
  <c r="D2058" i="10"/>
  <c r="E8" i="1"/>
  <c r="E28" i="1" s="1"/>
  <c r="F8" i="1"/>
  <c r="F26" i="1"/>
  <c r="G8" i="1"/>
  <c r="H8" i="1"/>
  <c r="I19" i="1" s="1"/>
  <c r="I8" i="1"/>
  <c r="K27" i="2"/>
  <c r="K31" i="2"/>
  <c r="K32" i="2" s="1"/>
  <c r="P27" i="2"/>
  <c r="P29" i="2" s="1"/>
  <c r="P31" i="2"/>
  <c r="P32" i="2" s="1"/>
  <c r="S27" i="2"/>
  <c r="S29" i="2"/>
  <c r="S31" i="2"/>
  <c r="S32" i="2" s="1"/>
  <c r="C48" i="9"/>
  <c r="C52" i="3"/>
  <c r="D53" i="3"/>
  <c r="B40" i="3"/>
  <c r="C40" i="3"/>
  <c r="Y31" i="2"/>
  <c r="Y32" i="2"/>
  <c r="Y27" i="2"/>
  <c r="Y29" i="2"/>
  <c r="C18" i="2"/>
  <c r="C27" i="2" s="1"/>
  <c r="C132" i="2"/>
  <c r="D3" i="2"/>
  <c r="E3" i="2" s="1"/>
  <c r="D35" i="2"/>
  <c r="C169" i="2"/>
  <c r="C35" i="2"/>
  <c r="R126" i="2"/>
  <c r="R125" i="2"/>
  <c r="R128" i="2" s="1"/>
  <c r="M27" i="2"/>
  <c r="M31" i="2"/>
  <c r="M32" i="2"/>
  <c r="G51" i="3"/>
  <c r="F37" i="3"/>
  <c r="F41" i="3" s="1"/>
  <c r="F71" i="3"/>
  <c r="R127" i="2"/>
  <c r="L125" i="2"/>
  <c r="L128" i="2"/>
  <c r="Q123" i="2"/>
  <c r="Q127" i="2"/>
  <c r="I123" i="2"/>
  <c r="I125" i="2"/>
  <c r="I128" i="2"/>
  <c r="I126" i="2"/>
  <c r="I127" i="2"/>
  <c r="C125" i="2"/>
  <c r="D95" i="2"/>
  <c r="P71" i="2"/>
  <c r="P74" i="2" s="1"/>
  <c r="P75" i="2" s="1"/>
  <c r="J35" i="2"/>
  <c r="J77" i="2"/>
  <c r="Q115" i="2"/>
  <c r="I115" i="2"/>
  <c r="C115" i="2"/>
  <c r="L71" i="2"/>
  <c r="L74" i="2"/>
  <c r="L75" i="2"/>
  <c r="D54" i="3"/>
  <c r="D77" i="2"/>
  <c r="D118" i="2"/>
  <c r="D124" i="2"/>
  <c r="D131" i="2" s="1"/>
  <c r="D169" i="2"/>
  <c r="C31" i="2"/>
  <c r="C134" i="2" s="1"/>
  <c r="C143" i="2" s="1"/>
  <c r="G41" i="3"/>
  <c r="C21" i="9"/>
  <c r="P123" i="2"/>
  <c r="P125" i="2"/>
  <c r="P126" i="2"/>
  <c r="P128" i="2" s="1"/>
  <c r="P127" i="2"/>
  <c r="D116" i="2"/>
  <c r="D140" i="2"/>
  <c r="I26" i="1"/>
  <c r="I9" i="1"/>
  <c r="I28" i="1"/>
  <c r="I22" i="1"/>
  <c r="F20" i="1"/>
  <c r="E27" i="2"/>
  <c r="E29" i="2"/>
  <c r="E31" i="2"/>
  <c r="T27" i="2"/>
  <c r="T29" i="2" s="1"/>
  <c r="T31" i="2"/>
  <c r="T32" i="2"/>
  <c r="G53" i="3"/>
  <c r="H53" i="3"/>
  <c r="C53" i="3"/>
  <c r="B53" i="3"/>
  <c r="E22" i="1"/>
  <c r="E26" i="1"/>
  <c r="G34" i="7"/>
  <c r="G15" i="7"/>
  <c r="G17" i="7"/>
  <c r="E37" i="3"/>
  <c r="E41" i="3" s="1"/>
  <c r="O27" i="7"/>
  <c r="J31" i="2"/>
  <c r="J32" i="2"/>
  <c r="J27" i="2"/>
  <c r="B140" i="2"/>
  <c r="B116" i="2"/>
  <c r="I54" i="7"/>
  <c r="I40" i="7"/>
  <c r="C97" i="3"/>
  <c r="Q27" i="2"/>
  <c r="Q31" i="2"/>
  <c r="Q32" i="2"/>
  <c r="B126" i="2"/>
  <c r="B123" i="2"/>
  <c r="B125" i="2"/>
  <c r="B128" i="2" s="1"/>
  <c r="B127" i="2"/>
  <c r="D122" i="2"/>
  <c r="D126" i="2" s="1"/>
  <c r="Q18" i="7"/>
  <c r="J30" i="7"/>
  <c r="J27" i="7"/>
  <c r="J21" i="7"/>
  <c r="J34" i="7"/>
  <c r="J22" i="7"/>
  <c r="F27" i="7"/>
  <c r="F17" i="7"/>
  <c r="F18" i="7"/>
  <c r="F30" i="7"/>
  <c r="F22" i="7"/>
  <c r="F19" i="7"/>
  <c r="F24" i="7"/>
  <c r="Q24" i="7"/>
  <c r="F95" i="2"/>
  <c r="G22" i="4"/>
  <c r="G23" i="4"/>
  <c r="G25" i="4"/>
  <c r="G26" i="4"/>
  <c r="G28" i="4"/>
  <c r="L54" i="7"/>
  <c r="E142" i="2"/>
  <c r="V29" i="2"/>
  <c r="V31" i="2"/>
  <c r="V32" i="2" s="1"/>
  <c r="B9" i="4"/>
  <c r="B14" i="4" s="1"/>
  <c r="B54" i="7"/>
  <c r="B40" i="7"/>
  <c r="S125" i="2"/>
  <c r="D125" i="2"/>
  <c r="D128" i="2" s="1"/>
  <c r="S126" i="2"/>
  <c r="S128" i="2" s="1"/>
  <c r="M116" i="2"/>
  <c r="E11" i="7"/>
  <c r="E15" i="7"/>
  <c r="E24" i="7" s="1"/>
  <c r="E34" i="7"/>
  <c r="H51" i="3"/>
  <c r="H52" i="3"/>
  <c r="I49" i="3"/>
  <c r="P95" i="2"/>
  <c r="P116" i="2" s="1"/>
  <c r="G52" i="3"/>
  <c r="F49" i="3"/>
  <c r="F126" i="2"/>
  <c r="O34" i="7"/>
  <c r="L95" i="2"/>
  <c r="L116" i="2" s="1"/>
  <c r="G27" i="4"/>
  <c r="G29" i="4"/>
  <c r="N40" i="7"/>
  <c r="N54" i="7"/>
  <c r="L11" i="7"/>
  <c r="G24" i="4"/>
  <c r="P40" i="7"/>
  <c r="K48" i="7"/>
  <c r="K36" i="7"/>
  <c r="K44" i="7"/>
  <c r="Q34" i="7"/>
  <c r="N34" i="7"/>
  <c r="Z125" i="2"/>
  <c r="Z128" i="2"/>
  <c r="R19" i="7"/>
  <c r="R24" i="7"/>
  <c r="Z127" i="2"/>
  <c r="R22" i="7"/>
  <c r="E32" i="2"/>
  <c r="E135" i="2"/>
  <c r="E134" i="2"/>
  <c r="G27" i="7"/>
  <c r="G30" i="7"/>
  <c r="G19" i="7"/>
  <c r="G18" i="7"/>
  <c r="G24" i="7"/>
  <c r="G22" i="7"/>
  <c r="I51" i="3"/>
  <c r="I52" i="3"/>
  <c r="F53" i="3"/>
  <c r="L34" i="7"/>
  <c r="Q36" i="2"/>
  <c r="Q53" i="2" s="1"/>
  <c r="Q71" i="2" s="1"/>
  <c r="Q74" i="2" s="1"/>
  <c r="Q29" i="2"/>
  <c r="G21" i="7"/>
  <c r="D127" i="2"/>
  <c r="E30" i="7"/>
  <c r="E27" i="7"/>
  <c r="L15" i="7"/>
  <c r="L19" i="7" s="1"/>
  <c r="F91" i="3"/>
  <c r="I53" i="3"/>
  <c r="I54" i="3"/>
  <c r="H22" i="1"/>
  <c r="H9" i="1"/>
  <c r="H26" i="1"/>
  <c r="G28" i="1"/>
  <c r="G22" i="1"/>
  <c r="G9" i="1"/>
  <c r="G26" i="1"/>
  <c r="G20" i="1"/>
  <c r="G19" i="1"/>
  <c r="H54" i="3"/>
  <c r="C41" i="3"/>
  <c r="D42" i="3"/>
  <c r="E76" i="3"/>
  <c r="F72" i="3"/>
  <c r="C32" i="2"/>
  <c r="C135" i="2" s="1"/>
  <c r="G54" i="3"/>
  <c r="H37" i="3"/>
  <c r="G110" i="3" s="1"/>
  <c r="G39" i="3"/>
  <c r="G40" i="3"/>
  <c r="L31" i="2"/>
  <c r="L32" i="2"/>
  <c r="L27" i="2"/>
  <c r="L29" i="2" s="1"/>
  <c r="E125" i="2"/>
  <c r="E128" i="2"/>
  <c r="R63" i="3"/>
  <c r="H34" i="7"/>
  <c r="H15" i="7"/>
  <c r="H27" i="7" s="1"/>
  <c r="V127" i="2"/>
  <c r="I31" i="2"/>
  <c r="I32" i="2" s="1"/>
  <c r="R27" i="7"/>
  <c r="B21" i="7"/>
  <c r="O54" i="7"/>
  <c r="J48" i="7"/>
  <c r="J44" i="7"/>
  <c r="C34" i="7"/>
  <c r="C15" i="7"/>
  <c r="C27" i="7" s="1"/>
  <c r="C77" i="2"/>
  <c r="R18" i="7"/>
  <c r="C54" i="7"/>
  <c r="G54" i="7"/>
  <c r="F76" i="3"/>
  <c r="G72" i="3"/>
  <c r="L21" i="7"/>
  <c r="L27" i="7"/>
  <c r="L18" i="7"/>
  <c r="L30" i="7"/>
  <c r="C21" i="7"/>
  <c r="C22" i="7"/>
  <c r="C30" i="7"/>
  <c r="C24" i="7"/>
  <c r="C19" i="7"/>
  <c r="C18" i="7"/>
  <c r="C17" i="7"/>
  <c r="G71" i="3"/>
  <c r="H39" i="3"/>
  <c r="H42" i="3"/>
  <c r="H40" i="3"/>
  <c r="L17" i="7"/>
  <c r="G123" i="3"/>
  <c r="G124" i="3" s="1"/>
  <c r="Q51" i="9"/>
  <c r="Q52" i="9"/>
  <c r="Y50" i="9"/>
  <c r="Q48" i="9"/>
  <c r="Z27" i="2"/>
  <c r="Z29" i="2"/>
  <c r="Z31" i="2"/>
  <c r="Z32" i="2" s="1"/>
  <c r="O22" i="7"/>
  <c r="O18" i="7"/>
  <c r="O17" i="7"/>
  <c r="O24" i="7"/>
  <c r="O19" i="7"/>
  <c r="O21" i="7"/>
  <c r="O30" i="7"/>
  <c r="K77" i="2"/>
  <c r="L3" i="2"/>
  <c r="K118" i="2"/>
  <c r="K124" i="2" s="1"/>
  <c r="K35" i="2"/>
  <c r="Q30" i="7"/>
  <c r="Q17" i="7"/>
  <c r="Q22" i="7"/>
  <c r="Q27" i="7"/>
  <c r="Q19" i="7"/>
  <c r="Q21" i="7"/>
  <c r="E22" i="7"/>
  <c r="E21" i="7"/>
  <c r="E19" i="7"/>
  <c r="E18" i="7"/>
  <c r="D71" i="3"/>
  <c r="D110" i="3"/>
  <c r="F140" i="2"/>
  <c r="F116" i="2"/>
  <c r="C98" i="3"/>
  <c r="C106" i="3"/>
  <c r="C105" i="3"/>
  <c r="E140" i="2"/>
  <c r="E116" i="2"/>
  <c r="I36" i="2"/>
  <c r="I29" i="2"/>
  <c r="N31" i="2"/>
  <c r="N32" i="2" s="1"/>
  <c r="N27" i="2"/>
  <c r="E17" i="7"/>
  <c r="R27" i="2"/>
  <c r="R36" i="2" s="1"/>
  <c r="R53" i="2" s="1"/>
  <c r="R31" i="2"/>
  <c r="R32" i="2" s="1"/>
  <c r="T128" i="2"/>
  <c r="C123" i="2"/>
  <c r="H54" i="7"/>
  <c r="M54" i="7"/>
  <c r="D54" i="7"/>
  <c r="P34" i="7"/>
  <c r="P15" i="7"/>
  <c r="M15" i="7"/>
  <c r="M127" i="2"/>
  <c r="V126" i="2"/>
  <c r="F40" i="7"/>
  <c r="M125" i="2"/>
  <c r="J118" i="2"/>
  <c r="J124" i="2" s="1"/>
  <c r="B22" i="7"/>
  <c r="P22" i="7"/>
  <c r="P18" i="7"/>
  <c r="P27" i="7"/>
  <c r="P21" i="7"/>
  <c r="P30" i="7"/>
  <c r="P19" i="7"/>
  <c r="D75" i="3"/>
  <c r="D73" i="3"/>
  <c r="N36" i="2"/>
  <c r="N53" i="2"/>
  <c r="N71" i="2" s="1"/>
  <c r="N29" i="2"/>
  <c r="M30" i="7"/>
  <c r="M18" i="7"/>
  <c r="M19" i="7"/>
  <c r="M21" i="7"/>
  <c r="M24" i="7"/>
  <c r="M17" i="7"/>
  <c r="M27" i="7"/>
  <c r="M22" i="7"/>
  <c r="L35" i="2"/>
  <c r="M3" i="2"/>
  <c r="L77" i="2"/>
  <c r="L118" i="2"/>
  <c r="L124" i="2" s="1"/>
  <c r="R29" i="2"/>
  <c r="R71" i="2"/>
  <c r="P17" i="7"/>
  <c r="M118" i="2"/>
  <c r="M124" i="2" s="1"/>
  <c r="AB47" i="9"/>
  <c r="AB45" i="9"/>
  <c r="AB49" i="9"/>
  <c r="T50" i="9"/>
  <c r="R48" i="9"/>
  <c r="AJ244" i="9"/>
  <c r="AJ235" i="9"/>
  <c r="AJ250" i="9"/>
  <c r="AJ241" i="9"/>
  <c r="AJ240" i="9"/>
  <c r="AJ239" i="9"/>
  <c r="AJ238" i="9"/>
  <c r="AJ236" i="9"/>
  <c r="AJ245" i="9"/>
  <c r="AJ246" i="9"/>
  <c r="R50" i="9"/>
  <c r="C15" i="5"/>
  <c r="D15" i="5"/>
  <c r="U115" i="11" l="1"/>
  <c r="U118" i="11"/>
  <c r="F16" i="11"/>
  <c r="AE114" i="9"/>
  <c r="AE115" i="9" s="1"/>
  <c r="H115" i="9"/>
  <c r="AA114" i="9"/>
  <c r="AA115" i="9" s="1"/>
  <c r="F115" i="9"/>
  <c r="W114" i="9"/>
  <c r="W115" i="9" s="1"/>
  <c r="E115" i="9"/>
  <c r="AT184" i="9"/>
  <c r="BB114" i="9"/>
  <c r="G115" i="9"/>
  <c r="K90" i="9"/>
  <c r="AU92" i="9"/>
  <c r="AU251" i="9" s="1"/>
  <c r="AT251" i="9"/>
  <c r="P167" i="9"/>
  <c r="P256" i="9"/>
  <c r="K175" i="9"/>
  <c r="Z77" i="11"/>
  <c r="Z76" i="11"/>
  <c r="AD78" i="11"/>
  <c r="AD76" i="11"/>
  <c r="AD77" i="11"/>
  <c r="Y77" i="11"/>
  <c r="Y76" i="11"/>
  <c r="AC78" i="11"/>
  <c r="AC76" i="11"/>
  <c r="AC77" i="11"/>
  <c r="AG75" i="11"/>
  <c r="AG77" i="11"/>
  <c r="AG76" i="11"/>
  <c r="V73" i="11"/>
  <c r="V76" i="11"/>
  <c r="V77" i="11"/>
  <c r="AI77" i="11"/>
  <c r="AI76" i="11"/>
  <c r="X78" i="11"/>
  <c r="X76" i="11"/>
  <c r="X77" i="11"/>
  <c r="U74" i="11"/>
  <c r="U76" i="11"/>
  <c r="U77" i="11"/>
  <c r="AH77" i="11"/>
  <c r="AH76" i="11"/>
  <c r="AF77" i="11"/>
  <c r="AF76" i="11"/>
  <c r="W74" i="11"/>
  <c r="W77" i="11"/>
  <c r="W76" i="11"/>
  <c r="AB75" i="11"/>
  <c r="AB77" i="11"/>
  <c r="AB76" i="11"/>
  <c r="AJ78" i="11"/>
  <c r="AJ76" i="11"/>
  <c r="AJ77" i="11"/>
  <c r="AA75" i="11"/>
  <c r="AA77" i="11"/>
  <c r="AA76" i="11"/>
  <c r="AE73" i="11"/>
  <c r="AE76" i="11"/>
  <c r="AE77" i="11"/>
  <c r="I77" i="11"/>
  <c r="D1160" i="10"/>
  <c r="D1163" i="10"/>
  <c r="E1191" i="10"/>
  <c r="E1156" i="10"/>
  <c r="E1005" i="10"/>
  <c r="E1159" i="10"/>
  <c r="D1162" i="10"/>
  <c r="D1199" i="10" s="1"/>
  <c r="E1169" i="10"/>
  <c r="D1020" i="10"/>
  <c r="D1057" i="10" s="1"/>
  <c r="E1032" i="10"/>
  <c r="E1015" i="10"/>
  <c r="E1002" i="10"/>
  <c r="E1036" i="10"/>
  <c r="E1004" i="10"/>
  <c r="E1037" i="10"/>
  <c r="D1022" i="10"/>
  <c r="E1029" i="10"/>
  <c r="D1021" i="10"/>
  <c r="E1035" i="10"/>
  <c r="E1012" i="10"/>
  <c r="E1013" i="10"/>
  <c r="E1026" i="10"/>
  <c r="E1014" i="10"/>
  <c r="E1027" i="10"/>
  <c r="E910" i="10"/>
  <c r="E912" i="10" s="1"/>
  <c r="E1030" i="10"/>
  <c r="E1011" i="10"/>
  <c r="D1033" i="10"/>
  <c r="E1006" i="10"/>
  <c r="D1018" i="10"/>
  <c r="E1010" i="10"/>
  <c r="E1003" i="10"/>
  <c r="E1031" i="10"/>
  <c r="D1034" i="10"/>
  <c r="D1019" i="10"/>
  <c r="E1017" i="10"/>
  <c r="E1048" i="10"/>
  <c r="E1171" i="10"/>
  <c r="AS230" i="9"/>
  <c r="E1152" i="10"/>
  <c r="E1040" i="10"/>
  <c r="E1170" i="10"/>
  <c r="E1147" i="10"/>
  <c r="E1174" i="10"/>
  <c r="E1155" i="10"/>
  <c r="E1181" i="10"/>
  <c r="E1183" i="10"/>
  <c r="E1144" i="10"/>
  <c r="D1164" i="10"/>
  <c r="E1157" i="10"/>
  <c r="E1168" i="10"/>
  <c r="E1177" i="10"/>
  <c r="E1178" i="10"/>
  <c r="D1161" i="10"/>
  <c r="E1148" i="10"/>
  <c r="E1167" i="10"/>
  <c r="E1143" i="10"/>
  <c r="E1172" i="10"/>
  <c r="E1146" i="10"/>
  <c r="D1175" i="10"/>
  <c r="D1198" i="10" s="1"/>
  <c r="E1176" i="10"/>
  <c r="E1145" i="10"/>
  <c r="E1190" i="10"/>
  <c r="E1154" i="10"/>
  <c r="E1149" i="10"/>
  <c r="E1158" i="10"/>
  <c r="E1153" i="10"/>
  <c r="E1025" i="10"/>
  <c r="E1016" i="10"/>
  <c r="E1028" i="10"/>
  <c r="E1007" i="10"/>
  <c r="E1042" i="10"/>
  <c r="J2001" i="10"/>
  <c r="E2015" i="10" s="1"/>
  <c r="X256" i="9"/>
  <c r="BB203" i="9"/>
  <c r="BB256" i="9" s="1"/>
  <c r="G256" i="9"/>
  <c r="AA203" i="9"/>
  <c r="AA256" i="9" s="1"/>
  <c r="F256" i="9"/>
  <c r="W203" i="9"/>
  <c r="W256" i="9" s="1"/>
  <c r="E256" i="9"/>
  <c r="J1564" i="10"/>
  <c r="E1579" i="10" s="1"/>
  <c r="AE256" i="9"/>
  <c r="J1280" i="10"/>
  <c r="E1312" i="10" s="1"/>
  <c r="AI256" i="9"/>
  <c r="J1885" i="10"/>
  <c r="D1907" i="10" s="1"/>
  <c r="Z256" i="9"/>
  <c r="K242" i="9"/>
  <c r="J1943" i="10"/>
  <c r="E1959" i="10" s="1"/>
  <c r="Y256" i="9"/>
  <c r="J1761" i="10"/>
  <c r="D1784" i="10" s="1"/>
  <c r="AB256" i="9"/>
  <c r="J1212" i="10"/>
  <c r="E1245" i="10" s="1"/>
  <c r="AJ256" i="9"/>
  <c r="AT101" i="9"/>
  <c r="AU65" i="9"/>
  <c r="AT252" i="9"/>
  <c r="AA14" i="9"/>
  <c r="AA46" i="9" s="1"/>
  <c r="H14" i="9"/>
  <c r="H46" i="9" s="1"/>
  <c r="AD14" i="9"/>
  <c r="AD46" i="9" s="1"/>
  <c r="AJ14" i="9"/>
  <c r="AJ21" i="9" s="1"/>
  <c r="AJ25" i="9" s="1"/>
  <c r="I14" i="9"/>
  <c r="I46" i="9" s="1"/>
  <c r="W14" i="9"/>
  <c r="W99" i="9" s="1"/>
  <c r="W142" i="9" s="1"/>
  <c r="W207" i="9" s="1"/>
  <c r="AG14" i="9"/>
  <c r="AK15" i="9" s="1"/>
  <c r="S14" i="9"/>
  <c r="S46" i="9" s="1"/>
  <c r="AF14" i="9"/>
  <c r="AF49" i="9" s="1"/>
  <c r="AP78" i="9"/>
  <c r="AP237" i="9" s="1"/>
  <c r="AP231" i="9"/>
  <c r="AT230" i="9"/>
  <c r="K217" i="9"/>
  <c r="K216" i="9"/>
  <c r="AP164" i="9"/>
  <c r="AT163" i="9"/>
  <c r="AM125" i="9"/>
  <c r="AM189" i="9" s="1"/>
  <c r="J58" i="9"/>
  <c r="N69" i="9"/>
  <c r="N66" i="9"/>
  <c r="N101" i="9"/>
  <c r="AQ84" i="9"/>
  <c r="N56" i="9"/>
  <c r="N104" i="9"/>
  <c r="AS104" i="9"/>
  <c r="AR104" i="9"/>
  <c r="AP234" i="9"/>
  <c r="AQ75" i="9"/>
  <c r="AP167" i="9"/>
  <c r="AP243" i="9"/>
  <c r="AQ88" i="9"/>
  <c r="AP180" i="9"/>
  <c r="AR101" i="9"/>
  <c r="AS101" i="9"/>
  <c r="AQ89" i="9"/>
  <c r="AP248" i="9"/>
  <c r="AP181" i="9"/>
  <c r="AH189" i="9"/>
  <c r="K264" i="9"/>
  <c r="I74" i="11"/>
  <c r="AQ56" i="9"/>
  <c r="AN214" i="9"/>
  <c r="AQ66" i="9"/>
  <c r="K212" i="9"/>
  <c r="AQ69" i="9"/>
  <c r="D155" i="9"/>
  <c r="AH150" i="9"/>
  <c r="AH215" i="9" s="1"/>
  <c r="J50" i="9"/>
  <c r="AH126" i="9"/>
  <c r="AH149" i="9" s="1"/>
  <c r="AH214" i="9" s="1"/>
  <c r="J46" i="9"/>
  <c r="K15" i="9"/>
  <c r="I250" i="9"/>
  <c r="I241" i="9"/>
  <c r="I240" i="9"/>
  <c r="I244" i="9"/>
  <c r="I245" i="9"/>
  <c r="E853" i="10"/>
  <c r="R84" i="9"/>
  <c r="R176" i="9" s="1"/>
  <c r="R91" i="9"/>
  <c r="R183" i="9" s="1"/>
  <c r="Q174" i="9"/>
  <c r="R80" i="9"/>
  <c r="S80" i="9" s="1"/>
  <c r="S239" i="9" s="1"/>
  <c r="Q245" i="9"/>
  <c r="R87" i="9"/>
  <c r="R179" i="9" s="1"/>
  <c r="R85" i="9"/>
  <c r="R244" i="9" s="1"/>
  <c r="Q168" i="9"/>
  <c r="R81" i="9"/>
  <c r="R240" i="9" s="1"/>
  <c r="AH258" i="9"/>
  <c r="AH269" i="9" s="1"/>
  <c r="AQ169" i="9"/>
  <c r="AQ236" i="9"/>
  <c r="Q171" i="9"/>
  <c r="D171" i="9"/>
  <c r="G247" i="9"/>
  <c r="AM177" i="9"/>
  <c r="Q240" i="9"/>
  <c r="AM173" i="9"/>
  <c r="AB149" i="9"/>
  <c r="AB214" i="9" s="1"/>
  <c r="AG84" i="9"/>
  <c r="AG176" i="9" s="1"/>
  <c r="Q173" i="9"/>
  <c r="U88" i="9"/>
  <c r="V88" i="9" s="1"/>
  <c r="V180" i="9" s="1"/>
  <c r="C53" i="9"/>
  <c r="C25" i="9"/>
  <c r="C39" i="9" s="1"/>
  <c r="AD87" i="9"/>
  <c r="AD179" i="9" s="1"/>
  <c r="D856" i="10"/>
  <c r="E849" i="10"/>
  <c r="E850" i="10"/>
  <c r="E851" i="10"/>
  <c r="E852" i="10"/>
  <c r="D176" i="9"/>
  <c r="U213" i="9"/>
  <c r="I75" i="11"/>
  <c r="I73" i="11"/>
  <c r="I78" i="11"/>
  <c r="AC113" i="11"/>
  <c r="AB78" i="11"/>
  <c r="AC115" i="11"/>
  <c r="AI73" i="11"/>
  <c r="AB73" i="11"/>
  <c r="E921" i="10"/>
  <c r="AL46" i="9"/>
  <c r="AP15" i="9"/>
  <c r="Q183" i="9"/>
  <c r="AM183" i="9"/>
  <c r="AP166" i="9"/>
  <c r="AM250" i="9"/>
  <c r="AP233" i="9"/>
  <c r="Y236" i="9"/>
  <c r="AL158" i="9"/>
  <c r="AP159" i="9" s="1"/>
  <c r="E920" i="10"/>
  <c r="E917" i="10"/>
  <c r="E919" i="10"/>
  <c r="E918" i="10"/>
  <c r="AL50" i="9"/>
  <c r="AL47" i="9"/>
  <c r="AL51" i="9"/>
  <c r="AL49" i="9"/>
  <c r="Q179" i="9"/>
  <c r="AL21" i="9"/>
  <c r="AL25" i="9" s="1"/>
  <c r="AL39" i="9" s="1"/>
  <c r="AL48" i="9"/>
  <c r="AL43" i="9"/>
  <c r="J860" i="10"/>
  <c r="AN200" i="9"/>
  <c r="D924" i="10"/>
  <c r="AL52" i="9"/>
  <c r="AL44" i="9"/>
  <c r="AG171" i="9"/>
  <c r="AI121" i="9"/>
  <c r="AI126" i="9" s="1"/>
  <c r="AI129" i="9" s="1"/>
  <c r="I239" i="9"/>
  <c r="J997" i="10"/>
  <c r="J928" i="10"/>
  <c r="AO78" i="9"/>
  <c r="AO233" i="9"/>
  <c r="AO166" i="9"/>
  <c r="AO164" i="9"/>
  <c r="AH48" i="9"/>
  <c r="AH46" i="9"/>
  <c r="AO231" i="9"/>
  <c r="D1049" i="10"/>
  <c r="E1049" i="10" s="1"/>
  <c r="D990" i="10"/>
  <c r="D970" i="10"/>
  <c r="D976" i="10" s="1"/>
  <c r="E970" i="10"/>
  <c r="E981" i="10"/>
  <c r="AN150" i="9"/>
  <c r="AN189" i="9"/>
  <c r="AN258" i="9"/>
  <c r="AN269" i="9" s="1"/>
  <c r="AH81" i="9"/>
  <c r="AI81" i="9" s="1"/>
  <c r="AI173" i="9" s="1"/>
  <c r="Z84" i="9"/>
  <c r="AA84" i="9" s="1"/>
  <c r="AA176" i="9" s="1"/>
  <c r="Z183" i="9"/>
  <c r="Y250" i="9"/>
  <c r="Q250" i="9"/>
  <c r="U126" i="9"/>
  <c r="U259" i="9" s="1"/>
  <c r="AC46" i="9"/>
  <c r="AG169" i="9"/>
  <c r="C43" i="9"/>
  <c r="T21" i="9"/>
  <c r="C50" i="9"/>
  <c r="C52" i="9"/>
  <c r="W121" i="9"/>
  <c r="W126" i="9" s="1"/>
  <c r="W129" i="9" s="1"/>
  <c r="AM54" i="9"/>
  <c r="T158" i="9"/>
  <c r="T51" i="9"/>
  <c r="Q244" i="9"/>
  <c r="C223" i="9"/>
  <c r="T47" i="9"/>
  <c r="T223" i="9"/>
  <c r="Q177" i="9"/>
  <c r="C47" i="9"/>
  <c r="AC258" i="9"/>
  <c r="AC269" i="9" s="1"/>
  <c r="C155" i="9"/>
  <c r="BB77" i="9"/>
  <c r="BB236" i="9" s="1"/>
  <c r="T52" i="9"/>
  <c r="T44" i="9"/>
  <c r="U181" i="9"/>
  <c r="C45" i="9"/>
  <c r="C58" i="9"/>
  <c r="T43" i="9"/>
  <c r="T49" i="9"/>
  <c r="C44" i="9"/>
  <c r="C99" i="9"/>
  <c r="C142" i="9" s="1"/>
  <c r="C207" i="9" s="1"/>
  <c r="AM244" i="9"/>
  <c r="T48" i="9"/>
  <c r="C51" i="9"/>
  <c r="C49" i="9"/>
  <c r="AN53" i="9"/>
  <c r="AN62" i="9"/>
  <c r="AN39" i="9"/>
  <c r="AQ104" i="9" s="1"/>
  <c r="Y44" i="9"/>
  <c r="D125" i="9"/>
  <c r="D139" i="9" s="1"/>
  <c r="Y45" i="9"/>
  <c r="Y47" i="9"/>
  <c r="G43" i="9"/>
  <c r="Y223" i="9"/>
  <c r="U172" i="9"/>
  <c r="J47" i="9"/>
  <c r="D259" i="9"/>
  <c r="D54" i="9"/>
  <c r="Y52" i="9"/>
  <c r="D190" i="9"/>
  <c r="Y43" i="9"/>
  <c r="Y48" i="9"/>
  <c r="G45" i="9"/>
  <c r="Z168" i="9"/>
  <c r="G223" i="9"/>
  <c r="H238" i="9"/>
  <c r="D149" i="9"/>
  <c r="D214" i="9" s="1"/>
  <c r="G158" i="9"/>
  <c r="Z235" i="9"/>
  <c r="G52" i="9"/>
  <c r="Y51" i="9"/>
  <c r="E1108" i="10"/>
  <c r="E1107" i="10"/>
  <c r="E1106" i="10"/>
  <c r="E1113" i="10"/>
  <c r="AF78" i="11"/>
  <c r="AG78" i="11"/>
  <c r="AH117" i="11"/>
  <c r="W115" i="11"/>
  <c r="AI78" i="11"/>
  <c r="W118" i="11"/>
  <c r="G14" i="11"/>
  <c r="V75" i="11"/>
  <c r="AI74" i="11"/>
  <c r="W114" i="11"/>
  <c r="W111" i="11"/>
  <c r="AI75" i="11"/>
  <c r="AG119" i="11"/>
  <c r="E14" i="11"/>
  <c r="AA73" i="11"/>
  <c r="V113" i="11"/>
  <c r="V114" i="11"/>
  <c r="Z78" i="11"/>
  <c r="F14" i="11"/>
  <c r="AF111" i="11"/>
  <c r="AF114" i="11"/>
  <c r="AG74" i="11"/>
  <c r="AF118" i="11"/>
  <c r="AG73" i="11"/>
  <c r="E13" i="11"/>
  <c r="U73" i="11"/>
  <c r="T115" i="11"/>
  <c r="T117" i="11"/>
  <c r="T119" i="11"/>
  <c r="AE75" i="11"/>
  <c r="AB119" i="11"/>
  <c r="T110" i="11"/>
  <c r="T111" i="11"/>
  <c r="AE78" i="11"/>
  <c r="T116" i="11"/>
  <c r="AA74" i="11"/>
  <c r="AB118" i="11"/>
  <c r="AB113" i="11"/>
  <c r="G70" i="11"/>
  <c r="AE74" i="11"/>
  <c r="AG117" i="11"/>
  <c r="AB115" i="11"/>
  <c r="F70" i="11"/>
  <c r="X113" i="11"/>
  <c r="AH118" i="11"/>
  <c r="AF73" i="11"/>
  <c r="AH111" i="11"/>
  <c r="AH116" i="11"/>
  <c r="AH114" i="11"/>
  <c r="S119" i="11"/>
  <c r="F106" i="11"/>
  <c r="F113" i="11" s="1"/>
  <c r="AH113" i="11"/>
  <c r="AD74" i="11"/>
  <c r="AH110" i="11"/>
  <c r="Z117" i="11"/>
  <c r="AH115" i="11"/>
  <c r="S114" i="11"/>
  <c r="O46" i="11"/>
  <c r="R110" i="11"/>
  <c r="O52" i="11"/>
  <c r="W116" i="11"/>
  <c r="O58" i="11"/>
  <c r="Z116" i="11"/>
  <c r="Z119" i="11"/>
  <c r="O30" i="11"/>
  <c r="Z118" i="11"/>
  <c r="O34" i="11"/>
  <c r="O35" i="11"/>
  <c r="Z111" i="11"/>
  <c r="O40" i="11"/>
  <c r="E1099" i="10"/>
  <c r="AM240" i="9"/>
  <c r="AM241" i="9"/>
  <c r="D1858" i="10"/>
  <c r="D1868" i="10" s="1"/>
  <c r="D1869" i="10" s="1"/>
  <c r="U245" i="9"/>
  <c r="AC215" i="9"/>
  <c r="AL76" i="9"/>
  <c r="T15" i="9"/>
  <c r="AK75" i="9"/>
  <c r="AK167" i="9" s="1"/>
  <c r="AL79" i="9"/>
  <c r="AK243" i="9"/>
  <c r="AL80" i="9"/>
  <c r="AM259" i="9"/>
  <c r="AK88" i="9"/>
  <c r="AK180" i="9" s="1"/>
  <c r="AL86" i="9"/>
  <c r="AM174" i="9"/>
  <c r="AL77" i="9"/>
  <c r="Q258" i="9"/>
  <c r="Q269" i="9" s="1"/>
  <c r="AJ181" i="9"/>
  <c r="AL87" i="9"/>
  <c r="AM8" i="9"/>
  <c r="AM14" i="9" s="1"/>
  <c r="AA55" i="9"/>
  <c r="AM149" i="9"/>
  <c r="AM214" i="9" s="1"/>
  <c r="AM190" i="9"/>
  <c r="E1079" i="10"/>
  <c r="J51" i="9"/>
  <c r="J223" i="9"/>
  <c r="K224" i="9" s="1"/>
  <c r="J43" i="9"/>
  <c r="J49" i="9"/>
  <c r="J52" i="9"/>
  <c r="J45" i="9"/>
  <c r="J21" i="9"/>
  <c r="J48" i="9"/>
  <c r="J44" i="9"/>
  <c r="E1076" i="10"/>
  <c r="J99" i="9"/>
  <c r="Y213" i="9"/>
  <c r="AG54" i="9"/>
  <c r="J259" i="9"/>
  <c r="J129" i="9"/>
  <c r="J190" i="9"/>
  <c r="J149" i="9"/>
  <c r="J214" i="9" s="1"/>
  <c r="J200" i="9"/>
  <c r="F171" i="9"/>
  <c r="Z89" i="9"/>
  <c r="BB89" i="9" s="1"/>
  <c r="BB248" i="9" s="1"/>
  <c r="V21" i="9"/>
  <c r="E21" i="9"/>
  <c r="E100" i="9" s="1"/>
  <c r="E45" i="9"/>
  <c r="U47" i="9"/>
  <c r="F105" i="9"/>
  <c r="F146" i="9" s="1"/>
  <c r="F211" i="9" s="1"/>
  <c r="E167" i="9"/>
  <c r="U21" i="9"/>
  <c r="U25" i="9" s="1"/>
  <c r="U39" i="9" s="1"/>
  <c r="E43" i="9"/>
  <c r="G176" i="9"/>
  <c r="U15" i="9"/>
  <c r="V85" i="9"/>
  <c r="V244" i="9" s="1"/>
  <c r="U51" i="9"/>
  <c r="E51" i="9"/>
  <c r="D58" i="9"/>
  <c r="D50" i="9"/>
  <c r="AD149" i="9"/>
  <c r="AD214" i="9" s="1"/>
  <c r="U48" i="9"/>
  <c r="AD190" i="9"/>
  <c r="D1605" i="10"/>
  <c r="D1615" i="10" s="1"/>
  <c r="D1616" i="10" s="1"/>
  <c r="U158" i="9"/>
  <c r="U159" i="9" s="1"/>
  <c r="U44" i="9"/>
  <c r="Q254" i="9"/>
  <c r="U54" i="9"/>
  <c r="C176" i="9"/>
  <c r="E48" i="9"/>
  <c r="U250" i="9"/>
  <c r="X126" i="9"/>
  <c r="X129" i="9" s="1"/>
  <c r="R125" i="9"/>
  <c r="R189" i="9" s="1"/>
  <c r="Y176" i="9"/>
  <c r="AB58" i="9"/>
  <c r="S55" i="9"/>
  <c r="AD54" i="9"/>
  <c r="AF202" i="9"/>
  <c r="AF240" i="9" s="1"/>
  <c r="E1085" i="10"/>
  <c r="E1088" i="10"/>
  <c r="AF55" i="9"/>
  <c r="U178" i="9"/>
  <c r="E44" i="9"/>
  <c r="H243" i="9"/>
  <c r="T55" i="9"/>
  <c r="T126" i="9"/>
  <c r="T259" i="9" s="1"/>
  <c r="E1104" i="10"/>
  <c r="E1083" i="10"/>
  <c r="D1105" i="10"/>
  <c r="E1086" i="10"/>
  <c r="E1101" i="10"/>
  <c r="E1089" i="10"/>
  <c r="E1102" i="10"/>
  <c r="E1082" i="10"/>
  <c r="E1103" i="10"/>
  <c r="E1074" i="10"/>
  <c r="D1091" i="10"/>
  <c r="E1077" i="10"/>
  <c r="D1094" i="10"/>
  <c r="D1090" i="10"/>
  <c r="AH51" i="9"/>
  <c r="R129" i="9"/>
  <c r="AG55" i="9"/>
  <c r="AJ55" i="9"/>
  <c r="E223" i="9"/>
  <c r="E247" i="9"/>
  <c r="AJ213" i="9"/>
  <c r="AJ254" i="9"/>
  <c r="D1092" i="10"/>
  <c r="AH21" i="9"/>
  <c r="AH53" i="9" s="1"/>
  <c r="R259" i="9"/>
  <c r="AD80" i="9"/>
  <c r="AD172" i="9" s="1"/>
  <c r="AH89" i="9"/>
  <c r="V51" i="9"/>
  <c r="E1087" i="10"/>
  <c r="E1084" i="10"/>
  <c r="E1078" i="10"/>
  <c r="V223" i="9"/>
  <c r="E1075" i="10"/>
  <c r="E1100" i="10"/>
  <c r="AA187" i="9"/>
  <c r="V91" i="9"/>
  <c r="W91" i="9" s="1"/>
  <c r="W250" i="9" s="1"/>
  <c r="E1098" i="10"/>
  <c r="D1093" i="10"/>
  <c r="AL250" i="9"/>
  <c r="AL110" i="11"/>
  <c r="AL114" i="11"/>
  <c r="AL118" i="11"/>
  <c r="AL113" i="11"/>
  <c r="AL117" i="11"/>
  <c r="AL111" i="11"/>
  <c r="AL116" i="11"/>
  <c r="AL115" i="11"/>
  <c r="AL223" i="9"/>
  <c r="AP224" i="9" s="1"/>
  <c r="AL241" i="9"/>
  <c r="AL240" i="9"/>
  <c r="AL244" i="9"/>
  <c r="AL150" i="9"/>
  <c r="AL215" i="9" s="1"/>
  <c r="AL258" i="9"/>
  <c r="AL269" i="9" s="1"/>
  <c r="AL139" i="9"/>
  <c r="AL200" i="9" s="1"/>
  <c r="AG88" i="9"/>
  <c r="R254" i="9"/>
  <c r="AL55" i="9"/>
  <c r="AK179" i="9"/>
  <c r="AL15" i="9"/>
  <c r="X45" i="9"/>
  <c r="AH85" i="9"/>
  <c r="AH177" i="9" s="1"/>
  <c r="AB254" i="9"/>
  <c r="AK245" i="9"/>
  <c r="AL149" i="9"/>
  <c r="AL214" i="9" s="1"/>
  <c r="Q172" i="9"/>
  <c r="AF213" i="9"/>
  <c r="C126" i="9"/>
  <c r="C259" i="9" s="1"/>
  <c r="Y126" i="9"/>
  <c r="Y190" i="9" s="1"/>
  <c r="X50" i="9"/>
  <c r="AH91" i="9"/>
  <c r="AI91" i="9" s="1"/>
  <c r="I213" i="9"/>
  <c r="AL259" i="9"/>
  <c r="Q241" i="9"/>
  <c r="AJ248" i="9"/>
  <c r="X44" i="9"/>
  <c r="AK178" i="9"/>
  <c r="AK168" i="9"/>
  <c r="Q239" i="9"/>
  <c r="R82" i="9"/>
  <c r="R241" i="9" s="1"/>
  <c r="C150" i="9"/>
  <c r="C215" i="9" s="1"/>
  <c r="C54" i="9"/>
  <c r="I254" i="9"/>
  <c r="AK236" i="9"/>
  <c r="Y54" i="9"/>
  <c r="G213" i="9"/>
  <c r="AK171" i="9"/>
  <c r="AL54" i="9"/>
  <c r="C139" i="9"/>
  <c r="F213" i="9"/>
  <c r="AK239" i="9"/>
  <c r="BB103" i="9"/>
  <c r="BB145" i="9" s="1"/>
  <c r="BB210" i="9" s="1"/>
  <c r="BB235" i="9"/>
  <c r="BB168" i="9"/>
  <c r="BB85" i="9"/>
  <c r="BB177" i="9" s="1"/>
  <c r="AA85" i="9"/>
  <c r="AA244" i="9" s="1"/>
  <c r="Y139" i="9"/>
  <c r="Y258" i="9"/>
  <c r="AH202" i="9"/>
  <c r="AH223" i="9" s="1"/>
  <c r="V149" i="9"/>
  <c r="V214" i="9" s="1"/>
  <c r="P108" i="9"/>
  <c r="P131" i="9" s="1"/>
  <c r="P220" i="9" s="1"/>
  <c r="P141" i="9" s="1"/>
  <c r="R52" i="9"/>
  <c r="R44" i="9"/>
  <c r="Y244" i="9"/>
  <c r="AE79" i="9"/>
  <c r="AF105" i="9" s="1"/>
  <c r="AF146" i="9" s="1"/>
  <c r="I248" i="9"/>
  <c r="C247" i="9"/>
  <c r="AB50" i="9"/>
  <c r="Q44" i="9"/>
  <c r="U79" i="9"/>
  <c r="U238" i="9" s="1"/>
  <c r="Q223" i="9"/>
  <c r="C258" i="9"/>
  <c r="C269" i="9" s="1"/>
  <c r="X213" i="9"/>
  <c r="S121" i="9"/>
  <c r="S125" i="9" s="1"/>
  <c r="R223" i="9"/>
  <c r="AC183" i="9"/>
  <c r="X55" i="9"/>
  <c r="U174" i="9"/>
  <c r="V213" i="9"/>
  <c r="R45" i="9"/>
  <c r="Q238" i="9"/>
  <c r="AI8" i="9"/>
  <c r="AB167" i="9"/>
  <c r="R51" i="9"/>
  <c r="R79" i="9"/>
  <c r="S79" i="9" s="1"/>
  <c r="S238" i="9" s="1"/>
  <c r="Y177" i="9"/>
  <c r="AC171" i="9"/>
  <c r="I234" i="9"/>
  <c r="I243" i="9"/>
  <c r="AB21" i="9"/>
  <c r="AC167" i="9"/>
  <c r="S203" i="9"/>
  <c r="S256" i="9" s="1"/>
  <c r="Q176" i="9"/>
  <c r="P45" i="9"/>
  <c r="AD86" i="9"/>
  <c r="AD178" i="9" s="1"/>
  <c r="V125" i="9"/>
  <c r="V189" i="9" s="1"/>
  <c r="Z15" i="9"/>
  <c r="Y168" i="9"/>
  <c r="Z52" i="9"/>
  <c r="Y254" i="9"/>
  <c r="AE148" i="9"/>
  <c r="AE213" i="9" s="1"/>
  <c r="E15" i="9"/>
  <c r="I210" i="9"/>
  <c r="R49" i="9"/>
  <c r="AB43" i="9"/>
  <c r="T238" i="9"/>
  <c r="R158" i="9"/>
  <c r="V159" i="9" s="1"/>
  <c r="Q58" i="9"/>
  <c r="R43" i="9"/>
  <c r="I235" i="9"/>
  <c r="X254" i="9"/>
  <c r="P51" i="9"/>
  <c r="T54" i="9"/>
  <c r="AG80" i="9"/>
  <c r="AH80" i="9" s="1"/>
  <c r="AH172" i="9" s="1"/>
  <c r="P125" i="9"/>
  <c r="P139" i="9" s="1"/>
  <c r="Z223" i="9"/>
  <c r="F125" i="9"/>
  <c r="F150" i="9" s="1"/>
  <c r="F215" i="9" s="1"/>
  <c r="G254" i="9"/>
  <c r="AC54" i="9"/>
  <c r="AK235" i="9"/>
  <c r="V259" i="9"/>
  <c r="T58" i="9"/>
  <c r="AA76" i="9"/>
  <c r="AB103" i="9" s="1"/>
  <c r="AB145" i="9" s="1"/>
  <c r="R47" i="9"/>
  <c r="V129" i="9"/>
  <c r="I236" i="9"/>
  <c r="AE55" i="9"/>
  <c r="AB48" i="9"/>
  <c r="P223" i="9"/>
  <c r="F254" i="9"/>
  <c r="AK169" i="9"/>
  <c r="AD113" i="11"/>
  <c r="AD116" i="11"/>
  <c r="W110" i="11"/>
  <c r="AD118" i="11"/>
  <c r="H13" i="11"/>
  <c r="D106" i="11"/>
  <c r="D118" i="11" s="1"/>
  <c r="AC116" i="11"/>
  <c r="V117" i="11"/>
  <c r="W119" i="11"/>
  <c r="E106" i="11"/>
  <c r="E116" i="11" s="1"/>
  <c r="R119" i="11"/>
  <c r="W117" i="11"/>
  <c r="V119" i="11"/>
  <c r="AD114" i="11"/>
  <c r="AD119" i="11"/>
  <c r="R114" i="11"/>
  <c r="R111" i="11"/>
  <c r="AD115" i="11"/>
  <c r="O16" i="11"/>
  <c r="AB110" i="11"/>
  <c r="V74" i="11"/>
  <c r="Q118" i="11"/>
  <c r="AG111" i="11"/>
  <c r="AB117" i="11"/>
  <c r="AG118" i="11"/>
  <c r="Y111" i="11"/>
  <c r="AG116" i="11"/>
  <c r="U113" i="11"/>
  <c r="R116" i="11"/>
  <c r="X75" i="11"/>
  <c r="Q119" i="11"/>
  <c r="G16" i="11"/>
  <c r="AC119" i="11"/>
  <c r="R117" i="11"/>
  <c r="Q111" i="11"/>
  <c r="AB111" i="11"/>
  <c r="AB116" i="11"/>
  <c r="AC118" i="11"/>
  <c r="AG115" i="11"/>
  <c r="AG113" i="11"/>
  <c r="V118" i="11"/>
  <c r="V78" i="11"/>
  <c r="Q116" i="11"/>
  <c r="Q114" i="11"/>
  <c r="Q115" i="11"/>
  <c r="X73" i="11"/>
  <c r="Q113" i="11"/>
  <c r="R113" i="11"/>
  <c r="AC75" i="11"/>
  <c r="Q117" i="11"/>
  <c r="R118" i="11"/>
  <c r="AG110" i="11"/>
  <c r="AC117" i="11"/>
  <c r="X74" i="11"/>
  <c r="AE113" i="11"/>
  <c r="V115" i="11"/>
  <c r="X150" i="9"/>
  <c r="X215" i="9" s="1"/>
  <c r="X139" i="9"/>
  <c r="X200" i="9" s="1"/>
  <c r="X258" i="9"/>
  <c r="BB86" i="9"/>
  <c r="BB178" i="9" s="1"/>
  <c r="Z245" i="9"/>
  <c r="AA86" i="9"/>
  <c r="AH44" i="9"/>
  <c r="Q139" i="9"/>
  <c r="Q200" i="9" s="1"/>
  <c r="U241" i="9"/>
  <c r="Y183" i="9"/>
  <c r="V80" i="9"/>
  <c r="AE89" i="9"/>
  <c r="AE181" i="9" s="1"/>
  <c r="AE121" i="9"/>
  <c r="AE125" i="9" s="1"/>
  <c r="AH58" i="9"/>
  <c r="Y178" i="9"/>
  <c r="V236" i="9"/>
  <c r="Y245" i="9"/>
  <c r="AH158" i="9"/>
  <c r="AC189" i="9"/>
  <c r="AD125" i="9"/>
  <c r="AC177" i="9"/>
  <c r="V75" i="9"/>
  <c r="V167" i="9" s="1"/>
  <c r="U167" i="9"/>
  <c r="U234" i="9"/>
  <c r="AE81" i="9"/>
  <c r="AE173" i="9" s="1"/>
  <c r="AD173" i="9"/>
  <c r="V178" i="9"/>
  <c r="W86" i="9"/>
  <c r="W178" i="9" s="1"/>
  <c r="F149" i="9"/>
  <c r="F214" i="9" s="1"/>
  <c r="F190" i="9"/>
  <c r="F259" i="9"/>
  <c r="F129" i="9"/>
  <c r="AJ150" i="9"/>
  <c r="AJ215" i="9" s="1"/>
  <c r="AJ258" i="9"/>
  <c r="AJ139" i="9"/>
  <c r="AJ189" i="9"/>
  <c r="W236" i="9"/>
  <c r="W169" i="9"/>
  <c r="AD177" i="9"/>
  <c r="AE85" i="9"/>
  <c r="AE177" i="9" s="1"/>
  <c r="AG179" i="9"/>
  <c r="AH87" i="9"/>
  <c r="AH179" i="9" s="1"/>
  <c r="W241" i="9"/>
  <c r="R86" i="9"/>
  <c r="S86" i="9" s="1"/>
  <c r="S178" i="9" s="1"/>
  <c r="AJ126" i="9"/>
  <c r="V169" i="9"/>
  <c r="C213" i="9"/>
  <c r="AC174" i="9"/>
  <c r="Q206" i="9"/>
  <c r="U244" i="9"/>
  <c r="AB259" i="9"/>
  <c r="U45" i="9"/>
  <c r="AA77" i="9"/>
  <c r="AA236" i="9" s="1"/>
  <c r="AB213" i="9"/>
  <c r="AC88" i="9"/>
  <c r="AC173" i="9"/>
  <c r="AB52" i="9"/>
  <c r="AB158" i="9"/>
  <c r="E99" i="9"/>
  <c r="Y15" i="9"/>
  <c r="P48" i="9"/>
  <c r="P50" i="9"/>
  <c r="V89" i="9"/>
  <c r="W89" i="9" s="1"/>
  <c r="V52" i="9"/>
  <c r="V48" i="9"/>
  <c r="AF179" i="9"/>
  <c r="F54" i="9"/>
  <c r="AE91" i="9"/>
  <c r="AE183" i="9" s="1"/>
  <c r="Z21" i="9"/>
  <c r="Z25" i="9" s="1"/>
  <c r="D234" i="9"/>
  <c r="AD84" i="9"/>
  <c r="D21" i="9"/>
  <c r="D25" i="9" s="1"/>
  <c r="Z44" i="9"/>
  <c r="H167" i="9"/>
  <c r="G258" i="9"/>
  <c r="AH49" i="9"/>
  <c r="V15" i="9"/>
  <c r="AB190" i="9"/>
  <c r="X189" i="9"/>
  <c r="U50" i="9"/>
  <c r="Z169" i="9"/>
  <c r="AB15" i="9"/>
  <c r="AB51" i="9"/>
  <c r="E158" i="9"/>
  <c r="Z178" i="9"/>
  <c r="P58" i="9"/>
  <c r="V55" i="9"/>
  <c r="V45" i="9"/>
  <c r="Z158" i="9"/>
  <c r="Z159" i="9" s="1"/>
  <c r="D44" i="9"/>
  <c r="Y169" i="9"/>
  <c r="F239" i="9"/>
  <c r="T254" i="9"/>
  <c r="D254" i="9"/>
  <c r="Z213" i="9"/>
  <c r="AI114" i="9"/>
  <c r="AI115" i="9" s="1"/>
  <c r="AK246" i="9"/>
  <c r="Q108" i="9"/>
  <c r="Q131" i="9" s="1"/>
  <c r="Q220" i="9" s="1"/>
  <c r="Q141" i="9" s="1"/>
  <c r="P52" i="9"/>
  <c r="Z49" i="9"/>
  <c r="C254" i="9"/>
  <c r="AJ54" i="9"/>
  <c r="AJ180" i="9"/>
  <c r="AK172" i="9"/>
  <c r="Q246" i="9"/>
  <c r="AC139" i="9"/>
  <c r="U49" i="9"/>
  <c r="AI202" i="9"/>
  <c r="AQ102" i="11" s="1"/>
  <c r="H171" i="9"/>
  <c r="I247" i="9"/>
  <c r="AI187" i="9"/>
  <c r="AI254" i="9" s="1"/>
  <c r="V76" i="9"/>
  <c r="W76" i="9" s="1"/>
  <c r="U168" i="9"/>
  <c r="AI148" i="9"/>
  <c r="AI213" i="9" s="1"/>
  <c r="D49" i="9"/>
  <c r="P158" i="9"/>
  <c r="D105" i="9"/>
  <c r="D146" i="9" s="1"/>
  <c r="D211" i="9" s="1"/>
  <c r="Y248" i="9"/>
  <c r="Q178" i="9"/>
  <c r="AB125" i="9"/>
  <c r="W187" i="9"/>
  <c r="Q126" i="9"/>
  <c r="Z45" i="9"/>
  <c r="D51" i="9"/>
  <c r="Z254" i="9"/>
  <c r="AI55" i="9"/>
  <c r="AK89" i="9"/>
  <c r="R3" i="9"/>
  <c r="R61" i="9" s="1"/>
  <c r="R73" i="9" s="1"/>
  <c r="R98" i="9" s="1"/>
  <c r="V50" i="9"/>
  <c r="Q243" i="9"/>
  <c r="P49" i="9"/>
  <c r="V49" i="9"/>
  <c r="AC126" i="9"/>
  <c r="AC259" i="9" s="1"/>
  <c r="H254" i="9"/>
  <c r="D13" i="11"/>
  <c r="O3" i="11"/>
  <c r="AK3" i="11"/>
  <c r="AL3" i="11" s="1"/>
  <c r="H14" i="11"/>
  <c r="X110" i="11"/>
  <c r="X119" i="11"/>
  <c r="X117" i="11"/>
  <c r="D14" i="11"/>
  <c r="AD73" i="11"/>
  <c r="Y78" i="11"/>
  <c r="X115" i="11"/>
  <c r="AD111" i="11"/>
  <c r="X118" i="11"/>
  <c r="AD75" i="11"/>
  <c r="V111" i="11"/>
  <c r="AD110" i="11"/>
  <c r="Y73" i="11"/>
  <c r="X116" i="11"/>
  <c r="X111" i="11"/>
  <c r="G106" i="11"/>
  <c r="G117" i="11" s="1"/>
  <c r="AK119" i="11"/>
  <c r="AK112" i="11"/>
  <c r="AK113" i="11"/>
  <c r="AK118" i="11"/>
  <c r="AK110" i="11"/>
  <c r="AK117" i="11"/>
  <c r="AK116" i="11"/>
  <c r="AK115" i="11"/>
  <c r="AK114" i="11"/>
  <c r="AK111" i="11"/>
  <c r="Y118" i="11"/>
  <c r="AE116" i="11"/>
  <c r="W73" i="11"/>
  <c r="AE118" i="11"/>
  <c r="AC73" i="11"/>
  <c r="Y116" i="11"/>
  <c r="S116" i="11"/>
  <c r="S118" i="11"/>
  <c r="U114" i="11"/>
  <c r="AA118" i="11"/>
  <c r="S113" i="11"/>
  <c r="AC114" i="11"/>
  <c r="AB74" i="11"/>
  <c r="H16" i="11"/>
  <c r="Y75" i="11"/>
  <c r="Y117" i="11"/>
  <c r="U110" i="11"/>
  <c r="AA113" i="11"/>
  <c r="Z113" i="11"/>
  <c r="AH74" i="11"/>
  <c r="AF74" i="11"/>
  <c r="AE110" i="11"/>
  <c r="Y115" i="11"/>
  <c r="S115" i="11"/>
  <c r="AF119" i="11"/>
  <c r="AA78" i="11"/>
  <c r="AA111" i="11"/>
  <c r="U111" i="11"/>
  <c r="Y113" i="11"/>
  <c r="Z115" i="11"/>
  <c r="Z110" i="11"/>
  <c r="AA117" i="11"/>
  <c r="S110" i="11"/>
  <c r="U119" i="11"/>
  <c r="AC74" i="11"/>
  <c r="H70" i="11"/>
  <c r="H76" i="11" s="1"/>
  <c r="AE111" i="11"/>
  <c r="AF113" i="11"/>
  <c r="AA110" i="11"/>
  <c r="AE115" i="11"/>
  <c r="AH75" i="11"/>
  <c r="AJ74" i="11"/>
  <c r="U116" i="11"/>
  <c r="AC111" i="11"/>
  <c r="Y119" i="11"/>
  <c r="Y74" i="11"/>
  <c r="AF115" i="11"/>
  <c r="U78" i="11"/>
  <c r="S117" i="11"/>
  <c r="AA119" i="11"/>
  <c r="V110" i="11"/>
  <c r="AE119" i="11"/>
  <c r="AF110" i="11"/>
  <c r="W75" i="11"/>
  <c r="AJ73" i="11"/>
  <c r="Y114" i="11"/>
  <c r="U117" i="11"/>
  <c r="AF117" i="11"/>
  <c r="W78" i="11"/>
  <c r="AA116" i="11"/>
  <c r="AE114" i="11"/>
  <c r="AH73" i="11"/>
  <c r="AH78" i="11"/>
  <c r="U75" i="11"/>
  <c r="D2047" i="10"/>
  <c r="AK125" i="9"/>
  <c r="AK189" i="9" s="1"/>
  <c r="AK238" i="9"/>
  <c r="W240" i="9"/>
  <c r="W173" i="9"/>
  <c r="T234" i="9"/>
  <c r="T167" i="9"/>
  <c r="C234" i="9"/>
  <c r="C167" i="9"/>
  <c r="Q43" i="9"/>
  <c r="Q49" i="9"/>
  <c r="Q45" i="9"/>
  <c r="Q50" i="9"/>
  <c r="Q47" i="9"/>
  <c r="Q21" i="9"/>
  <c r="J1491" i="10"/>
  <c r="AF254" i="9"/>
  <c r="I126" i="9"/>
  <c r="I125" i="9"/>
  <c r="Q180" i="9"/>
  <c r="Q247" i="9"/>
  <c r="P234" i="9"/>
  <c r="Q75" i="9"/>
  <c r="AB54" i="9"/>
  <c r="Y21" i="9"/>
  <c r="Y158" i="9"/>
  <c r="P47" i="9"/>
  <c r="P21" i="9"/>
  <c r="P25" i="9" s="1"/>
  <c r="P43" i="9"/>
  <c r="V173" i="9"/>
  <c r="E213" i="9"/>
  <c r="Z87" i="9"/>
  <c r="Y246" i="9"/>
  <c r="H125" i="9"/>
  <c r="H126" i="9"/>
  <c r="AE8" i="9"/>
  <c r="AE14" i="9" s="1"/>
  <c r="AF126" i="9"/>
  <c r="AF125" i="9"/>
  <c r="AF258" i="9" s="1"/>
  <c r="AF269" i="9" s="1"/>
  <c r="AG126" i="9"/>
  <c r="AG259" i="9" s="1"/>
  <c r="AG125" i="9"/>
  <c r="V240" i="9"/>
  <c r="D247" i="9"/>
  <c r="D213" i="9"/>
  <c r="H180" i="9"/>
  <c r="Y240" i="9"/>
  <c r="Z81" i="9"/>
  <c r="Z240" i="9" s="1"/>
  <c r="D1874" i="10"/>
  <c r="AA121" i="9"/>
  <c r="AA54" i="9" s="1"/>
  <c r="F15" i="9"/>
  <c r="F44" i="9"/>
  <c r="F58" i="9"/>
  <c r="R89" i="9"/>
  <c r="R248" i="9" s="1"/>
  <c r="Q248" i="9"/>
  <c r="Y241" i="9"/>
  <c r="Z82" i="9"/>
  <c r="U173" i="9"/>
  <c r="U240" i="9"/>
  <c r="G167" i="9"/>
  <c r="G234" i="9"/>
  <c r="S148" i="9"/>
  <c r="S187" i="9"/>
  <c r="V43" i="9"/>
  <c r="V44" i="9"/>
  <c r="V47" i="9"/>
  <c r="E49" i="9"/>
  <c r="E50" i="9"/>
  <c r="E52" i="9"/>
  <c r="AK54" i="9"/>
  <c r="R62" i="9"/>
  <c r="R64" i="9" s="1"/>
  <c r="R53" i="9"/>
  <c r="V245" i="9"/>
  <c r="E254" i="9"/>
  <c r="R88" i="9"/>
  <c r="AD77" i="9"/>
  <c r="S114" i="9"/>
  <c r="S115" i="9" s="1"/>
  <c r="D116" i="9"/>
  <c r="Z250" i="9"/>
  <c r="BB91" i="9"/>
  <c r="V241" i="9"/>
  <c r="V174" i="9"/>
  <c r="R76" i="9"/>
  <c r="Q235" i="9"/>
  <c r="F167" i="9"/>
  <c r="F234" i="9"/>
  <c r="AE254" i="9"/>
  <c r="Z55" i="9"/>
  <c r="W55" i="9"/>
  <c r="U43" i="9"/>
  <c r="U223" i="9"/>
  <c r="D45" i="9"/>
  <c r="D43" i="9"/>
  <c r="D223" i="9"/>
  <c r="AF167" i="9"/>
  <c r="AG75" i="9"/>
  <c r="AK55" i="9"/>
  <c r="R39" i="9"/>
  <c r="R56" i="9" s="1"/>
  <c r="P129" i="9"/>
  <c r="P190" i="9"/>
  <c r="I238" i="9"/>
  <c r="I105" i="9"/>
  <c r="I146" i="9" s="1"/>
  <c r="I211" i="9" s="1"/>
  <c r="X54" i="9"/>
  <c r="AK213" i="9"/>
  <c r="AK44" i="9"/>
  <c r="AK223" i="9"/>
  <c r="AO224" i="9" s="1"/>
  <c r="AK158" i="9"/>
  <c r="AO159" i="9" s="1"/>
  <c r="AK52" i="9"/>
  <c r="AK43" i="9"/>
  <c r="AK51" i="9"/>
  <c r="AK50" i="9"/>
  <c r="AK58" i="9"/>
  <c r="AK49" i="9"/>
  <c r="AK21" i="9"/>
  <c r="AK25" i="9" s="1"/>
  <c r="AK48" i="9"/>
  <c r="AK47" i="9"/>
  <c r="AK45" i="9"/>
  <c r="AK149" i="9"/>
  <c r="AK214" i="9" s="1"/>
  <c r="AK190" i="9"/>
  <c r="AK259" i="9"/>
  <c r="AK129" i="9"/>
  <c r="R77" i="9"/>
  <c r="S77" i="9" s="1"/>
  <c r="Q169" i="9"/>
  <c r="Q236" i="9"/>
  <c r="Z79" i="9"/>
  <c r="Z238" i="9" s="1"/>
  <c r="Y58" i="9"/>
  <c r="Y238" i="9"/>
  <c r="Y171" i="9"/>
  <c r="AJ167" i="9"/>
  <c r="AJ234" i="9"/>
  <c r="U258" i="9"/>
  <c r="U269" i="9" s="1"/>
  <c r="U139" i="9"/>
  <c r="Z177" i="9"/>
  <c r="Z244" i="9"/>
  <c r="AH45" i="9"/>
  <c r="AH43" i="9"/>
  <c r="AE82" i="9"/>
  <c r="AH254" i="9"/>
  <c r="J1348" i="10"/>
  <c r="AH213" i="9"/>
  <c r="Y247" i="9"/>
  <c r="Z88" i="9"/>
  <c r="J1630" i="10"/>
  <c r="E1671" i="10" s="1"/>
  <c r="AD259" i="9"/>
  <c r="AD213" i="9"/>
  <c r="AD254" i="9"/>
  <c r="U84" i="9"/>
  <c r="T243" i="9"/>
  <c r="X21" i="9"/>
  <c r="X25" i="9" s="1"/>
  <c r="X52" i="9"/>
  <c r="X223" i="9"/>
  <c r="X15" i="9"/>
  <c r="X58" i="9"/>
  <c r="X158" i="9"/>
  <c r="X43" i="9"/>
  <c r="X48" i="9"/>
  <c r="X47" i="9"/>
  <c r="G44" i="9"/>
  <c r="G99" i="9"/>
  <c r="G50" i="9"/>
  <c r="G49" i="9"/>
  <c r="G21" i="9"/>
  <c r="G15" i="9"/>
  <c r="G47" i="9"/>
  <c r="J1418" i="10"/>
  <c r="E1470" i="10" s="1"/>
  <c r="AG202" i="9"/>
  <c r="AG244" i="9" s="1"/>
  <c r="E139" i="9"/>
  <c r="E258" i="9"/>
  <c r="E189" i="9"/>
  <c r="X49" i="9"/>
  <c r="AC202" i="9"/>
  <c r="J1695" i="10"/>
  <c r="E1704" i="10" s="1"/>
  <c r="AD202" i="9"/>
  <c r="AD241" i="9" s="1"/>
  <c r="AC213" i="9"/>
  <c r="U179" i="9"/>
  <c r="V87" i="9"/>
  <c r="G54" i="9"/>
  <c r="G126" i="9"/>
  <c r="V54" i="9"/>
  <c r="AG213" i="9"/>
  <c r="AA250" i="9"/>
  <c r="G189" i="9"/>
  <c r="G150" i="9"/>
  <c r="G215" i="9" s="1"/>
  <c r="H213" i="9"/>
  <c r="H181" i="9"/>
  <c r="H248" i="9"/>
  <c r="F180" i="9"/>
  <c r="Z125" i="9"/>
  <c r="Z150" i="9" s="1"/>
  <c r="Z215" i="9" s="1"/>
  <c r="Z54" i="9"/>
  <c r="Z126" i="9"/>
  <c r="T189" i="9"/>
  <c r="T258" i="9"/>
  <c r="T269" i="9" s="1"/>
  <c r="T139" i="9"/>
  <c r="T150" i="9"/>
  <c r="T215" i="9" s="1"/>
  <c r="AB55" i="9"/>
  <c r="AD55" i="9"/>
  <c r="AF54" i="9"/>
  <c r="AH54" i="9"/>
  <c r="AG254" i="9"/>
  <c r="AH169" i="9"/>
  <c r="AI77" i="9"/>
  <c r="X180" i="9"/>
  <c r="X247" i="9"/>
  <c r="Y189" i="9"/>
  <c r="Y150" i="9"/>
  <c r="Y215" i="9" s="1"/>
  <c r="C62" i="9"/>
  <c r="C64" i="9" s="1"/>
  <c r="C100" i="9"/>
  <c r="AD76" i="9"/>
  <c r="AC168" i="9"/>
  <c r="AF178" i="9"/>
  <c r="AG86" i="9"/>
  <c r="E243" i="9"/>
  <c r="AE202" i="9"/>
  <c r="G48" i="9"/>
  <c r="G139" i="9"/>
  <c r="Z80" i="9"/>
  <c r="Y239" i="9"/>
  <c r="U236" i="9"/>
  <c r="U169" i="9"/>
  <c r="Y75" i="9"/>
  <c r="X167" i="9"/>
  <c r="X234" i="9"/>
  <c r="E238" i="9"/>
  <c r="E58" i="9"/>
  <c r="E105" i="9"/>
  <c r="E146" i="9" s="1"/>
  <c r="E211" i="9" s="1"/>
  <c r="E171" i="9"/>
  <c r="V254" i="9"/>
  <c r="U254" i="9"/>
  <c r="AC254" i="9"/>
  <c r="BB115" i="9"/>
  <c r="K34" i="7"/>
  <c r="K15" i="7"/>
  <c r="K17" i="7"/>
  <c r="AG168" i="9"/>
  <c r="AH76" i="9"/>
  <c r="AJ176" i="9"/>
  <c r="AJ243" i="9"/>
  <c r="O31" i="2"/>
  <c r="O32" i="2" s="1"/>
  <c r="O27" i="2"/>
  <c r="D9" i="2"/>
  <c r="D123" i="2"/>
  <c r="D133" i="2"/>
  <c r="D142" i="2" s="1"/>
  <c r="D11" i="7"/>
  <c r="B18" i="2"/>
  <c r="B132" i="2"/>
  <c r="N19" i="7"/>
  <c r="N27" i="7"/>
  <c r="N21" i="7"/>
  <c r="N30" i="7"/>
  <c r="N17" i="7"/>
  <c r="N18" i="7"/>
  <c r="N22" i="7"/>
  <c r="D1265" i="10"/>
  <c r="U189" i="9"/>
  <c r="U150" i="9"/>
  <c r="U215" i="9" s="1"/>
  <c r="E77" i="2"/>
  <c r="E169" i="2"/>
  <c r="E118" i="2"/>
  <c r="E124" i="2" s="1"/>
  <c r="E131" i="2" s="1"/>
  <c r="E35" i="2"/>
  <c r="M36" i="2"/>
  <c r="M53" i="2" s="1"/>
  <c r="M71" i="2" s="1"/>
  <c r="M74" i="2" s="1"/>
  <c r="M29" i="2"/>
  <c r="N3" i="2"/>
  <c r="M35" i="2"/>
  <c r="AI79" i="9"/>
  <c r="AH171" i="9"/>
  <c r="M77" i="2"/>
  <c r="E143" i="2"/>
  <c r="E138" i="2"/>
  <c r="AE75" i="9"/>
  <c r="D74" i="3"/>
  <c r="D77" i="3" s="1"/>
  <c r="B42" i="3"/>
  <c r="D43" i="3"/>
  <c r="G42" i="3"/>
  <c r="C42" i="3"/>
  <c r="E42" i="3"/>
  <c r="C36" i="2"/>
  <c r="C53" i="2" s="1"/>
  <c r="C71" i="2" s="1"/>
  <c r="C29" i="2"/>
  <c r="Z73" i="11"/>
  <c r="Z74" i="11"/>
  <c r="Z75" i="11"/>
  <c r="AH50" i="9"/>
  <c r="AH52" i="9"/>
  <c r="AH47" i="9"/>
  <c r="H72" i="3"/>
  <c r="H76" i="3" s="1"/>
  <c r="G76" i="3"/>
  <c r="G171" i="9"/>
  <c r="G238" i="9"/>
  <c r="G58" i="9"/>
  <c r="G105" i="9"/>
  <c r="G146" i="9" s="1"/>
  <c r="G211" i="9" s="1"/>
  <c r="D123" i="3"/>
  <c r="D91" i="3"/>
  <c r="Q75" i="2"/>
  <c r="R73" i="2"/>
  <c r="R74" i="2" s="1"/>
  <c r="R75" i="2" s="1"/>
  <c r="H24" i="7"/>
  <c r="F52" i="3"/>
  <c r="F51" i="3"/>
  <c r="E49" i="3"/>
  <c r="E71" i="3"/>
  <c r="C54" i="3"/>
  <c r="B54" i="3"/>
  <c r="D55" i="3"/>
  <c r="F55" i="3" s="1"/>
  <c r="F133" i="2"/>
  <c r="F142" i="2" s="1"/>
  <c r="F9" i="2"/>
  <c r="AH82" i="9"/>
  <c r="AG174" i="9"/>
  <c r="E150" i="9"/>
  <c r="E215" i="9" s="1"/>
  <c r="F123" i="3"/>
  <c r="F124" i="3" s="1"/>
  <c r="F75" i="3"/>
  <c r="F73" i="3"/>
  <c r="G75" i="3"/>
  <c r="G73" i="3"/>
  <c r="H17" i="7"/>
  <c r="H18" i="7"/>
  <c r="H21" i="7"/>
  <c r="H22" i="7"/>
  <c r="F40" i="3"/>
  <c r="F39" i="3"/>
  <c r="F48" i="9"/>
  <c r="F52" i="9"/>
  <c r="F45" i="9"/>
  <c r="F50" i="9"/>
  <c r="F99" i="9"/>
  <c r="F142" i="9" s="1"/>
  <c r="F207" i="9" s="1"/>
  <c r="F158" i="9"/>
  <c r="F223" i="9"/>
  <c r="F51" i="9"/>
  <c r="F47" i="9"/>
  <c r="F49" i="9"/>
  <c r="F21" i="9"/>
  <c r="F25" i="9" s="1"/>
  <c r="C139" i="2"/>
  <c r="C138" i="2"/>
  <c r="Q128" i="2"/>
  <c r="C126" i="2"/>
  <c r="C128" i="2" s="1"/>
  <c r="C127" i="2"/>
  <c r="H19" i="7"/>
  <c r="E40" i="3"/>
  <c r="E110" i="3"/>
  <c r="E54" i="9"/>
  <c r="E126" i="9"/>
  <c r="C103" i="3"/>
  <c r="C94" i="3"/>
  <c r="H30" i="7"/>
  <c r="G91" i="3"/>
  <c r="F42" i="3"/>
  <c r="E39" i="3"/>
  <c r="F54" i="3"/>
  <c r="F22" i="1"/>
  <c r="F9" i="1"/>
  <c r="F19" i="1"/>
  <c r="F28" i="1"/>
  <c r="P259" i="9"/>
  <c r="P254" i="9"/>
  <c r="BB148" i="9"/>
  <c r="BB55" i="9"/>
  <c r="C140" i="2"/>
  <c r="C116" i="2"/>
  <c r="I37" i="3"/>
  <c r="L22" i="7"/>
  <c r="H20" i="1"/>
  <c r="T247" i="9"/>
  <c r="T213" i="9"/>
  <c r="I116" i="2"/>
  <c r="S71" i="2"/>
  <c r="S74" i="2" s="1"/>
  <c r="D47" i="9"/>
  <c r="D48" i="9"/>
  <c r="M123" i="2"/>
  <c r="M126" i="2"/>
  <c r="M128" i="2" s="1"/>
  <c r="I15" i="7"/>
  <c r="I34" i="7"/>
  <c r="T114" i="11"/>
  <c r="T118" i="11"/>
  <c r="L126" i="2"/>
  <c r="L127" i="2"/>
  <c r="L123" i="2"/>
  <c r="O14" i="11"/>
  <c r="O13" i="11"/>
  <c r="O70" i="11"/>
  <c r="O74" i="11" s="1"/>
  <c r="H41" i="3"/>
  <c r="L24" i="7"/>
  <c r="Y235" i="9"/>
  <c r="H28" i="1"/>
  <c r="Z43" i="9"/>
  <c r="I20" i="1"/>
  <c r="D15" i="9"/>
  <c r="D158" i="9"/>
  <c r="BB121" i="9"/>
  <c r="R95" i="2"/>
  <c r="R116" i="2" s="1"/>
  <c r="R40" i="7"/>
  <c r="R54" i="7"/>
  <c r="K55" i="7"/>
  <c r="K39" i="7"/>
  <c r="AJ106" i="11"/>
  <c r="AJ112" i="11" s="1"/>
  <c r="BB14" i="9"/>
  <c r="BB46" i="9" s="1"/>
  <c r="Q95" i="2"/>
  <c r="Q116" i="2" s="1"/>
  <c r="J55" i="7"/>
  <c r="J36" i="7"/>
  <c r="J39" i="7"/>
  <c r="H19" i="1"/>
  <c r="Z50" i="9"/>
  <c r="Z48" i="9"/>
  <c r="Z51" i="9"/>
  <c r="D52" i="9"/>
  <c r="B27" i="7"/>
  <c r="B18" i="7"/>
  <c r="B17" i="7"/>
  <c r="AJ75" i="11"/>
  <c r="Y269" i="9" l="1"/>
  <c r="K92" i="9"/>
  <c r="K93" i="9" s="1"/>
  <c r="K182" i="9"/>
  <c r="K249" i="9"/>
  <c r="BB213" i="9"/>
  <c r="BB254" i="9"/>
  <c r="AU93" i="9"/>
  <c r="AU184" i="9"/>
  <c r="U180" i="9"/>
  <c r="J1824" i="10"/>
  <c r="AB202" i="9"/>
  <c r="AB243" i="9" s="1"/>
  <c r="X269" i="9"/>
  <c r="AJ269" i="9"/>
  <c r="AA213" i="9"/>
  <c r="H45" i="9"/>
  <c r="AY256" i="9"/>
  <c r="AY213" i="9"/>
  <c r="AY258" i="9"/>
  <c r="AY259" i="9"/>
  <c r="AY264" i="9" s="1"/>
  <c r="AY254" i="9"/>
  <c r="AY214" i="9"/>
  <c r="AY216" i="9" s="1"/>
  <c r="AY215" i="9"/>
  <c r="AY217" i="9" s="1"/>
  <c r="AF21" i="9"/>
  <c r="AF25" i="9" s="1"/>
  <c r="AY234" i="9"/>
  <c r="AY167" i="9"/>
  <c r="AY78" i="9"/>
  <c r="AF43" i="9"/>
  <c r="G269" i="9"/>
  <c r="AF15" i="9"/>
  <c r="AF44" i="9"/>
  <c r="D1906" i="10"/>
  <c r="E1899" i="10"/>
  <c r="E1918" i="10"/>
  <c r="E1902" i="10"/>
  <c r="E1910" i="10"/>
  <c r="E1892" i="10"/>
  <c r="E2030" i="10"/>
  <c r="D1589" i="10"/>
  <c r="E2026" i="10"/>
  <c r="E1596" i="10"/>
  <c r="E1286" i="10"/>
  <c r="G75" i="11"/>
  <c r="G77" i="11"/>
  <c r="G76" i="11"/>
  <c r="F73" i="11"/>
  <c r="F77" i="11"/>
  <c r="F76" i="11"/>
  <c r="H77" i="11"/>
  <c r="I43" i="9"/>
  <c r="AF47" i="9"/>
  <c r="D1904" i="10"/>
  <c r="W213" i="9"/>
  <c r="AP83" i="9"/>
  <c r="AP242" i="9" s="1"/>
  <c r="I50" i="9"/>
  <c r="AJ45" i="9"/>
  <c r="W254" i="9"/>
  <c r="AA254" i="9"/>
  <c r="I44" i="9"/>
  <c r="I52" i="9"/>
  <c r="E269" i="9"/>
  <c r="I158" i="9"/>
  <c r="J159" i="9" s="1"/>
  <c r="I223" i="9"/>
  <c r="J224" i="9" s="1"/>
  <c r="I49" i="9"/>
  <c r="I45" i="9"/>
  <c r="J15" i="9"/>
  <c r="I21" i="9"/>
  <c r="I100" i="9" s="1"/>
  <c r="I99" i="9"/>
  <c r="I142" i="9" s="1"/>
  <c r="I207" i="9" s="1"/>
  <c r="AP170" i="9"/>
  <c r="I58" i="9"/>
  <c r="I48" i="9"/>
  <c r="I51" i="9"/>
  <c r="I47" i="9"/>
  <c r="D1239" i="10"/>
  <c r="E1223" i="10"/>
  <c r="D1237" i="10"/>
  <c r="D1273" i="10" s="1"/>
  <c r="E1288" i="10"/>
  <c r="E2019" i="10"/>
  <c r="E1592" i="10"/>
  <c r="D1587" i="10"/>
  <c r="E2010" i="10"/>
  <c r="E1572" i="10"/>
  <c r="E1580" i="10"/>
  <c r="E1584" i="10"/>
  <c r="D1039" i="10"/>
  <c r="D1045" i="10" s="1"/>
  <c r="E2014" i="10"/>
  <c r="D1586" i="10"/>
  <c r="E2031" i="10"/>
  <c r="D1600" i="10"/>
  <c r="E2017" i="10"/>
  <c r="E1575" i="10"/>
  <c r="D2006" i="10"/>
  <c r="E1595" i="10"/>
  <c r="E2016" i="10"/>
  <c r="E1574" i="10"/>
  <c r="E1601" i="10"/>
  <c r="E1233" i="10"/>
  <c r="E1234" i="10"/>
  <c r="D1236" i="10"/>
  <c r="E1230" i="10"/>
  <c r="E1247" i="10"/>
  <c r="E1250" i="10"/>
  <c r="E1789" i="10"/>
  <c r="D1780" i="10"/>
  <c r="E1257" i="10"/>
  <c r="D1303" i="10"/>
  <c r="D1306" i="10"/>
  <c r="E1221" i="10"/>
  <c r="E1224" i="10"/>
  <c r="E1243" i="10"/>
  <c r="E1231" i="10"/>
  <c r="E1229" i="10"/>
  <c r="E1218" i="10"/>
  <c r="E1232" i="10"/>
  <c r="E1255" i="10"/>
  <c r="E1220" i="10"/>
  <c r="E1252" i="10"/>
  <c r="E1227" i="10"/>
  <c r="D1249" i="10"/>
  <c r="D1272" i="10" s="1"/>
  <c r="E1264" i="10"/>
  <c r="E1222" i="10"/>
  <c r="E1242" i="10"/>
  <c r="D1238" i="10"/>
  <c r="E1246" i="10"/>
  <c r="E1251" i="10"/>
  <c r="E1248" i="10"/>
  <c r="E1244" i="10"/>
  <c r="E1219" i="10"/>
  <c r="E1228" i="10"/>
  <c r="E1901" i="10"/>
  <c r="E1912" i="10"/>
  <c r="E1896" i="10"/>
  <c r="E1913" i="10"/>
  <c r="E1890" i="10"/>
  <c r="E1777" i="10"/>
  <c r="E1774" i="10"/>
  <c r="E1898" i="10"/>
  <c r="E1897" i="10"/>
  <c r="E1767" i="10"/>
  <c r="E1893" i="10"/>
  <c r="E1800" i="10"/>
  <c r="E1792" i="10"/>
  <c r="E1916" i="10"/>
  <c r="E1891" i="10"/>
  <c r="E1926" i="10"/>
  <c r="E1927" i="10" s="1"/>
  <c r="E1900" i="10"/>
  <c r="D1905" i="10"/>
  <c r="E1911" i="10"/>
  <c r="D1903" i="10"/>
  <c r="E1291" i="10"/>
  <c r="E1787" i="10"/>
  <c r="E1791" i="10"/>
  <c r="E1788" i="10"/>
  <c r="E2029" i="10"/>
  <c r="E1299" i="10"/>
  <c r="E1578" i="10"/>
  <c r="E1790" i="10"/>
  <c r="E1311" i="10"/>
  <c r="E1333" i="10"/>
  <c r="E1316" i="10"/>
  <c r="D1585" i="10"/>
  <c r="E1593" i="10"/>
  <c r="E1614" i="10"/>
  <c r="E1573" i="10"/>
  <c r="E1310" i="10"/>
  <c r="E1323" i="10"/>
  <c r="D1317" i="10"/>
  <c r="D1340" i="10" s="1"/>
  <c r="E2038" i="10"/>
  <c r="E1775" i="10"/>
  <c r="D1783" i="10"/>
  <c r="D2023" i="10"/>
  <c r="E1298" i="10"/>
  <c r="E1602" i="10"/>
  <c r="E2007" i="10"/>
  <c r="D2022" i="10"/>
  <c r="E1773" i="10"/>
  <c r="E1318" i="10"/>
  <c r="E1295" i="10"/>
  <c r="D1599" i="10"/>
  <c r="D1624" i="10" s="1"/>
  <c r="E1581" i="10"/>
  <c r="D1782" i="10"/>
  <c r="E2009" i="10"/>
  <c r="E1597" i="10"/>
  <c r="E1776" i="10"/>
  <c r="D1781" i="10"/>
  <c r="E1289" i="10"/>
  <c r="E1795" i="10"/>
  <c r="E2036" i="10"/>
  <c r="D1588" i="10"/>
  <c r="E1300" i="10"/>
  <c r="E2008" i="10"/>
  <c r="E1778" i="10"/>
  <c r="E1296" i="10"/>
  <c r="E1313" i="10"/>
  <c r="E1320" i="10"/>
  <c r="E1570" i="10"/>
  <c r="E1583" i="10"/>
  <c r="E2018" i="10"/>
  <c r="E1594" i="10"/>
  <c r="D1807" i="10"/>
  <c r="D1809" i="10" s="1"/>
  <c r="E1120" i="10"/>
  <c r="E1287" i="10"/>
  <c r="E1808" i="10"/>
  <c r="E1315" i="10"/>
  <c r="E1766" i="10"/>
  <c r="E1798" i="10"/>
  <c r="D1793" i="10"/>
  <c r="D1817" i="10" s="1"/>
  <c r="E2032" i="10"/>
  <c r="D2021" i="10"/>
  <c r="E1297" i="10"/>
  <c r="E2046" i="10"/>
  <c r="E2047" i="10" s="1"/>
  <c r="E1768" i="10"/>
  <c r="D1304" i="10"/>
  <c r="D1305" i="10"/>
  <c r="D1341" i="10" s="1"/>
  <c r="E1292" i="10"/>
  <c r="E1607" i="10"/>
  <c r="E1598" i="10"/>
  <c r="E1571" i="10"/>
  <c r="E2020" i="10"/>
  <c r="E2028" i="10"/>
  <c r="E1097" i="10"/>
  <c r="E1110" i="10" s="1"/>
  <c r="E1779" i="10"/>
  <c r="E1302" i="10"/>
  <c r="E1770" i="10"/>
  <c r="E1794" i="10"/>
  <c r="E1769" i="10"/>
  <c r="E2033" i="10"/>
  <c r="E2011" i="10"/>
  <c r="E1319" i="10"/>
  <c r="E1325" i="10"/>
  <c r="D1307" i="10"/>
  <c r="E1314" i="10"/>
  <c r="E1290" i="10"/>
  <c r="E1301" i="10"/>
  <c r="E1582" i="10"/>
  <c r="E1569" i="10"/>
  <c r="E2027" i="10"/>
  <c r="E1956" i="10"/>
  <c r="E1957" i="10"/>
  <c r="E1949" i="10"/>
  <c r="E1955" i="10"/>
  <c r="E1950" i="10"/>
  <c r="D1966" i="10"/>
  <c r="E1961" i="10"/>
  <c r="E1971" i="10"/>
  <c r="E1951" i="10"/>
  <c r="D1965" i="10"/>
  <c r="D1962" i="10"/>
  <c r="D1963" i="10"/>
  <c r="E1948" i="10"/>
  <c r="E1985" i="10"/>
  <c r="E1986" i="10" s="1"/>
  <c r="E1960" i="10"/>
  <c r="E1969" i="10"/>
  <c r="D1964" i="10"/>
  <c r="E1975" i="10"/>
  <c r="E1952" i="10"/>
  <c r="E1972" i="10"/>
  <c r="E1970" i="10"/>
  <c r="E1958" i="10"/>
  <c r="E1977" i="10"/>
  <c r="U247" i="9"/>
  <c r="H21" i="9"/>
  <c r="H62" i="9" s="1"/>
  <c r="H64" i="9" s="1"/>
  <c r="H69" i="9" s="1"/>
  <c r="AT102" i="9"/>
  <c r="D542" i="10" s="1"/>
  <c r="AU70" i="9"/>
  <c r="H58" i="9"/>
  <c r="AU185" i="9"/>
  <c r="AU252" i="9"/>
  <c r="H99" i="9"/>
  <c r="H142" i="9" s="1"/>
  <c r="H207" i="9" s="1"/>
  <c r="H50" i="9"/>
  <c r="AG47" i="9"/>
  <c r="H48" i="9"/>
  <c r="H49" i="9"/>
  <c r="H44" i="9"/>
  <c r="AG52" i="9"/>
  <c r="AG44" i="9"/>
  <c r="H51" i="9"/>
  <c r="H158" i="9"/>
  <c r="V99" i="9"/>
  <c r="V142" i="9" s="1"/>
  <c r="V207" i="9" s="1"/>
  <c r="H52" i="9"/>
  <c r="I15" i="9"/>
  <c r="AG43" i="9"/>
  <c r="H223" i="9"/>
  <c r="H43" i="9"/>
  <c r="H15" i="9"/>
  <c r="AI85" i="9"/>
  <c r="AI177" i="9" s="1"/>
  <c r="H47" i="9"/>
  <c r="AG51" i="9"/>
  <c r="AF52" i="9"/>
  <c r="AG48" i="9"/>
  <c r="AF46" i="9"/>
  <c r="AJ46" i="9"/>
  <c r="AG158" i="9"/>
  <c r="AK159" i="9" s="1"/>
  <c r="AG50" i="9"/>
  <c r="AF58" i="9"/>
  <c r="AG49" i="9"/>
  <c r="AG21" i="9"/>
  <c r="AF51" i="9"/>
  <c r="AG46" i="9"/>
  <c r="AG58" i="9"/>
  <c r="AF50" i="9"/>
  <c r="AF45" i="9"/>
  <c r="AF158" i="9"/>
  <c r="AF159" i="9" s="1"/>
  <c r="AG45" i="9"/>
  <c r="AF48" i="9"/>
  <c r="AI14" i="9"/>
  <c r="AI49" i="9" s="1"/>
  <c r="D1271" i="10" s="1"/>
  <c r="R243" i="9"/>
  <c r="AM150" i="9"/>
  <c r="AM215" i="9" s="1"/>
  <c r="AQ248" i="9"/>
  <c r="AQ181" i="9"/>
  <c r="AM258" i="9"/>
  <c r="AM269" i="9" s="1"/>
  <c r="AM139" i="9"/>
  <c r="AM200" i="9" s="1"/>
  <c r="D258" i="9"/>
  <c r="D269" i="9" s="1"/>
  <c r="D200" i="9"/>
  <c r="D189" i="9"/>
  <c r="D150" i="9"/>
  <c r="D215" i="9" s="1"/>
  <c r="R258" i="9"/>
  <c r="R269" i="9" s="1"/>
  <c r="R250" i="9"/>
  <c r="E110" i="11"/>
  <c r="AQ180" i="9"/>
  <c r="AQ247" i="9"/>
  <c r="N180" i="9"/>
  <c r="N247" i="9"/>
  <c r="R139" i="9"/>
  <c r="R200" i="9" s="1"/>
  <c r="N176" i="9"/>
  <c r="N243" i="9"/>
  <c r="N71" i="9"/>
  <c r="N162" i="9"/>
  <c r="N164" i="9" s="1"/>
  <c r="N68" i="9"/>
  <c r="N102" i="9"/>
  <c r="N229" i="9"/>
  <c r="N231" i="9" s="1"/>
  <c r="N74" i="9"/>
  <c r="AH236" i="9"/>
  <c r="AH238" i="9"/>
  <c r="U62" i="9"/>
  <c r="U64" i="9" s="1"/>
  <c r="U66" i="9" s="1"/>
  <c r="AH259" i="9"/>
  <c r="AH129" i="9"/>
  <c r="U53" i="9"/>
  <c r="AH190" i="9"/>
  <c r="AQ68" i="9"/>
  <c r="AS102" i="9"/>
  <c r="AR102" i="9"/>
  <c r="W50" i="9"/>
  <c r="W48" i="9"/>
  <c r="W49" i="9"/>
  <c r="S91" i="9"/>
  <c r="S250" i="9" s="1"/>
  <c r="AC47" i="9"/>
  <c r="AH84" i="9"/>
  <c r="AI84" i="9" s="1"/>
  <c r="AC49" i="9"/>
  <c r="AA89" i="9"/>
  <c r="AA248" i="9" s="1"/>
  <c r="AC223" i="9"/>
  <c r="AC224" i="9" s="1"/>
  <c r="AQ162" i="9"/>
  <c r="AQ229" i="9"/>
  <c r="AQ74" i="9"/>
  <c r="AQ166" i="9" s="1"/>
  <c r="AN215" i="9"/>
  <c r="AQ71" i="9"/>
  <c r="AN64" i="9"/>
  <c r="AR65" i="9" s="1"/>
  <c r="S172" i="9"/>
  <c r="R239" i="9"/>
  <c r="AL62" i="9"/>
  <c r="AL64" i="9" s="1"/>
  <c r="AP65" i="9" s="1"/>
  <c r="F224" i="9"/>
  <c r="R172" i="9"/>
  <c r="AL53" i="9"/>
  <c r="W88" i="9"/>
  <c r="W180" i="9" s="1"/>
  <c r="V247" i="9"/>
  <c r="AI54" i="9"/>
  <c r="BB84" i="9"/>
  <c r="BB243" i="9" s="1"/>
  <c r="S85" i="9"/>
  <c r="S244" i="9" s="1"/>
  <c r="R177" i="9"/>
  <c r="S84" i="9"/>
  <c r="S176" i="9" s="1"/>
  <c r="E788" i="10"/>
  <c r="K185" i="9"/>
  <c r="K252" i="9"/>
  <c r="K184" i="9"/>
  <c r="K251" i="9"/>
  <c r="AQ177" i="9"/>
  <c r="AQ244" i="9"/>
  <c r="AQ239" i="9"/>
  <c r="AQ172" i="9"/>
  <c r="AQ174" i="9"/>
  <c r="AQ241" i="9"/>
  <c r="AK234" i="9"/>
  <c r="R173" i="9"/>
  <c r="AQ183" i="9"/>
  <c r="AQ250" i="9"/>
  <c r="AQ179" i="9"/>
  <c r="AQ246" i="9"/>
  <c r="S87" i="9"/>
  <c r="AQ171" i="9"/>
  <c r="AQ238" i="9"/>
  <c r="AQ105" i="9"/>
  <c r="AQ58" i="9"/>
  <c r="AQ167" i="9"/>
  <c r="AQ234" i="9"/>
  <c r="R246" i="9"/>
  <c r="AQ103" i="9"/>
  <c r="AQ168" i="9"/>
  <c r="AQ235" i="9"/>
  <c r="AQ245" i="9"/>
  <c r="AQ178" i="9"/>
  <c r="AQ243" i="9"/>
  <c r="AQ176" i="9"/>
  <c r="AQ173" i="9"/>
  <c r="AQ240" i="9"/>
  <c r="AE80" i="9"/>
  <c r="AE239" i="9" s="1"/>
  <c r="AI190" i="9"/>
  <c r="S81" i="9"/>
  <c r="S240" i="9" s="1"/>
  <c r="AQ106" i="11"/>
  <c r="AQ115" i="11" s="1"/>
  <c r="AA43" i="9"/>
  <c r="Z176" i="9"/>
  <c r="V62" i="9"/>
  <c r="V64" i="9" s="1"/>
  <c r="V69" i="9" s="1"/>
  <c r="V71" i="9" s="1"/>
  <c r="V25" i="9"/>
  <c r="V39" i="9" s="1"/>
  <c r="V56" i="9" s="1"/>
  <c r="J62" i="9"/>
  <c r="J64" i="9" s="1"/>
  <c r="K65" i="9" s="1"/>
  <c r="J25" i="9"/>
  <c r="J39" i="9" s="1"/>
  <c r="J56" i="9" s="1"/>
  <c r="AA243" i="9"/>
  <c r="AB53" i="9"/>
  <c r="AB25" i="9"/>
  <c r="AB39" i="9" s="1"/>
  <c r="AB56" i="9" s="1"/>
  <c r="AE87" i="9"/>
  <c r="AE179" i="9" s="1"/>
  <c r="G25" i="9"/>
  <c r="G39" i="9" s="1"/>
  <c r="G56" i="9" s="1"/>
  <c r="X159" i="9"/>
  <c r="T62" i="9"/>
  <c r="T64" i="9" s="1"/>
  <c r="T66" i="9" s="1"/>
  <c r="T25" i="9"/>
  <c r="T39" i="9" s="1"/>
  <c r="T56" i="9" s="1"/>
  <c r="Q53" i="9"/>
  <c r="Q25" i="9"/>
  <c r="Q39" i="9" s="1"/>
  <c r="Q56" i="9" s="1"/>
  <c r="Z224" i="9"/>
  <c r="AH62" i="9"/>
  <c r="AH64" i="9" s="1"/>
  <c r="AH25" i="9"/>
  <c r="AH39" i="9" s="1"/>
  <c r="AH56" i="9" s="1"/>
  <c r="E62" i="9"/>
  <c r="E64" i="9" s="1"/>
  <c r="E101" i="9" s="1"/>
  <c r="E25" i="9"/>
  <c r="E39" i="9" s="1"/>
  <c r="E104" i="9" s="1"/>
  <c r="Y53" i="9"/>
  <c r="Y25" i="9"/>
  <c r="Y39" i="9" s="1"/>
  <c r="Y56" i="9" s="1"/>
  <c r="E855" i="10"/>
  <c r="AC44" i="9"/>
  <c r="X224" i="9"/>
  <c r="AK176" i="9"/>
  <c r="W190" i="9"/>
  <c r="AC58" i="9"/>
  <c r="AH240" i="9"/>
  <c r="AL159" i="9"/>
  <c r="T224" i="9"/>
  <c r="T99" i="9"/>
  <c r="T116" i="9" s="1"/>
  <c r="AG15" i="9"/>
  <c r="AC52" i="9"/>
  <c r="S47" i="9"/>
  <c r="W149" i="9"/>
  <c r="W214" i="9" s="1"/>
  <c r="AC158" i="9"/>
  <c r="AC48" i="9"/>
  <c r="AC15" i="9"/>
  <c r="S44" i="9"/>
  <c r="AC50" i="9"/>
  <c r="AC21" i="9"/>
  <c r="AC25" i="9" s="1"/>
  <c r="AC39" i="9" s="1"/>
  <c r="W125" i="9"/>
  <c r="W150" i="9" s="1"/>
  <c r="W215" i="9" s="1"/>
  <c r="AC45" i="9"/>
  <c r="AC43" i="9"/>
  <c r="W21" i="9"/>
  <c r="Z100" i="9" s="1"/>
  <c r="AI250" i="9"/>
  <c r="AM87" i="9"/>
  <c r="AM246" i="9" s="1"/>
  <c r="W45" i="9"/>
  <c r="AK247" i="9"/>
  <c r="AM80" i="9"/>
  <c r="AM172" i="9" s="1"/>
  <c r="W15" i="9"/>
  <c r="AI259" i="9"/>
  <c r="W52" i="9"/>
  <c r="AI149" i="9"/>
  <c r="AI214" i="9" s="1"/>
  <c r="AM79" i="9"/>
  <c r="AM238" i="9" s="1"/>
  <c r="AM76" i="9"/>
  <c r="Y99" i="9"/>
  <c r="Y142" i="9" s="1"/>
  <c r="Y207" i="9" s="1"/>
  <c r="W47" i="9"/>
  <c r="X99" i="9"/>
  <c r="X142" i="9" s="1"/>
  <c r="X207" i="9" s="1"/>
  <c r="J53" i="9"/>
  <c r="AM77" i="9"/>
  <c r="AM169" i="9" s="1"/>
  <c r="AC51" i="9"/>
  <c r="W43" i="9"/>
  <c r="W44" i="9"/>
  <c r="W223" i="9"/>
  <c r="V53" i="9"/>
  <c r="Z99" i="9"/>
  <c r="Z142" i="9" s="1"/>
  <c r="Z207" i="9" s="1"/>
  <c r="AI125" i="9"/>
  <c r="AI150" i="9" s="1"/>
  <c r="AI215" i="9" s="1"/>
  <c r="W158" i="9"/>
  <c r="AM86" i="9"/>
  <c r="E1050" i="10"/>
  <c r="BB169" i="9"/>
  <c r="AL75" i="9"/>
  <c r="AL167" i="9" s="1"/>
  <c r="E53" i="9"/>
  <c r="AQ15" i="9"/>
  <c r="U129" i="9"/>
  <c r="P189" i="9"/>
  <c r="D224" i="9"/>
  <c r="AL89" i="9"/>
  <c r="AL88" i="9"/>
  <c r="AL247" i="9" s="1"/>
  <c r="W51" i="9"/>
  <c r="W46" i="9"/>
  <c r="U190" i="9"/>
  <c r="T149" i="9"/>
  <c r="T214" i="9" s="1"/>
  <c r="S254" i="9"/>
  <c r="AO237" i="9"/>
  <c r="AO170" i="9"/>
  <c r="AO83" i="9"/>
  <c r="AE54" i="9"/>
  <c r="G159" i="9"/>
  <c r="AL84" i="9"/>
  <c r="P258" i="9"/>
  <c r="P269" i="9" s="1"/>
  <c r="AE126" i="9"/>
  <c r="AE129" i="9" s="1"/>
  <c r="J100" i="9"/>
  <c r="D1050" i="10"/>
  <c r="D974" i="10"/>
  <c r="D972" i="10"/>
  <c r="E972" i="10"/>
  <c r="E974" i="10"/>
  <c r="D992" i="10"/>
  <c r="S126" i="9"/>
  <c r="S190" i="9" s="1"/>
  <c r="AF247" i="9"/>
  <c r="W259" i="9"/>
  <c r="U149" i="9"/>
  <c r="U214" i="9" s="1"/>
  <c r="AF139" i="9"/>
  <c r="T159" i="9"/>
  <c r="C116" i="9"/>
  <c r="G62" i="9"/>
  <c r="G64" i="9" s="1"/>
  <c r="S213" i="9"/>
  <c r="W54" i="9"/>
  <c r="Z243" i="9"/>
  <c r="AF245" i="9"/>
  <c r="AH173" i="9"/>
  <c r="AE21" i="9"/>
  <c r="AE25" i="9" s="1"/>
  <c r="G224" i="9"/>
  <c r="T190" i="9"/>
  <c r="T129" i="9"/>
  <c r="W85" i="9"/>
  <c r="W244" i="9" s="1"/>
  <c r="AL245" i="9"/>
  <c r="AJ158" i="9"/>
  <c r="AN159" i="9" s="1"/>
  <c r="AN15" i="9"/>
  <c r="T53" i="9"/>
  <c r="AL178" i="9"/>
  <c r="AN56" i="9"/>
  <c r="AH248" i="9"/>
  <c r="V79" i="9"/>
  <c r="V238" i="9" s="1"/>
  <c r="AA169" i="9"/>
  <c r="S51" i="9"/>
  <c r="C129" i="9"/>
  <c r="AJ15" i="9"/>
  <c r="AI240" i="9"/>
  <c r="AM102" i="11"/>
  <c r="S99" i="9"/>
  <c r="S142" i="9" s="1"/>
  <c r="S207" i="9" s="1"/>
  <c r="AJ50" i="9"/>
  <c r="U171" i="9"/>
  <c r="BB181" i="9"/>
  <c r="X259" i="9"/>
  <c r="AH183" i="9"/>
  <c r="AJ48" i="9"/>
  <c r="AC190" i="9"/>
  <c r="S48" i="9"/>
  <c r="F139" i="9"/>
  <c r="AH250" i="9"/>
  <c r="X190" i="9"/>
  <c r="Z181" i="9"/>
  <c r="AH239" i="9"/>
  <c r="AJ47" i="9"/>
  <c r="AD234" i="9"/>
  <c r="AC129" i="9"/>
  <c r="S49" i="9"/>
  <c r="Z248" i="9"/>
  <c r="X149" i="9"/>
  <c r="X214" i="9" s="1"/>
  <c r="F117" i="11"/>
  <c r="F118" i="11"/>
  <c r="E114" i="11"/>
  <c r="F110" i="11"/>
  <c r="E113" i="11"/>
  <c r="G74" i="11"/>
  <c r="G78" i="11"/>
  <c r="G73" i="11"/>
  <c r="F114" i="11"/>
  <c r="F111" i="11"/>
  <c r="F115" i="11"/>
  <c r="D111" i="11"/>
  <c r="F78" i="11"/>
  <c r="F119" i="11"/>
  <c r="F116" i="11"/>
  <c r="D114" i="11"/>
  <c r="F75" i="11"/>
  <c r="F74" i="11"/>
  <c r="E111" i="11"/>
  <c r="E118" i="11"/>
  <c r="E117" i="11"/>
  <c r="E119" i="11"/>
  <c r="E115" i="11"/>
  <c r="AM3" i="11"/>
  <c r="AN3" i="11" s="1"/>
  <c r="AO3" i="11" s="1"/>
  <c r="AP3" i="11" s="1"/>
  <c r="D1059" i="10"/>
  <c r="E1039" i="10"/>
  <c r="J142" i="9"/>
  <c r="J207" i="9" s="1"/>
  <c r="J116" i="9"/>
  <c r="AJ44" i="9"/>
  <c r="AJ58" i="9"/>
  <c r="AJ49" i="9"/>
  <c r="AJ223" i="9"/>
  <c r="AN224" i="9" s="1"/>
  <c r="AJ52" i="9"/>
  <c r="AJ43" i="9"/>
  <c r="AJ51" i="9"/>
  <c r="V177" i="9"/>
  <c r="E1615" i="10"/>
  <c r="AF235" i="9"/>
  <c r="AF248" i="9"/>
  <c r="AF246" i="9"/>
  <c r="AF241" i="9"/>
  <c r="AF236" i="9"/>
  <c r="AF234" i="9"/>
  <c r="AF239" i="9"/>
  <c r="R174" i="9"/>
  <c r="E1605" i="10"/>
  <c r="AA177" i="9"/>
  <c r="AF250" i="9"/>
  <c r="AF238" i="9"/>
  <c r="V224" i="9"/>
  <c r="AK150" i="9"/>
  <c r="AK215" i="9" s="1"/>
  <c r="AF223" i="9"/>
  <c r="AF243" i="9"/>
  <c r="AF244" i="9"/>
  <c r="T105" i="9"/>
  <c r="T146" i="9" s="1"/>
  <c r="T211" i="9" s="1"/>
  <c r="J1068" i="10"/>
  <c r="AI183" i="9"/>
  <c r="V250" i="9"/>
  <c r="V183" i="9"/>
  <c r="BB244" i="9"/>
  <c r="AA168" i="9"/>
  <c r="AH181" i="9"/>
  <c r="AI89" i="9"/>
  <c r="D1110" i="10"/>
  <c r="D1116" i="10" s="1"/>
  <c r="Z173" i="9"/>
  <c r="S58" i="9"/>
  <c r="D1128" i="10"/>
  <c r="E1512" i="10"/>
  <c r="E1119" i="10"/>
  <c r="AL224" i="9"/>
  <c r="AA81" i="9"/>
  <c r="AA240" i="9" s="1"/>
  <c r="AC239" i="9"/>
  <c r="BB81" i="9"/>
  <c r="BB173" i="9" s="1"/>
  <c r="AC149" i="9"/>
  <c r="AC214" i="9" s="1"/>
  <c r="AH244" i="9"/>
  <c r="Y200" i="9"/>
  <c r="U58" i="9"/>
  <c r="U99" i="9"/>
  <c r="AG180" i="9"/>
  <c r="AH88" i="9"/>
  <c r="AH246" i="9"/>
  <c r="W245" i="9"/>
  <c r="S105" i="9"/>
  <c r="S146" i="9" s="1"/>
  <c r="S211" i="9" s="1"/>
  <c r="AA48" i="9"/>
  <c r="AA99" i="9"/>
  <c r="AA142" i="9" s="1"/>
  <c r="AA207" i="9" s="1"/>
  <c r="AG172" i="9"/>
  <c r="AI80" i="9"/>
  <c r="S52" i="9"/>
  <c r="AE105" i="9"/>
  <c r="AE146" i="9" s="1"/>
  <c r="AE171" i="9"/>
  <c r="Y129" i="9"/>
  <c r="BB245" i="9"/>
  <c r="S50" i="9"/>
  <c r="AA235" i="9"/>
  <c r="S82" i="9"/>
  <c r="S45" i="9"/>
  <c r="C200" i="9"/>
  <c r="C190" i="9"/>
  <c r="C149" i="9"/>
  <c r="C214" i="9" s="1"/>
  <c r="AH105" i="9"/>
  <c r="AH146" i="9" s="1"/>
  <c r="AH211" i="9" s="1"/>
  <c r="AD223" i="9"/>
  <c r="AD224" i="9" s="1"/>
  <c r="Y259" i="9"/>
  <c r="AA15" i="9"/>
  <c r="Y149" i="9"/>
  <c r="Y214" i="9" s="1"/>
  <c r="AL179" i="9"/>
  <c r="AL246" i="9"/>
  <c r="AL239" i="9"/>
  <c r="AL172" i="9"/>
  <c r="AL236" i="9"/>
  <c r="AL169" i="9"/>
  <c r="AK248" i="9"/>
  <c r="AG105" i="9"/>
  <c r="AG146" i="9" s="1"/>
  <c r="AG211" i="9" s="1"/>
  <c r="AL171" i="9"/>
  <c r="AL238" i="9"/>
  <c r="AL105" i="9"/>
  <c r="AL146" i="9" s="1"/>
  <c r="AL211" i="9" s="1"/>
  <c r="AL58" i="9"/>
  <c r="AL235" i="9"/>
  <c r="AL168" i="9"/>
  <c r="AL56" i="9"/>
  <c r="W248" i="9"/>
  <c r="W181" i="9"/>
  <c r="AE86" i="9"/>
  <c r="AE178" i="9" s="1"/>
  <c r="AC103" i="9"/>
  <c r="AC145" i="9" s="1"/>
  <c r="AA103" i="9"/>
  <c r="AA145" i="9" s="1"/>
  <c r="AA210" i="9" s="1"/>
  <c r="F159" i="9"/>
  <c r="F189" i="9"/>
  <c r="R181" i="9"/>
  <c r="S89" i="9"/>
  <c r="S248" i="9" s="1"/>
  <c r="W183" i="9"/>
  <c r="F258" i="9"/>
  <c r="F269" i="9" s="1"/>
  <c r="R238" i="9"/>
  <c r="R171" i="9"/>
  <c r="R58" i="9"/>
  <c r="V258" i="9"/>
  <c r="V269" i="9" s="1"/>
  <c r="V139" i="9"/>
  <c r="Q62" i="9"/>
  <c r="Q64" i="9" s="1"/>
  <c r="Q69" i="9" s="1"/>
  <c r="S54" i="9"/>
  <c r="AF189" i="9"/>
  <c r="AK258" i="9"/>
  <c r="AK269" i="9" s="1"/>
  <c r="AB62" i="9"/>
  <c r="AB64" i="9" s="1"/>
  <c r="AF150" i="9"/>
  <c r="AF215" i="9" s="1"/>
  <c r="AK139" i="9"/>
  <c r="V150" i="9"/>
  <c r="V215" i="9" s="1"/>
  <c r="S43" i="9"/>
  <c r="S223" i="9"/>
  <c r="S21" i="9"/>
  <c r="S158" i="9"/>
  <c r="D113" i="11"/>
  <c r="D119" i="11"/>
  <c r="D117" i="11"/>
  <c r="D110" i="11"/>
  <c r="D116" i="11"/>
  <c r="H73" i="11"/>
  <c r="D115" i="11"/>
  <c r="G111" i="11"/>
  <c r="G116" i="11"/>
  <c r="H75" i="11"/>
  <c r="H78" i="11"/>
  <c r="G114" i="11"/>
  <c r="W103" i="9"/>
  <c r="W145" i="9" s="1"/>
  <c r="W210" i="9" s="1"/>
  <c r="Y103" i="9"/>
  <c r="Y145" i="9" s="1"/>
  <c r="Y210" i="9" s="1"/>
  <c r="W235" i="9"/>
  <c r="AE150" i="9"/>
  <c r="AE215" i="9" s="1"/>
  <c r="AE139" i="9"/>
  <c r="AE200" i="9" s="1"/>
  <c r="AD189" i="9"/>
  <c r="AD258" i="9"/>
  <c r="AD269" i="9" s="1"/>
  <c r="AD139" i="9"/>
  <c r="AD150" i="9"/>
  <c r="AD215" i="9" s="1"/>
  <c r="AA178" i="9"/>
  <c r="AA245" i="9"/>
  <c r="AA79" i="9"/>
  <c r="AA238" i="9" s="1"/>
  <c r="AK181" i="9"/>
  <c r="E1192" i="10"/>
  <c r="U105" i="9"/>
  <c r="U146" i="9" s="1"/>
  <c r="U211" i="9" s="1"/>
  <c r="S171" i="9"/>
  <c r="V172" i="9"/>
  <c r="W80" i="9"/>
  <c r="V239" i="9"/>
  <c r="Z171" i="9"/>
  <c r="I62" i="9"/>
  <c r="I64" i="9" s="1"/>
  <c r="AE189" i="9"/>
  <c r="S245" i="9"/>
  <c r="R245" i="9"/>
  <c r="V168" i="9"/>
  <c r="V235" i="9"/>
  <c r="R178" i="9"/>
  <c r="D100" i="9"/>
  <c r="D62" i="9"/>
  <c r="D64" i="9" s="1"/>
  <c r="D65" i="9" s="1"/>
  <c r="D53" i="9"/>
  <c r="D39" i="9"/>
  <c r="D1201" i="10"/>
  <c r="D1180" i="10"/>
  <c r="AE258" i="9"/>
  <c r="AE269" i="9" s="1"/>
  <c r="AE84" i="9"/>
  <c r="AE176" i="9" s="1"/>
  <c r="AD176" i="9"/>
  <c r="V248" i="9"/>
  <c r="V181" i="9"/>
  <c r="AJ129" i="9"/>
  <c r="AJ259" i="9"/>
  <c r="AJ190" i="9"/>
  <c r="AJ149" i="9"/>
  <c r="AJ214" i="9" s="1"/>
  <c r="AJ200" i="9"/>
  <c r="W75" i="9"/>
  <c r="V234" i="9"/>
  <c r="AC200" i="9"/>
  <c r="Z58" i="9"/>
  <c r="BB79" i="9"/>
  <c r="BB58" i="9" s="1"/>
  <c r="R206" i="9"/>
  <c r="S3" i="9"/>
  <c r="J1138" i="10"/>
  <c r="Z103" i="9"/>
  <c r="Z145" i="9" s="1"/>
  <c r="Z210" i="9" s="1"/>
  <c r="W168" i="9"/>
  <c r="Q129" i="9"/>
  <c r="Q190" i="9"/>
  <c r="Q259" i="9"/>
  <c r="Z62" i="9"/>
  <c r="Z64" i="9" s="1"/>
  <c r="Z39" i="9"/>
  <c r="Z56" i="9" s="1"/>
  <c r="Z53" i="9"/>
  <c r="AD88" i="9"/>
  <c r="AD247" i="9" s="1"/>
  <c r="AC180" i="9"/>
  <c r="AI87" i="9"/>
  <c r="E1180" i="10"/>
  <c r="Z189" i="9"/>
  <c r="AI102" i="11"/>
  <c r="E142" i="9"/>
  <c r="E207" i="9" s="1"/>
  <c r="E116" i="9"/>
  <c r="AG235" i="9"/>
  <c r="X103" i="9"/>
  <c r="X145" i="9" s="1"/>
  <c r="X210" i="9" s="1"/>
  <c r="AB150" i="9"/>
  <c r="AB215" i="9" s="1"/>
  <c r="AB258" i="9"/>
  <c r="AB269" i="9" s="1"/>
  <c r="AB189" i="9"/>
  <c r="AB139" i="9"/>
  <c r="AA45" i="9"/>
  <c r="AC99" i="9"/>
  <c r="AA47" i="9"/>
  <c r="AA49" i="9"/>
  <c r="AA21" i="9"/>
  <c r="AB99" i="9"/>
  <c r="AA158" i="9"/>
  <c r="AA52" i="9"/>
  <c r="AA50" i="9"/>
  <c r="AA51" i="9"/>
  <c r="AA44" i="9"/>
  <c r="AA223" i="9"/>
  <c r="G118" i="11"/>
  <c r="G113" i="11"/>
  <c r="G110" i="11"/>
  <c r="G115" i="11"/>
  <c r="G119" i="11"/>
  <c r="H74" i="11"/>
  <c r="D1514" i="10"/>
  <c r="D1528" i="10"/>
  <c r="E1497" i="10"/>
  <c r="D1513" i="10"/>
  <c r="E1506" i="10"/>
  <c r="D1517" i="10"/>
  <c r="E1542" i="10"/>
  <c r="E1723" i="10"/>
  <c r="E1713" i="10"/>
  <c r="D1516" i="10"/>
  <c r="E1725" i="10"/>
  <c r="E1498" i="10"/>
  <c r="E1530" i="10"/>
  <c r="E1724" i="10"/>
  <c r="E1702" i="10"/>
  <c r="E1703" i="10"/>
  <c r="E1708" i="10"/>
  <c r="D1728" i="10"/>
  <c r="D1753" i="10" s="1"/>
  <c r="E1508" i="10"/>
  <c r="E1503" i="10"/>
  <c r="E1744" i="10"/>
  <c r="D1719" i="10"/>
  <c r="E1712" i="10"/>
  <c r="E1511" i="10"/>
  <c r="E1521" i="10"/>
  <c r="E1522" i="10"/>
  <c r="D1729" i="10"/>
  <c r="E1730" i="10"/>
  <c r="D1527" i="10"/>
  <c r="D1551" i="10" s="1"/>
  <c r="E1529" i="10"/>
  <c r="E1731" i="10"/>
  <c r="D1717" i="10"/>
  <c r="D1716" i="10"/>
  <c r="D1715" i="10"/>
  <c r="E1502" i="10"/>
  <c r="E1499" i="10"/>
  <c r="E1543" i="10"/>
  <c r="E1509" i="10"/>
  <c r="E1523" i="10"/>
  <c r="E1679" i="10"/>
  <c r="E1500" i="10"/>
  <c r="E1535" i="10"/>
  <c r="E1332" i="10"/>
  <c r="E1525" i="10"/>
  <c r="E1510" i="10"/>
  <c r="E1399" i="10"/>
  <c r="E1524" i="10"/>
  <c r="E1709" i="10"/>
  <c r="E1714" i="10"/>
  <c r="E1469" i="10"/>
  <c r="E1471" i="10" s="1"/>
  <c r="E1526" i="10"/>
  <c r="E1533" i="10"/>
  <c r="BB183" i="9"/>
  <c r="BB250" i="9"/>
  <c r="AF259" i="9"/>
  <c r="AF190" i="9"/>
  <c r="AE77" i="9"/>
  <c r="AE169" i="9" s="1"/>
  <c r="AD169" i="9"/>
  <c r="BB82" i="9"/>
  <c r="AA82" i="9"/>
  <c r="Z241" i="9"/>
  <c r="Z174" i="9"/>
  <c r="AD49" i="9"/>
  <c r="AD51" i="9"/>
  <c r="AD21" i="9"/>
  <c r="AD25" i="9" s="1"/>
  <c r="AD45" i="9"/>
  <c r="AD44" i="9"/>
  <c r="AD50" i="9"/>
  <c r="AD58" i="9"/>
  <c r="AD158" i="9"/>
  <c r="AD52" i="9"/>
  <c r="AD15" i="9"/>
  <c r="AD48" i="9"/>
  <c r="AD43" i="9"/>
  <c r="AD47" i="9"/>
  <c r="AH15" i="9"/>
  <c r="AD99" i="9"/>
  <c r="Y62" i="9"/>
  <c r="Y64" i="9" s="1"/>
  <c r="AE240" i="9"/>
  <c r="AB159" i="9"/>
  <c r="R180" i="9"/>
  <c r="R247" i="9"/>
  <c r="S88" i="9"/>
  <c r="I189" i="9"/>
  <c r="I150" i="9"/>
  <c r="I215" i="9" s="1"/>
  <c r="I139" i="9"/>
  <c r="I258" i="9"/>
  <c r="I269" i="9" s="1"/>
  <c r="I190" i="9"/>
  <c r="I259" i="9"/>
  <c r="I129" i="9"/>
  <c r="I149" i="9"/>
  <c r="I214" i="9" s="1"/>
  <c r="W116" i="9"/>
  <c r="Y159" i="9"/>
  <c r="AF129" i="9"/>
  <c r="H190" i="9"/>
  <c r="H149" i="9"/>
  <c r="H214" i="9" s="1"/>
  <c r="H129" i="9"/>
  <c r="H259" i="9"/>
  <c r="R75" i="9"/>
  <c r="Q167" i="9"/>
  <c r="Q234" i="9"/>
  <c r="S76" i="9"/>
  <c r="R168" i="9"/>
  <c r="R235" i="9"/>
  <c r="AG139" i="9"/>
  <c r="AG150" i="9"/>
  <c r="AG215" i="9" s="1"/>
  <c r="AG189" i="9"/>
  <c r="AG258" i="9"/>
  <c r="AG269" i="9" s="1"/>
  <c r="H139" i="9"/>
  <c r="H150" i="9"/>
  <c r="H215" i="9" s="1"/>
  <c r="H258" i="9"/>
  <c r="H269" i="9" s="1"/>
  <c r="H189" i="9"/>
  <c r="D1515" i="10"/>
  <c r="D1552" i="10" s="1"/>
  <c r="E1507" i="10"/>
  <c r="E1501" i="10"/>
  <c r="E1520" i="10"/>
  <c r="AF149" i="9"/>
  <c r="AF214" i="9" s="1"/>
  <c r="AF211" i="9"/>
  <c r="AG167" i="9"/>
  <c r="AH75" i="9"/>
  <c r="AG129" i="9"/>
  <c r="AG149" i="9"/>
  <c r="AG214" i="9" s="1"/>
  <c r="AG190" i="9"/>
  <c r="P39" i="9"/>
  <c r="P56" i="9" s="1"/>
  <c r="P53" i="9"/>
  <c r="P62" i="9"/>
  <c r="P64" i="9" s="1"/>
  <c r="Y224" i="9"/>
  <c r="U224" i="9"/>
  <c r="R69" i="9"/>
  <c r="R71" i="9" s="1"/>
  <c r="AK105" i="9"/>
  <c r="AK146" i="9" s="1"/>
  <c r="AK211" i="9" s="1"/>
  <c r="AG241" i="9"/>
  <c r="R66" i="9"/>
  <c r="E224" i="9"/>
  <c r="S258" i="9"/>
  <c r="S269" i="9" s="1"/>
  <c r="S150" i="9"/>
  <c r="S215" i="9" s="1"/>
  <c r="S189" i="9"/>
  <c r="S139" i="9"/>
  <c r="AA125" i="9"/>
  <c r="AA126" i="9"/>
  <c r="AA87" i="9"/>
  <c r="Z246" i="9"/>
  <c r="BB87" i="9"/>
  <c r="Z179" i="9"/>
  <c r="AK53" i="9"/>
  <c r="AK62" i="9"/>
  <c r="AK64" i="9" s="1"/>
  <c r="AO65" i="9" s="1"/>
  <c r="AK39" i="9"/>
  <c r="S236" i="9"/>
  <c r="S169" i="9"/>
  <c r="R155" i="9"/>
  <c r="R108" i="9"/>
  <c r="R131" i="9" s="1"/>
  <c r="R220" i="9" s="1"/>
  <c r="R141" i="9" s="1"/>
  <c r="AG250" i="9"/>
  <c r="BB88" i="9"/>
  <c r="AA88" i="9"/>
  <c r="Z247" i="9"/>
  <c r="Z180" i="9"/>
  <c r="F116" i="9"/>
  <c r="AG223" i="9"/>
  <c r="C104" i="9"/>
  <c r="C56" i="9"/>
  <c r="AI169" i="9"/>
  <c r="AI236" i="9"/>
  <c r="Z149" i="9"/>
  <c r="Z214" i="9" s="1"/>
  <c r="Z259" i="9"/>
  <c r="Z190" i="9"/>
  <c r="Z129" i="9"/>
  <c r="X39" i="9"/>
  <c r="X53" i="9"/>
  <c r="X62" i="9"/>
  <c r="X64" i="9" s="1"/>
  <c r="U200" i="9"/>
  <c r="AG247" i="9"/>
  <c r="AG239" i="9"/>
  <c r="AG236" i="9"/>
  <c r="J1213" i="10"/>
  <c r="J1281" i="10"/>
  <c r="AE174" i="9"/>
  <c r="AE241" i="9"/>
  <c r="T200" i="9"/>
  <c r="AG248" i="9"/>
  <c r="AG245" i="9"/>
  <c r="AG234" i="9"/>
  <c r="AG178" i="9"/>
  <c r="AH86" i="9"/>
  <c r="C101" i="9"/>
  <c r="C66" i="9"/>
  <c r="C69" i="9"/>
  <c r="E1658" i="10"/>
  <c r="D1664" i="10"/>
  <c r="E1660" i="10"/>
  <c r="E1640" i="10"/>
  <c r="E1646" i="10"/>
  <c r="E1669" i="10"/>
  <c r="E1666" i="10"/>
  <c r="E1636" i="10"/>
  <c r="D1678" i="10"/>
  <c r="D1653" i="10"/>
  <c r="E1665" i="10"/>
  <c r="E1645" i="10"/>
  <c r="E1648" i="10"/>
  <c r="E1637" i="10"/>
  <c r="E1639" i="10"/>
  <c r="E1635" i="10"/>
  <c r="E1659" i="10"/>
  <c r="E1638" i="10"/>
  <c r="E1644" i="10"/>
  <c r="E1662" i="10"/>
  <c r="D1663" i="10"/>
  <c r="D1688" i="10" s="1"/>
  <c r="D1654" i="10"/>
  <c r="D1650" i="10"/>
  <c r="D1651" i="10"/>
  <c r="E1657" i="10"/>
  <c r="E1661" i="10"/>
  <c r="E1643" i="10"/>
  <c r="E1647" i="10"/>
  <c r="D1652" i="10"/>
  <c r="E1649" i="10"/>
  <c r="AE250" i="9"/>
  <c r="AE248" i="9"/>
  <c r="J1349" i="10"/>
  <c r="AE238" i="9"/>
  <c r="W87" i="9"/>
  <c r="V246" i="9"/>
  <c r="V179" i="9"/>
  <c r="J1419" i="10"/>
  <c r="G200" i="9"/>
  <c r="Z139" i="9"/>
  <c r="Z258" i="9"/>
  <c r="Z269" i="9" s="1"/>
  <c r="AD236" i="9"/>
  <c r="AD243" i="9"/>
  <c r="AD246" i="9"/>
  <c r="AD248" i="9"/>
  <c r="AD239" i="9"/>
  <c r="AD238" i="9"/>
  <c r="AD250" i="9"/>
  <c r="AD244" i="9"/>
  <c r="AD240" i="9"/>
  <c r="AD245" i="9"/>
  <c r="V84" i="9"/>
  <c r="U176" i="9"/>
  <c r="U243" i="9"/>
  <c r="AF39" i="9"/>
  <c r="AF56" i="9" s="1"/>
  <c r="E200" i="9"/>
  <c r="R236" i="9"/>
  <c r="R169" i="9"/>
  <c r="G142" i="9"/>
  <c r="G207" i="9" s="1"/>
  <c r="G116" i="9"/>
  <c r="E1434" i="10"/>
  <c r="E1453" i="10"/>
  <c r="E1426" i="10"/>
  <c r="E1462" i="10"/>
  <c r="E1450" i="10"/>
  <c r="D1440" i="10"/>
  <c r="E1438" i="10"/>
  <c r="D1443" i="10"/>
  <c r="D1455" i="10"/>
  <c r="E1433" i="10"/>
  <c r="E1439" i="10"/>
  <c r="E1451" i="10"/>
  <c r="E1460" i="10"/>
  <c r="E1448" i="10"/>
  <c r="E1424" i="10"/>
  <c r="D1444" i="10"/>
  <c r="E1437" i="10"/>
  <c r="E1449" i="10"/>
  <c r="E1425" i="10"/>
  <c r="E1429" i="10"/>
  <c r="E1436" i="10"/>
  <c r="E1447" i="10"/>
  <c r="E1427" i="10"/>
  <c r="D1441" i="10"/>
  <c r="D1442" i="10"/>
  <c r="D1479" i="10" s="1"/>
  <c r="E1452" i="10"/>
  <c r="D1454" i="10"/>
  <c r="D1478" i="10" s="1"/>
  <c r="E1435" i="10"/>
  <c r="E1457" i="10"/>
  <c r="E1430" i="10"/>
  <c r="E1456" i="10"/>
  <c r="E1428" i="10"/>
  <c r="AG243" i="9"/>
  <c r="AA80" i="9"/>
  <c r="Z172" i="9"/>
  <c r="Z239" i="9"/>
  <c r="BB80" i="9"/>
  <c r="P200" i="9"/>
  <c r="E1711" i="10"/>
  <c r="E1726" i="10"/>
  <c r="E1722" i="10"/>
  <c r="E1734" i="10"/>
  <c r="E1701" i="10"/>
  <c r="D1718" i="10"/>
  <c r="E1705" i="10"/>
  <c r="E1727" i="10"/>
  <c r="E1710" i="10"/>
  <c r="D1743" i="10"/>
  <c r="E1736" i="10"/>
  <c r="E1700" i="10"/>
  <c r="G53" i="9"/>
  <c r="G100" i="9"/>
  <c r="G129" i="9"/>
  <c r="G259" i="9"/>
  <c r="G190" i="9"/>
  <c r="G149" i="9"/>
  <c r="G214" i="9" s="1"/>
  <c r="AG246" i="9"/>
  <c r="AB240" i="9"/>
  <c r="AB234" i="9"/>
  <c r="D1370" i="10"/>
  <c r="E1355" i="10"/>
  <c r="E1364" i="10"/>
  <c r="E1358" i="10"/>
  <c r="E1387" i="10"/>
  <c r="E1400" i="10"/>
  <c r="E1390" i="10"/>
  <c r="E1383" i="10"/>
  <c r="E1354" i="10"/>
  <c r="E1360" i="10"/>
  <c r="D1373" i="10"/>
  <c r="E1359" i="10"/>
  <c r="E1366" i="10"/>
  <c r="D1384" i="10"/>
  <c r="D1408" i="10" s="1"/>
  <c r="E1356" i="10"/>
  <c r="E1357" i="10"/>
  <c r="D1374" i="10"/>
  <c r="E1386" i="10"/>
  <c r="E1369" i="10"/>
  <c r="E1392" i="10"/>
  <c r="D1372" i="10"/>
  <c r="D1409" i="10" s="1"/>
  <c r="E1380" i="10"/>
  <c r="D1371" i="10"/>
  <c r="E1363" i="10"/>
  <c r="E1379" i="10"/>
  <c r="D1385" i="10"/>
  <c r="E1382" i="10"/>
  <c r="E1365" i="10"/>
  <c r="E1367" i="10"/>
  <c r="E1378" i="10"/>
  <c r="E1381" i="10"/>
  <c r="E1368" i="10"/>
  <c r="E1377" i="10"/>
  <c r="Y167" i="9"/>
  <c r="Y234" i="9"/>
  <c r="Z75" i="9"/>
  <c r="AG238" i="9"/>
  <c r="AG240" i="9"/>
  <c r="AE244" i="9"/>
  <c r="AE76" i="9"/>
  <c r="AH103" i="9" s="1"/>
  <c r="AH145" i="9" s="1"/>
  <c r="AH210" i="9" s="1"/>
  <c r="AD168" i="9"/>
  <c r="AD235" i="9"/>
  <c r="AD103" i="9"/>
  <c r="AD145" i="9" s="1"/>
  <c r="AC241" i="9"/>
  <c r="AC248" i="9"/>
  <c r="AC238" i="9"/>
  <c r="AC235" i="9"/>
  <c r="AC240" i="9"/>
  <c r="AC250" i="9"/>
  <c r="AC234" i="9"/>
  <c r="AC246" i="9"/>
  <c r="AC243" i="9"/>
  <c r="J1492" i="10"/>
  <c r="AC236" i="9"/>
  <c r="AC247" i="9"/>
  <c r="AC244" i="9"/>
  <c r="AC245" i="9"/>
  <c r="D78" i="3"/>
  <c r="D79" i="3" s="1"/>
  <c r="C102" i="3"/>
  <c r="C93" i="3"/>
  <c r="C101" i="3" s="1"/>
  <c r="D132" i="2"/>
  <c r="D18" i="2"/>
  <c r="E259" i="9"/>
  <c r="E190" i="9"/>
  <c r="E129" i="9"/>
  <c r="E149" i="9"/>
  <c r="E214" i="9" s="1"/>
  <c r="D124" i="3"/>
  <c r="B27" i="2"/>
  <c r="B31" i="2"/>
  <c r="G77" i="3"/>
  <c r="G74" i="3"/>
  <c r="M75" i="2"/>
  <c r="N73" i="2"/>
  <c r="N74" i="2" s="1"/>
  <c r="N75" i="2" s="1"/>
  <c r="AH168" i="9"/>
  <c r="AH235" i="9"/>
  <c r="AI76" i="9"/>
  <c r="E91" i="3"/>
  <c r="E73" i="3"/>
  <c r="E75" i="3"/>
  <c r="E123" i="3"/>
  <c r="E124" i="3" s="1"/>
  <c r="D159" i="9"/>
  <c r="E159" i="9"/>
  <c r="AJ39" i="9"/>
  <c r="AJ53" i="9"/>
  <c r="AJ62" i="9"/>
  <c r="AJ64" i="9" s="1"/>
  <c r="K54" i="7"/>
  <c r="K40" i="7"/>
  <c r="O78" i="11"/>
  <c r="O77" i="11"/>
  <c r="O75" i="11"/>
  <c r="O73" i="11"/>
  <c r="F74" i="3"/>
  <c r="F77" i="3" s="1"/>
  <c r="E51" i="3"/>
  <c r="E55" i="3"/>
  <c r="E52" i="3"/>
  <c r="E54" i="3"/>
  <c r="E53" i="3"/>
  <c r="AI171" i="9"/>
  <c r="AI105" i="9"/>
  <c r="AI146" i="9" s="1"/>
  <c r="AI211" i="9" s="1"/>
  <c r="AI238" i="9"/>
  <c r="AJ105" i="9"/>
  <c r="AJ146" i="9" s="1"/>
  <c r="AJ211" i="9" s="1"/>
  <c r="E1265" i="10"/>
  <c r="D1266" i="10"/>
  <c r="D15" i="7"/>
  <c r="D17" i="7"/>
  <c r="D34" i="7"/>
  <c r="U56" i="9"/>
  <c r="AJ119" i="11"/>
  <c r="AJ113" i="11"/>
  <c r="AJ110" i="11"/>
  <c r="AJ114" i="11"/>
  <c r="AJ117" i="11"/>
  <c r="AJ115" i="11"/>
  <c r="AJ118" i="11"/>
  <c r="AJ116" i="11"/>
  <c r="AJ111" i="11"/>
  <c r="AH174" i="9"/>
  <c r="AH241" i="9"/>
  <c r="AI82" i="9"/>
  <c r="AE234" i="9"/>
  <c r="AE167" i="9"/>
  <c r="K19" i="7"/>
  <c r="K30" i="7"/>
  <c r="K18" i="7"/>
  <c r="K21" i="7"/>
  <c r="K22" i="7"/>
  <c r="K27" i="7"/>
  <c r="F100" i="9"/>
  <c r="F53" i="9"/>
  <c r="F39" i="9"/>
  <c r="F62" i="9"/>
  <c r="F64" i="9" s="1"/>
  <c r="G55" i="3"/>
  <c r="B55" i="3"/>
  <c r="H55" i="3"/>
  <c r="D56" i="3"/>
  <c r="C55" i="3"/>
  <c r="I55" i="3"/>
  <c r="BB125" i="9"/>
  <c r="BB126" i="9"/>
  <c r="BB54" i="9"/>
  <c r="I39" i="3"/>
  <c r="H110" i="3"/>
  <c r="I42" i="3"/>
  <c r="H71" i="3"/>
  <c r="I41" i="3"/>
  <c r="I40" i="3"/>
  <c r="I43" i="3"/>
  <c r="BB48" i="9"/>
  <c r="BB15" i="9"/>
  <c r="BB223" i="9"/>
  <c r="BB158" i="9"/>
  <c r="BB51" i="9"/>
  <c r="BB45" i="9"/>
  <c r="BB52" i="9"/>
  <c r="BB49" i="9"/>
  <c r="BB50" i="9"/>
  <c r="BB99" i="9"/>
  <c r="BB43" i="9"/>
  <c r="BB47" i="9"/>
  <c r="BB44" i="9"/>
  <c r="BB21" i="9"/>
  <c r="J54" i="7"/>
  <c r="J40" i="7"/>
  <c r="I19" i="7"/>
  <c r="I27" i="7"/>
  <c r="I22" i="7"/>
  <c r="I30" i="7"/>
  <c r="I21" i="7"/>
  <c r="I24" i="7"/>
  <c r="I18" i="7"/>
  <c r="I17" i="7"/>
  <c r="F132" i="2"/>
  <c r="F18" i="2"/>
  <c r="G43" i="3"/>
  <c r="D44" i="3"/>
  <c r="E43" i="3"/>
  <c r="C43" i="3"/>
  <c r="F43" i="3"/>
  <c r="H43" i="3"/>
  <c r="B43" i="3"/>
  <c r="O3" i="2"/>
  <c r="N35" i="2"/>
  <c r="N77" i="2"/>
  <c r="N118" i="2"/>
  <c r="N124" i="2" s="1"/>
  <c r="E1839" i="10" l="1"/>
  <c r="E1858" i="10"/>
  <c r="AE211" i="9"/>
  <c r="AG25" i="9"/>
  <c r="AG39" i="9" s="1"/>
  <c r="AG56" i="9" s="1"/>
  <c r="AG62" i="9"/>
  <c r="AG64" i="9" s="1"/>
  <c r="D1847" i="10"/>
  <c r="E1837" i="10"/>
  <c r="E1836" i="10"/>
  <c r="D1853" i="10"/>
  <c r="D1877" i="10" s="1"/>
  <c r="D1844" i="10"/>
  <c r="E1850" i="10"/>
  <c r="D1845" i="10"/>
  <c r="D1843" i="10"/>
  <c r="E1842" i="10"/>
  <c r="E1855" i="10"/>
  <c r="E1829" i="10"/>
  <c r="E1831" i="10"/>
  <c r="E1840" i="10"/>
  <c r="E1860" i="10"/>
  <c r="E1830" i="10"/>
  <c r="E1851" i="10"/>
  <c r="E1832" i="10"/>
  <c r="E1838" i="10"/>
  <c r="E1868" i="10"/>
  <c r="E1869" i="10" s="1"/>
  <c r="E1841" i="10"/>
  <c r="E1833" i="10"/>
  <c r="D1846" i="10"/>
  <c r="E1854" i="10"/>
  <c r="E1852" i="10"/>
  <c r="J1565" i="10"/>
  <c r="AB244" i="9"/>
  <c r="AB238" i="9"/>
  <c r="AB247" i="9"/>
  <c r="AD210" i="9"/>
  <c r="AB236" i="9"/>
  <c r="AB223" i="9"/>
  <c r="AB224" i="9" s="1"/>
  <c r="AB241" i="9"/>
  <c r="AB248" i="9"/>
  <c r="AB250" i="9"/>
  <c r="J1762" i="10"/>
  <c r="AB246" i="9"/>
  <c r="AB235" i="9"/>
  <c r="AB210" i="9"/>
  <c r="J1696" i="10"/>
  <c r="AB245" i="9"/>
  <c r="AB239" i="9"/>
  <c r="J1631" i="10"/>
  <c r="AC210" i="9"/>
  <c r="AP175" i="9"/>
  <c r="AI43" i="9"/>
  <c r="I116" i="9"/>
  <c r="AP90" i="9"/>
  <c r="AP249" i="9" s="1"/>
  <c r="I159" i="9"/>
  <c r="I224" i="9"/>
  <c r="AF53" i="9"/>
  <c r="AN65" i="9"/>
  <c r="AF62" i="9"/>
  <c r="AF64" i="9" s="1"/>
  <c r="AF66" i="9" s="1"/>
  <c r="AY237" i="9"/>
  <c r="AY170" i="9"/>
  <c r="AY83" i="9"/>
  <c r="AZ106" i="9" s="1"/>
  <c r="AZ147" i="9" s="1"/>
  <c r="AZ212" i="9" s="1"/>
  <c r="AY269" i="9"/>
  <c r="AY263" i="9"/>
  <c r="I25" i="9"/>
  <c r="I39" i="9" s="1"/>
  <c r="I104" i="9" s="1"/>
  <c r="I53" i="9"/>
  <c r="AG53" i="9"/>
  <c r="AI45" i="9"/>
  <c r="AL99" i="9"/>
  <c r="AL116" i="9" s="1"/>
  <c r="E1807" i="10"/>
  <c r="E1809" i="10" s="1"/>
  <c r="AI51" i="9"/>
  <c r="AK99" i="9"/>
  <c r="AK142" i="9" s="1"/>
  <c r="AK207" i="9" s="1"/>
  <c r="AT134" i="9"/>
  <c r="AT195" i="9" s="1"/>
  <c r="AT133" i="9"/>
  <c r="AT194" i="9" s="1"/>
  <c r="AT137" i="9"/>
  <c r="AT198" i="9" s="1"/>
  <c r="E1266" i="10"/>
  <c r="E1121" i="10"/>
  <c r="E1334" i="10"/>
  <c r="H100" i="9"/>
  <c r="H25" i="9"/>
  <c r="H39" i="9" s="1"/>
  <c r="H56" i="9" s="1"/>
  <c r="AT143" i="9"/>
  <c r="AT192" i="9" s="1"/>
  <c r="AT261" i="9"/>
  <c r="AR261" i="9"/>
  <c r="AS261" i="9"/>
  <c r="H53" i="9"/>
  <c r="AT136" i="9"/>
  <c r="AT197" i="9" s="1"/>
  <c r="D1254" i="10"/>
  <c r="D1261" i="10" s="1"/>
  <c r="E1915" i="10"/>
  <c r="E1917" i="10" s="1"/>
  <c r="E1254" i="10"/>
  <c r="E1256" i="10" s="1"/>
  <c r="D1275" i="10"/>
  <c r="D1277" i="10" s="1"/>
  <c r="E1616" i="10"/>
  <c r="D1322" i="10"/>
  <c r="D1324" i="10" s="1"/>
  <c r="E1797" i="10"/>
  <c r="E1799" i="10" s="1"/>
  <c r="D1604" i="10"/>
  <c r="D1608" i="10" s="1"/>
  <c r="D1818" i="10"/>
  <c r="D1820" i="10" s="1"/>
  <c r="E1818" i="10" s="1"/>
  <c r="D1936" i="10"/>
  <c r="D1938" i="10" s="1"/>
  <c r="E1935" i="10" s="1"/>
  <c r="D1915" i="10"/>
  <c r="D1919" i="10" s="1"/>
  <c r="D1797" i="10"/>
  <c r="D1801" i="10" s="1"/>
  <c r="E1604" i="10"/>
  <c r="E1608" i="10" s="1"/>
  <c r="E2035" i="10"/>
  <c r="E2039" i="10" s="1"/>
  <c r="E1322" i="10"/>
  <c r="E1326" i="10" s="1"/>
  <c r="D2035" i="10"/>
  <c r="D2039" i="10" s="1"/>
  <c r="D1625" i="10"/>
  <c r="D1627" i="10" s="1"/>
  <c r="E1622" i="10" s="1"/>
  <c r="D1343" i="10"/>
  <c r="D1345" i="10" s="1"/>
  <c r="D1974" i="10"/>
  <c r="D1981" i="10" s="1"/>
  <c r="D1995" i="10"/>
  <c r="D1997" i="10" s="1"/>
  <c r="E1995" i="10" s="1"/>
  <c r="E1974" i="10"/>
  <c r="E1978" i="10" s="1"/>
  <c r="AI44" i="9"/>
  <c r="AI21" i="9"/>
  <c r="AJ100" i="9" s="1"/>
  <c r="AH243" i="9"/>
  <c r="AG159" i="9"/>
  <c r="H224" i="9"/>
  <c r="AH224" i="9"/>
  <c r="AI52" i="9"/>
  <c r="AI47" i="9"/>
  <c r="H116" i="9"/>
  <c r="AI50" i="9"/>
  <c r="AI223" i="9"/>
  <c r="AI48" i="9"/>
  <c r="AJ99" i="9"/>
  <c r="AJ142" i="9" s="1"/>
  <c r="AJ207" i="9" s="1"/>
  <c r="AI46" i="9"/>
  <c r="AI99" i="9"/>
  <c r="AI116" i="9" s="1"/>
  <c r="AI58" i="9"/>
  <c r="AI158" i="9"/>
  <c r="K106" i="11"/>
  <c r="K112" i="11" s="1"/>
  <c r="H159" i="9"/>
  <c r="AI189" i="9"/>
  <c r="AI244" i="9"/>
  <c r="V68" i="9"/>
  <c r="AQ231" i="9"/>
  <c r="AU230" i="9"/>
  <c r="V116" i="9"/>
  <c r="AQ164" i="9"/>
  <c r="AU163" i="9"/>
  <c r="U69" i="9"/>
  <c r="U71" i="9" s="1"/>
  <c r="Y65" i="9"/>
  <c r="AC159" i="9"/>
  <c r="AI139" i="9"/>
  <c r="AI200" i="9" s="1"/>
  <c r="AI258" i="9"/>
  <c r="AI269" i="9" s="1"/>
  <c r="AG224" i="9"/>
  <c r="AC62" i="9"/>
  <c r="AC64" i="9" s="1"/>
  <c r="AC69" i="9" s="1"/>
  <c r="V162" i="9"/>
  <c r="V164" i="9" s="1"/>
  <c r="AN69" i="9"/>
  <c r="AN229" i="9" s="1"/>
  <c r="AN66" i="9"/>
  <c r="AT151" i="9"/>
  <c r="Y100" i="9"/>
  <c r="S177" i="9"/>
  <c r="S173" i="9"/>
  <c r="W159" i="9"/>
  <c r="S243" i="9"/>
  <c r="D619" i="10"/>
  <c r="M106" i="11"/>
  <c r="AC53" i="9"/>
  <c r="N248" i="9"/>
  <c r="N181" i="9"/>
  <c r="N167" i="9"/>
  <c r="N234" i="9"/>
  <c r="N166" i="9"/>
  <c r="N78" i="9"/>
  <c r="N233" i="9"/>
  <c r="N261" i="9" s="1"/>
  <c r="N143" i="9"/>
  <c r="N137" i="9"/>
  <c r="N136" i="9"/>
  <c r="N134" i="9"/>
  <c r="N133" i="9"/>
  <c r="AH176" i="9"/>
  <c r="W247" i="9"/>
  <c r="D696" i="10"/>
  <c r="E696" i="10" s="1"/>
  <c r="AR137" i="9"/>
  <c r="AR136" i="9"/>
  <c r="AR133" i="9"/>
  <c r="AR134" i="9"/>
  <c r="AR143" i="9"/>
  <c r="AS136" i="9"/>
  <c r="AS143" i="9"/>
  <c r="AS137" i="9"/>
  <c r="AS133" i="9"/>
  <c r="AS134" i="9"/>
  <c r="AQ233" i="9"/>
  <c r="BB176" i="9"/>
  <c r="W53" i="9"/>
  <c r="S183" i="9"/>
  <c r="AA181" i="9"/>
  <c r="Y116" i="9"/>
  <c r="AQ78" i="9"/>
  <c r="AQ237" i="9" s="1"/>
  <c r="AL69" i="9"/>
  <c r="AP70" i="9" s="1"/>
  <c r="AM168" i="9"/>
  <c r="AM235" i="9"/>
  <c r="W139" i="9"/>
  <c r="AA105" i="9"/>
  <c r="AA146" i="9" s="1"/>
  <c r="AA211" i="9" s="1"/>
  <c r="AM103" i="9"/>
  <c r="AM145" i="9" s="1"/>
  <c r="AM210" i="9" s="1"/>
  <c r="AL65" i="9"/>
  <c r="AL66" i="9"/>
  <c r="AN103" i="9"/>
  <c r="AN145" i="9" s="1"/>
  <c r="AN210" i="9" s="1"/>
  <c r="AQ145" i="9"/>
  <c r="AQ210" i="9" s="1"/>
  <c r="AA58" i="9"/>
  <c r="AQ101" i="9"/>
  <c r="AQ146" i="9"/>
  <c r="AQ211" i="9" s="1"/>
  <c r="F770" i="10"/>
  <c r="BB224" i="9"/>
  <c r="BB105" i="9"/>
  <c r="BB146" i="9" s="1"/>
  <c r="BB211" i="9" s="1"/>
  <c r="H66" i="9"/>
  <c r="H101" i="9"/>
  <c r="J66" i="9"/>
  <c r="W224" i="9"/>
  <c r="J69" i="9"/>
  <c r="K70" i="9" s="1"/>
  <c r="AC105" i="9"/>
  <c r="AC146" i="9" s="1"/>
  <c r="AC211" i="9" s="1"/>
  <c r="AA171" i="9"/>
  <c r="J101" i="9"/>
  <c r="AB105" i="9"/>
  <c r="AB146" i="9" s="1"/>
  <c r="AB211" i="9" s="1"/>
  <c r="AD105" i="9"/>
  <c r="AD146" i="9" s="1"/>
  <c r="AD211" i="9" s="1"/>
  <c r="T142" i="9"/>
  <c r="T207" i="9" s="1"/>
  <c r="J65" i="9"/>
  <c r="X100" i="9"/>
  <c r="W62" i="9"/>
  <c r="W64" i="9" s="1"/>
  <c r="W101" i="9" s="1"/>
  <c r="AE172" i="9"/>
  <c r="G65" i="9"/>
  <c r="E69" i="9"/>
  <c r="E102" i="9" s="1"/>
  <c r="S246" i="9"/>
  <c r="S179" i="9"/>
  <c r="BB159" i="9"/>
  <c r="E66" i="9"/>
  <c r="AA159" i="9"/>
  <c r="T69" i="9"/>
  <c r="T71" i="9" s="1"/>
  <c r="G101" i="9"/>
  <c r="V229" i="9"/>
  <c r="S149" i="9"/>
  <c r="S214" i="9" s="1"/>
  <c r="AM239" i="9"/>
  <c r="S129" i="9"/>
  <c r="J104" i="9"/>
  <c r="V66" i="9"/>
  <c r="S259" i="9"/>
  <c r="AH69" i="9"/>
  <c r="AH66" i="9"/>
  <c r="J106" i="11"/>
  <c r="AA100" i="9"/>
  <c r="AA25" i="9"/>
  <c r="AA39" i="9" s="1"/>
  <c r="AM245" i="9"/>
  <c r="AM105" i="9"/>
  <c r="AM146" i="9" s="1"/>
  <c r="AM211" i="9" s="1"/>
  <c r="AM179" i="9"/>
  <c r="AE246" i="9"/>
  <c r="G104" i="9"/>
  <c r="V74" i="9"/>
  <c r="V166" i="9" s="1"/>
  <c r="AM236" i="9"/>
  <c r="S100" i="9"/>
  <c r="S25" i="9"/>
  <c r="S39" i="9" s="1"/>
  <c r="S104" i="9" s="1"/>
  <c r="V65" i="9"/>
  <c r="W100" i="9"/>
  <c r="W25" i="9"/>
  <c r="W39" i="9" s="1"/>
  <c r="W56" i="9" s="1"/>
  <c r="AQ112" i="11"/>
  <c r="AQ111" i="11"/>
  <c r="AQ119" i="11"/>
  <c r="AQ118" i="11"/>
  <c r="AQ110" i="11"/>
  <c r="AQ114" i="11"/>
  <c r="AQ117" i="11"/>
  <c r="AQ116" i="11"/>
  <c r="AQ113" i="11"/>
  <c r="AQ3" i="11"/>
  <c r="AR3" i="11" s="1"/>
  <c r="AO105" i="9"/>
  <c r="AO146" i="9" s="1"/>
  <c r="AO211" i="9" s="1"/>
  <c r="AN105" i="9"/>
  <c r="AN146" i="9" s="1"/>
  <c r="AM15" i="9"/>
  <c r="AP99" i="9"/>
  <c r="V105" i="9"/>
  <c r="V146" i="9" s="1"/>
  <c r="V211" i="9" s="1"/>
  <c r="W189" i="9"/>
  <c r="X116" i="9"/>
  <c r="V171" i="9"/>
  <c r="E56" i="9"/>
  <c r="V58" i="9"/>
  <c r="AO103" i="9"/>
  <c r="AO145" i="9" s="1"/>
  <c r="AO210" i="9" s="1"/>
  <c r="AP103" i="9"/>
  <c r="AP145" i="9" s="1"/>
  <c r="AP210" i="9" s="1"/>
  <c r="W258" i="9"/>
  <c r="W269" i="9" s="1"/>
  <c r="W79" i="9"/>
  <c r="Z105" i="9" s="1"/>
  <c r="Z146" i="9" s="1"/>
  <c r="Z211" i="9" s="1"/>
  <c r="AA224" i="9"/>
  <c r="AM171" i="9"/>
  <c r="AP105" i="9"/>
  <c r="AP146" i="9" s="1"/>
  <c r="AP211" i="9" s="1"/>
  <c r="Z116" i="9"/>
  <c r="AM44" i="9"/>
  <c r="AM49" i="9"/>
  <c r="AM178" i="9"/>
  <c r="AM51" i="9"/>
  <c r="AM88" i="9"/>
  <c r="AM48" i="9"/>
  <c r="AM84" i="9"/>
  <c r="AM89" i="9"/>
  <c r="AM158" i="9"/>
  <c r="AM223" i="9"/>
  <c r="AE190" i="9"/>
  <c r="AE149" i="9"/>
  <c r="AE214" i="9" s="1"/>
  <c r="AE243" i="9"/>
  <c r="AF200" i="9"/>
  <c r="AM52" i="9"/>
  <c r="AO90" i="9"/>
  <c r="AO242" i="9"/>
  <c r="AO175" i="9"/>
  <c r="AM46" i="9"/>
  <c r="AO99" i="9"/>
  <c r="AE259" i="9"/>
  <c r="AM50" i="9"/>
  <c r="AM47" i="9"/>
  <c r="AL176" i="9"/>
  <c r="AM43" i="9"/>
  <c r="AN99" i="9"/>
  <c r="AN142" i="9" s="1"/>
  <c r="D993" i="10"/>
  <c r="E989" i="10"/>
  <c r="E986" i="10"/>
  <c r="E988" i="10"/>
  <c r="E987" i="10"/>
  <c r="AL243" i="9"/>
  <c r="AM99" i="9"/>
  <c r="AM142" i="9" s="1"/>
  <c r="AM207" i="9" s="1"/>
  <c r="AM58" i="9"/>
  <c r="AM75" i="9"/>
  <c r="AL234" i="9"/>
  <c r="W177" i="9"/>
  <c r="AL180" i="9"/>
  <c r="AM45" i="9"/>
  <c r="AM21" i="9"/>
  <c r="AM53" i="9" s="1"/>
  <c r="AE49" i="9"/>
  <c r="AE46" i="9"/>
  <c r="E990" i="10"/>
  <c r="G66" i="9"/>
  <c r="G69" i="9"/>
  <c r="G229" i="9" s="1"/>
  <c r="H65" i="9"/>
  <c r="AE52" i="9"/>
  <c r="AE50" i="9"/>
  <c r="AE158" i="9"/>
  <c r="AE159" i="9" s="1"/>
  <c r="AH99" i="9"/>
  <c r="AH116" i="9" s="1"/>
  <c r="AE99" i="9"/>
  <c r="AE47" i="9"/>
  <c r="AE48" i="9"/>
  <c r="AG99" i="9"/>
  <c r="AG116" i="9" s="1"/>
  <c r="AE58" i="9"/>
  <c r="AE43" i="9"/>
  <c r="AF99" i="9"/>
  <c r="AE51" i="9"/>
  <c r="S116" i="9"/>
  <c r="AE45" i="9"/>
  <c r="AE44" i="9"/>
  <c r="AE15" i="9"/>
  <c r="AI15" i="9"/>
  <c r="AE223" i="9"/>
  <c r="AJ159" i="9"/>
  <c r="AK200" i="9"/>
  <c r="BB238" i="9"/>
  <c r="I69" i="9"/>
  <c r="I102" i="9" s="1"/>
  <c r="BB171" i="9"/>
  <c r="F200" i="9"/>
  <c r="I66" i="9"/>
  <c r="I101" i="9"/>
  <c r="I65" i="9"/>
  <c r="D1130" i="10"/>
  <c r="D1132" i="10" s="1"/>
  <c r="AM106" i="11"/>
  <c r="AM115" i="11" s="1"/>
  <c r="D1061" i="10"/>
  <c r="D1043" i="10"/>
  <c r="D1041" i="10"/>
  <c r="E1043" i="10"/>
  <c r="E1041" i="10"/>
  <c r="AJ224" i="9"/>
  <c r="T100" i="9"/>
  <c r="R229" i="9"/>
  <c r="AI248" i="9"/>
  <c r="AI181" i="9"/>
  <c r="R74" i="9"/>
  <c r="R78" i="9" s="1"/>
  <c r="R68" i="9"/>
  <c r="R162" i="9"/>
  <c r="R164" i="9" s="1"/>
  <c r="AA173" i="9"/>
  <c r="V70" i="9"/>
  <c r="AK103" i="9"/>
  <c r="AK145" i="9" s="1"/>
  <c r="AK210" i="9" s="1"/>
  <c r="AI239" i="9"/>
  <c r="D1114" i="10"/>
  <c r="D1112" i="10"/>
  <c r="E1112" i="10"/>
  <c r="E1114" i="10"/>
  <c r="AL248" i="9"/>
  <c r="AL181" i="9"/>
  <c r="BB240" i="9"/>
  <c r="AL103" i="9"/>
  <c r="AL145" i="9" s="1"/>
  <c r="AL210" i="9" s="1"/>
  <c r="U142" i="9"/>
  <c r="U207" i="9" s="1"/>
  <c r="U116" i="9"/>
  <c r="S174" i="9"/>
  <c r="S241" i="9"/>
  <c r="AI172" i="9"/>
  <c r="AH180" i="9"/>
  <c r="AI88" i="9"/>
  <c r="AH247" i="9"/>
  <c r="S181" i="9"/>
  <c r="AA116" i="9"/>
  <c r="U100" i="9"/>
  <c r="S53" i="9"/>
  <c r="V100" i="9"/>
  <c r="S62" i="9"/>
  <c r="S64" i="9" s="1"/>
  <c r="AB66" i="9"/>
  <c r="AB69" i="9"/>
  <c r="V200" i="9"/>
  <c r="U65" i="9"/>
  <c r="Q66" i="9"/>
  <c r="AE100" i="9"/>
  <c r="AE245" i="9"/>
  <c r="D1203" i="10"/>
  <c r="E1201" i="10" s="1"/>
  <c r="AB100" i="9"/>
  <c r="AE53" i="9"/>
  <c r="AE39" i="9"/>
  <c r="AE56" i="9" s="1"/>
  <c r="AD200" i="9"/>
  <c r="AH100" i="9"/>
  <c r="AE62" i="9"/>
  <c r="AE64" i="9" s="1"/>
  <c r="AE69" i="9" s="1"/>
  <c r="W239" i="9"/>
  <c r="W172" i="9"/>
  <c r="AC100" i="9"/>
  <c r="AC116" i="9"/>
  <c r="AC142" i="9"/>
  <c r="AC207" i="9" s="1"/>
  <c r="AI246" i="9"/>
  <c r="AI179" i="9"/>
  <c r="AE236" i="9"/>
  <c r="O102" i="11"/>
  <c r="H102" i="11"/>
  <c r="O105" i="11"/>
  <c r="H105" i="11"/>
  <c r="AB200" i="9"/>
  <c r="O103" i="11"/>
  <c r="H103" i="11"/>
  <c r="D1187" i="10"/>
  <c r="D1184" i="10"/>
  <c r="D1182" i="10"/>
  <c r="O97" i="11"/>
  <c r="H97" i="11"/>
  <c r="W167" i="9"/>
  <c r="W234" i="9"/>
  <c r="O104" i="11"/>
  <c r="H104" i="11"/>
  <c r="Z65" i="9"/>
  <c r="Z66" i="9"/>
  <c r="Z69" i="9"/>
  <c r="AB142" i="9"/>
  <c r="AB207" i="9" s="1"/>
  <c r="AB116" i="9"/>
  <c r="O96" i="11"/>
  <c r="H96" i="11"/>
  <c r="AI106" i="11"/>
  <c r="AI111" i="11" s="1"/>
  <c r="AE88" i="9"/>
  <c r="AD180" i="9"/>
  <c r="D56" i="9"/>
  <c r="D104" i="9"/>
  <c r="AA53" i="9"/>
  <c r="AA62" i="9"/>
  <c r="AA64" i="9" s="1"/>
  <c r="O100" i="11"/>
  <c r="H100" i="11"/>
  <c r="H101" i="11"/>
  <c r="O101" i="11"/>
  <c r="E1182" i="10"/>
  <c r="E1184" i="10"/>
  <c r="T3" i="9"/>
  <c r="S61" i="9"/>
  <c r="S73" i="9" s="1"/>
  <c r="S98" i="9" s="1"/>
  <c r="S206" i="9"/>
  <c r="D66" i="9"/>
  <c r="D69" i="9"/>
  <c r="D70" i="9" s="1"/>
  <c r="D101" i="9"/>
  <c r="E65" i="9"/>
  <c r="E1544" i="10"/>
  <c r="D1754" i="10"/>
  <c r="D1756" i="10" s="1"/>
  <c r="E1754" i="10" s="1"/>
  <c r="D1553" i="10"/>
  <c r="D1555" i="10" s="1"/>
  <c r="E1553" i="10" s="1"/>
  <c r="D1733" i="10"/>
  <c r="D1740" i="10" s="1"/>
  <c r="E1401" i="10"/>
  <c r="D1532" i="10"/>
  <c r="D1536" i="10" s="1"/>
  <c r="D1480" i="10"/>
  <c r="D1482" i="10" s="1"/>
  <c r="E1478" i="10" s="1"/>
  <c r="E1532" i="10"/>
  <c r="E1536" i="10" s="1"/>
  <c r="E1733" i="10"/>
  <c r="E1735" i="10" s="1"/>
  <c r="BB246" i="9"/>
  <c r="BB179" i="9"/>
  <c r="AG200" i="9"/>
  <c r="S180" i="9"/>
  <c r="S247" i="9"/>
  <c r="R167" i="9"/>
  <c r="R234" i="9"/>
  <c r="AD39" i="9"/>
  <c r="AD56" i="9" s="1"/>
  <c r="AD53" i="9"/>
  <c r="AD62" i="9"/>
  <c r="AD64" i="9" s="1"/>
  <c r="AG100" i="9"/>
  <c r="AF100" i="9"/>
  <c r="AA246" i="9"/>
  <c r="AA179" i="9"/>
  <c r="AH167" i="9"/>
  <c r="AI75" i="9"/>
  <c r="AH234" i="9"/>
  <c r="AA241" i="9"/>
  <c r="AA174" i="9"/>
  <c r="AA149" i="9"/>
  <c r="AA214" i="9" s="1"/>
  <c r="AA129" i="9"/>
  <c r="AA190" i="9"/>
  <c r="AA259" i="9"/>
  <c r="S75" i="9"/>
  <c r="AI176" i="9"/>
  <c r="AI243" i="9"/>
  <c r="Y66" i="9"/>
  <c r="Y69" i="9"/>
  <c r="BB174" i="9"/>
  <c r="BB241" i="9"/>
  <c r="AD100" i="9"/>
  <c r="AA139" i="9"/>
  <c r="AA258" i="9"/>
  <c r="AA269" i="9" s="1"/>
  <c r="AA189" i="9"/>
  <c r="AA150" i="9"/>
  <c r="AA215" i="9" s="1"/>
  <c r="P66" i="9"/>
  <c r="T65" i="9"/>
  <c r="P69" i="9"/>
  <c r="H200" i="9"/>
  <c r="AK224" i="9"/>
  <c r="AD159" i="9"/>
  <c r="AH159" i="9"/>
  <c r="S200" i="9"/>
  <c r="V103" i="9"/>
  <c r="V145" i="9" s="1"/>
  <c r="V210" i="9" s="1"/>
  <c r="S235" i="9"/>
  <c r="U103" i="9"/>
  <c r="U145" i="9" s="1"/>
  <c r="U210" i="9" s="1"/>
  <c r="T103" i="9"/>
  <c r="T145" i="9" s="1"/>
  <c r="T210" i="9" s="1"/>
  <c r="S103" i="9"/>
  <c r="S145" i="9" s="1"/>
  <c r="S210" i="9" s="1"/>
  <c r="S168" i="9"/>
  <c r="I200" i="9"/>
  <c r="AD142" i="9"/>
  <c r="AD207" i="9" s="1"/>
  <c r="AD116" i="9"/>
  <c r="AK66" i="9"/>
  <c r="AK69" i="9"/>
  <c r="AO70" i="9" s="1"/>
  <c r="AK56" i="9"/>
  <c r="BB75" i="9"/>
  <c r="Z234" i="9"/>
  <c r="Z167" i="9"/>
  <c r="AA75" i="9"/>
  <c r="D1668" i="10"/>
  <c r="AH245" i="9"/>
  <c r="AH178" i="9"/>
  <c r="AI86" i="9"/>
  <c r="AA247" i="9"/>
  <c r="AA180" i="9"/>
  <c r="W246" i="9"/>
  <c r="W179" i="9"/>
  <c r="AE103" i="9"/>
  <c r="AE145" i="9" s="1"/>
  <c r="AE210" i="9" s="1"/>
  <c r="AE235" i="9"/>
  <c r="AE168" i="9"/>
  <c r="AF103" i="9"/>
  <c r="AF145" i="9" s="1"/>
  <c r="AF210" i="9" s="1"/>
  <c r="AG103" i="9"/>
  <c r="AG145" i="9" s="1"/>
  <c r="AG210" i="9" s="1"/>
  <c r="V243" i="9"/>
  <c r="V176" i="9"/>
  <c r="W84" i="9"/>
  <c r="E1678" i="10"/>
  <c r="E1680" i="10" s="1"/>
  <c r="D1680" i="10"/>
  <c r="AC56" i="9"/>
  <c r="X56" i="9"/>
  <c r="BB180" i="9"/>
  <c r="BB247" i="9"/>
  <c r="D1410" i="10"/>
  <c r="BB172" i="9"/>
  <c r="BB239" i="9"/>
  <c r="E1668" i="10"/>
  <c r="H71" i="9"/>
  <c r="H68" i="9"/>
  <c r="H229" i="9"/>
  <c r="H231" i="9" s="1"/>
  <c r="H162" i="9"/>
  <c r="H164" i="9" s="1"/>
  <c r="H74" i="9"/>
  <c r="H102" i="9"/>
  <c r="AA172" i="9"/>
  <c r="AA239" i="9"/>
  <c r="D1745" i="10"/>
  <c r="E1743" i="10"/>
  <c r="E1745" i="10" s="1"/>
  <c r="D1459" i="10"/>
  <c r="D1689" i="10"/>
  <c r="Q71" i="9"/>
  <c r="Q162" i="9"/>
  <c r="Q164" i="9" s="1"/>
  <c r="Q68" i="9"/>
  <c r="Q74" i="9"/>
  <c r="Q229" i="9"/>
  <c r="X66" i="9"/>
  <c r="X69" i="9"/>
  <c r="AB65" i="9"/>
  <c r="X65" i="9"/>
  <c r="Z200" i="9"/>
  <c r="E1389" i="10"/>
  <c r="D1389" i="10"/>
  <c r="AF224" i="9"/>
  <c r="E1459" i="10"/>
  <c r="C71" i="9"/>
  <c r="C102" i="9"/>
  <c r="C229" i="9"/>
  <c r="C74" i="9"/>
  <c r="C68" i="9"/>
  <c r="C162" i="9"/>
  <c r="F78" i="3"/>
  <c r="F79" i="3" s="1"/>
  <c r="BB129" i="9"/>
  <c r="BB259" i="9"/>
  <c r="BB149" i="9"/>
  <c r="BB214" i="9" s="1"/>
  <c r="BB190" i="9"/>
  <c r="AI168" i="9"/>
  <c r="AJ103" i="9"/>
  <c r="AJ145" i="9" s="1"/>
  <c r="AJ210" i="9" s="1"/>
  <c r="AI103" i="9"/>
  <c r="AI145" i="9" s="1"/>
  <c r="AI210" i="9" s="1"/>
  <c r="AI235" i="9"/>
  <c r="B36" i="2"/>
  <c r="B53" i="2" s="1"/>
  <c r="B71" i="2" s="1"/>
  <c r="B74" i="2" s="1"/>
  <c r="B29" i="2"/>
  <c r="J123" i="3"/>
  <c r="J124" i="3" s="1"/>
  <c r="BB25" i="9"/>
  <c r="BB39" i="9" s="1"/>
  <c r="BB62" i="9"/>
  <c r="BB64" i="9" s="1"/>
  <c r="BB100" i="9"/>
  <c r="BB53" i="9"/>
  <c r="F44" i="3"/>
  <c r="B44" i="3"/>
  <c r="E44" i="3"/>
  <c r="H44" i="3"/>
  <c r="C44" i="3"/>
  <c r="G44" i="3"/>
  <c r="H73" i="3"/>
  <c r="H75" i="3"/>
  <c r="H123" i="3"/>
  <c r="H124" i="3" s="1"/>
  <c r="H91" i="3"/>
  <c r="F104" i="9"/>
  <c r="F56" i="9"/>
  <c r="AJ69" i="9"/>
  <c r="AJ66" i="9"/>
  <c r="D81" i="3"/>
  <c r="D82" i="3" s="1"/>
  <c r="D80" i="3"/>
  <c r="D111" i="3"/>
  <c r="F101" i="9"/>
  <c r="F66" i="9"/>
  <c r="F69" i="9"/>
  <c r="F65" i="9"/>
  <c r="BB142" i="9"/>
  <c r="BB207" i="9" s="1"/>
  <c r="BB116" i="9"/>
  <c r="E74" i="3"/>
  <c r="E77" i="3"/>
  <c r="D31" i="2"/>
  <c r="D27" i="2"/>
  <c r="D29" i="2" s="1"/>
  <c r="BB150" i="9"/>
  <c r="BB215" i="9" s="1"/>
  <c r="BB258" i="9"/>
  <c r="BB269" i="9" s="1"/>
  <c r="BB189" i="9"/>
  <c r="BB139" i="9"/>
  <c r="O77" i="2"/>
  <c r="P3" i="2"/>
  <c r="O118" i="2"/>
  <c r="O124" i="2" s="1"/>
  <c r="O35" i="2"/>
  <c r="F31" i="2"/>
  <c r="F27" i="2"/>
  <c r="F29" i="2" s="1"/>
  <c r="G56" i="3"/>
  <c r="C56" i="3"/>
  <c r="B56" i="3"/>
  <c r="F56" i="3"/>
  <c r="I56" i="3"/>
  <c r="H56" i="3"/>
  <c r="AI174" i="9"/>
  <c r="AI241" i="9"/>
  <c r="E56" i="3"/>
  <c r="AJ56" i="9"/>
  <c r="G78" i="3"/>
  <c r="G79" i="3" s="1"/>
  <c r="I44" i="3"/>
  <c r="D19" i="7"/>
  <c r="D24" i="7"/>
  <c r="D27" i="7"/>
  <c r="D18" i="7"/>
  <c r="D30" i="7"/>
  <c r="D21" i="7"/>
  <c r="D22" i="7"/>
  <c r="B134" i="2"/>
  <c r="B32" i="2"/>
  <c r="B135" i="2" s="1"/>
  <c r="AK65" i="9" l="1"/>
  <c r="AG66" i="9"/>
  <c r="AG69" i="9"/>
  <c r="D1878" i="10"/>
  <c r="D1880" i="10" s="1"/>
  <c r="E1878" i="10" s="1"/>
  <c r="D1857" i="10"/>
  <c r="E1857" i="10"/>
  <c r="E1859" i="10" s="1"/>
  <c r="U74" i="9"/>
  <c r="AP182" i="9"/>
  <c r="I56" i="9"/>
  <c r="AI142" i="9"/>
  <c r="AI207" i="9" s="1"/>
  <c r="AT208" i="9"/>
  <c r="AT209" i="9" s="1"/>
  <c r="H104" i="9"/>
  <c r="AJ65" i="9"/>
  <c r="AF65" i="9"/>
  <c r="AT144" i="9"/>
  <c r="AF69" i="9"/>
  <c r="AF68" i="9" s="1"/>
  <c r="AK116" i="9"/>
  <c r="AC101" i="9"/>
  <c r="AL142" i="9"/>
  <c r="AL207" i="9" s="1"/>
  <c r="AI62" i="9"/>
  <c r="AI64" i="9" s="1"/>
  <c r="AI53" i="9"/>
  <c r="E1801" i="10"/>
  <c r="AY90" i="9"/>
  <c r="AY242" i="9"/>
  <c r="AY175" i="9"/>
  <c r="AY106" i="9"/>
  <c r="AY147" i="9" s="1"/>
  <c r="AY212" i="9" s="1"/>
  <c r="E1976" i="10"/>
  <c r="AT152" i="9"/>
  <c r="U68" i="9"/>
  <c r="U70" i="9"/>
  <c r="U229" i="9"/>
  <c r="U162" i="9"/>
  <c r="U163" i="9" s="1"/>
  <c r="AN70" i="9"/>
  <c r="E1919" i="10"/>
  <c r="E1814" i="10"/>
  <c r="AN71" i="9"/>
  <c r="D1917" i="10"/>
  <c r="D1939" i="10"/>
  <c r="E1258" i="10"/>
  <c r="D1978" i="10"/>
  <c r="D1976" i="10"/>
  <c r="D1799" i="10"/>
  <c r="E2037" i="10"/>
  <c r="D1326" i="10"/>
  <c r="E1606" i="10"/>
  <c r="D1922" i="10"/>
  <c r="D1804" i="10"/>
  <c r="D1256" i="10"/>
  <c r="D1258" i="10"/>
  <c r="D1278" i="10"/>
  <c r="E1324" i="10"/>
  <c r="AN74" i="9"/>
  <c r="AN78" i="9" s="1"/>
  <c r="AI25" i="9"/>
  <c r="AI39" i="9" s="1"/>
  <c r="AJ104" i="9" s="1"/>
  <c r="V231" i="9"/>
  <c r="AI100" i="9"/>
  <c r="AL100" i="9"/>
  <c r="R231" i="9"/>
  <c r="AI224" i="9"/>
  <c r="Q231" i="9"/>
  <c r="AC66" i="9"/>
  <c r="N267" i="9"/>
  <c r="N266" i="9"/>
  <c r="AR230" i="9"/>
  <c r="AQ261" i="9"/>
  <c r="AK100" i="9"/>
  <c r="D2037" i="10"/>
  <c r="D2042" i="10"/>
  <c r="D1628" i="10"/>
  <c r="D1606" i="10"/>
  <c r="E1625" i="10"/>
  <c r="E1932" i="10"/>
  <c r="E1621" i="10"/>
  <c r="E1934" i="10"/>
  <c r="E1816" i="10"/>
  <c r="E1624" i="10"/>
  <c r="E1936" i="10"/>
  <c r="D1611" i="10"/>
  <c r="E1817" i="10"/>
  <c r="D1329" i="10"/>
  <c r="E1623" i="10"/>
  <c r="D1821" i="10"/>
  <c r="E1815" i="10"/>
  <c r="E1933" i="10"/>
  <c r="AJ116" i="9"/>
  <c r="K119" i="11"/>
  <c r="K111" i="11"/>
  <c r="K116" i="11"/>
  <c r="K113" i="11"/>
  <c r="K110" i="11"/>
  <c r="K117" i="11"/>
  <c r="K118" i="11"/>
  <c r="K114" i="11"/>
  <c r="K115" i="11"/>
  <c r="AT266" i="9"/>
  <c r="AT267" i="9"/>
  <c r="X104" i="9"/>
  <c r="AC65" i="9"/>
  <c r="AG65" i="9"/>
  <c r="X101" i="9"/>
  <c r="G162" i="9"/>
  <c r="H163" i="9" s="1"/>
  <c r="G71" i="9"/>
  <c r="AN68" i="9"/>
  <c r="AR70" i="9"/>
  <c r="AN162" i="9"/>
  <c r="AR163" i="9" s="1"/>
  <c r="AQ102" i="9"/>
  <c r="AQ134" i="9" s="1"/>
  <c r="AQ151" i="9" s="1"/>
  <c r="W200" i="9"/>
  <c r="Y104" i="9"/>
  <c r="Z104" i="9"/>
  <c r="W66" i="9"/>
  <c r="W104" i="9"/>
  <c r="Z101" i="9"/>
  <c r="AT264" i="9"/>
  <c r="AT263" i="9"/>
  <c r="AT216" i="9"/>
  <c r="E619" i="10"/>
  <c r="F614" i="10"/>
  <c r="F618" i="10"/>
  <c r="F616" i="10"/>
  <c r="E542" i="10"/>
  <c r="F537" i="10"/>
  <c r="F539" i="10"/>
  <c r="F541" i="10"/>
  <c r="M119" i="11"/>
  <c r="M118" i="11"/>
  <c r="M112" i="11"/>
  <c r="M110" i="11"/>
  <c r="M117" i="11"/>
  <c r="M111" i="11"/>
  <c r="M114" i="11"/>
  <c r="M113" i="11"/>
  <c r="M116" i="11"/>
  <c r="M115" i="11"/>
  <c r="AS3" i="11"/>
  <c r="T68" i="9"/>
  <c r="N237" i="9"/>
  <c r="N83" i="9"/>
  <c r="N170" i="9"/>
  <c r="N152" i="9"/>
  <c r="N194" i="9"/>
  <c r="W171" i="9"/>
  <c r="N151" i="9"/>
  <c r="N195" i="9"/>
  <c r="W238" i="9"/>
  <c r="N197" i="9"/>
  <c r="N144" i="9"/>
  <c r="N208" i="9"/>
  <c r="N192" i="9"/>
  <c r="N198" i="9"/>
  <c r="AS195" i="9"/>
  <c r="AS151" i="9"/>
  <c r="AR197" i="9"/>
  <c r="AR152" i="9"/>
  <c r="AR194" i="9"/>
  <c r="J68" i="9"/>
  <c r="AS152" i="9"/>
  <c r="AS194" i="9"/>
  <c r="AR198" i="9"/>
  <c r="J162" i="9"/>
  <c r="K163" i="9" s="1"/>
  <c r="AS198" i="9"/>
  <c r="AS144" i="9"/>
  <c r="AS208" i="9"/>
  <c r="AS192" i="9"/>
  <c r="AM100" i="9"/>
  <c r="AS197" i="9"/>
  <c r="AR192" i="9"/>
  <c r="AR144" i="9"/>
  <c r="AR208" i="9"/>
  <c r="AR195" i="9"/>
  <c r="AR151" i="9"/>
  <c r="V233" i="9"/>
  <c r="AL70" i="9"/>
  <c r="AL68" i="9"/>
  <c r="AQ170" i="9"/>
  <c r="AI159" i="9"/>
  <c r="J115" i="11"/>
  <c r="AQ83" i="9"/>
  <c r="AT106" i="9" s="1"/>
  <c r="AT147" i="9" s="1"/>
  <c r="AT212" i="9" s="1"/>
  <c r="AL162" i="9"/>
  <c r="AP163" i="9" s="1"/>
  <c r="Y101" i="9"/>
  <c r="W105" i="9"/>
  <c r="W146" i="9" s="1"/>
  <c r="W211" i="9" s="1"/>
  <c r="W69" i="9"/>
  <c r="W162" i="9" s="1"/>
  <c r="W164" i="9" s="1"/>
  <c r="W58" i="9"/>
  <c r="AL71" i="9"/>
  <c r="AL229" i="9"/>
  <c r="F768" i="10"/>
  <c r="AL74" i="9"/>
  <c r="AL78" i="9" s="1"/>
  <c r="F766" i="10"/>
  <c r="AN207" i="9"/>
  <c r="AN211" i="9"/>
  <c r="E771" i="10"/>
  <c r="G770" i="10" s="1"/>
  <c r="I74" i="9"/>
  <c r="I78" i="9" s="1"/>
  <c r="R233" i="9"/>
  <c r="AM62" i="9"/>
  <c r="AM64" i="9" s="1"/>
  <c r="AP101" i="9" s="1"/>
  <c r="J229" i="9"/>
  <c r="K230" i="9" s="1"/>
  <c r="J71" i="9"/>
  <c r="J74" i="9"/>
  <c r="J233" i="9" s="1"/>
  <c r="J261" i="9" s="1"/>
  <c r="AE224" i="9"/>
  <c r="J102" i="9"/>
  <c r="J133" i="9" s="1"/>
  <c r="G74" i="9"/>
  <c r="G78" i="9" s="1"/>
  <c r="V78" i="9"/>
  <c r="V237" i="9" s="1"/>
  <c r="T74" i="9"/>
  <c r="E162" i="9"/>
  <c r="E164" i="9" s="1"/>
  <c r="E74" i="9"/>
  <c r="E68" i="9"/>
  <c r="E71" i="9"/>
  <c r="E229" i="9"/>
  <c r="E231" i="9" s="1"/>
  <c r="V230" i="9"/>
  <c r="AM224" i="9"/>
  <c r="AQ224" i="9"/>
  <c r="G70" i="9"/>
  <c r="AE66" i="9"/>
  <c r="H70" i="9"/>
  <c r="AM159" i="9"/>
  <c r="AQ159" i="9"/>
  <c r="G68" i="9"/>
  <c r="G102" i="9"/>
  <c r="G143" i="9" s="1"/>
  <c r="X105" i="9"/>
  <c r="X146" i="9" s="1"/>
  <c r="X211" i="9" s="1"/>
  <c r="I229" i="9"/>
  <c r="I230" i="9" s="1"/>
  <c r="AP100" i="9"/>
  <c r="AM25" i="9"/>
  <c r="AM39" i="9" s="1"/>
  <c r="AP104" i="9" s="1"/>
  <c r="J113" i="11"/>
  <c r="J119" i="11"/>
  <c r="J118" i="11"/>
  <c r="J114" i="11"/>
  <c r="J116" i="11"/>
  <c r="J117" i="11"/>
  <c r="J111" i="11"/>
  <c r="J110" i="11"/>
  <c r="AG142" i="9"/>
  <c r="AG207" i="9" s="1"/>
  <c r="AH162" i="9"/>
  <c r="AH164" i="9" s="1"/>
  <c r="AH68" i="9"/>
  <c r="AH74" i="9"/>
  <c r="AH71" i="9"/>
  <c r="AH229" i="9"/>
  <c r="AN116" i="9"/>
  <c r="AM116" i="9"/>
  <c r="Y105" i="9"/>
  <c r="Y146" i="9" s="1"/>
  <c r="Y211" i="9" s="1"/>
  <c r="AM243" i="9"/>
  <c r="AM247" i="9"/>
  <c r="T229" i="9"/>
  <c r="T162" i="9"/>
  <c r="T164" i="9" s="1"/>
  <c r="AM176" i="9"/>
  <c r="AP142" i="9"/>
  <c r="AP207" i="9" s="1"/>
  <c r="AP116" i="9"/>
  <c r="AH142" i="9"/>
  <c r="AH207" i="9" s="1"/>
  <c r="AM181" i="9"/>
  <c r="AM248" i="9"/>
  <c r="V163" i="9"/>
  <c r="AM180" i="9"/>
  <c r="E923" i="10"/>
  <c r="AN100" i="9"/>
  <c r="AO100" i="9"/>
  <c r="AO249" i="9"/>
  <c r="AO182" i="9"/>
  <c r="E143" i="9"/>
  <c r="E134" i="9"/>
  <c r="E137" i="9"/>
  <c r="E133" i="9"/>
  <c r="E136" i="9"/>
  <c r="AO142" i="9"/>
  <c r="AO207" i="9" s="1"/>
  <c r="AO116" i="9"/>
  <c r="AM234" i="9"/>
  <c r="AM167" i="9"/>
  <c r="D1062" i="10"/>
  <c r="AE116" i="9"/>
  <c r="AE142" i="9"/>
  <c r="AE207" i="9" s="1"/>
  <c r="AE104" i="9"/>
  <c r="AF116" i="9"/>
  <c r="AF142" i="9"/>
  <c r="AF207" i="9" s="1"/>
  <c r="I71" i="9"/>
  <c r="I162" i="9"/>
  <c r="I164" i="9" s="1"/>
  <c r="AN231" i="9"/>
  <c r="D1133" i="10"/>
  <c r="E1129" i="10"/>
  <c r="E1127" i="10"/>
  <c r="E1126" i="10"/>
  <c r="E1128" i="10"/>
  <c r="AH104" i="9"/>
  <c r="R166" i="9"/>
  <c r="I70" i="9"/>
  <c r="AF101" i="9"/>
  <c r="I106" i="11"/>
  <c r="I115" i="11" s="1"/>
  <c r="I68" i="9"/>
  <c r="J70" i="9"/>
  <c r="AM113" i="11"/>
  <c r="AM119" i="11"/>
  <c r="AM112" i="11"/>
  <c r="AM111" i="11"/>
  <c r="AM116" i="11"/>
  <c r="AM118" i="11"/>
  <c r="AM110" i="11"/>
  <c r="AM117" i="11"/>
  <c r="AM114" i="11"/>
  <c r="E1130" i="10"/>
  <c r="E1059" i="10"/>
  <c r="E1058" i="10"/>
  <c r="E1055" i="10"/>
  <c r="E1056" i="10"/>
  <c r="E1057" i="10"/>
  <c r="E1343" i="10"/>
  <c r="AI180" i="9"/>
  <c r="AI247" i="9"/>
  <c r="S56" i="9"/>
  <c r="U104" i="9"/>
  <c r="V104" i="9"/>
  <c r="T104" i="9"/>
  <c r="AE65" i="9"/>
  <c r="AB162" i="9"/>
  <c r="AB164" i="9" s="1"/>
  <c r="AB68" i="9"/>
  <c r="AB74" i="9"/>
  <c r="AB71" i="9"/>
  <c r="AB229" i="9"/>
  <c r="S66" i="9"/>
  <c r="V101" i="9"/>
  <c r="S101" i="9"/>
  <c r="S69" i="9"/>
  <c r="U101" i="9"/>
  <c r="T101" i="9"/>
  <c r="AE101" i="9"/>
  <c r="AH101" i="9"/>
  <c r="AG101" i="9"/>
  <c r="W65" i="9"/>
  <c r="E1200" i="10"/>
  <c r="E1199" i="10"/>
  <c r="E1198" i="10"/>
  <c r="E1197" i="10"/>
  <c r="Z162" i="9"/>
  <c r="Z70" i="9"/>
  <c r="Z68" i="9"/>
  <c r="Z71" i="9"/>
  <c r="Z74" i="9"/>
  <c r="Z229" i="9"/>
  <c r="E1275" i="10"/>
  <c r="D68" i="9"/>
  <c r="D71" i="9"/>
  <c r="D102" i="9"/>
  <c r="D162" i="9"/>
  <c r="D163" i="9" s="1"/>
  <c r="D74" i="9"/>
  <c r="D229" i="9"/>
  <c r="D230" i="9" s="1"/>
  <c r="E70" i="9"/>
  <c r="AA69" i="9"/>
  <c r="AB102" i="9" s="1"/>
  <c r="AA66" i="9"/>
  <c r="AA65" i="9"/>
  <c r="H106" i="11"/>
  <c r="H115" i="11" s="1"/>
  <c r="AA56" i="9"/>
  <c r="AB104" i="9"/>
  <c r="O106" i="11"/>
  <c r="O117" i="11" s="1"/>
  <c r="AA101" i="9"/>
  <c r="AA104" i="9"/>
  <c r="S155" i="9"/>
  <c r="S108" i="9"/>
  <c r="S131" i="9" s="1"/>
  <c r="S220" i="9" s="1"/>
  <c r="S141" i="9" s="1"/>
  <c r="T61" i="9"/>
  <c r="T73" i="9" s="1"/>
  <c r="T98" i="9" s="1"/>
  <c r="U3" i="9"/>
  <c r="T206" i="9"/>
  <c r="AI117" i="11"/>
  <c r="AI119" i="11"/>
  <c r="AI113" i="11"/>
  <c r="AI115" i="11"/>
  <c r="AI112" i="11"/>
  <c r="AI116" i="11"/>
  <c r="AI114" i="11"/>
  <c r="AI110" i="11"/>
  <c r="AI118" i="11"/>
  <c r="AG104" i="9"/>
  <c r="AF104" i="9"/>
  <c r="AC104" i="9"/>
  <c r="AB101" i="9"/>
  <c r="AE180" i="9"/>
  <c r="AE247" i="9"/>
  <c r="D1539" i="10"/>
  <c r="D1735" i="10"/>
  <c r="D1737" i="10"/>
  <c r="D1534" i="10"/>
  <c r="E1273" i="10"/>
  <c r="E1534" i="10"/>
  <c r="E1272" i="10"/>
  <c r="E1271" i="10"/>
  <c r="E1274" i="10"/>
  <c r="Y229" i="9"/>
  <c r="Y68" i="9"/>
  <c r="Y74" i="9"/>
  <c r="Y162" i="9"/>
  <c r="Y71" i="9"/>
  <c r="AI167" i="9"/>
  <c r="AI234" i="9"/>
  <c r="AD65" i="9"/>
  <c r="AH65" i="9"/>
  <c r="AD69" i="9"/>
  <c r="AD66" i="9"/>
  <c r="S167" i="9"/>
  <c r="S234" i="9"/>
  <c r="AA200" i="9"/>
  <c r="AI66" i="9"/>
  <c r="AI69" i="9"/>
  <c r="E1737" i="10"/>
  <c r="T70" i="9"/>
  <c r="P229" i="9"/>
  <c r="P162" i="9"/>
  <c r="P74" i="9"/>
  <c r="P68" i="9"/>
  <c r="P71" i="9"/>
  <c r="E1341" i="10"/>
  <c r="E1342" i="10"/>
  <c r="D1346" i="10"/>
  <c r="E1340" i="10"/>
  <c r="E1339" i="10"/>
  <c r="AD101" i="9"/>
  <c r="Y70" i="9"/>
  <c r="AD104" i="9"/>
  <c r="AK74" i="9"/>
  <c r="AK71" i="9"/>
  <c r="AK70" i="9"/>
  <c r="AK68" i="9"/>
  <c r="AK229" i="9"/>
  <c r="AK162" i="9"/>
  <c r="AO163" i="9" s="1"/>
  <c r="E1476" i="10"/>
  <c r="D1483" i="10"/>
  <c r="E1477" i="10"/>
  <c r="E1463" i="10"/>
  <c r="E1461" i="10"/>
  <c r="H134" i="9"/>
  <c r="H137" i="9"/>
  <c r="H143" i="9"/>
  <c r="H133" i="9"/>
  <c r="H136" i="9"/>
  <c r="H166" i="9"/>
  <c r="H233" i="9"/>
  <c r="H261" i="9" s="1"/>
  <c r="H78" i="9"/>
  <c r="AI245" i="9"/>
  <c r="AI178" i="9"/>
  <c r="D1393" i="10"/>
  <c r="D1391" i="10"/>
  <c r="D1396" i="10"/>
  <c r="C231" i="9"/>
  <c r="X71" i="9"/>
  <c r="X74" i="9"/>
  <c r="X162" i="9"/>
  <c r="X70" i="9"/>
  <c r="X229" i="9"/>
  <c r="X68" i="9"/>
  <c r="AB70" i="9"/>
  <c r="AF70" i="9"/>
  <c r="AC229" i="9"/>
  <c r="AC71" i="9"/>
  <c r="AC162" i="9"/>
  <c r="AC74" i="9"/>
  <c r="AC68" i="9"/>
  <c r="AC70" i="9"/>
  <c r="AA234" i="9"/>
  <c r="AA167" i="9"/>
  <c r="C78" i="9"/>
  <c r="C166" i="9"/>
  <c r="C233" i="9"/>
  <c r="C261" i="9" s="1"/>
  <c r="D1466" i="10"/>
  <c r="D1461" i="10"/>
  <c r="D1463" i="10"/>
  <c r="BB234" i="9"/>
  <c r="BB167" i="9"/>
  <c r="E1391" i="10"/>
  <c r="E1393" i="10"/>
  <c r="C137" i="9"/>
  <c r="C136" i="9"/>
  <c r="C134" i="9"/>
  <c r="C143" i="9"/>
  <c r="C133" i="9"/>
  <c r="E1480" i="10"/>
  <c r="E1672" i="10"/>
  <c r="E1670" i="10"/>
  <c r="C164" i="9"/>
  <c r="Q233" i="9"/>
  <c r="Q166" i="9"/>
  <c r="Q78" i="9"/>
  <c r="D1556" i="10"/>
  <c r="E1549" i="10"/>
  <c r="E1550" i="10"/>
  <c r="E1552" i="10"/>
  <c r="E1551" i="10"/>
  <c r="E1479" i="10"/>
  <c r="I136" i="9"/>
  <c r="I143" i="9"/>
  <c r="I137" i="9"/>
  <c r="I133" i="9"/>
  <c r="I134" i="9"/>
  <c r="D1412" i="10"/>
  <c r="E1410" i="10" s="1"/>
  <c r="W176" i="9"/>
  <c r="W243" i="9"/>
  <c r="D1672" i="10"/>
  <c r="D1670" i="10"/>
  <c r="D1675" i="10"/>
  <c r="D1691" i="10"/>
  <c r="E1689" i="10" s="1"/>
  <c r="H74" i="3"/>
  <c r="H77" i="3" s="1"/>
  <c r="AE162" i="9"/>
  <c r="AE74" i="9"/>
  <c r="AE68" i="9"/>
  <c r="AE229" i="9"/>
  <c r="AE71" i="9"/>
  <c r="D32" i="2"/>
  <c r="D135" i="2" s="1"/>
  <c r="D134" i="2"/>
  <c r="G231" i="9"/>
  <c r="H230" i="9"/>
  <c r="R170" i="9"/>
  <c r="R237" i="9"/>
  <c r="R83" i="9"/>
  <c r="BB200" i="9"/>
  <c r="D83" i="3"/>
  <c r="D84" i="3" s="1"/>
  <c r="AG162" i="9"/>
  <c r="AG68" i="9"/>
  <c r="AG74" i="9"/>
  <c r="AG71" i="9"/>
  <c r="AG229" i="9"/>
  <c r="AG70" i="9"/>
  <c r="F80" i="3"/>
  <c r="F111" i="3"/>
  <c r="F81" i="3"/>
  <c r="F82" i="3" s="1"/>
  <c r="AJ71" i="9"/>
  <c r="AJ229" i="9"/>
  <c r="AJ68" i="9"/>
  <c r="AJ162" i="9"/>
  <c r="AJ74" i="9"/>
  <c r="F32" i="2"/>
  <c r="F135" i="2" s="1"/>
  <c r="F134" i="2"/>
  <c r="B143" i="2"/>
  <c r="B138" i="2"/>
  <c r="U166" i="9"/>
  <c r="U233" i="9"/>
  <c r="U78" i="9"/>
  <c r="G80" i="3"/>
  <c r="G111" i="3"/>
  <c r="G81" i="3"/>
  <c r="G82" i="3" s="1"/>
  <c r="P118" i="2"/>
  <c r="P124" i="2" s="1"/>
  <c r="P35" i="2"/>
  <c r="P77" i="2"/>
  <c r="Q3" i="2"/>
  <c r="E78" i="3"/>
  <c r="E79" i="3" s="1"/>
  <c r="E1992" i="10"/>
  <c r="E1993" i="10"/>
  <c r="E1991" i="10"/>
  <c r="D1998" i="10"/>
  <c r="E1994" i="10"/>
  <c r="F162" i="9"/>
  <c r="F229" i="9"/>
  <c r="F102" i="9"/>
  <c r="F74" i="9"/>
  <c r="F68" i="9"/>
  <c r="F70" i="9"/>
  <c r="F71" i="9"/>
  <c r="BB101" i="9"/>
  <c r="BB69" i="9"/>
  <c r="AE70" i="9" s="1"/>
  <c r="BB66" i="9"/>
  <c r="BB65" i="9"/>
  <c r="C73" i="2"/>
  <c r="C74" i="2" s="1"/>
  <c r="C75" i="2" s="1"/>
  <c r="B75" i="2"/>
  <c r="D118" i="3"/>
  <c r="D116" i="3"/>
  <c r="D130" i="3" s="1"/>
  <c r="D127" i="3"/>
  <c r="BB104" i="9"/>
  <c r="BB56" i="9"/>
  <c r="D1757" i="10"/>
  <c r="E1751" i="10"/>
  <c r="E1750" i="10"/>
  <c r="E1752" i="10"/>
  <c r="E1753" i="10"/>
  <c r="D1864" i="10" l="1"/>
  <c r="D1861" i="10"/>
  <c r="D1859" i="10"/>
  <c r="AJ101" i="9"/>
  <c r="AK101" i="9"/>
  <c r="AL101" i="9"/>
  <c r="AI65" i="9"/>
  <c r="AI101" i="9"/>
  <c r="U230" i="9"/>
  <c r="U231" i="9"/>
  <c r="AI104" i="9"/>
  <c r="AK104" i="9"/>
  <c r="E1861" i="10"/>
  <c r="AT217" i="9"/>
  <c r="AF229" i="9"/>
  <c r="AH102" i="9"/>
  <c r="AF162" i="9"/>
  <c r="AJ163" i="9" s="1"/>
  <c r="AF71" i="9"/>
  <c r="AI102" i="9"/>
  <c r="AF74" i="9"/>
  <c r="AJ70" i="9"/>
  <c r="AG102" i="9"/>
  <c r="AG133" i="9" s="1"/>
  <c r="AL104" i="9"/>
  <c r="AY249" i="9"/>
  <c r="AY182" i="9"/>
  <c r="U164" i="9"/>
  <c r="AH261" i="9"/>
  <c r="AI56" i="9"/>
  <c r="AN163" i="9"/>
  <c r="AN166" i="9"/>
  <c r="G166" i="9"/>
  <c r="AN233" i="9"/>
  <c r="G164" i="9"/>
  <c r="E1820" i="10"/>
  <c r="I166" i="9"/>
  <c r="AH231" i="9"/>
  <c r="C267" i="9"/>
  <c r="C266" i="9"/>
  <c r="J266" i="9"/>
  <c r="J267" i="9"/>
  <c r="AO230" i="9"/>
  <c r="H267" i="9"/>
  <c r="H266" i="9"/>
  <c r="AN230" i="9"/>
  <c r="W74" i="9"/>
  <c r="W166" i="9" s="1"/>
  <c r="AB231" i="9"/>
  <c r="AN164" i="9"/>
  <c r="T231" i="9"/>
  <c r="AP230" i="9"/>
  <c r="E1938" i="10"/>
  <c r="E1627" i="10"/>
  <c r="G230" i="9"/>
  <c r="AM66" i="9"/>
  <c r="AR267" i="9"/>
  <c r="AR266" i="9"/>
  <c r="AS267" i="9"/>
  <c r="AS266" i="9"/>
  <c r="V170" i="9"/>
  <c r="X102" i="9"/>
  <c r="X133" i="9" s="1"/>
  <c r="X152" i="9" s="1"/>
  <c r="AM69" i="9"/>
  <c r="AQ70" i="9" s="1"/>
  <c r="AN101" i="9"/>
  <c r="AO101" i="9"/>
  <c r="V83" i="9"/>
  <c r="V90" i="9" s="1"/>
  <c r="W229" i="9"/>
  <c r="W261" i="9" s="1"/>
  <c r="AM65" i="9"/>
  <c r="Y102" i="9"/>
  <c r="Y143" i="9" s="1"/>
  <c r="W68" i="9"/>
  <c r="W70" i="9"/>
  <c r="AM101" i="9"/>
  <c r="AQ136" i="9"/>
  <c r="AQ197" i="9" s="1"/>
  <c r="AQ143" i="9"/>
  <c r="AQ195" i="9"/>
  <c r="AQ133" i="9"/>
  <c r="AQ137" i="9"/>
  <c r="I231" i="9"/>
  <c r="W102" i="9"/>
  <c r="W143" i="9" s="1"/>
  <c r="W192" i="9" s="1"/>
  <c r="Z102" i="9"/>
  <c r="Z137" i="9" s="1"/>
  <c r="W71" i="9"/>
  <c r="J164" i="9"/>
  <c r="AT3" i="11"/>
  <c r="AU3" i="11" s="1"/>
  <c r="AQ65" i="9"/>
  <c r="AM56" i="9"/>
  <c r="G537" i="10"/>
  <c r="G539" i="10"/>
  <c r="G541" i="10"/>
  <c r="G233" i="9"/>
  <c r="G261" i="9" s="1"/>
  <c r="G614" i="10"/>
  <c r="G616" i="10"/>
  <c r="G618" i="10"/>
  <c r="N264" i="9"/>
  <c r="N263" i="9"/>
  <c r="N209" i="9"/>
  <c r="N217" i="9"/>
  <c r="N216" i="9"/>
  <c r="N106" i="9"/>
  <c r="N147" i="9" s="1"/>
  <c r="N212" i="9" s="1"/>
  <c r="N175" i="9"/>
  <c r="N242" i="9"/>
  <c r="N90" i="9"/>
  <c r="AS209" i="9"/>
  <c r="AS217" i="9"/>
  <c r="AS216" i="9"/>
  <c r="AR209" i="9"/>
  <c r="AR217" i="9"/>
  <c r="AR216" i="9"/>
  <c r="AQ242" i="9"/>
  <c r="AS106" i="9"/>
  <c r="AS147" i="9" s="1"/>
  <c r="AS212" i="9" s="1"/>
  <c r="AR106" i="9"/>
  <c r="AR147" i="9" s="1"/>
  <c r="AR212" i="9" s="1"/>
  <c r="AR264" i="9"/>
  <c r="AR263" i="9"/>
  <c r="AS263" i="9"/>
  <c r="AS264" i="9"/>
  <c r="G136" i="9"/>
  <c r="G197" i="9" s="1"/>
  <c r="G137" i="9"/>
  <c r="G134" i="9"/>
  <c r="G195" i="9" s="1"/>
  <c r="G133" i="9"/>
  <c r="G152" i="9" s="1"/>
  <c r="AL164" i="9"/>
  <c r="AL233" i="9"/>
  <c r="AQ175" i="9"/>
  <c r="AQ90" i="9"/>
  <c r="AQ249" i="9" s="1"/>
  <c r="G768" i="10"/>
  <c r="J78" i="9"/>
  <c r="J170" i="9" s="1"/>
  <c r="AL166" i="9"/>
  <c r="I233" i="9"/>
  <c r="I261" i="9" s="1"/>
  <c r="AL230" i="9"/>
  <c r="AL231" i="9"/>
  <c r="J166" i="9"/>
  <c r="G766" i="10"/>
  <c r="J137" i="9"/>
  <c r="J198" i="9" s="1"/>
  <c r="J143" i="9"/>
  <c r="J208" i="9" s="1"/>
  <c r="J230" i="9"/>
  <c r="J231" i="9"/>
  <c r="AM104" i="9"/>
  <c r="J136" i="9"/>
  <c r="AO104" i="9"/>
  <c r="J134" i="9"/>
  <c r="J151" i="9" s="1"/>
  <c r="AN104" i="9"/>
  <c r="T233" i="9"/>
  <c r="T166" i="9"/>
  <c r="T78" i="9"/>
  <c r="G163" i="9"/>
  <c r="E166" i="9"/>
  <c r="E78" i="9"/>
  <c r="E233" i="9"/>
  <c r="E261" i="9" s="1"/>
  <c r="AL163" i="9"/>
  <c r="I163" i="9"/>
  <c r="AH78" i="9"/>
  <c r="AH166" i="9"/>
  <c r="AH233" i="9"/>
  <c r="E195" i="9"/>
  <c r="E151" i="9"/>
  <c r="E208" i="9"/>
  <c r="E144" i="9"/>
  <c r="E192" i="9"/>
  <c r="E197" i="9"/>
  <c r="E194" i="9"/>
  <c r="E152" i="9"/>
  <c r="E198" i="9"/>
  <c r="E992" i="10"/>
  <c r="J163" i="9"/>
  <c r="AN237" i="9"/>
  <c r="AN170" i="9"/>
  <c r="AN83" i="9"/>
  <c r="I110" i="11"/>
  <c r="I111" i="11"/>
  <c r="I117" i="11"/>
  <c r="I119" i="11"/>
  <c r="I114" i="11"/>
  <c r="I118" i="11"/>
  <c r="I113" i="11"/>
  <c r="I116" i="11"/>
  <c r="E1061" i="10"/>
  <c r="J152" i="9"/>
  <c r="J194" i="9"/>
  <c r="E1132" i="10"/>
  <c r="H117" i="11"/>
  <c r="H113" i="11"/>
  <c r="H116" i="11"/>
  <c r="H118" i="11"/>
  <c r="O114" i="11"/>
  <c r="AA70" i="9"/>
  <c r="AE102" i="9"/>
  <c r="AE137" i="9" s="1"/>
  <c r="AF102" i="9"/>
  <c r="AF134" i="9" s="1"/>
  <c r="AL102" i="9"/>
  <c r="D1115" i="10" s="1"/>
  <c r="AL237" i="9"/>
  <c r="AL170" i="9"/>
  <c r="AL83" i="9"/>
  <c r="AB166" i="9"/>
  <c r="AB233" i="9"/>
  <c r="AB78" i="9"/>
  <c r="S71" i="9"/>
  <c r="V102" i="9"/>
  <c r="T102" i="9"/>
  <c r="S102" i="9"/>
  <c r="S68" i="9"/>
  <c r="S162" i="9"/>
  <c r="S164" i="9" s="1"/>
  <c r="U102" i="9"/>
  <c r="S74" i="9"/>
  <c r="S229" i="9"/>
  <c r="AJ102" i="9"/>
  <c r="AJ137" i="9" s="1"/>
  <c r="AI70" i="9"/>
  <c r="AC102" i="9"/>
  <c r="D1738" i="10" s="1"/>
  <c r="AA102" i="9"/>
  <c r="AA133" i="9" s="1"/>
  <c r="AD102" i="9"/>
  <c r="AD133" i="9" s="1"/>
  <c r="AK102" i="9"/>
  <c r="D1185" i="10" s="1"/>
  <c r="E1185" i="10" s="1"/>
  <c r="AA68" i="9"/>
  <c r="AA71" i="9"/>
  <c r="AA162" i="9"/>
  <c r="AA164" i="9" s="1"/>
  <c r="AA229" i="9"/>
  <c r="AA74" i="9"/>
  <c r="D164" i="9"/>
  <c r="E163" i="9"/>
  <c r="D136" i="9"/>
  <c r="D137" i="9"/>
  <c r="D134" i="9"/>
  <c r="D133" i="9"/>
  <c r="D143" i="9"/>
  <c r="Z231" i="9"/>
  <c r="Z230" i="9"/>
  <c r="U73" i="9"/>
  <c r="U98" i="9" s="1"/>
  <c r="U155" i="9"/>
  <c r="U61" i="9"/>
  <c r="U220" i="9"/>
  <c r="U141" i="9" s="1"/>
  <c r="V3" i="9"/>
  <c r="U131" i="9"/>
  <c r="U206" i="9"/>
  <c r="U108" i="9"/>
  <c r="O116" i="11"/>
  <c r="O119" i="11"/>
  <c r="O115" i="11"/>
  <c r="Z233" i="9"/>
  <c r="Z166" i="9"/>
  <c r="Z78" i="9"/>
  <c r="O113" i="11"/>
  <c r="T155" i="9"/>
  <c r="T108" i="9"/>
  <c r="T131" i="9" s="1"/>
  <c r="T220" i="9" s="1"/>
  <c r="T141" i="9" s="1"/>
  <c r="O110" i="11"/>
  <c r="D78" i="9"/>
  <c r="D233" i="9"/>
  <c r="D261" i="9" s="1"/>
  <c r="D166" i="9"/>
  <c r="H114" i="11"/>
  <c r="H119" i="11"/>
  <c r="H111" i="11"/>
  <c r="H110" i="11"/>
  <c r="O111" i="11"/>
  <c r="D231" i="9"/>
  <c r="E230" i="9"/>
  <c r="E1203" i="10"/>
  <c r="Z164" i="9"/>
  <c r="Z163" i="9"/>
  <c r="O118" i="11"/>
  <c r="E1277" i="10"/>
  <c r="T230" i="9"/>
  <c r="P231" i="9"/>
  <c r="Y164" i="9"/>
  <c r="Y163" i="9"/>
  <c r="AB143" i="9"/>
  <c r="AB134" i="9"/>
  <c r="AB133" i="9"/>
  <c r="D1802" i="10"/>
  <c r="AB137" i="9"/>
  <c r="AB136" i="9"/>
  <c r="AD229" i="9"/>
  <c r="AH70" i="9"/>
  <c r="AD74" i="9"/>
  <c r="AD68" i="9"/>
  <c r="AD70" i="9"/>
  <c r="AD71" i="9"/>
  <c r="AD162" i="9"/>
  <c r="Y233" i="9"/>
  <c r="Y166" i="9"/>
  <c r="Y78" i="9"/>
  <c r="P78" i="9"/>
  <c r="P233" i="9"/>
  <c r="P166" i="9"/>
  <c r="AI74" i="9"/>
  <c r="AI229" i="9"/>
  <c r="AK261" i="9" s="1"/>
  <c r="AI68" i="9"/>
  <c r="AI162" i="9"/>
  <c r="AI164" i="9" s="1"/>
  <c r="AI71" i="9"/>
  <c r="E1345" i="10"/>
  <c r="P164" i="9"/>
  <c r="T163" i="9"/>
  <c r="Y231" i="9"/>
  <c r="Y230" i="9"/>
  <c r="AK164" i="9"/>
  <c r="AK163" i="9"/>
  <c r="AK231" i="9"/>
  <c r="AK230" i="9"/>
  <c r="AK78" i="9"/>
  <c r="AK233" i="9"/>
  <c r="AK166" i="9"/>
  <c r="AC78" i="9"/>
  <c r="AC233" i="9"/>
  <c r="AC166" i="9"/>
  <c r="X164" i="9"/>
  <c r="X163" i="9"/>
  <c r="AB163" i="9"/>
  <c r="I198" i="9"/>
  <c r="C208" i="9"/>
  <c r="C144" i="9"/>
  <c r="C192" i="9"/>
  <c r="AC164" i="9"/>
  <c r="AC163" i="9"/>
  <c r="X233" i="9"/>
  <c r="X166" i="9"/>
  <c r="X78" i="9"/>
  <c r="H144" i="9"/>
  <c r="H208" i="9"/>
  <c r="H192" i="9"/>
  <c r="I192" i="9"/>
  <c r="I144" i="9"/>
  <c r="I208" i="9"/>
  <c r="C151" i="9"/>
  <c r="C195" i="9"/>
  <c r="H198" i="9"/>
  <c r="E1482" i="10"/>
  <c r="I197" i="9"/>
  <c r="C197" i="9"/>
  <c r="AC231" i="9"/>
  <c r="AC230" i="9"/>
  <c r="H195" i="9"/>
  <c r="H151" i="9"/>
  <c r="AF164" i="9"/>
  <c r="AF163" i="9"/>
  <c r="E1555" i="10"/>
  <c r="C198" i="9"/>
  <c r="H83" i="9"/>
  <c r="H237" i="9"/>
  <c r="H170" i="9"/>
  <c r="I152" i="9"/>
  <c r="I194" i="9"/>
  <c r="E1877" i="10"/>
  <c r="E1874" i="10"/>
  <c r="E1875" i="10"/>
  <c r="E1876" i="10"/>
  <c r="D1881" i="10"/>
  <c r="D1692" i="10"/>
  <c r="E1685" i="10"/>
  <c r="E1686" i="10"/>
  <c r="E1687" i="10"/>
  <c r="E1688" i="10"/>
  <c r="C194" i="9"/>
  <c r="C152" i="9"/>
  <c r="H152" i="9"/>
  <c r="H194" i="9"/>
  <c r="D1413" i="10"/>
  <c r="E1407" i="10"/>
  <c r="E1406" i="10"/>
  <c r="E1408" i="10"/>
  <c r="E1409" i="10"/>
  <c r="Q83" i="9"/>
  <c r="Q170" i="9"/>
  <c r="Q237" i="9"/>
  <c r="I237" i="9"/>
  <c r="I83" i="9"/>
  <c r="I170" i="9"/>
  <c r="C83" i="9"/>
  <c r="C170" i="9"/>
  <c r="C237" i="9"/>
  <c r="AB230" i="9"/>
  <c r="X231" i="9"/>
  <c r="X230" i="9"/>
  <c r="I151" i="9"/>
  <c r="I195" i="9"/>
  <c r="H197" i="9"/>
  <c r="H78" i="3"/>
  <c r="H79" i="3" s="1"/>
  <c r="F231" i="9"/>
  <c r="F230" i="9"/>
  <c r="AJ164" i="9"/>
  <c r="F83" i="3"/>
  <c r="F84" i="3" s="1"/>
  <c r="AG231" i="9"/>
  <c r="AG230" i="9"/>
  <c r="G83" i="9"/>
  <c r="G237" i="9"/>
  <c r="G170" i="9"/>
  <c r="F164" i="9"/>
  <c r="F163" i="9"/>
  <c r="F127" i="3"/>
  <c r="F116" i="3"/>
  <c r="F130" i="3" s="1"/>
  <c r="F133" i="3" s="1"/>
  <c r="F137" i="3" s="1"/>
  <c r="F118" i="3"/>
  <c r="D87" i="3"/>
  <c r="D88" i="3" s="1"/>
  <c r="D85" i="3"/>
  <c r="D86" i="3" s="1"/>
  <c r="AE231" i="9"/>
  <c r="U170" i="9"/>
  <c r="U237" i="9"/>
  <c r="U83" i="9"/>
  <c r="AE233" i="9"/>
  <c r="AE166" i="9"/>
  <c r="AE78" i="9"/>
  <c r="Q77" i="2"/>
  <c r="Q169" i="2"/>
  <c r="R3" i="2"/>
  <c r="Q118" i="2"/>
  <c r="Q124" i="2" s="1"/>
  <c r="Q35" i="2"/>
  <c r="G83" i="3"/>
  <c r="G84" i="3" s="1"/>
  <c r="AJ231" i="9"/>
  <c r="AG233" i="9"/>
  <c r="AG78" i="9"/>
  <c r="AG166" i="9"/>
  <c r="AE164" i="9"/>
  <c r="G144" i="9"/>
  <c r="G208" i="9"/>
  <c r="G192" i="9"/>
  <c r="E1756" i="10"/>
  <c r="F143" i="2"/>
  <c r="F138" i="2"/>
  <c r="F233" i="9"/>
  <c r="F261" i="9" s="1"/>
  <c r="F166" i="9"/>
  <c r="F78" i="9"/>
  <c r="G127" i="3"/>
  <c r="G116" i="3"/>
  <c r="G130" i="3" s="1"/>
  <c r="G133" i="3" s="1"/>
  <c r="G137" i="3" s="1"/>
  <c r="G118" i="3"/>
  <c r="AJ78" i="9"/>
  <c r="AJ233" i="9"/>
  <c r="AJ166" i="9"/>
  <c r="D133" i="3"/>
  <c r="D137" i="3" s="1"/>
  <c r="E1997" i="10"/>
  <c r="BB71" i="9"/>
  <c r="BB162" i="9"/>
  <c r="AE163" i="9" s="1"/>
  <c r="BB229" i="9"/>
  <c r="BB70" i="9"/>
  <c r="BB68" i="9"/>
  <c r="BB102" i="9"/>
  <c r="BB74" i="9"/>
  <c r="F137" i="9"/>
  <c r="F143" i="9"/>
  <c r="F136" i="9"/>
  <c r="F133" i="9"/>
  <c r="F134" i="9"/>
  <c r="E80" i="3"/>
  <c r="E81" i="3"/>
  <c r="E82" i="3" s="1"/>
  <c r="E111" i="3"/>
  <c r="AG164" i="9"/>
  <c r="AG163" i="9"/>
  <c r="R242" i="9"/>
  <c r="R175" i="9"/>
  <c r="R90" i="9"/>
  <c r="D143" i="2"/>
  <c r="D138" i="2"/>
  <c r="AG261" i="9" l="1"/>
  <c r="AI136" i="9"/>
  <c r="AI197" i="9" s="1"/>
  <c r="AI137" i="9"/>
  <c r="AI198" i="9" s="1"/>
  <c r="AI143" i="9"/>
  <c r="AI133" i="9"/>
  <c r="D1327" i="10"/>
  <c r="AI134" i="9"/>
  <c r="AF233" i="9"/>
  <c r="AF78" i="9"/>
  <c r="AF166" i="9"/>
  <c r="AF231" i="9"/>
  <c r="AF230" i="9"/>
  <c r="AJ230" i="9"/>
  <c r="AH137" i="9"/>
  <c r="AH198" i="9" s="1"/>
  <c r="AH136" i="9"/>
  <c r="AH197" i="9" s="1"/>
  <c r="AH143" i="9"/>
  <c r="AH134" i="9"/>
  <c r="AH133" i="9"/>
  <c r="D1394" i="10"/>
  <c r="Y134" i="9"/>
  <c r="AG136" i="9"/>
  <c r="AG197" i="9" s="1"/>
  <c r="AG134" i="9"/>
  <c r="AG137" i="9"/>
  <c r="AG198" i="9" s="1"/>
  <c r="AG143" i="9"/>
  <c r="D1464" i="10"/>
  <c r="F1459" i="10" s="1"/>
  <c r="AO102" i="9"/>
  <c r="AP102" i="9"/>
  <c r="D838" i="10" s="1"/>
  <c r="F833" i="10" s="1"/>
  <c r="AN102" i="9"/>
  <c r="AM74" i="9"/>
  <c r="AM78" i="9" s="1"/>
  <c r="W78" i="9"/>
  <c r="AM229" i="9"/>
  <c r="W233" i="9"/>
  <c r="Y136" i="9"/>
  <c r="Y197" i="9" s="1"/>
  <c r="AI261" i="9"/>
  <c r="AD261" i="9"/>
  <c r="AM70" i="9"/>
  <c r="I266" i="9"/>
  <c r="I267" i="9"/>
  <c r="AM102" i="9"/>
  <c r="AJ261" i="9"/>
  <c r="F267" i="9"/>
  <c r="F266" i="9"/>
  <c r="AI231" i="9"/>
  <c r="AL261" i="9"/>
  <c r="D267" i="9"/>
  <c r="D266" i="9"/>
  <c r="S231" i="9"/>
  <c r="V261" i="9"/>
  <c r="U261" i="9"/>
  <c r="T261" i="9"/>
  <c r="AM68" i="9"/>
  <c r="E266" i="9"/>
  <c r="E267" i="9"/>
  <c r="AA261" i="9"/>
  <c r="AE261" i="9"/>
  <c r="AM162" i="9"/>
  <c r="AQ163" i="9" s="1"/>
  <c r="W231" i="9"/>
  <c r="Z261" i="9"/>
  <c r="Y261" i="9"/>
  <c r="X261" i="9"/>
  <c r="AC261" i="9"/>
  <c r="S261" i="9"/>
  <c r="AB261" i="9"/>
  <c r="AF261" i="9"/>
  <c r="AM71" i="9"/>
  <c r="G267" i="9"/>
  <c r="G266" i="9"/>
  <c r="AV3" i="11"/>
  <c r="V242" i="9"/>
  <c r="V175" i="9"/>
  <c r="W208" i="9"/>
  <c r="W266" i="9"/>
  <c r="W267" i="9"/>
  <c r="X134" i="9"/>
  <c r="X195" i="9" s="1"/>
  <c r="X137" i="9"/>
  <c r="X198" i="9" s="1"/>
  <c r="D2040" i="10"/>
  <c r="F2035" i="10" s="1"/>
  <c r="X143" i="9"/>
  <c r="X144" i="9" s="1"/>
  <c r="X194" i="9"/>
  <c r="W144" i="9"/>
  <c r="X136" i="9"/>
  <c r="X197" i="9" s="1"/>
  <c r="Y133" i="9"/>
  <c r="Y152" i="9" s="1"/>
  <c r="Y137" i="9"/>
  <c r="Y198" i="9" s="1"/>
  <c r="D1979" i="10"/>
  <c r="E1979" i="10" s="1"/>
  <c r="AQ208" i="9"/>
  <c r="AQ192" i="9"/>
  <c r="AQ144" i="9"/>
  <c r="Z133" i="9"/>
  <c r="Z152" i="9" s="1"/>
  <c r="AQ198" i="9"/>
  <c r="AQ152" i="9"/>
  <c r="AQ194" i="9"/>
  <c r="W137" i="9"/>
  <c r="W198" i="9" s="1"/>
  <c r="W136" i="9"/>
  <c r="W197" i="9" s="1"/>
  <c r="Z136" i="9"/>
  <c r="G194" i="9"/>
  <c r="Z134" i="9"/>
  <c r="W134" i="9"/>
  <c r="W151" i="9" s="1"/>
  <c r="W133" i="9"/>
  <c r="W194" i="9" s="1"/>
  <c r="D1920" i="10"/>
  <c r="F1915" i="10" s="1"/>
  <c r="Z143" i="9"/>
  <c r="Z192" i="9" s="1"/>
  <c r="J192" i="9"/>
  <c r="J264" i="9" s="1"/>
  <c r="J144" i="9"/>
  <c r="G198" i="9"/>
  <c r="J237" i="9"/>
  <c r="N182" i="9"/>
  <c r="N249" i="9"/>
  <c r="G151" i="9"/>
  <c r="AQ182" i="9"/>
  <c r="J195" i="9"/>
  <c r="J83" i="9"/>
  <c r="J106" i="9" s="1"/>
  <c r="J147" i="9" s="1"/>
  <c r="J212" i="9" s="1"/>
  <c r="AJ133" i="9"/>
  <c r="AJ194" i="9" s="1"/>
  <c r="AQ106" i="9"/>
  <c r="AQ147" i="9" s="1"/>
  <c r="J197" i="9"/>
  <c r="D1259" i="10"/>
  <c r="E1259" i="10" s="1"/>
  <c r="E83" i="9"/>
  <c r="E170" i="9"/>
  <c r="E237" i="9"/>
  <c r="T83" i="9"/>
  <c r="T170" i="9"/>
  <c r="T237" i="9"/>
  <c r="AH170" i="9"/>
  <c r="AH237" i="9"/>
  <c r="AH83" i="9"/>
  <c r="AE136" i="9"/>
  <c r="AE133" i="9"/>
  <c r="AE194" i="9" s="1"/>
  <c r="E263" i="9"/>
  <c r="E264" i="9"/>
  <c r="E216" i="9"/>
  <c r="E217" i="9"/>
  <c r="E209" i="9"/>
  <c r="AE143" i="9"/>
  <c r="AE208" i="9" s="1"/>
  <c r="AF143" i="9"/>
  <c r="AF192" i="9" s="1"/>
  <c r="AI163" i="9"/>
  <c r="AN90" i="9"/>
  <c r="AN242" i="9"/>
  <c r="AN175" i="9"/>
  <c r="AJ136" i="9"/>
  <c r="AJ197" i="9" s="1"/>
  <c r="AJ134" i="9"/>
  <c r="AJ195" i="9" s="1"/>
  <c r="AJ143" i="9"/>
  <c r="AJ208" i="9" s="1"/>
  <c r="AD137" i="9"/>
  <c r="D1673" i="10"/>
  <c r="F1672" i="10" s="1"/>
  <c r="AK137" i="9"/>
  <c r="AK198" i="9" s="1"/>
  <c r="J209" i="9"/>
  <c r="J217" i="9"/>
  <c r="J216" i="9"/>
  <c r="W230" i="9"/>
  <c r="D1609" i="10"/>
  <c r="F1608" i="10" s="1"/>
  <c r="AE134" i="9"/>
  <c r="AE195" i="9" s="1"/>
  <c r="AA143" i="9"/>
  <c r="AA192" i="9" s="1"/>
  <c r="AA136" i="9"/>
  <c r="AA197" i="9" s="1"/>
  <c r="AF136" i="9"/>
  <c r="AD134" i="9"/>
  <c r="AD195" i="9" s="1"/>
  <c r="F1110" i="10"/>
  <c r="E1115" i="10"/>
  <c r="F1114" i="10"/>
  <c r="F1112" i="10"/>
  <c r="AI230" i="9"/>
  <c r="AF137" i="9"/>
  <c r="AF198" i="9" s="1"/>
  <c r="D1537" i="10"/>
  <c r="F1534" i="10" s="1"/>
  <c r="AK133" i="9"/>
  <c r="AK152" i="9" s="1"/>
  <c r="AF133" i="9"/>
  <c r="AF152" i="9" s="1"/>
  <c r="AC134" i="9"/>
  <c r="AC195" i="9" s="1"/>
  <c r="AK134" i="9"/>
  <c r="AK195" i="9" s="1"/>
  <c r="AK136" i="9"/>
  <c r="AA163" i="9"/>
  <c r="AL143" i="9"/>
  <c r="AL137" i="9"/>
  <c r="AL136" i="9"/>
  <c r="AL133" i="9"/>
  <c r="AL134" i="9"/>
  <c r="AL242" i="9"/>
  <c r="AL175" i="9"/>
  <c r="AL90" i="9"/>
  <c r="AD136" i="9"/>
  <c r="AC143" i="9"/>
  <c r="AC144" i="9" s="1"/>
  <c r="S133" i="9"/>
  <c r="S134" i="9"/>
  <c r="S136" i="9"/>
  <c r="S137" i="9"/>
  <c r="S143" i="9"/>
  <c r="AD143" i="9"/>
  <c r="AD208" i="9" s="1"/>
  <c r="T143" i="9"/>
  <c r="T133" i="9"/>
  <c r="T136" i="9"/>
  <c r="T137" i="9"/>
  <c r="T134" i="9"/>
  <c r="W163" i="9"/>
  <c r="V143" i="9"/>
  <c r="V134" i="9"/>
  <c r="V133" i="9"/>
  <c r="V137" i="9"/>
  <c r="V136" i="9"/>
  <c r="S166" i="9"/>
  <c r="S78" i="9"/>
  <c r="S233" i="9"/>
  <c r="AB237" i="9"/>
  <c r="AB83" i="9"/>
  <c r="AB170" i="9"/>
  <c r="U136" i="9"/>
  <c r="U133" i="9"/>
  <c r="U137" i="9"/>
  <c r="U143" i="9"/>
  <c r="U134" i="9"/>
  <c r="D1862" i="10"/>
  <c r="F1859" i="10" s="1"/>
  <c r="AC133" i="9"/>
  <c r="AC194" i="9" s="1"/>
  <c r="AA134" i="9"/>
  <c r="AA195" i="9" s="1"/>
  <c r="AC136" i="9"/>
  <c r="AC197" i="9" s="1"/>
  <c r="AC137" i="9"/>
  <c r="AC198" i="9" s="1"/>
  <c r="AA137" i="9"/>
  <c r="AK143" i="9"/>
  <c r="AK144" i="9" s="1"/>
  <c r="AA233" i="9"/>
  <c r="AA166" i="9"/>
  <c r="AA78" i="9"/>
  <c r="D83" i="9"/>
  <c r="D170" i="9"/>
  <c r="D237" i="9"/>
  <c r="Z83" i="9"/>
  <c r="Z170" i="9"/>
  <c r="Z237" i="9"/>
  <c r="D144" i="9"/>
  <c r="D192" i="9"/>
  <c r="D208" i="9"/>
  <c r="AA230" i="9"/>
  <c r="AA231" i="9"/>
  <c r="D195" i="9"/>
  <c r="D151" i="9"/>
  <c r="D152" i="9"/>
  <c r="D194" i="9"/>
  <c r="D198" i="9"/>
  <c r="V155" i="9"/>
  <c r="V141" i="9"/>
  <c r="V108" i="9"/>
  <c r="V220" i="9"/>
  <c r="W3" i="9"/>
  <c r="V73" i="9"/>
  <c r="V98" i="9"/>
  <c r="V131" i="9"/>
  <c r="V206" i="9"/>
  <c r="V61" i="9"/>
  <c r="D197" i="9"/>
  <c r="F1180" i="10"/>
  <c r="F1182" i="10"/>
  <c r="F1184" i="10"/>
  <c r="Y170" i="9"/>
  <c r="Y237" i="9"/>
  <c r="Y83" i="9"/>
  <c r="AB195" i="9"/>
  <c r="AB151" i="9"/>
  <c r="AH230" i="9"/>
  <c r="AD231" i="9"/>
  <c r="AD230" i="9"/>
  <c r="AB144" i="9"/>
  <c r="AB208" i="9"/>
  <c r="AB192" i="9"/>
  <c r="P170" i="9"/>
  <c r="P237" i="9"/>
  <c r="P83" i="9"/>
  <c r="AH163" i="9"/>
  <c r="AD164" i="9"/>
  <c r="AD163" i="9"/>
  <c r="AD166" i="9"/>
  <c r="AD233" i="9"/>
  <c r="AD78" i="9"/>
  <c r="AI78" i="9"/>
  <c r="AI233" i="9"/>
  <c r="AI166" i="9"/>
  <c r="AB197" i="9"/>
  <c r="AB194" i="9"/>
  <c r="AB152" i="9"/>
  <c r="AB198" i="9"/>
  <c r="F1799" i="10"/>
  <c r="F1797" i="10"/>
  <c r="E1802" i="10"/>
  <c r="F1801" i="10"/>
  <c r="AK237" i="9"/>
  <c r="AK170" i="9"/>
  <c r="AK83" i="9"/>
  <c r="I264" i="9"/>
  <c r="I263" i="9"/>
  <c r="H263" i="9"/>
  <c r="H264" i="9"/>
  <c r="H216" i="9"/>
  <c r="H217" i="9"/>
  <c r="H209" i="9"/>
  <c r="AA152" i="9"/>
  <c r="AA194" i="9"/>
  <c r="C175" i="9"/>
  <c r="C242" i="9"/>
  <c r="C90" i="9"/>
  <c r="C106" i="9"/>
  <c r="C147" i="9" s="1"/>
  <c r="C212" i="9" s="1"/>
  <c r="E1880" i="10"/>
  <c r="Z198" i="9"/>
  <c r="AC83" i="9"/>
  <c r="AC237" i="9"/>
  <c r="AC170" i="9"/>
  <c r="AD194" i="9"/>
  <c r="AD152" i="9"/>
  <c r="C217" i="9"/>
  <c r="C216" i="9"/>
  <c r="C209" i="9"/>
  <c r="Q175" i="9"/>
  <c r="Q242" i="9"/>
  <c r="Q90" i="9"/>
  <c r="Z194" i="9"/>
  <c r="E1412" i="10"/>
  <c r="H90" i="9"/>
  <c r="H106" i="9"/>
  <c r="H147" i="9" s="1"/>
  <c r="H212" i="9" s="1"/>
  <c r="H242" i="9"/>
  <c r="H175" i="9"/>
  <c r="Y144" i="9"/>
  <c r="Y208" i="9"/>
  <c r="Y192" i="9"/>
  <c r="E1738" i="10"/>
  <c r="F1737" i="10"/>
  <c r="F1735" i="10"/>
  <c r="F1733" i="10"/>
  <c r="I90" i="9"/>
  <c r="I175" i="9"/>
  <c r="I242" i="9"/>
  <c r="I106" i="9"/>
  <c r="I147" i="9" s="1"/>
  <c r="I212" i="9" s="1"/>
  <c r="Z195" i="9"/>
  <c r="Z151" i="9"/>
  <c r="V249" i="9"/>
  <c r="V182" i="9"/>
  <c r="E1691" i="10"/>
  <c r="I217" i="9"/>
  <c r="I209" i="9"/>
  <c r="I216" i="9"/>
  <c r="X83" i="9"/>
  <c r="X170" i="9"/>
  <c r="X237" i="9"/>
  <c r="C264" i="9"/>
  <c r="C263" i="9"/>
  <c r="E127" i="3"/>
  <c r="E118" i="3"/>
  <c r="E116" i="3"/>
  <c r="E130" i="3" s="1"/>
  <c r="BB166" i="9"/>
  <c r="BB78" i="9"/>
  <c r="BB233" i="9"/>
  <c r="AJ237" i="9"/>
  <c r="AJ83" i="9"/>
  <c r="AJ170" i="9"/>
  <c r="G87" i="3"/>
  <c r="G88" i="3" s="1"/>
  <c r="G85" i="3"/>
  <c r="G86" i="3" s="1"/>
  <c r="U90" i="9"/>
  <c r="U242" i="9"/>
  <c r="U175" i="9"/>
  <c r="BB137" i="9"/>
  <c r="BB143" i="9"/>
  <c r="BB136" i="9"/>
  <c r="BB134" i="9"/>
  <c r="BB133" i="9"/>
  <c r="F87" i="3"/>
  <c r="F88" i="3" s="1"/>
  <c r="F85" i="3"/>
  <c r="F86" i="3" s="1"/>
  <c r="AE237" i="9"/>
  <c r="AE83" i="9"/>
  <c r="AE170" i="9"/>
  <c r="G106" i="9"/>
  <c r="G147" i="9" s="1"/>
  <c r="G212" i="9" s="1"/>
  <c r="G90" i="9"/>
  <c r="G175" i="9"/>
  <c r="G242" i="9"/>
  <c r="E83" i="3"/>
  <c r="E84" i="3" s="1"/>
  <c r="F237" i="9"/>
  <c r="F83" i="9"/>
  <c r="F170" i="9"/>
  <c r="F151" i="9"/>
  <c r="F195" i="9"/>
  <c r="AG237" i="9"/>
  <c r="AG83" i="9"/>
  <c r="AG170" i="9"/>
  <c r="D97" i="3"/>
  <c r="D105" i="3" s="1"/>
  <c r="D95" i="3"/>
  <c r="D103" i="3" s="1"/>
  <c r="D126" i="3" s="1"/>
  <c r="D98" i="3"/>
  <c r="D106" i="3" s="1"/>
  <c r="D93" i="3"/>
  <c r="D101" i="3" s="1"/>
  <c r="D94" i="3"/>
  <c r="D102" i="3" s="1"/>
  <c r="D96" i="3"/>
  <c r="D104" i="3" s="1"/>
  <c r="AF151" i="9"/>
  <c r="AF195" i="9"/>
  <c r="R182" i="9"/>
  <c r="R249" i="9"/>
  <c r="F152" i="9"/>
  <c r="F194" i="9"/>
  <c r="BB230" i="9"/>
  <c r="BB231" i="9"/>
  <c r="G264" i="9"/>
  <c r="G263" i="9"/>
  <c r="AE230" i="9"/>
  <c r="R169" i="2"/>
  <c r="R118" i="2"/>
  <c r="R124" i="2" s="1"/>
  <c r="R77" i="2"/>
  <c r="R35" i="2"/>
  <c r="S3" i="2"/>
  <c r="AE198" i="9"/>
  <c r="F197" i="9"/>
  <c r="G216" i="9"/>
  <c r="G209" i="9"/>
  <c r="G217" i="9"/>
  <c r="AG194" i="9"/>
  <c r="AG152" i="9"/>
  <c r="W264" i="9"/>
  <c r="W263" i="9"/>
  <c r="BB163" i="9"/>
  <c r="BB164" i="9"/>
  <c r="F192" i="9"/>
  <c r="F144" i="9"/>
  <c r="F208" i="9"/>
  <c r="W209" i="9"/>
  <c r="W216" i="9"/>
  <c r="W217" i="9"/>
  <c r="AJ198" i="9"/>
  <c r="H80" i="3"/>
  <c r="H81" i="3"/>
  <c r="H82" i="3" s="1"/>
  <c r="H111" i="3"/>
  <c r="F198" i="9"/>
  <c r="AI192" i="9" l="1"/>
  <c r="AI208" i="9"/>
  <c r="AI144" i="9"/>
  <c r="AI152" i="9"/>
  <c r="AI194" i="9"/>
  <c r="AI151" i="9"/>
  <c r="AI195" i="9"/>
  <c r="AF170" i="9"/>
  <c r="AF83" i="9"/>
  <c r="AF237" i="9"/>
  <c r="AH208" i="9"/>
  <c r="AH144" i="9"/>
  <c r="AH192" i="9"/>
  <c r="AH151" i="9"/>
  <c r="AH195" i="9"/>
  <c r="AH152" i="9"/>
  <c r="AH194" i="9"/>
  <c r="Y151" i="9"/>
  <c r="Y195" i="9"/>
  <c r="AG195" i="9"/>
  <c r="AG151" i="9"/>
  <c r="AG208" i="9"/>
  <c r="AG192" i="9"/>
  <c r="AG144" i="9"/>
  <c r="W237" i="9"/>
  <c r="W83" i="9"/>
  <c r="W106" i="9" s="1"/>
  <c r="W147" i="9" s="1"/>
  <c r="W212" i="9" s="1"/>
  <c r="W170" i="9"/>
  <c r="F1324" i="10"/>
  <c r="F1322" i="10"/>
  <c r="E1327" i="10"/>
  <c r="F1326" i="10"/>
  <c r="E1394" i="10"/>
  <c r="F1393" i="10"/>
  <c r="F1391" i="10"/>
  <c r="F1389" i="10"/>
  <c r="AQ230" i="9"/>
  <c r="AP261" i="9"/>
  <c r="D906" i="10"/>
  <c r="F905" i="10" s="1"/>
  <c r="AO133" i="9"/>
  <c r="AN134" i="9"/>
  <c r="AN136" i="9"/>
  <c r="AN197" i="9" s="1"/>
  <c r="AN137" i="9"/>
  <c r="AN198" i="9" s="1"/>
  <c r="AN143" i="9"/>
  <c r="AN261" i="9"/>
  <c r="AM230" i="9"/>
  <c r="D1044" i="10"/>
  <c r="AM133" i="9"/>
  <c r="F1463" i="10"/>
  <c r="F903" i="10"/>
  <c r="F901" i="10"/>
  <c r="E906" i="10"/>
  <c r="G901" i="10" s="1"/>
  <c r="F1461" i="10"/>
  <c r="E1464" i="10"/>
  <c r="G1459" i="10" s="1"/>
  <c r="AO134" i="9"/>
  <c r="AP136" i="9"/>
  <c r="AP197" i="9" s="1"/>
  <c r="Y194" i="9"/>
  <c r="AO143" i="9"/>
  <c r="AO137" i="9"/>
  <c r="AO198" i="9" s="1"/>
  <c r="D975" i="10"/>
  <c r="E975" i="10" s="1"/>
  <c r="AP133" i="9"/>
  <c r="AP152" i="9" s="1"/>
  <c r="AP143" i="9"/>
  <c r="AP192" i="9" s="1"/>
  <c r="F835" i="10"/>
  <c r="AP134" i="9"/>
  <c r="AP137" i="9"/>
  <c r="AP198" i="9" s="1"/>
  <c r="AM261" i="9"/>
  <c r="AO136" i="9"/>
  <c r="AO197" i="9" s="1"/>
  <c r="F837" i="10"/>
  <c r="AM166" i="9"/>
  <c r="AM233" i="9"/>
  <c r="AN133" i="9"/>
  <c r="E838" i="10"/>
  <c r="G835" i="10" s="1"/>
  <c r="AO261" i="9"/>
  <c r="AM231" i="9"/>
  <c r="AJ152" i="9"/>
  <c r="AM163" i="9"/>
  <c r="AM164" i="9"/>
  <c r="AM143" i="9"/>
  <c r="AM144" i="9" s="1"/>
  <c r="AW3" i="11"/>
  <c r="AM134" i="9"/>
  <c r="AM195" i="9" s="1"/>
  <c r="X208" i="9"/>
  <c r="X209" i="9" s="1"/>
  <c r="AM136" i="9"/>
  <c r="AM197" i="9" s="1"/>
  <c r="X192" i="9"/>
  <c r="AM137" i="9"/>
  <c r="AM198" i="9" s="1"/>
  <c r="F2039" i="10"/>
  <c r="F1978" i="10"/>
  <c r="W195" i="9"/>
  <c r="X151" i="9"/>
  <c r="F1974" i="10"/>
  <c r="F1976" i="10"/>
  <c r="E2040" i="10"/>
  <c r="G2037" i="10" s="1"/>
  <c r="F2037" i="10"/>
  <c r="AE144" i="9"/>
  <c r="Z267" i="9"/>
  <c r="Z266" i="9"/>
  <c r="J263" i="9"/>
  <c r="AA267" i="9"/>
  <c r="AA266" i="9"/>
  <c r="AQ263" i="9"/>
  <c r="AQ267" i="9"/>
  <c r="AQ266" i="9"/>
  <c r="X263" i="9"/>
  <c r="X266" i="9"/>
  <c r="X267" i="9"/>
  <c r="Y266" i="9"/>
  <c r="Y267" i="9"/>
  <c r="AE192" i="9"/>
  <c r="AI267" i="9"/>
  <c r="AI266" i="9"/>
  <c r="AH266" i="9"/>
  <c r="AH267" i="9"/>
  <c r="AG267" i="9"/>
  <c r="AG266" i="9"/>
  <c r="AB267" i="9"/>
  <c r="AB266" i="9"/>
  <c r="AF266" i="9"/>
  <c r="AF267" i="9"/>
  <c r="Z144" i="9"/>
  <c r="AQ264" i="9"/>
  <c r="Z208" i="9"/>
  <c r="Z217" i="9" s="1"/>
  <c r="F1917" i="10"/>
  <c r="AQ217" i="9"/>
  <c r="AQ216" i="9"/>
  <c r="AQ209" i="9"/>
  <c r="Z197" i="9"/>
  <c r="J175" i="9"/>
  <c r="J90" i="9"/>
  <c r="J92" i="9" s="1"/>
  <c r="E1920" i="10"/>
  <c r="G1917" i="10" s="1"/>
  <c r="F1919" i="10"/>
  <c r="F1258" i="10"/>
  <c r="W152" i="9"/>
  <c r="J242" i="9"/>
  <c r="F1256" i="10"/>
  <c r="AE197" i="9"/>
  <c r="F1254" i="10"/>
  <c r="AN92" i="9"/>
  <c r="AO92" i="9" s="1"/>
  <c r="AQ212" i="9"/>
  <c r="X264" i="9"/>
  <c r="AA198" i="9"/>
  <c r="AE151" i="9"/>
  <c r="T90" i="9"/>
  <c r="T242" i="9"/>
  <c r="T175" i="9"/>
  <c r="E90" i="9"/>
  <c r="E106" i="9"/>
  <c r="E147" i="9" s="1"/>
  <c r="E212" i="9" s="1"/>
  <c r="E242" i="9"/>
  <c r="E175" i="9"/>
  <c r="AF144" i="9"/>
  <c r="AF208" i="9"/>
  <c r="AF216" i="9" s="1"/>
  <c r="AE152" i="9"/>
  <c r="AH175" i="9"/>
  <c r="AH242" i="9"/>
  <c r="AH90" i="9"/>
  <c r="AC208" i="9"/>
  <c r="AC216" i="9" s="1"/>
  <c r="AJ151" i="9"/>
  <c r="AA208" i="9"/>
  <c r="AA209" i="9" s="1"/>
  <c r="AA144" i="9"/>
  <c r="E1673" i="10"/>
  <c r="G1668" i="10" s="1"/>
  <c r="F1670" i="10"/>
  <c r="F1668" i="10"/>
  <c r="AJ192" i="9"/>
  <c r="AJ144" i="9"/>
  <c r="AN249" i="9"/>
  <c r="AN182" i="9"/>
  <c r="AF194" i="9"/>
  <c r="AD198" i="9"/>
  <c r="F1604" i="10"/>
  <c r="E1609" i="10"/>
  <c r="G1608" i="10" s="1"/>
  <c r="F1606" i="10"/>
  <c r="AM237" i="9"/>
  <c r="AM170" i="9"/>
  <c r="AM83" i="9"/>
  <c r="AP106" i="9" s="1"/>
  <c r="AP147" i="9" s="1"/>
  <c r="AP212" i="9" s="1"/>
  <c r="AC192" i="9"/>
  <c r="AD197" i="9"/>
  <c r="AD151" i="9"/>
  <c r="AD144" i="9"/>
  <c r="AK194" i="9"/>
  <c r="E1537" i="10"/>
  <c r="G1532" i="10" s="1"/>
  <c r="AF197" i="9"/>
  <c r="AA151" i="9"/>
  <c r="AK151" i="9"/>
  <c r="G1110" i="10"/>
  <c r="G1114" i="10"/>
  <c r="G1112" i="10"/>
  <c r="F1536" i="10"/>
  <c r="F1532" i="10"/>
  <c r="AK197" i="9"/>
  <c r="AL195" i="9"/>
  <c r="AL151" i="9"/>
  <c r="E1862" i="10"/>
  <c r="G1859" i="10" s="1"/>
  <c r="AC151" i="9"/>
  <c r="AL152" i="9"/>
  <c r="AL194" i="9"/>
  <c r="F1857" i="10"/>
  <c r="F1861" i="10"/>
  <c r="AK192" i="9"/>
  <c r="AL197" i="9"/>
  <c r="AL198" i="9"/>
  <c r="AL208" i="9"/>
  <c r="AL144" i="9"/>
  <c r="AL192" i="9"/>
  <c r="AL249" i="9"/>
  <c r="AL182" i="9"/>
  <c r="AD192" i="9"/>
  <c r="U195" i="9"/>
  <c r="U151" i="9"/>
  <c r="S198" i="9"/>
  <c r="AB242" i="9"/>
  <c r="AB175" i="9"/>
  <c r="AB90" i="9"/>
  <c r="AC152" i="9"/>
  <c r="U192" i="9"/>
  <c r="U208" i="9"/>
  <c r="U144" i="9"/>
  <c r="S170" i="9"/>
  <c r="S237" i="9"/>
  <c r="S83" i="9"/>
  <c r="T151" i="9"/>
  <c r="T195" i="9"/>
  <c r="S197" i="9"/>
  <c r="V151" i="9"/>
  <c r="V195" i="9"/>
  <c r="U198" i="9"/>
  <c r="T198" i="9"/>
  <c r="S151" i="9"/>
  <c r="S195" i="9"/>
  <c r="U194" i="9"/>
  <c r="U152" i="9"/>
  <c r="V197" i="9"/>
  <c r="T197" i="9"/>
  <c r="S152" i="9"/>
  <c r="S194" i="9"/>
  <c r="U197" i="9"/>
  <c r="V198" i="9"/>
  <c r="T152" i="9"/>
  <c r="T194" i="9"/>
  <c r="V152" i="9"/>
  <c r="V194" i="9"/>
  <c r="T144" i="9"/>
  <c r="T208" i="9"/>
  <c r="T192" i="9"/>
  <c r="V208" i="9"/>
  <c r="V144" i="9"/>
  <c r="V192" i="9"/>
  <c r="S144" i="9"/>
  <c r="S208" i="9"/>
  <c r="S192" i="9"/>
  <c r="AK208" i="9"/>
  <c r="AK216" i="9" s="1"/>
  <c r="Z90" i="9"/>
  <c r="Z175" i="9"/>
  <c r="Z242" i="9"/>
  <c r="G1180" i="10"/>
  <c r="G1182" i="10"/>
  <c r="G1184" i="10"/>
  <c r="W206" i="9"/>
  <c r="W141" i="9"/>
  <c r="W220" i="9"/>
  <c r="X3" i="9"/>
  <c r="W73" i="9"/>
  <c r="W108" i="9"/>
  <c r="W61" i="9"/>
  <c r="W98" i="9"/>
  <c r="W131" i="9"/>
  <c r="W155" i="9"/>
  <c r="D209" i="9"/>
  <c r="D216" i="9"/>
  <c r="D217" i="9"/>
  <c r="D90" i="9"/>
  <c r="D175" i="9"/>
  <c r="D106" i="9"/>
  <c r="D147" i="9" s="1"/>
  <c r="D212" i="9" s="1"/>
  <c r="D242" i="9"/>
  <c r="D264" i="9"/>
  <c r="D263" i="9"/>
  <c r="AA83" i="9"/>
  <c r="AB106" i="9" s="1"/>
  <c r="AB147" i="9" s="1"/>
  <c r="AB212" i="9" s="1"/>
  <c r="AA237" i="9"/>
  <c r="AA170" i="9"/>
  <c r="G1797" i="10"/>
  <c r="G1801" i="10"/>
  <c r="G1799" i="10"/>
  <c r="P242" i="9"/>
  <c r="P90" i="9"/>
  <c r="P175" i="9"/>
  <c r="AD237" i="9"/>
  <c r="AD170" i="9"/>
  <c r="AD83" i="9"/>
  <c r="AF106" i="9" s="1"/>
  <c r="AF147" i="9" s="1"/>
  <c r="AF212" i="9" s="1"/>
  <c r="W90" i="9"/>
  <c r="W175" i="9"/>
  <c r="W242" i="9"/>
  <c r="AB263" i="9"/>
  <c r="AB264" i="9"/>
  <c r="Y175" i="9"/>
  <c r="Y242" i="9"/>
  <c r="Y90" i="9"/>
  <c r="AB217" i="9"/>
  <c r="AB209" i="9"/>
  <c r="AB216" i="9"/>
  <c r="AI237" i="9"/>
  <c r="AI83" i="9"/>
  <c r="AI106" i="9" s="1"/>
  <c r="AI147" i="9" s="1"/>
  <c r="AI212" i="9" s="1"/>
  <c r="AI170" i="9"/>
  <c r="AK90" i="9"/>
  <c r="AK242" i="9"/>
  <c r="AK175" i="9"/>
  <c r="X242" i="9"/>
  <c r="X175" i="9"/>
  <c r="X90" i="9"/>
  <c r="Z106" i="9"/>
  <c r="Z147" i="9" s="1"/>
  <c r="Z212" i="9" s="1"/>
  <c r="Y106" i="9"/>
  <c r="Y147" i="9" s="1"/>
  <c r="Y212" i="9" s="1"/>
  <c r="I182" i="9"/>
  <c r="I249" i="9"/>
  <c r="I92" i="9"/>
  <c r="Q249" i="9"/>
  <c r="Q182" i="9"/>
  <c r="Y263" i="9"/>
  <c r="Y264" i="9"/>
  <c r="Z263" i="9"/>
  <c r="Z264" i="9"/>
  <c r="AD216" i="9"/>
  <c r="AD209" i="9"/>
  <c r="AD217" i="9"/>
  <c r="Y217" i="9"/>
  <c r="Y216" i="9"/>
  <c r="Y209" i="9"/>
  <c r="C92" i="9"/>
  <c r="C182" i="9"/>
  <c r="C249" i="9"/>
  <c r="AA264" i="9"/>
  <c r="AA263" i="9"/>
  <c r="G1974" i="10"/>
  <c r="G1978" i="10"/>
  <c r="G1976" i="10"/>
  <c r="H92" i="9"/>
  <c r="H249" i="9"/>
  <c r="H182" i="9"/>
  <c r="G1733" i="10"/>
  <c r="G1735" i="10"/>
  <c r="G1737" i="10"/>
  <c r="AC175" i="9"/>
  <c r="AC90" i="9"/>
  <c r="AC242" i="9"/>
  <c r="X106" i="9"/>
  <c r="X147" i="9" s="1"/>
  <c r="X212" i="9" s="1"/>
  <c r="AF242" i="9"/>
  <c r="AF175" i="9"/>
  <c r="AF90" i="9"/>
  <c r="AG242" i="9"/>
  <c r="AG175" i="9"/>
  <c r="AG90" i="9"/>
  <c r="AH106" i="9"/>
  <c r="AH147" i="9" s="1"/>
  <c r="AH212" i="9" s="1"/>
  <c r="AG263" i="9"/>
  <c r="AG264" i="9"/>
  <c r="AE90" i="9"/>
  <c r="AE242" i="9"/>
  <c r="AE175" i="9"/>
  <c r="BB144" i="9"/>
  <c r="BB192" i="9"/>
  <c r="BB261" i="9" s="1"/>
  <c r="BB208" i="9"/>
  <c r="AE209" i="9"/>
  <c r="AE217" i="9"/>
  <c r="AE216" i="9"/>
  <c r="AJ209" i="9"/>
  <c r="AJ217" i="9"/>
  <c r="AJ216" i="9"/>
  <c r="U182" i="9"/>
  <c r="U249" i="9"/>
  <c r="F242" i="9"/>
  <c r="F90" i="9"/>
  <c r="F175" i="9"/>
  <c r="F106" i="9"/>
  <c r="F147" i="9" s="1"/>
  <c r="F212" i="9" s="1"/>
  <c r="G92" i="9"/>
  <c r="G93" i="9" s="1"/>
  <c r="G182" i="9"/>
  <c r="G249" i="9"/>
  <c r="F95" i="3"/>
  <c r="F103" i="3" s="1"/>
  <c r="F126" i="3" s="1"/>
  <c r="F128" i="3" s="1"/>
  <c r="F129" i="3" s="1"/>
  <c r="F131" i="3" s="1"/>
  <c r="F94" i="3"/>
  <c r="F102" i="3" s="1"/>
  <c r="F97" i="3"/>
  <c r="F105" i="3" s="1"/>
  <c r="F98" i="3"/>
  <c r="F106" i="3" s="1"/>
  <c r="F96" i="3"/>
  <c r="F104" i="3" s="1"/>
  <c r="F93" i="3"/>
  <c r="F101" i="3" s="1"/>
  <c r="G93" i="3"/>
  <c r="G101" i="3" s="1"/>
  <c r="G95" i="3"/>
  <c r="G103" i="3" s="1"/>
  <c r="G126" i="3" s="1"/>
  <c r="G128" i="3" s="1"/>
  <c r="G129" i="3" s="1"/>
  <c r="G131" i="3" s="1"/>
  <c r="G97" i="3"/>
  <c r="G105" i="3" s="1"/>
  <c r="G98" i="3"/>
  <c r="G106" i="3" s="1"/>
  <c r="G96" i="3"/>
  <c r="G104" i="3" s="1"/>
  <c r="G94" i="3"/>
  <c r="G102" i="3" s="1"/>
  <c r="BB237" i="9"/>
  <c r="BB83" i="9"/>
  <c r="BB170" i="9"/>
  <c r="AJ263" i="9"/>
  <c r="AJ264" i="9"/>
  <c r="BB198" i="9"/>
  <c r="BB267" i="9"/>
  <c r="AE263" i="9"/>
  <c r="AE264" i="9"/>
  <c r="F209" i="9"/>
  <c r="F217" i="9"/>
  <c r="F216" i="9"/>
  <c r="S169" i="2"/>
  <c r="S35" i="2"/>
  <c r="S118" i="2"/>
  <c r="S124" i="2" s="1"/>
  <c r="T3" i="2"/>
  <c r="S77" i="2"/>
  <c r="D128" i="3"/>
  <c r="D129" i="3" s="1"/>
  <c r="D131" i="3" s="1"/>
  <c r="E87" i="3"/>
  <c r="E88" i="3" s="1"/>
  <c r="E85" i="3"/>
  <c r="E86" i="3" s="1"/>
  <c r="BB152" i="9"/>
  <c r="BB194" i="9"/>
  <c r="G1254" i="10"/>
  <c r="G1258" i="10"/>
  <c r="G1256" i="10"/>
  <c r="AF264" i="9"/>
  <c r="AF263" i="9"/>
  <c r="AH263" i="9"/>
  <c r="AH264" i="9"/>
  <c r="H118" i="3"/>
  <c r="H116" i="3"/>
  <c r="H130" i="3" s="1"/>
  <c r="H133" i="3" s="1"/>
  <c r="H137" i="3" s="1"/>
  <c r="H127" i="3"/>
  <c r="J127" i="3" s="1"/>
  <c r="AI263" i="9"/>
  <c r="AI264" i="9"/>
  <c r="BB195" i="9"/>
  <c r="BB151" i="9"/>
  <c r="E133" i="3"/>
  <c r="E137" i="3" s="1"/>
  <c r="AJ242" i="9"/>
  <c r="AJ90" i="9"/>
  <c r="AJ175" i="9"/>
  <c r="H83" i="3"/>
  <c r="H84" i="3" s="1"/>
  <c r="F264" i="9"/>
  <c r="F263" i="9"/>
  <c r="BB266" i="9"/>
  <c r="BB197" i="9"/>
  <c r="G1389" i="10" l="1"/>
  <c r="G1393" i="10"/>
  <c r="G1391" i="10"/>
  <c r="F1039" i="10"/>
  <c r="F1041" i="10"/>
  <c r="AI209" i="9"/>
  <c r="AI217" i="9"/>
  <c r="AI216" i="9"/>
  <c r="AH209" i="9"/>
  <c r="AH217" i="9"/>
  <c r="AH216" i="9"/>
  <c r="AG209" i="9"/>
  <c r="AG217" i="9"/>
  <c r="AG216" i="9"/>
  <c r="AP263" i="9"/>
  <c r="AP264" i="9"/>
  <c r="AO152" i="9"/>
  <c r="AO194" i="9"/>
  <c r="AN195" i="9"/>
  <c r="AN151" i="9"/>
  <c r="AN144" i="9"/>
  <c r="AN208" i="9"/>
  <c r="AN192" i="9"/>
  <c r="AM152" i="9"/>
  <c r="AM194" i="9"/>
  <c r="AO195" i="9"/>
  <c r="AO151" i="9"/>
  <c r="AO144" i="9"/>
  <c r="AO208" i="9"/>
  <c r="AO192" i="9"/>
  <c r="AP151" i="9"/>
  <c r="AP195" i="9"/>
  <c r="AN152" i="9"/>
  <c r="AN194" i="9"/>
  <c r="G1322" i="10"/>
  <c r="G1326" i="10"/>
  <c r="G1324" i="10"/>
  <c r="E1044" i="10"/>
  <c r="F1043" i="10"/>
  <c r="AP267" i="9"/>
  <c r="AP266" i="9"/>
  <c r="G1461" i="10"/>
  <c r="G903" i="10"/>
  <c r="F970" i="10"/>
  <c r="F972" i="10"/>
  <c r="G833" i="10"/>
  <c r="G837" i="10"/>
  <c r="F974" i="10"/>
  <c r="G905" i="10"/>
  <c r="G1463" i="10"/>
  <c r="AP194" i="9"/>
  <c r="AP144" i="9"/>
  <c r="AP208" i="9"/>
  <c r="AP217" i="9" s="1"/>
  <c r="AM208" i="9"/>
  <c r="AM192" i="9"/>
  <c r="AX3" i="11"/>
  <c r="X217" i="9"/>
  <c r="J249" i="9"/>
  <c r="AM151" i="9"/>
  <c r="J182" i="9"/>
  <c r="X216" i="9"/>
  <c r="Z216" i="9"/>
  <c r="G2035" i="10"/>
  <c r="G2039" i="10"/>
  <c r="AF209" i="9"/>
  <c r="J93" i="9"/>
  <c r="J252" i="9" s="1"/>
  <c r="Z209" i="9"/>
  <c r="G1919" i="10"/>
  <c r="AC263" i="9"/>
  <c r="AC266" i="9"/>
  <c r="AC267" i="9"/>
  <c r="V266" i="9"/>
  <c r="V267" i="9"/>
  <c r="AK264" i="9"/>
  <c r="AK266" i="9"/>
  <c r="AK267" i="9"/>
  <c r="AJ266" i="9"/>
  <c r="AJ267" i="9"/>
  <c r="T267" i="9"/>
  <c r="T266" i="9"/>
  <c r="AL267" i="9"/>
  <c r="AL266" i="9"/>
  <c r="AO267" i="9"/>
  <c r="AO266" i="9"/>
  <c r="AD264" i="9"/>
  <c r="AD266" i="9"/>
  <c r="AD267" i="9"/>
  <c r="AM266" i="9"/>
  <c r="AM267" i="9"/>
  <c r="U267" i="9"/>
  <c r="U266" i="9"/>
  <c r="AF217" i="9"/>
  <c r="S267" i="9"/>
  <c r="S266" i="9"/>
  <c r="AE266" i="9"/>
  <c r="AE267" i="9"/>
  <c r="G1915" i="10"/>
  <c r="AP209" i="9"/>
  <c r="AA217" i="9"/>
  <c r="AP92" i="9"/>
  <c r="AP251" i="9" s="1"/>
  <c r="AP216" i="9"/>
  <c r="AO184" i="9"/>
  <c r="AO93" i="9"/>
  <c r="AO252" i="9" s="1"/>
  <c r="AO251" i="9"/>
  <c r="AN216" i="9"/>
  <c r="AC217" i="9"/>
  <c r="AC209" i="9"/>
  <c r="AC264" i="9"/>
  <c r="T92" i="9"/>
  <c r="T93" i="9" s="1"/>
  <c r="T182" i="9"/>
  <c r="T249" i="9"/>
  <c r="E182" i="9"/>
  <c r="E92" i="9"/>
  <c r="E249" i="9"/>
  <c r="AA216" i="9"/>
  <c r="AH249" i="9"/>
  <c r="AH182" i="9"/>
  <c r="AK217" i="9"/>
  <c r="G1672" i="10"/>
  <c r="G1670" i="10"/>
  <c r="AN106" i="9"/>
  <c r="AN147" i="9" s="1"/>
  <c r="AO106" i="9"/>
  <c r="AO147" i="9" s="1"/>
  <c r="AO212" i="9" s="1"/>
  <c r="AN217" i="9"/>
  <c r="AO209" i="9"/>
  <c r="AO216" i="9"/>
  <c r="AO217" i="9"/>
  <c r="G970" i="10"/>
  <c r="G974" i="10"/>
  <c r="G972" i="10"/>
  <c r="AN209" i="9"/>
  <c r="AO263" i="9"/>
  <c r="AO264" i="9"/>
  <c r="G1534" i="10"/>
  <c r="G1604" i="10"/>
  <c r="AN251" i="9"/>
  <c r="AN184" i="9"/>
  <c r="AN93" i="9"/>
  <c r="AC106" i="9"/>
  <c r="AC147" i="9" s="1"/>
  <c r="AC212" i="9" s="1"/>
  <c r="G1606" i="10"/>
  <c r="G1536" i="10"/>
  <c r="AM264" i="9"/>
  <c r="AM263" i="9"/>
  <c r="AM242" i="9"/>
  <c r="AM90" i="9"/>
  <c r="AM175" i="9"/>
  <c r="AM106" i="9"/>
  <c r="AM147" i="9" s="1"/>
  <c r="AM212" i="9" s="1"/>
  <c r="J251" i="9"/>
  <c r="J184" i="9"/>
  <c r="AE106" i="9"/>
  <c r="AE147" i="9" s="1"/>
  <c r="AE212" i="9" s="1"/>
  <c r="AA106" i="9"/>
  <c r="AA147" i="9" s="1"/>
  <c r="AA212" i="9" s="1"/>
  <c r="G1861" i="10"/>
  <c r="G1857" i="10"/>
  <c r="AK209" i="9"/>
  <c r="AK263" i="9"/>
  <c r="AL209" i="9"/>
  <c r="AL217" i="9"/>
  <c r="AL216" i="9"/>
  <c r="AD263" i="9"/>
  <c r="AL264" i="9"/>
  <c r="AL263" i="9"/>
  <c r="AL106" i="9"/>
  <c r="AL147" i="9" s="1"/>
  <c r="AL212" i="9" s="1"/>
  <c r="T263" i="9"/>
  <c r="T264" i="9"/>
  <c r="S242" i="9"/>
  <c r="S175" i="9"/>
  <c r="S90" i="9"/>
  <c r="U106" i="9"/>
  <c r="U147" i="9" s="1"/>
  <c r="U212" i="9" s="1"/>
  <c r="T106" i="9"/>
  <c r="T147" i="9" s="1"/>
  <c r="T212" i="9" s="1"/>
  <c r="V106" i="9"/>
  <c r="V147" i="9" s="1"/>
  <c r="V212" i="9" s="1"/>
  <c r="S106" i="9"/>
  <c r="S147" i="9" s="1"/>
  <c r="S212" i="9" s="1"/>
  <c r="AD106" i="9"/>
  <c r="AD147" i="9" s="1"/>
  <c r="AD212" i="9" s="1"/>
  <c r="T209" i="9"/>
  <c r="T216" i="9"/>
  <c r="T217" i="9"/>
  <c r="S263" i="9"/>
  <c r="S264" i="9"/>
  <c r="V216" i="9"/>
  <c r="V217" i="9"/>
  <c r="V209" i="9"/>
  <c r="AG106" i="9"/>
  <c r="AG147" i="9" s="1"/>
  <c r="AG212" i="9" s="1"/>
  <c r="S216" i="9"/>
  <c r="S209" i="9"/>
  <c r="S217" i="9"/>
  <c r="U209" i="9"/>
  <c r="U216" i="9"/>
  <c r="U217" i="9"/>
  <c r="U263" i="9"/>
  <c r="U264" i="9"/>
  <c r="AB182" i="9"/>
  <c r="AB92" i="9"/>
  <c r="AC92" i="9" s="1"/>
  <c r="AB249" i="9"/>
  <c r="V264" i="9"/>
  <c r="V263" i="9"/>
  <c r="AK106" i="9"/>
  <c r="AK147" i="9" s="1"/>
  <c r="AK212" i="9" s="1"/>
  <c r="AJ106" i="9"/>
  <c r="AJ147" i="9" s="1"/>
  <c r="AJ212" i="9" s="1"/>
  <c r="D249" i="9"/>
  <c r="D92" i="9"/>
  <c r="D93" i="9" s="1"/>
  <c r="D182" i="9"/>
  <c r="Y3" i="9"/>
  <c r="X61" i="9"/>
  <c r="X73" i="9" s="1"/>
  <c r="X98" i="9" s="1"/>
  <c r="X206" i="9"/>
  <c r="Z182" i="9"/>
  <c r="Z249" i="9"/>
  <c r="AA242" i="9"/>
  <c r="AA90" i="9"/>
  <c r="AA175" i="9"/>
  <c r="P92" i="9"/>
  <c r="P249" i="9"/>
  <c r="P182" i="9"/>
  <c r="Y182" i="9"/>
  <c r="Y249" i="9"/>
  <c r="W182" i="9"/>
  <c r="W249" i="9"/>
  <c r="AD242" i="9"/>
  <c r="AD175" i="9"/>
  <c r="AD90" i="9"/>
  <c r="AI242" i="9"/>
  <c r="AI175" i="9"/>
  <c r="AI90" i="9"/>
  <c r="AK249" i="9"/>
  <c r="AK182" i="9"/>
  <c r="AC249" i="9"/>
  <c r="AC182" i="9"/>
  <c r="I184" i="9"/>
  <c r="I251" i="9"/>
  <c r="C184" i="9"/>
  <c r="C251" i="9"/>
  <c r="H184" i="9"/>
  <c r="H251" i="9"/>
  <c r="AF182" i="9"/>
  <c r="AF92" i="9"/>
  <c r="AF93" i="9" s="1"/>
  <c r="AF249" i="9"/>
  <c r="C93" i="9"/>
  <c r="I93" i="9"/>
  <c r="H93" i="9"/>
  <c r="X92" i="9"/>
  <c r="X182" i="9"/>
  <c r="X249" i="9"/>
  <c r="H87" i="3"/>
  <c r="H88" i="3" s="1"/>
  <c r="H85" i="3"/>
  <c r="H86" i="3" s="1"/>
  <c r="G134" i="3"/>
  <c r="G138" i="3" s="1"/>
  <c r="G142" i="3"/>
  <c r="G144" i="3" s="1"/>
  <c r="G145" i="3" s="1"/>
  <c r="G185" i="9"/>
  <c r="G252" i="9"/>
  <c r="AG249" i="9"/>
  <c r="AG182" i="9"/>
  <c r="E94" i="3"/>
  <c r="E102" i="3" s="1"/>
  <c r="E96" i="3"/>
  <c r="E104" i="3" s="1"/>
  <c r="E93" i="3"/>
  <c r="E101" i="3" s="1"/>
  <c r="E98" i="3"/>
  <c r="E106" i="3" s="1"/>
  <c r="E95" i="3"/>
  <c r="E103" i="3" s="1"/>
  <c r="E126" i="3" s="1"/>
  <c r="E97" i="3"/>
  <c r="E105" i="3" s="1"/>
  <c r="BB90" i="9"/>
  <c r="BB175" i="9"/>
  <c r="BB242" i="9"/>
  <c r="BB106" i="9"/>
  <c r="BB147" i="9" s="1"/>
  <c r="BB212" i="9" s="1"/>
  <c r="G184" i="9"/>
  <c r="G251" i="9"/>
  <c r="AE182" i="9"/>
  <c r="AE249" i="9"/>
  <c r="D134" i="3"/>
  <c r="D138" i="3" s="1"/>
  <c r="D142" i="3"/>
  <c r="D144" i="3" s="1"/>
  <c r="D145" i="3" s="1"/>
  <c r="BB209" i="9"/>
  <c r="BB216" i="9"/>
  <c r="BB217" i="9"/>
  <c r="BB264" i="9"/>
  <c r="BB263" i="9"/>
  <c r="F249" i="9"/>
  <c r="F92" i="9"/>
  <c r="F93" i="9" s="1"/>
  <c r="F182" i="9"/>
  <c r="AJ92" i="9"/>
  <c r="AJ249" i="9"/>
  <c r="AJ182" i="9"/>
  <c r="T118" i="2"/>
  <c r="T124" i="2" s="1"/>
  <c r="T77" i="2"/>
  <c r="T35" i="2"/>
  <c r="U3" i="2"/>
  <c r="T169" i="2"/>
  <c r="J130" i="3"/>
  <c r="F134" i="3"/>
  <c r="F138" i="3" s="1"/>
  <c r="F142" i="3"/>
  <c r="F144" i="3" s="1"/>
  <c r="F145" i="3" s="1"/>
  <c r="G1043" i="10" l="1"/>
  <c r="G1041" i="10"/>
  <c r="G1039" i="10"/>
  <c r="AM209" i="9"/>
  <c r="AM217" i="9"/>
  <c r="AY3" i="11"/>
  <c r="AM216" i="9"/>
  <c r="J185" i="9"/>
  <c r="P93" i="9"/>
  <c r="AN264" i="9"/>
  <c r="AN267" i="9"/>
  <c r="AN266" i="9"/>
  <c r="AO185" i="9"/>
  <c r="AP184" i="9"/>
  <c r="AP93" i="9"/>
  <c r="AP252" i="9" s="1"/>
  <c r="AQ92" i="9"/>
  <c r="AN212" i="9"/>
  <c r="AN263" i="9"/>
  <c r="T185" i="9"/>
  <c r="T252" i="9"/>
  <c r="E93" i="9"/>
  <c r="E251" i="9"/>
  <c r="E184" i="9"/>
  <c r="T184" i="9"/>
  <c r="T251" i="9"/>
  <c r="U92" i="9"/>
  <c r="AN252" i="9"/>
  <c r="AN185" i="9"/>
  <c r="AJ93" i="9"/>
  <c r="AJ252" i="9" s="1"/>
  <c r="AM249" i="9"/>
  <c r="AM182" i="9"/>
  <c r="S249" i="9"/>
  <c r="S182" i="9"/>
  <c r="AB93" i="9"/>
  <c r="AB184" i="9"/>
  <c r="AB251" i="9"/>
  <c r="AK92" i="9"/>
  <c r="X155" i="9"/>
  <c r="X108" i="9"/>
  <c r="X131" i="9" s="1"/>
  <c r="X220" i="9" s="1"/>
  <c r="X141" i="9" s="1"/>
  <c r="Z3" i="9"/>
  <c r="Y61" i="9"/>
  <c r="Y73" i="9" s="1"/>
  <c r="Y98" i="9" s="1"/>
  <c r="Y206" i="9"/>
  <c r="D185" i="9"/>
  <c r="D252" i="9"/>
  <c r="D184" i="9"/>
  <c r="D251" i="9"/>
  <c r="AA249" i="9"/>
  <c r="AA182" i="9"/>
  <c r="AD249" i="9"/>
  <c r="AD182" i="9"/>
  <c r="AI182" i="9"/>
  <c r="AI249" i="9"/>
  <c r="P184" i="9"/>
  <c r="P251" i="9"/>
  <c r="Q92" i="9"/>
  <c r="AF252" i="9"/>
  <c r="AF185" i="9"/>
  <c r="X93" i="9"/>
  <c r="X251" i="9"/>
  <c r="X184" i="9"/>
  <c r="Y92" i="9"/>
  <c r="AG92" i="9"/>
  <c r="AG93" i="9" s="1"/>
  <c r="H185" i="9"/>
  <c r="H252" i="9"/>
  <c r="I252" i="9"/>
  <c r="I185" i="9"/>
  <c r="AC251" i="9"/>
  <c r="AD92" i="9"/>
  <c r="AC184" i="9"/>
  <c r="C94" i="9"/>
  <c r="C185" i="9"/>
  <c r="C252" i="9"/>
  <c r="AC93" i="9"/>
  <c r="AF184" i="9"/>
  <c r="AF251" i="9"/>
  <c r="J133" i="3"/>
  <c r="J137" i="3" s="1"/>
  <c r="V3" i="2"/>
  <c r="U169" i="2"/>
  <c r="U118" i="2"/>
  <c r="U124" i="2" s="1"/>
  <c r="F252" i="9"/>
  <c r="F185" i="9"/>
  <c r="BB249" i="9"/>
  <c r="BB182" i="9"/>
  <c r="F251" i="9"/>
  <c r="F184" i="9"/>
  <c r="E128" i="3"/>
  <c r="E129" i="3" s="1"/>
  <c r="E131" i="3" s="1"/>
  <c r="J126" i="3"/>
  <c r="J128" i="3" s="1"/>
  <c r="J129" i="3" s="1"/>
  <c r="J131" i="3" s="1"/>
  <c r="AJ251" i="9"/>
  <c r="AJ184" i="9"/>
  <c r="H96" i="3"/>
  <c r="H104" i="3" s="1"/>
  <c r="H95" i="3"/>
  <c r="H103" i="3" s="1"/>
  <c r="H126" i="3" s="1"/>
  <c r="H128" i="3" s="1"/>
  <c r="H129" i="3" s="1"/>
  <c r="H131" i="3" s="1"/>
  <c r="H93" i="3"/>
  <c r="H101" i="3" s="1"/>
  <c r="H97" i="3"/>
  <c r="H105" i="3" s="1"/>
  <c r="H94" i="3"/>
  <c r="H102" i="3" s="1"/>
  <c r="H98" i="3"/>
  <c r="H106" i="3" s="1"/>
  <c r="AZ3" i="11" l="1"/>
  <c r="P252" i="9"/>
  <c r="P185" i="9"/>
  <c r="AY251" i="9"/>
  <c r="AY184" i="9"/>
  <c r="AY93" i="9"/>
  <c r="AP185" i="9"/>
  <c r="N184" i="9"/>
  <c r="N251" i="9"/>
  <c r="N93" i="9"/>
  <c r="E252" i="9"/>
  <c r="E185" i="9"/>
  <c r="U93" i="9"/>
  <c r="U251" i="9"/>
  <c r="U184" i="9"/>
  <c r="V92" i="9"/>
  <c r="AQ251" i="9"/>
  <c r="AQ184" i="9"/>
  <c r="AQ93" i="9"/>
  <c r="AJ185" i="9"/>
  <c r="AL92" i="9"/>
  <c r="AK93" i="9"/>
  <c r="AK252" i="9" s="1"/>
  <c r="AH92" i="9"/>
  <c r="AH184" i="9" s="1"/>
  <c r="AK251" i="9"/>
  <c r="AB185" i="9"/>
  <c r="AB252" i="9"/>
  <c r="AK184" i="9"/>
  <c r="AG184" i="9"/>
  <c r="AG251" i="9"/>
  <c r="Z61" i="9"/>
  <c r="Z73" i="9" s="1"/>
  <c r="Z98" i="9" s="1"/>
  <c r="AA3" i="9"/>
  <c r="BB3" i="9"/>
  <c r="Z206" i="9"/>
  <c r="Y155" i="9"/>
  <c r="Y108" i="9"/>
  <c r="Y131" i="9" s="1"/>
  <c r="Y220" i="9" s="1"/>
  <c r="Y141" i="9" s="1"/>
  <c r="Q93" i="9"/>
  <c r="Q251" i="9"/>
  <c r="Q184" i="9"/>
  <c r="R92" i="9"/>
  <c r="S92" i="9" s="1"/>
  <c r="S93" i="9" s="1"/>
  <c r="AC252" i="9"/>
  <c r="AC185" i="9"/>
  <c r="Y93" i="9"/>
  <c r="Y184" i="9"/>
  <c r="Z92" i="9"/>
  <c r="Y251" i="9"/>
  <c r="AD93" i="9"/>
  <c r="AD184" i="9"/>
  <c r="AD251" i="9"/>
  <c r="AE92" i="9"/>
  <c r="C96" i="9"/>
  <c r="D94" i="9"/>
  <c r="P94" i="9"/>
  <c r="X185" i="9"/>
  <c r="X252" i="9"/>
  <c r="J142" i="3"/>
  <c r="J144" i="3" s="1"/>
  <c r="J145" i="3" s="1"/>
  <c r="J134" i="3"/>
  <c r="J138" i="3" s="1"/>
  <c r="E142" i="3"/>
  <c r="E144" i="3" s="1"/>
  <c r="E145" i="3" s="1"/>
  <c r="E134" i="3"/>
  <c r="E138" i="3" s="1"/>
  <c r="V118" i="2"/>
  <c r="V124" i="2" s="1"/>
  <c r="W3" i="2"/>
  <c r="V169" i="2"/>
  <c r="H142" i="3"/>
  <c r="H144" i="3" s="1"/>
  <c r="H145" i="3" s="1"/>
  <c r="H134" i="3"/>
  <c r="H138" i="3" s="1"/>
  <c r="AG252" i="9"/>
  <c r="AG185" i="9"/>
  <c r="AY252" i="9" l="1"/>
  <c r="AY185" i="9"/>
  <c r="N185" i="9"/>
  <c r="N252" i="9"/>
  <c r="U185" i="9"/>
  <c r="U252" i="9"/>
  <c r="V184" i="9"/>
  <c r="V251" i="9"/>
  <c r="W92" i="9"/>
  <c r="V93" i="9"/>
  <c r="AQ252" i="9"/>
  <c r="AQ185" i="9"/>
  <c r="AM92" i="9"/>
  <c r="AH251" i="9"/>
  <c r="AI92" i="9"/>
  <c r="AH93" i="9"/>
  <c r="AH252" i="9" s="1"/>
  <c r="AK185" i="9"/>
  <c r="AL184" i="9"/>
  <c r="AL93" i="9"/>
  <c r="AL251" i="9"/>
  <c r="BB220" i="9"/>
  <c r="BB206" i="9"/>
  <c r="BB155" i="9"/>
  <c r="BB108" i="9"/>
  <c r="BB131" i="9"/>
  <c r="BB61" i="9"/>
  <c r="BB141" i="9"/>
  <c r="BB73" i="9"/>
  <c r="BB98" i="9"/>
  <c r="AA131" i="9"/>
  <c r="AA220" i="9"/>
  <c r="AA155" i="9"/>
  <c r="AA108" i="9"/>
  <c r="AB3" i="9"/>
  <c r="AA141" i="9"/>
  <c r="AA73" i="9"/>
  <c r="AA98" i="9"/>
  <c r="AA206" i="9"/>
  <c r="AA61" i="9"/>
  <c r="Z155" i="9"/>
  <c r="Z108" i="9"/>
  <c r="Z131" i="9" s="1"/>
  <c r="Z220" i="9" s="1"/>
  <c r="Z141" i="9" s="1"/>
  <c r="R93" i="9"/>
  <c r="R184" i="9"/>
  <c r="R251" i="9"/>
  <c r="S251" i="9"/>
  <c r="S184" i="9"/>
  <c r="Q252" i="9"/>
  <c r="Q185" i="9"/>
  <c r="AD185" i="9"/>
  <c r="AD252" i="9"/>
  <c r="AE251" i="9"/>
  <c r="AE184" i="9"/>
  <c r="AE93" i="9"/>
  <c r="Q94" i="9"/>
  <c r="P96" i="9"/>
  <c r="T94" i="9"/>
  <c r="E94" i="9"/>
  <c r="D96" i="9"/>
  <c r="Z93" i="9"/>
  <c r="BB92" i="9"/>
  <c r="Z184" i="9"/>
  <c r="Z251" i="9"/>
  <c r="AA92" i="9"/>
  <c r="S252" i="9"/>
  <c r="S185" i="9"/>
  <c r="Y252" i="9"/>
  <c r="Y185" i="9"/>
  <c r="X3" i="2"/>
  <c r="W118" i="2"/>
  <c r="W124" i="2" s="1"/>
  <c r="W169" i="2"/>
  <c r="AI93" i="9" l="1"/>
  <c r="AI251" i="9"/>
  <c r="AI184" i="9"/>
  <c r="W93" i="9"/>
  <c r="W184" i="9"/>
  <c r="W251" i="9"/>
  <c r="V185" i="9"/>
  <c r="V252" i="9"/>
  <c r="AM93" i="9"/>
  <c r="AM252" i="9" s="1"/>
  <c r="AM184" i="9"/>
  <c r="AM251" i="9"/>
  <c r="AH185" i="9"/>
  <c r="AL252" i="9"/>
  <c r="AL185" i="9"/>
  <c r="AC3" i="9"/>
  <c r="AB206" i="9"/>
  <c r="AB61" i="9"/>
  <c r="AB73" i="9" s="1"/>
  <c r="AB98" i="9" s="1"/>
  <c r="R185" i="9"/>
  <c r="R252" i="9"/>
  <c r="X94" i="9"/>
  <c r="E96" i="9"/>
  <c r="G94" i="9"/>
  <c r="G96" i="9" s="1"/>
  <c r="F94" i="9"/>
  <c r="AA251" i="9"/>
  <c r="AA93" i="9"/>
  <c r="AA184" i="9"/>
  <c r="R94" i="9"/>
  <c r="Q96" i="9"/>
  <c r="BB93" i="9"/>
  <c r="BB184" i="9"/>
  <c r="BB251" i="9"/>
  <c r="AE185" i="9"/>
  <c r="AE252" i="9"/>
  <c r="Z185" i="9"/>
  <c r="Z252" i="9"/>
  <c r="T96" i="9"/>
  <c r="U94" i="9"/>
  <c r="X118" i="2"/>
  <c r="X124" i="2" s="1"/>
  <c r="Y3" i="2"/>
  <c r="X169" i="2"/>
  <c r="AI185" i="9" l="1"/>
  <c r="AI252" i="9"/>
  <c r="W252" i="9"/>
  <c r="W185" i="9"/>
  <c r="AM185" i="9"/>
  <c r="AC61" i="9"/>
  <c r="AC73" i="9" s="1"/>
  <c r="AC98" i="9" s="1"/>
  <c r="AC206" i="9"/>
  <c r="AD3" i="9"/>
  <c r="AB155" i="9"/>
  <c r="AB108" i="9"/>
  <c r="AB131" i="9" s="1"/>
  <c r="AB220" i="9" s="1"/>
  <c r="AB141" i="9" s="1"/>
  <c r="X96" i="9"/>
  <c r="Y94" i="9"/>
  <c r="S94" i="9"/>
  <c r="S96" i="9" s="1"/>
  <c r="R96" i="9"/>
  <c r="AA185" i="9"/>
  <c r="AA252" i="9"/>
  <c r="U96" i="9"/>
  <c r="V94" i="9"/>
  <c r="BB252" i="9"/>
  <c r="BB185" i="9"/>
  <c r="F96" i="9"/>
  <c r="H94" i="9"/>
  <c r="Z3" i="2"/>
  <c r="Y118" i="2"/>
  <c r="Y124" i="2" s="1"/>
  <c r="Y169" i="2"/>
  <c r="AC108" i="9" l="1"/>
  <c r="AC131" i="9" s="1"/>
  <c r="AC220" i="9" s="1"/>
  <c r="AC141" i="9" s="1"/>
  <c r="AC155" i="9"/>
  <c r="AD206" i="9"/>
  <c r="AE3" i="9"/>
  <c r="AD61" i="9"/>
  <c r="AD73" i="9" s="1"/>
  <c r="AD98" i="9" s="1"/>
  <c r="V96" i="9"/>
  <c r="W94" i="9"/>
  <c r="W96" i="9" s="1"/>
  <c r="I94" i="9"/>
  <c r="H96" i="9"/>
  <c r="Y96" i="9"/>
  <c r="Z94" i="9"/>
  <c r="Z169" i="2"/>
  <c r="AA3" i="2"/>
  <c r="Z118" i="2"/>
  <c r="Z124" i="2" s="1"/>
  <c r="I96" i="9" l="1"/>
  <c r="J94" i="9"/>
  <c r="AD155" i="9"/>
  <c r="AD108" i="9"/>
  <c r="AD131" i="9" s="1"/>
  <c r="AD220" i="9" s="1"/>
  <c r="AD141" i="9" s="1"/>
  <c r="AE206" i="9"/>
  <c r="AE220" i="9"/>
  <c r="AE108" i="9"/>
  <c r="AE98" i="9"/>
  <c r="AE61" i="9"/>
  <c r="AE155" i="9"/>
  <c r="AE73" i="9"/>
  <c r="AE131" i="9"/>
  <c r="AE141" i="9"/>
  <c r="AF3" i="9"/>
  <c r="BB94" i="9"/>
  <c r="BB96" i="9" s="1"/>
  <c r="Z96" i="9"/>
  <c r="AA94" i="9"/>
  <c r="AA169" i="2"/>
  <c r="AA118" i="2"/>
  <c r="AA124" i="2" s="1"/>
  <c r="AB3" i="2"/>
  <c r="J96" i="9" l="1"/>
  <c r="K94" i="9"/>
  <c r="AF98" i="9"/>
  <c r="AF155" i="9"/>
  <c r="AF108" i="9"/>
  <c r="AF220" i="9"/>
  <c r="AF131" i="9"/>
  <c r="AF206" i="9"/>
  <c r="AG3" i="9"/>
  <c r="AF141" i="9"/>
  <c r="AF61" i="9"/>
  <c r="AF73" i="9"/>
  <c r="AB94" i="9"/>
  <c r="AA96" i="9"/>
  <c r="AB118" i="2"/>
  <c r="AB124" i="2" s="1"/>
  <c r="AB169" i="2"/>
  <c r="K96" i="9" l="1"/>
  <c r="L94" i="9"/>
  <c r="M94" i="9" s="1"/>
  <c r="AH3" i="9"/>
  <c r="AG206" i="9"/>
  <c r="AG61" i="9"/>
  <c r="AG73" i="9" s="1"/>
  <c r="AG98" i="9" s="1"/>
  <c r="AB96" i="9"/>
  <c r="AC94" i="9"/>
  <c r="L96" i="9" l="1"/>
  <c r="M96" i="9"/>
  <c r="AG155" i="9"/>
  <c r="AG108" i="9"/>
  <c r="AG131" i="9" s="1"/>
  <c r="AG220" i="9" s="1"/>
  <c r="AG141" i="9" s="1"/>
  <c r="AI3" i="9"/>
  <c r="AH206" i="9"/>
  <c r="AH61" i="9"/>
  <c r="AH73" i="9" s="1"/>
  <c r="AH98" i="9" s="1"/>
  <c r="AC96" i="9"/>
  <c r="AD94" i="9"/>
  <c r="AH155" i="9" l="1"/>
  <c r="AH108" i="9"/>
  <c r="AH131" i="9" s="1"/>
  <c r="AH220" i="9" s="1"/>
  <c r="AH141" i="9" s="1"/>
  <c r="AI61" i="9"/>
  <c r="AI141" i="9"/>
  <c r="AI206" i="9"/>
  <c r="AI98" i="9"/>
  <c r="AI220" i="9"/>
  <c r="AJ3" i="9"/>
  <c r="AI108" i="9"/>
  <c r="AI131" i="9"/>
  <c r="AI73" i="9"/>
  <c r="AI155" i="9"/>
  <c r="AE94" i="9"/>
  <c r="AD96" i="9"/>
  <c r="AK3" i="9" l="1"/>
  <c r="AL3" i="9" s="1"/>
  <c r="AJ98" i="9"/>
  <c r="AJ155" i="9"/>
  <c r="AJ131" i="9"/>
  <c r="AJ206" i="9"/>
  <c r="AJ220" i="9"/>
  <c r="AJ108" i="9"/>
  <c r="AJ61" i="9"/>
  <c r="AJ73" i="9"/>
  <c r="AJ141" i="9"/>
  <c r="AF94" i="9"/>
  <c r="AE96" i="9"/>
  <c r="AM3" i="9" l="1"/>
  <c r="AN3" i="9" s="1"/>
  <c r="AO3" i="9" s="1"/>
  <c r="AL206" i="9"/>
  <c r="AL61" i="9"/>
  <c r="AL73" i="9" s="1"/>
  <c r="AL98" i="9" s="1"/>
  <c r="AK61" i="9"/>
  <c r="AK73" i="9"/>
  <c r="AK220" i="9"/>
  <c r="AK108" i="9"/>
  <c r="AK98" i="9"/>
  <c r="AK131" i="9"/>
  <c r="AK155" i="9"/>
  <c r="AK141" i="9"/>
  <c r="AK206" i="9"/>
  <c r="AF96" i="9"/>
  <c r="AG94" i="9"/>
  <c r="AP3" i="9" l="1"/>
  <c r="AO73" i="9"/>
  <c r="AO220" i="9"/>
  <c r="AO155" i="9"/>
  <c r="AO61" i="9"/>
  <c r="AO131" i="9"/>
  <c r="AO108" i="9"/>
  <c r="AO98" i="9"/>
  <c r="AO206" i="9"/>
  <c r="AO141" i="9"/>
  <c r="AN220" i="9"/>
  <c r="AN206" i="9"/>
  <c r="AN61" i="9"/>
  <c r="AN141" i="9"/>
  <c r="AN73" i="9"/>
  <c r="AN108" i="9"/>
  <c r="AN98" i="9"/>
  <c r="AN155" i="9"/>
  <c r="AN131" i="9"/>
  <c r="AM206" i="9"/>
  <c r="AM220" i="9"/>
  <c r="AM141" i="9"/>
  <c r="AM155" i="9"/>
  <c r="AM108" i="9"/>
  <c r="AM73" i="9"/>
  <c r="AM131" i="9"/>
  <c r="AM98" i="9"/>
  <c r="AM61" i="9"/>
  <c r="AL155" i="9"/>
  <c r="AL108" i="9"/>
  <c r="AL131" i="9" s="1"/>
  <c r="AL220" i="9" s="1"/>
  <c r="AL141" i="9" s="1"/>
  <c r="AH94" i="9"/>
  <c r="AG96" i="9"/>
  <c r="AQ3" i="9" l="1"/>
  <c r="AR3" i="9" s="1"/>
  <c r="AP206" i="9"/>
  <c r="AP61" i="9"/>
  <c r="AP73" i="9" s="1"/>
  <c r="AP98" i="9" s="1"/>
  <c r="AH96" i="9"/>
  <c r="AI94" i="9"/>
  <c r="AR155" i="9" l="1"/>
  <c r="AS3" i="9"/>
  <c r="AR131" i="9"/>
  <c r="AR206" i="9"/>
  <c r="AR98" i="9"/>
  <c r="AR108" i="9"/>
  <c r="AR73" i="9"/>
  <c r="AR141" i="9"/>
  <c r="AR220" i="9"/>
  <c r="AR61" i="9"/>
  <c r="AQ61" i="9"/>
  <c r="AQ98" i="9"/>
  <c r="AQ131" i="9"/>
  <c r="AQ155" i="9"/>
  <c r="AQ141" i="9"/>
  <c r="AQ108" i="9"/>
  <c r="AQ220" i="9"/>
  <c r="AQ73" i="9"/>
  <c r="AQ206" i="9"/>
  <c r="AP108" i="9"/>
  <c r="AP131" i="9" s="1"/>
  <c r="AP155" i="9"/>
  <c r="AJ94" i="9"/>
  <c r="AI96" i="9"/>
  <c r="AT3" i="9" l="1"/>
  <c r="AS61" i="9"/>
  <c r="AS108" i="9"/>
  <c r="AS155" i="9"/>
  <c r="AS220" i="9"/>
  <c r="AS98" i="9"/>
  <c r="AS141" i="9"/>
  <c r="AS73" i="9"/>
  <c r="AS131" i="9"/>
  <c r="AS206" i="9"/>
  <c r="AP220" i="9"/>
  <c r="AJ96" i="9"/>
  <c r="AK94" i="9"/>
  <c r="AU3" i="9" l="1"/>
  <c r="AT61" i="9"/>
  <c r="AT73" i="9" s="1"/>
  <c r="AT98" i="9" s="1"/>
  <c r="AT206" i="9"/>
  <c r="AP141" i="9"/>
  <c r="AK96" i="9"/>
  <c r="AL94" i="9"/>
  <c r="AV3" i="9" l="1"/>
  <c r="AU98" i="9"/>
  <c r="AU141" i="9"/>
  <c r="AU206" i="9"/>
  <c r="AU61" i="9"/>
  <c r="AU131" i="9"/>
  <c r="AU155" i="9"/>
  <c r="AU220" i="9"/>
  <c r="AU73" i="9"/>
  <c r="AU108" i="9"/>
  <c r="AT155" i="9"/>
  <c r="AT108" i="9"/>
  <c r="AT131" i="9" s="1"/>
  <c r="AT220" i="9" s="1"/>
  <c r="AT141" i="9" s="1"/>
  <c r="AL96" i="9"/>
  <c r="AM94" i="9"/>
  <c r="AW3" i="9" l="1"/>
  <c r="AV220" i="9"/>
  <c r="AV155" i="9"/>
  <c r="AV73" i="9"/>
  <c r="AV61" i="9"/>
  <c r="AV131" i="9"/>
  <c r="AV98" i="9"/>
  <c r="AV108" i="9"/>
  <c r="AV206" i="9"/>
  <c r="AV141" i="9"/>
  <c r="AM96" i="9"/>
  <c r="AN94" i="9"/>
  <c r="AX3" i="9" l="1"/>
  <c r="AW61" i="9"/>
  <c r="AW155" i="9"/>
  <c r="AW220" i="9"/>
  <c r="AW98" i="9"/>
  <c r="AW141" i="9"/>
  <c r="AW206" i="9"/>
  <c r="AW108" i="9"/>
  <c r="AW73" i="9"/>
  <c r="AW131" i="9"/>
  <c r="AO94" i="9"/>
  <c r="AO96" i="9" s="1"/>
  <c r="AN96" i="9"/>
  <c r="AY3" i="9" l="1"/>
  <c r="AX206" i="9"/>
  <c r="AX61" i="9"/>
  <c r="AX73" i="9" s="1"/>
  <c r="AX98" i="9" s="1"/>
  <c r="AP94" i="9"/>
  <c r="AZ3" i="9" l="1"/>
  <c r="N3" i="9" s="1"/>
  <c r="AY141" i="9"/>
  <c r="AY206" i="9"/>
  <c r="AY220" i="9"/>
  <c r="AY155" i="9"/>
  <c r="AY108" i="9"/>
  <c r="AY73" i="9"/>
  <c r="AY131" i="9"/>
  <c r="AY98" i="9"/>
  <c r="AY61" i="9"/>
  <c r="AX155" i="9"/>
  <c r="AX108" i="9"/>
  <c r="AX131" i="9" s="1"/>
  <c r="AX220" i="9" s="1"/>
  <c r="AX141" i="9" s="1"/>
  <c r="AQ94" i="9"/>
  <c r="AP96" i="9"/>
  <c r="D711" i="10"/>
  <c r="D713" i="10" s="1"/>
  <c r="E680" i="10"/>
  <c r="E679" i="10"/>
  <c r="F691" i="10"/>
  <c r="N61" i="9" l="1"/>
  <c r="N73" i="9" s="1"/>
  <c r="N98" i="9" s="1"/>
  <c r="N206" i="9"/>
  <c r="AZ61" i="9"/>
  <c r="AZ98" i="9"/>
  <c r="AZ108" i="9"/>
  <c r="AZ131" i="9"/>
  <c r="AZ141" i="9"/>
  <c r="AZ155" i="9"/>
  <c r="AZ206" i="9"/>
  <c r="AZ73" i="9"/>
  <c r="AZ220" i="9"/>
  <c r="AR94" i="9"/>
  <c r="AQ96" i="9"/>
  <c r="E691" i="10"/>
  <c r="E693" i="10" s="1"/>
  <c r="G693" i="10" s="1"/>
  <c r="D693" i="10"/>
  <c r="F693" i="10" s="1"/>
  <c r="D714" i="10"/>
  <c r="E709" i="10"/>
  <c r="E708" i="10"/>
  <c r="E710" i="10"/>
  <c r="E707" i="10"/>
  <c r="E711" i="10"/>
  <c r="D695" i="10"/>
  <c r="F695" i="10" s="1"/>
  <c r="N108" i="9" l="1"/>
  <c r="N131" i="9" s="1"/>
  <c r="N220" i="9" s="1"/>
  <c r="N141" i="9" s="1"/>
  <c r="N155" i="9"/>
  <c r="E636" i="10"/>
  <c r="E695" i="10"/>
  <c r="G695" i="10" s="1"/>
  <c r="G691" i="10"/>
  <c r="AR96" i="9"/>
  <c r="AS94" i="9"/>
  <c r="E713" i="10"/>
  <c r="AS96" i="9" l="1"/>
  <c r="AT94" i="9"/>
  <c r="AT96" i="9" l="1"/>
  <c r="AU94" i="9"/>
  <c r="AU96" i="9" l="1"/>
  <c r="AV94" i="9"/>
  <c r="AW94" i="9" l="1"/>
  <c r="AX94" i="9" s="1"/>
  <c r="AY94" i="9" s="1"/>
  <c r="AZ94" i="9" s="1"/>
  <c r="AZ96" i="9" s="1"/>
  <c r="N94" i="9"/>
  <c r="N96" i="9" s="1"/>
  <c r="AX96" i="9"/>
  <c r="AY96" i="9"/>
  <c r="AV96" i="9"/>
  <c r="AW9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CRISIL GR&amp;RS</author>
    <author>Vivek Panchal</author>
    <author>Dion Babu</author>
    <author>Rishabh Saraf</author>
    <author>Crisil GR&amp;A</author>
  </authors>
  <commentList>
    <comment ref="D80" authorId="0" shapeId="0" xr:uid="{22E9DDAF-91D8-4E38-85A7-D8B02FD1B99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above table</t>
        </r>
      </text>
    </comment>
    <comment ref="D176" authorId="0" shapeId="0" xr:uid="{548B127C-3FB9-4635-913A-387E6DF42B4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above table</t>
        </r>
      </text>
    </comment>
    <comment ref="D251" authorId="0" shapeId="0" xr:uid="{7E5734A8-FFE3-43C5-B173-6EB37FB7846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above table</t>
        </r>
      </text>
    </comment>
    <comment ref="D327" authorId="0" shapeId="0" xr:uid="{516CAF3E-790B-4ACC-8E2A-E8552BDAE1B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above table</t>
        </r>
      </text>
    </comment>
    <comment ref="D400" authorId="0" shapeId="0" xr:uid="{EBC7CE28-A6FA-41B9-B1A5-3E9496BE8A4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above table</t>
        </r>
      </text>
    </comment>
    <comment ref="J416" authorId="1" shapeId="0" xr:uid="{CAA1532F-6A92-4AEF-ADE2-4FBA3860F4EC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D465" authorId="2" shapeId="0" xr:uid="{1FB9D505-EB43-41F2-A2A4-678E21866A04}">
      <text>
        <r>
          <rPr>
            <b/>
            <sz val="9"/>
            <color indexed="81"/>
            <rFont val="Tahoma"/>
            <family val="2"/>
          </rPr>
          <t xml:space="preserve">Difference due to forex adjustment </t>
        </r>
      </text>
    </comment>
    <comment ref="J491" authorId="1" shapeId="0" xr:uid="{D0E541C0-C583-422D-9E0C-9FF79C0C70C1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D543" authorId="2" shapeId="0" xr:uid="{59D43B12-01C1-4086-82EC-7FD53CD1E4DB}">
      <text>
        <r>
          <rPr>
            <b/>
            <sz val="9"/>
            <color indexed="81"/>
            <rFont val="Tahoma"/>
            <family val="2"/>
          </rPr>
          <t xml:space="preserve">Difference due to forex adjustment </t>
        </r>
      </text>
    </comment>
    <comment ref="J569" authorId="1" shapeId="0" xr:uid="{CC143A9A-EC71-41EF-8FF4-77E740D2F1DD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D620" authorId="2" shapeId="0" xr:uid="{DE70DFF5-D6E4-4322-A654-A0CB77059B24}">
      <text>
        <r>
          <rPr>
            <b/>
            <sz val="9"/>
            <color indexed="81"/>
            <rFont val="Tahoma"/>
            <family val="2"/>
          </rPr>
          <t xml:space="preserve">Difference due to forex adjustment </t>
        </r>
      </text>
    </comment>
    <comment ref="J646" authorId="1" shapeId="0" xr:uid="{E22AD006-0DB0-4627-9F87-B34A50AEC6C8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D697" authorId="2" shapeId="0" xr:uid="{CCB12FA2-75FD-49A4-908E-39E125A009B1}">
      <text>
        <r>
          <rPr>
            <b/>
            <sz val="9"/>
            <color indexed="81"/>
            <rFont val="Tahoma"/>
            <family val="2"/>
          </rPr>
          <t xml:space="preserve">Difference due to forex adjustment </t>
        </r>
      </text>
    </comment>
    <comment ref="J723" authorId="1" shapeId="0" xr:uid="{65D62FEE-ADED-4316-8CC5-7B682A6C43AF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D772" authorId="2" shapeId="0" xr:uid="{9A56CDAF-1EED-42F7-9EFB-A62FA7FCF25C}">
      <text>
        <r>
          <rPr>
            <b/>
            <sz val="9"/>
            <color indexed="81"/>
            <rFont val="Tahoma"/>
            <family val="2"/>
          </rPr>
          <t xml:space="preserve">Difference due to forex adjustment </t>
        </r>
      </text>
    </comment>
    <comment ref="J795" authorId="1" shapeId="0" xr:uid="{FEAC470B-54D1-4909-BC8E-6D0F5CDF6AB3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not reported</t>
        </r>
      </text>
    </comment>
    <comment ref="D839" authorId="2" shapeId="0" xr:uid="{F88B3A8C-4176-40EE-9E78-E58602391201}">
      <text>
        <r>
          <rPr>
            <b/>
            <sz val="9"/>
            <color indexed="81"/>
            <rFont val="Tahoma"/>
            <family val="2"/>
          </rPr>
          <t xml:space="preserve">Difference due to forex adjustment </t>
        </r>
      </text>
    </comment>
    <comment ref="D907" authorId="2" shapeId="0" xr:uid="{477FC4C8-4A0A-4FFC-9B4A-36BDB6698FC5}">
      <text>
        <r>
          <rPr>
            <b/>
            <sz val="9"/>
            <color indexed="81"/>
            <rFont val="Tahoma"/>
            <family val="2"/>
          </rPr>
          <t xml:space="preserve">Difference due to forex adjustment </t>
        </r>
      </text>
    </comment>
    <comment ref="D976" authorId="2" shapeId="0" xr:uid="{D7539587-B7F1-4BE0-BB58-CD8F45E54CA2}">
      <text>
        <r>
          <rPr>
            <b/>
            <sz val="9"/>
            <color indexed="81"/>
            <rFont val="Tahoma"/>
            <family val="2"/>
          </rPr>
          <t xml:space="preserve">Difference due to forex adjusted </t>
        </r>
      </text>
    </comment>
    <comment ref="D1469" authorId="3" shapeId="0" xr:uid="{00000000-0006-0000-0100-00000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Repaid the credit facility availed on April 2020</t>
        </r>
      </text>
    </comment>
    <comment ref="D1542" authorId="3" shapeId="0" xr:uid="{00000000-0006-0000-0100-00000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Repaid the credit facility availed on April 2020</t>
        </r>
      </text>
    </comment>
    <comment ref="D1614" authorId="3" shapeId="0" xr:uid="{00000000-0006-0000-0100-00000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Repaid the credit facility availed on April 2020</t>
        </r>
      </text>
    </comment>
    <comment ref="D1678" authorId="4" shapeId="0" xr:uid="{00000000-0006-0000-0100-000004000000}">
      <text>
        <r>
          <rPr>
            <sz val="9"/>
            <color indexed="81"/>
            <rFont val="Tahoma"/>
            <family val="2"/>
          </rPr>
          <t>On April 7, 2020, Fibra UNO disposed 50% of its revolving credit line linked to sustainability, equivalent to $6,750,000 plus USD $ 205 million, to keep it available in cash with the sole purpose of strengthening the position of the Entity's liquidity during the current health contingency.</t>
        </r>
      </text>
    </comment>
    <comment ref="D1743" authorId="4" shapeId="0" xr:uid="{00000000-0006-0000-0100-000005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On April 7, 2020, Fibra UNO disposed 50% of its revolving credit line linked to sustainability, equivalent to $6,750,000 plus USD $ 205 million, to keep it available in cash with the sole purpose of strengthening the position of the Entity's liquidity during the current health contingency.</t>
        </r>
      </text>
    </comment>
    <comment ref="D1807" authorId="4" shapeId="0" xr:uid="{00000000-0006-0000-0100-000006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On April 7, 2020, Fibra UNO disposed 50% of its revolving credit line linked to sustainability, equivalent to $6,750,000 plus USD $ 205 million, to keep it available in cash with the sole purpose of strengthening the position of the Entity's liquidity during the current health contingency.</t>
        </r>
      </text>
    </comment>
    <comment ref="C1989" authorId="5" shapeId="0" xr:uid="{00000000-0006-0000-0100-00000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2Q19 PPT not available yet</t>
        </r>
      </text>
    </comment>
    <comment ref="C2050" authorId="5" shapeId="0" xr:uid="{00000000-0006-0000-0100-00000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taken from PPT</t>
        </r>
      </text>
    </comment>
    <comment ref="D2058" authorId="5" shapeId="0" xr:uid="{00000000-0006-0000-0100-00000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Roundoff error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Crisil GR&amp;A</author>
    <author>Rishabh Saraf</author>
    <author>Rangaswamy BV</author>
  </authors>
  <commentList>
    <comment ref="B75" authorId="0" shapeId="0" xr:uid="{734FAD50-F8A9-460C-AEC0-A8954F8E954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Reported by company, includes:
* Lease receivables
* Other accounts receivable
* Accounts receivable – related parties
* Recoverable taxes, manily VAT
* Prepaid expenses and other assets
* Trade accounts payable and accrued expenses
* Rents collected in advance
* Lease rights
* Deposits from tenants
* Due from related parties</t>
        </r>
      </text>
    </comment>
    <comment ref="B79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Investment in development projects and expenses related to acquisitions-Sale of investment properties</t>
        </r>
      </text>
    </comment>
    <comment ref="AB80" authorId="2" shapeId="0" xr:uid="{00000000-0006-0000-0200-000002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Seriousness' deposits for the acquisition of investment properties</t>
        </r>
      </text>
    </comment>
    <comment ref="AC80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Includes </t>
        </r>
        <r>
          <rPr>
            <sz val="9"/>
            <color indexed="81"/>
            <rFont val="Tahoma"/>
            <family val="2"/>
          </rPr>
          <t>Seriousness' deposits for the acquisition of investment properties</t>
        </r>
      </text>
    </comment>
    <comment ref="AW82" authorId="0" shapeId="0" xr:uid="{EF81ECC2-D4A9-438C-B3BA-B26636EF68F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Helios Consideration</t>
        </r>
      </text>
    </comment>
    <comment ref="AX82" authorId="0" shapeId="0" xr:uid="{5903F895-CDF6-46CE-B0DC-D2083A52532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Helios Consideration</t>
        </r>
      </text>
    </comment>
    <comment ref="E84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Investments in securities+Guarantee deposits recived due to the sale of investment properties</t>
        </r>
      </text>
    </comment>
    <comment ref="M84" authorId="0" shapeId="0" xr:uid="{BEF044C8-3F4E-4CE9-8E3B-9789188895E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Insurance recovery: 530.225
* Cost of loans capitalized on investment properties: (648.239)
* Investments in associates: (9.488)
* Helios Consideration: (5,000.000)</t>
        </r>
      </text>
    </comment>
    <comment ref="X84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Fiduciary rights acquisition</t>
        </r>
      </text>
    </comment>
    <comment ref="Y84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Fiduciary rights acquisition</t>
        </r>
      </text>
    </comment>
    <comment ref="Z84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Fiduciary rights acquisition</t>
        </r>
      </text>
    </comment>
    <comment ref="AD84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Fiduciary rights acquisition, Interest expenses capitalized in Investment properties</t>
        </r>
      </text>
    </comment>
    <comment ref="AH8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Fiduciary rights acquisition, Interest expenses capitalized in Investment properties</t>
        </r>
      </text>
    </comment>
    <comment ref="AL84" authorId="1" shapeId="0" xr:uid="{9BF4812C-A3BF-4180-8292-A2D3AB0DD0C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Fiduciary rights acquisition, Interest expenses capitalized in Investment properties</t>
        </r>
      </text>
    </comment>
    <comment ref="AP84" authorId="1" shapeId="0" xr:uid="{223F076B-FD7A-40A3-8A0C-44D069F93DA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Fiduciary rights acquisition, Interest expenses capitalized in Investment properties</t>
        </r>
      </text>
    </comment>
    <comment ref="AX84" authorId="0" shapeId="0" xr:uid="{077E692E-D938-4A39-9730-B0F168DA2A0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Includes:
* Insurance recovery: 274.857
* Acquisition of Investments in Financial Instruments from LP: (300.000)
* Cost of loans capitalized on investment properties: (536.845)
* Investments in associates: (9.487)
*</t>
        </r>
      </text>
    </comment>
    <comment ref="AZ84" authorId="0" shapeId="0" xr:uid="{CE0ED5F5-FAAC-46B2-A25E-430B3CEC5C0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Insurance recovery: 1.101
* Sale of financial assets of properties: 352.0
* Cost of loans capitalized on investment properties: (56.791)
* Investments in associates: (7.365)</t>
        </r>
      </text>
    </comment>
    <comment ref="M89" authorId="0" shapeId="0" xr:uid="{A3C4BA8F-3F85-406C-8A2A-516C7634CA9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Derivative financial instruments: (957.684)
* Issuance costs: (1,086.958)</t>
        </r>
      </text>
    </comment>
    <comment ref="AC89" authorId="3" shapeId="0" xr:uid="{00000000-0006-0000-0200-00000A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 xml:space="preserve">Derivative financial instruments
</t>
        </r>
      </text>
    </comment>
    <comment ref="AD89" authorId="3" shapeId="0" xr:uid="{00000000-0006-0000-0200-00000B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 xml:space="preserve">Derivative financial instruments
</t>
        </r>
      </text>
    </comment>
    <comment ref="AH89" authorId="3" shapeId="0" xr:uid="{00000000-0006-0000-0200-00000C000000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 xml:space="preserve">Derivative financial instruments
</t>
        </r>
      </text>
    </comment>
    <comment ref="AL89" authorId="3" shapeId="0" xr:uid="{E31032E8-12EC-4BB0-9C88-4035E189AD49}">
      <text>
        <r>
          <rPr>
            <b/>
            <sz val="9"/>
            <color indexed="81"/>
            <rFont val="Tahoma"/>
            <family val="2"/>
          </rPr>
          <t xml:space="preserve">CRISIL GR&amp;A:
</t>
        </r>
        <r>
          <rPr>
            <sz val="9"/>
            <color indexed="81"/>
            <rFont val="Tahoma"/>
            <family val="2"/>
          </rPr>
          <t xml:space="preserve">Derivative financial instruments
</t>
        </r>
      </text>
    </comment>
    <comment ref="AX89" authorId="0" shapeId="0" xr:uid="{BC517B3F-7465-4693-BEBA-9D12BF8A682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Includes:
* Derivative financial instruments: (668.261)
</t>
        </r>
      </text>
    </comment>
    <comment ref="AZ89" authorId="0" shapeId="0" xr:uid="{899F8FD1-601B-4437-8318-0A7139BD860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Derivative financial instruments: (37.482)
* Restricted deposit: (4.089)</t>
        </r>
      </text>
    </comment>
    <comment ref="I92" authorId="1" shapeId="0" xr:uid="{6F959BE4-0BA3-4C01-AD64-7CA78948762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J92" authorId="1" shapeId="0" xr:uid="{65080BAF-E8AC-4E4D-86F7-DE92EBCE1ED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K92" authorId="1" shapeId="0" xr:uid="{12D4E09E-8438-40CC-9DFD-CB561946139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L92" authorId="1" shapeId="0" xr:uid="{2F2C9C53-84A3-4843-84EA-9873F1609D1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Higher balancing figure is due to exclusion of CFO line items other than working capital and cash interest paid</t>
        </r>
      </text>
    </comment>
    <comment ref="M92" authorId="1" shapeId="0" xr:uid="{4EA6082B-CE51-418C-B96F-2D5D67482A7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Higher balancing figure is due to exclusion of CFO line items other than working capital and cash interest paid</t>
        </r>
      </text>
    </comment>
    <comment ref="AK92" authorId="1" shapeId="0" xr:uid="{65D6E0CD-6360-4C0D-9BE9-CFA189E8454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L92" authorId="1" shapeId="0" xr:uid="{E54A39A0-DFA7-4D0C-AD7D-B200851F540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N92" authorId="1" shapeId="0" xr:uid="{D7261E65-15AB-4831-B2A2-6BA304917E6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O92" authorId="1" shapeId="0" xr:uid="{E06D9F35-A1F7-4F6F-8ACE-983519C4E15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P92" authorId="1" shapeId="0" xr:uid="{6874DAD1-0C80-47E3-84E8-E974237AD6D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R92" authorId="1" shapeId="0" xr:uid="{DF56817B-37E2-474F-AE77-E7FCC43B788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S92" authorId="1" shapeId="0" xr:uid="{E93988A3-3261-4861-A790-792AD262526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T92" authorId="1" shapeId="0" xr:uid="{187D7457-9B35-4BB5-AD44-8E30C95F045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V92" authorId="1" shapeId="0" xr:uid="{803FD25E-527C-40A7-B8E2-45B62F8D901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W92" authorId="1" shapeId="0" xr:uid="{7AEF8B9E-02CA-433E-A081-90C92DC9DB8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X92" authorId="1" shapeId="0" xr:uid="{3964EB1D-9754-41CE-825A-2AFEE6E49B6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Balance figure is due to exclusion of CFO line items other than working capital and cash interest paid</t>
        </r>
      </text>
    </comment>
    <comment ref="AZ92" authorId="1" shapeId="0" xr:uid="{038404BB-A274-4333-B4D4-BAC39D94A66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It is due to use of EBITDA instead of net income to calculate CFO and other adjustments apart from working capital, majorly:
* Unrealized exchange effects: 1,211.396
* Amortizations and provisions for expenses: 826.754
* Executive Bonus: 124.076
* Effect of valuation on derivative financial instruments: (177.750)</t>
        </r>
      </text>
    </comment>
    <comment ref="B110" authorId="0" shapeId="0" xr:uid="{A8CD3889-BD6D-4E3E-82AA-7131F15A438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Investment properties</t>
        </r>
      </text>
    </comment>
    <comment ref="B113" authorId="0" shapeId="0" xr:uid="{E4130F0F-6022-4A06-8EF4-E106FB7B6F0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Account receivable from sale of Investment properties
* Other accounts receivable</t>
        </r>
      </text>
    </comment>
    <comment ref="B114" authorId="1" shapeId="0" xr:uid="{00000000-0006-0000-0200-00000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Accounts payable and accrued expenses+Accounts payable due to acquisition of Investment Properties</t>
        </r>
      </text>
    </comment>
    <comment ref="X114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Accounts payable and accrued expenses and Accounts payable due to acquisition of Investment Properties</t>
        </r>
      </text>
    </comment>
    <comment ref="Y114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Accounts payable and accrued expenses and Accounts payable due to acquisition of Investment Properties</t>
        </r>
      </text>
    </comment>
    <comment ref="Z114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Accounts payable and accrued expenses and Accounts payable due to acquisition of Investment Properties</t>
        </r>
      </text>
    </comment>
    <comment ref="AB114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Accounts payable and accrued expenses and Accounts payable due to acquisition of Investment Properties</t>
        </r>
      </text>
    </comment>
    <comment ref="AC114" authorId="1" shapeId="0" xr:uid="{00000000-0006-0000-0200-00001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Accounts payable and accrued expenses and Accounts payable due to acquisition of Investment Properties</t>
        </r>
      </text>
    </comment>
    <comment ref="AD114" authorId="1" shapeId="0" xr:uid="{00000000-0006-0000-0200-00001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Accounts payable and accrued expenses and Accounts payable due to acquisition of Investment Properties</t>
        </r>
      </text>
    </comment>
    <comment ref="AH114" authorId="1" shapeId="0" xr:uid="{00000000-0006-0000-0200-00001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Accounts payable and accrued expenses and Accounts payable due to acquisition of Investment Properties</t>
        </r>
      </text>
    </comment>
    <comment ref="AZ202" authorId="0" shapeId="0" xr:uid="{A1D4303F-B05F-4414-AF29-4F412942196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investing.com</t>
        </r>
      </text>
    </comment>
    <comment ref="B203" authorId="1" shapeId="0" xr:uid="{00000000-0006-0000-0200-00001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Taken from company's financial report</t>
        </r>
      </text>
    </comment>
    <comment ref="AZ203" authorId="0" shapeId="0" xr:uid="{E979CE4D-89BB-4C6C-91C2-7009D3B99E7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10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Owned by Strauss family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Crisil GR&amp;A</author>
    <author>Ameya Dattatraya Gangal</author>
    <author>Nayeem Shakir</author>
    <author>CRISIL GR&amp;A</author>
  </authors>
  <commentList>
    <comment ref="AV10" authorId="0" shapeId="0" xr:uid="{4914C5A6-B380-450F-9A28-3DEC11952CD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supplement ppt</t>
        </r>
      </text>
    </comment>
    <comment ref="AW10" authorId="0" shapeId="0" xr:uid="{91E2C35D-4B4D-4382-BC06-18DD8FF96DD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supplement ppt</t>
        </r>
      </text>
    </comment>
    <comment ref="AX10" authorId="0" shapeId="0" xr:uid="{15C3A724-3446-4EE8-9ABD-1CB22856B9B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supplement ppt</t>
        </r>
      </text>
    </comment>
    <comment ref="AY10" authorId="0" shapeId="0" xr:uid="{17105A4A-1DC9-4FCB-9182-59715404AA3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supplement ppt</t>
        </r>
      </text>
    </comment>
    <comment ref="AZ10" authorId="0" shapeId="0" xr:uid="{C5AB8C03-D806-481D-8CAE-AE09155635E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supplement ppt</t>
        </r>
      </text>
    </comment>
    <comment ref="AI30" authorId="1" shapeId="0" xr:uid="{00000000-0006-0000-0400-00000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J30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K30" authorId="1" shapeId="0" xr:uid="{1DF1881D-3CF9-4217-98DE-402FEF51590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M30" authorId="1" shapeId="0" xr:uid="{7D99DC8A-9682-4F21-9A7F-A12D0B15FC7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N30" authorId="1" shapeId="0" xr:uid="{B89C3A3E-EBC5-4FF6-8C16-BCA53C2289B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P30" authorId="1" shapeId="0" xr:uid="{33DECED6-03FE-4A84-B950-B75C9D11310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R30" authorId="1" shapeId="0" xr:uid="{62949138-D3EF-4C41-A136-522CECC5DEC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S30" authorId="1" shapeId="0" xr:uid="{5BF19202-B0E8-46CB-A33B-F4ED6D0FE90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T30" authorId="1" shapeId="0" xr:uid="{0E6DC8EF-04D3-48F9-A850-12E936EDF09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U30" authorId="1" shapeId="0" xr:uid="{57DF959F-A46B-451B-BED3-36E2E9BC7DB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V30" authorId="1" shapeId="0" xr:uid="{D9305DF9-919F-4032-815C-691D55B32AB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W30" authorId="1" shapeId="0" xr:uid="{4EBC248A-A8E9-4BE8-AE04-455FA980C38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X30" authorId="1" shapeId="0" xr:uid="{311AF4AC-B2FF-4CBA-BF25-BD468E74425D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Y30" authorId="1" shapeId="0" xr:uid="{C31599AB-79CB-4DC8-A42C-0A06E3A0364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Z30" authorId="1" shapeId="0" xr:uid="{7DC801D0-C50C-41DB-A9C2-986D4D6EE33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I34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J3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K34" authorId="1" shapeId="0" xr:uid="{74D24F95-F515-4AEC-9B70-DD1A49DAA9F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M34" authorId="1" shapeId="0" xr:uid="{92361F8D-C3C5-46B0-8EFE-F6A3537A0C4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N34" authorId="1" shapeId="0" xr:uid="{BCFAC563-8645-4F1D-B979-51CEAE137F5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R34" authorId="1" shapeId="0" xr:uid="{5CBA45F3-B559-4196-8835-32410A1C0D1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S34" authorId="1" shapeId="0" xr:uid="{B0474055-DDE4-4881-9F5A-1BB991C92BC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V34" authorId="1" shapeId="0" xr:uid="{6B3E8CBA-EF2F-484C-90BF-D101C57A058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W34" authorId="1" shapeId="0" xr:uid="{5F189EC3-7633-4A23-A236-9BB4725D426E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I3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J35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K35" authorId="1" shapeId="0" xr:uid="{4723350B-8ACC-4E96-AE3B-A6F209B4808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M35" authorId="1" shapeId="0" xr:uid="{1D6CCC54-4058-467D-86E7-7A1B290A1FD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N35" authorId="1" shapeId="0" xr:uid="{4D8CA406-E5F8-4889-9F86-98B06D18390D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R35" authorId="1" shapeId="0" xr:uid="{311E4A33-2E61-48FD-9828-84B948224E4D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S35" authorId="1" shapeId="0" xr:uid="{C690AE74-CF73-4099-881B-572B55E945D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V35" authorId="1" shapeId="0" xr:uid="{6EC7C3C4-6271-47A8-89ED-63A5D653442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W35" authorId="1" shapeId="0" xr:uid="{C80F6F09-FD2C-41F9-96C6-4FC6D230DD1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I4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J4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K40" authorId="1" shapeId="0" xr:uid="{0667D7F5-3090-4E1E-90AD-A6C204C1A54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M40" authorId="1" shapeId="0" xr:uid="{5248CAF6-A29E-4669-A5C9-65C0AB00D89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N40" authorId="1" shapeId="0" xr:uid="{BA1846E2-9952-4671-8F00-18040934843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P40" authorId="1" shapeId="0" xr:uid="{5A75BD96-EF56-4FC0-94F9-0809A7CF3C1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R40" authorId="1" shapeId="0" xr:uid="{6C559E8B-565B-4692-8134-F326C87A5AA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S40" authorId="1" shapeId="0" xr:uid="{67937068-F017-4DFC-BF77-690843F20D4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T40" authorId="1" shapeId="0" xr:uid="{D71BD07A-0CE5-433F-84AF-01919C0CD9F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U40" authorId="1" shapeId="0" xr:uid="{C800798A-15F7-40C5-8FEF-209E6D555C6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V40" authorId="1" shapeId="0" xr:uid="{CCA8B9E6-C53C-420D-BBAA-5E010CE17A1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W40" authorId="1" shapeId="0" xr:uid="{C742258C-377D-4EF4-A3BA-1EF11928728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X40" authorId="1" shapeId="0" xr:uid="{5305648F-720A-49FF-BDAE-9E40219513A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Y40" authorId="1" shapeId="0" xr:uid="{264D318F-5439-4F88-8F14-050A9C9730A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Z40" authorId="1" shapeId="0" xr:uid="{50FB567F-6A7B-4DFC-BEAA-648D3433C11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I4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J46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K46" authorId="1" shapeId="0" xr:uid="{5436E26F-40FC-4AE1-8217-2B2C284C3AF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M46" authorId="1" shapeId="0" xr:uid="{0AD4525A-8D0C-4CF0-8ED0-96A04536CF4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N46" authorId="1" shapeId="0" xr:uid="{34697D5A-144B-42FB-85A0-285479DFB8F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P46" authorId="1" shapeId="0" xr:uid="{0D0A8C0C-04A2-4E27-B678-3C87BC4107BD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R46" authorId="1" shapeId="0" xr:uid="{BBA4F1DC-1616-477F-911E-9B100014E29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S46" authorId="1" shapeId="0" xr:uid="{7CB302BD-77CF-4FDE-84A4-7A6A77A4361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T46" authorId="1" shapeId="0" xr:uid="{76B86D3A-23FA-49CA-92F3-E77E3C9B630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U46" authorId="1" shapeId="0" xr:uid="{40777230-F0DF-4F97-8035-29DCFD3B628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V46" authorId="1" shapeId="0" xr:uid="{744A41DC-4020-4A46-8BAA-58BAE186842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W46" authorId="1" shapeId="0" xr:uid="{E06CE3AC-377F-4C92-8E43-0D3AD7F2852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X46" authorId="1" shapeId="0" xr:uid="{E336B16B-2E79-4E93-B095-92AC61E83FC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Y46" authorId="1" shapeId="0" xr:uid="{326E4A60-E207-48E9-8B3B-4725645BAF3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Z46" authorId="1" shapeId="0" xr:uid="{7C4CDB20-9568-4E5E-98C9-B41908FB6FD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I5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J5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K52" authorId="1" shapeId="0" xr:uid="{889CDA31-FB96-45C0-9F90-7111EBE284C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M52" authorId="1" shapeId="0" xr:uid="{656E2B9E-23B1-4544-A625-0326123AF96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N52" authorId="1" shapeId="0" xr:uid="{78B61E49-B523-47F0-8522-F3B53398AA5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P52" authorId="1" shapeId="0" xr:uid="{5080FD0A-FD8F-40EB-A004-EA2F3B211AC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R52" authorId="1" shapeId="0" xr:uid="{2DD328CD-CA87-49DE-8BC4-FF86CDD08AD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S52" authorId="1" shapeId="0" xr:uid="{4006A4A8-BA9A-4751-AFDF-1F296408BC3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T52" authorId="1" shapeId="0" xr:uid="{AEF00219-15E1-471E-B1FE-4AD496E22BB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U52" authorId="1" shapeId="0" xr:uid="{ACBD83DC-9953-4E07-821C-A99147CB937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V52" authorId="1" shapeId="0" xr:uid="{7484E167-2775-4C2E-B1AC-7867D93AC7A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W52" authorId="1" shapeId="0" xr:uid="{3C3EC5B2-7DA9-4E83-A8A5-48B544A6009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X52" authorId="1" shapeId="0" xr:uid="{0EDD0B15-FB87-47D2-8765-B06FF8F7262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Y52" authorId="1" shapeId="0" xr:uid="{18BF3E83-2CFC-459E-BF8E-83DE79ACEAB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Z52" authorId="1" shapeId="0" xr:uid="{58CCE317-AB2C-4FC1-B69D-E88A78C9F75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I58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J58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K58" authorId="1" shapeId="0" xr:uid="{4BDC3BF7-0C32-4436-AA40-983DD8F01B2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M58" authorId="1" shapeId="0" xr:uid="{4CF59569-261B-4C50-8294-421B882F27A8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N58" authorId="1" shapeId="0" xr:uid="{68B60E5F-D20A-4276-841A-A82639B40169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P58" authorId="1" shapeId="0" xr:uid="{90C31912-2C64-4D37-B409-4DE1A453D7E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R58" authorId="1" shapeId="0" xr:uid="{70431577-9CF7-4F8C-BA1F-C111616184D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S58" authorId="1" shapeId="0" xr:uid="{923B488B-51EB-46A3-9BFF-9569FF026FC4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T58" authorId="1" shapeId="0" xr:uid="{A9DED02F-E1B2-46C9-A509-F077B756F89B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V58" authorId="1" shapeId="0" xr:uid="{2215F3DB-12EB-434F-8720-55A1A471C47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W58" authorId="1" shapeId="0" xr:uid="{797A30A4-0722-429F-9E57-7910F9BF186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X58" authorId="1" shapeId="0" xr:uid="{07B98844-8207-4876-A4F0-31A20BBDC80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Y58" authorId="1" shapeId="0" xr:uid="{4D3F91B9-536B-4EFB-9FBE-D493AF7627BA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Z58" authorId="1" shapeId="0" xr:uid="{DA4504BF-B4DB-4816-BCA5-23DB78D2A30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Converted sq. foot into m. sq.
</t>
        </r>
      </text>
    </comment>
    <comment ref="AW65" authorId="0" shapeId="0" xr:uid="{E4C36257-A306-424C-BA56-9E3F7A7ABE0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AX65" authorId="0" shapeId="0" xr:uid="{D1A9F118-323B-44FB-9D2B-8EE03BD8584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AY65" authorId="0" shapeId="0" xr:uid="{C884026C-72A0-4C53-B1C0-70E08A8011B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AZ65" authorId="0" shapeId="0" xr:uid="{3C344E12-DFD2-40D7-935C-9F322825D84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AW82" authorId="0" shapeId="0" xr:uid="{70017141-7DC1-4F15-8E85-2420C8085ED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AX82" authorId="0" shapeId="0" xr:uid="{B87E19A8-594B-4E9F-9E22-56D7A81C466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AY82" authorId="0" shapeId="0" xr:uid="{600AEB50-B689-49CA-9F0E-3E1F43681B2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AZ82" authorId="0" shapeId="0" xr:uid="{823B5E4C-8265-4FDF-8729-E4B595DFBCD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</t>
        </r>
      </text>
    </comment>
    <comment ref="F87" authorId="2" shapeId="0" xr:uid="{00000000-0006-0000-0400-000014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AA87" authorId="2" shapeId="0" xr:uid="{00000000-0006-0000-0400-000015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F88" authorId="2" shapeId="0" xr:uid="{00000000-0006-0000-0400-000016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AA88" authorId="2" shapeId="0" xr:uid="{00000000-0006-0000-0400-000017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AR96" authorId="3" shapeId="0" xr:uid="{B1D2FACC-182B-4BDA-B18B-FF3D3BEEB26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NOI in USD, Assumes FX of Ps.16.49 from report.</t>
        </r>
      </text>
    </comment>
    <comment ref="AT96" authorId="4" shapeId="0" xr:uid="{4C3E9621-EABA-42D7-8AEC-64119482BF7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NOI in USD, Assumes FX of Ps.19.51 from report.</t>
        </r>
      </text>
    </comment>
    <comment ref="AU96" authorId="4" shapeId="0" xr:uid="{FFCF2EEE-0CA9-4057-A82E-E3018116099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NOI in USD, Assumes FX of Ps.20.48 from report.</t>
        </r>
      </text>
    </comment>
    <comment ref="AV96" authorId="3" shapeId="0" xr:uid="{96A0B58D-2FA4-4200-9194-95B056C4B1A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NOI in USD, Assumes FX of Ps. 20.3182 from report.</t>
        </r>
      </text>
    </comment>
    <comment ref="AW96" authorId="3" shapeId="0" xr:uid="{D328FB5A-5BD3-4B9E-96E4-4C3DB2DE17B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NOI in USD, Assumes FX of Ps. 18.8928 from report.</t>
        </r>
      </text>
    </comment>
    <comment ref="AX96" authorId="4" shapeId="0" xr:uid="{70D7F06C-CFCA-4C2D-BCFD-2EDD7B62A0B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NOI in USD, Assumes FX of Ps.19.51 from report.</t>
        </r>
      </text>
    </comment>
    <comment ref="AY96" authorId="0" shapeId="0" xr:uid="{33A33E7F-5176-4298-8250-3A1A1301AC1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 (we multiplied the data with exchange rate to convert USD to pseos)</t>
        </r>
      </text>
    </comment>
    <comment ref="AZ96" authorId="0" shapeId="0" xr:uid="{FB17DD78-83B2-46D9-A143-D029BC11BAA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PPT (we multiplied the data with exchange rate to convert USD to pseos)</t>
        </r>
      </text>
    </comment>
    <comment ref="AA101" authorId="2" shapeId="0" xr:uid="{00000000-0006-0000-0400-000020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AA102" authorId="2" shapeId="0" xr:uid="{00000000-0006-0000-0400-000023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AB102" authorId="2" shapeId="0" xr:uid="{00000000-0006-0000-0400-000024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AD102" authorId="2" shapeId="0" xr:uid="{00000000-0006-0000-0400-000025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AE102" authorId="2" shapeId="0" xr:uid="{00000000-0006-0000-0400-000026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  <comment ref="AA115" authorId="2" shapeId="0" xr:uid="{00000000-0006-0000-0400-00002F000000}">
      <text>
        <r>
          <rPr>
            <sz val="9"/>
            <color indexed="81"/>
            <rFont val="Tahoma"/>
            <family val="2"/>
          </rPr>
          <t>Within retail, we removed the Neighborhood center category, which became part of the Regional center
category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Lawal, Omotunde</author>
  </authors>
  <commentList>
    <comment ref="D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Reports in USD</t>
        </r>
      </text>
    </comment>
    <comment ref="R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Its hotels are not high end</t>
        </r>
      </text>
    </comment>
    <comment ref="E4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BBB+ Babson rating</t>
        </r>
      </text>
    </comment>
    <comment ref="R7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Its hotels are not high end</t>
        </r>
      </text>
    </comment>
    <comment ref="C8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HKD5098 from HK, HKD270 from PRC, HKD18 from US/UK</t>
        </r>
      </text>
    </comment>
    <comment ref="D8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approx 84% HK, Singapore, Jakarta, Hanoi, Bangkok. Largest Grade A office landlord in Central</t>
        </r>
      </text>
    </comment>
    <comment ref="E8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HKD983 in HK, HKD786 in PRC</t>
        </r>
      </text>
    </comment>
    <comment ref="J8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24% office</t>
        </r>
      </text>
    </comment>
    <comment ref="L8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C9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HKD 2614 from HK, HKD1347 from PRC</t>
        </r>
      </text>
    </comment>
    <comment ref="D9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HK, Singapore, Jakarta, Hanoi, Bangkok</t>
        </r>
      </text>
    </comment>
    <comment ref="E9" authorId="0" shapeId="0" xr:uid="{00000000-0006-0000-0A00-00000C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HKD1726 in HK, HKD2696 in PRC</t>
        </r>
      </text>
    </comment>
    <comment ref="J9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59% retail</t>
        </r>
      </text>
    </comment>
    <comment ref="K9" authorId="0" shapeId="0" xr:uid="{00000000-0006-0000-0A00-00000E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L9" authorId="0" shapeId="0" xr:uid="{00000000-0006-0000-0A00-00000F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E10" authorId="0" shapeId="0" xr:uid="{00000000-0006-0000-0A00-000010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HKD403 from HK, HKD 44 from PRC</t>
        </r>
      </text>
    </comment>
    <comment ref="G10" authorId="0" shapeId="0" xr:uid="{00000000-0006-0000-0A00-000011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approx 59% HK, 41% PRC based on land bank split</t>
        </r>
      </text>
    </comment>
    <comment ref="H10" authorId="0" shapeId="0" xr:uid="{00000000-0006-0000-0A00-000012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own/manage 13 hotels</t>
        </r>
      </text>
    </comment>
    <comment ref="J10" authorId="0" shapeId="0" xr:uid="{00000000-0006-0000-0A00-000013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Residential, Industrial, Car park</t>
        </r>
      </text>
    </comment>
    <comment ref="L10" authorId="0" shapeId="0" xr:uid="{00000000-0006-0000-0A00-000014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All PRC revenue</t>
        </r>
      </text>
    </comment>
    <comment ref="C11" authorId="0" shapeId="0" xr:uid="{00000000-0006-0000-0A00-000015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Some presence in US and UK (hotels mostly)</t>
        </r>
      </text>
    </comment>
    <comment ref="E11" authorId="0" shapeId="0" xr:uid="{00000000-0006-0000-0A00-000016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rental income is split HKD 3100 (47%) Hk and HKD3526 (53%) China</t>
        </r>
      </text>
    </comment>
    <comment ref="C13" authorId="0" shapeId="0" xr:uid="{00000000-0006-0000-0A00-000017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All HK</t>
        </r>
      </text>
    </comment>
    <comment ref="D13" authorId="0" shapeId="0" xr:uid="{00000000-0006-0000-0A00-000018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Mostly Singapore sales. USD451m of recognised PRC revenue</t>
        </r>
      </text>
    </comment>
    <comment ref="E13" authorId="0" shapeId="0" xr:uid="{00000000-0006-0000-0A00-000019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All HK</t>
        </r>
      </text>
    </comment>
    <comment ref="G13" authorId="0" shapeId="0" xr:uid="{00000000-0006-0000-0A00-00001A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Approx 54% HK, 46% PRC split</t>
        </r>
      </text>
    </comment>
    <comment ref="H13" authorId="0" shapeId="0" xr:uid="{00000000-0006-0000-0A00-00001B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Mostly China devt. 39 projects on sale in China with 77% sell thru rate</t>
        </r>
      </text>
    </comment>
    <comment ref="K13" authorId="0" shapeId="0" xr:uid="{00000000-0006-0000-0A00-00001C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Estimated that the incoem from JCEs is all devt income</t>
        </r>
      </text>
    </comment>
    <comment ref="G14" authorId="0" shapeId="0" xr:uid="{00000000-0006-0000-0A00-00001D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Telecom, infrastructure, Logistics</t>
        </r>
      </text>
    </comment>
    <comment ref="H14" authorId="0" shapeId="0" xr:uid="{00000000-0006-0000-0A00-00001E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Wharf T&amp;T, I-cable</t>
        </r>
      </text>
    </comment>
    <comment ref="K14" authorId="0" shapeId="0" xr:uid="{00000000-0006-0000-0A00-00001F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Hutchinson Whampoa</t>
        </r>
      </text>
    </comment>
    <comment ref="H15" authorId="0" shapeId="0" xr:uid="{00000000-0006-0000-0A00-000020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Excludes Greentown attributable share</t>
        </r>
      </text>
    </comment>
    <comment ref="J15" authorId="0" shapeId="0" xr:uid="{00000000-0006-0000-0A00-000021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Also has Singapore exposure; Fullerton hotel chain</t>
        </r>
      </text>
    </comment>
    <comment ref="E17" authorId="0" shapeId="0" xr:uid="{00000000-0006-0000-0A00-000022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53% China, 47% HK
HK IP: Retail occupancy rate of 98%, 74% Residential occupancy, 96% office occupancy
China IP: Retail occupancy rate of 93%, Office 95%</t>
        </r>
      </text>
    </comment>
    <comment ref="J17" authorId="0" shapeId="0" xr:uid="{00000000-0006-0000-0A00-000023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Closer to 57%, as in previous last 2 years, majority revenue has been from property development. Majority of land bank is for residential use</t>
        </r>
      </text>
    </comment>
    <comment ref="E18" authorId="0" shapeId="0" xr:uid="{00000000-0006-0000-0A00-000024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Residential in HK mostly </t>
        </r>
      </text>
    </comment>
    <comment ref="J18" authorId="0" shapeId="0" xr:uid="{00000000-0006-0000-0A00-000025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Closer to 43%. And will increase in the future as developmenet projects gets launched</t>
        </r>
      </text>
    </comment>
    <comment ref="G19" authorId="0" shapeId="0" xr:uid="{00000000-0006-0000-0A00-000026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Telecom, infrastructure, Logistics</t>
        </r>
      </text>
    </comment>
    <comment ref="D21" authorId="0" shapeId="0" xr:uid="{00000000-0006-0000-0A00-000027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Owns key buildings in Central HK</t>
        </r>
      </text>
    </comment>
    <comment ref="J21" authorId="0" shapeId="0" xr:uid="{00000000-0006-0000-0A00-000028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Retail rental portfolio occupancy rate of 98%, office portfolio occupancy rate of 95%</t>
        </r>
      </text>
    </comment>
    <comment ref="L21" authorId="0" shapeId="0" xr:uid="{00000000-0006-0000-0A00-000029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This % is expected to increase from 2015/2016 when some properties are completed</t>
        </r>
      </text>
    </comment>
    <comment ref="L22" authorId="0" shapeId="0" xr:uid="{00000000-0006-0000-0A00-00002A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This % is expected to increase from 2015/2016 when some properties are completed</t>
        </r>
      </text>
    </comment>
    <comment ref="C24" authorId="0" shapeId="0" xr:uid="{00000000-0006-0000-0A00-00002B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HKD1623. In Mainland China, Swire Properties has interests in five major commercial mixed-use developments
in prime locations in Beijing, Shanghai, Guangzhou and Chengdu</t>
        </r>
      </text>
    </comment>
    <comment ref="D24" authorId="0" shapeId="0" xr:uid="{00000000-0006-0000-0A00-00002C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Not disclosed, but USD451m of recognised revenue. 8 residential projects in China</t>
        </r>
      </text>
    </comment>
    <comment ref="E24" authorId="0" shapeId="0" xr:uid="{00000000-0006-0000-0A00-00002D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Commercial IP: '66 brand in China. mostly in Shanghai, but under devt projects mostly in teir 2 cities and lower</t>
        </r>
      </text>
    </comment>
    <comment ref="H24" authorId="0" shapeId="0" xr:uid="{00000000-0006-0000-0A00-00002E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target of having 50% of its asset base in China.
Malls in China (Chengdu, Dalian, Chongqing) between 2014 - 2017, Tier 2 cities and lower
pg 130 of AR</t>
        </r>
      </text>
    </comment>
    <comment ref="J24" authorId="0" shapeId="0" xr:uid="{00000000-0006-0000-0A00-00002F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Estimate. This will increase in future as projects are launched, since majority landbank is in PRC. Landbank in Chongqing, Zhangzhou, Xiamen, Shanghai, Fuzhou, Chengdu</t>
        </r>
      </text>
    </comment>
    <comment ref="L24" authorId="0" shapeId="0" xr:uid="{00000000-0006-0000-0A00-000030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Increase in Retail IP over next 3 years in China in mostly tier 2 cities and lower</t>
        </r>
      </text>
    </comment>
    <comment ref="M24" authorId="0" shapeId="0" xr:uid="{00000000-0006-0000-0A00-000031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IP to increase in China over the next 3 years in mostly tier 2 cities and lower</t>
        </r>
      </text>
    </comment>
    <comment ref="E37" authorId="0" shapeId="0" xr:uid="{00000000-0006-0000-0A00-000032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$3bn MTN programme</t>
        </r>
      </text>
    </comment>
    <comment ref="B38" authorId="0" shapeId="0" xr:uid="{00000000-0006-0000-0A00-000033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includes time deposits with maturity greater than 3 months</t>
        </r>
      </text>
    </comment>
    <comment ref="C38" authorId="0" shapeId="0" xr:uid="{00000000-0006-0000-0A00-000034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SWIPRO has turned more active in acquisitions in Hong Kong and in the US, acquiring a number of sites/projects in the past 12-15 months; total capital commitments for investment properties and hotels were boosted to HK$29.5bn as of end-2013 (end-2012: HK$15.9bn). The HK$29.5bn capex will be spread across the next 4-6 years, with around HK$8.5bn, HK$5.5bn and
HK$3.7bn forecast to be spent in 2014/2015/2016</t>
        </r>
      </text>
    </comment>
    <comment ref="G38" authorId="0" shapeId="0" xr:uid="{00000000-0006-0000-0A00-000035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excludes restricted cash</t>
        </r>
      </text>
    </comment>
    <comment ref="C45" authorId="0" shapeId="0" xr:uid="{00000000-0006-0000-0A00-000036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Subsequent to 31st December 2013, the Group arranged a
new three-year RMB2,440 million term loan facility in
February 2014 and three new five-year term and revolving
loan facilities totalling HK$2,250 million in March 2014.
The RMB facility was arranged to refinance an expiring
RMB2,700 million facility</t>
        </r>
      </text>
    </comment>
    <comment ref="E54" authorId="0" shapeId="0" xr:uid="{00000000-0006-0000-0A00-000037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Net gearing expected to increase to ~20% due to capex spend of HKD7bn p.a in China over next few years to 2018</t>
        </r>
      </text>
    </comment>
    <comment ref="E58" authorId="0" shapeId="0" xr:uid="{00000000-0006-0000-0A00-000038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Includes USD2bn worth of unsold residential property in HK which company is saving</t>
        </r>
      </text>
    </comment>
    <comment ref="N61" authorId="0" shapeId="0" xr:uid="{00000000-0006-0000-0A00-000039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Small land bank, diversified biz such as aviation, marine introduces additional risk</t>
        </r>
      </text>
    </comment>
    <comment ref="P61" authorId="0" shapeId="0" xr:uid="{00000000-0006-0000-0A00-00003A000000}">
      <text>
        <r>
          <rPr>
            <b/>
            <sz val="9"/>
            <color indexed="81"/>
            <rFont val="Tahoma"/>
            <family val="2"/>
          </rPr>
          <t>Lawal, Omotunde:</t>
        </r>
        <r>
          <rPr>
            <sz val="9"/>
            <color indexed="81"/>
            <rFont val="Tahoma"/>
            <family val="2"/>
          </rPr>
          <t xml:space="preserve">
Pure office landlord, with asset concentration on just 2 properties. REIT structure also provides limited room for credit improvement</t>
        </r>
      </text>
    </comment>
  </commentList>
</comments>
</file>

<file path=xl/sharedStrings.xml><?xml version="1.0" encoding="utf-8"?>
<sst xmlns="http://schemas.openxmlformats.org/spreadsheetml/2006/main" count="3284" uniqueCount="1169">
  <si>
    <t>Revenue</t>
  </si>
  <si>
    <t>Salt product sales</t>
  </si>
  <si>
    <t>Specialty fertilizer product sales</t>
  </si>
  <si>
    <t>Others</t>
  </si>
  <si>
    <t>Total Revenue</t>
  </si>
  <si>
    <t>Revenue Growth</t>
  </si>
  <si>
    <t>Gross Profit</t>
  </si>
  <si>
    <t>SGA</t>
  </si>
  <si>
    <t>Metrics</t>
  </si>
  <si>
    <t>Revenue Growth Rate</t>
  </si>
  <si>
    <t>Sales</t>
  </si>
  <si>
    <t>Total Gross Profit</t>
  </si>
  <si>
    <t>Revenue Mix</t>
  </si>
  <si>
    <t>SG&amp;A as a % of revenue</t>
  </si>
  <si>
    <t>1Q26</t>
  </si>
  <si>
    <t>Exchange rate as at end</t>
  </si>
  <si>
    <t>LTM Average Exchange rate</t>
  </si>
  <si>
    <t>Amount outstanding as on 31-Mar-2026</t>
  </si>
  <si>
    <t>MXN (mn)</t>
  </si>
  <si>
    <t>USD (mn)</t>
  </si>
  <si>
    <t xml:space="preserve">Leverage </t>
  </si>
  <si>
    <t xml:space="preserve">USD Leverage </t>
  </si>
  <si>
    <t>Company Reported</t>
  </si>
  <si>
    <t>Total Debt</t>
  </si>
  <si>
    <t>FUNO</t>
  </si>
  <si>
    <t>Bond International** USD 4.87%</t>
  </si>
  <si>
    <t>Bond International USD 7.70%</t>
  </si>
  <si>
    <t>Bond International USD 7.38%</t>
  </si>
  <si>
    <t>Bond International USD 8.25%</t>
  </si>
  <si>
    <t>Bond International USD 6.95%</t>
  </si>
  <si>
    <t>Bond International** USD 6.39%</t>
  </si>
  <si>
    <t>Bond National (FUNO 23-3L) MXN TIIE + 0.95%</t>
  </si>
  <si>
    <t>Bond National (FUNO 23-2L) MXN TIIE + 0.95%</t>
  </si>
  <si>
    <t>Bond National (FUNO 17) MXN 9.20%</t>
  </si>
  <si>
    <t>Bond National (FUNO 25L) MXN TIIEF + 1.25%</t>
  </si>
  <si>
    <t>Bond National (FUNO 21X) MXN 8.98%</t>
  </si>
  <si>
    <t>Bond National (FUNO 25-2L) MXN 11.36%</t>
  </si>
  <si>
    <t>Bond National (FUNO 23L) MXN 11.30%</t>
  </si>
  <si>
    <t>nbursa - Portal Norte Trust 955 MXN TIIE + 2.85%</t>
  </si>
  <si>
    <t xml:space="preserve">BBVA - Mitikah Trust 2584 ** MXN TIIEF + 1.99% </t>
  </si>
  <si>
    <t>Unsecured Banorte I MXN TIIE + 0.83%</t>
  </si>
  <si>
    <t>Unsecured Scotiabank I MXN TIIE + 0.99%</t>
  </si>
  <si>
    <t>Unsecured Santander MXN TIIEF + 0.90%</t>
  </si>
  <si>
    <t>Unsecured Banco del Bajío MXN TIIE + 0.95%</t>
  </si>
  <si>
    <t>Unsecured Banorte II MXN TIIE + 0.83%</t>
  </si>
  <si>
    <t>Unsecured Banco del Bajío ll MXN TIIE + 0.95%</t>
  </si>
  <si>
    <t>Unsecured BBVA II MXN TIIEF + 1.17%</t>
  </si>
  <si>
    <t>Unsecured Actinver MXN TIIEF + 1.80%</t>
  </si>
  <si>
    <t>unsecured BBVA - Apolo MXN TIIEF + 1.95%</t>
  </si>
  <si>
    <t>Bond National (FUNO 16U) *UDIS 4.60%</t>
  </si>
  <si>
    <t>Bond National (FUNO 13U) *UDIS 5.09%</t>
  </si>
  <si>
    <t>NEXT:</t>
  </si>
  <si>
    <t>Bond International USD 4.87%</t>
  </si>
  <si>
    <t>Bond International USD 6.39%</t>
  </si>
  <si>
    <t>Unsecured Citi México USD SOFR + 0.80%</t>
  </si>
  <si>
    <t>Unsecured BBVA - Titán ** USD SOFR + 2.10%</t>
  </si>
  <si>
    <t>Mortgage BBVA - Atizapán II USD SOFR + 2.35%</t>
  </si>
  <si>
    <t>Mortgage Metlife - Doña Rosa MXN 11.58%</t>
  </si>
  <si>
    <t>Mortgage BBVA - Atizapán I ** MXN TIIE + 1.85%</t>
  </si>
  <si>
    <t>Mortgage Bancomext - Júpiter MXN TIIE + 1.35%</t>
  </si>
  <si>
    <t>Mortgage Banorte - Santin I MXN TIIE + 2.50%</t>
  </si>
  <si>
    <t>Mortgage Banorte - Santin II ** MXN TIIEF + 2.60%</t>
  </si>
  <si>
    <t>Unsecured BBVA I MXN TIIEF + 1.17%</t>
  </si>
  <si>
    <t>Long-term transaction costs</t>
  </si>
  <si>
    <t>Short-term transaction costs</t>
  </si>
  <si>
    <t>Debt's fair value</t>
  </si>
  <si>
    <t>Total Loans &amp; Borrows</t>
  </si>
  <si>
    <t>Cash &amp; Equivalents</t>
  </si>
  <si>
    <t xml:space="preserve">Net debt </t>
  </si>
  <si>
    <t>Equity/Net Assets</t>
  </si>
  <si>
    <t xml:space="preserve">Total Capitalisation </t>
  </si>
  <si>
    <t>LTM Adjusted EBITDA</t>
  </si>
  <si>
    <t>check</t>
  </si>
  <si>
    <t>Liquidity Table at end-1Q26</t>
  </si>
  <si>
    <t>Cash and cash equivalents</t>
  </si>
  <si>
    <t>Total Liquidity</t>
  </si>
  <si>
    <t>Debt Maturity at end-1Q26</t>
  </si>
  <si>
    <t xml:space="preserve">Total debt </t>
  </si>
  <si>
    <t>FY25</t>
  </si>
  <si>
    <t>Amount outstanding as on 31-Dec-2025</t>
  </si>
  <si>
    <t>Mortgage Inbursa - Portal Norte Trust 955 MXN TIIE + 2.85%</t>
  </si>
  <si>
    <t>Mortgage Bancomext - Samara MXN TIIEF + 1.50%</t>
  </si>
  <si>
    <t>Mortgage BBVA - Mitikah Trust 2584 ** MXN TIIEF + 1.99%</t>
  </si>
  <si>
    <t>Unsecured Santander MXN TIIE + 0.90%</t>
  </si>
  <si>
    <t>Unsecured BBVA - Apolo MXN TIIEF + 1.95%</t>
  </si>
  <si>
    <t>Liquidity Table at end-FY25</t>
  </si>
  <si>
    <t>Debt Maturity at end-FY25</t>
  </si>
  <si>
    <t>2031+</t>
  </si>
  <si>
    <t>3Q25</t>
  </si>
  <si>
    <t>Exchange rate as at end 3Q25</t>
  </si>
  <si>
    <t>Average Exchange rate of 3Q25</t>
  </si>
  <si>
    <t>Amount outstanding as on 30-Sep-2025</t>
  </si>
  <si>
    <t>Mortgage Loans:</t>
  </si>
  <si>
    <t>Metlife,Dona Rosa 11.58%   Dec-28</t>
  </si>
  <si>
    <t>Inbursa - Portal Norte Trust 955 MXN TIIE + 2.85%   Jun-30</t>
  </si>
  <si>
    <t>Bancomext - Samara TIIE + 2.85% Jul-30</t>
  </si>
  <si>
    <t>BBVA - Mitikah  Trust 2854 TIE+1.99%  Aug-30</t>
  </si>
  <si>
    <t>Bonds:</t>
  </si>
  <si>
    <t>National (FUNO 23-3L) MXN TIIE + 0.95%   Nov-26</t>
  </si>
  <si>
    <t>National (FUNO 23-2L) MXN TIIE + 0.95%   Mar-27</t>
  </si>
  <si>
    <t>National (FUNO 17) MXN 9.20%   Nov-27</t>
  </si>
  <si>
    <t>National (FUNO 25L) MXN TIIEF + 1.25%   May-28</t>
  </si>
  <si>
    <t>National (FUNO 21X) MXN 8.98%   Oct-28</t>
  </si>
  <si>
    <t>National (FUNO 25-2L) MXN 11.36%   May-32</t>
  </si>
  <si>
    <t>National (FUNO 23L) MXN 11.30%   Feb-33</t>
  </si>
  <si>
    <t>National (FUNO 16U) *UDIS 4.60%   Apr-27</t>
  </si>
  <si>
    <t>National (FUNO 13U) *UDIS 5.09%   Nov-28</t>
  </si>
  <si>
    <t>International** USD 4.87%    Jan-30</t>
  </si>
  <si>
    <t>International USD 7.70%   Jan-32</t>
  </si>
  <si>
    <t>International USD 7.38%   Feb-34</t>
  </si>
  <si>
    <t>International USD 8.25%   Jan-37</t>
  </si>
  <si>
    <t>International USD 6.95%    Jan-44</t>
  </si>
  <si>
    <t>International** USD 6.39%    Jan-50</t>
  </si>
  <si>
    <t>Unsecured Loans:</t>
  </si>
  <si>
    <t>Citi México USD SOFR + 0.80%    Nov-25</t>
  </si>
  <si>
    <t xml:space="preserve"> BBVA ** USD SOFR + 2.10%   Sep-27</t>
  </si>
  <si>
    <t>Santander II MXN TIIE + 0.98%   Oct-25</t>
  </si>
  <si>
    <t>Scotiabank II MXN TIIE + 0.99%   Oct-25</t>
  </si>
  <si>
    <t>Scotiabank I MXN TIIE + 0.99%   Oct-25</t>
  </si>
  <si>
    <t>Santander I MXN TIIE + 0.98%   Oct-25</t>
  </si>
  <si>
    <t>Santander III MXN TIIE + 0.98%    Nov-25</t>
  </si>
  <si>
    <t>Santander IV MXN TIIE + 0.98%    Nov-25</t>
  </si>
  <si>
    <t>Scotiabank III MXN TIIE + 0.99%   Nov-25</t>
  </si>
  <si>
    <t>Banorte I MXN TIIE + 0.83%   Dec-25</t>
  </si>
  <si>
    <t>Banco del Bajío MXN TIIE + 0.95%   Nov-25</t>
  </si>
  <si>
    <t>BBVA I MXN TIIE + 1.17%   Dec-25</t>
  </si>
  <si>
    <t>BBVA II MXN TIIE + 1,17%   Feb-26</t>
  </si>
  <si>
    <t>Citi México MXN TIIEF + 0.95%   Nov-25</t>
  </si>
  <si>
    <t>Actinver MXN TIIEF + 1.80%   Jun-26</t>
  </si>
  <si>
    <t>Liquidity Table at end-3Q25</t>
  </si>
  <si>
    <t>(MXN millions)</t>
  </si>
  <si>
    <t>(USD millions)</t>
  </si>
  <si>
    <t>Debt Maturity at end-3Q25</t>
  </si>
  <si>
    <t>% of debt</t>
  </si>
  <si>
    <t>2029+</t>
  </si>
  <si>
    <t>2Q25</t>
  </si>
  <si>
    <t>Exchange rate as at end 2Q25</t>
  </si>
  <si>
    <t>Average Exchange rate of 2Q25</t>
  </si>
  <si>
    <t>Amount outstanding as on 30-Jun-2025</t>
  </si>
  <si>
    <t>HSBC Samara MXN TIIE + 2.75%   Sep-26</t>
  </si>
  <si>
    <t>Sabadell Samara MXN TIIE + 2.75%   Sep-26</t>
  </si>
  <si>
    <t>Metlife, México MXN 11.58%   Dec-28</t>
  </si>
  <si>
    <t>Santander - Mitikah Trust 2584 ** MXN TIIE + 2.85%   Feb-29</t>
  </si>
  <si>
    <t>Citi México USD SOFR + 0.80%    Aug-25</t>
  </si>
  <si>
    <t>Banorte I MXN TIIE + 0.83%   Jul-25</t>
  </si>
  <si>
    <t>Santander II MXN TIIE + 0.98%   Jul-25</t>
  </si>
  <si>
    <t>Scotiabank III MXN TIIE + 0.99%   Jul-25</t>
  </si>
  <si>
    <t>Scotiabank I MXN TIIE + 0.99%   Jul-25</t>
  </si>
  <si>
    <t>Santander I MXN TIIE + 0.98%   Aug-25</t>
  </si>
  <si>
    <t>BBVA II MXN TIIE + 0.87%   Aug-25</t>
  </si>
  <si>
    <t>Santander III MXN TIIE + 0.98%    Aug-25</t>
  </si>
  <si>
    <t>Scotiabank II MXN TIIE + 0.99%   Aug-25</t>
  </si>
  <si>
    <t>Banorte II MXN TIIE + 0.83%   Aug-25</t>
  </si>
  <si>
    <t>Banco del Bajío MXN TIIE + 0.95%   Aug-25</t>
  </si>
  <si>
    <t>BBVA I MXN TIIE + 0.87%   Sep-25</t>
  </si>
  <si>
    <t>Liquidity Table at end-2Q25</t>
  </si>
  <si>
    <t>Debt Maturity at end-2Q25</t>
  </si>
  <si>
    <t>Exchange rate as at end 1Q25</t>
  </si>
  <si>
    <t>1Q25</t>
  </si>
  <si>
    <t>Average Exchange rate of 1Q25</t>
  </si>
  <si>
    <t>Amount outstanding as on 31-Mar-2025</t>
  </si>
  <si>
    <t>HSBC Samara MXN denominated TIIE+2.75% due Sept 2026</t>
  </si>
  <si>
    <t>Sabadell Samara MXN denominated TIIE+2.75% due Sept 2026</t>
  </si>
  <si>
    <t>Santander MXN Mitikah Trust 2584n @TIIE+2.85% due Feb 2029</t>
  </si>
  <si>
    <t>Metlife Mexico MXN denominated Mortagage loan @11.58% due Dec 2028</t>
  </si>
  <si>
    <t>Inbursa-Portal Norte trust 955 MXN denominated TIIE+2.85% due June  2030</t>
  </si>
  <si>
    <t>National (FUNO 15) MXN denominated bond @6.99% due Jul 2025</t>
  </si>
  <si>
    <t>National (FUNO 13U) UDIS denominated bond @5.09% due Nov 2028</t>
  </si>
  <si>
    <t>National (FUNO 16U) UDIS denominated bond @4.60% due Apr 2027</t>
  </si>
  <si>
    <t>National (FUNO 17) MXN denominated bond @9.20% due Nov 2027</t>
  </si>
  <si>
    <t>National (FUNO 21-2X) MXN denominated bond @TIIE +0.90 due Oct-25</t>
  </si>
  <si>
    <t>National (FUNO 23-2L) MXN denominated bond @TIIE +0.95 due mar-27</t>
  </si>
  <si>
    <t>National (FUNO 23L) MXN denominated bond @11.3% due Feb 2033</t>
  </si>
  <si>
    <t>National (FUNO 21X) MXN denominated bond @8.98% due Oct 2028</t>
  </si>
  <si>
    <t>National (FUNO 23-3L) MXN denominated bond @TIIE +0.95 due Nov 26</t>
  </si>
  <si>
    <t>International USD denominated bond @6.39% due Jan 2050</t>
  </si>
  <si>
    <t>International USD denominated bond @4.87% due Jan 2030</t>
  </si>
  <si>
    <t>International USD denominated bond @7.38% due Feb 2034</t>
  </si>
  <si>
    <t>International USD denominated bond @6.95% due Jan 2044</t>
  </si>
  <si>
    <t>International USD denominated bond @7.70% due Jan 2032</t>
  </si>
  <si>
    <t>International USD denominated bond @8.25% due Jan 2037</t>
  </si>
  <si>
    <t>Scotibank I MXN denominated Unsecured loan @TIIE+.99% due Apr 25</t>
  </si>
  <si>
    <t>Santander I MXN denominated Unsecured loan @TIIE+0.98% due May 25</t>
  </si>
  <si>
    <t>Santander II MXN denominated Unsecured loan @TIIE+1% due Apr 25</t>
  </si>
  <si>
    <t>Banorte I MXN denominated Unsecured loan @TIIE+0.83% due Jul 25</t>
  </si>
  <si>
    <t>Scotibank III MXN denominated Unsecured loan @TIIE+.99% due Apr 25</t>
  </si>
  <si>
    <t>Activener I MXN denominated Unsecured loan @TIIE+1.8% due June 2025</t>
  </si>
  <si>
    <t>Scotiabank II MXN denominated Unsecured loan @TIIE+0.99% due May 25</t>
  </si>
  <si>
    <t>BBVA II MXN denominated Unsecured loan @TIE+ 0.87% due Aug 2025</t>
  </si>
  <si>
    <t>BBVA I MXN denominated Unsecured loan @TIE+ 0.87% due Sep 2025</t>
  </si>
  <si>
    <t>Citibanamex I MXN denominated Unsecured loan @TIIE + 0.95% due May 25</t>
  </si>
  <si>
    <t>Actinver II MXN denominated Unsecured loan @TIIE+2.50% due Nov 2025</t>
  </si>
  <si>
    <t>Arrendadora Actinver I MXN denominated Unsecured loan @TIIE+2.50% due Nov 2025</t>
  </si>
  <si>
    <t>Banco del Bajío MXN Unsecured loan @TIIE+0.95% due Aug 2025</t>
  </si>
  <si>
    <t>BBVA USD denominated Unsecured loan @SOFR + 2.10% due Sep 2027</t>
  </si>
  <si>
    <t>Citibanamex USD denominated Unsecured loan @SOFR + 0.80% due May 25</t>
  </si>
  <si>
    <t>Transaction costs</t>
  </si>
  <si>
    <t>Liquidity Table at end-1Q25</t>
  </si>
  <si>
    <t>Undrawn RCF</t>
  </si>
  <si>
    <t>Debt Maturity at end-1Q25</t>
  </si>
  <si>
    <t>Exchange rate as at end 4Q 2024</t>
  </si>
  <si>
    <t>FY24</t>
  </si>
  <si>
    <t>Average Exchange rate of 4Q 2024</t>
  </si>
  <si>
    <t>Amount outstanding as on 31-Dec-2024</t>
  </si>
  <si>
    <t>Net Debt/EBITDA</t>
  </si>
  <si>
    <t>Santander MXN denominated Mortagage loan @TIIE+2.85% due Nov 2028</t>
  </si>
  <si>
    <t>National (FUNO 21x) MXN denominated bond @8.98% due Oct 2028</t>
  </si>
  <si>
    <t>International USD denominated bond @5.25% due Jan 2026</t>
  </si>
  <si>
    <t>Scotibank MNX denominated Unsecured loan @TIIE+.99% due Jan 25</t>
  </si>
  <si>
    <t>Santander MXN denominated Unsecured loan @TIIE+1% due Feb 25</t>
  </si>
  <si>
    <t>Santander II MXN denominated Unsecured loan @TIIE+1% due Jan 25</t>
  </si>
  <si>
    <t>Banorte MXN denominated Unsecured loan @TIIE+0.83% due Mar 25</t>
  </si>
  <si>
    <t>Scotibank III MXN denominated Unsecured loan @TIIE+.99% due Jan 25</t>
  </si>
  <si>
    <t>Activener MXN denominated Unsecured loan @TIIE+1.8% due June 2025</t>
  </si>
  <si>
    <t>Scotiabank II MXN denominated Unsecured loan @TIIE+0.99% due Feb 25</t>
  </si>
  <si>
    <t>BBVA II MXN denominated Unsecured loan @TIE+ 0.87% due Feb 2025</t>
  </si>
  <si>
    <t>BBVA MXN denominated Unsecured loan @TIE+ 0.87% due Mar 2025</t>
  </si>
  <si>
    <t>Citibanamex MXN denominated Unsecured loan @TIIE + 0.95% due May 25</t>
  </si>
  <si>
    <t>Arrendadora Actinver MXN denominated Unsecured loan @TIIE+2.50% due Nov 2025</t>
  </si>
  <si>
    <t>Banco del Bajío MXN Unsecured loan @TIIE+0.95% due Mar 2025</t>
  </si>
  <si>
    <t>Liquidity Table at end-FY24</t>
  </si>
  <si>
    <t>Debt Maturity at end-FY24</t>
  </si>
  <si>
    <t>Exchange rate as at end 3Q 2024</t>
  </si>
  <si>
    <t>3Q24</t>
  </si>
  <si>
    <t>Average Exchange rate of 3Q 2024</t>
  </si>
  <si>
    <t>Amount outstanding as on 30-Sep-2024</t>
  </si>
  <si>
    <t>Scotibank MNX denominated Unsecured loan @TIIE+.99% due Nov 24</t>
  </si>
  <si>
    <t>Santander MXN denominated Unsecured loan @TIIE+1% due Nov 24</t>
  </si>
  <si>
    <t>Santander II MXN denominated Unsecured loan @TIIE+1% due Oct 24</t>
  </si>
  <si>
    <t>Banorte MNX denominated Unsecured loan @TIIE+0.83% due Dec 24</t>
  </si>
  <si>
    <t>Banorte MNX denominated Unsecured loan @TIIE+0.83% due May 24</t>
  </si>
  <si>
    <t>Scotibank II MNX denominated Unsecured loan @TIIE+.99% due Nov 24</t>
  </si>
  <si>
    <t>Scotibank III MNX denominated Unsecured loan @TIIE+.99% due Oct 24</t>
  </si>
  <si>
    <t>Activener MNX denominated Unsecured loan @TIIE+1.8% due June 2025</t>
  </si>
  <si>
    <t>Activener III MNX denominated Unsecured loan @TIIE+2.5% due June 2024</t>
  </si>
  <si>
    <t>BOFA MXN denominated Unsecured loan @TIE+1.00% due Aug 2024</t>
  </si>
  <si>
    <t>Citibanamex MXN denominated Unsecured loan @TIIE + 0.95% due Dec 2024</t>
  </si>
  <si>
    <t>Citibanamex II MXN denominated Unsecured loan @TIE+0.95% due Dec 2024</t>
  </si>
  <si>
    <t>Citibanamex USD denominated Unsecured loan @SOFR + 0.80% due Dec 2024</t>
  </si>
  <si>
    <t>Liquidity Table at end-3Q24</t>
  </si>
  <si>
    <t>Debt Maturity at end-3Q24</t>
  </si>
  <si>
    <t>Short term</t>
  </si>
  <si>
    <t>13-24 months</t>
  </si>
  <si>
    <t>25-36 months</t>
  </si>
  <si>
    <t>37-48 months</t>
  </si>
  <si>
    <t>49+ months</t>
  </si>
  <si>
    <t>Exchange rate as at end 2Q 2024</t>
  </si>
  <si>
    <t>2Q24</t>
  </si>
  <si>
    <t>Average Exchange rate of 2Q 2024</t>
  </si>
  <si>
    <t>Amount outstanding as on 30-June-2024</t>
  </si>
  <si>
    <t>Scotibank MNX denominated Unsecured loan @TIIE+.99% due May 24</t>
  </si>
  <si>
    <t>Santander MXN denominated Unsecured loan @TIIE+1% due May 24</t>
  </si>
  <si>
    <t>Santander II MXN denominated Unsecured loan @TIIE+1% due May 24</t>
  </si>
  <si>
    <t>Banorte MNX denominated Unsecured loan @TIIE+0.83% due Apr 24</t>
  </si>
  <si>
    <t>Scotibank II MNX denominated Unsecured loan @TIIE+.99% due May 24</t>
  </si>
  <si>
    <t>Scotibank III MNX denominated Unsecured loan @TIIE+.99% due May 24</t>
  </si>
  <si>
    <t>Activener MNX denominated Unsecured loan @TIIE+1.8% due June 2024</t>
  </si>
  <si>
    <t>BBVA II MXN denominated Unsecured loan @TIE+ 0.87% due Aug 2024</t>
  </si>
  <si>
    <t>BBVA MXN denominated Unsecured loan @TIE+ 0.87% due Sep 2024</t>
  </si>
  <si>
    <t>Citibanamex MXN denominated Unsecured loan @TIIE + 0.95% due May 2024</t>
  </si>
  <si>
    <t>Citibanamex MXN denominated Unsecured loan @TIIE + 0.95% due Jun 2024</t>
  </si>
  <si>
    <t>BBVA USD denominated Unsecured loan @SOFR + 2.15% due Sep 2027</t>
  </si>
  <si>
    <t>Citibanamex USD denominated Unsecured loan @SOFR + 0.80% due May 2024</t>
  </si>
  <si>
    <t>Liquidity Table at end-2Q24</t>
  </si>
  <si>
    <t>Debt Maturity at end-2Q24</t>
  </si>
  <si>
    <t>Exchange rate as at end 1Q 2024</t>
  </si>
  <si>
    <t>1Q24</t>
  </si>
  <si>
    <t>Average Exchange rate of 1Q 2024</t>
  </si>
  <si>
    <t>Amount outstanding as on 31-Mar-2024</t>
  </si>
  <si>
    <t>Liquidity Table at end-1Q24</t>
  </si>
  <si>
    <t>Debt Maturity at end-1Q24</t>
  </si>
  <si>
    <t>Exchange rate as at end FY 2023</t>
  </si>
  <si>
    <t>FY23</t>
  </si>
  <si>
    <t>Average Exchange rate of FY 2023</t>
  </si>
  <si>
    <t>Amount outstanding as on 31-Dec-2023</t>
  </si>
  <si>
    <t>Monex-PIQ MXN denominated mortagage loan @TIIE+2.25% due Feb 2024</t>
  </si>
  <si>
    <t>Monex-La Presa MXN denominated mortagage loan @TIIE+2.25% due Feb 2024</t>
  </si>
  <si>
    <t>International USD denominated bond @5.25% due Dec 2024</t>
  </si>
  <si>
    <t>Scotibank MNX denominated Unsecured loan @TIIE+.97% due Feb 24</t>
  </si>
  <si>
    <t>Santander MXN denominated Unsecured loan @TIIE+1% due Feb 24</t>
  </si>
  <si>
    <t>Banorte MNX denominated Unsecured loan @TIIE+0.83% due Feb 24</t>
  </si>
  <si>
    <t>BBVA MXN denominated Unsecured loan @TIE+ 0.87% due Mar 2024</t>
  </si>
  <si>
    <t>BBVA MXN denominated Unsecured loan @TIE+ 0.87% due Feb 2024</t>
  </si>
  <si>
    <t>Liquidity Table at end-FY23</t>
  </si>
  <si>
    <t>Debt Maturity at end-FY23</t>
  </si>
  <si>
    <t>Exchange rate as at end 3Q 2023</t>
  </si>
  <si>
    <t>3Q23</t>
  </si>
  <si>
    <t>Average Exchange rate of 3Q 2023</t>
  </si>
  <si>
    <t>Amount outstanding as on 30-Sept-2023</t>
  </si>
  <si>
    <t>Metlife Mexico MXN denominated Mortagage loan @7.92% due Dec 2023</t>
  </si>
  <si>
    <t>National (FUNO 13-2) MXN denominated bond @8.40% due Dec 2023</t>
  </si>
  <si>
    <t>Scotibank MNX denominated Unsecured loan @TIIE+.97% due Aug 23</t>
  </si>
  <si>
    <t>Santander MXN denominated Unsecured loan @TIIE+1% due Aug 23</t>
  </si>
  <si>
    <t>Banorte MNX denominated Unsecured loan @TIIE+0.83% due Aug 23</t>
  </si>
  <si>
    <t>BBVA MXN denominated Unsecured loan @TIE+ 0.87% due Sep 2023</t>
  </si>
  <si>
    <t>Citibanamex MXN denominated Unsecured loan @TIIE + 0.95% due Nov 2023</t>
  </si>
  <si>
    <t>Citibanamex USD denominated Unsecured loan @SOFR + 0.80% due Nov 2023</t>
  </si>
  <si>
    <t>Liquidity Table at end-3Q23</t>
  </si>
  <si>
    <t>Debt Maturity at end-3Q23</t>
  </si>
  <si>
    <t>Exchange rate as at end 2Q 2023</t>
  </si>
  <si>
    <t>2Q23</t>
  </si>
  <si>
    <t>Average Exchange rate of 2Q 2023</t>
  </si>
  <si>
    <t>Amount outstanding as on 30-Jun-2023</t>
  </si>
  <si>
    <t>6.8x</t>
  </si>
  <si>
    <t>HSBC Samara MXN denominated Mortagage loan @TIIE+2% due Sep 2023</t>
  </si>
  <si>
    <t>Liquidity Table at end-2Q23</t>
  </si>
  <si>
    <t>Debt Maturity at end-2Q23</t>
  </si>
  <si>
    <t>Exchange rate as at end 1Q 2023</t>
  </si>
  <si>
    <t>1Q23</t>
  </si>
  <si>
    <t>Average Exchange rate of 1Q 2023</t>
  </si>
  <si>
    <t>Amount outstanding as on 31-Mar-2023</t>
  </si>
  <si>
    <t>Scotibank MNX denominated Unsecured loan @TIIE+.93% due May 23</t>
  </si>
  <si>
    <t>Santander MXN denominated Unsecured loan @TIIE+0.93% due May 23</t>
  </si>
  <si>
    <t>Banorte MNX denominated Unsecured loan @TIIE+0.83% due May 23</t>
  </si>
  <si>
    <t>Scotibank MNX denominated Unsecured loan @TIIE+.95% due June 23</t>
  </si>
  <si>
    <t>Activener MNX denominated Unsecured loan @TIIE+1.8% due June 2023</t>
  </si>
  <si>
    <t>Activener II MNX denominated Unsecured loan @TIIE+1.8% due Sep  2023</t>
  </si>
  <si>
    <t>Citibanamex USD denominated Unsecured loan @TIIE + 0.95% due Nov 2023</t>
  </si>
  <si>
    <t>Liquidity Table at end-1Q23</t>
  </si>
  <si>
    <t>Debt Maturity at end-1Q23</t>
  </si>
  <si>
    <t>Exchange rate as at end 4Q 2022</t>
  </si>
  <si>
    <t>4Q22</t>
  </si>
  <si>
    <t>Average Exchange rate of 4Q 2022</t>
  </si>
  <si>
    <t>Amount outstanding as on 31-Dec-2022</t>
  </si>
  <si>
    <t>National (FUNO 212X) MXN denominated bond @TIIE +0.90 due Oct-25</t>
  </si>
  <si>
    <t>National (FUNO 18) MXN denominated bond @@TIIE+0.83% due Apr 2023</t>
  </si>
  <si>
    <t>Banamex MNX denominated Unsecured loan @TIIE+0.82% due November 2022</t>
  </si>
  <si>
    <t>Banorte MNX denominated Unsecured loan @TIIE+0.83% due August 2022</t>
  </si>
  <si>
    <t>Citibanamex MNX denominated Unsecured loan @TIIE+0.82% due Nov 2022</t>
  </si>
  <si>
    <t>Scotibank MNX denominated Unsecured loan @TIIE+.95% due Jun 2021</t>
  </si>
  <si>
    <t>Scotibank MNX denominated Unsecured loan @TIIE+.85% due Nov 22</t>
  </si>
  <si>
    <t>Actinver MXN denominated Unsecured loan @TIE+2.65 due Jun 2021</t>
  </si>
  <si>
    <t>BBVA MXN denominated Unsecured loan @TIE++ 0.87% due Mar 2023</t>
  </si>
  <si>
    <t>Santander MXN denominated Unsecured loan @TIIE.70% due May Mar 22</t>
  </si>
  <si>
    <t>Liquidity Table at end-4Q22</t>
  </si>
  <si>
    <t>Debt Maturity at end-4Q22</t>
  </si>
  <si>
    <t>Exchange rate as at end 2Q 2022</t>
  </si>
  <si>
    <t>Exchange rate as at end 3Q 2022</t>
  </si>
  <si>
    <t>3Q22</t>
  </si>
  <si>
    <t>Average Exchange rate of 3Q 2022</t>
  </si>
  <si>
    <t>Amount outstanding as on 30-Sep-2022</t>
  </si>
  <si>
    <t>.</t>
  </si>
  <si>
    <t>HSBC Vermont MXN denominated Mortagage loan @TIE+2.15 due Jun 2024</t>
  </si>
  <si>
    <t>National (FUNO 15) MXN denominated bond @6.99% due Jun 2025</t>
  </si>
  <si>
    <t>BBVA MXN denominated Unsecured loan @TIE+1.85% due Jul 2020</t>
  </si>
  <si>
    <t>BBVA USD denominated Unsecured loan @LIBOR+1.85% due Nov 2023</t>
  </si>
  <si>
    <t>Liquidity Table at end-3Q22</t>
  </si>
  <si>
    <t>Debt Maturity at end-3Q22</t>
  </si>
  <si>
    <t>2Q22</t>
  </si>
  <si>
    <t>Average Exchange rate of 2Q 2022</t>
  </si>
  <si>
    <t>Amount outstanding as on 30-June-2022</t>
  </si>
  <si>
    <t>Banamex MNX denominated Unsecured loan @TIIE+1.5% due April 2021</t>
  </si>
  <si>
    <t>Santander MNX denominated Unsecured loan @TIIE+1.75% due Mar 2021</t>
  </si>
  <si>
    <t>Scotibank MNX denominated Unsecured loan @TIIE+.85% due Feb 22</t>
  </si>
  <si>
    <t>Liquidity Table at end-2Q22</t>
  </si>
  <si>
    <t>Debt Maturity at end-2Q22</t>
  </si>
  <si>
    <t>1Q22</t>
  </si>
  <si>
    <t>Exchange rate as at end 1Q 2022</t>
  </si>
  <si>
    <t>Average Exchange rate of 1Q 2022</t>
  </si>
  <si>
    <t>Amount outstanding as on 31-Mar-2022</t>
  </si>
  <si>
    <t>Liquidity Table at end-1Q22</t>
  </si>
  <si>
    <t>Debt Maturity at end-1Q22</t>
  </si>
  <si>
    <t>4Q21</t>
  </si>
  <si>
    <t>Exchange rate as at end 4Q 2021</t>
  </si>
  <si>
    <t>Average Exchange rate of 4Q 2021</t>
  </si>
  <si>
    <t>Amount outstanding as on 31-Dec-2021</t>
  </si>
  <si>
    <t>Santander MXN denominated Mortagage loan @TIIE+2.60% due Aug 2024</t>
  </si>
  <si>
    <t>Liquidity Table at end-4Q21</t>
  </si>
  <si>
    <t>Debt Maturity at end-4Q21</t>
  </si>
  <si>
    <t>3Q21</t>
  </si>
  <si>
    <t>Exchange rate as at end 3Q 2021</t>
  </si>
  <si>
    <t>Average Exchange rate of 3Q 2021</t>
  </si>
  <si>
    <t>Amount outstanding as on 30-Sept-2021</t>
  </si>
  <si>
    <t>National (FUNO 17-2) MXN denominated bond @TIIE+0.85% due Dec 2022</t>
  </si>
  <si>
    <t>Santander USD denominated Unsecured loan @LIBOR+1.25% due May 2024</t>
  </si>
  <si>
    <t>Liquidity Table at end-3Q21</t>
  </si>
  <si>
    <t>Debt Maturity at end-3Q21</t>
  </si>
  <si>
    <t>2Q21</t>
  </si>
  <si>
    <t>Exchange rate as at end 2Q 2021</t>
  </si>
  <si>
    <t>Average Exchange rate of 2Q 2021</t>
  </si>
  <si>
    <t>Amount outstanding as on 30-Jun-2021</t>
  </si>
  <si>
    <t>Santander MXN denominated Mortagage loan @TIIE+2.60% due Nov 2025</t>
  </si>
  <si>
    <t>Liquidity Table at end-2Q21</t>
  </si>
  <si>
    <t>Debt Maturity at end-2Q21</t>
  </si>
  <si>
    <t>1Q21</t>
  </si>
  <si>
    <t>Exchange rate as at end 1Q 2021</t>
  </si>
  <si>
    <t>Average Exchange rate of 1Q 2021</t>
  </si>
  <si>
    <t>Amount outstanding as on 31-Mar-2021</t>
  </si>
  <si>
    <t>National (FUNO 13U) UDIS denominated bond @5.09% due Dec 2028</t>
  </si>
  <si>
    <t>Liquidity Table at end-1Q21</t>
  </si>
  <si>
    <t>Debt Maturity at end-1Q21</t>
  </si>
  <si>
    <t>4Q20</t>
  </si>
  <si>
    <t>Exchange rate as at end 4Q 2020</t>
  </si>
  <si>
    <t>Amount outstanding as on 31-Dec-2020</t>
  </si>
  <si>
    <t>Average Exchange rate of 4Q 2020</t>
  </si>
  <si>
    <t>National (FUNO 18) MXN denominated bond @8.95% due Apr 2023</t>
  </si>
  <si>
    <t>Liquidity Table at end-4Q20</t>
  </si>
  <si>
    <t>Debt Maturity at end-4Q20</t>
  </si>
  <si>
    <t>3Q20</t>
  </si>
  <si>
    <t>Exchange rate as at end 3Q 2020</t>
  </si>
  <si>
    <t>Amount outstanding as on 30-Sep-2020</t>
  </si>
  <si>
    <t>Average Exchange rate of 3Q 2020</t>
  </si>
  <si>
    <t>HSBC-Tepeji MXN denominated mortagage loan @TIIE+2.20% due Sep 2023</t>
  </si>
  <si>
    <t>Banamex MNX denominated Unsecured loan @TIIE+2.7% due July 2020</t>
  </si>
  <si>
    <t>Banamex MNX denominated Unsecured loan @TIIE+2.5% due Aug 2020</t>
  </si>
  <si>
    <t>Santander MNX denominated Unsecured loan @TIIE+1.25% due July 2024</t>
  </si>
  <si>
    <t>Santander MNX denominated Unsecured loan @TIIE+2.5% due Aug 2020</t>
  </si>
  <si>
    <t>Actinver MXN denominated Unsecured loan @TIE+2.65 due Jun 2020</t>
  </si>
  <si>
    <t>Liquidity Table at end-3Q20</t>
  </si>
  <si>
    <t>Debt Maturity at end-3Q20</t>
  </si>
  <si>
    <t>2Q20</t>
  </si>
  <si>
    <t>Exchange rate as at end 2Q 2020</t>
  </si>
  <si>
    <t>Amount outstanding as on 30-June-2020</t>
  </si>
  <si>
    <t>Average Exchange rate of 2Q 2020</t>
  </si>
  <si>
    <t>Liquidity Table at end-2Q20</t>
  </si>
  <si>
    <t>Debt Maturity at end-2Q20</t>
  </si>
  <si>
    <t>1Q20</t>
  </si>
  <si>
    <t>Exchange rate as at end 1Q 2020</t>
  </si>
  <si>
    <t>Amount outstanding as on 31-Mar-2020</t>
  </si>
  <si>
    <t>Average Exchange rate of 1Q 2020</t>
  </si>
  <si>
    <t>Actinver MXN denominated Unsecured loan @TIIE+1.8% due Jun 2020</t>
  </si>
  <si>
    <t>HSBC Vermont MXN denominated Unsecured loan @TIIE+2.15% due Jun 2024</t>
  </si>
  <si>
    <t>Banamex MNX denominated Unsecured loan @TIIE+1.15% due May 2020</t>
  </si>
  <si>
    <t>Santander MNX denominated Unsecured loan @TIIE+1.25% due May 2020</t>
  </si>
  <si>
    <t>BBVA MXN denominated Unsecured loan @TIIE+1.25% due Jun 2020</t>
  </si>
  <si>
    <t>Liquidity Table at end-1Q20</t>
  </si>
  <si>
    <t>Debt Maturity at end-1Q20</t>
  </si>
  <si>
    <t>4Q19</t>
  </si>
  <si>
    <t>Exchange rate as at end 4Q 2019</t>
  </si>
  <si>
    <t>Amount outstanding as on 31-Dec-2019</t>
  </si>
  <si>
    <t>Average Exchange rate of 4Q 2019</t>
  </si>
  <si>
    <t>Santander MNX denominated Unsecured loan @TIIE+1.25% due Feb 2020</t>
  </si>
  <si>
    <t>Liquidity Table at end-4Q19</t>
  </si>
  <si>
    <t>Debt Maturity at end-4Q19</t>
  </si>
  <si>
    <t>3Q19</t>
  </si>
  <si>
    <t>Exchange rate as at end 3Q 2019</t>
  </si>
  <si>
    <t>Amount outstanding as on 30-Sep-2019</t>
  </si>
  <si>
    <t>Average Exchange rate of 3Q 2019</t>
  </si>
  <si>
    <t>Liquidity Table at end-3Q19</t>
  </si>
  <si>
    <t>Debt Maturity at end-3Q19</t>
  </si>
  <si>
    <t>2Q19</t>
  </si>
  <si>
    <t>Exchange rate as at end 2Q 2019</t>
  </si>
  <si>
    <t>Amount outstanding as on 30-Jun-2019</t>
  </si>
  <si>
    <t>Average Exchange rate of 2Q 2019</t>
  </si>
  <si>
    <t>Banorte MXN denominated Mortagage loan @TIIE+1.95% due Jun 2038</t>
  </si>
  <si>
    <t>International USD denominated bond @4.87% due Jan 2050</t>
  </si>
  <si>
    <t>International USD denominated bond @6.39% due Jan 2030</t>
  </si>
  <si>
    <t>Liquidity Table at end-2Q19</t>
  </si>
  <si>
    <t>Debt Maturity at end-2Q19</t>
  </si>
  <si>
    <t>1Q19</t>
  </si>
  <si>
    <t>Exchange rate as at end 1Q 2019</t>
  </si>
  <si>
    <t>Amount outstanding as on 31-Mar-2019</t>
  </si>
  <si>
    <t>Average Exchange rate of 1Q 2019</t>
  </si>
  <si>
    <t>Finsa Bancomext US 84.1mn USD denominated Mortagage loan @4.89% due Nov 2020</t>
  </si>
  <si>
    <t>Actinver MXN denominated Unsecured loan @TIIE+1.8% due Jun 2019</t>
  </si>
  <si>
    <t>BBVA Bancomer MXN denominated Unsecured loan @TIIE+1.25% due Jun 2019</t>
  </si>
  <si>
    <t>Banamex MXN denominated Unsecured loan @TIIE+1.00% due Aug 2019</t>
  </si>
  <si>
    <t>Inbursa MXN denominated Unsecured loan @TIIE+1.25% due Feb 2020</t>
  </si>
  <si>
    <t>Banamex MXN denominated Unsecured loan @TIIE+1.00% due Jul 2019</t>
  </si>
  <si>
    <t>Liquidity Table at end-1Q19</t>
  </si>
  <si>
    <t>Debt Maturity at end-1Q19</t>
  </si>
  <si>
    <t>Fibra UNO (FUNO Mexico)</t>
  </si>
  <si>
    <t>Annual</t>
  </si>
  <si>
    <t>LTM</t>
  </si>
  <si>
    <t>Quarterly</t>
  </si>
  <si>
    <t>Act</t>
  </si>
  <si>
    <t>Restated</t>
  </si>
  <si>
    <t>FY</t>
  </si>
  <si>
    <t>Q1</t>
  </si>
  <si>
    <t>Q2</t>
  </si>
  <si>
    <t>Q3</t>
  </si>
  <si>
    <t>Q4</t>
  </si>
  <si>
    <t>INCOME STATEMENT</t>
  </si>
  <si>
    <t>Investment property income</t>
  </si>
  <si>
    <t>Reserve for Covid relieves</t>
  </si>
  <si>
    <t>Reserve for ITIS discounts</t>
  </si>
  <si>
    <t>Maintenance revenues</t>
  </si>
  <si>
    <t>Dividends / fiduciary rights' leases</t>
  </si>
  <si>
    <t>Income from property financial assets</t>
  </si>
  <si>
    <t>Mangement fees, income</t>
  </si>
  <si>
    <t>Total revenues</t>
  </si>
  <si>
    <t xml:space="preserve">% y-o-y growth </t>
  </si>
  <si>
    <t>Management fees, expenses</t>
  </si>
  <si>
    <t>Administrative expenses</t>
  </si>
  <si>
    <t>Operating expenses</t>
  </si>
  <si>
    <t>Property taxes</t>
  </si>
  <si>
    <t>Insurance</t>
  </si>
  <si>
    <t>Operating Profit</t>
  </si>
  <si>
    <t>Finance cost</t>
  </si>
  <si>
    <t>Expenses for early termination of financial instruments</t>
  </si>
  <si>
    <t>Finance income</t>
  </si>
  <si>
    <t>Income after financial expenses</t>
  </si>
  <si>
    <t>Net income on sale of investment properties</t>
  </si>
  <si>
    <t>Foreign exchange gain (loss), Net</t>
  </si>
  <si>
    <t>Valuation effect on financial instruments</t>
  </si>
  <si>
    <t>Fair value adjustment to investment properties and affiliates</t>
  </si>
  <si>
    <t>Investment Valuation Effect</t>
  </si>
  <si>
    <t>Profit on purchase of investment property</t>
  </si>
  <si>
    <t>Profit on sale of investment property</t>
  </si>
  <si>
    <t>Administrative platform amortization</t>
  </si>
  <si>
    <t>Amortization of bank and other financial commissions and expenses</t>
  </si>
  <si>
    <t>Liquidation of commissions and other financial expenses</t>
  </si>
  <si>
    <t>Taxes on the sale of properties investment</t>
  </si>
  <si>
    <t>Other income (expenses)</t>
  </si>
  <si>
    <t>Executive bonus</t>
  </si>
  <si>
    <t>Profit for the period</t>
  </si>
  <si>
    <t>As % of total revenue unless stated otherwise</t>
  </si>
  <si>
    <t>Rental revenues</t>
  </si>
  <si>
    <t>Finance costs as a % of debt at end of period</t>
  </si>
  <si>
    <t>Finance Income as a % of cash at end of period</t>
  </si>
  <si>
    <t>Net capex/sales</t>
  </si>
  <si>
    <t>D/A/sales</t>
  </si>
  <si>
    <t xml:space="preserve">EBITDA </t>
  </si>
  <si>
    <t xml:space="preserve">Operating profit </t>
  </si>
  <si>
    <t>Depreciation &amp; amortisation</t>
  </si>
  <si>
    <t xml:space="preserve">% growth </t>
  </si>
  <si>
    <t>% margin</t>
  </si>
  <si>
    <t xml:space="preserve">Adjustment </t>
  </si>
  <si>
    <t xml:space="preserve">Adj. EBITDA </t>
  </si>
  <si>
    <t>CASH FLOW</t>
  </si>
  <si>
    <t xml:space="preserve">Adjusted EBITDA </t>
  </si>
  <si>
    <t>Change in Working Capital</t>
  </si>
  <si>
    <t>Cash interest paid</t>
  </si>
  <si>
    <t>Cash interest income</t>
  </si>
  <si>
    <t xml:space="preserve">Net cash from operations </t>
  </si>
  <si>
    <t>Net Capex</t>
  </si>
  <si>
    <t>Acquisition of investment properties</t>
  </si>
  <si>
    <t>Purchase and development of intangible assets</t>
  </si>
  <si>
    <t>Disposals/ Acquisition, of subsidiaries</t>
  </si>
  <si>
    <t xml:space="preserve">Free cash flow </t>
  </si>
  <si>
    <t>Other investing activities</t>
  </si>
  <si>
    <t>Equity Issuance/Buyback/ Trustor's contributions</t>
  </si>
  <si>
    <t>Distributions to trustors/ beneficiaries</t>
  </si>
  <si>
    <t>Trust certificates repurchase</t>
  </si>
  <si>
    <t>Change in debt</t>
  </si>
  <si>
    <t>Other financing activities</t>
  </si>
  <si>
    <t>Cash flow after financing activities</t>
  </si>
  <si>
    <t>FX</t>
  </si>
  <si>
    <t>Balancing figure</t>
  </si>
  <si>
    <t xml:space="preserve">Net change in cash </t>
  </si>
  <si>
    <t>check 1</t>
  </si>
  <si>
    <t xml:space="preserve">LTM </t>
  </si>
  <si>
    <t>EBITDA</t>
  </si>
  <si>
    <t>Adjusted EBITDA</t>
  </si>
  <si>
    <t>Net Income</t>
  </si>
  <si>
    <t>Capex</t>
  </si>
  <si>
    <t xml:space="preserve">BALANCE SHEET </t>
  </si>
  <si>
    <t>Tangible fixed assets</t>
  </si>
  <si>
    <t>Inventory</t>
  </si>
  <si>
    <t>Lease receivables from tenants</t>
  </si>
  <si>
    <t>Trade accounts receivables, net</t>
  </si>
  <si>
    <t>Trade creditors /payables</t>
  </si>
  <si>
    <t>Net working capital</t>
  </si>
  <si>
    <t>% of revenues</t>
  </si>
  <si>
    <t xml:space="preserve">Debt  Breakdown </t>
  </si>
  <si>
    <t>Short-term debt</t>
  </si>
  <si>
    <t>Long-term debt</t>
  </si>
  <si>
    <t>Cash and equivalents</t>
  </si>
  <si>
    <t>Net debt</t>
  </si>
  <si>
    <t>Gross debt</t>
  </si>
  <si>
    <t>Net assets/ Equity (as reported on balance sheet)</t>
  </si>
  <si>
    <t>Total debt + Net assets</t>
  </si>
  <si>
    <t>CREDIT RATIOS</t>
  </si>
  <si>
    <t>Total Net Leverage</t>
  </si>
  <si>
    <t xml:space="preserve">Total Gross Leverage </t>
  </si>
  <si>
    <t>EBITDA - Capex / Interest</t>
  </si>
  <si>
    <t>EBITDA/Interest</t>
  </si>
  <si>
    <t xml:space="preserve">Gearing (Net debt / Equity) </t>
  </si>
  <si>
    <r>
      <t>Key  Credit Metrics (MXN</t>
    </r>
    <r>
      <rPr>
        <b/>
        <sz val="10"/>
        <rFont val="Calibri"/>
        <family val="2"/>
      </rPr>
      <t xml:space="preserve"> mn where applicable)</t>
    </r>
  </si>
  <si>
    <t>Adjusted EBITDA margin</t>
  </si>
  <si>
    <t>Cash</t>
  </si>
  <si>
    <t>Net Debt</t>
  </si>
  <si>
    <t>Gross Leverage</t>
  </si>
  <si>
    <t xml:space="preserve">Net Leverage </t>
  </si>
  <si>
    <t>Summary Financials</t>
  </si>
  <si>
    <t>(MXN)</t>
  </si>
  <si>
    <t>Gross Debt</t>
  </si>
  <si>
    <t>FX rate average - MXN/USD</t>
  </si>
  <si>
    <t>FX rate end of period - MXN/USD</t>
  </si>
  <si>
    <t>USD to MXN (EOP)</t>
  </si>
  <si>
    <t>Key  Credit Metrics (USD mn where applicable)</t>
  </si>
  <si>
    <t>Net sales</t>
  </si>
  <si>
    <t>Equity (as reported on balance sheet)</t>
  </si>
  <si>
    <t>Levi Strauss</t>
  </si>
  <si>
    <t>Capital Structure</t>
  </si>
  <si>
    <t>Nom. Spread</t>
  </si>
  <si>
    <t>Price</t>
  </si>
  <si>
    <t>Eff. Spread</t>
  </si>
  <si>
    <t>Libor</t>
  </si>
  <si>
    <t>Current Yld.</t>
  </si>
  <si>
    <t xml:space="preserve">Eff. Yld (3YM) </t>
  </si>
  <si>
    <t>YTW</t>
  </si>
  <si>
    <t>Revolver</t>
  </si>
  <si>
    <t>Tranche 1</t>
  </si>
  <si>
    <t>Tranche 2</t>
  </si>
  <si>
    <t>Financial History</t>
  </si>
  <si>
    <t>Margin</t>
  </si>
  <si>
    <t>% EBITDA</t>
  </si>
  <si>
    <t>Avg.</t>
  </si>
  <si>
    <t>Market Multiple Analysis</t>
  </si>
  <si>
    <t>EV/EBITDA</t>
  </si>
  <si>
    <t>EV/Sales</t>
  </si>
  <si>
    <t>Company 1</t>
  </si>
  <si>
    <t>Company 2</t>
  </si>
  <si>
    <t>Low</t>
  </si>
  <si>
    <t>Company 3</t>
  </si>
  <si>
    <t>High</t>
  </si>
  <si>
    <t>Company 4</t>
  </si>
  <si>
    <t>BCAP EBITDA Target</t>
  </si>
  <si>
    <t>Incremental</t>
  </si>
  <si>
    <t>Enterprise Valuation</t>
  </si>
  <si>
    <t>% of Low</t>
  </si>
  <si>
    <t>% of Avg</t>
  </si>
  <si>
    <t>Multiple</t>
  </si>
  <si>
    <t>BCAP Sales Target</t>
  </si>
  <si>
    <t>DCF Valuation</t>
  </si>
  <si>
    <t>Growth</t>
  </si>
  <si>
    <t>Mkt Premium</t>
  </si>
  <si>
    <t>Pre-Tax</t>
  </si>
  <si>
    <t>Rate</t>
  </si>
  <si>
    <t>Tax Rate</t>
  </si>
  <si>
    <t>After Tax</t>
  </si>
  <si>
    <t>Senior Debt Rate</t>
  </si>
  <si>
    <t>n/a</t>
  </si>
  <si>
    <t>Junior Debt Rate</t>
  </si>
  <si>
    <t>Required Equity Return</t>
  </si>
  <si>
    <t>Rating Target</t>
  </si>
  <si>
    <t>Minimum Capex per year</t>
  </si>
  <si>
    <t>Senior Debt Coverage of Free Cash</t>
  </si>
  <si>
    <t>Normalized CAPEX % of EBITDA</t>
  </si>
  <si>
    <t>Jr. Debt DSC (after Sr. Debt)</t>
  </si>
  <si>
    <t>Depreciation/Amortization  per year</t>
  </si>
  <si>
    <t xml:space="preserve">Max. Sr. Debt Leverage </t>
  </si>
  <si>
    <t>Max. Total Debt Leverage</t>
  </si>
  <si>
    <t xml:space="preserve">Less: Depreciation/Amortization </t>
  </si>
  <si>
    <t xml:space="preserve">  Taxable Cash Flow</t>
  </si>
  <si>
    <t>Taxes</t>
  </si>
  <si>
    <t>Maintenance Capex</t>
  </si>
  <si>
    <t xml:space="preserve">Add: Depreciation/Amortization </t>
  </si>
  <si>
    <t>Free Cash Flow</t>
  </si>
  <si>
    <t>Max. Senior Debt Interest Exp.</t>
  </si>
  <si>
    <t>Pro-forma Total Debt (Senior Only)</t>
  </si>
  <si>
    <t>Debt-to-EBITDA ratio</t>
  </si>
  <si>
    <t>Sr. debt after-tax payments</t>
  </si>
  <si>
    <t>Cash-flow available for Jr. debt</t>
  </si>
  <si>
    <t>Max. Jr. debt interest exp.</t>
  </si>
  <si>
    <t>Pro-forma Jr. debt</t>
  </si>
  <si>
    <t xml:space="preserve">Pro-forma Total Debt  </t>
  </si>
  <si>
    <t>Total Leverage</t>
  </si>
  <si>
    <t>Jr. debt after-tax payments</t>
  </si>
  <si>
    <t>Cash-Flow to Equity</t>
  </si>
  <si>
    <t>Discount Rate</t>
  </si>
  <si>
    <t>Equity Value</t>
  </si>
  <si>
    <t>Total Enterprise Value</t>
  </si>
  <si>
    <t>Pro-Forma Capital Structure</t>
  </si>
  <si>
    <t xml:space="preserve">Pro-Forma Senior Debt </t>
  </si>
  <si>
    <t>Less:</t>
  </si>
  <si>
    <t>Projected Sr. Financing</t>
  </si>
  <si>
    <t>Off-Balance Sheet Debt, if applicable</t>
  </si>
  <si>
    <t>Other, if applicable</t>
  </si>
  <si>
    <t>Adjusted Pro-Forma Senior Debt</t>
  </si>
  <si>
    <t>Pro-forma Sr. Debt to EBITDA</t>
  </si>
  <si>
    <t>Probabilities</t>
  </si>
  <si>
    <t>Summary</t>
  </si>
  <si>
    <t>Discount to LTM</t>
  </si>
  <si>
    <t>Total Excess Enterprise Value</t>
  </si>
  <si>
    <t>Max Available</t>
  </si>
  <si>
    <t>Potential Total Recovery</t>
  </si>
  <si>
    <t>Existing Senior Debt</t>
  </si>
  <si>
    <t>Senior Only Recovery Rate</t>
  </si>
  <si>
    <t>Total Recovery Rate</t>
  </si>
  <si>
    <t>Mkt Price</t>
  </si>
  <si>
    <t>% of Investment Reinstated</t>
  </si>
  <si>
    <t>Investment Coverage</t>
  </si>
  <si>
    <t>2nd Lien Recovery</t>
  </si>
  <si>
    <t>Residual Value to 2nd Lien</t>
  </si>
  <si>
    <t>Existing Second Lien Debt</t>
  </si>
  <si>
    <t>2nd Lien Investment Coverage</t>
  </si>
  <si>
    <t>KPIS (in millions of MXN, unless specified)</t>
  </si>
  <si>
    <t>FINANCIAL INDICATORS</t>
  </si>
  <si>
    <t>Total Revenues</t>
  </si>
  <si>
    <t>Net Operating Income (NOI)</t>
  </si>
  <si>
    <t>NOI Margin over total revenue</t>
  </si>
  <si>
    <t>NOI Margin over rental revenue</t>
  </si>
  <si>
    <t>Funds from Operations (FFO)</t>
  </si>
  <si>
    <t>FFO Margin</t>
  </si>
  <si>
    <t>PER CBFI</t>
  </si>
  <si>
    <t>NOI</t>
  </si>
  <si>
    <t>FFO</t>
  </si>
  <si>
    <t>AFFO</t>
  </si>
  <si>
    <t>Distribution</t>
  </si>
  <si>
    <t>CBFIs</t>
  </si>
  <si>
    <t>Total outstanding average during the period</t>
  </si>
  <si>
    <t>Total outstanding at the end of the period</t>
  </si>
  <si>
    <t>OPERATIONAL INDICATORS</t>
  </si>
  <si>
    <r>
      <t>Total GLA (´000 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)</t>
    </r>
  </si>
  <si>
    <t>Number of operations</t>
  </si>
  <si>
    <t>Average contract term (years)</t>
  </si>
  <si>
    <t>Total Occupancy</t>
  </si>
  <si>
    <t>GLA under development (´000 sqm)</t>
  </si>
  <si>
    <t xml:space="preserve">JV´s under development (´000 sqm) </t>
  </si>
  <si>
    <t>Portfolio Summary/ Operational Indicators by Sector</t>
  </si>
  <si>
    <t>Retail</t>
  </si>
  <si>
    <t>Industrial</t>
  </si>
  <si>
    <t>Office</t>
  </si>
  <si>
    <t>Investment property Income by segment</t>
  </si>
  <si>
    <t>Covid-19 Reserve</t>
  </si>
  <si>
    <t>Total</t>
  </si>
  <si>
    <t>% of revenue</t>
  </si>
  <si>
    <t>i</t>
  </si>
  <si>
    <t>% Occupancy by Subsegment</t>
  </si>
  <si>
    <t>Logistics</t>
  </si>
  <si>
    <t>Light manufacturing</t>
  </si>
  <si>
    <t>Business Park</t>
  </si>
  <si>
    <t>Fashion mall</t>
  </si>
  <si>
    <t>Regional center</t>
  </si>
  <si>
    <t>Neighborhood center</t>
  </si>
  <si>
    <t>NA</t>
  </si>
  <si>
    <t>Stand alone</t>
  </si>
  <si>
    <t>Other</t>
  </si>
  <si>
    <r>
      <t>NOI by Subsegment (pesos, 000)</t>
    </r>
    <r>
      <rPr>
        <b/>
        <vertAlign val="superscript"/>
        <sz val="10"/>
        <rFont val="Calibri"/>
        <family val="2"/>
      </rPr>
      <t>2</t>
    </r>
  </si>
  <si>
    <t>% of total NOI</t>
  </si>
  <si>
    <t>FUNO Mexico REIT</t>
  </si>
  <si>
    <t>MX peso (Mn)</t>
  </si>
  <si>
    <t>Income Statement</t>
  </si>
  <si>
    <t>Leases/Rental revenue</t>
  </si>
  <si>
    <t>Maintenance revenue</t>
  </si>
  <si>
    <t>Admin fees</t>
  </si>
  <si>
    <t>Dividends on trust rights</t>
  </si>
  <si>
    <t>Total revenue</t>
  </si>
  <si>
    <t>Management fees</t>
  </si>
  <si>
    <t>Maintenance expenses</t>
  </si>
  <si>
    <t>Amortization of administrative platform</t>
  </si>
  <si>
    <t>Property tax</t>
  </si>
  <si>
    <t>Interest expense</t>
  </si>
  <si>
    <t>Interest Income</t>
  </si>
  <si>
    <t>Foreign exchange loss</t>
  </si>
  <si>
    <t>Other expenses/amortization of bank charges</t>
  </si>
  <si>
    <t>Other expenses</t>
  </si>
  <si>
    <t>FV adjustment to property investments and investments in trust rights</t>
  </si>
  <si>
    <t>Profit Before Income Tax</t>
  </si>
  <si>
    <t>Income Tax Expenses</t>
  </si>
  <si>
    <t>Profit For The Year/Period</t>
  </si>
  <si>
    <t>EBITDA Margin</t>
  </si>
  <si>
    <t>Cash Flow Statement (MX Pexo Mn)</t>
  </si>
  <si>
    <t>Profit before taxation</t>
  </si>
  <si>
    <t>Adjustment to FV of investment property and investments in associates</t>
  </si>
  <si>
    <t>Unrealized exchange gain</t>
  </si>
  <si>
    <t>Interest income</t>
  </si>
  <si>
    <t>Movement in working capital:</t>
  </si>
  <si>
    <t>Lease receivable and others</t>
  </si>
  <si>
    <t>Due to related parties</t>
  </si>
  <si>
    <t>Recoverable taxes, mainly VAT</t>
  </si>
  <si>
    <t>Prepaid expenses</t>
  </si>
  <si>
    <t>Trade accounts payable</t>
  </si>
  <si>
    <t>Deferred revenues</t>
  </si>
  <si>
    <t>Deposits from tenants/Prepaid revenue</t>
  </si>
  <si>
    <t>Due from related parties</t>
  </si>
  <si>
    <t>Net cash generated from operating activities</t>
  </si>
  <si>
    <t>Investment in development projects</t>
  </si>
  <si>
    <t>Advanced payments for acquisitions of investment properties</t>
  </si>
  <si>
    <t>Acqusition of a business</t>
  </si>
  <si>
    <t>Financial investments</t>
  </si>
  <si>
    <t>Investments in trust rights</t>
  </si>
  <si>
    <t>Interest received</t>
  </si>
  <si>
    <t>Net Cash (Used In) From Investing Activities</t>
  </si>
  <si>
    <t>Payment of borrowings</t>
  </si>
  <si>
    <t>Proceeds from borrowings</t>
  </si>
  <si>
    <t>Distributions to trustors</t>
  </si>
  <si>
    <t>Interest paid</t>
  </si>
  <si>
    <t>Capital contribution</t>
  </si>
  <si>
    <t>Net Cash (Used In) From Financing Activities</t>
  </si>
  <si>
    <t/>
  </si>
  <si>
    <t>Increase/(Decrease) In Cash And Cash Equivalents</t>
  </si>
  <si>
    <t>Opening Cash</t>
  </si>
  <si>
    <t>Closing Cash</t>
  </si>
  <si>
    <t>Check</t>
  </si>
  <si>
    <t>Balance Sheet (MX Peso Mn)</t>
  </si>
  <si>
    <t>Current Assets</t>
  </si>
  <si>
    <t>Cash and restricted cash</t>
  </si>
  <si>
    <t>Total Current Assets</t>
  </si>
  <si>
    <t>Non Current Assets</t>
  </si>
  <si>
    <t>Investment properties</t>
  </si>
  <si>
    <t>Advanced payment for acquisition of investment property</t>
  </si>
  <si>
    <t>Investments in associates</t>
  </si>
  <si>
    <t>Derivatives</t>
  </si>
  <si>
    <t>Other assets</t>
  </si>
  <si>
    <t>Total Non-Current Assets</t>
  </si>
  <si>
    <t>Total Assets</t>
  </si>
  <si>
    <t>Total Trustors capital</t>
  </si>
  <si>
    <t>Non-controlling participation</t>
  </si>
  <si>
    <t>Current Liabilities</t>
  </si>
  <si>
    <t>Borrowings</t>
  </si>
  <si>
    <t>Trade accounts payable and accrued expenses</t>
  </si>
  <si>
    <t>Total Current Liabilities</t>
  </si>
  <si>
    <t>Non Current Liabilities</t>
  </si>
  <si>
    <t>Long term other accounts payable</t>
  </si>
  <si>
    <t>Deposits from tenants</t>
  </si>
  <si>
    <t>Deferred revenues - long term</t>
  </si>
  <si>
    <t>Total Non Current Liabilities</t>
  </si>
  <si>
    <t>Total Equity &amp; Liabilities</t>
  </si>
  <si>
    <t>Revenue Breakdown</t>
  </si>
  <si>
    <t>Revenue split</t>
  </si>
  <si>
    <t>Key metrics (MX peso m)</t>
  </si>
  <si>
    <t>Gross rental Income</t>
  </si>
  <si>
    <t>EBITDA margins</t>
  </si>
  <si>
    <t>Total debt</t>
  </si>
  <si>
    <t>Net leverage</t>
  </si>
  <si>
    <t>Net gearing</t>
  </si>
  <si>
    <t>Gross debts to total assets (LTV)</t>
  </si>
  <si>
    <t>Gross Interest expense</t>
  </si>
  <si>
    <t>Gross rental to Gross Interest ratio</t>
  </si>
  <si>
    <t>EBITDA to interest expense</t>
  </si>
  <si>
    <t>Unrestricted cash to ST debt</t>
  </si>
  <si>
    <t>Peer comparison (HKD m)</t>
  </si>
  <si>
    <t>GHKLF</t>
  </si>
  <si>
    <t>Link REIT</t>
  </si>
  <si>
    <t>Hysan</t>
  </si>
  <si>
    <t>Gross margins</t>
  </si>
  <si>
    <t>Total interest bearing debt (Senior debt)</t>
  </si>
  <si>
    <t>Adjusted Net debt</t>
  </si>
  <si>
    <t>Adjusted Net leverage</t>
  </si>
  <si>
    <t>Adjusted Net gearing</t>
  </si>
  <si>
    <t>Outstanding bonds</t>
  </si>
  <si>
    <t>GOOMAN 4.375 24</t>
  </si>
  <si>
    <t>LINREI 3.6 24</t>
  </si>
  <si>
    <t>HYSAN 3.5 23</t>
  </si>
  <si>
    <t>Duration</t>
  </si>
  <si>
    <t>Rating</t>
  </si>
  <si>
    <t>BBB+</t>
  </si>
  <si>
    <t>A/A2</t>
  </si>
  <si>
    <t>BBB+/A3/BBB+</t>
  </si>
  <si>
    <t>OAS Ask</t>
  </si>
  <si>
    <t>Portfolio</t>
  </si>
  <si>
    <t>Total GLA (000 sqm)</t>
  </si>
  <si>
    <t>No of properties</t>
  </si>
  <si>
    <t>Total occupancy</t>
  </si>
  <si>
    <t>MXN (Millions)</t>
  </si>
  <si>
    <t>USD600m notes due 2024</t>
  </si>
  <si>
    <t>USD400m notes due 2044</t>
  </si>
  <si>
    <t>MXN6.85m TIIE+0.8% notes  due 2019</t>
  </si>
  <si>
    <t>MXN2m 8.4% notes  due 2023</t>
  </si>
  <si>
    <t>MXN7.5m 6.99% notes  due 2024</t>
  </si>
  <si>
    <t>UDIS bond due 2028</t>
  </si>
  <si>
    <t>Total Secured Debt</t>
  </si>
  <si>
    <t>Mortgages</t>
  </si>
  <si>
    <t>Total Unsecured Debt</t>
  </si>
  <si>
    <t>Debt Amortization as at June 2015</t>
  </si>
  <si>
    <t>Liquidity as at June 2015</t>
  </si>
  <si>
    <t>MXN (m)</t>
  </si>
  <si>
    <t>Banking Facility</t>
  </si>
  <si>
    <t>Availability</t>
  </si>
  <si>
    <t>2021 and beyond</t>
  </si>
  <si>
    <t>Liquidity as at June 2017</t>
  </si>
  <si>
    <t>Manual inputs are in Blue</t>
  </si>
  <si>
    <t>USP9406GAA69</t>
  </si>
  <si>
    <t>USP9406GAB43</t>
  </si>
  <si>
    <t>Securities</t>
  </si>
  <si>
    <t>SECURITY_DES</t>
  </si>
  <si>
    <t>Tranche</t>
  </si>
  <si>
    <t>CRNCY</t>
  </si>
  <si>
    <t>Currency</t>
  </si>
  <si>
    <t>PAYMENT_RANK</t>
  </si>
  <si>
    <t>Type</t>
  </si>
  <si>
    <t>AMT_OUTSTANDING</t>
  </si>
  <si>
    <t>Size</t>
  </si>
  <si>
    <t>CPN</t>
  </si>
  <si>
    <t>Coupon</t>
  </si>
  <si>
    <t>ISSUE_DT</t>
  </si>
  <si>
    <t>Issue date</t>
  </si>
  <si>
    <t>MATURITY</t>
  </si>
  <si>
    <t>Maturity</t>
  </si>
  <si>
    <t>CALLABLE</t>
  </si>
  <si>
    <t>Callable</t>
  </si>
  <si>
    <t>NXT_CALL_DT</t>
  </si>
  <si>
    <t>Call date</t>
  </si>
  <si>
    <t>N</t>
  </si>
  <si>
    <t>Puttable</t>
  </si>
  <si>
    <t>Series</t>
  </si>
  <si>
    <t>RegS/144A</t>
  </si>
  <si>
    <t>Governing law</t>
  </si>
  <si>
    <t>New York</t>
  </si>
  <si>
    <t>PX_ASK</t>
  </si>
  <si>
    <t>Bond Price</t>
  </si>
  <si>
    <t>SPREAD_TO_TSY_ASK</t>
  </si>
  <si>
    <t>Spread over UST</t>
  </si>
  <si>
    <t>YAS_BNCHMRK_SECURITY_DES</t>
  </si>
  <si>
    <t>UST Benchmark</t>
  </si>
  <si>
    <t>OAS_SPREAD_ASK</t>
  </si>
  <si>
    <t>L OAS</t>
  </si>
  <si>
    <t>YLD_YTM_ASK</t>
  </si>
  <si>
    <t>YTM</t>
  </si>
  <si>
    <t>YLD_CNV_LAST</t>
  </si>
  <si>
    <t>DUR_ADJ_ASK</t>
  </si>
  <si>
    <t>OAD</t>
  </si>
  <si>
    <t>Witholding tax (Y/N)</t>
  </si>
  <si>
    <t>CHNG_OF_CONTROL_COVENANT</t>
  </si>
  <si>
    <t>Change of Control (Y/N)</t>
  </si>
  <si>
    <t>Pre-empt languaage if tax event (Y/N)</t>
  </si>
  <si>
    <t>Y</t>
  </si>
  <si>
    <t>BOOK_LIST</t>
  </si>
  <si>
    <t>Bookrunners</t>
  </si>
  <si>
    <t>LEAD_MGR</t>
  </si>
  <si>
    <t>Lead</t>
  </si>
  <si>
    <t>ISSUER</t>
  </si>
  <si>
    <t>Description</t>
  </si>
  <si>
    <t>Ticker</t>
  </si>
  <si>
    <t>Amt o/s</t>
  </si>
  <si>
    <t>YAS_BOND_YLD</t>
  </si>
  <si>
    <t>OAS</t>
  </si>
  <si>
    <t>Ratings</t>
  </si>
  <si>
    <t>Mexico CDS USD SR 5Y</t>
  </si>
  <si>
    <t>Mexico CDS USD SR 10Y</t>
  </si>
  <si>
    <t>CEMBI BROAD Div Mexico</t>
  </si>
  <si>
    <t>JCBSMXBS  Index</t>
  </si>
  <si>
    <t>CEMBI BROAD Div A Rating</t>
  </si>
  <si>
    <t>JCBDCA  Index</t>
  </si>
  <si>
    <t>CEMBI BROAD Div BBB Rating</t>
  </si>
  <si>
    <t>JCBDCBBB Index</t>
  </si>
  <si>
    <t>BBB/Baa2</t>
  </si>
  <si>
    <t>CEMBI BROAD Div Real Estate</t>
  </si>
  <si>
    <t>JCBDRLES Index</t>
  </si>
  <si>
    <t>BBB-/Baa3</t>
  </si>
  <si>
    <t>TRUST F/1401</t>
  </si>
  <si>
    <t>FUNO 6.95 44</t>
  </si>
  <si>
    <t>30/01/2044</t>
  </si>
  <si>
    <t>N/R/Baa2/BBB</t>
  </si>
  <si>
    <t>FUNO 5.25 24</t>
  </si>
  <si>
    <t>15/12/2024</t>
  </si>
  <si>
    <t>CHAMPION MTN LTD</t>
  </si>
  <si>
    <t>CPREIT 3.75 23</t>
  </si>
  <si>
    <t>CPREIT</t>
  </si>
  <si>
    <t>17/01/2023</t>
  </si>
  <si>
    <t>N/R/N/R/N/R</t>
  </si>
  <si>
    <t>GOODMAN HK FINANCE</t>
  </si>
  <si>
    <t>GOOMAN</t>
  </si>
  <si>
    <t>19/06/2024</t>
  </si>
  <si>
    <t>BBB+/N/R/N/R</t>
  </si>
  <si>
    <t>LINK FINANCE CAYMAN 2009</t>
  </si>
  <si>
    <t>LINREI</t>
  </si>
  <si>
    <t>03/09/2024</t>
  </si>
  <si>
    <t>A/A2/N/R</t>
  </si>
  <si>
    <t>DIFC SUKUK</t>
  </si>
  <si>
    <t>DIFCAE 4.325 24</t>
  </si>
  <si>
    <t>DIFCAE</t>
  </si>
  <si>
    <t>12/11/2024</t>
  </si>
  <si>
    <t>BBB-/N/R/N/R</t>
  </si>
  <si>
    <t>MAF GLOBAL SECURITIES</t>
  </si>
  <si>
    <t>MAFUAE 4.75 24</t>
  </si>
  <si>
    <t>MAFUAE</t>
  </si>
  <si>
    <t>07/05/2024</t>
  </si>
  <si>
    <t>BBB/N/R/BBB</t>
  </si>
  <si>
    <t>WISEYEAR HOLDINGS LTD</t>
  </si>
  <si>
    <t>KERPRO 5.875 21</t>
  </si>
  <si>
    <t>KERPRO</t>
  </si>
  <si>
    <t>06/04/2021</t>
  </si>
  <si>
    <t>YUEXIU REIT MTN CO</t>
  </si>
  <si>
    <t>YXREIT 3.1 18</t>
  </si>
  <si>
    <t>YXREIT</t>
  </si>
  <si>
    <t>14/05/2018</t>
  </si>
  <si>
    <t>BBB/Baa2/N/R</t>
  </si>
  <si>
    <t>CENTURY MASTER INVESTMEN</t>
  </si>
  <si>
    <t>ORIEAS 4.75 18</t>
  </si>
  <si>
    <t>ORIEAS</t>
  </si>
  <si>
    <t>19/09/2018</t>
  </si>
  <si>
    <t>BBB/N/R/A-</t>
  </si>
  <si>
    <t>HYSAN (MTN) LIMITED</t>
  </si>
  <si>
    <t>HYSAN</t>
  </si>
  <si>
    <t>16/01/2023</t>
  </si>
  <si>
    <t>GAIN SILVER FINANCE LTD</t>
  </si>
  <si>
    <t>KERPRO 6.375 16</t>
  </si>
  <si>
    <t>25/08/2016</t>
  </si>
  <si>
    <t>MAFUAE 5.25 19</t>
  </si>
  <si>
    <t>05/07/2019</t>
  </si>
  <si>
    <t>KERPRO 5 17</t>
  </si>
  <si>
    <t>15/02/2017</t>
  </si>
  <si>
    <t>SUKUK FUNDING NO3 LTD</t>
  </si>
  <si>
    <t>ALDAR 4.348 18</t>
  </si>
  <si>
    <t>ALDAR</t>
  </si>
  <si>
    <t>03/12/2018</t>
  </si>
  <si>
    <t>BBB-/Baa3/N/R</t>
  </si>
  <si>
    <t>NAN FUNG TREASURY I LTD</t>
  </si>
  <si>
    <t>NANFUN 5.25 17</t>
  </si>
  <si>
    <t>NANFUN</t>
  </si>
  <si>
    <t>20/01/2017</t>
  </si>
  <si>
    <t>BBB-/Baa3/BBB</t>
  </si>
  <si>
    <t>MAF SUKUK LTD</t>
  </si>
  <si>
    <t>MAFUAE 5.85 17</t>
  </si>
  <si>
    <t>07/02/2017</t>
  </si>
  <si>
    <t>CHINA OVERSEA FIN KY III</t>
  </si>
  <si>
    <t>CHIOLI 6.375 43</t>
  </si>
  <si>
    <t>CHIOLI</t>
  </si>
  <si>
    <t>29/10/2043</t>
  </si>
  <si>
    <t>BBB+/Baa1/BBB+</t>
  </si>
  <si>
    <t>CHINA OVERSEAS FINANCE C</t>
  </si>
  <si>
    <t>CHIOLI 5.35 42</t>
  </si>
  <si>
    <t>15/11/2042</t>
  </si>
  <si>
    <t>BBB+/Baa1/N/R</t>
  </si>
  <si>
    <t>WANDA PROPERTIES INTL CO</t>
  </si>
  <si>
    <t>DALWAN 7.25 24</t>
  </si>
  <si>
    <t>DALWAN</t>
  </si>
  <si>
    <t>29/01/2024</t>
  </si>
  <si>
    <t>BBB-/Baa3/BBB+</t>
  </si>
  <si>
    <t>CHINA OVERSEAS FIN. VI</t>
  </si>
  <si>
    <t>CHIOLI 6.45 34</t>
  </si>
  <si>
    <t>11/06/2034</t>
  </si>
  <si>
    <t>CHIOLI 5.95 24</t>
  </si>
  <si>
    <t>08/05/2024</t>
  </si>
  <si>
    <t>CHIOLI 5.375 23</t>
  </si>
  <si>
    <t>29/10/2023</t>
  </si>
  <si>
    <t>CHINA RESOURCES LAND LTD</t>
  </si>
  <si>
    <t>CRHZCH 6 24</t>
  </si>
  <si>
    <t>CRHZCH</t>
  </si>
  <si>
    <t>27/02/2024</t>
  </si>
  <si>
    <t>FRANSHION DEVELOPMENT LT</t>
  </si>
  <si>
    <t>FRANSH 6.75 21</t>
  </si>
  <si>
    <t>FRANSH</t>
  </si>
  <si>
    <t>15/04/2021</t>
  </si>
  <si>
    <t>BBB-/Baa3/BBB-</t>
  </si>
  <si>
    <t>CHIOLI 3.95 22</t>
  </si>
  <si>
    <t>15/11/2022</t>
  </si>
  <si>
    <t>WANDA PROPERTIES OVERSEA</t>
  </si>
  <si>
    <t>DALWAN 4.875 18</t>
  </si>
  <si>
    <t>21/11/2018</t>
  </si>
  <si>
    <t>FRANSHION BRILLIANT LTD</t>
  </si>
  <si>
    <t>FRANSH 5.75 19</t>
  </si>
  <si>
    <t>19/03/2019</t>
  </si>
  <si>
    <t>CHINA OVRSEA FIN KY II</t>
  </si>
  <si>
    <t>CHIOLI 5.5 20</t>
  </si>
  <si>
    <t>10/11/2020</t>
  </si>
  <si>
    <t>FRANSH 5.375 18</t>
  </si>
  <si>
    <t>17/10/2018</t>
  </si>
  <si>
    <t>CHIOLI 4.25 19</t>
  </si>
  <si>
    <t>08/05/2019</t>
  </si>
  <si>
    <t>CRHZCH 4.375 19</t>
  </si>
  <si>
    <t>27/02/2019</t>
  </si>
  <si>
    <t>FRANSHION INVESTMENT LTD</t>
  </si>
  <si>
    <t>FRANSH 4.7 17</t>
  </si>
  <si>
    <t>26/10/2017</t>
  </si>
  <si>
    <t>CHIOLI 3.375 18</t>
  </si>
  <si>
    <t>29/10/2018</t>
  </si>
  <si>
    <t>CHINA OVERSEAS FIN CAYMA</t>
  </si>
  <si>
    <t>CHIOLI 4.875 17</t>
  </si>
  <si>
    <t>CRHZCH 4.625 16</t>
  </si>
  <si>
    <t>19/05/2016</t>
  </si>
  <si>
    <t>As at Dec 2013 (HKD m)</t>
  </si>
  <si>
    <t>Hysan development</t>
  </si>
  <si>
    <t>Swire Properties</t>
  </si>
  <si>
    <t>Hong Kong Land</t>
  </si>
  <si>
    <t>Hang Lung</t>
  </si>
  <si>
    <t>Henderson Land</t>
  </si>
  <si>
    <t>Sun Hung Kai Properties</t>
  </si>
  <si>
    <t>Wharf Holding</t>
  </si>
  <si>
    <t>Wheelock</t>
  </si>
  <si>
    <t>Sino Land</t>
  </si>
  <si>
    <t>Cheung Kong</t>
  </si>
  <si>
    <t>Kerry Properties</t>
  </si>
  <si>
    <t>New World Devt</t>
  </si>
  <si>
    <t>Swire pacific</t>
  </si>
  <si>
    <t>Nan Fung</t>
  </si>
  <si>
    <t>Champion REIT</t>
  </si>
  <si>
    <t>Shangri La Asia</t>
  </si>
  <si>
    <t>Regal Hotels</t>
  </si>
  <si>
    <t>14 HK</t>
  </si>
  <si>
    <t>1972 HK</t>
  </si>
  <si>
    <t>HKL SP</t>
  </si>
  <si>
    <t xml:space="preserve">101 HK </t>
  </si>
  <si>
    <t xml:space="preserve">12 HK </t>
  </si>
  <si>
    <t xml:space="preserve">16 HK </t>
  </si>
  <si>
    <t>4 HK</t>
  </si>
  <si>
    <t>20 HK</t>
  </si>
  <si>
    <t xml:space="preserve">83 HK </t>
  </si>
  <si>
    <t>1 HK</t>
  </si>
  <si>
    <t>683 HK</t>
  </si>
  <si>
    <t>17 HK</t>
  </si>
  <si>
    <t>19 HK</t>
  </si>
  <si>
    <t>NANFUN HK</t>
  </si>
  <si>
    <t>69 HK</t>
  </si>
  <si>
    <t>78 HK</t>
  </si>
  <si>
    <t>SWIPRO</t>
  </si>
  <si>
    <t>HKLSP</t>
  </si>
  <si>
    <t>HLPPY</t>
  </si>
  <si>
    <t>HENLND</t>
  </si>
  <si>
    <t>SUNHUN</t>
  </si>
  <si>
    <t>WHARF</t>
  </si>
  <si>
    <t>WHEELK</t>
  </si>
  <si>
    <t>SINOLN</t>
  </si>
  <si>
    <t>CHEUNG</t>
  </si>
  <si>
    <t>NWDEVL</t>
  </si>
  <si>
    <t>SWIRE</t>
  </si>
  <si>
    <t>SLACP</t>
  </si>
  <si>
    <t>REGH</t>
  </si>
  <si>
    <t>A3/BBB+/BBB+</t>
  </si>
  <si>
    <t>A2/A-/A</t>
  </si>
  <si>
    <t>A2/A</t>
  </si>
  <si>
    <t>NR/NR/NR</t>
  </si>
  <si>
    <t>A1/A+/A-</t>
  </si>
  <si>
    <t>NR/NR/A-</t>
  </si>
  <si>
    <t>NR/BBB-/NR</t>
  </si>
  <si>
    <t>A3/A-/A-</t>
  </si>
  <si>
    <t>Baa3/BBB-/BBB</t>
  </si>
  <si>
    <t>market share (by sales value)</t>
  </si>
  <si>
    <t>Hotel, serviced apts, car park</t>
  </si>
  <si>
    <t>Total Rental revenue</t>
  </si>
  <si>
    <t>Property development revenue</t>
  </si>
  <si>
    <t>Other revenue</t>
  </si>
  <si>
    <t>% total rental revenue</t>
  </si>
  <si>
    <t>% property development revenue</t>
  </si>
  <si>
    <t>% non real estate revenue</t>
  </si>
  <si>
    <t>Office rental as % of total revenue</t>
  </si>
  <si>
    <t>Retail rental as % of total revenue</t>
  </si>
  <si>
    <t>% of revenue from China</t>
  </si>
  <si>
    <t>Gross profit</t>
  </si>
  <si>
    <t>Dividends received</t>
  </si>
  <si>
    <t>Gross interest expense</t>
  </si>
  <si>
    <t>Rental revenue to Interest coverage</t>
  </si>
  <si>
    <t>Effective funding cost</t>
  </si>
  <si>
    <t>Cash (unrestricted)</t>
  </si>
  <si>
    <t>ST debt</t>
  </si>
  <si>
    <t>Cash to ST debt ratio</t>
  </si>
  <si>
    <t xml:space="preserve">% Cash to total debt </t>
  </si>
  <si>
    <t>Undrawn lines</t>
  </si>
  <si>
    <t>Not disclosed</t>
  </si>
  <si>
    <t>Secured debt</t>
  </si>
  <si>
    <t>Secured debt to total debt %</t>
  </si>
  <si>
    <t>Pledged assets</t>
  </si>
  <si>
    <t>Pledged assets as % of total assets</t>
  </si>
  <si>
    <t>Book Equity</t>
  </si>
  <si>
    <t>Total debt as % of total assets</t>
  </si>
  <si>
    <t>Book value of investment properties</t>
  </si>
  <si>
    <t>Total assets</t>
  </si>
  <si>
    <t>IP as % of total assets</t>
  </si>
  <si>
    <t>Ranking</t>
  </si>
  <si>
    <t>USD</t>
  </si>
  <si>
    <t>HLP FINANCE LTD</t>
  </si>
  <si>
    <t>HLPPY 4.75 22</t>
  </si>
  <si>
    <t>25/06/2022</t>
  </si>
  <si>
    <t>HLPPY 4.45 21</t>
  </si>
  <si>
    <t>16/04/2021</t>
  </si>
  <si>
    <t>SUN HUNG KAI PROP (CAP)</t>
  </si>
  <si>
    <t>SUNHUN 3.375 24</t>
  </si>
  <si>
    <t>25/02/2024</t>
  </si>
  <si>
    <t>A+/A1/N/R</t>
  </si>
  <si>
    <t>HONGKONG LAND FINANCE</t>
  </si>
  <si>
    <t>HKLSP 4.5 25</t>
  </si>
  <si>
    <t>07/10/2025</t>
  </si>
  <si>
    <t>A/A2/A</t>
  </si>
  <si>
    <t>SUNHUN 4 20</t>
  </si>
  <si>
    <t>02/11/2020</t>
  </si>
  <si>
    <t>A+/A1/A</t>
  </si>
  <si>
    <t>SWIRE PACIFIC MTN FIN</t>
  </si>
  <si>
    <t>SWIRE 4.5 22</t>
  </si>
  <si>
    <t>28/02/2022</t>
  </si>
  <si>
    <t>A-/A3/A-</t>
  </si>
  <si>
    <t>SWIRE PROPERT MTN FIN</t>
  </si>
  <si>
    <t>SWIPRO 4.375 22</t>
  </si>
  <si>
    <t>18/06/2022</t>
  </si>
  <si>
    <t>A-/A2/A</t>
  </si>
  <si>
    <t>SUNHUN 4.5 22</t>
  </si>
  <si>
    <t>14/02/2022</t>
  </si>
  <si>
    <t>SUNHUN 3.625 23</t>
  </si>
  <si>
    <t>BBB+/A3/N/R</t>
  </si>
  <si>
    <t>HKLSP 4.5 22</t>
  </si>
  <si>
    <t>01/06/2022</t>
  </si>
  <si>
    <t>HKLSP 4.625 24</t>
  </si>
  <si>
    <t>16/01/2024</t>
  </si>
  <si>
    <t>SWIRE 4.5 23</t>
  </si>
  <si>
    <t>09/10/2023</t>
  </si>
  <si>
    <t>A-/A3/N/R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</si>
</sst>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_-* #,##0.00_-;\-* #,##0.00_-;_-* &quot;-&quot;??_-;_-@_-"/>
    <numFmt numFmtId="166" formatCode="#,##0.0_);\(#,##0.0\)"/>
    <numFmt numFmtId="167" formatCode="mmm\ yyyy"/>
    <numFmt numFmtId="168" formatCode="0.0%"/>
    <numFmt numFmtId="169" formatCode="0.0"/>
    <numFmt numFmtId="170" formatCode="0.00\x"/>
    <numFmt numFmtId="171" formatCode="_(* #,##0.0_);_(* \(#,##0.0\);_(* &quot;-&quot;??_);_(@_)"/>
    <numFmt numFmtId="172" formatCode="_(* #,##0.000_);_(* \(#,##0.000\);_(* &quot;-&quot;??_);_(@_)"/>
    <numFmt numFmtId="173" formatCode="_(* #,##0_);_(* \(#,##0\);_(* &quot;-&quot;??_);_(@_)"/>
    <numFmt numFmtId="174" formatCode="_(* #,##0.00000_);_(* \(#,##0.00000\);_(* &quot;-&quot;??_);_(@_)"/>
    <numFmt numFmtId="175" formatCode="0.000%"/>
    <numFmt numFmtId="176" formatCode="_(&quot;$&quot;* #,##0_);_(&quot;$&quot;* \(#,##0\);_(&quot;$&quot;* &quot;-&quot;??_);_(@_)"/>
    <numFmt numFmtId="177" formatCode="_(&quot;$&quot;* #,##0.0_);_(&quot;$&quot;* \(#,##0.0\);_(&quot;$&quot;* &quot;-&quot;??_);_(@_)"/>
    <numFmt numFmtId="178" formatCode="#,##0.0\ ;\(#,##0.0\)"/>
    <numFmt numFmtId="179" formatCode="&quot;$&quot;#,##0.00_)&quot;per share&quot;;\(&quot;$&quot;#,##0.00\)&quot; per share&quot;"/>
    <numFmt numFmtId="180" formatCode="0.0_)\%;\(0.0\)\%;0.0_)\%;@_)_%"/>
    <numFmt numFmtId="181" formatCode="#,##0.0_)_%;\(#,##0.0\)_%;0.0_)_%;@_)_%"/>
    <numFmt numFmtId="182" formatCode="#,##0.0_);\(#,##0.0\);#,##0.0_);@_)"/>
    <numFmt numFmtId="183" formatCode="&quot;$&quot;_(#,##0.00_);&quot;$&quot;\(#,##0.00\);&quot;$&quot;_(0.00_);@_)"/>
    <numFmt numFmtId="184" formatCode="&quot;$&quot;_(#,##0.00_);&quot;$&quot;\(#,##0.00\)"/>
    <numFmt numFmtId="185" formatCode="#,##0.00_);\(#,##0.00\);0.00_);@_)"/>
    <numFmt numFmtId="186" formatCode="\€_(#,##0.00_);\€\(#,##0.00\);\€_(0.00_);@_)"/>
    <numFmt numFmtId="187" formatCode="#,##0_)\x;\(#,##0\)\x;0_)\x;@_)_x"/>
    <numFmt numFmtId="188" formatCode="#,##0.0_)\x;\(#,##0.0\)\x"/>
    <numFmt numFmtId="189" formatCode="#,##0_)_x;\(#,##0\)_x;0_)_x;@_)_x"/>
    <numFmt numFmtId="190" formatCode="#,##0.0_)_x;\(#,##0.0\)_x"/>
    <numFmt numFmtId="191" formatCode="0.0_)\%;\(0.0\)\%"/>
    <numFmt numFmtId="192" formatCode="#,##0.0_)_%;\(#,##0.0\)_%"/>
    <numFmt numFmtId="193" formatCode="_(\£* #,##0_);_(\£* \(#,##0\);_(\£* &quot;-&quot;_);_(@_)"/>
    <numFmt numFmtId="194" formatCode="_(\£* #,##0.0_);_(\£* \(#,##0.0\);_(\£* &quot;-&quot;_);_(@_)"/>
    <numFmt numFmtId="195" formatCode="_(\£* #,##0.00_);_(\£* \(#,##0.00\);_(\£* &quot;-&quot;_);_(@_)"/>
    <numFmt numFmtId="196" formatCode="_(* #,##0\p_);_(* \(#,##0\p\);_(* &quot;-&quot;\ \p_);_(@_)"/>
    <numFmt numFmtId="197" formatCode="_(* #,##0.00\p_);_(* \(#,##0.00\p\);_(* &quot;-&quot;\ \p_);_(@_)"/>
    <numFmt numFmtId="198" formatCode="\£#,##0.00"/>
    <numFmt numFmtId="199" formatCode="&quot;$&quot;&quot; &quot;#,##0_);\(&quot;$&quot;&quot; &quot;#,##0\);\-_)"/>
    <numFmt numFmtId="200" formatCode="#,##0_);\(#,##0\);\-_)"/>
    <numFmt numFmtId="201" formatCode="&quot;$&quot;#,##0_);[Red]\(&quot;$&quot;#,##0\);&quot;-&quot;"/>
    <numFmt numFmtId="202" formatCode="[Blue]0.0%;[Blue]\-0.0%"/>
    <numFmt numFmtId="203" formatCode="\£#,##0_);\(\£#,##0\)"/>
    <numFmt numFmtId="204" formatCode="&quot;fl&quot;#,##0_);\(&quot;fl&quot;#,##0\)"/>
    <numFmt numFmtId="205" formatCode="&quot;$&quot;\ #,##0_);\(&quot;$&quot;\ #,##0\)"/>
    <numFmt numFmtId="206" formatCode="_(&quot;R$&quot;* #,##0.00_);_(&quot;R$&quot;* \(#,##0.00\);_(&quot;R$&quot;* &quot;-&quot;??_);_(@_)"/>
    <numFmt numFmtId="207" formatCode="0.0\x;[Red]\(0.0\x\)"/>
    <numFmt numFmtId="208" formatCode="#,##0.0_);\(#,##0.0\);&quot;—&quot;_)"/>
    <numFmt numFmtId="209" formatCode="&quot;$&quot;#,##0.0_);\(&quot;$&quot;#,##0.0\);&quot;—&quot;_)"/>
    <numFmt numFmtId="210" formatCode="0.000000000%"/>
    <numFmt numFmtId="211" formatCode="#,##0.0000"/>
    <numFmt numFmtId="212" formatCode="mm/dd/yy"/>
    <numFmt numFmtId="213" formatCode="&quot;$&quot;#,##0.00"/>
    <numFmt numFmtId="214" formatCode="_([$€-2]* #,##0.00_);_([$€-2]* \(#,##0.00\);_([$€-2]* &quot;-&quot;??_)"/>
    <numFmt numFmtId="215" formatCode="#&quot; mon&quot;"/>
    <numFmt numFmtId="216" formatCode="#,##0\ &quot;F&quot;;[Red]\-#,##0\ &quot;F&quot;"/>
    <numFmt numFmtId="217" formatCode="#,##0.00\ &quot;F&quot;;[Red]\-#,##0.00\ &quot;F&quot;"/>
    <numFmt numFmtId="218" formatCode="#,##0.0\x_)_);\(#,##0.0\x\)_);#,##0.0\x_)_);@_%_)"/>
    <numFmt numFmtId="219" formatCode="_(* #,##0.00\ ___);_(* \(#,##0.00\ __\);_(* &quot;-&quot;??_);_(@_)"/>
    <numFmt numFmtId="220" formatCode="0%\);[Red]\(0%"/>
    <numFmt numFmtId="221" formatCode="_(* #,##0\ ___);_(* \(#,##0\ __\);_(* &quot;-&quot;??_);_(@_)"/>
    <numFmt numFmtId="222" formatCode="_(* #,##0\ \x_);_(* \(#,##0\ \x\);_(* &quot;-&quot;??_);_(@_)"/>
    <numFmt numFmtId="223" formatCode="0%_);[Red]\(0%\)"/>
    <numFmt numFmtId="224" formatCode="_(* #,##0.0\ ___);_(* \(#,##0.0\ __\);_(* &quot;-&quot;??_);_(@_)"/>
    <numFmt numFmtId="225" formatCode="_(* #,##0.0\ \x_);_(* \(#,##0.0\ \x\);_(* &quot;-&quot;??_);_(@_)"/>
    <numFmt numFmtId="226" formatCode="#,##0&quot; F&quot;_);\(#,##0&quot; F&quot;\)"/>
    <numFmt numFmtId="227" formatCode="_(* #,##0.00_);_(* \(\ #,##0.00\ \);_(* &quot;&quot;??_);_(\ @_ \)"/>
    <numFmt numFmtId="228" formatCode="0.00_)"/>
    <numFmt numFmtId="229" formatCode="_(* #,##0.0_);_(* \(#,##0.0\);_(* &quot;-&quot;?_);_(@_)"/>
    <numFmt numFmtId="230" formatCode="0.00%\ &quot;Ramped&quot;\ "/>
    <numFmt numFmtId="231" formatCode="0.00%\ &quot;Ramped&quot;"/>
    <numFmt numFmtId="232" formatCode="0.0000"/>
    <numFmt numFmtId="233" formatCode="0.000"/>
    <numFmt numFmtId="234" formatCode="&quot;Diversity =&quot;\ #.0"/>
    <numFmt numFmtId="235" formatCode="&quot;Ratings Factor =&quot;\ #"/>
    <numFmt numFmtId="236" formatCode="&quot;Page &quot;0"/>
    <numFmt numFmtId="237" formatCode="&quot;\&quot;#,##0.00;[Red]\-&quot;\&quot;#,##0.00"/>
    <numFmt numFmtId="238" formatCode="0.0_%"/>
    <numFmt numFmtId="239" formatCode="_(0.0%;_(* \(0.0\)%"/>
    <numFmt numFmtId="240" formatCode="_(* #,##0.0000_);_(* \(#,##0.0000\);_(* &quot;-&quot;??_);_(@_)"/>
    <numFmt numFmtId="241" formatCode="0&quot; bps&quot;"/>
    <numFmt numFmtId="242" formatCode="&quot;WAS =&quot;\ #.00"/>
    <numFmt numFmtId="243" formatCode="&quot;Avg. Px.=&quot;#.00"/>
    <numFmt numFmtId="244" formatCode="&quot;WAL=&quot;#.00"/>
    <numFmt numFmtId="245" formatCode="#.00\ &quot;years&quot;"/>
    <numFmt numFmtId="246" formatCode="&quot;2nd Lien=&quot;#"/>
    <numFmt numFmtId="247" formatCode="&quot;WAPP=&quot;#.00"/>
    <numFmt numFmtId="248" formatCode="&quot;WAS=&quot;#.00"/>
    <numFmt numFmtId="249" formatCode="&quot;WAC=&quot;#.00"/>
    <numFmt numFmtId="250" formatCode="&quot;$&quot;#,##0.0_);\(&quot;$&quot;#,##0.0\)"/>
    <numFmt numFmtId="251" formatCode="#,###,;\(#,###,\)"/>
    <numFmt numFmtId="252" formatCode="000\-00\-0000"/>
    <numFmt numFmtId="253" formatCode="&quot;$&quot;#,##0.0000"/>
    <numFmt numFmtId="254" formatCode="&quot;$&quot;#,##0.000000"/>
    <numFmt numFmtId="255" formatCode="&quot;$&quot;#,##0.000"/>
    <numFmt numFmtId="256" formatCode="000000000"/>
    <numFmt numFmtId="257" formatCode="000"/>
    <numFmt numFmtId="258" formatCode="hh:mm\ AM/PM_)"/>
    <numFmt numFmtId="259" formatCode="#.0&quot;x&quot;"/>
    <numFmt numFmtId="260" formatCode="yyyy"/>
    <numFmt numFmtId="261" formatCode="\¥#,##0_);\(\¥#,##0\)"/>
    <numFmt numFmtId="262" formatCode="0.0_);\(0.0\)"/>
    <numFmt numFmtId="263" formatCode="_-* #,##0_-;\-* #,##0_-;_-* &quot;-&quot;??_-;_-@_-"/>
    <numFmt numFmtId="264" formatCode="_-* #,##0.0_-;\-* #,##0.0_-;_-* &quot;-&quot;??_-;_-@_-"/>
    <numFmt numFmtId="265" formatCode="#,##0_ ;\-#,##0\ "/>
    <numFmt numFmtId="266" formatCode="#,##0.0;\-#,##0.0"/>
    <numFmt numFmtId="267" formatCode="#,##0.0"/>
    <numFmt numFmtId="268" formatCode="#,##0.0000_);\(#,##0.0000\)"/>
    <numFmt numFmtId="269" formatCode="0.0\x"/>
    <numFmt numFmtId="270" formatCode="#0.0%_);\(#0.0%\)"/>
    <numFmt numFmtId="271" formatCode="#0.00\x"/>
    <numFmt numFmtId="272" formatCode="#0.0\x"/>
    <numFmt numFmtId="273" formatCode="#,##0.000_);\(#,##0.000\)"/>
    <numFmt numFmtId="274" formatCode="#,##0.00000_);\(#,##0.00000\)"/>
    <numFmt numFmtId="275" formatCode="0.000000\x"/>
    <numFmt numFmtId="276" formatCode="0.000\x"/>
    <numFmt numFmtId="277" formatCode="0.000000000000000000"/>
    <numFmt numFmtId="278" formatCode="#,##0.00000"/>
    <numFmt numFmtId="279" formatCode="#,##0.0000000000"/>
  </numFmts>
  <fonts count="160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b/>
      <i/>
      <sz val="9"/>
      <name val="Arial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8"/>
      <name val="Arial"/>
      <family val="2"/>
    </font>
    <font>
      <u val="singleAccounting"/>
      <sz val="10"/>
      <name val="Arial"/>
      <family val="2"/>
    </font>
    <font>
      <i/>
      <sz val="10"/>
      <name val="Arial"/>
      <family val="2"/>
    </font>
    <font>
      <sz val="1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u/>
      <sz val="10"/>
      <name val="Times New Roman"/>
      <family val="1"/>
    </font>
    <font>
      <b/>
      <sz val="10"/>
      <color indexed="12"/>
      <name val="Times New Roman"/>
      <family val="1"/>
    </font>
    <font>
      <u val="singleAccounting"/>
      <sz val="10"/>
      <name val="Times New Roman"/>
      <family val="1"/>
    </font>
    <font>
      <i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0"/>
      <name val="Book Antiqua"/>
      <family val="1"/>
    </font>
    <font>
      <sz val="8"/>
      <name val="Times"/>
      <family val="1"/>
    </font>
    <font>
      <b/>
      <sz val="12"/>
      <name val="Tms Rmn"/>
    </font>
    <font>
      <sz val="12"/>
      <name val="Arial"/>
      <family val="2"/>
    </font>
    <font>
      <sz val="10"/>
      <color indexed="8"/>
      <name val="Times New Roman"/>
      <family val="1"/>
    </font>
    <font>
      <sz val="8"/>
      <color indexed="12"/>
      <name val="Tms Rmn"/>
    </font>
    <font>
      <sz val="8"/>
      <name val="Helv"/>
    </font>
    <font>
      <sz val="12"/>
      <name val="Tms Rmn"/>
    </font>
    <font>
      <b/>
      <i/>
      <sz val="10"/>
      <name val="Arial"/>
      <family val="2"/>
    </font>
    <font>
      <b/>
      <i/>
      <sz val="12"/>
      <name val="Times New Roman"/>
      <family val="1"/>
    </font>
    <font>
      <b/>
      <u/>
      <sz val="8"/>
      <color indexed="8"/>
      <name val="Times New Roman"/>
      <family val="1"/>
    </font>
    <font>
      <b/>
      <sz val="9"/>
      <color indexed="8"/>
      <name val="Times New Roman"/>
      <family val="1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Book Antiqua"/>
      <family val="1"/>
    </font>
    <font>
      <sz val="14"/>
      <name val="Arial"/>
      <family val="2"/>
    </font>
    <font>
      <sz val="8"/>
      <color indexed="12"/>
      <name val="Times New Roman"/>
      <family val="1"/>
    </font>
    <font>
      <b/>
      <sz val="14"/>
      <name val="Book Antiqua"/>
      <family val="1"/>
    </font>
    <font>
      <sz val="10"/>
      <name val="MS Serif"/>
      <family val="1"/>
    </font>
    <font>
      <sz val="10"/>
      <name val="MS Sans Serif"/>
      <family val="2"/>
    </font>
    <font>
      <sz val="12"/>
      <name val="Times New Roman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b/>
      <i/>
      <sz val="9"/>
      <color indexed="4"/>
      <name val="Times New Roman"/>
      <family val="1"/>
    </font>
    <font>
      <sz val="7"/>
      <name val="Arial"/>
      <family val="2"/>
    </font>
    <font>
      <b/>
      <sz val="14"/>
      <name val="Arial"/>
      <family val="2"/>
    </font>
    <font>
      <u/>
      <sz val="8"/>
      <name val="Times New Roman"/>
      <family val="1"/>
    </font>
    <font>
      <b/>
      <sz val="12"/>
      <color indexed="9"/>
      <name val="Tms Rmn"/>
    </font>
    <font>
      <b/>
      <i/>
      <sz val="18"/>
      <color indexed="4"/>
      <name val="Times New Roman"/>
      <family val="1"/>
    </font>
    <font>
      <b/>
      <sz val="12"/>
      <name val="Arial"/>
      <family val="2"/>
    </font>
    <font>
      <b/>
      <sz val="8"/>
      <name val="Palatino"/>
      <family val="1"/>
    </font>
    <font>
      <b/>
      <sz val="9"/>
      <name val="Arial"/>
      <family val="2"/>
    </font>
    <font>
      <b/>
      <sz val="8"/>
      <name val="MS Sans Serif"/>
      <family val="2"/>
    </font>
    <font>
      <b/>
      <i/>
      <sz val="10"/>
      <name val="Times New Roman"/>
      <family val="1"/>
    </font>
    <font>
      <b/>
      <sz val="10"/>
      <name val="Palatino"/>
      <family val="1"/>
    </font>
    <font>
      <sz val="8"/>
      <name val="Book Antiqua"/>
      <family val="1"/>
    </font>
    <font>
      <sz val="10"/>
      <name val="Geneva"/>
      <family val="2"/>
    </font>
    <font>
      <i/>
      <sz val="7"/>
      <name val="Book Antiqua"/>
      <family val="1"/>
    </font>
    <font>
      <sz val="8"/>
      <name val="Palatino"/>
      <family val="1"/>
    </font>
    <font>
      <b/>
      <i/>
      <sz val="16"/>
      <name val="Helv"/>
    </font>
    <font>
      <sz val="10"/>
      <color indexed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0"/>
      <color indexed="12"/>
      <name val="Times New Roman"/>
      <family val="1"/>
    </font>
    <font>
      <b/>
      <sz val="12"/>
      <name val="Times New Roman"/>
      <family val="1"/>
    </font>
    <font>
      <b/>
      <sz val="15"/>
      <name val="Times New Roman"/>
      <family val="1"/>
    </font>
    <font>
      <sz val="8"/>
      <color indexed="72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u/>
      <sz val="8"/>
      <name val="Book Antiqua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2"/>
      <name val="Arial MT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7"/>
      <color indexed="12"/>
      <name val="Arial"/>
      <family val="2"/>
    </font>
    <font>
      <sz val="8"/>
      <name val="Wingdings"/>
      <charset val="2"/>
    </font>
    <font>
      <sz val="9"/>
      <color indexed="8"/>
      <name val="Times New Roman"/>
      <family val="1"/>
    </font>
    <font>
      <sz val="8"/>
      <name val="MS Sans Serif"/>
      <family val="2"/>
    </font>
    <font>
      <b/>
      <sz val="8"/>
      <color indexed="10"/>
      <name val="Times New Roman"/>
      <family val="1"/>
    </font>
    <font>
      <b/>
      <sz val="8"/>
      <color indexed="8"/>
      <name val="Helv"/>
    </font>
    <font>
      <b/>
      <sz val="14"/>
      <color indexed="8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7"/>
      <color indexed="12"/>
      <name val="Arial"/>
      <family val="2"/>
    </font>
    <font>
      <b/>
      <u/>
      <sz val="10"/>
      <name val="Book Antiqua"/>
      <family val="1"/>
    </font>
    <font>
      <b/>
      <sz val="8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6"/>
      <color indexed="9"/>
      <name val="Calibri"/>
      <family val="2"/>
    </font>
    <font>
      <sz val="10"/>
      <name val="Calibri"/>
      <family val="2"/>
    </font>
    <font>
      <sz val="16"/>
      <name val="Calibri"/>
      <family val="2"/>
    </font>
    <font>
      <b/>
      <sz val="10"/>
      <color indexed="9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2"/>
      <color indexed="9"/>
      <name val="Calibri"/>
      <family val="2"/>
    </font>
    <font>
      <b/>
      <u/>
      <sz val="9"/>
      <color indexed="9"/>
      <name val="Trebuchet MS"/>
      <family val="2"/>
    </font>
    <font>
      <sz val="9"/>
      <color indexed="9"/>
      <name val="Trebuchet MS"/>
      <family val="2"/>
    </font>
    <font>
      <sz val="9"/>
      <name val="Trebuchet MS"/>
      <family val="2"/>
    </font>
    <font>
      <b/>
      <sz val="9"/>
      <color indexed="9"/>
      <name val="Trebuchet MS"/>
      <family val="2"/>
    </font>
    <font>
      <b/>
      <sz val="9"/>
      <name val="Trebuchet MS"/>
      <family val="2"/>
    </font>
    <font>
      <sz val="9"/>
      <color indexed="8"/>
      <name val="Trebuchet MS"/>
      <family val="2"/>
    </font>
    <font>
      <b/>
      <sz val="9"/>
      <color indexed="8"/>
      <name val="Trebuchet MS"/>
      <family val="2"/>
    </font>
    <font>
      <i/>
      <sz val="9"/>
      <name val="Trebuchet MS"/>
      <family val="2"/>
    </font>
    <font>
      <i/>
      <sz val="9"/>
      <color indexed="12"/>
      <name val="Trebuchet MS"/>
      <family val="2"/>
    </font>
    <font>
      <b/>
      <sz val="9"/>
      <color indexed="9"/>
      <name val="Calibri"/>
      <family val="2"/>
    </font>
    <font>
      <sz val="9"/>
      <name val="Calibri"/>
      <family val="2"/>
    </font>
    <font>
      <b/>
      <i/>
      <sz val="9"/>
      <name val="Trebuchet MS"/>
      <family val="2"/>
    </font>
    <font>
      <sz val="8"/>
      <color indexed="12"/>
      <name val="Arial"/>
      <family val="2"/>
    </font>
    <font>
      <b/>
      <sz val="10"/>
      <name val="Calibri"/>
      <family val="2"/>
    </font>
    <font>
      <vertAlign val="superscript"/>
      <sz val="10"/>
      <name val="Calibri"/>
      <family val="2"/>
    </font>
    <font>
      <b/>
      <vertAlign val="superscript"/>
      <sz val="10"/>
      <name val="Calibri"/>
      <family val="2"/>
    </font>
    <font>
      <b/>
      <sz val="10"/>
      <color theme="4"/>
      <name val="Arial"/>
      <family val="2"/>
    </font>
    <font>
      <sz val="10"/>
      <color theme="4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0"/>
      <color rgb="FF0000FF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9"/>
      <name val="Calibri"/>
      <family val="2"/>
      <scheme val="minor"/>
    </font>
    <font>
      <i/>
      <sz val="8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i/>
      <sz val="10"/>
      <color indexed="8"/>
      <name val="Calibri"/>
      <family val="2"/>
      <scheme val="minor"/>
    </font>
    <font>
      <b/>
      <u/>
      <sz val="16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8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lightGray">
        <fgColor indexed="1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56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3"/>
      </patternFill>
    </fill>
    <fill>
      <patternFill patternType="solid">
        <fgColor indexed="1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5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962">
    <xf numFmtId="0" fontId="0" fillId="0" borderId="0"/>
    <xf numFmtId="178" fontId="32" fillId="0" borderId="0"/>
    <xf numFmtId="0" fontId="33" fillId="0" borderId="0">
      <alignment horizontal="right"/>
    </xf>
    <xf numFmtId="0" fontId="8" fillId="0" borderId="0"/>
    <xf numFmtId="0" fontId="2" fillId="0" borderId="0"/>
    <xf numFmtId="179" fontId="25" fillId="0" borderId="0" applyFont="0" applyFill="0" applyBorder="0" applyAlignment="0"/>
    <xf numFmtId="180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8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5" fillId="0" borderId="0">
      <alignment vertical="top"/>
    </xf>
    <xf numFmtId="0" fontId="5" fillId="0" borderId="0">
      <alignment vertical="top"/>
    </xf>
    <xf numFmtId="0" fontId="2" fillId="0" borderId="0" applyNumberFormat="0" applyFill="0" applyBorder="0" applyAlignment="0" applyProtection="0">
      <alignment horizontal="left" wrapText="1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vertical="top"/>
    </xf>
    <xf numFmtId="0" fontId="2" fillId="0" borderId="0">
      <alignment vertical="top"/>
    </xf>
    <xf numFmtId="0" fontId="8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8" fillId="0" borderId="0">
      <alignment vertical="top"/>
    </xf>
    <xf numFmtId="0" fontId="2" fillId="0" borderId="0">
      <alignment vertical="top"/>
    </xf>
    <xf numFmtId="182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39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8" fillId="2" borderId="0" applyNumberFormat="0" applyFont="0" applyAlignment="0" applyProtection="0"/>
    <xf numFmtId="0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189" fontId="8" fillId="0" borderId="0" applyFont="0" applyFill="0" applyBorder="0" applyProtection="0">
      <alignment horizontal="right"/>
    </xf>
    <xf numFmtId="190" fontId="8" fillId="0" borderId="0" applyFont="0" applyFill="0" applyBorder="0" applyAlignment="0" applyProtection="0"/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191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 applyFont="0" applyFill="0" applyBorder="0" applyAlignment="0" applyProtection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8" fillId="0" borderId="0">
      <alignment horizontal="left" wrapText="1"/>
    </xf>
    <xf numFmtId="0" fontId="2" fillId="0" borderId="0">
      <alignment horizontal="left" wrapText="1"/>
    </xf>
    <xf numFmtId="0" fontId="35" fillId="0" borderId="0" applyNumberFormat="0" applyFill="0" applyBorder="0" applyProtection="0">
      <alignment vertical="top"/>
    </xf>
    <xf numFmtId="0" fontId="35" fillId="0" borderId="0" applyNumberFormat="0" applyFill="0" applyBorder="0" applyProtection="0">
      <alignment vertical="top"/>
    </xf>
    <xf numFmtId="0" fontId="36" fillId="0" borderId="1" applyNumberFormat="0" applyFill="0" applyAlignment="0" applyProtection="0"/>
    <xf numFmtId="0" fontId="37" fillId="0" borderId="2" applyNumberFormat="0" applyFill="0" applyProtection="0">
      <alignment horizontal="center"/>
    </xf>
    <xf numFmtId="0" fontId="37" fillId="0" borderId="0" applyNumberFormat="0" applyFill="0" applyBorder="0" applyProtection="0">
      <alignment horizontal="left"/>
    </xf>
    <xf numFmtId="0" fontId="38" fillId="0" borderId="0" applyNumberFormat="0" applyFill="0" applyBorder="0" applyProtection="0">
      <alignment horizontal="centerContinuous"/>
    </xf>
    <xf numFmtId="193" fontId="39" fillId="0" borderId="0" applyFont="0" applyFill="0" applyBorder="0" applyAlignment="0" applyProtection="0"/>
    <xf numFmtId="194" fontId="39" fillId="0" borderId="0" applyFont="0" applyFill="0" applyBorder="0" applyAlignment="0" applyProtection="0"/>
    <xf numFmtId="195" fontId="39" fillId="0" borderId="0" applyFont="0" applyFill="0" applyBorder="0" applyAlignment="0" applyProtection="0"/>
    <xf numFmtId="196" fontId="39" fillId="0" borderId="0" applyFont="0" applyFill="0" applyBorder="0" applyAlignment="0" applyProtection="0"/>
    <xf numFmtId="197" fontId="39" fillId="0" borderId="0" applyFont="0" applyFill="0" applyBorder="0" applyAlignment="0" applyProtection="0"/>
    <xf numFmtId="198" fontId="40" fillId="0" borderId="0" applyFont="0" applyFill="0" applyBorder="0" applyAlignment="0" applyProtection="0"/>
    <xf numFmtId="42" fontId="8" fillId="0" borderId="0" applyFont="0" applyFill="0" applyBorder="0" applyAlignment="0" applyProtection="0"/>
    <xf numFmtId="0" fontId="41" fillId="0" borderId="0" applyNumberFormat="0" applyFont="0" applyFill="0" applyBorder="0" applyProtection="0">
      <alignment horizontal="centerContinuous"/>
    </xf>
    <xf numFmtId="0" fontId="4" fillId="0" borderId="0" applyNumberFormat="0" applyFill="0" applyBorder="0" applyAlignment="0">
      <protection locked="0"/>
    </xf>
    <xf numFmtId="0" fontId="42" fillId="0" borderId="0"/>
    <xf numFmtId="0" fontId="43" fillId="0" borderId="0"/>
    <xf numFmtId="0" fontId="33" fillId="0" borderId="0">
      <alignment horizontal="center" wrapText="1"/>
      <protection locked="0"/>
    </xf>
    <xf numFmtId="0" fontId="8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5" fillId="3" borderId="0" applyNumberFormat="0" applyBorder="0" applyAlignment="0">
      <protection locked="0"/>
    </xf>
    <xf numFmtId="199" fontId="25" fillId="0" borderId="0" applyFont="0" applyFill="0" applyBorder="0" applyAlignment="0" applyProtection="0"/>
    <xf numFmtId="200" fontId="45" fillId="0" borderId="0" applyFont="0" applyFill="0" applyBorder="0" applyAlignment="0" applyProtection="0"/>
    <xf numFmtId="201" fontId="25" fillId="0" borderId="0" applyFont="0" applyFill="0" applyBorder="0" applyAlignment="0" applyProtection="0"/>
    <xf numFmtId="0" fontId="46" fillId="0" borderId="0" applyNumberFormat="0" applyFill="0" applyBorder="0" applyAlignment="0" applyProtection="0"/>
    <xf numFmtId="202" fontId="47" fillId="0" borderId="0"/>
    <xf numFmtId="0" fontId="48" fillId="0" borderId="0" applyNumberFormat="0" applyFill="0" applyBorder="0" applyAlignment="0" applyProtection="0"/>
    <xf numFmtId="0" fontId="6" fillId="0" borderId="0"/>
    <xf numFmtId="0" fontId="49" fillId="0" borderId="0"/>
    <xf numFmtId="0" fontId="41" fillId="0" borderId="3" applyNumberFormat="0" applyFont="0" applyFill="0" applyAlignment="0" applyProtection="0"/>
    <xf numFmtId="0" fontId="50" fillId="0" borderId="4" applyFill="0" applyProtection="0">
      <alignment horizontal="right"/>
    </xf>
    <xf numFmtId="203" fontId="2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51" fillId="0" borderId="0"/>
    <xf numFmtId="0" fontId="32" fillId="0" borderId="0" applyFill="0" applyBorder="0" applyAlignment="0"/>
    <xf numFmtId="0" fontId="32" fillId="0" borderId="0" applyFill="0" applyBorder="0" applyAlignment="0"/>
    <xf numFmtId="204" fontId="32" fillId="0" borderId="0" applyFill="0" applyBorder="0" applyAlignment="0"/>
    <xf numFmtId="205" fontId="32" fillId="0" borderId="0" applyFill="0" applyBorder="0" applyAlignment="0"/>
    <xf numFmtId="206" fontId="8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39" fontId="33" fillId="4" borderId="0" applyNumberFormat="0" applyFont="0" applyBorder="0" applyAlignment="0"/>
    <xf numFmtId="0" fontId="52" fillId="0" borderId="0"/>
    <xf numFmtId="0" fontId="41" fillId="0" borderId="0" applyNumberFormat="0" applyFont="0" applyFill="0" applyBorder="0" applyProtection="0">
      <alignment horizontal="center"/>
    </xf>
    <xf numFmtId="49" fontId="22" fillId="0" borderId="0" applyFill="0" applyBorder="0" applyProtection="0">
      <alignment horizontal="center"/>
    </xf>
    <xf numFmtId="49" fontId="53" fillId="0" borderId="0" applyFill="0" applyBorder="0" applyProtection="0">
      <alignment horizontal="center"/>
    </xf>
    <xf numFmtId="8" fontId="8" fillId="0" borderId="5" applyFont="0" applyFill="0" applyBorder="0" applyProtection="0">
      <alignment horizontal="right"/>
    </xf>
    <xf numFmtId="0" fontId="5" fillId="0" borderId="0"/>
    <xf numFmtId="0" fontId="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5" fillId="0" borderId="3" applyNumberFormat="0" applyFill="0" applyBorder="0" applyAlignment="0" applyProtection="0">
      <alignment horizontal="center"/>
    </xf>
    <xf numFmtId="0" fontId="10" fillId="5" borderId="0"/>
    <xf numFmtId="43" fontId="2" fillId="0" borderId="0" applyFont="0" applyFill="0" applyBorder="0" applyAlignment="0" applyProtection="0"/>
    <xf numFmtId="207" fontId="8" fillId="0" borderId="0"/>
    <xf numFmtId="207" fontId="8" fillId="0" borderId="0"/>
    <xf numFmtId="207" fontId="8" fillId="0" borderId="0"/>
    <xf numFmtId="207" fontId="8" fillId="0" borderId="0"/>
    <xf numFmtId="207" fontId="8" fillId="0" borderId="0"/>
    <xf numFmtId="207" fontId="8" fillId="0" borderId="0"/>
    <xf numFmtId="207" fontId="8" fillId="0" borderId="0"/>
    <xf numFmtId="207" fontId="8" fillId="0" borderId="0"/>
    <xf numFmtId="208" fontId="56" fillId="0" borderId="0"/>
    <xf numFmtId="0" fontId="32" fillId="0" borderId="0" applyFont="0" applyFill="0" applyBorder="0" applyAlignment="0" applyProtection="0"/>
    <xf numFmtId="171" fontId="57" fillId="0" borderId="0" applyFont="0" applyFill="0" applyBorder="0" applyAlignment="0" applyProtection="0"/>
    <xf numFmtId="43" fontId="110" fillId="0" borderId="0" applyFont="0" applyFill="0" applyBorder="0" applyAlignment="0" applyProtection="0"/>
    <xf numFmtId="40" fontId="8" fillId="0" borderId="0" applyFont="0" applyFill="0" applyBorder="0" applyProtection="0">
      <alignment horizontal="right"/>
    </xf>
    <xf numFmtId="3" fontId="8" fillId="0" borderId="0" applyFill="0" applyBorder="0" applyAlignment="0" applyProtection="0"/>
    <xf numFmtId="3" fontId="3" fillId="0" borderId="0" applyFont="0" applyFill="0" applyBorder="0" applyAlignment="0" applyProtection="0"/>
    <xf numFmtId="3" fontId="22" fillId="0" borderId="0" applyFill="0" applyBorder="0" applyAlignment="0" applyProtection="0"/>
    <xf numFmtId="38" fontId="58" fillId="0" borderId="0" applyNumberFormat="0" applyFill="0" applyBorder="0">
      <alignment vertical="center"/>
    </xf>
    <xf numFmtId="0" fontId="59" fillId="0" borderId="0" applyNumberFormat="0" applyAlignment="0">
      <alignment horizontal="left"/>
    </xf>
    <xf numFmtId="44" fontId="2" fillId="0" borderId="0" applyFont="0" applyFill="0" applyBorder="0" applyAlignment="0" applyProtection="0"/>
    <xf numFmtId="7" fontId="8" fillId="0" borderId="0" applyFont="0" applyFill="0" applyBorder="0" applyAlignment="0" applyProtection="0"/>
    <xf numFmtId="209" fontId="56" fillId="0" borderId="0"/>
    <xf numFmtId="0" fontId="32" fillId="0" borderId="0" applyFont="0" applyFill="0" applyBorder="0" applyAlignment="0" applyProtection="0"/>
    <xf numFmtId="210" fontId="25" fillId="0" borderId="0" applyFont="0" applyFill="0" applyBorder="0" applyAlignment="0" applyProtection="0"/>
    <xf numFmtId="8" fontId="41" fillId="0" borderId="0" applyBorder="0"/>
    <xf numFmtId="211" fontId="8" fillId="0" borderId="0" applyNumberFormat="0">
      <alignment horizontal="right"/>
    </xf>
    <xf numFmtId="15" fontId="8" fillId="0" borderId="0" applyFont="0" applyFill="0" applyBorder="0" applyProtection="0">
      <alignment horizontal="right"/>
    </xf>
    <xf numFmtId="14" fontId="5" fillId="0" borderId="0" applyFill="0" applyBorder="0" applyAlignment="0"/>
    <xf numFmtId="15" fontId="8" fillId="0" borderId="0" applyFont="0" applyFill="0" applyBorder="0" applyProtection="0">
      <alignment horizontal="right"/>
    </xf>
    <xf numFmtId="212" fontId="22" fillId="0" borderId="0" applyFill="0" applyBorder="0" applyProtection="0">
      <alignment horizontal="left"/>
    </xf>
    <xf numFmtId="0" fontId="8" fillId="0" borderId="0">
      <alignment horizontal="left"/>
    </xf>
    <xf numFmtId="38" fontId="60" fillId="0" borderId="6">
      <alignment vertical="center"/>
    </xf>
    <xf numFmtId="213" fontId="40" fillId="0" borderId="0" applyFont="0" applyFill="0" applyBorder="0" applyAlignment="0" applyProtection="0"/>
    <xf numFmtId="4" fontId="61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1" fillId="0" borderId="7" applyNumberFormat="0" applyFont="0" applyFill="0" applyAlignment="0" applyProtection="0"/>
    <xf numFmtId="42" fontId="62" fillId="0" borderId="0" applyFill="0" applyBorder="0" applyAlignment="0" applyProtection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63" fillId="0" borderId="0" applyNumberFormat="0" applyAlignment="0">
      <alignment horizontal="left"/>
    </xf>
    <xf numFmtId="214" fontId="8" fillId="0" borderId="0" applyFont="0" applyFill="0" applyBorder="0" applyAlignment="0" applyProtection="0"/>
    <xf numFmtId="168" fontId="41" fillId="0" borderId="0" applyNumberFormat="0" applyFont="0" applyAlignment="0">
      <alignment vertical="center"/>
    </xf>
    <xf numFmtId="0" fontId="64" fillId="0" borderId="0">
      <alignment horizontal="center"/>
    </xf>
    <xf numFmtId="0" fontId="65" fillId="0" borderId="0" applyNumberFormat="0" applyFill="0" applyBorder="0" applyAlignment="0" applyProtection="0"/>
    <xf numFmtId="38" fontId="3" fillId="6" borderId="0" applyNumberFormat="0" applyBorder="0" applyAlignment="0" applyProtection="0"/>
    <xf numFmtId="0" fontId="6" fillId="7" borderId="8" applyAlignment="0" applyProtection="0"/>
    <xf numFmtId="0" fontId="66" fillId="0" borderId="3" applyFill="0" applyProtection="0">
      <alignment horizontal="centerContinuous"/>
    </xf>
    <xf numFmtId="41" fontId="67" fillId="0" borderId="0">
      <alignment horizontal="center"/>
    </xf>
    <xf numFmtId="0" fontId="8" fillId="0" borderId="0">
      <alignment horizontal="center"/>
    </xf>
    <xf numFmtId="0" fontId="8" fillId="0" borderId="0">
      <alignment horizontal="left"/>
    </xf>
    <xf numFmtId="0" fontId="8" fillId="0" borderId="0">
      <alignment horizontal="right"/>
    </xf>
    <xf numFmtId="0" fontId="68" fillId="8" borderId="0"/>
    <xf numFmtId="0" fontId="69" fillId="0" borderId="0">
      <alignment horizontal="center" vertical="center"/>
    </xf>
    <xf numFmtId="0" fontId="70" fillId="0" borderId="9" applyNumberFormat="0" applyAlignment="0" applyProtection="0">
      <alignment horizontal="left" vertical="center"/>
    </xf>
    <xf numFmtId="0" fontId="70" fillId="0" borderId="8">
      <alignment horizontal="left" vertical="center"/>
    </xf>
    <xf numFmtId="0" fontId="71" fillId="0" borderId="0">
      <alignment horizontal="center"/>
    </xf>
    <xf numFmtId="0" fontId="72" fillId="0" borderId="0" applyFill="0" applyBorder="0" applyProtection="0">
      <alignment horizontal="right"/>
    </xf>
    <xf numFmtId="0" fontId="73" fillId="0" borderId="10">
      <alignment horizontal="center"/>
    </xf>
    <xf numFmtId="0" fontId="73" fillId="0" borderId="0">
      <alignment horizontal="center"/>
    </xf>
    <xf numFmtId="10" fontId="46" fillId="0" borderId="0" applyNumberFormat="0" applyFill="0" applyBorder="0" applyAlignment="0" applyProtection="0">
      <alignment horizontal="right"/>
    </xf>
    <xf numFmtId="10" fontId="3" fillId="9" borderId="11" applyNumberFormat="0" applyBorder="0" applyAlignment="0" applyProtection="0"/>
    <xf numFmtId="0" fontId="11" fillId="0" borderId="0"/>
    <xf numFmtId="0" fontId="74" fillId="0" borderId="0"/>
    <xf numFmtId="0" fontId="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9" fontId="3" fillId="0" borderId="0" applyFont="0" applyFill="0" applyBorder="0" applyProtection="0">
      <alignment horizontal="left"/>
    </xf>
    <xf numFmtId="49" fontId="22" fillId="0" borderId="0" applyFill="0" applyBorder="0" applyProtection="0">
      <alignment horizontal="left"/>
    </xf>
    <xf numFmtId="49" fontId="22" fillId="0" borderId="3" applyFill="0" applyProtection="0">
      <alignment horizontal="left"/>
    </xf>
    <xf numFmtId="49" fontId="22" fillId="0" borderId="12" applyFill="0" applyProtection="0">
      <alignment horizontal="left"/>
    </xf>
    <xf numFmtId="0" fontId="75" fillId="0" borderId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166" fontId="8" fillId="0" borderId="0" applyNumberFormat="0" applyFont="0" applyFill="0" applyBorder="0" applyAlignment="0"/>
    <xf numFmtId="17" fontId="25" fillId="0" borderId="0"/>
    <xf numFmtId="0" fontId="33" fillId="0" borderId="0" applyNumberFormat="0" applyFill="0" applyBorder="0" applyProtection="0"/>
    <xf numFmtId="0" fontId="25" fillId="0" borderId="0" applyNumberFormat="0" applyFill="0" applyBorder="0" applyProtection="0"/>
    <xf numFmtId="38" fontId="76" fillId="0" borderId="0" applyNumberFormat="0" applyFill="0" applyBorder="0">
      <alignment horizontal="left" vertical="center"/>
    </xf>
    <xf numFmtId="165" fontId="8" fillId="0" borderId="0" applyFont="0" applyFill="0" applyBorder="0" applyAlignment="0" applyProtection="0"/>
    <xf numFmtId="38" fontId="77" fillId="0" borderId="0" applyFont="0" applyFill="0" applyBorder="0" applyAlignment="0" applyProtection="0"/>
    <xf numFmtId="40" fontId="77" fillId="0" borderId="0" applyFont="0" applyFill="0" applyBorder="0" applyAlignment="0" applyProtection="0"/>
    <xf numFmtId="168" fontId="78" fillId="0" borderId="0" applyFill="0" applyBorder="0">
      <alignment vertical="center"/>
    </xf>
    <xf numFmtId="215" fontId="33" fillId="0" borderId="0">
      <alignment horizontal="center"/>
    </xf>
    <xf numFmtId="216" fontId="77" fillId="0" borderId="0" applyFont="0" applyFill="0" applyBorder="0" applyAlignment="0" applyProtection="0"/>
    <xf numFmtId="217" fontId="77" fillId="0" borderId="0" applyFont="0" applyFill="0" applyBorder="0" applyAlignment="0" applyProtection="0"/>
    <xf numFmtId="7" fontId="8" fillId="0" borderId="0"/>
    <xf numFmtId="218" fontId="79" fillId="0" borderId="0" applyFont="0" applyFill="0" applyBorder="0" applyProtection="0">
      <alignment horizontal="right"/>
    </xf>
    <xf numFmtId="219" fontId="61" fillId="0" borderId="0" applyFont="0" applyFill="0" applyBorder="0" applyAlignment="0" applyProtection="0"/>
    <xf numFmtId="220" fontId="25" fillId="0" borderId="0" applyFont="0" applyFill="0" applyBorder="0" applyAlignment="0" applyProtection="0"/>
    <xf numFmtId="221" fontId="61" fillId="0" borderId="0" applyFont="0" applyFill="0" applyBorder="0" applyAlignment="0" applyProtection="0"/>
    <xf numFmtId="222" fontId="33" fillId="0" borderId="0" applyFont="0" applyFill="0" applyBorder="0" applyAlignment="0" applyProtection="0"/>
    <xf numFmtId="223" fontId="25" fillId="0" borderId="0" applyFont="0" applyFill="0" applyBorder="0" applyAlignment="0" applyProtection="0"/>
    <xf numFmtId="224" fontId="61" fillId="0" borderId="0" applyFont="0" applyFill="0" applyBorder="0" applyAlignment="0" applyProtection="0"/>
    <xf numFmtId="225" fontId="61" fillId="0" borderId="0" applyFont="0" applyFill="0" applyBorder="0" applyAlignment="0" applyProtection="0"/>
    <xf numFmtId="226" fontId="25" fillId="0" borderId="0" applyFont="0" applyFill="0" applyBorder="0" applyAlignment="0" applyProtection="0"/>
    <xf numFmtId="227" fontId="8" fillId="0" borderId="0"/>
    <xf numFmtId="0" fontId="12" fillId="10" borderId="0"/>
    <xf numFmtId="0" fontId="13" fillId="11" borderId="0"/>
    <xf numFmtId="0" fontId="14" fillId="0" borderId="0"/>
    <xf numFmtId="228" fontId="80" fillId="0" borderId="0"/>
    <xf numFmtId="0" fontId="8" fillId="0" borderId="0"/>
    <xf numFmtId="0" fontId="2" fillId="0" borderId="0"/>
    <xf numFmtId="0" fontId="2" fillId="0" borderId="0"/>
    <xf numFmtId="0" fontId="81" fillId="0" borderId="0">
      <alignment horizontal="center"/>
    </xf>
    <xf numFmtId="0" fontId="27" fillId="0" borderId="0">
      <alignment horizontal="center" vertical="center"/>
    </xf>
    <xf numFmtId="0" fontId="25" fillId="0" borderId="13"/>
    <xf numFmtId="0" fontId="25" fillId="0" borderId="14"/>
    <xf numFmtId="49" fontId="25" fillId="0" borderId="14">
      <alignment horizontal="left"/>
    </xf>
    <xf numFmtId="0" fontId="25" fillId="0" borderId="15"/>
    <xf numFmtId="0" fontId="25" fillId="0" borderId="3"/>
    <xf numFmtId="0" fontId="25" fillId="0" borderId="16"/>
    <xf numFmtId="0" fontId="25" fillId="6" borderId="17"/>
    <xf numFmtId="0" fontId="27" fillId="6" borderId="12">
      <alignment horizontal="left"/>
    </xf>
    <xf numFmtId="0" fontId="27" fillId="6" borderId="18">
      <alignment horizontal="left"/>
    </xf>
    <xf numFmtId="0" fontId="25" fillId="6" borderId="12"/>
    <xf numFmtId="0" fontId="25" fillId="0" borderId="0">
      <alignment horizontal="left"/>
    </xf>
    <xf numFmtId="0" fontId="27" fillId="6" borderId="12">
      <alignment horizontal="left"/>
    </xf>
    <xf numFmtId="0" fontId="45" fillId="6" borderId="12">
      <alignment horizontal="left"/>
    </xf>
    <xf numFmtId="0" fontId="25" fillId="6" borderId="18"/>
    <xf numFmtId="0" fontId="25" fillId="0" borderId="13">
      <alignment horizontal="left"/>
    </xf>
    <xf numFmtId="0" fontId="25" fillId="0" borderId="0">
      <alignment horizontal="left"/>
    </xf>
    <xf numFmtId="0" fontId="25" fillId="0" borderId="14">
      <alignment horizontal="center"/>
    </xf>
    <xf numFmtId="0" fontId="25" fillId="0" borderId="0">
      <alignment horizontal="left"/>
    </xf>
    <xf numFmtId="0" fontId="27" fillId="6" borderId="17">
      <alignment horizontal="left"/>
    </xf>
    <xf numFmtId="0" fontId="25" fillId="0" borderId="13">
      <alignment horizontal="left"/>
    </xf>
    <xf numFmtId="0" fontId="25" fillId="0" borderId="13">
      <alignment horizontal="right"/>
    </xf>
    <xf numFmtId="173" fontId="27" fillId="0" borderId="0"/>
    <xf numFmtId="0" fontId="25" fillId="0" borderId="13"/>
    <xf numFmtId="168" fontId="25" fillId="0" borderId="14"/>
    <xf numFmtId="0" fontId="25" fillId="0" borderId="13"/>
    <xf numFmtId="0" fontId="25" fillId="0" borderId="13">
      <alignment horizontal="left"/>
    </xf>
    <xf numFmtId="0" fontId="27" fillId="6" borderId="17"/>
    <xf numFmtId="0" fontId="82" fillId="6" borderId="13">
      <alignment horizontal="left"/>
    </xf>
    <xf numFmtId="0" fontId="25" fillId="6" borderId="14"/>
    <xf numFmtId="0" fontId="27" fillId="6" borderId="13">
      <alignment horizontal="left"/>
    </xf>
    <xf numFmtId="0" fontId="25" fillId="0" borderId="13">
      <alignment horizontal="left"/>
    </xf>
    <xf numFmtId="0" fontId="25" fillId="0" borderId="13">
      <alignment horizontal="left"/>
    </xf>
    <xf numFmtId="14" fontId="81" fillId="0" borderId="0">
      <alignment horizontal="center"/>
    </xf>
    <xf numFmtId="49" fontId="83" fillId="0" borderId="13">
      <alignment horizontal="left"/>
    </xf>
    <xf numFmtId="0" fontId="83" fillId="0" borderId="13"/>
    <xf numFmtId="0" fontId="27" fillId="6" borderId="13">
      <alignment horizontal="left"/>
    </xf>
    <xf numFmtId="0" fontId="27" fillId="6" borderId="13"/>
    <xf numFmtId="49" fontId="25" fillId="0" borderId="14">
      <alignment horizontal="left"/>
    </xf>
    <xf numFmtId="0" fontId="81" fillId="0" borderId="13"/>
    <xf numFmtId="0" fontId="81" fillId="0" borderId="0">
      <alignment horizontal="center"/>
    </xf>
    <xf numFmtId="14" fontId="81" fillId="0" borderId="0">
      <alignment horizontal="center"/>
    </xf>
    <xf numFmtId="0" fontId="81" fillId="0" borderId="15"/>
    <xf numFmtId="0" fontId="25" fillId="0" borderId="3">
      <alignment horizontal="center"/>
    </xf>
    <xf numFmtId="0" fontId="25" fillId="0" borderId="0"/>
    <xf numFmtId="0" fontId="81" fillId="0" borderId="3">
      <alignment horizontal="center"/>
    </xf>
    <xf numFmtId="14" fontId="81" fillId="0" borderId="3">
      <alignment horizontal="center"/>
    </xf>
    <xf numFmtId="0" fontId="27" fillId="0" borderId="0">
      <alignment horizontal="left" vertical="center" wrapText="1"/>
    </xf>
    <xf numFmtId="0" fontId="27" fillId="6" borderId="9">
      <alignment horizontal="left" wrapText="1"/>
    </xf>
    <xf numFmtId="0" fontId="27" fillId="0" borderId="0">
      <alignment horizontal="right" vertical="center"/>
    </xf>
    <xf numFmtId="173" fontId="27" fillId="0" borderId="0">
      <alignment horizontal="right"/>
    </xf>
    <xf numFmtId="14" fontId="84" fillId="0" borderId="0">
      <alignment horizontal="center"/>
    </xf>
    <xf numFmtId="0" fontId="27" fillId="6" borderId="19">
      <alignment horizontal="center" wrapText="1"/>
    </xf>
    <xf numFmtId="0" fontId="61" fillId="0" borderId="0">
      <alignment horizontal="center" vertical="center"/>
    </xf>
    <xf numFmtId="1" fontId="85" fillId="0" borderId="0">
      <alignment horizontal="center" wrapText="1"/>
    </xf>
    <xf numFmtId="0" fontId="27" fillId="6" borderId="9">
      <alignment horizontal="center" wrapText="1"/>
    </xf>
    <xf numFmtId="0" fontId="85" fillId="6" borderId="20">
      <alignment horizontal="center" wrapText="1"/>
    </xf>
    <xf numFmtId="0" fontId="85" fillId="6" borderId="19">
      <alignment horizontal="left" wrapText="1"/>
    </xf>
    <xf numFmtId="0" fontId="25" fillId="0" borderId="14">
      <alignment horizontal="left"/>
    </xf>
    <xf numFmtId="0" fontId="61" fillId="0" borderId="0">
      <alignment horizontal="center"/>
    </xf>
    <xf numFmtId="2" fontId="61" fillId="12" borderId="0">
      <alignment horizontal="center"/>
    </xf>
    <xf numFmtId="0" fontId="25" fillId="0" borderId="0">
      <alignment horizontal="left" vertical="top"/>
    </xf>
    <xf numFmtId="16" fontId="25" fillId="0" borderId="0"/>
    <xf numFmtId="0" fontId="25" fillId="12" borderId="0"/>
    <xf numFmtId="14" fontId="25" fillId="0" borderId="0">
      <alignment horizontal="center"/>
    </xf>
    <xf numFmtId="2" fontId="61" fillId="0" borderId="12">
      <alignment horizontal="center" vertical="center"/>
    </xf>
    <xf numFmtId="0" fontId="27" fillId="6" borderId="0">
      <alignment horizontal="center"/>
    </xf>
    <xf numFmtId="2" fontId="61" fillId="0" borderId="0">
      <alignment horizontal="center"/>
    </xf>
    <xf numFmtId="2" fontId="61" fillId="0" borderId="0">
      <alignment horizontal="center"/>
    </xf>
    <xf numFmtId="0" fontId="25" fillId="0" borderId="0">
      <alignment horizontal="left" vertical="top"/>
    </xf>
    <xf numFmtId="15" fontId="25" fillId="0" borderId="0">
      <alignment horizontal="left" vertical="top"/>
    </xf>
    <xf numFmtId="0" fontId="25" fillId="0" borderId="0">
      <alignment horizontal="left" vertical="top"/>
    </xf>
    <xf numFmtId="14" fontId="25" fillId="0" borderId="0">
      <alignment horizontal="center" vertical="top"/>
    </xf>
    <xf numFmtId="0" fontId="61" fillId="0" borderId="0"/>
    <xf numFmtId="0" fontId="85" fillId="0" borderId="3"/>
    <xf numFmtId="14" fontId="85" fillId="0" borderId="3"/>
    <xf numFmtId="2" fontId="61" fillId="0" borderId="3">
      <alignment horizontal="center"/>
    </xf>
    <xf numFmtId="0" fontId="25" fillId="0" borderId="0">
      <alignment horizontal="center"/>
    </xf>
    <xf numFmtId="2" fontId="61" fillId="0" borderId="3">
      <alignment horizontal="center"/>
    </xf>
    <xf numFmtId="0" fontId="61" fillId="0" borderId="3"/>
    <xf numFmtId="0" fontId="61" fillId="0" borderId="3">
      <alignment horizontal="center"/>
    </xf>
    <xf numFmtId="0" fontId="61" fillId="0" borderId="3">
      <alignment horizontal="center"/>
    </xf>
    <xf numFmtId="0" fontId="27" fillId="0" borderId="0">
      <alignment horizontal="left" vertical="top"/>
    </xf>
    <xf numFmtId="0" fontId="27" fillId="0" borderId="0">
      <alignment horizontal="left" vertical="top"/>
    </xf>
    <xf numFmtId="0" fontId="25" fillId="0" borderId="0">
      <alignment horizontal="center" vertical="top"/>
    </xf>
    <xf numFmtId="43" fontId="61" fillId="0" borderId="0">
      <alignment horizontal="left"/>
    </xf>
    <xf numFmtId="173" fontId="25" fillId="0" borderId="0"/>
    <xf numFmtId="0" fontId="25" fillId="0" borderId="0">
      <alignment horizontal="center"/>
    </xf>
    <xf numFmtId="0" fontId="81" fillId="0" borderId="0"/>
    <xf numFmtId="43" fontId="25" fillId="0" borderId="0"/>
    <xf numFmtId="1" fontId="25" fillId="0" borderId="0"/>
    <xf numFmtId="0" fontId="27" fillId="0" borderId="0"/>
    <xf numFmtId="43" fontId="25" fillId="0" borderId="0">
      <alignment horizontal="center"/>
    </xf>
    <xf numFmtId="43" fontId="25" fillId="0" borderId="21"/>
    <xf numFmtId="43" fontId="25" fillId="0" borderId="22"/>
    <xf numFmtId="0" fontId="25" fillId="0" borderId="10"/>
    <xf numFmtId="43" fontId="25" fillId="0" borderId="0"/>
    <xf numFmtId="1" fontId="85" fillId="0" borderId="16">
      <alignment horizontal="center" wrapText="1"/>
    </xf>
    <xf numFmtId="0" fontId="61" fillId="0" borderId="0">
      <alignment horizontal="center"/>
    </xf>
    <xf numFmtId="0" fontId="25" fillId="0" borderId="0">
      <alignment horizontal="left"/>
    </xf>
    <xf numFmtId="0" fontId="61" fillId="0" borderId="0"/>
    <xf numFmtId="43" fontId="25" fillId="0" borderId="0">
      <alignment horizontal="center"/>
    </xf>
    <xf numFmtId="0" fontId="27" fillId="0" borderId="3">
      <alignment horizontal="left" vertical="top"/>
    </xf>
    <xf numFmtId="0" fontId="25" fillId="0" borderId="3">
      <alignment horizontal="center" vertical="top"/>
    </xf>
    <xf numFmtId="14" fontId="25" fillId="0" borderId="3">
      <alignment horizontal="center" vertical="top"/>
    </xf>
    <xf numFmtId="15" fontId="25" fillId="0" borderId="3">
      <alignment horizontal="left" vertical="top"/>
    </xf>
    <xf numFmtId="0" fontId="31" fillId="0" borderId="0"/>
    <xf numFmtId="229" fontId="25" fillId="0" borderId="0">
      <alignment vertical="top"/>
    </xf>
    <xf numFmtId="0" fontId="25" fillId="0" borderId="3">
      <alignment horizontal="left" vertical="top"/>
    </xf>
    <xf numFmtId="0" fontId="25" fillId="0" borderId="0">
      <alignment horizontal="center" wrapText="1"/>
    </xf>
    <xf numFmtId="0" fontId="25" fillId="0" borderId="0">
      <alignment horizontal="center"/>
    </xf>
    <xf numFmtId="0" fontId="25" fillId="0" borderId="0">
      <alignment horizontal="center" vertical="top"/>
    </xf>
    <xf numFmtId="0" fontId="27" fillId="0" borderId="0"/>
    <xf numFmtId="14" fontId="25" fillId="0" borderId="0">
      <alignment horizontal="center"/>
    </xf>
    <xf numFmtId="14" fontId="25" fillId="0" borderId="0">
      <alignment horizontal="left" vertical="top"/>
    </xf>
    <xf numFmtId="41" fontId="25" fillId="0" borderId="0"/>
    <xf numFmtId="3" fontId="27" fillId="0" borderId="23">
      <alignment horizontal="right" vertical="center"/>
    </xf>
    <xf numFmtId="173" fontId="27" fillId="0" borderId="22">
      <alignment horizontal="right"/>
    </xf>
    <xf numFmtId="230" fontId="85" fillId="0" borderId="0">
      <alignment wrapText="1"/>
    </xf>
    <xf numFmtId="0" fontId="25" fillId="0" borderId="0">
      <alignment horizontal="center"/>
    </xf>
    <xf numFmtId="231" fontId="27" fillId="0" borderId="10"/>
    <xf numFmtId="231" fontId="27" fillId="0" borderId="0"/>
    <xf numFmtId="0" fontId="25" fillId="0" borderId="0">
      <alignment vertical="top"/>
    </xf>
    <xf numFmtId="3" fontId="27" fillId="0" borderId="21">
      <alignment horizontal="right" vertical="center"/>
    </xf>
    <xf numFmtId="0" fontId="85" fillId="0" borderId="15">
      <alignment horizontal="center" wrapText="1"/>
    </xf>
    <xf numFmtId="3" fontId="27" fillId="0" borderId="24">
      <alignment horizontal="right" vertical="center"/>
    </xf>
    <xf numFmtId="3" fontId="27" fillId="0" borderId="0">
      <alignment horizontal="right" vertical="center"/>
    </xf>
    <xf numFmtId="173" fontId="27" fillId="0" borderId="10">
      <alignment horizontal="right"/>
    </xf>
    <xf numFmtId="0" fontId="5" fillId="0" borderId="25">
      <alignment wrapText="1"/>
    </xf>
    <xf numFmtId="232" fontId="5" fillId="0" borderId="25">
      <alignment horizontal="right" wrapText="1"/>
    </xf>
    <xf numFmtId="4" fontId="25" fillId="0" borderId="0">
      <alignment horizontal="center"/>
    </xf>
    <xf numFmtId="0" fontId="27" fillId="6" borderId="9">
      <alignment horizontal="center"/>
    </xf>
    <xf numFmtId="0" fontId="27" fillId="6" borderId="20">
      <alignment horizontal="center"/>
    </xf>
    <xf numFmtId="14" fontId="25" fillId="0" borderId="0">
      <alignment horizontal="center" vertical="top"/>
    </xf>
    <xf numFmtId="0" fontId="25" fillId="13" borderId="0">
      <alignment vertical="top"/>
    </xf>
    <xf numFmtId="0" fontId="25" fillId="13" borderId="0"/>
    <xf numFmtId="0" fontId="5" fillId="0" borderId="25">
      <alignment wrapText="1"/>
    </xf>
    <xf numFmtId="233" fontId="32" fillId="0" borderId="0">
      <alignment horizontal="right" vertical="center" wrapText="1"/>
    </xf>
    <xf numFmtId="0" fontId="32" fillId="0" borderId="0">
      <alignment horizontal="right" vertical="center" wrapText="1"/>
    </xf>
    <xf numFmtId="0" fontId="5" fillId="0" borderId="0">
      <alignment wrapText="1"/>
    </xf>
    <xf numFmtId="173" fontId="25" fillId="0" borderId="0"/>
    <xf numFmtId="0" fontId="25" fillId="13" borderId="0">
      <alignment horizontal="center"/>
    </xf>
    <xf numFmtId="0" fontId="27" fillId="13" borderId="0"/>
    <xf numFmtId="0" fontId="25" fillId="13" borderId="0">
      <alignment horizontal="center" vertical="top"/>
    </xf>
    <xf numFmtId="0" fontId="25" fillId="0" borderId="0">
      <alignment vertical="top"/>
    </xf>
    <xf numFmtId="14" fontId="25" fillId="13" borderId="0">
      <alignment horizontal="center" vertical="top"/>
    </xf>
    <xf numFmtId="15" fontId="25" fillId="13" borderId="0">
      <alignment horizontal="left" vertical="top"/>
    </xf>
    <xf numFmtId="0" fontId="25" fillId="13" borderId="0">
      <alignment horizontal="left" vertical="top"/>
    </xf>
    <xf numFmtId="14" fontId="25" fillId="13" borderId="0">
      <alignment horizontal="left" vertical="top"/>
    </xf>
    <xf numFmtId="0" fontId="25" fillId="14" borderId="0">
      <alignment horizontal="center"/>
    </xf>
    <xf numFmtId="0" fontId="27" fillId="14" borderId="0"/>
    <xf numFmtId="0" fontId="25" fillId="14" borderId="0">
      <alignment horizontal="center" vertical="top"/>
    </xf>
    <xf numFmtId="14" fontId="25" fillId="14" borderId="0">
      <alignment horizontal="center" vertical="top"/>
    </xf>
    <xf numFmtId="0" fontId="25" fillId="14" borderId="0">
      <alignment vertical="top"/>
    </xf>
    <xf numFmtId="15" fontId="25" fillId="14" borderId="0">
      <alignment horizontal="left" vertical="top"/>
    </xf>
    <xf numFmtId="15" fontId="81" fillId="0" borderId="0">
      <alignment horizontal="left"/>
    </xf>
    <xf numFmtId="0" fontId="25" fillId="14" borderId="0">
      <alignment horizontal="left" vertical="top"/>
    </xf>
    <xf numFmtId="173" fontId="25" fillId="14" borderId="0">
      <alignment vertical="top"/>
    </xf>
    <xf numFmtId="14" fontId="25" fillId="14" borderId="0">
      <alignment horizontal="left" vertical="top"/>
    </xf>
    <xf numFmtId="0" fontId="25" fillId="14" borderId="0">
      <alignment horizontal="center"/>
    </xf>
    <xf numFmtId="0" fontId="25" fillId="14" borderId="0"/>
    <xf numFmtId="0" fontId="27" fillId="14" borderId="0">
      <alignment horizontal="left" vertical="top"/>
    </xf>
    <xf numFmtId="14" fontId="25" fillId="14" borderId="0">
      <alignment horizontal="center" vertical="top"/>
    </xf>
    <xf numFmtId="0" fontId="61" fillId="14" borderId="0">
      <alignment horizontal="center"/>
    </xf>
    <xf numFmtId="0" fontId="81" fillId="14" borderId="0">
      <alignment horizontal="center"/>
    </xf>
    <xf numFmtId="0" fontId="25" fillId="14" borderId="0"/>
    <xf numFmtId="0" fontId="61" fillId="0" borderId="0"/>
    <xf numFmtId="0" fontId="27" fillId="0" borderId="0">
      <alignment horizontal="center"/>
    </xf>
    <xf numFmtId="0" fontId="27" fillId="0" borderId="0">
      <alignment horizontal="center"/>
    </xf>
    <xf numFmtId="173" fontId="27" fillId="6" borderId="23">
      <alignment horizontal="center"/>
    </xf>
    <xf numFmtId="173" fontId="27" fillId="6" borderId="24">
      <alignment horizontal="center"/>
    </xf>
    <xf numFmtId="2" fontId="61" fillId="0" borderId="0"/>
    <xf numFmtId="0" fontId="61" fillId="0" borderId="0"/>
    <xf numFmtId="2" fontId="61" fillId="0" borderId="0">
      <alignment horizontal="center"/>
    </xf>
    <xf numFmtId="0" fontId="61" fillId="0" borderId="0">
      <alignment horizontal="center"/>
    </xf>
    <xf numFmtId="0" fontId="81" fillId="0" borderId="0">
      <alignment wrapText="1"/>
    </xf>
    <xf numFmtId="0" fontId="61" fillId="0" borderId="0">
      <alignment horizontal="center"/>
    </xf>
    <xf numFmtId="0" fontId="85" fillId="0" borderId="0">
      <alignment horizontal="left" vertical="center"/>
    </xf>
    <xf numFmtId="2" fontId="61" fillId="0" borderId="12">
      <alignment horizontal="center" vertical="center"/>
    </xf>
    <xf numFmtId="0" fontId="61" fillId="0" borderId="12">
      <alignment horizontal="center" vertical="center"/>
    </xf>
    <xf numFmtId="0" fontId="61" fillId="0" borderId="18">
      <alignment horizontal="center" vertical="center"/>
    </xf>
    <xf numFmtId="0" fontId="61" fillId="0" borderId="0">
      <alignment horizontal="center" vertical="center"/>
    </xf>
    <xf numFmtId="0" fontId="61" fillId="0" borderId="0">
      <alignment horizontal="left" vertical="center"/>
    </xf>
    <xf numFmtId="0" fontId="85" fillId="0" borderId="0">
      <alignment horizontal="left"/>
    </xf>
    <xf numFmtId="0" fontId="85" fillId="0" borderId="0">
      <alignment horizontal="left"/>
    </xf>
    <xf numFmtId="0" fontId="85" fillId="0" borderId="0">
      <alignment horizontal="center"/>
    </xf>
    <xf numFmtId="0" fontId="25" fillId="0" borderId="0">
      <alignment horizontal="center" vertical="center" wrapText="1"/>
    </xf>
    <xf numFmtId="0" fontId="85" fillId="0" borderId="0">
      <alignment horizontal="center" wrapText="1"/>
    </xf>
    <xf numFmtId="0" fontId="85" fillId="0" borderId="13">
      <alignment horizontal="center" wrapText="1"/>
    </xf>
    <xf numFmtId="1" fontId="85" fillId="0" borderId="14">
      <alignment horizontal="center" wrapText="1"/>
    </xf>
    <xf numFmtId="0" fontId="85" fillId="0" borderId="0">
      <alignment horizontal="center"/>
    </xf>
    <xf numFmtId="234" fontId="85" fillId="0" borderId="0">
      <alignment horizontal="center" wrapText="1"/>
    </xf>
    <xf numFmtId="43" fontId="85" fillId="0" borderId="0"/>
    <xf numFmtId="0" fontId="85" fillId="0" borderId="0"/>
    <xf numFmtId="0" fontId="61" fillId="0" borderId="0">
      <alignment wrapText="1"/>
    </xf>
    <xf numFmtId="0" fontId="85" fillId="0" borderId="0">
      <alignment horizontal="center" wrapText="1"/>
    </xf>
    <xf numFmtId="0" fontId="85" fillId="0" borderId="0">
      <alignment horizontal="center" wrapText="1"/>
    </xf>
    <xf numFmtId="43" fontId="25" fillId="0" borderId="0">
      <alignment horizontal="center" vertical="center" wrapText="1"/>
    </xf>
    <xf numFmtId="0" fontId="85" fillId="0" borderId="0">
      <alignment horizontal="center" wrapText="1"/>
    </xf>
    <xf numFmtId="235" fontId="85" fillId="0" borderId="0">
      <alignment horizontal="center" wrapText="1"/>
    </xf>
    <xf numFmtId="0" fontId="85" fillId="6" borderId="9">
      <alignment horizontal="center" wrapText="1"/>
    </xf>
    <xf numFmtId="2" fontId="85" fillId="6" borderId="9">
      <alignment horizontal="center" wrapText="1"/>
    </xf>
    <xf numFmtId="0" fontId="85" fillId="6" borderId="9">
      <alignment horizontal="center" wrapText="1"/>
    </xf>
    <xf numFmtId="0" fontId="85" fillId="0" borderId="0">
      <alignment horizontal="center" wrapText="1"/>
    </xf>
    <xf numFmtId="0" fontId="25" fillId="0" borderId="0"/>
    <xf numFmtId="0" fontId="25" fillId="0" borderId="0"/>
    <xf numFmtId="0" fontId="86" fillId="0" borderId="0">
      <alignment horizontal="left" vertical="center"/>
    </xf>
    <xf numFmtId="173" fontId="86" fillId="0" borderId="0">
      <alignment horizontal="left" vertical="center"/>
    </xf>
    <xf numFmtId="0" fontId="27" fillId="0" borderId="0">
      <alignment horizontal="center" vertical="center" wrapText="1"/>
    </xf>
    <xf numFmtId="0" fontId="86" fillId="0" borderId="0">
      <alignment horizontal="center" vertical="center"/>
    </xf>
    <xf numFmtId="0" fontId="27" fillId="0" borderId="23">
      <alignment horizontal="left"/>
    </xf>
    <xf numFmtId="41" fontId="27" fillId="0" borderId="26"/>
    <xf numFmtId="0" fontId="27" fillId="0" borderId="23"/>
    <xf numFmtId="41" fontId="27" fillId="0" borderId="0"/>
    <xf numFmtId="0" fontId="27" fillId="0" borderId="21"/>
    <xf numFmtId="173" fontId="27" fillId="0" borderId="27"/>
    <xf numFmtId="173" fontId="27" fillId="0" borderId="0"/>
    <xf numFmtId="43" fontId="27" fillId="0" borderId="27"/>
    <xf numFmtId="43" fontId="27" fillId="0" borderId="0"/>
    <xf numFmtId="0" fontId="25" fillId="0" borderId="0">
      <alignment wrapText="1"/>
    </xf>
    <xf numFmtId="0" fontId="27" fillId="0" borderId="22"/>
    <xf numFmtId="43" fontId="27" fillId="0" borderId="28"/>
    <xf numFmtId="0" fontId="27" fillId="0" borderId="0">
      <alignment horizontal="center"/>
    </xf>
    <xf numFmtId="0" fontId="27" fillId="6" borderId="23">
      <alignment horizontal="center"/>
    </xf>
    <xf numFmtId="173" fontId="27" fillId="6" borderId="24">
      <alignment horizontal="center"/>
    </xf>
    <xf numFmtId="0" fontId="27" fillId="6" borderId="24">
      <alignment horizontal="center"/>
    </xf>
    <xf numFmtId="0" fontId="27" fillId="6" borderId="26">
      <alignment horizontal="center"/>
    </xf>
    <xf numFmtId="0" fontId="27" fillId="6" borderId="22">
      <alignment horizontal="center"/>
    </xf>
    <xf numFmtId="173" fontId="27" fillId="6" borderId="10">
      <alignment horizontal="right"/>
    </xf>
    <xf numFmtId="0" fontId="27" fillId="6" borderId="10">
      <alignment horizontal="center"/>
    </xf>
    <xf numFmtId="0" fontId="25" fillId="0" borderId="0">
      <alignment horizontal="left" vertical="center" wrapText="1"/>
    </xf>
    <xf numFmtId="0" fontId="27" fillId="6" borderId="28">
      <alignment horizontal="center"/>
    </xf>
    <xf numFmtId="0" fontId="27" fillId="15" borderId="0">
      <alignment horizontal="center"/>
    </xf>
    <xf numFmtId="173" fontId="27" fillId="6" borderId="22">
      <alignment horizontal="center"/>
    </xf>
    <xf numFmtId="173" fontId="27" fillId="6" borderId="10">
      <alignment horizontal="center"/>
    </xf>
    <xf numFmtId="0" fontId="27" fillId="6" borderId="10">
      <alignment horizontal="center"/>
    </xf>
    <xf numFmtId="173" fontId="27" fillId="6" borderId="28">
      <alignment horizontal="center"/>
    </xf>
    <xf numFmtId="0" fontId="27" fillId="6" borderId="29">
      <alignment horizontal="center"/>
    </xf>
    <xf numFmtId="0" fontId="27" fillId="6" borderId="3">
      <alignment horizontal="center"/>
    </xf>
    <xf numFmtId="0" fontId="27" fillId="6" borderId="3">
      <alignment horizontal="center"/>
    </xf>
    <xf numFmtId="0" fontId="27" fillId="6" borderId="30">
      <alignment horizontal="center"/>
    </xf>
    <xf numFmtId="0" fontId="25" fillId="0" borderId="0"/>
    <xf numFmtId="0" fontId="27" fillId="6" borderId="21">
      <alignment horizontal="center"/>
    </xf>
    <xf numFmtId="0" fontId="27" fillId="6" borderId="0">
      <alignment horizontal="center"/>
    </xf>
    <xf numFmtId="0" fontId="27" fillId="6" borderId="27">
      <alignment horizontal="center"/>
    </xf>
    <xf numFmtId="0" fontId="45" fillId="0" borderId="0">
      <alignment horizontal="left"/>
    </xf>
    <xf numFmtId="49" fontId="25" fillId="0" borderId="0">
      <alignment horizontal="left"/>
    </xf>
    <xf numFmtId="0" fontId="45" fillId="0" borderId="0">
      <alignment horizontal="left"/>
    </xf>
    <xf numFmtId="15" fontId="81" fillId="15" borderId="0">
      <alignment horizontal="left"/>
    </xf>
    <xf numFmtId="0" fontId="25" fillId="0" borderId="0">
      <alignment horizontal="right"/>
    </xf>
    <xf numFmtId="49" fontId="25" fillId="0" borderId="0">
      <alignment horizontal="left"/>
    </xf>
    <xf numFmtId="49" fontId="25" fillId="0" borderId="0">
      <alignment horizontal="left"/>
    </xf>
    <xf numFmtId="10" fontId="81" fillId="0" borderId="0"/>
    <xf numFmtId="0" fontId="3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7" fillId="0" borderId="0">
      <alignment horizontal="left" vertical="top"/>
      <protection locked="0"/>
    </xf>
    <xf numFmtId="0" fontId="41" fillId="0" borderId="11" applyNumberFormat="0" applyFont="0" applyFill="0" applyAlignment="0" applyProtection="0"/>
    <xf numFmtId="40" fontId="88" fillId="15" borderId="0">
      <alignment horizontal="right"/>
    </xf>
    <xf numFmtId="0" fontId="89" fillId="15" borderId="0">
      <alignment horizontal="right"/>
    </xf>
    <xf numFmtId="0" fontId="90" fillId="15" borderId="14"/>
    <xf numFmtId="0" fontId="90" fillId="0" borderId="0" applyBorder="0">
      <alignment horizontal="centerContinuous"/>
    </xf>
    <xf numFmtId="236" fontId="91" fillId="0" borderId="0" applyFill="0">
      <alignment horizontal="center" vertical="center"/>
    </xf>
    <xf numFmtId="0" fontId="27" fillId="0" borderId="31" applyNumberFormat="0" applyAlignment="0" applyProtection="0"/>
    <xf numFmtId="0" fontId="25" fillId="16" borderId="0" applyNumberFormat="0" applyFont="0" applyBorder="0" applyAlignment="0" applyProtection="0"/>
    <xf numFmtId="0" fontId="3" fillId="17" borderId="32" applyNumberFormat="0" applyFont="0" applyBorder="0" applyAlignment="0" applyProtection="0">
      <alignment horizontal="center"/>
    </xf>
    <xf numFmtId="0" fontId="3" fillId="18" borderId="32" applyNumberFormat="0" applyFont="0" applyBorder="0" applyAlignment="0" applyProtection="0">
      <alignment horizontal="center"/>
    </xf>
    <xf numFmtId="0" fontId="25" fillId="0" borderId="33" applyNumberFormat="0" applyAlignment="0" applyProtection="0"/>
    <xf numFmtId="0" fontId="25" fillId="0" borderId="34" applyNumberFormat="0" applyAlignment="0" applyProtection="0"/>
    <xf numFmtId="0" fontId="27" fillId="0" borderId="35" applyNumberFormat="0" applyAlignment="0" applyProtection="0"/>
    <xf numFmtId="14" fontId="33" fillId="0" borderId="0">
      <alignment horizontal="center" wrapText="1"/>
      <protection locked="0"/>
    </xf>
    <xf numFmtId="9" fontId="2" fillId="0" borderId="0" applyFont="0" applyFill="0" applyBorder="0" applyAlignment="0" applyProtection="0"/>
    <xf numFmtId="9" fontId="61" fillId="0" borderId="0" applyFont="0" applyFill="0" applyBorder="0" applyAlignment="0" applyProtection="0"/>
    <xf numFmtId="237" fontId="92" fillId="0" borderId="0" applyFont="0" applyFill="0" applyBorder="0" applyAlignment="0" applyProtection="0"/>
    <xf numFmtId="168" fontId="61" fillId="0" borderId="0" applyFont="0" applyFill="0" applyBorder="0" applyAlignment="0" applyProtection="0"/>
    <xf numFmtId="238" fontId="61" fillId="0" borderId="0" applyFont="0" applyFill="0" applyBorder="0" applyAlignment="0" applyProtection="0"/>
    <xf numFmtId="239" fontId="61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110" fillId="0" borderId="0" applyFont="0" applyFill="0" applyBorder="0" applyAlignment="0" applyProtection="0"/>
    <xf numFmtId="0" fontId="8" fillId="0" borderId="0" applyFont="0" applyFill="0" applyBorder="0" applyProtection="0">
      <alignment horizontal="right"/>
    </xf>
    <xf numFmtId="173" fontId="81" fillId="0" borderId="0">
      <alignment horizontal="right"/>
    </xf>
    <xf numFmtId="173" fontId="27" fillId="0" borderId="0">
      <alignment horizontal="left" vertical="center"/>
    </xf>
    <xf numFmtId="172" fontId="3" fillId="0" borderId="0"/>
    <xf numFmtId="173" fontId="81" fillId="0" borderId="0">
      <alignment horizontal="right"/>
    </xf>
    <xf numFmtId="173" fontId="81" fillId="0" borderId="0">
      <alignment horizontal="center"/>
    </xf>
    <xf numFmtId="171" fontId="81" fillId="0" borderId="0">
      <alignment horizontal="right"/>
    </xf>
    <xf numFmtId="173" fontId="81" fillId="0" borderId="3">
      <alignment horizontal="right"/>
    </xf>
    <xf numFmtId="173" fontId="81" fillId="0" borderId="3">
      <alignment horizontal="center"/>
    </xf>
    <xf numFmtId="171" fontId="81" fillId="0" borderId="3">
      <alignment horizontal="right"/>
    </xf>
    <xf numFmtId="43" fontId="81" fillId="0" borderId="3">
      <alignment horizontal="center"/>
    </xf>
    <xf numFmtId="240" fontId="81" fillId="0" borderId="12"/>
    <xf numFmtId="241" fontId="81" fillId="0" borderId="12">
      <alignment horizontal="center"/>
    </xf>
    <xf numFmtId="173" fontId="27" fillId="0" borderId="0">
      <alignment horizontal="right" vertical="center"/>
    </xf>
    <xf numFmtId="241" fontId="81" fillId="0" borderId="18">
      <alignment horizontal="center" wrapText="1"/>
    </xf>
    <xf numFmtId="241" fontId="81" fillId="0" borderId="0">
      <alignment horizontal="center"/>
    </xf>
    <xf numFmtId="241" fontId="81" fillId="0" borderId="14">
      <alignment horizontal="center" wrapText="1"/>
    </xf>
    <xf numFmtId="240" fontId="81" fillId="0" borderId="14">
      <alignment wrapText="1"/>
    </xf>
    <xf numFmtId="240" fontId="81" fillId="0" borderId="3"/>
    <xf numFmtId="240" fontId="81" fillId="0" borderId="16">
      <alignment wrapText="1"/>
    </xf>
    <xf numFmtId="242" fontId="27" fillId="0" borderId="0">
      <alignment horizontal="left"/>
    </xf>
    <xf numFmtId="243" fontId="27" fillId="0" borderId="0">
      <alignment horizontal="left"/>
    </xf>
    <xf numFmtId="244" fontId="27" fillId="0" borderId="0">
      <alignment horizontal="left"/>
    </xf>
    <xf numFmtId="173" fontId="25" fillId="0" borderId="0">
      <alignment vertical="top"/>
    </xf>
    <xf numFmtId="245" fontId="27" fillId="0" borderId="0">
      <alignment horizontal="center"/>
    </xf>
    <xf numFmtId="240" fontId="84" fillId="0" borderId="0"/>
    <xf numFmtId="173" fontId="61" fillId="0" borderId="0">
      <alignment horizontal="right"/>
    </xf>
    <xf numFmtId="173" fontId="61" fillId="0" borderId="0">
      <alignment horizontal="center"/>
    </xf>
    <xf numFmtId="241" fontId="25" fillId="0" borderId="0">
      <alignment horizontal="center" vertical="top"/>
    </xf>
    <xf numFmtId="173" fontId="22" fillId="0" borderId="3">
      <alignment horizontal="centerContinuous"/>
    </xf>
    <xf numFmtId="173" fontId="3" fillId="0" borderId="3">
      <alignment horizontal="center"/>
    </xf>
    <xf numFmtId="173" fontId="3" fillId="0" borderId="0"/>
    <xf numFmtId="173" fontId="3" fillId="0" borderId="3"/>
    <xf numFmtId="43" fontId="3" fillId="0" borderId="3"/>
    <xf numFmtId="43" fontId="22" fillId="0" borderId="0">
      <alignment horizontal="right"/>
    </xf>
    <xf numFmtId="171" fontId="27" fillId="0" borderId="0">
      <alignment horizontal="right" vertical="center"/>
    </xf>
    <xf numFmtId="166" fontId="85" fillId="0" borderId="0">
      <alignment horizontal="center" wrapText="1"/>
    </xf>
    <xf numFmtId="2" fontId="85" fillId="0" borderId="0">
      <alignment horizontal="center"/>
    </xf>
    <xf numFmtId="43" fontId="61" fillId="0" borderId="0"/>
    <xf numFmtId="0" fontId="3" fillId="0" borderId="0">
      <alignment horizontal="center"/>
    </xf>
    <xf numFmtId="43" fontId="25" fillId="0" borderId="0">
      <alignment horizontal="center" vertical="top"/>
    </xf>
    <xf numFmtId="240" fontId="25" fillId="0" borderId="0">
      <alignment horizontal="center" vertical="top"/>
    </xf>
    <xf numFmtId="241" fontId="25" fillId="0" borderId="0">
      <alignment horizontal="center" vertical="top" wrapText="1"/>
    </xf>
    <xf numFmtId="43" fontId="25" fillId="0" borderId="0">
      <alignment horizontal="left" vertical="top"/>
    </xf>
    <xf numFmtId="173" fontId="25" fillId="0" borderId="0">
      <alignment horizontal="right" vertical="top"/>
    </xf>
    <xf numFmtId="43" fontId="25" fillId="0" borderId="0">
      <alignment horizontal="center" vertical="top"/>
    </xf>
    <xf numFmtId="43" fontId="27" fillId="0" borderId="0">
      <alignment horizontal="center"/>
    </xf>
    <xf numFmtId="240" fontId="25" fillId="0" borderId="0">
      <alignment horizontal="center" vertical="top"/>
    </xf>
    <xf numFmtId="241" fontId="25" fillId="0" borderId="0">
      <alignment horizontal="center" vertical="top" wrapText="1"/>
    </xf>
    <xf numFmtId="173" fontId="25" fillId="0" borderId="0">
      <alignment horizontal="left" vertical="top"/>
    </xf>
    <xf numFmtId="43" fontId="25" fillId="0" borderId="0">
      <alignment horizontal="left" vertical="top"/>
    </xf>
    <xf numFmtId="173" fontId="3" fillId="0" borderId="0">
      <alignment horizontal="left"/>
    </xf>
    <xf numFmtId="173" fontId="22" fillId="0" borderId="0">
      <alignment horizontal="centerContinuous"/>
    </xf>
    <xf numFmtId="173" fontId="22" fillId="0" borderId="0">
      <alignment horizontal="left"/>
    </xf>
    <xf numFmtId="173" fontId="22" fillId="0" borderId="3">
      <alignment horizontal="left"/>
    </xf>
    <xf numFmtId="43" fontId="61" fillId="0" borderId="0"/>
    <xf numFmtId="43" fontId="61" fillId="0" borderId="3">
      <alignment horizontal="center"/>
    </xf>
    <xf numFmtId="240" fontId="27" fillId="0" borderId="0">
      <alignment horizontal="center"/>
    </xf>
    <xf numFmtId="43" fontId="61" fillId="0" borderId="3"/>
    <xf numFmtId="43" fontId="22" fillId="0" borderId="0"/>
    <xf numFmtId="173" fontId="3" fillId="14" borderId="0">
      <alignment horizontal="center"/>
    </xf>
    <xf numFmtId="173" fontId="3" fillId="14" borderId="0">
      <alignment horizontal="center"/>
    </xf>
    <xf numFmtId="173" fontId="22" fillId="14" borderId="0">
      <alignment horizontal="centerContinuous"/>
    </xf>
    <xf numFmtId="173" fontId="22" fillId="14" borderId="3">
      <alignment horizontal="center" wrapText="1"/>
    </xf>
    <xf numFmtId="173" fontId="3" fillId="19" borderId="0">
      <alignment horizontal="center"/>
    </xf>
    <xf numFmtId="173" fontId="3" fillId="19" borderId="0">
      <alignment horizontal="center"/>
    </xf>
    <xf numFmtId="173" fontId="22" fillId="19" borderId="0">
      <alignment horizontal="centerContinuous"/>
    </xf>
    <xf numFmtId="173" fontId="22" fillId="19" borderId="3">
      <alignment horizontal="centerContinuous"/>
    </xf>
    <xf numFmtId="240" fontId="27" fillId="0" borderId="0">
      <alignment horizontal="center" wrapText="1"/>
    </xf>
    <xf numFmtId="173" fontId="25" fillId="0" borderId="0"/>
    <xf numFmtId="43" fontId="25" fillId="0" borderId="0"/>
    <xf numFmtId="43" fontId="25" fillId="0" borderId="0">
      <alignment horizontal="center"/>
    </xf>
    <xf numFmtId="173" fontId="25" fillId="0" borderId="0"/>
    <xf numFmtId="172" fontId="25" fillId="0" borderId="0"/>
    <xf numFmtId="43" fontId="25" fillId="0" borderId="27"/>
    <xf numFmtId="173" fontId="25" fillId="0" borderId="3"/>
    <xf numFmtId="43" fontId="25" fillId="0" borderId="28"/>
    <xf numFmtId="172" fontId="25" fillId="0" borderId="10"/>
    <xf numFmtId="10" fontId="25" fillId="0" borderId="0"/>
    <xf numFmtId="242" fontId="27" fillId="0" borderId="0">
      <alignment horizontal="center"/>
    </xf>
    <xf numFmtId="43" fontId="25" fillId="0" borderId="0"/>
    <xf numFmtId="246" fontId="27" fillId="0" borderId="0">
      <alignment horizontal="center" vertical="top"/>
    </xf>
    <xf numFmtId="14" fontId="22" fillId="0" borderId="0">
      <alignment horizontal="center"/>
    </xf>
    <xf numFmtId="4" fontId="61" fillId="0" borderId="0">
      <alignment horizontal="right" vertical="top"/>
    </xf>
    <xf numFmtId="173" fontId="61" fillId="0" borderId="0">
      <alignment horizontal="center" vertical="top"/>
    </xf>
    <xf numFmtId="173" fontId="25" fillId="0" borderId="3">
      <alignment horizontal="right" vertical="top"/>
    </xf>
    <xf numFmtId="171" fontId="25" fillId="0" borderId="3">
      <alignment horizontal="center" vertical="top"/>
    </xf>
    <xf numFmtId="43" fontId="25" fillId="0" borderId="3">
      <alignment horizontal="center" vertical="top"/>
    </xf>
    <xf numFmtId="240" fontId="25" fillId="0" borderId="3">
      <alignment horizontal="center" vertical="top"/>
    </xf>
    <xf numFmtId="241" fontId="25" fillId="0" borderId="3">
      <alignment horizontal="center" vertical="top" wrapText="1"/>
    </xf>
    <xf numFmtId="242" fontId="27" fillId="0" borderId="0">
      <alignment horizontal="center" wrapText="1"/>
    </xf>
    <xf numFmtId="173" fontId="25" fillId="0" borderId="3">
      <alignment horizontal="center" vertical="top"/>
    </xf>
    <xf numFmtId="173" fontId="25" fillId="0" borderId="3">
      <alignment horizontal="left" vertical="top"/>
    </xf>
    <xf numFmtId="173" fontId="25" fillId="0" borderId="3">
      <alignment vertical="top"/>
    </xf>
    <xf numFmtId="43" fontId="25" fillId="0" borderId="3">
      <alignment horizontal="left" vertical="top"/>
    </xf>
    <xf numFmtId="241" fontId="25" fillId="0" borderId="3">
      <alignment horizontal="center" vertical="top"/>
    </xf>
    <xf numFmtId="43" fontId="3" fillId="0" borderId="0">
      <alignment horizontal="center"/>
    </xf>
    <xf numFmtId="173" fontId="27" fillId="0" borderId="24">
      <alignment horizontal="right" vertical="center"/>
    </xf>
    <xf numFmtId="244" fontId="27" fillId="0" borderId="24">
      <alignment horizontal="left"/>
    </xf>
    <xf numFmtId="247" fontId="27" fillId="0" borderId="24">
      <alignment horizontal="left"/>
    </xf>
    <xf numFmtId="171" fontId="27" fillId="0" borderId="24">
      <alignment horizontal="right" vertical="center"/>
    </xf>
    <xf numFmtId="173" fontId="27" fillId="0" borderId="0">
      <alignment horizontal="left"/>
    </xf>
    <xf numFmtId="173" fontId="27" fillId="0" borderId="10">
      <alignment horizontal="right" vertical="center"/>
    </xf>
    <xf numFmtId="244" fontId="27" fillId="0" borderId="10">
      <alignment horizontal="left"/>
    </xf>
    <xf numFmtId="247" fontId="27" fillId="0" borderId="10">
      <alignment horizontal="left"/>
    </xf>
    <xf numFmtId="171" fontId="27" fillId="0" borderId="10">
      <alignment horizontal="right"/>
    </xf>
    <xf numFmtId="248" fontId="27" fillId="0" borderId="28">
      <alignment horizontal="left"/>
    </xf>
    <xf numFmtId="173" fontId="27" fillId="0" borderId="10">
      <alignment horizontal="left" vertical="center"/>
    </xf>
    <xf numFmtId="172" fontId="3" fillId="0" borderId="0">
      <alignment horizontal="center"/>
    </xf>
    <xf numFmtId="43" fontId="3" fillId="14" borderId="0">
      <alignment horizontal="center"/>
    </xf>
    <xf numFmtId="43" fontId="3" fillId="19" borderId="0">
      <alignment horizontal="center"/>
    </xf>
    <xf numFmtId="247" fontId="27" fillId="0" borderId="0">
      <alignment horizontal="left"/>
    </xf>
    <xf numFmtId="168" fontId="22" fillId="0" borderId="0" applyFill="0" applyBorder="0" applyAlignment="0" applyProtection="0"/>
    <xf numFmtId="173" fontId="81" fillId="0" borderId="0">
      <alignment horizontal="center"/>
    </xf>
    <xf numFmtId="173" fontId="27" fillId="0" borderId="0">
      <alignment horizontal="right"/>
    </xf>
    <xf numFmtId="248" fontId="27" fillId="0" borderId="27">
      <alignment horizontal="left"/>
    </xf>
    <xf numFmtId="43" fontId="25" fillId="0" borderId="26">
      <alignment horizontal="center"/>
    </xf>
    <xf numFmtId="173" fontId="27" fillId="0" borderId="3">
      <alignment horizontal="right" vertical="center"/>
    </xf>
    <xf numFmtId="249" fontId="27" fillId="0" borderId="27">
      <alignment horizontal="left"/>
    </xf>
    <xf numFmtId="173" fontId="25" fillId="13" borderId="0"/>
    <xf numFmtId="173" fontId="25" fillId="13" borderId="0">
      <alignment horizontal="center" vertical="top"/>
    </xf>
    <xf numFmtId="173" fontId="25" fillId="0" borderId="10"/>
    <xf numFmtId="173" fontId="25" fillId="13" borderId="0">
      <alignment horizontal="center" vertical="top"/>
    </xf>
    <xf numFmtId="173" fontId="25" fillId="13" borderId="0">
      <alignment horizontal="right" vertical="top"/>
    </xf>
    <xf numFmtId="171" fontId="25" fillId="13" borderId="0">
      <alignment horizontal="center" vertical="top"/>
    </xf>
    <xf numFmtId="171" fontId="27" fillId="0" borderId="0">
      <alignment horizontal="right"/>
    </xf>
    <xf numFmtId="43" fontId="25" fillId="13" borderId="0">
      <alignment horizontal="center" vertical="top"/>
    </xf>
    <xf numFmtId="240" fontId="25" fillId="13" borderId="0">
      <alignment horizontal="center" vertical="top"/>
    </xf>
    <xf numFmtId="241" fontId="25" fillId="13" borderId="0">
      <alignment horizontal="center" vertical="top"/>
    </xf>
    <xf numFmtId="241" fontId="25" fillId="13" borderId="0">
      <alignment horizontal="center" vertical="top" wrapText="1"/>
    </xf>
    <xf numFmtId="173" fontId="25" fillId="13" borderId="0">
      <alignment horizontal="left" vertical="top"/>
    </xf>
    <xf numFmtId="43" fontId="25" fillId="13" borderId="0">
      <alignment horizontal="left" vertical="top"/>
    </xf>
    <xf numFmtId="43" fontId="25" fillId="13" borderId="0"/>
    <xf numFmtId="173" fontId="25" fillId="14" borderId="0">
      <alignment horizontal="center" vertical="top"/>
    </xf>
    <xf numFmtId="173" fontId="25" fillId="14" borderId="0">
      <alignment horizontal="right" vertical="top"/>
    </xf>
    <xf numFmtId="171" fontId="25" fillId="14" borderId="0">
      <alignment horizontal="center" vertical="top"/>
    </xf>
    <xf numFmtId="173" fontId="25" fillId="0" borderId="0">
      <alignment horizontal="right"/>
    </xf>
    <xf numFmtId="43" fontId="25" fillId="14" borderId="0">
      <alignment horizontal="center" vertical="top"/>
    </xf>
    <xf numFmtId="240" fontId="25" fillId="14" borderId="0">
      <alignment horizontal="center" vertical="top"/>
    </xf>
    <xf numFmtId="241" fontId="25" fillId="14" borderId="0">
      <alignment horizontal="center" vertical="top"/>
    </xf>
    <xf numFmtId="241" fontId="25" fillId="14" borderId="0">
      <alignment horizontal="center" vertical="top" wrapText="1"/>
    </xf>
    <xf numFmtId="173" fontId="25" fillId="14" borderId="0">
      <alignment horizontal="center" vertical="top"/>
    </xf>
    <xf numFmtId="173" fontId="25" fillId="14" borderId="0">
      <alignment horizontal="left" vertical="top"/>
    </xf>
    <xf numFmtId="173" fontId="25" fillId="14" borderId="0"/>
    <xf numFmtId="43" fontId="25" fillId="14" borderId="0">
      <alignment horizontal="left" vertical="top"/>
    </xf>
    <xf numFmtId="240" fontId="25" fillId="14" borderId="0">
      <alignment horizontal="center" vertical="top"/>
    </xf>
    <xf numFmtId="241" fontId="81" fillId="14" borderId="0">
      <alignment horizontal="center" wrapText="1"/>
    </xf>
    <xf numFmtId="173" fontId="25" fillId="0" borderId="0"/>
    <xf numFmtId="173" fontId="25" fillId="14" borderId="0">
      <alignment horizontal="left" vertical="top"/>
    </xf>
    <xf numFmtId="173" fontId="25" fillId="14" borderId="0">
      <alignment horizontal="right"/>
    </xf>
    <xf numFmtId="173" fontId="25" fillId="14" borderId="0">
      <alignment horizontal="right"/>
    </xf>
    <xf numFmtId="4" fontId="61" fillId="14" borderId="0">
      <alignment horizontal="right" vertical="top"/>
    </xf>
    <xf numFmtId="43" fontId="25" fillId="14" borderId="0">
      <alignment horizontal="center" vertical="top"/>
    </xf>
    <xf numFmtId="241" fontId="25" fillId="14" borderId="0">
      <alignment horizontal="center" vertical="top" wrapText="1"/>
    </xf>
    <xf numFmtId="43" fontId="25" fillId="14" borderId="0">
      <alignment horizontal="left" vertical="top"/>
    </xf>
    <xf numFmtId="173" fontId="27" fillId="6" borderId="9">
      <alignment horizontal="right" wrapText="1"/>
    </xf>
    <xf numFmtId="173" fontId="27" fillId="6" borderId="9">
      <alignment horizontal="center" wrapText="1"/>
    </xf>
    <xf numFmtId="171" fontId="27" fillId="6" borderId="9">
      <alignment horizontal="right" wrapText="1"/>
    </xf>
    <xf numFmtId="43" fontId="27" fillId="6" borderId="9">
      <alignment horizontal="center" wrapText="1"/>
    </xf>
    <xf numFmtId="240" fontId="27" fillId="6" borderId="9">
      <alignment horizontal="center" wrapText="1"/>
    </xf>
    <xf numFmtId="240" fontId="27" fillId="6" borderId="9">
      <alignment horizontal="center" wrapText="1"/>
    </xf>
    <xf numFmtId="212" fontId="29" fillId="0" borderId="0">
      <alignment horizontal="left" vertical="center" wrapText="1"/>
    </xf>
    <xf numFmtId="173" fontId="25" fillId="0" borderId="0">
      <alignment horizontal="right"/>
    </xf>
    <xf numFmtId="173" fontId="25" fillId="0" borderId="0"/>
    <xf numFmtId="171" fontId="25" fillId="0" borderId="0">
      <alignment horizontal="right"/>
    </xf>
    <xf numFmtId="43" fontId="25" fillId="0" borderId="0">
      <alignment horizontal="center"/>
    </xf>
    <xf numFmtId="240" fontId="25" fillId="0" borderId="0"/>
    <xf numFmtId="240" fontId="25" fillId="0" borderId="0">
      <alignment wrapText="1"/>
    </xf>
    <xf numFmtId="171" fontId="25" fillId="0" borderId="0">
      <alignment horizontal="center" vertical="top"/>
    </xf>
    <xf numFmtId="173" fontId="25" fillId="0" borderId="0">
      <alignment horizontal="center" vertical="top"/>
    </xf>
    <xf numFmtId="173" fontId="25" fillId="0" borderId="0">
      <alignment horizontal="center" vertical="top"/>
    </xf>
    <xf numFmtId="173" fontId="25" fillId="0" borderId="0">
      <alignment horizontal="left" vertical="top"/>
    </xf>
    <xf numFmtId="173" fontId="25" fillId="0" borderId="0">
      <alignment horizontal="right" vertical="center" wrapText="1"/>
    </xf>
    <xf numFmtId="173" fontId="25" fillId="0" borderId="0">
      <alignment horizontal="right" vertical="top"/>
    </xf>
    <xf numFmtId="171" fontId="25" fillId="0" borderId="0">
      <alignment horizontal="center" vertical="top"/>
    </xf>
    <xf numFmtId="171" fontId="81" fillId="0" borderId="0">
      <alignment horizontal="right"/>
    </xf>
    <xf numFmtId="43" fontId="81" fillId="0" borderId="0">
      <alignment horizontal="center"/>
    </xf>
    <xf numFmtId="240" fontId="81" fillId="0" borderId="0"/>
    <xf numFmtId="241" fontId="81" fillId="0" borderId="0">
      <alignment horizontal="center"/>
    </xf>
    <xf numFmtId="241" fontId="81" fillId="0" borderId="0">
      <alignment horizontal="center" wrapText="1"/>
    </xf>
    <xf numFmtId="240" fontId="81" fillId="0" borderId="0">
      <alignment wrapText="1"/>
    </xf>
    <xf numFmtId="43" fontId="61" fillId="0" borderId="0">
      <alignment horizontal="center"/>
    </xf>
    <xf numFmtId="43" fontId="61" fillId="0" borderId="0"/>
    <xf numFmtId="173" fontId="25" fillId="0" borderId="0">
      <alignment horizontal="center" vertical="center" wrapText="1"/>
    </xf>
    <xf numFmtId="43" fontId="61" fillId="0" borderId="17">
      <alignment horizontal="center" vertical="center"/>
    </xf>
    <xf numFmtId="43" fontId="61" fillId="0" borderId="12">
      <alignment horizontal="center" vertical="center"/>
    </xf>
    <xf numFmtId="43" fontId="85" fillId="0" borderId="12">
      <alignment horizontal="center" vertical="center"/>
    </xf>
    <xf numFmtId="43" fontId="85" fillId="0" borderId="13">
      <alignment horizontal="center"/>
    </xf>
    <xf numFmtId="43" fontId="85" fillId="0" borderId="0">
      <alignment horizontal="center"/>
    </xf>
    <xf numFmtId="2" fontId="85" fillId="0" borderId="0">
      <alignment horizontal="center"/>
    </xf>
    <xf numFmtId="43" fontId="85" fillId="0" borderId="14">
      <alignment horizontal="center"/>
    </xf>
    <xf numFmtId="43" fontId="85" fillId="0" borderId="0">
      <alignment horizontal="center"/>
    </xf>
    <xf numFmtId="173" fontId="85" fillId="0" borderId="0">
      <alignment horizontal="center" wrapText="1"/>
    </xf>
    <xf numFmtId="173" fontId="85" fillId="0" borderId="3">
      <alignment horizontal="center" wrapText="1"/>
    </xf>
    <xf numFmtId="171" fontId="25" fillId="0" borderId="0">
      <alignment horizontal="right" vertical="center" wrapText="1"/>
    </xf>
    <xf numFmtId="166" fontId="85" fillId="0" borderId="3">
      <alignment horizontal="center" wrapText="1"/>
    </xf>
    <xf numFmtId="43" fontId="93" fillId="0" borderId="0">
      <alignment horizontal="left"/>
    </xf>
    <xf numFmtId="43" fontId="85" fillId="0" borderId="0">
      <alignment horizontal="center" wrapText="1"/>
    </xf>
    <xf numFmtId="43" fontId="85" fillId="0" borderId="0">
      <alignment wrapText="1"/>
    </xf>
    <xf numFmtId="43" fontId="85" fillId="6" borderId="9">
      <alignment horizontal="right" wrapText="1"/>
    </xf>
    <xf numFmtId="43" fontId="85" fillId="6" borderId="9">
      <alignment horizontal="center" wrapText="1"/>
    </xf>
    <xf numFmtId="173" fontId="3" fillId="0" borderId="0"/>
    <xf numFmtId="173" fontId="3" fillId="0" borderId="0">
      <alignment horizontal="center"/>
    </xf>
    <xf numFmtId="173" fontId="3" fillId="0" borderId="0">
      <alignment horizontal="left"/>
    </xf>
    <xf numFmtId="173" fontId="3" fillId="0" borderId="0">
      <alignment horizontal="center"/>
    </xf>
    <xf numFmtId="43" fontId="27" fillId="0" borderId="0">
      <alignment horizontal="center" vertical="center" wrapText="1"/>
    </xf>
    <xf numFmtId="173" fontId="22" fillId="0" borderId="0">
      <alignment horizontal="center"/>
    </xf>
    <xf numFmtId="173" fontId="3" fillId="0" borderId="0"/>
    <xf numFmtId="173" fontId="86" fillId="0" borderId="0">
      <alignment horizontal="left" vertical="center"/>
    </xf>
    <xf numFmtId="173" fontId="27" fillId="0" borderId="27"/>
    <xf numFmtId="173" fontId="27" fillId="0" borderId="0"/>
    <xf numFmtId="43" fontId="27" fillId="0" borderId="0"/>
    <xf numFmtId="43" fontId="27" fillId="0" borderId="0">
      <alignment horizontal="center"/>
    </xf>
    <xf numFmtId="173" fontId="27" fillId="0" borderId="0">
      <alignment horizontal="center"/>
    </xf>
    <xf numFmtId="173" fontId="27" fillId="6" borderId="24">
      <alignment horizontal="center"/>
    </xf>
    <xf numFmtId="49" fontId="25" fillId="0" borderId="0">
      <alignment horizontal="left"/>
    </xf>
    <xf numFmtId="240" fontId="27" fillId="0" borderId="0">
      <alignment horizontal="center" vertical="center" wrapText="1"/>
    </xf>
    <xf numFmtId="49" fontId="25" fillId="0" borderId="13">
      <alignment horizontal="left"/>
    </xf>
    <xf numFmtId="49" fontId="25" fillId="0" borderId="15">
      <alignment horizontal="left"/>
    </xf>
    <xf numFmtId="173" fontId="83" fillId="0" borderId="14"/>
    <xf numFmtId="49" fontId="25" fillId="0" borderId="14">
      <alignment horizontal="left"/>
    </xf>
    <xf numFmtId="173" fontId="3" fillId="0" borderId="0">
      <alignment horizontal="center"/>
    </xf>
    <xf numFmtId="173" fontId="3" fillId="0" borderId="0"/>
    <xf numFmtId="173" fontId="3" fillId="0" borderId="0"/>
    <xf numFmtId="173" fontId="22" fillId="0" borderId="0">
      <alignment horizontal="right"/>
    </xf>
    <xf numFmtId="173" fontId="22" fillId="0" borderId="0">
      <alignment horizontal="center"/>
    </xf>
    <xf numFmtId="173" fontId="22" fillId="0" borderId="3"/>
    <xf numFmtId="173" fontId="27" fillId="0" borderId="0">
      <alignment horizontal="left" vertical="center" wrapText="1"/>
    </xf>
    <xf numFmtId="173" fontId="22" fillId="0" borderId="3">
      <alignment horizontal="center"/>
    </xf>
    <xf numFmtId="173" fontId="22" fillId="0" borderId="3">
      <alignment horizontal="center" wrapText="1"/>
    </xf>
    <xf numFmtId="173" fontId="22" fillId="0" borderId="0"/>
    <xf numFmtId="173" fontId="22" fillId="0" borderId="3">
      <alignment horizontal="center" wrapText="1"/>
    </xf>
    <xf numFmtId="173" fontId="22" fillId="0" borderId="0">
      <alignment horizontal="center"/>
    </xf>
    <xf numFmtId="173" fontId="22" fillId="0" borderId="3">
      <alignment horizontal="center"/>
    </xf>
    <xf numFmtId="173" fontId="22" fillId="0" borderId="0"/>
    <xf numFmtId="173" fontId="22" fillId="0" borderId="3">
      <alignment horizontal="left" wrapText="1"/>
    </xf>
    <xf numFmtId="241" fontId="3" fillId="0" borderId="0">
      <alignment horizontal="center"/>
    </xf>
    <xf numFmtId="241" fontId="3" fillId="0" borderId="0">
      <alignment horizontal="left"/>
    </xf>
    <xf numFmtId="0" fontId="94" fillId="0" borderId="0"/>
    <xf numFmtId="10" fontId="8" fillId="0" borderId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0" fontId="32" fillId="0" borderId="0" applyFill="0" applyBorder="0" applyAlignment="0"/>
    <xf numFmtId="232" fontId="8" fillId="0" borderId="0"/>
    <xf numFmtId="0" fontId="95" fillId="6" borderId="0"/>
    <xf numFmtId="0" fontId="60" fillId="0" borderId="0" applyNumberFormat="0" applyFont="0" applyFill="0" applyBorder="0" applyAlignment="0" applyProtection="0">
      <alignment horizontal="left"/>
    </xf>
    <xf numFmtId="15" fontId="60" fillId="0" borderId="0" applyFont="0" applyFill="0" applyBorder="0" applyAlignment="0" applyProtection="0"/>
    <xf numFmtId="4" fontId="60" fillId="0" borderId="0" applyFont="0" applyFill="0" applyBorder="0" applyAlignment="0" applyProtection="0"/>
    <xf numFmtId="0" fontId="96" fillId="0" borderId="10">
      <alignment horizontal="center"/>
    </xf>
    <xf numFmtId="3" fontId="60" fillId="0" borderId="0" applyFont="0" applyFill="0" applyBorder="0" applyAlignment="0" applyProtection="0"/>
    <xf numFmtId="0" fontId="60" fillId="20" borderId="0" applyNumberFormat="0" applyFont="0" applyBorder="0" applyAlignment="0" applyProtection="0"/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250" fontId="97" fillId="0" borderId="0"/>
    <xf numFmtId="0" fontId="8" fillId="0" borderId="0" applyFont="0" applyFill="0" applyBorder="0" applyProtection="0">
      <alignment horizontal="right"/>
    </xf>
    <xf numFmtId="0" fontId="8" fillId="0" borderId="0" applyFont="0" applyFill="0" applyBorder="0" applyProtection="0">
      <alignment horizontal="right"/>
    </xf>
    <xf numFmtId="0" fontId="8" fillId="0" borderId="0" applyFont="0" applyFill="0" applyBorder="0" applyProtection="0">
      <alignment horizontal="right"/>
    </xf>
    <xf numFmtId="0" fontId="98" fillId="21" borderId="0" applyNumberFormat="0" applyFont="0" applyBorder="0" applyAlignment="0">
      <alignment horizontal="center"/>
    </xf>
    <xf numFmtId="14" fontId="47" fillId="0" borderId="0" applyNumberFormat="0" applyFill="0" applyBorder="0" applyAlignment="0" applyProtection="0">
      <alignment horizontal="left"/>
    </xf>
    <xf numFmtId="49" fontId="3" fillId="0" borderId="0" applyFont="0" applyFill="0" applyBorder="0" applyProtection="0">
      <alignment horizontal="right"/>
    </xf>
    <xf numFmtId="49" fontId="22" fillId="0" borderId="0" applyFill="0" applyBorder="0" applyProtection="0">
      <alignment horizontal="right"/>
    </xf>
    <xf numFmtId="49" fontId="22" fillId="0" borderId="3" applyFill="0" applyProtection="0">
      <alignment horizontal="right"/>
    </xf>
    <xf numFmtId="49" fontId="22" fillId="0" borderId="12" applyFill="0" applyProtection="0">
      <alignment horizontal="right"/>
    </xf>
    <xf numFmtId="0" fontId="70" fillId="0" borderId="0" applyFill="0" applyBorder="0" applyProtection="0">
      <alignment horizontal="left"/>
    </xf>
    <xf numFmtId="0" fontId="15" fillId="22" borderId="0"/>
    <xf numFmtId="0" fontId="98" fillId="1" borderId="8" applyNumberFormat="0" applyFont="0" applyAlignment="0">
      <alignment horizontal="center"/>
    </xf>
    <xf numFmtId="251" fontId="99" fillId="0" borderId="0" applyFont="0" applyFill="0" applyBorder="0" applyAlignment="0" applyProtection="0"/>
    <xf numFmtId="1" fontId="8" fillId="0" borderId="0"/>
    <xf numFmtId="0" fontId="3" fillId="0" borderId="0" applyFont="0" applyFill="0" applyBorder="0" applyAlignment="0" applyProtection="0"/>
    <xf numFmtId="0" fontId="22" fillId="0" borderId="0" applyFill="0" applyBorder="0" applyAlignment="0" applyProtection="0"/>
    <xf numFmtId="42" fontId="23" fillId="0" borderId="0" applyFill="0" applyBorder="0" applyAlignment="0" applyProtection="0"/>
    <xf numFmtId="0" fontId="100" fillId="0" borderId="0" applyNumberFormat="0" applyFill="0" applyBorder="0" applyAlignment="0">
      <alignment horizontal="center"/>
    </xf>
    <xf numFmtId="12" fontId="8" fillId="0" borderId="0" applyFont="0" applyFill="0" applyBorder="0" applyProtection="0">
      <alignment horizontal="right"/>
    </xf>
    <xf numFmtId="0" fontId="8" fillId="23" borderId="0" applyFont="0" applyFill="0" applyBorder="0" applyProtection="0">
      <alignment horizontal="right"/>
    </xf>
    <xf numFmtId="0" fontId="5" fillId="0" borderId="0">
      <alignment vertical="top"/>
    </xf>
    <xf numFmtId="0" fontId="85" fillId="0" borderId="0" applyNumberFormat="0" applyFill="0" applyBorder="0" applyProtection="0">
      <alignment horizontal="left"/>
    </xf>
    <xf numFmtId="0" fontId="25" fillId="0" borderId="0" applyNumberFormat="0" applyFill="0" applyBorder="0" applyProtection="0">
      <alignment horizontal="left"/>
    </xf>
    <xf numFmtId="0" fontId="25" fillId="0" borderId="0" applyNumberFormat="0" applyFill="0" applyBorder="0" applyProtection="0">
      <alignment horizontal="left"/>
    </xf>
    <xf numFmtId="0" fontId="27" fillId="0" borderId="0" applyNumberFormat="0" applyFill="0" applyBorder="0" applyProtection="0">
      <alignment horizontal="left"/>
    </xf>
    <xf numFmtId="0" fontId="27" fillId="0" borderId="0" applyFill="0" applyBorder="0" applyProtection="0">
      <alignment horizontal="left" wrapText="1"/>
    </xf>
    <xf numFmtId="0" fontId="27" fillId="0" borderId="0" applyNumberFormat="0" applyFill="0" applyBorder="0" applyProtection="0">
      <alignment horizontal="right" wrapText="1"/>
    </xf>
    <xf numFmtId="1" fontId="25" fillId="0" borderId="0" applyFill="0" applyBorder="0" applyProtection="0">
      <alignment horizontal="left"/>
    </xf>
    <xf numFmtId="49" fontId="25" fillId="0" borderId="0" applyFill="0" applyBorder="0" applyProtection="0">
      <alignment horizontal="left"/>
    </xf>
    <xf numFmtId="1" fontId="25" fillId="0" borderId="0" applyFill="0" applyBorder="0" applyProtection="0">
      <alignment horizontal="center"/>
    </xf>
    <xf numFmtId="37" fontId="25" fillId="0" borderId="0" applyFill="0" applyBorder="0" applyProtection="0">
      <alignment horizontal="right"/>
    </xf>
    <xf numFmtId="7" fontId="25" fillId="0" borderId="0" applyFill="0" applyBorder="0" applyProtection="0">
      <alignment horizontal="right"/>
    </xf>
    <xf numFmtId="252" fontId="25" fillId="0" borderId="0" applyFill="0" applyBorder="0" applyProtection="0">
      <alignment horizontal="left"/>
    </xf>
    <xf numFmtId="37" fontId="27" fillId="0" borderId="0" applyFill="0" applyBorder="0" applyProtection="0">
      <alignment horizontal="right"/>
    </xf>
    <xf numFmtId="7" fontId="27" fillId="0" borderId="0" applyFill="0" applyBorder="0" applyProtection="0">
      <alignment horizontal="right"/>
    </xf>
    <xf numFmtId="253" fontId="25" fillId="0" borderId="0" applyFill="0" applyBorder="0" applyProtection="0">
      <alignment horizontal="right"/>
    </xf>
    <xf numFmtId="254" fontId="25" fillId="0" borderId="0" applyFill="0" applyBorder="0" applyProtection="0">
      <alignment horizontal="right"/>
    </xf>
    <xf numFmtId="255" fontId="25" fillId="0" borderId="0" applyFill="0" applyBorder="0" applyProtection="0">
      <alignment horizontal="right"/>
    </xf>
    <xf numFmtId="14" fontId="25" fillId="0" borderId="0" applyFill="0" applyBorder="0" applyProtection="0">
      <alignment horizontal="right"/>
    </xf>
    <xf numFmtId="14" fontId="25" fillId="0" borderId="0" applyFill="0" applyBorder="0" applyProtection="0">
      <alignment horizontal="right"/>
    </xf>
    <xf numFmtId="256" fontId="25" fillId="0" borderId="0" applyFill="0" applyBorder="0" applyProtection="0">
      <alignment horizontal="left"/>
    </xf>
    <xf numFmtId="257" fontId="25" fillId="0" borderId="0" applyFill="0" applyBorder="0" applyProtection="0">
      <alignment horizontal="left"/>
    </xf>
    <xf numFmtId="253" fontId="27" fillId="0" borderId="0" applyFill="0" applyBorder="0" applyProtection="0">
      <alignment horizontal="right"/>
    </xf>
    <xf numFmtId="1" fontId="27" fillId="0" borderId="0" applyFill="0" applyBorder="0" applyProtection="0">
      <alignment horizontal="left"/>
    </xf>
    <xf numFmtId="252" fontId="27" fillId="0" borderId="0" applyFill="0" applyBorder="0" applyProtection="0">
      <alignment horizontal="left"/>
    </xf>
    <xf numFmtId="37" fontId="27" fillId="0" borderId="0" applyFill="0" applyBorder="0" applyProtection="0">
      <alignment horizontal="right"/>
    </xf>
    <xf numFmtId="1" fontId="101" fillId="0" borderId="0" applyFill="0" applyBorder="0" applyProtection="0">
      <alignment horizontal="left"/>
    </xf>
    <xf numFmtId="49" fontId="25" fillId="0" borderId="0" applyFill="0" applyBorder="0" applyProtection="0">
      <alignment horizontal="left"/>
    </xf>
    <xf numFmtId="257" fontId="25" fillId="0" borderId="0" applyFill="0" applyBorder="0" applyProtection="0">
      <alignment horizontal="left"/>
    </xf>
    <xf numFmtId="0" fontId="5" fillId="0" borderId="0" applyNumberFormat="0" applyBorder="0" applyAlignment="0"/>
    <xf numFmtId="0" fontId="16" fillId="0" borderId="0"/>
    <xf numFmtId="40" fontId="102" fillId="0" borderId="0" applyBorder="0">
      <alignment horizontal="right"/>
    </xf>
    <xf numFmtId="6" fontId="76" fillId="0" borderId="36" applyFill="0">
      <alignment vertical="center"/>
    </xf>
    <xf numFmtId="0" fontId="17" fillId="0" borderId="0"/>
    <xf numFmtId="0" fontId="103" fillId="0" borderId="0"/>
    <xf numFmtId="0" fontId="3" fillId="0" borderId="0"/>
    <xf numFmtId="49" fontId="5" fillId="0" borderId="0" applyFill="0" applyBorder="0" applyAlignment="0"/>
    <xf numFmtId="0" fontId="32" fillId="0" borderId="0" applyFill="0" applyBorder="0" applyAlignment="0"/>
    <xf numFmtId="206" fontId="8" fillId="0" borderId="0" applyFill="0" applyBorder="0" applyAlignment="0"/>
    <xf numFmtId="0" fontId="18" fillId="0" borderId="0"/>
    <xf numFmtId="0" fontId="19" fillId="0" borderId="0"/>
    <xf numFmtId="0" fontId="20" fillId="0" borderId="0">
      <alignment vertical="top"/>
    </xf>
    <xf numFmtId="258" fontId="76" fillId="0" borderId="0" applyFill="0" applyBorder="0">
      <alignment vertical="center"/>
    </xf>
    <xf numFmtId="0" fontId="25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8" fontId="104" fillId="0" borderId="0" applyNumberFormat="0" applyFill="0" applyBorder="0">
      <alignment horizontal="left" vertical="center"/>
    </xf>
    <xf numFmtId="38" fontId="105" fillId="0" borderId="0" applyNumberFormat="0" applyFill="0" applyBorder="0">
      <alignment horizontal="centerContinuous" vertical="center"/>
    </xf>
    <xf numFmtId="0" fontId="21" fillId="0" borderId="0">
      <alignment vertical="top"/>
    </xf>
    <xf numFmtId="0" fontId="106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1" fillId="0" borderId="0" applyFill="0" applyBorder="0" applyAlignment="0" applyProtection="0"/>
    <xf numFmtId="0" fontId="18" fillId="0" borderId="0">
      <alignment wrapText="1"/>
    </xf>
    <xf numFmtId="0" fontId="107" fillId="0" borderId="0">
      <alignment horizontal="left"/>
      <protection locked="0"/>
    </xf>
    <xf numFmtId="5" fontId="92" fillId="0" borderId="0">
      <alignment vertical="center"/>
    </xf>
    <xf numFmtId="228" fontId="32" fillId="0" borderId="0"/>
    <xf numFmtId="259" fontId="33" fillId="0" borderId="0" applyFill="0" applyBorder="0" applyAlignment="0" applyProtection="0"/>
    <xf numFmtId="14" fontId="25" fillId="0" borderId="0" applyFont="0" applyFill="0" applyBorder="0" applyProtection="0"/>
    <xf numFmtId="260" fontId="108" fillId="0" borderId="0" applyFill="0" applyBorder="0">
      <alignment vertical="center"/>
    </xf>
    <xf numFmtId="0" fontId="76" fillId="24" borderId="37" applyNumberFormat="0" applyFont="0" applyBorder="0" applyAlignment="0" applyProtection="0">
      <alignment horizontal="right"/>
    </xf>
    <xf numFmtId="261" fontId="23" fillId="0" borderId="0" applyFont="0" applyFill="0" applyBorder="0" applyAlignment="0" applyProtection="0"/>
    <xf numFmtId="260" fontId="109" fillId="0" borderId="0">
      <alignment horizontal="center"/>
    </xf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0" fontId="1" fillId="0" borderId="0"/>
  </cellStyleXfs>
  <cellXfs count="795">
    <xf numFmtId="0" fontId="0" fillId="0" borderId="0" xfId="0"/>
    <xf numFmtId="166" fontId="4" fillId="0" borderId="0" xfId="0" applyNumberFormat="1" applyFont="1"/>
    <xf numFmtId="0" fontId="6" fillId="0" borderId="0" xfId="0" applyFont="1"/>
    <xf numFmtId="0" fontId="3" fillId="0" borderId="0" xfId="0" applyFont="1"/>
    <xf numFmtId="0" fontId="7" fillId="0" borderId="0" xfId="0" applyFont="1"/>
    <xf numFmtId="169" fontId="0" fillId="0" borderId="0" xfId="0" applyNumberFormat="1"/>
    <xf numFmtId="177" fontId="4" fillId="0" borderId="0" xfId="242" applyNumberFormat="1" applyFont="1" applyFill="1"/>
    <xf numFmtId="177" fontId="0" fillId="0" borderId="0" xfId="0" applyNumberFormat="1"/>
    <xf numFmtId="177" fontId="23" fillId="0" borderId="0" xfId="0" applyNumberFormat="1" applyFont="1"/>
    <xf numFmtId="0" fontId="24" fillId="0" borderId="0" xfId="0" applyFont="1"/>
    <xf numFmtId="168" fontId="24" fillId="0" borderId="0" xfId="607" applyNumberFormat="1" applyFont="1"/>
    <xf numFmtId="171" fontId="4" fillId="0" borderId="0" xfId="223" applyNumberFormat="1" applyFont="1" applyFill="1"/>
    <xf numFmtId="168" fontId="0" fillId="0" borderId="0" xfId="607" applyNumberFormat="1" applyFont="1"/>
    <xf numFmtId="168" fontId="0" fillId="0" borderId="0" xfId="607" applyNumberFormat="1" applyFont="1" applyFill="1"/>
    <xf numFmtId="0" fontId="25" fillId="0" borderId="0" xfId="331" applyFont="1"/>
    <xf numFmtId="0" fontId="26" fillId="0" borderId="0" xfId="331" applyFont="1"/>
    <xf numFmtId="0" fontId="25" fillId="0" borderId="23" xfId="331" applyFont="1" applyBorder="1"/>
    <xf numFmtId="0" fontId="27" fillId="0" borderId="24" xfId="331" applyFont="1" applyBorder="1"/>
    <xf numFmtId="0" fontId="25" fillId="0" borderId="24" xfId="331" applyFont="1" applyBorder="1"/>
    <xf numFmtId="0" fontId="25" fillId="0" borderId="26" xfId="331" applyFont="1" applyBorder="1"/>
    <xf numFmtId="0" fontId="25" fillId="0" borderId="21" xfId="331" applyFont="1" applyBorder="1"/>
    <xf numFmtId="0" fontId="28" fillId="0" borderId="0" xfId="331" applyFont="1"/>
    <xf numFmtId="0" fontId="25" fillId="0" borderId="10" xfId="331" applyFont="1" applyBorder="1"/>
    <xf numFmtId="0" fontId="25" fillId="0" borderId="10" xfId="331" applyFont="1" applyBorder="1" applyAlignment="1">
      <alignment horizontal="center"/>
    </xf>
    <xf numFmtId="0" fontId="28" fillId="0" borderId="10" xfId="331" applyFont="1" applyBorder="1" applyAlignment="1">
      <alignment horizontal="center"/>
    </xf>
    <xf numFmtId="0" fontId="25" fillId="0" borderId="10" xfId="331" applyFont="1" applyBorder="1" applyAlignment="1">
      <alignment horizontal="left"/>
    </xf>
    <xf numFmtId="0" fontId="25" fillId="0" borderId="27" xfId="331" applyFont="1" applyBorder="1"/>
    <xf numFmtId="43" fontId="29" fillId="16" borderId="38" xfId="223" applyFont="1" applyFill="1" applyBorder="1"/>
    <xf numFmtId="43" fontId="29" fillId="0" borderId="0" xfId="223" applyFont="1" applyBorder="1"/>
    <xf numFmtId="10" fontId="25" fillId="6" borderId="0" xfId="607" applyNumberFormat="1" applyFont="1" applyFill="1" applyBorder="1"/>
    <xf numFmtId="10" fontId="29" fillId="0" borderId="0" xfId="607" applyNumberFormat="1" applyFont="1" applyFill="1" applyBorder="1"/>
    <xf numFmtId="172" fontId="29" fillId="0" borderId="0" xfId="223" applyNumberFormat="1" applyFont="1" applyBorder="1" applyAlignment="1">
      <alignment horizontal="right"/>
    </xf>
    <xf numFmtId="43" fontId="25" fillId="0" borderId="0" xfId="223" applyFont="1" applyBorder="1" applyAlignment="1">
      <alignment horizontal="right"/>
    </xf>
    <xf numFmtId="10" fontId="29" fillId="6" borderId="0" xfId="607" applyNumberFormat="1" applyFont="1" applyFill="1" applyBorder="1"/>
    <xf numFmtId="172" fontId="29" fillId="0" borderId="0" xfId="223" applyNumberFormat="1" applyFont="1" applyBorder="1"/>
    <xf numFmtId="10" fontId="25" fillId="0" borderId="0" xfId="607" applyNumberFormat="1" applyFont="1" applyFill="1" applyBorder="1"/>
    <xf numFmtId="43" fontId="25" fillId="0" borderId="3" xfId="331" applyNumberFormat="1" applyFont="1" applyBorder="1"/>
    <xf numFmtId="43" fontId="25" fillId="0" borderId="0" xfId="331" applyNumberFormat="1" applyFont="1"/>
    <xf numFmtId="0" fontId="25" fillId="0" borderId="22" xfId="331" applyFont="1" applyBorder="1"/>
    <xf numFmtId="0" fontId="25" fillId="0" borderId="28" xfId="331" applyFont="1" applyBorder="1"/>
    <xf numFmtId="0" fontId="27" fillId="0" borderId="9" xfId="331" applyFont="1" applyBorder="1"/>
    <xf numFmtId="0" fontId="25" fillId="0" borderId="24" xfId="331" applyFont="1" applyBorder="1" applyAlignment="1">
      <alignment horizontal="center"/>
    </xf>
    <xf numFmtId="0" fontId="28" fillId="0" borderId="0" xfId="331" applyFont="1" applyAlignment="1">
      <alignment horizontal="center"/>
    </xf>
    <xf numFmtId="0" fontId="25" fillId="0" borderId="0" xfId="331" applyFont="1" applyAlignment="1">
      <alignment horizontal="center"/>
    </xf>
    <xf numFmtId="171" fontId="25" fillId="0" borderId="0" xfId="223" applyNumberFormat="1" applyFont="1" applyBorder="1"/>
    <xf numFmtId="168" fontId="25" fillId="0" borderId="0" xfId="607" applyNumberFormat="1" applyFont="1" applyBorder="1"/>
    <xf numFmtId="171" fontId="25" fillId="0" borderId="0" xfId="331" applyNumberFormat="1" applyFont="1"/>
    <xf numFmtId="171" fontId="25" fillId="0" borderId="39" xfId="223" applyNumberFormat="1" applyFont="1" applyBorder="1"/>
    <xf numFmtId="168" fontId="25" fillId="0" borderId="39" xfId="607" applyNumberFormat="1" applyFont="1" applyBorder="1"/>
    <xf numFmtId="0" fontId="27" fillId="0" borderId="10" xfId="331" applyFont="1" applyBorder="1"/>
    <xf numFmtId="0" fontId="25" fillId="0" borderId="17" xfId="331" applyFont="1" applyBorder="1"/>
    <xf numFmtId="0" fontId="28" fillId="0" borderId="12" xfId="331" applyFont="1" applyBorder="1" applyAlignment="1">
      <alignment horizontal="center"/>
    </xf>
    <xf numFmtId="0" fontId="28" fillId="0" borderId="18" xfId="331" applyFont="1" applyBorder="1" applyAlignment="1">
      <alignment horizontal="center"/>
    </xf>
    <xf numFmtId="170" fontId="29" fillId="0" borderId="0" xfId="331" applyNumberFormat="1" applyFont="1"/>
    <xf numFmtId="175" fontId="25" fillId="0" borderId="0" xfId="607" applyNumberFormat="1" applyFont="1" applyBorder="1"/>
    <xf numFmtId="0" fontId="25" fillId="0" borderId="13" xfId="331" applyFont="1" applyBorder="1"/>
    <xf numFmtId="170" fontId="25" fillId="0" borderId="0" xfId="331" applyNumberFormat="1" applyFont="1"/>
    <xf numFmtId="170" fontId="25" fillId="0" borderId="14" xfId="331" applyNumberFormat="1" applyFont="1" applyBorder="1"/>
    <xf numFmtId="0" fontId="25" fillId="0" borderId="15" xfId="331" applyFont="1" applyBorder="1"/>
    <xf numFmtId="0" fontId="25" fillId="0" borderId="3" xfId="331" applyFont="1" applyBorder="1"/>
    <xf numFmtId="0" fontId="25" fillId="0" borderId="16" xfId="331" applyFont="1" applyBorder="1"/>
    <xf numFmtId="10" fontId="25" fillId="0" borderId="0" xfId="607" applyNumberFormat="1" applyFont="1" applyBorder="1"/>
    <xf numFmtId="174" fontId="25" fillId="0" borderId="0" xfId="331" applyNumberFormat="1" applyFont="1"/>
    <xf numFmtId="0" fontId="6" fillId="0" borderId="0" xfId="331" applyFont="1"/>
    <xf numFmtId="0" fontId="2" fillId="0" borderId="0" xfId="331"/>
    <xf numFmtId="0" fontId="2" fillId="0" borderId="40" xfId="331" applyBorder="1"/>
    <xf numFmtId="0" fontId="25" fillId="0" borderId="41" xfId="331" applyFont="1" applyBorder="1"/>
    <xf numFmtId="0" fontId="2" fillId="0" borderId="42" xfId="331" applyBorder="1"/>
    <xf numFmtId="0" fontId="2" fillId="0" borderId="24" xfId="331" applyBorder="1"/>
    <xf numFmtId="0" fontId="2" fillId="0" borderId="26" xfId="331" applyBorder="1"/>
    <xf numFmtId="176" fontId="25" fillId="0" borderId="43" xfId="331" applyNumberFormat="1" applyFont="1" applyBorder="1"/>
    <xf numFmtId="176" fontId="25" fillId="0" borderId="8" xfId="331" applyNumberFormat="1" applyFont="1" applyBorder="1"/>
    <xf numFmtId="176" fontId="25" fillId="0" borderId="44" xfId="331" applyNumberFormat="1" applyFont="1" applyBorder="1"/>
    <xf numFmtId="0" fontId="25" fillId="0" borderId="21" xfId="331" applyFont="1" applyBorder="1" applyAlignment="1">
      <alignment horizontal="center"/>
    </xf>
    <xf numFmtId="0" fontId="25" fillId="0" borderId="13" xfId="331" applyFont="1" applyBorder="1" applyAlignment="1">
      <alignment horizontal="center"/>
    </xf>
    <xf numFmtId="10" fontId="25" fillId="0" borderId="0" xfId="607" applyNumberFormat="1" applyFont="1"/>
    <xf numFmtId="9" fontId="25" fillId="0" borderId="21" xfId="607" applyFont="1" applyBorder="1"/>
    <xf numFmtId="9" fontId="25" fillId="0" borderId="13" xfId="607" applyFont="1" applyBorder="1"/>
    <xf numFmtId="170" fontId="29" fillId="16" borderId="38" xfId="223" applyNumberFormat="1" applyFont="1" applyFill="1" applyBorder="1" applyAlignment="1">
      <alignment wrapText="1"/>
    </xf>
    <xf numFmtId="173" fontId="25" fillId="0" borderId="0" xfId="223" applyNumberFormat="1" applyFont="1" applyBorder="1"/>
    <xf numFmtId="173" fontId="25" fillId="0" borderId="0" xfId="223" applyNumberFormat="1" applyFont="1" applyFill="1" applyBorder="1"/>
    <xf numFmtId="173" fontId="25" fillId="0" borderId="27" xfId="223" applyNumberFormat="1" applyFont="1" applyBorder="1"/>
    <xf numFmtId="170" fontId="25" fillId="0" borderId="13" xfId="223" applyNumberFormat="1" applyFont="1" applyBorder="1"/>
    <xf numFmtId="173" fontId="25" fillId="0" borderId="13" xfId="223" applyNumberFormat="1" applyFont="1" applyFill="1" applyBorder="1"/>
    <xf numFmtId="173" fontId="25" fillId="0" borderId="27" xfId="223" applyNumberFormat="1" applyFont="1" applyFill="1" applyBorder="1"/>
    <xf numFmtId="173" fontId="25" fillId="6" borderId="0" xfId="223" applyNumberFormat="1" applyFont="1" applyFill="1" applyBorder="1"/>
    <xf numFmtId="173" fontId="25" fillId="0" borderId="13" xfId="223" applyNumberFormat="1" applyFont="1" applyBorder="1"/>
    <xf numFmtId="9" fontId="25" fillId="0" borderId="22" xfId="607" applyFont="1" applyBorder="1"/>
    <xf numFmtId="9" fontId="25" fillId="0" borderId="45" xfId="607" applyFont="1" applyBorder="1"/>
    <xf numFmtId="170" fontId="25" fillId="0" borderId="45" xfId="223" applyNumberFormat="1" applyFont="1" applyBorder="1"/>
    <xf numFmtId="173" fontId="25" fillId="0" borderId="45" xfId="223" applyNumberFormat="1" applyFont="1" applyBorder="1"/>
    <xf numFmtId="173" fontId="25" fillId="0" borderId="10" xfId="223" applyNumberFormat="1" applyFont="1" applyBorder="1"/>
    <xf numFmtId="173" fontId="25" fillId="0" borderId="10" xfId="223" applyNumberFormat="1" applyFont="1" applyFill="1" applyBorder="1"/>
    <xf numFmtId="173" fontId="25" fillId="0" borderId="28" xfId="223" applyNumberFormat="1" applyFont="1" applyBorder="1"/>
    <xf numFmtId="170" fontId="25" fillId="0" borderId="0" xfId="223" applyNumberFormat="1" applyFont="1" applyBorder="1"/>
    <xf numFmtId="43" fontId="25" fillId="0" borderId="0" xfId="223" applyFont="1" applyBorder="1"/>
    <xf numFmtId="170" fontId="25" fillId="0" borderId="46" xfId="331" applyNumberFormat="1" applyFont="1" applyBorder="1"/>
    <xf numFmtId="0" fontId="2" fillId="0" borderId="47" xfId="331" applyBorder="1"/>
    <xf numFmtId="0" fontId="25" fillId="0" borderId="47" xfId="331" applyFont="1" applyBorder="1" applyAlignment="1">
      <alignment horizontal="center"/>
    </xf>
    <xf numFmtId="0" fontId="2" fillId="0" borderId="48" xfId="331" applyBorder="1"/>
    <xf numFmtId="170" fontId="25" fillId="0" borderId="32" xfId="331" applyNumberFormat="1" applyFont="1" applyBorder="1"/>
    <xf numFmtId="170" fontId="25" fillId="0" borderId="32" xfId="331" applyNumberFormat="1" applyFont="1" applyBorder="1" applyAlignment="1">
      <alignment horizontal="center"/>
    </xf>
    <xf numFmtId="170" fontId="25" fillId="0" borderId="32" xfId="223" applyNumberFormat="1" applyFont="1" applyBorder="1"/>
    <xf numFmtId="170" fontId="25" fillId="0" borderId="49" xfId="223" applyNumberFormat="1" applyFont="1" applyBorder="1"/>
    <xf numFmtId="43" fontId="25" fillId="0" borderId="10" xfId="223" applyFont="1" applyBorder="1"/>
    <xf numFmtId="43" fontId="27" fillId="0" borderId="0" xfId="223" applyFont="1" applyBorder="1"/>
    <xf numFmtId="0" fontId="25" fillId="0" borderId="12" xfId="331" applyFont="1" applyBorder="1"/>
    <xf numFmtId="0" fontId="25" fillId="0" borderId="12" xfId="331" applyFont="1" applyBorder="1" applyAlignment="1">
      <alignment horizontal="center"/>
    </xf>
    <xf numFmtId="0" fontId="25" fillId="0" borderId="18" xfId="331" applyFont="1" applyBorder="1"/>
    <xf numFmtId="0" fontId="28" fillId="0" borderId="14" xfId="331" applyFont="1" applyBorder="1" applyAlignment="1">
      <alignment horizontal="center"/>
    </xf>
    <xf numFmtId="10" fontId="25" fillId="0" borderId="0" xfId="331" applyNumberFormat="1" applyFont="1"/>
    <xf numFmtId="10" fontId="25" fillId="0" borderId="14" xfId="607" applyNumberFormat="1" applyFont="1" applyBorder="1"/>
    <xf numFmtId="168" fontId="25" fillId="0" borderId="0" xfId="607" applyNumberFormat="1" applyFont="1"/>
    <xf numFmtId="9" fontId="25" fillId="0" borderId="27" xfId="331" applyNumberFormat="1" applyFont="1" applyBorder="1"/>
    <xf numFmtId="0" fontId="25" fillId="0" borderId="3" xfId="331" applyFont="1" applyBorder="1" applyAlignment="1">
      <alignment horizontal="center"/>
    </xf>
    <xf numFmtId="168" fontId="29" fillId="16" borderId="38" xfId="607" applyNumberFormat="1" applyFont="1" applyFill="1" applyBorder="1"/>
    <xf numFmtId="10" fontId="25" fillId="0" borderId="16" xfId="607" applyNumberFormat="1" applyFont="1" applyFill="1" applyBorder="1"/>
    <xf numFmtId="43" fontId="25" fillId="0" borderId="50" xfId="223" applyFont="1" applyBorder="1"/>
    <xf numFmtId="8" fontId="25" fillId="0" borderId="0" xfId="331" applyNumberFormat="1" applyFont="1"/>
    <xf numFmtId="173" fontId="25" fillId="0" borderId="0" xfId="331" applyNumberFormat="1" applyFont="1"/>
    <xf numFmtId="43" fontId="25" fillId="0" borderId="0" xfId="223" applyFont="1" applyFill="1" applyBorder="1"/>
    <xf numFmtId="170" fontId="29" fillId="16" borderId="38" xfId="223" applyNumberFormat="1" applyFont="1" applyFill="1" applyBorder="1"/>
    <xf numFmtId="168" fontId="29" fillId="16" borderId="51" xfId="607" applyNumberFormat="1" applyFont="1" applyFill="1" applyBorder="1"/>
    <xf numFmtId="43" fontId="29" fillId="16" borderId="51" xfId="223" applyFont="1" applyFill="1" applyBorder="1"/>
    <xf numFmtId="43" fontId="25" fillId="0" borderId="23" xfId="223" applyFont="1" applyFill="1" applyBorder="1"/>
    <xf numFmtId="43" fontId="25" fillId="0" borderId="24" xfId="223" applyFont="1" applyFill="1" applyBorder="1"/>
    <xf numFmtId="43" fontId="25" fillId="0" borderId="26" xfId="223" applyFont="1" applyFill="1" applyBorder="1"/>
    <xf numFmtId="43" fontId="25" fillId="0" borderId="21" xfId="223" applyFont="1" applyFill="1" applyBorder="1"/>
    <xf numFmtId="43" fontId="30" fillId="0" borderId="0" xfId="223" applyFont="1" applyFill="1" applyBorder="1"/>
    <xf numFmtId="43" fontId="30" fillId="0" borderId="27" xfId="223" applyFont="1" applyFill="1" applyBorder="1"/>
    <xf numFmtId="43" fontId="25" fillId="0" borderId="27" xfId="223" applyFont="1" applyFill="1" applyBorder="1"/>
    <xf numFmtId="43" fontId="25" fillId="0" borderId="22" xfId="223" applyFont="1" applyFill="1" applyBorder="1"/>
    <xf numFmtId="43" fontId="25" fillId="0" borderId="10" xfId="223" applyFont="1" applyFill="1" applyBorder="1"/>
    <xf numFmtId="43" fontId="25" fillId="0" borderId="28" xfId="223" applyFont="1" applyFill="1" applyBorder="1"/>
    <xf numFmtId="43" fontId="27" fillId="6" borderId="0" xfId="223" applyFont="1" applyFill="1" applyBorder="1"/>
    <xf numFmtId="43" fontId="27" fillId="6" borderId="27" xfId="223" applyFont="1" applyFill="1" applyBorder="1"/>
    <xf numFmtId="170" fontId="27" fillId="6" borderId="10" xfId="223" applyNumberFormat="1" applyFont="1" applyFill="1" applyBorder="1"/>
    <xf numFmtId="170" fontId="27" fillId="6" borderId="28" xfId="223" applyNumberFormat="1" applyFont="1" applyFill="1" applyBorder="1"/>
    <xf numFmtId="0" fontId="27" fillId="0" borderId="19" xfId="331" applyFont="1" applyBorder="1"/>
    <xf numFmtId="0" fontId="25" fillId="0" borderId="9" xfId="331" applyFont="1" applyBorder="1"/>
    <xf numFmtId="43" fontId="25" fillId="0" borderId="9" xfId="331" applyNumberFormat="1" applyFont="1" applyBorder="1"/>
    <xf numFmtId="43" fontId="25" fillId="0" borderId="20" xfId="331" applyNumberFormat="1" applyFont="1" applyBorder="1"/>
    <xf numFmtId="0" fontId="28" fillId="0" borderId="24" xfId="331" applyFont="1" applyBorder="1" applyAlignment="1">
      <alignment horizontal="center"/>
    </xf>
    <xf numFmtId="43" fontId="25" fillId="0" borderId="9" xfId="223" applyFont="1" applyFill="1" applyBorder="1"/>
    <xf numFmtId="43" fontId="27" fillId="0" borderId="9" xfId="223" applyFont="1" applyFill="1" applyBorder="1"/>
    <xf numFmtId="43" fontId="25" fillId="0" borderId="20" xfId="223" applyFont="1" applyFill="1" applyBorder="1"/>
    <xf numFmtId="173" fontId="27" fillId="6" borderId="0" xfId="223" applyNumberFormat="1" applyFont="1" applyFill="1" applyBorder="1"/>
    <xf numFmtId="173" fontId="27" fillId="6" borderId="27" xfId="223" applyNumberFormat="1" applyFont="1" applyFill="1" applyBorder="1"/>
    <xf numFmtId="43" fontId="27" fillId="0" borderId="10" xfId="223" applyFont="1" applyFill="1" applyBorder="1" applyAlignment="1">
      <alignment horizontal="center"/>
    </xf>
    <xf numFmtId="10" fontId="25" fillId="0" borderId="10" xfId="331" applyNumberFormat="1" applyFont="1" applyBorder="1"/>
    <xf numFmtId="173" fontId="25" fillId="0" borderId="28" xfId="223" applyNumberFormat="1" applyFont="1" applyFill="1" applyBorder="1"/>
    <xf numFmtId="41" fontId="25" fillId="0" borderId="0" xfId="331" applyNumberFormat="1" applyFont="1"/>
    <xf numFmtId="0" fontId="27" fillId="0" borderId="0" xfId="331" applyFont="1"/>
    <xf numFmtId="173" fontId="25" fillId="0" borderId="3" xfId="223" applyNumberFormat="1" applyFont="1" applyBorder="1"/>
    <xf numFmtId="41" fontId="25" fillId="0" borderId="8" xfId="331" applyNumberFormat="1" applyFont="1" applyBorder="1"/>
    <xf numFmtId="173" fontId="25" fillId="0" borderId="0" xfId="223" applyNumberFormat="1" applyFont="1" applyBorder="1" applyAlignment="1">
      <alignment horizontal="center"/>
    </xf>
    <xf numFmtId="10" fontId="27" fillId="0" borderId="38" xfId="607" applyNumberFormat="1" applyFont="1" applyBorder="1"/>
    <xf numFmtId="10" fontId="27" fillId="6" borderId="38" xfId="331" applyNumberFormat="1" applyFont="1" applyFill="1" applyBorder="1"/>
    <xf numFmtId="171" fontId="27" fillId="0" borderId="0" xfId="607" applyNumberFormat="1" applyFont="1" applyBorder="1"/>
    <xf numFmtId="171" fontId="25" fillId="0" borderId="0" xfId="223" applyNumberFormat="1" applyFont="1"/>
    <xf numFmtId="0" fontId="31" fillId="0" borderId="0" xfId="331" applyFont="1"/>
    <xf numFmtId="168" fontId="31" fillId="0" borderId="43" xfId="607" applyNumberFormat="1" applyFont="1" applyBorder="1"/>
    <xf numFmtId="168" fontId="31" fillId="0" borderId="8" xfId="607" applyNumberFormat="1" applyFont="1" applyBorder="1"/>
    <xf numFmtId="168" fontId="31" fillId="0" borderId="52" xfId="607" applyNumberFormat="1" applyFont="1" applyBorder="1"/>
    <xf numFmtId="43" fontId="25" fillId="0" borderId="0" xfId="223" applyFont="1"/>
    <xf numFmtId="9" fontId="25" fillId="0" borderId="27" xfId="607" applyFont="1" applyBorder="1"/>
    <xf numFmtId="173" fontId="25" fillId="0" borderId="8" xfId="223" applyNumberFormat="1" applyFont="1" applyBorder="1"/>
    <xf numFmtId="173" fontId="25" fillId="0" borderId="0" xfId="223" applyNumberFormat="1" applyFont="1"/>
    <xf numFmtId="9" fontId="29" fillId="0" borderId="0" xfId="607" applyFont="1" applyBorder="1"/>
    <xf numFmtId="173" fontId="29" fillId="0" borderId="0" xfId="223" applyNumberFormat="1" applyFont="1" applyBorder="1"/>
    <xf numFmtId="168" fontId="27" fillId="0" borderId="0" xfId="607" applyNumberFormat="1" applyFont="1" applyBorder="1"/>
    <xf numFmtId="0" fontId="116" fillId="0" borderId="0" xfId="0" applyFont="1"/>
    <xf numFmtId="0" fontId="117" fillId="0" borderId="0" xfId="0" applyFont="1"/>
    <xf numFmtId="0" fontId="22" fillId="0" borderId="39" xfId="0" applyFont="1" applyBorder="1"/>
    <xf numFmtId="0" fontId="22" fillId="0" borderId="8" xfId="0" applyFont="1" applyBorder="1"/>
    <xf numFmtId="0" fontId="114" fillId="25" borderId="12" xfId="0" applyFont="1" applyFill="1" applyBorder="1"/>
    <xf numFmtId="167" fontId="117" fillId="25" borderId="14" xfId="0" applyNumberFormat="1" applyFont="1" applyFill="1" applyBorder="1" applyAlignment="1">
      <alignment horizontal="centerContinuous"/>
    </xf>
    <xf numFmtId="0" fontId="117" fillId="25" borderId="13" xfId="0" applyFont="1" applyFill="1" applyBorder="1"/>
    <xf numFmtId="173" fontId="13" fillId="10" borderId="19" xfId="235" applyNumberFormat="1" applyFont="1" applyFill="1" applyBorder="1"/>
    <xf numFmtId="173" fontId="13" fillId="10" borderId="9" xfId="235" applyNumberFormat="1" applyFont="1" applyFill="1" applyBorder="1"/>
    <xf numFmtId="37" fontId="13" fillId="10" borderId="20" xfId="235" applyNumberFormat="1" applyFont="1" applyFill="1" applyBorder="1" applyAlignment="1">
      <alignment horizontal="right"/>
    </xf>
    <xf numFmtId="173" fontId="13" fillId="10" borderId="9" xfId="235" applyNumberFormat="1" applyFont="1" applyFill="1" applyBorder="1" applyAlignment="1">
      <alignment horizontal="left"/>
    </xf>
    <xf numFmtId="37" fontId="3" fillId="0" borderId="0" xfId="0" applyNumberFormat="1" applyFont="1"/>
    <xf numFmtId="173" fontId="13" fillId="10" borderId="9" xfId="235" applyNumberFormat="1" applyFont="1" applyFill="1" applyBorder="1" applyAlignment="1">
      <alignment horizontal="centerContinuous"/>
    </xf>
    <xf numFmtId="173" fontId="13" fillId="10" borderId="20" xfId="235" applyNumberFormat="1" applyFont="1" applyFill="1" applyBorder="1" applyAlignment="1">
      <alignment horizontal="centerContinuous"/>
    </xf>
    <xf numFmtId="0" fontId="137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138" fillId="0" borderId="0" xfId="0" applyFont="1" applyAlignment="1">
      <alignment horizontal="center"/>
    </xf>
    <xf numFmtId="0" fontId="6" fillId="26" borderId="0" xfId="0" applyFont="1" applyFill="1"/>
    <xf numFmtId="3" fontId="2" fillId="0" borderId="0" xfId="0" applyNumberFormat="1" applyFont="1" applyAlignment="1">
      <alignment horizontal="center"/>
    </xf>
    <xf numFmtId="0" fontId="2" fillId="27" borderId="0" xfId="0" applyFont="1" applyFill="1" applyAlignment="1">
      <alignment horizontal="left"/>
    </xf>
    <xf numFmtId="175" fontId="2" fillId="0" borderId="0" xfId="607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4" fontId="2" fillId="0" borderId="0" xfId="0" applyNumberFormat="1" applyFont="1" applyAlignment="1">
      <alignment horizontal="center"/>
    </xf>
    <xf numFmtId="263" fontId="0" fillId="0" borderId="0" xfId="223" applyNumberFormat="1" applyFont="1"/>
    <xf numFmtId="173" fontId="0" fillId="0" borderId="0" xfId="223" applyNumberFormat="1" applyFont="1"/>
    <xf numFmtId="171" fontId="0" fillId="0" borderId="0" xfId="223" applyNumberFormat="1" applyFont="1"/>
    <xf numFmtId="0" fontId="6" fillId="27" borderId="0" xfId="0" applyFont="1" applyFill="1"/>
    <xf numFmtId="173" fontId="6" fillId="27" borderId="0" xfId="223" applyNumberFormat="1" applyFont="1" applyFill="1"/>
    <xf numFmtId="168" fontId="6" fillId="27" borderId="0" xfId="607" applyNumberFormat="1" applyFont="1" applyFill="1"/>
    <xf numFmtId="171" fontId="6" fillId="27" borderId="0" xfId="223" applyNumberFormat="1" applyFont="1" applyFill="1"/>
    <xf numFmtId="0" fontId="139" fillId="0" borderId="0" xfId="0" applyFont="1"/>
    <xf numFmtId="0" fontId="139" fillId="27" borderId="0" xfId="0" applyFont="1" applyFill="1"/>
    <xf numFmtId="0" fontId="140" fillId="0" borderId="0" xfId="0" applyFont="1"/>
    <xf numFmtId="9" fontId="140" fillId="0" borderId="0" xfId="607" applyFont="1"/>
    <xf numFmtId="9" fontId="2" fillId="0" borderId="0" xfId="607" applyFont="1" applyAlignment="1">
      <alignment horizontal="center"/>
    </xf>
    <xf numFmtId="0" fontId="141" fillId="0" borderId="0" xfId="0" applyFont="1" applyAlignment="1">
      <alignment horizontal="left" indent="1"/>
    </xf>
    <xf numFmtId="263" fontId="140" fillId="0" borderId="0" xfId="223" applyNumberFormat="1" applyFont="1"/>
    <xf numFmtId="263" fontId="140" fillId="0" borderId="0" xfId="223" applyNumberFormat="1" applyFont="1" applyFill="1"/>
    <xf numFmtId="263" fontId="140" fillId="0" borderId="8" xfId="223" applyNumberFormat="1" applyFont="1" applyBorder="1"/>
    <xf numFmtId="263" fontId="139" fillId="0" borderId="8" xfId="223" applyNumberFormat="1" applyFont="1" applyBorder="1"/>
    <xf numFmtId="168" fontId="140" fillId="0" borderId="0" xfId="607" applyNumberFormat="1" applyFont="1"/>
    <xf numFmtId="168" fontId="140" fillId="28" borderId="0" xfId="607" applyNumberFormat="1" applyFont="1" applyFill="1"/>
    <xf numFmtId="168" fontId="140" fillId="0" borderId="0" xfId="607" applyNumberFormat="1" applyFont="1" applyFill="1"/>
    <xf numFmtId="264" fontId="140" fillId="0" borderId="0" xfId="223" applyNumberFormat="1" applyFont="1"/>
    <xf numFmtId="264" fontId="140" fillId="29" borderId="0" xfId="223" applyNumberFormat="1" applyFont="1" applyFill="1"/>
    <xf numFmtId="263" fontId="140" fillId="0" borderId="0" xfId="223" applyNumberFormat="1" applyFont="1" applyAlignment="1">
      <alignment horizontal="right"/>
    </xf>
    <xf numFmtId="0" fontId="139" fillId="30" borderId="0" xfId="0" applyFont="1" applyFill="1"/>
    <xf numFmtId="0" fontId="120" fillId="25" borderId="17" xfId="0" applyFont="1" applyFill="1" applyBorder="1" applyAlignment="1">
      <alignment horizontal="left"/>
    </xf>
    <xf numFmtId="265" fontId="115" fillId="0" borderId="0" xfId="0" applyNumberFormat="1" applyFont="1"/>
    <xf numFmtId="37" fontId="115" fillId="0" borderId="0" xfId="0" applyNumberFormat="1" applyFont="1"/>
    <xf numFmtId="0" fontId="121" fillId="25" borderId="0" xfId="0" applyFont="1" applyFill="1" applyAlignment="1">
      <alignment horizontal="left"/>
    </xf>
    <xf numFmtId="0" fontId="122" fillId="25" borderId="17" xfId="0" applyFont="1" applyFill="1" applyBorder="1"/>
    <xf numFmtId="0" fontId="122" fillId="25" borderId="12" xfId="0" applyFont="1" applyFill="1" applyBorder="1"/>
    <xf numFmtId="0" fontId="123" fillId="0" borderId="13" xfId="0" applyFont="1" applyBorder="1"/>
    <xf numFmtId="0" fontId="123" fillId="0" borderId="0" xfId="0" applyFont="1"/>
    <xf numFmtId="0" fontId="124" fillId="25" borderId="0" xfId="0" applyFont="1" applyFill="1"/>
    <xf numFmtId="0" fontId="124" fillId="25" borderId="53" xfId="0" applyFont="1" applyFill="1" applyBorder="1" applyAlignment="1">
      <alignment horizontal="centerContinuous"/>
    </xf>
    <xf numFmtId="0" fontId="124" fillId="0" borderId="13" xfId="0" applyFont="1" applyBorder="1"/>
    <xf numFmtId="0" fontId="124" fillId="0" borderId="0" xfId="0" applyFont="1"/>
    <xf numFmtId="167" fontId="124" fillId="25" borderId="13" xfId="0" applyNumberFormat="1" applyFont="1" applyFill="1" applyBorder="1" applyAlignment="1">
      <alignment horizontal="centerContinuous"/>
    </xf>
    <xf numFmtId="167" fontId="124" fillId="25" borderId="0" xfId="0" applyNumberFormat="1" applyFont="1" applyFill="1" applyAlignment="1">
      <alignment horizontal="centerContinuous"/>
    </xf>
    <xf numFmtId="0" fontId="125" fillId="0" borderId="0" xfId="0" applyFont="1"/>
    <xf numFmtId="0" fontId="125" fillId="0" borderId="13" xfId="0" applyFont="1" applyBorder="1"/>
    <xf numFmtId="169" fontId="126" fillId="0" borderId="0" xfId="223" applyNumberFormat="1" applyFont="1"/>
    <xf numFmtId="169" fontId="126" fillId="0" borderId="0" xfId="223" applyNumberFormat="1" applyFont="1" applyFill="1" applyBorder="1"/>
    <xf numFmtId="169" fontId="127" fillId="0" borderId="0" xfId="223" applyNumberFormat="1" applyFont="1"/>
    <xf numFmtId="169" fontId="127" fillId="0" borderId="0" xfId="223" applyNumberFormat="1" applyFont="1" applyFill="1" applyBorder="1"/>
    <xf numFmtId="169" fontId="123" fillId="0" borderId="0" xfId="223" applyNumberFormat="1" applyFont="1" applyAlignment="1"/>
    <xf numFmtId="171" fontId="123" fillId="0" borderId="13" xfId="223" applyNumberFormat="1" applyFont="1" applyFill="1" applyBorder="1"/>
    <xf numFmtId="171" fontId="123" fillId="0" borderId="0" xfId="223" applyNumberFormat="1" applyFont="1" applyFill="1"/>
    <xf numFmtId="171" fontId="123" fillId="0" borderId="0" xfId="223" applyNumberFormat="1" applyFont="1" applyFill="1" applyBorder="1"/>
    <xf numFmtId="169" fontId="123" fillId="0" borderId="13" xfId="223" applyNumberFormat="1" applyFont="1" applyFill="1" applyBorder="1"/>
    <xf numFmtId="169" fontId="123" fillId="0" borderId="0" xfId="223" applyNumberFormat="1" applyFont="1" applyFill="1" applyBorder="1"/>
    <xf numFmtId="169" fontId="127" fillId="0" borderId="0" xfId="0" applyNumberFormat="1" applyFont="1"/>
    <xf numFmtId="169" fontId="126" fillId="0" borderId="0" xfId="0" applyNumberFormat="1" applyFont="1"/>
    <xf numFmtId="0" fontId="127" fillId="0" borderId="0" xfId="0" applyFont="1"/>
    <xf numFmtId="0" fontId="127" fillId="6" borderId="0" xfId="0" applyFont="1" applyFill="1"/>
    <xf numFmtId="0" fontId="128" fillId="0" borderId="0" xfId="0" applyFont="1"/>
    <xf numFmtId="168" fontId="129" fillId="0" borderId="13" xfId="607" applyNumberFormat="1" applyFont="1" applyBorder="1" applyAlignment="1">
      <alignment horizontal="right"/>
    </xf>
    <xf numFmtId="168" fontId="129" fillId="0" borderId="0" xfId="607" applyNumberFormat="1" applyFont="1" applyBorder="1" applyAlignment="1">
      <alignment horizontal="right"/>
    </xf>
    <xf numFmtId="168" fontId="129" fillId="0" borderId="13" xfId="607" applyNumberFormat="1" applyFont="1" applyFill="1" applyBorder="1" applyAlignment="1">
      <alignment horizontal="right"/>
    </xf>
    <xf numFmtId="0" fontId="125" fillId="6" borderId="8" xfId="0" applyFont="1" applyFill="1" applyBorder="1"/>
    <xf numFmtId="171" fontId="125" fillId="6" borderId="43" xfId="223" applyNumberFormat="1" applyFont="1" applyFill="1" applyBorder="1"/>
    <xf numFmtId="171" fontId="125" fillId="6" borderId="8" xfId="223" applyNumberFormat="1" applyFont="1" applyFill="1" applyBorder="1"/>
    <xf numFmtId="171" fontId="125" fillId="0" borderId="13" xfId="223" applyNumberFormat="1" applyFont="1" applyFill="1" applyBorder="1"/>
    <xf numFmtId="169" fontId="123" fillId="0" borderId="0" xfId="0" applyNumberFormat="1" applyFont="1"/>
    <xf numFmtId="169" fontId="123" fillId="0" borderId="13" xfId="0" applyNumberFormat="1" applyFont="1" applyBorder="1"/>
    <xf numFmtId="169" fontId="123" fillId="0" borderId="0" xfId="0" applyNumberFormat="1" applyFont="1" applyAlignment="1">
      <alignment horizontal="left"/>
    </xf>
    <xf numFmtId="169" fontId="123" fillId="0" borderId="0" xfId="0" applyNumberFormat="1" applyFont="1" applyAlignment="1">
      <alignment wrapText="1"/>
    </xf>
    <xf numFmtId="169" fontId="125" fillId="0" borderId="0" xfId="0" applyNumberFormat="1" applyFont="1"/>
    <xf numFmtId="171" fontId="125" fillId="0" borderId="0" xfId="223" applyNumberFormat="1" applyFont="1" applyFill="1"/>
    <xf numFmtId="171" fontId="125" fillId="0" borderId="0" xfId="223" applyNumberFormat="1" applyFont="1" applyFill="1" applyBorder="1"/>
    <xf numFmtId="169" fontId="125" fillId="6" borderId="39" xfId="0" applyNumberFormat="1" applyFont="1" applyFill="1" applyBorder="1"/>
    <xf numFmtId="171" fontId="125" fillId="6" borderId="54" xfId="223" applyNumberFormat="1" applyFont="1" applyFill="1" applyBorder="1"/>
    <xf numFmtId="171" fontId="125" fillId="6" borderId="39" xfId="223" applyNumberFormat="1" applyFont="1" applyFill="1" applyBorder="1"/>
    <xf numFmtId="262" fontId="128" fillId="0" borderId="13" xfId="0" applyNumberFormat="1" applyFont="1" applyBorder="1"/>
    <xf numFmtId="262" fontId="128" fillId="0" borderId="0" xfId="0" applyNumberFormat="1" applyFont="1"/>
    <xf numFmtId="43" fontId="123" fillId="0" borderId="13" xfId="223" applyFont="1" applyFill="1" applyBorder="1"/>
    <xf numFmtId="43" fontId="123" fillId="0" borderId="0" xfId="223" applyFont="1" applyFill="1"/>
    <xf numFmtId="43" fontId="123" fillId="0" borderId="0" xfId="223" applyFont="1" applyFill="1" applyBorder="1"/>
    <xf numFmtId="169" fontId="125" fillId="6" borderId="43" xfId="0" applyNumberFormat="1" applyFont="1" applyFill="1" applyBorder="1"/>
    <xf numFmtId="169" fontId="128" fillId="0" borderId="0" xfId="0" applyNumberFormat="1" applyFont="1"/>
    <xf numFmtId="169" fontId="128" fillId="0" borderId="13" xfId="223" applyNumberFormat="1" applyFont="1" applyFill="1" applyBorder="1"/>
    <xf numFmtId="169" fontId="128" fillId="0" borderId="0" xfId="223" applyNumberFormat="1" applyFont="1" applyFill="1"/>
    <xf numFmtId="169" fontId="128" fillId="0" borderId="0" xfId="223" applyNumberFormat="1" applyFont="1" applyFill="1" applyBorder="1"/>
    <xf numFmtId="169" fontId="124" fillId="25" borderId="0" xfId="0" applyNumberFormat="1" applyFont="1" applyFill="1"/>
    <xf numFmtId="169" fontId="124" fillId="0" borderId="13" xfId="0" applyNumberFormat="1" applyFont="1" applyBorder="1"/>
    <xf numFmtId="169" fontId="124" fillId="0" borderId="0" xfId="0" applyNumberFormat="1" applyFont="1"/>
    <xf numFmtId="169" fontId="123" fillId="0" borderId="0" xfId="223" applyNumberFormat="1" applyFont="1" applyFill="1"/>
    <xf numFmtId="0" fontId="125" fillId="6" borderId="43" xfId="0" applyFont="1" applyFill="1" applyBorder="1"/>
    <xf numFmtId="0" fontId="130" fillId="25" borderId="17" xfId="0" applyFont="1" applyFill="1" applyBorder="1"/>
    <xf numFmtId="167" fontId="130" fillId="25" borderId="12" xfId="0" applyNumberFormat="1" applyFont="1" applyFill="1" applyBorder="1" applyAlignment="1">
      <alignment horizontal="centerContinuous"/>
    </xf>
    <xf numFmtId="0" fontId="131" fillId="0" borderId="13" xfId="0" applyFont="1" applyBorder="1"/>
    <xf numFmtId="265" fontId="131" fillId="0" borderId="0" xfId="0" applyNumberFormat="1" applyFont="1"/>
    <xf numFmtId="168" fontId="131" fillId="0" borderId="0" xfId="0" applyNumberFormat="1" applyFont="1"/>
    <xf numFmtId="37" fontId="131" fillId="0" borderId="0" xfId="0" applyNumberFormat="1" applyFont="1"/>
    <xf numFmtId="171" fontId="131" fillId="0" borderId="0" xfId="223" applyNumberFormat="1" applyFont="1" applyFill="1" applyBorder="1"/>
    <xf numFmtId="9" fontId="131" fillId="0" borderId="0" xfId="607" applyFont="1" applyFill="1" applyBorder="1"/>
    <xf numFmtId="0" fontId="131" fillId="0" borderId="15" xfId="0" applyFont="1" applyBorder="1"/>
    <xf numFmtId="0" fontId="0" fillId="0" borderId="0" xfId="0" applyAlignment="1">
      <alignment horizontal="right"/>
    </xf>
    <xf numFmtId="263" fontId="2" fillId="0" borderId="0" xfId="223" applyNumberFormat="1" applyFont="1"/>
    <xf numFmtId="0" fontId="142" fillId="0" borderId="0" xfId="0" applyFont="1"/>
    <xf numFmtId="0" fontId="142" fillId="0" borderId="0" xfId="0" applyFont="1" applyAlignment="1">
      <alignment horizontal="right"/>
    </xf>
    <xf numFmtId="0" fontId="143" fillId="0" borderId="0" xfId="0" applyFont="1" applyAlignment="1">
      <alignment horizontal="right"/>
    </xf>
    <xf numFmtId="171" fontId="131" fillId="0" borderId="3" xfId="223" applyNumberFormat="1" applyFont="1" applyFill="1" applyBorder="1"/>
    <xf numFmtId="167" fontId="130" fillId="25" borderId="18" xfId="0" applyNumberFormat="1" applyFont="1" applyFill="1" applyBorder="1" applyAlignment="1">
      <alignment horizontal="centerContinuous"/>
    </xf>
    <xf numFmtId="265" fontId="115" fillId="0" borderId="14" xfId="0" applyNumberFormat="1" applyFont="1" applyBorder="1"/>
    <xf numFmtId="168" fontId="131" fillId="0" borderId="14" xfId="0" applyNumberFormat="1" applyFont="1" applyBorder="1"/>
    <xf numFmtId="37" fontId="131" fillId="0" borderId="14" xfId="0" applyNumberFormat="1" applyFont="1" applyBorder="1"/>
    <xf numFmtId="37" fontId="115" fillId="0" borderId="14" xfId="0" applyNumberFormat="1" applyFont="1" applyBorder="1"/>
    <xf numFmtId="265" fontId="131" fillId="0" borderId="14" xfId="0" applyNumberFormat="1" applyFont="1" applyBorder="1"/>
    <xf numFmtId="171" fontId="131" fillId="0" borderId="14" xfId="223" applyNumberFormat="1" applyFont="1" applyFill="1" applyBorder="1"/>
    <xf numFmtId="9" fontId="131" fillId="0" borderId="14" xfId="607" applyFont="1" applyFill="1" applyBorder="1"/>
    <xf numFmtId="171" fontId="131" fillId="0" borderId="16" xfId="223" applyNumberFormat="1" applyFont="1" applyFill="1" applyBorder="1"/>
    <xf numFmtId="0" fontId="3" fillId="0" borderId="13" xfId="0" applyFont="1" applyBorder="1"/>
    <xf numFmtId="0" fontId="115" fillId="0" borderId="13" xfId="0" applyFont="1" applyBorder="1"/>
    <xf numFmtId="0" fontId="22" fillId="6" borderId="43" xfId="0" applyFont="1" applyFill="1" applyBorder="1"/>
    <xf numFmtId="0" fontId="22" fillId="6" borderId="54" xfId="0" applyFont="1" applyFill="1" applyBorder="1"/>
    <xf numFmtId="173" fontId="13" fillId="10" borderId="19" xfId="235" applyNumberFormat="1" applyFont="1" applyFill="1" applyBorder="1" applyAlignment="1"/>
    <xf numFmtId="168" fontId="129" fillId="0" borderId="13" xfId="0" applyNumberFormat="1" applyFont="1" applyBorder="1"/>
    <xf numFmtId="168" fontId="129" fillId="0" borderId="0" xfId="0" applyNumberFormat="1" applyFont="1"/>
    <xf numFmtId="168" fontId="128" fillId="0" borderId="13" xfId="0" applyNumberFormat="1" applyFont="1" applyBorder="1"/>
    <xf numFmtId="168" fontId="125" fillId="6" borderId="43" xfId="0" applyNumberFormat="1" applyFont="1" applyFill="1" applyBorder="1"/>
    <xf numFmtId="168" fontId="125" fillId="6" borderId="8" xfId="0" applyNumberFormat="1" applyFont="1" applyFill="1" applyBorder="1"/>
    <xf numFmtId="168" fontId="125" fillId="0" borderId="13" xfId="0" applyNumberFormat="1" applyFont="1" applyBorder="1"/>
    <xf numFmtId="173" fontId="22" fillId="6" borderId="52" xfId="223" applyNumberFormat="1" applyFont="1" applyFill="1" applyBorder="1"/>
    <xf numFmtId="173" fontId="3" fillId="0" borderId="14" xfId="223" applyNumberFormat="1" applyFont="1" applyBorder="1"/>
    <xf numFmtId="173" fontId="22" fillId="6" borderId="55" xfId="223" applyNumberFormat="1" applyFont="1" applyFill="1" applyBorder="1"/>
    <xf numFmtId="167" fontId="117" fillId="25" borderId="12" xfId="0" applyNumberFormat="1" applyFont="1" applyFill="1" applyBorder="1" applyAlignment="1">
      <alignment horizontal="left"/>
    </xf>
    <xf numFmtId="167" fontId="117" fillId="25" borderId="12" xfId="0" applyNumberFormat="1" applyFont="1" applyFill="1" applyBorder="1" applyAlignment="1">
      <alignment horizontal="right"/>
    </xf>
    <xf numFmtId="0" fontId="115" fillId="0" borderId="32" xfId="0" applyFont="1" applyBorder="1"/>
    <xf numFmtId="168" fontId="115" fillId="0" borderId="14" xfId="0" applyNumberFormat="1" applyFont="1" applyBorder="1"/>
    <xf numFmtId="171" fontId="115" fillId="0" borderId="14" xfId="223" applyNumberFormat="1" applyFont="1" applyFill="1" applyBorder="1"/>
    <xf numFmtId="168" fontId="115" fillId="0" borderId="14" xfId="607" applyNumberFormat="1" applyFont="1" applyFill="1" applyBorder="1"/>
    <xf numFmtId="266" fontId="115" fillId="0" borderId="14" xfId="0" applyNumberFormat="1" applyFont="1" applyBorder="1"/>
    <xf numFmtId="0" fontId="115" fillId="0" borderId="56" xfId="0" applyFont="1" applyBorder="1"/>
    <xf numFmtId="171" fontId="115" fillId="0" borderId="16" xfId="223" applyNumberFormat="1" applyFont="1" applyFill="1" applyBorder="1"/>
    <xf numFmtId="0" fontId="115" fillId="0" borderId="0" xfId="0" applyFont="1"/>
    <xf numFmtId="171" fontId="115" fillId="0" borderId="0" xfId="223" applyNumberFormat="1" applyFont="1" applyFill="1"/>
    <xf numFmtId="0" fontId="115" fillId="0" borderId="0" xfId="0" applyFont="1" applyAlignment="1">
      <alignment horizontal="right"/>
    </xf>
    <xf numFmtId="173" fontId="115" fillId="0" borderId="0" xfId="223" applyNumberFormat="1" applyFont="1" applyFill="1"/>
    <xf numFmtId="9" fontId="123" fillId="0" borderId="13" xfId="607" applyFont="1" applyFill="1" applyBorder="1"/>
    <xf numFmtId="167" fontId="124" fillId="25" borderId="0" xfId="0" applyNumberFormat="1" applyFont="1" applyFill="1"/>
    <xf numFmtId="167" fontId="124" fillId="25" borderId="13" xfId="0" applyNumberFormat="1" applyFont="1" applyFill="1" applyBorder="1"/>
    <xf numFmtId="0" fontId="124" fillId="25" borderId="53" xfId="0" applyFont="1" applyFill="1" applyBorder="1" applyAlignment="1">
      <alignment horizontal="right"/>
    </xf>
    <xf numFmtId="169" fontId="132" fillId="0" borderId="0" xfId="0" applyNumberFormat="1" applyFont="1" applyAlignment="1">
      <alignment wrapText="1"/>
    </xf>
    <xf numFmtId="10" fontId="123" fillId="0" borderId="0" xfId="607" applyNumberFormat="1" applyFont="1" applyBorder="1"/>
    <xf numFmtId="10" fontId="123" fillId="0" borderId="13" xfId="607" applyNumberFormat="1" applyFont="1" applyFill="1" applyBorder="1"/>
    <xf numFmtId="10" fontId="123" fillId="0" borderId="0" xfId="607" applyNumberFormat="1" applyFont="1" applyFill="1" applyBorder="1"/>
    <xf numFmtId="0" fontId="122" fillId="25" borderId="18" xfId="0" applyFont="1" applyFill="1" applyBorder="1"/>
    <xf numFmtId="0" fontId="124" fillId="25" borderId="57" xfId="0" applyFont="1" applyFill="1" applyBorder="1" applyAlignment="1">
      <alignment horizontal="right"/>
    </xf>
    <xf numFmtId="167" fontId="124" fillId="25" borderId="14" xfId="0" applyNumberFormat="1" applyFont="1" applyFill="1" applyBorder="1"/>
    <xf numFmtId="0" fontId="125" fillId="0" borderId="14" xfId="0" applyFont="1" applyBorder="1"/>
    <xf numFmtId="171" fontId="123" fillId="0" borderId="14" xfId="223" applyNumberFormat="1" applyFont="1" applyFill="1" applyBorder="1"/>
    <xf numFmtId="168" fontId="129" fillId="0" borderId="14" xfId="607" applyNumberFormat="1" applyFont="1" applyBorder="1" applyAlignment="1">
      <alignment horizontal="right"/>
    </xf>
    <xf numFmtId="171" fontId="125" fillId="6" borderId="52" xfId="223" applyNumberFormat="1" applyFont="1" applyFill="1" applyBorder="1"/>
    <xf numFmtId="167" fontId="124" fillId="25" borderId="14" xfId="0" applyNumberFormat="1" applyFont="1" applyFill="1" applyBorder="1" applyAlignment="1">
      <alignment horizontal="centerContinuous"/>
    </xf>
    <xf numFmtId="171" fontId="125" fillId="6" borderId="55" xfId="223" applyNumberFormat="1" applyFont="1" applyFill="1" applyBorder="1"/>
    <xf numFmtId="262" fontId="128" fillId="0" borderId="14" xfId="0" applyNumberFormat="1" applyFont="1" applyBorder="1"/>
    <xf numFmtId="43" fontId="123" fillId="0" borderId="14" xfId="223" applyFont="1" applyFill="1" applyBorder="1"/>
    <xf numFmtId="171" fontId="125" fillId="0" borderId="14" xfId="223" applyNumberFormat="1" applyFont="1" applyFill="1" applyBorder="1"/>
    <xf numFmtId="169" fontId="128" fillId="0" borderId="14" xfId="223" applyNumberFormat="1" applyFont="1" applyFill="1" applyBorder="1"/>
    <xf numFmtId="169" fontId="123" fillId="0" borderId="14" xfId="223" applyNumberFormat="1" applyFont="1" applyFill="1" applyBorder="1"/>
    <xf numFmtId="168" fontId="129" fillId="0" borderId="14" xfId="0" applyNumberFormat="1" applyFont="1" applyBorder="1"/>
    <xf numFmtId="168" fontId="125" fillId="6" borderId="52" xfId="0" applyNumberFormat="1" applyFont="1" applyFill="1" applyBorder="1"/>
    <xf numFmtId="0" fontId="123" fillId="0" borderId="14" xfId="0" applyFont="1" applyBorder="1"/>
    <xf numFmtId="10" fontId="123" fillId="0" borderId="14" xfId="607" applyNumberFormat="1" applyFont="1" applyFill="1" applyBorder="1"/>
    <xf numFmtId="0" fontId="124" fillId="25" borderId="8" xfId="0" applyFont="1" applyFill="1" applyBorder="1"/>
    <xf numFmtId="0" fontId="124" fillId="25" borderId="52" xfId="0" applyFont="1" applyFill="1" applyBorder="1"/>
    <xf numFmtId="0" fontId="3" fillId="15" borderId="21" xfId="223" quotePrefix="1" applyNumberFormat="1" applyFont="1" applyFill="1" applyBorder="1" applyAlignment="1">
      <alignment horizontal="left"/>
    </xf>
    <xf numFmtId="171" fontId="3" fillId="15" borderId="0" xfId="235" applyNumberFormat="1" applyFont="1" applyFill="1" applyBorder="1"/>
    <xf numFmtId="171" fontId="3" fillId="15" borderId="21" xfId="235" applyNumberFormat="1" applyFont="1" applyFill="1" applyBorder="1" applyAlignment="1">
      <alignment horizontal="left"/>
    </xf>
    <xf numFmtId="37" fontId="3" fillId="15" borderId="27" xfId="235" applyNumberFormat="1" applyFont="1" applyFill="1" applyBorder="1" applyAlignment="1">
      <alignment horizontal="right"/>
    </xf>
    <xf numFmtId="0" fontId="3" fillId="15" borderId="21" xfId="223" applyNumberFormat="1" applyFont="1" applyFill="1" applyBorder="1" applyAlignment="1">
      <alignment horizontal="left"/>
    </xf>
    <xf numFmtId="171" fontId="53" fillId="15" borderId="21" xfId="235" applyNumberFormat="1" applyFont="1" applyFill="1" applyBorder="1" applyAlignment="1">
      <alignment horizontal="left"/>
    </xf>
    <xf numFmtId="171" fontId="133" fillId="15" borderId="0" xfId="235" applyNumberFormat="1" applyFont="1" applyFill="1" applyBorder="1"/>
    <xf numFmtId="171" fontId="133" fillId="15" borderId="21" xfId="235" applyNumberFormat="1" applyFont="1" applyFill="1" applyBorder="1" applyAlignment="1">
      <alignment horizontal="left"/>
    </xf>
    <xf numFmtId="37" fontId="133" fillId="15" borderId="27" xfId="235" applyNumberFormat="1" applyFont="1" applyFill="1" applyBorder="1" applyAlignment="1">
      <alignment horizontal="right"/>
    </xf>
    <xf numFmtId="173" fontId="3" fillId="0" borderId="0" xfId="0" applyNumberFormat="1" applyFont="1"/>
    <xf numFmtId="167" fontId="124" fillId="25" borderId="32" xfId="0" applyNumberFormat="1" applyFont="1" applyFill="1" applyBorder="1"/>
    <xf numFmtId="167" fontId="124" fillId="25" borderId="32" xfId="0" applyNumberFormat="1" applyFont="1" applyFill="1" applyBorder="1" applyAlignment="1">
      <alignment horizontal="centerContinuous"/>
    </xf>
    <xf numFmtId="169" fontId="123" fillId="31" borderId="0" xfId="223" applyNumberFormat="1" applyFont="1" applyFill="1" applyAlignment="1"/>
    <xf numFmtId="267" fontId="125" fillId="6" borderId="8" xfId="223" applyNumberFormat="1" applyFont="1" applyFill="1" applyBorder="1"/>
    <xf numFmtId="267" fontId="125" fillId="0" borderId="13" xfId="223" applyNumberFormat="1" applyFont="1" applyFill="1" applyBorder="1"/>
    <xf numFmtId="267" fontId="125" fillId="6" borderId="43" xfId="223" applyNumberFormat="1" applyFont="1" applyFill="1" applyBorder="1"/>
    <xf numFmtId="267" fontId="125" fillId="6" borderId="52" xfId="223" applyNumberFormat="1" applyFont="1" applyFill="1" applyBorder="1"/>
    <xf numFmtId="267" fontId="126" fillId="0" borderId="0" xfId="223" applyNumberFormat="1" applyFont="1" applyBorder="1" applyAlignment="1">
      <alignment horizontal="right"/>
    </xf>
    <xf numFmtId="267" fontId="126" fillId="0" borderId="13" xfId="223" applyNumberFormat="1" applyFont="1" applyBorder="1" applyAlignment="1">
      <alignment horizontal="right"/>
    </xf>
    <xf numFmtId="267" fontId="126" fillId="0" borderId="14" xfId="223" applyNumberFormat="1" applyFont="1" applyBorder="1" applyAlignment="1">
      <alignment horizontal="right"/>
    </xf>
    <xf numFmtId="267" fontId="126" fillId="0" borderId="3" xfId="223" applyNumberFormat="1" applyFont="1" applyBorder="1" applyAlignment="1">
      <alignment horizontal="right"/>
    </xf>
    <xf numFmtId="267" fontId="126" fillId="0" borderId="16" xfId="223" applyNumberFormat="1" applyFont="1" applyBorder="1" applyAlignment="1">
      <alignment horizontal="right"/>
    </xf>
    <xf numFmtId="267" fontId="126" fillId="0" borderId="15" xfId="223" applyNumberFormat="1" applyFont="1" applyBorder="1" applyAlignment="1">
      <alignment horizontal="right"/>
    </xf>
    <xf numFmtId="267" fontId="127" fillId="0" borderId="0" xfId="223" applyNumberFormat="1" applyFont="1" applyBorder="1" applyAlignment="1">
      <alignment horizontal="right"/>
    </xf>
    <xf numFmtId="267" fontId="127" fillId="0" borderId="13" xfId="223" applyNumberFormat="1" applyFont="1" applyBorder="1" applyAlignment="1">
      <alignment horizontal="right"/>
    </xf>
    <xf numFmtId="267" fontId="127" fillId="0" borderId="14" xfId="223" applyNumberFormat="1" applyFont="1" applyBorder="1" applyAlignment="1">
      <alignment horizontal="right"/>
    </xf>
    <xf numFmtId="267" fontId="123" fillId="0" borderId="0" xfId="223" applyNumberFormat="1" applyFont="1" applyFill="1"/>
    <xf numFmtId="267" fontId="123" fillId="0" borderId="13" xfId="223" applyNumberFormat="1" applyFont="1" applyFill="1" applyBorder="1"/>
    <xf numFmtId="267" fontId="123" fillId="0" borderId="0" xfId="223" applyNumberFormat="1" applyFont="1" applyFill="1" applyBorder="1"/>
    <xf numFmtId="267" fontId="123" fillId="0" borderId="14" xfId="223" applyNumberFormat="1" applyFont="1" applyFill="1" applyBorder="1"/>
    <xf numFmtId="267" fontId="127" fillId="0" borderId="12" xfId="223" applyNumberFormat="1" applyFont="1" applyBorder="1" applyAlignment="1">
      <alignment horizontal="right"/>
    </xf>
    <xf numFmtId="267" fontId="127" fillId="0" borderId="17" xfId="223" applyNumberFormat="1" applyFont="1" applyBorder="1" applyAlignment="1">
      <alignment horizontal="right"/>
    </xf>
    <xf numFmtId="267" fontId="127" fillId="0" borderId="18" xfId="223" applyNumberFormat="1" applyFont="1" applyBorder="1" applyAlignment="1">
      <alignment horizontal="right"/>
    </xf>
    <xf numFmtId="267" fontId="127" fillId="6" borderId="39" xfId="223" applyNumberFormat="1" applyFont="1" applyFill="1" applyBorder="1" applyAlignment="1">
      <alignment horizontal="right"/>
    </xf>
    <xf numFmtId="267" fontId="127" fillId="6" borderId="13" xfId="223" applyNumberFormat="1" applyFont="1" applyFill="1" applyBorder="1" applyAlignment="1">
      <alignment horizontal="right"/>
    </xf>
    <xf numFmtId="267" fontId="127" fillId="6" borderId="54" xfId="223" applyNumberFormat="1" applyFont="1" applyFill="1" applyBorder="1" applyAlignment="1">
      <alignment horizontal="right"/>
    </xf>
    <xf numFmtId="267" fontId="127" fillId="6" borderId="55" xfId="223" applyNumberFormat="1" applyFont="1" applyFill="1" applyBorder="1" applyAlignment="1">
      <alignment horizontal="right"/>
    </xf>
    <xf numFmtId="173" fontId="3" fillId="15" borderId="58" xfId="235" applyNumberFormat="1" applyFont="1" applyFill="1" applyBorder="1"/>
    <xf numFmtId="173" fontId="13" fillId="10" borderId="38" xfId="235" applyNumberFormat="1" applyFont="1" applyFill="1" applyBorder="1" applyAlignment="1">
      <alignment horizontal="right"/>
    </xf>
    <xf numFmtId="9" fontId="13" fillId="10" borderId="38" xfId="607" applyFont="1" applyFill="1" applyBorder="1" applyAlignment="1">
      <alignment horizontal="right"/>
    </xf>
    <xf numFmtId="168" fontId="3" fillId="15" borderId="58" xfId="607" applyNumberFormat="1" applyFont="1" applyFill="1" applyBorder="1"/>
    <xf numFmtId="171" fontId="2" fillId="15" borderId="19" xfId="235" applyNumberFormat="1" applyFont="1" applyFill="1" applyBorder="1"/>
    <xf numFmtId="171" fontId="2" fillId="15" borderId="9" xfId="235" applyNumberFormat="1" applyFont="1" applyFill="1" applyBorder="1"/>
    <xf numFmtId="9" fontId="22" fillId="15" borderId="38" xfId="607" applyFont="1" applyFill="1" applyBorder="1" applyAlignment="1">
      <alignment horizontal="right"/>
    </xf>
    <xf numFmtId="171" fontId="22" fillId="15" borderId="38" xfId="235" applyNumberFormat="1" applyFont="1" applyFill="1" applyBorder="1" applyAlignment="1">
      <alignment horizontal="right"/>
    </xf>
    <xf numFmtId="171" fontId="2" fillId="15" borderId="19" xfId="235" applyNumberFormat="1" applyFont="1" applyFill="1" applyBorder="1" applyAlignment="1">
      <alignment horizontal="right"/>
    </xf>
    <xf numFmtId="171" fontId="2" fillId="15" borderId="9" xfId="235" applyNumberFormat="1" applyFont="1" applyFill="1" applyBorder="1" applyAlignment="1">
      <alignment horizontal="right"/>
    </xf>
    <xf numFmtId="171" fontId="2" fillId="15" borderId="20" xfId="235" applyNumberFormat="1" applyFont="1" applyFill="1" applyBorder="1" applyAlignment="1">
      <alignment horizontal="right"/>
    </xf>
    <xf numFmtId="9" fontId="123" fillId="0" borderId="32" xfId="607" applyFont="1" applyFill="1" applyBorder="1"/>
    <xf numFmtId="167" fontId="117" fillId="25" borderId="18" xfId="0" applyNumberFormat="1" applyFont="1" applyFill="1" applyBorder="1" applyAlignment="1">
      <alignment horizontal="right"/>
    </xf>
    <xf numFmtId="0" fontId="115" fillId="0" borderId="14" xfId="0" applyFont="1" applyBorder="1"/>
    <xf numFmtId="0" fontId="115" fillId="0" borderId="14" xfId="0" applyFont="1" applyBorder="1" applyAlignment="1">
      <alignment horizontal="right"/>
    </xf>
    <xf numFmtId="173" fontId="115" fillId="0" borderId="14" xfId="223" applyNumberFormat="1" applyFont="1" applyFill="1" applyBorder="1"/>
    <xf numFmtId="9" fontId="123" fillId="0" borderId="14" xfId="607" applyFont="1" applyFill="1" applyBorder="1"/>
    <xf numFmtId="0" fontId="124" fillId="25" borderId="57" xfId="0" applyFont="1" applyFill="1" applyBorder="1" applyAlignment="1">
      <alignment horizontal="centerContinuous"/>
    </xf>
    <xf numFmtId="171" fontId="144" fillId="32" borderId="13" xfId="235" applyNumberFormat="1" applyFont="1" applyFill="1" applyBorder="1" applyAlignment="1">
      <alignment horizontal="center" wrapText="1"/>
    </xf>
    <xf numFmtId="168" fontId="145" fillId="0" borderId="0" xfId="607" applyNumberFormat="1" applyFont="1" applyFill="1"/>
    <xf numFmtId="166" fontId="145" fillId="0" borderId="0" xfId="0" applyNumberFormat="1" applyFont="1"/>
    <xf numFmtId="0" fontId="146" fillId="0" borderId="0" xfId="329" applyFont="1"/>
    <xf numFmtId="0" fontId="146" fillId="0" borderId="0" xfId="0" applyFont="1"/>
    <xf numFmtId="166" fontId="146" fillId="0" borderId="0" xfId="0" applyNumberFormat="1" applyFont="1"/>
    <xf numFmtId="0" fontId="147" fillId="0" borderId="0" xfId="0" applyFont="1"/>
    <xf numFmtId="168" fontId="147" fillId="0" borderId="7" xfId="607" applyNumberFormat="1" applyFont="1" applyFill="1" applyBorder="1" applyAlignment="1">
      <alignment horizontal="right"/>
    </xf>
    <xf numFmtId="0" fontId="147" fillId="0" borderId="7" xfId="0" applyFont="1" applyBorder="1"/>
    <xf numFmtId="269" fontId="146" fillId="0" borderId="0" xfId="0" applyNumberFormat="1" applyFont="1" applyAlignment="1">
      <alignment horizontal="right"/>
    </xf>
    <xf numFmtId="269" fontId="148" fillId="0" borderId="0" xfId="0" applyNumberFormat="1" applyFont="1" applyAlignment="1">
      <alignment horizontal="right"/>
    </xf>
    <xf numFmtId="269" fontId="147" fillId="0" borderId="0" xfId="0" applyNumberFormat="1" applyFont="1" applyAlignment="1">
      <alignment horizontal="right"/>
    </xf>
    <xf numFmtId="269" fontId="149" fillId="0" borderId="0" xfId="0" applyNumberFormat="1" applyFont="1" applyAlignment="1">
      <alignment horizontal="right"/>
    </xf>
    <xf numFmtId="2" fontId="146" fillId="0" borderId="0" xfId="0" applyNumberFormat="1" applyFont="1"/>
    <xf numFmtId="2" fontId="148" fillId="0" borderId="0" xfId="0" applyNumberFormat="1" applyFont="1"/>
    <xf numFmtId="1" fontId="146" fillId="0" borderId="0" xfId="0" applyNumberFormat="1" applyFont="1" applyAlignment="1">
      <alignment horizontal="right"/>
    </xf>
    <xf numFmtId="0" fontId="146" fillId="0" borderId="0" xfId="0" applyFont="1" applyAlignment="1">
      <alignment horizontal="right"/>
    </xf>
    <xf numFmtId="0" fontId="146" fillId="0" borderId="0" xfId="0" applyFont="1" applyAlignment="1">
      <alignment horizontal="left"/>
    </xf>
    <xf numFmtId="171" fontId="147" fillId="0" borderId="7" xfId="223" applyNumberFormat="1" applyFont="1" applyBorder="1"/>
    <xf numFmtId="171" fontId="146" fillId="0" borderId="0" xfId="223" applyNumberFormat="1" applyFont="1" applyBorder="1"/>
    <xf numFmtId="0" fontId="147" fillId="0" borderId="6" xfId="0" applyFont="1" applyBorder="1"/>
    <xf numFmtId="171" fontId="146" fillId="0" borderId="7" xfId="223" applyNumberFormat="1" applyFont="1" applyBorder="1"/>
    <xf numFmtId="0" fontId="146" fillId="0" borderId="7" xfId="0" applyFont="1" applyBorder="1"/>
    <xf numFmtId="171" fontId="146" fillId="0" borderId="0" xfId="223" applyNumberFormat="1" applyFont="1"/>
    <xf numFmtId="171" fontId="146" fillId="0" borderId="59" xfId="223" applyNumberFormat="1" applyFont="1" applyBorder="1"/>
    <xf numFmtId="0" fontId="146" fillId="0" borderId="59" xfId="0" applyFont="1" applyBorder="1"/>
    <xf numFmtId="171" fontId="147" fillId="0" borderId="39" xfId="223" applyNumberFormat="1" applyFont="1" applyFill="1" applyBorder="1" applyAlignment="1">
      <alignment horizontal="right"/>
    </xf>
    <xf numFmtId="0" fontId="147" fillId="0" borderId="39" xfId="0" applyFont="1" applyBorder="1"/>
    <xf numFmtId="171" fontId="146" fillId="0" borderId="0" xfId="223" applyNumberFormat="1" applyFont="1" applyAlignment="1">
      <alignment horizontal="right"/>
    </xf>
    <xf numFmtId="171" fontId="147" fillId="0" borderId="0" xfId="223" applyNumberFormat="1" applyFont="1" applyFill="1"/>
    <xf numFmtId="37" fontId="146" fillId="0" borderId="0" xfId="0" applyNumberFormat="1" applyFont="1" applyAlignment="1">
      <alignment horizontal="right"/>
    </xf>
    <xf numFmtId="0" fontId="150" fillId="0" borderId="0" xfId="0" applyFont="1"/>
    <xf numFmtId="168" fontId="150" fillId="32" borderId="0" xfId="607" applyNumberFormat="1" applyFont="1" applyFill="1" applyAlignment="1">
      <alignment horizontal="right"/>
    </xf>
    <xf numFmtId="0" fontId="150" fillId="32" borderId="0" xfId="0" applyFont="1" applyFill="1"/>
    <xf numFmtId="9" fontId="150" fillId="32" borderId="0" xfId="607" applyFont="1" applyFill="1" applyAlignment="1">
      <alignment horizontal="right"/>
    </xf>
    <xf numFmtId="169" fontId="147" fillId="0" borderId="39" xfId="0" applyNumberFormat="1" applyFont="1" applyBorder="1"/>
    <xf numFmtId="166" fontId="147" fillId="0" borderId="39" xfId="0" applyNumberFormat="1" applyFont="1" applyBorder="1"/>
    <xf numFmtId="166" fontId="147" fillId="0" borderId="0" xfId="0" applyNumberFormat="1" applyFont="1" applyAlignment="1">
      <alignment horizontal="right"/>
    </xf>
    <xf numFmtId="43" fontId="151" fillId="0" borderId="0" xfId="223" applyFont="1" applyFill="1" applyBorder="1" applyAlignment="1">
      <alignment horizontal="center"/>
    </xf>
    <xf numFmtId="0" fontId="151" fillId="0" borderId="0" xfId="0" applyFont="1"/>
    <xf numFmtId="167" fontId="147" fillId="33" borderId="0" xfId="0" applyNumberFormat="1" applyFont="1" applyFill="1" applyAlignment="1">
      <alignment horizontal="center"/>
    </xf>
    <xf numFmtId="0" fontId="147" fillId="33" borderId="0" xfId="0" applyFont="1" applyFill="1"/>
    <xf numFmtId="167" fontId="147" fillId="33" borderId="3" xfId="0" applyNumberFormat="1" applyFont="1" applyFill="1" applyBorder="1" applyAlignment="1">
      <alignment horizontal="centerContinuous"/>
    </xf>
    <xf numFmtId="167" fontId="147" fillId="33" borderId="3" xfId="0" applyNumberFormat="1" applyFont="1" applyFill="1" applyBorder="1" applyAlignment="1">
      <alignment horizontal="center" vertical="center"/>
    </xf>
    <xf numFmtId="0" fontId="147" fillId="33" borderId="8" xfId="0" applyFont="1" applyFill="1" applyBorder="1"/>
    <xf numFmtId="0" fontId="146" fillId="33" borderId="3" xfId="0" applyFont="1" applyFill="1" applyBorder="1"/>
    <xf numFmtId="0" fontId="147" fillId="33" borderId="3" xfId="0" applyFont="1" applyFill="1" applyBorder="1"/>
    <xf numFmtId="37" fontId="146" fillId="0" borderId="0" xfId="0" applyNumberFormat="1" applyFont="1"/>
    <xf numFmtId="168" fontId="146" fillId="0" borderId="0" xfId="607" applyNumberFormat="1" applyFont="1"/>
    <xf numFmtId="9" fontId="146" fillId="0" borderId="0" xfId="607" applyFont="1"/>
    <xf numFmtId="270" fontId="147" fillId="0" borderId="0" xfId="0" applyNumberFormat="1" applyFont="1"/>
    <xf numFmtId="168" fontId="146" fillId="0" borderId="0" xfId="607" applyNumberFormat="1" applyFont="1" applyFill="1" applyAlignment="1">
      <alignment horizontal="right"/>
    </xf>
    <xf numFmtId="1" fontId="148" fillId="0" borderId="0" xfId="0" applyNumberFormat="1" applyFont="1" applyAlignment="1">
      <alignment horizontal="right"/>
    </xf>
    <xf numFmtId="166" fontId="146" fillId="0" borderId="0" xfId="0" applyNumberFormat="1" applyFont="1" applyAlignment="1">
      <alignment horizontal="right"/>
    </xf>
    <xf numFmtId="167" fontId="147" fillId="33" borderId="3" xfId="0" applyNumberFormat="1" applyFont="1" applyFill="1" applyBorder="1" applyAlignment="1">
      <alignment horizontal="left" vertical="center"/>
    </xf>
    <xf numFmtId="168" fontId="147" fillId="0" borderId="0" xfId="607" applyNumberFormat="1" applyFont="1" applyFill="1" applyAlignment="1">
      <alignment horizontal="right"/>
    </xf>
    <xf numFmtId="271" fontId="146" fillId="0" borderId="0" xfId="0" applyNumberFormat="1" applyFont="1"/>
    <xf numFmtId="272" fontId="146" fillId="0" borderId="0" xfId="0" applyNumberFormat="1" applyFont="1"/>
    <xf numFmtId="272" fontId="147" fillId="0" borderId="0" xfId="0" applyNumberFormat="1" applyFont="1"/>
    <xf numFmtId="171" fontId="147" fillId="0" borderId="0" xfId="223" applyNumberFormat="1" applyFont="1" applyFill="1" applyBorder="1"/>
    <xf numFmtId="171" fontId="146" fillId="0" borderId="0" xfId="223" applyNumberFormat="1" applyFont="1" applyFill="1" applyBorder="1"/>
    <xf numFmtId="166" fontId="147" fillId="0" borderId="0" xfId="0" applyNumberFormat="1" applyFont="1"/>
    <xf numFmtId="166" fontId="148" fillId="0" borderId="0" xfId="0" applyNumberFormat="1" applyFont="1"/>
    <xf numFmtId="168" fontId="150" fillId="32" borderId="0" xfId="0" applyNumberFormat="1" applyFont="1" applyFill="1"/>
    <xf numFmtId="0" fontId="150" fillId="32" borderId="0" xfId="0" applyFont="1" applyFill="1" applyAlignment="1">
      <alignment horizontal="left"/>
    </xf>
    <xf numFmtId="9" fontId="146" fillId="0" borderId="0" xfId="607" applyFont="1" applyFill="1"/>
    <xf numFmtId="0" fontId="153" fillId="0" borderId="0" xfId="0" applyFont="1"/>
    <xf numFmtId="0" fontId="147" fillId="0" borderId="0" xfId="0" applyFont="1" applyAlignment="1">
      <alignment horizontal="left"/>
    </xf>
    <xf numFmtId="166" fontId="140" fillId="0" borderId="0" xfId="0" applyNumberFormat="1" applyFont="1"/>
    <xf numFmtId="166" fontId="144" fillId="0" borderId="0" xfId="0" applyNumberFormat="1" applyFont="1"/>
    <xf numFmtId="166" fontId="154" fillId="0" borderId="0" xfId="0" applyNumberFormat="1" applyFont="1"/>
    <xf numFmtId="273" fontId="146" fillId="0" borderId="0" xfId="0" applyNumberFormat="1" applyFont="1"/>
    <xf numFmtId="168" fontId="155" fillId="32" borderId="0" xfId="607" applyNumberFormat="1" applyFont="1" applyFill="1"/>
    <xf numFmtId="0" fontId="150" fillId="32" borderId="0" xfId="0" applyFont="1" applyFill="1" applyAlignment="1">
      <alignment horizontal="left" indent="1"/>
    </xf>
    <xf numFmtId="166" fontId="146" fillId="27" borderId="0" xfId="0" applyNumberFormat="1" applyFont="1" applyFill="1"/>
    <xf numFmtId="168" fontId="141" fillId="32" borderId="0" xfId="607" applyNumberFormat="1" applyFont="1" applyFill="1"/>
    <xf numFmtId="166" fontId="144" fillId="34" borderId="0" xfId="0" applyNumberFormat="1" applyFont="1" applyFill="1"/>
    <xf numFmtId="166" fontId="146" fillId="34" borderId="0" xfId="0" applyNumberFormat="1" applyFont="1" applyFill="1"/>
    <xf numFmtId="168" fontId="150" fillId="0" borderId="0" xfId="607" applyNumberFormat="1" applyFont="1" applyFill="1"/>
    <xf numFmtId="168" fontId="150" fillId="32" borderId="0" xfId="607" applyNumberFormat="1" applyFont="1" applyFill="1"/>
    <xf numFmtId="166" fontId="145" fillId="27" borderId="0" xfId="0" applyNumberFormat="1" applyFont="1" applyFill="1"/>
    <xf numFmtId="0" fontId="150" fillId="0" borderId="0" xfId="0" applyFont="1" applyAlignment="1">
      <alignment horizontal="left" indent="1"/>
    </xf>
    <xf numFmtId="168" fontId="141" fillId="32" borderId="0" xfId="607" applyNumberFormat="1" applyFont="1" applyFill="1" applyBorder="1"/>
    <xf numFmtId="167" fontId="147" fillId="33" borderId="0" xfId="0" applyNumberFormat="1" applyFont="1" applyFill="1" applyAlignment="1">
      <alignment horizontal="centerContinuous"/>
    </xf>
    <xf numFmtId="0" fontId="139" fillId="33" borderId="0" xfId="0" applyFont="1" applyFill="1"/>
    <xf numFmtId="0" fontId="147" fillId="33" borderId="53" xfId="0" applyFont="1" applyFill="1" applyBorder="1" applyAlignment="1">
      <alignment horizontal="centerContinuous"/>
    </xf>
    <xf numFmtId="0" fontId="156" fillId="33" borderId="0" xfId="0" applyFont="1" applyFill="1" applyAlignment="1">
      <alignment horizontal="left"/>
    </xf>
    <xf numFmtId="0" fontId="146" fillId="0" borderId="21" xfId="329" applyFont="1" applyBorder="1" applyAlignment="1">
      <alignment horizontal="left" wrapText="1"/>
    </xf>
    <xf numFmtId="0" fontId="147" fillId="0" borderId="60" xfId="329" applyFont="1" applyBorder="1" applyAlignment="1">
      <alignment horizontal="right"/>
    </xf>
    <xf numFmtId="0" fontId="147" fillId="0" borderId="40" xfId="329" applyFont="1" applyBorder="1" applyAlignment="1">
      <alignment horizontal="left" wrapText="1"/>
    </xf>
    <xf numFmtId="171" fontId="147" fillId="0" borderId="0" xfId="235" applyNumberFormat="1" applyFont="1" applyFill="1" applyBorder="1" applyAlignment="1">
      <alignment horizontal="left" wrapText="1"/>
    </xf>
    <xf numFmtId="171" fontId="148" fillId="0" borderId="0" xfId="235" applyNumberFormat="1" applyFont="1" applyFill="1" applyBorder="1" applyAlignment="1">
      <alignment horizontal="left" wrapText="1"/>
    </xf>
    <xf numFmtId="0" fontId="146" fillId="0" borderId="0" xfId="329" applyFont="1" applyAlignment="1">
      <alignment horizontal="left"/>
    </xf>
    <xf numFmtId="0" fontId="147" fillId="0" borderId="38" xfId="329" applyFont="1" applyBorder="1" applyAlignment="1">
      <alignment horizontal="left"/>
    </xf>
    <xf numFmtId="171" fontId="144" fillId="0" borderId="58" xfId="329" applyNumberFormat="1" applyFont="1" applyBorder="1"/>
    <xf numFmtId="0" fontId="146" fillId="0" borderId="21" xfId="329" applyFont="1" applyBorder="1" applyAlignment="1">
      <alignment horizontal="left"/>
    </xf>
    <xf numFmtId="171" fontId="146" fillId="0" borderId="58" xfId="329" applyNumberFormat="1" applyFont="1" applyBorder="1"/>
    <xf numFmtId="0" fontId="147" fillId="0" borderId="40" xfId="329" applyFont="1" applyBorder="1"/>
    <xf numFmtId="171" fontId="147" fillId="0" borderId="61" xfId="223" applyNumberFormat="1" applyFont="1" applyFill="1" applyBorder="1" applyAlignment="1">
      <alignment horizontal="left" wrapText="1"/>
    </xf>
    <xf numFmtId="171" fontId="147" fillId="0" borderId="62" xfId="223" applyNumberFormat="1" applyFont="1" applyFill="1" applyBorder="1" applyAlignment="1">
      <alignment horizontal="left" wrapText="1"/>
    </xf>
    <xf numFmtId="0" fontId="147" fillId="0" borderId="63" xfId="329" applyFont="1" applyBorder="1"/>
    <xf numFmtId="171" fontId="146" fillId="0" borderId="27" xfId="223" applyNumberFormat="1" applyFont="1" applyFill="1" applyBorder="1" applyAlignment="1">
      <alignment horizontal="left" wrapText="1"/>
    </xf>
    <xf numFmtId="171" fontId="146" fillId="0" borderId="58" xfId="223" applyNumberFormat="1" applyFont="1" applyFill="1" applyBorder="1" applyAlignment="1">
      <alignment horizontal="left" wrapText="1"/>
    </xf>
    <xf numFmtId="0" fontId="147" fillId="0" borderId="48" xfId="329" applyFont="1" applyBorder="1" applyAlignment="1">
      <alignment horizontal="right"/>
    </xf>
    <xf numFmtId="0" fontId="147" fillId="0" borderId="10" xfId="329" applyFont="1" applyBorder="1" applyAlignment="1">
      <alignment horizontal="center"/>
    </xf>
    <xf numFmtId="171" fontId="146" fillId="0" borderId="0" xfId="329" applyNumberFormat="1" applyFont="1"/>
    <xf numFmtId="0" fontId="150" fillId="0" borderId="0" xfId="329" applyFont="1"/>
    <xf numFmtId="0" fontId="157" fillId="0" borderId="0" xfId="329" applyFont="1"/>
    <xf numFmtId="0" fontId="146" fillId="32" borderId="56" xfId="329" applyFont="1" applyFill="1" applyBorder="1"/>
    <xf numFmtId="0" fontId="146" fillId="32" borderId="16" xfId="329" applyFont="1" applyFill="1" applyBorder="1"/>
    <xf numFmtId="171" fontId="146" fillId="32" borderId="8" xfId="223" applyNumberFormat="1" applyFont="1" applyFill="1" applyBorder="1" applyAlignment="1">
      <alignment horizontal="center" wrapText="1"/>
    </xf>
    <xf numFmtId="166" fontId="146" fillId="32" borderId="15" xfId="0" applyNumberFormat="1" applyFont="1" applyFill="1" applyBorder="1"/>
    <xf numFmtId="0" fontId="146" fillId="32" borderId="15" xfId="330" applyFont="1" applyFill="1" applyBorder="1"/>
    <xf numFmtId="0" fontId="146" fillId="0" borderId="0" xfId="330" applyFont="1"/>
    <xf numFmtId="269" fontId="147" fillId="32" borderId="11" xfId="330" applyNumberFormat="1" applyFont="1" applyFill="1" applyBorder="1"/>
    <xf numFmtId="269" fontId="147" fillId="32" borderId="52" xfId="330" applyNumberFormat="1" applyFont="1" applyFill="1" applyBorder="1"/>
    <xf numFmtId="171" fontId="147" fillId="32" borderId="8" xfId="223" applyNumberFormat="1" applyFont="1" applyFill="1" applyBorder="1"/>
    <xf numFmtId="171" fontId="147" fillId="32" borderId="43" xfId="223" applyNumberFormat="1" applyFont="1" applyFill="1" applyBorder="1"/>
    <xf numFmtId="0" fontId="147" fillId="32" borderId="43" xfId="330" applyFont="1" applyFill="1" applyBorder="1"/>
    <xf numFmtId="0" fontId="146" fillId="32" borderId="32" xfId="330" applyFont="1" applyFill="1" applyBorder="1"/>
    <xf numFmtId="0" fontId="146" fillId="32" borderId="14" xfId="330" applyFont="1" applyFill="1" applyBorder="1"/>
    <xf numFmtId="171" fontId="146" fillId="32" borderId="0" xfId="223" applyNumberFormat="1" applyFont="1" applyFill="1" applyBorder="1" applyAlignment="1">
      <alignment horizontal="center" wrapText="1"/>
    </xf>
    <xf numFmtId="171" fontId="147" fillId="32" borderId="13" xfId="223" applyNumberFormat="1" applyFont="1" applyFill="1" applyBorder="1"/>
    <xf numFmtId="0" fontId="147" fillId="32" borderId="13" xfId="330" applyFont="1" applyFill="1" applyBorder="1"/>
    <xf numFmtId="269" fontId="146" fillId="32" borderId="32" xfId="330" applyNumberFormat="1" applyFont="1" applyFill="1" applyBorder="1"/>
    <xf numFmtId="269" fontId="146" fillId="32" borderId="14" xfId="330" applyNumberFormat="1" applyFont="1" applyFill="1" applyBorder="1"/>
    <xf numFmtId="171" fontId="146" fillId="32" borderId="13" xfId="223" applyNumberFormat="1" applyFont="1" applyFill="1" applyBorder="1"/>
    <xf numFmtId="0" fontId="146" fillId="32" borderId="13" xfId="330" applyFont="1" applyFill="1" applyBorder="1"/>
    <xf numFmtId="0" fontId="147" fillId="32" borderId="32" xfId="330" applyFont="1" applyFill="1" applyBorder="1" applyAlignment="1">
      <alignment horizontal="right" wrapText="1"/>
    </xf>
    <xf numFmtId="0" fontId="147" fillId="32" borderId="14" xfId="330" applyFont="1" applyFill="1" applyBorder="1" applyAlignment="1">
      <alignment horizontal="right" wrapText="1"/>
    </xf>
    <xf numFmtId="0" fontId="146" fillId="32" borderId="13" xfId="330" applyFont="1" applyFill="1" applyBorder="1" applyAlignment="1">
      <alignment horizontal="left" wrapText="1"/>
    </xf>
    <xf numFmtId="0" fontId="146" fillId="32" borderId="32" xfId="330" applyFont="1" applyFill="1" applyBorder="1" applyAlignment="1">
      <alignment horizontal="right" wrapText="1"/>
    </xf>
    <xf numFmtId="0" fontId="146" fillId="32" borderId="14" xfId="330" applyFont="1" applyFill="1" applyBorder="1" applyAlignment="1">
      <alignment horizontal="right" wrapText="1"/>
    </xf>
    <xf numFmtId="171" fontId="144" fillId="32" borderId="13" xfId="223" applyNumberFormat="1" applyFont="1" applyFill="1" applyBorder="1" applyAlignment="1">
      <alignment horizontal="center" wrapText="1"/>
    </xf>
    <xf numFmtId="173" fontId="147" fillId="32" borderId="0" xfId="223" applyNumberFormat="1" applyFont="1" applyFill="1" applyBorder="1" applyAlignment="1">
      <alignment horizontal="center" wrapText="1"/>
    </xf>
    <xf numFmtId="173" fontId="147" fillId="32" borderId="13" xfId="223" applyNumberFormat="1" applyFont="1" applyFill="1" applyBorder="1" applyAlignment="1">
      <alignment horizontal="center" wrapText="1"/>
    </xf>
    <xf numFmtId="0" fontId="147" fillId="32" borderId="13" xfId="330" applyFont="1" applyFill="1" applyBorder="1" applyAlignment="1">
      <alignment horizontal="left" wrapText="1"/>
    </xf>
    <xf numFmtId="173" fontId="147" fillId="32" borderId="17" xfId="223" applyNumberFormat="1" applyFont="1" applyFill="1" applyBorder="1" applyAlignment="1">
      <alignment horizontal="center" wrapText="1"/>
    </xf>
    <xf numFmtId="274" fontId="147" fillId="0" borderId="0" xfId="0" applyNumberFormat="1" applyFont="1" applyAlignment="1">
      <alignment horizontal="right"/>
    </xf>
    <xf numFmtId="0" fontId="147" fillId="0" borderId="0" xfId="330" applyFont="1"/>
    <xf numFmtId="0" fontId="147" fillId="32" borderId="11" xfId="330" applyFont="1" applyFill="1" applyBorder="1" applyAlignment="1">
      <alignment horizontal="right" wrapText="1"/>
    </xf>
    <xf numFmtId="0" fontId="147" fillId="32" borderId="52" xfId="330" applyFont="1" applyFill="1" applyBorder="1" applyAlignment="1">
      <alignment horizontal="right" wrapText="1"/>
    </xf>
    <xf numFmtId="0" fontId="147" fillId="32" borderId="43" xfId="330" applyFont="1" applyFill="1" applyBorder="1" applyAlignment="1">
      <alignment horizontal="left" wrapText="1"/>
    </xf>
    <xf numFmtId="0" fontId="148" fillId="0" borderId="0" xfId="330" applyFont="1"/>
    <xf numFmtId="168" fontId="146" fillId="0" borderId="0" xfId="607" applyNumberFormat="1" applyFont="1" applyFill="1"/>
    <xf numFmtId="168" fontId="145" fillId="34" borderId="0" xfId="607" applyNumberFormat="1" applyFont="1" applyFill="1"/>
    <xf numFmtId="167" fontId="147" fillId="33" borderId="3" xfId="0" applyNumberFormat="1" applyFont="1" applyFill="1" applyBorder="1" applyAlignment="1">
      <alignment horizontal="center"/>
    </xf>
    <xf numFmtId="0" fontId="147" fillId="33" borderId="53" xfId="0" applyFont="1" applyFill="1" applyBorder="1" applyAlignment="1">
      <alignment horizontal="center"/>
    </xf>
    <xf numFmtId="0" fontId="0" fillId="32" borderId="0" xfId="0" applyFill="1"/>
    <xf numFmtId="0" fontId="0" fillId="32" borderId="17" xfId="0" applyFill="1" applyBorder="1"/>
    <xf numFmtId="0" fontId="0" fillId="32" borderId="12" xfId="0" applyFill="1" applyBorder="1"/>
    <xf numFmtId="0" fontId="0" fillId="32" borderId="18" xfId="0" applyFill="1" applyBorder="1"/>
    <xf numFmtId="0" fontId="0" fillId="32" borderId="13" xfId="0" applyFill="1" applyBorder="1"/>
    <xf numFmtId="0" fontId="0" fillId="32" borderId="14" xfId="0" applyFill="1" applyBorder="1"/>
    <xf numFmtId="0" fontId="0" fillId="32" borderId="15" xfId="0" applyFill="1" applyBorder="1"/>
    <xf numFmtId="0" fontId="0" fillId="32" borderId="3" xfId="0" applyFill="1" applyBorder="1"/>
    <xf numFmtId="0" fontId="0" fillId="32" borderId="16" xfId="0" applyFill="1" applyBorder="1"/>
    <xf numFmtId="171" fontId="144" fillId="32" borderId="0" xfId="223" applyNumberFormat="1" applyFont="1" applyFill="1" applyBorder="1" applyAlignment="1">
      <alignment horizontal="center" wrapText="1"/>
    </xf>
    <xf numFmtId="171" fontId="146" fillId="32" borderId="13" xfId="223" applyNumberFormat="1" applyFont="1" applyFill="1" applyBorder="1" applyAlignment="1">
      <alignment horizontal="center" wrapText="1"/>
    </xf>
    <xf numFmtId="168" fontId="144" fillId="0" borderId="58" xfId="607" applyNumberFormat="1" applyFont="1" applyFill="1" applyBorder="1"/>
    <xf numFmtId="168" fontId="147" fillId="0" borderId="38" xfId="607" applyNumberFormat="1" applyFont="1" applyFill="1" applyBorder="1" applyAlignment="1">
      <alignment horizontal="right" wrapText="1"/>
    </xf>
    <xf numFmtId="171" fontId="144" fillId="0" borderId="58" xfId="223" applyNumberFormat="1" applyFont="1" applyFill="1" applyBorder="1" applyAlignment="1">
      <alignment horizontal="right" wrapText="1"/>
    </xf>
    <xf numFmtId="171" fontId="144" fillId="0" borderId="27" xfId="223" applyNumberFormat="1" applyFont="1" applyFill="1" applyBorder="1" applyAlignment="1">
      <alignment horizontal="right" wrapText="1"/>
    </xf>
    <xf numFmtId="268" fontId="144" fillId="0" borderId="0" xfId="0" applyNumberFormat="1" applyFont="1"/>
    <xf numFmtId="268" fontId="146" fillId="0" borderId="0" xfId="0" applyNumberFormat="1" applyFont="1"/>
    <xf numFmtId="168" fontId="144" fillId="0" borderId="0" xfId="607" applyNumberFormat="1" applyFont="1" applyFill="1"/>
    <xf numFmtId="166" fontId="147" fillId="34" borderId="0" xfId="0" applyNumberFormat="1" applyFont="1" applyFill="1"/>
    <xf numFmtId="168" fontId="158" fillId="0" borderId="0" xfId="607" applyNumberFormat="1" applyFont="1" applyFill="1"/>
    <xf numFmtId="171" fontId="157" fillId="0" borderId="0" xfId="329" applyNumberFormat="1" applyFont="1"/>
    <xf numFmtId="275" fontId="146" fillId="0" borderId="0" xfId="329" applyNumberFormat="1" applyFont="1"/>
    <xf numFmtId="37" fontId="147" fillId="0" borderId="0" xfId="0" applyNumberFormat="1" applyFont="1"/>
    <xf numFmtId="166" fontId="148" fillId="0" borderId="0" xfId="0" applyNumberFormat="1" applyFont="1" applyAlignment="1">
      <alignment horizontal="right"/>
    </xf>
    <xf numFmtId="168" fontId="147" fillId="0" borderId="0" xfId="607" applyNumberFormat="1" applyFont="1" applyFill="1"/>
    <xf numFmtId="168" fontId="140" fillId="0" borderId="58" xfId="607" applyNumberFormat="1" applyFont="1" applyFill="1" applyBorder="1"/>
    <xf numFmtId="171" fontId="140" fillId="0" borderId="58" xfId="223" applyNumberFormat="1" applyFont="1" applyFill="1" applyBorder="1"/>
    <xf numFmtId="171" fontId="144" fillId="0" borderId="58" xfId="223" applyNumberFormat="1" applyFont="1" applyFill="1" applyBorder="1"/>
    <xf numFmtId="171" fontId="147" fillId="0" borderId="38" xfId="223" applyNumberFormat="1" applyFont="1" applyFill="1" applyBorder="1" applyAlignment="1">
      <alignment horizontal="right" wrapText="1"/>
    </xf>
    <xf numFmtId="0" fontId="146" fillId="0" borderId="60" xfId="329" applyFont="1" applyBorder="1" applyAlignment="1">
      <alignment horizontal="right"/>
    </xf>
    <xf numFmtId="168" fontId="139" fillId="0" borderId="38" xfId="607" applyNumberFormat="1" applyFont="1" applyFill="1" applyBorder="1" applyAlignment="1">
      <alignment horizontal="right" wrapText="1"/>
    </xf>
    <xf numFmtId="39" fontId="146" fillId="0" borderId="0" xfId="0" applyNumberFormat="1" applyFont="1"/>
    <xf numFmtId="43" fontId="146" fillId="32" borderId="14" xfId="330" applyNumberFormat="1" applyFont="1" applyFill="1" applyBorder="1" applyAlignment="1">
      <alignment horizontal="right" wrapText="1"/>
    </xf>
    <xf numFmtId="276" fontId="146" fillId="0" borderId="0" xfId="329" applyNumberFormat="1" applyFont="1"/>
    <xf numFmtId="276" fontId="149" fillId="0" borderId="0" xfId="0" applyNumberFormat="1" applyFont="1" applyAlignment="1">
      <alignment horizontal="right"/>
    </xf>
    <xf numFmtId="43" fontId="147" fillId="32" borderId="14" xfId="330" applyNumberFormat="1" applyFont="1" applyFill="1" applyBorder="1" applyAlignment="1">
      <alignment horizontal="right" wrapText="1"/>
    </xf>
    <xf numFmtId="168" fontId="144" fillId="0" borderId="0" xfId="607" applyNumberFormat="1" applyFont="1" applyFill="1" applyAlignment="1">
      <alignment horizontal="right"/>
    </xf>
    <xf numFmtId="166" fontId="144" fillId="0" borderId="0" xfId="0" applyNumberFormat="1" applyFont="1" applyAlignment="1">
      <alignment horizontal="right"/>
    </xf>
    <xf numFmtId="0" fontId="146" fillId="32" borderId="16" xfId="330" applyFont="1" applyFill="1" applyBorder="1"/>
    <xf numFmtId="0" fontId="146" fillId="32" borderId="56" xfId="330" applyFont="1" applyFill="1" applyBorder="1"/>
    <xf numFmtId="0" fontId="157" fillId="0" borderId="0" xfId="330" applyFont="1"/>
    <xf numFmtId="0" fontId="150" fillId="0" borderId="0" xfId="330" applyFont="1"/>
    <xf numFmtId="171" fontId="146" fillId="0" borderId="0" xfId="330" applyNumberFormat="1" applyFont="1"/>
    <xf numFmtId="0" fontId="147" fillId="0" borderId="10" xfId="330" applyFont="1" applyBorder="1" applyAlignment="1">
      <alignment horizontal="center"/>
    </xf>
    <xf numFmtId="275" fontId="146" fillId="0" borderId="0" xfId="330" applyNumberFormat="1" applyFont="1"/>
    <xf numFmtId="0" fontId="147" fillId="0" borderId="40" xfId="330" applyFont="1" applyBorder="1" applyAlignment="1">
      <alignment horizontal="left" wrapText="1"/>
    </xf>
    <xf numFmtId="0" fontId="147" fillId="0" borderId="60" xfId="330" applyFont="1" applyBorder="1" applyAlignment="1">
      <alignment horizontal="right"/>
    </xf>
    <xf numFmtId="0" fontId="147" fillId="0" borderId="48" xfId="330" applyFont="1" applyBorder="1" applyAlignment="1">
      <alignment horizontal="right"/>
    </xf>
    <xf numFmtId="276" fontId="146" fillId="0" borderId="0" xfId="330" applyNumberFormat="1" applyFont="1"/>
    <xf numFmtId="0" fontId="146" fillId="0" borderId="21" xfId="330" applyFont="1" applyBorder="1" applyAlignment="1">
      <alignment horizontal="left" wrapText="1"/>
    </xf>
    <xf numFmtId="0" fontId="147" fillId="0" borderId="63" xfId="330" applyFont="1" applyBorder="1"/>
    <xf numFmtId="0" fontId="147" fillId="0" borderId="40" xfId="330" applyFont="1" applyBorder="1"/>
    <xf numFmtId="0" fontId="146" fillId="0" borderId="21" xfId="330" applyFont="1" applyBorder="1" applyAlignment="1">
      <alignment horizontal="left"/>
    </xf>
    <xf numFmtId="171" fontId="146" fillId="0" borderId="58" xfId="330" applyNumberFormat="1" applyFont="1" applyBorder="1"/>
    <xf numFmtId="171" fontId="144" fillId="0" borderId="58" xfId="330" applyNumberFormat="1" applyFont="1" applyBorder="1"/>
    <xf numFmtId="0" fontId="147" fillId="0" borderId="38" xfId="330" applyFont="1" applyBorder="1" applyAlignment="1">
      <alignment horizontal="left"/>
    </xf>
    <xf numFmtId="0" fontId="146" fillId="0" borderId="0" xfId="330" applyFont="1" applyAlignment="1">
      <alignment horizontal="left"/>
    </xf>
    <xf numFmtId="171" fontId="157" fillId="0" borderId="0" xfId="330" applyNumberFormat="1" applyFont="1"/>
    <xf numFmtId="277" fontId="146" fillId="0" borderId="0" xfId="330" applyNumberFormat="1" applyFont="1"/>
    <xf numFmtId="3" fontId="146" fillId="0" borderId="0" xfId="330" applyNumberFormat="1" applyFont="1"/>
    <xf numFmtId="164" fontId="150" fillId="0" borderId="0" xfId="330" applyNumberFormat="1" applyFont="1"/>
    <xf numFmtId="171" fontId="146" fillId="0" borderId="58" xfId="223" applyNumberFormat="1" applyFont="1" applyFill="1" applyBorder="1"/>
    <xf numFmtId="0" fontId="146" fillId="0" borderId="0" xfId="607" applyNumberFormat="1" applyFont="1" applyFill="1"/>
    <xf numFmtId="278" fontId="146" fillId="0" borderId="0" xfId="607" applyNumberFormat="1" applyFont="1" applyFill="1"/>
    <xf numFmtId="278" fontId="146" fillId="0" borderId="0" xfId="0" applyNumberFormat="1" applyFont="1"/>
    <xf numFmtId="279" fontId="146" fillId="0" borderId="0" xfId="0" applyNumberFormat="1" applyFont="1"/>
    <xf numFmtId="0" fontId="147" fillId="0" borderId="0" xfId="329" applyFont="1"/>
    <xf numFmtId="173" fontId="157" fillId="0" borderId="0" xfId="330" applyNumberFormat="1" applyFont="1"/>
    <xf numFmtId="173" fontId="147" fillId="32" borderId="43" xfId="223" applyNumberFormat="1" applyFont="1" applyFill="1" applyBorder="1"/>
    <xf numFmtId="171" fontId="144" fillId="32" borderId="0" xfId="235" applyNumberFormat="1" applyFont="1" applyFill="1" applyBorder="1" applyAlignment="1">
      <alignment horizontal="center" wrapText="1"/>
    </xf>
    <xf numFmtId="171" fontId="140" fillId="32" borderId="13" xfId="235" applyNumberFormat="1" applyFont="1" applyFill="1" applyBorder="1" applyAlignment="1">
      <alignment horizontal="center" wrapText="1"/>
    </xf>
    <xf numFmtId="43" fontId="146" fillId="0" borderId="0" xfId="329" applyNumberFormat="1" applyFont="1"/>
    <xf numFmtId="172" fontId="146" fillId="0" borderId="0" xfId="329" applyNumberFormat="1" applyFont="1"/>
    <xf numFmtId="240" fontId="146" fillId="0" borderId="0" xfId="329" applyNumberFormat="1" applyFont="1"/>
    <xf numFmtId="0" fontId="146" fillId="0" borderId="26" xfId="329" applyFont="1" applyBorder="1"/>
    <xf numFmtId="0" fontId="147" fillId="0" borderId="23" xfId="329" applyFont="1" applyBorder="1"/>
    <xf numFmtId="0" fontId="146" fillId="0" borderId="63" xfId="329" applyFont="1" applyBorder="1"/>
    <xf numFmtId="171" fontId="144" fillId="0" borderId="61" xfId="235" applyNumberFormat="1" applyFont="1" applyFill="1" applyBorder="1" applyAlignment="1">
      <alignment horizontal="center" wrapText="1"/>
    </xf>
    <xf numFmtId="0" fontId="147" fillId="35" borderId="14" xfId="330" applyFont="1" applyFill="1" applyBorder="1" applyAlignment="1">
      <alignment horizontal="right" wrapText="1"/>
    </xf>
    <xf numFmtId="171" fontId="144" fillId="35" borderId="0" xfId="235" applyNumberFormat="1" applyFont="1" applyFill="1" applyBorder="1" applyAlignment="1">
      <alignment horizontal="center" wrapText="1"/>
    </xf>
    <xf numFmtId="171" fontId="144" fillId="35" borderId="13" xfId="235" applyNumberFormat="1" applyFont="1" applyFill="1" applyBorder="1" applyAlignment="1">
      <alignment horizontal="center" wrapText="1"/>
    </xf>
    <xf numFmtId="171" fontId="144" fillId="35" borderId="13" xfId="223" applyNumberFormat="1" applyFont="1" applyFill="1" applyBorder="1" applyAlignment="1">
      <alignment horizontal="center" wrapText="1"/>
    </xf>
    <xf numFmtId="39" fontId="147" fillId="0" borderId="0" xfId="0" applyNumberFormat="1" applyFont="1" applyAlignment="1">
      <alignment horizontal="right"/>
    </xf>
    <xf numFmtId="3" fontId="146" fillId="0" borderId="0" xfId="329" applyNumberFormat="1" applyFont="1"/>
    <xf numFmtId="173" fontId="147" fillId="0" borderId="0" xfId="223" applyNumberFormat="1" applyFont="1"/>
    <xf numFmtId="173" fontId="146" fillId="0" borderId="0" xfId="223" applyNumberFormat="1" applyFont="1"/>
    <xf numFmtId="173" fontId="147" fillId="0" borderId="0" xfId="0" applyNumberFormat="1" applyFont="1"/>
    <xf numFmtId="0" fontId="146" fillId="0" borderId="58" xfId="330" applyFont="1" applyBorder="1" applyAlignment="1">
      <alignment horizontal="left"/>
    </xf>
    <xf numFmtId="0" fontId="146" fillId="0" borderId="51" xfId="330" applyFont="1" applyBorder="1" applyAlignment="1">
      <alignment horizontal="left"/>
    </xf>
    <xf numFmtId="0" fontId="146" fillId="0" borderId="21" xfId="329" applyFont="1" applyBorder="1"/>
    <xf numFmtId="171" fontId="144" fillId="0" borderId="51" xfId="330" applyNumberFormat="1" applyFont="1" applyBorder="1"/>
    <xf numFmtId="168" fontId="140" fillId="0" borderId="64" xfId="607" applyNumberFormat="1" applyFont="1" applyFill="1" applyBorder="1"/>
    <xf numFmtId="171" fontId="146" fillId="0" borderId="58" xfId="235" applyNumberFormat="1" applyFont="1" applyFill="1" applyBorder="1" applyAlignment="1">
      <alignment horizontal="center" wrapText="1"/>
    </xf>
    <xf numFmtId="171" fontId="144" fillId="0" borderId="13" xfId="235" applyNumberFormat="1" applyFont="1" applyFill="1" applyBorder="1" applyAlignment="1">
      <alignment horizontal="center" wrapText="1"/>
    </xf>
    <xf numFmtId="0" fontId="147" fillId="0" borderId="13" xfId="330" applyFont="1" applyBorder="1" applyAlignment="1">
      <alignment horizontal="left" wrapText="1"/>
    </xf>
    <xf numFmtId="173" fontId="147" fillId="0" borderId="17" xfId="223" applyNumberFormat="1" applyFont="1" applyFill="1" applyBorder="1" applyAlignment="1">
      <alignment horizontal="center" wrapText="1"/>
    </xf>
    <xf numFmtId="173" fontId="147" fillId="0" borderId="0" xfId="223" applyNumberFormat="1" applyFont="1" applyFill="1" applyBorder="1" applyAlignment="1">
      <alignment horizontal="center" wrapText="1"/>
    </xf>
    <xf numFmtId="0" fontId="146" fillId="0" borderId="14" xfId="330" applyFont="1" applyBorder="1" applyAlignment="1">
      <alignment horizontal="right" wrapText="1"/>
    </xf>
    <xf numFmtId="0" fontId="146" fillId="0" borderId="32" xfId="330" applyFont="1" applyBorder="1" applyAlignment="1">
      <alignment horizontal="right" wrapText="1"/>
    </xf>
    <xf numFmtId="173" fontId="147" fillId="0" borderId="13" xfId="223" applyNumberFormat="1" applyFont="1" applyFill="1" applyBorder="1" applyAlignment="1">
      <alignment horizontal="center" wrapText="1"/>
    </xf>
    <xf numFmtId="173" fontId="146" fillId="0" borderId="13" xfId="223" applyNumberFormat="1" applyFont="1" applyFill="1" applyBorder="1" applyAlignment="1">
      <alignment horizontal="center" wrapText="1"/>
    </xf>
    <xf numFmtId="173" fontId="146" fillId="0" borderId="0" xfId="223" applyNumberFormat="1" applyFont="1" applyFill="1" applyBorder="1" applyAlignment="1">
      <alignment horizontal="center" wrapText="1"/>
    </xf>
    <xf numFmtId="0" fontId="146" fillId="0" borderId="13" xfId="330" applyFont="1" applyBorder="1" applyAlignment="1">
      <alignment horizontal="left" wrapText="1"/>
    </xf>
    <xf numFmtId="171" fontId="146" fillId="0" borderId="0" xfId="223" applyNumberFormat="1" applyFont="1" applyFill="1" applyBorder="1" applyAlignment="1">
      <alignment horizontal="center" wrapText="1"/>
    </xf>
    <xf numFmtId="43" fontId="147" fillId="0" borderId="14" xfId="330" applyNumberFormat="1" applyFont="1" applyBorder="1" applyAlignment="1">
      <alignment horizontal="right" wrapText="1"/>
    </xf>
    <xf numFmtId="0" fontId="147" fillId="0" borderId="32" xfId="330" applyFont="1" applyBorder="1" applyAlignment="1">
      <alignment horizontal="right" wrapText="1"/>
    </xf>
    <xf numFmtId="171" fontId="140" fillId="0" borderId="13" xfId="235" applyNumberFormat="1" applyFont="1" applyFill="1" applyBorder="1" applyAlignment="1">
      <alignment horizontal="center" wrapText="1"/>
    </xf>
    <xf numFmtId="171" fontId="144" fillId="0" borderId="0" xfId="235" applyNumberFormat="1" applyFont="1" applyFill="1" applyBorder="1" applyAlignment="1">
      <alignment horizontal="center" wrapText="1"/>
    </xf>
    <xf numFmtId="171" fontId="146" fillId="0" borderId="13" xfId="223" applyNumberFormat="1" applyFont="1" applyFill="1" applyBorder="1" applyAlignment="1">
      <alignment horizontal="center" wrapText="1"/>
    </xf>
    <xf numFmtId="171" fontId="144" fillId="0" borderId="0" xfId="223" applyNumberFormat="1" applyFont="1" applyFill="1" applyBorder="1" applyAlignment="1">
      <alignment horizontal="center" wrapText="1"/>
    </xf>
    <xf numFmtId="0" fontId="147" fillId="0" borderId="14" xfId="330" applyFont="1" applyBorder="1" applyAlignment="1">
      <alignment horizontal="right" wrapText="1"/>
    </xf>
    <xf numFmtId="0" fontId="147" fillId="0" borderId="43" xfId="330" applyFont="1" applyBorder="1"/>
    <xf numFmtId="173" fontId="147" fillId="0" borderId="43" xfId="223" applyNumberFormat="1" applyFont="1" applyFill="1" applyBorder="1"/>
    <xf numFmtId="171" fontId="147" fillId="0" borderId="8" xfId="223" applyNumberFormat="1" applyFont="1" applyFill="1" applyBorder="1"/>
    <xf numFmtId="269" fontId="147" fillId="0" borderId="52" xfId="330" applyNumberFormat="1" applyFont="1" applyBorder="1"/>
    <xf numFmtId="269" fontId="147" fillId="0" borderId="11" xfId="330" applyNumberFormat="1" applyFont="1" applyBorder="1"/>
    <xf numFmtId="0" fontId="146" fillId="0" borderId="13" xfId="330" applyFont="1" applyBorder="1"/>
    <xf numFmtId="171" fontId="146" fillId="0" borderId="13" xfId="223" applyNumberFormat="1" applyFont="1" applyFill="1" applyBorder="1"/>
    <xf numFmtId="269" fontId="146" fillId="0" borderId="14" xfId="330" applyNumberFormat="1" applyFont="1" applyBorder="1"/>
    <xf numFmtId="269" fontId="146" fillId="0" borderId="32" xfId="330" applyNumberFormat="1" applyFont="1" applyBorder="1"/>
    <xf numFmtId="171" fontId="147" fillId="0" borderId="43" xfId="223" applyNumberFormat="1" applyFont="1" applyFill="1" applyBorder="1"/>
    <xf numFmtId="0" fontId="147" fillId="0" borderId="13" xfId="330" applyFont="1" applyBorder="1"/>
    <xf numFmtId="171" fontId="147" fillId="0" borderId="13" xfId="223" applyNumberFormat="1" applyFont="1" applyFill="1" applyBorder="1"/>
    <xf numFmtId="0" fontId="146" fillId="0" borderId="14" xfId="330" applyFont="1" applyBorder="1"/>
    <xf numFmtId="0" fontId="146" fillId="0" borderId="32" xfId="330" applyFont="1" applyBorder="1"/>
    <xf numFmtId="0" fontId="146" fillId="0" borderId="15" xfId="330" applyFont="1" applyBorder="1"/>
    <xf numFmtId="166" fontId="146" fillId="0" borderId="15" xfId="0" applyNumberFormat="1" applyFont="1" applyBorder="1"/>
    <xf numFmtId="171" fontId="146" fillId="0" borderId="8" xfId="223" applyNumberFormat="1" applyFont="1" applyFill="1" applyBorder="1" applyAlignment="1">
      <alignment horizontal="center" wrapText="1"/>
    </xf>
    <xf numFmtId="0" fontId="146" fillId="0" borderId="16" xfId="330" applyFont="1" applyBorder="1"/>
    <xf numFmtId="0" fontId="146" fillId="0" borderId="56" xfId="330" applyFont="1" applyBorder="1"/>
    <xf numFmtId="0" fontId="147" fillId="0" borderId="26" xfId="329" applyFont="1" applyBorder="1" applyAlignment="1">
      <alignment horizontal="right"/>
    </xf>
    <xf numFmtId="167" fontId="147" fillId="36" borderId="3" xfId="0" applyNumberFormat="1" applyFont="1" applyFill="1" applyBorder="1" applyAlignment="1">
      <alignment horizontal="center" vertical="center"/>
    </xf>
    <xf numFmtId="0" fontId="147" fillId="33" borderId="40" xfId="330" applyFont="1" applyFill="1" applyBorder="1" applyAlignment="1">
      <alignment horizontal="left" wrapText="1"/>
    </xf>
    <xf numFmtId="0" fontId="147" fillId="33" borderId="40" xfId="330" applyFont="1" applyFill="1" applyBorder="1"/>
    <xf numFmtId="0" fontId="147" fillId="33" borderId="60" xfId="330" applyFont="1" applyFill="1" applyBorder="1" applyAlignment="1">
      <alignment horizontal="center" vertical="center"/>
    </xf>
    <xf numFmtId="0" fontId="147" fillId="33" borderId="48" xfId="330" applyFont="1" applyFill="1" applyBorder="1" applyAlignment="1">
      <alignment horizontal="center" vertical="center"/>
    </xf>
    <xf numFmtId="0" fontId="147" fillId="33" borderId="43" xfId="330" applyFont="1" applyFill="1" applyBorder="1" applyAlignment="1">
      <alignment horizontal="left" wrapText="1"/>
    </xf>
    <xf numFmtId="0" fontId="147" fillId="33" borderId="52" xfId="330" applyFont="1" applyFill="1" applyBorder="1" applyAlignment="1">
      <alignment horizontal="center" vertical="center" wrapText="1"/>
    </xf>
    <xf numFmtId="0" fontId="147" fillId="33" borderId="11" xfId="330" applyFont="1" applyFill="1" applyBorder="1" applyAlignment="1">
      <alignment horizontal="center" vertical="center" wrapText="1"/>
    </xf>
    <xf numFmtId="0" fontId="147" fillId="33" borderId="23" xfId="329" applyFont="1" applyFill="1" applyBorder="1"/>
    <xf numFmtId="0" fontId="147" fillId="33" borderId="26" xfId="329" applyFont="1" applyFill="1" applyBorder="1" applyAlignment="1">
      <alignment horizontal="center" vertical="center"/>
    </xf>
    <xf numFmtId="0" fontId="146" fillId="36" borderId="3" xfId="0" applyFont="1" applyFill="1" applyBorder="1"/>
    <xf numFmtId="167" fontId="147" fillId="36" borderId="3" xfId="0" applyNumberFormat="1" applyFont="1" applyFill="1" applyBorder="1" applyAlignment="1">
      <alignment horizontal="center"/>
    </xf>
    <xf numFmtId="0" fontId="147" fillId="33" borderId="0" xfId="0" applyFont="1" applyFill="1" applyAlignment="1">
      <alignment horizontal="centerContinuous"/>
    </xf>
    <xf numFmtId="167" fontId="147" fillId="33" borderId="0" xfId="0" applyNumberFormat="1" applyFont="1" applyFill="1" applyAlignment="1">
      <alignment horizontal="center" vertical="center"/>
    </xf>
    <xf numFmtId="166" fontId="145" fillId="32" borderId="0" xfId="0" applyNumberFormat="1" applyFont="1" applyFill="1"/>
    <xf numFmtId="166" fontId="140" fillId="32" borderId="0" xfId="0" applyNumberFormat="1" applyFont="1" applyFill="1"/>
    <xf numFmtId="166" fontId="139" fillId="0" borderId="0" xfId="0" applyNumberFormat="1" applyFont="1"/>
    <xf numFmtId="166" fontId="151" fillId="0" borderId="0" xfId="0" applyNumberFormat="1" applyFont="1"/>
    <xf numFmtId="0" fontId="148" fillId="36" borderId="0" xfId="0" applyFont="1" applyFill="1" applyAlignment="1">
      <alignment horizontal="left"/>
    </xf>
    <xf numFmtId="166" fontId="146" fillId="36" borderId="0" xfId="0" applyNumberFormat="1" applyFont="1" applyFill="1"/>
    <xf numFmtId="166" fontId="145" fillId="36" borderId="0" xfId="0" applyNumberFormat="1" applyFont="1" applyFill="1"/>
    <xf numFmtId="0" fontId="146" fillId="33" borderId="0" xfId="0" applyFont="1" applyFill="1"/>
    <xf numFmtId="0" fontId="147" fillId="33" borderId="0" xfId="0" applyFont="1" applyFill="1" applyAlignment="1">
      <alignment horizontal="center"/>
    </xf>
    <xf numFmtId="167" fontId="147" fillId="33" borderId="0" xfId="0" applyNumberFormat="1" applyFont="1" applyFill="1" applyAlignment="1">
      <alignment horizontal="left"/>
    </xf>
    <xf numFmtId="167" fontId="147" fillId="0" borderId="0" xfId="0" applyNumberFormat="1" applyFont="1" applyAlignment="1">
      <alignment horizontal="left"/>
    </xf>
    <xf numFmtId="167" fontId="158" fillId="0" borderId="0" xfId="0" applyNumberFormat="1" applyFont="1" applyAlignment="1">
      <alignment horizontal="centerContinuous"/>
    </xf>
    <xf numFmtId="171" fontId="147" fillId="0" borderId="0" xfId="223" applyNumberFormat="1" applyFont="1" applyFill="1" applyBorder="1" applyAlignment="1">
      <alignment horizontal="right"/>
    </xf>
    <xf numFmtId="168" fontId="147" fillId="0" borderId="0" xfId="607" applyNumberFormat="1" applyFont="1" applyFill="1" applyBorder="1" applyAlignment="1">
      <alignment horizontal="right"/>
    </xf>
    <xf numFmtId="166" fontId="144" fillId="32" borderId="0" xfId="0" applyNumberFormat="1" applyFont="1" applyFill="1"/>
    <xf numFmtId="166" fontId="146" fillId="32" borderId="0" xfId="0" applyNumberFormat="1" applyFont="1" applyFill="1"/>
    <xf numFmtId="3" fontId="2" fillId="0" borderId="0" xfId="0" applyNumberFormat="1" applyFont="1"/>
    <xf numFmtId="272" fontId="147" fillId="0" borderId="0" xfId="0" applyNumberFormat="1" applyFont="1" applyAlignment="1">
      <alignment horizontal="left" indent="3"/>
    </xf>
    <xf numFmtId="0" fontId="146" fillId="36" borderId="0" xfId="0" applyFont="1" applyFill="1"/>
    <xf numFmtId="39" fontId="146" fillId="36" borderId="0" xfId="0" applyNumberFormat="1" applyFont="1" applyFill="1" applyAlignment="1">
      <alignment horizontal="right"/>
    </xf>
    <xf numFmtId="39" fontId="144" fillId="36" borderId="0" xfId="0" applyNumberFormat="1" applyFont="1" applyFill="1" applyAlignment="1">
      <alignment horizontal="right"/>
    </xf>
    <xf numFmtId="43" fontId="144" fillId="36" borderId="0" xfId="223" applyFont="1" applyFill="1" applyBorder="1" applyAlignment="1">
      <alignment horizontal="center"/>
    </xf>
    <xf numFmtId="168" fontId="141" fillId="0" borderId="0" xfId="607" applyNumberFormat="1" applyFont="1" applyFill="1" applyBorder="1"/>
    <xf numFmtId="168" fontId="150" fillId="0" borderId="0" xfId="607" applyNumberFormat="1" applyFont="1" applyFill="1" applyBorder="1"/>
    <xf numFmtId="9" fontId="146" fillId="0" borderId="0" xfId="607" applyFont="1" applyFill="1" applyBorder="1"/>
    <xf numFmtId="168" fontId="150" fillId="0" borderId="0" xfId="607" applyNumberFormat="1" applyFont="1" applyFill="1" applyBorder="1" applyAlignment="1">
      <alignment horizontal="right"/>
    </xf>
    <xf numFmtId="171" fontId="146" fillId="0" borderId="0" xfId="223" applyNumberFormat="1" applyFont="1" applyFill="1" applyBorder="1" applyAlignment="1">
      <alignment horizontal="right"/>
    </xf>
    <xf numFmtId="168" fontId="146" fillId="0" borderId="0" xfId="607" applyNumberFormat="1" applyFont="1" applyFill="1" applyBorder="1"/>
    <xf numFmtId="9" fontId="150" fillId="0" borderId="0" xfId="607" applyFont="1" applyFill="1" applyBorder="1" applyAlignment="1">
      <alignment horizontal="right"/>
    </xf>
    <xf numFmtId="167" fontId="147" fillId="0" borderId="0" xfId="0" applyNumberFormat="1" applyFont="1" applyAlignment="1">
      <alignment horizontal="center"/>
    </xf>
    <xf numFmtId="167" fontId="147" fillId="0" borderId="0" xfId="0" applyNumberFormat="1" applyFont="1" applyAlignment="1">
      <alignment horizontal="centerContinuous"/>
    </xf>
    <xf numFmtId="168" fontId="150" fillId="0" borderId="0" xfId="0" applyNumberFormat="1" applyFont="1"/>
    <xf numFmtId="167" fontId="147" fillId="0" borderId="0" xfId="0" applyNumberFormat="1" applyFont="1" applyAlignment="1">
      <alignment horizontal="center" vertical="center"/>
    </xf>
    <xf numFmtId="270" fontId="144" fillId="0" borderId="0" xfId="0" applyNumberFormat="1" applyFont="1"/>
    <xf numFmtId="0" fontId="152" fillId="0" borderId="0" xfId="0" applyFont="1"/>
    <xf numFmtId="0" fontId="144" fillId="0" borderId="0" xfId="0" applyFont="1"/>
    <xf numFmtId="0" fontId="147" fillId="0" borderId="0" xfId="0" applyFont="1" applyAlignment="1">
      <alignment horizontal="center"/>
    </xf>
    <xf numFmtId="168" fontId="145" fillId="0" borderId="0" xfId="607" applyNumberFormat="1" applyFont="1" applyFill="1" applyBorder="1"/>
    <xf numFmtId="168" fontId="147" fillId="0" borderId="0" xfId="607" applyNumberFormat="1" applyFont="1" applyFill="1" applyBorder="1"/>
    <xf numFmtId="0" fontId="147" fillId="37" borderId="0" xfId="0" applyFont="1" applyFill="1"/>
    <xf numFmtId="0" fontId="146" fillId="37" borderId="0" xfId="0" applyFont="1" applyFill="1"/>
    <xf numFmtId="168" fontId="144" fillId="32" borderId="0" xfId="607" applyNumberFormat="1" applyFont="1" applyFill="1"/>
    <xf numFmtId="168" fontId="146" fillId="32" borderId="0" xfId="607" applyNumberFormat="1" applyFont="1" applyFill="1"/>
    <xf numFmtId="168" fontId="144" fillId="32" borderId="0" xfId="607" applyNumberFormat="1" applyFont="1" applyFill="1" applyAlignment="1">
      <alignment horizontal="right"/>
    </xf>
    <xf numFmtId="168" fontId="146" fillId="32" borderId="0" xfId="607" applyNumberFormat="1" applyFont="1" applyFill="1" applyAlignment="1">
      <alignment horizontal="right"/>
    </xf>
    <xf numFmtId="0" fontId="146" fillId="0" borderId="13" xfId="330" applyFont="1" applyBorder="1" applyAlignment="1">
      <alignment horizontal="left" wrapText="1" indent="1"/>
    </xf>
    <xf numFmtId="171" fontId="144" fillId="0" borderId="13" xfId="223" applyNumberFormat="1" applyFont="1" applyFill="1" applyBorder="1" applyAlignment="1">
      <alignment horizontal="center" wrapText="1"/>
    </xf>
    <xf numFmtId="171" fontId="146" fillId="0" borderId="43" xfId="223" applyNumberFormat="1" applyFont="1" applyFill="1" applyBorder="1" applyAlignment="1">
      <alignment horizontal="center" wrapText="1"/>
    </xf>
    <xf numFmtId="0" fontId="147" fillId="33" borderId="8" xfId="330" applyFont="1" applyFill="1" applyBorder="1" applyAlignment="1">
      <alignment horizontal="center" vertical="center" wrapText="1"/>
    </xf>
    <xf numFmtId="43" fontId="147" fillId="0" borderId="32" xfId="330" applyNumberFormat="1" applyFont="1" applyBorder="1" applyAlignment="1">
      <alignment horizontal="right" wrapText="1"/>
    </xf>
    <xf numFmtId="0" fontId="146" fillId="0" borderId="0" xfId="329" applyFont="1" applyAlignment="1">
      <alignment horizontal="center"/>
    </xf>
    <xf numFmtId="171" fontId="146" fillId="0" borderId="13" xfId="235" applyNumberFormat="1" applyFont="1" applyFill="1" applyBorder="1" applyAlignment="1">
      <alignment horizontal="center" wrapText="1"/>
    </xf>
    <xf numFmtId="172" fontId="147" fillId="0" borderId="43" xfId="223" applyNumberFormat="1" applyFont="1" applyFill="1" applyBorder="1"/>
    <xf numFmtId="169" fontId="140" fillId="0" borderId="58" xfId="607" applyNumberFormat="1" applyFont="1" applyFill="1" applyBorder="1"/>
    <xf numFmtId="0" fontId="149" fillId="33" borderId="23" xfId="329" applyFont="1" applyFill="1" applyBorder="1"/>
    <xf numFmtId="0" fontId="147" fillId="36" borderId="0" xfId="0" applyFont="1" applyFill="1" applyAlignment="1">
      <alignment horizontal="left"/>
    </xf>
    <xf numFmtId="0" fontId="146" fillId="32" borderId="0" xfId="0" applyFont="1" applyFill="1"/>
    <xf numFmtId="168" fontId="155" fillId="0" borderId="0" xfId="607" applyNumberFormat="1" applyFont="1" applyFill="1"/>
    <xf numFmtId="168" fontId="141" fillId="0" borderId="0" xfId="607" applyNumberFormat="1" applyFont="1" applyFill="1"/>
    <xf numFmtId="0" fontId="159" fillId="0" borderId="0" xfId="0" applyFont="1"/>
    <xf numFmtId="173" fontId="153" fillId="0" borderId="0" xfId="223" applyNumberFormat="1" applyFont="1" applyFill="1"/>
    <xf numFmtId="173" fontId="153" fillId="0" borderId="0" xfId="223" applyNumberFormat="1" applyFont="1" applyFill="1" applyBorder="1"/>
    <xf numFmtId="39" fontId="146" fillId="32" borderId="0" xfId="0" applyNumberFormat="1" applyFont="1" applyFill="1" applyAlignment="1">
      <alignment horizontal="right"/>
    </xf>
    <xf numFmtId="274" fontId="146" fillId="0" borderId="0" xfId="0" applyNumberFormat="1" applyFont="1" applyAlignment="1">
      <alignment horizontal="right"/>
    </xf>
    <xf numFmtId="0" fontId="147" fillId="33" borderId="8" xfId="330" applyFont="1" applyFill="1" applyBorder="1" applyAlignment="1">
      <alignment horizontal="left" wrapText="1"/>
    </xf>
    <xf numFmtId="0" fontId="147" fillId="0" borderId="0" xfId="330" applyFont="1" applyAlignment="1">
      <alignment horizontal="left" wrapText="1"/>
    </xf>
    <xf numFmtId="0" fontId="146" fillId="0" borderId="0" xfId="330" applyFont="1" applyAlignment="1">
      <alignment horizontal="left" wrapText="1" indent="1"/>
    </xf>
    <xf numFmtId="0" fontId="146" fillId="0" borderId="0" xfId="330" applyFont="1" applyAlignment="1">
      <alignment horizontal="left" wrapText="1"/>
    </xf>
    <xf numFmtId="0" fontId="147" fillId="0" borderId="8" xfId="330" applyFont="1" applyBorder="1"/>
    <xf numFmtId="0" fontId="146" fillId="0" borderId="0" xfId="330" applyFont="1" applyAlignment="1">
      <alignment horizontal="right" wrapText="1"/>
    </xf>
    <xf numFmtId="171" fontId="146" fillId="0" borderId="0" xfId="235" applyNumberFormat="1" applyFont="1" applyFill="1" applyBorder="1" applyAlignment="1">
      <alignment horizontal="center" wrapText="1"/>
    </xf>
    <xf numFmtId="172" fontId="144" fillId="0" borderId="0" xfId="235" applyNumberFormat="1" applyFont="1" applyFill="1" applyBorder="1" applyAlignment="1">
      <alignment horizontal="center" wrapText="1"/>
    </xf>
    <xf numFmtId="43" fontId="147" fillId="0" borderId="0" xfId="330" applyNumberFormat="1" applyFont="1" applyAlignment="1">
      <alignment horizontal="right" wrapText="1"/>
    </xf>
    <xf numFmtId="0" fontId="147" fillId="0" borderId="0" xfId="330" applyFont="1" applyAlignment="1">
      <alignment horizontal="right" wrapText="1"/>
    </xf>
    <xf numFmtId="269" fontId="146" fillId="0" borderId="0" xfId="330" applyNumberFormat="1" applyFont="1"/>
    <xf numFmtId="171" fontId="147" fillId="0" borderId="0" xfId="223" applyNumberFormat="1" applyFont="1" applyFill="1" applyBorder="1" applyAlignment="1">
      <alignment horizontal="center" wrapText="1"/>
    </xf>
    <xf numFmtId="172" fontId="147" fillId="0" borderId="8" xfId="223" applyNumberFormat="1" applyFont="1" applyFill="1" applyBorder="1"/>
    <xf numFmtId="269" fontId="147" fillId="0" borderId="8" xfId="330" applyNumberFormat="1" applyFont="1" applyBorder="1"/>
    <xf numFmtId="43" fontId="147" fillId="0" borderId="0" xfId="223" applyFont="1" applyFill="1" applyBorder="1" applyAlignment="1">
      <alignment horizontal="center"/>
    </xf>
    <xf numFmtId="0" fontId="147" fillId="32" borderId="43" xfId="330" applyFont="1" applyFill="1" applyBorder="1" applyAlignment="1">
      <alignment horizontal="center" wrapText="1"/>
    </xf>
    <xf numFmtId="0" fontId="147" fillId="32" borderId="8" xfId="330" applyFont="1" applyFill="1" applyBorder="1" applyAlignment="1">
      <alignment horizontal="center" wrapText="1"/>
    </xf>
    <xf numFmtId="173" fontId="13" fillId="10" borderId="19" xfId="235" applyNumberFormat="1" applyFont="1" applyFill="1" applyBorder="1" applyAlignment="1"/>
    <xf numFmtId="0" fontId="0" fillId="0" borderId="9" xfId="0" applyBorder="1" applyAlignment="1"/>
    <xf numFmtId="0" fontId="0" fillId="0" borderId="20" xfId="0" applyBorder="1" applyAlignment="1"/>
  </cellXfs>
  <cellStyles count="962">
    <cellStyle name="$" xfId="1" xr:uid="{00000000-0005-0000-0000-000000000000}"/>
    <cellStyle name="$_TSA Model - 1 8 06 - v2" xfId="2" xr:uid="{00000000-0005-0000-0000-000001000000}"/>
    <cellStyle name="%" xfId="3" xr:uid="{00000000-0005-0000-0000-000002000000}"/>
    <cellStyle name="%_Detailed model" xfId="4" xr:uid="{00000000-0005-0000-0000-000003000000}"/>
    <cellStyle name=";;;" xfId="5" xr:uid="{00000000-0005-0000-0000-000004000000}"/>
    <cellStyle name="_%(SignOnly)" xfId="6" xr:uid="{00000000-0005-0000-0000-000005000000}"/>
    <cellStyle name="_%(SignSpaceOnly)" xfId="7" xr:uid="{00000000-0005-0000-0000-000006000000}"/>
    <cellStyle name="_0% CADR" xfId="8" xr:uid="{00000000-0005-0000-0000-000007000000}"/>
    <cellStyle name="_0% CADR_Detailed model" xfId="9" xr:uid="{00000000-0005-0000-0000-000008000000}"/>
    <cellStyle name="_0% IRR" xfId="10" xr:uid="{00000000-0005-0000-0000-000009000000}"/>
    <cellStyle name="_0% IRR_Detailed model" xfId="11" xr:uid="{00000000-0005-0000-0000-00000A000000}"/>
    <cellStyle name="_1% CADR" xfId="12" xr:uid="{00000000-0005-0000-0000-00000B000000}"/>
    <cellStyle name="_1% CADR_Detailed model" xfId="13" xr:uid="{00000000-0005-0000-0000-00000C000000}"/>
    <cellStyle name="_10% CADR" xfId="14" xr:uid="{00000000-0005-0000-0000-00000D000000}"/>
    <cellStyle name="_10% CADR_Detailed model" xfId="15" xr:uid="{00000000-0005-0000-0000-00000E000000}"/>
    <cellStyle name="_10% CDR" xfId="16" xr:uid="{00000000-0005-0000-0000-00000F000000}"/>
    <cellStyle name="_10% CDR_Detailed model" xfId="17" xr:uid="{00000000-0005-0000-0000-000010000000}"/>
    <cellStyle name="_11% CADR" xfId="18" xr:uid="{00000000-0005-0000-0000-000011000000}"/>
    <cellStyle name="_11% CADR_Detailed model" xfId="19" xr:uid="{00000000-0005-0000-0000-000012000000}"/>
    <cellStyle name="_12% CADR" xfId="20" xr:uid="{00000000-0005-0000-0000-000013000000}"/>
    <cellStyle name="_12% CADR_Detailed model" xfId="21" xr:uid="{00000000-0005-0000-0000-000014000000}"/>
    <cellStyle name="_12% CDR" xfId="22" xr:uid="{00000000-0005-0000-0000-000015000000}"/>
    <cellStyle name="_12% CDR_Detailed model" xfId="23" xr:uid="{00000000-0005-0000-0000-000016000000}"/>
    <cellStyle name="_13% CADR" xfId="24" xr:uid="{00000000-0005-0000-0000-000017000000}"/>
    <cellStyle name="_13% CADR_Detailed model" xfId="25" xr:uid="{00000000-0005-0000-0000-000018000000}"/>
    <cellStyle name="_14% CADR" xfId="26" xr:uid="{00000000-0005-0000-0000-000019000000}"/>
    <cellStyle name="_14% CADR_Detailed model" xfId="27" xr:uid="{00000000-0005-0000-0000-00001A000000}"/>
    <cellStyle name="_14% CDR" xfId="28" xr:uid="{00000000-0005-0000-0000-00001B000000}"/>
    <cellStyle name="_14% CDR_Detailed model" xfId="29" xr:uid="{00000000-0005-0000-0000-00001C000000}"/>
    <cellStyle name="_16% CDR" xfId="30" xr:uid="{00000000-0005-0000-0000-00001D000000}"/>
    <cellStyle name="_16% CDR_Detailed model" xfId="31" xr:uid="{00000000-0005-0000-0000-00001E000000}"/>
    <cellStyle name="_18% CDR" xfId="32" xr:uid="{00000000-0005-0000-0000-00001F000000}"/>
    <cellStyle name="_18% CDR_Detailed model" xfId="33" xr:uid="{00000000-0005-0000-0000-000020000000}"/>
    <cellStyle name="_19.6% CDR BBB Break In Yield" xfId="34" xr:uid="{00000000-0005-0000-0000-000021000000}"/>
    <cellStyle name="_19.6% CDR BBB Break In Yield_Detailed model" xfId="35" xr:uid="{00000000-0005-0000-0000-000022000000}"/>
    <cellStyle name="_2% CADR" xfId="36" xr:uid="{00000000-0005-0000-0000-000023000000}"/>
    <cellStyle name="_2% CADR_Detailed model" xfId="37" xr:uid="{00000000-0005-0000-0000-000024000000}"/>
    <cellStyle name="_20% CDR" xfId="38" xr:uid="{00000000-0005-0000-0000-000025000000}"/>
    <cellStyle name="_20% CDR_Detailed model" xfId="39" xr:uid="{00000000-0005-0000-0000-000026000000}"/>
    <cellStyle name="_21.5% CDR BBB Break In Yield" xfId="40" xr:uid="{00000000-0005-0000-0000-000027000000}"/>
    <cellStyle name="_21.5% CDR BBB Break In Yield_Detailed model" xfId="41" xr:uid="{00000000-0005-0000-0000-000028000000}"/>
    <cellStyle name="_3% CADR" xfId="42" xr:uid="{00000000-0005-0000-0000-000029000000}"/>
    <cellStyle name="_3% CADR_Detailed model" xfId="43" xr:uid="{00000000-0005-0000-0000-00002A000000}"/>
    <cellStyle name="_3% CDR" xfId="44" xr:uid="{00000000-0005-0000-0000-00002B000000}"/>
    <cellStyle name="_3% CDR_Detailed model" xfId="45" xr:uid="{00000000-0005-0000-0000-00002C000000}"/>
    <cellStyle name="_4% CADR" xfId="46" xr:uid="{00000000-0005-0000-0000-00002D000000}"/>
    <cellStyle name="_4% CADR_Detailed model" xfId="47" xr:uid="{00000000-0005-0000-0000-00002E000000}"/>
    <cellStyle name="_5% CADR" xfId="48" xr:uid="{00000000-0005-0000-0000-00002F000000}"/>
    <cellStyle name="_5% CADR_Detailed model" xfId="49" xr:uid="{00000000-0005-0000-0000-000030000000}"/>
    <cellStyle name="_5% CDR" xfId="50" xr:uid="{00000000-0005-0000-0000-000031000000}"/>
    <cellStyle name="_5% CDR_Detailed model" xfId="51" xr:uid="{00000000-0005-0000-0000-000032000000}"/>
    <cellStyle name="_6% CADR" xfId="52" xr:uid="{00000000-0005-0000-0000-000033000000}"/>
    <cellStyle name="_6% CADR_Detailed model" xfId="53" xr:uid="{00000000-0005-0000-0000-000034000000}"/>
    <cellStyle name="_7% CADR" xfId="54" xr:uid="{00000000-0005-0000-0000-000035000000}"/>
    <cellStyle name="_7% CADR_Detailed model" xfId="55" xr:uid="{00000000-0005-0000-0000-000036000000}"/>
    <cellStyle name="_7% CDR" xfId="56" xr:uid="{00000000-0005-0000-0000-000037000000}"/>
    <cellStyle name="_7% CDR_Detailed model" xfId="57" xr:uid="{00000000-0005-0000-0000-000038000000}"/>
    <cellStyle name="_8% CADR" xfId="58" xr:uid="{00000000-0005-0000-0000-000039000000}"/>
    <cellStyle name="_8% CADR_Detailed model" xfId="59" xr:uid="{00000000-0005-0000-0000-00003A000000}"/>
    <cellStyle name="_8.0% CDR BB Break In Yield" xfId="60" xr:uid="{00000000-0005-0000-0000-00003B000000}"/>
    <cellStyle name="_8.0% CDR BB Break In Yield_Detailed model" xfId="61" xr:uid="{00000000-0005-0000-0000-00003C000000}"/>
    <cellStyle name="_8.1% CDR BB Break In Yield" xfId="62" xr:uid="{00000000-0005-0000-0000-00003D000000}"/>
    <cellStyle name="_8.1% CDR BB Break In Yield_Detailed model" xfId="63" xr:uid="{00000000-0005-0000-0000-00003E000000}"/>
    <cellStyle name="_9% CADR" xfId="64" xr:uid="{00000000-0005-0000-0000-00003F000000}"/>
    <cellStyle name="_9% CADR_Detailed model" xfId="65" xr:uid="{00000000-0005-0000-0000-000040000000}"/>
    <cellStyle name="_Assets" xfId="66" xr:uid="{00000000-0005-0000-0000-000041000000}"/>
    <cellStyle name="_Assets_1" xfId="67" xr:uid="{00000000-0005-0000-0000-000042000000}"/>
    <cellStyle name="_Assets_1_COMPS - B2B Publishers" xfId="68" xr:uid="{00000000-0005-0000-0000-000043000000}"/>
    <cellStyle name="_Assets_1_COMPS - Directories" xfId="69" xr:uid="{00000000-0005-0000-0000-000044000000}"/>
    <cellStyle name="_Assets_1_F&amp;W Servicing Model" xfId="70" xr:uid="{00000000-0005-0000-0000-000045000000}"/>
    <cellStyle name="_Assets_1_F&amp;W Servicing Model v2" xfId="71" xr:uid="{00000000-0005-0000-0000-000046000000}"/>
    <cellStyle name="_Assets_1_S&amp;P Analysis" xfId="72" xr:uid="{00000000-0005-0000-0000-000047000000}"/>
    <cellStyle name="_Assets_1_S&amp;P Analysis_Detailed model" xfId="73" xr:uid="{00000000-0005-0000-0000-000048000000}"/>
    <cellStyle name="_Assets_1_Univision Annual Model" xfId="74" xr:uid="{00000000-0005-0000-0000-000049000000}"/>
    <cellStyle name="_Assets_1_Yell Servicing Model" xfId="75" xr:uid="{00000000-0005-0000-0000-00004A000000}"/>
    <cellStyle name="_Assets_Detailed model" xfId="76" xr:uid="{00000000-0005-0000-0000-00004B000000}"/>
    <cellStyle name="_Assets_S&amp;P Analysis" xfId="77" xr:uid="{00000000-0005-0000-0000-00004C000000}"/>
    <cellStyle name="_Assets_S&amp;P Analysis_COMPS - B2B Publishers" xfId="78" xr:uid="{00000000-0005-0000-0000-00004D000000}"/>
    <cellStyle name="_Assets_S&amp;P Analysis_COMPS - Directories" xfId="79" xr:uid="{00000000-0005-0000-0000-00004E000000}"/>
    <cellStyle name="_Assets_S&amp;P Analysis_F&amp;W Servicing Model" xfId="80" xr:uid="{00000000-0005-0000-0000-00004F000000}"/>
    <cellStyle name="_Assets_S&amp;P Analysis_F&amp;W Servicing Model v2" xfId="81" xr:uid="{00000000-0005-0000-0000-000050000000}"/>
    <cellStyle name="_Assets_S&amp;P Analysis_Univision Annual Model" xfId="82" xr:uid="{00000000-0005-0000-0000-000051000000}"/>
    <cellStyle name="_Assets_S&amp;P Analysis_Yell Servicing Model" xfId="83" xr:uid="{00000000-0005-0000-0000-000052000000}"/>
    <cellStyle name="_Assumptions" xfId="84" xr:uid="{00000000-0005-0000-0000-000053000000}"/>
    <cellStyle name="_Assumptions_1" xfId="85" xr:uid="{00000000-0005-0000-0000-000054000000}"/>
    <cellStyle name="_Assumptions_1_COMPS - B2B Publishers" xfId="86" xr:uid="{00000000-0005-0000-0000-000055000000}"/>
    <cellStyle name="_Assumptions_1_COMPS - B2B Publishers_Detailed model" xfId="87" xr:uid="{00000000-0005-0000-0000-000056000000}"/>
    <cellStyle name="_Assumptions_1_COMPS - Directories" xfId="88" xr:uid="{00000000-0005-0000-0000-000057000000}"/>
    <cellStyle name="_Assumptions_1_COMPS - Directories_Detailed model" xfId="89" xr:uid="{00000000-0005-0000-0000-000058000000}"/>
    <cellStyle name="_Assumptions_1_Detailed model" xfId="90" xr:uid="{00000000-0005-0000-0000-000059000000}"/>
    <cellStyle name="_Assumptions_1_F&amp;W Servicing Model" xfId="91" xr:uid="{00000000-0005-0000-0000-00005A000000}"/>
    <cellStyle name="_Assumptions_1_F&amp;W Servicing Model v2" xfId="92" xr:uid="{00000000-0005-0000-0000-00005B000000}"/>
    <cellStyle name="_Assumptions_1_F&amp;W Servicing Model v2_Detailed model" xfId="93" xr:uid="{00000000-0005-0000-0000-00005C000000}"/>
    <cellStyle name="_Assumptions_1_F&amp;W Servicing Model_Detailed model" xfId="94" xr:uid="{00000000-0005-0000-0000-00005D000000}"/>
    <cellStyle name="_Assumptions_1_Univision Annual Model" xfId="95" xr:uid="{00000000-0005-0000-0000-00005E000000}"/>
    <cellStyle name="_Assumptions_1_Univision Annual Model_Detailed model" xfId="96" xr:uid="{00000000-0005-0000-0000-00005F000000}"/>
    <cellStyle name="_Assumptions_1_Yell Servicing Model" xfId="97" xr:uid="{00000000-0005-0000-0000-000060000000}"/>
    <cellStyle name="_Assumptions_1_Yell Servicing Model_Detailed model" xfId="98" xr:uid="{00000000-0005-0000-0000-000061000000}"/>
    <cellStyle name="_Assumptions_Detailed model" xfId="99" xr:uid="{00000000-0005-0000-0000-000062000000}"/>
    <cellStyle name="_Blue Mountain TRS (7-5-05)" xfId="100" xr:uid="{00000000-0005-0000-0000-000063000000}"/>
    <cellStyle name="_Blue Mountain TRS (7-5-05)_Detailed model" xfId="101" xr:uid="{00000000-0005-0000-0000-000064000000}"/>
    <cellStyle name="_Book2" xfId="102" xr:uid="{00000000-0005-0000-0000-000065000000}"/>
    <cellStyle name="_Book2_Detailed model" xfId="103" xr:uid="{00000000-0005-0000-0000-000066000000}"/>
    <cellStyle name="_CDO of CDO" xfId="104" xr:uid="{00000000-0005-0000-0000-000067000000}"/>
    <cellStyle name="_CDO of CDO_Detailed model" xfId="105" xr:uid="{00000000-0005-0000-0000-000068000000}"/>
    <cellStyle name="_CLO Portfolio 10_07_2005" xfId="106" xr:uid="{00000000-0005-0000-0000-000069000000}"/>
    <cellStyle name="_CLO Portfolio 10_07_2005_Detailed model" xfId="107" xr:uid="{00000000-0005-0000-0000-00006A000000}"/>
    <cellStyle name="_Comma" xfId="108" xr:uid="{00000000-0005-0000-0000-00006B000000}"/>
    <cellStyle name="_Comma_dcf" xfId="109" xr:uid="{00000000-0005-0000-0000-00006C000000}"/>
    <cellStyle name="_Currency" xfId="110" xr:uid="{00000000-0005-0000-0000-00006D000000}"/>
    <cellStyle name="_Currency_dcf" xfId="111" xr:uid="{00000000-0005-0000-0000-00006E000000}"/>
    <cellStyle name="_CurrencySpace" xfId="112" xr:uid="{00000000-0005-0000-0000-00006F000000}"/>
    <cellStyle name="_CurrencySpace_dcf" xfId="113" xr:uid="{00000000-0005-0000-0000-000070000000}"/>
    <cellStyle name="_Euro" xfId="114" xr:uid="{00000000-0005-0000-0000-000071000000}"/>
    <cellStyle name="_EV8 Assumption List" xfId="115" xr:uid="{00000000-0005-0000-0000-000072000000}"/>
    <cellStyle name="_EV8 Assumption List_Detailed model" xfId="116" xr:uid="{00000000-0005-0000-0000-000073000000}"/>
    <cellStyle name="_Exhibit I Babson Warehouse 2006-II CLO 8 18 06" xfId="117" xr:uid="{00000000-0005-0000-0000-000074000000}"/>
    <cellStyle name="_Exhibit I Babson Warehouse 2006-II CLO 8 18 06_Detailed model" xfId="118" xr:uid="{00000000-0005-0000-0000-000075000000}"/>
    <cellStyle name="_First PIK" xfId="119" xr:uid="{00000000-0005-0000-0000-000076000000}"/>
    <cellStyle name="_First PIK_Detailed model" xfId="120" xr:uid="{00000000-0005-0000-0000-000077000000}"/>
    <cellStyle name="_Galaxy VI CLO - WestLB Request" xfId="121" xr:uid="{00000000-0005-0000-0000-000078000000}"/>
    <cellStyle name="_Galaxy VI CLO - WestLB Request_Detailed model" xfId="122" xr:uid="{00000000-0005-0000-0000-000079000000}"/>
    <cellStyle name="_Heading" xfId="123" xr:uid="{00000000-0005-0000-0000-00007A000000}"/>
    <cellStyle name="_Heading_prestemp" xfId="124" xr:uid="{00000000-0005-0000-0000-00007B000000}"/>
    <cellStyle name="_Highlight" xfId="125" xr:uid="{00000000-0005-0000-0000-00007C000000}"/>
    <cellStyle name="_Model FINAL (2)" xfId="126" xr:uid="{00000000-0005-0000-0000-00007D000000}"/>
    <cellStyle name="_Multiple" xfId="127" xr:uid="{00000000-0005-0000-0000-00007E000000}"/>
    <cellStyle name="_Multiple_dcf" xfId="128" xr:uid="{00000000-0005-0000-0000-00007F000000}"/>
    <cellStyle name="_MultipleSpace" xfId="129" xr:uid="{00000000-0005-0000-0000-000080000000}"/>
    <cellStyle name="_MultipleSpace_dcf" xfId="130" xr:uid="{00000000-0005-0000-0000-000081000000}"/>
    <cellStyle name="_Other Defafult Scenario 1" xfId="131" xr:uid="{00000000-0005-0000-0000-000082000000}"/>
    <cellStyle name="_Other Defafult Scenario 1_Detailed model" xfId="132" xr:uid="{00000000-0005-0000-0000-000083000000}"/>
    <cellStyle name="_Other Default Scenario 2" xfId="133" xr:uid="{00000000-0005-0000-0000-000084000000}"/>
    <cellStyle name="_Other Default Scenario 2_Detailed model" xfId="134" xr:uid="{00000000-0005-0000-0000-000085000000}"/>
    <cellStyle name="_Percent" xfId="135" xr:uid="{00000000-0005-0000-0000-000086000000}"/>
    <cellStyle name="_PercentSpace" xfId="136" xr:uid="{00000000-0005-0000-0000-000087000000}"/>
    <cellStyle name="_Port" xfId="137" xr:uid="{00000000-0005-0000-0000-000088000000}"/>
    <cellStyle name="_Port For S&amp;P" xfId="138" xr:uid="{00000000-0005-0000-0000-000089000000}"/>
    <cellStyle name="_Port For S&amp;P_Detailed model" xfId="139" xr:uid="{00000000-0005-0000-0000-00008A000000}"/>
    <cellStyle name="_Port_COMPS - B2B Publishers" xfId="140" xr:uid="{00000000-0005-0000-0000-00008B000000}"/>
    <cellStyle name="_Port_COMPS - B2B Publishers_Detailed model" xfId="141" xr:uid="{00000000-0005-0000-0000-00008C000000}"/>
    <cellStyle name="_Port_COMPS - Directories" xfId="142" xr:uid="{00000000-0005-0000-0000-00008D000000}"/>
    <cellStyle name="_Port_COMPS - Directories_Detailed model" xfId="143" xr:uid="{00000000-0005-0000-0000-00008E000000}"/>
    <cellStyle name="_Port_Detailed model" xfId="144" xr:uid="{00000000-0005-0000-0000-00008F000000}"/>
    <cellStyle name="_Port_F&amp;W Servicing Model" xfId="145" xr:uid="{00000000-0005-0000-0000-000090000000}"/>
    <cellStyle name="_Port_F&amp;W Servicing Model v2" xfId="146" xr:uid="{00000000-0005-0000-0000-000091000000}"/>
    <cellStyle name="_Port_F&amp;W Servicing Model v2_Detailed model" xfId="147" xr:uid="{00000000-0005-0000-0000-000092000000}"/>
    <cellStyle name="_Port_F&amp;W Servicing Model_Detailed model" xfId="148" xr:uid="{00000000-0005-0000-0000-000093000000}"/>
    <cellStyle name="_Port_Univision Annual Model" xfId="149" xr:uid="{00000000-0005-0000-0000-000094000000}"/>
    <cellStyle name="_Port_Univision Annual Model_Detailed model" xfId="150" xr:uid="{00000000-0005-0000-0000-000095000000}"/>
    <cellStyle name="_Port_Yell Servicing Model" xfId="151" xr:uid="{00000000-0005-0000-0000-000096000000}"/>
    <cellStyle name="_Port_Yell Servicing Model_Detailed model" xfId="152" xr:uid="{00000000-0005-0000-0000-000097000000}"/>
    <cellStyle name="_Pro Forma TTM 9.30.07 (CW NEIRB Acquisition)" xfId="153" xr:uid="{00000000-0005-0000-0000-000098000000}"/>
    <cellStyle name="_S&amp;P Analysis" xfId="154" xr:uid="{00000000-0005-0000-0000-000099000000}"/>
    <cellStyle name="_S&amp;P Analysis_COMPS - B2B Publishers" xfId="155" xr:uid="{00000000-0005-0000-0000-00009A000000}"/>
    <cellStyle name="_S&amp;P Analysis_COMPS - Directories" xfId="156" xr:uid="{00000000-0005-0000-0000-00009B000000}"/>
    <cellStyle name="_S&amp;P Analysis_F&amp;W Servicing Model" xfId="157" xr:uid="{00000000-0005-0000-0000-00009C000000}"/>
    <cellStyle name="_S&amp;P Analysis_F&amp;W Servicing Model v2" xfId="158" xr:uid="{00000000-0005-0000-0000-00009D000000}"/>
    <cellStyle name="_S&amp;P Analysis_Univision Annual Model" xfId="159" xr:uid="{00000000-0005-0000-0000-00009E000000}"/>
    <cellStyle name="_S&amp;P Analysis_Yell Servicing Model" xfId="160" xr:uid="{00000000-0005-0000-0000-00009F000000}"/>
    <cellStyle name="_S&amp;P Hypothetical Port Summary" xfId="161" xr:uid="{00000000-0005-0000-0000-0000A0000000}"/>
    <cellStyle name="_S&amp;P Hypothetical Port Summary_Detailed model" xfId="162" xr:uid="{00000000-0005-0000-0000-0000A1000000}"/>
    <cellStyle name="_S&amp;P Port 80Div_2099WARF" xfId="163" xr:uid="{00000000-0005-0000-0000-0000A2000000}"/>
    <cellStyle name="_S&amp;P Port 80Div_2099WARF_Detailed model" xfId="164" xr:uid="{00000000-0005-0000-0000-0000A3000000}"/>
    <cellStyle name="_S&amp;P Stress Scenarios" xfId="165" xr:uid="{00000000-0005-0000-0000-0000A4000000}"/>
    <cellStyle name="_S&amp;P Stress Scenarios_Detailed model" xfId="166" xr:uid="{00000000-0005-0000-0000-0000A5000000}"/>
    <cellStyle name="_Sources and Uses" xfId="167" xr:uid="{00000000-0005-0000-0000-0000A6000000}"/>
    <cellStyle name="_Sources and Uses_Detailed model" xfId="168" xr:uid="{00000000-0005-0000-0000-0000A7000000}"/>
    <cellStyle name="_SubHeading" xfId="169" xr:uid="{00000000-0005-0000-0000-0000A8000000}"/>
    <cellStyle name="_SubHeading_prestemp" xfId="170" xr:uid="{00000000-0005-0000-0000-0000A9000000}"/>
    <cellStyle name="_Table" xfId="171" xr:uid="{00000000-0005-0000-0000-0000AA000000}"/>
    <cellStyle name="_TableHead" xfId="172" xr:uid="{00000000-0005-0000-0000-0000AB000000}"/>
    <cellStyle name="_TableRowHead" xfId="173" xr:uid="{00000000-0005-0000-0000-0000AC000000}"/>
    <cellStyle name="_TableSuperHead" xfId="174" xr:uid="{00000000-0005-0000-0000-0000AD000000}"/>
    <cellStyle name="£Currency [0]" xfId="175" xr:uid="{00000000-0005-0000-0000-0000AE000000}"/>
    <cellStyle name="£Currency [1]" xfId="176" xr:uid="{00000000-0005-0000-0000-0000AF000000}"/>
    <cellStyle name="£Currency [2]" xfId="177" xr:uid="{00000000-0005-0000-0000-0000B0000000}"/>
    <cellStyle name="£Currency [p]" xfId="178" xr:uid="{00000000-0005-0000-0000-0000B1000000}"/>
    <cellStyle name="£Currency [p2]" xfId="179" xr:uid="{00000000-0005-0000-0000-0000B2000000}"/>
    <cellStyle name="£Pounds" xfId="180" xr:uid="{00000000-0005-0000-0000-0000B3000000}"/>
    <cellStyle name="Accounting $" xfId="181" xr:uid="{00000000-0005-0000-0000-0000B4000000}"/>
    <cellStyle name="Across" xfId="182" xr:uid="{00000000-0005-0000-0000-0000B5000000}"/>
    <cellStyle name="Adjustable" xfId="183" xr:uid="{00000000-0005-0000-0000-0000B6000000}"/>
    <cellStyle name="AFE" xfId="184" xr:uid="{00000000-0005-0000-0000-0000B7000000}"/>
    <cellStyle name="Andre's Title" xfId="185" xr:uid="{00000000-0005-0000-0000-0000B8000000}"/>
    <cellStyle name="args.style" xfId="186" xr:uid="{00000000-0005-0000-0000-0000B9000000}"/>
    <cellStyle name="Arial 10" xfId="187" xr:uid="{00000000-0005-0000-0000-0000BA000000}"/>
    <cellStyle name="Arial 12" xfId="188" xr:uid="{00000000-0005-0000-0000-0000BB000000}"/>
    <cellStyle name="Best" xfId="189" xr:uid="{00000000-0005-0000-0000-0000BC000000}"/>
    <cellStyle name="Blank [$]" xfId="190" xr:uid="{00000000-0005-0000-0000-0000BD000000}"/>
    <cellStyle name="Blank [,]" xfId="191" xr:uid="{00000000-0005-0000-0000-0000BE000000}"/>
    <cellStyle name="BlankedZeros" xfId="192" xr:uid="{00000000-0005-0000-0000-0000BF000000}"/>
    <cellStyle name="Blue" xfId="193" xr:uid="{00000000-0005-0000-0000-0000C0000000}"/>
    <cellStyle name="bluepercent" xfId="194" xr:uid="{00000000-0005-0000-0000-0000C1000000}"/>
    <cellStyle name="Body" xfId="195" xr:uid="{00000000-0005-0000-0000-0000C2000000}"/>
    <cellStyle name="Bold" xfId="196" xr:uid="{00000000-0005-0000-0000-0000C3000000}"/>
    <cellStyle name="BoldItalic" xfId="197" xr:uid="{00000000-0005-0000-0000-0000C4000000}"/>
    <cellStyle name="Bottom" xfId="198" xr:uid="{00000000-0005-0000-0000-0000C5000000}"/>
    <cellStyle name="Bottom Edge" xfId="199" xr:uid="{00000000-0005-0000-0000-0000C6000000}"/>
    <cellStyle name="British Pound" xfId="200" xr:uid="{00000000-0005-0000-0000-0000C7000000}"/>
    <cellStyle name="Business Description" xfId="201" xr:uid="{00000000-0005-0000-0000-0000C8000000}"/>
    <cellStyle name="c" xfId="202" xr:uid="{00000000-0005-0000-0000-0000C9000000}"/>
    <cellStyle name="Calc Currency (0)" xfId="203" xr:uid="{00000000-0005-0000-0000-0000CA000000}"/>
    <cellStyle name="Calc Currency (2)" xfId="204" xr:uid="{00000000-0005-0000-0000-0000CB000000}"/>
    <cellStyle name="Calc Percent (0)" xfId="205" xr:uid="{00000000-0005-0000-0000-0000CC000000}"/>
    <cellStyle name="Calc Percent (1)" xfId="206" xr:uid="{00000000-0005-0000-0000-0000CD000000}"/>
    <cellStyle name="Calc Percent (2)" xfId="207" xr:uid="{00000000-0005-0000-0000-0000CE000000}"/>
    <cellStyle name="Calc Units (0)" xfId="208" xr:uid="{00000000-0005-0000-0000-0000CF000000}"/>
    <cellStyle name="Calc Units (1)" xfId="209" xr:uid="{00000000-0005-0000-0000-0000D0000000}"/>
    <cellStyle name="Calc Units (2)" xfId="210" xr:uid="{00000000-0005-0000-0000-0000D1000000}"/>
    <cellStyle name="Case" xfId="211" xr:uid="{00000000-0005-0000-0000-0000D2000000}"/>
    <cellStyle name="cc" xfId="212" xr:uid="{00000000-0005-0000-0000-0000D3000000}"/>
    <cellStyle name="Center" xfId="213" xr:uid="{00000000-0005-0000-0000-0000D4000000}"/>
    <cellStyle name="CenterBold" xfId="214" xr:uid="{00000000-0005-0000-0000-0000D5000000}"/>
    <cellStyle name="CenterItalic" xfId="215" xr:uid="{00000000-0005-0000-0000-0000D6000000}"/>
    <cellStyle name="Cents" xfId="216" xr:uid="{00000000-0005-0000-0000-0000D7000000}"/>
    <cellStyle name="ChartingText" xfId="217" xr:uid="{00000000-0005-0000-0000-0000D8000000}"/>
    <cellStyle name="Co. Names" xfId="218" xr:uid="{00000000-0005-0000-0000-0000D9000000}"/>
    <cellStyle name="Co. Names - Bold" xfId="219" xr:uid="{00000000-0005-0000-0000-0000DA000000}"/>
    <cellStyle name="Co. Names_Break-Up" xfId="220" xr:uid="{00000000-0005-0000-0000-0000DB000000}"/>
    <cellStyle name="COL HEADINGS" xfId="221" xr:uid="{00000000-0005-0000-0000-0000DC000000}"/>
    <cellStyle name="ColumnHeaderNormal" xfId="222" xr:uid="{00000000-0005-0000-0000-0000DD000000}"/>
    <cellStyle name="Comma" xfId="223" builtinId="3"/>
    <cellStyle name="Comma  - Style1" xfId="224" xr:uid="{00000000-0005-0000-0000-0000DF000000}"/>
    <cellStyle name="Comma  - Style2" xfId="225" xr:uid="{00000000-0005-0000-0000-0000E0000000}"/>
    <cellStyle name="Comma  - Style3" xfId="226" xr:uid="{00000000-0005-0000-0000-0000E1000000}"/>
    <cellStyle name="Comma  - Style4" xfId="227" xr:uid="{00000000-0005-0000-0000-0000E2000000}"/>
    <cellStyle name="Comma  - Style5" xfId="228" xr:uid="{00000000-0005-0000-0000-0000E3000000}"/>
    <cellStyle name="Comma  - Style6" xfId="229" xr:uid="{00000000-0005-0000-0000-0000E4000000}"/>
    <cellStyle name="Comma  - Style7" xfId="230" xr:uid="{00000000-0005-0000-0000-0000E5000000}"/>
    <cellStyle name="Comma  - Style8" xfId="231" xr:uid="{00000000-0005-0000-0000-0000E6000000}"/>
    <cellStyle name="Comma [0]; --" xfId="232" xr:uid="{00000000-0005-0000-0000-0000E7000000}"/>
    <cellStyle name="Comma [00]" xfId="233" xr:uid="{00000000-0005-0000-0000-0000E8000000}"/>
    <cellStyle name="Comma [1]" xfId="234" xr:uid="{00000000-0005-0000-0000-0000E9000000}"/>
    <cellStyle name="Comma 2" xfId="235" xr:uid="{00000000-0005-0000-0000-0000EA000000}"/>
    <cellStyle name="Comma Cents" xfId="236" xr:uid="{00000000-0005-0000-0000-0000EB000000}"/>
    <cellStyle name="Comma0" xfId="237" xr:uid="{00000000-0005-0000-0000-0000EC000000}"/>
    <cellStyle name="Commas" xfId="238" xr:uid="{00000000-0005-0000-0000-0000ED000000}"/>
    <cellStyle name="CommasBold" xfId="239" xr:uid="{00000000-0005-0000-0000-0000EE000000}"/>
    <cellStyle name="CompanyTitle" xfId="240" xr:uid="{00000000-0005-0000-0000-0000EF000000}"/>
    <cellStyle name="Copied" xfId="241" xr:uid="{00000000-0005-0000-0000-0000F0000000}"/>
    <cellStyle name="Currency" xfId="242" builtinId="4"/>
    <cellStyle name="Currency $" xfId="243" xr:uid="{00000000-0005-0000-0000-0000F2000000}"/>
    <cellStyle name="Currency [0]; --" xfId="244" xr:uid="{00000000-0005-0000-0000-0000F3000000}"/>
    <cellStyle name="Currency [00]" xfId="245" xr:uid="{00000000-0005-0000-0000-0000F4000000}"/>
    <cellStyle name="Currency [1]" xfId="246" xr:uid="{00000000-0005-0000-0000-0000F5000000}"/>
    <cellStyle name="Currency [2]" xfId="247" xr:uid="{00000000-0005-0000-0000-0000F6000000}"/>
    <cellStyle name="data" xfId="248" xr:uid="{00000000-0005-0000-0000-0000F7000000}"/>
    <cellStyle name="Date" xfId="249" xr:uid="{00000000-0005-0000-0000-0000F8000000}"/>
    <cellStyle name="Date Short" xfId="250" xr:uid="{00000000-0005-0000-0000-0000F9000000}"/>
    <cellStyle name="Date_COMPS - Directories" xfId="251" xr:uid="{00000000-0005-0000-0000-0000FA000000}"/>
    <cellStyle name="DateLeftBold" xfId="252" xr:uid="{00000000-0005-0000-0000-0000FB000000}"/>
    <cellStyle name="Default" xfId="253" xr:uid="{00000000-0005-0000-0000-0000FC000000}"/>
    <cellStyle name="DELTA" xfId="254" xr:uid="{00000000-0005-0000-0000-0000FD000000}"/>
    <cellStyle name="Dollars" xfId="255" xr:uid="{00000000-0005-0000-0000-0000FE000000}"/>
    <cellStyle name="Dollars []" xfId="256" xr:uid="{00000000-0005-0000-0000-0000FF000000}"/>
    <cellStyle name="Dollars_Pro Forma TTM 9.30.07 (CW NEIRB Acquisition)" xfId="257" xr:uid="{00000000-0005-0000-0000-000000010000}"/>
    <cellStyle name="Double" xfId="258" xr:uid="{00000000-0005-0000-0000-000001010000}"/>
    <cellStyle name="Double Accounting" xfId="259" xr:uid="{00000000-0005-0000-0000-000002010000}"/>
    <cellStyle name="Enter Currency (0)" xfId="260" xr:uid="{00000000-0005-0000-0000-000003010000}"/>
    <cellStyle name="Enter Currency (2)" xfId="261" xr:uid="{00000000-0005-0000-0000-000004010000}"/>
    <cellStyle name="Enter Units (0)" xfId="262" xr:uid="{00000000-0005-0000-0000-000005010000}"/>
    <cellStyle name="Enter Units (1)" xfId="263" xr:uid="{00000000-0005-0000-0000-000006010000}"/>
    <cellStyle name="Enter Units (2)" xfId="264" xr:uid="{00000000-0005-0000-0000-000007010000}"/>
    <cellStyle name="Entered" xfId="265" xr:uid="{00000000-0005-0000-0000-000008010000}"/>
    <cellStyle name="Euro" xfId="266" xr:uid="{00000000-0005-0000-0000-000009010000}"/>
    <cellStyle name="Fit" xfId="267" xr:uid="{00000000-0005-0000-0000-00000A010000}"/>
    <cellStyle name="Footer" xfId="268" xr:uid="{00000000-0005-0000-0000-00000B010000}"/>
    <cellStyle name="Footnotes" xfId="269" xr:uid="{00000000-0005-0000-0000-00000C010000}"/>
    <cellStyle name="Grey" xfId="270" xr:uid="{00000000-0005-0000-0000-00000D010000}"/>
    <cellStyle name="GreybarHeader" xfId="271" xr:uid="{00000000-0005-0000-0000-00000E010000}"/>
    <cellStyle name="Grouped Head" xfId="272" xr:uid="{00000000-0005-0000-0000-00000F010000}"/>
    <cellStyle name="h" xfId="273" xr:uid="{00000000-0005-0000-0000-000010010000}"/>
    <cellStyle name="HAlignCenter" xfId="274" xr:uid="{00000000-0005-0000-0000-000011010000}"/>
    <cellStyle name="HAlignLeft" xfId="275" xr:uid="{00000000-0005-0000-0000-000012010000}"/>
    <cellStyle name="HAlignRight" xfId="276" xr:uid="{00000000-0005-0000-0000-000013010000}"/>
    <cellStyle name="Head 1" xfId="277" xr:uid="{00000000-0005-0000-0000-000014010000}"/>
    <cellStyle name="Header" xfId="278" xr:uid="{00000000-0005-0000-0000-000015010000}"/>
    <cellStyle name="Header1" xfId="279" xr:uid="{00000000-0005-0000-0000-000016010000}"/>
    <cellStyle name="Header2" xfId="280" xr:uid="{00000000-0005-0000-0000-000017010000}"/>
    <cellStyle name="headers" xfId="281" xr:uid="{00000000-0005-0000-0000-000018010000}"/>
    <cellStyle name="Heading" xfId="282" xr:uid="{00000000-0005-0000-0000-000019010000}"/>
    <cellStyle name="HEADINGS" xfId="283" xr:uid="{00000000-0005-0000-0000-00001A010000}"/>
    <cellStyle name="HEADINGSTOP" xfId="284" xr:uid="{00000000-0005-0000-0000-00001B010000}"/>
    <cellStyle name="imput" xfId="285" xr:uid="{00000000-0005-0000-0000-00001C010000}"/>
    <cellStyle name="Input [yellow]" xfId="286" xr:uid="{00000000-0005-0000-0000-00001D010000}"/>
    <cellStyle name="Invisible" xfId="287" xr:uid="{00000000-0005-0000-0000-00001E010000}"/>
    <cellStyle name="ItalicHeader" xfId="288" xr:uid="{00000000-0005-0000-0000-00001F010000}"/>
    <cellStyle name="Item Descriptions" xfId="289" xr:uid="{00000000-0005-0000-0000-000020010000}"/>
    <cellStyle name="Item Descriptions - Bold" xfId="290" xr:uid="{00000000-0005-0000-0000-000021010000}"/>
    <cellStyle name="Item Descriptions_6079BX" xfId="291" xr:uid="{00000000-0005-0000-0000-000022010000}"/>
    <cellStyle name="Left" xfId="292" xr:uid="{00000000-0005-0000-0000-000023010000}"/>
    <cellStyle name="LeftBold" xfId="293" xr:uid="{00000000-0005-0000-0000-000024010000}"/>
    <cellStyle name="LeftBoldBottomRule" xfId="294" xr:uid="{00000000-0005-0000-0000-000025010000}"/>
    <cellStyle name="LeftBoldCenterRule" xfId="295" xr:uid="{00000000-0005-0000-0000-000026010000}"/>
    <cellStyle name="Line" xfId="296" xr:uid="{00000000-0005-0000-0000-000027010000}"/>
    <cellStyle name="Link Currency (0)" xfId="297" xr:uid="{00000000-0005-0000-0000-000028010000}"/>
    <cellStyle name="Link Currency (2)" xfId="298" xr:uid="{00000000-0005-0000-0000-000029010000}"/>
    <cellStyle name="Link Units (0)" xfId="299" xr:uid="{00000000-0005-0000-0000-00002A010000}"/>
    <cellStyle name="Link Units (1)" xfId="300" xr:uid="{00000000-0005-0000-0000-00002B010000}"/>
    <cellStyle name="Link Units (2)" xfId="301" xr:uid="{00000000-0005-0000-0000-00002C010000}"/>
    <cellStyle name="locked" xfId="302" xr:uid="{00000000-0005-0000-0000-00002D010000}"/>
    <cellStyle name="m&amp;a" xfId="303" xr:uid="{00000000-0005-0000-0000-00002E010000}"/>
    <cellStyle name="Map Labels" xfId="304" xr:uid="{00000000-0005-0000-0000-00002F010000}"/>
    <cellStyle name="Map Legend" xfId="305" xr:uid="{00000000-0005-0000-0000-000030010000}"/>
    <cellStyle name="Merrill" xfId="306" xr:uid="{00000000-0005-0000-0000-000031010000}"/>
    <cellStyle name="Millares_Inv Detail A7" xfId="307" xr:uid="{00000000-0005-0000-0000-000032010000}"/>
    <cellStyle name="Milliers [0]_r00SC" xfId="308" xr:uid="{00000000-0005-0000-0000-000033010000}"/>
    <cellStyle name="Milliers_r00SC" xfId="309" xr:uid="{00000000-0005-0000-0000-000034010000}"/>
    <cellStyle name="Mix" xfId="310" xr:uid="{00000000-0005-0000-0000-000035010000}"/>
    <cellStyle name="mon" xfId="311" xr:uid="{00000000-0005-0000-0000-000036010000}"/>
    <cellStyle name="Monétaire [0]_r00SC" xfId="312" xr:uid="{00000000-0005-0000-0000-000037010000}"/>
    <cellStyle name="Monétaire_r00SC" xfId="313" xr:uid="{00000000-0005-0000-0000-000038010000}"/>
    <cellStyle name="Money" xfId="314" xr:uid="{00000000-0005-0000-0000-000039010000}"/>
    <cellStyle name="Multiple" xfId="315" xr:uid="{00000000-0005-0000-0000-00003A010000}"/>
    <cellStyle name="Multiple []" xfId="316" xr:uid="{00000000-0005-0000-0000-00003B010000}"/>
    <cellStyle name="Multiple [0]" xfId="317" xr:uid="{00000000-0005-0000-0000-00003C010000}"/>
    <cellStyle name="Multiple [0] []" xfId="318" xr:uid="{00000000-0005-0000-0000-00003D010000}"/>
    <cellStyle name="Multiple [0]_New MA Public Comps and WACC Model" xfId="319" xr:uid="{00000000-0005-0000-0000-00003E010000}"/>
    <cellStyle name="Multiple [1]" xfId="320" xr:uid="{00000000-0005-0000-0000-00003F010000}"/>
    <cellStyle name="Multiple [1] []" xfId="321" xr:uid="{00000000-0005-0000-0000-000040010000}"/>
    <cellStyle name="Multiple [1]_New MA Public Comps and WACC Model" xfId="322" xr:uid="{00000000-0005-0000-0000-000041010000}"/>
    <cellStyle name="Multiple_CapitalSum" xfId="323" xr:uid="{00000000-0005-0000-0000-000042010000}"/>
    <cellStyle name="N2Style" xfId="324" xr:uid="{00000000-0005-0000-0000-000043010000}"/>
    <cellStyle name="NewColumnHeaderNormal" xfId="325" xr:uid="{00000000-0005-0000-0000-000044010000}"/>
    <cellStyle name="NewSectionHeaderNormal" xfId="326" xr:uid="{00000000-0005-0000-0000-000045010000}"/>
    <cellStyle name="NewTitleNormal" xfId="327" xr:uid="{00000000-0005-0000-0000-000046010000}"/>
    <cellStyle name="Normal" xfId="0" builtinId="0"/>
    <cellStyle name="Normal - Style1" xfId="328" xr:uid="{00000000-0005-0000-0000-000048010000}"/>
    <cellStyle name="Normal 2" xfId="329" xr:uid="{00000000-0005-0000-0000-000049010000}"/>
    <cellStyle name="Normal 2 2" xfId="330" xr:uid="{00000000-0005-0000-0000-00004A010000}"/>
    <cellStyle name="Normal 3" xfId="961" xr:uid="{0721E482-02BD-44A7-854C-6403F696C6D1}"/>
    <cellStyle name="Normal_Dollar General Analysis" xfId="331" xr:uid="{00000000-0005-0000-0000-00004B010000}"/>
    <cellStyle name="Normal1" xfId="332" xr:uid="{00000000-0005-0000-0000-00004C010000}"/>
    <cellStyle name="Normal10" xfId="333" xr:uid="{00000000-0005-0000-0000-00004D010000}"/>
    <cellStyle name="Normal100" xfId="334" xr:uid="{00000000-0005-0000-0000-00004E010000}"/>
    <cellStyle name="Normal101" xfId="335" xr:uid="{00000000-0005-0000-0000-00004F010000}"/>
    <cellStyle name="Normal102" xfId="336" xr:uid="{00000000-0005-0000-0000-000050010000}"/>
    <cellStyle name="Normal103" xfId="337" xr:uid="{00000000-0005-0000-0000-000051010000}"/>
    <cellStyle name="Normal104" xfId="338" xr:uid="{00000000-0005-0000-0000-000052010000}"/>
    <cellStyle name="Normal105" xfId="339" xr:uid="{00000000-0005-0000-0000-000053010000}"/>
    <cellStyle name="Normal106" xfId="340" xr:uid="{00000000-0005-0000-0000-000054010000}"/>
    <cellStyle name="Normal107" xfId="341" xr:uid="{00000000-0005-0000-0000-000055010000}"/>
    <cellStyle name="Normal108" xfId="342" xr:uid="{00000000-0005-0000-0000-000056010000}"/>
    <cellStyle name="Normal109" xfId="343" xr:uid="{00000000-0005-0000-0000-000057010000}"/>
    <cellStyle name="Normal11" xfId="344" xr:uid="{00000000-0005-0000-0000-000058010000}"/>
    <cellStyle name="Normal110" xfId="345" xr:uid="{00000000-0005-0000-0000-000059010000}"/>
    <cellStyle name="Normal111" xfId="346" xr:uid="{00000000-0005-0000-0000-00005A010000}"/>
    <cellStyle name="Normal112" xfId="347" xr:uid="{00000000-0005-0000-0000-00005B010000}"/>
    <cellStyle name="Normal113" xfId="348" xr:uid="{00000000-0005-0000-0000-00005C010000}"/>
    <cellStyle name="Normal114" xfId="349" xr:uid="{00000000-0005-0000-0000-00005D010000}"/>
    <cellStyle name="Normal115" xfId="350" xr:uid="{00000000-0005-0000-0000-00005E010000}"/>
    <cellStyle name="Normal116" xfId="351" xr:uid="{00000000-0005-0000-0000-00005F010000}"/>
    <cellStyle name="Normal117" xfId="352" xr:uid="{00000000-0005-0000-0000-000060010000}"/>
    <cellStyle name="Normal118" xfId="353" xr:uid="{00000000-0005-0000-0000-000061010000}"/>
    <cellStyle name="Normal119" xfId="354" xr:uid="{00000000-0005-0000-0000-000062010000}"/>
    <cellStyle name="Normal12" xfId="355" xr:uid="{00000000-0005-0000-0000-000063010000}"/>
    <cellStyle name="Normal120" xfId="356" xr:uid="{00000000-0005-0000-0000-000064010000}"/>
    <cellStyle name="Normal121" xfId="357" xr:uid="{00000000-0005-0000-0000-000065010000}"/>
    <cellStyle name="Normal122" xfId="358" xr:uid="{00000000-0005-0000-0000-000066010000}"/>
    <cellStyle name="Normal123" xfId="359" xr:uid="{00000000-0005-0000-0000-000067010000}"/>
    <cellStyle name="Normal124" xfId="360" xr:uid="{00000000-0005-0000-0000-000068010000}"/>
    <cellStyle name="Normal125" xfId="361" xr:uid="{00000000-0005-0000-0000-000069010000}"/>
    <cellStyle name="Normal126" xfId="362" xr:uid="{00000000-0005-0000-0000-00006A010000}"/>
    <cellStyle name="Normal127" xfId="363" xr:uid="{00000000-0005-0000-0000-00006B010000}"/>
    <cellStyle name="Normal128" xfId="364" xr:uid="{00000000-0005-0000-0000-00006C010000}"/>
    <cellStyle name="Normal129" xfId="365" xr:uid="{00000000-0005-0000-0000-00006D010000}"/>
    <cellStyle name="Normal13" xfId="366" xr:uid="{00000000-0005-0000-0000-00006E010000}"/>
    <cellStyle name="Normal130" xfId="367" xr:uid="{00000000-0005-0000-0000-00006F010000}"/>
    <cellStyle name="Normal131" xfId="368" xr:uid="{00000000-0005-0000-0000-000070010000}"/>
    <cellStyle name="Normal132" xfId="369" xr:uid="{00000000-0005-0000-0000-000071010000}"/>
    <cellStyle name="Normal133" xfId="370" xr:uid="{00000000-0005-0000-0000-000072010000}"/>
    <cellStyle name="Normal134" xfId="371" xr:uid="{00000000-0005-0000-0000-000073010000}"/>
    <cellStyle name="Normal135" xfId="372" xr:uid="{00000000-0005-0000-0000-000074010000}"/>
    <cellStyle name="Normal136" xfId="373" xr:uid="{00000000-0005-0000-0000-000075010000}"/>
    <cellStyle name="Normal137" xfId="374" xr:uid="{00000000-0005-0000-0000-000076010000}"/>
    <cellStyle name="Normal138" xfId="375" xr:uid="{00000000-0005-0000-0000-000077010000}"/>
    <cellStyle name="Normal139" xfId="376" xr:uid="{00000000-0005-0000-0000-000078010000}"/>
    <cellStyle name="Normal14" xfId="377" xr:uid="{00000000-0005-0000-0000-000079010000}"/>
    <cellStyle name="Normal140" xfId="378" xr:uid="{00000000-0005-0000-0000-00007A010000}"/>
    <cellStyle name="Normal141" xfId="379" xr:uid="{00000000-0005-0000-0000-00007B010000}"/>
    <cellStyle name="Normal142" xfId="380" xr:uid="{00000000-0005-0000-0000-00007C010000}"/>
    <cellStyle name="Normal143" xfId="381" xr:uid="{00000000-0005-0000-0000-00007D010000}"/>
    <cellStyle name="Normal144" xfId="382" xr:uid="{00000000-0005-0000-0000-00007E010000}"/>
    <cellStyle name="Normal145" xfId="383" xr:uid="{00000000-0005-0000-0000-00007F010000}"/>
    <cellStyle name="Normal146" xfId="384" xr:uid="{00000000-0005-0000-0000-000080010000}"/>
    <cellStyle name="Normal147" xfId="385" xr:uid="{00000000-0005-0000-0000-000081010000}"/>
    <cellStyle name="Normal148" xfId="386" xr:uid="{00000000-0005-0000-0000-000082010000}"/>
    <cellStyle name="Normal149" xfId="387" xr:uid="{00000000-0005-0000-0000-000083010000}"/>
    <cellStyle name="Normal15" xfId="388" xr:uid="{00000000-0005-0000-0000-000084010000}"/>
    <cellStyle name="Normal150" xfId="389" xr:uid="{00000000-0005-0000-0000-000085010000}"/>
    <cellStyle name="Normal151" xfId="390" xr:uid="{00000000-0005-0000-0000-000086010000}"/>
    <cellStyle name="Normal152" xfId="391" xr:uid="{00000000-0005-0000-0000-000087010000}"/>
    <cellStyle name="Normal153" xfId="392" xr:uid="{00000000-0005-0000-0000-000088010000}"/>
    <cellStyle name="Normal154" xfId="393" xr:uid="{00000000-0005-0000-0000-000089010000}"/>
    <cellStyle name="Normal155" xfId="394" xr:uid="{00000000-0005-0000-0000-00008A010000}"/>
    <cellStyle name="Normal156" xfId="395" xr:uid="{00000000-0005-0000-0000-00008B010000}"/>
    <cellStyle name="Normal157" xfId="396" xr:uid="{00000000-0005-0000-0000-00008C010000}"/>
    <cellStyle name="Normal158" xfId="397" xr:uid="{00000000-0005-0000-0000-00008D010000}"/>
    <cellStyle name="Normal159" xfId="398" xr:uid="{00000000-0005-0000-0000-00008E010000}"/>
    <cellStyle name="Normal16" xfId="399" xr:uid="{00000000-0005-0000-0000-00008F010000}"/>
    <cellStyle name="Normal160" xfId="400" xr:uid="{00000000-0005-0000-0000-000090010000}"/>
    <cellStyle name="Normal161" xfId="401" xr:uid="{00000000-0005-0000-0000-000091010000}"/>
    <cellStyle name="Normal162" xfId="402" xr:uid="{00000000-0005-0000-0000-000092010000}"/>
    <cellStyle name="Normal163" xfId="403" xr:uid="{00000000-0005-0000-0000-000093010000}"/>
    <cellStyle name="Normal164" xfId="404" xr:uid="{00000000-0005-0000-0000-000094010000}"/>
    <cellStyle name="Normal165" xfId="405" xr:uid="{00000000-0005-0000-0000-000095010000}"/>
    <cellStyle name="Normal166" xfId="406" xr:uid="{00000000-0005-0000-0000-000096010000}"/>
    <cellStyle name="Normal167" xfId="407" xr:uid="{00000000-0005-0000-0000-000097010000}"/>
    <cellStyle name="Normal168" xfId="408" xr:uid="{00000000-0005-0000-0000-000098010000}"/>
    <cellStyle name="Normal169" xfId="409" xr:uid="{00000000-0005-0000-0000-000099010000}"/>
    <cellStyle name="Normal17" xfId="410" xr:uid="{00000000-0005-0000-0000-00009A010000}"/>
    <cellStyle name="Normal170" xfId="411" xr:uid="{00000000-0005-0000-0000-00009B010000}"/>
    <cellStyle name="Normal171" xfId="412" xr:uid="{00000000-0005-0000-0000-00009C010000}"/>
    <cellStyle name="Normal172" xfId="413" xr:uid="{00000000-0005-0000-0000-00009D010000}"/>
    <cellStyle name="Normal173" xfId="414" xr:uid="{00000000-0005-0000-0000-00009E010000}"/>
    <cellStyle name="Normal174" xfId="415" xr:uid="{00000000-0005-0000-0000-00009F010000}"/>
    <cellStyle name="Normal175" xfId="416" xr:uid="{00000000-0005-0000-0000-0000A0010000}"/>
    <cellStyle name="Normal176" xfId="417" xr:uid="{00000000-0005-0000-0000-0000A1010000}"/>
    <cellStyle name="Normal177" xfId="418" xr:uid="{00000000-0005-0000-0000-0000A2010000}"/>
    <cellStyle name="Normal178" xfId="419" xr:uid="{00000000-0005-0000-0000-0000A3010000}"/>
    <cellStyle name="Normal179" xfId="420" xr:uid="{00000000-0005-0000-0000-0000A4010000}"/>
    <cellStyle name="Normal18" xfId="421" xr:uid="{00000000-0005-0000-0000-0000A5010000}"/>
    <cellStyle name="Normal180" xfId="422" xr:uid="{00000000-0005-0000-0000-0000A6010000}"/>
    <cellStyle name="Normal181" xfId="423" xr:uid="{00000000-0005-0000-0000-0000A7010000}"/>
    <cellStyle name="Normal182" xfId="424" xr:uid="{00000000-0005-0000-0000-0000A8010000}"/>
    <cellStyle name="Normal183" xfId="425" xr:uid="{00000000-0005-0000-0000-0000A9010000}"/>
    <cellStyle name="Normal184" xfId="426" xr:uid="{00000000-0005-0000-0000-0000AA010000}"/>
    <cellStyle name="Normal185" xfId="427" xr:uid="{00000000-0005-0000-0000-0000AB010000}"/>
    <cellStyle name="Normal186" xfId="428" xr:uid="{00000000-0005-0000-0000-0000AC010000}"/>
    <cellStyle name="Normal187" xfId="429" xr:uid="{00000000-0005-0000-0000-0000AD010000}"/>
    <cellStyle name="Normal188" xfId="430" xr:uid="{00000000-0005-0000-0000-0000AE010000}"/>
    <cellStyle name="Normal189" xfId="431" xr:uid="{00000000-0005-0000-0000-0000AF010000}"/>
    <cellStyle name="Normal19" xfId="432" xr:uid="{00000000-0005-0000-0000-0000B0010000}"/>
    <cellStyle name="Normal190" xfId="433" xr:uid="{00000000-0005-0000-0000-0000B1010000}"/>
    <cellStyle name="Normal191" xfId="434" xr:uid="{00000000-0005-0000-0000-0000B2010000}"/>
    <cellStyle name="Normal192" xfId="435" xr:uid="{00000000-0005-0000-0000-0000B3010000}"/>
    <cellStyle name="Normal193" xfId="436" xr:uid="{00000000-0005-0000-0000-0000B4010000}"/>
    <cellStyle name="Normal194" xfId="437" xr:uid="{00000000-0005-0000-0000-0000B5010000}"/>
    <cellStyle name="Normal195" xfId="438" xr:uid="{00000000-0005-0000-0000-0000B6010000}"/>
    <cellStyle name="Normal196" xfId="439" xr:uid="{00000000-0005-0000-0000-0000B7010000}"/>
    <cellStyle name="Normal197" xfId="440" xr:uid="{00000000-0005-0000-0000-0000B8010000}"/>
    <cellStyle name="Normal198" xfId="441" xr:uid="{00000000-0005-0000-0000-0000B9010000}"/>
    <cellStyle name="Normal199" xfId="442" xr:uid="{00000000-0005-0000-0000-0000BA010000}"/>
    <cellStyle name="Normal2" xfId="443" xr:uid="{00000000-0005-0000-0000-0000BB010000}"/>
    <cellStyle name="Normal20" xfId="444" xr:uid="{00000000-0005-0000-0000-0000BC010000}"/>
    <cellStyle name="Normal200" xfId="445" xr:uid="{00000000-0005-0000-0000-0000BD010000}"/>
    <cellStyle name="Normal201" xfId="446" xr:uid="{00000000-0005-0000-0000-0000BE010000}"/>
    <cellStyle name="Normal202" xfId="447" xr:uid="{00000000-0005-0000-0000-0000BF010000}"/>
    <cellStyle name="Normal203" xfId="448" xr:uid="{00000000-0005-0000-0000-0000C0010000}"/>
    <cellStyle name="Normal204" xfId="449" xr:uid="{00000000-0005-0000-0000-0000C1010000}"/>
    <cellStyle name="Normal205" xfId="450" xr:uid="{00000000-0005-0000-0000-0000C2010000}"/>
    <cellStyle name="Normal206" xfId="451" xr:uid="{00000000-0005-0000-0000-0000C3010000}"/>
    <cellStyle name="Normal207" xfId="452" xr:uid="{00000000-0005-0000-0000-0000C4010000}"/>
    <cellStyle name="Normal208" xfId="453" xr:uid="{00000000-0005-0000-0000-0000C5010000}"/>
    <cellStyle name="Normal209" xfId="454" xr:uid="{00000000-0005-0000-0000-0000C6010000}"/>
    <cellStyle name="Normal21" xfId="455" xr:uid="{00000000-0005-0000-0000-0000C7010000}"/>
    <cellStyle name="Normal210" xfId="456" xr:uid="{00000000-0005-0000-0000-0000C8010000}"/>
    <cellStyle name="Normal211" xfId="457" xr:uid="{00000000-0005-0000-0000-0000C9010000}"/>
    <cellStyle name="Normal212" xfId="458" xr:uid="{00000000-0005-0000-0000-0000CA010000}"/>
    <cellStyle name="Normal213" xfId="459" xr:uid="{00000000-0005-0000-0000-0000CB010000}"/>
    <cellStyle name="Normal214" xfId="460" xr:uid="{00000000-0005-0000-0000-0000CC010000}"/>
    <cellStyle name="Normal215" xfId="461" xr:uid="{00000000-0005-0000-0000-0000CD010000}"/>
    <cellStyle name="Normal216" xfId="462" xr:uid="{00000000-0005-0000-0000-0000CE010000}"/>
    <cellStyle name="Normal217" xfId="463" xr:uid="{00000000-0005-0000-0000-0000CF010000}"/>
    <cellStyle name="Normal218" xfId="464" xr:uid="{00000000-0005-0000-0000-0000D0010000}"/>
    <cellStyle name="Normal219" xfId="465" xr:uid="{00000000-0005-0000-0000-0000D1010000}"/>
    <cellStyle name="Normal22" xfId="466" xr:uid="{00000000-0005-0000-0000-0000D2010000}"/>
    <cellStyle name="Normal220" xfId="467" xr:uid="{00000000-0005-0000-0000-0000D3010000}"/>
    <cellStyle name="Normal221" xfId="468" xr:uid="{00000000-0005-0000-0000-0000D4010000}"/>
    <cellStyle name="Normal222" xfId="469" xr:uid="{00000000-0005-0000-0000-0000D5010000}"/>
    <cellStyle name="Normal223" xfId="470" xr:uid="{00000000-0005-0000-0000-0000D6010000}"/>
    <cellStyle name="Normal224" xfId="471" xr:uid="{00000000-0005-0000-0000-0000D7010000}"/>
    <cellStyle name="Normal225" xfId="472" xr:uid="{00000000-0005-0000-0000-0000D8010000}"/>
    <cellStyle name="Normal226" xfId="473" xr:uid="{00000000-0005-0000-0000-0000D9010000}"/>
    <cellStyle name="Normal227" xfId="474" xr:uid="{00000000-0005-0000-0000-0000DA010000}"/>
    <cellStyle name="Normal228" xfId="475" xr:uid="{00000000-0005-0000-0000-0000DB010000}"/>
    <cellStyle name="Normal229" xfId="476" xr:uid="{00000000-0005-0000-0000-0000DC010000}"/>
    <cellStyle name="Normal23" xfId="477" xr:uid="{00000000-0005-0000-0000-0000DD010000}"/>
    <cellStyle name="Normal230" xfId="478" xr:uid="{00000000-0005-0000-0000-0000DE010000}"/>
    <cellStyle name="Normal231" xfId="479" xr:uid="{00000000-0005-0000-0000-0000DF010000}"/>
    <cellStyle name="Normal232" xfId="480" xr:uid="{00000000-0005-0000-0000-0000E0010000}"/>
    <cellStyle name="Normal233" xfId="481" xr:uid="{00000000-0005-0000-0000-0000E1010000}"/>
    <cellStyle name="Normal234" xfId="482" xr:uid="{00000000-0005-0000-0000-0000E2010000}"/>
    <cellStyle name="Normal235" xfId="483" xr:uid="{00000000-0005-0000-0000-0000E3010000}"/>
    <cellStyle name="Normal236" xfId="484" xr:uid="{00000000-0005-0000-0000-0000E4010000}"/>
    <cellStyle name="Normal237" xfId="485" xr:uid="{00000000-0005-0000-0000-0000E5010000}"/>
    <cellStyle name="Normal238" xfId="486" xr:uid="{00000000-0005-0000-0000-0000E6010000}"/>
    <cellStyle name="Normal239" xfId="487" xr:uid="{00000000-0005-0000-0000-0000E7010000}"/>
    <cellStyle name="Normal24" xfId="488" xr:uid="{00000000-0005-0000-0000-0000E8010000}"/>
    <cellStyle name="Normal240" xfId="489" xr:uid="{00000000-0005-0000-0000-0000E9010000}"/>
    <cellStyle name="Normal241" xfId="490" xr:uid="{00000000-0005-0000-0000-0000EA010000}"/>
    <cellStyle name="Normal242" xfId="491" xr:uid="{00000000-0005-0000-0000-0000EB010000}"/>
    <cellStyle name="Normal243" xfId="492" xr:uid="{00000000-0005-0000-0000-0000EC010000}"/>
    <cellStyle name="Normal244" xfId="493" xr:uid="{00000000-0005-0000-0000-0000ED010000}"/>
    <cellStyle name="Normal245" xfId="494" xr:uid="{00000000-0005-0000-0000-0000EE010000}"/>
    <cellStyle name="Normal246" xfId="495" xr:uid="{00000000-0005-0000-0000-0000EF010000}"/>
    <cellStyle name="Normal247" xfId="496" xr:uid="{00000000-0005-0000-0000-0000F0010000}"/>
    <cellStyle name="Normal248" xfId="497" xr:uid="{00000000-0005-0000-0000-0000F1010000}"/>
    <cellStyle name="Normal249" xfId="498" xr:uid="{00000000-0005-0000-0000-0000F2010000}"/>
    <cellStyle name="Normal25" xfId="499" xr:uid="{00000000-0005-0000-0000-0000F3010000}"/>
    <cellStyle name="Normal250" xfId="500" xr:uid="{00000000-0005-0000-0000-0000F4010000}"/>
    <cellStyle name="Normal251" xfId="501" xr:uid="{00000000-0005-0000-0000-0000F5010000}"/>
    <cellStyle name="Normal252" xfId="502" xr:uid="{00000000-0005-0000-0000-0000F6010000}"/>
    <cellStyle name="Normal253" xfId="503" xr:uid="{00000000-0005-0000-0000-0000F7010000}"/>
    <cellStyle name="Normal26" xfId="504" xr:uid="{00000000-0005-0000-0000-0000F8010000}"/>
    <cellStyle name="Normal27" xfId="505" xr:uid="{00000000-0005-0000-0000-0000F9010000}"/>
    <cellStyle name="Normal28" xfId="506" xr:uid="{00000000-0005-0000-0000-0000FA010000}"/>
    <cellStyle name="Normal29" xfId="507" xr:uid="{00000000-0005-0000-0000-0000FB010000}"/>
    <cellStyle name="Normal3" xfId="508" xr:uid="{00000000-0005-0000-0000-0000FC010000}"/>
    <cellStyle name="Normal30" xfId="509" xr:uid="{00000000-0005-0000-0000-0000FD010000}"/>
    <cellStyle name="Normal31" xfId="510" xr:uid="{00000000-0005-0000-0000-0000FE010000}"/>
    <cellStyle name="Normal32" xfId="511" xr:uid="{00000000-0005-0000-0000-0000FF010000}"/>
    <cellStyle name="Normal33" xfId="512" xr:uid="{00000000-0005-0000-0000-000000020000}"/>
    <cellStyle name="Normal34" xfId="513" xr:uid="{00000000-0005-0000-0000-000001020000}"/>
    <cellStyle name="Normal35" xfId="514" xr:uid="{00000000-0005-0000-0000-000002020000}"/>
    <cellStyle name="Normal36" xfId="515" xr:uid="{00000000-0005-0000-0000-000003020000}"/>
    <cellStyle name="Normal37" xfId="516" xr:uid="{00000000-0005-0000-0000-000004020000}"/>
    <cellStyle name="Normal38" xfId="517" xr:uid="{00000000-0005-0000-0000-000005020000}"/>
    <cellStyle name="Normal39" xfId="518" xr:uid="{00000000-0005-0000-0000-000006020000}"/>
    <cellStyle name="Normal4" xfId="519" xr:uid="{00000000-0005-0000-0000-000007020000}"/>
    <cellStyle name="Normal40" xfId="520" xr:uid="{00000000-0005-0000-0000-000008020000}"/>
    <cellStyle name="Normal41" xfId="521" xr:uid="{00000000-0005-0000-0000-000009020000}"/>
    <cellStyle name="Normal42" xfId="522" xr:uid="{00000000-0005-0000-0000-00000A020000}"/>
    <cellStyle name="Normal43" xfId="523" xr:uid="{00000000-0005-0000-0000-00000B020000}"/>
    <cellStyle name="Normal44" xfId="524" xr:uid="{00000000-0005-0000-0000-00000C020000}"/>
    <cellStyle name="Normal45" xfId="525" xr:uid="{00000000-0005-0000-0000-00000D020000}"/>
    <cellStyle name="Normal46" xfId="526" xr:uid="{00000000-0005-0000-0000-00000E020000}"/>
    <cellStyle name="Normal47" xfId="527" xr:uid="{00000000-0005-0000-0000-00000F020000}"/>
    <cellStyle name="Normal48" xfId="528" xr:uid="{00000000-0005-0000-0000-000010020000}"/>
    <cellStyle name="Normal49" xfId="529" xr:uid="{00000000-0005-0000-0000-000011020000}"/>
    <cellStyle name="Normal5" xfId="530" xr:uid="{00000000-0005-0000-0000-000012020000}"/>
    <cellStyle name="Normal50" xfId="531" xr:uid="{00000000-0005-0000-0000-000013020000}"/>
    <cellStyle name="Normal51" xfId="532" xr:uid="{00000000-0005-0000-0000-000014020000}"/>
    <cellStyle name="Normal52" xfId="533" xr:uid="{00000000-0005-0000-0000-000015020000}"/>
    <cellStyle name="Normal53" xfId="534" xr:uid="{00000000-0005-0000-0000-000016020000}"/>
    <cellStyle name="Normal54" xfId="535" xr:uid="{00000000-0005-0000-0000-000017020000}"/>
    <cellStyle name="Normal55" xfId="536" xr:uid="{00000000-0005-0000-0000-000018020000}"/>
    <cellStyle name="Normal56" xfId="537" xr:uid="{00000000-0005-0000-0000-000019020000}"/>
    <cellStyle name="Normal57" xfId="538" xr:uid="{00000000-0005-0000-0000-00001A020000}"/>
    <cellStyle name="Normal58" xfId="539" xr:uid="{00000000-0005-0000-0000-00001B020000}"/>
    <cellStyle name="Normal59" xfId="540" xr:uid="{00000000-0005-0000-0000-00001C020000}"/>
    <cellStyle name="Normal6" xfId="541" xr:uid="{00000000-0005-0000-0000-00001D020000}"/>
    <cellStyle name="Normal60" xfId="542" xr:uid="{00000000-0005-0000-0000-00001E020000}"/>
    <cellStyle name="Normal61" xfId="543" xr:uid="{00000000-0005-0000-0000-00001F020000}"/>
    <cellStyle name="Normal62" xfId="544" xr:uid="{00000000-0005-0000-0000-000020020000}"/>
    <cellStyle name="Normal63" xfId="545" xr:uid="{00000000-0005-0000-0000-000021020000}"/>
    <cellStyle name="Normal64" xfId="546" xr:uid="{00000000-0005-0000-0000-000022020000}"/>
    <cellStyle name="Normal65" xfId="547" xr:uid="{00000000-0005-0000-0000-000023020000}"/>
    <cellStyle name="Normal66" xfId="548" xr:uid="{00000000-0005-0000-0000-000024020000}"/>
    <cellStyle name="Normal67" xfId="549" xr:uid="{00000000-0005-0000-0000-000025020000}"/>
    <cellStyle name="Normal68" xfId="550" xr:uid="{00000000-0005-0000-0000-000026020000}"/>
    <cellStyle name="Normal69" xfId="551" xr:uid="{00000000-0005-0000-0000-000027020000}"/>
    <cellStyle name="Normal7" xfId="552" xr:uid="{00000000-0005-0000-0000-000028020000}"/>
    <cellStyle name="Normal70" xfId="553" xr:uid="{00000000-0005-0000-0000-000029020000}"/>
    <cellStyle name="Normal71" xfId="554" xr:uid="{00000000-0005-0000-0000-00002A020000}"/>
    <cellStyle name="Normal72" xfId="555" xr:uid="{00000000-0005-0000-0000-00002B020000}"/>
    <cellStyle name="Normal73" xfId="556" xr:uid="{00000000-0005-0000-0000-00002C020000}"/>
    <cellStyle name="Normal74" xfId="557" xr:uid="{00000000-0005-0000-0000-00002D020000}"/>
    <cellStyle name="Normal75" xfId="558" xr:uid="{00000000-0005-0000-0000-00002E020000}"/>
    <cellStyle name="Normal76" xfId="559" xr:uid="{00000000-0005-0000-0000-00002F020000}"/>
    <cellStyle name="Normal77" xfId="560" xr:uid="{00000000-0005-0000-0000-000030020000}"/>
    <cellStyle name="Normal78" xfId="561" xr:uid="{00000000-0005-0000-0000-000031020000}"/>
    <cellStyle name="Normal79" xfId="562" xr:uid="{00000000-0005-0000-0000-000032020000}"/>
    <cellStyle name="Normal8" xfId="563" xr:uid="{00000000-0005-0000-0000-000033020000}"/>
    <cellStyle name="Normal80" xfId="564" xr:uid="{00000000-0005-0000-0000-000034020000}"/>
    <cellStyle name="Normal81" xfId="565" xr:uid="{00000000-0005-0000-0000-000035020000}"/>
    <cellStyle name="Normal82" xfId="566" xr:uid="{00000000-0005-0000-0000-000036020000}"/>
    <cellStyle name="Normal83" xfId="567" xr:uid="{00000000-0005-0000-0000-000037020000}"/>
    <cellStyle name="Normal84" xfId="568" xr:uid="{00000000-0005-0000-0000-000038020000}"/>
    <cellStyle name="Normal85" xfId="569" xr:uid="{00000000-0005-0000-0000-000039020000}"/>
    <cellStyle name="Normal86" xfId="570" xr:uid="{00000000-0005-0000-0000-00003A020000}"/>
    <cellStyle name="Normal87" xfId="571" xr:uid="{00000000-0005-0000-0000-00003B020000}"/>
    <cellStyle name="Normal88" xfId="572" xr:uid="{00000000-0005-0000-0000-00003C020000}"/>
    <cellStyle name="Normal89" xfId="573" xr:uid="{00000000-0005-0000-0000-00003D020000}"/>
    <cellStyle name="Normal9" xfId="574" xr:uid="{00000000-0005-0000-0000-00003E020000}"/>
    <cellStyle name="Normal90" xfId="575" xr:uid="{00000000-0005-0000-0000-00003F020000}"/>
    <cellStyle name="Normal91" xfId="576" xr:uid="{00000000-0005-0000-0000-000040020000}"/>
    <cellStyle name="Normal92" xfId="577" xr:uid="{00000000-0005-0000-0000-000041020000}"/>
    <cellStyle name="Normal93" xfId="578" xr:uid="{00000000-0005-0000-0000-000042020000}"/>
    <cellStyle name="Normal94" xfId="579" xr:uid="{00000000-0005-0000-0000-000043020000}"/>
    <cellStyle name="Normal95" xfId="580" xr:uid="{00000000-0005-0000-0000-000044020000}"/>
    <cellStyle name="Normal96" xfId="581" xr:uid="{00000000-0005-0000-0000-000045020000}"/>
    <cellStyle name="Normal97" xfId="582" xr:uid="{00000000-0005-0000-0000-000046020000}"/>
    <cellStyle name="Normal98" xfId="583" xr:uid="{00000000-0005-0000-0000-000047020000}"/>
    <cellStyle name="Normal99" xfId="584" xr:uid="{00000000-0005-0000-0000-000048020000}"/>
    <cellStyle name="NotDeclared_1" xfId="585" xr:uid="{00000000-0005-0000-0000-000049020000}"/>
    <cellStyle name="Numbers" xfId="586" xr:uid="{00000000-0005-0000-0000-00004A020000}"/>
    <cellStyle name="Numbers - Bold" xfId="587" xr:uid="{00000000-0005-0000-0000-00004B020000}"/>
    <cellStyle name="Numbers - Bold - Italic" xfId="588" xr:uid="{00000000-0005-0000-0000-00004C020000}"/>
    <cellStyle name="Numbers - Bold_6079BX" xfId="589" xr:uid="{00000000-0005-0000-0000-00004D020000}"/>
    <cellStyle name="Numbers - Large" xfId="590" xr:uid="{00000000-0005-0000-0000-00004E020000}"/>
    <cellStyle name="Numbers_6079BX" xfId="591" xr:uid="{00000000-0005-0000-0000-00004F020000}"/>
    <cellStyle name="OSW_RowLabels" xfId="592" xr:uid="{00000000-0005-0000-0000-000050020000}"/>
    <cellStyle name="Outline" xfId="593" xr:uid="{00000000-0005-0000-0000-000051020000}"/>
    <cellStyle name="Output Amounts" xfId="594" xr:uid="{00000000-0005-0000-0000-000052020000}"/>
    <cellStyle name="Output Column Headings" xfId="595" xr:uid="{00000000-0005-0000-0000-000053020000}"/>
    <cellStyle name="Output Line Items" xfId="596" xr:uid="{00000000-0005-0000-0000-000054020000}"/>
    <cellStyle name="Output Report Heading" xfId="597" xr:uid="{00000000-0005-0000-0000-000055020000}"/>
    <cellStyle name="Page" xfId="598" xr:uid="{00000000-0005-0000-0000-000056020000}"/>
    <cellStyle name="PB Table Heading" xfId="599" xr:uid="{00000000-0005-0000-0000-000057020000}"/>
    <cellStyle name="PB Table Highlight1" xfId="600" xr:uid="{00000000-0005-0000-0000-000058020000}"/>
    <cellStyle name="PB Table Highlight2" xfId="601" xr:uid="{00000000-0005-0000-0000-000059020000}"/>
    <cellStyle name="PB Table Highlight3" xfId="602" xr:uid="{00000000-0005-0000-0000-00005A020000}"/>
    <cellStyle name="PB Table Standard Row" xfId="603" xr:uid="{00000000-0005-0000-0000-00005B020000}"/>
    <cellStyle name="PB Table Subtotal Row" xfId="604" xr:uid="{00000000-0005-0000-0000-00005C020000}"/>
    <cellStyle name="PB Table Total Row" xfId="605" xr:uid="{00000000-0005-0000-0000-00005D020000}"/>
    <cellStyle name="Per cent" xfId="607" builtinId="5"/>
    <cellStyle name="per.style" xfId="606" xr:uid="{00000000-0005-0000-0000-00005E020000}"/>
    <cellStyle name="Percent [0]" xfId="608" xr:uid="{00000000-0005-0000-0000-000060020000}"/>
    <cellStyle name="Percent [00]" xfId="609" xr:uid="{00000000-0005-0000-0000-000061020000}"/>
    <cellStyle name="Percent [1]" xfId="610" xr:uid="{00000000-0005-0000-0000-000062020000}"/>
    <cellStyle name="Percent [1][]" xfId="611" xr:uid="{00000000-0005-0000-0000-000063020000}"/>
    <cellStyle name="Percent [1]_New MA Public Comps and WACC Model" xfId="612" xr:uid="{00000000-0005-0000-0000-000064020000}"/>
    <cellStyle name="Percent [2]" xfId="613" xr:uid="{00000000-0005-0000-0000-000065020000}"/>
    <cellStyle name="Percent 2" xfId="614" xr:uid="{00000000-0005-0000-0000-000066020000}"/>
    <cellStyle name="Percent Comma" xfId="615" xr:uid="{00000000-0005-0000-0000-000067020000}"/>
    <cellStyle name="Percent1" xfId="616" xr:uid="{00000000-0005-0000-0000-000068020000}"/>
    <cellStyle name="Percent10" xfId="617" xr:uid="{00000000-0005-0000-0000-000069020000}"/>
    <cellStyle name="Percent100" xfId="618" xr:uid="{00000000-0005-0000-0000-00006A020000}"/>
    <cellStyle name="Percent101" xfId="619" xr:uid="{00000000-0005-0000-0000-00006B020000}"/>
    <cellStyle name="Percent102" xfId="620" xr:uid="{00000000-0005-0000-0000-00006C020000}"/>
    <cellStyle name="Percent103" xfId="621" xr:uid="{00000000-0005-0000-0000-00006D020000}"/>
    <cellStyle name="Percent104" xfId="622" xr:uid="{00000000-0005-0000-0000-00006E020000}"/>
    <cellStyle name="Percent105" xfId="623" xr:uid="{00000000-0005-0000-0000-00006F020000}"/>
    <cellStyle name="Percent106" xfId="624" xr:uid="{00000000-0005-0000-0000-000070020000}"/>
    <cellStyle name="Percent107" xfId="625" xr:uid="{00000000-0005-0000-0000-000071020000}"/>
    <cellStyle name="Percent108" xfId="626" xr:uid="{00000000-0005-0000-0000-000072020000}"/>
    <cellStyle name="Percent109" xfId="627" xr:uid="{00000000-0005-0000-0000-000073020000}"/>
    <cellStyle name="Percent11" xfId="628" xr:uid="{00000000-0005-0000-0000-000074020000}"/>
    <cellStyle name="Percent110" xfId="629" xr:uid="{00000000-0005-0000-0000-000075020000}"/>
    <cellStyle name="Percent111" xfId="630" xr:uid="{00000000-0005-0000-0000-000076020000}"/>
    <cellStyle name="Percent112" xfId="631" xr:uid="{00000000-0005-0000-0000-000077020000}"/>
    <cellStyle name="Percent113" xfId="632" xr:uid="{00000000-0005-0000-0000-000078020000}"/>
    <cellStyle name="Percent114" xfId="633" xr:uid="{00000000-0005-0000-0000-000079020000}"/>
    <cellStyle name="Percent115" xfId="634" xr:uid="{00000000-0005-0000-0000-00007A020000}"/>
    <cellStyle name="Percent116" xfId="635" xr:uid="{00000000-0005-0000-0000-00007B020000}"/>
    <cellStyle name="Percent117" xfId="636" xr:uid="{00000000-0005-0000-0000-00007C020000}"/>
    <cellStyle name="Percent118" xfId="637" xr:uid="{00000000-0005-0000-0000-00007D020000}"/>
    <cellStyle name="Percent119" xfId="638" xr:uid="{00000000-0005-0000-0000-00007E020000}"/>
    <cellStyle name="Percent12" xfId="639" xr:uid="{00000000-0005-0000-0000-00007F020000}"/>
    <cellStyle name="Percent120" xfId="640" xr:uid="{00000000-0005-0000-0000-000080020000}"/>
    <cellStyle name="Percent121" xfId="641" xr:uid="{00000000-0005-0000-0000-000081020000}"/>
    <cellStyle name="Percent122" xfId="642" xr:uid="{00000000-0005-0000-0000-000082020000}"/>
    <cellStyle name="Percent123" xfId="643" xr:uid="{00000000-0005-0000-0000-000083020000}"/>
    <cellStyle name="Percent124" xfId="644" xr:uid="{00000000-0005-0000-0000-000084020000}"/>
    <cellStyle name="Percent125" xfId="645" xr:uid="{00000000-0005-0000-0000-000085020000}"/>
    <cellStyle name="Percent126" xfId="646" xr:uid="{00000000-0005-0000-0000-000086020000}"/>
    <cellStyle name="Percent127" xfId="647" xr:uid="{00000000-0005-0000-0000-000087020000}"/>
    <cellStyle name="Percent128" xfId="648" xr:uid="{00000000-0005-0000-0000-000088020000}"/>
    <cellStyle name="Percent129" xfId="649" xr:uid="{00000000-0005-0000-0000-000089020000}"/>
    <cellStyle name="Percent13" xfId="650" xr:uid="{00000000-0005-0000-0000-00008A020000}"/>
    <cellStyle name="Percent130" xfId="651" xr:uid="{00000000-0005-0000-0000-00008B020000}"/>
    <cellStyle name="Percent131" xfId="652" xr:uid="{00000000-0005-0000-0000-00008C020000}"/>
    <cellStyle name="Percent132" xfId="653" xr:uid="{00000000-0005-0000-0000-00008D020000}"/>
    <cellStyle name="Percent133" xfId="654" xr:uid="{00000000-0005-0000-0000-00008E020000}"/>
    <cellStyle name="Percent134" xfId="655" xr:uid="{00000000-0005-0000-0000-00008F020000}"/>
    <cellStyle name="Percent135" xfId="656" xr:uid="{00000000-0005-0000-0000-000090020000}"/>
    <cellStyle name="Percent136" xfId="657" xr:uid="{00000000-0005-0000-0000-000091020000}"/>
    <cellStyle name="Percent137" xfId="658" xr:uid="{00000000-0005-0000-0000-000092020000}"/>
    <cellStyle name="Percent138" xfId="659" xr:uid="{00000000-0005-0000-0000-000093020000}"/>
    <cellStyle name="Percent139" xfId="660" xr:uid="{00000000-0005-0000-0000-000094020000}"/>
    <cellStyle name="Percent14" xfId="661" xr:uid="{00000000-0005-0000-0000-000095020000}"/>
    <cellStyle name="Percent140" xfId="662" xr:uid="{00000000-0005-0000-0000-000096020000}"/>
    <cellStyle name="Percent141" xfId="663" xr:uid="{00000000-0005-0000-0000-000097020000}"/>
    <cellStyle name="Percent142" xfId="664" xr:uid="{00000000-0005-0000-0000-000098020000}"/>
    <cellStyle name="Percent143" xfId="665" xr:uid="{00000000-0005-0000-0000-000099020000}"/>
    <cellStyle name="Percent144" xfId="666" xr:uid="{00000000-0005-0000-0000-00009A020000}"/>
    <cellStyle name="Percent145" xfId="667" xr:uid="{00000000-0005-0000-0000-00009B020000}"/>
    <cellStyle name="Percent146" xfId="668" xr:uid="{00000000-0005-0000-0000-00009C020000}"/>
    <cellStyle name="Percent147" xfId="669" xr:uid="{00000000-0005-0000-0000-00009D020000}"/>
    <cellStyle name="Percent148" xfId="670" xr:uid="{00000000-0005-0000-0000-00009E020000}"/>
    <cellStyle name="Percent149" xfId="671" xr:uid="{00000000-0005-0000-0000-00009F020000}"/>
    <cellStyle name="Percent15" xfId="672" xr:uid="{00000000-0005-0000-0000-0000A0020000}"/>
    <cellStyle name="Percent150" xfId="673" xr:uid="{00000000-0005-0000-0000-0000A1020000}"/>
    <cellStyle name="Percent151" xfId="674" xr:uid="{00000000-0005-0000-0000-0000A2020000}"/>
    <cellStyle name="Percent152" xfId="675" xr:uid="{00000000-0005-0000-0000-0000A3020000}"/>
    <cellStyle name="Percent153" xfId="676" xr:uid="{00000000-0005-0000-0000-0000A4020000}"/>
    <cellStyle name="Percent154" xfId="677" xr:uid="{00000000-0005-0000-0000-0000A5020000}"/>
    <cellStyle name="Percent155" xfId="678" xr:uid="{00000000-0005-0000-0000-0000A6020000}"/>
    <cellStyle name="Percent156" xfId="679" xr:uid="{00000000-0005-0000-0000-0000A7020000}"/>
    <cellStyle name="Percent157" xfId="680" xr:uid="{00000000-0005-0000-0000-0000A8020000}"/>
    <cellStyle name="Percent158" xfId="681" xr:uid="{00000000-0005-0000-0000-0000A9020000}"/>
    <cellStyle name="Percent159" xfId="682" xr:uid="{00000000-0005-0000-0000-0000AA020000}"/>
    <cellStyle name="Percent16" xfId="683" xr:uid="{00000000-0005-0000-0000-0000AB020000}"/>
    <cellStyle name="Percent160" xfId="684" xr:uid="{00000000-0005-0000-0000-0000AC020000}"/>
    <cellStyle name="Percent161" xfId="685" xr:uid="{00000000-0005-0000-0000-0000AD020000}"/>
    <cellStyle name="Percent162" xfId="686" xr:uid="{00000000-0005-0000-0000-0000AE020000}"/>
    <cellStyle name="Percent163" xfId="687" xr:uid="{00000000-0005-0000-0000-0000AF020000}"/>
    <cellStyle name="Percent164" xfId="688" xr:uid="{00000000-0005-0000-0000-0000B0020000}"/>
    <cellStyle name="Percent165" xfId="689" xr:uid="{00000000-0005-0000-0000-0000B1020000}"/>
    <cellStyle name="Percent166" xfId="690" xr:uid="{00000000-0005-0000-0000-0000B2020000}"/>
    <cellStyle name="Percent167" xfId="691" xr:uid="{00000000-0005-0000-0000-0000B3020000}"/>
    <cellStyle name="Percent168" xfId="692" xr:uid="{00000000-0005-0000-0000-0000B4020000}"/>
    <cellStyle name="Percent169" xfId="693" xr:uid="{00000000-0005-0000-0000-0000B5020000}"/>
    <cellStyle name="Percent17" xfId="694" xr:uid="{00000000-0005-0000-0000-0000B6020000}"/>
    <cellStyle name="Percent170" xfId="695" xr:uid="{00000000-0005-0000-0000-0000B7020000}"/>
    <cellStyle name="Percent171" xfId="696" xr:uid="{00000000-0005-0000-0000-0000B8020000}"/>
    <cellStyle name="Percent172" xfId="697" xr:uid="{00000000-0005-0000-0000-0000B9020000}"/>
    <cellStyle name="Percent173" xfId="698" xr:uid="{00000000-0005-0000-0000-0000BA020000}"/>
    <cellStyle name="Percent174" xfId="699" xr:uid="{00000000-0005-0000-0000-0000BB020000}"/>
    <cellStyle name="Percent175" xfId="700" xr:uid="{00000000-0005-0000-0000-0000BC020000}"/>
    <cellStyle name="Percent176" xfId="701" xr:uid="{00000000-0005-0000-0000-0000BD020000}"/>
    <cellStyle name="Percent177" xfId="702" xr:uid="{00000000-0005-0000-0000-0000BE020000}"/>
    <cellStyle name="Percent178" xfId="703" xr:uid="{00000000-0005-0000-0000-0000BF020000}"/>
    <cellStyle name="Percent179" xfId="704" xr:uid="{00000000-0005-0000-0000-0000C0020000}"/>
    <cellStyle name="Percent18" xfId="705" xr:uid="{00000000-0005-0000-0000-0000C1020000}"/>
    <cellStyle name="Percent180" xfId="706" xr:uid="{00000000-0005-0000-0000-0000C2020000}"/>
    <cellStyle name="Percent181" xfId="707" xr:uid="{00000000-0005-0000-0000-0000C3020000}"/>
    <cellStyle name="Percent182" xfId="708" xr:uid="{00000000-0005-0000-0000-0000C4020000}"/>
    <cellStyle name="Percent183" xfId="709" xr:uid="{00000000-0005-0000-0000-0000C5020000}"/>
    <cellStyle name="Percent184" xfId="710" xr:uid="{00000000-0005-0000-0000-0000C6020000}"/>
    <cellStyle name="Percent185" xfId="711" xr:uid="{00000000-0005-0000-0000-0000C7020000}"/>
    <cellStyle name="Percent186" xfId="712" xr:uid="{00000000-0005-0000-0000-0000C8020000}"/>
    <cellStyle name="Percent187" xfId="713" xr:uid="{00000000-0005-0000-0000-0000C9020000}"/>
    <cellStyle name="Percent188" xfId="714" xr:uid="{00000000-0005-0000-0000-0000CA020000}"/>
    <cellStyle name="Percent189" xfId="715" xr:uid="{00000000-0005-0000-0000-0000CB020000}"/>
    <cellStyle name="Percent19" xfId="716" xr:uid="{00000000-0005-0000-0000-0000CC020000}"/>
    <cellStyle name="Percent190" xfId="717" xr:uid="{00000000-0005-0000-0000-0000CD020000}"/>
    <cellStyle name="Percent191" xfId="718" xr:uid="{00000000-0005-0000-0000-0000CE020000}"/>
    <cellStyle name="Percent192" xfId="719" xr:uid="{00000000-0005-0000-0000-0000CF020000}"/>
    <cellStyle name="Percent193" xfId="720" xr:uid="{00000000-0005-0000-0000-0000D0020000}"/>
    <cellStyle name="Percent194" xfId="721" xr:uid="{00000000-0005-0000-0000-0000D1020000}"/>
    <cellStyle name="Percent195" xfId="722" xr:uid="{00000000-0005-0000-0000-0000D2020000}"/>
    <cellStyle name="Percent196" xfId="723" xr:uid="{00000000-0005-0000-0000-0000D3020000}"/>
    <cellStyle name="Percent197" xfId="724" xr:uid="{00000000-0005-0000-0000-0000D4020000}"/>
    <cellStyle name="Percent198" xfId="725" xr:uid="{00000000-0005-0000-0000-0000D5020000}"/>
    <cellStyle name="Percent199" xfId="726" xr:uid="{00000000-0005-0000-0000-0000D6020000}"/>
    <cellStyle name="Percent1Bold" xfId="727" xr:uid="{00000000-0005-0000-0000-0000D7020000}"/>
    <cellStyle name="Percent2" xfId="728" xr:uid="{00000000-0005-0000-0000-0000D8020000}"/>
    <cellStyle name="Percent20" xfId="729" xr:uid="{00000000-0005-0000-0000-0000D9020000}"/>
    <cellStyle name="Percent200" xfId="730" xr:uid="{00000000-0005-0000-0000-0000DA020000}"/>
    <cellStyle name="Percent201" xfId="731" xr:uid="{00000000-0005-0000-0000-0000DB020000}"/>
    <cellStyle name="Percent202" xfId="732" xr:uid="{00000000-0005-0000-0000-0000DC020000}"/>
    <cellStyle name="Percent203" xfId="733" xr:uid="{00000000-0005-0000-0000-0000DD020000}"/>
    <cellStyle name="Percent204" xfId="734" xr:uid="{00000000-0005-0000-0000-0000DE020000}"/>
    <cellStyle name="Percent205" xfId="735" xr:uid="{00000000-0005-0000-0000-0000DF020000}"/>
    <cellStyle name="Percent206" xfId="736" xr:uid="{00000000-0005-0000-0000-0000E0020000}"/>
    <cellStyle name="Percent207" xfId="737" xr:uid="{00000000-0005-0000-0000-0000E1020000}"/>
    <cellStyle name="Percent208" xfId="738" xr:uid="{00000000-0005-0000-0000-0000E2020000}"/>
    <cellStyle name="Percent209" xfId="739" xr:uid="{00000000-0005-0000-0000-0000E3020000}"/>
    <cellStyle name="Percent21" xfId="740" xr:uid="{00000000-0005-0000-0000-0000E4020000}"/>
    <cellStyle name="Percent210" xfId="741" xr:uid="{00000000-0005-0000-0000-0000E5020000}"/>
    <cellStyle name="Percent211" xfId="742" xr:uid="{00000000-0005-0000-0000-0000E6020000}"/>
    <cellStyle name="Percent212" xfId="743" xr:uid="{00000000-0005-0000-0000-0000E7020000}"/>
    <cellStyle name="Percent213" xfId="744" xr:uid="{00000000-0005-0000-0000-0000E8020000}"/>
    <cellStyle name="Percent214" xfId="745" xr:uid="{00000000-0005-0000-0000-0000E9020000}"/>
    <cellStyle name="Percent215" xfId="746" xr:uid="{00000000-0005-0000-0000-0000EA020000}"/>
    <cellStyle name="Percent216" xfId="747" xr:uid="{00000000-0005-0000-0000-0000EB020000}"/>
    <cellStyle name="Percent217" xfId="748" xr:uid="{00000000-0005-0000-0000-0000EC020000}"/>
    <cellStyle name="Percent218" xfId="749" xr:uid="{00000000-0005-0000-0000-0000ED020000}"/>
    <cellStyle name="Percent219" xfId="750" xr:uid="{00000000-0005-0000-0000-0000EE020000}"/>
    <cellStyle name="Percent22" xfId="751" xr:uid="{00000000-0005-0000-0000-0000EF020000}"/>
    <cellStyle name="Percent220" xfId="752" xr:uid="{00000000-0005-0000-0000-0000F0020000}"/>
    <cellStyle name="Percent221" xfId="753" xr:uid="{00000000-0005-0000-0000-0000F1020000}"/>
    <cellStyle name="Percent222" xfId="754" xr:uid="{00000000-0005-0000-0000-0000F2020000}"/>
    <cellStyle name="Percent223" xfId="755" xr:uid="{00000000-0005-0000-0000-0000F3020000}"/>
    <cellStyle name="Percent224" xfId="756" xr:uid="{00000000-0005-0000-0000-0000F4020000}"/>
    <cellStyle name="Percent225" xfId="757" xr:uid="{00000000-0005-0000-0000-0000F5020000}"/>
    <cellStyle name="Percent226" xfId="758" xr:uid="{00000000-0005-0000-0000-0000F6020000}"/>
    <cellStyle name="Percent227" xfId="759" xr:uid="{00000000-0005-0000-0000-0000F7020000}"/>
    <cellStyle name="Percent228" xfId="760" xr:uid="{00000000-0005-0000-0000-0000F8020000}"/>
    <cellStyle name="Percent229" xfId="761" xr:uid="{00000000-0005-0000-0000-0000F9020000}"/>
    <cellStyle name="Percent23" xfId="762" xr:uid="{00000000-0005-0000-0000-0000FA020000}"/>
    <cellStyle name="Percent230" xfId="763" xr:uid="{00000000-0005-0000-0000-0000FB020000}"/>
    <cellStyle name="Percent231" xfId="764" xr:uid="{00000000-0005-0000-0000-0000FC020000}"/>
    <cellStyle name="Percent232" xfId="765" xr:uid="{00000000-0005-0000-0000-0000FD020000}"/>
    <cellStyle name="Percent233" xfId="766" xr:uid="{00000000-0005-0000-0000-0000FE020000}"/>
    <cellStyle name="Percent234" xfId="767" xr:uid="{00000000-0005-0000-0000-0000FF020000}"/>
    <cellStyle name="Percent235" xfId="768" xr:uid="{00000000-0005-0000-0000-000000030000}"/>
    <cellStyle name="Percent236" xfId="769" xr:uid="{00000000-0005-0000-0000-000001030000}"/>
    <cellStyle name="Percent24" xfId="770" xr:uid="{00000000-0005-0000-0000-000002030000}"/>
    <cellStyle name="Percent25" xfId="771" xr:uid="{00000000-0005-0000-0000-000003030000}"/>
    <cellStyle name="Percent26" xfId="772" xr:uid="{00000000-0005-0000-0000-000004030000}"/>
    <cellStyle name="Percent27" xfId="773" xr:uid="{00000000-0005-0000-0000-000005030000}"/>
    <cellStyle name="Percent28" xfId="774" xr:uid="{00000000-0005-0000-0000-000006030000}"/>
    <cellStyle name="Percent29" xfId="775" xr:uid="{00000000-0005-0000-0000-000007030000}"/>
    <cellStyle name="Percent3" xfId="776" xr:uid="{00000000-0005-0000-0000-000008030000}"/>
    <cellStyle name="Percent30" xfId="777" xr:uid="{00000000-0005-0000-0000-000009030000}"/>
    <cellStyle name="Percent31" xfId="778" xr:uid="{00000000-0005-0000-0000-00000A030000}"/>
    <cellStyle name="Percent32" xfId="779" xr:uid="{00000000-0005-0000-0000-00000B030000}"/>
    <cellStyle name="Percent33" xfId="780" xr:uid="{00000000-0005-0000-0000-00000C030000}"/>
    <cellStyle name="Percent34" xfId="781" xr:uid="{00000000-0005-0000-0000-00000D030000}"/>
    <cellStyle name="Percent35" xfId="782" xr:uid="{00000000-0005-0000-0000-00000E030000}"/>
    <cellStyle name="Percent36" xfId="783" xr:uid="{00000000-0005-0000-0000-00000F030000}"/>
    <cellStyle name="Percent37" xfId="784" xr:uid="{00000000-0005-0000-0000-000010030000}"/>
    <cellStyle name="Percent38" xfId="785" xr:uid="{00000000-0005-0000-0000-000011030000}"/>
    <cellStyle name="Percent39" xfId="786" xr:uid="{00000000-0005-0000-0000-000012030000}"/>
    <cellStyle name="Percent4" xfId="787" xr:uid="{00000000-0005-0000-0000-000013030000}"/>
    <cellStyle name="Percent40" xfId="788" xr:uid="{00000000-0005-0000-0000-000014030000}"/>
    <cellStyle name="Percent41" xfId="789" xr:uid="{00000000-0005-0000-0000-000015030000}"/>
    <cellStyle name="Percent42" xfId="790" xr:uid="{00000000-0005-0000-0000-000016030000}"/>
    <cellStyle name="Percent43" xfId="791" xr:uid="{00000000-0005-0000-0000-000017030000}"/>
    <cellStyle name="Percent44" xfId="792" xr:uid="{00000000-0005-0000-0000-000018030000}"/>
    <cellStyle name="Percent45" xfId="793" xr:uid="{00000000-0005-0000-0000-000019030000}"/>
    <cellStyle name="Percent46" xfId="794" xr:uid="{00000000-0005-0000-0000-00001A030000}"/>
    <cellStyle name="Percent47" xfId="795" xr:uid="{00000000-0005-0000-0000-00001B030000}"/>
    <cellStyle name="Percent48" xfId="796" xr:uid="{00000000-0005-0000-0000-00001C030000}"/>
    <cellStyle name="Percent49" xfId="797" xr:uid="{00000000-0005-0000-0000-00001D030000}"/>
    <cellStyle name="Percent5" xfId="798" xr:uid="{00000000-0005-0000-0000-00001E030000}"/>
    <cellStyle name="Percent50" xfId="799" xr:uid="{00000000-0005-0000-0000-00001F030000}"/>
    <cellStyle name="Percent51" xfId="800" xr:uid="{00000000-0005-0000-0000-000020030000}"/>
    <cellStyle name="Percent52" xfId="801" xr:uid="{00000000-0005-0000-0000-000021030000}"/>
    <cellStyle name="Percent53" xfId="802" xr:uid="{00000000-0005-0000-0000-000022030000}"/>
    <cellStyle name="Percent54" xfId="803" xr:uid="{00000000-0005-0000-0000-000023030000}"/>
    <cellStyle name="Percent55" xfId="804" xr:uid="{00000000-0005-0000-0000-000024030000}"/>
    <cellStyle name="Percent56" xfId="805" xr:uid="{00000000-0005-0000-0000-000025030000}"/>
    <cellStyle name="Percent57" xfId="806" xr:uid="{00000000-0005-0000-0000-000026030000}"/>
    <cellStyle name="Percent58" xfId="807" xr:uid="{00000000-0005-0000-0000-000027030000}"/>
    <cellStyle name="Percent59" xfId="808" xr:uid="{00000000-0005-0000-0000-000028030000}"/>
    <cellStyle name="Percent6" xfId="809" xr:uid="{00000000-0005-0000-0000-000029030000}"/>
    <cellStyle name="Percent60" xfId="810" xr:uid="{00000000-0005-0000-0000-00002A030000}"/>
    <cellStyle name="Percent61" xfId="811" xr:uid="{00000000-0005-0000-0000-00002B030000}"/>
    <cellStyle name="Percent62" xfId="812" xr:uid="{00000000-0005-0000-0000-00002C030000}"/>
    <cellStyle name="Percent63" xfId="813" xr:uid="{00000000-0005-0000-0000-00002D030000}"/>
    <cellStyle name="Percent64" xfId="814" xr:uid="{00000000-0005-0000-0000-00002E030000}"/>
    <cellStyle name="Percent65" xfId="815" xr:uid="{00000000-0005-0000-0000-00002F030000}"/>
    <cellStyle name="Percent66" xfId="816" xr:uid="{00000000-0005-0000-0000-000030030000}"/>
    <cellStyle name="Percent67" xfId="817" xr:uid="{00000000-0005-0000-0000-000031030000}"/>
    <cellStyle name="Percent68" xfId="818" xr:uid="{00000000-0005-0000-0000-000032030000}"/>
    <cellStyle name="Percent69" xfId="819" xr:uid="{00000000-0005-0000-0000-000033030000}"/>
    <cellStyle name="Percent7" xfId="820" xr:uid="{00000000-0005-0000-0000-000034030000}"/>
    <cellStyle name="Percent70" xfId="821" xr:uid="{00000000-0005-0000-0000-000035030000}"/>
    <cellStyle name="Percent71" xfId="822" xr:uid="{00000000-0005-0000-0000-000036030000}"/>
    <cellStyle name="Percent72" xfId="823" xr:uid="{00000000-0005-0000-0000-000037030000}"/>
    <cellStyle name="Percent73" xfId="824" xr:uid="{00000000-0005-0000-0000-000038030000}"/>
    <cellStyle name="Percent74" xfId="825" xr:uid="{00000000-0005-0000-0000-000039030000}"/>
    <cellStyle name="Percent75" xfId="826" xr:uid="{00000000-0005-0000-0000-00003A030000}"/>
    <cellStyle name="Percent76" xfId="827" xr:uid="{00000000-0005-0000-0000-00003B030000}"/>
    <cellStyle name="Percent77" xfId="828" xr:uid="{00000000-0005-0000-0000-00003C030000}"/>
    <cellStyle name="Percent78" xfId="829" xr:uid="{00000000-0005-0000-0000-00003D030000}"/>
    <cellStyle name="Percent79" xfId="830" xr:uid="{00000000-0005-0000-0000-00003E030000}"/>
    <cellStyle name="Percent8" xfId="831" xr:uid="{00000000-0005-0000-0000-00003F030000}"/>
    <cellStyle name="Percent80" xfId="832" xr:uid="{00000000-0005-0000-0000-000040030000}"/>
    <cellStyle name="Percent81" xfId="833" xr:uid="{00000000-0005-0000-0000-000041030000}"/>
    <cellStyle name="Percent82" xfId="834" xr:uid="{00000000-0005-0000-0000-000042030000}"/>
    <cellStyle name="Percent83" xfId="835" xr:uid="{00000000-0005-0000-0000-000043030000}"/>
    <cellStyle name="Percent84" xfId="836" xr:uid="{00000000-0005-0000-0000-000044030000}"/>
    <cellStyle name="Percent85" xfId="837" xr:uid="{00000000-0005-0000-0000-000045030000}"/>
    <cellStyle name="Percent86" xfId="838" xr:uid="{00000000-0005-0000-0000-000046030000}"/>
    <cellStyle name="Percent87" xfId="839" xr:uid="{00000000-0005-0000-0000-000047030000}"/>
    <cellStyle name="Percent88" xfId="840" xr:uid="{00000000-0005-0000-0000-000048030000}"/>
    <cellStyle name="Percent89" xfId="841" xr:uid="{00000000-0005-0000-0000-000049030000}"/>
    <cellStyle name="Percent9" xfId="842" xr:uid="{00000000-0005-0000-0000-00004A030000}"/>
    <cellStyle name="Percent90" xfId="843" xr:uid="{00000000-0005-0000-0000-00004B030000}"/>
    <cellStyle name="Percent91" xfId="844" xr:uid="{00000000-0005-0000-0000-00004C030000}"/>
    <cellStyle name="Percent92" xfId="845" xr:uid="{00000000-0005-0000-0000-00004D030000}"/>
    <cellStyle name="Percent93" xfId="846" xr:uid="{00000000-0005-0000-0000-00004E030000}"/>
    <cellStyle name="Percent94" xfId="847" xr:uid="{00000000-0005-0000-0000-00004F030000}"/>
    <cellStyle name="Percent95" xfId="848" xr:uid="{00000000-0005-0000-0000-000050030000}"/>
    <cellStyle name="Percent96" xfId="849" xr:uid="{00000000-0005-0000-0000-000051030000}"/>
    <cellStyle name="Percent97" xfId="850" xr:uid="{00000000-0005-0000-0000-000052030000}"/>
    <cellStyle name="Percent98" xfId="851" xr:uid="{00000000-0005-0000-0000-000053030000}"/>
    <cellStyle name="Percent99" xfId="852" xr:uid="{00000000-0005-0000-0000-000054030000}"/>
    <cellStyle name="Percentage" xfId="853" xr:uid="{00000000-0005-0000-0000-000055030000}"/>
    <cellStyle name="PercentStyle" xfId="854" xr:uid="{00000000-0005-0000-0000-000056030000}"/>
    <cellStyle name="PrePop Currency (0)" xfId="855" xr:uid="{00000000-0005-0000-0000-000057030000}"/>
    <cellStyle name="PrePop Currency (2)" xfId="856" xr:uid="{00000000-0005-0000-0000-000058030000}"/>
    <cellStyle name="PrePop Units (0)" xfId="857" xr:uid="{00000000-0005-0000-0000-000059030000}"/>
    <cellStyle name="PrePop Units (1)" xfId="858" xr:uid="{00000000-0005-0000-0000-00005A030000}"/>
    <cellStyle name="PrePop Units (2)" xfId="859" xr:uid="{00000000-0005-0000-0000-00005B030000}"/>
    <cellStyle name="Price" xfId="860" xr:uid="{00000000-0005-0000-0000-00005C030000}"/>
    <cellStyle name="Product Header" xfId="861" xr:uid="{00000000-0005-0000-0000-00005D030000}"/>
    <cellStyle name="PSChar" xfId="862" xr:uid="{00000000-0005-0000-0000-00005E030000}"/>
    <cellStyle name="PSDate" xfId="863" xr:uid="{00000000-0005-0000-0000-00005F030000}"/>
    <cellStyle name="PSDec" xfId="864" xr:uid="{00000000-0005-0000-0000-000060030000}"/>
    <cellStyle name="PSHeading" xfId="865" xr:uid="{00000000-0005-0000-0000-000061030000}"/>
    <cellStyle name="PSInt" xfId="866" xr:uid="{00000000-0005-0000-0000-000062030000}"/>
    <cellStyle name="PSSpacer" xfId="867" xr:uid="{00000000-0005-0000-0000-000063030000}"/>
    <cellStyle name="r" xfId="868" xr:uid="{00000000-0005-0000-0000-000064030000}"/>
    <cellStyle name="r_F&amp;W Servicing Model" xfId="869" xr:uid="{00000000-0005-0000-0000-000065030000}"/>
    <cellStyle name="r_F&amp;W Servicing Model v2" xfId="870" xr:uid="{00000000-0005-0000-0000-000066030000}"/>
    <cellStyle name="r_Yell Servicing Model" xfId="871" xr:uid="{00000000-0005-0000-0000-000067030000}"/>
    <cellStyle name="rate" xfId="872" xr:uid="{00000000-0005-0000-0000-000068030000}"/>
    <cellStyle name="Ratio" xfId="873" xr:uid="{00000000-0005-0000-0000-000069030000}"/>
    <cellStyle name="Ratio Comma" xfId="874" xr:uid="{00000000-0005-0000-0000-00006A030000}"/>
    <cellStyle name="Ratio_Private" xfId="875" xr:uid="{00000000-0005-0000-0000-00006B030000}"/>
    <cellStyle name="regstoresfromspecstores" xfId="876" xr:uid="{00000000-0005-0000-0000-00006C030000}"/>
    <cellStyle name="RevList" xfId="877" xr:uid="{00000000-0005-0000-0000-00006D030000}"/>
    <cellStyle name="Right" xfId="878" xr:uid="{00000000-0005-0000-0000-00006E030000}"/>
    <cellStyle name="RightBold" xfId="879" xr:uid="{00000000-0005-0000-0000-00006F030000}"/>
    <cellStyle name="RightBoldBottomRule" xfId="880" xr:uid="{00000000-0005-0000-0000-000070030000}"/>
    <cellStyle name="RightBoldCenterRule" xfId="881" xr:uid="{00000000-0005-0000-0000-000071030000}"/>
    <cellStyle name="Section" xfId="882" xr:uid="{00000000-0005-0000-0000-000072030000}"/>
    <cellStyle name="SectionHeaderNormal" xfId="883" xr:uid="{00000000-0005-0000-0000-000073030000}"/>
    <cellStyle name="SHADEDSTORES" xfId="884" xr:uid="{00000000-0005-0000-0000-000074030000}"/>
    <cellStyle name="Short $" xfId="885" xr:uid="{00000000-0005-0000-0000-000075030000}"/>
    <cellStyle name="ShOut" xfId="886" xr:uid="{00000000-0005-0000-0000-000076030000}"/>
    <cellStyle name="Simple" xfId="887" xr:uid="{00000000-0005-0000-0000-000077030000}"/>
    <cellStyle name="SimpleBold" xfId="888" xr:uid="{00000000-0005-0000-0000-000078030000}"/>
    <cellStyle name="Single Accounting" xfId="889" xr:uid="{00000000-0005-0000-0000-000079030000}"/>
    <cellStyle name="specstores" xfId="890" xr:uid="{00000000-0005-0000-0000-00007A030000}"/>
    <cellStyle name="Stock Comma" xfId="891" xr:uid="{00000000-0005-0000-0000-00007B030000}"/>
    <cellStyle name="Stock Price" xfId="892" xr:uid="{00000000-0005-0000-0000-00007C030000}"/>
    <cellStyle name="Style 1" xfId="893" xr:uid="{00000000-0005-0000-0000-00007D030000}"/>
    <cellStyle name="Style 21" xfId="894" xr:uid="{00000000-0005-0000-0000-00007E030000}"/>
    <cellStyle name="Style 22" xfId="895" xr:uid="{00000000-0005-0000-0000-00007F030000}"/>
    <cellStyle name="Style 23" xfId="896" xr:uid="{00000000-0005-0000-0000-000080030000}"/>
    <cellStyle name="Style 24" xfId="897" xr:uid="{00000000-0005-0000-0000-000081030000}"/>
    <cellStyle name="Style 25" xfId="898" xr:uid="{00000000-0005-0000-0000-000082030000}"/>
    <cellStyle name="Style 26" xfId="899" xr:uid="{00000000-0005-0000-0000-000083030000}"/>
    <cellStyle name="Style 27" xfId="900" xr:uid="{00000000-0005-0000-0000-000084030000}"/>
    <cellStyle name="Style 28" xfId="901" xr:uid="{00000000-0005-0000-0000-000085030000}"/>
    <cellStyle name="Style 29" xfId="902" xr:uid="{00000000-0005-0000-0000-000086030000}"/>
    <cellStyle name="Style 30" xfId="903" xr:uid="{00000000-0005-0000-0000-000087030000}"/>
    <cellStyle name="Style 31" xfId="904" xr:uid="{00000000-0005-0000-0000-000088030000}"/>
    <cellStyle name="Style 32" xfId="905" xr:uid="{00000000-0005-0000-0000-000089030000}"/>
    <cellStyle name="Style 33" xfId="906" xr:uid="{00000000-0005-0000-0000-00008A030000}"/>
    <cellStyle name="Style 34" xfId="907" xr:uid="{00000000-0005-0000-0000-00008B030000}"/>
    <cellStyle name="Style 35" xfId="908" xr:uid="{00000000-0005-0000-0000-00008C030000}"/>
    <cellStyle name="Style 36" xfId="909" xr:uid="{00000000-0005-0000-0000-00008D030000}"/>
    <cellStyle name="Style 37" xfId="910" xr:uid="{00000000-0005-0000-0000-00008E030000}"/>
    <cellStyle name="Style 38" xfId="911" xr:uid="{00000000-0005-0000-0000-00008F030000}"/>
    <cellStyle name="Style 39" xfId="912" xr:uid="{00000000-0005-0000-0000-000090030000}"/>
    <cellStyle name="Style 40" xfId="913" xr:uid="{00000000-0005-0000-0000-000091030000}"/>
    <cellStyle name="Style 41" xfId="914" xr:uid="{00000000-0005-0000-0000-000092030000}"/>
    <cellStyle name="Style 42" xfId="915" xr:uid="{00000000-0005-0000-0000-000093030000}"/>
    <cellStyle name="Style 43" xfId="916" xr:uid="{00000000-0005-0000-0000-000094030000}"/>
    <cellStyle name="Style 44" xfId="917" xr:uid="{00000000-0005-0000-0000-000095030000}"/>
    <cellStyle name="Style 45" xfId="918" xr:uid="{00000000-0005-0000-0000-000096030000}"/>
    <cellStyle name="Style 46" xfId="919" xr:uid="{00000000-0005-0000-0000-000097030000}"/>
    <cellStyle name="Style 47" xfId="920" xr:uid="{00000000-0005-0000-0000-000098030000}"/>
    <cellStyle name="Style 48" xfId="921" xr:uid="{00000000-0005-0000-0000-000099030000}"/>
    <cellStyle name="STYLE1" xfId="922" xr:uid="{00000000-0005-0000-0000-00009A030000}"/>
    <cellStyle name="SubScript" xfId="923" xr:uid="{00000000-0005-0000-0000-00009B030000}"/>
    <cellStyle name="Subtotal" xfId="924" xr:uid="{00000000-0005-0000-0000-00009C030000}"/>
    <cellStyle name="Sum" xfId="925" xr:uid="{00000000-0005-0000-0000-00009D030000}"/>
    <cellStyle name="SuperScript" xfId="926" xr:uid="{00000000-0005-0000-0000-00009E030000}"/>
    <cellStyle name="Table_Title" xfId="927" xr:uid="{00000000-0005-0000-0000-00009F030000}"/>
    <cellStyle name="Test" xfId="928" xr:uid="{00000000-0005-0000-0000-0000A0030000}"/>
    <cellStyle name="Text Indent A" xfId="929" xr:uid="{00000000-0005-0000-0000-0000A1030000}"/>
    <cellStyle name="Text Indent B" xfId="930" xr:uid="{00000000-0005-0000-0000-0000A2030000}"/>
    <cellStyle name="Text Indent C" xfId="931" xr:uid="{00000000-0005-0000-0000-0000A3030000}"/>
    <cellStyle name="TextBold" xfId="932" xr:uid="{00000000-0005-0000-0000-0000A4030000}"/>
    <cellStyle name="TextItalic" xfId="933" xr:uid="{00000000-0005-0000-0000-0000A5030000}"/>
    <cellStyle name="TextNormal" xfId="934" xr:uid="{00000000-0005-0000-0000-0000A6030000}"/>
    <cellStyle name="Time" xfId="935" xr:uid="{00000000-0005-0000-0000-0000A7030000}"/>
    <cellStyle name="Times 10" xfId="936" xr:uid="{00000000-0005-0000-0000-0000A8030000}"/>
    <cellStyle name="Times 12" xfId="937" xr:uid="{00000000-0005-0000-0000-0000A9030000}"/>
    <cellStyle name="Title - PROJECT" xfId="938" xr:uid="{00000000-0005-0000-0000-0000AA030000}"/>
    <cellStyle name="Title - Underline" xfId="939" xr:uid="{00000000-0005-0000-0000-0000AB030000}"/>
    <cellStyle name="Title1" xfId="940" xr:uid="{00000000-0005-0000-0000-0000AC030000}"/>
    <cellStyle name="Title2" xfId="941" xr:uid="{00000000-0005-0000-0000-0000AD030000}"/>
    <cellStyle name="TitleNormal" xfId="942" xr:uid="{00000000-0005-0000-0000-0000AE030000}"/>
    <cellStyle name="Titles - Col. Headings" xfId="943" xr:uid="{00000000-0005-0000-0000-0000AF030000}"/>
    <cellStyle name="Titles - Other" xfId="944" xr:uid="{00000000-0005-0000-0000-0000B0030000}"/>
    <cellStyle name="Top Edge" xfId="945" xr:uid="{00000000-0005-0000-0000-0000B1030000}"/>
    <cellStyle name="Total" xfId="946" builtinId="25" customBuiltin="1"/>
    <cellStyle name="ubordinated Debt" xfId="947" xr:uid="{00000000-0005-0000-0000-0000B3030000}"/>
    <cellStyle name="wheat merger's and acquisitions" xfId="948" xr:uid="{00000000-0005-0000-0000-0000B4030000}"/>
    <cellStyle name="x" xfId="949" xr:uid="{00000000-0005-0000-0000-0000B5030000}"/>
    <cellStyle name="x_TSA Model - 1 8 06 - v2" xfId="950" xr:uid="{00000000-0005-0000-0000-0000B6030000}"/>
    <cellStyle name="Y2K Compliant Date Fmt" xfId="951" xr:uid="{00000000-0005-0000-0000-0000B7030000}"/>
    <cellStyle name="Years" xfId="952" xr:uid="{00000000-0005-0000-0000-0000B8030000}"/>
    <cellStyle name="yellow" xfId="953" xr:uid="{00000000-0005-0000-0000-0000B9030000}"/>
    <cellStyle name="Yen" xfId="954" xr:uid="{00000000-0005-0000-0000-0000BA030000}"/>
    <cellStyle name="YYYY" xfId="955" xr:uid="{00000000-0005-0000-0000-0000BB030000}"/>
    <cellStyle name="桁区切り [0.00]_Appendix" xfId="956" xr:uid="{00000000-0005-0000-0000-0000BC030000}"/>
    <cellStyle name="桁区切り_Appendix" xfId="957" xr:uid="{00000000-0005-0000-0000-0000BD030000}"/>
    <cellStyle name="標準_Appendix" xfId="958" xr:uid="{00000000-0005-0000-0000-0000BE030000}"/>
    <cellStyle name="通貨 [0.00]_Appendix" xfId="959" xr:uid="{00000000-0005-0000-0000-0000BF030000}"/>
    <cellStyle name="通貨_Appendix" xfId="960" xr:uid="{00000000-0005-0000-0000-0000C003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27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9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externalLink" Target="externalLinks/externalLink28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Relationship Id="rId46" Type="http://schemas.openxmlformats.org/officeDocument/2006/relationships/customXml" Target="../customXml/item1.xml"/><Relationship Id="rId20" Type="http://schemas.openxmlformats.org/officeDocument/2006/relationships/externalLink" Target="externalLinks/externalLink8.xml"/><Relationship Id="rId41" Type="http://schemas.openxmlformats.org/officeDocument/2006/relationships/externalLink" Target="externalLinks/externalLink2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196850</xdr:colOff>
      <xdr:row>10</xdr:row>
      <xdr:rowOff>139700</xdr:rowOff>
    </xdr:from>
    <xdr:ext cx="5836736" cy="15887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3977DC7-8AB6-4E6B-A5A7-6C837BEBA7D7}"/>
            </a:ext>
          </a:extLst>
        </xdr:cNvPr>
        <xdr:cNvSpPr txBox="1"/>
      </xdr:nvSpPr>
      <xdr:spPr>
        <a:xfrm>
          <a:off x="4051674" y="1708524"/>
          <a:ext cx="5741572" cy="15951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600"/>
            <a:t>Break</a:t>
          </a:r>
          <a:r>
            <a:rPr lang="en-US" sz="9600" baseline="0"/>
            <a:t> Page</a:t>
          </a:r>
          <a:endParaRPr lang="en-US" sz="96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Documents%20and%20Settings\GBlank\Local%20Settings\Temporary%20Internet%20Files\OLK39\TSA%20Model%20-%201%208%2006%20-%20v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Office\Media\COMPS%20-%20B2B%20Publisher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My%20Documents\TPG\LBO\Bally\BFT%20Forecas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ETG%20Templ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\APPROVAL%20MEMOS\Endurance%20Media\BLT%20Work\EBM%20Quarterly%20Mode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%20Info%2022%20(Adam%20Silver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sentationChartDat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WCMP%20II\PORTFOLIO%20COMPANIES\Jobson%20Medical%20Information\Bank%20Correspondence\JMI%20Model%20(Wx%20Model%20-%20BMO%20Adjusted%205-18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CMP%20II\INACTIVE%20DEALS\Facts%20on%20File\Transaction%20Models\FOF%20Model%20v3%20(Asset%20Purchase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turns@@@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eals%20-%20In%20Process\TruCom\BridgeCom%20Budget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-fil01\data\Wicks\Wicks%20Model\JMI%20Model%20(Wx%20Model%20-%20BMO%20Adjusted%205-18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eals%20-%20In%20Process\Crescent%20Publishing%20Company,%20LLC\R0%20-%20Aug%202,%202001\CrescentPublishing%20Model%208-01%20R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Credit%20Derivatives%20Group\Emerging\CBO\MFS\Jersey%20Street%20CLO\Warehouse\Warehouse%20Report\versions\August\Jersey%20Street%20CLO%208.7.06%20Committe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wicksgroup.com/PORTFOLIO%20COMPANIES/Bressler%20Outdoor/Financial%20Models/SubDebt%20Model%20-%20IRR%20-$30MM%20Equity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7b7k01_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TEMP\Consolidated%2012-4-0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tc-neptune\accounting\Invoices\Invoice%2099\z.December%201999\DEC99Invoice%20Summary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%20Research\_RAs\Takacs_G\PORTFOLIO%20-%20Takac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Spring%202002\Modeling\Problem%204%20worksheet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ocuments%20and%20Settings\smarimow\My%20Documents\Companies\Univision\Model\Bank%20Model%20-%20Financing\Bank%20Model_2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NT14\USERS$\mm93223\My%20Documents\Templates\Servicing%20Template%20-%20MAB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ocuments%20and%20Settings\EMcKee\Local%20Settings\Temporary%20Internet%20Files\OLK12\65%20UVN%207-Year%20Model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windows\TEMP\financial%20forecast%207.27.98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Beckett\Deals%20in%20process\UniFocus%20R6\Unifocus%20Model%204-02%20R6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ocuments%20and%20Settings\CRothbard\Local%20Settings\Temporary%20Internet%20Files\OLK146\JMI_WMI%20Financing%20Model%20(02-09-06)_vTD4%2006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ocuments%20and%20Settings\jorr\Local%20Settings\Temporary%20Internet%20Files\OLK27\MC-DW-JOB%20Merger%20Model%20for%20Syndicate%20-%203.31.05%20rjf%205.03.0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WCMP%20II\PORTFOLIO%20COMPANIES\Jobson%20Medical%20Information\Corporate%20Development\JMI_WMI%20Combination\2005.11\Oct%202005\MEDCON%20Projection%20Model%20September%202005%20(09-13-05)%20v2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PathMissing" Target="dcf.sh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Returns Summary"/>
      <sheetName val="Case Logic"/>
      <sheetName val="Option Summary"/>
      <sheetName val="TRANSACTION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 Page"/>
      <sheetName val="Deal Multiples"/>
      <sheetName val="Asset Coverage"/>
      <sheetName val="Status"/>
      <sheetName val="Output"/>
      <sheetName val="Graphs"/>
      <sheetName val="Inputs"/>
      <sheetName val="WARF"/>
      <sheetName val="Comps"/>
      <sheetName val="Magazines"/>
      <sheetName val="2"/>
      <sheetName val="4"/>
      <sheetName val="5"/>
      <sheetName val="6"/>
      <sheetName val="7"/>
      <sheetName val="8"/>
      <sheetName val="10"/>
      <sheetName val="11"/>
      <sheetName val="12"/>
      <sheetName val="14"/>
      <sheetName val="16"/>
      <sheetName val="1"/>
      <sheetName val="3"/>
      <sheetName val="9"/>
      <sheetName val="13"/>
      <sheetName val="15"/>
      <sheetName val="ARP"/>
      <sheetName val="CNG"/>
      <sheetName val="F&amp;W"/>
      <sheetName val="HNW"/>
      <sheetName val="IMO"/>
      <sheetName val="JMI"/>
      <sheetName val="MMH"/>
      <sheetName val="PRM"/>
      <sheetName val="RDA"/>
      <sheetName val="SRCE"/>
      <sheetName val="SPRG"/>
      <sheetName val="WNM"/>
      <sheetName val="RVDP"/>
      <sheetName val="SMTB"/>
      <sheetName val="TMN"/>
      <sheetName val="Portfolio"/>
      <sheetName val="LBO Summary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ttrition"/>
      <sheetName val="Sheet1"/>
      <sheetName val="IncStmt"/>
      <sheetName val="CashFlow"/>
      <sheetName val="BalSht"/>
      <sheetName val="Allowance"/>
      <sheetName val="CashEBITDA"/>
      <sheetName val="FxdChg"/>
      <sheetName val="Ratio"/>
      <sheetName val="Module1"/>
      <sheetName val="LBO Summary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anning Assumptions"/>
      <sheetName val="Tanning P&amp;L"/>
      <sheetName val="Tanning Balance Sheets"/>
      <sheetName val="Tanning Cash Flows"/>
      <sheetName val="Meta P&amp;L"/>
      <sheetName val="Meta Balance Sheet"/>
      <sheetName val="Meta Cash Flow"/>
      <sheetName val="Combined Balance Sheet"/>
      <sheetName val="Combined P&amp;L"/>
      <sheetName val="Combined Cash Flow"/>
      <sheetName val="Shares"/>
      <sheetName val="EssRet"/>
      <sheetName val="Meta Segments"/>
      <sheetName val="Capex"/>
      <sheetName val="Sheet5"/>
      <sheetName val="D"/>
      <sheetName val="TRANSA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Qual. Analysis"/>
      <sheetName val="Inputs"/>
      <sheetName val="Base"/>
      <sheetName val="EV_DCF Analysis"/>
      <sheetName val="VeCTOR Import"/>
      <sheetName val="Annual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tions"/>
      <sheetName val="Calcs"/>
      <sheetName val="Account"/>
      <sheetName val="OCTrends"/>
      <sheetName val="ICTrends"/>
      <sheetName val="DivTrends"/>
      <sheetName val="WARFTrends"/>
      <sheetName val="WARFFitchTrends"/>
      <sheetName val="WASTrends"/>
      <sheetName val="WACTrends"/>
      <sheetName val="WALTrends"/>
      <sheetName val="Debt Structure"/>
      <sheetName val="Fund Schedule"/>
      <sheetName val="Principal"/>
      <sheetName val="Ineligible"/>
      <sheetName val="S&amp;P Industry"/>
      <sheetName val="Trade Activity Summary"/>
      <sheetName val="Sale Activity Bond"/>
      <sheetName val="Sale Activity"/>
      <sheetName val="Buy Activity Bond"/>
      <sheetName val="Buy Activity"/>
      <sheetName val="Default"/>
      <sheetName val="CCC"/>
      <sheetName val="CCCBond"/>
      <sheetName val="Presentation Info 22 (Adam Silv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M YTD 2000"/>
      <sheetName val="AUM_Chart"/>
      <sheetName val="Cap Structure"/>
      <sheetName val="TOP10"/>
      <sheetName val="DefaultHistory"/>
      <sheetName val="DefaultedSecuritySummary"/>
      <sheetName val="DefaultedSecuritySummary2"/>
      <sheetName val="DefaultedSecurityData"/>
      <sheetName val="Actual vs Covenant"/>
      <sheetName val="APEX"/>
      <sheetName val="APEX_MR"/>
      <sheetName val="APEX_SR"/>
      <sheetName val="APEX_MI"/>
      <sheetName val="APEX_SI"/>
      <sheetName val="ELC1"/>
      <sheetName val="ELC1_SR"/>
      <sheetName val="ELC1_MR"/>
      <sheetName val="ELC1_FR"/>
      <sheetName val="ELC1_SI"/>
      <sheetName val="ELC1_MI"/>
      <sheetName val="ELC2"/>
      <sheetName val="ELC2_SR"/>
      <sheetName val="ELC2_FR"/>
      <sheetName val="ELC2_SI"/>
      <sheetName val="ELC2_MI"/>
      <sheetName val="ELC3"/>
      <sheetName val="ELC3_MR"/>
      <sheetName val="ELC3_SR"/>
      <sheetName val="ELC3_FR"/>
      <sheetName val="ELC3_MI"/>
      <sheetName val="ELC3_SI"/>
      <sheetName val="ELC4"/>
      <sheetName val="ELC4_MR"/>
      <sheetName val="ELC4_SR"/>
      <sheetName val="ELC4_MI"/>
      <sheetName val="ELC4_SI"/>
      <sheetName val="ELC5"/>
      <sheetName val="ELC5_MR"/>
      <sheetName val="ELC5_SR"/>
      <sheetName val="ELC5_MI"/>
      <sheetName val="ELC5_SI"/>
      <sheetName val="TRYN"/>
      <sheetName val="TRYN_MR"/>
      <sheetName val="TRYN_SR"/>
      <sheetName val="TRYN_SI"/>
      <sheetName val="TRYN_MI"/>
      <sheetName val="SaleData"/>
      <sheetName val="SH_Results"/>
      <sheetName val="SH_APEX"/>
      <sheetName val="SH_ELC1"/>
      <sheetName val="SH_ELC2"/>
      <sheetName val="SH_ELC3"/>
      <sheetName val="SH_ELC4"/>
      <sheetName val="SH_ELC5"/>
      <sheetName val="SH_TR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DISPLAY"/>
      <sheetName val="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U"/>
      <sheetName val="BS"/>
      <sheetName val="IS"/>
      <sheetName val="CFS"/>
      <sheetName val="REV"/>
      <sheetName val="RATIO"/>
      <sheetName val="RETURN"/>
      <sheetName val="CONTROL"/>
      <sheetName val="D&amp;A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s"/>
      <sheetName val="OC-IC"/>
      <sheetName val="Sources and Uses"/>
      <sheetName val="After Tax"/>
      <sheetName val="Tax Report"/>
      <sheetName val="Price Yield"/>
      <sheetName val="LIBOR"/>
      <sheetName val="Revolver"/>
      <sheetName val="PV Calc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DRIVER"/>
      <sheetName val="Sheet1"/>
      <sheetName val="Bcom IS-Mnthly"/>
      <sheetName val="Conversion Balance Sheet"/>
      <sheetName val="Bcom BS-Mnthly"/>
      <sheetName val="Bcom FAS95-Mnthly"/>
      <sheetName val="Bcom Rollup-Income"/>
      <sheetName val="Bcom Rollup- Balance"/>
      <sheetName val="Bcom Conversion Charge Adj"/>
      <sheetName val="Bcom Debt"/>
      <sheetName val="Bcom Fixed Assets"/>
      <sheetName val="Bcom Lines"/>
      <sheetName val="Bcom New AE Efficiency"/>
      <sheetName val="Bcom Rev"/>
      <sheetName val="Bcom COGS"/>
      <sheetName val="Bcom-SG&amp;A,Taxes"/>
      <sheetName val="Bcom HEADCOUNT"/>
      <sheetName val="MasterDriverTrucom"/>
      <sheetName val="TruCom IS"/>
      <sheetName val="TruCom BS"/>
      <sheetName val="TruCom FAS95-Mnthly"/>
      <sheetName val="TruCom Rev"/>
      <sheetName val="TruCom COGS"/>
      <sheetName val="TruCom Lines"/>
      <sheetName val="TruCom-SG&amp;A,Taxes"/>
      <sheetName val="TruCom HEADCOUNT"/>
      <sheetName val="TruCom Amort."/>
      <sheetName val="TruCom Fixed Assets"/>
      <sheetName val="TruCom Debt"/>
      <sheetName val="TruCom Debt worksheet"/>
      <sheetName val="Cap Tables"/>
      <sheetName val="TruCom Cash Acct. Recon."/>
      <sheetName val="MASTER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DISPLAY"/>
      <sheetName val="OPT-MIS"/>
      <sheetName val="REV"/>
      <sheetName val="EXP"/>
      <sheetName val="MODR"/>
      <sheetName val="D&amp;A"/>
      <sheetName val="DEBT"/>
      <sheetName val="COVS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M 2000 Rev Chart"/>
      <sheetName val="MCM 2001 Rev Chart"/>
      <sheetName val="MCM 1999 P&amp;L"/>
      <sheetName val="MCM 2000 P&amp;L"/>
      <sheetName val="MCM 2001 Plan"/>
      <sheetName val="MCM 2000 and 2001 Plan"/>
      <sheetName val="GSN Hist IS"/>
      <sheetName val="GSN Hist BS"/>
      <sheetName val="CC 2000 Detail"/>
      <sheetName val="CC 2000 IS"/>
      <sheetName val="CC 2000 BS"/>
      <sheetName val="CC 2000 CF"/>
      <sheetName val="Crescent Mo IS 9-00 to 6-01"/>
      <sheetName val="Crescent Qtr IS Sep00-Jun01"/>
      <sheetName val="Target P&amp;L RollUp"/>
      <sheetName val="Target P&amp;L RollUp June"/>
      <sheetName val="Target P&amp;L Pct Sales"/>
      <sheetName val="MASTER DRIVERS"/>
      <sheetName val="Summary"/>
      <sheetName val="IS Sum"/>
      <sheetName val="BS Sum"/>
      <sheetName val="CF Sum"/>
      <sheetName val="Covenants and Capitalization"/>
      <sheetName val="Ret Earn Reconcile"/>
      <sheetName val="GSN IS Sum"/>
      <sheetName val="Maine IS Sum"/>
      <sheetName val="Conversion BS"/>
      <sheetName val="Key Ratios"/>
      <sheetName val="MCG vs Vaxa"/>
      <sheetName val="Exhibits1"/>
      <sheetName val="Exhibits2"/>
      <sheetName val="IS"/>
      <sheetName val="BS"/>
      <sheetName val="CF"/>
      <sheetName val="Debt"/>
      <sheetName val="Fixed Assets"/>
      <sheetName val="Intangibles"/>
      <sheetName val="DCF"/>
      <sheetName val="Initial TTM EBITDA by Cluster"/>
      <sheetName val="Geographic Concentration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X"/>
      <sheetName val="Portfolio Input"/>
      <sheetName val="Warehouse Summary"/>
      <sheetName val="Investor Summary"/>
      <sheetName val="Industry"/>
      <sheetName val="Rating"/>
      <sheetName val="Broad Loan Category"/>
      <sheetName val="Diversity Calc"/>
      <sheetName val="Vlooku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Pipeline"/>
      <sheetName val="Monthly Financials"/>
      <sheetName val="Quarterly Financials"/>
      <sheetName val="Yearly Financials"/>
      <sheetName val="Distributions"/>
      <sheetName val="Returns"/>
      <sheetName val="Operations"/>
      <sheetName val="Payroll"/>
      <sheetName val="Depreciation"/>
      <sheetName val="Debt"/>
      <sheetName val="Equi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"/>
      <sheetName val="Model"/>
      <sheetName val="Portfolio Input"/>
    </sheetNames>
    <sheetDataSet>
      <sheetData sheetId="0"/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TransSum"/>
      <sheetName val="Consolidated"/>
      <sheetName val="JDPC Proj."/>
      <sheetName val="EG Proj."/>
      <sheetName val="KBB Proj. 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liminary"/>
      <sheetName val="Final"/>
    </sheetNames>
    <sheetDataSet>
      <sheetData sheetId="0" refreshError="1"/>
      <sheetData sheetId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 Yields"/>
      <sheetName val="Vector Output"/>
      <sheetName val="Portfolio"/>
      <sheetName val="Action Items"/>
      <sheetName val="Defense Comps"/>
      <sheetName val="Telecom"/>
      <sheetName val="WARF"/>
      <sheetName val="Template"/>
      <sheetName val="1"/>
      <sheetName val="2"/>
      <sheetName val="3"/>
      <sheetName val="4"/>
      <sheetName val="Credit Breakdown"/>
      <sheetName val="Auto EVs"/>
      <sheetName val="WARF Tracker"/>
      <sheetName val="Deal Multiples"/>
      <sheetName val="Status"/>
      <sheetName val="Output"/>
      <sheetName val="Graphs"/>
      <sheetName val="Inputs"/>
      <sheetName val="LBO Summary"/>
      <sheetName val="Tanning Assumptions"/>
      <sheetName val="IncStmt"/>
      <sheetName val="BS"/>
      <sheetName val="DCF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y-by-night - Base"/>
      <sheetName val="Fly-by-night - problem 5"/>
      <sheetName val="Fly-by-night - problem 6"/>
      <sheetName val="Fly-by-night - Base with ltd"/>
      <sheetName val="Portfolio"/>
      <sheetName val="MASTER DRIVER"/>
      <sheetName val="LBO Summary"/>
      <sheetName val="IncStm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Credit"/>
      <sheetName val="Summary"/>
      <sheetName val="Segments"/>
      <sheetName val="Adjustments"/>
      <sheetName val="Fly-by-night - problem 5"/>
      <sheetName val="Inpu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al Info"/>
      <sheetName val="Qualitative Analysis"/>
      <sheetName val="Base"/>
      <sheetName val="EV_DCF Analysis"/>
      <sheetName val="VeCTOR Import"/>
      <sheetName val="Annual Summary"/>
      <sheetName val="LBO Summary"/>
      <sheetName val="Fly-by-night - problem 5"/>
      <sheetName val="Segment Info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SUMMARY"/>
      <sheetName val="TRANSACTION"/>
      <sheetName val="Capital Structure"/>
      <sheetName val="DEBT DETAIL"/>
      <sheetName val="Sheet2"/>
      <sheetName val="Flat EBITDA"/>
      <sheetName val="Scenario Fan"/>
      <sheetName val="Sheet1"/>
      <sheetName val="Sheet1 (2)"/>
      <sheetName val="Case Comparison"/>
      <sheetName val="INCOME STATEMENT"/>
      <sheetName val="BALANCE SHEET"/>
      <sheetName val="CASH FLOW"/>
      <sheetName val="World Cup"/>
      <sheetName val="Taxes"/>
      <sheetName val="CAPEX &amp; INTANG"/>
      <sheetName val="Drivers"/>
      <sheetName val="WORKING CAPITAL"/>
      <sheetName val="Buildup"/>
      <sheetName val="S&amp;U"/>
      <sheetName val="TV Build"/>
      <sheetName val="TV Group"/>
      <sheetName val="UVN"/>
      <sheetName val="TLF"/>
      <sheetName val="Gala"/>
      <sheetName val="TV Station Group"/>
      <sheetName val="UTG"/>
      <sheetName val="TTG"/>
      <sheetName val="Radio Operating Build"/>
      <sheetName val="Radio Drivers"/>
      <sheetName val="Consolidated"/>
      <sheetName val="Market Build"/>
      <sheetName val="Other"/>
      <sheetName val="Overview"/>
      <sheetName val="Margin Bridge"/>
      <sheetName val="Projections Detail"/>
      <sheetName val="LBO Summary"/>
      <sheetName val="VeCTOR Import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"/>
      <sheetName val="S&amp;U"/>
      <sheetName val="Sheet1"/>
      <sheetName val="1998 assump"/>
      <sheetName val="1997 assump"/>
      <sheetName val="******"/>
      <sheetName val="1998 P &amp; L"/>
      <sheetName val="1999 P &amp; L"/>
      <sheetName val="summ people"/>
      <sheetName val="people"/>
      <sheetName val="Sheet2"/>
      <sheetName val="B"/>
      <sheetName val="Sheet5"/>
      <sheetName val="Employees"/>
      <sheetName val="Reconcile"/>
      <sheetName val="D"/>
      <sheetName val="TRANSACTION"/>
      <sheetName val="VeCTOR Im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vCalcs Table"/>
      <sheetName val="IS Table"/>
      <sheetName val="BS Table"/>
      <sheetName val="SoCF Table"/>
      <sheetName val="RE &amp; DIVS Table"/>
      <sheetName val="Debt Table"/>
      <sheetName val="RE &amp; DIVS"/>
      <sheetName val="Debt"/>
      <sheetName val="BalSh Comb"/>
      <sheetName val="SoCF Comb"/>
      <sheetName val="IS Comb"/>
      <sheetName val="Covenant Summary"/>
      <sheetName val="UF P&amp;L-Mth"/>
      <sheetName val="Sheet1"/>
      <sheetName val="MASTER"/>
      <sheetName val="FC P&amp;L-Mth"/>
      <sheetName val="Headcount"/>
      <sheetName val="New FC Contracts"/>
      <sheetName val="UF Bal-Mth"/>
      <sheetName val="FC Bal-Mth"/>
      <sheetName val="Fixed Assets"/>
      <sheetName val="G&amp;A"/>
      <sheetName val="FC Contracts 2001"/>
      <sheetName val="End Model"/>
      <sheetName val="Combnd Hist BS"/>
      <sheetName val="UF Bal Sheet"/>
      <sheetName val="FC Bal Sheet"/>
      <sheetName val="UF P&amp;L Hist"/>
      <sheetName val="FC P&amp;L Hist"/>
      <sheetName val="UF2000"/>
      <sheetName val="UF2001"/>
      <sheetName val="FC2000"/>
      <sheetName val="FC2001"/>
      <sheetName val="vs. 2001 actuals"/>
      <sheetName val="Sheet3"/>
      <sheetName val="Equity Table"/>
      <sheetName val="Card Count Table"/>
      <sheetName val="BS Tables"/>
      <sheetName val="Concentr Table"/>
      <sheetName val="BS Analysis"/>
      <sheetName val="Table 5"/>
      <sheetName val="Table 4"/>
      <sheetName val="Table 3"/>
      <sheetName val="Table 2"/>
      <sheetName val="Table 1"/>
      <sheetName val="DCF"/>
      <sheetName val="top50hotels"/>
      <sheetName val="TRANSACTION"/>
      <sheetName val="Sheet5"/>
      <sheetName val="D"/>
      <sheetName val="MASTER DRIV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OBS - MEDCON"/>
      <sheetName val="OBS - REFI"/>
      <sheetName val="AFS"/>
      <sheetName val="MBS"/>
      <sheetName val="MMIS (2)"/>
      <sheetName val="WHEC"/>
      <sheetName val="MIS"/>
      <sheetName val="MCF"/>
      <sheetName val="PACING06"/>
      <sheetName val="D&amp;A"/>
      <sheetName val="D&amp;A (2)"/>
      <sheetName val="DEBT"/>
      <sheetName val="CHARTS&gt;&gt;&gt;"/>
      <sheetName val="S&amp;U_CAP_MERGER"/>
      <sheetName val="S&amp;U_CAP_REFI"/>
      <sheetName val="MEDCON IS"/>
      <sheetName val="SUM IS"/>
      <sheetName val="PF IS"/>
      <sheetName val="PF BS"/>
      <sheetName val="COVS"/>
      <sheetName val="ECF"/>
      <sheetName val="Bridge"/>
      <sheetName val="HoldCo INT"/>
      <sheetName val="PACING05"/>
      <sheetName val="MASTER"/>
    </sheetNames>
    <sheetDataSet>
      <sheetData sheetId="0"/>
      <sheetData sheetId="1" refreshError="1"/>
      <sheetData sheetId="2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CONTROL"/>
      <sheetName val="OBS - REFI"/>
      <sheetName val="WH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AFS"/>
      <sheetName val="MIS"/>
      <sheetName val="MBS"/>
      <sheetName val="MCF"/>
      <sheetName val="DEBT"/>
      <sheetName val="D&amp;A"/>
      <sheetName val="COVS_ACTUAL"/>
      <sheetName val="COVS"/>
      <sheetName val="PACING05"/>
      <sheetName val="PACING06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CF"/>
      <sheetName val="DCFnew"/>
      <sheetName val="COVS_ACTUAL"/>
      <sheetName val="D&amp;A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M28"/>
  <sheetViews>
    <sheetView topLeftCell="A4" workbookViewId="0"/>
  </sheetViews>
  <sheetFormatPr defaultRowHeight="12.75"/>
  <cols>
    <col min="7" max="9" width="9.28515625" bestFit="1" customWidth="1"/>
  </cols>
  <sheetData>
    <row r="2" spans="1:13">
      <c r="E2" s="4">
        <v>2003</v>
      </c>
      <c r="F2" s="4">
        <v>2004</v>
      </c>
      <c r="G2" s="4">
        <v>2005</v>
      </c>
      <c r="H2" s="4">
        <v>2006</v>
      </c>
      <c r="I2" s="4">
        <v>2007</v>
      </c>
    </row>
    <row r="3" spans="1:13">
      <c r="A3" s="2" t="s">
        <v>0</v>
      </c>
    </row>
    <row r="4" spans="1:13">
      <c r="A4" s="186" t="s">
        <v>1</v>
      </c>
      <c r="E4" s="5">
        <v>0</v>
      </c>
      <c r="F4" s="5">
        <v>0</v>
      </c>
      <c r="G4" s="5">
        <v>0</v>
      </c>
      <c r="H4" s="5">
        <v>0</v>
      </c>
      <c r="I4" s="5">
        <v>0</v>
      </c>
    </row>
    <row r="5" spans="1:13">
      <c r="A5" s="186" t="s">
        <v>2</v>
      </c>
      <c r="E5">
        <v>0</v>
      </c>
      <c r="F5">
        <v>0</v>
      </c>
      <c r="G5">
        <v>0</v>
      </c>
      <c r="H5">
        <v>0</v>
      </c>
      <c r="I5">
        <v>0</v>
      </c>
    </row>
    <row r="6" spans="1:13">
      <c r="A6" s="186" t="s">
        <v>3</v>
      </c>
      <c r="B6" s="186"/>
      <c r="C6" s="186"/>
      <c r="D6" s="186"/>
      <c r="E6">
        <v>0</v>
      </c>
      <c r="F6">
        <v>0</v>
      </c>
      <c r="G6">
        <v>0</v>
      </c>
      <c r="H6">
        <v>0</v>
      </c>
      <c r="I6">
        <v>0</v>
      </c>
    </row>
    <row r="7" spans="1:13">
      <c r="E7" s="6"/>
      <c r="F7" s="6"/>
      <c r="G7" s="6"/>
      <c r="H7" s="6"/>
      <c r="I7" s="6"/>
      <c r="K7" s="7"/>
      <c r="L7" s="7"/>
      <c r="M7" s="7"/>
    </row>
    <row r="8" spans="1:13" ht="15">
      <c r="A8" s="2" t="s">
        <v>4</v>
      </c>
      <c r="E8" s="8">
        <f>+SUM(E4:E6)</f>
        <v>0</v>
      </c>
      <c r="F8" s="8">
        <f>+SUM(F4:F6)</f>
        <v>0</v>
      </c>
      <c r="G8" s="8">
        <f>+SUM(G4:G6)</f>
        <v>0</v>
      </c>
      <c r="H8" s="8">
        <f>+SUM(H4:H6)</f>
        <v>0</v>
      </c>
      <c r="I8" s="8">
        <f>+SUM(I4:I6)</f>
        <v>0</v>
      </c>
    </row>
    <row r="9" spans="1:13">
      <c r="A9" s="186" t="s">
        <v>5</v>
      </c>
      <c r="B9" s="9"/>
      <c r="C9" s="9"/>
      <c r="D9" s="9"/>
      <c r="E9" s="10"/>
      <c r="F9" s="10" t="e">
        <f>+F8/E8-1</f>
        <v>#DIV/0!</v>
      </c>
      <c r="G9" s="10" t="e">
        <f>+G8/F8-1</f>
        <v>#DIV/0!</v>
      </c>
      <c r="H9" s="10" t="e">
        <f>+H8/G8-1</f>
        <v>#DIV/0!</v>
      </c>
      <c r="I9" s="10" t="e">
        <f>+I8/H8-1</f>
        <v>#DIV/0!</v>
      </c>
    </row>
    <row r="10" spans="1:13">
      <c r="A10" s="2" t="s">
        <v>6</v>
      </c>
      <c r="K10" s="7"/>
    </row>
    <row r="11" spans="1:13">
      <c r="A11" t="s">
        <v>6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/>
    </row>
    <row r="14" spans="1:13">
      <c r="A14" t="s">
        <v>7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</row>
    <row r="16" spans="1:13">
      <c r="A16" s="2" t="s">
        <v>8</v>
      </c>
    </row>
    <row r="18" spans="1:9">
      <c r="A18" s="2" t="s">
        <v>9</v>
      </c>
    </row>
    <row r="19" spans="1:9">
      <c r="B19" s="186" t="s">
        <v>10</v>
      </c>
      <c r="C19" s="186"/>
      <c r="D19" s="186"/>
      <c r="E19" s="12"/>
      <c r="F19" s="12" t="e">
        <f>+F8/E8-1</f>
        <v>#DIV/0!</v>
      </c>
      <c r="G19" s="12" t="e">
        <f>+G8/F8-1</f>
        <v>#DIV/0!</v>
      </c>
      <c r="H19" s="12" t="e">
        <f>+H8/G8-1</f>
        <v>#DIV/0!</v>
      </c>
      <c r="I19" s="12" t="e">
        <f>+I8/H8-1</f>
        <v>#DIV/0!</v>
      </c>
    </row>
    <row r="20" spans="1:9">
      <c r="B20" s="2" t="s">
        <v>4</v>
      </c>
      <c r="C20" s="2"/>
      <c r="D20" s="2"/>
      <c r="E20" s="13"/>
      <c r="F20" s="13" t="e">
        <f>+F8/E8-1</f>
        <v>#DIV/0!</v>
      </c>
      <c r="G20" s="13" t="e">
        <f>+G8/F8-1</f>
        <v>#DIV/0!</v>
      </c>
      <c r="H20" s="13" t="e">
        <f>+H8/G8-1</f>
        <v>#DIV/0!</v>
      </c>
      <c r="I20" s="13" t="e">
        <f>+I8/H8-1</f>
        <v>#DIV/0!</v>
      </c>
    </row>
    <row r="21" spans="1:9">
      <c r="G21" s="13"/>
      <c r="H21" s="13"/>
      <c r="I21" s="13"/>
    </row>
    <row r="22" spans="1:9">
      <c r="B22" t="s">
        <v>11</v>
      </c>
      <c r="E22" s="13" t="e">
        <f>+E11/E8</f>
        <v>#DIV/0!</v>
      </c>
      <c r="F22" s="13" t="e">
        <f>+F11/F8</f>
        <v>#DIV/0!</v>
      </c>
      <c r="G22" s="13" t="e">
        <f>+G11/G8</f>
        <v>#DIV/0!</v>
      </c>
      <c r="H22" s="13" t="e">
        <f>+H11/H8</f>
        <v>#DIV/0!</v>
      </c>
      <c r="I22" s="13" t="e">
        <f>+I11/I8</f>
        <v>#DIV/0!</v>
      </c>
    </row>
    <row r="25" spans="1:9">
      <c r="A25" t="s">
        <v>12</v>
      </c>
    </row>
    <row r="26" spans="1:9">
      <c r="B26" s="186" t="s">
        <v>10</v>
      </c>
      <c r="C26" s="186"/>
      <c r="D26" s="186"/>
      <c r="E26" s="12" t="e">
        <f>+E7/E8</f>
        <v>#DIV/0!</v>
      </c>
      <c r="F26" s="12" t="e">
        <f>+F7/F8</f>
        <v>#DIV/0!</v>
      </c>
      <c r="G26" s="12" t="e">
        <f>+G7/G8</f>
        <v>#DIV/0!</v>
      </c>
      <c r="H26" s="12" t="e">
        <f>+H7/H8</f>
        <v>#DIV/0!</v>
      </c>
      <c r="I26" s="12" t="e">
        <f>+I7/I8</f>
        <v>#DIV/0!</v>
      </c>
    </row>
    <row r="27" spans="1:9">
      <c r="B27" s="186"/>
      <c r="C27" s="186"/>
      <c r="D27" s="186"/>
    </row>
    <row r="28" spans="1:9">
      <c r="A28" t="s">
        <v>13</v>
      </c>
      <c r="E28" s="13" t="e">
        <f>+E14/E8</f>
        <v>#DIV/0!</v>
      </c>
      <c r="F28" s="13" t="e">
        <f>+F14/F8</f>
        <v>#DIV/0!</v>
      </c>
      <c r="G28" s="13" t="e">
        <f>+G14/G8</f>
        <v>#DIV/0!</v>
      </c>
      <c r="H28" s="13" t="e">
        <f>+H14/H8</f>
        <v>#DIV/0!</v>
      </c>
      <c r="I28" s="13" t="e">
        <f>+I14/I8</f>
        <v>#DIV/0!</v>
      </c>
    </row>
  </sheetData>
  <customSheetViews>
    <customSheetView guid="{9E03B340-36A7-4E6D-8D58-A21713C869F6}" state="hidden" showRuler="0" topLeftCell="A4">
      <pageMargins left="0" right="0" top="0" bottom="0" header="0" footer="0"/>
      <headerFooter alignWithMargins="0"/>
    </customSheetView>
    <customSheetView guid="{1B2504A4-7288-49BA-A9D5-232D32B8BF61}" state="hidden" showRuler="0" topLeftCell="A4">
      <selection activeCell="G37" sqref="G37"/>
      <pageMargins left="0" right="0" top="0" bottom="0" header="0" footer="0"/>
      <headerFooter alignWithMargins="0"/>
    </customSheetView>
    <customSheetView guid="{60A5D7D3-597C-4544-9487-00DE81AA14D0}" state="hidden" topLeftCell="A4">
      <pageMargins left="0" right="0" top="0" bottom="0" header="0" footer="0"/>
      <headerFooter alignWithMargins="0"/>
    </customSheetView>
  </customSheetViews>
  <phoneticPr fontId="3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Q2059"/>
  <sheetViews>
    <sheetView showGridLines="0" zoomScaleNormal="100" workbookViewId="0">
      <selection activeCell="K2" sqref="K2"/>
    </sheetView>
  </sheetViews>
  <sheetFormatPr defaultColWidth="11.42578125" defaultRowHeight="12.75"/>
  <cols>
    <col min="1" max="1" width="5.42578125" style="421" customWidth="1"/>
    <col min="2" max="2" width="8.42578125" style="421" customWidth="1"/>
    <col min="3" max="3" width="50.7109375" style="421" customWidth="1"/>
    <col min="4" max="8" width="12.7109375" style="421" customWidth="1"/>
    <col min="9" max="9" width="27.42578125" style="421" bestFit="1" customWidth="1"/>
    <col min="10" max="10" width="16.28515625" style="421" bestFit="1" customWidth="1"/>
    <col min="11" max="13" width="11.85546875" style="421" customWidth="1"/>
    <col min="14" max="16384" width="11.42578125" style="421"/>
  </cols>
  <sheetData>
    <row r="2" spans="2:10">
      <c r="B2" s="632" t="s">
        <v>14</v>
      </c>
      <c r="I2" s="531" t="s">
        <v>15</v>
      </c>
      <c r="J2" s="774">
        <f>Model!$N$203</f>
        <v>5.5350451382931022E-2</v>
      </c>
    </row>
    <row r="3" spans="2:10">
      <c r="B3" s="632"/>
      <c r="I3" s="531" t="s">
        <v>16</v>
      </c>
      <c r="J3" s="774">
        <f>Model!$N$202</f>
        <v>5.4138445412480099E-2</v>
      </c>
    </row>
    <row r="4" spans="2:10">
      <c r="B4" s="632"/>
      <c r="C4" s="632"/>
      <c r="D4" s="632"/>
      <c r="E4" s="632"/>
      <c r="F4" s="632"/>
      <c r="G4" s="632"/>
    </row>
    <row r="5" spans="2:10" ht="13.5" thickBot="1">
      <c r="B5" s="632"/>
    </row>
    <row r="6" spans="2:10" ht="12.95" customHeight="1">
      <c r="C6" s="775" t="s">
        <v>17</v>
      </c>
      <c r="D6" s="759" t="s">
        <v>18</v>
      </c>
      <c r="E6" s="759" t="s">
        <v>19</v>
      </c>
      <c r="F6" s="759" t="s">
        <v>20</v>
      </c>
      <c r="G6" s="759" t="s">
        <v>21</v>
      </c>
      <c r="I6" s="765" t="s">
        <v>22</v>
      </c>
      <c r="J6" s="706" t="s">
        <v>18</v>
      </c>
    </row>
    <row r="7" spans="2:10" ht="13.5" thickBot="1">
      <c r="C7" s="776"/>
      <c r="D7" s="662"/>
      <c r="E7" s="662"/>
      <c r="F7" s="780"/>
      <c r="G7" s="780"/>
      <c r="I7" s="642" t="s">
        <v>23</v>
      </c>
      <c r="J7" s="643">
        <v>151657.9</v>
      </c>
    </row>
    <row r="8" spans="2:10">
      <c r="C8" s="776"/>
      <c r="D8" s="662"/>
      <c r="E8" s="662"/>
      <c r="F8" s="780"/>
      <c r="G8" s="780"/>
    </row>
    <row r="9" spans="2:10">
      <c r="C9" s="776" t="s">
        <v>24</v>
      </c>
      <c r="D9" s="667"/>
      <c r="E9" s="667"/>
      <c r="F9" s="780"/>
      <c r="G9" s="780"/>
    </row>
    <row r="10" spans="2:10">
      <c r="B10" s="761">
        <v>2030</v>
      </c>
      <c r="C10" s="777" t="s">
        <v>25</v>
      </c>
      <c r="D10" s="781">
        <f>E10/$J$2</f>
        <v>6874.4335501000005</v>
      </c>
      <c r="E10" s="782">
        <v>380.50299999999999</v>
      </c>
      <c r="F10" s="780"/>
      <c r="G10" s="780"/>
    </row>
    <row r="11" spans="2:10">
      <c r="B11" s="761">
        <v>2032</v>
      </c>
      <c r="C11" s="777" t="s">
        <v>26</v>
      </c>
      <c r="D11" s="781">
        <f t="shared" ref="D11:D15" si="0">E11/$J$2</f>
        <v>6251.0962667000003</v>
      </c>
      <c r="E11" s="782">
        <v>346.00099999999998</v>
      </c>
      <c r="F11" s="780"/>
      <c r="G11" s="780"/>
    </row>
    <row r="12" spans="2:10">
      <c r="B12" s="761">
        <v>2034</v>
      </c>
      <c r="C12" s="777" t="s">
        <v>27</v>
      </c>
      <c r="D12" s="781">
        <f t="shared" si="0"/>
        <v>5421.8166700000011</v>
      </c>
      <c r="E12" s="782">
        <v>300.10000000000002</v>
      </c>
      <c r="F12" s="780"/>
      <c r="G12" s="780"/>
    </row>
    <row r="13" spans="2:10">
      <c r="B13" s="761">
        <v>2037</v>
      </c>
      <c r="C13" s="777" t="s">
        <v>28</v>
      </c>
      <c r="D13" s="781">
        <f t="shared" si="0"/>
        <v>976.0715342000002</v>
      </c>
      <c r="E13" s="782">
        <v>54.026000000000003</v>
      </c>
      <c r="F13" s="780"/>
      <c r="G13" s="780"/>
    </row>
    <row r="14" spans="2:10">
      <c r="B14" s="761">
        <v>2044</v>
      </c>
      <c r="C14" s="777" t="s">
        <v>29</v>
      </c>
      <c r="D14" s="781">
        <f t="shared" si="0"/>
        <v>6120.9979600000006</v>
      </c>
      <c r="E14" s="782">
        <v>338.8</v>
      </c>
      <c r="F14" s="780"/>
      <c r="G14" s="780"/>
    </row>
    <row r="15" spans="2:10">
      <c r="B15" s="761">
        <v>2050</v>
      </c>
      <c r="C15" s="777" t="s">
        <v>30</v>
      </c>
      <c r="D15" s="781">
        <f t="shared" si="0"/>
        <v>6867.8572713000012</v>
      </c>
      <c r="E15" s="782">
        <v>380.13900000000001</v>
      </c>
      <c r="F15" s="780"/>
      <c r="G15" s="780"/>
    </row>
    <row r="16" spans="2:10">
      <c r="C16" s="777"/>
      <c r="D16" s="673"/>
      <c r="E16" s="673"/>
      <c r="F16" s="780"/>
      <c r="G16" s="780"/>
    </row>
    <row r="17" spans="2:9">
      <c r="B17" s="761">
        <v>2026</v>
      </c>
      <c r="C17" s="777" t="s">
        <v>31</v>
      </c>
      <c r="D17" s="673">
        <v>1500</v>
      </c>
      <c r="E17" s="781">
        <f>D17*$J$2</f>
        <v>83.025677074396526</v>
      </c>
      <c r="F17" s="780"/>
      <c r="G17" s="780"/>
    </row>
    <row r="18" spans="2:9">
      <c r="B18" s="761">
        <v>2027</v>
      </c>
      <c r="C18" s="777" t="s">
        <v>32</v>
      </c>
      <c r="D18" s="673">
        <v>1730</v>
      </c>
      <c r="E18" s="781">
        <f t="shared" ref="E18:E39" si="1">D18*$J$2</f>
        <v>95.75628089247067</v>
      </c>
      <c r="F18" s="780"/>
      <c r="G18" s="780"/>
      <c r="I18" s="637"/>
    </row>
    <row r="19" spans="2:9">
      <c r="B19" s="761">
        <v>2027</v>
      </c>
      <c r="C19" s="777" t="s">
        <v>33</v>
      </c>
      <c r="D19" s="673">
        <v>4799.6000000000004</v>
      </c>
      <c r="E19" s="781">
        <f t="shared" si="1"/>
        <v>265.66002645751576</v>
      </c>
      <c r="F19" s="783"/>
      <c r="G19" s="780"/>
    </row>
    <row r="20" spans="2:9">
      <c r="B20" s="761">
        <v>2028</v>
      </c>
      <c r="C20" s="777" t="s">
        <v>34</v>
      </c>
      <c r="D20" s="673">
        <v>3700</v>
      </c>
      <c r="E20" s="781">
        <f t="shared" si="1"/>
        <v>204.79667011684478</v>
      </c>
      <c r="F20" s="783"/>
      <c r="G20" s="780"/>
    </row>
    <row r="21" spans="2:9">
      <c r="B21" s="761">
        <v>2028</v>
      </c>
      <c r="C21" s="777" t="s">
        <v>35</v>
      </c>
      <c r="D21" s="673">
        <v>2900</v>
      </c>
      <c r="E21" s="781">
        <f t="shared" si="1"/>
        <v>160.51630901049995</v>
      </c>
      <c r="F21" s="783"/>
      <c r="G21" s="784"/>
    </row>
    <row r="22" spans="2:9">
      <c r="B22" s="761">
        <v>2032</v>
      </c>
      <c r="C22" s="777" t="s">
        <v>36</v>
      </c>
      <c r="D22" s="673">
        <v>9000</v>
      </c>
      <c r="E22" s="781">
        <f t="shared" si="1"/>
        <v>498.15406244637921</v>
      </c>
      <c r="F22" s="783"/>
      <c r="G22" s="780"/>
    </row>
    <row r="23" spans="2:9">
      <c r="B23" s="761">
        <v>2033</v>
      </c>
      <c r="C23" s="777" t="s">
        <v>37</v>
      </c>
      <c r="D23" s="673">
        <v>4970</v>
      </c>
      <c r="E23" s="781">
        <f t="shared" si="1"/>
        <v>275.09174337316716</v>
      </c>
      <c r="F23" s="783"/>
      <c r="G23" s="780"/>
      <c r="I23" s="523"/>
    </row>
    <row r="24" spans="2:9">
      <c r="B24" s="761"/>
      <c r="C24" s="777"/>
      <c r="D24" s="673"/>
      <c r="E24" s="673"/>
      <c r="F24" s="783"/>
      <c r="G24" s="780"/>
      <c r="I24" s="523"/>
    </row>
    <row r="25" spans="2:9">
      <c r="B25" s="761">
        <v>2030</v>
      </c>
      <c r="C25" s="777" t="s">
        <v>38</v>
      </c>
      <c r="D25" s="673">
        <v>1500</v>
      </c>
      <c r="E25" s="781">
        <f t="shared" si="1"/>
        <v>83.025677074396526</v>
      </c>
      <c r="F25" s="783"/>
      <c r="G25" s="780"/>
      <c r="I25" s="523"/>
    </row>
    <row r="26" spans="2:9">
      <c r="B26" s="761">
        <v>2030</v>
      </c>
      <c r="C26" s="777" t="s">
        <v>39</v>
      </c>
      <c r="D26" s="673">
        <v>9440.3799999999992</v>
      </c>
      <c r="E26" s="781">
        <f t="shared" si="1"/>
        <v>522.52929422639431</v>
      </c>
      <c r="F26" s="783"/>
      <c r="G26" s="780"/>
      <c r="I26" s="523"/>
    </row>
    <row r="27" spans="2:9">
      <c r="B27" s="761"/>
      <c r="C27" s="777"/>
      <c r="D27" s="673"/>
      <c r="E27" s="673"/>
      <c r="F27" s="783"/>
      <c r="G27" s="780"/>
      <c r="I27" s="523"/>
    </row>
    <row r="28" spans="2:9">
      <c r="B28" s="761">
        <v>2026</v>
      </c>
      <c r="C28" s="777" t="s">
        <v>40</v>
      </c>
      <c r="D28" s="673">
        <v>1050</v>
      </c>
      <c r="E28" s="781">
        <f t="shared" si="1"/>
        <v>58.11797395207757</v>
      </c>
      <c r="F28" s="783"/>
      <c r="G28" s="784"/>
      <c r="I28" s="637"/>
    </row>
    <row r="29" spans="2:9">
      <c r="B29" s="761">
        <v>2026</v>
      </c>
      <c r="C29" s="777" t="s">
        <v>41</v>
      </c>
      <c r="D29" s="673">
        <v>760</v>
      </c>
      <c r="E29" s="781">
        <f t="shared" si="1"/>
        <v>42.06634305102758</v>
      </c>
      <c r="F29" s="783"/>
      <c r="G29" s="784"/>
    </row>
    <row r="30" spans="2:9">
      <c r="B30" s="761">
        <v>2026</v>
      </c>
      <c r="C30" s="777" t="s">
        <v>42</v>
      </c>
      <c r="D30" s="673">
        <v>740</v>
      </c>
      <c r="E30" s="781">
        <f t="shared" si="1"/>
        <v>40.959334023368953</v>
      </c>
      <c r="F30" s="783"/>
      <c r="G30" s="780"/>
      <c r="I30" s="639"/>
    </row>
    <row r="31" spans="2:9">
      <c r="B31" s="761">
        <v>2026</v>
      </c>
      <c r="C31" s="777" t="s">
        <v>43</v>
      </c>
      <c r="D31" s="673">
        <v>200</v>
      </c>
      <c r="E31" s="781">
        <f t="shared" si="1"/>
        <v>11.070090276586205</v>
      </c>
      <c r="F31" s="783"/>
      <c r="G31" s="780"/>
      <c r="I31" s="638"/>
    </row>
    <row r="32" spans="2:9">
      <c r="B32" s="761">
        <v>2026</v>
      </c>
      <c r="C32" s="777" t="s">
        <v>44</v>
      </c>
      <c r="D32" s="673">
        <v>1000</v>
      </c>
      <c r="E32" s="781">
        <f t="shared" si="1"/>
        <v>55.35045138293102</v>
      </c>
      <c r="F32" s="783"/>
      <c r="G32" s="780"/>
      <c r="I32" s="638"/>
    </row>
    <row r="33" spans="2:9">
      <c r="B33" s="761">
        <v>2026</v>
      </c>
      <c r="C33" s="777" t="s">
        <v>45</v>
      </c>
      <c r="D33" s="673">
        <v>150</v>
      </c>
      <c r="E33" s="781">
        <f t="shared" si="1"/>
        <v>8.3025677074396533</v>
      </c>
      <c r="F33" s="783"/>
      <c r="G33" s="780"/>
      <c r="I33" s="638"/>
    </row>
    <row r="34" spans="2:9">
      <c r="B34" s="761">
        <v>2026</v>
      </c>
      <c r="C34" s="777" t="s">
        <v>46</v>
      </c>
      <c r="D34" s="673">
        <v>1300</v>
      </c>
      <c r="E34" s="781">
        <f t="shared" si="1"/>
        <v>71.955586797810327</v>
      </c>
      <c r="F34" s="783"/>
      <c r="G34" s="780"/>
      <c r="I34" s="638"/>
    </row>
    <row r="35" spans="2:9">
      <c r="B35" s="761">
        <v>2026</v>
      </c>
      <c r="C35" s="777" t="s">
        <v>47</v>
      </c>
      <c r="D35" s="673">
        <v>200</v>
      </c>
      <c r="E35" s="781">
        <f t="shared" si="1"/>
        <v>11.070090276586205</v>
      </c>
      <c r="F35" s="783"/>
      <c r="G35" s="780"/>
      <c r="I35" s="638"/>
    </row>
    <row r="36" spans="2:9">
      <c r="B36" s="761">
        <v>2030</v>
      </c>
      <c r="C36" s="777" t="s">
        <v>48</v>
      </c>
      <c r="D36" s="673">
        <v>10000</v>
      </c>
      <c r="E36" s="781">
        <f t="shared" si="1"/>
        <v>553.50451382931021</v>
      </c>
      <c r="F36" s="783"/>
      <c r="G36" s="780"/>
      <c r="I36" s="638"/>
    </row>
    <row r="37" spans="2:9">
      <c r="B37" s="761"/>
      <c r="C37" s="777"/>
      <c r="D37" s="673"/>
      <c r="E37" s="673"/>
      <c r="F37" s="783"/>
      <c r="G37" s="780"/>
      <c r="I37" s="638"/>
    </row>
    <row r="38" spans="2:9">
      <c r="B38" s="761">
        <v>2027</v>
      </c>
      <c r="C38" s="777" t="s">
        <v>49</v>
      </c>
      <c r="D38" s="673">
        <v>4022.6030000000001</v>
      </c>
      <c r="E38" s="781">
        <f t="shared" si="1"/>
        <v>222.6528917843325</v>
      </c>
      <c r="F38" s="783"/>
      <c r="G38" s="780"/>
      <c r="I38" s="638"/>
    </row>
    <row r="39" spans="2:9">
      <c r="B39" s="761">
        <v>2028</v>
      </c>
      <c r="C39" s="777" t="s">
        <v>50</v>
      </c>
      <c r="D39" s="673">
        <v>3739.9070000000002</v>
      </c>
      <c r="E39" s="781">
        <f t="shared" si="1"/>
        <v>207.00554058018341</v>
      </c>
      <c r="F39" s="783"/>
      <c r="G39" s="780"/>
      <c r="I39" s="638"/>
    </row>
    <row r="40" spans="2:9">
      <c r="B40" s="761"/>
      <c r="C40" s="778"/>
      <c r="D40" s="673"/>
      <c r="E40" s="673"/>
      <c r="F40" s="783"/>
      <c r="G40" s="780"/>
      <c r="I40" s="638"/>
    </row>
    <row r="41" spans="2:9">
      <c r="B41" s="761"/>
      <c r="C41" s="778"/>
      <c r="D41" s="673"/>
      <c r="E41" s="673"/>
      <c r="F41" s="784"/>
      <c r="G41" s="784"/>
    </row>
    <row r="42" spans="2:9">
      <c r="B42" s="761"/>
      <c r="C42" s="776" t="s">
        <v>51</v>
      </c>
      <c r="D42" s="673"/>
      <c r="E42" s="673"/>
      <c r="F42" s="784"/>
      <c r="G42" s="784"/>
      <c r="I42" s="523"/>
    </row>
    <row r="43" spans="2:9">
      <c r="B43" s="761">
        <v>2030</v>
      </c>
      <c r="C43" s="777" t="s">
        <v>52</v>
      </c>
      <c r="D43" s="781">
        <f>E43/$J$2</f>
        <v>7000.7920499000011</v>
      </c>
      <c r="E43" s="782">
        <v>387.49700000000001</v>
      </c>
      <c r="F43" s="784"/>
      <c r="G43" s="784"/>
    </row>
    <row r="44" spans="2:9">
      <c r="B44" s="761">
        <v>2032</v>
      </c>
      <c r="C44" s="777" t="s">
        <v>26</v>
      </c>
      <c r="D44" s="781">
        <f t="shared" ref="D44:D47" si="2">E44/$J$2</f>
        <v>7403.390392700001</v>
      </c>
      <c r="E44" s="782">
        <v>409.78100000000001</v>
      </c>
      <c r="F44" s="784"/>
      <c r="G44" s="784"/>
    </row>
    <row r="45" spans="2:9">
      <c r="B45" s="761">
        <v>2034</v>
      </c>
      <c r="C45" s="777" t="s">
        <v>27</v>
      </c>
      <c r="D45" s="781">
        <f t="shared" si="2"/>
        <v>5418.2033300000003</v>
      </c>
      <c r="E45" s="782">
        <v>299.89999999999998</v>
      </c>
      <c r="F45" s="784"/>
      <c r="G45" s="784"/>
    </row>
    <row r="46" spans="2:9">
      <c r="B46" s="761">
        <v>2044</v>
      </c>
      <c r="C46" s="777" t="s">
        <v>29</v>
      </c>
      <c r="D46" s="781">
        <f t="shared" si="2"/>
        <v>6323.3450000000003</v>
      </c>
      <c r="E46" s="782">
        <v>350</v>
      </c>
      <c r="F46" s="784"/>
      <c r="G46" s="784"/>
    </row>
    <row r="47" spans="2:9">
      <c r="B47" s="761">
        <v>2050</v>
      </c>
      <c r="C47" s="777" t="s">
        <v>53</v>
      </c>
      <c r="D47" s="781">
        <f t="shared" si="2"/>
        <v>7904.1812500000005</v>
      </c>
      <c r="E47" s="782">
        <v>437.5</v>
      </c>
      <c r="F47" s="784"/>
      <c r="G47" s="784"/>
    </row>
    <row r="48" spans="2:9">
      <c r="B48" s="761"/>
      <c r="C48" s="777"/>
      <c r="D48" s="673"/>
      <c r="E48" s="782"/>
      <c r="F48" s="784"/>
      <c r="G48" s="784"/>
    </row>
    <row r="49" spans="2:10">
      <c r="B49" s="761">
        <v>2026</v>
      </c>
      <c r="C49" s="777" t="s">
        <v>54</v>
      </c>
      <c r="D49" s="781">
        <f t="shared" ref="D49:D50" si="3">E49/$J$2</f>
        <v>2619.6715000000004</v>
      </c>
      <c r="E49" s="782">
        <v>145</v>
      </c>
      <c r="F49" s="784"/>
      <c r="G49" s="784"/>
    </row>
    <row r="50" spans="2:10">
      <c r="B50" s="761">
        <v>2027</v>
      </c>
      <c r="C50" s="777" t="s">
        <v>55</v>
      </c>
      <c r="D50" s="781">
        <f t="shared" si="3"/>
        <v>13550.025000000001</v>
      </c>
      <c r="E50" s="782">
        <v>750</v>
      </c>
      <c r="F50" s="784"/>
      <c r="G50" s="784"/>
    </row>
    <row r="51" spans="2:10">
      <c r="B51" s="761"/>
      <c r="C51" s="777"/>
      <c r="D51" s="673"/>
      <c r="E51" s="782"/>
      <c r="F51" s="784"/>
      <c r="G51" s="784"/>
    </row>
    <row r="52" spans="2:10">
      <c r="B52" s="761">
        <v>2029</v>
      </c>
      <c r="C52" s="777" t="s">
        <v>56</v>
      </c>
      <c r="D52" s="781">
        <f>E52/$J$2</f>
        <v>220.64860710000002</v>
      </c>
      <c r="E52" s="782">
        <v>12.212999999999999</v>
      </c>
      <c r="F52" s="784"/>
      <c r="G52" s="784"/>
    </row>
    <row r="53" spans="2:10">
      <c r="B53" s="761"/>
      <c r="C53" s="777"/>
      <c r="D53" s="673"/>
      <c r="E53" s="673"/>
      <c r="F53" s="784"/>
      <c r="G53" s="784"/>
    </row>
    <row r="54" spans="2:10">
      <c r="B54" s="761">
        <v>2028</v>
      </c>
      <c r="C54" s="777" t="s">
        <v>57</v>
      </c>
      <c r="D54" s="673">
        <v>731.255</v>
      </c>
      <c r="E54" s="781">
        <f>D54*$J$2</f>
        <v>40.475294326025221</v>
      </c>
      <c r="F54" s="784"/>
      <c r="G54" s="784"/>
      <c r="J54" s="637"/>
    </row>
    <row r="55" spans="2:10">
      <c r="B55" s="761">
        <v>2029</v>
      </c>
      <c r="C55" s="777" t="s">
        <v>58</v>
      </c>
      <c r="D55" s="673">
        <v>977</v>
      </c>
      <c r="E55" s="781">
        <f t="shared" ref="E55:E58" si="4">D55*$J$2</f>
        <v>54.077391001123608</v>
      </c>
      <c r="F55" s="784"/>
      <c r="G55" s="784"/>
    </row>
    <row r="56" spans="2:10">
      <c r="B56" s="761">
        <v>2031</v>
      </c>
      <c r="C56" s="777" t="s">
        <v>59</v>
      </c>
      <c r="D56" s="673">
        <v>1832.8240000000001</v>
      </c>
      <c r="E56" s="781">
        <f t="shared" si="4"/>
        <v>101.44763570546917</v>
      </c>
      <c r="F56" s="784"/>
      <c r="G56" s="784"/>
    </row>
    <row r="57" spans="2:10">
      <c r="B57" s="761">
        <v>2031</v>
      </c>
      <c r="C57" s="777" t="s">
        <v>60</v>
      </c>
      <c r="D57" s="673">
        <v>506.13</v>
      </c>
      <c r="E57" s="781">
        <f t="shared" si="4"/>
        <v>28.014523958442879</v>
      </c>
      <c r="F57" s="784"/>
      <c r="G57" s="784"/>
    </row>
    <row r="58" spans="2:10">
      <c r="B58" s="761">
        <v>2037</v>
      </c>
      <c r="C58" s="777" t="s">
        <v>61</v>
      </c>
      <c r="D58" s="673">
        <v>505.69099999999997</v>
      </c>
      <c r="E58" s="781">
        <f t="shared" si="4"/>
        <v>27.99022511028577</v>
      </c>
      <c r="F58" s="784"/>
      <c r="G58" s="784"/>
    </row>
    <row r="59" spans="2:10">
      <c r="B59" s="761"/>
      <c r="C59" s="777"/>
      <c r="D59" s="673"/>
      <c r="E59" s="673"/>
      <c r="F59" s="784"/>
      <c r="G59" s="784"/>
    </row>
    <row r="60" spans="2:10">
      <c r="B60" s="761">
        <v>2026</v>
      </c>
      <c r="C60" s="777" t="s">
        <v>62</v>
      </c>
      <c r="D60" s="673">
        <v>1450</v>
      </c>
      <c r="E60" s="781">
        <f>D60*$J$2</f>
        <v>80.258154505249976</v>
      </c>
      <c r="F60" s="784"/>
      <c r="G60" s="784"/>
    </row>
    <row r="61" spans="2:10">
      <c r="C61" s="778"/>
      <c r="D61" s="673"/>
      <c r="E61" s="669"/>
      <c r="F61" s="784"/>
      <c r="G61" s="784"/>
    </row>
    <row r="62" spans="2:10">
      <c r="C62" s="777" t="s">
        <v>63</v>
      </c>
      <c r="D62" s="673">
        <v>-945.19</v>
      </c>
      <c r="E62" s="781">
        <f t="shared" ref="E62:E64" si="5">D62*$J$2</f>
        <v>-52.316693142632573</v>
      </c>
      <c r="F62" s="784"/>
      <c r="G62" s="784"/>
      <c r="I62" s="727"/>
      <c r="J62" s="649"/>
    </row>
    <row r="63" spans="2:10">
      <c r="C63" s="777" t="s">
        <v>64</v>
      </c>
      <c r="D63" s="673">
        <v>-183.511</v>
      </c>
      <c r="E63" s="781">
        <f t="shared" si="5"/>
        <v>-10.157416683733054</v>
      </c>
      <c r="F63" s="784"/>
      <c r="G63" s="784"/>
      <c r="I63" s="727"/>
      <c r="J63" s="649"/>
    </row>
    <row r="64" spans="2:10">
      <c r="C64" s="777" t="s">
        <v>65</v>
      </c>
      <c r="D64" s="673">
        <v>0</v>
      </c>
      <c r="E64" s="781">
        <f t="shared" si="5"/>
        <v>0</v>
      </c>
      <c r="F64" s="784"/>
      <c r="G64" s="784"/>
    </row>
    <row r="65" spans="3:7">
      <c r="C65" s="778"/>
      <c r="D65" s="673"/>
      <c r="E65" s="675"/>
      <c r="F65" s="784"/>
      <c r="G65" s="784"/>
    </row>
    <row r="66" spans="3:7">
      <c r="C66" s="779" t="s">
        <v>66</v>
      </c>
      <c r="D66" s="787">
        <f>SUM(D10:D64)</f>
        <v>150529.21938200001</v>
      </c>
      <c r="E66" s="679">
        <f>SUM(E10:E64)</f>
        <v>8331.8602391139502</v>
      </c>
      <c r="F66" s="788">
        <f>+D66/D71</f>
        <v>6.7337675739920888</v>
      </c>
      <c r="G66" s="788">
        <f>+E66/E71</f>
        <v>6.8845174974730083</v>
      </c>
    </row>
    <row r="67" spans="3:7">
      <c r="C67" s="531" t="s">
        <v>67</v>
      </c>
      <c r="D67" s="478">
        <f>Model!AZ$123</f>
        <v>13100.173000000001</v>
      </c>
      <c r="E67" s="669">
        <f>D67*$J2</f>
        <v>725.10048874448569</v>
      </c>
      <c r="F67" s="785"/>
      <c r="G67" s="785"/>
    </row>
    <row r="68" spans="3:7">
      <c r="C68" s="779" t="s">
        <v>68</v>
      </c>
      <c r="D68" s="679">
        <f>+D66-D67</f>
        <v>137429.046382</v>
      </c>
      <c r="E68" s="679">
        <f>+E66-E67</f>
        <v>7606.7597503694642</v>
      </c>
      <c r="F68" s="788">
        <f>+D68/D71</f>
        <v>6.1477450029374552</v>
      </c>
      <c r="G68" s="788">
        <f>+E68/E71</f>
        <v>6.2853755461050733</v>
      </c>
    </row>
    <row r="69" spans="3:7">
      <c r="C69" s="531" t="s">
        <v>69</v>
      </c>
      <c r="D69" s="478">
        <f>Model!AZ$128</f>
        <v>402857.17499999999</v>
      </c>
      <c r="E69" s="669">
        <f>D69*$J2</f>
        <v>22298.326479102434</v>
      </c>
      <c r="F69" s="531"/>
      <c r="G69" s="531"/>
    </row>
    <row r="70" spans="3:7">
      <c r="C70" s="779" t="s">
        <v>70</v>
      </c>
      <c r="D70" s="679">
        <f>D66+D69</f>
        <v>553386.39438199997</v>
      </c>
      <c r="E70" s="679">
        <f>E66+E69</f>
        <v>30630.186718216384</v>
      </c>
      <c r="F70" s="788">
        <f>D70/D71</f>
        <v>24.755162975511332</v>
      </c>
      <c r="G70" s="788">
        <f>E70/E71</f>
        <v>25.309360738251101</v>
      </c>
    </row>
    <row r="71" spans="3:7" s="632" customFormat="1">
      <c r="C71" s="557" t="s">
        <v>71</v>
      </c>
      <c r="D71" s="479">
        <f>Model!AZ$102</f>
        <v>22354.383000000002</v>
      </c>
      <c r="E71" s="786">
        <f>D71*$J3</f>
        <v>1210.2315437751731</v>
      </c>
      <c r="F71" s="557"/>
      <c r="G71" s="557"/>
    </row>
    <row r="72" spans="3:7">
      <c r="C72" s="606" t="s">
        <v>72</v>
      </c>
      <c r="D72" s="623">
        <f>D66-Model!AZ$126</f>
        <v>9.382000018376857E-3</v>
      </c>
      <c r="E72" s="626"/>
    </row>
    <row r="73" spans="3:7">
      <c r="C73" s="606"/>
      <c r="D73" s="623"/>
      <c r="E73" s="626"/>
    </row>
    <row r="74" spans="3:7" ht="13.5" thickBot="1">
      <c r="C74" s="531"/>
      <c r="D74" s="609"/>
      <c r="E74" s="609"/>
    </row>
    <row r="75" spans="3:7">
      <c r="C75" s="698" t="s">
        <v>73</v>
      </c>
      <c r="D75" s="700" t="str">
        <f>D6</f>
        <v>MXN (mn)</v>
      </c>
      <c r="E75" s="700" t="str">
        <f>E6</f>
        <v>USD (mn)</v>
      </c>
    </row>
    <row r="76" spans="3:7">
      <c r="C76" s="615" t="s">
        <v>74</v>
      </c>
      <c r="D76" s="520">
        <f>D67</f>
        <v>13100.173000000001</v>
      </c>
      <c r="E76" s="519">
        <f>D76*$J$2</f>
        <v>725.10048874448569</v>
      </c>
    </row>
    <row r="77" spans="3:7" ht="13.5" thickBot="1">
      <c r="C77" s="616" t="s">
        <v>75</v>
      </c>
      <c r="D77" s="517">
        <f>SUM(D76:D76)</f>
        <v>13100.173000000001</v>
      </c>
      <c r="E77" s="516">
        <f>SUM(E76:E76)</f>
        <v>725.10048874448569</v>
      </c>
    </row>
    <row r="78" spans="3:7">
      <c r="C78" s="531"/>
      <c r="D78" s="531"/>
      <c r="E78" s="531"/>
    </row>
    <row r="79" spans="3:7" ht="13.5" thickBot="1">
      <c r="C79" s="531"/>
      <c r="D79" s="531"/>
      <c r="E79" s="531"/>
    </row>
    <row r="80" spans="3:7">
      <c r="C80" s="699" t="s">
        <v>76</v>
      </c>
      <c r="D80" s="700" t="str">
        <f>D75</f>
        <v>MXN (mn)</v>
      </c>
      <c r="E80" s="700" t="str">
        <f>E75</f>
        <v>USD (mn)</v>
      </c>
    </row>
    <row r="81" spans="3:6">
      <c r="C81" s="653">
        <v>2026</v>
      </c>
      <c r="D81" s="659">
        <v>10969.6715</v>
      </c>
      <c r="E81" s="764">
        <f>D81*$J$2</f>
        <v>607.17626904747408</v>
      </c>
      <c r="F81" s="655"/>
    </row>
    <row r="82" spans="3:6">
      <c r="C82" s="653">
        <v>2027</v>
      </c>
      <c r="D82" s="659">
        <v>24102.228000000003</v>
      </c>
      <c r="E82" s="764">
        <f t="shared" ref="E82:E92" si="6">D82*$J$2</f>
        <v>1334.069199134319</v>
      </c>
    </row>
    <row r="83" spans="3:6">
      <c r="C83" s="653">
        <v>2028</v>
      </c>
      <c r="D83" s="659">
        <v>11071.161999999998</v>
      </c>
      <c r="E83" s="764">
        <f t="shared" si="6"/>
        <v>612.7938140335533</v>
      </c>
    </row>
    <row r="84" spans="3:6">
      <c r="C84" s="653">
        <v>2029</v>
      </c>
      <c r="D84" s="659">
        <v>1197.6486070999999</v>
      </c>
      <c r="E84" s="764">
        <f t="shared" si="6"/>
        <v>66.290391001123609</v>
      </c>
    </row>
    <row r="85" spans="3:6">
      <c r="C85" s="653">
        <v>2030</v>
      </c>
      <c r="D85" s="659">
        <v>34815.605600000003</v>
      </c>
      <c r="E85" s="764">
        <f t="shared" si="6"/>
        <v>1927.0594851301012</v>
      </c>
    </row>
    <row r="86" spans="3:6">
      <c r="C86" s="653">
        <v>2031</v>
      </c>
      <c r="D86" s="659">
        <v>2338.9540000000002</v>
      </c>
      <c r="E86" s="764">
        <f t="shared" si="6"/>
        <v>129.46215966391205</v>
      </c>
    </row>
    <row r="87" spans="3:6">
      <c r="C87" s="653">
        <v>2032</v>
      </c>
      <c r="D87" s="659">
        <v>22654.486659400001</v>
      </c>
      <c r="E87" s="764">
        <f t="shared" si="6"/>
        <v>1253.9360624463793</v>
      </c>
    </row>
    <row r="88" spans="3:6">
      <c r="C88" s="653">
        <v>2033</v>
      </c>
      <c r="D88" s="659">
        <v>4970</v>
      </c>
      <c r="E88" s="764">
        <f t="shared" si="6"/>
        <v>275.09174337316716</v>
      </c>
    </row>
    <row r="89" spans="3:6">
      <c r="C89" s="653">
        <v>2034</v>
      </c>
      <c r="D89" s="659">
        <v>10840.02</v>
      </c>
      <c r="E89" s="764">
        <f t="shared" si="6"/>
        <v>600</v>
      </c>
    </row>
    <row r="90" spans="3:6">
      <c r="C90" s="653">
        <v>2037</v>
      </c>
      <c r="D90" s="659">
        <v>1481.7625342000001</v>
      </c>
      <c r="E90" s="764">
        <f t="shared" si="6"/>
        <v>82.016225110285774</v>
      </c>
    </row>
    <row r="91" spans="3:6">
      <c r="C91" s="653">
        <v>2044</v>
      </c>
      <c r="D91" s="659">
        <v>12444.342960000002</v>
      </c>
      <c r="E91" s="764">
        <f t="shared" si="6"/>
        <v>688.80000000000007</v>
      </c>
    </row>
    <row r="92" spans="3:6" ht="13.5" thickBot="1">
      <c r="C92" s="653">
        <v>2050</v>
      </c>
      <c r="D92" s="659">
        <v>14772.038521300001</v>
      </c>
      <c r="E92" s="764">
        <f t="shared" si="6"/>
        <v>817.63900000000001</v>
      </c>
    </row>
    <row r="93" spans="3:6" ht="13.5" thickBot="1">
      <c r="C93" s="621" t="s">
        <v>77</v>
      </c>
      <c r="D93" s="594">
        <f>SUM(D81:D92)</f>
        <v>151657.92038200001</v>
      </c>
      <c r="E93" s="594">
        <f>SUM(E81:E92)</f>
        <v>8394.334348940316</v>
      </c>
    </row>
    <row r="94" spans="3:6">
      <c r="C94" s="606" t="s">
        <v>72</v>
      </c>
      <c r="D94" s="509">
        <f>D93-SUM(D10:D60)</f>
        <v>0</v>
      </c>
    </row>
    <row r="98" spans="2:10">
      <c r="B98" s="632" t="s">
        <v>78</v>
      </c>
      <c r="I98" s="557" t="s">
        <v>15</v>
      </c>
      <c r="J98" s="556">
        <f>Model!$N$203</f>
        <v>5.5350451382931022E-2</v>
      </c>
    </row>
    <row r="99" spans="2:10">
      <c r="B99" s="632"/>
      <c r="I99" s="557" t="s">
        <v>16</v>
      </c>
      <c r="J99" s="556">
        <f>Model!$N$202</f>
        <v>5.4138445412480099E-2</v>
      </c>
    </row>
    <row r="100" spans="2:10">
      <c r="B100" s="632"/>
      <c r="C100" s="632"/>
      <c r="D100" s="632"/>
      <c r="E100" s="632"/>
      <c r="F100" s="632"/>
      <c r="G100" s="632"/>
    </row>
    <row r="101" spans="2:10" ht="13.5" thickBot="1">
      <c r="B101" s="632"/>
    </row>
    <row r="102" spans="2:10" ht="12.95" customHeight="1">
      <c r="C102" s="702" t="s">
        <v>79</v>
      </c>
      <c r="D102" s="704" t="s">
        <v>18</v>
      </c>
      <c r="E102" s="759" t="s">
        <v>19</v>
      </c>
      <c r="F102" s="704" t="s">
        <v>20</v>
      </c>
      <c r="G102" s="704" t="s">
        <v>21</v>
      </c>
      <c r="I102" s="765" t="s">
        <v>22</v>
      </c>
      <c r="J102" s="706" t="s">
        <v>18</v>
      </c>
    </row>
    <row r="103" spans="2:10" ht="13.5" thickBot="1">
      <c r="C103" s="660"/>
      <c r="D103" s="661"/>
      <c r="E103" s="661"/>
      <c r="F103" s="664"/>
      <c r="G103" s="664"/>
      <c r="I103" s="642" t="s">
        <v>23</v>
      </c>
      <c r="J103" s="643">
        <v>152011.29999999999</v>
      </c>
    </row>
    <row r="104" spans="2:10">
      <c r="C104" s="660"/>
      <c r="D104" s="665"/>
      <c r="E104" s="665"/>
      <c r="F104" s="664"/>
      <c r="G104" s="664"/>
    </row>
    <row r="105" spans="2:10">
      <c r="C105" s="660" t="s">
        <v>24</v>
      </c>
      <c r="D105" s="666"/>
      <c r="E105" s="666"/>
      <c r="F105" s="664"/>
      <c r="G105" s="664"/>
    </row>
    <row r="106" spans="2:10">
      <c r="B106" s="761">
        <v>2030</v>
      </c>
      <c r="C106" s="756" t="s">
        <v>25</v>
      </c>
      <c r="D106" s="762">
        <f>E106/$J$98</f>
        <v>6874.4335501000005</v>
      </c>
      <c r="E106" s="659">
        <v>380.50299999999999</v>
      </c>
      <c r="F106" s="664"/>
      <c r="G106" s="664"/>
    </row>
    <row r="107" spans="2:10">
      <c r="B107" s="761">
        <v>2032</v>
      </c>
      <c r="C107" s="756" t="s">
        <v>26</v>
      </c>
      <c r="D107" s="762">
        <f t="shared" ref="D107:D111" si="7">E107/$J$98</f>
        <v>6251.0962667000003</v>
      </c>
      <c r="E107" s="659">
        <v>346.00099999999998</v>
      </c>
      <c r="F107" s="664"/>
      <c r="G107" s="664"/>
    </row>
    <row r="108" spans="2:10">
      <c r="B108" s="761">
        <v>2034</v>
      </c>
      <c r="C108" s="756" t="s">
        <v>27</v>
      </c>
      <c r="D108" s="762">
        <f t="shared" si="7"/>
        <v>5421.8166700000011</v>
      </c>
      <c r="E108" s="659">
        <v>300.10000000000002</v>
      </c>
      <c r="F108" s="664"/>
      <c r="G108" s="664"/>
    </row>
    <row r="109" spans="2:10">
      <c r="B109" s="761">
        <v>2037</v>
      </c>
      <c r="C109" s="756" t="s">
        <v>28</v>
      </c>
      <c r="D109" s="762">
        <f>E109/$J$98</f>
        <v>976.0715342000002</v>
      </c>
      <c r="E109" s="659">
        <v>54.026000000000003</v>
      </c>
      <c r="F109" s="664"/>
      <c r="G109" s="664"/>
    </row>
    <row r="110" spans="2:10">
      <c r="B110" s="761">
        <v>2044</v>
      </c>
      <c r="C110" s="756" t="s">
        <v>29</v>
      </c>
      <c r="D110" s="762">
        <f t="shared" si="7"/>
        <v>6120.9979600000006</v>
      </c>
      <c r="E110" s="659">
        <v>338.8</v>
      </c>
      <c r="F110" s="664"/>
      <c r="G110" s="664"/>
    </row>
    <row r="111" spans="2:10">
      <c r="B111" s="761">
        <v>2050</v>
      </c>
      <c r="C111" s="756" t="s">
        <v>30</v>
      </c>
      <c r="D111" s="762">
        <f t="shared" si="7"/>
        <v>6867.8572713000012</v>
      </c>
      <c r="E111" s="659">
        <v>380.13900000000001</v>
      </c>
      <c r="F111" s="664"/>
      <c r="G111" s="664"/>
    </row>
    <row r="112" spans="2:10">
      <c r="C112" s="756"/>
      <c r="D112" s="659"/>
      <c r="E112" s="659"/>
      <c r="F112" s="664"/>
      <c r="G112" s="664"/>
    </row>
    <row r="113" spans="2:9">
      <c r="B113" s="761">
        <v>2026</v>
      </c>
      <c r="C113" s="756" t="s">
        <v>31</v>
      </c>
      <c r="D113" s="659">
        <v>1500</v>
      </c>
      <c r="E113" s="762">
        <f>D113*$J$98</f>
        <v>83.025677074396526</v>
      </c>
      <c r="F113" s="664"/>
      <c r="G113" s="664"/>
    </row>
    <row r="114" spans="2:9">
      <c r="B114" s="761">
        <v>2027</v>
      </c>
      <c r="C114" s="756" t="s">
        <v>32</v>
      </c>
      <c r="D114" s="659">
        <v>1730</v>
      </c>
      <c r="E114" s="762">
        <f t="shared" ref="E114:E119" si="8">D114*$J$98</f>
        <v>95.75628089247067</v>
      </c>
      <c r="F114" s="664"/>
      <c r="G114" s="664"/>
      <c r="I114" s="637"/>
    </row>
    <row r="115" spans="2:9">
      <c r="B115" s="761">
        <v>2027</v>
      </c>
      <c r="C115" s="756" t="s">
        <v>33</v>
      </c>
      <c r="D115" s="659">
        <v>4799.6000000000004</v>
      </c>
      <c r="E115" s="762">
        <f t="shared" si="8"/>
        <v>265.66002645751576</v>
      </c>
      <c r="F115" s="760"/>
      <c r="G115" s="664"/>
    </row>
    <row r="116" spans="2:9">
      <c r="B116" s="761">
        <v>2028</v>
      </c>
      <c r="C116" s="756" t="s">
        <v>34</v>
      </c>
      <c r="D116" s="659">
        <v>3700</v>
      </c>
      <c r="E116" s="762">
        <f t="shared" si="8"/>
        <v>204.79667011684478</v>
      </c>
      <c r="F116" s="760"/>
      <c r="G116" s="664"/>
    </row>
    <row r="117" spans="2:9">
      <c r="B117" s="761">
        <v>2028</v>
      </c>
      <c r="C117" s="756" t="s">
        <v>35</v>
      </c>
      <c r="D117" s="659">
        <v>2900</v>
      </c>
      <c r="E117" s="762">
        <f t="shared" si="8"/>
        <v>160.51630901049995</v>
      </c>
      <c r="F117" s="760"/>
      <c r="G117" s="671"/>
    </row>
    <row r="118" spans="2:9">
      <c r="B118" s="761">
        <v>2032</v>
      </c>
      <c r="C118" s="756" t="s">
        <v>36</v>
      </c>
      <c r="D118" s="659">
        <v>9000</v>
      </c>
      <c r="E118" s="762">
        <f t="shared" si="8"/>
        <v>498.15406244637921</v>
      </c>
      <c r="F118" s="760"/>
      <c r="G118" s="664"/>
    </row>
    <row r="119" spans="2:9">
      <c r="B119" s="761">
        <v>2033</v>
      </c>
      <c r="C119" s="756" t="s">
        <v>37</v>
      </c>
      <c r="D119" s="659">
        <v>4970</v>
      </c>
      <c r="E119" s="762">
        <f t="shared" si="8"/>
        <v>275.09174337316716</v>
      </c>
      <c r="F119" s="760"/>
      <c r="G119" s="664"/>
      <c r="I119" s="523"/>
    </row>
    <row r="120" spans="2:9">
      <c r="B120" s="761"/>
      <c r="C120" s="756"/>
      <c r="D120" s="659"/>
      <c r="E120" s="659"/>
      <c r="F120" s="760"/>
      <c r="G120" s="664"/>
      <c r="I120" s="523"/>
    </row>
    <row r="121" spans="2:9" ht="25.5">
      <c r="B121" s="761">
        <v>2030</v>
      </c>
      <c r="C121" s="756" t="s">
        <v>80</v>
      </c>
      <c r="D121" s="659">
        <v>1500</v>
      </c>
      <c r="E121" s="762">
        <f t="shared" ref="E121:E123" si="9">D121*$J$98</f>
        <v>83.025677074396526</v>
      </c>
      <c r="F121" s="760"/>
      <c r="G121" s="664"/>
      <c r="I121" s="523"/>
    </row>
    <row r="122" spans="2:9">
      <c r="B122" s="761">
        <v>2030</v>
      </c>
      <c r="C122" s="756" t="s">
        <v>81</v>
      </c>
      <c r="D122" s="659">
        <v>1856.4269999999999</v>
      </c>
      <c r="E122" s="762">
        <f t="shared" si="9"/>
        <v>102.75407240946048</v>
      </c>
      <c r="F122" s="760"/>
      <c r="G122" s="664"/>
      <c r="I122" s="523"/>
    </row>
    <row r="123" spans="2:9">
      <c r="B123" s="761">
        <v>2030</v>
      </c>
      <c r="C123" s="756" t="s">
        <v>82</v>
      </c>
      <c r="D123" s="659">
        <v>9472.68</v>
      </c>
      <c r="E123" s="762">
        <f t="shared" si="9"/>
        <v>524.31711380606305</v>
      </c>
      <c r="F123" s="760"/>
      <c r="G123" s="664"/>
      <c r="I123" s="523"/>
    </row>
    <row r="124" spans="2:9">
      <c r="B124" s="761"/>
      <c r="C124" s="756"/>
      <c r="D124" s="659"/>
      <c r="E124" s="659"/>
      <c r="F124" s="760"/>
      <c r="G124" s="664"/>
      <c r="I124" s="523"/>
    </row>
    <row r="125" spans="2:9">
      <c r="B125" s="761">
        <v>2026</v>
      </c>
      <c r="C125" s="756" t="s">
        <v>83</v>
      </c>
      <c r="D125" s="659">
        <v>740</v>
      </c>
      <c r="E125" s="762">
        <f t="shared" ref="E125:E132" si="10">D125*$J$98</f>
        <v>40.959334023368953</v>
      </c>
      <c r="F125" s="760"/>
      <c r="G125" s="671"/>
      <c r="I125" s="637"/>
    </row>
    <row r="126" spans="2:9">
      <c r="B126" s="761">
        <v>2026</v>
      </c>
      <c r="C126" s="756" t="s">
        <v>41</v>
      </c>
      <c r="D126" s="659">
        <v>760</v>
      </c>
      <c r="E126" s="762">
        <f t="shared" si="10"/>
        <v>42.06634305102758</v>
      </c>
      <c r="F126" s="760"/>
      <c r="G126" s="671"/>
    </row>
    <row r="127" spans="2:9">
      <c r="B127" s="761">
        <v>2026</v>
      </c>
      <c r="C127" s="756" t="s">
        <v>46</v>
      </c>
      <c r="D127" s="659">
        <v>1300</v>
      </c>
      <c r="E127" s="762">
        <f t="shared" si="10"/>
        <v>71.955586797810327</v>
      </c>
      <c r="F127" s="760"/>
      <c r="G127" s="664"/>
      <c r="I127" s="639"/>
    </row>
    <row r="128" spans="2:9">
      <c r="B128" s="761">
        <v>2026</v>
      </c>
      <c r="C128" s="756" t="s">
        <v>40</v>
      </c>
      <c r="D128" s="659">
        <v>1050</v>
      </c>
      <c r="E128" s="762">
        <f t="shared" si="10"/>
        <v>58.11797395207757</v>
      </c>
      <c r="F128" s="760"/>
      <c r="G128" s="664"/>
      <c r="I128" s="638"/>
    </row>
    <row r="129" spans="2:9">
      <c r="B129" s="761">
        <v>2026</v>
      </c>
      <c r="C129" s="756" t="s">
        <v>43</v>
      </c>
      <c r="D129" s="659">
        <v>200</v>
      </c>
      <c r="E129" s="762">
        <f t="shared" si="10"/>
        <v>11.070090276586205</v>
      </c>
      <c r="F129" s="760"/>
      <c r="G129" s="664"/>
      <c r="I129" s="638"/>
    </row>
    <row r="130" spans="2:9">
      <c r="B130" s="761">
        <v>2026</v>
      </c>
      <c r="C130" s="756" t="s">
        <v>45</v>
      </c>
      <c r="D130" s="659">
        <v>150</v>
      </c>
      <c r="E130" s="762">
        <f t="shared" si="10"/>
        <v>8.3025677074396533</v>
      </c>
      <c r="F130" s="760"/>
      <c r="G130" s="664"/>
      <c r="I130" s="638"/>
    </row>
    <row r="131" spans="2:9">
      <c r="B131" s="761">
        <v>2026</v>
      </c>
      <c r="C131" s="756" t="s">
        <v>47</v>
      </c>
      <c r="D131" s="659">
        <v>200</v>
      </c>
      <c r="E131" s="762">
        <f t="shared" si="10"/>
        <v>11.070090276586205</v>
      </c>
      <c r="F131" s="760"/>
      <c r="G131" s="664"/>
      <c r="I131" s="638"/>
    </row>
    <row r="132" spans="2:9">
      <c r="B132" s="761">
        <v>2030</v>
      </c>
      <c r="C132" s="756" t="s">
        <v>84</v>
      </c>
      <c r="D132" s="659">
        <v>10000</v>
      </c>
      <c r="E132" s="762">
        <f t="shared" si="10"/>
        <v>553.50451382931021</v>
      </c>
      <c r="F132" s="760"/>
      <c r="G132" s="664"/>
      <c r="I132" s="638"/>
    </row>
    <row r="133" spans="2:9">
      <c r="B133" s="761"/>
      <c r="C133" s="756"/>
      <c r="D133" s="659"/>
      <c r="E133" s="659"/>
      <c r="F133" s="760"/>
      <c r="G133" s="664"/>
      <c r="I133" s="638"/>
    </row>
    <row r="134" spans="2:9">
      <c r="B134" s="761">
        <v>2027</v>
      </c>
      <c r="C134" s="756" t="s">
        <v>49</v>
      </c>
      <c r="D134" s="659">
        <v>3967.6930000000002</v>
      </c>
      <c r="E134" s="762">
        <f>D134*$J$98</f>
        <v>219.61359849889575</v>
      </c>
      <c r="F134" s="760"/>
      <c r="G134" s="664"/>
      <c r="I134" s="638"/>
    </row>
    <row r="135" spans="2:9">
      <c r="B135" s="761">
        <v>2028</v>
      </c>
      <c r="C135" s="756" t="s">
        <v>50</v>
      </c>
      <c r="D135" s="659">
        <v>3688.855</v>
      </c>
      <c r="E135" s="762">
        <f>D135*$J$98</f>
        <v>204.17978933618201</v>
      </c>
      <c r="F135" s="760"/>
      <c r="G135" s="664"/>
      <c r="I135" s="638"/>
    </row>
    <row r="136" spans="2:9">
      <c r="B136" s="761"/>
      <c r="C136" s="668"/>
      <c r="D136" s="659"/>
      <c r="E136" s="659"/>
      <c r="F136" s="760"/>
      <c r="G136" s="664"/>
      <c r="I136" s="638"/>
    </row>
    <row r="137" spans="2:9">
      <c r="B137" s="761"/>
      <c r="C137" s="668"/>
      <c r="D137" s="659"/>
      <c r="E137" s="659"/>
      <c r="F137" s="671"/>
      <c r="G137" s="671"/>
    </row>
    <row r="138" spans="2:9">
      <c r="B138" s="761"/>
      <c r="C138" s="660" t="s">
        <v>51</v>
      </c>
      <c r="D138" s="659"/>
      <c r="E138" s="659"/>
      <c r="F138" s="671"/>
      <c r="G138" s="671"/>
      <c r="I138" s="523"/>
    </row>
    <row r="139" spans="2:9">
      <c r="B139" s="761">
        <v>2030</v>
      </c>
      <c r="C139" s="756" t="s">
        <v>52</v>
      </c>
      <c r="D139" s="762">
        <f t="shared" ref="D139:D148" si="11">E139/$J$98</f>
        <v>7000.7920499000011</v>
      </c>
      <c r="E139" s="659">
        <v>387.49700000000001</v>
      </c>
      <c r="F139" s="671"/>
      <c r="G139" s="671"/>
    </row>
    <row r="140" spans="2:9">
      <c r="B140" s="761">
        <v>2032</v>
      </c>
      <c r="C140" s="756" t="s">
        <v>26</v>
      </c>
      <c r="D140" s="762">
        <f t="shared" si="11"/>
        <v>7403.390392700001</v>
      </c>
      <c r="E140" s="659">
        <v>409.78100000000001</v>
      </c>
      <c r="F140" s="671"/>
      <c r="G140" s="671"/>
    </row>
    <row r="141" spans="2:9">
      <c r="B141" s="761">
        <v>2034</v>
      </c>
      <c r="C141" s="756" t="s">
        <v>27</v>
      </c>
      <c r="D141" s="762">
        <f t="shared" si="11"/>
        <v>5418.2033300000003</v>
      </c>
      <c r="E141" s="659">
        <v>299.89999999999998</v>
      </c>
      <c r="F141" s="671"/>
      <c r="G141" s="671"/>
    </row>
    <row r="142" spans="2:9">
      <c r="B142" s="761">
        <v>2044</v>
      </c>
      <c r="C142" s="756" t="s">
        <v>29</v>
      </c>
      <c r="D142" s="762">
        <f>E142/$J$98</f>
        <v>6323.3450000000003</v>
      </c>
      <c r="E142" s="659">
        <v>350</v>
      </c>
      <c r="F142" s="671"/>
      <c r="G142" s="671"/>
    </row>
    <row r="143" spans="2:9">
      <c r="B143" s="761">
        <v>2050</v>
      </c>
      <c r="C143" s="756" t="s">
        <v>53</v>
      </c>
      <c r="D143" s="762">
        <f t="shared" si="11"/>
        <v>7904.1812500000005</v>
      </c>
      <c r="E143" s="659">
        <v>437.5</v>
      </c>
      <c r="F143" s="671"/>
      <c r="G143" s="671"/>
    </row>
    <row r="144" spans="2:9">
      <c r="B144" s="761"/>
      <c r="C144" s="756"/>
      <c r="D144" s="659"/>
      <c r="E144" s="659"/>
      <c r="F144" s="671"/>
      <c r="G144" s="671"/>
    </row>
    <row r="145" spans="2:10">
      <c r="B145" s="761">
        <v>2026</v>
      </c>
      <c r="C145" s="756" t="s">
        <v>54</v>
      </c>
      <c r="D145" s="762">
        <f t="shared" si="11"/>
        <v>2619.6715000000004</v>
      </c>
      <c r="E145" s="659">
        <v>145</v>
      </c>
      <c r="F145" s="671"/>
      <c r="G145" s="671"/>
    </row>
    <row r="146" spans="2:10">
      <c r="B146" s="761">
        <v>2027</v>
      </c>
      <c r="C146" s="756" t="s">
        <v>55</v>
      </c>
      <c r="D146" s="762">
        <f t="shared" si="11"/>
        <v>13550.025000000001</v>
      </c>
      <c r="E146" s="659">
        <v>750</v>
      </c>
      <c r="F146" s="671"/>
      <c r="G146" s="671"/>
    </row>
    <row r="147" spans="2:10">
      <c r="B147" s="761"/>
      <c r="C147" s="756"/>
      <c r="D147" s="659"/>
      <c r="E147" s="659"/>
      <c r="F147" s="671"/>
      <c r="G147" s="671"/>
    </row>
    <row r="148" spans="2:10">
      <c r="B148" s="761">
        <v>2029</v>
      </c>
      <c r="C148" s="756" t="s">
        <v>56</v>
      </c>
      <c r="D148" s="762">
        <f t="shared" si="11"/>
        <v>221.93134280000004</v>
      </c>
      <c r="E148" s="659">
        <v>12.284000000000001</v>
      </c>
      <c r="F148" s="671"/>
      <c r="G148" s="671"/>
    </row>
    <row r="149" spans="2:10">
      <c r="B149" s="761"/>
      <c r="C149" s="756"/>
      <c r="D149" s="659"/>
      <c r="E149" s="659"/>
      <c r="F149" s="671"/>
      <c r="G149" s="671"/>
    </row>
    <row r="150" spans="2:10">
      <c r="B150" s="761">
        <v>2028</v>
      </c>
      <c r="C150" s="756" t="s">
        <v>57</v>
      </c>
      <c r="D150" s="659">
        <v>732.14800000000002</v>
      </c>
      <c r="E150" s="762">
        <f t="shared" ref="E150:E154" si="12">D150*$J$98</f>
        <v>40.524722279110186</v>
      </c>
      <c r="F150" s="671"/>
      <c r="G150" s="671"/>
      <c r="J150" s="637"/>
    </row>
    <row r="151" spans="2:10">
      <c r="B151" s="761">
        <v>2029</v>
      </c>
      <c r="C151" s="756" t="s">
        <v>58</v>
      </c>
      <c r="D151" s="659">
        <v>982.75</v>
      </c>
      <c r="E151" s="762">
        <f t="shared" si="12"/>
        <v>54.395656096575465</v>
      </c>
      <c r="F151" s="671"/>
      <c r="G151" s="671"/>
    </row>
    <row r="152" spans="2:10">
      <c r="B152" s="761">
        <v>2031</v>
      </c>
      <c r="C152" s="756" t="s">
        <v>59</v>
      </c>
      <c r="D152" s="659">
        <v>1839.972</v>
      </c>
      <c r="E152" s="762">
        <f t="shared" si="12"/>
        <v>101.84328073195435</v>
      </c>
      <c r="F152" s="671"/>
      <c r="G152" s="671"/>
    </row>
    <row r="153" spans="2:10">
      <c r="B153" s="761">
        <v>2031</v>
      </c>
      <c r="C153" s="756" t="s">
        <v>60</v>
      </c>
      <c r="D153" s="659">
        <v>518.30999999999995</v>
      </c>
      <c r="E153" s="762">
        <f t="shared" si="12"/>
        <v>28.688692456286976</v>
      </c>
      <c r="F153" s="671"/>
      <c r="G153" s="671"/>
    </row>
    <row r="154" spans="2:10">
      <c r="B154" s="761">
        <v>2037</v>
      </c>
      <c r="C154" s="756" t="s">
        <v>61</v>
      </c>
      <c r="D154" s="659">
        <v>508.23500000000001</v>
      </c>
      <c r="E154" s="762">
        <f t="shared" si="12"/>
        <v>28.13103665860395</v>
      </c>
      <c r="F154" s="671"/>
      <c r="G154" s="671"/>
    </row>
    <row r="155" spans="2:10">
      <c r="B155" s="761"/>
      <c r="C155" s="756"/>
      <c r="D155" s="659"/>
      <c r="E155" s="659"/>
      <c r="F155" s="671"/>
      <c r="G155" s="671"/>
    </row>
    <row r="156" spans="2:10">
      <c r="B156" s="761">
        <v>2026</v>
      </c>
      <c r="C156" s="756" t="s">
        <v>62</v>
      </c>
      <c r="D156" s="659">
        <v>1450</v>
      </c>
      <c r="E156" s="762">
        <f>D156*$J$98</f>
        <v>80.258154505249976</v>
      </c>
      <c r="F156" s="671"/>
      <c r="G156" s="671"/>
    </row>
    <row r="157" spans="2:10">
      <c r="C157" s="668"/>
      <c r="D157" s="659"/>
      <c r="E157" s="674"/>
      <c r="F157" s="671"/>
      <c r="G157" s="671"/>
    </row>
    <row r="158" spans="2:10">
      <c r="C158" s="756" t="s">
        <v>63</v>
      </c>
      <c r="D158" s="659">
        <v>-969.44399999999996</v>
      </c>
      <c r="E158" s="674">
        <f>D158*$J$98</f>
        <v>-53.659162990474179</v>
      </c>
      <c r="F158" s="671"/>
      <c r="G158" s="671"/>
      <c r="I158" s="727"/>
      <c r="J158" s="649"/>
    </row>
    <row r="159" spans="2:10">
      <c r="C159" s="756" t="s">
        <v>64</v>
      </c>
      <c r="D159" s="659">
        <v>-177.511</v>
      </c>
      <c r="E159" s="674">
        <f>D159*$J$98</f>
        <v>-9.8253139754354688</v>
      </c>
      <c r="F159" s="671"/>
      <c r="G159" s="671"/>
      <c r="I159" s="727"/>
      <c r="J159" s="649"/>
    </row>
    <row r="160" spans="2:10">
      <c r="C160" s="756" t="s">
        <v>65</v>
      </c>
      <c r="D160" s="659">
        <v>-1.8919999999999999</v>
      </c>
      <c r="E160" s="674">
        <f>D160*$J$98</f>
        <v>-0.10472305401650549</v>
      </c>
      <c r="F160" s="671"/>
      <c r="G160" s="671"/>
    </row>
    <row r="161" spans="3:7">
      <c r="C161" s="668"/>
      <c r="D161" s="659"/>
      <c r="E161" s="757"/>
      <c r="F161" s="671"/>
      <c r="G161" s="671"/>
    </row>
    <row r="162" spans="3:7">
      <c r="C162" s="677" t="s">
        <v>66</v>
      </c>
      <c r="D162" s="763">
        <f>SUM(D106:D160)</f>
        <v>151321.63611770002</v>
      </c>
      <c r="E162" s="686">
        <f>SUM(E106:E160)</f>
        <v>8375.7208631183348</v>
      </c>
      <c r="F162" s="681">
        <f>+D162/D167</f>
        <v>6.9308042851116651</v>
      </c>
      <c r="G162" s="681">
        <f>+E162/E167</f>
        <v>7.0859653007186223</v>
      </c>
    </row>
    <row r="163" spans="3:7">
      <c r="C163" s="682" t="s">
        <v>67</v>
      </c>
      <c r="D163" s="683">
        <f>Model!AY$123</f>
        <v>13721.823</v>
      </c>
      <c r="E163" s="674">
        <f>D163*$J98</f>
        <v>759.50909684668477</v>
      </c>
      <c r="F163" s="685"/>
      <c r="G163" s="685"/>
    </row>
    <row r="164" spans="3:7">
      <c r="C164" s="677" t="s">
        <v>68</v>
      </c>
      <c r="D164" s="686">
        <f>+D162-D163</f>
        <v>137599.81311770002</v>
      </c>
      <c r="E164" s="686">
        <f>+E162-E163</f>
        <v>7616.21176627165</v>
      </c>
      <c r="F164" s="681">
        <f>+D164/D167</f>
        <v>6.3023200042916301</v>
      </c>
      <c r="G164" s="681">
        <f>+E164/E167</f>
        <v>6.4434110425491289</v>
      </c>
    </row>
    <row r="165" spans="3:7">
      <c r="C165" s="687" t="s">
        <v>69</v>
      </c>
      <c r="D165" s="688">
        <f>Model!AY$128</f>
        <v>414841.337</v>
      </c>
      <c r="E165" s="674">
        <f>D165*$J98</f>
        <v>22961.655255248603</v>
      </c>
      <c r="F165" s="690"/>
      <c r="G165" s="690"/>
    </row>
    <row r="166" spans="3:7">
      <c r="C166" s="677" t="s">
        <v>70</v>
      </c>
      <c r="D166" s="686">
        <f>D162+D165</f>
        <v>566162.97311770008</v>
      </c>
      <c r="E166" s="686">
        <f>E162+E165</f>
        <v>31337.376118366938</v>
      </c>
      <c r="F166" s="681">
        <f>D166/D167</f>
        <v>25.931286898745949</v>
      </c>
      <c r="G166" s="681">
        <f>E166/E167</f>
        <v>26.511814734432761</v>
      </c>
    </row>
    <row r="167" spans="3:7">
      <c r="C167" s="691" t="s">
        <v>71</v>
      </c>
      <c r="D167" s="692">
        <f>Model!AY$102</f>
        <v>21833.200000000001</v>
      </c>
      <c r="E167" s="758">
        <f>D167*$J99</f>
        <v>1182.0155063797606</v>
      </c>
      <c r="F167" s="695"/>
      <c r="G167" s="695"/>
    </row>
    <row r="168" spans="3:7">
      <c r="C168" s="606" t="s">
        <v>72</v>
      </c>
      <c r="D168" s="623">
        <f>D162-Model!AY$126</f>
        <v>459.14611770003103</v>
      </c>
      <c r="E168" s="626"/>
    </row>
    <row r="169" spans="3:7">
      <c r="C169" s="606"/>
      <c r="D169" s="623"/>
      <c r="E169" s="626"/>
    </row>
    <row r="170" spans="3:7" ht="13.5" thickBot="1">
      <c r="C170" s="531"/>
      <c r="D170" s="609"/>
      <c r="E170" s="609"/>
    </row>
    <row r="171" spans="3:7">
      <c r="C171" s="698" t="s">
        <v>85</v>
      </c>
      <c r="D171" s="700" t="str">
        <f>D102</f>
        <v>MXN (mn)</v>
      </c>
      <c r="E171" s="700" t="str">
        <f>E102</f>
        <v>USD (mn)</v>
      </c>
    </row>
    <row r="172" spans="3:7">
      <c r="C172" s="615" t="s">
        <v>74</v>
      </c>
      <c r="D172" s="520">
        <f>D163</f>
        <v>13721.823</v>
      </c>
      <c r="E172" s="519">
        <f>D172*$J$98</f>
        <v>759.50909684668477</v>
      </c>
    </row>
    <row r="173" spans="3:7" ht="13.5" thickBot="1">
      <c r="C173" s="616" t="s">
        <v>75</v>
      </c>
      <c r="D173" s="517">
        <f>SUM(D172:D172)</f>
        <v>13721.823</v>
      </c>
      <c r="E173" s="516">
        <f>SUM(E172:E172)</f>
        <v>759.50909684668477</v>
      </c>
    </row>
    <row r="174" spans="3:7">
      <c r="C174" s="531"/>
      <c r="D174" s="531"/>
      <c r="E174" s="531"/>
    </row>
    <row r="175" spans="3:7" ht="13.5" thickBot="1">
      <c r="C175" s="531"/>
      <c r="D175" s="531"/>
      <c r="E175" s="531"/>
    </row>
    <row r="176" spans="3:7">
      <c r="C176" s="699" t="s">
        <v>86</v>
      </c>
      <c r="D176" s="700" t="str">
        <f>D171</f>
        <v>MXN (mn)</v>
      </c>
      <c r="E176" s="700" t="str">
        <f>E171</f>
        <v>USD (mn)</v>
      </c>
    </row>
    <row r="177" spans="2:10">
      <c r="C177" s="653">
        <v>2026</v>
      </c>
      <c r="D177" s="659">
        <v>9955.1715000000004</v>
      </c>
      <c r="E177" s="764">
        <f>D177*$J$98</f>
        <v>551.02323611949055</v>
      </c>
      <c r="F177" s="655"/>
    </row>
    <row r="178" spans="2:10">
      <c r="C178" s="653">
        <v>2027</v>
      </c>
      <c r="D178" s="659">
        <v>23972.317999999999</v>
      </c>
      <c r="E178" s="764">
        <f t="shared" ref="E178:E182" si="13">D178*$J$98</f>
        <v>1326.8786219951621</v>
      </c>
    </row>
    <row r="179" spans="2:10">
      <c r="C179" s="653">
        <v>2028</v>
      </c>
      <c r="D179" s="659">
        <v>11021.002999999999</v>
      </c>
      <c r="E179" s="764">
        <f t="shared" si="13"/>
        <v>610.01749074263682</v>
      </c>
    </row>
    <row r="180" spans="2:10">
      <c r="C180" s="653">
        <v>2029</v>
      </c>
      <c r="D180" s="659">
        <v>1203.4529428000001</v>
      </c>
      <c r="E180" s="764">
        <f t="shared" si="13"/>
        <v>66.611663602096669</v>
      </c>
    </row>
    <row r="181" spans="2:10">
      <c r="C181" s="653">
        <v>2030</v>
      </c>
      <c r="D181" s="659">
        <v>36627.532599999999</v>
      </c>
      <c r="E181" s="764">
        <f t="shared" si="13"/>
        <v>2027.350462453021</v>
      </c>
      <c r="F181" s="637"/>
    </row>
    <row r="182" spans="2:10" ht="13.5" thickBot="1">
      <c r="C182" s="654" t="s">
        <v>87</v>
      </c>
      <c r="D182" s="656">
        <v>69231.851974900012</v>
      </c>
      <c r="E182" s="764">
        <f t="shared" si="13"/>
        <v>3832.0142568869801</v>
      </c>
    </row>
    <row r="183" spans="2:10" ht="13.5" thickBot="1">
      <c r="C183" s="621" t="s">
        <v>77</v>
      </c>
      <c r="D183" s="594">
        <f>SUM(D177:D182)</f>
        <v>152011.33001770001</v>
      </c>
      <c r="E183" s="594">
        <f>SUM(E177:E182)</f>
        <v>8413.8957317993863</v>
      </c>
    </row>
    <row r="184" spans="2:10">
      <c r="C184" s="606" t="s">
        <v>72</v>
      </c>
      <c r="D184" s="509">
        <f>D183-SUM(D106:D156)</f>
        <v>-459.1530999999959</v>
      </c>
    </row>
    <row r="188" spans="2:10">
      <c r="B188" s="632" t="s">
        <v>88</v>
      </c>
      <c r="I188" s="557" t="s">
        <v>89</v>
      </c>
      <c r="J188" s="556">
        <f>Model!$AX$203</f>
        <v>5.439956480348157E-2</v>
      </c>
    </row>
    <row r="189" spans="2:10">
      <c r="B189" s="632"/>
      <c r="I189" s="557" t="s">
        <v>90</v>
      </c>
      <c r="J189" s="556">
        <f>Model!$N$202</f>
        <v>5.4138445412480099E-2</v>
      </c>
    </row>
    <row r="190" spans="2:10">
      <c r="B190" s="632"/>
      <c r="C190" s="632"/>
      <c r="D190" s="632"/>
      <c r="E190" s="632"/>
      <c r="F190" s="632"/>
      <c r="G190" s="632"/>
    </row>
    <row r="191" spans="2:10" ht="13.5" thickBot="1">
      <c r="B191" s="632"/>
    </row>
    <row r="192" spans="2:10" ht="12.95" customHeight="1">
      <c r="C192" s="702" t="s">
        <v>91</v>
      </c>
      <c r="D192" s="703" t="s">
        <v>18</v>
      </c>
      <c r="E192" s="703" t="s">
        <v>19</v>
      </c>
      <c r="F192" s="703" t="s">
        <v>20</v>
      </c>
      <c r="G192" s="704" t="s">
        <v>21</v>
      </c>
      <c r="I192" s="705" t="s">
        <v>22</v>
      </c>
      <c r="J192" s="706" t="s">
        <v>18</v>
      </c>
    </row>
    <row r="193" spans="3:10" ht="13.5" thickBot="1">
      <c r="C193" s="660"/>
      <c r="D193" s="661"/>
      <c r="E193" s="662"/>
      <c r="F193" s="663"/>
      <c r="G193" s="664"/>
      <c r="I193" s="642" t="s">
        <v>23</v>
      </c>
      <c r="J193" s="643">
        <v>147994.554</v>
      </c>
    </row>
    <row r="194" spans="3:10">
      <c r="C194" s="660"/>
      <c r="D194" s="665"/>
      <c r="E194" s="662"/>
      <c r="F194" s="663"/>
      <c r="G194" s="664"/>
    </row>
    <row r="195" spans="3:10">
      <c r="C195" s="660" t="s">
        <v>92</v>
      </c>
      <c r="D195" s="666"/>
      <c r="E195" s="667"/>
      <c r="F195" s="663"/>
      <c r="G195" s="664"/>
    </row>
    <row r="196" spans="3:10">
      <c r="C196" s="668" t="s">
        <v>93</v>
      </c>
      <c r="D196" s="659">
        <v>733.01599999999996</v>
      </c>
      <c r="E196" s="669">
        <f>D196*$J$188</f>
        <v>39.875751393988843</v>
      </c>
      <c r="F196" s="663"/>
      <c r="G196" s="664"/>
    </row>
    <row r="197" spans="3:10">
      <c r="C197" s="668" t="s">
        <v>94</v>
      </c>
      <c r="D197" s="659">
        <v>1500</v>
      </c>
      <c r="E197" s="669">
        <f t="shared" ref="E197:E199" si="14">D197*$J$188</f>
        <v>81.599347205222358</v>
      </c>
      <c r="F197" s="663"/>
      <c r="G197" s="664"/>
    </row>
    <row r="198" spans="3:10">
      <c r="C198" s="668" t="s">
        <v>95</v>
      </c>
      <c r="D198" s="659">
        <v>1859.779</v>
      </c>
      <c r="E198" s="669">
        <f t="shared" si="14"/>
        <v>101.17116823065415</v>
      </c>
      <c r="F198" s="663"/>
      <c r="G198" s="664"/>
    </row>
    <row r="199" spans="3:10">
      <c r="C199" s="668" t="s">
        <v>96</v>
      </c>
      <c r="D199" s="659">
        <v>9495.25</v>
      </c>
      <c r="E199" s="669">
        <f t="shared" si="14"/>
        <v>516.53746770025839</v>
      </c>
      <c r="F199" s="663"/>
      <c r="G199" s="664"/>
    </row>
    <row r="200" spans="3:10">
      <c r="C200" s="668"/>
      <c r="D200" s="659"/>
      <c r="E200" s="669"/>
      <c r="F200" s="663"/>
      <c r="G200" s="664"/>
    </row>
    <row r="201" spans="3:10">
      <c r="C201" s="660" t="s">
        <v>97</v>
      </c>
      <c r="D201" s="659"/>
      <c r="E201" s="669"/>
      <c r="F201" s="663"/>
      <c r="G201" s="664"/>
      <c r="I201" s="637"/>
    </row>
    <row r="202" spans="3:10">
      <c r="C202" s="668" t="s">
        <v>98</v>
      </c>
      <c r="D202" s="659">
        <v>1500</v>
      </c>
      <c r="E202" s="669">
        <f t="shared" ref="E202:E210" si="15">D202*$J$188</f>
        <v>81.599347205222358</v>
      </c>
      <c r="F202" s="670"/>
      <c r="G202" s="664"/>
    </row>
    <row r="203" spans="3:10">
      <c r="C203" s="668" t="s">
        <v>99</v>
      </c>
      <c r="D203" s="659">
        <v>1730</v>
      </c>
      <c r="E203" s="669">
        <f t="shared" si="15"/>
        <v>94.111247110023115</v>
      </c>
      <c r="F203" s="670"/>
      <c r="G203" s="664"/>
    </row>
    <row r="204" spans="3:10">
      <c r="C204" s="668" t="s">
        <v>100</v>
      </c>
      <c r="D204" s="659">
        <v>4799.6000000000004</v>
      </c>
      <c r="E204" s="669">
        <f t="shared" si="15"/>
        <v>261.09615123079016</v>
      </c>
      <c r="F204" s="670"/>
      <c r="G204" s="671"/>
    </row>
    <row r="205" spans="3:10">
      <c r="C205" s="668" t="s">
        <v>101</v>
      </c>
      <c r="D205" s="659">
        <v>3700</v>
      </c>
      <c r="E205" s="669">
        <f t="shared" si="15"/>
        <v>201.27838977288181</v>
      </c>
      <c r="F205" s="670"/>
      <c r="G205" s="664"/>
    </row>
    <row r="206" spans="3:10">
      <c r="C206" s="668" t="s">
        <v>102</v>
      </c>
      <c r="D206" s="659">
        <v>2900</v>
      </c>
      <c r="E206" s="669">
        <f t="shared" si="15"/>
        <v>157.75873793009654</v>
      </c>
      <c r="F206" s="670"/>
      <c r="G206" s="664"/>
      <c r="I206" s="523"/>
    </row>
    <row r="207" spans="3:10">
      <c r="C207" s="668" t="s">
        <v>103</v>
      </c>
      <c r="D207" s="659">
        <v>9000</v>
      </c>
      <c r="E207" s="669">
        <f t="shared" si="15"/>
        <v>489.59608323133415</v>
      </c>
      <c r="F207" s="670"/>
      <c r="G207" s="664"/>
      <c r="I207" s="523"/>
    </row>
    <row r="208" spans="3:10">
      <c r="C208" s="668" t="s">
        <v>104</v>
      </c>
      <c r="D208" s="659">
        <v>4970</v>
      </c>
      <c r="E208" s="669">
        <f t="shared" si="15"/>
        <v>270.3658370733034</v>
      </c>
      <c r="F208" s="670"/>
      <c r="G208" s="664"/>
      <c r="I208" s="523"/>
    </row>
    <row r="209" spans="3:9">
      <c r="C209" s="668" t="s">
        <v>105</v>
      </c>
      <c r="D209" s="659">
        <v>3915.165</v>
      </c>
      <c r="E209" s="669">
        <f t="shared" si="15"/>
        <v>212.98327213382291</v>
      </c>
      <c r="F209" s="670"/>
      <c r="G209" s="664"/>
      <c r="I209" s="523"/>
    </row>
    <row r="210" spans="3:9">
      <c r="C210" s="668" t="s">
        <v>106</v>
      </c>
      <c r="D210" s="659">
        <v>3640.0189999999998</v>
      </c>
      <c r="E210" s="669">
        <f t="shared" si="15"/>
        <v>198.01544947640417</v>
      </c>
      <c r="F210" s="670"/>
      <c r="G210" s="664"/>
      <c r="I210" s="523"/>
    </row>
    <row r="211" spans="3:9">
      <c r="C211" s="668" t="s">
        <v>107</v>
      </c>
      <c r="D211" s="672">
        <f>E211/$J$188</f>
        <v>14246.4375</v>
      </c>
      <c r="E211" s="673">
        <v>775</v>
      </c>
      <c r="F211" s="670"/>
      <c r="G211" s="664"/>
      <c r="I211" s="523"/>
    </row>
    <row r="212" spans="3:9">
      <c r="C212" s="668" t="s">
        <v>108</v>
      </c>
      <c r="D212" s="672">
        <f t="shared" ref="D212:D216" si="16">E212/$J$188</f>
        <v>9191.25</v>
      </c>
      <c r="E212" s="673">
        <v>500</v>
      </c>
      <c r="F212" s="670"/>
      <c r="G212" s="671"/>
      <c r="I212" s="637"/>
    </row>
    <row r="213" spans="3:9">
      <c r="C213" s="668" t="s">
        <v>109</v>
      </c>
      <c r="D213" s="672">
        <f t="shared" si="16"/>
        <v>11029.5</v>
      </c>
      <c r="E213" s="673">
        <v>600</v>
      </c>
      <c r="F213" s="670"/>
      <c r="G213" s="671"/>
    </row>
    <row r="214" spans="3:9">
      <c r="C214" s="668" t="s">
        <v>110</v>
      </c>
      <c r="D214" s="672">
        <f t="shared" si="16"/>
        <v>5514.75</v>
      </c>
      <c r="E214" s="673">
        <v>300</v>
      </c>
      <c r="F214" s="670"/>
      <c r="G214" s="664"/>
      <c r="I214" s="639"/>
    </row>
    <row r="215" spans="3:9">
      <c r="C215" s="668" t="s">
        <v>111</v>
      </c>
      <c r="D215" s="672">
        <f t="shared" si="16"/>
        <v>12867.75</v>
      </c>
      <c r="E215" s="673">
        <v>700</v>
      </c>
      <c r="F215" s="670"/>
      <c r="G215" s="664"/>
      <c r="I215" s="638"/>
    </row>
    <row r="216" spans="3:9">
      <c r="C216" s="668" t="s">
        <v>112</v>
      </c>
      <c r="D216" s="672">
        <f t="shared" si="16"/>
        <v>16084.6875</v>
      </c>
      <c r="E216" s="673">
        <v>875</v>
      </c>
      <c r="F216" s="670"/>
      <c r="G216" s="664"/>
      <c r="I216" s="638"/>
    </row>
    <row r="217" spans="3:9">
      <c r="C217" s="668"/>
      <c r="D217" s="674"/>
      <c r="E217" s="675"/>
      <c r="F217" s="676"/>
      <c r="G217" s="671"/>
    </row>
    <row r="218" spans="3:9">
      <c r="C218" s="660" t="s">
        <v>113</v>
      </c>
      <c r="D218" s="674"/>
      <c r="E218" s="675"/>
      <c r="F218" s="676"/>
      <c r="G218" s="671"/>
      <c r="I218" s="523"/>
    </row>
    <row r="219" spans="3:9">
      <c r="C219" s="668" t="s">
        <v>114</v>
      </c>
      <c r="D219" s="672">
        <f t="shared" ref="D219:D220" si="17">E219/$J$188</f>
        <v>827.21249999999998</v>
      </c>
      <c r="E219" s="673">
        <v>45</v>
      </c>
      <c r="F219" s="676"/>
      <c r="G219" s="671"/>
    </row>
    <row r="220" spans="3:9">
      <c r="C220" s="668" t="s">
        <v>115</v>
      </c>
      <c r="D220" s="672">
        <f t="shared" si="17"/>
        <v>13786.875</v>
      </c>
      <c r="E220" s="673">
        <v>750</v>
      </c>
      <c r="F220" s="676"/>
      <c r="G220" s="671"/>
    </row>
    <row r="221" spans="3:9">
      <c r="C221" s="668" t="s">
        <v>116</v>
      </c>
      <c r="D221" s="659">
        <v>150</v>
      </c>
      <c r="E221" s="669">
        <f>D221*$J$188</f>
        <v>8.1599347205222355</v>
      </c>
      <c r="F221" s="676"/>
      <c r="G221" s="671"/>
    </row>
    <row r="222" spans="3:9">
      <c r="C222" s="668" t="s">
        <v>117</v>
      </c>
      <c r="D222" s="659">
        <v>173.262</v>
      </c>
      <c r="E222" s="669">
        <f>D222*$J$188</f>
        <v>9.4253773969808243</v>
      </c>
      <c r="F222" s="676"/>
      <c r="G222" s="671"/>
    </row>
    <row r="223" spans="3:9">
      <c r="C223" s="668" t="s">
        <v>118</v>
      </c>
      <c r="D223" s="659">
        <v>1550</v>
      </c>
      <c r="E223" s="669">
        <f>D223*$J$188</f>
        <v>84.31932544539643</v>
      </c>
      <c r="F223" s="676"/>
      <c r="G223" s="671"/>
    </row>
    <row r="224" spans="3:9">
      <c r="C224" s="668" t="s">
        <v>119</v>
      </c>
      <c r="D224" s="659">
        <v>1850</v>
      </c>
      <c r="E224" s="669">
        <f>D224*$J$188</f>
        <v>100.6391948864409</v>
      </c>
      <c r="F224" s="676"/>
      <c r="G224" s="671"/>
    </row>
    <row r="225" spans="3:10">
      <c r="C225" s="668" t="s">
        <v>120</v>
      </c>
      <c r="D225" s="659">
        <v>500</v>
      </c>
      <c r="E225" s="669">
        <f>D225*$J$188</f>
        <v>27.199782401740784</v>
      </c>
      <c r="F225" s="676"/>
      <c r="G225" s="671"/>
    </row>
    <row r="226" spans="3:10">
      <c r="C226" s="668" t="s">
        <v>121</v>
      </c>
      <c r="D226" s="659">
        <v>240</v>
      </c>
      <c r="E226" s="669">
        <f>D226*$J$188</f>
        <v>13.055895552835576</v>
      </c>
      <c r="F226" s="676"/>
      <c r="G226" s="671"/>
    </row>
    <row r="227" spans="3:10">
      <c r="C227" s="668" t="s">
        <v>122</v>
      </c>
      <c r="D227" s="659">
        <v>240</v>
      </c>
      <c r="E227" s="669">
        <f>D227*$J$188</f>
        <v>13.055895552835576</v>
      </c>
      <c r="F227" s="676"/>
      <c r="G227" s="671"/>
    </row>
    <row r="228" spans="3:10">
      <c r="C228" s="668" t="s">
        <v>123</v>
      </c>
      <c r="D228" s="659">
        <v>3000</v>
      </c>
      <c r="E228" s="669">
        <f>D228*$J$188</f>
        <v>163.19869441044472</v>
      </c>
      <c r="F228" s="676"/>
      <c r="G228" s="671"/>
    </row>
    <row r="229" spans="3:10">
      <c r="C229" s="668" t="s">
        <v>124</v>
      </c>
      <c r="D229" s="659">
        <v>950</v>
      </c>
      <c r="E229" s="669">
        <f>D229*$J$188</f>
        <v>51.679586563307495</v>
      </c>
      <c r="F229" s="676"/>
      <c r="G229" s="671"/>
    </row>
    <row r="230" spans="3:10">
      <c r="C230" s="668" t="s">
        <v>125</v>
      </c>
      <c r="D230" s="659">
        <v>2900</v>
      </c>
      <c r="E230" s="669">
        <f>D230*$J$188</f>
        <v>157.75873793009654</v>
      </c>
      <c r="F230" s="676"/>
      <c r="G230" s="671"/>
      <c r="J230" s="637"/>
    </row>
    <row r="231" spans="3:10">
      <c r="C231" s="668" t="s">
        <v>126</v>
      </c>
      <c r="D231" s="659">
        <v>200</v>
      </c>
      <c r="E231" s="669">
        <f>D231*$J$188</f>
        <v>10.879912960696315</v>
      </c>
      <c r="F231" s="676"/>
      <c r="G231" s="671"/>
    </row>
    <row r="232" spans="3:10">
      <c r="C232" s="668" t="s">
        <v>127</v>
      </c>
      <c r="D232" s="659">
        <v>2350</v>
      </c>
      <c r="E232" s="669">
        <f>D232*$J$188</f>
        <v>127.8389772881817</v>
      </c>
      <c r="F232" s="676"/>
      <c r="G232" s="671"/>
    </row>
    <row r="233" spans="3:10">
      <c r="C233" s="668" t="s">
        <v>128</v>
      </c>
      <c r="D233" s="659">
        <v>600</v>
      </c>
      <c r="E233" s="669">
        <f>D233*$J$188</f>
        <v>32.639738882088942</v>
      </c>
      <c r="F233" s="676"/>
      <c r="G233" s="671"/>
    </row>
    <row r="234" spans="3:10">
      <c r="C234" s="668" t="s">
        <v>63</v>
      </c>
      <c r="D234" s="659">
        <v>-611.03200000000004</v>
      </c>
      <c r="E234" s="669">
        <f>D234*$J$188</f>
        <v>-33.239874881000951</v>
      </c>
      <c r="F234" s="676"/>
      <c r="G234" s="671"/>
      <c r="J234" s="649"/>
    </row>
    <row r="235" spans="3:10">
      <c r="C235" s="668" t="s">
        <v>64</v>
      </c>
      <c r="D235" s="659">
        <v>-145.239</v>
      </c>
      <c r="E235" s="669">
        <f>D235*$J$188</f>
        <v>-7.9009383924928605</v>
      </c>
      <c r="F235" s="676"/>
      <c r="G235" s="671"/>
      <c r="J235" s="649"/>
    </row>
    <row r="236" spans="3:10">
      <c r="C236" s="668" t="s">
        <v>65</v>
      </c>
      <c r="D236" s="659">
        <v>1767.1279999999999</v>
      </c>
      <c r="E236" s="669">
        <f>D236*$J$188</f>
        <v>96.130994152046782</v>
      </c>
      <c r="F236" s="676"/>
      <c r="G236" s="671"/>
    </row>
    <row r="237" spans="3:10">
      <c r="C237" s="668"/>
      <c r="D237" s="659"/>
      <c r="E237" s="675"/>
      <c r="F237" s="676"/>
      <c r="G237" s="671"/>
    </row>
    <row r="238" spans="3:10">
      <c r="C238" s="677" t="s">
        <v>66</v>
      </c>
      <c r="D238" s="678">
        <f>SUM(D196:D236)</f>
        <v>149005.41049999997</v>
      </c>
      <c r="E238" s="679">
        <f>SUM(E196:E236)</f>
        <v>8105.829484564124</v>
      </c>
      <c r="F238" s="680">
        <f>+D238/D243</f>
        <v>6.962483134113862</v>
      </c>
      <c r="G238" s="681">
        <f>+E238/E243</f>
        <v>6.996064433724265</v>
      </c>
    </row>
    <row r="239" spans="3:10">
      <c r="C239" s="682" t="s">
        <v>67</v>
      </c>
      <c r="D239" s="683">
        <f>Model!AX$123</f>
        <v>2870.9290000000001</v>
      </c>
      <c r="E239" s="669">
        <f>D239*$J188</f>
        <v>156.17728818169454</v>
      </c>
      <c r="F239" s="684"/>
      <c r="G239" s="685"/>
    </row>
    <row r="240" spans="3:10">
      <c r="C240" s="677" t="s">
        <v>68</v>
      </c>
      <c r="D240" s="686">
        <f>+D238-D239</f>
        <v>146134.48149999997</v>
      </c>
      <c r="E240" s="679">
        <f>+E238-E239</f>
        <v>7949.6521963824298</v>
      </c>
      <c r="F240" s="680">
        <f>+D240/D243</f>
        <v>6.8283350204670867</v>
      </c>
      <c r="G240" s="681">
        <f>+E240/E243</f>
        <v>6.8612692997673843</v>
      </c>
    </row>
    <row r="241" spans="3:7">
      <c r="C241" s="687" t="s">
        <v>69</v>
      </c>
      <c r="D241" s="688">
        <f>Model!AX$128</f>
        <v>193659.75599999999</v>
      </c>
      <c r="E241" s="669">
        <f>D241*$J188</f>
        <v>10535.006446348429</v>
      </c>
      <c r="F241" s="689"/>
      <c r="G241" s="690"/>
    </row>
    <row r="242" spans="3:7">
      <c r="C242" s="677" t="s">
        <v>70</v>
      </c>
      <c r="D242" s="686">
        <f>D238+D241</f>
        <v>342665.16649999993</v>
      </c>
      <c r="E242" s="679">
        <f>E238+E241</f>
        <v>18640.835930912552</v>
      </c>
      <c r="F242" s="680">
        <f>D242/D243</f>
        <v>16.011502095117336</v>
      </c>
      <c r="G242" s="681">
        <f>E242/E243</f>
        <v>16.088728429273065</v>
      </c>
    </row>
    <row r="243" spans="3:7">
      <c r="C243" s="691" t="s">
        <v>71</v>
      </c>
      <c r="D243" s="692">
        <f>Model!AX$102</f>
        <v>21401.187999999998</v>
      </c>
      <c r="E243" s="693">
        <f>D243*$J189</f>
        <v>1158.627048300224</v>
      </c>
      <c r="F243" s="694"/>
      <c r="G243" s="695"/>
    </row>
    <row r="244" spans="3:7">
      <c r="C244" s="606" t="s">
        <v>72</v>
      </c>
      <c r="D244" s="623">
        <f>D238-Model!AX$126</f>
        <v>-5.0000002374872565E-4</v>
      </c>
      <c r="E244" s="626"/>
    </row>
    <row r="245" spans="3:7" ht="13.5" thickBot="1">
      <c r="C245" s="531"/>
      <c r="D245" s="609"/>
      <c r="E245" s="609"/>
    </row>
    <row r="246" spans="3:7">
      <c r="C246" s="698" t="s">
        <v>129</v>
      </c>
      <c r="D246" s="700" t="s">
        <v>130</v>
      </c>
      <c r="E246" s="701" t="s">
        <v>131</v>
      </c>
    </row>
    <row r="247" spans="3:7">
      <c r="C247" s="615" t="s">
        <v>74</v>
      </c>
      <c r="D247" s="520">
        <f>D239</f>
        <v>2870.9290000000001</v>
      </c>
      <c r="E247" s="519">
        <f>D247*$J$188</f>
        <v>156.17728818169454</v>
      </c>
    </row>
    <row r="248" spans="3:7" ht="13.5" thickBot="1">
      <c r="C248" s="616" t="s">
        <v>75</v>
      </c>
      <c r="D248" s="517">
        <f>SUM(D247:D247)</f>
        <v>2870.9290000000001</v>
      </c>
      <c r="E248" s="516">
        <f>SUM(E247:E247)</f>
        <v>156.17728818169454</v>
      </c>
    </row>
    <row r="249" spans="3:7">
      <c r="C249" s="531"/>
      <c r="D249" s="531"/>
      <c r="E249" s="531"/>
    </row>
    <row r="250" spans="3:7" ht="13.5" thickBot="1">
      <c r="C250" s="531"/>
      <c r="D250" s="531"/>
      <c r="E250" s="531"/>
    </row>
    <row r="251" spans="3:7">
      <c r="C251" s="699" t="s">
        <v>132</v>
      </c>
      <c r="D251" s="700" t="s">
        <v>130</v>
      </c>
      <c r="E251" s="700" t="s">
        <v>133</v>
      </c>
    </row>
    <row r="252" spans="3:7">
      <c r="C252" s="618"/>
      <c r="D252" s="619"/>
      <c r="E252" s="619"/>
    </row>
    <row r="253" spans="3:7">
      <c r="C253" s="653">
        <v>2025</v>
      </c>
      <c r="D253" s="659">
        <v>14730.4745</v>
      </c>
      <c r="E253" s="591">
        <f>(D253/$D$259)</f>
        <v>9.9533896022734367E-2</v>
      </c>
      <c r="F253" s="655"/>
    </row>
    <row r="254" spans="3:7">
      <c r="C254" s="653">
        <v>2026</v>
      </c>
      <c r="D254" s="659">
        <v>2300</v>
      </c>
      <c r="E254" s="591">
        <f t="shared" ref="E254:E257" si="18">(D254/$D$259)</f>
        <v>1.5541112463979967E-2</v>
      </c>
    </row>
    <row r="255" spans="3:7">
      <c r="C255" s="653">
        <v>2027</v>
      </c>
      <c r="D255" s="659">
        <v>24231.64</v>
      </c>
      <c r="E255" s="591">
        <f t="shared" si="18"/>
        <v>0.16373332279420674</v>
      </c>
    </row>
    <row r="256" spans="3:7">
      <c r="C256" s="653">
        <v>2028</v>
      </c>
      <c r="D256" s="659">
        <v>10973.035</v>
      </c>
      <c r="E256" s="591">
        <f t="shared" si="18"/>
        <v>7.4144856959212344E-2</v>
      </c>
    </row>
    <row r="257" spans="2:10">
      <c r="C257" s="653" t="s">
        <v>134</v>
      </c>
      <c r="D257" s="659">
        <v>95759.40400000001</v>
      </c>
      <c r="E257" s="591">
        <f t="shared" si="18"/>
        <v>0.64704681175986656</v>
      </c>
      <c r="F257" s="637"/>
    </row>
    <row r="258" spans="2:10" ht="13.5" thickBot="1">
      <c r="C258" s="654"/>
      <c r="D258" s="656"/>
      <c r="E258" s="657"/>
    </row>
    <row r="259" spans="2:10" ht="13.5" thickBot="1">
      <c r="C259" s="621" t="s">
        <v>77</v>
      </c>
      <c r="D259" s="594">
        <f>SUM(D253:D257)</f>
        <v>147994.55350000001</v>
      </c>
      <c r="E259" s="596">
        <f>+SUM(E253:E258)</f>
        <v>1</v>
      </c>
    </row>
    <row r="260" spans="2:10">
      <c r="C260" s="606" t="s">
        <v>72</v>
      </c>
      <c r="D260" s="509">
        <f>D259-SUM(D196:D199)-SUM(D202:D216)-SUM(D219:D233)</f>
        <v>0</v>
      </c>
    </row>
    <row r="263" spans="2:10">
      <c r="B263" s="632" t="s">
        <v>135</v>
      </c>
      <c r="I263" s="557" t="s">
        <v>136</v>
      </c>
      <c r="J263" s="556">
        <f>Model!$N$203</f>
        <v>5.5350451382931022E-2</v>
      </c>
    </row>
    <row r="264" spans="2:10">
      <c r="B264" s="632"/>
      <c r="I264" s="557" t="s">
        <v>137</v>
      </c>
      <c r="J264" s="556">
        <f>Model!$N$202</f>
        <v>5.4138445412480099E-2</v>
      </c>
    </row>
    <row r="265" spans="2:10">
      <c r="B265" s="632"/>
    </row>
    <row r="266" spans="2:10" ht="13.5" thickBot="1">
      <c r="B266" s="632"/>
    </row>
    <row r="267" spans="2:10" ht="12.95" customHeight="1">
      <c r="C267" s="702" t="s">
        <v>138</v>
      </c>
      <c r="D267" s="703" t="s">
        <v>18</v>
      </c>
      <c r="E267" s="703" t="s">
        <v>19</v>
      </c>
      <c r="F267" s="703" t="s">
        <v>20</v>
      </c>
      <c r="G267" s="704" t="s">
        <v>21</v>
      </c>
      <c r="I267" s="705" t="s">
        <v>22</v>
      </c>
      <c r="J267" s="706" t="s">
        <v>18</v>
      </c>
    </row>
    <row r="268" spans="2:10" ht="13.5" thickBot="1">
      <c r="C268" s="660"/>
      <c r="D268" s="661"/>
      <c r="E268" s="662"/>
      <c r="F268" s="663"/>
      <c r="G268" s="664"/>
      <c r="I268" s="642" t="s">
        <v>23</v>
      </c>
      <c r="J268" s="643">
        <v>147430</v>
      </c>
    </row>
    <row r="269" spans="2:10">
      <c r="C269" s="660"/>
      <c r="D269" s="665"/>
      <c r="E269" s="662"/>
      <c r="F269" s="663"/>
      <c r="G269" s="664"/>
    </row>
    <row r="270" spans="2:10">
      <c r="C270" s="660" t="s">
        <v>92</v>
      </c>
      <c r="D270" s="666"/>
      <c r="E270" s="667"/>
      <c r="F270" s="663"/>
      <c r="G270" s="664"/>
    </row>
    <row r="271" spans="2:10">
      <c r="C271" s="668" t="s">
        <v>139</v>
      </c>
      <c r="D271" s="659">
        <v>1410.2470000000001</v>
      </c>
      <c r="E271" s="669">
        <f>D271*$J$263</f>
        <v>78.057808011424328</v>
      </c>
      <c r="F271" s="663"/>
      <c r="G271" s="664"/>
    </row>
    <row r="272" spans="2:10">
      <c r="C272" s="668" t="s">
        <v>140</v>
      </c>
      <c r="D272" s="659">
        <v>461.46100000000001</v>
      </c>
      <c r="E272" s="669">
        <f t="shared" ref="E272:E275" si="19">D272*$J$263</f>
        <v>25.542074645618733</v>
      </c>
      <c r="F272" s="663"/>
      <c r="G272" s="664"/>
    </row>
    <row r="273" spans="3:9">
      <c r="C273" s="668" t="s">
        <v>141</v>
      </c>
      <c r="D273" s="659">
        <v>733.85900000000004</v>
      </c>
      <c r="E273" s="669">
        <f t="shared" si="19"/>
        <v>40.61942690142638</v>
      </c>
      <c r="F273" s="663"/>
      <c r="G273" s="664"/>
    </row>
    <row r="274" spans="3:9">
      <c r="C274" s="668" t="s">
        <v>142</v>
      </c>
      <c r="D274" s="659">
        <v>7175</v>
      </c>
      <c r="E274" s="669">
        <f t="shared" si="19"/>
        <v>397.13948867253009</v>
      </c>
      <c r="F274" s="663"/>
      <c r="G274" s="664"/>
    </row>
    <row r="275" spans="3:9">
      <c r="C275" s="668" t="s">
        <v>94</v>
      </c>
      <c r="D275" s="659">
        <v>1500</v>
      </c>
      <c r="E275" s="669">
        <f t="shared" si="19"/>
        <v>83.025677074396526</v>
      </c>
      <c r="F275" s="663"/>
      <c r="G275" s="664"/>
    </row>
    <row r="276" spans="3:9">
      <c r="C276" s="668"/>
      <c r="D276" s="659"/>
      <c r="E276" s="669"/>
      <c r="F276" s="663"/>
      <c r="G276" s="664"/>
    </row>
    <row r="277" spans="3:9">
      <c r="C277" s="660" t="s">
        <v>97</v>
      </c>
      <c r="D277" s="659"/>
      <c r="E277" s="669"/>
      <c r="F277" s="663"/>
      <c r="G277" s="664"/>
      <c r="I277" s="637"/>
    </row>
    <row r="278" spans="3:9">
      <c r="C278" s="668" t="s">
        <v>98</v>
      </c>
      <c r="D278" s="659">
        <v>1500</v>
      </c>
      <c r="E278" s="669">
        <f t="shared" ref="E278:E286" si="20">D278*$J$263</f>
        <v>83.025677074396526</v>
      </c>
      <c r="F278" s="670"/>
      <c r="G278" s="664"/>
    </row>
    <row r="279" spans="3:9">
      <c r="C279" s="668" t="s">
        <v>99</v>
      </c>
      <c r="D279" s="659">
        <v>1730</v>
      </c>
      <c r="E279" s="669">
        <f t="shared" si="20"/>
        <v>95.75628089247067</v>
      </c>
      <c r="F279" s="670"/>
      <c r="G279" s="664"/>
    </row>
    <row r="280" spans="3:9">
      <c r="C280" s="668" t="s">
        <v>100</v>
      </c>
      <c r="D280" s="659">
        <v>4799.6000000000004</v>
      </c>
      <c r="E280" s="669">
        <f t="shared" si="20"/>
        <v>265.66002645751576</v>
      </c>
      <c r="F280" s="670"/>
      <c r="G280" s="671"/>
    </row>
    <row r="281" spans="3:9">
      <c r="C281" s="668" t="s">
        <v>101</v>
      </c>
      <c r="D281" s="659">
        <v>3700</v>
      </c>
      <c r="E281" s="669">
        <f t="shared" si="20"/>
        <v>204.79667011684478</v>
      </c>
      <c r="F281" s="670"/>
      <c r="G281" s="664"/>
    </row>
    <row r="282" spans="3:9">
      <c r="C282" s="668" t="s">
        <v>102</v>
      </c>
      <c r="D282" s="659">
        <v>2900</v>
      </c>
      <c r="E282" s="669">
        <f t="shared" si="20"/>
        <v>160.51630901049995</v>
      </c>
      <c r="F282" s="670"/>
      <c r="G282" s="664"/>
      <c r="I282" s="523"/>
    </row>
    <row r="283" spans="3:9">
      <c r="C283" s="668" t="s">
        <v>103</v>
      </c>
      <c r="D283" s="659">
        <v>9000</v>
      </c>
      <c r="E283" s="669">
        <f t="shared" si="20"/>
        <v>498.15406244637921</v>
      </c>
      <c r="F283" s="670"/>
      <c r="G283" s="664"/>
      <c r="I283" s="523"/>
    </row>
    <row r="284" spans="3:9">
      <c r="C284" s="668" t="s">
        <v>104</v>
      </c>
      <c r="D284" s="659">
        <v>4970</v>
      </c>
      <c r="E284" s="669">
        <f t="shared" si="20"/>
        <v>275.09174337316716</v>
      </c>
      <c r="F284" s="670"/>
      <c r="G284" s="664"/>
      <c r="I284" s="523"/>
    </row>
    <row r="285" spans="3:9">
      <c r="C285" s="668" t="s">
        <v>105</v>
      </c>
      <c r="D285" s="659">
        <v>3892.3530000000001</v>
      </c>
      <c r="E285" s="669">
        <f t="shared" si="20"/>
        <v>215.4434954917057</v>
      </c>
      <c r="F285" s="670"/>
      <c r="G285" s="664"/>
      <c r="I285" s="523"/>
    </row>
    <row r="286" spans="3:9">
      <c r="C286" s="668" t="s">
        <v>106</v>
      </c>
      <c r="D286" s="659">
        <v>3618.8110000000001</v>
      </c>
      <c r="E286" s="669">
        <f t="shared" si="20"/>
        <v>200.302822319516</v>
      </c>
      <c r="F286" s="670"/>
      <c r="G286" s="664"/>
      <c r="I286" s="523"/>
    </row>
    <row r="287" spans="3:9">
      <c r="C287" s="668" t="s">
        <v>107</v>
      </c>
      <c r="D287" s="672">
        <f>E287/$J$263</f>
        <v>14001.692500000001</v>
      </c>
      <c r="E287" s="673">
        <v>775</v>
      </c>
      <c r="F287" s="670"/>
      <c r="G287" s="664"/>
      <c r="I287" s="523"/>
    </row>
    <row r="288" spans="3:9">
      <c r="C288" s="668" t="s">
        <v>108</v>
      </c>
      <c r="D288" s="672">
        <f t="shared" ref="D288:D292" si="21">E288/$J$263</f>
        <v>9033.35</v>
      </c>
      <c r="E288" s="673">
        <v>500</v>
      </c>
      <c r="F288" s="670"/>
      <c r="G288" s="671"/>
      <c r="I288" s="637"/>
    </row>
    <row r="289" spans="3:9">
      <c r="C289" s="668" t="s">
        <v>109</v>
      </c>
      <c r="D289" s="672">
        <f t="shared" si="21"/>
        <v>10840.02</v>
      </c>
      <c r="E289" s="673">
        <v>600</v>
      </c>
      <c r="F289" s="670"/>
      <c r="G289" s="671"/>
    </row>
    <row r="290" spans="3:9">
      <c r="C290" s="668" t="s">
        <v>110</v>
      </c>
      <c r="D290" s="672">
        <f t="shared" si="21"/>
        <v>5420.01</v>
      </c>
      <c r="E290" s="673">
        <v>300</v>
      </c>
      <c r="F290" s="670"/>
      <c r="G290" s="664"/>
      <c r="I290" s="639"/>
    </row>
    <row r="291" spans="3:9">
      <c r="C291" s="668" t="s">
        <v>111</v>
      </c>
      <c r="D291" s="672">
        <f t="shared" si="21"/>
        <v>12646.69</v>
      </c>
      <c r="E291" s="673">
        <v>700</v>
      </c>
      <c r="F291" s="670"/>
      <c r="G291" s="664"/>
      <c r="I291" s="638"/>
    </row>
    <row r="292" spans="3:9">
      <c r="C292" s="668" t="s">
        <v>112</v>
      </c>
      <c r="D292" s="672">
        <f t="shared" si="21"/>
        <v>15675.373521300002</v>
      </c>
      <c r="E292" s="673">
        <v>867.63900000000001</v>
      </c>
      <c r="F292" s="670"/>
      <c r="G292" s="664"/>
      <c r="I292" s="638"/>
    </row>
    <row r="293" spans="3:9">
      <c r="C293" s="668"/>
      <c r="D293" s="674"/>
      <c r="E293" s="675"/>
      <c r="F293" s="676"/>
      <c r="G293" s="671"/>
    </row>
    <row r="294" spans="3:9">
      <c r="C294" s="660" t="s">
        <v>113</v>
      </c>
      <c r="D294" s="674"/>
      <c r="E294" s="675"/>
      <c r="F294" s="676"/>
      <c r="G294" s="671"/>
      <c r="I294" s="523"/>
    </row>
    <row r="295" spans="3:9">
      <c r="C295" s="668" t="s">
        <v>143</v>
      </c>
      <c r="D295" s="672">
        <f t="shared" ref="D295:D296" si="22">E295/$J$263</f>
        <v>813.00150000000008</v>
      </c>
      <c r="E295" s="673">
        <v>45</v>
      </c>
      <c r="F295" s="676"/>
      <c r="G295" s="671"/>
    </row>
    <row r="296" spans="3:9">
      <c r="C296" s="668" t="s">
        <v>115</v>
      </c>
      <c r="D296" s="672">
        <f t="shared" si="22"/>
        <v>13550.025000000001</v>
      </c>
      <c r="E296" s="673">
        <v>750</v>
      </c>
      <c r="F296" s="676"/>
      <c r="G296" s="671"/>
    </row>
    <row r="297" spans="3:9">
      <c r="C297" s="668" t="s">
        <v>144</v>
      </c>
      <c r="D297" s="659">
        <v>2000</v>
      </c>
      <c r="E297" s="669">
        <f t="shared" ref="E297:E312" si="23">D297*$J$263</f>
        <v>110.70090276586204</v>
      </c>
      <c r="F297" s="676"/>
      <c r="G297" s="671"/>
    </row>
    <row r="298" spans="3:9">
      <c r="C298" s="668" t="s">
        <v>145</v>
      </c>
      <c r="D298" s="659">
        <v>150</v>
      </c>
      <c r="E298" s="669">
        <f t="shared" si="23"/>
        <v>8.3025677074396533</v>
      </c>
      <c r="F298" s="676"/>
      <c r="G298" s="671"/>
    </row>
    <row r="299" spans="3:9">
      <c r="C299" s="668" t="s">
        <v>146</v>
      </c>
      <c r="D299" s="659">
        <v>250</v>
      </c>
      <c r="E299" s="669">
        <f t="shared" si="23"/>
        <v>13.837612845732755</v>
      </c>
      <c r="F299" s="676"/>
      <c r="G299" s="671"/>
    </row>
    <row r="300" spans="3:9">
      <c r="C300" s="668" t="s">
        <v>147</v>
      </c>
      <c r="D300" s="659">
        <v>1550</v>
      </c>
      <c r="E300" s="669">
        <f t="shared" si="23"/>
        <v>85.79319964354309</v>
      </c>
      <c r="F300" s="676"/>
      <c r="G300" s="671"/>
    </row>
    <row r="301" spans="3:9">
      <c r="C301" s="668" t="s">
        <v>148</v>
      </c>
      <c r="D301" s="659">
        <v>1850</v>
      </c>
      <c r="E301" s="669">
        <f t="shared" si="23"/>
        <v>102.39833505842239</v>
      </c>
      <c r="F301" s="676"/>
      <c r="G301" s="671"/>
    </row>
    <row r="302" spans="3:9">
      <c r="C302" s="668" t="s">
        <v>149</v>
      </c>
      <c r="D302" s="659">
        <v>200</v>
      </c>
      <c r="E302" s="669">
        <f t="shared" si="23"/>
        <v>11.070090276586205</v>
      </c>
      <c r="F302" s="676"/>
      <c r="G302" s="671"/>
    </row>
    <row r="303" spans="3:9">
      <c r="C303" s="668" t="s">
        <v>150</v>
      </c>
      <c r="D303" s="659">
        <v>500</v>
      </c>
      <c r="E303" s="669">
        <f t="shared" si="23"/>
        <v>27.67522569146551</v>
      </c>
      <c r="F303" s="676"/>
      <c r="G303" s="671"/>
    </row>
    <row r="304" spans="3:9">
      <c r="C304" s="668" t="s">
        <v>151</v>
      </c>
      <c r="D304" s="659">
        <v>10</v>
      </c>
      <c r="E304" s="669">
        <f t="shared" si="23"/>
        <v>0.55350451382931021</v>
      </c>
      <c r="F304" s="676"/>
      <c r="G304" s="671"/>
    </row>
    <row r="305" spans="3:10">
      <c r="C305" s="668" t="s">
        <v>152</v>
      </c>
      <c r="D305" s="659">
        <v>1000</v>
      </c>
      <c r="E305" s="669">
        <f t="shared" si="23"/>
        <v>55.35045138293102</v>
      </c>
      <c r="F305" s="676"/>
      <c r="G305" s="671"/>
    </row>
    <row r="306" spans="3:10">
      <c r="C306" s="668" t="s">
        <v>153</v>
      </c>
      <c r="D306" s="659">
        <v>950</v>
      </c>
      <c r="E306" s="669">
        <f t="shared" si="23"/>
        <v>52.58292881378447</v>
      </c>
      <c r="F306" s="676"/>
      <c r="G306" s="671"/>
    </row>
    <row r="307" spans="3:10">
      <c r="C307" s="668" t="s">
        <v>154</v>
      </c>
      <c r="D307" s="659">
        <v>2900</v>
      </c>
      <c r="E307" s="669">
        <f t="shared" si="23"/>
        <v>160.51630901049995</v>
      </c>
      <c r="F307" s="676"/>
      <c r="G307" s="671"/>
      <c r="J307" s="637"/>
    </row>
    <row r="308" spans="3:10">
      <c r="C308" s="668" t="s">
        <v>127</v>
      </c>
      <c r="D308" s="659">
        <v>2350</v>
      </c>
      <c r="E308" s="669">
        <f t="shared" si="23"/>
        <v>130.07356074988789</v>
      </c>
      <c r="F308" s="676"/>
      <c r="G308" s="671"/>
    </row>
    <row r="309" spans="3:10">
      <c r="C309" s="668" t="s">
        <v>128</v>
      </c>
      <c r="D309" s="659">
        <v>600</v>
      </c>
      <c r="E309" s="669">
        <f t="shared" si="23"/>
        <v>33.210270829758613</v>
      </c>
      <c r="F309" s="676"/>
      <c r="G309" s="671"/>
    </row>
    <row r="310" spans="3:10">
      <c r="C310" s="668" t="s">
        <v>63</v>
      </c>
      <c r="D310" s="659">
        <v>-548.44299999999998</v>
      </c>
      <c r="E310" s="669">
        <f t="shared" si="23"/>
        <v>-30.356567607808838</v>
      </c>
      <c r="F310" s="676"/>
      <c r="G310" s="671"/>
      <c r="J310" s="649"/>
    </row>
    <row r="311" spans="3:10">
      <c r="C311" s="668" t="s">
        <v>64</v>
      </c>
      <c r="D311" s="659">
        <v>-126.077</v>
      </c>
      <c r="E311" s="669">
        <f t="shared" si="23"/>
        <v>-6.9784188590057941</v>
      </c>
      <c r="F311" s="676"/>
      <c r="G311" s="671"/>
      <c r="J311" s="649"/>
    </row>
    <row r="312" spans="3:10">
      <c r="C312" s="668" t="s">
        <v>65</v>
      </c>
      <c r="D312" s="659">
        <v>1427.605</v>
      </c>
      <c r="E312" s="669">
        <f t="shared" si="23"/>
        <v>79.018581146529243</v>
      </c>
      <c r="F312" s="676"/>
      <c r="G312" s="671"/>
    </row>
    <row r="313" spans="3:10">
      <c r="C313" s="668"/>
      <c r="D313" s="659"/>
      <c r="E313" s="675"/>
      <c r="F313" s="676"/>
      <c r="G313" s="671"/>
    </row>
    <row r="314" spans="3:10">
      <c r="C314" s="677" t="s">
        <v>66</v>
      </c>
      <c r="D314" s="678">
        <f>SUM(D271:D312)</f>
        <v>144434.57852130005</v>
      </c>
      <c r="E314" s="679">
        <f>SUM(E271:E312)</f>
        <v>7994.5191164573498</v>
      </c>
      <c r="F314" s="680">
        <f>+D314/D319</f>
        <v>6.7973813249715471</v>
      </c>
      <c r="G314" s="681">
        <f>+E314/E319</f>
        <v>6.9495553795925895</v>
      </c>
    </row>
    <row r="315" spans="3:10">
      <c r="C315" s="682" t="s">
        <v>67</v>
      </c>
      <c r="D315" s="683">
        <f>Model!AW$123</f>
        <v>4197.1180000000004</v>
      </c>
      <c r="E315" s="669">
        <f>D315*$J263</f>
        <v>232.3123758074247</v>
      </c>
      <c r="F315" s="684"/>
      <c r="G315" s="685"/>
    </row>
    <row r="316" spans="3:10">
      <c r="C316" s="677" t="s">
        <v>68</v>
      </c>
      <c r="D316" s="686">
        <f>+D314-D315</f>
        <v>140237.46052130006</v>
      </c>
      <c r="E316" s="679">
        <f>+E314-E315</f>
        <v>7762.2067406499255</v>
      </c>
      <c r="F316" s="680">
        <f>+D316/D319</f>
        <v>6.5998565230578929</v>
      </c>
      <c r="G316" s="681">
        <f>+E316/E319</f>
        <v>6.7476085585868191</v>
      </c>
    </row>
    <row r="317" spans="3:10">
      <c r="C317" s="687" t="s">
        <v>69</v>
      </c>
      <c r="D317" s="688">
        <f>Model!AW$128</f>
        <v>191564.18400000001</v>
      </c>
      <c r="E317" s="669">
        <f>D317*$J263</f>
        <v>10603.164053202854</v>
      </c>
      <c r="F317" s="689"/>
      <c r="G317" s="690"/>
    </row>
    <row r="318" spans="3:10">
      <c r="C318" s="677" t="s">
        <v>70</v>
      </c>
      <c r="D318" s="686">
        <f>D314+D317</f>
        <v>335998.76252130006</v>
      </c>
      <c r="E318" s="679">
        <f>E314+E317</f>
        <v>18597.683169660202</v>
      </c>
      <c r="F318" s="680">
        <f>D318/D319</f>
        <v>15.812776531480111</v>
      </c>
      <c r="G318" s="681">
        <f>E318/E319</f>
        <v>16.16677966953738</v>
      </c>
    </row>
    <row r="319" spans="3:10">
      <c r="C319" s="691" t="s">
        <v>71</v>
      </c>
      <c r="D319" s="692">
        <f>Model!AW$102</f>
        <v>21248.561999999998</v>
      </c>
      <c r="E319" s="693">
        <f>D319*$J264</f>
        <v>1150.3641139306987</v>
      </c>
      <c r="F319" s="694"/>
      <c r="G319" s="695"/>
    </row>
    <row r="320" spans="3:10">
      <c r="C320" s="606"/>
      <c r="D320" s="623"/>
      <c r="E320" s="626"/>
    </row>
    <row r="321" spans="3:6" ht="13.5" thickBot="1">
      <c r="C321" s="531"/>
      <c r="D321" s="609"/>
      <c r="E321" s="609"/>
    </row>
    <row r="322" spans="3:6">
      <c r="C322" s="698" t="s">
        <v>155</v>
      </c>
      <c r="D322" s="700" t="s">
        <v>130</v>
      </c>
      <c r="E322" s="701" t="s">
        <v>131</v>
      </c>
    </row>
    <row r="323" spans="3:6">
      <c r="C323" s="615" t="s">
        <v>74</v>
      </c>
      <c r="D323" s="520">
        <f>D315</f>
        <v>4197.1180000000004</v>
      </c>
      <c r="E323" s="519">
        <f>D323*$J$338</f>
        <v>206.56938114596767</v>
      </c>
    </row>
    <row r="324" spans="3:6" ht="13.5" thickBot="1">
      <c r="C324" s="616" t="s">
        <v>75</v>
      </c>
      <c r="D324" s="517">
        <f>SUM(D323:D323)</f>
        <v>4197.1180000000004</v>
      </c>
      <c r="E324" s="516">
        <f>SUM(E323:E323)</f>
        <v>206.56938114596767</v>
      </c>
    </row>
    <row r="325" spans="3:6">
      <c r="C325" s="531"/>
      <c r="D325" s="531"/>
      <c r="E325" s="531"/>
    </row>
    <row r="326" spans="3:6" ht="13.5" thickBot="1">
      <c r="C326" s="531"/>
      <c r="D326" s="531"/>
      <c r="E326" s="531"/>
    </row>
    <row r="327" spans="3:6">
      <c r="C327" s="699" t="s">
        <v>156</v>
      </c>
      <c r="D327" s="700" t="s">
        <v>130</v>
      </c>
      <c r="E327" s="700" t="s">
        <v>133</v>
      </c>
    </row>
    <row r="328" spans="3:6">
      <c r="C328" s="618"/>
      <c r="D328" s="619"/>
      <c r="E328" s="619"/>
    </row>
    <row r="329" spans="3:6">
      <c r="C329" s="653">
        <v>2025</v>
      </c>
      <c r="D329" s="659">
        <f>SUM(D295,D297,D298,D299,D300,D301,D302,D303,D304,D305,D306,D307,D308)</f>
        <v>14523.0015</v>
      </c>
      <c r="E329" s="591">
        <f>(D329/$D$335)</f>
        <v>0.10107774595095675</v>
      </c>
      <c r="F329" s="655"/>
    </row>
    <row r="330" spans="3:6">
      <c r="C330" s="653">
        <v>2026</v>
      </c>
      <c r="D330" s="659">
        <f>SUM(D271,D272,D278,D309)</f>
        <v>3971.7080000000001</v>
      </c>
      <c r="E330" s="591">
        <f t="shared" ref="E330:E333" si="24">(D330/$D$335)</f>
        <v>2.7642446515989311E-2</v>
      </c>
    </row>
    <row r="331" spans="3:6">
      <c r="C331" s="653">
        <v>2027</v>
      </c>
      <c r="D331" s="659">
        <f>SUM(D279,D280,D285,D296)</f>
        <v>23971.978000000003</v>
      </c>
      <c r="E331" s="591">
        <f t="shared" si="24"/>
        <v>0.16684109701606273</v>
      </c>
    </row>
    <row r="332" spans="3:6">
      <c r="C332" s="653">
        <v>2028</v>
      </c>
      <c r="D332" s="659">
        <f>SUM(D273,D281,D282,D286)</f>
        <v>10952.67</v>
      </c>
      <c r="E332" s="591">
        <f t="shared" si="24"/>
        <v>7.6228815079628379E-2</v>
      </c>
    </row>
    <row r="333" spans="3:6">
      <c r="C333" s="653" t="s">
        <v>134</v>
      </c>
      <c r="D333" s="659">
        <f>SUM(D274,D275,D283,D284,D287,D288,D289,D290,D291,D292)</f>
        <v>90262.136021300001</v>
      </c>
      <c r="E333" s="591">
        <f t="shared" si="24"/>
        <v>0.62820989543736283</v>
      </c>
      <c r="F333" s="637"/>
    </row>
    <row r="334" spans="3:6" ht="13.5" thickBot="1">
      <c r="C334" s="654"/>
      <c r="D334" s="656"/>
      <c r="E334" s="657"/>
    </row>
    <row r="335" spans="3:6" ht="13.5" thickBot="1">
      <c r="C335" s="621" t="s">
        <v>77</v>
      </c>
      <c r="D335" s="594">
        <f>SUM(D329:D333)</f>
        <v>143681.4935213</v>
      </c>
      <c r="E335" s="596">
        <f>+SUM(E329:E334)</f>
        <v>1</v>
      </c>
    </row>
    <row r="336" spans="3:6">
      <c r="C336" s="606" t="s">
        <v>72</v>
      </c>
      <c r="D336" s="509">
        <f>D335-SUM(D271:D275)-SUM(D278:D292)-SUM(D295:D309)</f>
        <v>0</v>
      </c>
    </row>
    <row r="338" spans="2:10">
      <c r="I338" s="557" t="s">
        <v>157</v>
      </c>
      <c r="J338" s="556">
        <f>Model!AV$203</f>
        <v>4.9216958195115706E-2</v>
      </c>
    </row>
    <row r="339" spans="2:10">
      <c r="B339" s="632" t="s">
        <v>158</v>
      </c>
      <c r="I339" s="557" t="s">
        <v>159</v>
      </c>
      <c r="J339" s="556">
        <f>Model!AN$202</f>
        <v>5.3580000000000003E-2</v>
      </c>
    </row>
    <row r="340" spans="2:10" ht="12.95" customHeight="1">
      <c r="C340" s="560"/>
      <c r="D340" s="790" t="s">
        <v>160</v>
      </c>
      <c r="E340" s="791"/>
      <c r="F340" s="559" t="s">
        <v>20</v>
      </c>
      <c r="G340" s="558" t="s">
        <v>21</v>
      </c>
    </row>
    <row r="341" spans="2:10" ht="13.5" thickBot="1">
      <c r="C341" s="660"/>
      <c r="D341" s="661" t="s">
        <v>18</v>
      </c>
      <c r="E341" s="662" t="s">
        <v>19</v>
      </c>
      <c r="F341" s="663"/>
      <c r="G341" s="664"/>
    </row>
    <row r="342" spans="2:10">
      <c r="C342" s="660"/>
      <c r="D342" s="665"/>
      <c r="E342" s="662"/>
      <c r="F342" s="663"/>
      <c r="G342" s="664"/>
      <c r="I342" s="641" t="s">
        <v>22</v>
      </c>
      <c r="J342" s="696" t="s">
        <v>18</v>
      </c>
    </row>
    <row r="343" spans="2:10" ht="13.5" thickBot="1">
      <c r="C343" s="660" t="s">
        <v>92</v>
      </c>
      <c r="D343" s="666"/>
      <c r="E343" s="667"/>
      <c r="F343" s="663"/>
      <c r="G343" s="664"/>
      <c r="I343" s="642" t="s">
        <v>23</v>
      </c>
      <c r="J343" s="643">
        <v>151746.20000000001</v>
      </c>
    </row>
    <row r="344" spans="2:10">
      <c r="C344" s="668" t="s">
        <v>161</v>
      </c>
      <c r="D344" s="659">
        <v>1431.653</v>
      </c>
      <c r="E344" s="669">
        <f>D344*$J338</f>
        <v>70.461605850911994</v>
      </c>
      <c r="F344" s="663"/>
      <c r="G344" s="664"/>
    </row>
    <row r="345" spans="2:10" ht="25.5">
      <c r="C345" s="668" t="s">
        <v>162</v>
      </c>
      <c r="D345" s="659">
        <v>468.46600000000001</v>
      </c>
      <c r="E345" s="669">
        <f>D345*$J338</f>
        <v>23.056471537833076</v>
      </c>
      <c r="F345" s="663"/>
      <c r="G345" s="664"/>
    </row>
    <row r="346" spans="2:10" ht="25.5">
      <c r="C346" s="668" t="s">
        <v>163</v>
      </c>
      <c r="D346" s="659">
        <v>7175</v>
      </c>
      <c r="E346" s="669">
        <f>D346*$J338</f>
        <v>353.13167504995522</v>
      </c>
      <c r="F346" s="663"/>
      <c r="G346" s="664"/>
    </row>
    <row r="347" spans="2:10" ht="25.5">
      <c r="C347" s="668" t="s">
        <v>164</v>
      </c>
      <c r="D347" s="659">
        <v>734.67899999999997</v>
      </c>
      <c r="E347" s="669">
        <f>D347*$J338</f>
        <v>36.158665629829407</v>
      </c>
      <c r="F347" s="663"/>
      <c r="G347" s="664"/>
    </row>
    <row r="348" spans="2:10" ht="25.5">
      <c r="C348" s="668" t="s">
        <v>165</v>
      </c>
      <c r="D348" s="659">
        <v>1500</v>
      </c>
      <c r="E348" s="669">
        <f>D348*$J338</f>
        <v>73.825437292673556</v>
      </c>
      <c r="F348" s="663"/>
      <c r="G348" s="664"/>
    </row>
    <row r="349" spans="2:10">
      <c r="C349" s="668"/>
      <c r="D349" s="659"/>
      <c r="E349" s="669"/>
      <c r="F349" s="663"/>
      <c r="G349" s="664"/>
    </row>
    <row r="350" spans="2:10">
      <c r="C350" s="660" t="s">
        <v>97</v>
      </c>
      <c r="D350" s="659"/>
      <c r="E350" s="669"/>
      <c r="F350" s="663"/>
      <c r="G350" s="664"/>
      <c r="I350" s="637"/>
    </row>
    <row r="351" spans="2:10" ht="25.5">
      <c r="C351" s="668" t="s">
        <v>166</v>
      </c>
      <c r="D351" s="659">
        <v>7484.4139999999998</v>
      </c>
      <c r="E351" s="669">
        <f>D351*$J338</f>
        <v>368.36009095293872</v>
      </c>
      <c r="F351" s="670"/>
      <c r="G351" s="664"/>
    </row>
    <row r="352" spans="2:10" ht="25.5">
      <c r="C352" s="668" t="s">
        <v>167</v>
      </c>
      <c r="D352" s="659">
        <v>3585.2170000000001</v>
      </c>
      <c r="E352" s="669">
        <f>D352*$J338</f>
        <v>176.45347520941814</v>
      </c>
      <c r="F352" s="670"/>
      <c r="G352" s="664"/>
    </row>
    <row r="353" spans="3:9" ht="25.5">
      <c r="C353" s="668" t="s">
        <v>168</v>
      </c>
      <c r="D353" s="659">
        <v>3856.221</v>
      </c>
      <c r="E353" s="669">
        <f>D353*$J338</f>
        <v>189.79146774812727</v>
      </c>
      <c r="F353" s="670"/>
      <c r="G353" s="671"/>
    </row>
    <row r="354" spans="3:9" ht="25.5">
      <c r="C354" s="668" t="s">
        <v>169</v>
      </c>
      <c r="D354" s="659">
        <v>4799.6000000000004</v>
      </c>
      <c r="E354" s="669">
        <f>D354*$J338</f>
        <v>236.22171255327737</v>
      </c>
      <c r="F354" s="670"/>
      <c r="G354" s="664"/>
    </row>
    <row r="355" spans="3:9" ht="25.5">
      <c r="C355" s="668" t="s">
        <v>170</v>
      </c>
      <c r="D355" s="659">
        <v>5200</v>
      </c>
      <c r="E355" s="669">
        <f>D355*$J338</f>
        <v>255.92818261460167</v>
      </c>
      <c r="F355" s="670"/>
      <c r="G355" s="664"/>
    </row>
    <row r="356" spans="3:9" ht="25.5">
      <c r="C356" s="668" t="s">
        <v>171</v>
      </c>
      <c r="D356" s="659">
        <v>1730</v>
      </c>
      <c r="E356" s="669">
        <f>D356*$J338</f>
        <v>85.145337677550174</v>
      </c>
      <c r="F356" s="670"/>
      <c r="G356" s="664"/>
    </row>
    <row r="357" spans="3:9" ht="25.5">
      <c r="C357" s="668" t="s">
        <v>172</v>
      </c>
      <c r="D357" s="659">
        <v>4970</v>
      </c>
      <c r="E357" s="669">
        <f>D357*$J338</f>
        <v>244.60828222972506</v>
      </c>
      <c r="F357" s="670"/>
      <c r="G357" s="664"/>
    </row>
    <row r="358" spans="3:9" ht="25.5">
      <c r="C358" s="668" t="s">
        <v>173</v>
      </c>
      <c r="D358" s="659">
        <v>2900</v>
      </c>
      <c r="E358" s="669">
        <f>D358*$J338</f>
        <v>142.72917876583554</v>
      </c>
      <c r="F358" s="670"/>
      <c r="G358" s="664"/>
    </row>
    <row r="359" spans="3:9" ht="25.5">
      <c r="C359" s="668" t="s">
        <v>174</v>
      </c>
      <c r="D359" s="659">
        <v>1500</v>
      </c>
      <c r="E359" s="669">
        <f>D359*$J338</f>
        <v>73.825437292673556</v>
      </c>
      <c r="F359" s="670"/>
      <c r="G359" s="664"/>
    </row>
    <row r="360" spans="3:9">
      <c r="C360" s="668" t="s">
        <v>175</v>
      </c>
      <c r="D360" s="672">
        <f>E360/$J$338</f>
        <v>16612.952729799999</v>
      </c>
      <c r="E360" s="673">
        <v>817.63900000000001</v>
      </c>
      <c r="F360" s="670"/>
      <c r="G360" s="664"/>
    </row>
    <row r="361" spans="3:9">
      <c r="C361" s="668" t="s">
        <v>176</v>
      </c>
      <c r="D361" s="672">
        <f t="shared" ref="D361:D365" si="25">E361/$J$338</f>
        <v>15604.377600000002</v>
      </c>
      <c r="E361" s="673">
        <v>768</v>
      </c>
      <c r="F361" s="670"/>
      <c r="G361" s="671"/>
    </row>
    <row r="362" spans="3:9">
      <c r="C362" s="668" t="s">
        <v>177</v>
      </c>
      <c r="D362" s="672">
        <f t="shared" si="25"/>
        <v>12190.92</v>
      </c>
      <c r="E362" s="673">
        <v>600</v>
      </c>
      <c r="F362" s="670"/>
      <c r="G362" s="671"/>
    </row>
    <row r="363" spans="3:9">
      <c r="C363" s="668" t="s">
        <v>178</v>
      </c>
      <c r="D363" s="672">
        <f t="shared" si="25"/>
        <v>13995.176159999999</v>
      </c>
      <c r="E363" s="673">
        <v>688.8</v>
      </c>
      <c r="F363" s="670"/>
      <c r="G363" s="664"/>
      <c r="I363" s="639"/>
    </row>
    <row r="364" spans="3:9">
      <c r="C364" s="668" t="s">
        <v>179</v>
      </c>
      <c r="D364" s="672">
        <f t="shared" si="25"/>
        <v>10159.1</v>
      </c>
      <c r="E364" s="673">
        <v>500</v>
      </c>
      <c r="F364" s="670"/>
      <c r="G364" s="664"/>
      <c r="I364" s="638"/>
    </row>
    <row r="365" spans="3:9">
      <c r="C365" s="668" t="s">
        <v>180</v>
      </c>
      <c r="D365" s="672">
        <f t="shared" si="25"/>
        <v>6095.46</v>
      </c>
      <c r="E365" s="673">
        <v>300</v>
      </c>
      <c r="F365" s="670"/>
      <c r="G365" s="664"/>
      <c r="I365" s="638"/>
    </row>
    <row r="366" spans="3:9">
      <c r="C366" s="668"/>
      <c r="D366" s="674"/>
      <c r="E366" s="675"/>
      <c r="F366" s="676"/>
      <c r="G366" s="671"/>
    </row>
    <row r="367" spans="3:9">
      <c r="C367" s="660" t="s">
        <v>113</v>
      </c>
      <c r="D367" s="674"/>
      <c r="E367" s="675"/>
      <c r="F367" s="676"/>
      <c r="G367" s="671"/>
      <c r="I367" s="523"/>
    </row>
    <row r="368" spans="3:9" ht="25.5">
      <c r="C368" s="668" t="s">
        <v>181</v>
      </c>
      <c r="D368" s="659">
        <v>1550</v>
      </c>
      <c r="E368" s="669">
        <f>D368*$J338</f>
        <v>76.28628520242934</v>
      </c>
      <c r="F368" s="676"/>
      <c r="G368" s="671"/>
    </row>
    <row r="369" spans="3:10" ht="25.5">
      <c r="C369" s="668" t="s">
        <v>182</v>
      </c>
      <c r="D369" s="659">
        <v>1850</v>
      </c>
      <c r="E369" s="669">
        <f>D369*$J338</f>
        <v>91.051372660964063</v>
      </c>
      <c r="F369" s="676"/>
      <c r="G369" s="671"/>
    </row>
    <row r="370" spans="3:10" ht="25.5">
      <c r="C370" s="668" t="s">
        <v>183</v>
      </c>
      <c r="D370" s="659">
        <v>150</v>
      </c>
      <c r="E370" s="669">
        <f>D370*$J338</f>
        <v>7.3825437292673559</v>
      </c>
      <c r="F370" s="676"/>
      <c r="G370" s="671"/>
    </row>
    <row r="371" spans="3:10" ht="25.5">
      <c r="C371" s="668" t="s">
        <v>184</v>
      </c>
      <c r="D371" s="659">
        <v>2000</v>
      </c>
      <c r="E371" s="669">
        <f>D371*$J338</f>
        <v>98.433916390231417</v>
      </c>
      <c r="F371" s="676"/>
      <c r="G371" s="671"/>
    </row>
    <row r="372" spans="3:10" ht="25.5">
      <c r="C372" s="668" t="s">
        <v>185</v>
      </c>
      <c r="D372" s="659">
        <v>250</v>
      </c>
      <c r="E372" s="669">
        <f>D372*$J338</f>
        <v>12.304239548778927</v>
      </c>
      <c r="F372" s="676"/>
      <c r="G372" s="671"/>
    </row>
    <row r="373" spans="3:10" ht="25.5">
      <c r="C373" s="668" t="s">
        <v>186</v>
      </c>
      <c r="D373" s="659">
        <v>600</v>
      </c>
      <c r="E373" s="669">
        <f>D373*$J338</f>
        <v>29.530174917069424</v>
      </c>
      <c r="F373" s="676"/>
      <c r="G373" s="671"/>
    </row>
    <row r="374" spans="3:10" ht="25.5">
      <c r="C374" s="668" t="s">
        <v>187</v>
      </c>
      <c r="D374" s="659">
        <v>200</v>
      </c>
      <c r="E374" s="669">
        <f>D374*$J338</f>
        <v>9.8433916390231406</v>
      </c>
      <c r="F374" s="676"/>
      <c r="G374" s="671"/>
    </row>
    <row r="375" spans="3:10" ht="25.5">
      <c r="C375" s="668" t="s">
        <v>188</v>
      </c>
      <c r="D375" s="659">
        <v>200</v>
      </c>
      <c r="E375" s="669">
        <f>D375*$J338</f>
        <v>9.8433916390231406</v>
      </c>
      <c r="F375" s="676"/>
      <c r="G375" s="671"/>
    </row>
    <row r="376" spans="3:10" ht="25.5">
      <c r="C376" s="668" t="s">
        <v>189</v>
      </c>
      <c r="D376" s="659">
        <v>2900</v>
      </c>
      <c r="E376" s="669">
        <f>D376*$J338</f>
        <v>142.72917876583554</v>
      </c>
      <c r="F376" s="676"/>
      <c r="G376" s="671"/>
    </row>
    <row r="377" spans="3:10" ht="25.5">
      <c r="C377" s="668" t="s">
        <v>190</v>
      </c>
      <c r="D377" s="659">
        <v>2350</v>
      </c>
      <c r="E377" s="669">
        <f>D377*$J338</f>
        <v>115.65985175852191</v>
      </c>
      <c r="F377" s="676"/>
      <c r="G377" s="671"/>
    </row>
    <row r="378" spans="3:10" ht="25.5">
      <c r="C378" s="668" t="s">
        <v>191</v>
      </c>
      <c r="D378" s="659">
        <v>350</v>
      </c>
      <c r="E378" s="669">
        <f>D378*$J338</f>
        <v>17.225935368290497</v>
      </c>
      <c r="F378" s="676"/>
      <c r="G378" s="671"/>
    </row>
    <row r="379" spans="3:10" ht="25.5">
      <c r="C379" s="668" t="s">
        <v>192</v>
      </c>
      <c r="D379" s="659">
        <v>250</v>
      </c>
      <c r="E379" s="669">
        <f>D379*$J339</f>
        <v>13.395000000000001</v>
      </c>
      <c r="F379" s="676"/>
      <c r="G379" s="671"/>
    </row>
    <row r="380" spans="3:10" ht="25.5">
      <c r="C380" s="668" t="s">
        <v>193</v>
      </c>
      <c r="D380" s="659">
        <v>950</v>
      </c>
      <c r="E380" s="669">
        <f>D380*$J339</f>
        <v>50.901000000000003</v>
      </c>
      <c r="F380" s="676"/>
      <c r="G380" s="671"/>
      <c r="J380" s="637"/>
    </row>
    <row r="381" spans="3:10" ht="25.5">
      <c r="C381" s="668" t="s">
        <v>194</v>
      </c>
      <c r="D381" s="674">
        <f>E381/$J$338</f>
        <v>15238.650000000001</v>
      </c>
      <c r="E381" s="673">
        <v>750</v>
      </c>
      <c r="F381" s="676"/>
      <c r="G381" s="671"/>
    </row>
    <row r="382" spans="3:10" ht="25.5">
      <c r="C382" s="668" t="s">
        <v>195</v>
      </c>
      <c r="D382" s="674">
        <f>E382/$J$338</f>
        <v>914.31900000000007</v>
      </c>
      <c r="E382" s="673">
        <v>45</v>
      </c>
      <c r="F382" s="676"/>
      <c r="G382" s="671"/>
    </row>
    <row r="383" spans="3:10">
      <c r="C383" s="668" t="s">
        <v>196</v>
      </c>
      <c r="D383" s="659">
        <f>-126.372-508.557</f>
        <v>-634.92899999999997</v>
      </c>
      <c r="E383" s="669">
        <f>D383*$J338</f>
        <v>-31.249274049866621</v>
      </c>
      <c r="F383" s="676"/>
      <c r="G383" s="671"/>
    </row>
    <row r="384" spans="3:10">
      <c r="C384" s="668" t="s">
        <v>65</v>
      </c>
      <c r="D384" s="659">
        <v>-66.087999999999994</v>
      </c>
      <c r="E384" s="669">
        <f>D384*$J338</f>
        <v>-3.2526503331988064</v>
      </c>
      <c r="F384" s="676"/>
      <c r="G384" s="671"/>
    </row>
    <row r="385" spans="3:7">
      <c r="C385" s="668"/>
      <c r="D385" s="659"/>
      <c r="E385" s="675"/>
      <c r="F385" s="676"/>
      <c r="G385" s="671"/>
    </row>
    <row r="386" spans="3:7">
      <c r="C386" s="677" t="s">
        <v>66</v>
      </c>
      <c r="D386" s="678">
        <f>SUM(D344:D384)</f>
        <v>151045.18848980003</v>
      </c>
      <c r="E386" s="679">
        <f>SUM(E344:E384)</f>
        <v>7439.2203776417209</v>
      </c>
      <c r="F386" s="680">
        <f>+D386/D391</f>
        <v>7.2668051480062781</v>
      </c>
      <c r="G386" s="681">
        <f>+E386/E391</f>
        <v>6.6797673207049826</v>
      </c>
    </row>
    <row r="387" spans="3:7">
      <c r="C387" s="682" t="s">
        <v>67</v>
      </c>
      <c r="D387" s="683">
        <f>Model!AV$123</f>
        <v>2008.5730000000001</v>
      </c>
      <c r="E387" s="669">
        <f>D387*$J338</f>
        <v>98.855853372838141</v>
      </c>
      <c r="F387" s="684"/>
      <c r="G387" s="685"/>
    </row>
    <row r="388" spans="3:7">
      <c r="C388" s="677" t="s">
        <v>68</v>
      </c>
      <c r="D388" s="686">
        <f>+D386-D387</f>
        <v>149036.61548980002</v>
      </c>
      <c r="E388" s="679">
        <f>+E386-E387</f>
        <v>7340.3645242688826</v>
      </c>
      <c r="F388" s="680">
        <f>+D388/D391</f>
        <v>7.1701724199963284</v>
      </c>
      <c r="G388" s="681">
        <f>+E388/E391</f>
        <v>6.5910034361445931</v>
      </c>
    </row>
    <row r="389" spans="3:7">
      <c r="C389" s="687" t="s">
        <v>69</v>
      </c>
      <c r="D389" s="688">
        <f>Model!AV$128</f>
        <v>187202.66399999999</v>
      </c>
      <c r="E389" s="669">
        <f>D389*$J338</f>
        <v>9213.545688102291</v>
      </c>
      <c r="F389" s="689"/>
      <c r="G389" s="690"/>
    </row>
    <row r="390" spans="3:7">
      <c r="C390" s="677" t="s">
        <v>70</v>
      </c>
      <c r="D390" s="686">
        <f>D386+D389</f>
        <v>338247.85248980002</v>
      </c>
      <c r="E390" s="679">
        <f>E386+E389</f>
        <v>16652.766065744014</v>
      </c>
      <c r="F390" s="680">
        <f>D390/D391</f>
        <v>16.273151500889632</v>
      </c>
      <c r="G390" s="681">
        <f>E390/E391</f>
        <v>14.952723124000856</v>
      </c>
    </row>
    <row r="391" spans="3:7">
      <c r="C391" s="691" t="s">
        <v>71</v>
      </c>
      <c r="D391" s="692">
        <f>Model!AV$102</f>
        <v>20785.638999999996</v>
      </c>
      <c r="E391" s="693">
        <f>D391*$J339</f>
        <v>1113.6945376199999</v>
      </c>
      <c r="F391" s="694"/>
      <c r="G391" s="695"/>
    </row>
    <row r="392" spans="3:7">
      <c r="C392" s="606" t="s">
        <v>72</v>
      </c>
      <c r="D392" s="623">
        <f>D386-Model!AV$126</f>
        <v>4.8980003339238465E-4</v>
      </c>
      <c r="E392" s="626"/>
    </row>
    <row r="393" spans="3:7" ht="13.5" thickBot="1">
      <c r="C393" s="531"/>
      <c r="D393" s="609"/>
      <c r="E393" s="609"/>
    </row>
    <row r="394" spans="3:7">
      <c r="C394" s="611" t="s">
        <v>197</v>
      </c>
      <c r="D394" s="612" t="s">
        <v>130</v>
      </c>
      <c r="E394" s="613" t="s">
        <v>131</v>
      </c>
    </row>
    <row r="395" spans="3:7">
      <c r="C395" s="615" t="s">
        <v>198</v>
      </c>
      <c r="D395" s="579"/>
      <c r="E395" s="519">
        <f>D395*$J$411</f>
        <v>0</v>
      </c>
    </row>
    <row r="396" spans="3:7">
      <c r="C396" s="615" t="s">
        <v>74</v>
      </c>
      <c r="D396" s="520">
        <f>D387</f>
        <v>2008.5730000000001</v>
      </c>
      <c r="E396" s="519">
        <f>D396*$J$338</f>
        <v>98.855853372838141</v>
      </c>
    </row>
    <row r="397" spans="3:7" ht="13.5" thickBot="1">
      <c r="C397" s="616" t="s">
        <v>75</v>
      </c>
      <c r="D397" s="517">
        <f>SUM(D395:D396)</f>
        <v>2008.5730000000001</v>
      </c>
      <c r="E397" s="516">
        <f>SUM(E395:E396)</f>
        <v>98.855853372838141</v>
      </c>
    </row>
    <row r="398" spans="3:7">
      <c r="C398" s="531"/>
      <c r="D398" s="531"/>
      <c r="E398" s="531"/>
    </row>
    <row r="399" spans="3:7" ht="13.5" thickBot="1">
      <c r="C399" s="531"/>
      <c r="D399" s="531"/>
      <c r="E399" s="531"/>
    </row>
    <row r="400" spans="3:7">
      <c r="C400" s="617" t="s">
        <v>199</v>
      </c>
      <c r="D400" s="612" t="s">
        <v>130</v>
      </c>
      <c r="E400" s="612" t="s">
        <v>133</v>
      </c>
    </row>
    <row r="401" spans="2:10">
      <c r="C401" s="618"/>
      <c r="D401" s="619"/>
      <c r="E401" s="619"/>
    </row>
    <row r="402" spans="2:10">
      <c r="C402" s="653">
        <v>2025</v>
      </c>
      <c r="D402" s="659">
        <v>27198.733</v>
      </c>
      <c r="E402" s="591">
        <f>(D402/$D$408)</f>
        <v>0.1792383072262603</v>
      </c>
      <c r="F402" s="655"/>
    </row>
    <row r="403" spans="2:10">
      <c r="C403" s="653">
        <v>2026</v>
      </c>
      <c r="D403" s="659">
        <v>3400.1190000000001</v>
      </c>
      <c r="E403" s="591">
        <f t="shared" ref="E403:E406" si="26">(D403/$D$408)</f>
        <v>2.2406616290834024E-2</v>
      </c>
    </row>
    <row r="404" spans="2:10">
      <c r="C404" s="653">
        <v>2027</v>
      </c>
      <c r="D404" s="659">
        <v>25624.471000000001</v>
      </c>
      <c r="E404" s="591">
        <f t="shared" si="26"/>
        <v>0.16886399839317509</v>
      </c>
    </row>
    <row r="405" spans="2:10">
      <c r="C405" s="653">
        <v>2028</v>
      </c>
      <c r="D405" s="659">
        <v>7219.8959999999997</v>
      </c>
      <c r="E405" s="591">
        <f t="shared" si="26"/>
        <v>4.7578758076328331E-2</v>
      </c>
    </row>
    <row r="406" spans="2:10">
      <c r="C406" s="653" t="s">
        <v>134</v>
      </c>
      <c r="D406" s="659">
        <v>88302.986489799994</v>
      </c>
      <c r="E406" s="591">
        <f t="shared" si="26"/>
        <v>0.58191232001340232</v>
      </c>
      <c r="F406" s="637"/>
    </row>
    <row r="407" spans="2:10" ht="13.5" thickBot="1">
      <c r="C407" s="654"/>
      <c r="D407" s="656"/>
      <c r="E407" s="657"/>
    </row>
    <row r="408" spans="2:10" ht="13.5" thickBot="1">
      <c r="C408" s="621" t="s">
        <v>77</v>
      </c>
      <c r="D408" s="594">
        <f>SUM(D402:D406)</f>
        <v>151746.20548979999</v>
      </c>
      <c r="E408" s="596">
        <f>+SUM(E402:E407)</f>
        <v>1</v>
      </c>
    </row>
    <row r="409" spans="2:10">
      <c r="D409" s="509">
        <f>D408+D383+D384-D386</f>
        <v>0</v>
      </c>
    </row>
    <row r="411" spans="2:10">
      <c r="I411" s="557" t="s">
        <v>200</v>
      </c>
      <c r="J411" s="556">
        <f>Model!AU$203</f>
        <v>4.8031431768949598E-2</v>
      </c>
    </row>
    <row r="412" spans="2:10">
      <c r="B412" s="632" t="s">
        <v>201</v>
      </c>
      <c r="I412" s="557" t="s">
        <v>202</v>
      </c>
      <c r="J412" s="556">
        <f>Model!AU$202</f>
        <v>4.9759999999999999E-2</v>
      </c>
    </row>
    <row r="413" spans="2:10" ht="12.95" customHeight="1">
      <c r="C413" s="560"/>
      <c r="D413" s="790" t="s">
        <v>203</v>
      </c>
      <c r="E413" s="791"/>
      <c r="F413" s="559" t="s">
        <v>20</v>
      </c>
      <c r="G413" s="558" t="s">
        <v>21</v>
      </c>
    </row>
    <row r="414" spans="2:10" ht="13.5" thickBot="1">
      <c r="C414" s="554"/>
      <c r="D414" s="555" t="s">
        <v>18</v>
      </c>
      <c r="E414" s="552" t="s">
        <v>19</v>
      </c>
      <c r="F414" s="550"/>
      <c r="G414" s="549"/>
    </row>
    <row r="415" spans="2:10">
      <c r="C415" s="554"/>
      <c r="D415" s="553"/>
      <c r="E415" s="552"/>
      <c r="F415" s="550"/>
      <c r="G415" s="549"/>
      <c r="I415" s="641" t="s">
        <v>22</v>
      </c>
      <c r="J415" s="640"/>
    </row>
    <row r="416" spans="2:10" ht="13.5" thickBot="1">
      <c r="C416" s="554" t="s">
        <v>92</v>
      </c>
      <c r="D416" s="553"/>
      <c r="E416" s="552"/>
      <c r="F416" s="550"/>
      <c r="G416" s="549"/>
      <c r="I416" s="642" t="s">
        <v>204</v>
      </c>
      <c r="J416" s="643"/>
    </row>
    <row r="417" spans="3:9">
      <c r="C417" s="548" t="s">
        <v>161</v>
      </c>
      <c r="D417" s="418">
        <v>1452.3140000000001</v>
      </c>
      <c r="E417" s="539">
        <f>D417*$J411</f>
        <v>69.756720798090271</v>
      </c>
      <c r="F417" s="550"/>
      <c r="G417" s="549"/>
    </row>
    <row r="418" spans="3:9" ht="25.5">
      <c r="C418" s="548" t="s">
        <v>162</v>
      </c>
      <c r="D418" s="418">
        <v>475.226</v>
      </c>
      <c r="E418" s="539">
        <f>D418*$J411</f>
        <v>22.825785193830843</v>
      </c>
      <c r="F418" s="550"/>
      <c r="G418" s="549"/>
    </row>
    <row r="419" spans="3:9" ht="25.5">
      <c r="C419" s="548" t="s">
        <v>205</v>
      </c>
      <c r="D419" s="418">
        <v>4975</v>
      </c>
      <c r="E419" s="539">
        <f>D419*$J411</f>
        <v>238.95637305052426</v>
      </c>
      <c r="F419" s="550"/>
      <c r="G419" s="549"/>
    </row>
    <row r="420" spans="3:9" ht="25.5">
      <c r="C420" s="548" t="s">
        <v>164</v>
      </c>
      <c r="D420" s="418">
        <v>735.47500000000002</v>
      </c>
      <c r="E420" s="539">
        <f>D420*$J411</f>
        <v>35.325917280268207</v>
      </c>
      <c r="F420" s="550"/>
      <c r="G420" s="549"/>
    </row>
    <row r="421" spans="3:9" ht="25.5">
      <c r="C421" s="548" t="s">
        <v>165</v>
      </c>
      <c r="D421" s="418">
        <v>1500</v>
      </c>
      <c r="E421" s="539">
        <f>D421*$J411</f>
        <v>72.047147653424403</v>
      </c>
      <c r="F421" s="550"/>
      <c r="G421" s="549"/>
    </row>
    <row r="422" spans="3:9" ht="25.5">
      <c r="C422" s="548" t="s">
        <v>206</v>
      </c>
      <c r="D422" s="418">
        <v>2900</v>
      </c>
      <c r="E422" s="539">
        <f>D422*$J412</f>
        <v>144.304</v>
      </c>
      <c r="F422" s="550"/>
      <c r="G422" s="549"/>
      <c r="I422" s="649"/>
    </row>
    <row r="423" spans="3:9">
      <c r="C423" s="548"/>
      <c r="D423" s="418"/>
      <c r="E423" s="539"/>
      <c r="F423" s="550"/>
      <c r="G423" s="549"/>
      <c r="I423" s="649"/>
    </row>
    <row r="424" spans="3:9">
      <c r="C424" s="548"/>
      <c r="D424" s="418"/>
      <c r="E424" s="539"/>
      <c r="F424" s="550"/>
      <c r="G424" s="549"/>
    </row>
    <row r="425" spans="3:9">
      <c r="C425" s="554" t="s">
        <v>97</v>
      </c>
      <c r="D425" s="418"/>
      <c r="E425" s="539"/>
      <c r="F425" s="550"/>
      <c r="G425" s="549"/>
      <c r="I425" s="637"/>
    </row>
    <row r="426" spans="3:9" ht="25.5">
      <c r="C426" s="548" t="s">
        <v>166</v>
      </c>
      <c r="D426" s="418">
        <v>7484.4139999999998</v>
      </c>
      <c r="E426" s="539">
        <f>D426*$J411</f>
        <v>359.48712037157111</v>
      </c>
      <c r="F426" s="601"/>
      <c r="G426" s="549"/>
    </row>
    <row r="427" spans="3:9" ht="25.5">
      <c r="C427" s="548" t="s">
        <v>167</v>
      </c>
      <c r="D427" s="418">
        <v>3550.7249999999999</v>
      </c>
      <c r="E427" s="539">
        <f>D427*$J411</f>
        <v>170.54640556780356</v>
      </c>
      <c r="F427" s="601"/>
      <c r="G427" s="549"/>
    </row>
    <row r="428" spans="3:9" ht="25.5">
      <c r="C428" s="548" t="s">
        <v>168</v>
      </c>
      <c r="D428" s="418">
        <v>3819.1210000000001</v>
      </c>
      <c r="E428" s="539">
        <f>D428*$J411</f>
        <v>183.43784972886257</v>
      </c>
      <c r="F428" s="601"/>
      <c r="G428" s="546"/>
    </row>
    <row r="429" spans="3:9" ht="25.5">
      <c r="C429" s="548" t="s">
        <v>169</v>
      </c>
      <c r="D429" s="418">
        <v>4799.6000000000004</v>
      </c>
      <c r="E429" s="539">
        <f>D429*$J411</f>
        <v>230.53165991825051</v>
      </c>
      <c r="F429" s="601"/>
      <c r="G429" s="549"/>
    </row>
    <row r="430" spans="3:9" ht="25.5">
      <c r="C430" s="548" t="s">
        <v>170</v>
      </c>
      <c r="D430" s="418">
        <v>5200</v>
      </c>
      <c r="E430" s="539">
        <f>D430*$J411</f>
        <v>249.76344519853791</v>
      </c>
      <c r="F430" s="601"/>
      <c r="G430" s="549"/>
    </row>
    <row r="431" spans="3:9" ht="25.5">
      <c r="C431" s="548" t="s">
        <v>171</v>
      </c>
      <c r="D431" s="418">
        <v>1730</v>
      </c>
      <c r="E431" s="539">
        <f>D431*$J411</f>
        <v>83.094376960282801</v>
      </c>
      <c r="F431" s="601"/>
      <c r="G431" s="549"/>
    </row>
    <row r="432" spans="3:9" ht="25.5">
      <c r="C432" s="548" t="s">
        <v>172</v>
      </c>
      <c r="D432" s="418">
        <v>4970</v>
      </c>
      <c r="E432" s="539">
        <f>D432*$J411</f>
        <v>238.7162158916795</v>
      </c>
      <c r="F432" s="601"/>
      <c r="G432" s="549"/>
    </row>
    <row r="433" spans="3:9" ht="25.5">
      <c r="C433" s="548" t="s">
        <v>174</v>
      </c>
      <c r="D433" s="418">
        <v>1500</v>
      </c>
      <c r="E433" s="539">
        <f>D433*$J411</f>
        <v>72.047147653424403</v>
      </c>
      <c r="F433" s="601"/>
      <c r="G433" s="549"/>
    </row>
    <row r="434" spans="3:9">
      <c r="C434" s="548" t="s">
        <v>175</v>
      </c>
      <c r="D434" s="636">
        <f>E434/$J$411</f>
        <v>17022.998688300002</v>
      </c>
      <c r="E434" s="635">
        <v>817.63900000000001</v>
      </c>
      <c r="F434" s="601"/>
      <c r="G434" s="549"/>
    </row>
    <row r="435" spans="3:9">
      <c r="C435" s="548" t="s">
        <v>176</v>
      </c>
      <c r="D435" s="636">
        <f t="shared" ref="D435:D438" si="27">E435/$J$411</f>
        <v>15989.529600000002</v>
      </c>
      <c r="E435" s="635">
        <v>768</v>
      </c>
      <c r="F435" s="601"/>
      <c r="G435" s="546"/>
    </row>
    <row r="436" spans="3:9">
      <c r="C436" s="548" t="s">
        <v>177</v>
      </c>
      <c r="D436" s="636">
        <f t="shared" si="27"/>
        <v>12491.820000000002</v>
      </c>
      <c r="E436" s="635">
        <v>600</v>
      </c>
      <c r="F436" s="601"/>
      <c r="G436" s="546"/>
    </row>
    <row r="437" spans="3:9">
      <c r="C437" s="548" t="s">
        <v>178</v>
      </c>
      <c r="D437" s="636">
        <f t="shared" si="27"/>
        <v>14340.60936</v>
      </c>
      <c r="E437" s="635">
        <v>688.8</v>
      </c>
      <c r="F437" s="601"/>
      <c r="G437" s="549"/>
      <c r="I437" s="639"/>
    </row>
    <row r="438" spans="3:9">
      <c r="C438" s="548" t="s">
        <v>207</v>
      </c>
      <c r="D438" s="636">
        <f t="shared" si="27"/>
        <v>16655.760000000002</v>
      </c>
      <c r="E438" s="635">
        <v>800</v>
      </c>
      <c r="F438" s="601"/>
      <c r="G438" s="549"/>
      <c r="I438" s="638"/>
    </row>
    <row r="439" spans="3:9">
      <c r="C439" s="548"/>
      <c r="D439" s="576"/>
      <c r="E439" s="575"/>
      <c r="F439" s="547"/>
      <c r="G439" s="546"/>
    </row>
    <row r="440" spans="3:9">
      <c r="C440" s="554" t="s">
        <v>113</v>
      </c>
      <c r="D440" s="576"/>
      <c r="E440" s="575"/>
      <c r="F440" s="547"/>
      <c r="G440" s="546"/>
      <c r="I440" s="523"/>
    </row>
    <row r="441" spans="3:9" ht="25.5">
      <c r="C441" s="548" t="s">
        <v>208</v>
      </c>
      <c r="D441" s="418">
        <v>1550</v>
      </c>
      <c r="E441" s="539">
        <f>D441*$J411</f>
        <v>74.448719241871871</v>
      </c>
      <c r="F441" s="547"/>
      <c r="G441" s="546"/>
    </row>
    <row r="442" spans="3:9" ht="25.5">
      <c r="C442" s="548" t="s">
        <v>209</v>
      </c>
      <c r="D442" s="418">
        <v>1850</v>
      </c>
      <c r="E442" s="539">
        <f>D442*$J411</f>
        <v>88.85814877255676</v>
      </c>
      <c r="F442" s="547"/>
      <c r="G442" s="546"/>
    </row>
    <row r="443" spans="3:9" ht="25.5">
      <c r="C443" s="548" t="s">
        <v>210</v>
      </c>
      <c r="D443" s="418">
        <v>150</v>
      </c>
      <c r="E443" s="539">
        <f>D443*$J411</f>
        <v>7.2047147653424393</v>
      </c>
      <c r="F443" s="547"/>
      <c r="G443" s="546"/>
    </row>
    <row r="444" spans="3:9" ht="25.5">
      <c r="C444" s="548" t="s">
        <v>211</v>
      </c>
      <c r="D444" s="418">
        <v>2000</v>
      </c>
      <c r="E444" s="539">
        <f>D444*$J411</f>
        <v>96.06286353789919</v>
      </c>
      <c r="F444" s="547"/>
      <c r="G444" s="546"/>
    </row>
    <row r="445" spans="3:9" ht="25.5">
      <c r="C445" s="548" t="s">
        <v>212</v>
      </c>
      <c r="D445" s="418">
        <v>250</v>
      </c>
      <c r="E445" s="539">
        <f>D445*$J411</f>
        <v>12.007857942237399</v>
      </c>
      <c r="F445" s="547"/>
      <c r="G445" s="546"/>
    </row>
    <row r="446" spans="3:9" ht="25.5">
      <c r="C446" s="548" t="s">
        <v>213</v>
      </c>
      <c r="D446" s="418">
        <v>600</v>
      </c>
      <c r="E446" s="539">
        <f>D446*$J411</f>
        <v>28.818859061369757</v>
      </c>
      <c r="F446" s="547"/>
      <c r="G446" s="546"/>
    </row>
    <row r="447" spans="3:9" ht="25.5">
      <c r="C447" s="548" t="s">
        <v>214</v>
      </c>
      <c r="D447" s="418">
        <v>200</v>
      </c>
      <c r="E447" s="539">
        <f>D447*$J411</f>
        <v>9.606286353789919</v>
      </c>
      <c r="F447" s="547"/>
      <c r="G447" s="546"/>
    </row>
    <row r="448" spans="3:9" ht="25.5">
      <c r="C448" s="548" t="s">
        <v>215</v>
      </c>
      <c r="D448" s="418">
        <v>200</v>
      </c>
      <c r="E448" s="539">
        <f>D448*$J411</f>
        <v>9.606286353789919</v>
      </c>
      <c r="F448" s="547"/>
      <c r="G448" s="546"/>
    </row>
    <row r="449" spans="3:10" ht="25.5">
      <c r="C449" s="548" t="s">
        <v>216</v>
      </c>
      <c r="D449" s="418">
        <v>2900</v>
      </c>
      <c r="E449" s="539">
        <f>D449*$J411</f>
        <v>139.29115212995384</v>
      </c>
      <c r="F449" s="547"/>
      <c r="G449" s="546"/>
    </row>
    <row r="450" spans="3:10" ht="25.5">
      <c r="C450" s="548" t="s">
        <v>217</v>
      </c>
      <c r="D450" s="418">
        <v>2350</v>
      </c>
      <c r="E450" s="539">
        <f>D450*$J411</f>
        <v>112.87386465703156</v>
      </c>
      <c r="F450" s="547"/>
      <c r="G450" s="546"/>
    </row>
    <row r="451" spans="3:10" ht="25.5">
      <c r="C451" s="548" t="s">
        <v>191</v>
      </c>
      <c r="D451" s="418">
        <v>350</v>
      </c>
      <c r="E451" s="539">
        <f>D451*$J411</f>
        <v>16.81100111913236</v>
      </c>
      <c r="F451" s="547"/>
      <c r="G451" s="546"/>
    </row>
    <row r="452" spans="3:10" ht="25.5">
      <c r="C452" s="548" t="s">
        <v>218</v>
      </c>
      <c r="D452" s="418">
        <v>250</v>
      </c>
      <c r="E452" s="539">
        <f>D452*$J412</f>
        <v>12.44</v>
      </c>
      <c r="F452" s="547"/>
      <c r="G452" s="546"/>
    </row>
    <row r="453" spans="3:10" ht="25.5">
      <c r="C453" s="548" t="s">
        <v>219</v>
      </c>
      <c r="D453" s="418">
        <v>950</v>
      </c>
      <c r="E453" s="539">
        <f>D453*$J412</f>
        <v>47.271999999999998</v>
      </c>
      <c r="F453" s="547"/>
      <c r="G453" s="546"/>
      <c r="J453" s="637"/>
    </row>
    <row r="454" spans="3:10" ht="25.5">
      <c r="C454" s="548" t="s">
        <v>194</v>
      </c>
      <c r="D454" s="576">
        <f>E454/$J$411</f>
        <v>15614.775000000001</v>
      </c>
      <c r="E454" s="635">
        <v>750</v>
      </c>
      <c r="F454" s="547"/>
      <c r="G454" s="546"/>
    </row>
    <row r="455" spans="3:10" ht="25.5">
      <c r="C455" s="548" t="s">
        <v>195</v>
      </c>
      <c r="D455" s="576">
        <f>E455/$J$411</f>
        <v>936.88650000000007</v>
      </c>
      <c r="E455" s="635">
        <v>45</v>
      </c>
      <c r="F455" s="644"/>
      <c r="G455" s="546"/>
    </row>
    <row r="456" spans="3:10">
      <c r="C456" s="548" t="s">
        <v>196</v>
      </c>
      <c r="D456" s="418">
        <f>-170.509-465.285</f>
        <v>-635.79399999999998</v>
      </c>
      <c r="E456" s="539">
        <f>D456*$J411</f>
        <v>-30.53809613010754</v>
      </c>
      <c r="F456" s="547"/>
      <c r="G456" s="546"/>
    </row>
    <row r="457" spans="3:10">
      <c r="C457" s="548" t="s">
        <v>65</v>
      </c>
      <c r="D457" s="418">
        <v>13.266999999999999</v>
      </c>
      <c r="E457" s="539">
        <f>D457*$J411</f>
        <v>0.63723300527865434</v>
      </c>
      <c r="F457" s="547"/>
      <c r="G457" s="546"/>
    </row>
    <row r="458" spans="3:10">
      <c r="C458" s="548"/>
      <c r="D458" s="418"/>
      <c r="E458" s="575"/>
      <c r="F458" s="547"/>
      <c r="G458" s="546"/>
    </row>
    <row r="459" spans="3:10">
      <c r="C459" s="536" t="s">
        <v>66</v>
      </c>
      <c r="D459" s="634">
        <f>SUM(D417:D457)</f>
        <v>151121.72714830001</v>
      </c>
      <c r="E459" s="534">
        <f>SUM(E417:E457)</f>
        <v>7265.680056076696</v>
      </c>
      <c r="F459" s="533">
        <f>+D459/D464</f>
        <v>7.4394773850644169</v>
      </c>
      <c r="G459" s="532">
        <f>+E459/E464</f>
        <v>7.1880554323499206</v>
      </c>
    </row>
    <row r="460" spans="3:10">
      <c r="C460" s="545" t="s">
        <v>67</v>
      </c>
      <c r="D460" s="544">
        <f>Model!AU$123</f>
        <v>4518.6009999999997</v>
      </c>
      <c r="E460" s="539">
        <f>D460*$J411</f>
        <v>217.03487562260742</v>
      </c>
      <c r="F460" s="543"/>
      <c r="G460" s="542"/>
    </row>
    <row r="461" spans="3:10">
      <c r="C461" s="536" t="s">
        <v>68</v>
      </c>
      <c r="D461" s="535">
        <f>+D459-D460</f>
        <v>146603.12614830001</v>
      </c>
      <c r="E461" s="534">
        <f>+E459-E460</f>
        <v>7048.6451804540884</v>
      </c>
      <c r="F461" s="533">
        <f>+D461/D464</f>
        <v>7.2170339906831371</v>
      </c>
      <c r="G461" s="532">
        <f>+E461/E464</f>
        <v>6.9733393005235937</v>
      </c>
    </row>
    <row r="462" spans="3:10">
      <c r="C462" s="541" t="s">
        <v>69</v>
      </c>
      <c r="D462" s="540">
        <f>Model!AU$128</f>
        <v>187779.03700000001</v>
      </c>
      <c r="E462" s="539">
        <f>D462*$J411</f>
        <v>9019.296003304562</v>
      </c>
      <c r="F462" s="538"/>
      <c r="G462" s="537"/>
    </row>
    <row r="463" spans="3:10">
      <c r="C463" s="536" t="s">
        <v>70</v>
      </c>
      <c r="D463" s="535">
        <f>D459+D462</f>
        <v>338900.76414830005</v>
      </c>
      <c r="E463" s="534">
        <f>E459+E462</f>
        <v>16284.976059381257</v>
      </c>
      <c r="F463" s="533">
        <f>D463/D464</f>
        <v>16.683534646134369</v>
      </c>
      <c r="G463" s="532">
        <f>E463/E464</f>
        <v>16.110991638204911</v>
      </c>
    </row>
    <row r="464" spans="3:10">
      <c r="C464" s="530" t="s">
        <v>71</v>
      </c>
      <c r="D464" s="529">
        <f>Model!AU$102</f>
        <v>20313.486999999997</v>
      </c>
      <c r="E464" s="528">
        <f>D464*$J412</f>
        <v>1010.7991131199998</v>
      </c>
      <c r="F464" s="604"/>
      <c r="G464" s="605"/>
    </row>
    <row r="465" spans="3:6">
      <c r="C465" s="606" t="s">
        <v>72</v>
      </c>
      <c r="D465" s="623">
        <f>D459-Model!AU$126</f>
        <v>2464.4491483000165</v>
      </c>
      <c r="E465" s="626"/>
    </row>
    <row r="466" spans="3:6" ht="13.5" thickBot="1">
      <c r="C466" s="531"/>
      <c r="D466" s="609"/>
      <c r="E466" s="609"/>
    </row>
    <row r="467" spans="3:6">
      <c r="C467" s="611" t="s">
        <v>220</v>
      </c>
      <c r="D467" s="612" t="s">
        <v>130</v>
      </c>
      <c r="E467" s="613" t="s">
        <v>131</v>
      </c>
    </row>
    <row r="468" spans="3:6">
      <c r="C468" s="615" t="s">
        <v>198</v>
      </c>
      <c r="D468" s="579"/>
      <c r="E468" s="519">
        <f>D468*$J$411</f>
        <v>0</v>
      </c>
    </row>
    <row r="469" spans="3:6">
      <c r="C469" s="615" t="s">
        <v>74</v>
      </c>
      <c r="D469" s="520">
        <f>D460</f>
        <v>4518.6009999999997</v>
      </c>
      <c r="E469" s="519">
        <f>D469*$J$411</f>
        <v>217.03487562260742</v>
      </c>
    </row>
    <row r="470" spans="3:6" ht="13.5" thickBot="1">
      <c r="C470" s="616" t="s">
        <v>75</v>
      </c>
      <c r="D470" s="517">
        <f>SUM(D468:D469)</f>
        <v>4518.6009999999997</v>
      </c>
      <c r="E470" s="516">
        <f>SUM(E468:E469)</f>
        <v>217.03487562260742</v>
      </c>
    </row>
    <row r="471" spans="3:6">
      <c r="C471" s="531"/>
      <c r="D471" s="531"/>
      <c r="E471" s="531"/>
    </row>
    <row r="472" spans="3:6" ht="13.5" thickBot="1">
      <c r="C472" s="531"/>
      <c r="D472" s="531"/>
      <c r="E472" s="531"/>
    </row>
    <row r="473" spans="3:6">
      <c r="C473" s="617" t="s">
        <v>221</v>
      </c>
      <c r="D473" s="612" t="s">
        <v>130</v>
      </c>
      <c r="E473" s="612" t="s">
        <v>133</v>
      </c>
    </row>
    <row r="474" spans="3:6">
      <c r="C474" s="618"/>
      <c r="D474" s="619"/>
      <c r="E474" s="619"/>
    </row>
    <row r="475" spans="3:6">
      <c r="C475" s="653">
        <v>2025</v>
      </c>
      <c r="D475" s="658">
        <f>D426+D430+D441+D442+D443+D444+D445+D446+D447+D449+D448+D450+D451+D452+D453+D455</f>
        <v>27221.300500000001</v>
      </c>
      <c r="E475" s="591">
        <f>(D475/$D$481)</f>
        <v>0.1793893327479574</v>
      </c>
      <c r="F475" s="655"/>
    </row>
    <row r="476" spans="3:6">
      <c r="C476" s="653">
        <v>2026</v>
      </c>
      <c r="D476" s="658">
        <f>D417+D418+D433+D438</f>
        <v>20083.300000000003</v>
      </c>
      <c r="E476" s="591">
        <f t="shared" ref="E476:E479" si="28">(D476/$D$481)</f>
        <v>0.13234965707744395</v>
      </c>
    </row>
    <row r="477" spans="3:6">
      <c r="C477" s="653">
        <v>2027</v>
      </c>
      <c r="D477" s="658">
        <f>D428+D429+D431+D454</f>
        <v>25963.496000000003</v>
      </c>
      <c r="E477" s="591">
        <f t="shared" si="28"/>
        <v>0.17110035662125186</v>
      </c>
    </row>
    <row r="478" spans="3:6">
      <c r="C478" s="653">
        <v>2028</v>
      </c>
      <c r="D478" s="658">
        <f>D419+D420+D422+D427</f>
        <v>12161.2</v>
      </c>
      <c r="E478" s="591">
        <f t="shared" si="28"/>
        <v>8.0142737978828732E-2</v>
      </c>
    </row>
    <row r="479" spans="3:6">
      <c r="C479" s="653" t="s">
        <v>134</v>
      </c>
      <c r="D479" s="658">
        <f>D421+D432+D434+D435+D436+D437</f>
        <v>66314.957648299998</v>
      </c>
      <c r="E479" s="591">
        <f t="shared" si="28"/>
        <v>0.43701791557451825</v>
      </c>
      <c r="F479" s="637"/>
    </row>
    <row r="480" spans="3:6" ht="13.5" thickBot="1">
      <c r="C480" s="654"/>
      <c r="D480" s="656"/>
      <c r="E480" s="657"/>
    </row>
    <row r="481" spans="2:10" ht="13.5" thickBot="1">
      <c r="C481" s="621" t="s">
        <v>77</v>
      </c>
      <c r="D481" s="594">
        <f>SUM(D475:D479)</f>
        <v>151744.25414829998</v>
      </c>
      <c r="E481" s="596">
        <f>+SUM(E475:E480)</f>
        <v>1.0000000000000002</v>
      </c>
    </row>
    <row r="482" spans="2:10">
      <c r="D482" s="509">
        <f>D481+D456+D457-D459</f>
        <v>0</v>
      </c>
    </row>
    <row r="486" spans="2:10">
      <c r="I486" s="557" t="s">
        <v>222</v>
      </c>
      <c r="J486" s="556">
        <f>Model!AT$203</f>
        <v>5.0810000000000001E-2</v>
      </c>
    </row>
    <row r="487" spans="2:10">
      <c r="B487" s="632" t="s">
        <v>223</v>
      </c>
      <c r="I487" s="557" t="s">
        <v>224</v>
      </c>
      <c r="J487" s="556">
        <f>Model!AT$202</f>
        <v>5.2810000000000003E-2</v>
      </c>
    </row>
    <row r="488" spans="2:10" ht="12.95" customHeight="1">
      <c r="C488" s="560"/>
      <c r="D488" s="790" t="s">
        <v>225</v>
      </c>
      <c r="E488" s="791"/>
      <c r="F488" s="559" t="s">
        <v>20</v>
      </c>
      <c r="G488" s="558" t="s">
        <v>21</v>
      </c>
    </row>
    <row r="489" spans="2:10" ht="13.5" thickBot="1">
      <c r="C489" s="554"/>
      <c r="D489" s="555" t="s">
        <v>18</v>
      </c>
      <c r="E489" s="552" t="s">
        <v>19</v>
      </c>
      <c r="F489" s="550"/>
      <c r="G489" s="549"/>
    </row>
    <row r="490" spans="2:10">
      <c r="C490" s="554"/>
      <c r="D490" s="553"/>
      <c r="E490" s="552"/>
      <c r="F490" s="550"/>
      <c r="G490" s="549"/>
      <c r="I490" s="641" t="s">
        <v>22</v>
      </c>
      <c r="J490" s="640"/>
    </row>
    <row r="491" spans="2:10" ht="13.5" thickBot="1">
      <c r="C491" s="554" t="s">
        <v>92</v>
      </c>
      <c r="D491" s="553"/>
      <c r="E491" s="552"/>
      <c r="F491" s="550"/>
      <c r="G491" s="549"/>
      <c r="I491" s="642" t="s">
        <v>204</v>
      </c>
      <c r="J491" s="643"/>
    </row>
    <row r="492" spans="2:10">
      <c r="C492" s="548" t="s">
        <v>161</v>
      </c>
      <c r="D492" s="418">
        <v>1472.258</v>
      </c>
      <c r="E492" s="539">
        <f>D492*$J486</f>
        <v>74.805428980000002</v>
      </c>
      <c r="F492" s="550"/>
      <c r="G492" s="549"/>
    </row>
    <row r="493" spans="2:10" ht="25.5">
      <c r="C493" s="548" t="s">
        <v>162</v>
      </c>
      <c r="D493" s="418">
        <v>481.75200000000001</v>
      </c>
      <c r="E493" s="539">
        <f>D493*$J486</f>
        <v>24.477819119999999</v>
      </c>
      <c r="F493" s="550"/>
      <c r="G493" s="549"/>
    </row>
    <row r="494" spans="2:10" ht="25.5">
      <c r="C494" s="548" t="s">
        <v>205</v>
      </c>
      <c r="D494" s="418">
        <v>4975</v>
      </c>
      <c r="E494" s="539">
        <f>D494*$J486</f>
        <v>252.77975000000001</v>
      </c>
      <c r="F494" s="550"/>
      <c r="G494" s="549"/>
    </row>
    <row r="495" spans="2:10" ht="25.5">
      <c r="C495" s="548" t="s">
        <v>164</v>
      </c>
      <c r="D495" s="418">
        <v>736.24800000000005</v>
      </c>
      <c r="E495" s="539">
        <f>D495*$J486</f>
        <v>37.408760880000003</v>
      </c>
      <c r="F495" s="550"/>
      <c r="G495" s="549"/>
    </row>
    <row r="496" spans="2:10" ht="25.5">
      <c r="C496" s="548" t="s">
        <v>165</v>
      </c>
      <c r="D496" s="418">
        <v>1500</v>
      </c>
      <c r="E496" s="539">
        <f>D496*$J486</f>
        <v>76.215000000000003</v>
      </c>
      <c r="F496" s="550"/>
      <c r="G496" s="549"/>
    </row>
    <row r="497" spans="3:9">
      <c r="C497" s="548"/>
      <c r="D497" s="551"/>
      <c r="E497" s="539"/>
      <c r="F497" s="550"/>
      <c r="G497" s="549"/>
      <c r="I497" s="649"/>
    </row>
    <row r="498" spans="3:9">
      <c r="C498" s="548"/>
      <c r="D498" s="551"/>
      <c r="E498" s="539"/>
      <c r="F498" s="550"/>
      <c r="G498" s="549"/>
      <c r="I498" s="649"/>
    </row>
    <row r="499" spans="3:9">
      <c r="C499" s="548"/>
      <c r="D499" s="551"/>
      <c r="E499" s="539"/>
      <c r="F499" s="550"/>
      <c r="G499" s="549"/>
    </row>
    <row r="500" spans="3:9">
      <c r="C500" s="554" t="s">
        <v>97</v>
      </c>
      <c r="D500" s="551"/>
      <c r="E500" s="539"/>
      <c r="F500" s="550"/>
      <c r="G500" s="549"/>
      <c r="I500" s="637"/>
    </row>
    <row r="501" spans="3:9" ht="25.5">
      <c r="C501" s="548" t="s">
        <v>166</v>
      </c>
      <c r="D501" s="418">
        <v>7484.4139999999998</v>
      </c>
      <c r="E501" s="539">
        <f>D501*$J486</f>
        <v>380.28307533999998</v>
      </c>
      <c r="F501" s="601"/>
      <c r="G501" s="549"/>
    </row>
    <row r="502" spans="3:9" ht="25.5">
      <c r="C502" s="548" t="s">
        <v>167</v>
      </c>
      <c r="D502" s="418">
        <v>3510.819</v>
      </c>
      <c r="E502" s="539">
        <f>D502*$J486</f>
        <v>178.38471339</v>
      </c>
      <c r="F502" s="601"/>
      <c r="G502" s="549"/>
    </row>
    <row r="503" spans="3:9" ht="25.5">
      <c r="C503" s="548" t="s">
        <v>168</v>
      </c>
      <c r="D503" s="418">
        <v>3776.1990000000001</v>
      </c>
      <c r="E503" s="539">
        <f>D503*$J486</f>
        <v>191.86867119000001</v>
      </c>
      <c r="F503" s="601"/>
      <c r="G503" s="546"/>
    </row>
    <row r="504" spans="3:9" ht="25.5">
      <c r="C504" s="548" t="s">
        <v>169</v>
      </c>
      <c r="D504" s="418">
        <v>4799.6000000000004</v>
      </c>
      <c r="E504" s="539">
        <f>D504*$J486</f>
        <v>243.86767600000002</v>
      </c>
      <c r="F504" s="601"/>
      <c r="G504" s="549"/>
    </row>
    <row r="505" spans="3:9" ht="25.5">
      <c r="C505" s="548" t="s">
        <v>170</v>
      </c>
      <c r="D505" s="418">
        <v>5200</v>
      </c>
      <c r="E505" s="539">
        <f>D505*$J486</f>
        <v>264.21199999999999</v>
      </c>
      <c r="F505" s="601"/>
      <c r="G505" s="549"/>
    </row>
    <row r="506" spans="3:9" ht="25.5">
      <c r="C506" s="548" t="s">
        <v>206</v>
      </c>
      <c r="D506" s="418">
        <v>2900</v>
      </c>
      <c r="E506" s="539">
        <f>D506*$J486</f>
        <v>147.34899999999999</v>
      </c>
      <c r="F506" s="601"/>
      <c r="G506" s="549"/>
    </row>
    <row r="507" spans="3:9" ht="25.5">
      <c r="C507" s="548" t="s">
        <v>171</v>
      </c>
      <c r="D507" s="418">
        <v>1730</v>
      </c>
      <c r="E507" s="539">
        <f>D507*$J486</f>
        <v>87.901300000000006</v>
      </c>
      <c r="F507" s="601"/>
      <c r="G507" s="549"/>
    </row>
    <row r="508" spans="3:9" ht="25.5">
      <c r="C508" s="548" t="s">
        <v>172</v>
      </c>
      <c r="D508" s="418">
        <v>4970</v>
      </c>
      <c r="E508" s="539">
        <f>D508*$J486</f>
        <v>252.5257</v>
      </c>
      <c r="F508" s="601"/>
      <c r="G508" s="549"/>
    </row>
    <row r="509" spans="3:9" ht="25.5">
      <c r="C509" s="548" t="s">
        <v>174</v>
      </c>
      <c r="D509" s="418">
        <v>1500</v>
      </c>
      <c r="E509" s="539">
        <f>D509*$J486</f>
        <v>76.215000000000003</v>
      </c>
      <c r="F509" s="601"/>
      <c r="G509" s="549"/>
    </row>
    <row r="510" spans="3:9">
      <c r="C510" s="548" t="s">
        <v>175</v>
      </c>
      <c r="D510" s="636">
        <f>E510/$J$486</f>
        <v>16092.08817161976</v>
      </c>
      <c r="E510" s="635">
        <v>817.63900000000001</v>
      </c>
      <c r="F510" s="601"/>
      <c r="G510" s="546"/>
    </row>
    <row r="511" spans="3:9">
      <c r="C511" s="548" t="s">
        <v>176</v>
      </c>
      <c r="D511" s="636">
        <f>E511/$J$486</f>
        <v>15115.134815981106</v>
      </c>
      <c r="E511" s="635">
        <v>768</v>
      </c>
      <c r="F511" s="601"/>
      <c r="G511" s="546"/>
    </row>
    <row r="512" spans="3:9">
      <c r="C512" s="548" t="s">
        <v>177</v>
      </c>
      <c r="D512" s="636">
        <f>E512/$J$486</f>
        <v>11808.699074985239</v>
      </c>
      <c r="E512" s="635">
        <v>600</v>
      </c>
      <c r="F512" s="601"/>
      <c r="G512" s="549"/>
      <c r="I512" s="639"/>
    </row>
    <row r="513" spans="3:9">
      <c r="C513" s="548" t="s">
        <v>178</v>
      </c>
      <c r="D513" s="636">
        <f>E513/$J$486</f>
        <v>13556.386538083054</v>
      </c>
      <c r="E513" s="635">
        <v>688.8</v>
      </c>
      <c r="F513" s="601"/>
      <c r="G513" s="549"/>
      <c r="I513" s="638"/>
    </row>
    <row r="514" spans="3:9">
      <c r="C514" s="548" t="s">
        <v>207</v>
      </c>
      <c r="D514" s="636">
        <f>E514/$J$486</f>
        <v>15744.932099980319</v>
      </c>
      <c r="E514" s="635">
        <v>800</v>
      </c>
      <c r="F514" s="601"/>
      <c r="G514" s="546"/>
    </row>
    <row r="515" spans="3:9">
      <c r="C515" s="548"/>
      <c r="D515" s="576"/>
      <c r="E515" s="575"/>
      <c r="F515" s="547"/>
      <c r="G515" s="546"/>
    </row>
    <row r="516" spans="3:9">
      <c r="C516" s="554" t="s">
        <v>113</v>
      </c>
      <c r="D516" s="576"/>
      <c r="E516" s="575"/>
      <c r="F516" s="547"/>
      <c r="G516" s="546"/>
      <c r="I516" s="523"/>
    </row>
    <row r="517" spans="3:9" ht="25.5">
      <c r="C517" s="548" t="s">
        <v>226</v>
      </c>
      <c r="D517" s="418">
        <v>1550</v>
      </c>
      <c r="E517" s="539">
        <f>D517*$J486</f>
        <v>78.755499999999998</v>
      </c>
      <c r="F517" s="547"/>
      <c r="G517" s="546"/>
    </row>
    <row r="518" spans="3:9" ht="25.5">
      <c r="C518" s="548" t="s">
        <v>227</v>
      </c>
      <c r="D518" s="418">
        <v>1850</v>
      </c>
      <c r="E518" s="539">
        <f>D518*$J486</f>
        <v>93.998500000000007</v>
      </c>
      <c r="F518" s="547"/>
      <c r="G518" s="546"/>
    </row>
    <row r="519" spans="3:9" ht="25.5">
      <c r="C519" s="548" t="s">
        <v>228</v>
      </c>
      <c r="D519" s="418">
        <v>150</v>
      </c>
      <c r="E519" s="539">
        <f>D519*$J486</f>
        <v>7.6215000000000002</v>
      </c>
      <c r="F519" s="547"/>
      <c r="G519" s="546"/>
    </row>
    <row r="520" spans="3:9" ht="25.5">
      <c r="C520" s="548" t="s">
        <v>229</v>
      </c>
      <c r="D520" s="418">
        <v>2000</v>
      </c>
      <c r="E520" s="539">
        <f>D520*$J486</f>
        <v>101.62</v>
      </c>
      <c r="F520" s="547"/>
      <c r="G520" s="546"/>
    </row>
    <row r="521" spans="3:9" ht="25.5">
      <c r="C521" s="548" t="s">
        <v>230</v>
      </c>
      <c r="D521" s="418">
        <v>0</v>
      </c>
      <c r="E521" s="539">
        <f>D521*$J486</f>
        <v>0</v>
      </c>
      <c r="F521" s="547"/>
      <c r="G521" s="546"/>
    </row>
    <row r="522" spans="3:9" ht="25.5">
      <c r="C522" s="548" t="s">
        <v>231</v>
      </c>
      <c r="D522" s="418">
        <v>200</v>
      </c>
      <c r="E522" s="539">
        <f>D522*$J486</f>
        <v>10.162000000000001</v>
      </c>
      <c r="F522" s="547"/>
      <c r="G522" s="546"/>
    </row>
    <row r="523" spans="3:9" ht="25.5">
      <c r="C523" s="548" t="s">
        <v>232</v>
      </c>
      <c r="D523" s="418">
        <v>250</v>
      </c>
      <c r="E523" s="539">
        <f>D523*$J486</f>
        <v>12.702500000000001</v>
      </c>
      <c r="F523" s="547"/>
      <c r="G523" s="546"/>
    </row>
    <row r="524" spans="3:9" ht="25.5">
      <c r="C524" s="548" t="s">
        <v>233</v>
      </c>
      <c r="D524" s="418">
        <v>600</v>
      </c>
      <c r="E524" s="539">
        <f>D524*$J486</f>
        <v>30.486000000000001</v>
      </c>
      <c r="F524" s="547"/>
      <c r="G524" s="546"/>
    </row>
    <row r="525" spans="3:9" ht="25.5">
      <c r="C525" s="548" t="s">
        <v>234</v>
      </c>
      <c r="D525" s="418">
        <v>0</v>
      </c>
      <c r="E525" s="539">
        <f>D525*$J486</f>
        <v>0</v>
      </c>
      <c r="F525" s="547"/>
      <c r="G525" s="546"/>
    </row>
    <row r="526" spans="3:9" ht="25.5">
      <c r="C526" s="548" t="s">
        <v>215</v>
      </c>
      <c r="D526" s="418">
        <v>200</v>
      </c>
      <c r="E526" s="539">
        <f>D526*$J486</f>
        <v>10.162000000000001</v>
      </c>
      <c r="F526" s="547"/>
      <c r="G526" s="546"/>
    </row>
    <row r="527" spans="3:9" ht="25.5">
      <c r="C527" s="548" t="s">
        <v>216</v>
      </c>
      <c r="D527" s="418">
        <v>2900</v>
      </c>
      <c r="E527" s="539">
        <f>D527*$J486</f>
        <v>147.34899999999999</v>
      </c>
      <c r="F527" s="547"/>
      <c r="G527" s="546"/>
    </row>
    <row r="528" spans="3:9" ht="25.5">
      <c r="C528" s="548" t="s">
        <v>235</v>
      </c>
      <c r="D528" s="418">
        <v>0</v>
      </c>
      <c r="E528" s="539">
        <f>D528*$J486</f>
        <v>0</v>
      </c>
      <c r="F528" s="547"/>
      <c r="G528" s="546"/>
    </row>
    <row r="529" spans="3:7" ht="25.5">
      <c r="C529" s="548" t="s">
        <v>236</v>
      </c>
      <c r="D529" s="418">
        <v>1750</v>
      </c>
      <c r="E529" s="539">
        <f>D529*$J486</f>
        <v>88.917500000000004</v>
      </c>
      <c r="F529" s="547"/>
      <c r="G529" s="546"/>
    </row>
    <row r="530" spans="3:7" ht="25.5">
      <c r="C530" s="548" t="s">
        <v>237</v>
      </c>
      <c r="D530" s="418">
        <v>600</v>
      </c>
      <c r="E530" s="539">
        <f>D530*$J486</f>
        <v>30.486000000000001</v>
      </c>
      <c r="F530" s="547"/>
      <c r="G530" s="546"/>
    </row>
    <row r="531" spans="3:7" ht="25.5">
      <c r="C531" s="548" t="s">
        <v>219</v>
      </c>
      <c r="D531" s="418">
        <v>950</v>
      </c>
      <c r="E531" s="539">
        <f>D531*$J487</f>
        <v>50.169499999999999</v>
      </c>
      <c r="F531" s="547"/>
      <c r="G531" s="546"/>
    </row>
    <row r="532" spans="3:7" ht="25.5">
      <c r="C532" s="548" t="s">
        <v>194</v>
      </c>
      <c r="D532" s="576">
        <f>E532/$J$486</f>
        <v>14760.873843731548</v>
      </c>
      <c r="E532" s="635">
        <v>750</v>
      </c>
      <c r="F532" s="547"/>
      <c r="G532" s="546"/>
    </row>
    <row r="533" spans="3:7" ht="25.5">
      <c r="C533" s="548" t="s">
        <v>238</v>
      </c>
      <c r="D533" s="576">
        <f>E533/$J$486</f>
        <v>885.65243062389288</v>
      </c>
      <c r="E533" s="635">
        <v>45</v>
      </c>
      <c r="F533" s="644"/>
      <c r="G533" s="546"/>
    </row>
    <row r="534" spans="3:7">
      <c r="C534" s="548" t="s">
        <v>196</v>
      </c>
      <c r="D534" s="418">
        <f>-182.089-448.944</f>
        <v>-631.03300000000002</v>
      </c>
      <c r="E534" s="539">
        <f>D534*$J486</f>
        <v>-32.062786729999999</v>
      </c>
      <c r="F534" s="547"/>
      <c r="G534" s="546"/>
    </row>
    <row r="535" spans="3:7">
      <c r="C535" s="548" t="s">
        <v>65</v>
      </c>
      <c r="D535" s="418">
        <v>-123.91</v>
      </c>
      <c r="E535" s="539">
        <f>D535*$J486</f>
        <v>-6.2958670999999997</v>
      </c>
      <c r="F535" s="547"/>
      <c r="G535" s="546"/>
    </row>
    <row r="536" spans="3:7">
      <c r="C536" s="548"/>
      <c r="D536" s="418"/>
      <c r="E536" s="575"/>
      <c r="F536" s="547"/>
      <c r="G536" s="546"/>
    </row>
    <row r="537" spans="3:7">
      <c r="C537" s="536" t="s">
        <v>66</v>
      </c>
      <c r="D537" s="634">
        <f>SUM(D492:D535)</f>
        <v>145245.1139750049</v>
      </c>
      <c r="E537" s="534">
        <f>SUM(E492:E535)</f>
        <v>7381.8042410700018</v>
      </c>
      <c r="F537" s="533">
        <f>+D537/D542</f>
        <v>7.3246141676976491</v>
      </c>
      <c r="G537" s="532">
        <f>+E537/E542</f>
        <v>7.0490335465393485</v>
      </c>
    </row>
    <row r="538" spans="3:7">
      <c r="C538" s="545" t="s">
        <v>67</v>
      </c>
      <c r="D538" s="544">
        <f>Model!AT$123</f>
        <v>2668.4340000000002</v>
      </c>
      <c r="E538" s="539">
        <f>D538*$J486</f>
        <v>135.58313154000001</v>
      </c>
      <c r="F538" s="543"/>
      <c r="G538" s="542"/>
    </row>
    <row r="539" spans="3:7">
      <c r="C539" s="536" t="s">
        <v>68</v>
      </c>
      <c r="D539" s="535">
        <f>+D537-D538</f>
        <v>142576.6799750049</v>
      </c>
      <c r="E539" s="534">
        <f>+E537-E538</f>
        <v>7246.2211095300017</v>
      </c>
      <c r="F539" s="533">
        <f>+D539/D542</f>
        <v>7.1900468218705829</v>
      </c>
      <c r="G539" s="532">
        <f>+E539/E542</f>
        <v>6.9195624834552127</v>
      </c>
    </row>
    <row r="540" spans="3:7">
      <c r="C540" s="541" t="s">
        <v>69</v>
      </c>
      <c r="D540" s="540">
        <f>Model!AT$128</f>
        <v>192676.698</v>
      </c>
      <c r="E540" s="539">
        <f>D540*$J486</f>
        <v>9789.9030253800011</v>
      </c>
      <c r="F540" s="538"/>
      <c r="G540" s="537"/>
    </row>
    <row r="541" spans="3:7">
      <c r="C541" s="536" t="s">
        <v>70</v>
      </c>
      <c r="D541" s="535">
        <f>D537+D540</f>
        <v>337921.81197500491</v>
      </c>
      <c r="E541" s="534">
        <f>E537+E540</f>
        <v>17171.707266450001</v>
      </c>
      <c r="F541" s="533">
        <f>D541/D542</f>
        <v>17.041171464068167</v>
      </c>
      <c r="G541" s="532">
        <f>E541/E542</f>
        <v>16.397609123675988</v>
      </c>
    </row>
    <row r="542" spans="3:7">
      <c r="C542" s="530" t="s">
        <v>71</v>
      </c>
      <c r="D542" s="529">
        <f>Model!AT$102</f>
        <v>19829.728999999996</v>
      </c>
      <c r="E542" s="528">
        <f>D542*$J487</f>
        <v>1047.2079884899999</v>
      </c>
      <c r="F542" s="604"/>
      <c r="G542" s="605"/>
    </row>
    <row r="543" spans="3:7">
      <c r="C543" s="606" t="s">
        <v>72</v>
      </c>
      <c r="D543" s="623">
        <f>D537-Model!AT$126</f>
        <v>233.1489750049077</v>
      </c>
      <c r="E543" s="626"/>
    </row>
    <row r="544" spans="3:7" ht="13.5" thickBot="1">
      <c r="C544" s="531"/>
      <c r="D544" s="609"/>
      <c r="E544" s="609"/>
    </row>
    <row r="545" spans="3:6">
      <c r="C545" s="611" t="s">
        <v>239</v>
      </c>
      <c r="D545" s="612" t="s">
        <v>130</v>
      </c>
      <c r="E545" s="613" t="s">
        <v>131</v>
      </c>
    </row>
    <row r="546" spans="3:6">
      <c r="C546" s="615" t="s">
        <v>198</v>
      </c>
      <c r="D546" s="579"/>
      <c r="E546" s="519">
        <f>D546*$J$486</f>
        <v>0</v>
      </c>
    </row>
    <row r="547" spans="3:6">
      <c r="C547" s="615" t="s">
        <v>74</v>
      </c>
      <c r="D547" s="520">
        <f>D538</f>
        <v>2668.4340000000002</v>
      </c>
      <c r="E547" s="519">
        <f>D547*$J$486</f>
        <v>135.58313154000001</v>
      </c>
    </row>
    <row r="548" spans="3:6" ht="13.5" thickBot="1">
      <c r="C548" s="616" t="s">
        <v>75</v>
      </c>
      <c r="D548" s="517">
        <f>SUM(D546:D547)</f>
        <v>2668.4340000000002</v>
      </c>
      <c r="E548" s="516">
        <f>SUM(E546:E547)</f>
        <v>135.58313154000001</v>
      </c>
    </row>
    <row r="549" spans="3:6">
      <c r="C549" s="531"/>
      <c r="D549" s="531"/>
      <c r="E549" s="531"/>
    </row>
    <row r="550" spans="3:6" ht="13.5" thickBot="1">
      <c r="C550" s="531"/>
      <c r="D550" s="531"/>
      <c r="E550" s="531"/>
    </row>
    <row r="551" spans="3:6">
      <c r="C551" s="617" t="s">
        <v>240</v>
      </c>
      <c r="D551" s="612" t="s">
        <v>130</v>
      </c>
      <c r="E551" s="612" t="s">
        <v>133</v>
      </c>
    </row>
    <row r="552" spans="3:6">
      <c r="C552" s="618"/>
      <c r="D552" s="619"/>
      <c r="E552" s="619"/>
    </row>
    <row r="553" spans="3:6">
      <c r="C553" s="618" t="s">
        <v>241</v>
      </c>
      <c r="D553" s="592">
        <f>Model!AT$119</f>
        <v>21300.596000000001</v>
      </c>
      <c r="E553" s="591">
        <f>(D553/$D$559)</f>
        <v>0.14589443621687523</v>
      </c>
    </row>
    <row r="554" spans="3:6">
      <c r="C554" s="618" t="s">
        <v>242</v>
      </c>
      <c r="D554" s="627">
        <f>D512</f>
        <v>11808.699074985239</v>
      </c>
      <c r="E554" s="591">
        <f>(D554/$D$559)</f>
        <v>8.0881468950432536E-2</v>
      </c>
    </row>
    <row r="555" spans="3:6">
      <c r="C555" s="618" t="s">
        <v>243</v>
      </c>
      <c r="D555" s="592">
        <f>D501+D514</f>
        <v>23229.346099980317</v>
      </c>
      <c r="E555" s="591">
        <f>(D555/$D$559)</f>
        <v>0.15910504818472204</v>
      </c>
    </row>
    <row r="556" spans="3:6">
      <c r="C556" s="618" t="s">
        <v>244</v>
      </c>
      <c r="D556" s="592">
        <f>D503+D514</f>
        <v>19521.131099980317</v>
      </c>
      <c r="E556" s="591">
        <f>(D556/$D$559)</f>
        <v>0.13370632521960124</v>
      </c>
    </row>
    <row r="557" spans="3:6">
      <c r="C557" s="618" t="s">
        <v>245</v>
      </c>
      <c r="D557" s="592">
        <f>SUM(D492:D533)-SUM(D553:D556)</f>
        <v>70140.284700059041</v>
      </c>
      <c r="E557" s="591">
        <f>(D557/$D$559)</f>
        <v>0.48041272142836905</v>
      </c>
      <c r="F557" s="637"/>
    </row>
    <row r="558" spans="3:6" ht="13.5" thickBot="1">
      <c r="C558" s="618"/>
      <c r="D558" s="620"/>
      <c r="E558" s="591"/>
    </row>
    <row r="559" spans="3:6" ht="13.5" thickBot="1">
      <c r="C559" s="621" t="s">
        <v>77</v>
      </c>
      <c r="D559" s="594">
        <f>SUM(D553:D557)</f>
        <v>146000.0569750049</v>
      </c>
      <c r="E559" s="596">
        <f>+SUM(E553:E558)</f>
        <v>1.0000000000000002</v>
      </c>
    </row>
    <row r="560" spans="3:6">
      <c r="D560" s="509">
        <f>D559+D534+D535-D537</f>
        <v>0</v>
      </c>
    </row>
    <row r="564" spans="2:10">
      <c r="I564" s="557" t="s">
        <v>246</v>
      </c>
      <c r="J564" s="556">
        <f>Model!AS$203</f>
        <v>5.4510000000000003E-2</v>
      </c>
    </row>
    <row r="565" spans="2:10">
      <c r="B565" s="632" t="s">
        <v>247</v>
      </c>
      <c r="I565" s="557" t="s">
        <v>248</v>
      </c>
      <c r="J565" s="556">
        <f>Model!AS$202</f>
        <v>5.8029999999999998E-2</v>
      </c>
    </row>
    <row r="566" spans="2:10" ht="12.95" customHeight="1">
      <c r="C566" s="560"/>
      <c r="D566" s="790" t="s">
        <v>249</v>
      </c>
      <c r="E566" s="791"/>
      <c r="F566" s="559" t="s">
        <v>20</v>
      </c>
      <c r="G566" s="558" t="s">
        <v>21</v>
      </c>
    </row>
    <row r="567" spans="2:10" ht="13.5" thickBot="1">
      <c r="C567" s="554"/>
      <c r="D567" s="555" t="s">
        <v>18</v>
      </c>
      <c r="E567" s="552" t="s">
        <v>19</v>
      </c>
      <c r="F567" s="550"/>
      <c r="G567" s="549"/>
    </row>
    <row r="568" spans="2:10">
      <c r="C568" s="554"/>
      <c r="D568" s="553"/>
      <c r="E568" s="552"/>
      <c r="F568" s="550"/>
      <c r="G568" s="549"/>
      <c r="I568" s="641" t="s">
        <v>22</v>
      </c>
      <c r="J568" s="640"/>
    </row>
    <row r="569" spans="2:10" ht="13.5" thickBot="1">
      <c r="C569" s="554" t="s">
        <v>92</v>
      </c>
      <c r="D569" s="553"/>
      <c r="E569" s="552"/>
      <c r="F569" s="550"/>
      <c r="G569" s="549"/>
      <c r="I569" s="642" t="s">
        <v>204</v>
      </c>
      <c r="J569" s="643"/>
    </row>
    <row r="570" spans="2:10">
      <c r="C570" s="548" t="s">
        <v>161</v>
      </c>
      <c r="D570" s="646">
        <v>1491.508</v>
      </c>
      <c r="E570" s="539">
        <f>D570*$J564</f>
        <v>81.30210108</v>
      </c>
      <c r="F570" s="550"/>
      <c r="G570" s="549"/>
    </row>
    <row r="571" spans="2:10" ht="25.5">
      <c r="C571" s="548" t="s">
        <v>162</v>
      </c>
      <c r="D571" s="646">
        <v>488.05099999999999</v>
      </c>
      <c r="E571" s="539">
        <f>D571*$J564</f>
        <v>26.603660010000002</v>
      </c>
      <c r="F571" s="550"/>
      <c r="G571" s="549"/>
    </row>
    <row r="572" spans="2:10" ht="25.5">
      <c r="C572" s="548" t="s">
        <v>205</v>
      </c>
      <c r="D572" s="646">
        <v>4975</v>
      </c>
      <c r="E572" s="539">
        <f>D572*$J564</f>
        <v>271.18725000000001</v>
      </c>
      <c r="F572" s="550"/>
      <c r="G572" s="549"/>
    </row>
    <row r="573" spans="2:10" ht="25.5">
      <c r="C573" s="548" t="s">
        <v>164</v>
      </c>
      <c r="D573" s="646">
        <v>736.99900000000002</v>
      </c>
      <c r="E573" s="539">
        <f>D573*$J564</f>
        <v>40.173815490000003</v>
      </c>
      <c r="F573" s="550"/>
      <c r="G573" s="549"/>
    </row>
    <row r="574" spans="2:10" ht="25.5">
      <c r="C574" s="548" t="s">
        <v>165</v>
      </c>
      <c r="D574" s="646">
        <v>1500</v>
      </c>
      <c r="E574" s="539">
        <f>D574*$J564</f>
        <v>81.765000000000001</v>
      </c>
      <c r="F574" s="550"/>
      <c r="G574" s="549"/>
    </row>
    <row r="575" spans="2:10">
      <c r="C575" s="548"/>
      <c r="D575" s="647"/>
      <c r="E575" s="539"/>
      <c r="F575" s="550"/>
      <c r="G575" s="549"/>
    </row>
    <row r="576" spans="2:10">
      <c r="C576" s="548"/>
      <c r="D576" s="647"/>
      <c r="E576" s="539"/>
      <c r="F576" s="550"/>
      <c r="G576" s="549"/>
    </row>
    <row r="577" spans="3:9">
      <c r="C577" s="548"/>
      <c r="D577" s="647"/>
      <c r="E577" s="539"/>
      <c r="F577" s="550"/>
      <c r="G577" s="549"/>
    </row>
    <row r="578" spans="3:9">
      <c r="C578" s="554" t="s">
        <v>97</v>
      </c>
      <c r="D578" s="647"/>
      <c r="E578" s="539"/>
      <c r="F578" s="550"/>
      <c r="G578" s="549"/>
    </row>
    <row r="579" spans="3:9" ht="25.5">
      <c r="C579" s="548" t="s">
        <v>166</v>
      </c>
      <c r="D579" s="646">
        <v>7484.4139999999998</v>
      </c>
      <c r="E579" s="539">
        <f>D579*$J564</f>
        <v>407.97540714000002</v>
      </c>
      <c r="F579" s="601"/>
      <c r="G579" s="549"/>
    </row>
    <row r="580" spans="3:9" ht="25.5">
      <c r="C580" s="548" t="s">
        <v>167</v>
      </c>
      <c r="D580" s="646">
        <v>3460.1640000000002</v>
      </c>
      <c r="E580" s="539">
        <f>D580*$J564</f>
        <v>188.61353964000003</v>
      </c>
      <c r="F580" s="601"/>
      <c r="G580" s="549"/>
    </row>
    <row r="581" spans="3:9" ht="25.5">
      <c r="C581" s="548" t="s">
        <v>168</v>
      </c>
      <c r="D581" s="646">
        <v>3721.7150000000001</v>
      </c>
      <c r="E581" s="539">
        <f>D581*$J564</f>
        <v>202.87068465000002</v>
      </c>
      <c r="F581" s="601"/>
      <c r="G581" s="546"/>
    </row>
    <row r="582" spans="3:9" ht="25.5">
      <c r="C582" s="548" t="s">
        <v>169</v>
      </c>
      <c r="D582" s="646">
        <v>4799.6000000000004</v>
      </c>
      <c r="E582" s="539">
        <f>D582*$J564</f>
        <v>261.62619600000005</v>
      </c>
      <c r="F582" s="601"/>
      <c r="G582" s="549"/>
    </row>
    <row r="583" spans="3:9" ht="25.5">
      <c r="C583" s="548" t="s">
        <v>170</v>
      </c>
      <c r="D583" s="646">
        <v>5200</v>
      </c>
      <c r="E583" s="539">
        <f>D583*$J564</f>
        <v>283.452</v>
      </c>
      <c r="F583" s="601"/>
      <c r="G583" s="549"/>
    </row>
    <row r="584" spans="3:9" ht="25.5">
      <c r="C584" s="548" t="s">
        <v>206</v>
      </c>
      <c r="D584" s="646">
        <v>2900</v>
      </c>
      <c r="E584" s="539">
        <f>D584*$J564</f>
        <v>158.07900000000001</v>
      </c>
      <c r="F584" s="601"/>
      <c r="G584" s="549"/>
    </row>
    <row r="585" spans="3:9" ht="25.5">
      <c r="C585" s="548" t="s">
        <v>171</v>
      </c>
      <c r="D585" s="646">
        <v>1730</v>
      </c>
      <c r="E585" s="539">
        <f>D585*$J564</f>
        <v>94.302300000000002</v>
      </c>
      <c r="F585" s="601"/>
      <c r="G585" s="549"/>
    </row>
    <row r="586" spans="3:9" ht="25.5">
      <c r="C586" s="548" t="s">
        <v>172</v>
      </c>
      <c r="D586" s="646">
        <v>4970</v>
      </c>
      <c r="E586" s="539">
        <f>D586*$J564</f>
        <v>270.91470000000004</v>
      </c>
      <c r="F586" s="601"/>
      <c r="G586" s="549"/>
    </row>
    <row r="587" spans="3:9" ht="25.5">
      <c r="C587" s="548" t="s">
        <v>174</v>
      </c>
      <c r="D587" s="646">
        <v>1500</v>
      </c>
      <c r="E587" s="539">
        <f>D587*$J564</f>
        <v>81.765000000000001</v>
      </c>
      <c r="F587" s="601"/>
      <c r="G587" s="549"/>
    </row>
    <row r="588" spans="3:9">
      <c r="C588" s="548" t="s">
        <v>175</v>
      </c>
      <c r="D588" s="636">
        <f>E588/$J$564</f>
        <v>14839.735828288387</v>
      </c>
      <c r="E588" s="645">
        <v>808.91399999999999</v>
      </c>
      <c r="F588" s="601"/>
      <c r="G588" s="546"/>
    </row>
    <row r="589" spans="3:9">
      <c r="C589" s="548" t="s">
        <v>176</v>
      </c>
      <c r="D589" s="636">
        <f>E589/$J$564</f>
        <v>13628.691983122362</v>
      </c>
      <c r="E589" s="645">
        <v>742.9</v>
      </c>
      <c r="F589" s="601"/>
      <c r="G589" s="546"/>
    </row>
    <row r="590" spans="3:9">
      <c r="C590" s="548" t="s">
        <v>177</v>
      </c>
      <c r="D590" s="636">
        <f>E590/$J$564</f>
        <v>11007.15465052284</v>
      </c>
      <c r="E590" s="645">
        <v>600</v>
      </c>
      <c r="F590" s="601"/>
      <c r="G590" s="549"/>
      <c r="I590" s="639"/>
    </row>
    <row r="591" spans="3:9">
      <c r="C591" s="548" t="s">
        <v>178</v>
      </c>
      <c r="D591" s="636">
        <f>E591/$J$564</f>
        <v>12636.213538800219</v>
      </c>
      <c r="E591" s="645">
        <v>688.8</v>
      </c>
      <c r="F591" s="601"/>
      <c r="G591" s="549"/>
      <c r="I591" s="638"/>
    </row>
    <row r="592" spans="3:9">
      <c r="C592" s="548" t="s">
        <v>207</v>
      </c>
      <c r="D592" s="636">
        <f>E592/$J$564</f>
        <v>14526.875802605025</v>
      </c>
      <c r="E592" s="645">
        <v>791.86</v>
      </c>
      <c r="F592" s="601"/>
      <c r="G592" s="546"/>
    </row>
    <row r="593" spans="3:7">
      <c r="C593" s="548"/>
      <c r="D593" s="576"/>
      <c r="E593" s="575"/>
      <c r="F593" s="547"/>
      <c r="G593" s="546"/>
    </row>
    <row r="594" spans="3:7">
      <c r="C594" s="554" t="s">
        <v>113</v>
      </c>
      <c r="D594" s="576"/>
      <c r="E594" s="575"/>
      <c r="F594" s="547"/>
      <c r="G594" s="546"/>
    </row>
    <row r="595" spans="3:7" ht="25.5">
      <c r="C595" s="548" t="s">
        <v>250</v>
      </c>
      <c r="D595" s="646">
        <v>1550</v>
      </c>
      <c r="E595" s="539">
        <f>D595*$J564</f>
        <v>84.490500000000011</v>
      </c>
      <c r="F595" s="547"/>
      <c r="G595" s="546"/>
    </row>
    <row r="596" spans="3:7" ht="25.5">
      <c r="C596" s="548" t="s">
        <v>251</v>
      </c>
      <c r="D596" s="646">
        <v>1850</v>
      </c>
      <c r="E596" s="539">
        <f>D596*$J564</f>
        <v>100.84350000000001</v>
      </c>
      <c r="F596" s="547"/>
      <c r="G596" s="546"/>
    </row>
    <row r="597" spans="3:7" ht="25.5">
      <c r="C597" s="548" t="s">
        <v>252</v>
      </c>
      <c r="D597" s="646">
        <v>150</v>
      </c>
      <c r="E597" s="539">
        <f>D597*$J564</f>
        <v>8.1765000000000008</v>
      </c>
      <c r="F597" s="547"/>
      <c r="G597" s="546"/>
    </row>
    <row r="598" spans="3:7" ht="25.5">
      <c r="C598" s="548" t="s">
        <v>253</v>
      </c>
      <c r="D598" s="646">
        <v>2000</v>
      </c>
      <c r="E598" s="539">
        <f>D598*$J564</f>
        <v>109.02000000000001</v>
      </c>
      <c r="F598" s="547"/>
      <c r="G598" s="546"/>
    </row>
    <row r="599" spans="3:7" ht="25.5">
      <c r="C599" s="548" t="s">
        <v>230</v>
      </c>
      <c r="D599" s="646">
        <v>0</v>
      </c>
      <c r="E599" s="539">
        <f>D599*$J564</f>
        <v>0</v>
      </c>
      <c r="F599" s="547"/>
      <c r="G599" s="546"/>
    </row>
    <row r="600" spans="3:7" ht="25.5">
      <c r="C600" s="548" t="s">
        <v>254</v>
      </c>
      <c r="D600" s="646">
        <v>200</v>
      </c>
      <c r="E600" s="539">
        <f>D600*$J564</f>
        <v>10.902000000000001</v>
      </c>
      <c r="F600" s="547"/>
      <c r="G600" s="546"/>
    </row>
    <row r="601" spans="3:7" ht="25.5">
      <c r="C601" s="548" t="s">
        <v>255</v>
      </c>
      <c r="D601" s="646">
        <v>250</v>
      </c>
      <c r="E601" s="539">
        <f>D601*$J564</f>
        <v>13.627500000000001</v>
      </c>
      <c r="F601" s="547"/>
      <c r="G601" s="546"/>
    </row>
    <row r="602" spans="3:7" ht="25.5">
      <c r="C602" s="548" t="s">
        <v>256</v>
      </c>
      <c r="D602" s="646">
        <v>600</v>
      </c>
      <c r="E602" s="539">
        <f>D602*$J564</f>
        <v>32.706000000000003</v>
      </c>
      <c r="F602" s="547"/>
      <c r="G602" s="546"/>
    </row>
    <row r="603" spans="3:7" ht="25.5">
      <c r="C603" s="548" t="s">
        <v>234</v>
      </c>
      <c r="D603" s="646">
        <v>350</v>
      </c>
      <c r="E603" s="539">
        <f>D603*$J564</f>
        <v>19.078500000000002</v>
      </c>
      <c r="F603" s="547"/>
      <c r="G603" s="546"/>
    </row>
    <row r="604" spans="3:7" ht="25.5">
      <c r="C604" s="548" t="s">
        <v>257</v>
      </c>
      <c r="D604" s="646">
        <v>200</v>
      </c>
      <c r="E604" s="539">
        <f>D604*$J564</f>
        <v>10.902000000000001</v>
      </c>
      <c r="F604" s="547"/>
      <c r="G604" s="546"/>
    </row>
    <row r="605" spans="3:7" ht="25.5">
      <c r="C605" s="548" t="s">
        <v>258</v>
      </c>
      <c r="D605" s="646">
        <v>2900</v>
      </c>
      <c r="E605" s="539">
        <f>D605*$J564</f>
        <v>158.07900000000001</v>
      </c>
      <c r="F605" s="547"/>
      <c r="G605" s="546"/>
    </row>
    <row r="606" spans="3:7" ht="25.5">
      <c r="C606" s="548" t="s">
        <v>235</v>
      </c>
      <c r="D606" s="646">
        <v>600</v>
      </c>
      <c r="E606" s="539">
        <f>D606*$J564</f>
        <v>32.706000000000003</v>
      </c>
      <c r="F606" s="547"/>
      <c r="G606" s="546"/>
    </row>
    <row r="607" spans="3:7" ht="25.5">
      <c r="C607" s="548" t="s">
        <v>259</v>
      </c>
      <c r="D607" s="646">
        <v>1750</v>
      </c>
      <c r="E607" s="539">
        <f>D607*$J564</f>
        <v>95.392499999999998</v>
      </c>
      <c r="F607" s="547"/>
      <c r="G607" s="546"/>
    </row>
    <row r="608" spans="3:7" ht="25.5">
      <c r="C608" s="548" t="s">
        <v>260</v>
      </c>
      <c r="D608" s="646">
        <v>600</v>
      </c>
      <c r="E608" s="539">
        <f>D608*$J564</f>
        <v>32.706000000000003</v>
      </c>
      <c r="F608" s="547"/>
      <c r="G608" s="546"/>
    </row>
    <row r="609" spans="3:7" ht="25.5">
      <c r="C609" s="548" t="s">
        <v>261</v>
      </c>
      <c r="D609" s="576">
        <f>E609/$J$564</f>
        <v>13758.94331315355</v>
      </c>
      <c r="E609" s="645">
        <v>750</v>
      </c>
      <c r="F609" s="547"/>
      <c r="G609" s="546"/>
    </row>
    <row r="610" spans="3:7" ht="25.5">
      <c r="C610" s="548" t="s">
        <v>262</v>
      </c>
      <c r="D610" s="576">
        <f>E610/$J$564</f>
        <v>825.53659878921292</v>
      </c>
      <c r="E610" s="645">
        <v>45</v>
      </c>
      <c r="F610" s="644"/>
      <c r="G610" s="546"/>
    </row>
    <row r="611" spans="3:7">
      <c r="C611" s="548" t="s">
        <v>196</v>
      </c>
      <c r="D611" s="646">
        <f>-155.134-514.653</f>
        <v>-669.78700000000003</v>
      </c>
      <c r="E611" s="539">
        <f>D611*$J564</f>
        <v>-36.510089370000003</v>
      </c>
      <c r="F611" s="547"/>
      <c r="G611" s="546"/>
    </row>
    <row r="612" spans="3:7">
      <c r="C612" s="548" t="s">
        <v>65</v>
      </c>
      <c r="D612" s="646">
        <v>-208.57900000000001</v>
      </c>
      <c r="E612" s="539">
        <f>D612*$J564</f>
        <v>-11.369641290000001</v>
      </c>
      <c r="F612" s="547"/>
      <c r="G612" s="546"/>
    </row>
    <row r="613" spans="3:7">
      <c r="C613" s="548"/>
      <c r="D613" s="418"/>
      <c r="E613" s="575"/>
      <c r="F613" s="547"/>
      <c r="G613" s="546"/>
    </row>
    <row r="614" spans="3:7">
      <c r="C614" s="536" t="s">
        <v>66</v>
      </c>
      <c r="D614" s="634">
        <f>SUM(D570:D612)</f>
        <v>138302.23671528159</v>
      </c>
      <c r="E614" s="534">
        <f>SUM(E570:E612)</f>
        <v>7538.8549233499989</v>
      </c>
      <c r="F614" s="533">
        <f>+D614/D619</f>
        <v>7.1181715599460835</v>
      </c>
      <c r="G614" s="532">
        <f>+E614/E619</f>
        <v>6.6863955149519381</v>
      </c>
    </row>
    <row r="615" spans="3:7">
      <c r="C615" s="545" t="s">
        <v>67</v>
      </c>
      <c r="D615" s="544">
        <f>Model!AS$123</f>
        <v>4682.0159999999996</v>
      </c>
      <c r="E615" s="539">
        <f>D615*$J564</f>
        <v>255.21669215999998</v>
      </c>
      <c r="F615" s="543"/>
      <c r="G615" s="542"/>
    </row>
    <row r="616" spans="3:7">
      <c r="C616" s="536" t="s">
        <v>68</v>
      </c>
      <c r="D616" s="535">
        <f>+D614-D615</f>
        <v>133620.22071528158</v>
      </c>
      <c r="E616" s="534">
        <f>+E614-E615</f>
        <v>7283.6382311899988</v>
      </c>
      <c r="F616" s="533">
        <f>+D616/D619</f>
        <v>6.8771964757685033</v>
      </c>
      <c r="G616" s="532">
        <f>+E616/E619</f>
        <v>6.4600375649515955</v>
      </c>
    </row>
    <row r="617" spans="3:7">
      <c r="C617" s="541" t="s">
        <v>69</v>
      </c>
      <c r="D617" s="540">
        <f>Model!AS$128</f>
        <v>196767.58900000001</v>
      </c>
      <c r="E617" s="539">
        <f>D617*$J564</f>
        <v>10725.801276390001</v>
      </c>
      <c r="F617" s="538"/>
      <c r="G617" s="537"/>
    </row>
    <row r="618" spans="3:7">
      <c r="C618" s="536" t="s">
        <v>70</v>
      </c>
      <c r="D618" s="535">
        <f>D614+D617</f>
        <v>335069.82571528159</v>
      </c>
      <c r="E618" s="534">
        <f>E614+E617</f>
        <v>18264.656199739999</v>
      </c>
      <c r="F618" s="533">
        <f>D618/D619</f>
        <v>17.24545141603679</v>
      </c>
      <c r="G618" s="532">
        <f>E618/E619</f>
        <v>16.199371991869125</v>
      </c>
    </row>
    <row r="619" spans="3:7">
      <c r="C619" s="530" t="s">
        <v>71</v>
      </c>
      <c r="D619" s="529">
        <f>Model!AS$102</f>
        <v>19429.460999999999</v>
      </c>
      <c r="E619" s="528">
        <f>D619*$J565</f>
        <v>1127.49162183</v>
      </c>
      <c r="F619" s="604"/>
      <c r="G619" s="605"/>
    </row>
    <row r="620" spans="3:7">
      <c r="C620" s="606" t="s">
        <v>72</v>
      </c>
      <c r="D620" s="623">
        <f>D614-Model!AS$126</f>
        <v>547.93471528158989</v>
      </c>
      <c r="E620" s="626"/>
    </row>
    <row r="621" spans="3:7" ht="13.5" thickBot="1">
      <c r="C621" s="531"/>
      <c r="D621" s="609"/>
      <c r="E621" s="609"/>
    </row>
    <row r="622" spans="3:7">
      <c r="C622" s="611" t="s">
        <v>263</v>
      </c>
      <c r="D622" s="612" t="s">
        <v>130</v>
      </c>
      <c r="E622" s="613" t="s">
        <v>131</v>
      </c>
    </row>
    <row r="623" spans="3:7">
      <c r="C623" s="615" t="s">
        <v>198</v>
      </c>
      <c r="D623" s="579"/>
      <c r="E623" s="519">
        <f>D623*$J$641</f>
        <v>0</v>
      </c>
    </row>
    <row r="624" spans="3:7">
      <c r="C624" s="615" t="s">
        <v>74</v>
      </c>
      <c r="D624" s="520">
        <f>D615</f>
        <v>4682.0159999999996</v>
      </c>
      <c r="E624" s="519">
        <f>D624*$J$564</f>
        <v>255.21669215999998</v>
      </c>
    </row>
    <row r="625" spans="3:6" ht="13.5" thickBot="1">
      <c r="C625" s="616" t="s">
        <v>75</v>
      </c>
      <c r="D625" s="517">
        <f>SUM(D623:D624)</f>
        <v>4682.0159999999996</v>
      </c>
      <c r="E625" s="516">
        <f>SUM(E623:E624)</f>
        <v>255.21669215999998</v>
      </c>
    </row>
    <row r="626" spans="3:6">
      <c r="C626" s="531"/>
      <c r="D626" s="531"/>
      <c r="E626" s="531"/>
    </row>
    <row r="627" spans="3:6" ht="13.5" thickBot="1">
      <c r="C627" s="531"/>
      <c r="D627" s="531"/>
      <c r="E627" s="531"/>
    </row>
    <row r="628" spans="3:6">
      <c r="C628" s="617" t="s">
        <v>264</v>
      </c>
      <c r="D628" s="612" t="s">
        <v>130</v>
      </c>
      <c r="E628" s="612" t="s">
        <v>133</v>
      </c>
    </row>
    <row r="629" spans="3:6">
      <c r="C629" s="618"/>
      <c r="D629" s="619"/>
      <c r="E629" s="619"/>
    </row>
    <row r="630" spans="3:6">
      <c r="C630" s="618" t="s">
        <v>241</v>
      </c>
      <c r="D630" s="592">
        <f>Model!AS$119</f>
        <v>13776.14</v>
      </c>
      <c r="E630" s="591">
        <f t="shared" ref="E630" si="29">(D630/$D$636)</f>
        <v>9.8980315728201845E-2</v>
      </c>
    </row>
    <row r="631" spans="3:6">
      <c r="C631" s="618" t="s">
        <v>242</v>
      </c>
      <c r="D631" s="627">
        <f>D590</f>
        <v>11007.15465052284</v>
      </c>
      <c r="E631" s="591">
        <f>(D631/$D$636)</f>
        <v>7.9085407275034658E-2</v>
      </c>
    </row>
    <row r="632" spans="3:6">
      <c r="C632" s="618" t="s">
        <v>243</v>
      </c>
      <c r="D632" s="592">
        <f>D579+D592</f>
        <v>22011.289802605024</v>
      </c>
      <c r="E632" s="591">
        <f t="shared" ref="E632:E634" si="30">(D632/$D$636)</f>
        <v>0.15814911972778986</v>
      </c>
    </row>
    <row r="633" spans="3:6">
      <c r="C633" s="618" t="s">
        <v>244</v>
      </c>
      <c r="D633" s="592">
        <f>D581+D592</f>
        <v>18248.590802605024</v>
      </c>
      <c r="E633" s="591">
        <f t="shared" si="30"/>
        <v>0.13111446887419884</v>
      </c>
    </row>
    <row r="634" spans="3:6">
      <c r="C634" s="618" t="s">
        <v>245</v>
      </c>
      <c r="D634" s="592">
        <f>SUM(D570:D610)-SUM(D630:D633)</f>
        <v>74137.427459548708</v>
      </c>
      <c r="E634" s="591">
        <f t="shared" si="30"/>
        <v>0.53267068839477483</v>
      </c>
      <c r="F634" s="637"/>
    </row>
    <row r="635" spans="3:6" ht="13.5" thickBot="1">
      <c r="C635" s="618"/>
      <c r="D635" s="620"/>
      <c r="E635" s="591"/>
    </row>
    <row r="636" spans="3:6" ht="13.5" thickBot="1">
      <c r="C636" s="621" t="s">
        <v>77</v>
      </c>
      <c r="D636" s="594">
        <f>SUM(D630:D634)</f>
        <v>139180.6027152816</v>
      </c>
      <c r="E636" s="596">
        <f>+SUM(E630:E635)</f>
        <v>1</v>
      </c>
    </row>
    <row r="637" spans="3:6">
      <c r="D637" s="509">
        <f>D636+D611+D612-D614</f>
        <v>0</v>
      </c>
    </row>
    <row r="641" spans="2:10">
      <c r="I641" s="557" t="s">
        <v>265</v>
      </c>
      <c r="J641" s="556">
        <f>Model!AR203</f>
        <v>5.96E-2</v>
      </c>
    </row>
    <row r="642" spans="2:10">
      <c r="B642" s="632" t="s">
        <v>266</v>
      </c>
      <c r="I642" s="557" t="s">
        <v>267</v>
      </c>
      <c r="J642" s="556">
        <f>Model!AR202</f>
        <v>5.8869999999999999E-2</v>
      </c>
    </row>
    <row r="643" spans="2:10">
      <c r="C643" s="560"/>
      <c r="D643" s="790" t="s">
        <v>268</v>
      </c>
      <c r="E643" s="791"/>
      <c r="F643" s="559" t="s">
        <v>20</v>
      </c>
      <c r="G643" s="558" t="s">
        <v>21</v>
      </c>
    </row>
    <row r="644" spans="2:10" ht="13.5" thickBot="1">
      <c r="C644" s="554"/>
      <c r="D644" s="555" t="s">
        <v>18</v>
      </c>
      <c r="E644" s="552" t="s">
        <v>19</v>
      </c>
      <c r="F644" s="550"/>
      <c r="G644" s="549"/>
    </row>
    <row r="645" spans="2:10">
      <c r="C645" s="554"/>
      <c r="D645" s="553"/>
      <c r="E645" s="552"/>
      <c r="F645" s="550"/>
      <c r="G645" s="549"/>
      <c r="I645" s="641" t="s">
        <v>22</v>
      </c>
      <c r="J645" s="640"/>
    </row>
    <row r="646" spans="2:10" ht="13.5" thickBot="1">
      <c r="C646" s="554" t="s">
        <v>92</v>
      </c>
      <c r="D646" s="553"/>
      <c r="E646" s="552"/>
      <c r="F646" s="550"/>
      <c r="G646" s="549"/>
      <c r="I646" s="642" t="s">
        <v>204</v>
      </c>
      <c r="J646" s="643"/>
    </row>
    <row r="647" spans="2:10">
      <c r="C647" s="548" t="s">
        <v>161</v>
      </c>
      <c r="D647" s="646">
        <v>1510.0889999999999</v>
      </c>
      <c r="E647" s="539">
        <f>D647*$J641</f>
        <v>90.001304399999995</v>
      </c>
      <c r="F647" s="550"/>
      <c r="G647" s="549"/>
    </row>
    <row r="648" spans="2:10" ht="25.5">
      <c r="C648" s="548" t="s">
        <v>162</v>
      </c>
      <c r="D648" s="646">
        <v>494.13099999999997</v>
      </c>
      <c r="E648" s="539">
        <f>D648*$J641</f>
        <v>29.450207599999999</v>
      </c>
      <c r="F648" s="550"/>
      <c r="G648" s="549"/>
    </row>
    <row r="649" spans="2:10" ht="25.5">
      <c r="C649" s="548" t="s">
        <v>205</v>
      </c>
      <c r="D649" s="646">
        <v>4100</v>
      </c>
      <c r="E649" s="539">
        <f>D649*$J641</f>
        <v>244.36</v>
      </c>
      <c r="F649" s="550"/>
      <c r="G649" s="549"/>
    </row>
    <row r="650" spans="2:10" ht="25.5">
      <c r="C650" s="548" t="s">
        <v>164</v>
      </c>
      <c r="D650" s="646">
        <v>737.72900000000004</v>
      </c>
      <c r="E650" s="539">
        <f>D650*$J641</f>
        <v>43.968648399999999</v>
      </c>
      <c r="F650" s="550"/>
      <c r="G650" s="549"/>
    </row>
    <row r="651" spans="2:10" ht="25.5">
      <c r="C651" s="548" t="s">
        <v>165</v>
      </c>
      <c r="D651" s="646">
        <v>1200</v>
      </c>
      <c r="E651" s="539">
        <f>D651*$J641</f>
        <v>71.52</v>
      </c>
      <c r="F651" s="550"/>
      <c r="G651" s="549"/>
    </row>
    <row r="652" spans="2:10">
      <c r="C652" s="548"/>
      <c r="D652" s="647"/>
      <c r="E652" s="539"/>
      <c r="F652" s="550"/>
      <c r="G652" s="549"/>
    </row>
    <row r="653" spans="2:10">
      <c r="C653" s="548"/>
      <c r="D653" s="647"/>
      <c r="E653" s="539"/>
      <c r="F653" s="550"/>
      <c r="G653" s="549"/>
    </row>
    <row r="654" spans="2:10">
      <c r="C654" s="548"/>
      <c r="D654" s="647"/>
      <c r="E654" s="539"/>
      <c r="F654" s="550"/>
      <c r="G654" s="549"/>
    </row>
    <row r="655" spans="2:10">
      <c r="C655" s="554" t="s">
        <v>97</v>
      </c>
      <c r="D655" s="647"/>
      <c r="E655" s="539"/>
      <c r="F655" s="550"/>
      <c r="G655" s="549"/>
    </row>
    <row r="656" spans="2:10" ht="25.5">
      <c r="C656" s="548" t="s">
        <v>166</v>
      </c>
      <c r="D656" s="646">
        <v>7484.4139999999998</v>
      </c>
      <c r="E656" s="539">
        <f>D656*$J641</f>
        <v>446.07107439999999</v>
      </c>
      <c r="F656" s="601"/>
      <c r="G656" s="549"/>
    </row>
    <row r="657" spans="3:9" ht="25.5">
      <c r="C657" s="548" t="s">
        <v>167</v>
      </c>
      <c r="D657" s="646">
        <v>3455.261</v>
      </c>
      <c r="E657" s="539">
        <f>D657*$J641</f>
        <v>205.93355560000001</v>
      </c>
      <c r="F657" s="601"/>
      <c r="G657" s="549"/>
    </row>
    <row r="658" spans="3:9" ht="25.5">
      <c r="C658" s="548" t="s">
        <v>168</v>
      </c>
      <c r="D658" s="646">
        <v>3716.4409999999998</v>
      </c>
      <c r="E658" s="539">
        <f>D658*$J641</f>
        <v>221.49988359999998</v>
      </c>
      <c r="F658" s="601"/>
      <c r="G658" s="546"/>
    </row>
    <row r="659" spans="3:9" ht="25.5">
      <c r="C659" s="548" t="s">
        <v>169</v>
      </c>
      <c r="D659" s="646">
        <v>4799.6000000000004</v>
      </c>
      <c r="E659" s="539">
        <f>D659*$J641</f>
        <v>286.05616000000003</v>
      </c>
      <c r="F659" s="601"/>
      <c r="G659" s="549"/>
    </row>
    <row r="660" spans="3:9" ht="25.5">
      <c r="C660" s="548" t="s">
        <v>170</v>
      </c>
      <c r="D660" s="646">
        <v>5200</v>
      </c>
      <c r="E660" s="539">
        <f>D660*$J641</f>
        <v>309.92</v>
      </c>
      <c r="F660" s="601"/>
      <c r="G660" s="549"/>
    </row>
    <row r="661" spans="3:9" ht="25.5">
      <c r="C661" s="548" t="s">
        <v>206</v>
      </c>
      <c r="D661" s="646">
        <v>2900</v>
      </c>
      <c r="E661" s="539">
        <f>D661*$J641</f>
        <v>172.84</v>
      </c>
      <c r="F661" s="601"/>
      <c r="G661" s="549"/>
    </row>
    <row r="662" spans="3:9" ht="25.5">
      <c r="C662" s="548" t="s">
        <v>171</v>
      </c>
      <c r="D662" s="646">
        <v>1730</v>
      </c>
      <c r="E662" s="539">
        <f>D662*$J641</f>
        <v>103.108</v>
      </c>
      <c r="F662" s="601"/>
      <c r="G662" s="549"/>
    </row>
    <row r="663" spans="3:9" ht="25.5">
      <c r="C663" s="548" t="s">
        <v>172</v>
      </c>
      <c r="D663" s="646">
        <v>4970</v>
      </c>
      <c r="E663" s="539">
        <f>D663*$J641</f>
        <v>296.21199999999999</v>
      </c>
      <c r="F663" s="601"/>
      <c r="G663" s="549"/>
    </row>
    <row r="664" spans="3:9" ht="25.5">
      <c r="C664" s="548" t="s">
        <v>174</v>
      </c>
      <c r="D664" s="646">
        <v>1500</v>
      </c>
      <c r="E664" s="539">
        <f>D664*$J641</f>
        <v>89.4</v>
      </c>
      <c r="F664" s="601"/>
      <c r="G664" s="549"/>
    </row>
    <row r="665" spans="3:9">
      <c r="C665" s="548" t="s">
        <v>175</v>
      </c>
      <c r="D665" s="636">
        <f>E665/$J$641</f>
        <v>13572.382550335571</v>
      </c>
      <c r="E665" s="645">
        <v>808.91399999999999</v>
      </c>
      <c r="F665" s="601"/>
      <c r="G665" s="546"/>
    </row>
    <row r="666" spans="3:9">
      <c r="C666" s="548" t="s">
        <v>176</v>
      </c>
      <c r="D666" s="636">
        <f>E666/$J$641</f>
        <v>12045.302013422819</v>
      </c>
      <c r="E666" s="645">
        <v>717.9</v>
      </c>
      <c r="F666" s="601"/>
      <c r="G666" s="546"/>
    </row>
    <row r="667" spans="3:9">
      <c r="C667" s="548" t="s">
        <v>177</v>
      </c>
      <c r="D667" s="636">
        <f>E667/$J$641</f>
        <v>10067.114093959732</v>
      </c>
      <c r="E667" s="645">
        <v>600</v>
      </c>
      <c r="F667" s="601"/>
      <c r="G667" s="549"/>
      <c r="I667" s="639"/>
    </row>
    <row r="668" spans="3:9">
      <c r="C668" s="548" t="s">
        <v>178</v>
      </c>
      <c r="D668" s="636">
        <f>E668/$J$641</f>
        <v>11557.04697986577</v>
      </c>
      <c r="E668" s="645">
        <v>688.8</v>
      </c>
      <c r="F668" s="601"/>
      <c r="G668" s="549"/>
      <c r="I668" s="638"/>
    </row>
    <row r="669" spans="3:9">
      <c r="C669" s="548" t="s">
        <v>207</v>
      </c>
      <c r="D669" s="636">
        <f>E669/$J$641</f>
        <v>12782.885906040268</v>
      </c>
      <c r="E669" s="645">
        <v>761.86</v>
      </c>
      <c r="F669" s="601"/>
      <c r="G669" s="546"/>
    </row>
    <row r="670" spans="3:9">
      <c r="C670" s="548"/>
      <c r="D670" s="576"/>
      <c r="E670" s="575"/>
      <c r="F670" s="547"/>
      <c r="G670" s="546"/>
    </row>
    <row r="671" spans="3:9">
      <c r="C671" s="554" t="s">
        <v>113</v>
      </c>
      <c r="D671" s="576"/>
      <c r="E671" s="575"/>
      <c r="F671" s="547"/>
      <c r="G671" s="546"/>
    </row>
    <row r="672" spans="3:9" ht="25.5">
      <c r="C672" s="548" t="s">
        <v>250</v>
      </c>
      <c r="D672" s="646">
        <v>1550</v>
      </c>
      <c r="E672" s="539">
        <f>D672*$J641</f>
        <v>92.38</v>
      </c>
      <c r="F672" s="547"/>
      <c r="G672" s="546"/>
    </row>
    <row r="673" spans="3:7" ht="25.5">
      <c r="C673" s="548" t="s">
        <v>251</v>
      </c>
      <c r="D673" s="646">
        <v>1850</v>
      </c>
      <c r="E673" s="539">
        <f>D673*$J641</f>
        <v>110.26</v>
      </c>
      <c r="F673" s="547"/>
      <c r="G673" s="546"/>
    </row>
    <row r="674" spans="3:7" ht="25.5">
      <c r="C674" s="548" t="s">
        <v>252</v>
      </c>
      <c r="D674" s="646">
        <v>150</v>
      </c>
      <c r="E674" s="539">
        <f>D674*$J641</f>
        <v>8.94</v>
      </c>
      <c r="F674" s="547"/>
      <c r="G674" s="546"/>
    </row>
    <row r="675" spans="3:7" ht="25.5">
      <c r="C675" s="548" t="s">
        <v>253</v>
      </c>
      <c r="D675" s="646">
        <v>1750</v>
      </c>
      <c r="E675" s="539">
        <f>D675*$J641</f>
        <v>104.3</v>
      </c>
      <c r="F675" s="547"/>
      <c r="G675" s="546"/>
    </row>
    <row r="676" spans="3:7" ht="25.5">
      <c r="C676" s="548" t="s">
        <v>230</v>
      </c>
      <c r="D676" s="646">
        <v>250</v>
      </c>
      <c r="E676" s="539">
        <f>D676*$J641</f>
        <v>14.9</v>
      </c>
      <c r="F676" s="547"/>
      <c r="G676" s="546"/>
    </row>
    <row r="677" spans="3:7" ht="25.5">
      <c r="C677" s="548" t="s">
        <v>254</v>
      </c>
      <c r="D677" s="646">
        <v>200</v>
      </c>
      <c r="E677" s="539">
        <f>D677*$J641</f>
        <v>11.92</v>
      </c>
      <c r="F677" s="547"/>
      <c r="G677" s="546"/>
    </row>
    <row r="678" spans="3:7" ht="25.5">
      <c r="C678" s="548" t="s">
        <v>255</v>
      </c>
      <c r="D678" s="646">
        <v>250</v>
      </c>
      <c r="E678" s="539">
        <f>D678*$J641</f>
        <v>14.9</v>
      </c>
      <c r="F678" s="547"/>
      <c r="G678" s="546"/>
    </row>
    <row r="679" spans="3:7" ht="25.5">
      <c r="C679" s="548" t="s">
        <v>256</v>
      </c>
      <c r="D679" s="646">
        <v>600</v>
      </c>
      <c r="E679" s="539">
        <f>D679*$J641</f>
        <v>35.76</v>
      </c>
      <c r="F679" s="547"/>
      <c r="G679" s="546"/>
    </row>
    <row r="680" spans="3:7" ht="25.5">
      <c r="C680" s="548" t="s">
        <v>234</v>
      </c>
      <c r="D680" s="646">
        <v>350</v>
      </c>
      <c r="E680" s="539">
        <f>D680*$J641</f>
        <v>20.86</v>
      </c>
      <c r="F680" s="547"/>
      <c r="G680" s="546"/>
    </row>
    <row r="681" spans="3:7" ht="25.5">
      <c r="C681" s="548" t="s">
        <v>257</v>
      </c>
      <c r="D681" s="646">
        <v>200</v>
      </c>
      <c r="E681" s="539">
        <f>D681*$J641</f>
        <v>11.92</v>
      </c>
      <c r="F681" s="547"/>
      <c r="G681" s="546"/>
    </row>
    <row r="682" spans="3:7" ht="25.5">
      <c r="C682" s="548" t="s">
        <v>258</v>
      </c>
      <c r="D682" s="646">
        <v>2900</v>
      </c>
      <c r="E682" s="539">
        <f>D682*$J641</f>
        <v>172.84</v>
      </c>
      <c r="F682" s="547"/>
      <c r="G682" s="546"/>
    </row>
    <row r="683" spans="3:7" ht="25.5">
      <c r="C683" s="548" t="s">
        <v>235</v>
      </c>
      <c r="D683" s="646">
        <v>600</v>
      </c>
      <c r="E683" s="539">
        <f>D683*$J641</f>
        <v>35.76</v>
      </c>
      <c r="F683" s="547"/>
      <c r="G683" s="546"/>
    </row>
    <row r="684" spans="3:7" ht="25.5">
      <c r="C684" s="548" t="s">
        <v>259</v>
      </c>
      <c r="D684" s="646">
        <v>1750</v>
      </c>
      <c r="E684" s="539">
        <f>D684*$J641</f>
        <v>104.3</v>
      </c>
      <c r="F684" s="547"/>
      <c r="G684" s="546"/>
    </row>
    <row r="685" spans="3:7" ht="25.5">
      <c r="C685" s="548" t="s">
        <v>260</v>
      </c>
      <c r="D685" s="646">
        <v>600</v>
      </c>
      <c r="E685" s="539">
        <f>D685*$J641</f>
        <v>35.76</v>
      </c>
      <c r="F685" s="547"/>
      <c r="G685" s="546"/>
    </row>
    <row r="686" spans="3:7" ht="25.5">
      <c r="C686" s="548" t="s">
        <v>261</v>
      </c>
      <c r="D686" s="576">
        <f>E686/$J$641</f>
        <v>12583.892617449665</v>
      </c>
      <c r="E686" s="645">
        <v>750</v>
      </c>
      <c r="F686" s="547"/>
      <c r="G686" s="546"/>
    </row>
    <row r="687" spans="3:7" ht="25.5">
      <c r="C687" s="548" t="s">
        <v>262</v>
      </c>
      <c r="D687" s="576">
        <f>E687/$J$641</f>
        <v>755.03355704697981</v>
      </c>
      <c r="E687" s="645">
        <v>45</v>
      </c>
      <c r="F687" s="644"/>
      <c r="G687" s="546"/>
    </row>
    <row r="688" spans="3:7">
      <c r="C688" s="548" t="s">
        <v>196</v>
      </c>
      <c r="D688" s="646">
        <v>-709.24199999999996</v>
      </c>
      <c r="E688" s="539">
        <f>D688*$J641</f>
        <v>-42.270823199999995</v>
      </c>
      <c r="F688" s="547"/>
      <c r="G688" s="546"/>
    </row>
    <row r="689" spans="3:7">
      <c r="C689" s="548" t="s">
        <v>65</v>
      </c>
      <c r="D689" s="646">
        <v>-344.49700000000001</v>
      </c>
      <c r="E689" s="539">
        <f>D689*$J641</f>
        <v>-20.532021200000003</v>
      </c>
      <c r="F689" s="547"/>
      <c r="G689" s="546"/>
    </row>
    <row r="690" spans="3:7">
      <c r="C690" s="548"/>
      <c r="D690" s="418"/>
      <c r="E690" s="575"/>
      <c r="F690" s="547"/>
      <c r="G690" s="546"/>
    </row>
    <row r="691" spans="3:7">
      <c r="C691" s="536" t="s">
        <v>66</v>
      </c>
      <c r="D691" s="634">
        <f>SUM(D647:D689)</f>
        <v>129107.5837181208</v>
      </c>
      <c r="E691" s="534">
        <f>SUM(E647:E689)</f>
        <v>7694.8119895999998</v>
      </c>
      <c r="F691" s="533">
        <f>+D691/D696</f>
        <v>6.680737151881897</v>
      </c>
      <c r="G691" s="532">
        <f>+E691/E696</f>
        <v>6.763579654359793</v>
      </c>
    </row>
    <row r="692" spans="3:7">
      <c r="C692" s="545" t="s">
        <v>67</v>
      </c>
      <c r="D692" s="544">
        <f>Model!AR123</f>
        <v>1793.6569999999999</v>
      </c>
      <c r="E692" s="539">
        <f>D692*$J641</f>
        <v>106.9019572</v>
      </c>
      <c r="F692" s="543"/>
      <c r="G692" s="542"/>
    </row>
    <row r="693" spans="3:7">
      <c r="C693" s="536" t="s">
        <v>68</v>
      </c>
      <c r="D693" s="535">
        <f>+D691-D692</f>
        <v>127313.9267181208</v>
      </c>
      <c r="E693" s="534">
        <f>+E691-E692</f>
        <v>7587.9100324000001</v>
      </c>
      <c r="F693" s="533">
        <f>+D693/D696</f>
        <v>6.5879234641608457</v>
      </c>
      <c r="G693" s="532">
        <f>+E693/E696</f>
        <v>6.6696150579919555</v>
      </c>
    </row>
    <row r="694" spans="3:7">
      <c r="C694" s="541" t="s">
        <v>69</v>
      </c>
      <c r="D694" s="540">
        <f>Model!AR128</f>
        <v>194811.611</v>
      </c>
      <c r="E694" s="539">
        <f>D694*$J641</f>
        <v>11610.7720156</v>
      </c>
      <c r="F694" s="538"/>
      <c r="G694" s="537"/>
    </row>
    <row r="695" spans="3:7">
      <c r="C695" s="536" t="s">
        <v>70</v>
      </c>
      <c r="D695" s="535">
        <f>D691+D694</f>
        <v>323919.19471812079</v>
      </c>
      <c r="E695" s="534">
        <f>E691+E694</f>
        <v>19305.584005199999</v>
      </c>
      <c r="F695" s="533">
        <f>D695/D696</f>
        <v>16.761362392821905</v>
      </c>
      <c r="G695" s="532">
        <f>E695/E696</f>
        <v>16.969206703111695</v>
      </c>
    </row>
    <row r="696" spans="3:7">
      <c r="C696" s="530" t="s">
        <v>71</v>
      </c>
      <c r="D696" s="529">
        <f>Model!AR102</f>
        <v>19325.349999999999</v>
      </c>
      <c r="E696" s="528">
        <f>D696*$J642</f>
        <v>1137.6833545</v>
      </c>
      <c r="F696" s="604"/>
      <c r="G696" s="605"/>
    </row>
    <row r="697" spans="3:7">
      <c r="C697" s="606" t="s">
        <v>72</v>
      </c>
      <c r="D697" s="623">
        <f>D691-Model!AR126</f>
        <v>329.34971812080767</v>
      </c>
      <c r="E697" s="626"/>
    </row>
    <row r="698" spans="3:7" ht="13.5" thickBot="1">
      <c r="C698" s="531"/>
      <c r="D698" s="609"/>
      <c r="E698" s="609"/>
    </row>
    <row r="699" spans="3:7">
      <c r="C699" s="611" t="s">
        <v>269</v>
      </c>
      <c r="D699" s="612" t="s">
        <v>130</v>
      </c>
      <c r="E699" s="613" t="s">
        <v>131</v>
      </c>
    </row>
    <row r="700" spans="3:7">
      <c r="C700" s="615" t="s">
        <v>198</v>
      </c>
      <c r="D700" s="579"/>
      <c r="E700" s="519">
        <f>D700*$J$641</f>
        <v>0</v>
      </c>
    </row>
    <row r="701" spans="3:7">
      <c r="C701" s="615" t="s">
        <v>74</v>
      </c>
      <c r="D701" s="520">
        <f>D692</f>
        <v>1793.6569999999999</v>
      </c>
      <c r="E701" s="519">
        <f>D701*$J$641</f>
        <v>106.9019572</v>
      </c>
    </row>
    <row r="702" spans="3:7" ht="13.5" thickBot="1">
      <c r="C702" s="616" t="s">
        <v>75</v>
      </c>
      <c r="D702" s="517">
        <f>SUM(D700:D701)</f>
        <v>1793.6569999999999</v>
      </c>
      <c r="E702" s="516">
        <f>SUM(E700:E701)</f>
        <v>106.9019572</v>
      </c>
    </row>
    <row r="703" spans="3:7">
      <c r="C703" s="531"/>
      <c r="D703" s="531"/>
      <c r="E703" s="531"/>
    </row>
    <row r="704" spans="3:7" ht="13.5" thickBot="1">
      <c r="C704" s="531"/>
      <c r="D704" s="531"/>
      <c r="E704" s="531"/>
    </row>
    <row r="705" spans="2:10">
      <c r="C705" s="617" t="s">
        <v>270</v>
      </c>
      <c r="D705" s="612" t="s">
        <v>130</v>
      </c>
      <c r="E705" s="612" t="s">
        <v>133</v>
      </c>
    </row>
    <row r="706" spans="2:10">
      <c r="C706" s="618"/>
      <c r="D706" s="619"/>
      <c r="E706" s="619"/>
    </row>
    <row r="707" spans="2:10">
      <c r="C707" s="618" t="s">
        <v>241</v>
      </c>
      <c r="D707" s="592">
        <f>Model!AR119</f>
        <v>13699.852000000001</v>
      </c>
      <c r="E707" s="591">
        <f>(D707/$D$713)</f>
        <v>0.10525286401451676</v>
      </c>
    </row>
    <row r="708" spans="2:10">
      <c r="C708" s="618" t="s">
        <v>242</v>
      </c>
      <c r="D708" s="627">
        <f>D667</f>
        <v>10067.114093959732</v>
      </c>
      <c r="E708" s="591">
        <f>(D708/$D$713)</f>
        <v>7.7343360406387507E-2</v>
      </c>
    </row>
    <row r="709" spans="2:10">
      <c r="C709" s="618" t="s">
        <v>243</v>
      </c>
      <c r="D709" s="592">
        <f>D656+D669</f>
        <v>20267.299906040269</v>
      </c>
      <c r="E709" s="591">
        <f>(D709/$D$713)</f>
        <v>0.15570908072232348</v>
      </c>
    </row>
    <row r="710" spans="2:10">
      <c r="C710" s="618" t="s">
        <v>244</v>
      </c>
      <c r="D710" s="592">
        <f>D658+D669</f>
        <v>16499.326906040267</v>
      </c>
      <c r="E710" s="591">
        <f>(D710/$D$713)</f>
        <v>0.1267605964774301</v>
      </c>
    </row>
    <row r="711" spans="2:10">
      <c r="C711" s="618" t="s">
        <v>245</v>
      </c>
      <c r="D711" s="592">
        <f>SUM(D647:D687)-SUM(D707:D710)</f>
        <v>69627.729812080535</v>
      </c>
      <c r="E711" s="591">
        <f>(D711/$D$713)</f>
        <v>0.53493409837934214</v>
      </c>
      <c r="F711" s="637"/>
    </row>
    <row r="712" spans="2:10" ht="13.5" thickBot="1">
      <c r="C712" s="618"/>
      <c r="D712" s="620"/>
      <c r="E712" s="591"/>
    </row>
    <row r="713" spans="2:10" ht="13.5" thickBot="1">
      <c r="C713" s="621" t="s">
        <v>77</v>
      </c>
      <c r="D713" s="594">
        <f>SUM(D707:D711)</f>
        <v>130161.32271812081</v>
      </c>
      <c r="E713" s="596">
        <f>+SUM(E707:E712)</f>
        <v>1</v>
      </c>
    </row>
    <row r="714" spans="2:10">
      <c r="D714" s="509">
        <f>D713+D688+D689-D691</f>
        <v>0</v>
      </c>
    </row>
    <row r="718" spans="2:10">
      <c r="I718" s="557" t="s">
        <v>271</v>
      </c>
      <c r="J718" s="556">
        <f>Model!K203</f>
        <v>5.8900000000000001E-2</v>
      </c>
    </row>
    <row r="719" spans="2:10">
      <c r="B719" s="632" t="s">
        <v>272</v>
      </c>
      <c r="I719" s="557" t="s">
        <v>273</v>
      </c>
      <c r="J719" s="556">
        <f>Model!K202</f>
        <v>5.6500000000000002E-2</v>
      </c>
    </row>
    <row r="720" spans="2:10">
      <c r="C720" s="560"/>
      <c r="D720" s="790" t="s">
        <v>274</v>
      </c>
      <c r="E720" s="791"/>
      <c r="F720" s="559" t="s">
        <v>20</v>
      </c>
      <c r="G720" s="558" t="s">
        <v>21</v>
      </c>
    </row>
    <row r="721" spans="3:10" ht="13.5" thickBot="1">
      <c r="C721" s="554"/>
      <c r="D721" s="555" t="s">
        <v>18</v>
      </c>
      <c r="E721" s="552" t="s">
        <v>19</v>
      </c>
      <c r="F721" s="550"/>
      <c r="G721" s="549"/>
    </row>
    <row r="722" spans="3:10">
      <c r="C722" s="554"/>
      <c r="D722" s="553"/>
      <c r="E722" s="552"/>
      <c r="F722" s="550"/>
      <c r="G722" s="549"/>
      <c r="I722" s="641" t="s">
        <v>22</v>
      </c>
      <c r="J722" s="640"/>
    </row>
    <row r="723" spans="3:10" ht="13.5" thickBot="1">
      <c r="C723" s="554" t="s">
        <v>92</v>
      </c>
      <c r="D723" s="553"/>
      <c r="E723" s="552"/>
      <c r="F723" s="550"/>
      <c r="G723" s="549"/>
      <c r="I723" s="642" t="s">
        <v>204</v>
      </c>
      <c r="J723" s="643"/>
    </row>
    <row r="724" spans="3:10" ht="25.5">
      <c r="C724" s="548" t="s">
        <v>164</v>
      </c>
      <c r="D724" s="646">
        <v>738.43899999999996</v>
      </c>
      <c r="E724" s="539">
        <f t="shared" ref="E724:E730" si="31">D724*$J$718</f>
        <v>43.494057099999999</v>
      </c>
      <c r="F724" s="550"/>
      <c r="G724" s="549"/>
    </row>
    <row r="725" spans="3:10" ht="25.5">
      <c r="C725" s="548" t="s">
        <v>205</v>
      </c>
      <c r="D725" s="646">
        <v>4100</v>
      </c>
      <c r="E725" s="539">
        <f t="shared" si="31"/>
        <v>241.49</v>
      </c>
      <c r="F725" s="550"/>
      <c r="G725" s="549"/>
    </row>
    <row r="726" spans="3:10" ht="25.5">
      <c r="C726" s="548" t="s">
        <v>275</v>
      </c>
      <c r="D726" s="646">
        <v>441.84</v>
      </c>
      <c r="E726" s="539">
        <f t="shared" si="31"/>
        <v>26.024376</v>
      </c>
      <c r="F726" s="550"/>
      <c r="G726" s="549"/>
    </row>
    <row r="727" spans="3:10" ht="25.5">
      <c r="C727" s="548" t="s">
        <v>276</v>
      </c>
      <c r="D727" s="646">
        <v>117.824</v>
      </c>
      <c r="E727" s="539">
        <f t="shared" si="31"/>
        <v>6.9398336</v>
      </c>
      <c r="F727" s="550"/>
      <c r="G727" s="549"/>
    </row>
    <row r="728" spans="3:10">
      <c r="C728" s="548" t="s">
        <v>161</v>
      </c>
      <c r="D728" s="646">
        <v>1528.0239999999999</v>
      </c>
      <c r="E728" s="539">
        <f t="shared" si="31"/>
        <v>90.000613599999994</v>
      </c>
      <c r="F728" s="550"/>
      <c r="G728" s="549"/>
    </row>
    <row r="729" spans="3:10" ht="25.5">
      <c r="C729" s="548" t="s">
        <v>162</v>
      </c>
      <c r="D729" s="646">
        <v>500</v>
      </c>
      <c r="E729" s="539">
        <f t="shared" si="31"/>
        <v>29.45</v>
      </c>
      <c r="F729" s="550"/>
      <c r="G729" s="549"/>
    </row>
    <row r="730" spans="3:10" ht="25.5">
      <c r="C730" s="548" t="s">
        <v>165</v>
      </c>
      <c r="D730" s="646">
        <v>1100</v>
      </c>
      <c r="E730" s="539">
        <f t="shared" si="31"/>
        <v>64.790000000000006</v>
      </c>
      <c r="F730" s="550"/>
      <c r="G730" s="549"/>
    </row>
    <row r="731" spans="3:10">
      <c r="C731" s="548"/>
      <c r="D731" s="647"/>
      <c r="E731" s="539"/>
      <c r="F731" s="550"/>
      <c r="G731" s="549"/>
    </row>
    <row r="732" spans="3:10">
      <c r="C732" s="554" t="s">
        <v>97</v>
      </c>
      <c r="D732" s="647"/>
      <c r="E732" s="539"/>
      <c r="F732" s="550"/>
      <c r="G732" s="549"/>
    </row>
    <row r="733" spans="3:10" ht="25.5">
      <c r="C733" s="548" t="s">
        <v>166</v>
      </c>
      <c r="D733" s="646">
        <v>7484.4139999999998</v>
      </c>
      <c r="E733" s="539">
        <f t="shared" ref="E733:E741" si="32">D733*$J$718</f>
        <v>440.8319846</v>
      </c>
      <c r="F733" s="601"/>
      <c r="G733" s="549"/>
    </row>
    <row r="734" spans="3:10" ht="25.5">
      <c r="C734" s="548" t="s">
        <v>167</v>
      </c>
      <c r="D734" s="646">
        <v>3397.768</v>
      </c>
      <c r="E734" s="539">
        <f t="shared" si="32"/>
        <v>200.12853520000002</v>
      </c>
      <c r="F734" s="601"/>
      <c r="G734" s="549"/>
    </row>
    <row r="735" spans="3:10" ht="25.5">
      <c r="C735" s="548" t="s">
        <v>168</v>
      </c>
      <c r="D735" s="646">
        <v>3654.6019999999999</v>
      </c>
      <c r="E735" s="539">
        <f t="shared" si="32"/>
        <v>215.25605780000001</v>
      </c>
      <c r="F735" s="601"/>
      <c r="G735" s="546"/>
    </row>
    <row r="736" spans="3:10" ht="25.5">
      <c r="C736" s="548" t="s">
        <v>169</v>
      </c>
      <c r="D736" s="646">
        <v>4799.6000000000004</v>
      </c>
      <c r="E736" s="539">
        <f t="shared" si="32"/>
        <v>282.69644000000005</v>
      </c>
      <c r="F736" s="601"/>
      <c r="G736" s="549"/>
    </row>
    <row r="737" spans="3:9" ht="25.5">
      <c r="C737" s="548" t="s">
        <v>170</v>
      </c>
      <c r="D737" s="646">
        <v>5200</v>
      </c>
      <c r="E737" s="539">
        <f t="shared" si="32"/>
        <v>306.28000000000003</v>
      </c>
      <c r="F737" s="601"/>
      <c r="G737" s="549"/>
    </row>
    <row r="738" spans="3:9" ht="25.5">
      <c r="C738" s="548" t="s">
        <v>206</v>
      </c>
      <c r="D738" s="646">
        <v>2900</v>
      </c>
      <c r="E738" s="539">
        <f t="shared" si="32"/>
        <v>170.81</v>
      </c>
      <c r="F738" s="601"/>
      <c r="G738" s="549"/>
    </row>
    <row r="739" spans="3:9" ht="25.5">
      <c r="C739" s="548" t="s">
        <v>171</v>
      </c>
      <c r="D739" s="646">
        <v>1730</v>
      </c>
      <c r="E739" s="539">
        <f t="shared" si="32"/>
        <v>101.89700000000001</v>
      </c>
      <c r="F739" s="601"/>
      <c r="G739" s="549"/>
    </row>
    <row r="740" spans="3:9" ht="25.5">
      <c r="C740" s="548" t="s">
        <v>172</v>
      </c>
      <c r="D740" s="646">
        <v>4970</v>
      </c>
      <c r="E740" s="539">
        <f t="shared" si="32"/>
        <v>292.733</v>
      </c>
      <c r="F740" s="601"/>
      <c r="G740" s="549"/>
    </row>
    <row r="741" spans="3:9" ht="25.5">
      <c r="C741" s="548" t="s">
        <v>174</v>
      </c>
      <c r="D741" s="646">
        <v>1500</v>
      </c>
      <c r="E741" s="539">
        <f t="shared" si="32"/>
        <v>88.350000000000009</v>
      </c>
      <c r="F741" s="601"/>
      <c r="G741" s="549"/>
    </row>
    <row r="742" spans="3:9">
      <c r="C742" s="548" t="s">
        <v>175</v>
      </c>
      <c r="D742" s="636">
        <f>E742/$J$718</f>
        <v>13733.684210526315</v>
      </c>
      <c r="E742" s="645">
        <v>808.91399999999999</v>
      </c>
      <c r="F742" s="601"/>
      <c r="G742" s="546"/>
    </row>
    <row r="743" spans="3:9">
      <c r="C743" s="548" t="s">
        <v>176</v>
      </c>
      <c r="D743" s="636">
        <f>E743/$J$718</f>
        <v>12188.455008488963</v>
      </c>
      <c r="E743" s="645">
        <v>717.9</v>
      </c>
      <c r="F743" s="601"/>
      <c r="G743" s="546"/>
    </row>
    <row r="744" spans="3:9">
      <c r="C744" s="548" t="s">
        <v>277</v>
      </c>
      <c r="D744" s="636">
        <f>E744/$J$718</f>
        <v>9959.2529711375209</v>
      </c>
      <c r="E744" s="645">
        <v>586.6</v>
      </c>
      <c r="F744" s="601"/>
      <c r="G744" s="549"/>
      <c r="I744" s="639"/>
    </row>
    <row r="745" spans="3:9">
      <c r="C745" s="548" t="s">
        <v>178</v>
      </c>
      <c r="D745" s="636">
        <f>E745/$J$718</f>
        <v>11694.397283531409</v>
      </c>
      <c r="E745" s="645">
        <v>688.8</v>
      </c>
      <c r="F745" s="601"/>
      <c r="G745" s="549"/>
      <c r="I745" s="638"/>
    </row>
    <row r="746" spans="3:9">
      <c r="C746" s="548" t="s">
        <v>207</v>
      </c>
      <c r="D746" s="636">
        <f>E746/$J$718</f>
        <v>12934.804753820034</v>
      </c>
      <c r="E746" s="645">
        <v>761.86</v>
      </c>
      <c r="F746" s="601"/>
      <c r="G746" s="546"/>
    </row>
    <row r="747" spans="3:9">
      <c r="C747" s="548"/>
      <c r="D747" s="576"/>
      <c r="E747" s="575"/>
      <c r="F747" s="547"/>
      <c r="G747" s="546"/>
    </row>
    <row r="748" spans="3:9">
      <c r="C748" s="554" t="s">
        <v>113</v>
      </c>
      <c r="D748" s="576"/>
      <c r="E748" s="575"/>
      <c r="F748" s="547"/>
      <c r="G748" s="546"/>
    </row>
    <row r="749" spans="3:9" ht="25.5">
      <c r="C749" s="548" t="s">
        <v>278</v>
      </c>
      <c r="D749" s="646">
        <v>1550</v>
      </c>
      <c r="E749" s="539">
        <f t="shared" ref="E749:E760" si="33">D749*$J$718</f>
        <v>91.295000000000002</v>
      </c>
      <c r="F749" s="547"/>
      <c r="G749" s="546"/>
    </row>
    <row r="750" spans="3:9" ht="25.5">
      <c r="C750" s="548" t="s">
        <v>279</v>
      </c>
      <c r="D750" s="646">
        <v>1850</v>
      </c>
      <c r="E750" s="539">
        <f t="shared" si="33"/>
        <v>108.965</v>
      </c>
      <c r="F750" s="547"/>
      <c r="G750" s="546"/>
    </row>
    <row r="751" spans="3:9" ht="25.5">
      <c r="C751" s="548" t="s">
        <v>279</v>
      </c>
      <c r="D751" s="646">
        <v>150</v>
      </c>
      <c r="E751" s="539">
        <f t="shared" si="33"/>
        <v>8.8350000000000009</v>
      </c>
      <c r="F751" s="547"/>
      <c r="G751" s="546"/>
    </row>
    <row r="752" spans="3:9" ht="25.5">
      <c r="C752" s="548" t="s">
        <v>253</v>
      </c>
      <c r="D752" s="646">
        <v>1750</v>
      </c>
      <c r="E752" s="539">
        <f t="shared" si="33"/>
        <v>103.075</v>
      </c>
      <c r="F752" s="547"/>
      <c r="G752" s="546"/>
    </row>
    <row r="753" spans="3:7" ht="25.5">
      <c r="C753" s="548" t="s">
        <v>280</v>
      </c>
      <c r="D753" s="646">
        <v>250</v>
      </c>
      <c r="E753" s="539">
        <f t="shared" si="33"/>
        <v>14.725</v>
      </c>
      <c r="F753" s="547"/>
      <c r="G753" s="546"/>
    </row>
    <row r="754" spans="3:7" ht="25.5">
      <c r="C754" s="548" t="s">
        <v>278</v>
      </c>
      <c r="D754" s="646">
        <v>200</v>
      </c>
      <c r="E754" s="539">
        <f t="shared" si="33"/>
        <v>11.78</v>
      </c>
      <c r="F754" s="547"/>
      <c r="G754" s="546"/>
    </row>
    <row r="755" spans="3:7" ht="25.5">
      <c r="C755" s="548" t="s">
        <v>278</v>
      </c>
      <c r="D755" s="646">
        <v>250</v>
      </c>
      <c r="E755" s="539">
        <f t="shared" si="33"/>
        <v>14.725</v>
      </c>
      <c r="F755" s="547"/>
      <c r="G755" s="546"/>
    </row>
    <row r="756" spans="3:7" ht="25.5">
      <c r="C756" s="548" t="s">
        <v>256</v>
      </c>
      <c r="D756" s="646">
        <v>600</v>
      </c>
      <c r="E756" s="539">
        <f t="shared" si="33"/>
        <v>35.340000000000003</v>
      </c>
      <c r="F756" s="547"/>
      <c r="G756" s="546"/>
    </row>
    <row r="757" spans="3:7" ht="25.5">
      <c r="C757" s="548" t="s">
        <v>281</v>
      </c>
      <c r="D757" s="646">
        <v>2900</v>
      </c>
      <c r="E757" s="539">
        <f t="shared" ref="E757" si="34">D757*$J$718</f>
        <v>170.81</v>
      </c>
      <c r="F757" s="547"/>
      <c r="G757" s="546"/>
    </row>
    <row r="758" spans="3:7" ht="25.5">
      <c r="C758" s="548" t="s">
        <v>282</v>
      </c>
      <c r="D758" s="646">
        <v>200</v>
      </c>
      <c r="E758" s="539">
        <f t="shared" si="33"/>
        <v>11.78</v>
      </c>
      <c r="F758" s="547"/>
      <c r="G758" s="546"/>
    </row>
    <row r="759" spans="3:7" ht="25.5">
      <c r="C759" s="548" t="s">
        <v>259</v>
      </c>
      <c r="D759" s="646">
        <v>1750</v>
      </c>
      <c r="E759" s="539">
        <f t="shared" si="33"/>
        <v>103.075</v>
      </c>
      <c r="F759" s="547"/>
      <c r="G759" s="546"/>
    </row>
    <row r="760" spans="3:7" ht="25.5">
      <c r="C760" s="548" t="s">
        <v>260</v>
      </c>
      <c r="D760" s="646">
        <v>600</v>
      </c>
      <c r="E760" s="539">
        <f t="shared" si="33"/>
        <v>35.340000000000003</v>
      </c>
      <c r="F760" s="547"/>
      <c r="G760" s="546"/>
    </row>
    <row r="761" spans="3:7" ht="25.5">
      <c r="C761" s="548" t="s">
        <v>261</v>
      </c>
      <c r="D761" s="576">
        <f>E761/$J$718</f>
        <v>12224.108658743633</v>
      </c>
      <c r="E761" s="645">
        <v>720</v>
      </c>
      <c r="F761" s="547"/>
      <c r="G761" s="546"/>
    </row>
    <row r="762" spans="3:7" ht="25.5">
      <c r="C762" s="548" t="s">
        <v>262</v>
      </c>
      <c r="D762" s="576">
        <f>E762/$J$718</f>
        <v>764.00679117147706</v>
      </c>
      <c r="E762" s="645">
        <v>45</v>
      </c>
      <c r="F762" s="644"/>
      <c r="G762" s="546"/>
    </row>
    <row r="763" spans="3:7">
      <c r="C763" s="548" t="s">
        <v>196</v>
      </c>
      <c r="D763" s="646">
        <v>-674.077</v>
      </c>
      <c r="E763" s="539">
        <f>D763*$J$718</f>
        <v>-39.7031353</v>
      </c>
      <c r="F763" s="547"/>
      <c r="G763" s="546"/>
    </row>
    <row r="764" spans="3:7">
      <c r="C764" s="548" t="s">
        <v>65</v>
      </c>
      <c r="D764" s="646">
        <v>-239.429</v>
      </c>
      <c r="E764" s="539">
        <f>D764*$J$718</f>
        <v>-14.1023681</v>
      </c>
      <c r="F764" s="547"/>
      <c r="G764" s="546"/>
    </row>
    <row r="765" spans="3:7">
      <c r="C765" s="548"/>
      <c r="D765" s="418"/>
      <c r="E765" s="575"/>
      <c r="F765" s="547"/>
      <c r="G765" s="546"/>
    </row>
    <row r="766" spans="3:7">
      <c r="C766" s="536" t="s">
        <v>66</v>
      </c>
      <c r="D766" s="634">
        <f>SUM(D724:D764)</f>
        <v>128797.71467741934</v>
      </c>
      <c r="E766" s="534">
        <f>SUM(E724:E764)</f>
        <v>7586.1853945000012</v>
      </c>
      <c r="F766" s="533">
        <f>+D766/D771</f>
        <v>6.7252839173583361</v>
      </c>
      <c r="G766" s="532">
        <f>+E766/E771</f>
        <v>6.7252839173583379</v>
      </c>
    </row>
    <row r="767" spans="3:7">
      <c r="C767" s="545" t="s">
        <v>67</v>
      </c>
      <c r="D767" s="544">
        <f>Model!K123</f>
        <v>2826.6419999999998</v>
      </c>
      <c r="E767" s="539">
        <f>D767*$J$718</f>
        <v>166.48921379999999</v>
      </c>
      <c r="F767" s="543"/>
      <c r="G767" s="542"/>
    </row>
    <row r="768" spans="3:7">
      <c r="C768" s="536" t="s">
        <v>68</v>
      </c>
      <c r="D768" s="535">
        <f>+D766-D767</f>
        <v>125971.07267741935</v>
      </c>
      <c r="E768" s="534">
        <f>+E766-E767</f>
        <v>7419.6961807000016</v>
      </c>
      <c r="F768" s="533">
        <f>+D768/D771</f>
        <v>6.5776883638942003</v>
      </c>
      <c r="G768" s="532">
        <f>+E768/E771</f>
        <v>6.5776883638942021</v>
      </c>
    </row>
    <row r="769" spans="3:7">
      <c r="C769" s="541" t="s">
        <v>69</v>
      </c>
      <c r="D769" s="540">
        <f>Model!K128</f>
        <v>194762.61900000001</v>
      </c>
      <c r="E769" s="539">
        <f>D769*$J$718</f>
        <v>11471.518259100001</v>
      </c>
      <c r="F769" s="538"/>
      <c r="G769" s="537"/>
    </row>
    <row r="770" spans="3:7">
      <c r="C770" s="536" t="s">
        <v>70</v>
      </c>
      <c r="D770" s="535">
        <f>D766+D769</f>
        <v>323560.33367741934</v>
      </c>
      <c r="E770" s="534">
        <f>E766+E769</f>
        <v>19057.703653600001</v>
      </c>
      <c r="F770" s="533">
        <f>D770/D771</f>
        <v>16.894982289288592</v>
      </c>
      <c r="G770" s="532">
        <f>E770/E771</f>
        <v>16.894982289288595</v>
      </c>
    </row>
    <row r="771" spans="3:7">
      <c r="C771" s="530" t="s">
        <v>71</v>
      </c>
      <c r="D771" s="529">
        <f>Model!K102</f>
        <v>19151.268</v>
      </c>
      <c r="E771" s="528">
        <f>D771*$J$718</f>
        <v>1128.0096851999999</v>
      </c>
      <c r="F771" s="604"/>
      <c r="G771" s="605"/>
    </row>
    <row r="772" spans="3:7">
      <c r="C772" s="606" t="s">
        <v>72</v>
      </c>
      <c r="D772" s="623">
        <f>D766-Model!K126</f>
        <v>242.11967741933768</v>
      </c>
      <c r="E772" s="626"/>
    </row>
    <row r="773" spans="3:7" ht="13.5" thickBot="1">
      <c r="C773" s="531"/>
      <c r="D773" s="609"/>
      <c r="E773" s="609"/>
    </row>
    <row r="774" spans="3:7">
      <c r="C774" s="611" t="s">
        <v>283</v>
      </c>
      <c r="D774" s="612" t="s">
        <v>130</v>
      </c>
      <c r="E774" s="613" t="s">
        <v>131</v>
      </c>
    </row>
    <row r="775" spans="3:7">
      <c r="C775" s="615" t="s">
        <v>198</v>
      </c>
      <c r="D775" s="579"/>
      <c r="E775" s="519">
        <f>D775*$J$718</f>
        <v>0</v>
      </c>
    </row>
    <row r="776" spans="3:7">
      <c r="C776" s="615" t="s">
        <v>74</v>
      </c>
      <c r="D776" s="520">
        <f>D767</f>
        <v>2826.6419999999998</v>
      </c>
      <c r="E776" s="519">
        <f>D776*$J$718</f>
        <v>166.48921379999999</v>
      </c>
    </row>
    <row r="777" spans="3:7" ht="13.5" thickBot="1">
      <c r="C777" s="616" t="s">
        <v>75</v>
      </c>
      <c r="D777" s="517">
        <f>SUM(D775:D776)</f>
        <v>2826.6419999999998</v>
      </c>
      <c r="E777" s="516">
        <f>SUM(E775:E776)</f>
        <v>166.48921379999999</v>
      </c>
    </row>
    <row r="778" spans="3:7">
      <c r="C778" s="531"/>
      <c r="D778" s="531"/>
      <c r="E778" s="531"/>
    </row>
    <row r="779" spans="3:7" ht="13.5" thickBot="1">
      <c r="C779" s="531"/>
      <c r="D779" s="531"/>
      <c r="E779" s="531"/>
    </row>
    <row r="780" spans="3:7">
      <c r="C780" s="617" t="s">
        <v>284</v>
      </c>
      <c r="D780" s="612" t="s">
        <v>130</v>
      </c>
      <c r="E780" s="612" t="s">
        <v>133</v>
      </c>
    </row>
    <row r="781" spans="3:7">
      <c r="C781" s="618"/>
      <c r="D781" s="619"/>
      <c r="E781" s="619"/>
    </row>
    <row r="782" spans="3:7">
      <c r="C782" s="618" t="s">
        <v>241</v>
      </c>
      <c r="D782" s="592">
        <f>Model!K119</f>
        <v>23253.195</v>
      </c>
      <c r="E782" s="591">
        <f>(D782/$D$788)</f>
        <v>0.17926895513402574</v>
      </c>
    </row>
    <row r="783" spans="3:7">
      <c r="C783" s="618" t="s">
        <v>242</v>
      </c>
      <c r="D783" s="627">
        <f>D744</f>
        <v>9959.2529711375209</v>
      </c>
      <c r="E783" s="591">
        <f>(D783/$D$788)</f>
        <v>7.6780196185997865E-2</v>
      </c>
    </row>
    <row r="784" spans="3:7">
      <c r="C784" s="618" t="s">
        <v>243</v>
      </c>
      <c r="D784" s="592">
        <f>D733+D746</f>
        <v>20419.218753820034</v>
      </c>
      <c r="E784" s="591">
        <f>(D784/$D$788)</f>
        <v>0.15742060437933025</v>
      </c>
    </row>
    <row r="785" spans="2:10">
      <c r="C785" s="618" t="s">
        <v>244</v>
      </c>
      <c r="D785" s="592">
        <f>D735+D746</f>
        <v>16589.406753820032</v>
      </c>
      <c r="E785" s="591">
        <f>(D785/$D$788)</f>
        <v>0.12789492433408256</v>
      </c>
    </row>
    <row r="786" spans="2:10">
      <c r="C786" s="618" t="s">
        <v>245</v>
      </c>
      <c r="D786" s="592">
        <f>SUM(D724:D762)-SUM(D782:D785)</f>
        <v>59490.14719864176</v>
      </c>
      <c r="E786" s="591">
        <f>(D786/$D$788)</f>
        <v>0.45863531996656359</v>
      </c>
      <c r="F786" s="637"/>
    </row>
    <row r="787" spans="2:10" ht="13.5" thickBot="1">
      <c r="C787" s="618"/>
      <c r="D787" s="620"/>
      <c r="E787" s="591"/>
    </row>
    <row r="788" spans="2:10" ht="13.5" thickBot="1">
      <c r="C788" s="621" t="s">
        <v>77</v>
      </c>
      <c r="D788" s="594">
        <f>SUM(D782:D786)</f>
        <v>129711.22067741935</v>
      </c>
      <c r="E788" s="596">
        <f>+SUM(E782:E787)</f>
        <v>1</v>
      </c>
    </row>
    <row r="789" spans="2:10">
      <c r="D789" s="509">
        <f>D788+D763+D764-D766</f>
        <v>0</v>
      </c>
    </row>
    <row r="790" spans="2:10">
      <c r="I790" s="557" t="s">
        <v>285</v>
      </c>
      <c r="J790" s="556">
        <f>Model!AP203</f>
        <v>5.7340000000000002E-2</v>
      </c>
    </row>
    <row r="791" spans="2:10">
      <c r="B791" s="632" t="s">
        <v>286</v>
      </c>
      <c r="I791" s="557" t="s">
        <v>287</v>
      </c>
      <c r="J791" s="556">
        <f>Model!AP202</f>
        <v>5.8549999999999998E-2</v>
      </c>
    </row>
    <row r="792" spans="2:10">
      <c r="C792" s="560"/>
      <c r="D792" s="790" t="s">
        <v>288</v>
      </c>
      <c r="E792" s="791"/>
      <c r="F792" s="559" t="s">
        <v>20</v>
      </c>
      <c r="G792" s="558" t="s">
        <v>21</v>
      </c>
    </row>
    <row r="793" spans="2:10" ht="13.5" thickBot="1">
      <c r="C793" s="554"/>
      <c r="D793" s="555" t="s">
        <v>18</v>
      </c>
      <c r="E793" s="552" t="s">
        <v>19</v>
      </c>
      <c r="F793" s="550"/>
      <c r="G793" s="549"/>
    </row>
    <row r="794" spans="2:10">
      <c r="C794" s="554"/>
      <c r="D794" s="553"/>
      <c r="E794" s="552"/>
      <c r="F794" s="550"/>
      <c r="G794" s="549"/>
      <c r="I794" s="641" t="s">
        <v>22</v>
      </c>
      <c r="J794" s="640"/>
    </row>
    <row r="795" spans="2:10" ht="13.5" thickBot="1">
      <c r="C795" s="554" t="s">
        <v>92</v>
      </c>
      <c r="D795" s="553"/>
      <c r="E795" s="552"/>
      <c r="F795" s="550"/>
      <c r="G795" s="549"/>
      <c r="I795" s="642" t="s">
        <v>204</v>
      </c>
      <c r="J795" s="643"/>
    </row>
    <row r="796" spans="2:10" ht="25.5">
      <c r="C796" s="548" t="s">
        <v>289</v>
      </c>
      <c r="D796" s="418">
        <v>240.648</v>
      </c>
      <c r="E796" s="539">
        <f t="shared" ref="E796:E799" si="35">D796*$J$790</f>
        <v>13.798756320000001</v>
      </c>
      <c r="F796" s="550"/>
      <c r="G796" s="549"/>
    </row>
    <row r="797" spans="2:10" ht="25.5">
      <c r="C797" s="548" t="s">
        <v>289</v>
      </c>
      <c r="D797" s="418">
        <v>498.798</v>
      </c>
      <c r="E797" s="539">
        <f t="shared" si="35"/>
        <v>28.601077320000002</v>
      </c>
      <c r="F797" s="550"/>
      <c r="G797" s="549"/>
    </row>
    <row r="798" spans="2:10" ht="25.5">
      <c r="C798" s="548" t="s">
        <v>205</v>
      </c>
      <c r="D798" s="551">
        <v>4100</v>
      </c>
      <c r="E798" s="539">
        <f t="shared" si="35"/>
        <v>235.09400000000002</v>
      </c>
      <c r="F798" s="550"/>
      <c r="G798" s="549"/>
    </row>
    <row r="799" spans="2:10" ht="25.5">
      <c r="C799" s="548" t="s">
        <v>275</v>
      </c>
      <c r="D799" s="551">
        <v>447.03800000000001</v>
      </c>
      <c r="E799" s="539">
        <f t="shared" si="35"/>
        <v>25.633158920000003</v>
      </c>
      <c r="F799" s="550"/>
      <c r="G799" s="549"/>
    </row>
    <row r="800" spans="2:10" ht="25.5">
      <c r="C800" s="548" t="s">
        <v>276</v>
      </c>
      <c r="D800" s="551">
        <v>119.21</v>
      </c>
      <c r="E800" s="539">
        <f>D800*$J$790</f>
        <v>6.8355014000000001</v>
      </c>
      <c r="F800" s="550"/>
      <c r="G800" s="549"/>
    </row>
    <row r="801" spans="3:9">
      <c r="C801" s="548" t="s">
        <v>161</v>
      </c>
      <c r="D801" s="551">
        <v>2051</v>
      </c>
      <c r="E801" s="539">
        <f>D801*$J$790</f>
        <v>117.60434000000001</v>
      </c>
      <c r="F801" s="550"/>
      <c r="G801" s="549"/>
    </row>
    <row r="802" spans="3:9" ht="25.5">
      <c r="C802" s="548" t="s">
        <v>165</v>
      </c>
      <c r="D802" s="551">
        <v>800</v>
      </c>
      <c r="E802" s="539">
        <f>D802*$J$790</f>
        <v>45.872</v>
      </c>
      <c r="F802" s="550"/>
      <c r="G802" s="549"/>
    </row>
    <row r="803" spans="3:9">
      <c r="C803" s="548"/>
      <c r="D803" s="551"/>
      <c r="E803" s="539"/>
      <c r="F803" s="550"/>
      <c r="G803" s="549"/>
    </row>
    <row r="804" spans="3:9">
      <c r="C804" s="554" t="s">
        <v>97</v>
      </c>
      <c r="D804" s="551"/>
      <c r="E804" s="539"/>
      <c r="F804" s="550"/>
      <c r="G804" s="549"/>
    </row>
    <row r="805" spans="3:9" ht="25.5">
      <c r="C805" s="548" t="s">
        <v>290</v>
      </c>
      <c r="D805" s="418">
        <v>3120.9</v>
      </c>
      <c r="E805" s="539">
        <f t="shared" ref="E805:E813" si="36">D805*$J$790</f>
        <v>178.95240600000002</v>
      </c>
      <c r="F805" s="601"/>
      <c r="G805" s="546"/>
    </row>
    <row r="806" spans="3:9" ht="25.5">
      <c r="C806" s="548" t="s">
        <v>166</v>
      </c>
      <c r="D806" s="418">
        <v>7484.4139999999998</v>
      </c>
      <c r="E806" s="539">
        <f t="shared" si="36"/>
        <v>429.15629876000003</v>
      </c>
      <c r="F806" s="601"/>
      <c r="G806" s="549"/>
    </row>
    <row r="807" spans="3:9" ht="25.5">
      <c r="C807" s="548" t="s">
        <v>167</v>
      </c>
      <c r="D807" s="551">
        <v>3350.9670000000001</v>
      </c>
      <c r="E807" s="539">
        <f t="shared" si="36"/>
        <v>192.14444778000001</v>
      </c>
      <c r="F807" s="601"/>
      <c r="G807" s="549"/>
    </row>
    <row r="808" spans="3:9" ht="25.5">
      <c r="C808" s="548" t="s">
        <v>168</v>
      </c>
      <c r="D808" s="418">
        <v>3604.2640000000001</v>
      </c>
      <c r="E808" s="539">
        <f t="shared" si="36"/>
        <v>206.66849776000001</v>
      </c>
      <c r="F808" s="601"/>
      <c r="G808" s="546"/>
    </row>
    <row r="809" spans="3:9" ht="25.5">
      <c r="C809" s="548" t="s">
        <v>169</v>
      </c>
      <c r="D809" s="418">
        <v>4799.6000000000004</v>
      </c>
      <c r="E809" s="539">
        <f t="shared" si="36"/>
        <v>275.20906400000001</v>
      </c>
      <c r="F809" s="601"/>
      <c r="G809" s="549"/>
    </row>
    <row r="810" spans="3:9" ht="25.5">
      <c r="C810" s="548" t="s">
        <v>170</v>
      </c>
      <c r="D810" s="418">
        <v>5200</v>
      </c>
      <c r="E810" s="539">
        <f t="shared" si="36"/>
        <v>298.16800000000001</v>
      </c>
      <c r="F810" s="601"/>
      <c r="G810" s="549"/>
    </row>
    <row r="811" spans="3:9" ht="25.5">
      <c r="C811" s="548" t="s">
        <v>206</v>
      </c>
      <c r="D811" s="551">
        <v>2900</v>
      </c>
      <c r="E811" s="539">
        <f t="shared" si="36"/>
        <v>166.286</v>
      </c>
      <c r="F811" s="601"/>
      <c r="G811" s="549"/>
    </row>
    <row r="812" spans="3:9" ht="25.5">
      <c r="C812" s="548" t="s">
        <v>171</v>
      </c>
      <c r="D812" s="551">
        <v>1730</v>
      </c>
      <c r="E812" s="539">
        <f t="shared" si="36"/>
        <v>99.1982</v>
      </c>
      <c r="F812" s="601"/>
      <c r="G812" s="549"/>
    </row>
    <row r="813" spans="3:9" ht="25.5">
      <c r="C813" s="548" t="s">
        <v>172</v>
      </c>
      <c r="D813" s="551">
        <v>4970</v>
      </c>
      <c r="E813" s="539">
        <f t="shared" si="36"/>
        <v>284.97980000000001</v>
      </c>
      <c r="F813" s="601"/>
      <c r="G813" s="549"/>
    </row>
    <row r="814" spans="3:9">
      <c r="C814" s="548" t="s">
        <v>175</v>
      </c>
      <c r="D814" s="636">
        <f>E814/$J$790</f>
        <v>14107.324729682594</v>
      </c>
      <c r="E814" s="575">
        <v>808.91399999999999</v>
      </c>
      <c r="F814" s="601"/>
      <c r="G814" s="546"/>
    </row>
    <row r="815" spans="3:9">
      <c r="C815" s="548" t="s">
        <v>176</v>
      </c>
      <c r="D815" s="636">
        <f>E815/$J$790</f>
        <v>12520.055807464247</v>
      </c>
      <c r="E815" s="575">
        <v>717.9</v>
      </c>
      <c r="F815" s="601"/>
      <c r="G815" s="546"/>
    </row>
    <row r="816" spans="3:9">
      <c r="C816" s="548" t="s">
        <v>277</v>
      </c>
      <c r="D816" s="636">
        <f>E816/$J$790</f>
        <v>10230.205790024416</v>
      </c>
      <c r="E816" s="575">
        <v>586.6</v>
      </c>
      <c r="F816" s="601"/>
      <c r="G816" s="549"/>
      <c r="I816" s="639"/>
    </row>
    <row r="817" spans="3:9">
      <c r="C817" s="548" t="s">
        <v>178</v>
      </c>
      <c r="D817" s="636">
        <f>E817/$J$790</f>
        <v>12012.556679455876</v>
      </c>
      <c r="E817" s="575">
        <v>688.8</v>
      </c>
      <c r="F817" s="601"/>
      <c r="G817" s="549"/>
      <c r="I817" s="638"/>
    </row>
    <row r="818" spans="3:9">
      <c r="C818" s="548" t="s">
        <v>207</v>
      </c>
      <c r="D818" s="636">
        <f>E818/$J$790</f>
        <v>13286.710847575863</v>
      </c>
      <c r="E818" s="575">
        <v>761.86</v>
      </c>
      <c r="F818" s="601"/>
      <c r="G818" s="546"/>
    </row>
    <row r="819" spans="3:9">
      <c r="C819" s="548"/>
      <c r="D819" s="576"/>
      <c r="E819" s="575"/>
      <c r="F819" s="547"/>
      <c r="G819" s="546"/>
    </row>
    <row r="820" spans="3:9">
      <c r="C820" s="554" t="s">
        <v>113</v>
      </c>
      <c r="D820" s="576"/>
      <c r="E820" s="575"/>
      <c r="F820" s="547"/>
      <c r="G820" s="546"/>
    </row>
    <row r="821" spans="3:9" ht="25.5">
      <c r="C821" s="548" t="s">
        <v>291</v>
      </c>
      <c r="D821" s="418">
        <v>1550</v>
      </c>
      <c r="E821" s="539">
        <f t="shared" ref="E821:E827" si="37">D821*$J$790</f>
        <v>88.87700000000001</v>
      </c>
      <c r="F821" s="547"/>
      <c r="G821" s="546"/>
    </row>
    <row r="822" spans="3:9" ht="25.5">
      <c r="C822" s="548" t="s">
        <v>292</v>
      </c>
      <c r="D822" s="418">
        <v>1850</v>
      </c>
      <c r="E822" s="539">
        <f t="shared" si="37"/>
        <v>106.07900000000001</v>
      </c>
      <c r="F822" s="547"/>
      <c r="G822" s="546"/>
    </row>
    <row r="823" spans="3:9" ht="25.5">
      <c r="C823" s="548" t="s">
        <v>293</v>
      </c>
      <c r="D823" s="418">
        <v>1750</v>
      </c>
      <c r="E823" s="539">
        <f t="shared" si="37"/>
        <v>100.345</v>
      </c>
      <c r="F823" s="547"/>
      <c r="G823" s="546"/>
    </row>
    <row r="824" spans="3:9" ht="25.5">
      <c r="C824" s="548" t="s">
        <v>291</v>
      </c>
      <c r="D824" s="418">
        <v>200</v>
      </c>
      <c r="E824" s="539">
        <f t="shared" si="37"/>
        <v>11.468</v>
      </c>
      <c r="F824" s="547"/>
      <c r="G824" s="546"/>
    </row>
    <row r="825" spans="3:9" ht="25.5">
      <c r="C825" s="548" t="s">
        <v>256</v>
      </c>
      <c r="D825" s="418">
        <v>600</v>
      </c>
      <c r="E825" s="539">
        <f t="shared" si="37"/>
        <v>34.404000000000003</v>
      </c>
      <c r="F825" s="547"/>
      <c r="G825" s="546"/>
    </row>
    <row r="826" spans="3:9" ht="25.5">
      <c r="C826" s="548" t="s">
        <v>294</v>
      </c>
      <c r="D826" s="418">
        <v>1800</v>
      </c>
      <c r="E826" s="539">
        <f t="shared" si="37"/>
        <v>103.212</v>
      </c>
      <c r="F826" s="547"/>
      <c r="G826" s="546"/>
    </row>
    <row r="827" spans="3:9" ht="25.5">
      <c r="C827" s="548" t="s">
        <v>295</v>
      </c>
      <c r="D827" s="418">
        <v>1750</v>
      </c>
      <c r="E827" s="539">
        <f t="shared" si="37"/>
        <v>100.345</v>
      </c>
      <c r="F827" s="547"/>
      <c r="G827" s="546"/>
    </row>
    <row r="828" spans="3:9" ht="25.5">
      <c r="C828" s="548" t="s">
        <v>261</v>
      </c>
      <c r="D828" s="636">
        <f>E828/$J$790</f>
        <v>12556.679455877224</v>
      </c>
      <c r="E828" s="635">
        <v>720</v>
      </c>
      <c r="F828" s="547"/>
      <c r="G828" s="546"/>
    </row>
    <row r="829" spans="3:9" ht="25.5">
      <c r="C829" s="548" t="s">
        <v>296</v>
      </c>
      <c r="D829" s="636">
        <f>E829/$J$790</f>
        <v>784.79246599232647</v>
      </c>
      <c r="E829" s="635">
        <v>45</v>
      </c>
      <c r="F829" s="547"/>
      <c r="G829" s="546"/>
    </row>
    <row r="830" spans="3:9">
      <c r="C830" s="548" t="s">
        <v>196</v>
      </c>
      <c r="D830" s="418">
        <v>-651.80899999999997</v>
      </c>
      <c r="E830" s="539">
        <f>D830*$J$790</f>
        <v>-37.374728060000002</v>
      </c>
      <c r="F830" s="547"/>
      <c r="G830" s="546"/>
    </row>
    <row r="831" spans="3:9">
      <c r="C831" s="548" t="s">
        <v>65</v>
      </c>
      <c r="D831" s="418">
        <v>-411.46199999999999</v>
      </c>
      <c r="E831" s="539">
        <f>D831*$J$790</f>
        <v>-23.593231079999999</v>
      </c>
      <c r="F831" s="547"/>
      <c r="G831" s="546"/>
    </row>
    <row r="832" spans="3:9">
      <c r="C832" s="548"/>
      <c r="D832" s="418"/>
      <c r="E832" s="575"/>
      <c r="F832" s="547"/>
      <c r="G832" s="546"/>
    </row>
    <row r="833" spans="3:7">
      <c r="C833" s="536" t="s">
        <v>66</v>
      </c>
      <c r="D833" s="634">
        <f>SUM(D796:D831)</f>
        <v>129351.89377607255</v>
      </c>
      <c r="E833" s="534">
        <f>SUM(E796:E831)</f>
        <v>7417.0375891200019</v>
      </c>
      <c r="F833" s="533">
        <f>+D833/D838</f>
        <v>6.8411473293457563</v>
      </c>
      <c r="G833" s="532">
        <f>+E833/E838</f>
        <v>6.8411473293457581</v>
      </c>
    </row>
    <row r="834" spans="3:7">
      <c r="C834" s="545" t="s">
        <v>67</v>
      </c>
      <c r="D834" s="544">
        <f>Model!AP123</f>
        <v>2663.6010000000001</v>
      </c>
      <c r="E834" s="539">
        <f>D834*$J$790</f>
        <v>152.73088134000002</v>
      </c>
      <c r="F834" s="543"/>
      <c r="G834" s="542"/>
    </row>
    <row r="835" spans="3:7">
      <c r="C835" s="536" t="s">
        <v>68</v>
      </c>
      <c r="D835" s="535">
        <f>+D833-D834</f>
        <v>126688.29277607256</v>
      </c>
      <c r="E835" s="534">
        <f>+E833-E834</f>
        <v>7264.3067077800015</v>
      </c>
      <c r="F835" s="533">
        <f>+D835/D838</f>
        <v>6.7002751214820062</v>
      </c>
      <c r="G835" s="532">
        <f>+E835/E838</f>
        <v>6.7002751214820071</v>
      </c>
    </row>
    <row r="836" spans="3:7">
      <c r="C836" s="541" t="s">
        <v>69</v>
      </c>
      <c r="D836" s="540">
        <f>Model!AP128</f>
        <v>190413.747</v>
      </c>
      <c r="E836" s="539">
        <f>D836*$J$790</f>
        <v>10918.324252980001</v>
      </c>
      <c r="F836" s="538"/>
      <c r="G836" s="537"/>
    </row>
    <row r="837" spans="3:7">
      <c r="C837" s="536" t="s">
        <v>70</v>
      </c>
      <c r="D837" s="535">
        <f>D833+D836</f>
        <v>319765.64077607257</v>
      </c>
      <c r="E837" s="534">
        <f>E833+E836</f>
        <v>18335.361842100003</v>
      </c>
      <c r="F837" s="533">
        <f>D837/D838</f>
        <v>16.911726574322625</v>
      </c>
      <c r="G837" s="532">
        <f>E837/E838</f>
        <v>16.911726574322625</v>
      </c>
    </row>
    <row r="838" spans="3:7">
      <c r="C838" s="530" t="s">
        <v>71</v>
      </c>
      <c r="D838" s="529">
        <f>Model!AP102</f>
        <v>18907.924000000003</v>
      </c>
      <c r="E838" s="528">
        <f>D838*$J$790</f>
        <v>1084.1803621600002</v>
      </c>
      <c r="F838" s="604"/>
      <c r="G838" s="605"/>
    </row>
    <row r="839" spans="3:7">
      <c r="C839" s="606" t="s">
        <v>72</v>
      </c>
      <c r="D839" s="623">
        <f>D833-Model!AP126</f>
        <v>-1250.5282239274384</v>
      </c>
      <c r="E839" s="626"/>
    </row>
    <row r="840" spans="3:7" ht="13.5" thickBot="1">
      <c r="C840" s="531"/>
      <c r="D840" s="609"/>
      <c r="E840" s="609"/>
    </row>
    <row r="841" spans="3:7">
      <c r="C841" s="611" t="s">
        <v>297</v>
      </c>
      <c r="D841" s="612" t="s">
        <v>130</v>
      </c>
      <c r="E841" s="613" t="s">
        <v>131</v>
      </c>
    </row>
    <row r="842" spans="3:7">
      <c r="C842" s="615" t="s">
        <v>198</v>
      </c>
      <c r="D842" s="579"/>
      <c r="E842" s="519">
        <f>D842*$J$790</f>
        <v>0</v>
      </c>
    </row>
    <row r="843" spans="3:7">
      <c r="C843" s="615" t="s">
        <v>74</v>
      </c>
      <c r="D843" s="520">
        <f>D834</f>
        <v>2663.6010000000001</v>
      </c>
      <c r="E843" s="519">
        <f>D843*$J$790</f>
        <v>152.73088134000002</v>
      </c>
    </row>
    <row r="844" spans="3:7" ht="13.5" thickBot="1">
      <c r="C844" s="616" t="s">
        <v>75</v>
      </c>
      <c r="D844" s="517">
        <f>SUM(D842:D843)</f>
        <v>2663.6010000000001</v>
      </c>
      <c r="E844" s="516">
        <f>SUM(E842:E843)</f>
        <v>152.73088134000002</v>
      </c>
    </row>
    <row r="845" spans="3:7">
      <c r="C845" s="531"/>
      <c r="D845" s="531"/>
      <c r="E845" s="531"/>
    </row>
    <row r="846" spans="3:7" ht="13.5" thickBot="1">
      <c r="C846" s="531"/>
      <c r="D846" s="531"/>
      <c r="E846" s="531"/>
    </row>
    <row r="847" spans="3:7">
      <c r="C847" s="617" t="s">
        <v>298</v>
      </c>
      <c r="D847" s="612" t="s">
        <v>130</v>
      </c>
      <c r="E847" s="612" t="s">
        <v>133</v>
      </c>
    </row>
    <row r="848" spans="3:7">
      <c r="C848" s="618"/>
      <c r="D848" s="619"/>
      <c r="E848" s="619"/>
    </row>
    <row r="849" spans="2:10">
      <c r="C849" s="618" t="s">
        <v>241</v>
      </c>
      <c r="D849" s="592">
        <f>Model!AP119</f>
        <v>14664.540999999999</v>
      </c>
      <c r="E849" s="591">
        <f>(D849/$D$855)</f>
        <v>0.11244505978410974</v>
      </c>
    </row>
    <row r="850" spans="2:10">
      <c r="C850" s="618" t="s">
        <v>242</v>
      </c>
      <c r="D850" s="627">
        <f>D816</f>
        <v>10230.205790024416</v>
      </c>
      <c r="E850" s="591">
        <f t="shared" ref="E850:E853" si="38">(D850/$D$855)</f>
        <v>7.8443375872660523E-2</v>
      </c>
    </row>
    <row r="851" spans="2:10">
      <c r="C851" s="618" t="s">
        <v>243</v>
      </c>
      <c r="D851" s="592">
        <f>D806+D818</f>
        <v>20771.124847575862</v>
      </c>
      <c r="E851" s="591">
        <f t="shared" si="38"/>
        <v>0.15926924513142793</v>
      </c>
    </row>
    <row r="852" spans="2:10">
      <c r="C852" s="618" t="s">
        <v>244</v>
      </c>
      <c r="D852" s="592">
        <f>D808+D818</f>
        <v>16890.974847575864</v>
      </c>
      <c r="E852" s="591">
        <f t="shared" si="38"/>
        <v>0.12951695361945267</v>
      </c>
    </row>
    <row r="853" spans="2:10">
      <c r="C853" s="618" t="s">
        <v>245</v>
      </c>
      <c r="D853" s="592">
        <f>SUM(D796:D829)-SUM(D849:D852)</f>
        <v>67858.318290896408</v>
      </c>
      <c r="E853" s="591">
        <f t="shared" si="38"/>
        <v>0.52032536559234921</v>
      </c>
      <c r="F853" s="637"/>
    </row>
    <row r="854" spans="2:10" ht="13.5" thickBot="1">
      <c r="C854" s="618"/>
      <c r="D854" s="620"/>
      <c r="E854" s="591"/>
    </row>
    <row r="855" spans="2:10" ht="13.5" thickBot="1">
      <c r="C855" s="621" t="s">
        <v>77</v>
      </c>
      <c r="D855" s="594">
        <f>SUM(D849:D853)</f>
        <v>130415.16477607255</v>
      </c>
      <c r="E855" s="596">
        <f>+SUM(E849:E854)</f>
        <v>1</v>
      </c>
    </row>
    <row r="856" spans="2:10">
      <c r="D856" s="509">
        <f>D855+D830+D831-D833</f>
        <v>0</v>
      </c>
    </row>
    <row r="859" spans="2:10">
      <c r="I859" s="557" t="s">
        <v>299</v>
      </c>
      <c r="J859" s="556">
        <f>Model!AO203</f>
        <v>5.8380000000000001E-2</v>
      </c>
    </row>
    <row r="860" spans="2:10">
      <c r="B860" s="632" t="s">
        <v>300</v>
      </c>
      <c r="I860" s="557" t="s">
        <v>301</v>
      </c>
      <c r="J860" s="556" t="e">
        <f>Model!#REF!</f>
        <v>#REF!</v>
      </c>
    </row>
    <row r="861" spans="2:10">
      <c r="C861" s="560"/>
      <c r="D861" s="790" t="s">
        <v>302</v>
      </c>
      <c r="E861" s="791"/>
      <c r="F861" s="559" t="s">
        <v>20</v>
      </c>
      <c r="G861" s="558" t="s">
        <v>21</v>
      </c>
    </row>
    <row r="862" spans="2:10" ht="13.5" thickBot="1">
      <c r="C862" s="554"/>
      <c r="D862" s="555" t="s">
        <v>18</v>
      </c>
      <c r="E862" s="552" t="s">
        <v>19</v>
      </c>
      <c r="F862" s="550"/>
      <c r="G862" s="549"/>
    </row>
    <row r="863" spans="2:10">
      <c r="C863" s="554"/>
      <c r="D863" s="553"/>
      <c r="E863" s="552"/>
      <c r="F863" s="550"/>
      <c r="G863" s="549"/>
      <c r="I863" s="641" t="s">
        <v>22</v>
      </c>
      <c r="J863" s="640"/>
    </row>
    <row r="864" spans="2:10" ht="13.5" thickBot="1">
      <c r="C864" s="554" t="s">
        <v>92</v>
      </c>
      <c r="D864" s="553"/>
      <c r="E864" s="552"/>
      <c r="F864" s="550"/>
      <c r="G864" s="549"/>
      <c r="I864" s="642" t="s">
        <v>204</v>
      </c>
      <c r="J864" s="643" t="s">
        <v>303</v>
      </c>
    </row>
    <row r="865" spans="3:7" ht="25.5">
      <c r="C865" s="548" t="s">
        <v>304</v>
      </c>
      <c r="D865" s="418">
        <v>2074.2860000000001</v>
      </c>
      <c r="E865" s="539">
        <f t="shared" ref="E865:E870" si="39">D865*$J$859</f>
        <v>121.09681668</v>
      </c>
      <c r="F865" s="598"/>
      <c r="G865" s="546"/>
    </row>
    <row r="866" spans="3:7" ht="25.5">
      <c r="C866" s="548" t="s">
        <v>289</v>
      </c>
      <c r="D866" s="418">
        <v>241.42500000000001</v>
      </c>
      <c r="E866" s="539">
        <f t="shared" si="39"/>
        <v>14.0943915</v>
      </c>
      <c r="F866" s="550"/>
      <c r="G866" s="549"/>
    </row>
    <row r="867" spans="3:7" ht="25.5">
      <c r="C867" s="548" t="s">
        <v>289</v>
      </c>
      <c r="D867" s="418">
        <v>500.47500000000002</v>
      </c>
      <c r="E867" s="539">
        <f t="shared" si="39"/>
        <v>29.217730500000002</v>
      </c>
      <c r="F867" s="550"/>
      <c r="G867" s="549"/>
    </row>
    <row r="868" spans="3:7" ht="25.5">
      <c r="C868" s="548" t="s">
        <v>205</v>
      </c>
      <c r="D868" s="551">
        <v>4000</v>
      </c>
      <c r="E868" s="539">
        <f t="shared" si="39"/>
        <v>233.52</v>
      </c>
      <c r="F868" s="550"/>
      <c r="G868" s="549"/>
    </row>
    <row r="869" spans="3:7" ht="25.5">
      <c r="C869" s="548" t="s">
        <v>275</v>
      </c>
      <c r="D869" s="551">
        <v>452.23500000000001</v>
      </c>
      <c r="E869" s="539">
        <f t="shared" si="39"/>
        <v>26.401479300000002</v>
      </c>
      <c r="F869" s="550"/>
      <c r="G869" s="549"/>
    </row>
    <row r="870" spans="3:7" ht="25.5">
      <c r="C870" s="548" t="s">
        <v>276</v>
      </c>
      <c r="D870" s="551">
        <v>120.596</v>
      </c>
      <c r="E870" s="539">
        <f t="shared" si="39"/>
        <v>7.0403944800000007</v>
      </c>
      <c r="F870" s="550"/>
      <c r="G870" s="549"/>
    </row>
    <row r="871" spans="3:7">
      <c r="C871" s="548"/>
      <c r="D871" s="551"/>
      <c r="E871" s="539"/>
      <c r="F871" s="550"/>
      <c r="G871" s="549"/>
    </row>
    <row r="872" spans="3:7">
      <c r="C872" s="554" t="s">
        <v>97</v>
      </c>
      <c r="D872" s="551"/>
      <c r="E872" s="539"/>
      <c r="F872" s="550"/>
      <c r="G872" s="549"/>
    </row>
    <row r="873" spans="3:7" ht="25.5">
      <c r="C873" s="548" t="s">
        <v>290</v>
      </c>
      <c r="D873" s="418">
        <v>3120.9</v>
      </c>
      <c r="E873" s="539">
        <f t="shared" ref="E873:E881" si="40">D873*$J$859</f>
        <v>182.19814200000002</v>
      </c>
      <c r="F873" s="601"/>
      <c r="G873" s="546"/>
    </row>
    <row r="874" spans="3:7" ht="25.5">
      <c r="C874" s="548" t="s">
        <v>166</v>
      </c>
      <c r="D874" s="418">
        <v>7484.4139999999998</v>
      </c>
      <c r="E874" s="539">
        <f t="shared" si="40"/>
        <v>436.94008931999997</v>
      </c>
      <c r="F874" s="601"/>
      <c r="G874" s="549"/>
    </row>
    <row r="875" spans="3:7" ht="25.5">
      <c r="C875" s="548" t="s">
        <v>167</v>
      </c>
      <c r="D875" s="551">
        <v>3306.3130000000001</v>
      </c>
      <c r="E875" s="539">
        <f t="shared" si="40"/>
        <v>193.02255294</v>
      </c>
      <c r="F875" s="601"/>
      <c r="G875" s="549"/>
    </row>
    <row r="876" spans="3:7" ht="25.5">
      <c r="C876" s="548" t="s">
        <v>168</v>
      </c>
      <c r="D876" s="418">
        <v>3556.2350000000001</v>
      </c>
      <c r="E876" s="539">
        <f t="shared" si="40"/>
        <v>207.61299930000001</v>
      </c>
      <c r="F876" s="601"/>
      <c r="G876" s="546"/>
    </row>
    <row r="877" spans="3:7" ht="25.5">
      <c r="C877" s="548" t="s">
        <v>169</v>
      </c>
      <c r="D877" s="418">
        <v>4799.6000000000004</v>
      </c>
      <c r="E877" s="539">
        <f t="shared" si="40"/>
        <v>280.200648</v>
      </c>
      <c r="F877" s="601"/>
      <c r="G877" s="549"/>
    </row>
    <row r="878" spans="3:7" ht="25.5">
      <c r="C878" s="548" t="s">
        <v>170</v>
      </c>
      <c r="D878" s="418">
        <v>5200</v>
      </c>
      <c r="E878" s="539">
        <f t="shared" si="40"/>
        <v>303.57600000000002</v>
      </c>
      <c r="F878" s="601"/>
      <c r="G878" s="549"/>
    </row>
    <row r="879" spans="3:7" ht="25.5">
      <c r="C879" s="548" t="s">
        <v>206</v>
      </c>
      <c r="D879" s="551">
        <v>2900</v>
      </c>
      <c r="E879" s="539">
        <f t="shared" si="40"/>
        <v>169.30199999999999</v>
      </c>
      <c r="F879" s="601"/>
      <c r="G879" s="549"/>
    </row>
    <row r="880" spans="3:7" ht="25.5">
      <c r="C880" s="548" t="s">
        <v>171</v>
      </c>
      <c r="D880" s="551">
        <v>1730</v>
      </c>
      <c r="E880" s="539">
        <f t="shared" si="40"/>
        <v>100.9974</v>
      </c>
      <c r="F880" s="601"/>
      <c r="G880" s="549"/>
    </row>
    <row r="881" spans="3:9" ht="25.5">
      <c r="C881" s="548" t="s">
        <v>172</v>
      </c>
      <c r="D881" s="551">
        <v>4970</v>
      </c>
      <c r="E881" s="539">
        <f t="shared" si="40"/>
        <v>290.14859999999999</v>
      </c>
      <c r="F881" s="601"/>
      <c r="G881" s="549"/>
    </row>
    <row r="882" spans="3:9">
      <c r="C882" s="548" t="s">
        <v>175</v>
      </c>
      <c r="D882" s="636">
        <f>E882/$J$859</f>
        <v>14036.981843096952</v>
      </c>
      <c r="E882" s="575">
        <v>819.47900000000004</v>
      </c>
      <c r="F882" s="601"/>
      <c r="G882" s="546"/>
    </row>
    <row r="883" spans="3:9">
      <c r="C883" s="548" t="s">
        <v>176</v>
      </c>
      <c r="D883" s="636">
        <f>E883/$J$859</f>
        <v>12297.019527235354</v>
      </c>
      <c r="E883" s="575">
        <v>717.9</v>
      </c>
      <c r="F883" s="601"/>
      <c r="G883" s="546"/>
    </row>
    <row r="884" spans="3:9">
      <c r="C884" s="548" t="s">
        <v>277</v>
      </c>
      <c r="D884" s="636">
        <f>E884/$J$859</f>
        <v>10107.913669064748</v>
      </c>
      <c r="E884" s="575">
        <v>590.1</v>
      </c>
      <c r="F884" s="601"/>
      <c r="G884" s="549"/>
      <c r="I884" s="639"/>
    </row>
    <row r="885" spans="3:9">
      <c r="C885" s="548" t="s">
        <v>178</v>
      </c>
      <c r="D885" s="636">
        <f>E885/$J$859</f>
        <v>11911.613566289825</v>
      </c>
      <c r="E885" s="575">
        <v>695.4</v>
      </c>
      <c r="F885" s="601"/>
      <c r="G885" s="549"/>
      <c r="I885" s="638"/>
    </row>
    <row r="886" spans="3:9">
      <c r="C886" s="548" t="s">
        <v>207</v>
      </c>
      <c r="D886" s="636">
        <f>E886/$J$859</f>
        <v>13631.380609797874</v>
      </c>
      <c r="E886" s="575">
        <v>795.8</v>
      </c>
      <c r="F886" s="601"/>
      <c r="G886" s="546"/>
    </row>
    <row r="887" spans="3:9">
      <c r="C887" s="548"/>
      <c r="D887" s="576"/>
      <c r="E887" s="575"/>
      <c r="F887" s="547"/>
      <c r="G887" s="546"/>
    </row>
    <row r="888" spans="3:9">
      <c r="C888" s="554" t="s">
        <v>113</v>
      </c>
      <c r="D888" s="576"/>
      <c r="E888" s="575"/>
      <c r="F888" s="547"/>
      <c r="G888" s="546"/>
    </row>
    <row r="889" spans="3:9" ht="25.5">
      <c r="C889" s="548" t="s">
        <v>291</v>
      </c>
      <c r="D889" s="418">
        <v>1550</v>
      </c>
      <c r="E889" s="539">
        <f t="shared" ref="E889:E895" si="41">D889*$J$859</f>
        <v>90.489000000000004</v>
      </c>
      <c r="F889" s="547"/>
      <c r="G889" s="546"/>
    </row>
    <row r="890" spans="3:9" ht="25.5">
      <c r="C890" s="548" t="s">
        <v>292</v>
      </c>
      <c r="D890" s="418">
        <v>1850</v>
      </c>
      <c r="E890" s="539">
        <f t="shared" si="41"/>
        <v>108.003</v>
      </c>
      <c r="F890" s="547"/>
      <c r="G890" s="546"/>
    </row>
    <row r="891" spans="3:9" ht="25.5">
      <c r="C891" s="548" t="s">
        <v>293</v>
      </c>
      <c r="D891" s="418">
        <v>1750</v>
      </c>
      <c r="E891" s="539">
        <f t="shared" si="41"/>
        <v>102.16500000000001</v>
      </c>
      <c r="F891" s="547"/>
      <c r="G891" s="546"/>
    </row>
    <row r="892" spans="3:9" ht="25.5">
      <c r="C892" s="548" t="s">
        <v>291</v>
      </c>
      <c r="D892" s="418">
        <v>200</v>
      </c>
      <c r="E892" s="539">
        <f t="shared" si="41"/>
        <v>11.676</v>
      </c>
      <c r="F892" s="547"/>
      <c r="G892" s="546"/>
    </row>
    <row r="893" spans="3:9" ht="25.5">
      <c r="C893" s="548" t="s">
        <v>256</v>
      </c>
      <c r="D893" s="418">
        <v>600</v>
      </c>
      <c r="E893" s="539">
        <f t="shared" si="41"/>
        <v>35.027999999999999</v>
      </c>
      <c r="F893" s="547"/>
      <c r="G893" s="546"/>
    </row>
    <row r="894" spans="3:9" ht="25.5">
      <c r="C894" s="548" t="s">
        <v>294</v>
      </c>
      <c r="D894" s="418">
        <v>1800</v>
      </c>
      <c r="E894" s="539">
        <f t="shared" si="41"/>
        <v>105.084</v>
      </c>
      <c r="F894" s="547"/>
      <c r="G894" s="546"/>
    </row>
    <row r="895" spans="3:9" ht="25.5">
      <c r="C895" s="548" t="s">
        <v>295</v>
      </c>
      <c r="D895" s="418">
        <v>1750</v>
      </c>
      <c r="E895" s="539">
        <f t="shared" si="41"/>
        <v>102.16500000000001</v>
      </c>
      <c r="F895" s="547"/>
      <c r="G895" s="546"/>
    </row>
    <row r="896" spans="3:9" ht="25.5">
      <c r="C896" s="548" t="s">
        <v>261</v>
      </c>
      <c r="D896" s="636">
        <f>E896/$J$859</f>
        <v>12332.990750256937</v>
      </c>
      <c r="E896" s="635">
        <v>720</v>
      </c>
      <c r="F896" s="547"/>
      <c r="G896" s="546"/>
    </row>
    <row r="897" spans="3:7" ht="25.5">
      <c r="C897" s="548" t="s">
        <v>296</v>
      </c>
      <c r="D897" s="636">
        <f>E897/$J$859</f>
        <v>770.81192189105855</v>
      </c>
      <c r="E897" s="635">
        <v>45</v>
      </c>
      <c r="F897" s="547"/>
      <c r="G897" s="546"/>
    </row>
    <row r="898" spans="3:7">
      <c r="C898" s="548" t="s">
        <v>196</v>
      </c>
      <c r="D898" s="418">
        <v>-676.24599999999998</v>
      </c>
      <c r="E898" s="539">
        <f>D898*$J$859</f>
        <v>-39.479241479999999</v>
      </c>
      <c r="F898" s="547"/>
      <c r="G898" s="546"/>
    </row>
    <row r="899" spans="3:7">
      <c r="C899" s="548" t="s">
        <v>65</v>
      </c>
      <c r="D899" s="418">
        <v>-219.869</v>
      </c>
      <c r="E899" s="539">
        <f>D899*$J$859</f>
        <v>-12.835952220000001</v>
      </c>
      <c r="F899" s="547"/>
      <c r="G899" s="546"/>
    </row>
    <row r="900" spans="3:7">
      <c r="C900" s="548"/>
      <c r="D900" s="418"/>
      <c r="E900" s="575"/>
      <c r="F900" s="547"/>
      <c r="G900" s="546"/>
    </row>
    <row r="901" spans="3:7">
      <c r="C901" s="536" t="s">
        <v>66</v>
      </c>
      <c r="D901" s="634">
        <f>SUM(D865:D899)</f>
        <v>128149.07588763276</v>
      </c>
      <c r="E901" s="534">
        <f>SUM(E865:E899)</f>
        <v>7481.3430503199997</v>
      </c>
      <c r="F901" s="533">
        <f>+D901/D906</f>
        <v>6.8521098120477975</v>
      </c>
      <c r="G901" s="532">
        <f>+E901/E906</f>
        <v>7.8629081771051714</v>
      </c>
    </row>
    <row r="902" spans="3:7">
      <c r="C902" s="545" t="s">
        <v>67</v>
      </c>
      <c r="D902" s="544">
        <f>Model!AO123</f>
        <v>4374.768</v>
      </c>
      <c r="E902" s="539">
        <f>D902*$J$859</f>
        <v>255.39895584000001</v>
      </c>
      <c r="F902" s="543"/>
      <c r="G902" s="542"/>
    </row>
    <row r="903" spans="3:7">
      <c r="C903" s="536" t="s">
        <v>68</v>
      </c>
      <c r="D903" s="535">
        <f>+D901-D902</f>
        <v>123774.30788763276</v>
      </c>
      <c r="E903" s="534">
        <f>+E901-E902</f>
        <v>7225.9440944799999</v>
      </c>
      <c r="F903" s="533">
        <f>+D903/D906</f>
        <v>6.6181916933988774</v>
      </c>
      <c r="G903" s="532">
        <f>+E903/E906</f>
        <v>7.5944833067588551</v>
      </c>
    </row>
    <row r="904" spans="3:7">
      <c r="C904" s="541" t="s">
        <v>69</v>
      </c>
      <c r="D904" s="540">
        <f>Model!AO128</f>
        <v>193492.516</v>
      </c>
      <c r="E904" s="539">
        <f>D904*$J$859</f>
        <v>11296.093084080001</v>
      </c>
      <c r="F904" s="538"/>
      <c r="G904" s="537"/>
    </row>
    <row r="905" spans="3:7">
      <c r="C905" s="536" t="s">
        <v>70</v>
      </c>
      <c r="D905" s="535">
        <f>D901+D904</f>
        <v>321641.59188763273</v>
      </c>
      <c r="E905" s="534">
        <f>E901+E904</f>
        <v>18777.436134399999</v>
      </c>
      <c r="F905" s="533">
        <f>D905/D906</f>
        <v>17.19812251840526</v>
      </c>
      <c r="G905" s="532">
        <f>E905/E906</f>
        <v>19.735127119979964</v>
      </c>
    </row>
    <row r="906" spans="3:7">
      <c r="C906" s="530" t="s">
        <v>71</v>
      </c>
      <c r="D906" s="529">
        <f>Model!AO102</f>
        <v>18702.134000000005</v>
      </c>
      <c r="E906" s="528">
        <f>D906*$J$928</f>
        <v>951.47277340765675</v>
      </c>
      <c r="F906" s="604"/>
      <c r="G906" s="605"/>
    </row>
    <row r="907" spans="3:7">
      <c r="C907" s="606" t="s">
        <v>72</v>
      </c>
      <c r="D907" s="623">
        <f>D901-Model!AO126</f>
        <v>250.54388763275347</v>
      </c>
      <c r="E907" s="626"/>
    </row>
    <row r="908" spans="3:7" ht="13.5" thickBot="1">
      <c r="C908" s="531"/>
      <c r="D908" s="609"/>
      <c r="E908" s="609"/>
    </row>
    <row r="909" spans="3:7">
      <c r="C909" s="611" t="s">
        <v>305</v>
      </c>
      <c r="D909" s="612" t="s">
        <v>130</v>
      </c>
      <c r="E909" s="613" t="s">
        <v>131</v>
      </c>
    </row>
    <row r="910" spans="3:7">
      <c r="C910" s="615" t="s">
        <v>198</v>
      </c>
      <c r="D910" s="579"/>
      <c r="E910" s="519">
        <f>D910*$J$996</f>
        <v>0</v>
      </c>
    </row>
    <row r="911" spans="3:7">
      <c r="C911" s="615" t="s">
        <v>74</v>
      </c>
      <c r="D911" s="520">
        <f>D902</f>
        <v>4374.768</v>
      </c>
      <c r="E911" s="519">
        <f>D911*$J$859</f>
        <v>255.39895584000001</v>
      </c>
    </row>
    <row r="912" spans="3:7" ht="13.5" thickBot="1">
      <c r="C912" s="616" t="s">
        <v>75</v>
      </c>
      <c r="D912" s="517">
        <f>SUM(D910:D911)</f>
        <v>4374.768</v>
      </c>
      <c r="E912" s="516">
        <f>SUM(E910:E911)</f>
        <v>255.39895584000001</v>
      </c>
    </row>
    <row r="913" spans="2:10">
      <c r="C913" s="531"/>
      <c r="D913" s="531"/>
      <c r="E913" s="531"/>
    </row>
    <row r="914" spans="2:10" ht="13.5" thickBot="1">
      <c r="C914" s="531"/>
      <c r="D914" s="531"/>
      <c r="E914" s="531"/>
    </row>
    <row r="915" spans="2:10">
      <c r="C915" s="617" t="s">
        <v>306</v>
      </c>
      <c r="D915" s="612" t="s">
        <v>130</v>
      </c>
      <c r="E915" s="612" t="s">
        <v>133</v>
      </c>
    </row>
    <row r="916" spans="2:10">
      <c r="C916" s="618"/>
      <c r="D916" s="619"/>
      <c r="E916" s="619"/>
    </row>
    <row r="917" spans="2:10">
      <c r="C917" s="618" t="s">
        <v>241</v>
      </c>
      <c r="D917" s="592">
        <f>Model!AO119</f>
        <v>16621.323</v>
      </c>
      <c r="E917" s="591">
        <f>(D917/$D$923)</f>
        <v>0.12880234347108033</v>
      </c>
    </row>
    <row r="918" spans="2:10">
      <c r="C918" s="618" t="s">
        <v>242</v>
      </c>
      <c r="D918" s="627">
        <f>D884</f>
        <v>10107.913669064748</v>
      </c>
      <c r="E918" s="591">
        <f t="shared" ref="E918:E921" si="42">(D918/$D$923)</f>
        <v>7.8328480120319274E-2</v>
      </c>
    </row>
    <row r="919" spans="2:10">
      <c r="C919" s="618" t="s">
        <v>243</v>
      </c>
      <c r="D919" s="592">
        <f>D874+D886</f>
        <v>21115.794609797875</v>
      </c>
      <c r="E919" s="591">
        <f t="shared" si="42"/>
        <v>0.16363100759163229</v>
      </c>
    </row>
    <row r="920" spans="2:10">
      <c r="C920" s="618" t="s">
        <v>244</v>
      </c>
      <c r="D920" s="592">
        <f>D876+D886</f>
        <v>17187.615609797875</v>
      </c>
      <c r="E920" s="591">
        <f t="shared" si="42"/>
        <v>0.13319067135763427</v>
      </c>
    </row>
    <row r="921" spans="2:10">
      <c r="C921" s="618" t="s">
        <v>245</v>
      </c>
      <c r="D921" s="592">
        <f>SUM(D865:D897)-SUM(D917:D920)</f>
        <v>64012.543998972273</v>
      </c>
      <c r="E921" s="591">
        <f t="shared" si="42"/>
        <v>0.49604749745933391</v>
      </c>
      <c r="F921" s="637"/>
    </row>
    <row r="922" spans="2:10" ht="13.5" thickBot="1">
      <c r="C922" s="618"/>
      <c r="D922" s="620"/>
      <c r="E922" s="591"/>
    </row>
    <row r="923" spans="2:10" ht="13.5" thickBot="1">
      <c r="C923" s="621" t="s">
        <v>77</v>
      </c>
      <c r="D923" s="594">
        <f>SUM(D917:D921)</f>
        <v>129045.19088763277</v>
      </c>
      <c r="E923" s="596">
        <f>+SUM(E917:E922)</f>
        <v>1</v>
      </c>
    </row>
    <row r="924" spans="2:10">
      <c r="D924" s="509">
        <f>D923+D898+D899-D901</f>
        <v>0</v>
      </c>
    </row>
    <row r="927" spans="2:10">
      <c r="I927" s="557" t="s">
        <v>307</v>
      </c>
      <c r="J927" s="556">
        <f>Model!AN203</f>
        <v>5.5219999999999998E-2</v>
      </c>
    </row>
    <row r="928" spans="2:10">
      <c r="B928" s="632" t="s">
        <v>308</v>
      </c>
      <c r="I928" s="557" t="s">
        <v>309</v>
      </c>
      <c r="J928" s="556">
        <f>AVERAGE(Model!AK202:AN202)</f>
        <v>5.0875091227966629E-2</v>
      </c>
    </row>
    <row r="929" spans="3:7">
      <c r="C929" s="560"/>
      <c r="D929" s="790" t="s">
        <v>310</v>
      </c>
      <c r="E929" s="791"/>
      <c r="F929" s="559" t="s">
        <v>20</v>
      </c>
      <c r="G929" s="558" t="s">
        <v>21</v>
      </c>
    </row>
    <row r="930" spans="3:7">
      <c r="C930" s="554"/>
      <c r="D930" s="555" t="s">
        <v>18</v>
      </c>
      <c r="E930" s="552" t="s">
        <v>19</v>
      </c>
      <c r="F930" s="550"/>
      <c r="G930" s="549"/>
    </row>
    <row r="931" spans="3:7">
      <c r="C931" s="554"/>
      <c r="D931" s="553"/>
      <c r="E931" s="552"/>
      <c r="F931" s="550"/>
      <c r="G931" s="549"/>
    </row>
    <row r="932" spans="3:7">
      <c r="C932" s="554" t="s">
        <v>92</v>
      </c>
      <c r="D932" s="553"/>
      <c r="E932" s="552"/>
      <c r="F932" s="550"/>
      <c r="G932" s="549"/>
    </row>
    <row r="933" spans="3:7" ht="25.5">
      <c r="C933" s="548" t="s">
        <v>304</v>
      </c>
      <c r="D933" s="418">
        <v>2108.5709999999999</v>
      </c>
      <c r="E933" s="539">
        <f t="shared" ref="E933:E938" si="43">D933*$J$927</f>
        <v>116.43529061999999</v>
      </c>
      <c r="F933" s="598"/>
      <c r="G933" s="546"/>
    </row>
    <row r="934" spans="3:7" ht="25.5">
      <c r="C934" s="548" t="s">
        <v>289</v>
      </c>
      <c r="D934" s="418">
        <v>242.239</v>
      </c>
      <c r="E934" s="539">
        <f t="shared" si="43"/>
        <v>13.376437579999999</v>
      </c>
      <c r="F934" s="550"/>
      <c r="G934" s="549"/>
    </row>
    <row r="935" spans="3:7" ht="25.5">
      <c r="C935" s="548" t="s">
        <v>289</v>
      </c>
      <c r="D935" s="418">
        <v>502.22899999999998</v>
      </c>
      <c r="E935" s="539">
        <f t="shared" si="43"/>
        <v>27.733085379999999</v>
      </c>
      <c r="F935" s="550"/>
      <c r="G935" s="549"/>
    </row>
    <row r="936" spans="3:7" ht="25.5">
      <c r="C936" s="548" t="s">
        <v>205</v>
      </c>
      <c r="D936" s="551">
        <v>4000</v>
      </c>
      <c r="E936" s="539">
        <f t="shared" si="43"/>
        <v>220.88</v>
      </c>
      <c r="F936" s="550"/>
      <c r="G936" s="549"/>
    </row>
    <row r="937" spans="3:7" ht="25.5">
      <c r="C937" s="548" t="s">
        <v>275</v>
      </c>
      <c r="D937" s="551">
        <v>457.43299999999999</v>
      </c>
      <c r="E937" s="539">
        <f t="shared" si="43"/>
        <v>25.259450259999998</v>
      </c>
      <c r="F937" s="550"/>
      <c r="G937" s="549"/>
    </row>
    <row r="938" spans="3:7" ht="25.5">
      <c r="C938" s="548" t="s">
        <v>276</v>
      </c>
      <c r="D938" s="551">
        <v>121.982</v>
      </c>
      <c r="E938" s="539">
        <f t="shared" si="43"/>
        <v>6.7358460399999993</v>
      </c>
      <c r="F938" s="550"/>
      <c r="G938" s="549"/>
    </row>
    <row r="939" spans="3:7">
      <c r="C939" s="548"/>
      <c r="D939" s="551"/>
      <c r="E939" s="539"/>
      <c r="F939" s="550"/>
      <c r="G939" s="549"/>
    </row>
    <row r="940" spans="3:7">
      <c r="C940" s="554" t="s">
        <v>97</v>
      </c>
      <c r="D940" s="551"/>
      <c r="E940" s="539"/>
      <c r="F940" s="550"/>
      <c r="G940" s="549"/>
    </row>
    <row r="941" spans="3:7" ht="25.5">
      <c r="C941" s="548" t="s">
        <v>290</v>
      </c>
      <c r="D941" s="418">
        <v>3120.9</v>
      </c>
      <c r="E941" s="539">
        <f t="shared" ref="E941:E949" si="44">D941*$J$927</f>
        <v>172.33609799999999</v>
      </c>
      <c r="F941" s="601"/>
      <c r="G941" s="546"/>
    </row>
    <row r="942" spans="3:7" ht="25.5">
      <c r="C942" s="548" t="s">
        <v>166</v>
      </c>
      <c r="D942" s="418">
        <v>7484.4139999999998</v>
      </c>
      <c r="E942" s="539">
        <f t="shared" si="44"/>
        <v>413.28934107999999</v>
      </c>
      <c r="F942" s="601"/>
      <c r="G942" s="549"/>
    </row>
    <row r="943" spans="3:7" ht="25.5">
      <c r="C943" s="548" t="s">
        <v>167</v>
      </c>
      <c r="D943" s="551">
        <v>3309.7689999999998</v>
      </c>
      <c r="E943" s="539">
        <f t="shared" si="44"/>
        <v>182.76544417999997</v>
      </c>
      <c r="F943" s="601"/>
      <c r="G943" s="549"/>
    </row>
    <row r="944" spans="3:7" ht="25.5">
      <c r="C944" s="548" t="s">
        <v>168</v>
      </c>
      <c r="D944" s="418">
        <v>3559.9520000000002</v>
      </c>
      <c r="E944" s="539">
        <f t="shared" si="44"/>
        <v>196.58054944</v>
      </c>
      <c r="F944" s="601"/>
      <c r="G944" s="546"/>
    </row>
    <row r="945" spans="3:9" ht="25.5">
      <c r="C945" s="548" t="s">
        <v>169</v>
      </c>
      <c r="D945" s="418">
        <v>4799.6000000000004</v>
      </c>
      <c r="E945" s="539">
        <f t="shared" si="44"/>
        <v>265.03391199999999</v>
      </c>
      <c r="F945" s="601"/>
      <c r="G945" s="549"/>
    </row>
    <row r="946" spans="3:9" ht="25.5">
      <c r="C946" s="548" t="s">
        <v>170</v>
      </c>
      <c r="D946" s="418">
        <v>5200</v>
      </c>
      <c r="E946" s="539">
        <f t="shared" si="44"/>
        <v>287.14400000000001</v>
      </c>
      <c r="F946" s="601"/>
      <c r="G946" s="549"/>
    </row>
    <row r="947" spans="3:9" ht="25.5">
      <c r="C947" s="548" t="s">
        <v>206</v>
      </c>
      <c r="D947" s="551">
        <v>2900</v>
      </c>
      <c r="E947" s="539">
        <f t="shared" si="44"/>
        <v>160.13800000000001</v>
      </c>
      <c r="F947" s="601"/>
      <c r="G947" s="549"/>
    </row>
    <row r="948" spans="3:9" ht="25.5">
      <c r="C948" s="548" t="s">
        <v>171</v>
      </c>
      <c r="D948" s="551">
        <v>1730</v>
      </c>
      <c r="E948" s="539">
        <f t="shared" si="44"/>
        <v>95.530599999999993</v>
      </c>
      <c r="F948" s="601"/>
      <c r="G948" s="549"/>
    </row>
    <row r="949" spans="3:9" ht="25.5">
      <c r="C949" s="548" t="s">
        <v>172</v>
      </c>
      <c r="D949" s="551">
        <v>4970</v>
      </c>
      <c r="E949" s="539">
        <f t="shared" si="44"/>
        <v>274.4434</v>
      </c>
      <c r="F949" s="601"/>
      <c r="G949" s="549"/>
    </row>
    <row r="950" spans="3:9">
      <c r="C950" s="548" t="s">
        <v>175</v>
      </c>
      <c r="D950" s="636">
        <f>E950/$J$927</f>
        <v>14874.664976457805</v>
      </c>
      <c r="E950" s="575">
        <v>821.37900000000002</v>
      </c>
      <c r="F950" s="601"/>
      <c r="G950" s="546"/>
    </row>
    <row r="951" spans="3:9">
      <c r="C951" s="548" t="s">
        <v>176</v>
      </c>
      <c r="D951" s="636">
        <f>E951/$J$927</f>
        <v>13908.004346251359</v>
      </c>
      <c r="E951" s="575">
        <v>768</v>
      </c>
      <c r="F951" s="601"/>
      <c r="G951" s="546"/>
    </row>
    <row r="952" spans="3:9">
      <c r="C952" s="548" t="s">
        <v>277</v>
      </c>
      <c r="D952" s="636">
        <f>E952/$J$927</f>
        <v>10865.628395508875</v>
      </c>
      <c r="E952" s="575">
        <v>600</v>
      </c>
      <c r="F952" s="601"/>
      <c r="G952" s="549"/>
      <c r="I952" s="639"/>
    </row>
    <row r="953" spans="3:9">
      <c r="C953" s="548" t="s">
        <v>178</v>
      </c>
      <c r="D953" s="636">
        <f>E953/$J$927</f>
        <v>12676.566461427019</v>
      </c>
      <c r="E953" s="575">
        <v>700</v>
      </c>
      <c r="F953" s="601"/>
      <c r="G953" s="549"/>
      <c r="I953" s="638"/>
    </row>
    <row r="954" spans="3:9">
      <c r="C954" s="548" t="s">
        <v>207</v>
      </c>
      <c r="D954" s="636">
        <f>E954/$J$927</f>
        <v>14487.504527345165</v>
      </c>
      <c r="E954" s="575">
        <v>800</v>
      </c>
      <c r="F954" s="601"/>
      <c r="G954" s="546"/>
    </row>
    <row r="955" spans="3:9">
      <c r="C955" s="548"/>
      <c r="D955" s="576"/>
      <c r="E955" s="575"/>
      <c r="F955" s="547"/>
      <c r="G955" s="546"/>
    </row>
    <row r="956" spans="3:9">
      <c r="C956" s="554" t="s">
        <v>113</v>
      </c>
      <c r="D956" s="576"/>
      <c r="E956" s="575"/>
      <c r="F956" s="547"/>
      <c r="G956" s="546"/>
    </row>
    <row r="957" spans="3:9" ht="25.5">
      <c r="C957" s="548" t="s">
        <v>311</v>
      </c>
      <c r="D957" s="418">
        <v>1550</v>
      </c>
      <c r="E957" s="539">
        <f t="shared" ref="E957:E964" si="45">D957*$J$927</f>
        <v>85.590999999999994</v>
      </c>
      <c r="F957" s="547"/>
      <c r="G957" s="546"/>
    </row>
    <row r="958" spans="3:9" ht="25.5">
      <c r="C958" s="548" t="s">
        <v>312</v>
      </c>
      <c r="D958" s="418">
        <v>1850</v>
      </c>
      <c r="E958" s="539">
        <f t="shared" si="45"/>
        <v>102.157</v>
      </c>
      <c r="F958" s="547"/>
      <c r="G958" s="546"/>
    </row>
    <row r="959" spans="3:9" ht="25.5">
      <c r="C959" s="548" t="s">
        <v>313</v>
      </c>
      <c r="D959" s="418">
        <v>1750</v>
      </c>
      <c r="E959" s="539">
        <f t="shared" si="45"/>
        <v>96.634999999999991</v>
      </c>
      <c r="F959" s="547"/>
      <c r="G959" s="546"/>
    </row>
    <row r="960" spans="3:9" ht="25.5">
      <c r="C960" s="548" t="s">
        <v>314</v>
      </c>
      <c r="D960" s="418">
        <v>200</v>
      </c>
      <c r="E960" s="539">
        <f t="shared" si="45"/>
        <v>11.044</v>
      </c>
      <c r="F960" s="547"/>
      <c r="G960" s="546"/>
    </row>
    <row r="961" spans="3:7" ht="25.5">
      <c r="C961" s="548" t="s">
        <v>315</v>
      </c>
      <c r="D961" s="418">
        <v>200</v>
      </c>
      <c r="E961" s="539">
        <f t="shared" si="45"/>
        <v>11.044</v>
      </c>
      <c r="F961" s="547"/>
      <c r="G961" s="546"/>
    </row>
    <row r="962" spans="3:7" ht="25.5">
      <c r="C962" s="548" t="s">
        <v>294</v>
      </c>
      <c r="D962" s="418">
        <v>1800</v>
      </c>
      <c r="E962" s="539">
        <f t="shared" si="45"/>
        <v>99.396000000000001</v>
      </c>
      <c r="F962" s="547"/>
      <c r="G962" s="546"/>
    </row>
    <row r="963" spans="3:7" ht="25.5">
      <c r="C963" s="548" t="s">
        <v>316</v>
      </c>
      <c r="D963" s="418">
        <v>400</v>
      </c>
      <c r="E963" s="539">
        <f t="shared" si="45"/>
        <v>22.088000000000001</v>
      </c>
      <c r="F963" s="547"/>
      <c r="G963" s="546"/>
    </row>
    <row r="964" spans="3:7" ht="25.5">
      <c r="C964" s="548" t="s">
        <v>317</v>
      </c>
      <c r="D964" s="418">
        <v>1750</v>
      </c>
      <c r="E964" s="539">
        <f t="shared" si="45"/>
        <v>96.634999999999991</v>
      </c>
      <c r="F964" s="547"/>
      <c r="G964" s="546"/>
    </row>
    <row r="965" spans="3:7" ht="25.5">
      <c r="C965" s="548" t="s">
        <v>261</v>
      </c>
      <c r="D965" s="636">
        <f>E965/$J$927</f>
        <v>13038.754074610648</v>
      </c>
      <c r="E965" s="635">
        <v>720</v>
      </c>
      <c r="F965" s="547"/>
      <c r="G965" s="546"/>
    </row>
    <row r="966" spans="3:7" ht="25.5">
      <c r="C966" s="548" t="s">
        <v>296</v>
      </c>
      <c r="D966" s="636">
        <f>E966/$J$927</f>
        <v>814.92212966316549</v>
      </c>
      <c r="E966" s="635">
        <v>45</v>
      </c>
      <c r="F966" s="547"/>
      <c r="G966" s="546"/>
    </row>
    <row r="967" spans="3:7">
      <c r="C967" s="548" t="s">
        <v>196</v>
      </c>
      <c r="D967" s="418">
        <v>-725.34500000000003</v>
      </c>
      <c r="E967" s="539">
        <f>D967*$J$927</f>
        <v>-40.053550899999998</v>
      </c>
      <c r="F967" s="547"/>
      <c r="G967" s="546"/>
    </row>
    <row r="968" spans="3:7">
      <c r="C968" s="548" t="s">
        <v>65</v>
      </c>
      <c r="D968" s="418">
        <v>-256.053</v>
      </c>
      <c r="E968" s="539">
        <f>D968*$J$927</f>
        <v>-14.13924666</v>
      </c>
      <c r="F968" s="547"/>
      <c r="G968" s="546"/>
    </row>
    <row r="969" spans="3:7">
      <c r="C969" s="548"/>
      <c r="D969" s="418"/>
      <c r="E969" s="575"/>
      <c r="F969" s="547"/>
      <c r="G969" s="546"/>
    </row>
    <row r="970" spans="3:7">
      <c r="C970" s="536" t="s">
        <v>66</v>
      </c>
      <c r="D970" s="634">
        <f>SUM(D933:D968)</f>
        <v>133691.73591126403</v>
      </c>
      <c r="E970" s="534">
        <f>SUM(E933:E968)</f>
        <v>7382.4576570199997</v>
      </c>
      <c r="F970" s="533">
        <f>+D970/D975</f>
        <v>7.3199901199355697</v>
      </c>
      <c r="G970" s="532">
        <f>+E970/E975</f>
        <v>7.9451425966317153</v>
      </c>
    </row>
    <row r="971" spans="3:7">
      <c r="C971" s="545" t="s">
        <v>67</v>
      </c>
      <c r="D971" s="544">
        <f>Model!AN123</f>
        <v>3071.9160000000002</v>
      </c>
      <c r="E971" s="539">
        <f>D971*$J$927</f>
        <v>169.63120151999999</v>
      </c>
      <c r="F971" s="543"/>
      <c r="G971" s="542"/>
    </row>
    <row r="972" spans="3:7">
      <c r="C972" s="536" t="s">
        <v>68</v>
      </c>
      <c r="D972" s="535">
        <f>+D970-D971</f>
        <v>130619.81991126403</v>
      </c>
      <c r="E972" s="534">
        <f>+E970-E971</f>
        <v>7212.8264554999996</v>
      </c>
      <c r="F972" s="533">
        <f>+D972/D975</f>
        <v>7.1517942728549615</v>
      </c>
      <c r="G972" s="532">
        <f>+E972/E975</f>
        <v>7.7625822424070217</v>
      </c>
    </row>
    <row r="973" spans="3:7">
      <c r="C973" s="541" t="s">
        <v>69</v>
      </c>
      <c r="D973" s="540">
        <f>Model!AN128</f>
        <v>189029.62</v>
      </c>
      <c r="E973" s="539">
        <f>D973*$J$927</f>
        <v>10438.215616399999</v>
      </c>
      <c r="F973" s="538"/>
      <c r="G973" s="537"/>
    </row>
    <row r="974" spans="3:7">
      <c r="C974" s="536" t="s">
        <v>70</v>
      </c>
      <c r="D974" s="535">
        <f>D970+D973</f>
        <v>322721.35591126402</v>
      </c>
      <c r="E974" s="534">
        <f>E970+E973</f>
        <v>17820.673273419998</v>
      </c>
      <c r="F974" s="533">
        <f>D974/D975</f>
        <v>17.669881542495769</v>
      </c>
      <c r="G974" s="532">
        <f>E974/E975</f>
        <v>19.178950547812398</v>
      </c>
    </row>
    <row r="975" spans="3:7">
      <c r="C975" s="530" t="s">
        <v>71</v>
      </c>
      <c r="D975" s="529">
        <f>Model!AN102</f>
        <v>18263.923000000003</v>
      </c>
      <c r="E975" s="528">
        <f>D975*$J$928</f>
        <v>929.17874880555803</v>
      </c>
      <c r="F975" s="604"/>
      <c r="G975" s="605"/>
    </row>
    <row r="976" spans="3:7">
      <c r="C976" s="606" t="s">
        <v>72</v>
      </c>
      <c r="D976" s="623">
        <f>D970-Model!AN126-18.622</f>
        <v>-8.8735975324993888E-5</v>
      </c>
      <c r="E976" s="626"/>
    </row>
    <row r="977" spans="3:6" ht="13.5" thickBot="1">
      <c r="C977" s="531"/>
      <c r="D977" s="609"/>
      <c r="E977" s="609"/>
    </row>
    <row r="978" spans="3:6">
      <c r="C978" s="611" t="s">
        <v>318</v>
      </c>
      <c r="D978" s="612" t="s">
        <v>130</v>
      </c>
      <c r="E978" s="613" t="s">
        <v>131</v>
      </c>
    </row>
    <row r="979" spans="3:6">
      <c r="C979" s="615" t="s">
        <v>198</v>
      </c>
      <c r="D979" s="579"/>
      <c r="E979" s="519">
        <f>D979*$J$996</f>
        <v>0</v>
      </c>
    </row>
    <row r="980" spans="3:6">
      <c r="C980" s="615" t="s">
        <v>74</v>
      </c>
      <c r="D980" s="520">
        <f>D971</f>
        <v>3071.9160000000002</v>
      </c>
      <c r="E980" s="519">
        <f>D980*$J$927</f>
        <v>169.63120151999999</v>
      </c>
    </row>
    <row r="981" spans="3:6" ht="13.5" thickBot="1">
      <c r="C981" s="616" t="s">
        <v>75</v>
      </c>
      <c r="D981" s="517">
        <f>SUM(D979:D980)</f>
        <v>3071.9160000000002</v>
      </c>
      <c r="E981" s="516">
        <f>SUM(E979:E980)</f>
        <v>169.63120151999999</v>
      </c>
    </row>
    <row r="982" spans="3:6">
      <c r="C982" s="531"/>
      <c r="D982" s="531"/>
      <c r="E982" s="531"/>
    </row>
    <row r="983" spans="3:6" ht="13.5" thickBot="1">
      <c r="C983" s="531"/>
      <c r="D983" s="531"/>
      <c r="E983" s="531"/>
    </row>
    <row r="984" spans="3:6">
      <c r="C984" s="617" t="s">
        <v>319</v>
      </c>
      <c r="D984" s="612" t="s">
        <v>130</v>
      </c>
      <c r="E984" s="612" t="s">
        <v>133</v>
      </c>
    </row>
    <row r="985" spans="3:6">
      <c r="C985" s="618"/>
      <c r="D985" s="619"/>
      <c r="E985" s="619"/>
    </row>
    <row r="986" spans="3:6">
      <c r="C986" s="618" t="s">
        <v>241</v>
      </c>
      <c r="D986" s="592">
        <f>Model!AN119</f>
        <v>16711.254000000001</v>
      </c>
      <c r="E986" s="591">
        <f>(D986/$D$992)</f>
        <v>0.12408751110678856</v>
      </c>
    </row>
    <row r="987" spans="3:6">
      <c r="C987" s="618" t="s">
        <v>242</v>
      </c>
      <c r="D987" s="627">
        <f>D952</f>
        <v>10865.628395508875</v>
      </c>
      <c r="E987" s="591">
        <f t="shared" ref="E987:E990" si="46">(D987/$D$992)</f>
        <v>8.0681484717421245E-2</v>
      </c>
    </row>
    <row r="988" spans="3:6">
      <c r="C988" s="618" t="s">
        <v>243</v>
      </c>
      <c r="D988" s="592">
        <f>D942+D946+D954</f>
        <v>27171.918527345166</v>
      </c>
      <c r="E988" s="591">
        <f t="shared" si="46"/>
        <v>0.20176198279642552</v>
      </c>
    </row>
    <row r="989" spans="3:6">
      <c r="C989" s="618" t="s">
        <v>244</v>
      </c>
      <c r="D989" s="592">
        <f>D948</f>
        <v>1730</v>
      </c>
      <c r="E989" s="591">
        <f t="shared" si="46"/>
        <v>1.2845917739910135E-2</v>
      </c>
    </row>
    <row r="990" spans="3:6">
      <c r="C990" s="618" t="s">
        <v>245</v>
      </c>
      <c r="D990" s="592">
        <f>SUM(D933:D966)-SUM(D986:D989)</f>
        <v>78194.332988409995</v>
      </c>
      <c r="E990" s="591">
        <f t="shared" si="46"/>
        <v>0.58062310363945446</v>
      </c>
      <c r="F990" s="637"/>
    </row>
    <row r="991" spans="3:6" ht="13.5" thickBot="1">
      <c r="C991" s="618"/>
      <c r="D991" s="620"/>
      <c r="E991" s="591"/>
    </row>
    <row r="992" spans="3:6" ht="13.5" thickBot="1">
      <c r="C992" s="621" t="s">
        <v>77</v>
      </c>
      <c r="D992" s="594">
        <f>SUM(D986:D990)</f>
        <v>134673.13391126404</v>
      </c>
      <c r="E992" s="596">
        <f>+SUM(E986:E991)</f>
        <v>1</v>
      </c>
    </row>
    <row r="993" spans="2:10">
      <c r="D993" s="509">
        <f>D992+D967+D968-D970</f>
        <v>0</v>
      </c>
    </row>
    <row r="996" spans="2:10">
      <c r="I996" s="557" t="s">
        <v>320</v>
      </c>
      <c r="J996" s="556">
        <f>Model!AM203</f>
        <v>5.1508424202778361E-2</v>
      </c>
    </row>
    <row r="997" spans="2:10">
      <c r="B997" s="632" t="s">
        <v>321</v>
      </c>
      <c r="I997" s="557" t="s">
        <v>322</v>
      </c>
      <c r="J997" s="556">
        <f>AVERAGE(Model!AJ202:AM202)</f>
        <v>4.9662591227966624E-2</v>
      </c>
    </row>
    <row r="998" spans="2:10">
      <c r="C998" s="560"/>
      <c r="D998" s="790" t="s">
        <v>323</v>
      </c>
      <c r="E998" s="791"/>
      <c r="F998" s="559" t="s">
        <v>20</v>
      </c>
      <c r="G998" s="558" t="s">
        <v>21</v>
      </c>
    </row>
    <row r="999" spans="2:10">
      <c r="C999" s="554"/>
      <c r="D999" s="555" t="s">
        <v>18</v>
      </c>
      <c r="E999" s="552" t="s">
        <v>19</v>
      </c>
      <c r="F999" s="550"/>
      <c r="G999" s="549"/>
    </row>
    <row r="1000" spans="2:10">
      <c r="C1000" s="554"/>
      <c r="D1000" s="553"/>
      <c r="E1000" s="552"/>
      <c r="F1000" s="550"/>
      <c r="G1000" s="549"/>
    </row>
    <row r="1001" spans="2:10">
      <c r="C1001" s="554" t="s">
        <v>92</v>
      </c>
      <c r="D1001" s="553"/>
      <c r="E1001" s="552"/>
      <c r="F1001" s="550"/>
      <c r="G1001" s="549"/>
    </row>
    <row r="1002" spans="2:10" ht="25.5">
      <c r="C1002" s="548" t="s">
        <v>304</v>
      </c>
      <c r="D1002" s="418">
        <v>2142.857</v>
      </c>
      <c r="E1002" s="539">
        <f>D1002*$J$996</f>
        <v>110.37518736189303</v>
      </c>
      <c r="F1002" s="598"/>
      <c r="G1002" s="546"/>
    </row>
    <row r="1003" spans="2:10" ht="25.5">
      <c r="C1003" s="548" t="s">
        <v>289</v>
      </c>
      <c r="D1003" s="418">
        <v>243.089</v>
      </c>
      <c r="E1003" s="539">
        <f t="shared" ref="E1003:E1007" si="47">D1003*$J$996</f>
        <v>12.521131331029189</v>
      </c>
      <c r="F1003" s="550"/>
      <c r="G1003" s="549"/>
    </row>
    <row r="1004" spans="2:10" ht="25.5">
      <c r="C1004" s="548" t="s">
        <v>289</v>
      </c>
      <c r="D1004" s="418">
        <v>504.05700000000002</v>
      </c>
      <c r="E1004" s="539">
        <f t="shared" si="47"/>
        <v>25.963181778379852</v>
      </c>
      <c r="F1004" s="550"/>
      <c r="G1004" s="549"/>
    </row>
    <row r="1005" spans="2:10" ht="25.5">
      <c r="C1005" s="548" t="s">
        <v>205</v>
      </c>
      <c r="D1005" s="551">
        <v>4000</v>
      </c>
      <c r="E1005" s="539">
        <f t="shared" si="47"/>
        <v>206.03369681111343</v>
      </c>
      <c r="F1005" s="550"/>
      <c r="G1005" s="549"/>
    </row>
    <row r="1006" spans="2:10" ht="25.5">
      <c r="C1006" s="548" t="s">
        <v>275</v>
      </c>
      <c r="D1006" s="551">
        <v>462.63</v>
      </c>
      <c r="E1006" s="539">
        <f t="shared" si="47"/>
        <v>23.829342288931354</v>
      </c>
      <c r="F1006" s="550"/>
      <c r="G1006" s="549"/>
    </row>
    <row r="1007" spans="2:10" ht="25.5">
      <c r="C1007" s="548" t="s">
        <v>276</v>
      </c>
      <c r="D1007" s="551">
        <v>123.36799999999999</v>
      </c>
      <c r="E1007" s="539">
        <f t="shared" si="47"/>
        <v>6.3544912770483606</v>
      </c>
      <c r="F1007" s="550"/>
      <c r="G1007" s="549"/>
    </row>
    <row r="1008" spans="2:10">
      <c r="C1008" s="548"/>
      <c r="D1008" s="551"/>
      <c r="E1008" s="539"/>
      <c r="F1008" s="550"/>
      <c r="G1008" s="549"/>
    </row>
    <row r="1009" spans="3:7">
      <c r="C1009" s="554" t="s">
        <v>97</v>
      </c>
      <c r="D1009" s="551"/>
      <c r="E1009" s="539"/>
      <c r="F1009" s="550"/>
      <c r="G1009" s="549"/>
    </row>
    <row r="1010" spans="3:7" ht="25.5">
      <c r="C1010" s="548" t="s">
        <v>290</v>
      </c>
      <c r="D1010" s="418">
        <v>3120.9</v>
      </c>
      <c r="E1010" s="539">
        <f t="shared" ref="E1010:E1017" si="48">D1010*$J$996</f>
        <v>160.75264109445098</v>
      </c>
      <c r="F1010" s="601"/>
      <c r="G1010" s="546"/>
    </row>
    <row r="1011" spans="3:7" ht="25.5">
      <c r="C1011" s="548" t="s">
        <v>166</v>
      </c>
      <c r="D1011" s="418">
        <v>7484.4139999999998</v>
      </c>
      <c r="E1011" s="539">
        <f t="shared" si="48"/>
        <v>385.51037122121318</v>
      </c>
      <c r="F1011" s="601"/>
      <c r="G1011" s="549"/>
    </row>
    <row r="1012" spans="3:7" ht="25.5">
      <c r="C1012" s="548" t="s">
        <v>167</v>
      </c>
      <c r="D1012" s="551">
        <v>3255.2440000000001</v>
      </c>
      <c r="E1012" s="539">
        <f t="shared" si="48"/>
        <v>167.67248883554905</v>
      </c>
      <c r="F1012" s="601"/>
      <c r="G1012" s="549"/>
    </row>
    <row r="1013" spans="3:7" ht="25.5">
      <c r="C1013" s="548" t="s">
        <v>168</v>
      </c>
      <c r="D1013" s="418">
        <v>3501.306</v>
      </c>
      <c r="E1013" s="539">
        <f t="shared" si="48"/>
        <v>180.3467547117331</v>
      </c>
      <c r="F1013" s="601"/>
      <c r="G1013" s="546"/>
    </row>
    <row r="1014" spans="3:7" ht="25.5">
      <c r="C1014" s="548" t="s">
        <v>169</v>
      </c>
      <c r="D1014" s="418">
        <v>4799.6000000000004</v>
      </c>
      <c r="E1014" s="539">
        <f t="shared" si="48"/>
        <v>247.21983280365504</v>
      </c>
      <c r="F1014" s="601"/>
      <c r="G1014" s="549"/>
    </row>
    <row r="1015" spans="3:7" ht="25.5">
      <c r="C1015" s="548" t="s">
        <v>324</v>
      </c>
      <c r="D1015" s="418">
        <v>5200</v>
      </c>
      <c r="E1015" s="539">
        <f t="shared" si="48"/>
        <v>267.84380585444745</v>
      </c>
      <c r="F1015" s="601"/>
      <c r="G1015" s="549"/>
    </row>
    <row r="1016" spans="3:7" ht="25.5">
      <c r="C1016" s="548" t="s">
        <v>206</v>
      </c>
      <c r="D1016" s="551">
        <v>2900</v>
      </c>
      <c r="E1016" s="539">
        <f t="shared" si="48"/>
        <v>149.37443018805723</v>
      </c>
      <c r="F1016" s="601"/>
      <c r="G1016" s="549"/>
    </row>
    <row r="1017" spans="3:7" ht="25.5">
      <c r="C1017" s="548" t="s">
        <v>325</v>
      </c>
      <c r="D1017" s="418">
        <v>5103.0519999999997</v>
      </c>
      <c r="E1017" s="539">
        <f t="shared" si="48"/>
        <v>262.85016714483652</v>
      </c>
      <c r="F1017" s="601"/>
      <c r="G1017" s="546"/>
    </row>
    <row r="1018" spans="3:7">
      <c r="C1018" s="548" t="s">
        <v>175</v>
      </c>
      <c r="D1018" s="636">
        <f t="shared" ref="D1018:D1022" si="49">E1018/$J$996</f>
        <v>15946.498319700002</v>
      </c>
      <c r="E1018" s="575">
        <v>821.37900000000002</v>
      </c>
      <c r="F1018" s="601"/>
      <c r="G1018" s="546"/>
    </row>
    <row r="1019" spans="3:7">
      <c r="C1019" s="548" t="s">
        <v>176</v>
      </c>
      <c r="D1019" s="636">
        <f t="shared" si="49"/>
        <v>14910.182400000002</v>
      </c>
      <c r="E1019" s="575">
        <v>768</v>
      </c>
      <c r="F1019" s="601"/>
      <c r="G1019" s="546"/>
    </row>
    <row r="1020" spans="3:7">
      <c r="C1020" s="548" t="s">
        <v>277</v>
      </c>
      <c r="D1020" s="636">
        <f t="shared" si="49"/>
        <v>11648.580000000002</v>
      </c>
      <c r="E1020" s="575">
        <v>600</v>
      </c>
      <c r="F1020" s="601"/>
      <c r="G1020" s="549"/>
    </row>
    <row r="1021" spans="3:7">
      <c r="C1021" s="548" t="s">
        <v>178</v>
      </c>
      <c r="D1021" s="636">
        <f t="shared" si="49"/>
        <v>13590.01</v>
      </c>
      <c r="E1021" s="575">
        <v>700</v>
      </c>
      <c r="F1021" s="601"/>
      <c r="G1021" s="549"/>
    </row>
    <row r="1022" spans="3:7">
      <c r="C1022" s="548" t="s">
        <v>207</v>
      </c>
      <c r="D1022" s="636">
        <f t="shared" si="49"/>
        <v>15531.44</v>
      </c>
      <c r="E1022" s="575">
        <v>800</v>
      </c>
      <c r="F1022" s="601"/>
      <c r="G1022" s="546"/>
    </row>
    <row r="1023" spans="3:7">
      <c r="C1023" s="548"/>
      <c r="D1023" s="576"/>
      <c r="E1023" s="575"/>
      <c r="F1023" s="547"/>
      <c r="G1023" s="546"/>
    </row>
    <row r="1024" spans="3:7">
      <c r="C1024" s="554" t="s">
        <v>113</v>
      </c>
      <c r="D1024" s="576"/>
      <c r="E1024" s="575"/>
      <c r="F1024" s="547"/>
      <c r="G1024" s="546"/>
    </row>
    <row r="1025" spans="3:7" ht="25.5">
      <c r="C1025" s="548" t="s">
        <v>326</v>
      </c>
      <c r="D1025" s="418"/>
      <c r="E1025" s="539">
        <f t="shared" ref="E1025:E1032" si="50">D1025*$J$996</f>
        <v>0</v>
      </c>
      <c r="F1025" s="547"/>
      <c r="G1025" s="546"/>
    </row>
    <row r="1026" spans="3:7" ht="25.5">
      <c r="C1026" s="548" t="s">
        <v>327</v>
      </c>
      <c r="D1026" s="418">
        <v>2000</v>
      </c>
      <c r="E1026" s="539">
        <f t="shared" si="50"/>
        <v>103.01684840555671</v>
      </c>
      <c r="F1026" s="547"/>
      <c r="G1026" s="546"/>
    </row>
    <row r="1027" spans="3:7" ht="25.5">
      <c r="C1027" s="548" t="s">
        <v>328</v>
      </c>
      <c r="D1027" s="418">
        <v>2000</v>
      </c>
      <c r="E1027" s="539">
        <f t="shared" si="50"/>
        <v>103.01684840555671</v>
      </c>
      <c r="F1027" s="547"/>
      <c r="G1027" s="546"/>
    </row>
    <row r="1028" spans="3:7" ht="25.5">
      <c r="C1028" s="548" t="s">
        <v>316</v>
      </c>
      <c r="D1028" s="418">
        <v>400</v>
      </c>
      <c r="E1028" s="539">
        <f t="shared" si="50"/>
        <v>20.603369681111346</v>
      </c>
      <c r="F1028" s="547"/>
      <c r="G1028" s="546"/>
    </row>
    <row r="1029" spans="3:7" ht="25.5">
      <c r="C1029" s="548" t="s">
        <v>329</v>
      </c>
      <c r="D1029" s="418">
        <v>200</v>
      </c>
      <c r="E1029" s="539">
        <f t="shared" si="50"/>
        <v>10.301684840555673</v>
      </c>
      <c r="F1029" s="547"/>
      <c r="G1029" s="546"/>
    </row>
    <row r="1030" spans="3:7" ht="25.5">
      <c r="C1030" s="548" t="s">
        <v>330</v>
      </c>
      <c r="D1030" s="418">
        <v>1800</v>
      </c>
      <c r="E1030" s="539">
        <f t="shared" si="50"/>
        <v>92.715163565001049</v>
      </c>
      <c r="F1030" s="547"/>
      <c r="G1030" s="546"/>
    </row>
    <row r="1031" spans="3:7" ht="25.5">
      <c r="C1031" s="548" t="s">
        <v>331</v>
      </c>
      <c r="D1031" s="418">
        <v>200</v>
      </c>
      <c r="E1031" s="539">
        <f t="shared" si="50"/>
        <v>10.301684840555673</v>
      </c>
      <c r="F1031" s="547"/>
      <c r="G1031" s="546"/>
    </row>
    <row r="1032" spans="3:7" ht="25.5">
      <c r="C1032" s="548" t="s">
        <v>332</v>
      </c>
      <c r="D1032" s="418">
        <v>2000</v>
      </c>
      <c r="E1032" s="539">
        <f t="shared" si="50"/>
        <v>103.01684840555671</v>
      </c>
      <c r="F1032" s="547"/>
      <c r="G1032" s="546"/>
    </row>
    <row r="1033" spans="3:7" ht="25.5">
      <c r="C1033" s="548" t="s">
        <v>261</v>
      </c>
      <c r="D1033" s="636">
        <f>E1033/$J$996</f>
        <v>13978.296</v>
      </c>
      <c r="E1033" s="635">
        <v>720</v>
      </c>
      <c r="F1033" s="547"/>
      <c r="G1033" s="546"/>
    </row>
    <row r="1034" spans="3:7" ht="25.5">
      <c r="C1034" s="548" t="s">
        <v>296</v>
      </c>
      <c r="D1034" s="636">
        <f>E1034/$J$996</f>
        <v>873.64350000000002</v>
      </c>
      <c r="E1034" s="635">
        <v>45</v>
      </c>
      <c r="F1034" s="547"/>
      <c r="G1034" s="546"/>
    </row>
    <row r="1035" spans="3:7" ht="25.5">
      <c r="C1035" s="548" t="s">
        <v>333</v>
      </c>
      <c r="D1035" s="418">
        <v>2500</v>
      </c>
      <c r="E1035" s="539">
        <f t="shared" ref="E1035:E1036" si="51">D1035*$J$996</f>
        <v>128.7710605069459</v>
      </c>
      <c r="F1035" s="547"/>
      <c r="G1035" s="546"/>
    </row>
    <row r="1036" spans="3:7">
      <c r="C1036" s="548" t="s">
        <v>196</v>
      </c>
      <c r="D1036" s="418">
        <v>-828.67200000000003</v>
      </c>
      <c r="E1036" s="539">
        <f t="shared" si="51"/>
        <v>-42.68358890096475</v>
      </c>
      <c r="F1036" s="547"/>
      <c r="G1036" s="546"/>
    </row>
    <row r="1037" spans="3:7">
      <c r="C1037" s="548" t="s">
        <v>65</v>
      </c>
      <c r="D1037" s="418">
        <v>-151.44399999999999</v>
      </c>
      <c r="E1037" s="539">
        <f>D1037*$J$996</f>
        <v>-7.8006417949655651</v>
      </c>
      <c r="F1037" s="547"/>
      <c r="G1037" s="546"/>
    </row>
    <row r="1038" spans="3:7">
      <c r="C1038" s="548"/>
      <c r="D1038" s="418"/>
      <c r="E1038" s="575"/>
      <c r="F1038" s="547"/>
      <c r="G1038" s="546"/>
    </row>
    <row r="1039" spans="3:7">
      <c r="C1039" s="536" t="s">
        <v>66</v>
      </c>
      <c r="D1039" s="634">
        <f>SUM(D1002:D1037)</f>
        <v>139439.05121970002</v>
      </c>
      <c r="E1039" s="534">
        <f>SUM(E1002:E1037)</f>
        <v>7182.2858006572469</v>
      </c>
      <c r="F1039" s="533">
        <f>+D1039/D1044</f>
        <v>7.7900773951298943</v>
      </c>
      <c r="G1039" s="532">
        <f>+E1039/E1044</f>
        <v>8.0796148795165088</v>
      </c>
    </row>
    <row r="1040" spans="3:7">
      <c r="C1040" s="545" t="s">
        <v>67</v>
      </c>
      <c r="D1040" s="544">
        <f>Model!AM123</f>
        <v>6887.1109999999999</v>
      </c>
      <c r="E1040" s="539">
        <f>D1040*$J$996</f>
        <v>354.74423491962108</v>
      </c>
      <c r="F1040" s="543"/>
      <c r="G1040" s="542"/>
    </row>
    <row r="1041" spans="3:7">
      <c r="C1041" s="536" t="s">
        <v>68</v>
      </c>
      <c r="D1041" s="535">
        <f>+D1039-D1040</f>
        <v>132551.94021970002</v>
      </c>
      <c r="E1041" s="534">
        <f>+E1039-E1040</f>
        <v>6827.5415657376261</v>
      </c>
      <c r="F1041" s="533">
        <f>+D1041/D1044</f>
        <v>7.4053133907168274</v>
      </c>
      <c r="G1041" s="532">
        <f>+E1041/E1044</f>
        <v>7.6805501696971099</v>
      </c>
    </row>
    <row r="1042" spans="3:7">
      <c r="C1042" s="541" t="s">
        <v>69</v>
      </c>
      <c r="D1042" s="540">
        <f>Model!AM128</f>
        <v>186151.008</v>
      </c>
      <c r="E1042" s="539">
        <f>D1042*$J$996</f>
        <v>9588.3450858387878</v>
      </c>
      <c r="F1042" s="538"/>
      <c r="G1042" s="537"/>
    </row>
    <row r="1043" spans="3:7">
      <c r="C1043" s="536" t="s">
        <v>70</v>
      </c>
      <c r="D1043" s="535">
        <f>D1039+D1042</f>
        <v>325590.05921970005</v>
      </c>
      <c r="E1043" s="534">
        <f>E1039+E1042</f>
        <v>16770.630886496034</v>
      </c>
      <c r="F1043" s="533">
        <f>D1043/D1044</f>
        <v>18.189823713086547</v>
      </c>
      <c r="G1043" s="532">
        <f>E1043/E1044</f>
        <v>18.86589347878818</v>
      </c>
    </row>
    <row r="1044" spans="3:7">
      <c r="C1044" s="530" t="s">
        <v>71</v>
      </c>
      <c r="D1044" s="529">
        <f>Model!AM102</f>
        <v>17899.572000000004</v>
      </c>
      <c r="E1044" s="528">
        <f>D1044*$J$997</f>
        <v>888.93912739155724</v>
      </c>
      <c r="F1044" s="604"/>
      <c r="G1044" s="605"/>
    </row>
    <row r="1045" spans="3:7">
      <c r="C1045" s="606" t="s">
        <v>72</v>
      </c>
      <c r="D1045" s="623">
        <f>D1039-Model!AM126</f>
        <v>2.1970001398585737E-4</v>
      </c>
      <c r="E1045" s="626"/>
    </row>
    <row r="1046" spans="3:7" ht="13.5" thickBot="1">
      <c r="C1046" s="531"/>
      <c r="D1046" s="609"/>
      <c r="E1046" s="609"/>
    </row>
    <row r="1047" spans="3:7">
      <c r="C1047" s="611" t="s">
        <v>334</v>
      </c>
      <c r="D1047" s="612" t="s">
        <v>130</v>
      </c>
      <c r="E1047" s="613" t="s">
        <v>131</v>
      </c>
    </row>
    <row r="1048" spans="3:7">
      <c r="C1048" s="615" t="s">
        <v>198</v>
      </c>
      <c r="D1048" s="579"/>
      <c r="E1048" s="519">
        <f>D1048*$J$996</f>
        <v>0</v>
      </c>
    </row>
    <row r="1049" spans="3:7">
      <c r="C1049" s="615" t="s">
        <v>74</v>
      </c>
      <c r="D1049" s="520">
        <f>D1040</f>
        <v>6887.1109999999999</v>
      </c>
      <c r="E1049" s="519">
        <f>D1049*$J$996</f>
        <v>354.74423491962108</v>
      </c>
    </row>
    <row r="1050" spans="3:7" ht="13.5" thickBot="1">
      <c r="C1050" s="616" t="s">
        <v>75</v>
      </c>
      <c r="D1050" s="517">
        <f>SUM(D1048:D1049)</f>
        <v>6887.1109999999999</v>
      </c>
      <c r="E1050" s="516">
        <f>SUM(E1048:E1049)</f>
        <v>354.74423491962108</v>
      </c>
    </row>
    <row r="1051" spans="3:7">
      <c r="C1051" s="531"/>
      <c r="D1051" s="531"/>
      <c r="E1051" s="531"/>
    </row>
    <row r="1052" spans="3:7" ht="13.5" thickBot="1">
      <c r="C1052" s="531"/>
      <c r="D1052" s="531"/>
      <c r="E1052" s="531"/>
    </row>
    <row r="1053" spans="3:7">
      <c r="C1053" s="617" t="s">
        <v>335</v>
      </c>
      <c r="D1053" s="612" t="s">
        <v>130</v>
      </c>
      <c r="E1053" s="612" t="s">
        <v>133</v>
      </c>
    </row>
    <row r="1054" spans="3:7">
      <c r="C1054" s="618"/>
      <c r="D1054" s="619"/>
      <c r="E1054" s="619"/>
    </row>
    <row r="1055" spans="3:7">
      <c r="C1055" s="618" t="s">
        <v>241</v>
      </c>
      <c r="D1055" s="592">
        <f>Model!AM119</f>
        <v>22959.940999999999</v>
      </c>
      <c r="E1055" s="591">
        <f>(D1055/$D$1061)</f>
        <v>0.16351002113605223</v>
      </c>
    </row>
    <row r="1056" spans="3:7">
      <c r="C1056" s="618" t="s">
        <v>242</v>
      </c>
      <c r="D1056" s="627">
        <f>+D1002+D1003+D1004+D1010+D1017+D1032</f>
        <v>13113.955</v>
      </c>
      <c r="E1056" s="591">
        <f t="shared" ref="E1056:E1059" si="52">(D1056/$D$1061)</f>
        <v>9.3391488211021001E-2</v>
      </c>
    </row>
    <row r="1057" spans="2:10">
      <c r="C1057" s="618" t="s">
        <v>243</v>
      </c>
      <c r="D1057" s="592">
        <f>D1005+D1006+D1007+D1020</f>
        <v>16234.578000000001</v>
      </c>
      <c r="E1057" s="591">
        <f t="shared" si="52"/>
        <v>0.11561511381561863</v>
      </c>
    </row>
    <row r="1058" spans="2:10">
      <c r="C1058" s="618" t="s">
        <v>244</v>
      </c>
      <c r="D1058" s="592">
        <f>+D1011+D1015</f>
        <v>12684.414000000001</v>
      </c>
      <c r="E1058" s="591">
        <f t="shared" si="52"/>
        <v>9.0332496988491259E-2</v>
      </c>
    </row>
    <row r="1059" spans="2:10">
      <c r="C1059" s="618" t="s">
        <v>245</v>
      </c>
      <c r="D1059" s="592">
        <f>SUM(D1002:D1035)-SUM(D1055:D1058)</f>
        <v>75426.279219699994</v>
      </c>
      <c r="E1059" s="591">
        <f t="shared" si="52"/>
        <v>0.53715087984881682</v>
      </c>
    </row>
    <row r="1060" spans="2:10" ht="13.5" thickBot="1">
      <c r="C1060" s="618"/>
      <c r="D1060" s="620"/>
      <c r="E1060" s="591"/>
    </row>
    <row r="1061" spans="2:10" ht="13.5" thickBot="1">
      <c r="C1061" s="621" t="s">
        <v>77</v>
      </c>
      <c r="D1061" s="594">
        <f>SUM(D1055:D1059)</f>
        <v>140419.1672197</v>
      </c>
      <c r="E1061" s="596">
        <f>+SUM(E1055:E1060)</f>
        <v>1</v>
      </c>
    </row>
    <row r="1062" spans="2:10">
      <c r="D1062" s="509">
        <f>D1061+D1036+D1037-D1039</f>
        <v>0</v>
      </c>
    </row>
    <row r="1066" spans="2:10">
      <c r="I1066" s="557" t="s">
        <v>336</v>
      </c>
      <c r="J1066" s="556">
        <f>Model!AK203</f>
        <v>5.0038279283651996E-2</v>
      </c>
    </row>
    <row r="1067" spans="2:10">
      <c r="I1067" s="557" t="s">
        <v>337</v>
      </c>
      <c r="J1067" s="556">
        <f>Model!AL203</f>
        <v>4.9247013168651321E-2</v>
      </c>
    </row>
    <row r="1068" spans="2:10">
      <c r="B1068" s="632" t="s">
        <v>338</v>
      </c>
      <c r="I1068" s="557" t="s">
        <v>339</v>
      </c>
      <c r="J1068" s="556">
        <f>AVERAGE(Model!AI202:AL202)</f>
        <v>4.9239232046760555E-2</v>
      </c>
    </row>
    <row r="1069" spans="2:10">
      <c r="C1069" s="560"/>
      <c r="D1069" s="790" t="s">
        <v>340</v>
      </c>
      <c r="E1069" s="791"/>
      <c r="F1069" s="559" t="s">
        <v>20</v>
      </c>
      <c r="G1069" s="558" t="s">
        <v>21</v>
      </c>
    </row>
    <row r="1070" spans="2:10">
      <c r="C1070" s="554"/>
      <c r="D1070" s="555" t="s">
        <v>18</v>
      </c>
      <c r="E1070" s="552" t="s">
        <v>19</v>
      </c>
      <c r="F1070" s="550"/>
      <c r="G1070" s="549"/>
    </row>
    <row r="1071" spans="2:10">
      <c r="C1071" s="554"/>
      <c r="D1071" s="553"/>
      <c r="E1071" s="552"/>
      <c r="F1071" s="550"/>
      <c r="G1071" s="549"/>
    </row>
    <row r="1072" spans="2:10">
      <c r="C1072" s="554" t="s">
        <v>92</v>
      </c>
      <c r="D1072" s="553"/>
      <c r="E1072" s="552"/>
      <c r="F1072" s="550"/>
      <c r="G1072" s="549"/>
    </row>
    <row r="1073" spans="3:7" ht="25.5">
      <c r="C1073" s="548" t="s">
        <v>304</v>
      </c>
      <c r="D1073" s="418">
        <v>2177.143</v>
      </c>
      <c r="E1073" s="539" t="s">
        <v>341</v>
      </c>
      <c r="F1073" s="598"/>
      <c r="G1073" s="546"/>
    </row>
    <row r="1074" spans="3:7" ht="25.5">
      <c r="C1074" s="548" t="s">
        <v>342</v>
      </c>
      <c r="D1074" s="418">
        <v>4116.8999999999996</v>
      </c>
      <c r="E1074" s="539">
        <f t="shared" ref="E1074:E1079" si="53">D1074*$J$1067</f>
        <v>202.74502851402062</v>
      </c>
      <c r="F1074" s="598"/>
      <c r="G1074" s="546"/>
    </row>
    <row r="1075" spans="3:7" ht="25.5">
      <c r="C1075" s="548" t="s">
        <v>289</v>
      </c>
      <c r="D1075" s="418">
        <v>243.81700000000001</v>
      </c>
      <c r="E1075" s="539">
        <f t="shared" si="53"/>
        <v>12.007259009741059</v>
      </c>
      <c r="F1075" s="550"/>
      <c r="G1075" s="549"/>
    </row>
    <row r="1076" spans="3:7" ht="25.5">
      <c r="C1076" s="548" t="s">
        <v>289</v>
      </c>
      <c r="D1076" s="418">
        <v>505.63099999999997</v>
      </c>
      <c r="E1076" s="539">
        <f t="shared" si="53"/>
        <v>24.900816515478336</v>
      </c>
      <c r="F1076" s="550"/>
      <c r="G1076" s="549"/>
    </row>
    <row r="1077" spans="3:7" ht="25.5">
      <c r="C1077" s="548" t="s">
        <v>205</v>
      </c>
      <c r="D1077" s="551">
        <v>4000</v>
      </c>
      <c r="E1077" s="539">
        <f t="shared" si="53"/>
        <v>196.98805267460529</v>
      </c>
      <c r="F1077" s="550"/>
      <c r="G1077" s="549"/>
    </row>
    <row r="1078" spans="3:7" ht="25.5">
      <c r="C1078" s="548" t="s">
        <v>275</v>
      </c>
      <c r="D1078" s="551">
        <v>467.82799999999997</v>
      </c>
      <c r="E1078" s="539">
        <f t="shared" si="53"/>
        <v>23.039131676663811</v>
      </c>
      <c r="F1078" s="550"/>
      <c r="G1078" s="549"/>
    </row>
    <row r="1079" spans="3:7" ht="25.5">
      <c r="C1079" s="548" t="s">
        <v>276</v>
      </c>
      <c r="D1079" s="551">
        <v>124.754</v>
      </c>
      <c r="E1079" s="539">
        <f t="shared" si="53"/>
        <v>6.143761880841927</v>
      </c>
      <c r="F1079" s="550"/>
      <c r="G1079" s="549"/>
    </row>
    <row r="1080" spans="3:7">
      <c r="C1080" s="548"/>
      <c r="D1080" s="551"/>
      <c r="E1080" s="539"/>
      <c r="F1080" s="550"/>
      <c r="G1080" s="549"/>
    </row>
    <row r="1081" spans="3:7">
      <c r="C1081" s="554" t="s">
        <v>97</v>
      </c>
      <c r="D1081" s="551"/>
      <c r="E1081" s="539"/>
      <c r="F1081" s="550"/>
      <c r="G1081" s="549"/>
    </row>
    <row r="1082" spans="3:7" ht="25.5">
      <c r="C1082" s="548" t="s">
        <v>290</v>
      </c>
      <c r="D1082" s="418">
        <v>3120.9</v>
      </c>
      <c r="E1082" s="539">
        <f t="shared" ref="E1082:E1089" si="54">D1082*$J$1067</f>
        <v>153.69500339804392</v>
      </c>
      <c r="F1082" s="601"/>
      <c r="G1082" s="546"/>
    </row>
    <row r="1083" spans="3:7" ht="25.5">
      <c r="C1083" s="548" t="s">
        <v>343</v>
      </c>
      <c r="D1083" s="418">
        <v>7500</v>
      </c>
      <c r="E1083" s="539">
        <f t="shared" si="54"/>
        <v>369.35259876488493</v>
      </c>
      <c r="F1083" s="601"/>
      <c r="G1083" s="549"/>
    </row>
    <row r="1084" spans="3:7" ht="25.5">
      <c r="C1084" s="548" t="s">
        <v>167</v>
      </c>
      <c r="D1084" s="551">
        <v>3205.1729999999998</v>
      </c>
      <c r="E1084" s="539">
        <f t="shared" si="54"/>
        <v>157.84519693880566</v>
      </c>
      <c r="F1084" s="601"/>
      <c r="G1084" s="549"/>
    </row>
    <row r="1085" spans="3:7" ht="25.5">
      <c r="C1085" s="548" t="s">
        <v>168</v>
      </c>
      <c r="D1085" s="418">
        <v>3447.45</v>
      </c>
      <c r="E1085" s="539">
        <f t="shared" si="54"/>
        <v>169.77661554826699</v>
      </c>
      <c r="F1085" s="601"/>
      <c r="G1085" s="546"/>
    </row>
    <row r="1086" spans="3:7" ht="25.5">
      <c r="C1086" s="548" t="s">
        <v>169</v>
      </c>
      <c r="D1086" s="418">
        <v>4799.6000000000004</v>
      </c>
      <c r="E1086" s="539">
        <f t="shared" si="54"/>
        <v>236.3659644042589</v>
      </c>
      <c r="F1086" s="601"/>
      <c r="G1086" s="549"/>
    </row>
    <row r="1087" spans="3:7" ht="25.5">
      <c r="C1087" s="548" t="s">
        <v>324</v>
      </c>
      <c r="D1087" s="418">
        <v>5200</v>
      </c>
      <c r="E1087" s="539">
        <f t="shared" si="54"/>
        <v>256.0844684769869</v>
      </c>
      <c r="F1087" s="601"/>
      <c r="G1087" s="549"/>
    </row>
    <row r="1088" spans="3:7" ht="25.5">
      <c r="C1088" s="548" t="s">
        <v>206</v>
      </c>
      <c r="D1088" s="551">
        <v>2900</v>
      </c>
      <c r="E1088" s="539">
        <f t="shared" si="54"/>
        <v>142.81633818908884</v>
      </c>
      <c r="F1088" s="601"/>
      <c r="G1088" s="549"/>
    </row>
    <row r="1089" spans="3:7" ht="25.5">
      <c r="C1089" s="548" t="s">
        <v>325</v>
      </c>
      <c r="D1089" s="418">
        <v>5103.0519999999997</v>
      </c>
      <c r="E1089" s="539">
        <f t="shared" si="54"/>
        <v>251.31006904431246</v>
      </c>
      <c r="F1089" s="601"/>
      <c r="G1089" s="546"/>
    </row>
    <row r="1090" spans="3:7">
      <c r="C1090" s="548" t="s">
        <v>175</v>
      </c>
      <c r="D1090" s="576">
        <f>E1090/$J$1067</f>
        <v>16678.757698199999</v>
      </c>
      <c r="E1090" s="575">
        <v>821.37900000000002</v>
      </c>
      <c r="F1090" s="601"/>
      <c r="G1090" s="546"/>
    </row>
    <row r="1091" spans="3:7">
      <c r="C1091" s="548" t="s">
        <v>176</v>
      </c>
      <c r="D1091" s="576">
        <f t="shared" ref="D1091:D1094" si="55">E1091/$J$1067</f>
        <v>15594.8544</v>
      </c>
      <c r="E1091" s="575">
        <v>768</v>
      </c>
      <c r="F1091" s="601"/>
      <c r="G1091" s="546"/>
    </row>
    <row r="1092" spans="3:7">
      <c r="C1092" s="548" t="s">
        <v>277</v>
      </c>
      <c r="D1092" s="576">
        <f t="shared" si="55"/>
        <v>12183.48</v>
      </c>
      <c r="E1092" s="575">
        <v>600</v>
      </c>
      <c r="F1092" s="601"/>
      <c r="G1092" s="549"/>
    </row>
    <row r="1093" spans="3:7">
      <c r="C1093" s="548" t="s">
        <v>178</v>
      </c>
      <c r="D1093" s="576">
        <f t="shared" si="55"/>
        <v>14214.06</v>
      </c>
      <c r="E1093" s="575">
        <v>700</v>
      </c>
      <c r="F1093" s="601"/>
      <c r="G1093" s="549"/>
    </row>
    <row r="1094" spans="3:7">
      <c r="C1094" s="548" t="s">
        <v>207</v>
      </c>
      <c r="D1094" s="576">
        <f t="shared" si="55"/>
        <v>16244.64</v>
      </c>
      <c r="E1094" s="575">
        <v>800</v>
      </c>
      <c r="F1094" s="601"/>
      <c r="G1094" s="546"/>
    </row>
    <row r="1095" spans="3:7">
      <c r="C1095" s="548"/>
      <c r="D1095" s="576"/>
      <c r="E1095" s="575"/>
      <c r="F1095" s="547"/>
      <c r="G1095" s="546"/>
    </row>
    <row r="1096" spans="3:7">
      <c r="C1096" s="554" t="s">
        <v>113</v>
      </c>
      <c r="D1096" s="576"/>
      <c r="E1096" s="575"/>
      <c r="F1096" s="547"/>
      <c r="G1096" s="546"/>
    </row>
    <row r="1097" spans="3:7" ht="25.5">
      <c r="C1097" s="548" t="s">
        <v>326</v>
      </c>
      <c r="D1097" s="418"/>
      <c r="E1097" s="539">
        <f t="shared" ref="E1097" si="56">D1097*$J$1280</f>
        <v>0</v>
      </c>
      <c r="F1097" s="547"/>
      <c r="G1097" s="546"/>
    </row>
    <row r="1098" spans="3:7" ht="25.5">
      <c r="C1098" s="548" t="s">
        <v>327</v>
      </c>
      <c r="D1098" s="418">
        <v>2000</v>
      </c>
      <c r="E1098" s="539">
        <f>D1098*$J$1067</f>
        <v>98.494026337302643</v>
      </c>
      <c r="F1098" s="547"/>
      <c r="G1098" s="546"/>
    </row>
    <row r="1099" spans="3:7" ht="25.5">
      <c r="C1099" s="548" t="s">
        <v>328</v>
      </c>
      <c r="D1099" s="418">
        <v>2000</v>
      </c>
      <c r="E1099" s="539">
        <f t="shared" ref="E1099:E1108" si="57">D1099*$J$1067</f>
        <v>98.494026337302643</v>
      </c>
      <c r="F1099" s="547"/>
      <c r="G1099" s="546"/>
    </row>
    <row r="1100" spans="3:7" ht="25.5">
      <c r="C1100" s="548" t="s">
        <v>316</v>
      </c>
      <c r="D1100" s="418">
        <v>400</v>
      </c>
      <c r="E1100" s="539">
        <f t="shared" si="57"/>
        <v>19.698805267460529</v>
      </c>
      <c r="F1100" s="547"/>
      <c r="G1100" s="546"/>
    </row>
    <row r="1101" spans="3:7" ht="25.5">
      <c r="C1101" s="548" t="s">
        <v>329</v>
      </c>
      <c r="D1101" s="418">
        <v>200</v>
      </c>
      <c r="E1101" s="539">
        <f t="shared" si="57"/>
        <v>9.8494026337302643</v>
      </c>
      <c r="F1101" s="547"/>
      <c r="G1101" s="546"/>
    </row>
    <row r="1102" spans="3:7" ht="25.5">
      <c r="C1102" s="548" t="s">
        <v>330</v>
      </c>
      <c r="D1102" s="418">
        <v>1800</v>
      </c>
      <c r="E1102" s="539">
        <f t="shared" si="57"/>
        <v>88.644623703572378</v>
      </c>
      <c r="F1102" s="547"/>
      <c r="G1102" s="546"/>
    </row>
    <row r="1103" spans="3:7" ht="25.5">
      <c r="C1103" s="548" t="s">
        <v>331</v>
      </c>
      <c r="D1103" s="418">
        <v>200</v>
      </c>
      <c r="E1103" s="539">
        <f t="shared" si="57"/>
        <v>9.8494026337302643</v>
      </c>
      <c r="F1103" s="547"/>
      <c r="G1103" s="546"/>
    </row>
    <row r="1104" spans="3:7" ht="25.5">
      <c r="C1104" s="548" t="s">
        <v>344</v>
      </c>
      <c r="D1104" s="418">
        <v>1000</v>
      </c>
      <c r="E1104" s="539">
        <f t="shared" si="57"/>
        <v>49.247013168651321</v>
      </c>
      <c r="F1104" s="547"/>
      <c r="G1104" s="546"/>
    </row>
    <row r="1105" spans="3:7" ht="25.5">
      <c r="C1105" s="548" t="s">
        <v>345</v>
      </c>
      <c r="D1105" s="576">
        <f>E1105/$J$1067</f>
        <v>10152.9</v>
      </c>
      <c r="E1105" s="575">
        <v>500</v>
      </c>
      <c r="F1105" s="547"/>
      <c r="G1105" s="546"/>
    </row>
    <row r="1106" spans="3:7" ht="25.5">
      <c r="C1106" s="548" t="s">
        <v>333</v>
      </c>
      <c r="D1106" s="418">
        <v>2500</v>
      </c>
      <c r="E1106" s="539">
        <f t="shared" si="57"/>
        <v>123.11753292162831</v>
      </c>
      <c r="F1106" s="547"/>
      <c r="G1106" s="546"/>
    </row>
    <row r="1107" spans="3:7">
      <c r="C1107" s="548" t="s">
        <v>196</v>
      </c>
      <c r="D1107" s="418">
        <v>-733.53700000000003</v>
      </c>
      <c r="E1107" s="539">
        <f t="shared" si="57"/>
        <v>-36.124506298692985</v>
      </c>
      <c r="F1107" s="547"/>
      <c r="G1107" s="546"/>
    </row>
    <row r="1108" spans="3:7">
      <c r="C1108" s="548" t="s">
        <v>65</v>
      </c>
      <c r="D1108" s="418">
        <v>-260.62700000000001</v>
      </c>
      <c r="E1108" s="539">
        <f t="shared" si="57"/>
        <v>-12.835101301106089</v>
      </c>
      <c r="F1108" s="547"/>
      <c r="G1108" s="546"/>
    </row>
    <row r="1109" spans="3:7">
      <c r="C1109" s="548"/>
      <c r="D1109" s="576"/>
      <c r="E1109" s="575"/>
      <c r="F1109" s="547"/>
      <c r="G1109" s="546"/>
    </row>
    <row r="1110" spans="3:7">
      <c r="C1110" s="536" t="s">
        <v>66</v>
      </c>
      <c r="D1110" s="634">
        <f>SUM(D1073:D1108)</f>
        <v>141086.77609819997</v>
      </c>
      <c r="E1110" s="534">
        <f>SUM(E1073:E1108)</f>
        <v>6840.88453043958</v>
      </c>
      <c r="F1110" s="533">
        <f>+D1110/D1115</f>
        <v>7.9841881336034364</v>
      </c>
      <c r="G1110" s="532">
        <f>+E1110/E1115</f>
        <v>7.8622245078474364</v>
      </c>
    </row>
    <row r="1111" spans="3:7">
      <c r="C1111" s="545" t="s">
        <v>67</v>
      </c>
      <c r="D1111" s="544">
        <f>Model!AL123</f>
        <v>4878.6390000000001</v>
      </c>
      <c r="E1111" s="539">
        <f t="shared" ref="E1111" si="58">D1111*$J$1067</f>
        <v>240.25839907809592</v>
      </c>
      <c r="F1111" s="543"/>
      <c r="G1111" s="542"/>
    </row>
    <row r="1112" spans="3:7">
      <c r="C1112" s="536" t="s">
        <v>68</v>
      </c>
      <c r="D1112" s="535">
        <f>+D1110-D1111</f>
        <v>136208.13709819998</v>
      </c>
      <c r="E1112" s="534">
        <f>+E1110-E1111</f>
        <v>6600.6261313614841</v>
      </c>
      <c r="F1112" s="533">
        <f>+D1112/D1115</f>
        <v>7.7081029278232478</v>
      </c>
      <c r="G1112" s="532">
        <f>+E1112/E1115</f>
        <v>7.5860956731853761</v>
      </c>
    </row>
    <row r="1113" spans="3:7">
      <c r="C1113" s="541" t="s">
        <v>69</v>
      </c>
      <c r="D1113" s="540">
        <f>Model!AL128</f>
        <v>175138.769</v>
      </c>
      <c r="E1113" s="539">
        <f t="shared" ref="E1113" si="59">D1113*$J$1067</f>
        <v>8625.0612632843822</v>
      </c>
      <c r="F1113" s="538"/>
      <c r="G1113" s="537"/>
    </row>
    <row r="1114" spans="3:7">
      <c r="C1114" s="536" t="s">
        <v>70</v>
      </c>
      <c r="D1114" s="535">
        <f>D1110+D1113</f>
        <v>316225.54509819997</v>
      </c>
      <c r="E1114" s="534">
        <f>E1110+E1113</f>
        <v>15465.945793723962</v>
      </c>
      <c r="F1114" s="533">
        <f>D1114/D1115</f>
        <v>17.895399657853112</v>
      </c>
      <c r="G1114" s="532">
        <f>E1114/E1115</f>
        <v>17.77500226986626</v>
      </c>
    </row>
    <row r="1115" spans="3:7">
      <c r="C1115" s="530" t="s">
        <v>71</v>
      </c>
      <c r="D1115" s="529">
        <f>Model!AL102</f>
        <v>17670.772999999997</v>
      </c>
      <c r="E1115" s="528">
        <f>D1115*$J$1068</f>
        <v>870.09529219263106</v>
      </c>
      <c r="F1115" s="604"/>
      <c r="G1115" s="605"/>
    </row>
    <row r="1116" spans="3:7">
      <c r="C1116" s="606" t="s">
        <v>72</v>
      </c>
      <c r="D1116" s="623">
        <f>D1110-Model!AL126</f>
        <v>9.8199961939826608E-5</v>
      </c>
      <c r="E1116" s="626"/>
    </row>
    <row r="1117" spans="3:7" ht="13.5" thickBot="1">
      <c r="C1117" s="531"/>
      <c r="D1117" s="609"/>
      <c r="E1117" s="609"/>
    </row>
    <row r="1118" spans="3:7">
      <c r="C1118" s="611" t="s">
        <v>346</v>
      </c>
      <c r="D1118" s="612" t="s">
        <v>130</v>
      </c>
      <c r="E1118" s="613" t="s">
        <v>131</v>
      </c>
    </row>
    <row r="1119" spans="3:7">
      <c r="C1119" s="615" t="s">
        <v>198</v>
      </c>
      <c r="D1119" s="579"/>
      <c r="E1119" s="519">
        <f>D1119*$J$1491</f>
        <v>0</v>
      </c>
    </row>
    <row r="1120" spans="3:7">
      <c r="C1120" s="615" t="s">
        <v>74</v>
      </c>
      <c r="D1120" s="520">
        <f>D1111</f>
        <v>4878.6390000000001</v>
      </c>
      <c r="E1120" s="519">
        <f>D1120*$J$1280</f>
        <v>237.0169796195982</v>
      </c>
    </row>
    <row r="1121" spans="3:5" ht="13.5" thickBot="1">
      <c r="C1121" s="616" t="s">
        <v>75</v>
      </c>
      <c r="D1121" s="517">
        <f>SUM(D1119:D1120)</f>
        <v>4878.6390000000001</v>
      </c>
      <c r="E1121" s="516">
        <f>SUM(E1119:E1120)</f>
        <v>237.0169796195982</v>
      </c>
    </row>
    <row r="1122" spans="3:5">
      <c r="C1122" s="531"/>
      <c r="D1122" s="531"/>
      <c r="E1122" s="531"/>
    </row>
    <row r="1123" spans="3:5" ht="13.5" thickBot="1">
      <c r="C1123" s="531"/>
      <c r="D1123" s="531"/>
      <c r="E1123" s="531"/>
    </row>
    <row r="1124" spans="3:5">
      <c r="C1124" s="617" t="s">
        <v>347</v>
      </c>
      <c r="D1124" s="612" t="s">
        <v>130</v>
      </c>
      <c r="E1124" s="612" t="s">
        <v>133</v>
      </c>
    </row>
    <row r="1125" spans="3:5">
      <c r="C1125" s="618"/>
      <c r="D1125" s="619"/>
      <c r="E1125" s="619"/>
    </row>
    <row r="1126" spans="3:5">
      <c r="C1126" s="618" t="s">
        <v>241</v>
      </c>
      <c r="D1126" s="592">
        <f>Model!AL119</f>
        <v>17330.953000000001</v>
      </c>
      <c r="E1126" s="591">
        <f>(D1126/$D$1132)</f>
        <v>0.12197943642561501</v>
      </c>
    </row>
    <row r="1127" spans="3:5">
      <c r="C1127" s="618" t="s">
        <v>242</v>
      </c>
      <c r="D1127" s="627">
        <f>+D1073+D1075+D1076+D1082+D1089+D1104</f>
        <v>12150.543</v>
      </c>
      <c r="E1127" s="591">
        <f>(D1127/$D$1132)</f>
        <v>8.5518458644784356E-2</v>
      </c>
    </row>
    <row r="1128" spans="3:5">
      <c r="C1128" s="618" t="s">
        <v>243</v>
      </c>
      <c r="D1128" s="592">
        <f>D1074+D1077+D1078+D1079+D1092</f>
        <v>20892.962</v>
      </c>
      <c r="E1128" s="591">
        <f>(D1128/$D$1132)</f>
        <v>0.147049716771016</v>
      </c>
    </row>
    <row r="1129" spans="3:5">
      <c r="C1129" s="618" t="s">
        <v>244</v>
      </c>
      <c r="D1129" s="592">
        <f>+D1083+D1087</f>
        <v>12700</v>
      </c>
      <c r="E1129" s="591">
        <f>(D1129/$D$1132)</f>
        <v>8.9385669824695188E-2</v>
      </c>
    </row>
    <row r="1130" spans="3:5">
      <c r="C1130" s="618" t="s">
        <v>245</v>
      </c>
      <c r="D1130" s="592">
        <f>SUM(D1073:D1106)-SUM(D1126:D1129)</f>
        <v>79006.482098199995</v>
      </c>
      <c r="E1130" s="591">
        <f>(D1130/$D$1132)</f>
        <v>0.55606671833388943</v>
      </c>
    </row>
    <row r="1131" spans="3:5" ht="13.5" thickBot="1">
      <c r="C1131" s="618"/>
      <c r="D1131" s="620"/>
      <c r="E1131" s="591"/>
    </row>
    <row r="1132" spans="3:5" ht="13.5" thickBot="1">
      <c r="C1132" s="621" t="s">
        <v>77</v>
      </c>
      <c r="D1132" s="594">
        <f>SUM(D1126:D1130)</f>
        <v>142080.94009819999</v>
      </c>
      <c r="E1132" s="596">
        <f>+SUM(E1126:E1131)</f>
        <v>1</v>
      </c>
    </row>
    <row r="1133" spans="3:5">
      <c r="D1133" s="509">
        <f>D1132+D1107+D1108-D1110</f>
        <v>0</v>
      </c>
    </row>
    <row r="1137" spans="2:10">
      <c r="I1137" s="557" t="s">
        <v>336</v>
      </c>
      <c r="J1137" s="556">
        <f>Model!AK203</f>
        <v>5.0038279283651996E-2</v>
      </c>
    </row>
    <row r="1138" spans="2:10">
      <c r="B1138" s="632" t="s">
        <v>348</v>
      </c>
      <c r="I1138" s="557" t="s">
        <v>349</v>
      </c>
      <c r="J1138" s="556">
        <f>AVERAGE(Model!AH202:AK202)</f>
        <v>4.923494507172934E-2</v>
      </c>
    </row>
    <row r="1139" spans="2:10">
      <c r="C1139" s="560"/>
      <c r="D1139" s="790" t="s">
        <v>350</v>
      </c>
      <c r="E1139" s="791"/>
      <c r="F1139" s="559" t="s">
        <v>20</v>
      </c>
      <c r="G1139" s="558" t="s">
        <v>21</v>
      </c>
    </row>
    <row r="1140" spans="2:10">
      <c r="C1140" s="554"/>
      <c r="D1140" s="555" t="s">
        <v>18</v>
      </c>
      <c r="E1140" s="552" t="s">
        <v>19</v>
      </c>
      <c r="F1140" s="550"/>
      <c r="G1140" s="549"/>
    </row>
    <row r="1141" spans="2:10">
      <c r="C1141" s="554"/>
      <c r="D1141" s="553"/>
      <c r="E1141" s="552"/>
      <c r="F1141" s="550"/>
      <c r="G1141" s="549"/>
    </row>
    <row r="1142" spans="2:10">
      <c r="C1142" s="554" t="s">
        <v>92</v>
      </c>
      <c r="D1142" s="553"/>
      <c r="E1142" s="552"/>
      <c r="F1142" s="550"/>
      <c r="G1142" s="549"/>
    </row>
    <row r="1143" spans="2:10" ht="25.5">
      <c r="C1143" s="548" t="s">
        <v>304</v>
      </c>
      <c r="D1143" s="418">
        <v>2211.4290000000001</v>
      </c>
      <c r="E1143" s="539">
        <f>D1143*$J$1137</f>
        <v>110.65610191796725</v>
      </c>
      <c r="F1143" s="598"/>
      <c r="G1143" s="546"/>
    </row>
    <row r="1144" spans="2:10" ht="25.5">
      <c r="C1144" s="548" t="s">
        <v>342</v>
      </c>
      <c r="D1144" s="418">
        <v>4130.6499999999996</v>
      </c>
      <c r="E1144" s="539">
        <f t="shared" ref="E1144:E1149" si="60">D1144*$J$1137</f>
        <v>206.69061832301711</v>
      </c>
      <c r="F1144" s="598"/>
      <c r="G1144" s="546"/>
    </row>
    <row r="1145" spans="2:10">
      <c r="C1145" s="548" t="s">
        <v>341</v>
      </c>
      <c r="D1145" s="418">
        <v>244.53100000000001</v>
      </c>
      <c r="E1145" s="539">
        <f t="shared" si="60"/>
        <v>12.235910471510707</v>
      </c>
      <c r="F1145" s="550"/>
      <c r="G1145" s="549"/>
    </row>
    <row r="1146" spans="2:10" ht="25.5">
      <c r="C1146" s="548" t="s">
        <v>289</v>
      </c>
      <c r="D1146" s="418">
        <v>507.17200000000003</v>
      </c>
      <c r="E1146" s="539">
        <f t="shared" si="60"/>
        <v>25.37801418084835</v>
      </c>
      <c r="F1146" s="550"/>
      <c r="G1146" s="549"/>
    </row>
    <row r="1147" spans="2:10" ht="25.5">
      <c r="C1147" s="548" t="s">
        <v>205</v>
      </c>
      <c r="D1147" s="551">
        <v>3500</v>
      </c>
      <c r="E1147" s="539">
        <f t="shared" si="60"/>
        <v>175.13397749278198</v>
      </c>
      <c r="F1147" s="550"/>
      <c r="G1147" s="549"/>
    </row>
    <row r="1148" spans="2:10" ht="25.5">
      <c r="C1148" s="548" t="s">
        <v>275</v>
      </c>
      <c r="D1148" s="551">
        <v>473.02499999999998</v>
      </c>
      <c r="E1148" s="539">
        <f t="shared" si="60"/>
        <v>23.669357058149483</v>
      </c>
      <c r="F1148" s="550"/>
      <c r="G1148" s="549"/>
    </row>
    <row r="1149" spans="2:10" ht="25.5">
      <c r="C1149" s="548" t="s">
        <v>276</v>
      </c>
      <c r="D1149" s="551">
        <v>126.14</v>
      </c>
      <c r="E1149" s="539">
        <f t="shared" si="60"/>
        <v>6.3118285488398627</v>
      </c>
      <c r="F1149" s="550"/>
      <c r="G1149" s="549"/>
    </row>
    <row r="1150" spans="2:10">
      <c r="C1150" s="548"/>
      <c r="D1150" s="551"/>
      <c r="E1150" s="539"/>
      <c r="F1150" s="550"/>
      <c r="G1150" s="549"/>
    </row>
    <row r="1151" spans="2:10">
      <c r="C1151" s="554" t="s">
        <v>97</v>
      </c>
      <c r="D1151" s="551"/>
      <c r="E1151" s="539"/>
      <c r="F1151" s="550"/>
      <c r="G1151" s="549"/>
    </row>
    <row r="1152" spans="2:10" ht="25.5">
      <c r="C1152" s="548" t="s">
        <v>290</v>
      </c>
      <c r="D1152" s="418">
        <v>3120.9</v>
      </c>
      <c r="E1152" s="539">
        <f>D1152*$J$1137</f>
        <v>156.16446581634952</v>
      </c>
      <c r="F1152" s="601"/>
      <c r="G1152" s="546"/>
    </row>
    <row r="1153" spans="3:7" ht="25.5">
      <c r="C1153" s="548" t="s">
        <v>343</v>
      </c>
      <c r="D1153" s="418">
        <v>7500</v>
      </c>
      <c r="E1153" s="539">
        <f t="shared" ref="E1153:E1159" si="61">D1153*$J$1137</f>
        <v>375.28709462738999</v>
      </c>
      <c r="F1153" s="601"/>
      <c r="G1153" s="549"/>
    </row>
    <row r="1154" spans="3:7" ht="25.5">
      <c r="C1154" s="548" t="s">
        <v>167</v>
      </c>
      <c r="D1154" s="551">
        <v>3133.7979999999998</v>
      </c>
      <c r="E1154" s="539">
        <f t="shared" si="61"/>
        <v>156.80985954255004</v>
      </c>
      <c r="F1154" s="601"/>
      <c r="G1154" s="549"/>
    </row>
    <row r="1155" spans="3:7" ht="25.5">
      <c r="C1155" s="548" t="s">
        <v>168</v>
      </c>
      <c r="D1155" s="418">
        <v>3370.6790000000001</v>
      </c>
      <c r="E1155" s="539">
        <f t="shared" si="61"/>
        <v>168.66297717754082</v>
      </c>
      <c r="F1155" s="601"/>
      <c r="G1155" s="546"/>
    </row>
    <row r="1156" spans="3:7" ht="25.5">
      <c r="C1156" s="548" t="s">
        <v>169</v>
      </c>
      <c r="D1156" s="418">
        <v>4799.6000000000004</v>
      </c>
      <c r="E1156" s="539">
        <f t="shared" si="61"/>
        <v>240.16372524981614</v>
      </c>
      <c r="F1156" s="601"/>
      <c r="G1156" s="549"/>
    </row>
    <row r="1157" spans="3:7" ht="25.5">
      <c r="C1157" s="548" t="s">
        <v>324</v>
      </c>
      <c r="D1157" s="418">
        <v>5200</v>
      </c>
      <c r="E1157" s="539">
        <f t="shared" si="61"/>
        <v>260.19905227499038</v>
      </c>
      <c r="F1157" s="601"/>
      <c r="G1157" s="549"/>
    </row>
    <row r="1158" spans="3:7" ht="25.5">
      <c r="C1158" s="548" t="s">
        <v>206</v>
      </c>
      <c r="D1158" s="551">
        <v>2900</v>
      </c>
      <c r="E1158" s="539">
        <f t="shared" si="61"/>
        <v>145.1110099225908</v>
      </c>
      <c r="F1158" s="601"/>
      <c r="G1158" s="549"/>
    </row>
    <row r="1159" spans="3:7" ht="25.5">
      <c r="C1159" s="548" t="s">
        <v>325</v>
      </c>
      <c r="D1159" s="418">
        <v>5103.393</v>
      </c>
      <c r="E1159" s="539">
        <f t="shared" si="61"/>
        <v>255.36500422823462</v>
      </c>
      <c r="F1159" s="601"/>
      <c r="G1159" s="546"/>
    </row>
    <row r="1160" spans="3:7">
      <c r="C1160" s="548" t="s">
        <v>175</v>
      </c>
      <c r="D1160" s="576">
        <f>E1160/$J$1137</f>
        <v>16789.945857999999</v>
      </c>
      <c r="E1160" s="575">
        <v>840.14</v>
      </c>
      <c r="F1160" s="601"/>
      <c r="G1160" s="546"/>
    </row>
    <row r="1161" spans="3:7">
      <c r="C1161" s="548" t="s">
        <v>176</v>
      </c>
      <c r="D1161" s="576">
        <f t="shared" ref="D1161:D1164" si="62">E1161/$J$1137</f>
        <v>15348.249599999999</v>
      </c>
      <c r="E1161" s="575">
        <v>768</v>
      </c>
      <c r="F1161" s="601"/>
      <c r="G1161" s="546"/>
    </row>
    <row r="1162" spans="3:7">
      <c r="C1162" s="548" t="s">
        <v>277</v>
      </c>
      <c r="D1162" s="576">
        <f t="shared" si="62"/>
        <v>11990.82</v>
      </c>
      <c r="E1162" s="575">
        <v>600</v>
      </c>
      <c r="F1162" s="601"/>
      <c r="G1162" s="549"/>
    </row>
    <row r="1163" spans="3:7">
      <c r="C1163" s="548" t="s">
        <v>178</v>
      </c>
      <c r="D1163" s="576">
        <f t="shared" si="62"/>
        <v>13989.289999999999</v>
      </c>
      <c r="E1163" s="575">
        <v>700</v>
      </c>
      <c r="F1163" s="601"/>
      <c r="G1163" s="549"/>
    </row>
    <row r="1164" spans="3:7">
      <c r="C1164" s="548" t="s">
        <v>207</v>
      </c>
      <c r="D1164" s="576">
        <f t="shared" si="62"/>
        <v>15987.76</v>
      </c>
      <c r="E1164" s="575">
        <v>800</v>
      </c>
      <c r="F1164" s="601"/>
      <c r="G1164" s="546"/>
    </row>
    <row r="1165" spans="3:7">
      <c r="C1165" s="548"/>
      <c r="D1165" s="576"/>
      <c r="E1165" s="575"/>
      <c r="F1165" s="547"/>
      <c r="G1165" s="546"/>
    </row>
    <row r="1166" spans="3:7">
      <c r="C1166" s="554" t="s">
        <v>113</v>
      </c>
      <c r="D1166" s="576"/>
      <c r="E1166" s="575"/>
      <c r="F1166" s="547"/>
      <c r="G1166" s="546"/>
    </row>
    <row r="1167" spans="3:7" ht="25.5">
      <c r="C1167" s="548" t="s">
        <v>326</v>
      </c>
      <c r="D1167" s="418">
        <v>2000</v>
      </c>
      <c r="E1167" s="539">
        <f>D1167*$J$1137</f>
        <v>100.07655856730399</v>
      </c>
      <c r="F1167" s="547"/>
      <c r="G1167" s="546"/>
    </row>
    <row r="1168" spans="3:7" ht="25.5">
      <c r="C1168" s="548" t="s">
        <v>327</v>
      </c>
      <c r="D1168" s="418">
        <v>2000</v>
      </c>
      <c r="E1168" s="539">
        <f>D1168*$J$1137</f>
        <v>100.07655856730399</v>
      </c>
      <c r="F1168" s="547"/>
      <c r="G1168" s="546"/>
    </row>
    <row r="1169" spans="3:7" ht="25.5">
      <c r="C1169" s="548" t="s">
        <v>351</v>
      </c>
      <c r="D1169" s="418"/>
      <c r="E1169" s="539">
        <f t="shared" ref="E1169:E1171" si="63">D1169*$J$1137</f>
        <v>0</v>
      </c>
      <c r="F1169" s="547"/>
      <c r="G1169" s="546"/>
    </row>
    <row r="1170" spans="3:7" ht="25.5">
      <c r="C1170" s="548" t="s">
        <v>352</v>
      </c>
      <c r="D1170" s="418"/>
      <c r="E1170" s="539">
        <f t="shared" si="63"/>
        <v>0</v>
      </c>
      <c r="F1170" s="547"/>
      <c r="G1170" s="546"/>
    </row>
    <row r="1171" spans="3:7" ht="25.5">
      <c r="C1171" s="548" t="s">
        <v>329</v>
      </c>
      <c r="D1171" s="418">
        <v>0</v>
      </c>
      <c r="E1171" s="539">
        <f t="shared" si="63"/>
        <v>0</v>
      </c>
      <c r="F1171" s="547"/>
      <c r="G1171" s="546"/>
    </row>
    <row r="1172" spans="3:7" ht="25.5">
      <c r="C1172" s="548" t="s">
        <v>353</v>
      </c>
      <c r="D1172" s="418">
        <v>1800</v>
      </c>
      <c r="E1172" s="539">
        <f>D1172*$J$1137</f>
        <v>90.068902710573596</v>
      </c>
      <c r="F1172" s="547"/>
      <c r="G1172" s="546"/>
    </row>
    <row r="1173" spans="3:7" ht="25.5">
      <c r="C1173" s="548" t="s">
        <v>331</v>
      </c>
      <c r="D1173" s="418">
        <v>100</v>
      </c>
      <c r="E1173" s="539">
        <f>D1173*$J$1137</f>
        <v>5.0038279283651992</v>
      </c>
      <c r="F1173" s="547"/>
      <c r="G1173" s="546"/>
    </row>
    <row r="1174" spans="3:7" ht="25.5">
      <c r="C1174" s="548" t="s">
        <v>344</v>
      </c>
      <c r="D1174" s="418">
        <v>0</v>
      </c>
      <c r="E1174" s="539">
        <f>D1174*$J$1137</f>
        <v>0</v>
      </c>
      <c r="F1174" s="547"/>
      <c r="G1174" s="546"/>
    </row>
    <row r="1175" spans="3:7" ht="25.5">
      <c r="C1175" s="548" t="s">
        <v>345</v>
      </c>
      <c r="D1175" s="576">
        <f>E1175/$J$1137</f>
        <v>9992.35</v>
      </c>
      <c r="E1175" s="575">
        <v>500</v>
      </c>
      <c r="F1175" s="547"/>
      <c r="G1175" s="546"/>
    </row>
    <row r="1176" spans="3:7" ht="25.5">
      <c r="C1176" s="548" t="s">
        <v>333</v>
      </c>
      <c r="D1176" s="418">
        <v>2500</v>
      </c>
      <c r="E1176" s="539">
        <f t="shared" ref="E1176:E1178" si="64">D1176*$J$1137</f>
        <v>125.09569820912999</v>
      </c>
      <c r="F1176" s="547"/>
      <c r="G1176" s="546"/>
    </row>
    <row r="1177" spans="3:7">
      <c r="C1177" s="548" t="s">
        <v>196</v>
      </c>
      <c r="D1177" s="418">
        <v>-780.58199999999999</v>
      </c>
      <c r="E1177" s="539">
        <f t="shared" si="64"/>
        <v>-39.058980119791642</v>
      </c>
      <c r="F1177" s="547"/>
      <c r="G1177" s="546"/>
    </row>
    <row r="1178" spans="3:7">
      <c r="C1178" s="548" t="s">
        <v>65</v>
      </c>
      <c r="D1178" s="418">
        <v>73.061000000000007</v>
      </c>
      <c r="E1178" s="539">
        <f t="shared" si="64"/>
        <v>3.6558467227428988</v>
      </c>
      <c r="F1178" s="547"/>
      <c r="G1178" s="546"/>
    </row>
    <row r="1179" spans="3:7">
      <c r="C1179" s="548"/>
      <c r="D1179" s="418"/>
      <c r="E1179" s="575"/>
      <c r="F1179" s="547"/>
      <c r="G1179" s="546"/>
    </row>
    <row r="1180" spans="3:7">
      <c r="C1180" s="536" t="s">
        <v>66</v>
      </c>
      <c r="D1180" s="634">
        <f>SUM(D1143:D1179)</f>
        <v>138112.21145799998</v>
      </c>
      <c r="E1180" s="534">
        <f>SUM(E1143:E1179)</f>
        <v>6910.8974094182058</v>
      </c>
      <c r="F1180" s="533">
        <f>+D1180/D1185</f>
        <v>8.0110487860476916</v>
      </c>
      <c r="G1180" s="532">
        <f>+E1180/E1185</f>
        <v>8.1417597994110213</v>
      </c>
    </row>
    <row r="1181" spans="3:7">
      <c r="C1181" s="545" t="s">
        <v>67</v>
      </c>
      <c r="D1181" s="544">
        <f>Model!AK123</f>
        <v>5258.0789999999997</v>
      </c>
      <c r="E1181" s="539">
        <f t="shared" ref="E1181" si="65">D1181*$J$1137</f>
        <v>263.10522549750561</v>
      </c>
      <c r="F1181" s="543"/>
      <c r="G1181" s="542"/>
    </row>
    <row r="1182" spans="3:7">
      <c r="C1182" s="536" t="s">
        <v>68</v>
      </c>
      <c r="D1182" s="535">
        <f>+D1180-D1181</f>
        <v>132854.13245799998</v>
      </c>
      <c r="E1182" s="534">
        <f>+E1180-E1181</f>
        <v>6647.7921839207002</v>
      </c>
      <c r="F1182" s="533">
        <f>+D1182/D1185</f>
        <v>7.7060596258190719</v>
      </c>
      <c r="G1182" s="532">
        <f>+E1182/E1185</f>
        <v>7.83179433167723</v>
      </c>
    </row>
    <row r="1183" spans="3:7">
      <c r="C1183" s="541" t="s">
        <v>69</v>
      </c>
      <c r="D1183" s="540">
        <f>Model!AK128</f>
        <v>172366.55</v>
      </c>
      <c r="E1183" s="539">
        <f t="shared" ref="E1183" si="66">D1183*$J$1137</f>
        <v>8624.9255680595652</v>
      </c>
      <c r="F1183" s="538"/>
      <c r="G1183" s="537"/>
    </row>
    <row r="1184" spans="3:7">
      <c r="C1184" s="536" t="s">
        <v>70</v>
      </c>
      <c r="D1184" s="535">
        <f>D1180+D1183</f>
        <v>310478.76145799994</v>
      </c>
      <c r="E1184" s="534">
        <f>E1180+E1183</f>
        <v>15535.822977477772</v>
      </c>
      <c r="F1184" s="533">
        <f>D1184/D1185</f>
        <v>18.008983266682964</v>
      </c>
      <c r="G1184" s="532">
        <f>E1184/E1185</f>
        <v>18.302824000312143</v>
      </c>
    </row>
    <row r="1185" spans="3:7">
      <c r="C1185" s="530" t="s">
        <v>71</v>
      </c>
      <c r="D1185" s="529">
        <f>Model!AK102</f>
        <v>17240.216</v>
      </c>
      <c r="E1185" s="528">
        <f>D1185*$J$1138</f>
        <v>848.82108778474935</v>
      </c>
      <c r="F1185" s="604"/>
      <c r="G1185" s="605"/>
    </row>
    <row r="1186" spans="3:7">
      <c r="C1186" s="531"/>
      <c r="D1186" s="531"/>
      <c r="E1186" s="531"/>
    </row>
    <row r="1187" spans="3:7">
      <c r="C1187" s="606" t="s">
        <v>72</v>
      </c>
      <c r="D1187" s="633">
        <f>D1180-Model!AK126</f>
        <v>4.5799999497830868E-4</v>
      </c>
      <c r="E1187" s="626"/>
    </row>
    <row r="1188" spans="3:7" ht="13.5" thickBot="1">
      <c r="C1188" s="531"/>
      <c r="D1188" s="609"/>
      <c r="E1188" s="609"/>
    </row>
    <row r="1189" spans="3:7">
      <c r="C1189" s="611" t="s">
        <v>354</v>
      </c>
      <c r="D1189" s="612" t="s">
        <v>130</v>
      </c>
      <c r="E1189" s="613" t="s">
        <v>131</v>
      </c>
    </row>
    <row r="1190" spans="3:7">
      <c r="C1190" s="615" t="s">
        <v>198</v>
      </c>
      <c r="D1190" s="579"/>
      <c r="E1190" s="519">
        <f>D1190*$J$1137</f>
        <v>0</v>
      </c>
    </row>
    <row r="1191" spans="3:7">
      <c r="C1191" s="615" t="s">
        <v>74</v>
      </c>
      <c r="D1191" s="520">
        <f>D1181</f>
        <v>5258.0789999999997</v>
      </c>
      <c r="E1191" s="519">
        <f>D1191*$J$1137</f>
        <v>263.10522549750561</v>
      </c>
    </row>
    <row r="1192" spans="3:7" ht="13.5" thickBot="1">
      <c r="C1192" s="616" t="s">
        <v>75</v>
      </c>
      <c r="D1192" s="517">
        <f>SUM(D1190:D1191)</f>
        <v>5258.0789999999997</v>
      </c>
      <c r="E1192" s="516">
        <f>SUM(E1190:E1191)</f>
        <v>263.10522549750561</v>
      </c>
    </row>
    <row r="1193" spans="3:7">
      <c r="C1193" s="531"/>
      <c r="D1193" s="531"/>
      <c r="E1193" s="531"/>
    </row>
    <row r="1194" spans="3:7" ht="13.5" thickBot="1">
      <c r="C1194" s="531"/>
      <c r="D1194" s="531"/>
      <c r="E1194" s="531"/>
    </row>
    <row r="1195" spans="3:7">
      <c r="C1195" s="617" t="s">
        <v>355</v>
      </c>
      <c r="D1195" s="612" t="s">
        <v>130</v>
      </c>
      <c r="E1195" s="612" t="s">
        <v>133</v>
      </c>
    </row>
    <row r="1196" spans="3:7">
      <c r="C1196" s="618"/>
      <c r="D1196" s="619"/>
      <c r="E1196" s="619"/>
    </row>
    <row r="1197" spans="3:7">
      <c r="C1197" s="618" t="s">
        <v>241</v>
      </c>
      <c r="D1197" s="592">
        <f>Model!AK119</f>
        <v>13594.281000000001</v>
      </c>
      <c r="E1197" s="591">
        <f>(D1197/$D$1203)</f>
        <v>9.7927583919764152E-2</v>
      </c>
    </row>
    <row r="1198" spans="3:7">
      <c r="C1198" s="618" t="s">
        <v>242</v>
      </c>
      <c r="D1198" s="627">
        <f>+D1143+D1145+D1146+D1152+D1159+D1175</f>
        <v>21179.775000000001</v>
      </c>
      <c r="E1198" s="591">
        <f t="shared" ref="E1198:E1201" si="67">(D1198/$D$1203)</f>
        <v>0.15257034878962872</v>
      </c>
    </row>
    <row r="1199" spans="3:7">
      <c r="C1199" s="618" t="s">
        <v>243</v>
      </c>
      <c r="D1199" s="592">
        <f>D1144+D1148+D1149+D1162</f>
        <v>16720.634999999998</v>
      </c>
      <c r="E1199" s="591">
        <f t="shared" si="67"/>
        <v>0.1204485464993879</v>
      </c>
    </row>
    <row r="1200" spans="3:7">
      <c r="C1200" s="618" t="s">
        <v>244</v>
      </c>
      <c r="D1200" s="592">
        <f>+D1153+D1157</f>
        <v>12700</v>
      </c>
      <c r="E1200" s="591">
        <f t="shared" si="67"/>
        <v>9.1485553063159766E-2</v>
      </c>
    </row>
    <row r="1201" spans="2:10">
      <c r="C1201" s="618" t="s">
        <v>245</v>
      </c>
      <c r="D1201" s="592">
        <f>SUM(D1143:D1176)-SUM(D1197:D1200)</f>
        <v>74625.041457999978</v>
      </c>
      <c r="E1201" s="591">
        <f t="shared" si="67"/>
        <v>0.53756796772805937</v>
      </c>
    </row>
    <row r="1202" spans="2:10" ht="13.5" thickBot="1">
      <c r="C1202" s="618"/>
      <c r="D1202" s="620"/>
      <c r="E1202" s="591"/>
    </row>
    <row r="1203" spans="2:10" ht="13.5" thickBot="1">
      <c r="C1203" s="621" t="s">
        <v>77</v>
      </c>
      <c r="D1203" s="594">
        <f>+SUM(D1197:D1202)</f>
        <v>138819.73245799998</v>
      </c>
      <c r="E1203" s="596">
        <f>+SUM(E1197:E1202)</f>
        <v>0.99999999999999989</v>
      </c>
    </row>
    <row r="1212" spans="2:10">
      <c r="B1212" s="557" t="s">
        <v>356</v>
      </c>
      <c r="I1212" s="557" t="s">
        <v>357</v>
      </c>
      <c r="J1212" s="556">
        <f>Model!AJ203</f>
        <v>5.0014504206219806E-2</v>
      </c>
    </row>
    <row r="1213" spans="2:10">
      <c r="I1213" s="557" t="s">
        <v>358</v>
      </c>
      <c r="J1213" s="556">
        <f>AVERAGE(Model!AG202:AJ202)</f>
        <v>4.9135299335618852E-2</v>
      </c>
    </row>
    <row r="1214" spans="2:10">
      <c r="C1214" s="560"/>
      <c r="D1214" s="790" t="s">
        <v>359</v>
      </c>
      <c r="E1214" s="791"/>
      <c r="F1214" s="559" t="s">
        <v>20</v>
      </c>
      <c r="G1214" s="558" t="s">
        <v>21</v>
      </c>
    </row>
    <row r="1215" spans="2:10">
      <c r="C1215" s="554"/>
      <c r="D1215" s="555" t="s">
        <v>18</v>
      </c>
      <c r="E1215" s="552" t="s">
        <v>19</v>
      </c>
      <c r="F1215" s="550"/>
      <c r="G1215" s="549"/>
    </row>
    <row r="1216" spans="2:10">
      <c r="C1216" s="554"/>
      <c r="D1216" s="553"/>
      <c r="E1216" s="552"/>
      <c r="F1216" s="550"/>
      <c r="G1216" s="549"/>
    </row>
    <row r="1217" spans="3:7">
      <c r="C1217" s="554" t="s">
        <v>92</v>
      </c>
      <c r="D1217" s="553"/>
      <c r="E1217" s="552"/>
      <c r="F1217" s="550"/>
      <c r="G1217" s="549"/>
    </row>
    <row r="1218" spans="3:7" ht="25.5">
      <c r="C1218" s="548" t="s">
        <v>304</v>
      </c>
      <c r="D1218" s="418">
        <v>2245.7139999999999</v>
      </c>
      <c r="E1218" s="539">
        <f>D1218*$J$1212</f>
        <v>112.3182722989667</v>
      </c>
      <c r="F1218" s="598"/>
      <c r="G1218" s="546"/>
    </row>
    <row r="1219" spans="3:7" ht="25.5">
      <c r="C1219" s="548" t="s">
        <v>342</v>
      </c>
      <c r="D1219" s="418">
        <v>4144.3999999999996</v>
      </c>
      <c r="E1219" s="539">
        <f t="shared" ref="E1219:E1224" si="68">D1219*$J$1212</f>
        <v>207.28011123225735</v>
      </c>
      <c r="F1219" s="598"/>
      <c r="G1219" s="546"/>
    </row>
    <row r="1220" spans="3:7" ht="25.5">
      <c r="C1220" s="548" t="s">
        <v>289</v>
      </c>
      <c r="D1220" s="418">
        <v>245.28299999999999</v>
      </c>
      <c r="E1220" s="539">
        <f t="shared" si="68"/>
        <v>12.267707635214212</v>
      </c>
      <c r="F1220" s="550"/>
      <c r="G1220" s="549"/>
    </row>
    <row r="1221" spans="3:7" ht="25.5">
      <c r="C1221" s="548" t="s">
        <v>289</v>
      </c>
      <c r="D1221" s="418">
        <v>508.79300000000001</v>
      </c>
      <c r="E1221" s="539">
        <f t="shared" si="68"/>
        <v>25.447029638595193</v>
      </c>
      <c r="F1221" s="550"/>
      <c r="G1221" s="549"/>
    </row>
    <row r="1222" spans="3:7" ht="25.5">
      <c r="C1222" s="548" t="s">
        <v>205</v>
      </c>
      <c r="D1222" s="551">
        <v>3000</v>
      </c>
      <c r="E1222" s="539">
        <f t="shared" si="68"/>
        <v>150.04351261865941</v>
      </c>
      <c r="F1222" s="550"/>
      <c r="G1222" s="549"/>
    </row>
    <row r="1223" spans="3:7" ht="25.5">
      <c r="C1223" s="548" t="s">
        <v>275</v>
      </c>
      <c r="D1223" s="551">
        <v>478.22300000000001</v>
      </c>
      <c r="E1223" s="539">
        <f t="shared" si="68"/>
        <v>23.918086245011054</v>
      </c>
      <c r="F1223" s="550"/>
      <c r="G1223" s="549"/>
    </row>
    <row r="1224" spans="3:7" ht="25.5">
      <c r="C1224" s="548" t="s">
        <v>276</v>
      </c>
      <c r="D1224" s="551">
        <v>127.526</v>
      </c>
      <c r="E1224" s="539">
        <f t="shared" si="68"/>
        <v>6.3781496634023869</v>
      </c>
      <c r="F1224" s="550"/>
      <c r="G1224" s="549"/>
    </row>
    <row r="1225" spans="3:7">
      <c r="C1225" s="548"/>
      <c r="D1225" s="551"/>
      <c r="E1225" s="539"/>
      <c r="F1225" s="550"/>
      <c r="G1225" s="549"/>
    </row>
    <row r="1226" spans="3:7">
      <c r="C1226" s="554" t="s">
        <v>97</v>
      </c>
      <c r="D1226" s="551"/>
      <c r="E1226" s="539"/>
      <c r="F1226" s="550"/>
      <c r="G1226" s="549"/>
    </row>
    <row r="1227" spans="3:7" ht="25.5">
      <c r="C1227" s="548" t="s">
        <v>290</v>
      </c>
      <c r="D1227" s="418">
        <v>3120.9</v>
      </c>
      <c r="E1227" s="539">
        <f t="shared" ref="E1227:E1234" si="69">D1227*$J$1212</f>
        <v>156.09026617719141</v>
      </c>
      <c r="F1227" s="601"/>
      <c r="G1227" s="546"/>
    </row>
    <row r="1228" spans="3:7" ht="25.5">
      <c r="C1228" s="548" t="s">
        <v>343</v>
      </c>
      <c r="D1228" s="418">
        <v>7500</v>
      </c>
      <c r="E1228" s="539">
        <f t="shared" si="69"/>
        <v>375.10878154664857</v>
      </c>
      <c r="F1228" s="601"/>
      <c r="G1228" s="549"/>
    </row>
    <row r="1229" spans="3:7" ht="25.5">
      <c r="C1229" s="548" t="s">
        <v>167</v>
      </c>
      <c r="D1229" s="551">
        <v>3083.1970000000001</v>
      </c>
      <c r="E1229" s="539">
        <f t="shared" si="69"/>
        <v>154.2045693251043</v>
      </c>
      <c r="F1229" s="601"/>
      <c r="G1229" s="549"/>
    </row>
    <row r="1230" spans="3:7" ht="25.5">
      <c r="C1230" s="548" t="s">
        <v>168</v>
      </c>
      <c r="D1230" s="418">
        <v>3316.2530000000002</v>
      </c>
      <c r="E1230" s="539">
        <f t="shared" si="69"/>
        <v>165.86074961738905</v>
      </c>
      <c r="F1230" s="601"/>
      <c r="G1230" s="546"/>
    </row>
    <row r="1231" spans="3:7" ht="25.5">
      <c r="C1231" s="548" t="s">
        <v>169</v>
      </c>
      <c r="D1231" s="418">
        <v>4799.6000000000004</v>
      </c>
      <c r="E1231" s="539">
        <f t="shared" si="69"/>
        <v>240.04961438817261</v>
      </c>
      <c r="F1231" s="601"/>
      <c r="G1231" s="549"/>
    </row>
    <row r="1232" spans="3:7" ht="25.5">
      <c r="C1232" s="548" t="s">
        <v>324</v>
      </c>
      <c r="D1232" s="418">
        <v>5200</v>
      </c>
      <c r="E1232" s="539">
        <f t="shared" si="69"/>
        <v>260.07542187234299</v>
      </c>
      <c r="F1232" s="601"/>
      <c r="G1232" s="549"/>
    </row>
    <row r="1233" spans="3:7" ht="25.5">
      <c r="C1233" s="548" t="s">
        <v>206</v>
      </c>
      <c r="D1233" s="551">
        <v>2900</v>
      </c>
      <c r="E1233" s="539">
        <f t="shared" si="69"/>
        <v>145.04206219803743</v>
      </c>
      <c r="F1233" s="601"/>
      <c r="G1233" s="549"/>
    </row>
    <row r="1234" spans="3:7" ht="25.5">
      <c r="C1234" s="548" t="s">
        <v>325</v>
      </c>
      <c r="D1234" s="418">
        <v>5250.3810000000003</v>
      </c>
      <c r="E1234" s="539">
        <f t="shared" si="69"/>
        <v>262.59520260875655</v>
      </c>
      <c r="F1234" s="601"/>
      <c r="G1234" s="546"/>
    </row>
    <row r="1235" spans="3:7">
      <c r="C1235" s="548" t="s">
        <v>175</v>
      </c>
      <c r="D1235" s="576">
        <v>17434.900000000001</v>
      </c>
      <c r="E1235" s="575">
        <v>872</v>
      </c>
      <c r="F1235" s="601"/>
      <c r="G1235" s="546"/>
    </row>
    <row r="1236" spans="3:7">
      <c r="C1236" s="548" t="s">
        <v>176</v>
      </c>
      <c r="D1236" s="576">
        <f>E1236/$J$1212</f>
        <v>15355.545599999999</v>
      </c>
      <c r="E1236" s="575">
        <v>768</v>
      </c>
      <c r="F1236" s="601"/>
      <c r="G1236" s="546"/>
    </row>
    <row r="1237" spans="3:7">
      <c r="C1237" s="548" t="s">
        <v>277</v>
      </c>
      <c r="D1237" s="576">
        <f>E1237/$J$1212</f>
        <v>11996.519999999999</v>
      </c>
      <c r="E1237" s="575">
        <v>600</v>
      </c>
      <c r="F1237" s="601"/>
      <c r="G1237" s="549"/>
    </row>
    <row r="1238" spans="3:7">
      <c r="C1238" s="548" t="s">
        <v>178</v>
      </c>
      <c r="D1238" s="576">
        <f>E1238/$J$1212</f>
        <v>13995.939999999999</v>
      </c>
      <c r="E1238" s="575">
        <v>700</v>
      </c>
      <c r="F1238" s="601"/>
      <c r="G1238" s="549"/>
    </row>
    <row r="1239" spans="3:7">
      <c r="C1239" s="548" t="s">
        <v>207</v>
      </c>
      <c r="D1239" s="576">
        <f>E1239/$J$1212</f>
        <v>15995.359999999999</v>
      </c>
      <c r="E1239" s="575">
        <v>800</v>
      </c>
      <c r="F1239" s="601"/>
      <c r="G1239" s="546"/>
    </row>
    <row r="1240" spans="3:7">
      <c r="C1240" s="548"/>
      <c r="D1240" s="576"/>
      <c r="E1240" s="575"/>
      <c r="F1240" s="547"/>
      <c r="G1240" s="546"/>
    </row>
    <row r="1241" spans="3:7">
      <c r="C1241" s="554" t="s">
        <v>113</v>
      </c>
      <c r="D1241" s="576"/>
      <c r="E1241" s="575"/>
      <c r="F1241" s="547"/>
      <c r="G1241" s="546"/>
    </row>
    <row r="1242" spans="3:7" ht="25.5">
      <c r="C1242" s="548" t="s">
        <v>351</v>
      </c>
      <c r="D1242" s="418">
        <v>0</v>
      </c>
      <c r="E1242" s="539">
        <f>D1242*$J$1212</f>
        <v>0</v>
      </c>
      <c r="F1242" s="547"/>
      <c r="G1242" s="546"/>
    </row>
    <row r="1243" spans="3:7" ht="25.5">
      <c r="C1243" s="548" t="s">
        <v>351</v>
      </c>
      <c r="D1243" s="418">
        <v>0</v>
      </c>
      <c r="E1243" s="539">
        <f t="shared" ref="E1243:E1248" si="70">D1243*$J$1212</f>
        <v>0</v>
      </c>
      <c r="F1243" s="547"/>
      <c r="G1243" s="546"/>
    </row>
    <row r="1244" spans="3:7" ht="25.5">
      <c r="C1244" s="548" t="s">
        <v>352</v>
      </c>
      <c r="D1244" s="418">
        <v>0</v>
      </c>
      <c r="E1244" s="539">
        <f t="shared" si="70"/>
        <v>0</v>
      </c>
      <c r="F1244" s="547"/>
      <c r="G1244" s="546"/>
    </row>
    <row r="1245" spans="3:7" ht="25.5">
      <c r="C1245" s="548" t="s">
        <v>329</v>
      </c>
      <c r="D1245" s="418">
        <v>0</v>
      </c>
      <c r="E1245" s="539">
        <f t="shared" si="70"/>
        <v>0</v>
      </c>
      <c r="F1245" s="547"/>
      <c r="G1245" s="546"/>
    </row>
    <row r="1246" spans="3:7" ht="25.5">
      <c r="C1246" s="548" t="s">
        <v>353</v>
      </c>
      <c r="D1246" s="418">
        <v>1800</v>
      </c>
      <c r="E1246" s="539">
        <f t="shared" si="70"/>
        <v>90.026107571195652</v>
      </c>
      <c r="F1246" s="547"/>
      <c r="G1246" s="546"/>
    </row>
    <row r="1247" spans="3:7" ht="25.5">
      <c r="C1247" s="548" t="s">
        <v>331</v>
      </c>
      <c r="D1247" s="418">
        <v>100</v>
      </c>
      <c r="E1247" s="539">
        <f t="shared" si="70"/>
        <v>5.001450420621981</v>
      </c>
      <c r="F1247" s="547"/>
      <c r="G1247" s="546"/>
    </row>
    <row r="1248" spans="3:7" ht="25.5">
      <c r="C1248" s="548" t="s">
        <v>344</v>
      </c>
      <c r="D1248" s="418">
        <v>0</v>
      </c>
      <c r="E1248" s="539">
        <f t="shared" si="70"/>
        <v>0</v>
      </c>
      <c r="F1248" s="547"/>
      <c r="G1248" s="546"/>
    </row>
    <row r="1249" spans="3:7" ht="25.5">
      <c r="C1249" s="548" t="s">
        <v>345</v>
      </c>
      <c r="D1249" s="576">
        <f>E1249/$J$1212</f>
        <v>9997.1</v>
      </c>
      <c r="E1249" s="575">
        <v>500</v>
      </c>
      <c r="F1249" s="547"/>
      <c r="G1249" s="546"/>
    </row>
    <row r="1250" spans="3:7" ht="25.5">
      <c r="C1250" s="548" t="s">
        <v>333</v>
      </c>
      <c r="D1250" s="418">
        <v>2500</v>
      </c>
      <c r="E1250" s="539">
        <f>D1250*$J$1212</f>
        <v>125.03626051554951</v>
      </c>
      <c r="F1250" s="547"/>
      <c r="G1250" s="546"/>
    </row>
    <row r="1251" spans="3:7">
      <c r="C1251" s="548" t="s">
        <v>196</v>
      </c>
      <c r="D1251" s="418">
        <v>-796.48599999999999</v>
      </c>
      <c r="E1251" s="539">
        <f>D1251*$J$1212</f>
        <v>-39.83585239719519</v>
      </c>
      <c r="F1251" s="547"/>
      <c r="G1251" s="546"/>
    </row>
    <row r="1252" spans="3:7">
      <c r="C1252" s="548" t="s">
        <v>65</v>
      </c>
      <c r="D1252" s="418">
        <v>10.996</v>
      </c>
      <c r="E1252" s="539">
        <f>D1252*$J$1212</f>
        <v>0.54995948825159302</v>
      </c>
      <c r="F1252" s="547"/>
      <c r="G1252" s="546"/>
    </row>
    <row r="1253" spans="3:7">
      <c r="C1253" s="548"/>
      <c r="D1253" s="418"/>
      <c r="E1253" s="575"/>
      <c r="F1253" s="547"/>
      <c r="G1253" s="546"/>
    </row>
    <row r="1254" spans="3:7">
      <c r="C1254" s="536" t="s">
        <v>66</v>
      </c>
      <c r="D1254" s="535">
        <f>SUM(D1218:D1253)</f>
        <v>134310.14560000002</v>
      </c>
      <c r="E1254" s="534">
        <f>SUM(E1218:E1253)</f>
        <v>6717.4574626641725</v>
      </c>
      <c r="F1254" s="533">
        <f>+D1254/D1259</f>
        <v>7.9312543639272013</v>
      </c>
      <c r="G1254" s="532">
        <f>+E1254/E1259</f>
        <v>8.0731751985845115</v>
      </c>
    </row>
    <row r="1255" spans="3:7">
      <c r="C1255" s="545" t="s">
        <v>67</v>
      </c>
      <c r="D1255" s="544">
        <f>Model!AJ123</f>
        <v>4336.7250000000004</v>
      </c>
      <c r="E1255" s="539">
        <f t="shared" ref="E1255" si="71">D1255*$J$1212</f>
        <v>216.8991507537186</v>
      </c>
      <c r="F1255" s="543"/>
      <c r="G1255" s="542"/>
    </row>
    <row r="1256" spans="3:7">
      <c r="C1256" s="536" t="s">
        <v>68</v>
      </c>
      <c r="D1256" s="535">
        <f>+D1254-D1255</f>
        <v>129973.42060000001</v>
      </c>
      <c r="E1256" s="534">
        <f>+E1254-E1255</f>
        <v>6500.558311910454</v>
      </c>
      <c r="F1256" s="533">
        <f>+D1256/D1259</f>
        <v>7.6751629947476996</v>
      </c>
      <c r="G1256" s="532">
        <f>+E1256/E1259</f>
        <v>7.8125014460238988</v>
      </c>
    </row>
    <row r="1257" spans="3:7">
      <c r="C1257" s="541" t="s">
        <v>69</v>
      </c>
      <c r="D1257" s="540">
        <f>Model!AJ128</f>
        <v>172366.55</v>
      </c>
      <c r="E1257" s="539">
        <f t="shared" ref="E1257" si="72">D1257*$J$1212</f>
        <v>8620.8275399865961</v>
      </c>
      <c r="F1257" s="538"/>
      <c r="G1257" s="537"/>
    </row>
    <row r="1258" spans="3:7">
      <c r="C1258" s="536" t="s">
        <v>70</v>
      </c>
      <c r="D1258" s="535">
        <f>D1254+D1257</f>
        <v>306676.69559999998</v>
      </c>
      <c r="E1258" s="534">
        <f>E1254+E1257</f>
        <v>15338.285002650769</v>
      </c>
      <c r="F1258" s="533">
        <f>D1258/D1259</f>
        <v>18.109807486444073</v>
      </c>
      <c r="G1258" s="532">
        <f>E1258/E1259</f>
        <v>18.43385875689788</v>
      </c>
    </row>
    <row r="1259" spans="3:7">
      <c r="C1259" s="530" t="s">
        <v>71</v>
      </c>
      <c r="D1259" s="529">
        <f>Model!AJ102</f>
        <v>16934.287999999997</v>
      </c>
      <c r="E1259" s="528">
        <f>D1259*$J$1213</f>
        <v>832.07130991557813</v>
      </c>
      <c r="F1259" s="604"/>
      <c r="G1259" s="605"/>
    </row>
    <row r="1260" spans="3:7">
      <c r="C1260" s="531"/>
      <c r="D1260" s="531"/>
      <c r="E1260" s="531"/>
    </row>
    <row r="1261" spans="3:7">
      <c r="C1261" s="606" t="s">
        <v>72</v>
      </c>
      <c r="D1261" s="623">
        <f>D1254-Model!AJ126</f>
        <v>-4.2399999976623803E-2</v>
      </c>
      <c r="E1261" s="626"/>
    </row>
    <row r="1262" spans="3:7" ht="13.5" thickBot="1">
      <c r="C1262" s="531"/>
      <c r="D1262" s="609"/>
      <c r="E1262" s="609"/>
    </row>
    <row r="1263" spans="3:7">
      <c r="C1263" s="611" t="s">
        <v>360</v>
      </c>
      <c r="D1263" s="612" t="s">
        <v>130</v>
      </c>
      <c r="E1263" s="613" t="s">
        <v>131</v>
      </c>
    </row>
    <row r="1264" spans="3:7">
      <c r="C1264" s="615" t="s">
        <v>198</v>
      </c>
      <c r="D1264" s="579"/>
      <c r="E1264" s="519">
        <f>D1264*$J$1212</f>
        <v>0</v>
      </c>
    </row>
    <row r="1265" spans="2:10">
      <c r="C1265" s="615" t="s">
        <v>74</v>
      </c>
      <c r="D1265" s="520">
        <f>D1255</f>
        <v>4336.7250000000004</v>
      </c>
      <c r="E1265" s="519">
        <f>D1265*$J$1212</f>
        <v>216.8991507537186</v>
      </c>
    </row>
    <row r="1266" spans="2:10" ht="13.5" thickBot="1">
      <c r="C1266" s="616" t="s">
        <v>75</v>
      </c>
      <c r="D1266" s="517">
        <f>SUM(D1264:D1265)</f>
        <v>4336.7250000000004</v>
      </c>
      <c r="E1266" s="516">
        <f>SUM(E1264:E1265)</f>
        <v>216.8991507537186</v>
      </c>
    </row>
    <row r="1267" spans="2:10">
      <c r="C1267" s="531"/>
      <c r="D1267" s="531"/>
      <c r="E1267" s="531"/>
    </row>
    <row r="1268" spans="2:10" ht="13.5" thickBot="1">
      <c r="C1268" s="531"/>
      <c r="D1268" s="531"/>
      <c r="E1268" s="531"/>
    </row>
    <row r="1269" spans="2:10">
      <c r="C1269" s="617" t="s">
        <v>361</v>
      </c>
      <c r="D1269" s="612" t="s">
        <v>130</v>
      </c>
      <c r="E1269" s="612" t="s">
        <v>133</v>
      </c>
    </row>
    <row r="1270" spans="2:10">
      <c r="C1270" s="618"/>
      <c r="D1270" s="619"/>
      <c r="E1270" s="619"/>
    </row>
    <row r="1271" spans="2:10">
      <c r="C1271" s="618" t="s">
        <v>241</v>
      </c>
      <c r="D1271" s="592">
        <f>Model!AI49</f>
        <v>0.1552438112389864</v>
      </c>
      <c r="E1271" s="591">
        <f>(D1271/$D$1277)</f>
        <v>1.1491400928646016E-6</v>
      </c>
    </row>
    <row r="1272" spans="2:10">
      <c r="C1272" s="618" t="s">
        <v>242</v>
      </c>
      <c r="D1272" s="627">
        <f>+D1218+D1220+D1221+D1227+D1234+D1249</f>
        <v>21368.171000000002</v>
      </c>
      <c r="E1272" s="591">
        <f>(D1272/$D$1277)</f>
        <v>0.15817069815096232</v>
      </c>
    </row>
    <row r="1273" spans="2:10">
      <c r="C1273" s="618" t="s">
        <v>243</v>
      </c>
      <c r="D1273" s="592">
        <f>D1219+D1223+D1224+D1237</f>
        <v>16746.668999999998</v>
      </c>
      <c r="E1273" s="591">
        <f>(D1273/$D$1277)</f>
        <v>0.1239615841446176</v>
      </c>
    </row>
    <row r="1274" spans="2:10">
      <c r="C1274" s="618" t="s">
        <v>244</v>
      </c>
      <c r="D1274" s="592">
        <f>+D1228+D1232</f>
        <v>12700</v>
      </c>
      <c r="E1274" s="591">
        <f>(D1274/$D$1277)</f>
        <v>9.4007478062451924E-2</v>
      </c>
    </row>
    <row r="1275" spans="2:10">
      <c r="C1275" s="618" t="s">
        <v>245</v>
      </c>
      <c r="D1275" s="592">
        <f>SUM(D1218:D1250)-SUM(D1271:D1274)</f>
        <v>84280.640356188771</v>
      </c>
      <c r="E1275" s="591">
        <f>(D1275/$D$1277)</f>
        <v>0.62385909050187527</v>
      </c>
    </row>
    <row r="1276" spans="2:10" ht="13.5" thickBot="1">
      <c r="C1276" s="618"/>
      <c r="D1276" s="620"/>
      <c r="E1276" s="591"/>
    </row>
    <row r="1277" spans="2:10" ht="13.5" thickBot="1">
      <c r="C1277" s="621" t="s">
        <v>77</v>
      </c>
      <c r="D1277" s="594">
        <f>+SUM(D1271:D1276)</f>
        <v>135095.63560000001</v>
      </c>
      <c r="E1277" s="596">
        <f>+SUM(E1271:E1276)</f>
        <v>1</v>
      </c>
    </row>
    <row r="1278" spans="2:10">
      <c r="D1278" s="509">
        <f>+D1277+D1251+D1252-D1254</f>
        <v>0</v>
      </c>
    </row>
    <row r="1280" spans="2:10">
      <c r="B1280" s="557" t="s">
        <v>362</v>
      </c>
      <c r="I1280" s="557" t="s">
        <v>363</v>
      </c>
      <c r="J1280" s="556">
        <f>Model!AI203</f>
        <v>4.8582602570019673E-2</v>
      </c>
    </row>
    <row r="1281" spans="3:10">
      <c r="I1281" s="557" t="s">
        <v>364</v>
      </c>
      <c r="J1281" s="556">
        <f>AVERAGE(Model!AF202:AI202)</f>
        <v>4.9290340010239228E-2</v>
      </c>
    </row>
    <row r="1282" spans="3:10">
      <c r="C1282" s="560"/>
      <c r="D1282" s="790" t="s">
        <v>365</v>
      </c>
      <c r="E1282" s="791"/>
      <c r="F1282" s="559" t="s">
        <v>20</v>
      </c>
      <c r="G1282" s="558" t="s">
        <v>21</v>
      </c>
    </row>
    <row r="1283" spans="3:10">
      <c r="C1283" s="554"/>
      <c r="D1283" s="555" t="s">
        <v>18</v>
      </c>
      <c r="E1283" s="552" t="s">
        <v>19</v>
      </c>
      <c r="F1283" s="550"/>
      <c r="G1283" s="549"/>
    </row>
    <row r="1284" spans="3:10">
      <c r="C1284" s="554"/>
      <c r="D1284" s="553"/>
      <c r="E1284" s="552"/>
      <c r="F1284" s="550"/>
      <c r="G1284" s="549"/>
    </row>
    <row r="1285" spans="3:10">
      <c r="C1285" s="554" t="s">
        <v>92</v>
      </c>
      <c r="D1285" s="553"/>
      <c r="E1285" s="552"/>
      <c r="F1285" s="550"/>
      <c r="G1285" s="549"/>
    </row>
    <row r="1286" spans="3:10" ht="25.5">
      <c r="C1286" s="548" t="s">
        <v>304</v>
      </c>
      <c r="D1286" s="418">
        <v>2280</v>
      </c>
      <c r="E1286" s="539">
        <f>D1286*$J$1280</f>
        <v>110.76833385964486</v>
      </c>
      <c r="F1286" s="598"/>
      <c r="G1286" s="546"/>
    </row>
    <row r="1287" spans="3:10" ht="25.5">
      <c r="C1287" s="548" t="s">
        <v>342</v>
      </c>
      <c r="D1287" s="418">
        <v>4153.1499999999996</v>
      </c>
      <c r="E1287" s="539">
        <f t="shared" ref="E1287:E1292" si="73">D1287*$J$1280</f>
        <v>201.77083586367718</v>
      </c>
      <c r="F1287" s="598"/>
      <c r="G1287" s="546"/>
    </row>
    <row r="1288" spans="3:10" ht="25.5">
      <c r="C1288" s="548" t="s">
        <v>289</v>
      </c>
      <c r="D1288" s="418">
        <v>246.07400000000001</v>
      </c>
      <c r="E1288" s="539">
        <f t="shared" si="73"/>
        <v>11.954915344815021</v>
      </c>
      <c r="F1288" s="550"/>
      <c r="G1288" s="549"/>
    </row>
    <row r="1289" spans="3:10" ht="25.5">
      <c r="C1289" s="548" t="s">
        <v>289</v>
      </c>
      <c r="D1289" s="418">
        <v>510.49400000000003</v>
      </c>
      <c r="E1289" s="539">
        <f t="shared" si="73"/>
        <v>24.801127116379625</v>
      </c>
      <c r="F1289" s="550"/>
      <c r="G1289" s="549"/>
    </row>
    <row r="1290" spans="3:10" ht="25.5">
      <c r="C1290" s="548" t="s">
        <v>366</v>
      </c>
      <c r="D1290" s="551">
        <v>1820</v>
      </c>
      <c r="E1290" s="539">
        <f t="shared" si="73"/>
        <v>88.420336677435799</v>
      </c>
      <c r="F1290" s="550"/>
      <c r="G1290" s="549"/>
    </row>
    <row r="1291" spans="3:10" ht="25.5">
      <c r="C1291" s="548" t="s">
        <v>275</v>
      </c>
      <c r="D1291" s="551">
        <v>483.42</v>
      </c>
      <c r="E1291" s="539">
        <f t="shared" si="73"/>
        <v>23.485801734398912</v>
      </c>
      <c r="F1291" s="550"/>
      <c r="G1291" s="549"/>
    </row>
    <row r="1292" spans="3:10" ht="25.5">
      <c r="C1292" s="548" t="s">
        <v>276</v>
      </c>
      <c r="D1292" s="551">
        <v>128.91200000000001</v>
      </c>
      <c r="E1292" s="539">
        <f t="shared" si="73"/>
        <v>6.2628804625063763</v>
      </c>
      <c r="F1292" s="550"/>
      <c r="G1292" s="549"/>
    </row>
    <row r="1293" spans="3:10">
      <c r="C1293" s="548"/>
      <c r="D1293" s="551"/>
      <c r="E1293" s="539"/>
      <c r="F1293" s="550"/>
      <c r="G1293" s="549"/>
    </row>
    <row r="1294" spans="3:10">
      <c r="C1294" s="554" t="s">
        <v>97</v>
      </c>
      <c r="D1294" s="551"/>
      <c r="E1294" s="539"/>
      <c r="F1294" s="550"/>
      <c r="G1294" s="549"/>
    </row>
    <row r="1295" spans="3:10" ht="25.5">
      <c r="C1295" s="548" t="s">
        <v>290</v>
      </c>
      <c r="D1295" s="418">
        <v>3120.9</v>
      </c>
      <c r="E1295" s="539">
        <f t="shared" ref="E1295:E1302" si="74">D1295*$J$1280</f>
        <v>151.6214443607744</v>
      </c>
      <c r="F1295" s="601"/>
      <c r="G1295" s="546"/>
    </row>
    <row r="1296" spans="3:10" ht="25.5">
      <c r="C1296" s="548" t="s">
        <v>343</v>
      </c>
      <c r="D1296" s="418">
        <v>7500</v>
      </c>
      <c r="E1296" s="539">
        <f t="shared" si="74"/>
        <v>364.36951927514752</v>
      </c>
      <c r="F1296" s="601"/>
      <c r="G1296" s="549"/>
    </row>
    <row r="1297" spans="3:7" ht="25.5">
      <c r="C1297" s="548" t="s">
        <v>167</v>
      </c>
      <c r="D1297" s="551">
        <v>3025.9749999999999</v>
      </c>
      <c r="E1297" s="539">
        <f t="shared" si="74"/>
        <v>147.00974081181528</v>
      </c>
      <c r="F1297" s="601"/>
      <c r="G1297" s="549"/>
    </row>
    <row r="1298" spans="3:7" ht="25.5">
      <c r="C1298" s="548" t="s">
        <v>168</v>
      </c>
      <c r="D1298" s="418">
        <v>3254.7060000000001</v>
      </c>
      <c r="E1298" s="539">
        <f t="shared" si="74"/>
        <v>158.12208808025846</v>
      </c>
      <c r="F1298" s="601"/>
      <c r="G1298" s="546"/>
    </row>
    <row r="1299" spans="3:7" ht="25.5">
      <c r="C1299" s="548" t="s">
        <v>169</v>
      </c>
      <c r="D1299" s="418">
        <v>4799.6000000000004</v>
      </c>
      <c r="E1299" s="539">
        <f t="shared" si="74"/>
        <v>233.17705929506644</v>
      </c>
      <c r="F1299" s="601"/>
      <c r="G1299" s="549"/>
    </row>
    <row r="1300" spans="3:7" ht="25.5">
      <c r="C1300" s="548" t="s">
        <v>324</v>
      </c>
      <c r="D1300" s="418">
        <v>5200</v>
      </c>
      <c r="E1300" s="539">
        <f t="shared" si="74"/>
        <v>252.62953336410229</v>
      </c>
      <c r="F1300" s="601"/>
      <c r="G1300" s="549"/>
    </row>
    <row r="1301" spans="3:7" ht="25.5">
      <c r="C1301" s="548" t="s">
        <v>206</v>
      </c>
      <c r="D1301" s="551">
        <v>2900</v>
      </c>
      <c r="E1301" s="539">
        <f t="shared" si="74"/>
        <v>140.88954745305705</v>
      </c>
      <c r="F1301" s="601"/>
      <c r="G1301" s="549"/>
    </row>
    <row r="1302" spans="3:7" ht="25.5">
      <c r="C1302" s="548" t="s">
        <v>325</v>
      </c>
      <c r="D1302" s="418">
        <v>5250.3810000000003</v>
      </c>
      <c r="E1302" s="539">
        <f t="shared" si="74"/>
        <v>255.07717346418247</v>
      </c>
      <c r="F1302" s="601"/>
      <c r="G1302" s="546"/>
    </row>
    <row r="1303" spans="3:7">
      <c r="C1303" s="548" t="s">
        <v>175</v>
      </c>
      <c r="D1303" s="576">
        <f>E1303/$J$1280</f>
        <v>17948.812000000002</v>
      </c>
      <c r="E1303" s="575">
        <v>872</v>
      </c>
      <c r="F1303" s="601"/>
      <c r="G1303" s="546"/>
    </row>
    <row r="1304" spans="3:7">
      <c r="C1304" s="548" t="s">
        <v>176</v>
      </c>
      <c r="D1304" s="576">
        <f>E1304/$J$1280</f>
        <v>15808.128000000001</v>
      </c>
      <c r="E1304" s="575">
        <v>768</v>
      </c>
      <c r="F1304" s="601"/>
      <c r="G1304" s="546"/>
    </row>
    <row r="1305" spans="3:7">
      <c r="C1305" s="548" t="s">
        <v>277</v>
      </c>
      <c r="D1305" s="576">
        <f>E1305/$J$1280</f>
        <v>12350.1</v>
      </c>
      <c r="E1305" s="575">
        <v>600</v>
      </c>
      <c r="F1305" s="601"/>
      <c r="G1305" s="549"/>
    </row>
    <row r="1306" spans="3:7">
      <c r="C1306" s="548" t="s">
        <v>178</v>
      </c>
      <c r="D1306" s="576">
        <f>E1306/$J$1280</f>
        <v>14408.45</v>
      </c>
      <c r="E1306" s="575">
        <v>700</v>
      </c>
      <c r="F1306" s="601"/>
      <c r="G1306" s="549"/>
    </row>
    <row r="1307" spans="3:7">
      <c r="C1307" s="548" t="s">
        <v>207</v>
      </c>
      <c r="D1307" s="576">
        <f>E1307/$J$1280</f>
        <v>16466.8</v>
      </c>
      <c r="E1307" s="575">
        <v>800</v>
      </c>
      <c r="F1307" s="601"/>
      <c r="G1307" s="546"/>
    </row>
    <row r="1308" spans="3:7">
      <c r="C1308" s="548"/>
      <c r="D1308" s="576"/>
      <c r="E1308" s="575"/>
      <c r="F1308" s="547"/>
      <c r="G1308" s="546"/>
    </row>
    <row r="1309" spans="3:7">
      <c r="C1309" s="554" t="s">
        <v>113</v>
      </c>
      <c r="D1309" s="576"/>
      <c r="E1309" s="575"/>
      <c r="F1309" s="547"/>
      <c r="G1309" s="546"/>
    </row>
    <row r="1310" spans="3:7" ht="25.5">
      <c r="C1310" s="548" t="s">
        <v>351</v>
      </c>
      <c r="D1310" s="418">
        <v>0</v>
      </c>
      <c r="E1310" s="539">
        <f t="shared" ref="E1310:E1316" si="75">D1310*$J$1280</f>
        <v>0</v>
      </c>
      <c r="F1310" s="547"/>
      <c r="G1310" s="546"/>
    </row>
    <row r="1311" spans="3:7" ht="25.5">
      <c r="C1311" s="548" t="s">
        <v>351</v>
      </c>
      <c r="D1311" s="418">
        <v>0</v>
      </c>
      <c r="E1311" s="539">
        <f t="shared" si="75"/>
        <v>0</v>
      </c>
      <c r="F1311" s="547"/>
      <c r="G1311" s="546"/>
    </row>
    <row r="1312" spans="3:7" ht="25.5">
      <c r="C1312" s="548" t="s">
        <v>352</v>
      </c>
      <c r="D1312" s="418">
        <v>0</v>
      </c>
      <c r="E1312" s="539">
        <f t="shared" si="75"/>
        <v>0</v>
      </c>
      <c r="F1312" s="547"/>
      <c r="G1312" s="546"/>
    </row>
    <row r="1313" spans="3:7" ht="25.5">
      <c r="C1313" s="548" t="s">
        <v>329</v>
      </c>
      <c r="D1313" s="418">
        <v>0</v>
      </c>
      <c r="E1313" s="539">
        <f t="shared" si="75"/>
        <v>0</v>
      </c>
      <c r="F1313" s="547"/>
      <c r="G1313" s="546"/>
    </row>
    <row r="1314" spans="3:7" ht="25.5">
      <c r="C1314" s="548" t="s">
        <v>353</v>
      </c>
      <c r="D1314" s="418">
        <v>1800</v>
      </c>
      <c r="E1314" s="539">
        <f t="shared" si="75"/>
        <v>87.448684626035416</v>
      </c>
      <c r="F1314" s="547"/>
      <c r="G1314" s="546"/>
    </row>
    <row r="1315" spans="3:7" ht="25.5">
      <c r="C1315" s="548" t="s">
        <v>331</v>
      </c>
      <c r="D1315" s="418">
        <v>100</v>
      </c>
      <c r="E1315" s="539">
        <f t="shared" si="75"/>
        <v>4.8582602570019677</v>
      </c>
      <c r="F1315" s="547"/>
      <c r="G1315" s="546"/>
    </row>
    <row r="1316" spans="3:7" ht="25.5">
      <c r="C1316" s="548" t="s">
        <v>344</v>
      </c>
      <c r="D1316" s="418">
        <v>0</v>
      </c>
      <c r="E1316" s="539">
        <f t="shared" si="75"/>
        <v>0</v>
      </c>
      <c r="F1316" s="547"/>
      <c r="G1316" s="546"/>
    </row>
    <row r="1317" spans="3:7" ht="25.5">
      <c r="C1317" s="548" t="s">
        <v>345</v>
      </c>
      <c r="D1317" s="576">
        <f>E1317/$J$1280</f>
        <v>10291.75</v>
      </c>
      <c r="E1317" s="575">
        <v>500</v>
      </c>
      <c r="F1317" s="547"/>
      <c r="G1317" s="546"/>
    </row>
    <row r="1318" spans="3:7" ht="25.5">
      <c r="C1318" s="548" t="s">
        <v>333</v>
      </c>
      <c r="D1318" s="418">
        <v>2500</v>
      </c>
      <c r="E1318" s="539">
        <f>D1318*$J$1280</f>
        <v>121.45650642504918</v>
      </c>
      <c r="F1318" s="547"/>
      <c r="G1318" s="546"/>
    </row>
    <row r="1319" spans="3:7">
      <c r="C1319" s="548" t="s">
        <v>196</v>
      </c>
      <c r="D1319" s="418">
        <v>-829.24099999999999</v>
      </c>
      <c r="E1319" s="539">
        <f>D1319*$J$1280</f>
        <v>-40.286685937765682</v>
      </c>
      <c r="F1319" s="547"/>
      <c r="G1319" s="546"/>
    </row>
    <row r="1320" spans="3:7">
      <c r="C1320" s="548" t="s">
        <v>65</v>
      </c>
      <c r="D1320" s="418">
        <v>507.78699999999998</v>
      </c>
      <c r="E1320" s="539">
        <f>D1320*$J$1280</f>
        <v>24.669614011222578</v>
      </c>
      <c r="F1320" s="547"/>
      <c r="G1320" s="546"/>
    </row>
    <row r="1321" spans="3:7">
      <c r="C1321" s="548"/>
      <c r="D1321" s="418"/>
      <c r="E1321" s="575"/>
      <c r="F1321" s="547"/>
      <c r="G1321" s="546"/>
    </row>
    <row r="1322" spans="3:7">
      <c r="C1322" s="536" t="s">
        <v>66</v>
      </c>
      <c r="D1322" s="535">
        <f>SUM(D1286:D1321)</f>
        <v>136026.198</v>
      </c>
      <c r="E1322" s="534">
        <f>SUM(E1286:E1321)</f>
        <v>6608.5067165448054</v>
      </c>
      <c r="F1322" s="533">
        <f>+D1322/D1327</f>
        <v>8.2242916439635305</v>
      </c>
      <c r="G1322" s="532">
        <f>+E1322/E1327</f>
        <v>8.106202803137748</v>
      </c>
    </row>
    <row r="1323" spans="3:7">
      <c r="C1323" s="545" t="s">
        <v>67</v>
      </c>
      <c r="D1323" s="544">
        <f>Model!AI123</f>
        <v>6739.5110000000004</v>
      </c>
      <c r="E1323" s="539">
        <f>D1323*$J$1280</f>
        <v>327.42298442927586</v>
      </c>
      <c r="F1323" s="543"/>
      <c r="G1323" s="542"/>
    </row>
    <row r="1324" spans="3:7">
      <c r="C1324" s="536" t="s">
        <v>68</v>
      </c>
      <c r="D1324" s="535">
        <f>+D1322-D1323</f>
        <v>129286.68700000001</v>
      </c>
      <c r="E1324" s="534">
        <f>+E1322-E1323</f>
        <v>6281.0837321155295</v>
      </c>
      <c r="F1324" s="533">
        <f>+D1324/D1327</f>
        <v>7.8168134903677036</v>
      </c>
      <c r="G1324" s="532">
        <f>+E1324/E1327</f>
        <v>7.704575441914451</v>
      </c>
    </row>
    <row r="1325" spans="3:7">
      <c r="C1325" s="541" t="s">
        <v>69</v>
      </c>
      <c r="D1325" s="540">
        <f>Model!AI128</f>
        <v>170939.77100000001</v>
      </c>
      <c r="E1325" s="539">
        <f>D1325*$J$1280</f>
        <v>8304.6989579031742</v>
      </c>
      <c r="F1325" s="538"/>
      <c r="G1325" s="537"/>
    </row>
    <row r="1326" spans="3:7">
      <c r="C1326" s="536" t="s">
        <v>70</v>
      </c>
      <c r="D1326" s="535">
        <f>D1322+D1325</f>
        <v>306965.96900000004</v>
      </c>
      <c r="E1326" s="534">
        <f>E1322+E1325</f>
        <v>14913.20567444798</v>
      </c>
      <c r="F1326" s="533">
        <f>D1326/D1327</f>
        <v>18.559495824678333</v>
      </c>
      <c r="G1326" s="532">
        <f>E1326/E1327</f>
        <v>18.293008515724999</v>
      </c>
    </row>
    <row r="1327" spans="3:7">
      <c r="C1327" s="530" t="s">
        <v>71</v>
      </c>
      <c r="D1327" s="529">
        <f>Model!AI102</f>
        <v>16539.563999999998</v>
      </c>
      <c r="E1327" s="528">
        <f>D1327*$J$1281</f>
        <v>815.24073318111232</v>
      </c>
      <c r="F1327" s="604"/>
      <c r="G1327" s="605"/>
    </row>
    <row r="1328" spans="3:7">
      <c r="C1328" s="531"/>
      <c r="D1328" s="531"/>
      <c r="E1328" s="531"/>
    </row>
    <row r="1329" spans="3:5">
      <c r="C1329" s="606" t="s">
        <v>72</v>
      </c>
      <c r="D1329" s="623">
        <f>D1322-Model!AI126</f>
        <v>0</v>
      </c>
      <c r="E1329" s="626"/>
    </row>
    <row r="1330" spans="3:5" ht="13.5" thickBot="1">
      <c r="C1330" s="531"/>
      <c r="D1330" s="609"/>
      <c r="E1330" s="609"/>
    </row>
    <row r="1331" spans="3:5">
      <c r="C1331" s="611" t="s">
        <v>367</v>
      </c>
      <c r="D1331" s="612" t="s">
        <v>130</v>
      </c>
      <c r="E1331" s="613" t="s">
        <v>131</v>
      </c>
    </row>
    <row r="1332" spans="3:5">
      <c r="C1332" s="615" t="s">
        <v>198</v>
      </c>
      <c r="D1332" s="579"/>
      <c r="E1332" s="519">
        <f>D1332*$J$1491</f>
        <v>0</v>
      </c>
    </row>
    <row r="1333" spans="3:5">
      <c r="C1333" s="615" t="s">
        <v>74</v>
      </c>
      <c r="D1333" s="520">
        <f>D1323</f>
        <v>6739.5110000000004</v>
      </c>
      <c r="E1333" s="519">
        <f>D1333*$J$1280</f>
        <v>327.42298442927586</v>
      </c>
    </row>
    <row r="1334" spans="3:5" ht="13.5" thickBot="1">
      <c r="C1334" s="616" t="s">
        <v>75</v>
      </c>
      <c r="D1334" s="517">
        <f>SUM(D1332:D1333)</f>
        <v>6739.5110000000004</v>
      </c>
      <c r="E1334" s="516">
        <f>SUM(E1332:E1333)</f>
        <v>327.42298442927586</v>
      </c>
    </row>
    <row r="1335" spans="3:5">
      <c r="C1335" s="531"/>
      <c r="D1335" s="531"/>
      <c r="E1335" s="531"/>
    </row>
    <row r="1336" spans="3:5" ht="13.5" thickBot="1">
      <c r="C1336" s="531"/>
      <c r="D1336" s="531"/>
      <c r="E1336" s="531"/>
    </row>
    <row r="1337" spans="3:5">
      <c r="C1337" s="617" t="s">
        <v>368</v>
      </c>
      <c r="D1337" s="612" t="s">
        <v>130</v>
      </c>
      <c r="E1337" s="612" t="s">
        <v>133</v>
      </c>
    </row>
    <row r="1338" spans="3:5">
      <c r="C1338" s="618"/>
      <c r="D1338" s="619"/>
      <c r="E1338" s="619"/>
    </row>
    <row r="1339" spans="3:5">
      <c r="C1339" s="618" t="s">
        <v>241</v>
      </c>
      <c r="D1339" s="592">
        <f>Model!AI119</f>
        <v>4462.8649999999998</v>
      </c>
      <c r="E1339" s="591">
        <f>(D1339/$D$1345)</f>
        <v>3.2731513411026689E-2</v>
      </c>
    </row>
    <row r="1340" spans="3:5">
      <c r="C1340" s="618" t="s">
        <v>242</v>
      </c>
      <c r="D1340" s="627">
        <f>+D1286+D1288+D1289+D1295+D1302+D1317</f>
        <v>21699.599000000002</v>
      </c>
      <c r="E1340" s="591">
        <f>(D1340/$D$1345)</f>
        <v>0.15914904790586348</v>
      </c>
    </row>
    <row r="1341" spans="3:5">
      <c r="C1341" s="618" t="s">
        <v>243</v>
      </c>
      <c r="D1341" s="592">
        <f>D1287+D1290+D1291+D1292+D1305</f>
        <v>18935.582000000002</v>
      </c>
      <c r="E1341" s="591">
        <f>(D1341/$D$1345)</f>
        <v>0.13887721366848327</v>
      </c>
    </row>
    <row r="1342" spans="3:5">
      <c r="C1342" s="618" t="s">
        <v>244</v>
      </c>
      <c r="D1342" s="592">
        <f>+D1296+D1300</f>
        <v>12700</v>
      </c>
      <c r="E1342" s="591">
        <f>(D1342/$D$1345)</f>
        <v>9.3144251578311008E-2</v>
      </c>
    </row>
    <row r="1343" spans="3:5">
      <c r="C1343" s="618" t="s">
        <v>245</v>
      </c>
      <c r="D1343" s="592">
        <f>SUM(D1286:D1318)-SUM(D1339:D1342)</f>
        <v>78549.606</v>
      </c>
      <c r="E1343" s="591">
        <f>(D1343/$D$1345)</f>
        <v>0.57609797343631552</v>
      </c>
    </row>
    <row r="1344" spans="3:5" ht="13.5" thickBot="1">
      <c r="C1344" s="618"/>
      <c r="D1344" s="620"/>
      <c r="E1344" s="591"/>
    </row>
    <row r="1345" spans="2:13" ht="13.5" thickBot="1">
      <c r="C1345" s="621" t="s">
        <v>77</v>
      </c>
      <c r="D1345" s="594">
        <f>+SUM(D1339:D1344)</f>
        <v>136347.652</v>
      </c>
      <c r="E1345" s="596">
        <f>+SUM(E1339:E1344)</f>
        <v>1</v>
      </c>
    </row>
    <row r="1346" spans="2:13">
      <c r="D1346" s="509">
        <f>+D1345+D1319+D1320-D1322</f>
        <v>0</v>
      </c>
    </row>
    <row r="1348" spans="2:13">
      <c r="B1348" s="557" t="s">
        <v>369</v>
      </c>
      <c r="I1348" s="557" t="s">
        <v>370</v>
      </c>
      <c r="J1348" s="556">
        <f>Model!AH203</f>
        <v>4.8785961351761421E-2</v>
      </c>
    </row>
    <row r="1349" spans="2:13">
      <c r="I1349" s="557" t="s">
        <v>371</v>
      </c>
      <c r="J1349" s="556">
        <f>AVERAGE(Model!AE202:AH202)</f>
        <v>4.8979975239436896E-2</v>
      </c>
    </row>
    <row r="1350" spans="2:13">
      <c r="C1350" s="560"/>
      <c r="D1350" s="790" t="s">
        <v>372</v>
      </c>
      <c r="E1350" s="791"/>
      <c r="F1350" s="559" t="s">
        <v>20</v>
      </c>
      <c r="G1350" s="558" t="s">
        <v>21</v>
      </c>
    </row>
    <row r="1351" spans="2:13">
      <c r="C1351" s="554"/>
      <c r="D1351" s="555" t="s">
        <v>18</v>
      </c>
      <c r="E1351" s="552" t="s">
        <v>19</v>
      </c>
      <c r="F1351" s="550"/>
      <c r="G1351" s="549"/>
    </row>
    <row r="1352" spans="2:13">
      <c r="C1352" s="554"/>
      <c r="D1352" s="553"/>
      <c r="E1352" s="552"/>
      <c r="F1352" s="550"/>
      <c r="G1352" s="549"/>
    </row>
    <row r="1353" spans="2:13">
      <c r="C1353" s="554" t="s">
        <v>92</v>
      </c>
      <c r="D1353" s="553"/>
      <c r="E1353" s="552"/>
      <c r="F1353" s="550"/>
      <c r="G1353" s="549"/>
    </row>
    <row r="1354" spans="2:13" s="531" customFormat="1" ht="25.5">
      <c r="B1354" s="421"/>
      <c r="C1354" s="548" t="s">
        <v>304</v>
      </c>
      <c r="D1354" s="418">
        <v>2314.2860000000001</v>
      </c>
      <c r="E1354" s="539">
        <f t="shared" ref="E1354:E1360" si="76">D1354*$J$1348</f>
        <v>112.90466735292253</v>
      </c>
      <c r="F1354" s="598"/>
      <c r="G1354" s="546"/>
      <c r="H1354" s="421"/>
      <c r="I1354" s="421"/>
      <c r="J1354" s="421"/>
      <c r="K1354" s="421"/>
      <c r="L1354" s="421"/>
      <c r="M1354" s="421"/>
    </row>
    <row r="1355" spans="2:13" s="531" customFormat="1" ht="25.5">
      <c r="B1355" s="421"/>
      <c r="C1355" s="548" t="s">
        <v>342</v>
      </c>
      <c r="D1355" s="418">
        <v>4161.8999999999996</v>
      </c>
      <c r="E1355" s="539">
        <f t="shared" si="76"/>
        <v>203.04229254989585</v>
      </c>
      <c r="F1355" s="598"/>
      <c r="G1355" s="546"/>
      <c r="H1355" s="421"/>
      <c r="I1355" s="421"/>
      <c r="J1355" s="421"/>
      <c r="K1355" s="421"/>
      <c r="L1355" s="421"/>
      <c r="M1355" s="421"/>
    </row>
    <row r="1356" spans="2:13" s="531" customFormat="1" ht="25.5">
      <c r="B1356" s="421"/>
      <c r="C1356" s="548" t="s">
        <v>289</v>
      </c>
      <c r="D1356" s="418">
        <v>246.74299999999999</v>
      </c>
      <c r="E1356" s="539">
        <f t="shared" si="76"/>
        <v>12.037594461817669</v>
      </c>
      <c r="F1356" s="550"/>
      <c r="G1356" s="549"/>
      <c r="H1356" s="421"/>
      <c r="I1356" s="421"/>
      <c r="J1356" s="421"/>
      <c r="K1356" s="421"/>
      <c r="L1356" s="421"/>
      <c r="M1356" s="421"/>
    </row>
    <row r="1357" spans="2:13" s="531" customFormat="1" ht="25.5">
      <c r="B1357" s="421"/>
      <c r="C1357" s="548" t="s">
        <v>289</v>
      </c>
      <c r="D1357" s="418">
        <v>511.93799999999999</v>
      </c>
      <c r="E1357" s="539">
        <f t="shared" si="76"/>
        <v>24.975387482498039</v>
      </c>
      <c r="F1357" s="550"/>
      <c r="G1357" s="549"/>
      <c r="H1357" s="421"/>
      <c r="I1357" s="421"/>
      <c r="J1357" s="421"/>
      <c r="K1357" s="421"/>
      <c r="L1357" s="421"/>
      <c r="M1357" s="421"/>
    </row>
    <row r="1358" spans="2:13" s="531" customFormat="1" ht="25.5">
      <c r="B1358" s="421"/>
      <c r="C1358" s="548" t="s">
        <v>366</v>
      </c>
      <c r="D1358" s="551">
        <v>1320</v>
      </c>
      <c r="E1358" s="539">
        <f t="shared" si="76"/>
        <v>64.397468984325073</v>
      </c>
      <c r="F1358" s="550"/>
      <c r="G1358" s="549"/>
      <c r="H1358" s="421"/>
      <c r="I1358" s="421"/>
      <c r="J1358" s="421"/>
      <c r="K1358" s="421"/>
      <c r="L1358" s="421"/>
      <c r="M1358" s="421"/>
    </row>
    <row r="1359" spans="2:13" s="531" customFormat="1" ht="25.5">
      <c r="B1359" s="421"/>
      <c r="C1359" s="548" t="s">
        <v>275</v>
      </c>
      <c r="D1359" s="551">
        <v>488.61799999999999</v>
      </c>
      <c r="E1359" s="539">
        <f t="shared" si="76"/>
        <v>23.837698863774961</v>
      </c>
      <c r="F1359" s="550"/>
      <c r="G1359" s="549"/>
      <c r="H1359" s="421"/>
      <c r="I1359" s="421"/>
      <c r="J1359" s="421"/>
      <c r="K1359" s="421"/>
      <c r="L1359" s="421"/>
      <c r="M1359" s="421"/>
    </row>
    <row r="1360" spans="2:13" s="531" customFormat="1" ht="25.5">
      <c r="B1360" s="421"/>
      <c r="C1360" s="548" t="s">
        <v>276</v>
      </c>
      <c r="D1360" s="551">
        <v>130.298</v>
      </c>
      <c r="E1360" s="539">
        <f t="shared" si="76"/>
        <v>6.3567131922118101</v>
      </c>
      <c r="F1360" s="550"/>
      <c r="G1360" s="549"/>
      <c r="H1360" s="421"/>
      <c r="I1360" s="421"/>
      <c r="J1360" s="421"/>
      <c r="K1360" s="421"/>
      <c r="L1360" s="421"/>
      <c r="M1360" s="421"/>
    </row>
    <row r="1361" spans="2:13" s="531" customFormat="1">
      <c r="B1361" s="421"/>
      <c r="C1361" s="548"/>
      <c r="D1361" s="551"/>
      <c r="E1361" s="539"/>
      <c r="F1361" s="550"/>
      <c r="G1361" s="549"/>
      <c r="H1361" s="421"/>
      <c r="I1361" s="421"/>
      <c r="J1361" s="421"/>
      <c r="K1361" s="421"/>
      <c r="L1361" s="421"/>
      <c r="M1361" s="421"/>
    </row>
    <row r="1362" spans="2:13" s="531" customFormat="1">
      <c r="B1362" s="421"/>
      <c r="C1362" s="554" t="s">
        <v>97</v>
      </c>
      <c r="D1362" s="551"/>
      <c r="E1362" s="539"/>
      <c r="F1362" s="550"/>
      <c r="G1362" s="549"/>
      <c r="H1362" s="421"/>
      <c r="I1362" s="421"/>
      <c r="J1362" s="421"/>
      <c r="K1362" s="421"/>
      <c r="L1362" s="421"/>
      <c r="M1362" s="421"/>
    </row>
    <row r="1363" spans="2:13" s="531" customFormat="1" ht="25.5">
      <c r="B1363" s="421"/>
      <c r="C1363" s="548" t="s">
        <v>290</v>
      </c>
      <c r="D1363" s="418">
        <v>3120.9</v>
      </c>
      <c r="E1363" s="539">
        <f t="shared" ref="E1363:E1369" si="77">D1363*$J$1348</f>
        <v>152.25610678271224</v>
      </c>
      <c r="F1363" s="601"/>
      <c r="G1363" s="546"/>
      <c r="H1363" s="421"/>
      <c r="I1363" s="421"/>
      <c r="J1363" s="421"/>
      <c r="K1363" s="421"/>
      <c r="L1363" s="421"/>
      <c r="M1363" s="421"/>
    </row>
    <row r="1364" spans="2:13" s="531" customFormat="1" ht="25.5">
      <c r="B1364" s="421"/>
      <c r="C1364" s="548" t="s">
        <v>343</v>
      </c>
      <c r="D1364" s="418">
        <v>7500</v>
      </c>
      <c r="E1364" s="539">
        <f t="shared" si="77"/>
        <v>365.89471013821066</v>
      </c>
      <c r="F1364" s="601"/>
      <c r="G1364" s="549"/>
      <c r="H1364" s="421"/>
      <c r="I1364" s="421"/>
      <c r="J1364" s="421"/>
      <c r="K1364" s="421"/>
      <c r="L1364" s="421"/>
      <c r="M1364" s="421"/>
    </row>
    <row r="1365" spans="2:13" s="531" customFormat="1" ht="25.5">
      <c r="B1365" s="421"/>
      <c r="C1365" s="548" t="s">
        <v>167</v>
      </c>
      <c r="D1365" s="551">
        <v>2946.848</v>
      </c>
      <c r="E1365" s="539">
        <f t="shared" si="77"/>
        <v>143.76481263751543</v>
      </c>
      <c r="F1365" s="601"/>
      <c r="G1365" s="549"/>
      <c r="H1365" s="421"/>
      <c r="I1365" s="421"/>
      <c r="J1365" s="421"/>
      <c r="K1365" s="421"/>
      <c r="L1365" s="421"/>
      <c r="M1365" s="421"/>
    </row>
    <row r="1366" spans="2:13" s="531" customFormat="1" ht="25.5">
      <c r="B1366" s="421"/>
      <c r="C1366" s="548" t="s">
        <v>168</v>
      </c>
      <c r="D1366" s="418">
        <v>3169.598</v>
      </c>
      <c r="E1366" s="539">
        <f t="shared" si="77"/>
        <v>154.6318855286203</v>
      </c>
      <c r="F1366" s="601"/>
      <c r="G1366" s="546"/>
      <c r="H1366" s="421"/>
      <c r="I1366" s="421"/>
      <c r="J1366" s="421"/>
      <c r="K1366" s="421"/>
      <c r="L1366" s="421"/>
      <c r="M1366" s="421"/>
    </row>
    <row r="1367" spans="2:13" s="531" customFormat="1" ht="25.5">
      <c r="B1367" s="421"/>
      <c r="C1367" s="548" t="s">
        <v>169</v>
      </c>
      <c r="D1367" s="418">
        <v>4799.6000000000004</v>
      </c>
      <c r="E1367" s="539">
        <f t="shared" si="77"/>
        <v>234.15310010391414</v>
      </c>
      <c r="F1367" s="601"/>
      <c r="G1367" s="549"/>
      <c r="H1367" s="421"/>
      <c r="I1367" s="421"/>
      <c r="J1367" s="421"/>
      <c r="K1367" s="421"/>
      <c r="L1367" s="421"/>
      <c r="M1367" s="421"/>
    </row>
    <row r="1368" spans="2:13" s="531" customFormat="1" ht="25.5">
      <c r="B1368" s="421"/>
      <c r="C1368" s="548" t="s">
        <v>373</v>
      </c>
      <c r="D1368" s="551">
        <v>8100</v>
      </c>
      <c r="E1368" s="539">
        <f t="shared" si="77"/>
        <v>395.16628694926749</v>
      </c>
      <c r="F1368" s="601"/>
      <c r="G1368" s="549"/>
      <c r="H1368" s="421"/>
      <c r="I1368" s="421"/>
      <c r="J1368" s="421"/>
      <c r="K1368" s="421"/>
      <c r="L1368" s="421"/>
      <c r="M1368" s="421"/>
    </row>
    <row r="1369" spans="2:13" s="531" customFormat="1" ht="25.5">
      <c r="B1369" s="421"/>
      <c r="C1369" s="548" t="s">
        <v>325</v>
      </c>
      <c r="D1369" s="418">
        <v>5250.3810000000003</v>
      </c>
      <c r="E1369" s="539">
        <f t="shared" si="77"/>
        <v>256.1448845480225</v>
      </c>
      <c r="F1369" s="601"/>
      <c r="G1369" s="546"/>
      <c r="H1369" s="421"/>
      <c r="I1369" s="421"/>
      <c r="J1369" s="421"/>
      <c r="K1369" s="421"/>
      <c r="L1369" s="421"/>
      <c r="M1369" s="421"/>
    </row>
    <row r="1370" spans="2:13" s="531" customFormat="1">
      <c r="B1370" s="421"/>
      <c r="C1370" s="548" t="s">
        <v>175</v>
      </c>
      <c r="D1370" s="576">
        <f>E1370/$J$1348</f>
        <v>17873.9944</v>
      </c>
      <c r="E1370" s="575">
        <v>872</v>
      </c>
      <c r="F1370" s="601"/>
      <c r="G1370" s="546"/>
      <c r="H1370" s="421"/>
      <c r="I1370" s="421"/>
      <c r="J1370" s="421"/>
      <c r="K1370" s="421"/>
      <c r="L1370" s="421"/>
      <c r="M1370" s="421"/>
    </row>
    <row r="1371" spans="2:13" s="531" customFormat="1">
      <c r="B1371" s="421"/>
      <c r="C1371" s="548" t="s">
        <v>176</v>
      </c>
      <c r="D1371" s="576">
        <f>E1371/$J$1348</f>
        <v>15742.233599999998</v>
      </c>
      <c r="E1371" s="575">
        <v>768</v>
      </c>
      <c r="F1371" s="601"/>
      <c r="G1371" s="546"/>
      <c r="H1371" s="421"/>
      <c r="I1371" s="421"/>
      <c r="J1371" s="421"/>
      <c r="K1371" s="421"/>
      <c r="L1371" s="421"/>
      <c r="M1371" s="421"/>
    </row>
    <row r="1372" spans="2:13" s="531" customFormat="1">
      <c r="B1372" s="421"/>
      <c r="C1372" s="548" t="s">
        <v>277</v>
      </c>
      <c r="D1372" s="576">
        <f>E1372/$J$1348</f>
        <v>12298.619999999999</v>
      </c>
      <c r="E1372" s="575">
        <v>600</v>
      </c>
      <c r="F1372" s="601"/>
      <c r="G1372" s="549"/>
      <c r="H1372" s="421"/>
      <c r="I1372" s="421"/>
      <c r="J1372" s="421"/>
      <c r="K1372" s="421"/>
      <c r="L1372" s="421"/>
      <c r="M1372" s="421"/>
    </row>
    <row r="1373" spans="2:13" s="531" customFormat="1">
      <c r="B1373" s="421"/>
      <c r="C1373" s="548" t="s">
        <v>178</v>
      </c>
      <c r="D1373" s="576">
        <f>E1373/$J$1348</f>
        <v>14348.39</v>
      </c>
      <c r="E1373" s="575">
        <v>700</v>
      </c>
      <c r="F1373" s="601"/>
      <c r="G1373" s="549"/>
      <c r="H1373" s="421"/>
      <c r="I1373" s="421"/>
      <c r="J1373" s="421"/>
      <c r="K1373" s="421"/>
      <c r="L1373" s="421"/>
      <c r="M1373" s="421"/>
    </row>
    <row r="1374" spans="2:13" s="531" customFormat="1">
      <c r="B1374" s="421"/>
      <c r="C1374" s="548" t="s">
        <v>207</v>
      </c>
      <c r="D1374" s="576">
        <f>E1374/$J$1348</f>
        <v>16398.16</v>
      </c>
      <c r="E1374" s="575">
        <v>800</v>
      </c>
      <c r="F1374" s="601"/>
      <c r="G1374" s="546"/>
      <c r="H1374" s="421"/>
      <c r="I1374" s="421"/>
      <c r="J1374" s="421"/>
      <c r="K1374" s="421"/>
      <c r="L1374" s="421"/>
      <c r="M1374" s="421"/>
    </row>
    <row r="1375" spans="2:13" s="531" customFormat="1">
      <c r="B1375" s="421"/>
      <c r="C1375" s="548"/>
      <c r="D1375" s="576"/>
      <c r="E1375" s="575"/>
      <c r="F1375" s="547"/>
      <c r="G1375" s="546"/>
      <c r="H1375" s="421"/>
      <c r="I1375" s="421"/>
      <c r="J1375" s="421"/>
      <c r="K1375" s="421"/>
      <c r="L1375" s="421"/>
      <c r="M1375" s="421"/>
    </row>
    <row r="1376" spans="2:13" s="531" customFormat="1">
      <c r="B1376" s="421"/>
      <c r="C1376" s="554" t="s">
        <v>113</v>
      </c>
      <c r="D1376" s="576"/>
      <c r="E1376" s="575"/>
      <c r="F1376" s="547"/>
      <c r="G1376" s="546"/>
      <c r="H1376" s="421"/>
      <c r="I1376" s="421"/>
      <c r="J1376" s="421"/>
      <c r="K1376" s="421"/>
      <c r="L1376" s="421"/>
      <c r="M1376" s="421"/>
    </row>
    <row r="1377" spans="2:13" s="531" customFormat="1" ht="25.5">
      <c r="B1377" s="421"/>
      <c r="C1377" s="548" t="s">
        <v>351</v>
      </c>
      <c r="D1377" s="418">
        <v>0</v>
      </c>
      <c r="E1377" s="539">
        <f t="shared" ref="E1377:E1383" si="78">D1377*$J$1348</f>
        <v>0</v>
      </c>
      <c r="F1377" s="547"/>
      <c r="G1377" s="546"/>
      <c r="H1377" s="421"/>
      <c r="I1377" s="421"/>
      <c r="J1377" s="421"/>
      <c r="K1377" s="421"/>
      <c r="L1377" s="421"/>
      <c r="M1377" s="421"/>
    </row>
    <row r="1378" spans="2:13" s="531" customFormat="1" ht="25.5">
      <c r="B1378" s="421"/>
      <c r="C1378" s="548" t="s">
        <v>351</v>
      </c>
      <c r="D1378" s="418">
        <v>0</v>
      </c>
      <c r="E1378" s="539">
        <f t="shared" si="78"/>
        <v>0</v>
      </c>
      <c r="F1378" s="547"/>
      <c r="G1378" s="546"/>
      <c r="H1378" s="421"/>
      <c r="I1378" s="421"/>
      <c r="J1378" s="421"/>
      <c r="K1378" s="421"/>
      <c r="L1378" s="421"/>
      <c r="M1378" s="421"/>
    </row>
    <row r="1379" spans="2:13" s="531" customFormat="1" ht="25.5">
      <c r="B1379" s="421"/>
      <c r="C1379" s="548" t="s">
        <v>352</v>
      </c>
      <c r="D1379" s="418">
        <v>0</v>
      </c>
      <c r="E1379" s="539">
        <f t="shared" si="78"/>
        <v>0</v>
      </c>
      <c r="F1379" s="547"/>
      <c r="G1379" s="546"/>
      <c r="H1379" s="421"/>
      <c r="I1379" s="421"/>
      <c r="J1379" s="421"/>
      <c r="K1379" s="421"/>
      <c r="L1379" s="421"/>
      <c r="M1379" s="421"/>
    </row>
    <row r="1380" spans="2:13" s="531" customFormat="1" ht="25.5">
      <c r="B1380" s="421"/>
      <c r="C1380" s="548" t="s">
        <v>329</v>
      </c>
      <c r="D1380" s="418">
        <v>0</v>
      </c>
      <c r="E1380" s="539">
        <f t="shared" si="78"/>
        <v>0</v>
      </c>
      <c r="F1380" s="547"/>
      <c r="G1380" s="546"/>
      <c r="H1380" s="421"/>
      <c r="I1380" s="421"/>
      <c r="J1380" s="421"/>
      <c r="K1380" s="421"/>
      <c r="L1380" s="421"/>
      <c r="M1380" s="421"/>
    </row>
    <row r="1381" spans="2:13" s="531" customFormat="1" ht="25.5">
      <c r="B1381" s="421"/>
      <c r="C1381" s="548" t="s">
        <v>329</v>
      </c>
      <c r="D1381" s="418">
        <v>0</v>
      </c>
      <c r="E1381" s="539">
        <f t="shared" si="78"/>
        <v>0</v>
      </c>
      <c r="F1381" s="547"/>
      <c r="G1381" s="546"/>
      <c r="H1381" s="421"/>
      <c r="I1381" s="421"/>
      <c r="J1381" s="421"/>
      <c r="K1381" s="421"/>
      <c r="L1381" s="421"/>
      <c r="M1381" s="421"/>
    </row>
    <row r="1382" spans="2:13" s="531" customFormat="1" ht="25.5">
      <c r="B1382" s="421"/>
      <c r="C1382" s="548" t="s">
        <v>331</v>
      </c>
      <c r="D1382" s="418">
        <v>100</v>
      </c>
      <c r="E1382" s="539">
        <f t="shared" si="78"/>
        <v>4.8785961351761422</v>
      </c>
      <c r="F1382" s="547"/>
      <c r="G1382" s="546"/>
      <c r="H1382" s="421"/>
      <c r="I1382" s="421"/>
      <c r="J1382" s="421"/>
      <c r="K1382" s="421"/>
      <c r="L1382" s="421"/>
      <c r="M1382" s="421"/>
    </row>
    <row r="1383" spans="2:13" s="531" customFormat="1" ht="25.5">
      <c r="B1383" s="421"/>
      <c r="C1383" s="548" t="s">
        <v>344</v>
      </c>
      <c r="D1383" s="418">
        <v>0</v>
      </c>
      <c r="E1383" s="539">
        <f t="shared" si="78"/>
        <v>0</v>
      </c>
      <c r="F1383" s="547"/>
      <c r="G1383" s="546"/>
      <c r="H1383" s="421"/>
      <c r="I1383" s="421"/>
      <c r="J1383" s="421"/>
      <c r="K1383" s="421"/>
      <c r="L1383" s="421"/>
      <c r="M1383" s="421"/>
    </row>
    <row r="1384" spans="2:13" s="531" customFormat="1" ht="25.5">
      <c r="B1384" s="421"/>
      <c r="C1384" s="548" t="s">
        <v>345</v>
      </c>
      <c r="D1384" s="576">
        <f>E1384/$J$1348</f>
        <v>10248.849999999999</v>
      </c>
      <c r="E1384" s="575">
        <v>500</v>
      </c>
      <c r="F1384" s="547"/>
      <c r="G1384" s="546"/>
      <c r="H1384" s="421"/>
      <c r="I1384" s="421"/>
      <c r="J1384" s="421"/>
      <c r="K1384" s="421"/>
      <c r="L1384" s="421"/>
      <c r="M1384" s="421"/>
    </row>
    <row r="1385" spans="2:13" s="531" customFormat="1" ht="25.5">
      <c r="B1385" s="421"/>
      <c r="C1385" s="548" t="s">
        <v>374</v>
      </c>
      <c r="D1385" s="576">
        <f>E1385/$J$1348</f>
        <v>0</v>
      </c>
      <c r="E1385" s="575">
        <v>0</v>
      </c>
      <c r="F1385" s="547"/>
      <c r="G1385" s="546"/>
      <c r="H1385" s="421"/>
      <c r="I1385" s="421"/>
      <c r="J1385" s="421"/>
      <c r="K1385" s="421"/>
      <c r="L1385" s="421"/>
      <c r="M1385" s="421"/>
    </row>
    <row r="1386" spans="2:13" s="531" customFormat="1">
      <c r="B1386" s="421"/>
      <c r="C1386" s="548" t="s">
        <v>196</v>
      </c>
      <c r="D1386" s="418">
        <v>-814.63699999999994</v>
      </c>
      <c r="E1386" s="539">
        <f>D1386*$J$1348</f>
        <v>-39.742849197714868</v>
      </c>
      <c r="F1386" s="547"/>
      <c r="G1386" s="546"/>
      <c r="H1386" s="421"/>
      <c r="I1386" s="421"/>
      <c r="J1386" s="421"/>
      <c r="K1386" s="421"/>
      <c r="L1386" s="421"/>
      <c r="M1386" s="421"/>
    </row>
    <row r="1387" spans="2:13" s="531" customFormat="1">
      <c r="B1387" s="421"/>
      <c r="C1387" s="548" t="s">
        <v>65</v>
      </c>
      <c r="D1387" s="418">
        <v>937.34100000000001</v>
      </c>
      <c r="E1387" s="539">
        <f>D1387*$J$1348</f>
        <v>45.729081799421401</v>
      </c>
      <c r="F1387" s="547"/>
      <c r="G1387" s="546"/>
      <c r="H1387" s="421"/>
      <c r="I1387" s="421"/>
      <c r="J1387" s="421"/>
      <c r="K1387" s="421"/>
      <c r="L1387" s="421"/>
      <c r="M1387" s="421"/>
    </row>
    <row r="1388" spans="2:13" s="531" customFormat="1">
      <c r="B1388" s="421"/>
      <c r="C1388" s="548"/>
      <c r="D1388" s="418"/>
      <c r="E1388" s="575"/>
      <c r="F1388" s="547"/>
      <c r="G1388" s="546"/>
      <c r="H1388" s="421"/>
      <c r="I1388" s="421"/>
      <c r="J1388" s="421"/>
      <c r="K1388" s="421"/>
      <c r="L1388" s="421"/>
      <c r="M1388" s="421"/>
    </row>
    <row r="1389" spans="2:13" s="531" customFormat="1">
      <c r="B1389" s="421"/>
      <c r="C1389" s="536" t="s">
        <v>66</v>
      </c>
      <c r="D1389" s="535">
        <f>SUM(D1354:D1388)</f>
        <v>131194.06199999998</v>
      </c>
      <c r="E1389" s="534">
        <f>SUM(E1354:E1388)</f>
        <v>6400.4284383125914</v>
      </c>
      <c r="F1389" s="533">
        <f>+D1389/D1394</f>
        <v>8.1935159999692697</v>
      </c>
      <c r="G1389" s="532">
        <f>+E1389/E1394</f>
        <v>8.1610607795426731</v>
      </c>
      <c r="H1389" s="421"/>
      <c r="I1389" s="421"/>
      <c r="J1389" s="421"/>
      <c r="K1389" s="421"/>
      <c r="L1389" s="421"/>
      <c r="M1389" s="421"/>
    </row>
    <row r="1390" spans="2:13" s="531" customFormat="1">
      <c r="B1390" s="421"/>
      <c r="C1390" s="545" t="s">
        <v>67</v>
      </c>
      <c r="D1390" s="544">
        <f>Model!AH123</f>
        <v>3502.3649999999998</v>
      </c>
      <c r="E1390" s="539">
        <f>D1390*$J$1348</f>
        <v>170.86624352976187</v>
      </c>
      <c r="F1390" s="543"/>
      <c r="G1390" s="542"/>
      <c r="H1390" s="421"/>
      <c r="I1390" s="421"/>
      <c r="J1390" s="421"/>
      <c r="K1390" s="421"/>
      <c r="L1390" s="421"/>
      <c r="M1390" s="421"/>
    </row>
    <row r="1391" spans="2:13" s="531" customFormat="1">
      <c r="B1391" s="421"/>
      <c r="C1391" s="536" t="s">
        <v>68</v>
      </c>
      <c r="D1391" s="535">
        <f>+D1389-D1390</f>
        <v>127691.69699999997</v>
      </c>
      <c r="E1391" s="534">
        <f>+E1389-E1390</f>
        <v>6229.5621947828295</v>
      </c>
      <c r="F1391" s="533">
        <f>+D1391/D1394</f>
        <v>7.9747813771687932</v>
      </c>
      <c r="G1391" s="532">
        <f>+E1391/E1394</f>
        <v>7.9431925833651436</v>
      </c>
      <c r="H1391" s="421"/>
      <c r="I1391" s="421"/>
      <c r="J1391" s="421"/>
      <c r="K1391" s="421"/>
      <c r="L1391" s="421"/>
      <c r="M1391" s="421"/>
    </row>
    <row r="1392" spans="2:13" s="531" customFormat="1">
      <c r="B1392" s="421"/>
      <c r="C1392" s="541" t="s">
        <v>69</v>
      </c>
      <c r="D1392" s="540">
        <f>Model!AH128</f>
        <v>168768.13200000001</v>
      </c>
      <c r="E1392" s="539">
        <f>D1392*$J$1348</f>
        <v>8233.5155651609712</v>
      </c>
      <c r="F1392" s="538"/>
      <c r="G1392" s="537"/>
      <c r="H1392" s="421"/>
      <c r="I1392" s="421"/>
      <c r="J1392" s="421"/>
      <c r="K1392" s="421"/>
      <c r="L1392" s="421"/>
      <c r="M1392" s="421"/>
    </row>
    <row r="1393" spans="2:13" s="531" customFormat="1">
      <c r="B1393" s="421"/>
      <c r="C1393" s="536" t="s">
        <v>70</v>
      </c>
      <c r="D1393" s="535">
        <f>D1389+D1392</f>
        <v>299962.19400000002</v>
      </c>
      <c r="E1393" s="534">
        <f>E1389+E1392</f>
        <v>14633.944003473563</v>
      </c>
      <c r="F1393" s="533">
        <f>D1393/D1394</f>
        <v>18.733660643306301</v>
      </c>
      <c r="G1393" s="532">
        <f>E1393/E1394</f>
        <v>18.659455004899314</v>
      </c>
      <c r="H1393" s="421"/>
      <c r="I1393" s="421"/>
      <c r="J1393" s="421"/>
      <c r="K1393" s="421"/>
      <c r="L1393" s="421"/>
      <c r="M1393" s="421"/>
    </row>
    <row r="1394" spans="2:13" s="531" customFormat="1">
      <c r="B1394" s="421"/>
      <c r="C1394" s="530" t="s">
        <v>71</v>
      </c>
      <c r="D1394" s="529">
        <f>Model!AH102</f>
        <v>16011.937000000002</v>
      </c>
      <c r="E1394" s="528">
        <f>D1394*$J$1349</f>
        <v>784.2642777954236</v>
      </c>
      <c r="F1394" s="604"/>
      <c r="G1394" s="605"/>
      <c r="H1394" s="421"/>
      <c r="I1394" s="421"/>
      <c r="J1394" s="421"/>
      <c r="K1394" s="421"/>
      <c r="L1394" s="421"/>
      <c r="M1394" s="421"/>
    </row>
    <row r="1395" spans="2:13" s="531" customFormat="1">
      <c r="B1395" s="421"/>
      <c r="F1395" s="421"/>
      <c r="G1395" s="421"/>
      <c r="H1395" s="421"/>
      <c r="I1395" s="421"/>
      <c r="J1395" s="421"/>
      <c r="K1395" s="421"/>
      <c r="L1395" s="421"/>
      <c r="M1395" s="421"/>
    </row>
    <row r="1396" spans="2:13" s="531" customFormat="1" ht="12.75" customHeight="1">
      <c r="B1396" s="421"/>
      <c r="C1396" s="606" t="s">
        <v>72</v>
      </c>
      <c r="D1396" s="623">
        <f>D1389-Model!AH126</f>
        <v>0</v>
      </c>
      <c r="E1396" s="626"/>
      <c r="F1396" s="421"/>
      <c r="G1396" s="421"/>
      <c r="H1396" s="421"/>
      <c r="I1396" s="421"/>
      <c r="J1396" s="421"/>
      <c r="K1396" s="421"/>
      <c r="L1396" s="421"/>
      <c r="M1396" s="421"/>
    </row>
    <row r="1397" spans="2:13" s="531" customFormat="1" ht="13.5" thickBot="1">
      <c r="B1397" s="421"/>
      <c r="D1397" s="609"/>
      <c r="E1397" s="609"/>
      <c r="F1397" s="421"/>
      <c r="G1397" s="421"/>
      <c r="H1397" s="421"/>
      <c r="I1397" s="421"/>
      <c r="J1397" s="421"/>
      <c r="K1397" s="421"/>
      <c r="L1397" s="421"/>
      <c r="M1397" s="421"/>
    </row>
    <row r="1398" spans="2:13" s="531" customFormat="1">
      <c r="B1398" s="421"/>
      <c r="C1398" s="611" t="s">
        <v>375</v>
      </c>
      <c r="D1398" s="612" t="s">
        <v>130</v>
      </c>
      <c r="E1398" s="613" t="s">
        <v>131</v>
      </c>
      <c r="F1398" s="421"/>
      <c r="G1398" s="421"/>
      <c r="H1398" s="421"/>
      <c r="I1398" s="421"/>
      <c r="J1398" s="421"/>
      <c r="K1398" s="421"/>
      <c r="L1398" s="421"/>
      <c r="M1398" s="421"/>
    </row>
    <row r="1399" spans="2:13" s="531" customFormat="1">
      <c r="B1399" s="421"/>
      <c r="C1399" s="615" t="s">
        <v>198</v>
      </c>
      <c r="D1399" s="579"/>
      <c r="E1399" s="519">
        <f>D1399*$J$1491</f>
        <v>0</v>
      </c>
      <c r="F1399" s="421"/>
      <c r="G1399" s="421"/>
      <c r="H1399" s="421"/>
      <c r="I1399" s="421"/>
      <c r="J1399" s="421"/>
      <c r="K1399" s="421"/>
      <c r="L1399" s="421"/>
      <c r="M1399" s="421"/>
    </row>
    <row r="1400" spans="2:13" s="531" customFormat="1">
      <c r="B1400" s="421"/>
      <c r="C1400" s="615" t="s">
        <v>74</v>
      </c>
      <c r="D1400" s="520">
        <f>D1390</f>
        <v>3502.3649999999998</v>
      </c>
      <c r="E1400" s="519">
        <f>D1400*$J$1348</f>
        <v>170.86624352976187</v>
      </c>
      <c r="F1400" s="421"/>
      <c r="G1400" s="421"/>
      <c r="H1400" s="421"/>
      <c r="I1400" s="421"/>
      <c r="J1400" s="421"/>
      <c r="K1400" s="421"/>
      <c r="L1400" s="421"/>
      <c r="M1400" s="421"/>
    </row>
    <row r="1401" spans="2:13" s="531" customFormat="1" ht="13.5" thickBot="1">
      <c r="B1401" s="421"/>
      <c r="C1401" s="616" t="s">
        <v>75</v>
      </c>
      <c r="D1401" s="517">
        <f>SUM(D1399:D1400)</f>
        <v>3502.3649999999998</v>
      </c>
      <c r="E1401" s="516">
        <f>SUM(E1399:E1400)</f>
        <v>170.86624352976187</v>
      </c>
      <c r="F1401" s="421"/>
      <c r="G1401" s="421"/>
      <c r="H1401" s="421"/>
      <c r="I1401" s="421"/>
      <c r="J1401" s="421"/>
      <c r="K1401" s="421"/>
      <c r="L1401" s="421"/>
      <c r="M1401" s="421"/>
    </row>
    <row r="1402" spans="2:13" s="531" customFormat="1">
      <c r="B1402" s="421"/>
      <c r="F1402" s="421"/>
      <c r="G1402" s="421"/>
      <c r="H1402" s="421"/>
      <c r="I1402" s="421"/>
      <c r="J1402" s="421"/>
      <c r="K1402" s="421"/>
      <c r="L1402" s="421"/>
      <c r="M1402" s="421"/>
    </row>
    <row r="1403" spans="2:13" s="531" customFormat="1" ht="13.5" thickBot="1">
      <c r="B1403" s="421"/>
      <c r="F1403" s="421"/>
      <c r="G1403" s="421"/>
      <c r="H1403" s="421"/>
      <c r="I1403" s="421"/>
      <c r="J1403" s="421"/>
      <c r="K1403" s="421"/>
      <c r="L1403" s="421"/>
      <c r="M1403" s="421"/>
    </row>
    <row r="1404" spans="2:13" s="531" customFormat="1">
      <c r="B1404" s="421"/>
      <c r="C1404" s="617" t="s">
        <v>376</v>
      </c>
      <c r="D1404" s="612" t="s">
        <v>130</v>
      </c>
      <c r="E1404" s="612" t="s">
        <v>133</v>
      </c>
      <c r="F1404" s="421"/>
      <c r="G1404" s="421"/>
      <c r="H1404" s="421"/>
      <c r="I1404" s="421"/>
      <c r="J1404" s="421"/>
      <c r="K1404" s="421"/>
      <c r="L1404" s="421"/>
      <c r="M1404" s="421"/>
    </row>
    <row r="1405" spans="2:13" s="531" customFormat="1">
      <c r="B1405" s="421"/>
      <c r="C1405" s="618"/>
      <c r="D1405" s="619"/>
      <c r="E1405" s="619"/>
      <c r="F1405" s="421"/>
      <c r="G1405" s="421"/>
      <c r="H1405" s="421"/>
      <c r="I1405" s="421"/>
      <c r="J1405" s="421"/>
      <c r="K1405" s="421"/>
      <c r="L1405" s="421"/>
      <c r="M1405" s="421"/>
    </row>
    <row r="1406" spans="2:13" s="531" customFormat="1">
      <c r="B1406" s="421"/>
      <c r="C1406" s="618" t="s">
        <v>241</v>
      </c>
      <c r="D1406" s="592">
        <f>Model!AH119</f>
        <v>168.95</v>
      </c>
      <c r="E1406" s="591">
        <f>(D1406/$D$1412)</f>
        <v>1.2889925196319398E-3</v>
      </c>
      <c r="F1406" s="421"/>
      <c r="G1406" s="421"/>
      <c r="H1406" s="421"/>
      <c r="I1406" s="421"/>
      <c r="J1406" s="421"/>
      <c r="K1406" s="421"/>
      <c r="L1406" s="421"/>
      <c r="M1406" s="421"/>
    </row>
    <row r="1407" spans="2:13" s="531" customFormat="1">
      <c r="B1407" s="421"/>
      <c r="C1407" s="618" t="s">
        <v>242</v>
      </c>
      <c r="D1407" s="627">
        <f>D1368</f>
        <v>8100</v>
      </c>
      <c r="E1407" s="591">
        <f>(D1407/$D$1412)</f>
        <v>6.1798398396085905E-2</v>
      </c>
      <c r="F1407" s="421"/>
      <c r="G1407" s="421"/>
      <c r="H1407" s="421"/>
      <c r="I1407" s="421"/>
      <c r="J1407" s="421"/>
      <c r="K1407" s="421"/>
      <c r="L1407" s="421"/>
      <c r="M1407" s="421"/>
    </row>
    <row r="1408" spans="2:13" s="531" customFormat="1">
      <c r="B1408" s="421"/>
      <c r="C1408" s="618" t="s">
        <v>243</v>
      </c>
      <c r="D1408" s="592">
        <f>D1354+D1357+D1359+D1356+D1360+D1363+D1384+D1369</f>
        <v>22312.013999999999</v>
      </c>
      <c r="E1408" s="591">
        <f>(D1408/$D$1412)</f>
        <v>0.17022799138161063</v>
      </c>
      <c r="F1408" s="421"/>
      <c r="G1408" s="421"/>
      <c r="H1408" s="421"/>
      <c r="I1408" s="421"/>
      <c r="J1408" s="421"/>
      <c r="K1408" s="421"/>
      <c r="L1408" s="421"/>
      <c r="M1408" s="421"/>
    </row>
    <row r="1409" spans="2:17" s="531" customFormat="1">
      <c r="B1409" s="421"/>
      <c r="C1409" s="618" t="s">
        <v>244</v>
      </c>
      <c r="D1409" s="592">
        <f>D1355+D1372</f>
        <v>16460.519999999997</v>
      </c>
      <c r="E1409" s="591">
        <f>(D1409/$D$1412)</f>
        <v>0.12558441639095552</v>
      </c>
      <c r="F1409" s="421"/>
      <c r="G1409" s="421"/>
      <c r="H1409" s="421"/>
      <c r="I1409" s="421"/>
      <c r="J1409" s="421"/>
      <c r="K1409" s="421"/>
      <c r="L1409" s="421"/>
      <c r="M1409" s="421"/>
    </row>
    <row r="1410" spans="2:17" s="531" customFormat="1">
      <c r="B1410" s="421"/>
      <c r="C1410" s="618" t="s">
        <v>245</v>
      </c>
      <c r="D1410" s="592">
        <f>SUM(D1354:D1384)-SUM(D1406:D1409)</f>
        <v>84029.873999999982</v>
      </c>
      <c r="E1410" s="591">
        <f>(D1410/$D$1412)</f>
        <v>0.64110020131171597</v>
      </c>
      <c r="F1410" s="421"/>
      <c r="G1410" s="421"/>
      <c r="H1410" s="421"/>
      <c r="I1410" s="421"/>
      <c r="J1410" s="421"/>
      <c r="K1410" s="421"/>
      <c r="L1410" s="421"/>
      <c r="M1410" s="421"/>
    </row>
    <row r="1411" spans="2:17" s="531" customFormat="1" ht="13.5" thickBot="1">
      <c r="B1411" s="421"/>
      <c r="C1411" s="618"/>
      <c r="D1411" s="620"/>
      <c r="E1411" s="591"/>
      <c r="F1411" s="421"/>
      <c r="G1411" s="421"/>
      <c r="H1411" s="421"/>
      <c r="I1411" s="421"/>
      <c r="J1411" s="421"/>
      <c r="K1411" s="421"/>
      <c r="L1411" s="421"/>
      <c r="M1411" s="421"/>
    </row>
    <row r="1412" spans="2:17" s="531" customFormat="1" ht="13.5" thickBot="1">
      <c r="B1412" s="421"/>
      <c r="C1412" s="621" t="s">
        <v>77</v>
      </c>
      <c r="D1412" s="594">
        <f>+SUM(D1406:D1411)</f>
        <v>131071.35799999998</v>
      </c>
      <c r="E1412" s="596">
        <f>+SUM(E1406:E1411)</f>
        <v>1</v>
      </c>
      <c r="F1412" s="421"/>
      <c r="G1412" s="421"/>
      <c r="H1412" s="421"/>
      <c r="I1412" s="421"/>
      <c r="J1412" s="421"/>
      <c r="K1412" s="421"/>
      <c r="L1412" s="421"/>
      <c r="M1412" s="421"/>
    </row>
    <row r="1413" spans="2:17" s="531" customFormat="1">
      <c r="B1413" s="421"/>
      <c r="C1413" s="421"/>
      <c r="D1413" s="509">
        <f>+D1412+D1386+D1387-D1389</f>
        <v>0</v>
      </c>
      <c r="E1413" s="421"/>
      <c r="F1413" s="421"/>
      <c r="G1413" s="421"/>
      <c r="H1413" s="421"/>
      <c r="I1413" s="421"/>
      <c r="J1413" s="421"/>
      <c r="K1413" s="421"/>
      <c r="L1413" s="421"/>
      <c r="M1413" s="421"/>
    </row>
    <row r="1414" spans="2:17" s="531" customFormat="1">
      <c r="B1414" s="421"/>
      <c r="C1414" s="421"/>
      <c r="D1414" s="421"/>
      <c r="E1414" s="421"/>
      <c r="F1414" s="421"/>
      <c r="G1414" s="421"/>
      <c r="H1414" s="421"/>
      <c r="I1414" s="421"/>
      <c r="J1414" s="421"/>
      <c r="K1414" s="421"/>
      <c r="L1414" s="421"/>
      <c r="M1414" s="421"/>
    </row>
    <row r="1415" spans="2:17" s="531" customFormat="1">
      <c r="B1415" s="421"/>
      <c r="C1415" s="421"/>
      <c r="D1415" s="421"/>
      <c r="E1415" s="421"/>
      <c r="F1415" s="421"/>
      <c r="G1415" s="421"/>
      <c r="H1415" s="421"/>
      <c r="I1415" s="421"/>
      <c r="J1415" s="421"/>
      <c r="K1415" s="421"/>
      <c r="L1415" s="421"/>
      <c r="M1415" s="421"/>
    </row>
    <row r="1416" spans="2:17" s="531" customFormat="1">
      <c r="B1416" s="421"/>
      <c r="C1416" s="421"/>
      <c r="D1416" s="421"/>
      <c r="E1416" s="421"/>
      <c r="F1416" s="421"/>
      <c r="G1416" s="421"/>
      <c r="H1416" s="421"/>
      <c r="I1416" s="421"/>
      <c r="J1416" s="421"/>
      <c r="K1416" s="421"/>
      <c r="L1416" s="421"/>
      <c r="M1416" s="421"/>
    </row>
    <row r="1417" spans="2:17" s="531" customFormat="1">
      <c r="B1417" s="421"/>
      <c r="C1417" s="421"/>
      <c r="D1417" s="421"/>
      <c r="E1417" s="421"/>
      <c r="F1417" s="421"/>
      <c r="G1417" s="421"/>
      <c r="H1417" s="421"/>
      <c r="I1417" s="421"/>
      <c r="J1417" s="421"/>
      <c r="K1417" s="421"/>
      <c r="L1417" s="421"/>
      <c r="M1417" s="421"/>
    </row>
    <row r="1418" spans="2:17">
      <c r="B1418" s="557" t="s">
        <v>377</v>
      </c>
      <c r="I1418" s="557" t="s">
        <v>378</v>
      </c>
      <c r="J1418" s="556">
        <f>Model!AG203</f>
        <v>5.0465035300292192E-2</v>
      </c>
      <c r="N1418" s="531"/>
      <c r="O1418" s="531"/>
      <c r="P1418" s="531"/>
      <c r="Q1418" s="531"/>
    </row>
    <row r="1419" spans="2:17">
      <c r="I1419" s="557" t="s">
        <v>379</v>
      </c>
      <c r="J1419" s="556">
        <f>AVERAGE(Model!AD202:AG202)</f>
        <v>4.756764342342279E-2</v>
      </c>
    </row>
    <row r="1420" spans="2:17" s="531" customFormat="1">
      <c r="B1420" s="421"/>
      <c r="C1420" s="560"/>
      <c r="D1420" s="790" t="s">
        <v>380</v>
      </c>
      <c r="E1420" s="791"/>
      <c r="F1420" s="559" t="s">
        <v>20</v>
      </c>
      <c r="G1420" s="558" t="s">
        <v>21</v>
      </c>
      <c r="H1420" s="421"/>
      <c r="I1420" s="421"/>
      <c r="J1420" s="421"/>
      <c r="K1420" s="421"/>
      <c r="L1420" s="421"/>
      <c r="M1420" s="421"/>
    </row>
    <row r="1421" spans="2:17" s="531" customFormat="1">
      <c r="B1421" s="421"/>
      <c r="C1421" s="554"/>
      <c r="D1421" s="555" t="s">
        <v>18</v>
      </c>
      <c r="E1421" s="552" t="s">
        <v>19</v>
      </c>
      <c r="F1421" s="550"/>
      <c r="G1421" s="549"/>
      <c r="H1421" s="421"/>
      <c r="I1421" s="421"/>
      <c r="J1421" s="421"/>
      <c r="K1421" s="421"/>
      <c r="L1421" s="421"/>
      <c r="M1421" s="421"/>
    </row>
    <row r="1422" spans="2:17" s="531" customFormat="1">
      <c r="B1422" s="421"/>
      <c r="C1422" s="554"/>
      <c r="D1422" s="553"/>
      <c r="E1422" s="552"/>
      <c r="F1422" s="550"/>
      <c r="G1422" s="549"/>
      <c r="H1422" s="421"/>
      <c r="I1422" s="421"/>
      <c r="J1422" s="421"/>
      <c r="K1422" s="421"/>
      <c r="L1422" s="421"/>
      <c r="M1422" s="421"/>
    </row>
    <row r="1423" spans="2:17" s="531" customFormat="1">
      <c r="B1423" s="421"/>
      <c r="C1423" s="554" t="s">
        <v>92</v>
      </c>
      <c r="D1423" s="553"/>
      <c r="E1423" s="552"/>
      <c r="F1423" s="550"/>
      <c r="G1423" s="549"/>
      <c r="H1423" s="421"/>
      <c r="I1423" s="421"/>
      <c r="J1423" s="421"/>
      <c r="K1423" s="421"/>
      <c r="L1423" s="421"/>
      <c r="M1423" s="421"/>
    </row>
    <row r="1424" spans="2:17" s="531" customFormat="1" ht="25.5">
      <c r="B1424" s="421"/>
      <c r="C1424" s="548" t="s">
        <v>304</v>
      </c>
      <c r="D1424" s="418">
        <v>2348.5709999999999</v>
      </c>
      <c r="E1424" s="539">
        <f>D1424*$J$1418</f>
        <v>118.52071842024253</v>
      </c>
      <c r="F1424" s="598"/>
      <c r="G1424" s="546"/>
      <c r="H1424" s="421"/>
      <c r="I1424" s="421"/>
      <c r="J1424" s="421"/>
      <c r="K1424" s="421"/>
      <c r="L1424" s="421"/>
      <c r="M1424" s="421"/>
    </row>
    <row r="1425" spans="2:13" s="531" customFormat="1" ht="25.5">
      <c r="B1425" s="421"/>
      <c r="C1425" s="548" t="s">
        <v>342</v>
      </c>
      <c r="D1425" s="418">
        <v>4170.6499999999996</v>
      </c>
      <c r="E1425" s="539">
        <f t="shared" ref="E1425:E1430" si="79">D1425*$J$1418</f>
        <v>210.47199947516361</v>
      </c>
      <c r="F1425" s="598"/>
      <c r="G1425" s="546"/>
      <c r="H1425" s="421"/>
      <c r="I1425" s="421"/>
      <c r="J1425" s="421"/>
      <c r="K1425" s="421"/>
      <c r="L1425" s="421"/>
      <c r="M1425" s="421"/>
    </row>
    <row r="1426" spans="2:13" s="531" customFormat="1" ht="25.5">
      <c r="B1426" s="421"/>
      <c r="C1426" s="548" t="s">
        <v>289</v>
      </c>
      <c r="D1426" s="418">
        <v>247.39699999999999</v>
      </c>
      <c r="E1426" s="539">
        <f t="shared" si="79"/>
        <v>12.484898338186387</v>
      </c>
      <c r="F1426" s="550"/>
      <c r="G1426" s="549"/>
      <c r="H1426" s="421"/>
      <c r="I1426" s="421"/>
      <c r="J1426" s="421"/>
      <c r="K1426" s="421"/>
      <c r="L1426" s="421"/>
      <c r="M1426" s="421"/>
    </row>
    <row r="1427" spans="2:13" s="531" customFormat="1" ht="25.5">
      <c r="B1427" s="421"/>
      <c r="C1427" s="548" t="s">
        <v>289</v>
      </c>
      <c r="D1427" s="418">
        <v>513.35400000000004</v>
      </c>
      <c r="E1427" s="539">
        <f t="shared" si="79"/>
        <v>25.906427731546199</v>
      </c>
      <c r="F1427" s="550"/>
      <c r="G1427" s="549"/>
      <c r="H1427" s="421"/>
      <c r="I1427" s="421"/>
      <c r="J1427" s="421"/>
      <c r="K1427" s="421"/>
      <c r="L1427" s="421"/>
      <c r="M1427" s="421"/>
    </row>
    <row r="1428" spans="2:13" s="531" customFormat="1" ht="25.5">
      <c r="B1428" s="421"/>
      <c r="C1428" s="548" t="s">
        <v>381</v>
      </c>
      <c r="D1428" s="551">
        <v>1320</v>
      </c>
      <c r="E1428" s="539">
        <f t="shared" si="79"/>
        <v>66.613846596385699</v>
      </c>
      <c r="F1428" s="550"/>
      <c r="G1428" s="549"/>
      <c r="H1428" s="421"/>
      <c r="I1428" s="421"/>
      <c r="J1428" s="421"/>
      <c r="K1428" s="421"/>
      <c r="L1428" s="421"/>
      <c r="M1428" s="421"/>
    </row>
    <row r="1429" spans="2:13" s="531" customFormat="1" ht="25.5">
      <c r="B1429" s="421"/>
      <c r="C1429" s="548" t="s">
        <v>275</v>
      </c>
      <c r="D1429" s="551">
        <v>493.815</v>
      </c>
      <c r="E1429" s="539">
        <f t="shared" si="79"/>
        <v>24.920391406813788</v>
      </c>
      <c r="F1429" s="550"/>
      <c r="G1429" s="549"/>
      <c r="H1429" s="421"/>
      <c r="I1429" s="421"/>
      <c r="J1429" s="421"/>
      <c r="K1429" s="421"/>
      <c r="L1429" s="421"/>
      <c r="M1429" s="421"/>
    </row>
    <row r="1430" spans="2:13" s="531" customFormat="1" ht="25.5">
      <c r="B1430" s="421"/>
      <c r="C1430" s="548" t="s">
        <v>276</v>
      </c>
      <c r="D1430" s="551">
        <v>131.684</v>
      </c>
      <c r="E1430" s="539">
        <f t="shared" si="79"/>
        <v>6.6454377084836773</v>
      </c>
      <c r="F1430" s="550"/>
      <c r="G1430" s="549"/>
      <c r="H1430" s="421"/>
      <c r="I1430" s="421"/>
      <c r="J1430" s="421"/>
      <c r="K1430" s="421"/>
      <c r="L1430" s="421"/>
      <c r="M1430" s="421"/>
    </row>
    <row r="1431" spans="2:13" s="531" customFormat="1">
      <c r="B1431" s="421"/>
      <c r="C1431" s="548"/>
      <c r="D1431" s="551"/>
      <c r="E1431" s="539"/>
      <c r="F1431" s="550"/>
      <c r="G1431" s="549"/>
      <c r="H1431" s="421"/>
      <c r="I1431" s="421"/>
      <c r="J1431" s="421"/>
      <c r="K1431" s="421"/>
      <c r="L1431" s="421"/>
      <c r="M1431" s="421"/>
    </row>
    <row r="1432" spans="2:13" s="531" customFormat="1">
      <c r="B1432" s="421"/>
      <c r="C1432" s="554" t="s">
        <v>97</v>
      </c>
      <c r="D1432" s="551"/>
      <c r="E1432" s="539"/>
      <c r="F1432" s="550"/>
      <c r="G1432" s="549"/>
      <c r="H1432" s="421"/>
      <c r="I1432" s="421"/>
      <c r="J1432" s="421"/>
      <c r="K1432" s="421"/>
      <c r="L1432" s="421"/>
      <c r="M1432" s="421"/>
    </row>
    <row r="1433" spans="2:13" s="531" customFormat="1" ht="25.5">
      <c r="B1433" s="421"/>
      <c r="C1433" s="548" t="s">
        <v>290</v>
      </c>
      <c r="D1433" s="418">
        <v>3120.9</v>
      </c>
      <c r="E1433" s="539">
        <f t="shared" ref="E1433:E1439" si="80">D1433*$J$1418</f>
        <v>157.49632866868191</v>
      </c>
      <c r="F1433" s="601"/>
      <c r="G1433" s="546"/>
      <c r="H1433" s="421"/>
      <c r="I1433" s="421"/>
      <c r="J1433" s="421"/>
      <c r="K1433" s="421"/>
      <c r="L1433" s="421"/>
      <c r="M1433" s="421"/>
    </row>
    <row r="1434" spans="2:13" s="531" customFormat="1" ht="25.5">
      <c r="B1434" s="421"/>
      <c r="C1434" s="548" t="s">
        <v>343</v>
      </c>
      <c r="D1434" s="418">
        <v>7500</v>
      </c>
      <c r="E1434" s="539">
        <f t="shared" si="80"/>
        <v>378.48776475219142</v>
      </c>
      <c r="F1434" s="601"/>
      <c r="G1434" s="549"/>
      <c r="H1434" s="421"/>
      <c r="I1434" s="421"/>
      <c r="J1434" s="421"/>
      <c r="K1434" s="421"/>
      <c r="L1434" s="421"/>
      <c r="M1434" s="421"/>
    </row>
    <row r="1435" spans="2:13" s="531" customFormat="1" ht="25.5">
      <c r="B1435" s="421"/>
      <c r="C1435" s="548" t="s">
        <v>167</v>
      </c>
      <c r="D1435" s="551">
        <v>2907.6909999999998</v>
      </c>
      <c r="E1435" s="539">
        <f t="shared" si="80"/>
        <v>146.73672895734188</v>
      </c>
      <c r="F1435" s="601"/>
      <c r="G1435" s="549"/>
      <c r="H1435" s="421"/>
      <c r="I1435" s="421"/>
      <c r="J1435" s="421"/>
      <c r="K1435" s="421"/>
      <c r="L1435" s="421"/>
      <c r="M1435" s="421"/>
    </row>
    <row r="1436" spans="2:13" s="531" customFormat="1" ht="25.5">
      <c r="B1436" s="421"/>
      <c r="C1436" s="548" t="s">
        <v>168</v>
      </c>
      <c r="D1436" s="418">
        <v>3127.4810000000002</v>
      </c>
      <c r="E1436" s="539">
        <f t="shared" si="80"/>
        <v>157.82843906599314</v>
      </c>
      <c r="F1436" s="601"/>
      <c r="G1436" s="546"/>
      <c r="H1436" s="421"/>
      <c r="I1436" s="421"/>
      <c r="J1436" s="421"/>
      <c r="K1436" s="421"/>
      <c r="L1436" s="421"/>
      <c r="M1436" s="421"/>
    </row>
    <row r="1437" spans="2:13" s="531" customFormat="1" ht="25.5">
      <c r="B1437" s="421"/>
      <c r="C1437" s="548" t="s">
        <v>169</v>
      </c>
      <c r="D1437" s="418">
        <v>4799.6000000000004</v>
      </c>
      <c r="E1437" s="539">
        <f t="shared" si="80"/>
        <v>242.21198342728243</v>
      </c>
      <c r="F1437" s="601"/>
      <c r="G1437" s="549"/>
      <c r="H1437" s="421"/>
      <c r="I1437" s="421"/>
      <c r="J1437" s="421"/>
      <c r="K1437" s="421"/>
      <c r="L1437" s="421"/>
      <c r="M1437" s="421"/>
    </row>
    <row r="1438" spans="2:13" s="531" customFormat="1" ht="25.5">
      <c r="B1438" s="421"/>
      <c r="C1438" s="548" t="s">
        <v>373</v>
      </c>
      <c r="D1438" s="551">
        <v>8100</v>
      </c>
      <c r="E1438" s="539">
        <f t="shared" si="80"/>
        <v>408.76678593236676</v>
      </c>
      <c r="F1438" s="601"/>
      <c r="G1438" s="549"/>
      <c r="H1438" s="421"/>
      <c r="I1438" s="421"/>
      <c r="J1438" s="421"/>
      <c r="K1438" s="421"/>
      <c r="L1438" s="421"/>
      <c r="M1438" s="421"/>
    </row>
    <row r="1439" spans="2:13" s="531" customFormat="1" ht="25.5">
      <c r="B1439" s="421"/>
      <c r="C1439" s="548" t="s">
        <v>325</v>
      </c>
      <c r="D1439" s="418">
        <v>5250.3810000000003</v>
      </c>
      <c r="E1439" s="539">
        <f t="shared" si="80"/>
        <v>264.96066250498342</v>
      </c>
      <c r="F1439" s="601"/>
      <c r="G1439" s="546"/>
      <c r="H1439" s="421"/>
      <c r="I1439" s="421"/>
      <c r="J1439" s="421"/>
      <c r="K1439" s="421"/>
      <c r="L1439" s="421"/>
      <c r="M1439" s="421"/>
    </row>
    <row r="1440" spans="2:13" s="531" customFormat="1">
      <c r="B1440" s="421"/>
      <c r="C1440" s="548" t="s">
        <v>175</v>
      </c>
      <c r="D1440" s="576">
        <f>E1440/$J$1418</f>
        <v>17279.290400000002</v>
      </c>
      <c r="E1440" s="575">
        <v>872</v>
      </c>
      <c r="F1440" s="601"/>
      <c r="G1440" s="546"/>
      <c r="H1440" s="421"/>
      <c r="I1440" s="421"/>
      <c r="J1440" s="421"/>
      <c r="K1440" s="421"/>
      <c r="L1440" s="421"/>
      <c r="M1440" s="421"/>
    </row>
    <row r="1441" spans="2:13" s="531" customFormat="1">
      <c r="B1441" s="421"/>
      <c r="C1441" s="548" t="s">
        <v>176</v>
      </c>
      <c r="D1441" s="576">
        <f>E1441/$J$1418</f>
        <v>15218.4576</v>
      </c>
      <c r="E1441" s="575">
        <v>768</v>
      </c>
      <c r="F1441" s="601"/>
      <c r="G1441" s="546"/>
      <c r="H1441" s="421"/>
      <c r="I1441" s="421"/>
      <c r="J1441" s="421"/>
      <c r="K1441" s="421"/>
      <c r="L1441" s="421"/>
      <c r="M1441" s="421"/>
    </row>
    <row r="1442" spans="2:13" s="531" customFormat="1">
      <c r="B1442" s="421"/>
      <c r="C1442" s="548" t="s">
        <v>277</v>
      </c>
      <c r="D1442" s="576">
        <f>E1442/$J$1418</f>
        <v>11889.42</v>
      </c>
      <c r="E1442" s="575">
        <v>600</v>
      </c>
      <c r="F1442" s="601"/>
      <c r="G1442" s="549"/>
      <c r="H1442" s="421"/>
      <c r="I1442" s="421"/>
      <c r="J1442" s="421"/>
      <c r="K1442" s="421"/>
      <c r="L1442" s="421"/>
      <c r="M1442" s="421"/>
    </row>
    <row r="1443" spans="2:13" s="531" customFormat="1">
      <c r="B1443" s="421"/>
      <c r="C1443" s="548" t="s">
        <v>178</v>
      </c>
      <c r="D1443" s="576">
        <f>E1443/$J$1418</f>
        <v>13870.99</v>
      </c>
      <c r="E1443" s="575">
        <v>700</v>
      </c>
      <c r="F1443" s="601"/>
      <c r="G1443" s="549"/>
      <c r="H1443" s="421"/>
      <c r="I1443" s="421"/>
      <c r="J1443" s="421"/>
      <c r="K1443" s="421"/>
      <c r="L1443" s="421"/>
      <c r="M1443" s="421"/>
    </row>
    <row r="1444" spans="2:13" s="531" customFormat="1">
      <c r="B1444" s="421"/>
      <c r="C1444" s="548" t="s">
        <v>207</v>
      </c>
      <c r="D1444" s="576">
        <f>E1444/$J$1418</f>
        <v>15852.56</v>
      </c>
      <c r="E1444" s="575">
        <v>800</v>
      </c>
      <c r="F1444" s="601"/>
      <c r="G1444" s="546"/>
      <c r="H1444" s="421"/>
      <c r="I1444" s="421"/>
      <c r="J1444" s="421"/>
      <c r="K1444" s="421"/>
      <c r="L1444" s="421"/>
      <c r="M1444" s="421"/>
    </row>
    <row r="1445" spans="2:13" s="531" customFormat="1">
      <c r="B1445" s="421"/>
      <c r="C1445" s="548"/>
      <c r="D1445" s="576"/>
      <c r="E1445" s="575"/>
      <c r="F1445" s="547"/>
      <c r="G1445" s="546"/>
      <c r="H1445" s="421"/>
      <c r="I1445" s="421"/>
      <c r="J1445" s="421"/>
      <c r="K1445" s="421"/>
      <c r="L1445" s="421"/>
      <c r="M1445" s="421"/>
    </row>
    <row r="1446" spans="2:13" s="531" customFormat="1">
      <c r="B1446" s="421"/>
      <c r="C1446" s="554" t="s">
        <v>113</v>
      </c>
      <c r="D1446" s="576"/>
      <c r="E1446" s="575"/>
      <c r="F1446" s="547"/>
      <c r="G1446" s="546"/>
      <c r="H1446" s="421"/>
      <c r="I1446" s="421"/>
      <c r="J1446" s="421"/>
      <c r="K1446" s="421"/>
      <c r="L1446" s="421"/>
      <c r="M1446" s="421"/>
    </row>
    <row r="1447" spans="2:13" s="531" customFormat="1" ht="25.5">
      <c r="B1447" s="421"/>
      <c r="C1447" s="548" t="s">
        <v>351</v>
      </c>
      <c r="D1447" s="418">
        <v>0</v>
      </c>
      <c r="E1447" s="539">
        <f t="shared" ref="E1447:E1453" si="81">D1447*$J$1418</f>
        <v>0</v>
      </c>
      <c r="F1447" s="547"/>
      <c r="G1447" s="546"/>
      <c r="H1447" s="421"/>
      <c r="I1447" s="421"/>
      <c r="J1447" s="421"/>
      <c r="K1447" s="421"/>
      <c r="L1447" s="421"/>
      <c r="M1447" s="421"/>
    </row>
    <row r="1448" spans="2:13" s="531" customFormat="1" ht="25.5">
      <c r="B1448" s="421"/>
      <c r="C1448" s="548" t="s">
        <v>351</v>
      </c>
      <c r="D1448" s="418">
        <v>0</v>
      </c>
      <c r="E1448" s="539">
        <f t="shared" si="81"/>
        <v>0</v>
      </c>
      <c r="F1448" s="547"/>
      <c r="G1448" s="546"/>
      <c r="H1448" s="421"/>
      <c r="I1448" s="421"/>
      <c r="J1448" s="421"/>
      <c r="K1448" s="421"/>
      <c r="L1448" s="421"/>
      <c r="M1448" s="421"/>
    </row>
    <row r="1449" spans="2:13" s="531" customFormat="1" ht="25.5">
      <c r="B1449" s="421"/>
      <c r="C1449" s="548" t="s">
        <v>352</v>
      </c>
      <c r="D1449" s="418">
        <v>0</v>
      </c>
      <c r="E1449" s="539">
        <f t="shared" si="81"/>
        <v>0</v>
      </c>
      <c r="F1449" s="547"/>
      <c r="G1449" s="546"/>
      <c r="H1449" s="421"/>
      <c r="I1449" s="421"/>
      <c r="J1449" s="421"/>
      <c r="K1449" s="421"/>
      <c r="L1449" s="421"/>
      <c r="M1449" s="421"/>
    </row>
    <row r="1450" spans="2:13" s="531" customFormat="1" ht="25.5">
      <c r="B1450" s="421"/>
      <c r="C1450" s="548" t="s">
        <v>329</v>
      </c>
      <c r="D1450" s="418">
        <v>0</v>
      </c>
      <c r="E1450" s="539">
        <f t="shared" si="81"/>
        <v>0</v>
      </c>
      <c r="F1450" s="547"/>
      <c r="G1450" s="546"/>
      <c r="H1450" s="421"/>
      <c r="I1450" s="421"/>
      <c r="J1450" s="421"/>
      <c r="K1450" s="421"/>
      <c r="L1450" s="421"/>
      <c r="M1450" s="421"/>
    </row>
    <row r="1451" spans="2:13" s="531" customFormat="1" ht="25.5">
      <c r="B1451" s="421"/>
      <c r="C1451" s="548" t="s">
        <v>329</v>
      </c>
      <c r="D1451" s="418">
        <v>0</v>
      </c>
      <c r="E1451" s="539">
        <f t="shared" si="81"/>
        <v>0</v>
      </c>
      <c r="F1451" s="547"/>
      <c r="G1451" s="546"/>
      <c r="H1451" s="421"/>
      <c r="I1451" s="421"/>
      <c r="J1451" s="421"/>
      <c r="K1451" s="421"/>
      <c r="L1451" s="421"/>
      <c r="M1451" s="421"/>
    </row>
    <row r="1452" spans="2:13" s="531" customFormat="1" ht="25.5">
      <c r="B1452" s="421"/>
      <c r="C1452" s="548" t="s">
        <v>331</v>
      </c>
      <c r="D1452" s="418">
        <v>100</v>
      </c>
      <c r="E1452" s="539">
        <f t="shared" si="81"/>
        <v>5.0465035300292191</v>
      </c>
      <c r="F1452" s="547"/>
      <c r="G1452" s="546"/>
      <c r="H1452" s="421"/>
      <c r="I1452" s="421"/>
      <c r="J1452" s="421"/>
      <c r="K1452" s="421"/>
      <c r="L1452" s="421"/>
      <c r="M1452" s="421"/>
    </row>
    <row r="1453" spans="2:13" s="531" customFormat="1" ht="25.5">
      <c r="B1453" s="421"/>
      <c r="C1453" s="548" t="s">
        <v>344</v>
      </c>
      <c r="D1453" s="418">
        <v>0</v>
      </c>
      <c r="E1453" s="539">
        <f t="shared" si="81"/>
        <v>0</v>
      </c>
      <c r="F1453" s="547"/>
      <c r="G1453" s="546"/>
      <c r="H1453" s="421"/>
      <c r="I1453" s="421"/>
      <c r="J1453" s="421"/>
      <c r="K1453" s="421"/>
      <c r="L1453" s="421"/>
      <c r="M1453" s="421"/>
    </row>
    <row r="1454" spans="2:13" s="531" customFormat="1" ht="25.5">
      <c r="B1454" s="421"/>
      <c r="C1454" s="548" t="s">
        <v>345</v>
      </c>
      <c r="D1454" s="576">
        <f>E1454/$J$1418</f>
        <v>9907.85</v>
      </c>
      <c r="E1454" s="575">
        <v>500</v>
      </c>
      <c r="F1454" s="547"/>
      <c r="G1454" s="546"/>
      <c r="H1454" s="421"/>
      <c r="I1454" s="421"/>
      <c r="J1454" s="421"/>
      <c r="K1454" s="421"/>
      <c r="L1454" s="421"/>
      <c r="M1454" s="421"/>
    </row>
    <row r="1455" spans="2:13" s="531" customFormat="1" ht="25.5">
      <c r="B1455" s="421"/>
      <c r="C1455" s="548" t="s">
        <v>374</v>
      </c>
      <c r="D1455" s="576">
        <f>E1455/$J$1418</f>
        <v>0</v>
      </c>
      <c r="E1455" s="575">
        <v>0</v>
      </c>
      <c r="F1455" s="547"/>
      <c r="G1455" s="546"/>
      <c r="H1455" s="421"/>
      <c r="I1455" s="421"/>
      <c r="J1455" s="421"/>
      <c r="K1455" s="421"/>
      <c r="L1455" s="421"/>
      <c r="M1455" s="421"/>
    </row>
    <row r="1456" spans="2:13" s="531" customFormat="1">
      <c r="B1456" s="421"/>
      <c r="C1456" s="548" t="s">
        <v>196</v>
      </c>
      <c r="D1456" s="418">
        <v>-848.11199999999997</v>
      </c>
      <c r="E1456" s="539">
        <f>D1456*$J$1418</f>
        <v>-42.800002018601411</v>
      </c>
      <c r="F1456" s="547"/>
      <c r="G1456" s="546"/>
      <c r="H1456" s="421"/>
      <c r="I1456" s="421"/>
      <c r="J1456" s="421"/>
      <c r="K1456" s="421"/>
      <c r="L1456" s="421"/>
      <c r="M1456" s="421"/>
    </row>
    <row r="1457" spans="2:13" s="531" customFormat="1">
      <c r="B1457" s="421"/>
      <c r="C1457" s="548" t="s">
        <v>65</v>
      </c>
      <c r="D1457" s="418">
        <v>806.43</v>
      </c>
      <c r="E1457" s="539">
        <f>D1457*$J$1418</f>
        <v>40.696518417214627</v>
      </c>
      <c r="F1457" s="547"/>
      <c r="G1457" s="546"/>
      <c r="H1457" s="421"/>
      <c r="I1457" s="421"/>
      <c r="J1457" s="421"/>
      <c r="K1457" s="421"/>
      <c r="L1457" s="421"/>
      <c r="M1457" s="421"/>
    </row>
    <row r="1458" spans="2:13" s="531" customFormat="1">
      <c r="B1458" s="421"/>
      <c r="C1458" s="548"/>
      <c r="D1458" s="418"/>
      <c r="E1458" s="575"/>
      <c r="F1458" s="547"/>
      <c r="G1458" s="546"/>
      <c r="H1458" s="421"/>
      <c r="I1458" s="421"/>
      <c r="J1458" s="421"/>
      <c r="K1458" s="421"/>
      <c r="L1458" s="421"/>
      <c r="M1458" s="421"/>
    </row>
    <row r="1459" spans="2:13" s="531" customFormat="1">
      <c r="B1459" s="421"/>
      <c r="C1459" s="536" t="s">
        <v>66</v>
      </c>
      <c r="D1459" s="535">
        <f>SUM(D1424:D1458)</f>
        <v>128108.41</v>
      </c>
      <c r="E1459" s="534">
        <f>SUM(E1424:E1458)</f>
        <v>6464.9954329143047</v>
      </c>
      <c r="F1459" s="533">
        <f>+D1459/D1464</f>
        <v>8.4957720889831592</v>
      </c>
      <c r="G1459" s="532">
        <f>+E1459/E1464</f>
        <v>9.0132579105791191</v>
      </c>
      <c r="H1459" s="421"/>
      <c r="I1459" s="421"/>
      <c r="J1459" s="421"/>
      <c r="K1459" s="421"/>
      <c r="L1459" s="421"/>
      <c r="M1459" s="421"/>
    </row>
    <row r="1460" spans="2:13" s="531" customFormat="1" ht="12.75" customHeight="1">
      <c r="B1460" s="421"/>
      <c r="C1460" s="545" t="s">
        <v>67</v>
      </c>
      <c r="D1460" s="544">
        <f>Model!AG123</f>
        <v>3713.8159999999998</v>
      </c>
      <c r="E1460" s="539">
        <f>D1460*$J$1418</f>
        <v>187.41785553878995</v>
      </c>
      <c r="F1460" s="543"/>
      <c r="G1460" s="542"/>
      <c r="H1460" s="421"/>
      <c r="I1460" s="421"/>
      <c r="J1460" s="421"/>
      <c r="K1460" s="421"/>
      <c r="L1460" s="421"/>
      <c r="M1460" s="421"/>
    </row>
    <row r="1461" spans="2:13" s="531" customFormat="1">
      <c r="B1461" s="421"/>
      <c r="C1461" s="536" t="s">
        <v>68</v>
      </c>
      <c r="D1461" s="535">
        <f>+D1459-D1460</f>
        <v>124394.594</v>
      </c>
      <c r="E1461" s="534">
        <f>+E1459-E1460</f>
        <v>6277.5775773755149</v>
      </c>
      <c r="F1461" s="533">
        <f>+D1461/D1464</f>
        <v>8.2494827601528424</v>
      </c>
      <c r="G1461" s="532">
        <f>+E1461/E1464</f>
        <v>8.751966856850208</v>
      </c>
      <c r="H1461" s="421"/>
      <c r="I1461" s="421"/>
      <c r="J1461" s="421"/>
      <c r="K1461" s="421"/>
      <c r="L1461" s="421"/>
      <c r="M1461" s="421"/>
    </row>
    <row r="1462" spans="2:13" s="531" customFormat="1">
      <c r="B1462" s="421"/>
      <c r="C1462" s="541" t="s">
        <v>69</v>
      </c>
      <c r="D1462" s="540">
        <f>Model!AG128</f>
        <v>171236.446</v>
      </c>
      <c r="E1462" s="539">
        <f>D1462*$J$1418</f>
        <v>8641.4532920865768</v>
      </c>
      <c r="F1462" s="538"/>
      <c r="G1462" s="537"/>
      <c r="H1462" s="421"/>
      <c r="I1462" s="421"/>
      <c r="J1462" s="421"/>
      <c r="K1462" s="421"/>
      <c r="L1462" s="421"/>
      <c r="M1462" s="421"/>
    </row>
    <row r="1463" spans="2:13" s="531" customFormat="1">
      <c r="B1463" s="421"/>
      <c r="C1463" s="536" t="s">
        <v>70</v>
      </c>
      <c r="D1463" s="535">
        <f>D1459+D1462</f>
        <v>299344.85600000003</v>
      </c>
      <c r="E1463" s="534">
        <f>E1459+E1462</f>
        <v>15106.448725000882</v>
      </c>
      <c r="F1463" s="533">
        <f>D1463/D1464</f>
        <v>19.851668384499373</v>
      </c>
      <c r="G1463" s="532">
        <f>E1463/E1464</f>
        <v>21.060853002025137</v>
      </c>
      <c r="H1463" s="421"/>
      <c r="I1463" s="421"/>
      <c r="J1463" s="421"/>
      <c r="K1463" s="421"/>
      <c r="L1463" s="421"/>
      <c r="M1463" s="421"/>
    </row>
    <row r="1464" spans="2:13" s="531" customFormat="1">
      <c r="B1464" s="421"/>
      <c r="C1464" s="530" t="s">
        <v>71</v>
      </c>
      <c r="D1464" s="529">
        <f>Model!AG102</f>
        <v>15079.078</v>
      </c>
      <c r="E1464" s="528">
        <f>D1464*$J$1419</f>
        <v>717.27620545797924</v>
      </c>
      <c r="F1464" s="604"/>
      <c r="G1464" s="605"/>
      <c r="H1464" s="421"/>
      <c r="I1464" s="421"/>
      <c r="J1464" s="421"/>
      <c r="K1464" s="421"/>
      <c r="L1464" s="421"/>
      <c r="M1464" s="421"/>
    </row>
    <row r="1465" spans="2:13" s="531" customFormat="1">
      <c r="B1465" s="421"/>
      <c r="F1465" s="421"/>
      <c r="G1465" s="421"/>
      <c r="H1465" s="421"/>
      <c r="I1465" s="421"/>
      <c r="J1465" s="421"/>
      <c r="K1465" s="421"/>
      <c r="L1465" s="421"/>
      <c r="M1465" s="421"/>
    </row>
    <row r="1466" spans="2:13" s="531" customFormat="1">
      <c r="B1466" s="421"/>
      <c r="C1466" s="606" t="s">
        <v>72</v>
      </c>
      <c r="D1466" s="623">
        <f>D1459-Model!AG126</f>
        <v>0</v>
      </c>
      <c r="E1466" s="626"/>
      <c r="F1466" s="421"/>
      <c r="G1466" s="421"/>
      <c r="H1466" s="421"/>
      <c r="I1466" s="421"/>
      <c r="J1466" s="421"/>
      <c r="K1466" s="421"/>
      <c r="L1466" s="421"/>
      <c r="M1466" s="421"/>
    </row>
    <row r="1467" spans="2:13" s="531" customFormat="1" ht="13.5" thickBot="1">
      <c r="B1467" s="421"/>
      <c r="D1467" s="609"/>
      <c r="E1467" s="609"/>
      <c r="F1467" s="421"/>
      <c r="G1467" s="421"/>
      <c r="H1467" s="421"/>
      <c r="I1467" s="421"/>
      <c r="J1467" s="421"/>
      <c r="K1467" s="421"/>
      <c r="L1467" s="421"/>
      <c r="M1467" s="421"/>
    </row>
    <row r="1468" spans="2:13" s="531" customFormat="1">
      <c r="B1468" s="421"/>
      <c r="C1468" s="611" t="s">
        <v>382</v>
      </c>
      <c r="D1468" s="612" t="s">
        <v>130</v>
      </c>
      <c r="E1468" s="613" t="s">
        <v>131</v>
      </c>
      <c r="F1468" s="421"/>
      <c r="G1468" s="421"/>
      <c r="H1468" s="421"/>
      <c r="I1468" s="421"/>
      <c r="J1468" s="421"/>
      <c r="K1468" s="421"/>
      <c r="L1468" s="421"/>
      <c r="M1468" s="421"/>
    </row>
    <row r="1469" spans="2:13" s="531" customFormat="1">
      <c r="B1469" s="421"/>
      <c r="C1469" s="615" t="s">
        <v>198</v>
      </c>
      <c r="D1469" s="579"/>
      <c r="E1469" s="519">
        <f>D1469*$J$1491</f>
        <v>0</v>
      </c>
      <c r="F1469" s="421"/>
      <c r="G1469" s="421"/>
      <c r="H1469" s="421"/>
      <c r="I1469" s="421"/>
      <c r="J1469" s="421"/>
      <c r="K1469" s="421"/>
      <c r="L1469" s="421"/>
      <c r="M1469" s="421"/>
    </row>
    <row r="1470" spans="2:13" s="531" customFormat="1">
      <c r="B1470" s="421"/>
      <c r="C1470" s="615" t="s">
        <v>74</v>
      </c>
      <c r="D1470" s="520">
        <f>D1460</f>
        <v>3713.8159999999998</v>
      </c>
      <c r="E1470" s="519">
        <f>D1470*$J$1418</f>
        <v>187.41785553878995</v>
      </c>
      <c r="F1470" s="421"/>
      <c r="G1470" s="421"/>
      <c r="H1470" s="421"/>
      <c r="I1470" s="421"/>
      <c r="J1470" s="421"/>
      <c r="K1470" s="421"/>
      <c r="L1470" s="421"/>
      <c r="M1470" s="421"/>
    </row>
    <row r="1471" spans="2:13" s="531" customFormat="1" ht="13.5" thickBot="1">
      <c r="B1471" s="421"/>
      <c r="C1471" s="616" t="s">
        <v>75</v>
      </c>
      <c r="D1471" s="517">
        <f>SUM(D1469:D1470)</f>
        <v>3713.8159999999998</v>
      </c>
      <c r="E1471" s="516">
        <f>SUM(E1469:E1470)</f>
        <v>187.41785553878995</v>
      </c>
      <c r="F1471" s="421"/>
      <c r="G1471" s="421"/>
      <c r="H1471" s="421"/>
      <c r="I1471" s="421"/>
      <c r="J1471" s="421"/>
      <c r="K1471" s="421"/>
      <c r="L1471" s="421"/>
      <c r="M1471" s="421"/>
    </row>
    <row r="1472" spans="2:13" s="531" customFormat="1">
      <c r="B1472" s="421"/>
      <c r="F1472" s="421"/>
      <c r="G1472" s="421"/>
      <c r="H1472" s="421"/>
      <c r="I1472" s="421"/>
      <c r="J1472" s="421"/>
      <c r="K1472" s="421"/>
      <c r="L1472" s="421"/>
      <c r="M1472" s="421"/>
    </row>
    <row r="1473" spans="2:17" s="531" customFormat="1" ht="13.5" thickBot="1">
      <c r="B1473" s="421"/>
      <c r="F1473" s="421"/>
      <c r="G1473" s="421"/>
      <c r="H1473" s="421"/>
      <c r="I1473" s="421"/>
      <c r="J1473" s="421"/>
      <c r="K1473" s="421"/>
      <c r="L1473" s="421"/>
      <c r="M1473" s="421"/>
    </row>
    <row r="1474" spans="2:17" s="531" customFormat="1">
      <c r="B1474" s="421"/>
      <c r="C1474" s="617" t="s">
        <v>383</v>
      </c>
      <c r="D1474" s="612" t="s">
        <v>130</v>
      </c>
      <c r="E1474" s="612" t="s">
        <v>133</v>
      </c>
      <c r="F1474" s="421"/>
      <c r="G1474" s="421"/>
      <c r="H1474" s="421"/>
      <c r="I1474" s="421"/>
      <c r="J1474" s="421"/>
      <c r="K1474" s="421"/>
      <c r="L1474" s="421"/>
      <c r="M1474" s="421"/>
    </row>
    <row r="1475" spans="2:17" s="531" customFormat="1">
      <c r="B1475" s="421"/>
      <c r="C1475" s="618"/>
      <c r="D1475" s="619"/>
      <c r="E1475" s="619"/>
      <c r="F1475" s="421"/>
      <c r="G1475" s="421"/>
      <c r="H1475" s="421"/>
      <c r="I1475" s="421"/>
      <c r="J1475" s="421"/>
      <c r="K1475" s="421"/>
      <c r="L1475" s="421"/>
      <c r="M1475" s="421"/>
    </row>
    <row r="1476" spans="2:17" s="531" customFormat="1">
      <c r="B1476" s="421"/>
      <c r="C1476" s="618" t="s">
        <v>241</v>
      </c>
      <c r="D1476" s="592">
        <f>Model!AG119</f>
        <v>171.58799999999999</v>
      </c>
      <c r="E1476" s="591">
        <f>(D1476/$D$1482)</f>
        <v>1.3389611924742122E-3</v>
      </c>
      <c r="F1476" s="421"/>
      <c r="G1476" s="421"/>
      <c r="H1476" s="421"/>
      <c r="I1476" s="421"/>
      <c r="J1476" s="421"/>
      <c r="K1476" s="421"/>
      <c r="L1476" s="421"/>
      <c r="M1476" s="421"/>
    </row>
    <row r="1477" spans="2:17" s="531" customFormat="1">
      <c r="B1477" s="421"/>
      <c r="C1477" s="618" t="s">
        <v>242</v>
      </c>
      <c r="D1477" s="627">
        <f>D1438</f>
        <v>8100</v>
      </c>
      <c r="E1477" s="591">
        <f>(D1477/$D$1482)</f>
        <v>6.3207133710056165E-2</v>
      </c>
      <c r="F1477" s="421"/>
      <c r="G1477" s="421"/>
      <c r="H1477" s="421"/>
      <c r="I1477" s="421"/>
      <c r="J1477" s="421"/>
      <c r="K1477" s="421"/>
      <c r="L1477" s="421"/>
      <c r="M1477" s="421"/>
    </row>
    <row r="1478" spans="2:17" s="531" customFormat="1">
      <c r="B1478" s="421"/>
      <c r="C1478" s="618" t="s">
        <v>243</v>
      </c>
      <c r="D1478" s="592">
        <f>D1424+D1427+D1429+D1426+D1430+D1433+D1454+D1439</f>
        <v>22013.952000000001</v>
      </c>
      <c r="E1478" s="591">
        <f>(D1478/$D$1482)</f>
        <v>0.17178256883342699</v>
      </c>
      <c r="F1478" s="421"/>
      <c r="G1478" s="421"/>
      <c r="H1478" s="421"/>
      <c r="I1478" s="421"/>
      <c r="J1478" s="421"/>
      <c r="K1478" s="421"/>
      <c r="L1478" s="421"/>
      <c r="M1478" s="421"/>
    </row>
    <row r="1479" spans="2:17" s="531" customFormat="1">
      <c r="B1479" s="421"/>
      <c r="C1479" s="618" t="s">
        <v>244</v>
      </c>
      <c r="D1479" s="592">
        <f>D1425+D1442</f>
        <v>16060.07</v>
      </c>
      <c r="E1479" s="591">
        <f>(D1479/$D$1482)</f>
        <v>0.12532234467689651</v>
      </c>
      <c r="F1479" s="421"/>
      <c r="G1479" s="421"/>
      <c r="H1479" s="421"/>
      <c r="I1479" s="421"/>
      <c r="J1479" s="421"/>
      <c r="K1479" s="421"/>
      <c r="L1479" s="421"/>
      <c r="M1479" s="421"/>
    </row>
    <row r="1480" spans="2:17" s="531" customFormat="1">
      <c r="B1480" s="421"/>
      <c r="C1480" s="618" t="s">
        <v>245</v>
      </c>
      <c r="D1480" s="592">
        <f>SUM(D1424:D1454)-SUM(D1476:D1479)</f>
        <v>81804.482000000004</v>
      </c>
      <c r="E1480" s="591">
        <f>(D1480/$D$1482)</f>
        <v>0.63834899158714609</v>
      </c>
      <c r="F1480" s="421"/>
      <c r="G1480" s="421"/>
      <c r="H1480" s="421"/>
      <c r="I1480" s="421"/>
      <c r="J1480" s="421"/>
      <c r="K1480" s="421"/>
      <c r="L1480" s="421"/>
      <c r="M1480" s="421"/>
    </row>
    <row r="1481" spans="2:17" s="531" customFormat="1" ht="13.5" thickBot="1">
      <c r="B1481" s="421"/>
      <c r="C1481" s="618"/>
      <c r="D1481" s="620"/>
      <c r="E1481" s="591"/>
      <c r="F1481" s="421"/>
      <c r="G1481" s="421"/>
      <c r="H1481" s="421"/>
      <c r="I1481" s="421"/>
      <c r="J1481" s="421"/>
      <c r="K1481" s="421"/>
      <c r="L1481" s="421"/>
      <c r="M1481" s="421"/>
    </row>
    <row r="1482" spans="2:17" ht="13.5" thickBot="1">
      <c r="C1482" s="621" t="s">
        <v>77</v>
      </c>
      <c r="D1482" s="594">
        <f>+SUM(D1476:D1481)</f>
        <v>128150.092</v>
      </c>
      <c r="E1482" s="596">
        <f>+SUM(E1476:E1481)</f>
        <v>1</v>
      </c>
      <c r="N1482" s="531"/>
      <c r="O1482" s="531"/>
      <c r="P1482" s="531"/>
      <c r="Q1482" s="531"/>
    </row>
    <row r="1483" spans="2:17">
      <c r="D1483" s="509">
        <f>+D1482+D1456+D1457-D1459</f>
        <v>0</v>
      </c>
    </row>
    <row r="1485" spans="2:17" s="531" customFormat="1">
      <c r="B1485" s="421"/>
      <c r="C1485" s="421"/>
      <c r="D1485" s="421"/>
      <c r="E1485" s="421"/>
      <c r="F1485" s="421"/>
      <c r="G1485" s="421"/>
      <c r="H1485" s="421"/>
      <c r="I1485" s="421"/>
      <c r="J1485" s="421"/>
      <c r="K1485" s="421"/>
      <c r="L1485" s="421"/>
      <c r="M1485" s="421"/>
    </row>
    <row r="1486" spans="2:17" s="531" customFormat="1">
      <c r="B1486" s="421"/>
      <c r="C1486" s="421"/>
      <c r="D1486" s="421"/>
      <c r="E1486" s="421"/>
      <c r="F1486" s="421"/>
      <c r="G1486" s="421"/>
      <c r="H1486" s="421"/>
      <c r="I1486" s="421"/>
      <c r="J1486" s="421"/>
      <c r="K1486" s="421"/>
      <c r="L1486" s="421"/>
      <c r="M1486" s="421"/>
    </row>
    <row r="1487" spans="2:17" s="531" customFormat="1">
      <c r="B1487" s="421"/>
      <c r="C1487" s="421"/>
      <c r="D1487" s="421"/>
      <c r="E1487" s="421"/>
      <c r="F1487" s="421"/>
      <c r="G1487" s="421"/>
      <c r="H1487" s="421"/>
      <c r="I1487" s="421"/>
      <c r="J1487" s="421"/>
    </row>
    <row r="1488" spans="2:17" s="531" customFormat="1">
      <c r="B1488" s="421"/>
      <c r="C1488" s="421"/>
      <c r="D1488" s="421"/>
      <c r="E1488" s="421"/>
      <c r="F1488" s="421"/>
      <c r="G1488" s="421"/>
      <c r="H1488" s="421"/>
      <c r="I1488" s="421"/>
      <c r="J1488" s="421"/>
    </row>
    <row r="1489" spans="2:10" s="531" customFormat="1">
      <c r="B1489" s="421"/>
      <c r="C1489" s="421"/>
      <c r="D1489" s="421"/>
      <c r="E1489" s="421"/>
      <c r="F1489" s="421"/>
      <c r="G1489" s="421"/>
      <c r="H1489" s="421"/>
      <c r="I1489" s="421"/>
      <c r="J1489" s="421"/>
    </row>
    <row r="1490" spans="2:10" s="531" customFormat="1">
      <c r="B1490" s="421"/>
      <c r="C1490" s="421"/>
      <c r="D1490" s="421"/>
      <c r="E1490" s="421"/>
      <c r="F1490" s="421"/>
      <c r="G1490" s="421"/>
      <c r="H1490" s="421"/>
      <c r="I1490" s="421"/>
      <c r="J1490" s="421"/>
    </row>
    <row r="1491" spans="2:10" s="531" customFormat="1">
      <c r="B1491" s="557" t="s">
        <v>384</v>
      </c>
      <c r="C1491" s="421"/>
      <c r="D1491" s="421"/>
      <c r="E1491" s="421"/>
      <c r="F1491" s="421"/>
      <c r="G1491" s="421"/>
      <c r="H1491" s="421"/>
      <c r="I1491" s="557" t="s">
        <v>385</v>
      </c>
      <c r="J1491" s="556">
        <f>Model!AF203</f>
        <v>4.8537798810823929E-2</v>
      </c>
    </row>
    <row r="1492" spans="2:10" s="531" customFormat="1">
      <c r="B1492" s="421"/>
      <c r="C1492" s="421"/>
      <c r="D1492" s="421"/>
      <c r="E1492" s="421"/>
      <c r="F1492" s="421"/>
      <c r="G1492" s="421"/>
      <c r="H1492" s="421"/>
      <c r="I1492" s="557" t="s">
        <v>386</v>
      </c>
      <c r="J1492" s="556">
        <f>AVERAGE(Model!AC202:AF202)</f>
        <v>4.574308865666836E-2</v>
      </c>
    </row>
    <row r="1493" spans="2:10" s="531" customFormat="1">
      <c r="B1493" s="421"/>
      <c r="C1493" s="560"/>
      <c r="D1493" s="790" t="s">
        <v>387</v>
      </c>
      <c r="E1493" s="791"/>
      <c r="F1493" s="559" t="s">
        <v>20</v>
      </c>
      <c r="G1493" s="558" t="s">
        <v>21</v>
      </c>
      <c r="H1493" s="421"/>
      <c r="I1493" s="421"/>
      <c r="J1493" s="421"/>
    </row>
    <row r="1494" spans="2:10" s="531" customFormat="1">
      <c r="B1494" s="421"/>
      <c r="C1494" s="554"/>
      <c r="D1494" s="555" t="s">
        <v>18</v>
      </c>
      <c r="E1494" s="552" t="s">
        <v>19</v>
      </c>
      <c r="F1494" s="550"/>
      <c r="G1494" s="549"/>
      <c r="H1494" s="421"/>
      <c r="I1494" s="421"/>
      <c r="J1494" s="421"/>
    </row>
    <row r="1495" spans="2:10" s="531" customFormat="1">
      <c r="B1495" s="421"/>
      <c r="C1495" s="554"/>
      <c r="D1495" s="553"/>
      <c r="E1495" s="552"/>
      <c r="F1495" s="550"/>
      <c r="G1495" s="549"/>
      <c r="H1495" s="421"/>
      <c r="I1495" s="421"/>
      <c r="J1495" s="421"/>
    </row>
    <row r="1496" spans="2:10" s="531" customFormat="1">
      <c r="B1496" s="421"/>
      <c r="C1496" s="554" t="s">
        <v>92</v>
      </c>
      <c r="D1496" s="553"/>
      <c r="E1496" s="552"/>
      <c r="F1496" s="550"/>
      <c r="G1496" s="549"/>
      <c r="H1496" s="421"/>
      <c r="I1496" s="421"/>
      <c r="J1496" s="421"/>
    </row>
    <row r="1497" spans="2:10" s="531" customFormat="1" ht="25.5">
      <c r="B1497" s="421"/>
      <c r="C1497" s="548" t="s">
        <v>304</v>
      </c>
      <c r="D1497" s="418">
        <v>2382.857</v>
      </c>
      <c r="E1497" s="539">
        <f t="shared" ref="E1497:E1503" si="82">D1497*$J$1491</f>
        <v>115.65863366096347</v>
      </c>
      <c r="F1497" s="598"/>
      <c r="G1497" s="546"/>
      <c r="H1497" s="421"/>
      <c r="I1497" s="421"/>
      <c r="J1497" s="421"/>
    </row>
    <row r="1498" spans="2:10" s="531" customFormat="1" ht="25.5">
      <c r="B1498" s="421"/>
      <c r="C1498" s="548" t="s">
        <v>342</v>
      </c>
      <c r="D1498" s="418">
        <v>4179.3999999999996</v>
      </c>
      <c r="E1498" s="539">
        <f t="shared" si="82"/>
        <v>202.85887634995751</v>
      </c>
      <c r="F1498" s="598"/>
      <c r="G1498" s="546"/>
      <c r="H1498" s="421"/>
      <c r="I1498" s="421"/>
      <c r="J1498" s="421"/>
    </row>
    <row r="1499" spans="2:10" s="531" customFormat="1" ht="25.5">
      <c r="B1499" s="421"/>
      <c r="C1499" s="548" t="s">
        <v>289</v>
      </c>
      <c r="D1499" s="418">
        <v>248.09299999999999</v>
      </c>
      <c r="E1499" s="539">
        <f t="shared" si="82"/>
        <v>12.041888120373741</v>
      </c>
      <c r="F1499" s="550"/>
      <c r="G1499" s="549"/>
      <c r="H1499" s="421"/>
      <c r="I1499" s="421"/>
      <c r="J1499" s="421"/>
    </row>
    <row r="1500" spans="2:10" s="531" customFormat="1" ht="25.5">
      <c r="B1500" s="421"/>
      <c r="C1500" s="548" t="s">
        <v>289</v>
      </c>
      <c r="D1500" s="418">
        <v>514.85299999999995</v>
      </c>
      <c r="E1500" s="539">
        <f t="shared" si="82"/>
        <v>24.98983133114913</v>
      </c>
      <c r="F1500" s="550"/>
      <c r="G1500" s="549"/>
      <c r="H1500" s="421"/>
      <c r="I1500" s="421"/>
      <c r="J1500" s="421"/>
    </row>
    <row r="1501" spans="2:10" s="531" customFormat="1" ht="25.5">
      <c r="B1501" s="421"/>
      <c r="C1501" s="548" t="s">
        <v>381</v>
      </c>
      <c r="D1501" s="551">
        <v>1320</v>
      </c>
      <c r="E1501" s="539">
        <f t="shared" si="82"/>
        <v>64.06989443028759</v>
      </c>
      <c r="F1501" s="550"/>
      <c r="G1501" s="549"/>
      <c r="H1501" s="421"/>
      <c r="I1501" s="421"/>
      <c r="J1501" s="421"/>
    </row>
    <row r="1502" spans="2:10" s="531" customFormat="1" ht="25.5">
      <c r="B1502" s="421"/>
      <c r="C1502" s="548" t="s">
        <v>275</v>
      </c>
      <c r="D1502" s="551">
        <v>499.01299999999998</v>
      </c>
      <c r="E1502" s="539">
        <f t="shared" si="82"/>
        <v>24.220992597985681</v>
      </c>
      <c r="F1502" s="550"/>
      <c r="G1502" s="549"/>
      <c r="H1502" s="421"/>
      <c r="I1502" s="421"/>
      <c r="J1502" s="421"/>
    </row>
    <row r="1503" spans="2:10" s="531" customFormat="1" ht="25.5">
      <c r="B1503" s="421"/>
      <c r="C1503" s="548" t="s">
        <v>276</v>
      </c>
      <c r="D1503" s="551">
        <v>133.07</v>
      </c>
      <c r="E1503" s="539">
        <f t="shared" si="82"/>
        <v>6.4589248877563401</v>
      </c>
      <c r="F1503" s="550"/>
      <c r="G1503" s="549"/>
      <c r="H1503" s="421"/>
      <c r="I1503" s="421"/>
      <c r="J1503" s="421"/>
    </row>
    <row r="1504" spans="2:10" s="531" customFormat="1">
      <c r="B1504" s="421"/>
      <c r="C1504" s="548"/>
      <c r="D1504" s="551"/>
      <c r="E1504" s="539"/>
      <c r="F1504" s="550"/>
      <c r="G1504" s="549"/>
      <c r="H1504" s="421"/>
      <c r="I1504" s="421"/>
      <c r="J1504" s="421"/>
    </row>
    <row r="1505" spans="2:10" s="531" customFormat="1">
      <c r="B1505" s="421"/>
      <c r="C1505" s="554" t="s">
        <v>97</v>
      </c>
      <c r="D1505" s="551"/>
      <c r="E1505" s="539"/>
      <c r="F1505" s="550"/>
      <c r="G1505" s="549"/>
      <c r="H1505" s="421"/>
      <c r="I1505" s="421"/>
      <c r="J1505" s="421"/>
    </row>
    <row r="1506" spans="2:10" s="531" customFormat="1" ht="25.5">
      <c r="B1506" s="421"/>
      <c r="C1506" s="548" t="s">
        <v>290</v>
      </c>
      <c r="D1506" s="418">
        <v>3120.9</v>
      </c>
      <c r="E1506" s="539">
        <f t="shared" ref="E1506:E1512" si="83">D1506*$J$1491</f>
        <v>151.48161630870041</v>
      </c>
      <c r="F1506" s="601"/>
      <c r="G1506" s="546"/>
      <c r="H1506" s="421"/>
      <c r="I1506" s="421"/>
      <c r="J1506" s="421"/>
    </row>
    <row r="1507" spans="2:10" s="531" customFormat="1" ht="25.5">
      <c r="B1507" s="421"/>
      <c r="C1507" s="548" t="s">
        <v>343</v>
      </c>
      <c r="D1507" s="418">
        <v>7500</v>
      </c>
      <c r="E1507" s="539">
        <f t="shared" si="83"/>
        <v>364.03349108117948</v>
      </c>
      <c r="F1507" s="601"/>
      <c r="G1507" s="549"/>
      <c r="H1507" s="421"/>
      <c r="I1507" s="421"/>
      <c r="J1507" s="421"/>
    </row>
    <row r="1508" spans="2:10" s="531" customFormat="1" ht="25.5">
      <c r="B1508" s="421"/>
      <c r="C1508" s="548" t="s">
        <v>388</v>
      </c>
      <c r="D1508" s="551">
        <v>2872.9479999999999</v>
      </c>
      <c r="E1508" s="539">
        <f t="shared" si="83"/>
        <v>139.44657201795897</v>
      </c>
      <c r="F1508" s="601"/>
      <c r="G1508" s="549"/>
      <c r="H1508" s="421"/>
      <c r="I1508" s="421"/>
      <c r="J1508" s="421"/>
    </row>
    <row r="1509" spans="2:10" s="531" customFormat="1" ht="25.5">
      <c r="B1509" s="421"/>
      <c r="C1509" s="548" t="s">
        <v>168</v>
      </c>
      <c r="D1509" s="418">
        <v>3090.1109999999999</v>
      </c>
      <c r="E1509" s="539">
        <f t="shared" si="83"/>
        <v>149.98718602111393</v>
      </c>
      <c r="F1509" s="601"/>
      <c r="G1509" s="546"/>
      <c r="H1509" s="421"/>
      <c r="I1509" s="421"/>
      <c r="J1509" s="421"/>
    </row>
    <row r="1510" spans="2:10" s="531" customFormat="1" ht="25.5">
      <c r="B1510" s="421"/>
      <c r="C1510" s="548" t="s">
        <v>169</v>
      </c>
      <c r="D1510" s="418">
        <v>4799.6000000000004</v>
      </c>
      <c r="E1510" s="539">
        <f t="shared" si="83"/>
        <v>232.96201917243056</v>
      </c>
      <c r="F1510" s="601"/>
      <c r="G1510" s="549"/>
      <c r="H1510" s="421"/>
      <c r="I1510" s="421"/>
      <c r="J1510" s="421"/>
    </row>
    <row r="1511" spans="2:10" s="531" customFormat="1" ht="25.5">
      <c r="B1511" s="421"/>
      <c r="C1511" s="548" t="s">
        <v>373</v>
      </c>
      <c r="D1511" s="551">
        <v>8100</v>
      </c>
      <c r="E1511" s="539">
        <f t="shared" si="83"/>
        <v>393.15617036767384</v>
      </c>
      <c r="F1511" s="601"/>
      <c r="G1511" s="549"/>
      <c r="H1511" s="421"/>
      <c r="I1511" s="421"/>
      <c r="J1511" s="421"/>
    </row>
    <row r="1512" spans="2:10" s="531" customFormat="1" ht="25.5">
      <c r="B1512" s="421"/>
      <c r="C1512" s="548" t="s">
        <v>325</v>
      </c>
      <c r="D1512" s="418">
        <v>5250.3810000000003</v>
      </c>
      <c r="E1512" s="539">
        <f t="shared" si="83"/>
        <v>254.84193665817256</v>
      </c>
      <c r="F1512" s="601"/>
      <c r="G1512" s="546"/>
      <c r="H1512" s="421"/>
      <c r="I1512" s="421"/>
      <c r="J1512" s="421"/>
    </row>
    <row r="1513" spans="2:10" s="531" customFormat="1">
      <c r="B1513" s="421"/>
      <c r="C1513" s="548" t="s">
        <v>175</v>
      </c>
      <c r="D1513" s="576">
        <f>E1513/$J$1491</f>
        <v>17965.38</v>
      </c>
      <c r="E1513" s="575">
        <v>872</v>
      </c>
      <c r="F1513" s="601"/>
      <c r="G1513" s="546"/>
      <c r="H1513" s="421"/>
      <c r="I1513" s="421"/>
      <c r="J1513" s="421"/>
    </row>
    <row r="1514" spans="2:10" s="531" customFormat="1">
      <c r="B1514" s="421"/>
      <c r="C1514" s="548" t="s">
        <v>176</v>
      </c>
      <c r="D1514" s="576">
        <f>E1514/$J$1491</f>
        <v>15822.72</v>
      </c>
      <c r="E1514" s="575">
        <v>768</v>
      </c>
      <c r="F1514" s="601"/>
      <c r="G1514" s="546"/>
      <c r="H1514" s="421"/>
      <c r="I1514" s="421"/>
      <c r="J1514" s="421"/>
    </row>
    <row r="1515" spans="2:10" s="531" customFormat="1">
      <c r="B1515" s="421"/>
      <c r="C1515" s="548" t="s">
        <v>277</v>
      </c>
      <c r="D1515" s="576">
        <f>E1515/$J$1491</f>
        <v>12361.5</v>
      </c>
      <c r="E1515" s="575">
        <v>600</v>
      </c>
      <c r="F1515" s="601"/>
      <c r="G1515" s="549"/>
      <c r="H1515" s="421"/>
      <c r="I1515" s="421"/>
      <c r="J1515" s="421"/>
    </row>
    <row r="1516" spans="2:10" s="531" customFormat="1">
      <c r="B1516" s="421"/>
      <c r="C1516" s="548" t="s">
        <v>178</v>
      </c>
      <c r="D1516" s="576">
        <f>E1516/$J$1491</f>
        <v>14421.75</v>
      </c>
      <c r="E1516" s="575">
        <v>700</v>
      </c>
      <c r="F1516" s="601"/>
      <c r="G1516" s="549"/>
      <c r="H1516" s="421"/>
      <c r="I1516" s="421"/>
      <c r="J1516" s="421"/>
    </row>
    <row r="1517" spans="2:10" s="531" customFormat="1">
      <c r="B1517" s="421"/>
      <c r="C1517" s="548" t="s">
        <v>207</v>
      </c>
      <c r="D1517" s="576">
        <f>E1517/$J$1491</f>
        <v>16482</v>
      </c>
      <c r="E1517" s="575">
        <v>800</v>
      </c>
      <c r="F1517" s="601"/>
      <c r="G1517" s="546"/>
      <c r="H1517" s="421"/>
      <c r="I1517" s="421"/>
      <c r="J1517" s="421"/>
    </row>
    <row r="1518" spans="2:10" s="531" customFormat="1">
      <c r="B1518" s="421"/>
      <c r="C1518" s="548"/>
      <c r="D1518" s="576"/>
      <c r="E1518" s="575"/>
      <c r="F1518" s="547"/>
      <c r="G1518" s="546"/>
      <c r="H1518" s="421"/>
      <c r="I1518" s="421"/>
      <c r="J1518" s="421"/>
    </row>
    <row r="1519" spans="2:10" s="531" customFormat="1">
      <c r="B1519" s="421"/>
      <c r="C1519" s="554" t="s">
        <v>113</v>
      </c>
      <c r="D1519" s="576"/>
      <c r="E1519" s="575"/>
      <c r="F1519" s="547"/>
      <c r="G1519" s="546"/>
      <c r="H1519" s="421"/>
      <c r="I1519" s="421"/>
      <c r="J1519" s="421"/>
    </row>
    <row r="1520" spans="2:10" s="531" customFormat="1" ht="25.5">
      <c r="B1520" s="421"/>
      <c r="C1520" s="548" t="s">
        <v>351</v>
      </c>
      <c r="D1520" s="418">
        <v>0</v>
      </c>
      <c r="E1520" s="539">
        <f t="shared" ref="E1520:E1526" si="84">D1520*$J$1491</f>
        <v>0</v>
      </c>
      <c r="F1520" s="547"/>
      <c r="G1520" s="546"/>
      <c r="H1520" s="421"/>
      <c r="I1520" s="421"/>
      <c r="J1520" s="421"/>
    </row>
    <row r="1521" spans="2:10" s="531" customFormat="1" ht="25.5">
      <c r="B1521" s="421"/>
      <c r="C1521" s="548" t="s">
        <v>351</v>
      </c>
      <c r="D1521" s="418">
        <v>0</v>
      </c>
      <c r="E1521" s="539">
        <f t="shared" si="84"/>
        <v>0</v>
      </c>
      <c r="F1521" s="547"/>
      <c r="G1521" s="546"/>
      <c r="H1521" s="421"/>
      <c r="I1521" s="421"/>
      <c r="J1521" s="421"/>
    </row>
    <row r="1522" spans="2:10" s="531" customFormat="1" ht="25.5">
      <c r="B1522" s="421"/>
      <c r="C1522" s="548" t="s">
        <v>352</v>
      </c>
      <c r="D1522" s="418">
        <v>0</v>
      </c>
      <c r="E1522" s="539">
        <f t="shared" si="84"/>
        <v>0</v>
      </c>
      <c r="F1522" s="547"/>
      <c r="G1522" s="546"/>
      <c r="H1522" s="421"/>
      <c r="I1522" s="421"/>
      <c r="J1522" s="421"/>
    </row>
    <row r="1523" spans="2:10" s="531" customFormat="1" ht="25.5">
      <c r="B1523" s="421"/>
      <c r="C1523" s="548" t="s">
        <v>329</v>
      </c>
      <c r="D1523" s="418">
        <v>0</v>
      </c>
      <c r="E1523" s="539">
        <f t="shared" si="84"/>
        <v>0</v>
      </c>
      <c r="F1523" s="547"/>
      <c r="G1523" s="546"/>
      <c r="H1523" s="421"/>
      <c r="I1523" s="421"/>
      <c r="J1523" s="421"/>
    </row>
    <row r="1524" spans="2:10" s="531" customFormat="1" ht="25.5">
      <c r="B1524" s="421"/>
      <c r="C1524" s="548" t="s">
        <v>329</v>
      </c>
      <c r="D1524" s="418">
        <v>0</v>
      </c>
      <c r="E1524" s="539">
        <f t="shared" si="84"/>
        <v>0</v>
      </c>
      <c r="F1524" s="547"/>
      <c r="G1524" s="546"/>
      <c r="H1524" s="421"/>
      <c r="I1524" s="421"/>
      <c r="J1524" s="421"/>
    </row>
    <row r="1525" spans="2:10" s="531" customFormat="1" ht="12.75" customHeight="1">
      <c r="B1525" s="421"/>
      <c r="C1525" s="548" t="s">
        <v>331</v>
      </c>
      <c r="D1525" s="418">
        <v>100</v>
      </c>
      <c r="E1525" s="539">
        <f t="shared" si="84"/>
        <v>4.8537798810823931</v>
      </c>
      <c r="F1525" s="547"/>
      <c r="G1525" s="546"/>
      <c r="H1525" s="421"/>
      <c r="I1525" s="421"/>
      <c r="J1525" s="421"/>
    </row>
    <row r="1526" spans="2:10" s="531" customFormat="1" ht="25.5">
      <c r="B1526" s="421"/>
      <c r="C1526" s="548" t="s">
        <v>344</v>
      </c>
      <c r="D1526" s="418">
        <v>0</v>
      </c>
      <c r="E1526" s="539">
        <f t="shared" si="84"/>
        <v>0</v>
      </c>
      <c r="F1526" s="547"/>
      <c r="G1526" s="546"/>
      <c r="H1526" s="421"/>
      <c r="I1526" s="421"/>
      <c r="J1526" s="421"/>
    </row>
    <row r="1527" spans="2:10" s="531" customFormat="1" ht="25.5">
      <c r="B1527" s="421"/>
      <c r="C1527" s="548" t="s">
        <v>345</v>
      </c>
      <c r="D1527" s="576">
        <f>E1527/$J$1491</f>
        <v>10301.25</v>
      </c>
      <c r="E1527" s="575">
        <v>500</v>
      </c>
      <c r="F1527" s="547"/>
      <c r="G1527" s="546"/>
      <c r="H1527" s="421"/>
      <c r="I1527" s="421"/>
      <c r="J1527" s="421"/>
    </row>
    <row r="1528" spans="2:10" s="531" customFormat="1" ht="25.5">
      <c r="B1528" s="421"/>
      <c r="C1528" s="548" t="s">
        <v>374</v>
      </c>
      <c r="D1528" s="576">
        <f>E1528/$J$1491</f>
        <v>0</v>
      </c>
      <c r="E1528" s="575">
        <v>0</v>
      </c>
      <c r="F1528" s="547"/>
      <c r="G1528" s="546"/>
      <c r="H1528" s="421"/>
      <c r="I1528" s="421"/>
      <c r="J1528" s="421"/>
    </row>
    <row r="1529" spans="2:10" s="531" customFormat="1">
      <c r="B1529" s="421"/>
      <c r="C1529" s="548" t="s">
        <v>196</v>
      </c>
      <c r="D1529" s="418">
        <v>-741.76900000000001</v>
      </c>
      <c r="E1529" s="539">
        <f>D1529*$J$1491</f>
        <v>-36.003834486106058</v>
      </c>
      <c r="F1529" s="547"/>
      <c r="G1529" s="546"/>
      <c r="H1529" s="421"/>
      <c r="I1529" s="421"/>
      <c r="J1529" s="421"/>
    </row>
    <row r="1530" spans="2:10" s="531" customFormat="1">
      <c r="B1530" s="421"/>
      <c r="C1530" s="548" t="s">
        <v>65</v>
      </c>
      <c r="D1530" s="418">
        <v>914.88300000000004</v>
      </c>
      <c r="E1530" s="539">
        <f>D1530*$J$1491</f>
        <v>44.406406989443028</v>
      </c>
      <c r="F1530" s="547"/>
      <c r="G1530" s="546"/>
      <c r="H1530" s="421"/>
      <c r="I1530" s="421"/>
      <c r="J1530" s="421"/>
    </row>
    <row r="1531" spans="2:10" s="531" customFormat="1">
      <c r="B1531" s="421"/>
      <c r="C1531" s="548"/>
      <c r="D1531" s="418"/>
      <c r="E1531" s="575"/>
      <c r="F1531" s="547"/>
      <c r="G1531" s="546"/>
      <c r="H1531" s="421"/>
      <c r="I1531" s="421"/>
      <c r="J1531" s="421"/>
    </row>
    <row r="1532" spans="2:10" s="531" customFormat="1">
      <c r="B1532" s="421"/>
      <c r="C1532" s="536" t="s">
        <v>66</v>
      </c>
      <c r="D1532" s="535">
        <f>SUM(D1497:D1531)</f>
        <v>131638.94</v>
      </c>
      <c r="E1532" s="534">
        <f>SUM(E1497:E1531)</f>
        <v>6389.4643853901225</v>
      </c>
      <c r="F1532" s="533">
        <f>+D1532/D1537</f>
        <v>9.3235545240037077</v>
      </c>
      <c r="G1532" s="532">
        <f>+E1532/E1537</f>
        <v>9.8931844564428619</v>
      </c>
      <c r="H1532" s="421"/>
      <c r="I1532" s="421"/>
      <c r="J1532" s="421"/>
    </row>
    <row r="1533" spans="2:10" s="531" customFormat="1">
      <c r="B1533" s="421"/>
      <c r="C1533" s="545" t="s">
        <v>67</v>
      </c>
      <c r="D1533" s="544">
        <f>Model!AF123</f>
        <v>4820.26</v>
      </c>
      <c r="E1533" s="539">
        <f>D1533*$J$1491</f>
        <v>233.96481009586216</v>
      </c>
      <c r="F1533" s="543"/>
      <c r="G1533" s="542"/>
      <c r="H1533" s="421"/>
      <c r="I1533" s="421"/>
      <c r="J1533" s="421"/>
    </row>
    <row r="1534" spans="2:10" s="531" customFormat="1">
      <c r="B1534" s="421"/>
      <c r="C1534" s="536" t="s">
        <v>68</v>
      </c>
      <c r="D1534" s="535">
        <f>+D1532-D1533</f>
        <v>126818.68000000001</v>
      </c>
      <c r="E1534" s="534">
        <f>+E1532-E1533</f>
        <v>6155.4995752942605</v>
      </c>
      <c r="F1534" s="533">
        <f>+D1534/D1537</f>
        <v>8.9821513120827206</v>
      </c>
      <c r="G1534" s="532">
        <f>+E1534/E1537</f>
        <v>9.5309229454643223</v>
      </c>
      <c r="H1534" s="421"/>
      <c r="I1534" s="421"/>
      <c r="J1534" s="421"/>
    </row>
    <row r="1535" spans="2:10" s="531" customFormat="1">
      <c r="B1535" s="421"/>
      <c r="C1535" s="541" t="s">
        <v>69</v>
      </c>
      <c r="D1535" s="540">
        <f>Model!AF128</f>
        <v>171072.60500000001</v>
      </c>
      <c r="E1535" s="539">
        <f>D1535*$J$1491</f>
        <v>8303.4876835335526</v>
      </c>
      <c r="F1535" s="538"/>
      <c r="G1535" s="537"/>
      <c r="H1535" s="421"/>
      <c r="I1535" s="421"/>
      <c r="J1535" s="421"/>
    </row>
    <row r="1536" spans="2:10" s="531" customFormat="1">
      <c r="B1536" s="421"/>
      <c r="C1536" s="536" t="s">
        <v>70</v>
      </c>
      <c r="D1536" s="535">
        <f>D1532+D1535</f>
        <v>302711.54500000004</v>
      </c>
      <c r="E1536" s="534">
        <f>E1532+E1535</f>
        <v>14692.952068923674</v>
      </c>
      <c r="F1536" s="533">
        <f>D1536/D1537</f>
        <v>21.440066251315166</v>
      </c>
      <c r="G1536" s="532">
        <f>E1536/E1537</f>
        <v>22.749964043920468</v>
      </c>
      <c r="H1536" s="421"/>
      <c r="I1536" s="421"/>
      <c r="J1536" s="421"/>
    </row>
    <row r="1537" spans="2:17" s="531" customFormat="1">
      <c r="B1537" s="421"/>
      <c r="C1537" s="530" t="s">
        <v>71</v>
      </c>
      <c r="D1537" s="529">
        <f>Model!AF102</f>
        <v>14118.965</v>
      </c>
      <c r="E1537" s="528">
        <f>D1537*$J$1492</f>
        <v>645.84506773539761</v>
      </c>
      <c r="F1537" s="604"/>
      <c r="G1537" s="605"/>
      <c r="H1537" s="421"/>
      <c r="I1537" s="421"/>
      <c r="J1537" s="421"/>
    </row>
    <row r="1538" spans="2:17" s="531" customFormat="1">
      <c r="B1538" s="421"/>
      <c r="F1538" s="421"/>
      <c r="G1538" s="421"/>
      <c r="H1538" s="421"/>
      <c r="I1538" s="421"/>
      <c r="J1538" s="421"/>
    </row>
    <row r="1539" spans="2:17" s="531" customFormat="1">
      <c r="B1539" s="421"/>
      <c r="C1539" s="606" t="s">
        <v>72</v>
      </c>
      <c r="D1539" s="623">
        <f>D1532-Model!AF126</f>
        <v>0</v>
      </c>
      <c r="E1539" s="626"/>
      <c r="F1539" s="421"/>
      <c r="G1539" s="421"/>
      <c r="H1539" s="421"/>
      <c r="I1539" s="421"/>
      <c r="J1539" s="421"/>
    </row>
    <row r="1540" spans="2:17" s="531" customFormat="1" ht="13.5" thickBot="1">
      <c r="B1540" s="421"/>
      <c r="D1540" s="609"/>
      <c r="E1540" s="609"/>
      <c r="F1540" s="421"/>
      <c r="G1540" s="421"/>
      <c r="H1540" s="421"/>
      <c r="I1540" s="421"/>
      <c r="J1540" s="421"/>
    </row>
    <row r="1541" spans="2:17" s="531" customFormat="1">
      <c r="B1541" s="421"/>
      <c r="C1541" s="611" t="s">
        <v>389</v>
      </c>
      <c r="D1541" s="612" t="s">
        <v>130</v>
      </c>
      <c r="E1541" s="613" t="s">
        <v>131</v>
      </c>
      <c r="F1541" s="421"/>
      <c r="G1541" s="421"/>
      <c r="H1541" s="421"/>
      <c r="I1541" s="421"/>
      <c r="J1541" s="421"/>
    </row>
    <row r="1542" spans="2:17" s="531" customFormat="1">
      <c r="B1542" s="421"/>
      <c r="C1542" s="615" t="s">
        <v>198</v>
      </c>
      <c r="D1542" s="579"/>
      <c r="E1542" s="519">
        <f>D1542*$J$1491</f>
        <v>0</v>
      </c>
      <c r="F1542" s="421"/>
      <c r="G1542" s="421"/>
      <c r="H1542" s="421"/>
      <c r="I1542" s="421"/>
      <c r="J1542" s="421"/>
    </row>
    <row r="1543" spans="2:17" s="531" customFormat="1">
      <c r="B1543" s="421"/>
      <c r="C1543" s="615" t="s">
        <v>74</v>
      </c>
      <c r="D1543" s="520">
        <f>D1533</f>
        <v>4820.26</v>
      </c>
      <c r="E1543" s="519">
        <f>D1543*$J$1491</f>
        <v>233.96481009586216</v>
      </c>
      <c r="F1543" s="421"/>
      <c r="G1543" s="421"/>
      <c r="H1543" s="421"/>
      <c r="I1543" s="421"/>
      <c r="J1543" s="421"/>
    </row>
    <row r="1544" spans="2:17" s="531" customFormat="1" ht="13.5" thickBot="1">
      <c r="B1544" s="421"/>
      <c r="C1544" s="616" t="s">
        <v>75</v>
      </c>
      <c r="D1544" s="517">
        <f>SUM(D1542:D1543)</f>
        <v>4820.26</v>
      </c>
      <c r="E1544" s="516">
        <f>SUM(E1542:E1543)</f>
        <v>233.96481009586216</v>
      </c>
      <c r="F1544" s="421"/>
      <c r="G1544" s="421"/>
      <c r="H1544" s="421"/>
      <c r="I1544" s="421"/>
      <c r="J1544" s="421"/>
    </row>
    <row r="1545" spans="2:17" s="531" customFormat="1">
      <c r="B1545" s="421"/>
      <c r="F1545" s="421"/>
      <c r="G1545" s="421"/>
      <c r="H1545" s="421"/>
      <c r="I1545" s="421"/>
      <c r="J1545" s="421"/>
    </row>
    <row r="1546" spans="2:17" s="531" customFormat="1" ht="13.5" thickBot="1">
      <c r="B1546" s="421"/>
      <c r="F1546" s="421"/>
      <c r="G1546" s="421"/>
      <c r="H1546" s="421"/>
      <c r="I1546" s="421"/>
      <c r="J1546" s="421"/>
    </row>
    <row r="1547" spans="2:17">
      <c r="C1547" s="617" t="s">
        <v>390</v>
      </c>
      <c r="D1547" s="612" t="s">
        <v>130</v>
      </c>
      <c r="E1547" s="612" t="s">
        <v>133</v>
      </c>
      <c r="K1547" s="531"/>
      <c r="L1547" s="531"/>
      <c r="M1547" s="531"/>
      <c r="N1547" s="531"/>
      <c r="O1547" s="531"/>
      <c r="P1547" s="531"/>
      <c r="Q1547" s="531"/>
    </row>
    <row r="1548" spans="2:17">
      <c r="C1548" s="618"/>
      <c r="D1548" s="619"/>
      <c r="E1548" s="619"/>
      <c r="K1548" s="531"/>
      <c r="L1548" s="531"/>
      <c r="M1548" s="531"/>
    </row>
    <row r="1549" spans="2:17">
      <c r="C1549" s="618" t="s">
        <v>241</v>
      </c>
      <c r="D1549" s="592">
        <f>Model!AF119</f>
        <v>307.34699999999998</v>
      </c>
      <c r="E1549" s="591">
        <f>(D1549/$D$1555)</f>
        <v>2.3378470995192315E-3</v>
      </c>
      <c r="K1549" s="531"/>
      <c r="L1549" s="531"/>
      <c r="M1549" s="531"/>
    </row>
    <row r="1550" spans="2:17" s="531" customFormat="1">
      <c r="B1550" s="421"/>
      <c r="C1550" s="618" t="s">
        <v>242</v>
      </c>
      <c r="D1550" s="627">
        <f>D1511</f>
        <v>8100</v>
      </c>
      <c r="E1550" s="591">
        <f>(D1550/$D$1555)</f>
        <v>6.1612970050482926E-2</v>
      </c>
      <c r="F1550" s="421"/>
      <c r="G1550" s="421"/>
      <c r="H1550" s="421"/>
      <c r="I1550" s="421"/>
      <c r="J1550" s="421"/>
      <c r="N1550" s="421"/>
      <c r="O1550" s="421"/>
      <c r="P1550" s="421"/>
      <c r="Q1550" s="421"/>
    </row>
    <row r="1551" spans="2:17" s="531" customFormat="1">
      <c r="B1551" s="421"/>
      <c r="C1551" s="618" t="s">
        <v>243</v>
      </c>
      <c r="D1551" s="592">
        <f>D1497+D1500+D1502+D1499+D1503+D1506+D1527+D1512</f>
        <v>22450.417000000001</v>
      </c>
      <c r="E1551" s="591">
        <f>(D1551/$D$1555)</f>
        <v>0.17076998398047566</v>
      </c>
      <c r="F1551" s="421"/>
      <c r="G1551" s="421"/>
      <c r="H1551" s="421"/>
      <c r="I1551" s="421"/>
      <c r="J1551" s="421"/>
    </row>
    <row r="1552" spans="2:17" s="531" customFormat="1">
      <c r="B1552" s="421"/>
      <c r="C1552" s="618" t="s">
        <v>244</v>
      </c>
      <c r="D1552" s="592">
        <f>D1498+D1515</f>
        <v>16540.900000000001</v>
      </c>
      <c r="E1552" s="591">
        <f>(D1552/$D$1555)</f>
        <v>0.12581900942074484</v>
      </c>
      <c r="F1552" s="421"/>
      <c r="G1552" s="421"/>
      <c r="H1552" s="421"/>
      <c r="I1552" s="421"/>
      <c r="J1552" s="421"/>
      <c r="K1552" s="421"/>
      <c r="L1552" s="421"/>
      <c r="M1552" s="421"/>
    </row>
    <row r="1553" spans="2:10" s="531" customFormat="1">
      <c r="B1553" s="421"/>
      <c r="C1553" s="618" t="s">
        <v>245</v>
      </c>
      <c r="D1553" s="592">
        <f>SUM(D1497:D1527)-SUM(D1549:D1552)</f>
        <v>84067.161999999997</v>
      </c>
      <c r="E1553" s="591">
        <f>(D1553/$D$1555)</f>
        <v>0.63946018944877736</v>
      </c>
      <c r="F1553" s="421"/>
      <c r="G1553" s="421"/>
      <c r="H1553" s="421"/>
      <c r="I1553" s="421"/>
      <c r="J1553" s="421"/>
    </row>
    <row r="1554" spans="2:10" s="531" customFormat="1" ht="13.5" thickBot="1">
      <c r="B1554" s="421"/>
      <c r="C1554" s="618"/>
      <c r="D1554" s="620"/>
      <c r="E1554" s="591"/>
      <c r="F1554" s="421"/>
      <c r="G1554" s="421"/>
      <c r="H1554" s="421"/>
      <c r="I1554" s="421"/>
      <c r="J1554" s="421"/>
    </row>
    <row r="1555" spans="2:10" s="531" customFormat="1" ht="13.5" thickBot="1">
      <c r="B1555" s="421"/>
      <c r="C1555" s="621" t="s">
        <v>77</v>
      </c>
      <c r="D1555" s="594">
        <f>+SUM(D1549:D1554)</f>
        <v>131465.826</v>
      </c>
      <c r="E1555" s="596">
        <f>+SUM(E1549:E1554)</f>
        <v>1</v>
      </c>
      <c r="F1555" s="421"/>
      <c r="G1555" s="421"/>
      <c r="H1555" s="421"/>
      <c r="I1555" s="421"/>
      <c r="J1555" s="421"/>
    </row>
    <row r="1556" spans="2:10" s="531" customFormat="1">
      <c r="B1556" s="421"/>
      <c r="C1556" s="421"/>
      <c r="D1556" s="509">
        <f>+D1555+D1529+D1530-D1532</f>
        <v>0</v>
      </c>
      <c r="E1556" s="421"/>
      <c r="F1556" s="421"/>
      <c r="G1556" s="421"/>
      <c r="H1556" s="421"/>
      <c r="I1556" s="421"/>
      <c r="J1556" s="421"/>
    </row>
    <row r="1557" spans="2:10" s="531" customFormat="1">
      <c r="B1557" s="421"/>
      <c r="C1557" s="421"/>
      <c r="D1557" s="421"/>
      <c r="E1557" s="421"/>
      <c r="F1557" s="421"/>
      <c r="G1557" s="421"/>
      <c r="H1557" s="421"/>
      <c r="I1557" s="421"/>
      <c r="J1557" s="421"/>
    </row>
    <row r="1558" spans="2:10" s="531" customFormat="1">
      <c r="B1558" s="421"/>
      <c r="C1558" s="421"/>
      <c r="D1558" s="421"/>
      <c r="E1558" s="421"/>
      <c r="F1558" s="421"/>
      <c r="G1558" s="421"/>
      <c r="H1558" s="421"/>
      <c r="I1558" s="421"/>
      <c r="J1558" s="421"/>
    </row>
    <row r="1559" spans="2:10" s="531" customFormat="1">
      <c r="B1559" s="421"/>
      <c r="C1559" s="421"/>
      <c r="D1559" s="421"/>
      <c r="E1559" s="421"/>
      <c r="F1559" s="421"/>
      <c r="G1559" s="421"/>
      <c r="H1559" s="421"/>
      <c r="I1559" s="421"/>
      <c r="J1559" s="421"/>
    </row>
    <row r="1560" spans="2:10" s="531" customFormat="1">
      <c r="B1560" s="421"/>
      <c r="C1560" s="421"/>
      <c r="D1560" s="421"/>
      <c r="E1560" s="421"/>
      <c r="F1560" s="421"/>
      <c r="G1560" s="421"/>
      <c r="H1560" s="421"/>
      <c r="I1560" s="421"/>
      <c r="J1560" s="421"/>
    </row>
    <row r="1561" spans="2:10" s="531" customFormat="1">
      <c r="B1561" s="421"/>
      <c r="C1561" s="421"/>
      <c r="D1561" s="421"/>
      <c r="E1561" s="421"/>
      <c r="F1561" s="421"/>
      <c r="G1561" s="421"/>
      <c r="H1561" s="421"/>
      <c r="I1561" s="421"/>
      <c r="J1561" s="421"/>
    </row>
    <row r="1562" spans="2:10" s="531" customFormat="1">
      <c r="B1562" s="421"/>
      <c r="C1562" s="421"/>
      <c r="D1562" s="421"/>
      <c r="E1562" s="421"/>
      <c r="F1562" s="421"/>
      <c r="G1562" s="421"/>
      <c r="H1562" s="421"/>
      <c r="I1562" s="421"/>
      <c r="J1562" s="421"/>
    </row>
    <row r="1563" spans="2:10" s="531" customFormat="1">
      <c r="B1563" s="421"/>
      <c r="C1563" s="421"/>
      <c r="D1563" s="421"/>
      <c r="E1563" s="421"/>
      <c r="F1563" s="421"/>
      <c r="G1563" s="421"/>
      <c r="H1563" s="421"/>
      <c r="I1563" s="421"/>
      <c r="J1563" s="421"/>
    </row>
    <row r="1564" spans="2:10" s="531" customFormat="1">
      <c r="B1564" s="557" t="s">
        <v>391</v>
      </c>
      <c r="I1564" s="557" t="s">
        <v>392</v>
      </c>
      <c r="J1564" s="556">
        <f>Model!AE203</f>
        <v>5.0162526586139095E-2</v>
      </c>
    </row>
    <row r="1565" spans="2:10" s="531" customFormat="1">
      <c r="C1565" s="560"/>
      <c r="D1565" s="790" t="s">
        <v>393</v>
      </c>
      <c r="E1565" s="791"/>
      <c r="F1565" s="559" t="s">
        <v>20</v>
      </c>
      <c r="G1565" s="558" t="s">
        <v>21</v>
      </c>
      <c r="I1565" s="557" t="s">
        <v>394</v>
      </c>
      <c r="J1565" s="556">
        <f>AVERAGE(Model!AB202:AE202)</f>
        <v>4.5176018246630922E-2</v>
      </c>
    </row>
    <row r="1566" spans="2:10" s="531" customFormat="1">
      <c r="C1566" s="554"/>
      <c r="D1566" s="555" t="s">
        <v>18</v>
      </c>
      <c r="E1566" s="552" t="s">
        <v>19</v>
      </c>
      <c r="F1566" s="550"/>
      <c r="G1566" s="549"/>
    </row>
    <row r="1567" spans="2:10" s="531" customFormat="1">
      <c r="C1567" s="554"/>
      <c r="D1567" s="553"/>
      <c r="E1567" s="552"/>
      <c r="F1567" s="550"/>
      <c r="G1567" s="549"/>
    </row>
    <row r="1568" spans="2:10" s="531" customFormat="1">
      <c r="C1568" s="554" t="s">
        <v>92</v>
      </c>
      <c r="D1568" s="553"/>
      <c r="E1568" s="552"/>
      <c r="F1568" s="550"/>
      <c r="G1568" s="549"/>
    </row>
    <row r="1569" spans="3:7" s="531" customFormat="1" ht="25.5">
      <c r="C1569" s="548" t="s">
        <v>304</v>
      </c>
      <c r="D1569" s="418">
        <v>2417.143</v>
      </c>
      <c r="E1569" s="539">
        <f>D1569*$J$1564</f>
        <v>121.25000000000001</v>
      </c>
      <c r="F1569" s="598"/>
      <c r="G1569" s="546"/>
    </row>
    <row r="1570" spans="3:7" s="531" customFormat="1" ht="25.5">
      <c r="C1570" s="548" t="s">
        <v>342</v>
      </c>
      <c r="D1570" s="418">
        <v>4184.0249999999996</v>
      </c>
      <c r="E1570" s="539">
        <f t="shared" ref="E1570:E1575" si="85">D1570*$J$1564</f>
        <v>209.8812652995706</v>
      </c>
      <c r="F1570" s="598"/>
      <c r="G1570" s="546"/>
    </row>
    <row r="1571" spans="3:7" s="531" customFormat="1" ht="25.5">
      <c r="C1571" s="548" t="s">
        <v>289</v>
      </c>
      <c r="D1571" s="418">
        <v>248.82900000000001</v>
      </c>
      <c r="E1571" s="539">
        <f t="shared" si="85"/>
        <v>12.481891327902405</v>
      </c>
      <c r="F1571" s="550"/>
      <c r="G1571" s="549"/>
    </row>
    <row r="1572" spans="3:7" s="531" customFormat="1" ht="25.5">
      <c r="C1572" s="548" t="s">
        <v>289</v>
      </c>
      <c r="D1572" s="418">
        <v>516.43499999999995</v>
      </c>
      <c r="E1572" s="539">
        <f t="shared" si="85"/>
        <v>25.905684417512742</v>
      </c>
      <c r="F1572" s="550"/>
      <c r="G1572" s="549"/>
    </row>
    <row r="1573" spans="3:7" s="531" customFormat="1" ht="25.5">
      <c r="C1573" s="548" t="s">
        <v>381</v>
      </c>
      <c r="D1573" s="551">
        <v>1320</v>
      </c>
      <c r="E1573" s="539">
        <f t="shared" si="85"/>
        <v>66.214535093703603</v>
      </c>
      <c r="F1573" s="550"/>
      <c r="G1573" s="549"/>
    </row>
    <row r="1574" spans="3:7" s="531" customFormat="1" ht="25.5">
      <c r="C1574" s="548" t="s">
        <v>275</v>
      </c>
      <c r="D1574" s="551">
        <v>504.21</v>
      </c>
      <c r="E1574" s="539">
        <f t="shared" si="85"/>
        <v>25.29244752999719</v>
      </c>
      <c r="F1574" s="550"/>
      <c r="G1574" s="549"/>
    </row>
    <row r="1575" spans="3:7" s="531" customFormat="1" ht="25.5">
      <c r="C1575" s="548" t="s">
        <v>276</v>
      </c>
      <c r="D1575" s="551">
        <v>134.45599999999999</v>
      </c>
      <c r="E1575" s="539">
        <f t="shared" si="85"/>
        <v>6.7446526746659172</v>
      </c>
      <c r="F1575" s="550"/>
      <c r="G1575" s="549"/>
    </row>
    <row r="1576" spans="3:7" s="531" customFormat="1">
      <c r="C1576" s="548"/>
      <c r="D1576" s="551"/>
      <c r="E1576" s="539"/>
      <c r="F1576" s="550"/>
      <c r="G1576" s="549"/>
    </row>
    <row r="1577" spans="3:7" s="531" customFormat="1">
      <c r="C1577" s="554" t="s">
        <v>97</v>
      </c>
      <c r="D1577" s="551"/>
      <c r="E1577" s="539"/>
      <c r="F1577" s="550"/>
      <c r="G1577" s="549"/>
    </row>
    <row r="1578" spans="3:7" s="531" customFormat="1" ht="25.5">
      <c r="C1578" s="548" t="s">
        <v>290</v>
      </c>
      <c r="D1578" s="418">
        <v>3120.9</v>
      </c>
      <c r="E1578" s="539">
        <f>D1578*$J$1564</f>
        <v>156.55222922268152</v>
      </c>
      <c r="F1578" s="601"/>
      <c r="G1578" s="546"/>
    </row>
    <row r="1579" spans="3:7" s="531" customFormat="1" ht="25.5">
      <c r="C1579" s="548" t="s">
        <v>343</v>
      </c>
      <c r="D1579" s="418">
        <v>7500</v>
      </c>
      <c r="E1579" s="539">
        <f t="shared" ref="E1579:E1584" si="86">D1579*$J$1564</f>
        <v>376.21894939604323</v>
      </c>
      <c r="F1579" s="601"/>
      <c r="G1579" s="549"/>
    </row>
    <row r="1580" spans="3:7" s="531" customFormat="1" ht="25.5">
      <c r="C1580" s="548" t="s">
        <v>388</v>
      </c>
      <c r="D1580" s="551">
        <v>2812.0030000000002</v>
      </c>
      <c r="E1580" s="539">
        <f t="shared" si="86"/>
        <v>141.05717524780289</v>
      </c>
      <c r="F1580" s="601"/>
      <c r="G1580" s="549"/>
    </row>
    <row r="1581" spans="3:7" s="531" customFormat="1" ht="25.5">
      <c r="C1581" s="548" t="s">
        <v>168</v>
      </c>
      <c r="D1581" s="418">
        <v>3024.56</v>
      </c>
      <c r="E1581" s="539">
        <f t="shared" si="86"/>
        <v>151.71957141137287</v>
      </c>
      <c r="F1581" s="601"/>
      <c r="G1581" s="546"/>
    </row>
    <row r="1582" spans="3:7" s="531" customFormat="1" ht="25.5">
      <c r="C1582" s="548" t="s">
        <v>169</v>
      </c>
      <c r="D1582" s="418">
        <v>4799.6000000000004</v>
      </c>
      <c r="E1582" s="539">
        <f t="shared" si="86"/>
        <v>240.76006260283322</v>
      </c>
      <c r="F1582" s="601"/>
      <c r="G1582" s="549"/>
    </row>
    <row r="1583" spans="3:7" s="531" customFormat="1" ht="25.5">
      <c r="C1583" s="548" t="s">
        <v>373</v>
      </c>
      <c r="D1583" s="551">
        <v>8100</v>
      </c>
      <c r="E1583" s="539">
        <f t="shared" si="86"/>
        <v>406.31646534772665</v>
      </c>
      <c r="F1583" s="601"/>
      <c r="G1583" s="549"/>
    </row>
    <row r="1584" spans="3:7" s="531" customFormat="1" ht="25.5">
      <c r="C1584" s="548" t="s">
        <v>395</v>
      </c>
      <c r="D1584" s="418">
        <v>5350.3810000000003</v>
      </c>
      <c r="E1584" s="539">
        <f t="shared" si="86"/>
        <v>268.38862915847346</v>
      </c>
      <c r="F1584" s="601"/>
      <c r="G1584" s="546"/>
    </row>
    <row r="1585" spans="3:9" s="531" customFormat="1">
      <c r="C1585" s="548" t="s">
        <v>175</v>
      </c>
      <c r="D1585" s="576">
        <f>E1585/$J$1564</f>
        <v>17383.4944</v>
      </c>
      <c r="E1585" s="575">
        <v>872</v>
      </c>
      <c r="F1585" s="601"/>
      <c r="G1585" s="546"/>
    </row>
    <row r="1586" spans="3:9" s="531" customFormat="1">
      <c r="C1586" s="548" t="s">
        <v>176</v>
      </c>
      <c r="D1586" s="576">
        <f>E1586/$J$1564</f>
        <v>15310.2336</v>
      </c>
      <c r="E1586" s="575">
        <v>768</v>
      </c>
      <c r="F1586" s="601"/>
      <c r="G1586" s="546"/>
    </row>
    <row r="1587" spans="3:9" s="531" customFormat="1">
      <c r="C1587" s="548" t="s">
        <v>277</v>
      </c>
      <c r="D1587" s="576">
        <f>E1587/$J$1564</f>
        <v>11961.119999999999</v>
      </c>
      <c r="E1587" s="575">
        <v>600</v>
      </c>
      <c r="F1587" s="601"/>
      <c r="G1587" s="549"/>
    </row>
    <row r="1588" spans="3:9" s="531" customFormat="1">
      <c r="C1588" s="548" t="s">
        <v>178</v>
      </c>
      <c r="D1588" s="576">
        <f>E1588/$J$1564</f>
        <v>13954.64</v>
      </c>
      <c r="E1588" s="575">
        <v>700</v>
      </c>
      <c r="F1588" s="601"/>
      <c r="G1588" s="549"/>
      <c r="I1588" s="625"/>
    </row>
    <row r="1589" spans="3:9" s="531" customFormat="1" ht="12.75" customHeight="1">
      <c r="C1589" s="548" t="s">
        <v>207</v>
      </c>
      <c r="D1589" s="576">
        <f>E1589/$J$1564</f>
        <v>9967.5999999999985</v>
      </c>
      <c r="E1589" s="575">
        <v>500</v>
      </c>
      <c r="F1589" s="601"/>
      <c r="G1589" s="546"/>
      <c r="I1589" s="625"/>
    </row>
    <row r="1590" spans="3:9" s="531" customFormat="1">
      <c r="C1590" s="548"/>
      <c r="D1590" s="576"/>
      <c r="E1590" s="575"/>
      <c r="F1590" s="547"/>
      <c r="G1590" s="546"/>
      <c r="I1590" s="625"/>
    </row>
    <row r="1591" spans="3:9" s="531" customFormat="1">
      <c r="C1591" s="554" t="s">
        <v>113</v>
      </c>
      <c r="D1591" s="576"/>
      <c r="E1591" s="575"/>
      <c r="F1591" s="547"/>
      <c r="G1591" s="546"/>
      <c r="I1591" s="625"/>
    </row>
    <row r="1592" spans="3:9" s="531" customFormat="1" ht="25.5">
      <c r="C1592" s="548" t="s">
        <v>351</v>
      </c>
      <c r="D1592" s="418">
        <v>500</v>
      </c>
      <c r="E1592" s="539">
        <f t="shared" ref="E1592:E1598" si="87">D1592*$J$1564</f>
        <v>25.081263293069547</v>
      </c>
      <c r="F1592" s="547"/>
      <c r="G1592" s="546"/>
    </row>
    <row r="1593" spans="3:9" s="531" customFormat="1" ht="25.5">
      <c r="C1593" s="548" t="s">
        <v>351</v>
      </c>
      <c r="D1593" s="418">
        <v>500</v>
      </c>
      <c r="E1593" s="539">
        <f t="shared" si="87"/>
        <v>25.081263293069547</v>
      </c>
      <c r="F1593" s="547"/>
      <c r="G1593" s="546"/>
    </row>
    <row r="1594" spans="3:9" s="531" customFormat="1" ht="25.5">
      <c r="C1594" s="548" t="s">
        <v>352</v>
      </c>
      <c r="D1594" s="418">
        <v>500</v>
      </c>
      <c r="E1594" s="539">
        <f t="shared" si="87"/>
        <v>25.081263293069547</v>
      </c>
      <c r="F1594" s="547"/>
      <c r="G1594" s="546"/>
    </row>
    <row r="1595" spans="3:9" s="531" customFormat="1" ht="25.5">
      <c r="C1595" s="548" t="s">
        <v>329</v>
      </c>
      <c r="D1595" s="418">
        <v>500</v>
      </c>
      <c r="E1595" s="539">
        <f t="shared" si="87"/>
        <v>25.081263293069547</v>
      </c>
      <c r="F1595" s="547"/>
      <c r="G1595" s="546"/>
    </row>
    <row r="1596" spans="3:9" s="531" customFormat="1" ht="25.5">
      <c r="C1596" s="548" t="s">
        <v>329</v>
      </c>
      <c r="D1596" s="418">
        <v>500</v>
      </c>
      <c r="E1596" s="539">
        <f t="shared" si="87"/>
        <v>25.081263293069547</v>
      </c>
      <c r="F1596" s="547"/>
      <c r="G1596" s="546"/>
    </row>
    <row r="1597" spans="3:9" s="531" customFormat="1" ht="25.5">
      <c r="C1597" s="548" t="s">
        <v>331</v>
      </c>
      <c r="D1597" s="418">
        <v>100</v>
      </c>
      <c r="E1597" s="539">
        <f t="shared" si="87"/>
        <v>5.0162526586139098</v>
      </c>
      <c r="F1597" s="547"/>
      <c r="G1597" s="546"/>
    </row>
    <row r="1598" spans="3:9" s="531" customFormat="1" ht="25.5">
      <c r="C1598" s="548" t="s">
        <v>344</v>
      </c>
      <c r="D1598" s="418">
        <v>0</v>
      </c>
      <c r="E1598" s="539">
        <f t="shared" si="87"/>
        <v>0</v>
      </c>
      <c r="F1598" s="547"/>
      <c r="G1598" s="546"/>
    </row>
    <row r="1599" spans="3:9" s="531" customFormat="1" ht="25.5">
      <c r="C1599" s="548" t="s">
        <v>345</v>
      </c>
      <c r="D1599" s="576">
        <f>E1599/$J$1564</f>
        <v>9967.5999999999985</v>
      </c>
      <c r="E1599" s="575">
        <v>500</v>
      </c>
      <c r="F1599" s="547"/>
      <c r="G1599" s="546"/>
    </row>
    <row r="1600" spans="3:9" s="531" customFormat="1" ht="25.5">
      <c r="C1600" s="548" t="s">
        <v>374</v>
      </c>
      <c r="D1600" s="576">
        <f>E1600/$J$1564</f>
        <v>0</v>
      </c>
      <c r="E1600" s="575">
        <v>0</v>
      </c>
      <c r="F1600" s="547"/>
      <c r="G1600" s="546"/>
    </row>
    <row r="1601" spans="2:17" s="531" customFormat="1">
      <c r="C1601" s="548" t="s">
        <v>196</v>
      </c>
      <c r="D1601" s="418">
        <v>-719.61699999999996</v>
      </c>
      <c r="E1601" s="539">
        <f>D1601*$J$1564</f>
        <v>-36.097806894337651</v>
      </c>
      <c r="F1601" s="547"/>
      <c r="G1601" s="546"/>
    </row>
    <row r="1602" spans="2:17" s="531" customFormat="1">
      <c r="C1602" s="548" t="s">
        <v>65</v>
      </c>
      <c r="D1602" s="418">
        <v>1072.2449999999999</v>
      </c>
      <c r="E1602" s="539">
        <f>D1602*$J$1564</f>
        <v>53.786518319354705</v>
      </c>
      <c r="F1602" s="547"/>
      <c r="G1602" s="546"/>
    </row>
    <row r="1603" spans="2:17" s="531" customFormat="1">
      <c r="C1603" s="548"/>
      <c r="D1603" s="418"/>
      <c r="E1603" s="575"/>
      <c r="F1603" s="547"/>
      <c r="G1603" s="546"/>
    </row>
    <row r="1604" spans="2:17" s="531" customFormat="1">
      <c r="C1604" s="536" t="s">
        <v>66</v>
      </c>
      <c r="D1604" s="535">
        <f>SUM(D1569:D1603)</f>
        <v>125529.85799999998</v>
      </c>
      <c r="E1604" s="534">
        <f>SUM(E1569:E1603)</f>
        <v>6296.8948392792636</v>
      </c>
      <c r="F1604" s="533">
        <f>+D1604/D1609</f>
        <v>8.9248877384644452</v>
      </c>
      <c r="G1604" s="532">
        <f>+E1604/E1609</f>
        <v>9.9100127863175977</v>
      </c>
      <c r="J1604" s="624"/>
    </row>
    <row r="1605" spans="2:17" s="531" customFormat="1">
      <c r="C1605" s="545" t="s">
        <v>67</v>
      </c>
      <c r="D1605" s="544">
        <f>Model!AE123</f>
        <v>7746.5929999999998</v>
      </c>
      <c r="E1605" s="539">
        <f>D1605*$J$1564</f>
        <v>388.58867731449902</v>
      </c>
      <c r="F1605" s="543"/>
      <c r="G1605" s="542"/>
      <c r="J1605" s="624"/>
    </row>
    <row r="1606" spans="2:17" s="531" customFormat="1">
      <c r="C1606" s="536" t="s">
        <v>68</v>
      </c>
      <c r="D1606" s="535">
        <f>+D1604-D1605</f>
        <v>117783.26499999998</v>
      </c>
      <c r="E1606" s="534">
        <f>+E1604-E1605</f>
        <v>5908.3061619647642</v>
      </c>
      <c r="F1606" s="533">
        <f>+D1606/D1609</f>
        <v>8.3741225740477496</v>
      </c>
      <c r="G1606" s="532">
        <f>+E1606/E1609</f>
        <v>9.2984544136442331</v>
      </c>
    </row>
    <row r="1607" spans="2:17" s="531" customFormat="1">
      <c r="C1607" s="541" t="s">
        <v>69</v>
      </c>
      <c r="D1607" s="540">
        <f>Model!AE128</f>
        <v>173395.57199999999</v>
      </c>
      <c r="E1607" s="539">
        <f>D1607*$J$1564</f>
        <v>8697.959990368794</v>
      </c>
      <c r="F1607" s="538"/>
      <c r="G1607" s="537"/>
    </row>
    <row r="1608" spans="2:17" s="531" customFormat="1">
      <c r="C1608" s="536" t="s">
        <v>70</v>
      </c>
      <c r="D1608" s="535">
        <f>D1604+D1607</f>
        <v>298925.42999999993</v>
      </c>
      <c r="E1608" s="534">
        <f>E1604+E1607</f>
        <v>14994.854829648059</v>
      </c>
      <c r="F1608" s="533">
        <f>D1608/D1609</f>
        <v>21.252919006107788</v>
      </c>
      <c r="G1608" s="532">
        <f>E1608/E1609</f>
        <v>23.598806536174735</v>
      </c>
    </row>
    <row r="1609" spans="2:17" s="531" customFormat="1">
      <c r="C1609" s="530" t="s">
        <v>71</v>
      </c>
      <c r="D1609" s="529">
        <f>Model!AE102</f>
        <v>14065.147000000001</v>
      </c>
      <c r="E1609" s="528">
        <f>D1609*$J$1565</f>
        <v>635.40733751354617</v>
      </c>
      <c r="F1609" s="604"/>
      <c r="G1609" s="605"/>
    </row>
    <row r="1610" spans="2:17" s="531" customFormat="1"/>
    <row r="1611" spans="2:17" s="531" customFormat="1">
      <c r="C1611" s="606" t="s">
        <v>72</v>
      </c>
      <c r="D1611" s="623">
        <f>D1604-Model!AE126</f>
        <v>0</v>
      </c>
      <c r="E1611" s="626"/>
      <c r="I1611" s="608"/>
    </row>
    <row r="1612" spans="2:17" ht="13.5" thickBot="1">
      <c r="B1612" s="531"/>
      <c r="C1612" s="531"/>
      <c r="D1612" s="609"/>
      <c r="E1612" s="609"/>
      <c r="F1612" s="531"/>
      <c r="G1612" s="610"/>
      <c r="H1612" s="531"/>
      <c r="I1612" s="531"/>
      <c r="J1612" s="531"/>
      <c r="K1612" s="531"/>
      <c r="L1612" s="531"/>
      <c r="M1612" s="531"/>
      <c r="N1612" s="531"/>
      <c r="O1612" s="531"/>
      <c r="P1612" s="531"/>
      <c r="Q1612" s="531"/>
    </row>
    <row r="1613" spans="2:17" s="531" customFormat="1">
      <c r="C1613" s="611" t="s">
        <v>396</v>
      </c>
      <c r="D1613" s="612" t="s">
        <v>130</v>
      </c>
      <c r="E1613" s="613" t="s">
        <v>131</v>
      </c>
      <c r="G1613" s="614"/>
      <c r="N1613" s="421"/>
      <c r="O1613" s="421"/>
      <c r="P1613" s="421"/>
      <c r="Q1613" s="421"/>
    </row>
    <row r="1614" spans="2:17" s="531" customFormat="1">
      <c r="C1614" s="615" t="s">
        <v>198</v>
      </c>
      <c r="D1614" s="579">
        <v>0</v>
      </c>
      <c r="E1614" s="519">
        <f>D1614*$J$1564</f>
        <v>0</v>
      </c>
    </row>
    <row r="1615" spans="2:17" s="531" customFormat="1">
      <c r="C1615" s="615" t="s">
        <v>74</v>
      </c>
      <c r="D1615" s="520">
        <f>D1605</f>
        <v>7746.5929999999998</v>
      </c>
      <c r="E1615" s="519">
        <f>D1615*$J$1564</f>
        <v>388.58867731449902</v>
      </c>
    </row>
    <row r="1616" spans="2:17" s="531" customFormat="1" ht="13.5" thickBot="1">
      <c r="C1616" s="616" t="s">
        <v>75</v>
      </c>
      <c r="D1616" s="517">
        <f>SUM(D1614:D1615)</f>
        <v>7746.5929999999998</v>
      </c>
      <c r="E1616" s="516">
        <f>SUM(E1614:E1615)</f>
        <v>388.58867731449902</v>
      </c>
      <c r="K1616" s="421"/>
      <c r="L1616" s="421"/>
      <c r="M1616" s="421"/>
    </row>
    <row r="1617" spans="2:13" s="531" customFormat="1">
      <c r="K1617" s="421"/>
      <c r="L1617" s="421"/>
      <c r="M1617" s="421"/>
    </row>
    <row r="1618" spans="2:13" s="531" customFormat="1" ht="13.5" thickBot="1"/>
    <row r="1619" spans="2:13" s="531" customFormat="1">
      <c r="C1619" s="617" t="s">
        <v>397</v>
      </c>
      <c r="D1619" s="612" t="s">
        <v>130</v>
      </c>
      <c r="E1619" s="612" t="s">
        <v>133</v>
      </c>
    </row>
    <row r="1620" spans="2:13" s="531" customFormat="1">
      <c r="C1620" s="618"/>
      <c r="D1620" s="619"/>
      <c r="E1620" s="619"/>
    </row>
    <row r="1621" spans="2:13" s="531" customFormat="1">
      <c r="C1621" s="618" t="s">
        <v>241</v>
      </c>
      <c r="D1621" s="592">
        <f>Model!AE119</f>
        <v>2803.0479999999998</v>
      </c>
      <c r="E1621" s="591">
        <f>+D1621/$D$1627</f>
        <v>2.2392634826637402E-2</v>
      </c>
    </row>
    <row r="1622" spans="2:13" s="531" customFormat="1">
      <c r="C1622" s="618" t="s">
        <v>242</v>
      </c>
      <c r="D1622" s="627">
        <f>D1597+D1596+D1594+D1595+D1593+D1592</f>
        <v>2600</v>
      </c>
      <c r="E1622" s="591">
        <f>+D1622/$D$1627</f>
        <v>2.0770550682420442E-2</v>
      </c>
    </row>
    <row r="1623" spans="2:13" s="531" customFormat="1">
      <c r="C1623" s="618" t="s">
        <v>243</v>
      </c>
      <c r="D1623" s="592">
        <f>D1583</f>
        <v>8100</v>
      </c>
      <c r="E1623" s="591">
        <f>+D1623/$D$1627</f>
        <v>6.4708254049079067E-2</v>
      </c>
    </row>
    <row r="1624" spans="2:13" s="531" customFormat="1">
      <c r="C1624" s="618" t="s">
        <v>244</v>
      </c>
      <c r="D1624" s="592">
        <f>D1569+D1571+D1572+D1578+D1584+D1599+D1575+D1574</f>
        <v>22259.953999999998</v>
      </c>
      <c r="E1624" s="591">
        <f>+D1624/$D$1627</f>
        <v>0.17782750105590292</v>
      </c>
    </row>
    <row r="1625" spans="2:13" s="531" customFormat="1">
      <c r="C1625" s="618" t="s">
        <v>245</v>
      </c>
      <c r="D1625" s="592">
        <f>+SUM(D1568:D1600)-SUM(D1621:D1624)</f>
        <v>89414.227999999988</v>
      </c>
      <c r="E1625" s="591">
        <f>+D1625/$D$1627</f>
        <v>0.71430105938596022</v>
      </c>
    </row>
    <row r="1626" spans="2:13" s="531" customFormat="1" ht="13.5" thickBot="1">
      <c r="C1626" s="618"/>
      <c r="D1626" s="620"/>
      <c r="E1626" s="591"/>
    </row>
    <row r="1627" spans="2:13" s="531" customFormat="1" ht="13.5" thickBot="1">
      <c r="C1627" s="621" t="s">
        <v>77</v>
      </c>
      <c r="D1627" s="594">
        <f>+SUM(D1621:D1626)</f>
        <v>125177.22999999998</v>
      </c>
      <c r="E1627" s="596">
        <f>+SUM(E1621:E1626)</f>
        <v>1</v>
      </c>
    </row>
    <row r="1628" spans="2:13" s="531" customFormat="1">
      <c r="B1628" s="421"/>
      <c r="C1628" s="622"/>
      <c r="D1628" s="509">
        <f>+D1627+D1601+D1602-D1604</f>
        <v>0</v>
      </c>
      <c r="E1628" s="508"/>
    </row>
    <row r="1629" spans="2:13" s="531" customFormat="1">
      <c r="B1629" s="421"/>
      <c r="C1629" s="421"/>
      <c r="D1629" s="421"/>
      <c r="E1629" s="421"/>
      <c r="F1629" s="421"/>
      <c r="G1629" s="421"/>
      <c r="H1629" s="421"/>
      <c r="I1629" s="421"/>
      <c r="J1629" s="421"/>
    </row>
    <row r="1630" spans="2:13" s="531" customFormat="1">
      <c r="B1630" s="557" t="s">
        <v>398</v>
      </c>
      <c r="I1630" s="557" t="s">
        <v>399</v>
      </c>
      <c r="J1630" s="556">
        <f>Model!AD203</f>
        <v>4.4723119169223335E-2</v>
      </c>
    </row>
    <row r="1631" spans="2:13" s="531" customFormat="1">
      <c r="C1631" s="560"/>
      <c r="D1631" s="790" t="s">
        <v>400</v>
      </c>
      <c r="E1631" s="791"/>
      <c r="F1631" s="559" t="s">
        <v>20</v>
      </c>
      <c r="G1631" s="558" t="s">
        <v>21</v>
      </c>
      <c r="I1631" s="557" t="s">
        <v>401</v>
      </c>
      <c r="J1631" s="556">
        <f>AVERAGE(Model!AA202:AD202)</f>
        <v>4.6307812527210619E-2</v>
      </c>
    </row>
    <row r="1632" spans="2:13" s="531" customFormat="1">
      <c r="C1632" s="554"/>
      <c r="D1632" s="555" t="s">
        <v>18</v>
      </c>
      <c r="E1632" s="552" t="s">
        <v>19</v>
      </c>
      <c r="F1632" s="550"/>
      <c r="G1632" s="549"/>
    </row>
    <row r="1633" spans="3:7" s="531" customFormat="1">
      <c r="C1633" s="554"/>
      <c r="D1633" s="553"/>
      <c r="E1633" s="552"/>
      <c r="F1633" s="550"/>
      <c r="G1633" s="549"/>
    </row>
    <row r="1634" spans="3:7" s="531" customFormat="1">
      <c r="C1634" s="554" t="s">
        <v>92</v>
      </c>
      <c r="D1634" s="553"/>
      <c r="E1634" s="552"/>
      <c r="F1634" s="550"/>
      <c r="G1634" s="549"/>
    </row>
    <row r="1635" spans="3:7" s="531" customFormat="1" ht="25.5">
      <c r="C1635" s="548" t="s">
        <v>304</v>
      </c>
      <c r="D1635" s="418">
        <v>2451.4290000000001</v>
      </c>
      <c r="E1635" s="539">
        <f t="shared" ref="E1635:E1640" si="88">D1635*$J$1630</f>
        <v>109.63555130188999</v>
      </c>
      <c r="F1635" s="598"/>
      <c r="G1635" s="546"/>
    </row>
    <row r="1636" spans="3:7" s="531" customFormat="1" ht="25.5">
      <c r="C1636" s="548" t="s">
        <v>342</v>
      </c>
      <c r="D1636" s="418">
        <v>4188.6499999999996</v>
      </c>
      <c r="E1636" s="539">
        <f t="shared" si="88"/>
        <v>187.3294931081673</v>
      </c>
      <c r="F1636" s="598"/>
      <c r="G1636" s="546"/>
    </row>
    <row r="1637" spans="3:7" s="531" customFormat="1" ht="25.5">
      <c r="C1637" s="548" t="s">
        <v>289</v>
      </c>
      <c r="D1637" s="418">
        <v>249.44300000000001</v>
      </c>
      <c r="E1637" s="539">
        <f t="shared" si="88"/>
        <v>11.155869014928577</v>
      </c>
      <c r="F1637" s="550"/>
      <c r="G1637" s="549"/>
    </row>
    <row r="1638" spans="3:7" s="531" customFormat="1" ht="25.5">
      <c r="C1638" s="548" t="s">
        <v>289</v>
      </c>
      <c r="D1638" s="418">
        <v>517.76099999999997</v>
      </c>
      <c r="E1638" s="539">
        <f t="shared" si="88"/>
        <v>23.155886904176242</v>
      </c>
      <c r="F1638" s="550"/>
      <c r="G1638" s="549"/>
    </row>
    <row r="1639" spans="3:7" s="531" customFormat="1" ht="25.5">
      <c r="C1639" s="548" t="s">
        <v>381</v>
      </c>
      <c r="D1639" s="551">
        <v>1320</v>
      </c>
      <c r="E1639" s="539">
        <f t="shared" si="88"/>
        <v>59.034517303374805</v>
      </c>
      <c r="F1639" s="550"/>
      <c r="G1639" s="549"/>
    </row>
    <row r="1640" spans="3:7" s="531" customFormat="1" ht="25.5">
      <c r="C1640" s="548" t="s">
        <v>402</v>
      </c>
      <c r="D1640" s="551">
        <v>119.6</v>
      </c>
      <c r="E1640" s="539">
        <f t="shared" si="88"/>
        <v>5.348885052639111</v>
      </c>
      <c r="F1640" s="550"/>
      <c r="G1640" s="549"/>
    </row>
    <row r="1641" spans="3:7" s="531" customFormat="1">
      <c r="C1641" s="548"/>
      <c r="D1641" s="551"/>
      <c r="E1641" s="539"/>
      <c r="F1641" s="550"/>
      <c r="G1641" s="549"/>
    </row>
    <row r="1642" spans="3:7" s="531" customFormat="1">
      <c r="C1642" s="554" t="s">
        <v>97</v>
      </c>
      <c r="D1642" s="551"/>
      <c r="E1642" s="539"/>
      <c r="F1642" s="550"/>
      <c r="G1642" s="549"/>
    </row>
    <row r="1643" spans="3:7" s="531" customFormat="1" ht="25.5">
      <c r="C1643" s="548" t="s">
        <v>290</v>
      </c>
      <c r="D1643" s="418">
        <v>3120.9</v>
      </c>
      <c r="E1643" s="539">
        <f>D1643*$J$1630</f>
        <v>139.57638261522911</v>
      </c>
      <c r="F1643" s="601"/>
      <c r="G1643" s="546"/>
    </row>
    <row r="1644" spans="3:7" s="531" customFormat="1" ht="25.5">
      <c r="C1644" s="548" t="s">
        <v>343</v>
      </c>
      <c r="D1644" s="418">
        <v>7500</v>
      </c>
      <c r="E1644" s="539">
        <f t="shared" ref="E1644:E1649" si="89">D1644*$J$1630</f>
        <v>335.42339376917499</v>
      </c>
      <c r="F1644" s="601"/>
      <c r="G1644" s="549"/>
    </row>
    <row r="1645" spans="3:7" s="531" customFormat="1" ht="25.5">
      <c r="C1645" s="548" t="s">
        <v>388</v>
      </c>
      <c r="D1645" s="551">
        <v>2788.1559999999999</v>
      </c>
      <c r="E1645" s="539">
        <f t="shared" si="89"/>
        <v>124.69503305038505</v>
      </c>
      <c r="F1645" s="601"/>
      <c r="G1645" s="549"/>
    </row>
    <row r="1646" spans="3:7" s="531" customFormat="1" ht="25.5">
      <c r="C1646" s="548" t="s">
        <v>168</v>
      </c>
      <c r="D1646" s="418">
        <v>2998.91</v>
      </c>
      <c r="E1646" s="539">
        <f t="shared" si="89"/>
        <v>134.12060930777554</v>
      </c>
      <c r="F1646" s="601"/>
      <c r="G1646" s="546"/>
    </row>
    <row r="1647" spans="3:7" s="531" customFormat="1" ht="25.5">
      <c r="C1647" s="548" t="s">
        <v>169</v>
      </c>
      <c r="D1647" s="418">
        <v>4799.6000000000004</v>
      </c>
      <c r="E1647" s="539">
        <f t="shared" si="89"/>
        <v>214.65308276460433</v>
      </c>
      <c r="F1647" s="601"/>
      <c r="G1647" s="549"/>
    </row>
    <row r="1648" spans="3:7" s="531" customFormat="1" ht="25.5">
      <c r="C1648" s="548" t="s">
        <v>373</v>
      </c>
      <c r="D1648" s="551">
        <v>8100</v>
      </c>
      <c r="E1648" s="539">
        <f t="shared" si="89"/>
        <v>362.25726527070901</v>
      </c>
      <c r="F1648" s="601"/>
      <c r="G1648" s="549"/>
    </row>
    <row r="1649" spans="3:9" s="531" customFormat="1" ht="12.75" customHeight="1">
      <c r="C1649" s="548" t="s">
        <v>395</v>
      </c>
      <c r="D1649" s="418">
        <v>5400.4</v>
      </c>
      <c r="E1649" s="539">
        <f t="shared" si="89"/>
        <v>241.52273276147369</v>
      </c>
      <c r="F1649" s="601"/>
      <c r="G1649" s="546"/>
    </row>
    <row r="1650" spans="3:9" s="531" customFormat="1">
      <c r="C1650" s="548" t="s">
        <v>175</v>
      </c>
      <c r="D1650" s="576">
        <f>E1650/$J$1630</f>
        <v>19497.745600000002</v>
      </c>
      <c r="E1650" s="575">
        <v>872</v>
      </c>
      <c r="F1650" s="601"/>
      <c r="G1650" s="546"/>
    </row>
    <row r="1651" spans="3:9" s="531" customFormat="1">
      <c r="C1651" s="548" t="s">
        <v>176</v>
      </c>
      <c r="D1651" s="576">
        <f>E1651/$J$1630</f>
        <v>17172.326400000002</v>
      </c>
      <c r="E1651" s="575">
        <v>768</v>
      </c>
      <c r="F1651" s="601"/>
      <c r="G1651" s="546"/>
    </row>
    <row r="1652" spans="3:9" s="531" customFormat="1">
      <c r="C1652" s="548" t="s">
        <v>277</v>
      </c>
      <c r="D1652" s="576">
        <f>E1652/$J$1630</f>
        <v>13415.880000000001</v>
      </c>
      <c r="E1652" s="575">
        <v>600</v>
      </c>
      <c r="F1652" s="601"/>
      <c r="G1652" s="549"/>
    </row>
    <row r="1653" spans="3:9" s="531" customFormat="1">
      <c r="C1653" s="548" t="s">
        <v>178</v>
      </c>
      <c r="D1653" s="576">
        <f>E1653/$J$1630</f>
        <v>15651.86</v>
      </c>
      <c r="E1653" s="575">
        <v>700</v>
      </c>
      <c r="F1653" s="601"/>
      <c r="G1653" s="549"/>
      <c r="I1653" s="625"/>
    </row>
    <row r="1654" spans="3:9" s="531" customFormat="1">
      <c r="C1654" s="548" t="s">
        <v>207</v>
      </c>
      <c r="D1654" s="576">
        <f>E1654/$J$1630</f>
        <v>11179.900000000001</v>
      </c>
      <c r="E1654" s="575">
        <v>500</v>
      </c>
      <c r="F1654" s="601"/>
      <c r="G1654" s="546"/>
      <c r="I1654" s="625"/>
    </row>
    <row r="1655" spans="3:9" s="531" customFormat="1">
      <c r="C1655" s="548"/>
      <c r="D1655" s="576"/>
      <c r="E1655" s="575"/>
      <c r="F1655" s="547"/>
      <c r="G1655" s="546"/>
      <c r="I1655" s="625"/>
    </row>
    <row r="1656" spans="3:9" s="531" customFormat="1">
      <c r="C1656" s="554" t="s">
        <v>113</v>
      </c>
      <c r="D1656" s="576"/>
      <c r="E1656" s="575"/>
      <c r="F1656" s="547"/>
      <c r="G1656" s="546"/>
      <c r="I1656" s="625"/>
    </row>
    <row r="1657" spans="3:9" s="531" customFormat="1" ht="25.5">
      <c r="C1657" s="548" t="s">
        <v>403</v>
      </c>
      <c r="D1657" s="418">
        <v>0</v>
      </c>
      <c r="E1657" s="539">
        <f t="shared" ref="E1657:E1662" si="90">D1657*$J$1630</f>
        <v>0</v>
      </c>
      <c r="F1657" s="547"/>
      <c r="G1657" s="546"/>
    </row>
    <row r="1658" spans="3:9" s="531" customFormat="1" ht="25.5">
      <c r="C1658" s="548" t="s">
        <v>404</v>
      </c>
      <c r="D1658" s="418">
        <v>100</v>
      </c>
      <c r="E1658" s="539">
        <f t="shared" si="90"/>
        <v>4.4723119169223331</v>
      </c>
      <c r="F1658" s="547"/>
      <c r="G1658" s="546"/>
    </row>
    <row r="1659" spans="3:9" s="531" customFormat="1" ht="25.5">
      <c r="C1659" s="548" t="s">
        <v>405</v>
      </c>
      <c r="D1659" s="418">
        <v>6736.5</v>
      </c>
      <c r="E1659" s="539">
        <f t="shared" si="90"/>
        <v>301.277292283473</v>
      </c>
      <c r="F1659" s="547"/>
      <c r="G1659" s="546"/>
    </row>
    <row r="1660" spans="3:9" s="531" customFormat="1" ht="25.5">
      <c r="C1660" s="548" t="s">
        <v>406</v>
      </c>
      <c r="D1660" s="418">
        <v>0</v>
      </c>
      <c r="E1660" s="539">
        <f t="shared" si="90"/>
        <v>0</v>
      </c>
      <c r="F1660" s="547"/>
      <c r="G1660" s="546"/>
    </row>
    <row r="1661" spans="3:9" s="531" customFormat="1" ht="25.5">
      <c r="C1661" s="548" t="s">
        <v>407</v>
      </c>
      <c r="D1661" s="418">
        <v>0</v>
      </c>
      <c r="E1661" s="539">
        <f t="shared" si="90"/>
        <v>0</v>
      </c>
      <c r="F1661" s="547"/>
      <c r="G1661" s="546"/>
    </row>
    <row r="1662" spans="3:9" s="531" customFormat="1" ht="25.5">
      <c r="C1662" s="548" t="s">
        <v>344</v>
      </c>
      <c r="D1662" s="418">
        <v>0</v>
      </c>
      <c r="E1662" s="539">
        <f t="shared" si="90"/>
        <v>0</v>
      </c>
      <c r="F1662" s="547"/>
      <c r="G1662" s="546"/>
    </row>
    <row r="1663" spans="3:9" s="531" customFormat="1" ht="25.5">
      <c r="C1663" s="548" t="s">
        <v>345</v>
      </c>
      <c r="D1663" s="576">
        <f>E1663/$J$1630</f>
        <v>11179.900000000001</v>
      </c>
      <c r="E1663" s="575">
        <v>500</v>
      </c>
      <c r="F1663" s="547"/>
      <c r="G1663" s="546"/>
    </row>
    <row r="1664" spans="3:9" s="531" customFormat="1" ht="25.5">
      <c r="C1664" s="548" t="s">
        <v>374</v>
      </c>
      <c r="D1664" s="576">
        <f>E1664/$J$1630</f>
        <v>4574.5914820000007</v>
      </c>
      <c r="E1664" s="575">
        <v>204.59</v>
      </c>
      <c r="F1664" s="547"/>
      <c r="G1664" s="546"/>
    </row>
    <row r="1665" spans="3:10" s="531" customFormat="1">
      <c r="C1665" s="548" t="s">
        <v>196</v>
      </c>
      <c r="D1665" s="418">
        <v>-739.88900000000001</v>
      </c>
      <c r="E1665" s="539">
        <f>D1665*$J$1630</f>
        <v>-33.090143918997484</v>
      </c>
      <c r="F1665" s="547"/>
      <c r="G1665" s="546"/>
    </row>
    <row r="1666" spans="3:10" s="531" customFormat="1">
      <c r="C1666" s="548" t="s">
        <v>65</v>
      </c>
      <c r="D1666" s="418">
        <v>2097.886</v>
      </c>
      <c r="E1666" s="539">
        <f>D1666*$J$1630</f>
        <v>93.824005581445263</v>
      </c>
      <c r="F1666" s="547"/>
      <c r="G1666" s="546"/>
    </row>
    <row r="1667" spans="3:10" s="531" customFormat="1">
      <c r="C1667" s="548"/>
      <c r="D1667" s="418"/>
      <c r="E1667" s="575"/>
      <c r="F1667" s="547"/>
      <c r="G1667" s="546"/>
    </row>
    <row r="1668" spans="3:10" s="531" customFormat="1">
      <c r="C1668" s="536" t="s">
        <v>66</v>
      </c>
      <c r="D1668" s="535">
        <f>SUM(D1635:D1667)</f>
        <v>144421.549482</v>
      </c>
      <c r="E1668" s="534">
        <f>SUM(E1635:E1667)</f>
        <v>6458.9821680873702</v>
      </c>
      <c r="F1668" s="533">
        <f>+D1668/D1673</f>
        <v>10.315413820077746</v>
      </c>
      <c r="G1668" s="532">
        <f>+E1668/E1673</f>
        <v>9.9624114458895434</v>
      </c>
      <c r="J1668" s="624"/>
    </row>
    <row r="1669" spans="3:10" s="531" customFormat="1">
      <c r="C1669" s="545" t="s">
        <v>67</v>
      </c>
      <c r="D1669" s="544">
        <f>Model!AD123</f>
        <v>18373.936000000002</v>
      </c>
      <c r="E1669" s="539">
        <f>D1669*$J$1630</f>
        <v>821.7397293356828</v>
      </c>
      <c r="F1669" s="543"/>
      <c r="G1669" s="542"/>
      <c r="J1669" s="624"/>
    </row>
    <row r="1670" spans="3:10" s="531" customFormat="1">
      <c r="C1670" s="536" t="s">
        <v>68</v>
      </c>
      <c r="D1670" s="535">
        <f>+D1668-D1669</f>
        <v>126047.613482</v>
      </c>
      <c r="E1670" s="534">
        <f>+E1668-E1669</f>
        <v>5637.2424387516876</v>
      </c>
      <c r="F1670" s="533">
        <f>+D1670/D1673</f>
        <v>9.0030421274637789</v>
      </c>
      <c r="G1670" s="532">
        <f>+E1670/E1673</f>
        <v>8.6949502465810831</v>
      </c>
    </row>
    <row r="1671" spans="3:10" s="531" customFormat="1">
      <c r="C1671" s="541" t="s">
        <v>69</v>
      </c>
      <c r="D1671" s="540">
        <f>Model!AD128</f>
        <v>163779.53700000001</v>
      </c>
      <c r="E1671" s="539">
        <f>D1671*$J$1630</f>
        <v>7324.7317507312227</v>
      </c>
      <c r="F1671" s="538"/>
      <c r="G1671" s="537"/>
    </row>
    <row r="1672" spans="3:10" s="531" customFormat="1" ht="11.25" customHeight="1">
      <c r="C1672" s="536" t="s">
        <v>70</v>
      </c>
      <c r="D1672" s="535">
        <f>D1668+D1671</f>
        <v>308201.08648200001</v>
      </c>
      <c r="E1672" s="534">
        <f>E1668+E1671</f>
        <v>13783.713918818594</v>
      </c>
      <c r="F1672" s="533">
        <f>D1672/D1673</f>
        <v>22.013485925489547</v>
      </c>
      <c r="G1672" s="532">
        <f>E1672/E1673</f>
        <v>21.260165415872049</v>
      </c>
    </row>
    <row r="1673" spans="3:10" s="531" customFormat="1">
      <c r="C1673" s="530" t="s">
        <v>71</v>
      </c>
      <c r="D1673" s="529">
        <f>Model!AD102</f>
        <v>14000.557999999997</v>
      </c>
      <c r="E1673" s="528">
        <f>D1673*$J$1631</f>
        <v>648.33521514033873</v>
      </c>
      <c r="F1673" s="604"/>
      <c r="G1673" s="605"/>
    </row>
    <row r="1674" spans="3:10" s="531" customFormat="1"/>
    <row r="1675" spans="3:10" s="531" customFormat="1">
      <c r="C1675" s="606" t="s">
        <v>72</v>
      </c>
      <c r="D1675" s="623">
        <f>D1668-Model!AD126</f>
        <v>4.8200000310316682E-4</v>
      </c>
      <c r="E1675" s="626"/>
      <c r="I1675" s="608"/>
    </row>
    <row r="1676" spans="3:10" s="531" customFormat="1" ht="13.5" thickBot="1">
      <c r="D1676" s="609"/>
      <c r="E1676" s="609"/>
      <c r="G1676" s="610"/>
    </row>
    <row r="1677" spans="3:10" s="531" customFormat="1">
      <c r="C1677" s="611" t="s">
        <v>408</v>
      </c>
      <c r="D1677" s="612" t="s">
        <v>130</v>
      </c>
      <c r="E1677" s="613" t="s">
        <v>131</v>
      </c>
      <c r="G1677" s="614"/>
    </row>
    <row r="1678" spans="3:10" s="531" customFormat="1">
      <c r="C1678" s="615" t="s">
        <v>198</v>
      </c>
      <c r="D1678" s="579">
        <f>6750+(205/J1630)</f>
        <v>11333.759</v>
      </c>
      <c r="E1678" s="519">
        <f>D1678*$J$1630</f>
        <v>506.88105439225751</v>
      </c>
    </row>
    <row r="1679" spans="3:10" s="531" customFormat="1">
      <c r="C1679" s="615" t="s">
        <v>74</v>
      </c>
      <c r="D1679" s="520">
        <f>D1669</f>
        <v>18373.936000000002</v>
      </c>
      <c r="E1679" s="519">
        <f>D1679*$J$1630</f>
        <v>821.7397293356828</v>
      </c>
    </row>
    <row r="1680" spans="3:10" s="531" customFormat="1" ht="13.5" thickBot="1">
      <c r="C1680" s="616" t="s">
        <v>75</v>
      </c>
      <c r="D1680" s="517">
        <f>SUM(D1678:D1679)</f>
        <v>29707.695</v>
      </c>
      <c r="E1680" s="516">
        <f>SUM(E1678:E1679)</f>
        <v>1328.6207837279403</v>
      </c>
    </row>
    <row r="1681" spans="2:13" s="531" customFormat="1">
      <c r="K1681" s="421"/>
      <c r="L1681" s="421"/>
      <c r="M1681" s="421"/>
    </row>
    <row r="1682" spans="2:13" s="531" customFormat="1" ht="13.5" thickBot="1">
      <c r="K1682" s="421"/>
      <c r="L1682" s="421"/>
      <c r="M1682" s="421"/>
    </row>
    <row r="1683" spans="2:13" s="531" customFormat="1">
      <c r="C1683" s="617" t="s">
        <v>409</v>
      </c>
      <c r="D1683" s="612" t="s">
        <v>130</v>
      </c>
      <c r="E1683" s="612" t="s">
        <v>133</v>
      </c>
      <c r="K1683" s="421"/>
      <c r="L1683" s="421"/>
      <c r="M1683" s="421"/>
    </row>
    <row r="1684" spans="2:13" s="531" customFormat="1">
      <c r="C1684" s="618"/>
      <c r="D1684" s="619"/>
      <c r="E1684" s="619"/>
    </row>
    <row r="1685" spans="2:13" s="531" customFormat="1">
      <c r="C1685" s="618" t="s">
        <v>241</v>
      </c>
      <c r="D1685" s="592">
        <f>Model!AD119</f>
        <v>277.61599999999999</v>
      </c>
      <c r="E1685" s="591">
        <f>+D1685/$D$1691</f>
        <v>1.9405082229796379E-3</v>
      </c>
    </row>
    <row r="1686" spans="2:13" s="531" customFormat="1">
      <c r="C1686" s="618" t="s">
        <v>242</v>
      </c>
      <c r="D1686" s="593">
        <v>0</v>
      </c>
      <c r="E1686" s="591">
        <f>+D1686/$D$1691</f>
        <v>0</v>
      </c>
    </row>
    <row r="1687" spans="2:13" s="531" customFormat="1">
      <c r="C1687" s="618" t="s">
        <v>243</v>
      </c>
      <c r="D1687" s="592">
        <f>D1648</f>
        <v>8100</v>
      </c>
      <c r="E1687" s="591">
        <f>+D1687/$D$1691</f>
        <v>5.6618194218399039E-2</v>
      </c>
    </row>
    <row r="1688" spans="2:13" s="531" customFormat="1">
      <c r="C1688" s="618" t="s">
        <v>244</v>
      </c>
      <c r="D1688" s="592">
        <f>D1635+D1637+D1638+D1643+D1649+D1663+D1640</f>
        <v>23039.433000000001</v>
      </c>
      <c r="E1688" s="591">
        <f>+D1688/$D$1691</f>
        <v>0.16104334472540643</v>
      </c>
    </row>
    <row r="1689" spans="2:13" s="531" customFormat="1">
      <c r="C1689" s="618" t="s">
        <v>245</v>
      </c>
      <c r="D1689" s="592">
        <f>+SUM(D1634:D1664)-SUM(D1685:D1688)</f>
        <v>111646.503482</v>
      </c>
      <c r="E1689" s="591">
        <f>+D1689/$D$1691</f>
        <v>0.78039795283321489</v>
      </c>
    </row>
    <row r="1690" spans="2:13" s="531" customFormat="1" ht="13.5" thickBot="1">
      <c r="C1690" s="618"/>
      <c r="D1690" s="620"/>
      <c r="E1690" s="591"/>
    </row>
    <row r="1691" spans="2:13" s="531" customFormat="1" ht="13.5" thickBot="1">
      <c r="C1691" s="621" t="s">
        <v>77</v>
      </c>
      <c r="D1691" s="594">
        <f>+SUM(D1685:D1690)</f>
        <v>143063.552482</v>
      </c>
      <c r="E1691" s="596">
        <f>+SUM(E1685:E1690)</f>
        <v>1</v>
      </c>
    </row>
    <row r="1692" spans="2:13" s="531" customFormat="1">
      <c r="B1692" s="421"/>
      <c r="C1692" s="622"/>
      <c r="D1692" s="509">
        <f>+D1691+D1665+D1666-D1668</f>
        <v>0</v>
      </c>
      <c r="E1692" s="508"/>
    </row>
    <row r="1693" spans="2:13" s="531" customFormat="1">
      <c r="B1693" s="421"/>
      <c r="C1693" s="622"/>
      <c r="D1693" s="509"/>
      <c r="E1693" s="508"/>
      <c r="F1693" s="421"/>
      <c r="G1693" s="421"/>
      <c r="H1693" s="421"/>
      <c r="I1693" s="421"/>
      <c r="J1693" s="421"/>
    </row>
    <row r="1694" spans="2:13" s="531" customFormat="1">
      <c r="B1694" s="421"/>
      <c r="C1694" s="622"/>
      <c r="D1694" s="509"/>
      <c r="E1694" s="508"/>
      <c r="F1694" s="421"/>
      <c r="G1694" s="421"/>
      <c r="H1694" s="421"/>
      <c r="I1694" s="421"/>
      <c r="J1694" s="421"/>
    </row>
    <row r="1695" spans="2:13" s="531" customFormat="1">
      <c r="B1695" s="557" t="s">
        <v>410</v>
      </c>
      <c r="I1695" s="557" t="s">
        <v>411</v>
      </c>
      <c r="J1695" s="556">
        <f>Model!AC203</f>
        <v>4.3229222954717386E-2</v>
      </c>
    </row>
    <row r="1696" spans="2:13" s="531" customFormat="1">
      <c r="C1696" s="560"/>
      <c r="D1696" s="790" t="s">
        <v>412</v>
      </c>
      <c r="E1696" s="791"/>
      <c r="F1696" s="559" t="s">
        <v>20</v>
      </c>
      <c r="G1696" s="558" t="s">
        <v>21</v>
      </c>
      <c r="I1696" s="557" t="s">
        <v>413</v>
      </c>
      <c r="J1696" s="556">
        <f>AVERAGE(Model!Z202:AC202)</f>
        <v>4.8178769761718032E-2</v>
      </c>
    </row>
    <row r="1697" spans="1:17" s="531" customFormat="1">
      <c r="C1697" s="554"/>
      <c r="D1697" s="555" t="s">
        <v>18</v>
      </c>
      <c r="E1697" s="552" t="s">
        <v>19</v>
      </c>
      <c r="F1697" s="550"/>
      <c r="G1697" s="549"/>
    </row>
    <row r="1698" spans="1:17" s="531" customFormat="1">
      <c r="C1698" s="554"/>
      <c r="D1698" s="553"/>
      <c r="E1698" s="552"/>
      <c r="F1698" s="550"/>
      <c r="G1698" s="549"/>
    </row>
    <row r="1699" spans="1:17" s="531" customFormat="1">
      <c r="C1699" s="554" t="s">
        <v>92</v>
      </c>
      <c r="D1699" s="553"/>
      <c r="E1699" s="552"/>
      <c r="F1699" s="550"/>
      <c r="G1699" s="549"/>
    </row>
    <row r="1700" spans="1:17" s="531" customFormat="1" ht="25.5">
      <c r="C1700" s="548" t="s">
        <v>304</v>
      </c>
      <c r="D1700" s="418">
        <v>2485.7139999999999</v>
      </c>
      <c r="E1700" s="539">
        <f t="shared" ref="E1700:E1705" si="91">D1700*$J$1695</f>
        <v>107.45548470766236</v>
      </c>
      <c r="F1700" s="598"/>
      <c r="G1700" s="546"/>
    </row>
    <row r="1701" spans="1:17" s="531" customFormat="1" ht="25.5">
      <c r="C1701" s="548" t="s">
        <v>342</v>
      </c>
      <c r="D1701" s="418">
        <v>4193.2749999999996</v>
      </c>
      <c r="E1701" s="539">
        <f t="shared" si="91"/>
        <v>181.27201988544252</v>
      </c>
      <c r="F1701" s="598"/>
      <c r="G1701" s="546"/>
    </row>
    <row r="1702" spans="1:17" s="531" customFormat="1" ht="25.5">
      <c r="C1702" s="548" t="s">
        <v>289</v>
      </c>
      <c r="D1702" s="418">
        <v>250.04400000000001</v>
      </c>
      <c r="E1702" s="539">
        <f t="shared" si="91"/>
        <v>10.809207824489354</v>
      </c>
      <c r="F1702" s="550"/>
      <c r="G1702" s="549"/>
    </row>
    <row r="1703" spans="1:17" s="531" customFormat="1" ht="25.5">
      <c r="C1703" s="548" t="s">
        <v>289</v>
      </c>
      <c r="D1703" s="418">
        <v>519.05999999999995</v>
      </c>
      <c r="E1703" s="539">
        <f t="shared" si="91"/>
        <v>22.438560466875604</v>
      </c>
      <c r="F1703" s="550"/>
      <c r="G1703" s="549"/>
    </row>
    <row r="1704" spans="1:17" s="531" customFormat="1" ht="25.5">
      <c r="C1704" s="548" t="s">
        <v>381</v>
      </c>
      <c r="D1704" s="551">
        <v>1320</v>
      </c>
      <c r="E1704" s="539">
        <f t="shared" si="91"/>
        <v>57.062574300226949</v>
      </c>
      <c r="F1704" s="550"/>
      <c r="G1704" s="549"/>
    </row>
    <row r="1705" spans="1:17" s="531" customFormat="1" ht="25.5">
      <c r="C1705" s="548" t="s">
        <v>402</v>
      </c>
      <c r="D1705" s="551">
        <v>120.9</v>
      </c>
      <c r="E1705" s="539">
        <f t="shared" si="91"/>
        <v>5.2264130552253318</v>
      </c>
      <c r="F1705" s="550"/>
      <c r="G1705" s="549"/>
    </row>
    <row r="1706" spans="1:17" s="531" customFormat="1">
      <c r="C1706" s="548"/>
      <c r="D1706" s="551"/>
      <c r="E1706" s="539"/>
      <c r="F1706" s="550"/>
      <c r="G1706" s="549"/>
    </row>
    <row r="1707" spans="1:17" s="531" customFormat="1" ht="12.75" customHeight="1">
      <c r="C1707" s="554" t="s">
        <v>97</v>
      </c>
      <c r="D1707" s="551"/>
      <c r="E1707" s="539"/>
      <c r="F1707" s="550"/>
      <c r="G1707" s="549"/>
    </row>
    <row r="1708" spans="1:17" s="531" customFormat="1" ht="25.5">
      <c r="C1708" s="548" t="s">
        <v>290</v>
      </c>
      <c r="D1708" s="418">
        <v>3120.9</v>
      </c>
      <c r="E1708" s="539">
        <f t="shared" ref="E1708:E1714" si="92">D1708*$J$1695</f>
        <v>134.91408191937748</v>
      </c>
      <c r="F1708" s="601"/>
      <c r="G1708" s="546"/>
    </row>
    <row r="1709" spans="1:17" ht="25.5">
      <c r="A1709" s="531"/>
      <c r="B1709" s="531"/>
      <c r="C1709" s="548" t="s">
        <v>343</v>
      </c>
      <c r="D1709" s="418">
        <v>7500</v>
      </c>
      <c r="E1709" s="539">
        <f t="shared" si="92"/>
        <v>324.21917216038042</v>
      </c>
      <c r="F1709" s="601"/>
      <c r="G1709" s="549"/>
      <c r="H1709" s="531"/>
      <c r="I1709" s="531"/>
      <c r="J1709" s="531"/>
      <c r="K1709" s="531"/>
      <c r="L1709" s="531"/>
      <c r="M1709" s="531"/>
      <c r="N1709" s="531"/>
      <c r="O1709" s="531"/>
      <c r="P1709" s="531"/>
      <c r="Q1709" s="531"/>
    </row>
    <row r="1710" spans="1:17" ht="25.5">
      <c r="B1710" s="531"/>
      <c r="C1710" s="548" t="s">
        <v>388</v>
      </c>
      <c r="D1710" s="551">
        <v>2743.127</v>
      </c>
      <c r="E1710" s="539">
        <f t="shared" si="92"/>
        <v>118.58324867610504</v>
      </c>
      <c r="F1710" s="601"/>
      <c r="G1710" s="549"/>
      <c r="H1710" s="531"/>
      <c r="I1710" s="531"/>
      <c r="J1710" s="531"/>
      <c r="K1710" s="531"/>
      <c r="L1710" s="531"/>
      <c r="M1710" s="531"/>
    </row>
    <row r="1711" spans="1:17" ht="25.5">
      <c r="B1711" s="531"/>
      <c r="C1711" s="548" t="s">
        <v>168</v>
      </c>
      <c r="D1711" s="418">
        <v>2950.4780000000001</v>
      </c>
      <c r="E1711" s="539">
        <f t="shared" si="92"/>
        <v>127.54687128498864</v>
      </c>
      <c r="F1711" s="601"/>
      <c r="G1711" s="546"/>
      <c r="H1711" s="531"/>
      <c r="I1711" s="531"/>
      <c r="J1711" s="531"/>
      <c r="K1711" s="531"/>
      <c r="L1711" s="531"/>
      <c r="M1711" s="531"/>
    </row>
    <row r="1712" spans="1:17" ht="25.5">
      <c r="B1712" s="531"/>
      <c r="C1712" s="548" t="s">
        <v>169</v>
      </c>
      <c r="D1712" s="418">
        <v>4799.6000000000004</v>
      </c>
      <c r="E1712" s="539">
        <f t="shared" si="92"/>
        <v>207.48297849346159</v>
      </c>
      <c r="F1712" s="601"/>
      <c r="G1712" s="549"/>
      <c r="H1712" s="531"/>
      <c r="I1712" s="531"/>
      <c r="J1712" s="531"/>
      <c r="K1712" s="531"/>
      <c r="L1712" s="531"/>
      <c r="M1712" s="531"/>
    </row>
    <row r="1713" spans="2:13" ht="25.5">
      <c r="B1713" s="531"/>
      <c r="C1713" s="548" t="s">
        <v>373</v>
      </c>
      <c r="D1713" s="551">
        <v>8100</v>
      </c>
      <c r="E1713" s="539">
        <f t="shared" si="92"/>
        <v>350.15670593321084</v>
      </c>
      <c r="F1713" s="601"/>
      <c r="G1713" s="549"/>
      <c r="H1713" s="531"/>
      <c r="I1713" s="531"/>
      <c r="J1713" s="531"/>
      <c r="K1713" s="531"/>
      <c r="L1713" s="531"/>
      <c r="M1713" s="531"/>
    </row>
    <row r="1714" spans="2:13" ht="25.5">
      <c r="B1714" s="531"/>
      <c r="C1714" s="548" t="s">
        <v>395</v>
      </c>
      <c r="D1714" s="418">
        <v>5400.4</v>
      </c>
      <c r="E1714" s="539">
        <f t="shared" si="92"/>
        <v>233.45509564465576</v>
      </c>
      <c r="F1714" s="601"/>
      <c r="G1714" s="546"/>
      <c r="H1714" s="531"/>
      <c r="I1714" s="531"/>
      <c r="J1714" s="531"/>
      <c r="K1714" s="531"/>
      <c r="L1714" s="531"/>
      <c r="M1714" s="531"/>
    </row>
    <row r="1715" spans="2:13">
      <c r="B1715" s="531"/>
      <c r="C1715" s="548" t="s">
        <v>175</v>
      </c>
      <c r="D1715" s="576">
        <f>E1715/$J$1695</f>
        <v>13879.5</v>
      </c>
      <c r="E1715" s="575">
        <v>600</v>
      </c>
      <c r="F1715" s="601"/>
      <c r="G1715" s="546"/>
      <c r="H1715" s="531"/>
      <c r="I1715" s="531"/>
      <c r="J1715" s="531"/>
      <c r="K1715" s="531"/>
      <c r="L1715" s="531"/>
      <c r="M1715" s="531"/>
    </row>
    <row r="1716" spans="2:13">
      <c r="B1716" s="531"/>
      <c r="C1716" s="548" t="s">
        <v>176</v>
      </c>
      <c r="D1716" s="576">
        <f>E1716/$J$1695</f>
        <v>9253</v>
      </c>
      <c r="E1716" s="575">
        <v>400</v>
      </c>
      <c r="F1716" s="601"/>
      <c r="G1716" s="546"/>
      <c r="H1716" s="531"/>
      <c r="I1716" s="531"/>
      <c r="J1716" s="531"/>
      <c r="K1716" s="531"/>
      <c r="L1716" s="531"/>
      <c r="M1716" s="531"/>
    </row>
    <row r="1717" spans="2:13">
      <c r="B1717" s="531"/>
      <c r="C1717" s="548" t="s">
        <v>277</v>
      </c>
      <c r="D1717" s="576">
        <f>E1717/$J$1695</f>
        <v>13879.5</v>
      </c>
      <c r="E1717" s="575">
        <v>600</v>
      </c>
      <c r="F1717" s="601"/>
      <c r="G1717" s="549"/>
      <c r="H1717" s="531"/>
      <c r="I1717" s="531"/>
      <c r="J1717" s="531"/>
      <c r="K1717" s="531"/>
      <c r="L1717" s="531"/>
      <c r="M1717" s="531"/>
    </row>
    <row r="1718" spans="2:13">
      <c r="B1718" s="531"/>
      <c r="C1718" s="548" t="s">
        <v>178</v>
      </c>
      <c r="D1718" s="576">
        <f>E1718/$J$1695</f>
        <v>16192.750000000002</v>
      </c>
      <c r="E1718" s="575">
        <v>700</v>
      </c>
      <c r="F1718" s="601"/>
      <c r="G1718" s="549"/>
      <c r="H1718" s="531"/>
      <c r="I1718" s="625"/>
      <c r="J1718" s="531"/>
      <c r="K1718" s="531"/>
      <c r="L1718" s="531"/>
      <c r="M1718" s="531"/>
    </row>
    <row r="1719" spans="2:13">
      <c r="B1719" s="531"/>
      <c r="C1719" s="548" t="s">
        <v>207</v>
      </c>
      <c r="D1719" s="576">
        <f>E1719/$J$1695</f>
        <v>11566.25</v>
      </c>
      <c r="E1719" s="575">
        <v>500</v>
      </c>
      <c r="F1719" s="601"/>
      <c r="G1719" s="546"/>
      <c r="H1719" s="531"/>
      <c r="I1719" s="625"/>
      <c r="J1719" s="531"/>
      <c r="K1719" s="531"/>
      <c r="L1719" s="531"/>
      <c r="M1719" s="531"/>
    </row>
    <row r="1720" spans="2:13">
      <c r="B1720" s="531"/>
      <c r="C1720" s="548"/>
      <c r="D1720" s="576"/>
      <c r="E1720" s="575"/>
      <c r="F1720" s="547"/>
      <c r="G1720" s="546"/>
      <c r="H1720" s="531"/>
      <c r="I1720" s="625"/>
      <c r="J1720" s="531"/>
      <c r="K1720" s="531"/>
      <c r="L1720" s="531"/>
      <c r="M1720" s="531"/>
    </row>
    <row r="1721" spans="2:13">
      <c r="B1721" s="531"/>
      <c r="C1721" s="554" t="s">
        <v>113</v>
      </c>
      <c r="D1721" s="576"/>
      <c r="E1721" s="575"/>
      <c r="F1721" s="547"/>
      <c r="G1721" s="546"/>
      <c r="H1721" s="531"/>
      <c r="I1721" s="625"/>
      <c r="J1721" s="531"/>
      <c r="K1721" s="531"/>
      <c r="L1721" s="531"/>
      <c r="M1721" s="531"/>
    </row>
    <row r="1722" spans="2:13" ht="25.5">
      <c r="B1722" s="531"/>
      <c r="C1722" s="548" t="s">
        <v>403</v>
      </c>
      <c r="D1722" s="418">
        <v>1000</v>
      </c>
      <c r="E1722" s="539">
        <f t="shared" ref="E1722:E1727" si="93">D1722*$J$1695</f>
        <v>43.229222954717386</v>
      </c>
      <c r="F1722" s="547"/>
      <c r="G1722" s="546"/>
      <c r="H1722" s="531"/>
      <c r="I1722" s="531"/>
      <c r="J1722" s="531"/>
      <c r="K1722" s="531"/>
      <c r="L1722" s="531"/>
      <c r="M1722" s="531"/>
    </row>
    <row r="1723" spans="2:13" ht="25.5">
      <c r="B1723" s="531"/>
      <c r="C1723" s="548" t="s">
        <v>404</v>
      </c>
      <c r="D1723" s="418">
        <v>1000</v>
      </c>
      <c r="E1723" s="539">
        <f t="shared" si="93"/>
        <v>43.229222954717386</v>
      </c>
      <c r="F1723" s="547"/>
      <c r="G1723" s="546"/>
      <c r="H1723" s="531"/>
      <c r="I1723" s="531"/>
      <c r="J1723" s="531"/>
      <c r="K1723" s="531"/>
      <c r="L1723" s="531"/>
      <c r="M1723" s="531"/>
    </row>
    <row r="1724" spans="2:13" ht="25.5">
      <c r="B1724" s="531"/>
      <c r="C1724" s="548" t="s">
        <v>405</v>
      </c>
      <c r="D1724" s="418">
        <v>6736.5</v>
      </c>
      <c r="E1724" s="539">
        <f t="shared" si="93"/>
        <v>291.21366043445369</v>
      </c>
      <c r="F1724" s="547"/>
      <c r="G1724" s="546"/>
      <c r="H1724" s="531"/>
      <c r="I1724" s="531"/>
      <c r="J1724" s="531"/>
      <c r="K1724" s="531"/>
      <c r="L1724" s="531"/>
      <c r="M1724" s="531"/>
    </row>
    <row r="1725" spans="2:13" ht="25.5">
      <c r="B1725" s="531"/>
      <c r="C1725" s="548" t="s">
        <v>406</v>
      </c>
      <c r="D1725" s="418">
        <v>2300</v>
      </c>
      <c r="E1725" s="539">
        <f t="shared" si="93"/>
        <v>99.427212795849982</v>
      </c>
      <c r="F1725" s="547"/>
      <c r="G1725" s="546"/>
      <c r="H1725" s="531"/>
      <c r="I1725" s="531"/>
      <c r="J1725" s="531"/>
      <c r="K1725" s="531"/>
      <c r="L1725" s="531"/>
      <c r="M1725" s="531"/>
    </row>
    <row r="1726" spans="2:13" ht="25.5">
      <c r="B1726" s="531"/>
      <c r="C1726" s="548" t="s">
        <v>407</v>
      </c>
      <c r="D1726" s="418">
        <v>100</v>
      </c>
      <c r="E1726" s="539">
        <f t="shared" si="93"/>
        <v>4.3229222954717388</v>
      </c>
      <c r="F1726" s="547"/>
      <c r="G1726" s="546"/>
      <c r="H1726" s="531"/>
      <c r="I1726" s="531"/>
      <c r="J1726" s="531"/>
      <c r="K1726" s="531"/>
      <c r="L1726" s="531"/>
      <c r="M1726" s="531"/>
    </row>
    <row r="1727" spans="2:13" ht="25.5">
      <c r="B1727" s="531"/>
      <c r="C1727" s="548" t="s">
        <v>344</v>
      </c>
      <c r="D1727" s="418">
        <v>2000</v>
      </c>
      <c r="E1727" s="539">
        <f t="shared" si="93"/>
        <v>86.458445909434772</v>
      </c>
      <c r="F1727" s="547"/>
      <c r="G1727" s="546"/>
      <c r="H1727" s="531"/>
      <c r="I1727" s="531"/>
      <c r="J1727" s="531"/>
      <c r="K1727" s="531"/>
      <c r="L1727" s="531"/>
      <c r="M1727" s="531"/>
    </row>
    <row r="1728" spans="2:13" ht="25.5">
      <c r="B1728" s="531"/>
      <c r="C1728" s="548" t="s">
        <v>345</v>
      </c>
      <c r="D1728" s="576">
        <f>E1728/$J$1695</f>
        <v>11566.25</v>
      </c>
      <c r="E1728" s="575">
        <v>500</v>
      </c>
      <c r="F1728" s="547"/>
      <c r="G1728" s="546"/>
      <c r="H1728" s="531"/>
      <c r="I1728" s="531"/>
      <c r="J1728" s="531"/>
      <c r="K1728" s="531"/>
      <c r="L1728" s="531"/>
      <c r="M1728" s="531"/>
    </row>
    <row r="1729" spans="2:17" ht="25.5">
      <c r="B1729" s="531"/>
      <c r="C1729" s="548" t="s">
        <v>374</v>
      </c>
      <c r="D1729" s="576">
        <f>E1729/$J$1695</f>
        <v>4732.678175</v>
      </c>
      <c r="E1729" s="575">
        <v>204.59</v>
      </c>
      <c r="F1729" s="547"/>
      <c r="G1729" s="546"/>
      <c r="H1729" s="531"/>
      <c r="I1729" s="531"/>
      <c r="J1729" s="531"/>
      <c r="K1729" s="531"/>
      <c r="L1729" s="531"/>
      <c r="M1729" s="531"/>
    </row>
    <row r="1730" spans="2:17" s="531" customFormat="1" ht="11.25" customHeight="1">
      <c r="C1730" s="548" t="s">
        <v>196</v>
      </c>
      <c r="D1730" s="418">
        <v>-629.10799999999995</v>
      </c>
      <c r="E1730" s="539">
        <f>D1730*$J$1695</f>
        <v>-27.195849994596344</v>
      </c>
      <c r="F1730" s="547"/>
      <c r="G1730" s="546"/>
      <c r="N1730" s="421"/>
      <c r="O1730" s="421"/>
      <c r="P1730" s="421"/>
      <c r="Q1730" s="421"/>
    </row>
    <row r="1731" spans="2:17">
      <c r="B1731" s="531"/>
      <c r="C1731" s="548" t="s">
        <v>65</v>
      </c>
      <c r="D1731" s="418">
        <v>2538.4209999999998</v>
      </c>
      <c r="E1731" s="539">
        <f>D1731*$J$1695</f>
        <v>109.73396736193665</v>
      </c>
      <c r="F1731" s="547"/>
      <c r="G1731" s="546"/>
      <c r="H1731" s="531"/>
      <c r="I1731" s="531"/>
      <c r="J1731" s="531"/>
      <c r="K1731" s="531"/>
      <c r="L1731" s="531"/>
      <c r="M1731" s="531"/>
      <c r="N1731" s="531"/>
      <c r="O1731" s="531"/>
      <c r="P1731" s="531"/>
      <c r="Q1731" s="531"/>
    </row>
    <row r="1732" spans="2:17" s="531" customFormat="1">
      <c r="C1732" s="548"/>
      <c r="D1732" s="418"/>
      <c r="E1732" s="575"/>
      <c r="F1732" s="547"/>
      <c r="G1732" s="546"/>
      <c r="N1732" s="421"/>
      <c r="O1732" s="421"/>
      <c r="P1732" s="421"/>
      <c r="Q1732" s="421"/>
    </row>
    <row r="1733" spans="2:17" s="531" customFormat="1">
      <c r="C1733" s="536" t="s">
        <v>66</v>
      </c>
      <c r="D1733" s="535">
        <f>SUM(D1700:D1732)</f>
        <v>139619.239175</v>
      </c>
      <c r="E1733" s="534">
        <f>SUM(E1700:E1732)</f>
        <v>6035.6312190640865</v>
      </c>
      <c r="F1733" s="533">
        <f>+D1733/D1738</f>
        <v>9.7333553053070876</v>
      </c>
      <c r="G1733" s="532">
        <f>+E1733/E1738</f>
        <v>8.733419069677737</v>
      </c>
      <c r="J1733" s="624"/>
    </row>
    <row r="1734" spans="2:17" s="531" customFormat="1">
      <c r="C1734" s="545" t="s">
        <v>67</v>
      </c>
      <c r="D1734" s="544">
        <f>Model!AC123</f>
        <v>14857.313</v>
      </c>
      <c r="E1734" s="539">
        <f>D1734*$J$1695</f>
        <v>642.27009618502109</v>
      </c>
      <c r="F1734" s="543"/>
      <c r="G1734" s="542"/>
      <c r="J1734" s="624"/>
    </row>
    <row r="1735" spans="2:17" s="531" customFormat="1">
      <c r="C1735" s="536" t="s">
        <v>68</v>
      </c>
      <c r="D1735" s="535">
        <f>+D1733-D1734</f>
        <v>124761.926175</v>
      </c>
      <c r="E1735" s="534">
        <f>+E1733-E1734</f>
        <v>5393.3611228790651</v>
      </c>
      <c r="F1735" s="533">
        <f>+D1735/D1738</f>
        <v>8.6975990072090816</v>
      </c>
      <c r="G1735" s="532">
        <f>+E1735/E1738</f>
        <v>7.8040690642982149</v>
      </c>
    </row>
    <row r="1736" spans="2:17" s="531" customFormat="1">
      <c r="C1736" s="541" t="s">
        <v>69</v>
      </c>
      <c r="D1736" s="540">
        <f>Model!AC128</f>
        <v>160957.61199999999</v>
      </c>
      <c r="E1736" s="539">
        <f>D1736*$J$1695</f>
        <v>6958.0724954068946</v>
      </c>
      <c r="F1736" s="538"/>
      <c r="G1736" s="537"/>
    </row>
    <row r="1737" spans="2:17" s="531" customFormat="1">
      <c r="C1737" s="536" t="s">
        <v>70</v>
      </c>
      <c r="D1737" s="535">
        <f>D1733+D1736</f>
        <v>300576.85117499996</v>
      </c>
      <c r="E1737" s="534">
        <f>E1733+E1736</f>
        <v>12993.703714470981</v>
      </c>
      <c r="F1737" s="533">
        <f>D1737/D1738</f>
        <v>20.954284712651134</v>
      </c>
      <c r="G1737" s="532">
        <f>E1737/E1738</f>
        <v>18.801589375982445</v>
      </c>
    </row>
    <row r="1738" spans="2:17" s="531" customFormat="1">
      <c r="C1738" s="530" t="s">
        <v>71</v>
      </c>
      <c r="D1738" s="529">
        <f>Model!AC102</f>
        <v>14344.409999999996</v>
      </c>
      <c r="E1738" s="528">
        <f>D1738*$J$1696</f>
        <v>691.09602675768554</v>
      </c>
      <c r="F1738" s="604"/>
      <c r="G1738" s="605"/>
    </row>
    <row r="1739" spans="2:17" s="531" customFormat="1"/>
    <row r="1740" spans="2:17" s="531" customFormat="1">
      <c r="C1740" s="606" t="s">
        <v>72</v>
      </c>
      <c r="D1740" s="623">
        <f>D1733-Model!AC126</f>
        <v>1.7499999376013875E-4</v>
      </c>
      <c r="E1740" s="626"/>
      <c r="I1740" s="608"/>
    </row>
    <row r="1741" spans="2:17" s="531" customFormat="1" ht="13.5" thickBot="1">
      <c r="D1741" s="609"/>
      <c r="E1741" s="609"/>
      <c r="G1741" s="610"/>
    </row>
    <row r="1742" spans="2:17" s="531" customFormat="1">
      <c r="C1742" s="611" t="s">
        <v>414</v>
      </c>
      <c r="D1742" s="612" t="s">
        <v>130</v>
      </c>
      <c r="E1742" s="613" t="s">
        <v>131</v>
      </c>
      <c r="G1742" s="614"/>
    </row>
    <row r="1743" spans="2:17" s="531" customFormat="1">
      <c r="C1743" s="615" t="s">
        <v>198</v>
      </c>
      <c r="D1743" s="579">
        <f>6750+(205/J1695)</f>
        <v>11492.1625</v>
      </c>
      <c r="E1743" s="519">
        <f>D1743*$J$1695</f>
        <v>496.79725494434234</v>
      </c>
    </row>
    <row r="1744" spans="2:17" s="531" customFormat="1">
      <c r="C1744" s="615" t="s">
        <v>74</v>
      </c>
      <c r="D1744" s="520">
        <f>D1734</f>
        <v>14857.313</v>
      </c>
      <c r="E1744" s="519">
        <f>D1744*$J$1695</f>
        <v>642.27009618502109</v>
      </c>
    </row>
    <row r="1745" spans="2:13" s="531" customFormat="1" ht="13.5" thickBot="1">
      <c r="C1745" s="616" t="s">
        <v>75</v>
      </c>
      <c r="D1745" s="517">
        <f>SUM(D1743:D1744)</f>
        <v>26349.4755</v>
      </c>
      <c r="E1745" s="516">
        <f>SUM(E1743:E1744)</f>
        <v>1139.0673511293635</v>
      </c>
    </row>
    <row r="1746" spans="2:13" s="531" customFormat="1">
      <c r="K1746" s="421"/>
      <c r="L1746" s="421"/>
      <c r="M1746" s="421"/>
    </row>
    <row r="1747" spans="2:13" s="531" customFormat="1" ht="13.5" thickBot="1"/>
    <row r="1748" spans="2:13" s="531" customFormat="1">
      <c r="C1748" s="617" t="s">
        <v>415</v>
      </c>
      <c r="D1748" s="612" t="s">
        <v>130</v>
      </c>
      <c r="E1748" s="612" t="s">
        <v>133</v>
      </c>
    </row>
    <row r="1749" spans="2:13" s="531" customFormat="1">
      <c r="C1749" s="618"/>
      <c r="D1749" s="619"/>
      <c r="E1749" s="619"/>
    </row>
    <row r="1750" spans="2:13" s="531" customFormat="1">
      <c r="C1750" s="618" t="s">
        <v>241</v>
      </c>
      <c r="D1750" s="592">
        <f>Model!AC119</f>
        <v>6573.32</v>
      </c>
      <c r="E1750" s="591">
        <f>+D1750/$D$1756</f>
        <v>4.7733087821474174E-2</v>
      </c>
    </row>
    <row r="1751" spans="2:13" s="531" customFormat="1">
      <c r="C1751" s="618" t="s">
        <v>242</v>
      </c>
      <c r="D1751" s="593">
        <v>0</v>
      </c>
      <c r="E1751" s="591">
        <f>+D1751/$D$1756</f>
        <v>0</v>
      </c>
    </row>
    <row r="1752" spans="2:13" s="531" customFormat="1">
      <c r="C1752" s="618" t="s">
        <v>243</v>
      </c>
      <c r="D1752" s="592">
        <f>D1713</f>
        <v>8100</v>
      </c>
      <c r="E1752" s="591">
        <f>+D1752/$D$1756</f>
        <v>5.8819289393174351E-2</v>
      </c>
    </row>
    <row r="1753" spans="2:13" s="531" customFormat="1">
      <c r="C1753" s="618" t="s">
        <v>244</v>
      </c>
      <c r="D1753" s="592">
        <f>D1700+D1702+D1703+D1708+D1714+D1728+D1705</f>
        <v>23463.268</v>
      </c>
      <c r="E1753" s="591">
        <f>+D1753/$D$1756</f>
        <v>0.17038182106192681</v>
      </c>
    </row>
    <row r="1754" spans="2:13" s="531" customFormat="1">
      <c r="C1754" s="618" t="s">
        <v>245</v>
      </c>
      <c r="D1754" s="592">
        <f>+SUM(D1699:D1729)-SUM(D1750:D1753)</f>
        <v>99573.338174999997</v>
      </c>
      <c r="E1754" s="591">
        <f>+D1754/$D$1756</f>
        <v>0.72306580172342461</v>
      </c>
    </row>
    <row r="1755" spans="2:13" s="531" customFormat="1" ht="13.5" thickBot="1">
      <c r="C1755" s="618"/>
      <c r="D1755" s="620"/>
      <c r="E1755" s="591"/>
    </row>
    <row r="1756" spans="2:13" s="531" customFormat="1" ht="13.5" thickBot="1">
      <c r="C1756" s="621" t="s">
        <v>77</v>
      </c>
      <c r="D1756" s="594">
        <f>+SUM(D1750:D1755)</f>
        <v>137709.926175</v>
      </c>
      <c r="E1756" s="596">
        <f>+SUM(E1750:E1755)</f>
        <v>1</v>
      </c>
    </row>
    <row r="1757" spans="2:13" s="531" customFormat="1">
      <c r="B1757" s="421"/>
      <c r="C1757" s="622"/>
      <c r="D1757" s="509">
        <f>+D1756+D1730+D1731-D1733</f>
        <v>0</v>
      </c>
      <c r="E1757" s="508"/>
    </row>
    <row r="1758" spans="2:13" s="531" customFormat="1">
      <c r="B1758" s="421"/>
      <c r="C1758" s="622"/>
      <c r="D1758" s="509"/>
      <c r="E1758" s="508"/>
      <c r="F1758" s="421"/>
      <c r="G1758" s="421"/>
      <c r="H1758" s="421"/>
      <c r="I1758" s="421"/>
      <c r="J1758" s="421"/>
    </row>
    <row r="1759" spans="2:13" s="531" customFormat="1">
      <c r="B1759" s="421"/>
      <c r="C1759" s="622"/>
      <c r="D1759" s="509"/>
      <c r="E1759" s="508"/>
      <c r="F1759" s="421"/>
      <c r="G1759" s="421"/>
      <c r="H1759" s="421"/>
      <c r="I1759" s="421"/>
      <c r="J1759" s="421"/>
    </row>
    <row r="1760" spans="2:13" s="531" customFormat="1">
      <c r="B1760" s="557" t="s">
        <v>416</v>
      </c>
      <c r="C1760" s="421"/>
      <c r="D1760" s="421"/>
      <c r="E1760" s="421"/>
      <c r="F1760" s="421"/>
      <c r="G1760" s="421"/>
      <c r="H1760" s="421"/>
      <c r="I1760" s="421"/>
      <c r="J1760" s="421"/>
    </row>
    <row r="1761" spans="1:17" s="531" customFormat="1">
      <c r="I1761" s="557" t="s">
        <v>417</v>
      </c>
      <c r="J1761" s="556">
        <f>Model!AB203</f>
        <v>4.1177173022363324E-2</v>
      </c>
    </row>
    <row r="1762" spans="1:17" s="531" customFormat="1">
      <c r="C1762" s="560"/>
      <c r="D1762" s="790" t="s">
        <v>418</v>
      </c>
      <c r="E1762" s="791"/>
      <c r="F1762" s="559" t="s">
        <v>20</v>
      </c>
      <c r="G1762" s="558" t="s">
        <v>21</v>
      </c>
      <c r="I1762" s="557" t="s">
        <v>419</v>
      </c>
      <c r="J1762" s="556">
        <f>AVERAGE(Model!Y202:AB202)</f>
        <v>5.0712970264582949E-2</v>
      </c>
    </row>
    <row r="1763" spans="1:17" s="531" customFormat="1">
      <c r="C1763" s="554"/>
      <c r="D1763" s="555" t="s">
        <v>18</v>
      </c>
      <c r="E1763" s="552" t="s">
        <v>19</v>
      </c>
      <c r="F1763" s="550"/>
      <c r="G1763" s="549"/>
    </row>
    <row r="1764" spans="1:17" s="531" customFormat="1">
      <c r="C1764" s="554"/>
      <c r="D1764" s="553"/>
      <c r="E1764" s="552"/>
      <c r="F1764" s="550"/>
      <c r="G1764" s="549"/>
    </row>
    <row r="1765" spans="1:17" s="531" customFormat="1">
      <c r="C1765" s="554" t="s">
        <v>92</v>
      </c>
      <c r="D1765" s="553"/>
      <c r="E1765" s="552"/>
      <c r="F1765" s="550"/>
      <c r="G1765" s="549"/>
    </row>
    <row r="1766" spans="1:17" s="531" customFormat="1" ht="12.75" customHeight="1">
      <c r="C1766" s="548" t="s">
        <v>304</v>
      </c>
      <c r="D1766" s="418">
        <v>2520</v>
      </c>
      <c r="E1766" s="539">
        <f>D1766*$J$1761</f>
        <v>103.76647601635558</v>
      </c>
      <c r="F1766" s="598"/>
      <c r="G1766" s="546"/>
    </row>
    <row r="1767" spans="1:17" s="531" customFormat="1" ht="25.5">
      <c r="C1767" s="548" t="s">
        <v>289</v>
      </c>
      <c r="D1767" s="418">
        <v>250.68700000000001</v>
      </c>
      <c r="E1767" s="539">
        <f>D1767*$J$1761</f>
        <v>10.322581973457195</v>
      </c>
      <c r="F1767" s="550"/>
      <c r="G1767" s="549"/>
    </row>
    <row r="1768" spans="1:17" ht="25.5">
      <c r="A1768" s="531"/>
      <c r="B1768" s="531"/>
      <c r="C1768" s="548" t="s">
        <v>289</v>
      </c>
      <c r="D1768" s="418">
        <v>520.44600000000003</v>
      </c>
      <c r="E1768" s="539">
        <f>D1768*$J$1761</f>
        <v>21.430494990796905</v>
      </c>
      <c r="F1768" s="550"/>
      <c r="G1768" s="549"/>
      <c r="H1768" s="531"/>
      <c r="I1768" s="531"/>
      <c r="J1768" s="531"/>
      <c r="K1768" s="531"/>
      <c r="L1768" s="531"/>
      <c r="M1768" s="531"/>
      <c r="N1768" s="531"/>
      <c r="O1768" s="531"/>
      <c r="P1768" s="531"/>
      <c r="Q1768" s="531"/>
    </row>
    <row r="1769" spans="1:17" ht="25.5">
      <c r="B1769" s="531"/>
      <c r="C1769" s="548" t="s">
        <v>381</v>
      </c>
      <c r="D1769" s="551">
        <v>1320</v>
      </c>
      <c r="E1769" s="539">
        <f>D1769*$J$1761</f>
        <v>54.35386838951959</v>
      </c>
      <c r="F1769" s="550"/>
      <c r="G1769" s="549"/>
      <c r="H1769" s="531"/>
      <c r="I1769" s="531"/>
      <c r="J1769" s="531"/>
      <c r="K1769" s="531"/>
      <c r="L1769" s="531"/>
      <c r="M1769" s="531"/>
    </row>
    <row r="1770" spans="1:17" ht="25.5">
      <c r="B1770" s="531"/>
      <c r="C1770" s="548" t="s">
        <v>402</v>
      </c>
      <c r="D1770" s="551">
        <v>122.2</v>
      </c>
      <c r="E1770" s="539">
        <f>D1770*$J$1761</f>
        <v>5.0318505433327987</v>
      </c>
      <c r="F1770" s="550"/>
      <c r="G1770" s="549"/>
      <c r="H1770" s="531"/>
      <c r="I1770" s="531"/>
      <c r="J1770" s="531"/>
      <c r="K1770" s="531"/>
      <c r="L1770" s="531"/>
      <c r="M1770" s="531"/>
    </row>
    <row r="1771" spans="1:17">
      <c r="B1771" s="531"/>
      <c r="C1771" s="548"/>
      <c r="D1771" s="551"/>
      <c r="E1771" s="539"/>
      <c r="F1771" s="550"/>
      <c r="G1771" s="549"/>
      <c r="H1771" s="531"/>
      <c r="I1771" s="531"/>
      <c r="J1771" s="531"/>
      <c r="K1771" s="531"/>
      <c r="L1771" s="531"/>
      <c r="M1771" s="531"/>
    </row>
    <row r="1772" spans="1:17">
      <c r="B1772" s="531"/>
      <c r="C1772" s="554" t="s">
        <v>97</v>
      </c>
      <c r="D1772" s="551"/>
      <c r="E1772" s="539"/>
      <c r="F1772" s="550"/>
      <c r="G1772" s="549"/>
      <c r="H1772" s="531"/>
      <c r="I1772" s="531"/>
      <c r="J1772" s="531"/>
      <c r="K1772" s="531"/>
      <c r="L1772" s="531"/>
      <c r="M1772" s="531"/>
    </row>
    <row r="1773" spans="1:17" ht="25.5">
      <c r="B1773" s="531"/>
      <c r="C1773" s="548" t="s">
        <v>290</v>
      </c>
      <c r="D1773" s="418">
        <v>3120.9</v>
      </c>
      <c r="E1773" s="539">
        <f t="shared" ref="E1773:E1779" si="94">D1773*$J$1761</f>
        <v>128.50983928549371</v>
      </c>
      <c r="F1773" s="601"/>
      <c r="G1773" s="546"/>
      <c r="H1773" s="531"/>
      <c r="I1773" s="531"/>
      <c r="J1773" s="531"/>
      <c r="K1773" s="531"/>
      <c r="L1773" s="531"/>
      <c r="M1773" s="531"/>
    </row>
    <row r="1774" spans="1:17" ht="25.5">
      <c r="B1774" s="531"/>
      <c r="C1774" s="548" t="s">
        <v>343</v>
      </c>
      <c r="D1774" s="418">
        <v>7500</v>
      </c>
      <c r="E1774" s="539">
        <f t="shared" si="94"/>
        <v>308.82879766772493</v>
      </c>
      <c r="F1774" s="601"/>
      <c r="G1774" s="549"/>
      <c r="H1774" s="531"/>
      <c r="I1774" s="531"/>
      <c r="J1774" s="531"/>
      <c r="K1774" s="531"/>
      <c r="L1774" s="531"/>
      <c r="M1774" s="531"/>
    </row>
    <row r="1775" spans="1:17" ht="25.5">
      <c r="B1775" s="531"/>
      <c r="C1775" s="548" t="s">
        <v>388</v>
      </c>
      <c r="D1775" s="551">
        <v>2766.6979999999999</v>
      </c>
      <c r="E1775" s="539">
        <f t="shared" si="94"/>
        <v>113.92480224662656</v>
      </c>
      <c r="F1775" s="601"/>
      <c r="G1775" s="549"/>
      <c r="H1775" s="531"/>
      <c r="I1775" s="531"/>
      <c r="J1775" s="531"/>
      <c r="K1775" s="531"/>
      <c r="L1775" s="531"/>
      <c r="M1775" s="531"/>
    </row>
    <row r="1776" spans="1:17" ht="25.5">
      <c r="B1776" s="531"/>
      <c r="C1776" s="548" t="s">
        <v>168</v>
      </c>
      <c r="D1776" s="418">
        <v>2975.8310000000001</v>
      </c>
      <c r="E1776" s="539">
        <f t="shared" si="94"/>
        <v>122.53630797231247</v>
      </c>
      <c r="F1776" s="601"/>
      <c r="G1776" s="546"/>
      <c r="H1776" s="531"/>
      <c r="I1776" s="531"/>
      <c r="J1776" s="531"/>
      <c r="K1776" s="531"/>
      <c r="L1776" s="531"/>
      <c r="M1776" s="531"/>
    </row>
    <row r="1777" spans="2:17" ht="25.5">
      <c r="B1777" s="531"/>
      <c r="C1777" s="548" t="s">
        <v>169</v>
      </c>
      <c r="D1777" s="418">
        <v>4799.6000000000004</v>
      </c>
      <c r="E1777" s="539">
        <f t="shared" si="94"/>
        <v>197.63395963813502</v>
      </c>
      <c r="F1777" s="601"/>
      <c r="G1777" s="549"/>
      <c r="H1777" s="531"/>
      <c r="I1777" s="531"/>
      <c r="J1777" s="531"/>
      <c r="K1777" s="531"/>
      <c r="L1777" s="531"/>
      <c r="M1777" s="531"/>
    </row>
    <row r="1778" spans="2:17" ht="25.5">
      <c r="B1778" s="531"/>
      <c r="C1778" s="548" t="s">
        <v>373</v>
      </c>
      <c r="D1778" s="551">
        <v>8100</v>
      </c>
      <c r="E1778" s="539">
        <f t="shared" si="94"/>
        <v>333.53510148114293</v>
      </c>
      <c r="F1778" s="601"/>
      <c r="G1778" s="549"/>
      <c r="H1778" s="531"/>
      <c r="I1778" s="531"/>
      <c r="J1778" s="531"/>
      <c r="K1778" s="531"/>
      <c r="L1778" s="531"/>
      <c r="M1778" s="531"/>
    </row>
    <row r="1779" spans="2:17" ht="25.5">
      <c r="B1779" s="531"/>
      <c r="C1779" s="548" t="s">
        <v>395</v>
      </c>
      <c r="D1779" s="418">
        <v>5400.4</v>
      </c>
      <c r="E1779" s="539">
        <f t="shared" si="94"/>
        <v>222.37320518997089</v>
      </c>
      <c r="F1779" s="601"/>
      <c r="G1779" s="546"/>
      <c r="H1779" s="531"/>
      <c r="I1779" s="531"/>
      <c r="J1779" s="531"/>
      <c r="K1779" s="531"/>
      <c r="L1779" s="531"/>
      <c r="M1779" s="531"/>
    </row>
    <row r="1780" spans="2:17">
      <c r="B1780" s="531"/>
      <c r="C1780" s="548" t="s">
        <v>175</v>
      </c>
      <c r="D1780" s="576">
        <f>E1780/$J$1761</f>
        <v>14571.18</v>
      </c>
      <c r="E1780" s="575">
        <v>600</v>
      </c>
      <c r="F1780" s="601"/>
      <c r="G1780" s="546"/>
      <c r="H1780" s="531"/>
      <c r="I1780" s="531"/>
      <c r="J1780" s="531"/>
      <c r="K1780" s="531"/>
      <c r="L1780" s="531"/>
      <c r="M1780" s="531"/>
    </row>
    <row r="1781" spans="2:17">
      <c r="B1781" s="531"/>
      <c r="C1781" s="548" t="s">
        <v>176</v>
      </c>
      <c r="D1781" s="576">
        <f>E1781/$J$1761</f>
        <v>9714.119999999999</v>
      </c>
      <c r="E1781" s="575">
        <v>400</v>
      </c>
      <c r="F1781" s="601"/>
      <c r="G1781" s="546"/>
      <c r="H1781" s="531"/>
      <c r="I1781" s="531"/>
      <c r="J1781" s="531"/>
      <c r="K1781" s="531"/>
      <c r="L1781" s="531"/>
      <c r="M1781" s="531"/>
    </row>
    <row r="1782" spans="2:17">
      <c r="B1782" s="531"/>
      <c r="C1782" s="548" t="s">
        <v>277</v>
      </c>
      <c r="D1782" s="576">
        <f>E1782/$J$1761</f>
        <v>14571.18</v>
      </c>
      <c r="E1782" s="575">
        <v>600</v>
      </c>
      <c r="F1782" s="601"/>
      <c r="G1782" s="549"/>
      <c r="H1782" s="531"/>
      <c r="I1782" s="531"/>
      <c r="J1782" s="531"/>
      <c r="K1782" s="531"/>
      <c r="L1782" s="531"/>
      <c r="M1782" s="531"/>
    </row>
    <row r="1783" spans="2:17">
      <c r="B1783" s="531"/>
      <c r="C1783" s="548" t="s">
        <v>178</v>
      </c>
      <c r="D1783" s="576">
        <f>E1783/$J$1761</f>
        <v>16999.71</v>
      </c>
      <c r="E1783" s="575">
        <v>700</v>
      </c>
      <c r="F1783" s="601"/>
      <c r="G1783" s="549"/>
      <c r="H1783" s="531"/>
      <c r="I1783" s="625"/>
      <c r="J1783" s="531"/>
      <c r="K1783" s="531"/>
      <c r="L1783" s="531"/>
      <c r="M1783" s="531"/>
    </row>
    <row r="1784" spans="2:17">
      <c r="B1784" s="531"/>
      <c r="C1784" s="548" t="s">
        <v>207</v>
      </c>
      <c r="D1784" s="576">
        <f>E1784/$J$1761</f>
        <v>12142.65</v>
      </c>
      <c r="E1784" s="575">
        <v>500</v>
      </c>
      <c r="F1784" s="601"/>
      <c r="G1784" s="546"/>
      <c r="H1784" s="531"/>
      <c r="I1784" s="625"/>
      <c r="J1784" s="531"/>
      <c r="K1784" s="531"/>
      <c r="L1784" s="531"/>
      <c r="M1784" s="531"/>
    </row>
    <row r="1785" spans="2:17">
      <c r="B1785" s="531"/>
      <c r="C1785" s="548"/>
      <c r="D1785" s="576"/>
      <c r="E1785" s="575"/>
      <c r="F1785" s="547"/>
      <c r="G1785" s="546"/>
      <c r="H1785" s="531"/>
      <c r="I1785" s="625"/>
      <c r="J1785" s="531"/>
      <c r="K1785" s="531"/>
      <c r="L1785" s="531"/>
      <c r="M1785" s="531"/>
    </row>
    <row r="1786" spans="2:17">
      <c r="B1786" s="531"/>
      <c r="C1786" s="554" t="s">
        <v>113</v>
      </c>
      <c r="D1786" s="576"/>
      <c r="E1786" s="575"/>
      <c r="F1786" s="547"/>
      <c r="G1786" s="546"/>
      <c r="H1786" s="531"/>
      <c r="I1786" s="625"/>
      <c r="J1786" s="531"/>
      <c r="K1786" s="531"/>
      <c r="L1786" s="531"/>
      <c r="M1786" s="531"/>
    </row>
    <row r="1787" spans="2:17" ht="25.5">
      <c r="B1787" s="531"/>
      <c r="C1787" s="548" t="s">
        <v>420</v>
      </c>
      <c r="D1787" s="418">
        <v>100</v>
      </c>
      <c r="E1787" s="539">
        <f t="shared" ref="E1787:E1792" si="95">D1787*$J$1761</f>
        <v>4.1177173022363327</v>
      </c>
      <c r="F1787" s="547"/>
      <c r="G1787" s="546"/>
      <c r="H1787" s="531"/>
      <c r="I1787" s="531"/>
      <c r="J1787" s="531"/>
      <c r="K1787" s="531"/>
      <c r="L1787" s="531"/>
      <c r="M1787" s="531"/>
    </row>
    <row r="1788" spans="2:17" ht="25.5">
      <c r="B1788" s="531"/>
      <c r="C1788" s="548" t="s">
        <v>421</v>
      </c>
      <c r="D1788" s="418">
        <v>4197.8999999999996</v>
      </c>
      <c r="E1788" s="539">
        <f t="shared" si="95"/>
        <v>172.85765463057899</v>
      </c>
      <c r="F1788" s="547"/>
      <c r="G1788" s="546"/>
      <c r="H1788" s="531"/>
      <c r="I1788" s="531"/>
      <c r="J1788" s="531"/>
      <c r="K1788" s="531"/>
      <c r="L1788" s="531"/>
      <c r="M1788" s="531"/>
    </row>
    <row r="1789" spans="2:17" s="531" customFormat="1" ht="11.25" customHeight="1">
      <c r="C1789" s="548" t="s">
        <v>422</v>
      </c>
      <c r="D1789" s="418">
        <v>1000</v>
      </c>
      <c r="E1789" s="539">
        <f t="shared" si="95"/>
        <v>41.177173022363327</v>
      </c>
      <c r="F1789" s="547"/>
      <c r="G1789" s="546"/>
      <c r="N1789" s="421"/>
      <c r="O1789" s="421"/>
      <c r="P1789" s="421"/>
      <c r="Q1789" s="421"/>
    </row>
    <row r="1790" spans="2:17" s="531" customFormat="1" ht="25.5">
      <c r="C1790" s="548" t="s">
        <v>423</v>
      </c>
      <c r="D1790" s="418">
        <v>500</v>
      </c>
      <c r="E1790" s="539">
        <f t="shared" si="95"/>
        <v>20.588586511181663</v>
      </c>
      <c r="F1790" s="547"/>
      <c r="G1790" s="546"/>
    </row>
    <row r="1791" spans="2:17" s="531" customFormat="1" ht="25.5">
      <c r="C1791" s="548" t="s">
        <v>423</v>
      </c>
      <c r="D1791" s="418">
        <v>1800</v>
      </c>
      <c r="E1791" s="539">
        <f t="shared" si="95"/>
        <v>74.118911440253981</v>
      </c>
      <c r="F1791" s="547"/>
      <c r="G1791" s="546"/>
    </row>
    <row r="1792" spans="2:17" s="531" customFormat="1" ht="25.5">
      <c r="C1792" s="548" t="s">
        <v>424</v>
      </c>
      <c r="D1792" s="418">
        <v>2000</v>
      </c>
      <c r="E1792" s="539">
        <f t="shared" si="95"/>
        <v>82.354346044726654</v>
      </c>
      <c r="F1792" s="547"/>
      <c r="G1792" s="546"/>
    </row>
    <row r="1793" spans="3:10" s="531" customFormat="1" ht="25.5">
      <c r="C1793" s="548" t="s">
        <v>345</v>
      </c>
      <c r="D1793" s="576">
        <f>E1793/$J$1761</f>
        <v>12142.65</v>
      </c>
      <c r="E1793" s="575">
        <v>500</v>
      </c>
      <c r="F1793" s="547"/>
      <c r="G1793" s="546"/>
    </row>
    <row r="1794" spans="3:10" s="531" customFormat="1">
      <c r="C1794" s="548" t="s">
        <v>196</v>
      </c>
      <c r="D1794" s="418">
        <v>-657.053</v>
      </c>
      <c r="E1794" s="539">
        <f>D1794*$J$1761</f>
        <v>-27.055585065862889</v>
      </c>
      <c r="F1794" s="547"/>
      <c r="G1794" s="546"/>
    </row>
    <row r="1795" spans="3:10" s="531" customFormat="1">
      <c r="C1795" s="548" t="s">
        <v>65</v>
      </c>
      <c r="D1795" s="418">
        <v>2863.2460000000001</v>
      </c>
      <c r="E1795" s="539">
        <f>D1795*$J$1761</f>
        <v>117.90037594758971</v>
      </c>
      <c r="F1795" s="547"/>
      <c r="G1795" s="546"/>
    </row>
    <row r="1796" spans="3:10" s="531" customFormat="1">
      <c r="C1796" s="548"/>
      <c r="D1796" s="418"/>
      <c r="E1796" s="575"/>
      <c r="F1796" s="547"/>
      <c r="G1796" s="546"/>
    </row>
    <row r="1797" spans="3:10" s="531" customFormat="1">
      <c r="C1797" s="536" t="s">
        <v>66</v>
      </c>
      <c r="D1797" s="535">
        <f>SUM(D1766:D1796)</f>
        <v>131342.34499999997</v>
      </c>
      <c r="E1797" s="534">
        <f>SUM(E1766:E1796)</f>
        <v>5408.3064652279363</v>
      </c>
      <c r="F1797" s="533">
        <f>+D1797/D1802</f>
        <v>8.8649840596474405</v>
      </c>
      <c r="G1797" s="532">
        <f>+E1797/E1802</f>
        <v>7.1980596001399979</v>
      </c>
      <c r="J1797" s="624"/>
    </row>
    <row r="1798" spans="3:10" s="531" customFormat="1">
      <c r="C1798" s="545" t="s">
        <v>67</v>
      </c>
      <c r="D1798" s="544">
        <f>Model!AB123</f>
        <v>4068.9540000000002</v>
      </c>
      <c r="E1798" s="539">
        <f>D1798*$J$1761</f>
        <v>167.54802287803736</v>
      </c>
      <c r="F1798" s="543"/>
      <c r="G1798" s="542"/>
      <c r="J1798" s="624"/>
    </row>
    <row r="1799" spans="3:10" s="531" customFormat="1">
      <c r="C1799" s="536" t="s">
        <v>68</v>
      </c>
      <c r="D1799" s="535">
        <f>+D1797-D1798</f>
        <v>127273.39099999997</v>
      </c>
      <c r="E1799" s="534">
        <f>+E1797-E1798</f>
        <v>5240.7584423498993</v>
      </c>
      <c r="F1799" s="533">
        <f>+D1799/D1802</f>
        <v>8.5903490030749481</v>
      </c>
      <c r="G1799" s="532">
        <f>+E1799/E1802</f>
        <v>6.9750654591245631</v>
      </c>
    </row>
    <row r="1800" spans="3:10" s="531" customFormat="1">
      <c r="C1800" s="541" t="s">
        <v>69</v>
      </c>
      <c r="D1800" s="540">
        <f>Model!AB128</f>
        <v>149374.728</v>
      </c>
      <c r="E1800" s="539">
        <f>D1800*$J$1761</f>
        <v>6150.8290200244592</v>
      </c>
      <c r="F1800" s="538"/>
      <c r="G1800" s="537"/>
    </row>
    <row r="1801" spans="3:10" s="531" customFormat="1">
      <c r="C1801" s="536" t="s">
        <v>70</v>
      </c>
      <c r="D1801" s="535">
        <f>D1797+D1800</f>
        <v>280717.07299999997</v>
      </c>
      <c r="E1801" s="534">
        <f>E1797+E1800</f>
        <v>11559.135485252395</v>
      </c>
      <c r="F1801" s="533">
        <f>D1801/D1802</f>
        <v>18.947068269687794</v>
      </c>
      <c r="G1801" s="532">
        <f>E1801/E1802</f>
        <v>15.384362310805784</v>
      </c>
    </row>
    <row r="1802" spans="3:10" s="531" customFormat="1">
      <c r="C1802" s="530" t="s">
        <v>71</v>
      </c>
      <c r="D1802" s="529">
        <f>Model!AB102</f>
        <v>14815.857999999997</v>
      </c>
      <c r="E1802" s="528">
        <f>D1802*$J$1762</f>
        <v>751.35616619828318</v>
      </c>
      <c r="F1802" s="604"/>
      <c r="G1802" s="605"/>
    </row>
    <row r="1803" spans="3:10" s="531" customFormat="1"/>
    <row r="1804" spans="3:10" s="531" customFormat="1">
      <c r="C1804" s="606" t="s">
        <v>72</v>
      </c>
      <c r="D1804" s="623">
        <f>D1797-Model!AB126</f>
        <v>-1.0000000183936208E-3</v>
      </c>
      <c r="E1804" s="626"/>
      <c r="I1804" s="608"/>
    </row>
    <row r="1805" spans="3:10" s="531" customFormat="1" ht="13.5" thickBot="1">
      <c r="D1805" s="609"/>
      <c r="E1805" s="609"/>
      <c r="G1805" s="610"/>
    </row>
    <row r="1806" spans="3:10" s="531" customFormat="1">
      <c r="C1806" s="611" t="s">
        <v>425</v>
      </c>
      <c r="D1806" s="612" t="s">
        <v>130</v>
      </c>
      <c r="E1806" s="613" t="s">
        <v>131</v>
      </c>
      <c r="G1806" s="614"/>
    </row>
    <row r="1807" spans="3:10" s="531" customFormat="1">
      <c r="C1807" s="615" t="s">
        <v>198</v>
      </c>
      <c r="D1807" s="579">
        <f>6750+(205/J1761)</f>
        <v>11728.486499999999</v>
      </c>
      <c r="E1807" s="519">
        <f>D1807*$J$1761</f>
        <v>482.9459179009524</v>
      </c>
    </row>
    <row r="1808" spans="3:10" s="531" customFormat="1">
      <c r="C1808" s="615" t="s">
        <v>74</v>
      </c>
      <c r="D1808" s="520">
        <f>D1798</f>
        <v>4068.9540000000002</v>
      </c>
      <c r="E1808" s="519">
        <f>D1808*$J$1761</f>
        <v>167.54802287803736</v>
      </c>
    </row>
    <row r="1809" spans="2:10" s="531" customFormat="1" ht="13.5" thickBot="1">
      <c r="C1809" s="616" t="s">
        <v>75</v>
      </c>
      <c r="D1809" s="517">
        <f>SUM(D1807:D1808)</f>
        <v>15797.440499999999</v>
      </c>
      <c r="E1809" s="516">
        <f>SUM(E1807:E1808)</f>
        <v>650.49394077898978</v>
      </c>
    </row>
    <row r="1810" spans="2:10" s="531" customFormat="1"/>
    <row r="1811" spans="2:10" s="531" customFormat="1" ht="13.5" thickBot="1"/>
    <row r="1812" spans="2:10" s="531" customFormat="1">
      <c r="C1812" s="617" t="s">
        <v>426</v>
      </c>
      <c r="D1812" s="612" t="s">
        <v>130</v>
      </c>
      <c r="E1812" s="612" t="s">
        <v>133</v>
      </c>
    </row>
    <row r="1813" spans="2:10" s="531" customFormat="1">
      <c r="C1813" s="618"/>
      <c r="D1813" s="619"/>
      <c r="E1813" s="619"/>
    </row>
    <row r="1814" spans="2:10" s="531" customFormat="1">
      <c r="C1814" s="618" t="s">
        <v>241</v>
      </c>
      <c r="D1814" s="592">
        <f>Model!AB119</f>
        <v>5567.61</v>
      </c>
      <c r="E1814" s="591">
        <f>+D1814/$D$1820</f>
        <v>4.3114262844071743E-2</v>
      </c>
    </row>
    <row r="1815" spans="2:10" s="531" customFormat="1">
      <c r="C1815" s="618" t="s">
        <v>242</v>
      </c>
      <c r="D1815" s="593">
        <v>0</v>
      </c>
      <c r="E1815" s="591">
        <f>+D1815/$D$1820</f>
        <v>0</v>
      </c>
    </row>
    <row r="1816" spans="2:10" s="531" customFormat="1">
      <c r="C1816" s="618" t="s">
        <v>243</v>
      </c>
      <c r="D1816" s="592">
        <f>D1778</f>
        <v>8100</v>
      </c>
      <c r="E1816" s="591">
        <f>+D1816/$D$1820</f>
        <v>6.2724495616068854E-2</v>
      </c>
    </row>
    <row r="1817" spans="2:10" s="531" customFormat="1">
      <c r="C1817" s="618" t="s">
        <v>244</v>
      </c>
      <c r="D1817" s="592">
        <f>D1766+D1767+D1768+D1773+D1779+D1793+D1770</f>
        <v>24077.282999999999</v>
      </c>
      <c r="E1817" s="591">
        <f>+D1817/$D$1820</f>
        <v>0.18644881876300606</v>
      </c>
    </row>
    <row r="1818" spans="2:10" s="531" customFormat="1">
      <c r="C1818" s="618" t="s">
        <v>245</v>
      </c>
      <c r="D1818" s="592">
        <f>+SUM(D1765:D1793)-SUM(D1814:D1817)</f>
        <v>91391.258999999976</v>
      </c>
      <c r="E1818" s="591">
        <f>+D1818/$D$1820</f>
        <v>0.70771242277685331</v>
      </c>
    </row>
    <row r="1819" spans="2:10" s="531" customFormat="1" ht="13.5" thickBot="1">
      <c r="C1819" s="618"/>
      <c r="D1819" s="620"/>
      <c r="E1819" s="591"/>
    </row>
    <row r="1820" spans="2:10" s="531" customFormat="1" ht="13.5" thickBot="1">
      <c r="C1820" s="621" t="s">
        <v>77</v>
      </c>
      <c r="D1820" s="594">
        <f>+SUM(D1814:D1819)</f>
        <v>129136.15199999997</v>
      </c>
      <c r="E1820" s="596">
        <f>+SUM(E1814:E1819)</f>
        <v>1</v>
      </c>
    </row>
    <row r="1821" spans="2:10" s="531" customFormat="1">
      <c r="C1821" s="622"/>
      <c r="D1821" s="509">
        <f>+D1820+D1794+D1795-D1797</f>
        <v>0</v>
      </c>
      <c r="E1821" s="508"/>
    </row>
    <row r="1822" spans="2:10" s="531" customFormat="1">
      <c r="B1822" s="421"/>
    </row>
    <row r="1823" spans="2:10" s="531" customFormat="1">
      <c r="B1823" s="557" t="s">
        <v>427</v>
      </c>
      <c r="C1823" s="421"/>
      <c r="D1823" s="421"/>
      <c r="E1823" s="421"/>
      <c r="F1823" s="421"/>
      <c r="G1823" s="421"/>
      <c r="H1823" s="421"/>
      <c r="I1823" s="421"/>
      <c r="J1823" s="421"/>
    </row>
    <row r="1824" spans="2:10" s="531" customFormat="1">
      <c r="I1824" s="557" t="s">
        <v>428</v>
      </c>
      <c r="J1824" s="556">
        <f>Model!AA203</f>
        <v>5.2986589094300235E-2</v>
      </c>
    </row>
    <row r="1825" spans="1:17" s="531" customFormat="1">
      <c r="C1825" s="560"/>
      <c r="D1825" s="790" t="s">
        <v>429</v>
      </c>
      <c r="E1825" s="791"/>
      <c r="F1825" s="559" t="s">
        <v>20</v>
      </c>
      <c r="G1825" s="558" t="s">
        <v>21</v>
      </c>
      <c r="I1825" s="557" t="s">
        <v>430</v>
      </c>
      <c r="J1825" s="556">
        <f>AVERAGE(Model!X202:AA202)</f>
        <v>5.1970000000000002E-2</v>
      </c>
    </row>
    <row r="1826" spans="1:17" s="531" customFormat="1">
      <c r="C1826" s="554"/>
      <c r="D1826" s="555" t="s">
        <v>18</v>
      </c>
      <c r="E1826" s="552" t="s">
        <v>19</v>
      </c>
      <c r="F1826" s="550"/>
      <c r="G1826" s="549"/>
    </row>
    <row r="1827" spans="1:17" s="531" customFormat="1" ht="12.75" customHeight="1">
      <c r="C1827" s="554"/>
      <c r="D1827" s="553"/>
      <c r="E1827" s="552"/>
      <c r="F1827" s="550"/>
      <c r="G1827" s="549"/>
    </row>
    <row r="1828" spans="1:17" s="531" customFormat="1">
      <c r="C1828" s="554" t="s">
        <v>92</v>
      </c>
      <c r="D1828" s="553"/>
      <c r="E1828" s="552"/>
      <c r="F1828" s="550"/>
      <c r="G1828" s="549"/>
    </row>
    <row r="1829" spans="1:17" ht="25.5">
      <c r="A1829" s="531"/>
      <c r="B1829" s="531"/>
      <c r="C1829" s="548" t="s">
        <v>304</v>
      </c>
      <c r="D1829" s="418">
        <v>2554.2860000000001</v>
      </c>
      <c r="E1829" s="539">
        <f>D1829*$J$1824</f>
        <v>135.34290271132377</v>
      </c>
      <c r="F1829" s="598"/>
      <c r="G1829" s="546"/>
      <c r="H1829" s="531"/>
      <c r="I1829" s="531"/>
      <c r="J1829" s="531"/>
      <c r="K1829" s="531"/>
      <c r="L1829" s="531"/>
      <c r="M1829" s="531"/>
      <c r="N1829" s="531"/>
      <c r="O1829" s="531"/>
      <c r="P1829" s="531"/>
      <c r="Q1829" s="531"/>
    </row>
    <row r="1830" spans="1:17" ht="25.5">
      <c r="B1830" s="531"/>
      <c r="C1830" s="548" t="s">
        <v>289</v>
      </c>
      <c r="D1830" s="418">
        <v>251.31800000000001</v>
      </c>
      <c r="E1830" s="539">
        <f>D1830*$J$1824</f>
        <v>13.316483598001348</v>
      </c>
      <c r="F1830" s="550"/>
      <c r="G1830" s="549"/>
      <c r="H1830" s="531"/>
      <c r="I1830" s="531"/>
      <c r="J1830" s="531"/>
      <c r="K1830" s="531"/>
      <c r="L1830" s="531"/>
      <c r="M1830" s="531"/>
    </row>
    <row r="1831" spans="1:17" ht="25.5">
      <c r="B1831" s="531"/>
      <c r="C1831" s="548" t="s">
        <v>289</v>
      </c>
      <c r="D1831" s="418">
        <v>521.31799999999998</v>
      </c>
      <c r="E1831" s="539">
        <f>D1831*$J$1824</f>
        <v>27.622862653462409</v>
      </c>
      <c r="F1831" s="550"/>
      <c r="G1831" s="549"/>
      <c r="H1831" s="531"/>
      <c r="I1831" s="531"/>
      <c r="J1831" s="531"/>
      <c r="K1831" s="531"/>
      <c r="L1831" s="531"/>
      <c r="M1831" s="531"/>
    </row>
    <row r="1832" spans="1:17" ht="25.5">
      <c r="B1832" s="531"/>
      <c r="C1832" s="548" t="s">
        <v>381</v>
      </c>
      <c r="D1832" s="551">
        <v>1320</v>
      </c>
      <c r="E1832" s="539">
        <f>D1832*$J$1824</f>
        <v>69.942297604476309</v>
      </c>
      <c r="F1832" s="550"/>
      <c r="G1832" s="549"/>
      <c r="H1832" s="531"/>
      <c r="I1832" s="531"/>
      <c r="J1832" s="531"/>
      <c r="K1832" s="531"/>
      <c r="L1832" s="531"/>
      <c r="M1832" s="531"/>
    </row>
    <row r="1833" spans="1:17" ht="25.5">
      <c r="B1833" s="531"/>
      <c r="C1833" s="548" t="s">
        <v>402</v>
      </c>
      <c r="D1833" s="551">
        <v>123.5</v>
      </c>
      <c r="E1833" s="539">
        <f>D1833*$J$1824</f>
        <v>6.5438437531460787</v>
      </c>
      <c r="F1833" s="550"/>
      <c r="G1833" s="549"/>
      <c r="H1833" s="531"/>
      <c r="I1833" s="531"/>
      <c r="J1833" s="531"/>
      <c r="K1833" s="531"/>
      <c r="L1833" s="531"/>
      <c r="M1833" s="531"/>
    </row>
    <row r="1834" spans="1:17">
      <c r="B1834" s="531"/>
      <c r="C1834" s="548"/>
      <c r="D1834" s="551"/>
      <c r="E1834" s="539"/>
      <c r="F1834" s="550"/>
      <c r="G1834" s="549"/>
      <c r="H1834" s="531"/>
      <c r="I1834" s="531"/>
      <c r="J1834" s="531"/>
      <c r="K1834" s="531"/>
      <c r="L1834" s="531"/>
      <c r="M1834" s="531"/>
    </row>
    <row r="1835" spans="1:17">
      <c r="B1835" s="531"/>
      <c r="C1835" s="554" t="s">
        <v>97</v>
      </c>
      <c r="D1835" s="551"/>
      <c r="E1835" s="539"/>
      <c r="F1835" s="550"/>
      <c r="G1835" s="549"/>
      <c r="H1835" s="531"/>
      <c r="I1835" s="531"/>
      <c r="J1835" s="531"/>
      <c r="K1835" s="531"/>
      <c r="L1835" s="531"/>
      <c r="M1835" s="531"/>
    </row>
    <row r="1836" spans="1:17" ht="25.5">
      <c r="B1836" s="531"/>
      <c r="C1836" s="548" t="s">
        <v>290</v>
      </c>
      <c r="D1836" s="418">
        <v>3120.9</v>
      </c>
      <c r="E1836" s="539">
        <f t="shared" ref="E1836:E1842" si="96">D1836*$J$1824</f>
        <v>165.3658459044016</v>
      </c>
      <c r="F1836" s="601"/>
      <c r="G1836" s="546"/>
      <c r="H1836" s="531"/>
      <c r="I1836" s="531"/>
      <c r="J1836" s="531"/>
      <c r="K1836" s="531"/>
      <c r="L1836" s="531"/>
      <c r="M1836" s="531"/>
    </row>
    <row r="1837" spans="1:17" ht="25.5">
      <c r="B1837" s="531"/>
      <c r="C1837" s="548" t="s">
        <v>343</v>
      </c>
      <c r="D1837" s="418">
        <v>7500</v>
      </c>
      <c r="E1837" s="539">
        <f t="shared" si="96"/>
        <v>397.39941820725176</v>
      </c>
      <c r="F1837" s="601"/>
      <c r="G1837" s="549"/>
      <c r="H1837" s="531"/>
      <c r="I1837" s="531"/>
      <c r="J1837" s="531"/>
      <c r="K1837" s="531"/>
      <c r="L1837" s="531"/>
      <c r="M1837" s="531"/>
    </row>
    <row r="1838" spans="1:17" ht="25.5">
      <c r="B1838" s="531"/>
      <c r="C1838" s="548" t="s">
        <v>388</v>
      </c>
      <c r="D1838" s="551">
        <v>2724.0619999999999</v>
      </c>
      <c r="E1838" s="539">
        <f t="shared" si="96"/>
        <v>144.33875386139769</v>
      </c>
      <c r="F1838" s="601"/>
      <c r="G1838" s="549"/>
      <c r="H1838" s="531"/>
      <c r="I1838" s="531"/>
      <c r="J1838" s="531"/>
      <c r="K1838" s="531"/>
      <c r="L1838" s="531"/>
      <c r="M1838" s="531"/>
    </row>
    <row r="1839" spans="1:17" ht="25.5">
      <c r="B1839" s="531"/>
      <c r="C1839" s="548" t="s">
        <v>168</v>
      </c>
      <c r="D1839" s="418">
        <v>2929.971</v>
      </c>
      <c r="E1839" s="539">
        <f t="shared" si="96"/>
        <v>155.24916943521595</v>
      </c>
      <c r="F1839" s="601"/>
      <c r="G1839" s="546"/>
      <c r="H1839" s="531"/>
      <c r="I1839" s="531"/>
      <c r="J1839" s="531"/>
      <c r="K1839" s="531"/>
      <c r="L1839" s="531"/>
      <c r="M1839" s="531"/>
    </row>
    <row r="1840" spans="1:17" ht="25.5">
      <c r="B1840" s="531"/>
      <c r="C1840" s="548" t="s">
        <v>169</v>
      </c>
      <c r="D1840" s="418">
        <v>4799.6000000000004</v>
      </c>
      <c r="E1840" s="539">
        <f t="shared" si="96"/>
        <v>254.31443301700344</v>
      </c>
      <c r="F1840" s="601"/>
      <c r="G1840" s="549"/>
      <c r="H1840" s="531"/>
      <c r="I1840" s="531"/>
      <c r="J1840" s="531"/>
      <c r="K1840" s="531"/>
      <c r="L1840" s="531"/>
      <c r="M1840" s="531"/>
    </row>
    <row r="1841" spans="2:13" ht="25.5">
      <c r="B1841" s="531"/>
      <c r="C1841" s="548" t="s">
        <v>373</v>
      </c>
      <c r="D1841" s="551">
        <v>8100</v>
      </c>
      <c r="E1841" s="539">
        <f t="shared" si="96"/>
        <v>429.19137166383189</v>
      </c>
      <c r="F1841" s="601"/>
      <c r="G1841" s="549"/>
      <c r="H1841" s="531"/>
      <c r="I1841" s="531"/>
      <c r="J1841" s="531"/>
      <c r="K1841" s="531"/>
      <c r="L1841" s="531"/>
      <c r="M1841" s="531"/>
    </row>
    <row r="1842" spans="2:13" ht="25.5">
      <c r="B1842" s="531"/>
      <c r="C1842" s="548" t="s">
        <v>395</v>
      </c>
      <c r="D1842" s="418">
        <v>5400.4</v>
      </c>
      <c r="E1842" s="539">
        <f t="shared" si="96"/>
        <v>286.14877574485899</v>
      </c>
      <c r="F1842" s="601"/>
      <c r="G1842" s="546"/>
      <c r="H1842" s="531"/>
      <c r="I1842" s="531"/>
      <c r="J1842" s="531"/>
      <c r="K1842" s="531"/>
      <c r="L1842" s="531"/>
      <c r="M1842" s="531"/>
    </row>
    <row r="1843" spans="2:13">
      <c r="B1843" s="531"/>
      <c r="C1843" s="548" t="s">
        <v>175</v>
      </c>
      <c r="D1843" s="576">
        <f>E1843/$J$1824</f>
        <v>11323.619999999999</v>
      </c>
      <c r="E1843" s="575">
        <v>600</v>
      </c>
      <c r="F1843" s="601"/>
      <c r="G1843" s="546"/>
      <c r="H1843" s="531"/>
      <c r="I1843" s="531"/>
      <c r="J1843" s="531"/>
    </row>
    <row r="1844" spans="2:13">
      <c r="B1844" s="531"/>
      <c r="C1844" s="548" t="s">
        <v>176</v>
      </c>
      <c r="D1844" s="576">
        <f>E1844/$J$1824</f>
        <v>7549.08</v>
      </c>
      <c r="E1844" s="575">
        <v>400</v>
      </c>
      <c r="F1844" s="601"/>
      <c r="G1844" s="546"/>
      <c r="H1844" s="531"/>
      <c r="I1844" s="531"/>
      <c r="J1844" s="531"/>
    </row>
    <row r="1845" spans="2:13">
      <c r="B1845" s="531"/>
      <c r="C1845" s="548" t="s">
        <v>277</v>
      </c>
      <c r="D1845" s="576">
        <f>E1845/$J$1824</f>
        <v>11323.619999999999</v>
      </c>
      <c r="E1845" s="575">
        <v>600</v>
      </c>
      <c r="F1845" s="601"/>
      <c r="G1845" s="549"/>
      <c r="H1845" s="531"/>
      <c r="I1845" s="531"/>
      <c r="J1845" s="531"/>
    </row>
    <row r="1846" spans="2:13">
      <c r="B1846" s="531"/>
      <c r="C1846" s="548" t="s">
        <v>178</v>
      </c>
      <c r="D1846" s="576">
        <f>E1846/$J$1824</f>
        <v>13210.89</v>
      </c>
      <c r="E1846" s="575">
        <v>700</v>
      </c>
      <c r="F1846" s="601"/>
      <c r="G1846" s="549"/>
      <c r="H1846" s="531"/>
      <c r="I1846" s="531"/>
      <c r="J1846" s="531"/>
    </row>
    <row r="1847" spans="2:13">
      <c r="B1847" s="531"/>
      <c r="C1847" s="548" t="s">
        <v>207</v>
      </c>
      <c r="D1847" s="576">
        <f>E1847/$J$1824</f>
        <v>9436.35</v>
      </c>
      <c r="E1847" s="575">
        <v>500</v>
      </c>
      <c r="F1847" s="601"/>
      <c r="G1847" s="546"/>
      <c r="H1847" s="531"/>
      <c r="I1847" s="531"/>
      <c r="J1847" s="531"/>
    </row>
    <row r="1848" spans="2:13">
      <c r="B1848" s="531"/>
      <c r="C1848" s="548"/>
      <c r="D1848" s="576"/>
      <c r="E1848" s="575"/>
      <c r="F1848" s="547"/>
      <c r="G1848" s="546"/>
      <c r="H1848" s="531"/>
      <c r="I1848" s="531"/>
      <c r="J1848" s="531"/>
    </row>
    <row r="1849" spans="2:13">
      <c r="B1849" s="531"/>
      <c r="C1849" s="554" t="s">
        <v>113</v>
      </c>
      <c r="D1849" s="576"/>
      <c r="E1849" s="575"/>
      <c r="F1849" s="547"/>
      <c r="G1849" s="546"/>
      <c r="H1849" s="531"/>
      <c r="I1849" s="531"/>
      <c r="J1849" s="531"/>
    </row>
    <row r="1850" spans="2:13" ht="25.5">
      <c r="B1850" s="531"/>
      <c r="C1850" s="548" t="s">
        <v>420</v>
      </c>
      <c r="D1850" s="418">
        <v>100</v>
      </c>
      <c r="E1850" s="539">
        <f>D1850*$J$1824</f>
        <v>5.2986589094300234</v>
      </c>
      <c r="F1850" s="547"/>
      <c r="G1850" s="546"/>
      <c r="H1850" s="531"/>
      <c r="I1850" s="531"/>
      <c r="J1850" s="531"/>
    </row>
    <row r="1851" spans="2:13" ht="25.5">
      <c r="B1851" s="531"/>
      <c r="C1851" s="548" t="s">
        <v>421</v>
      </c>
      <c r="D1851" s="418">
        <v>4198.95</v>
      </c>
      <c r="E1851" s="539">
        <f>D1851*$J$1824</f>
        <v>222.48803827751198</v>
      </c>
      <c r="F1851" s="547"/>
      <c r="G1851" s="546"/>
      <c r="H1851" s="531"/>
      <c r="I1851" s="531"/>
      <c r="J1851" s="531"/>
    </row>
    <row r="1852" spans="2:13" ht="25.5">
      <c r="B1852" s="531"/>
      <c r="C1852" s="548" t="s">
        <v>431</v>
      </c>
      <c r="D1852" s="418">
        <v>1800</v>
      </c>
      <c r="E1852" s="539">
        <f>D1852*$J$1824</f>
        <v>95.375860369740423</v>
      </c>
      <c r="F1852" s="547"/>
      <c r="G1852" s="546"/>
      <c r="H1852" s="531"/>
      <c r="I1852" s="531"/>
      <c r="J1852" s="531"/>
    </row>
    <row r="1853" spans="2:13" ht="25.5">
      <c r="B1853" s="531"/>
      <c r="C1853" s="548" t="s">
        <v>345</v>
      </c>
      <c r="D1853" s="576">
        <f>E1853/$J$1824</f>
        <v>9436.35</v>
      </c>
      <c r="E1853" s="575">
        <v>500</v>
      </c>
      <c r="F1853" s="547"/>
      <c r="G1853" s="546"/>
      <c r="H1853" s="531"/>
      <c r="I1853" s="531"/>
      <c r="J1853" s="531"/>
    </row>
    <row r="1854" spans="2:13">
      <c r="B1854" s="531"/>
      <c r="C1854" s="548" t="s">
        <v>196</v>
      </c>
      <c r="D1854" s="418">
        <v>-684.76700000000005</v>
      </c>
      <c r="E1854" s="539">
        <f>D1854*$J$1824</f>
        <v>-36.28346765433669</v>
      </c>
      <c r="F1854" s="547"/>
      <c r="G1854" s="546"/>
      <c r="H1854" s="531"/>
      <c r="I1854" s="531"/>
      <c r="J1854" s="531"/>
    </row>
    <row r="1855" spans="2:13">
      <c r="B1855" s="531"/>
      <c r="C1855" s="548" t="s">
        <v>65</v>
      </c>
      <c r="D1855" s="418">
        <v>19.227</v>
      </c>
      <c r="E1855" s="539">
        <f>D1855*$J$1824</f>
        <v>1.0187731485161107</v>
      </c>
      <c r="F1855" s="547"/>
      <c r="G1855" s="546"/>
      <c r="H1855" s="531"/>
      <c r="I1855" s="531"/>
      <c r="J1855" s="531"/>
    </row>
    <row r="1856" spans="2:13">
      <c r="B1856" s="531"/>
      <c r="C1856" s="548"/>
      <c r="D1856" s="418"/>
      <c r="E1856" s="575"/>
      <c r="F1856" s="547"/>
      <c r="G1856" s="546"/>
      <c r="H1856" s="531"/>
      <c r="I1856" s="531"/>
      <c r="J1856" s="531"/>
    </row>
    <row r="1857" spans="2:13">
      <c r="B1857" s="531"/>
      <c r="C1857" s="536" t="s">
        <v>66</v>
      </c>
      <c r="D1857" s="535">
        <f>SUM(D1829:D1856)</f>
        <v>107058.675</v>
      </c>
      <c r="E1857" s="534">
        <f>SUM(E1829:E1856)</f>
        <v>5672.6740212052318</v>
      </c>
      <c r="F1857" s="533">
        <f>+D1857/D1862</f>
        <v>7.4787250830364638</v>
      </c>
      <c r="G1857" s="532">
        <f>+E1857/E1862</f>
        <v>7.6250169891108213</v>
      </c>
      <c r="H1857" s="531"/>
      <c r="I1857" s="531"/>
      <c r="J1857" s="624"/>
    </row>
    <row r="1858" spans="2:13">
      <c r="B1858" s="531"/>
      <c r="C1858" s="545" t="s">
        <v>67</v>
      </c>
      <c r="D1858" s="544">
        <f>Model!AA123</f>
        <v>3042.9140000000002</v>
      </c>
      <c r="E1858" s="539">
        <f>D1858*$J$1824</f>
        <v>161.23363376729353</v>
      </c>
      <c r="F1858" s="543"/>
      <c r="G1858" s="542"/>
      <c r="H1858" s="531"/>
      <c r="I1858" s="531"/>
      <c r="J1858" s="624"/>
    </row>
    <row r="1859" spans="2:13">
      <c r="B1859" s="531"/>
      <c r="C1859" s="536" t="s">
        <v>68</v>
      </c>
      <c r="D1859" s="535">
        <f>+D1857-D1858</f>
        <v>104015.761</v>
      </c>
      <c r="E1859" s="534">
        <f>+E1857-E1858</f>
        <v>5511.4403874379386</v>
      </c>
      <c r="F1859" s="533">
        <f>+D1859/D1862</f>
        <v>7.2661583082531696</v>
      </c>
      <c r="G1859" s="532">
        <f>+E1859/E1862</f>
        <v>7.4082921795948886</v>
      </c>
      <c r="H1859" s="531"/>
      <c r="I1859" s="531"/>
      <c r="J1859" s="531"/>
    </row>
    <row r="1860" spans="2:13">
      <c r="B1860" s="531"/>
      <c r="C1860" s="541" t="s">
        <v>69</v>
      </c>
      <c r="D1860" s="540">
        <f>Model!AA128</f>
        <v>167456.41500000001</v>
      </c>
      <c r="E1860" s="539">
        <f>D1860*$J$1824</f>
        <v>8872.9442528096151</v>
      </c>
      <c r="F1860" s="538"/>
      <c r="G1860" s="537"/>
      <c r="H1860" s="531"/>
      <c r="I1860" s="531"/>
      <c r="J1860" s="531"/>
    </row>
    <row r="1861" spans="2:13">
      <c r="B1861" s="531"/>
      <c r="C1861" s="536" t="s">
        <v>70</v>
      </c>
      <c r="D1861" s="535">
        <f>D1857+D1860</f>
        <v>274515.09000000003</v>
      </c>
      <c r="E1861" s="534">
        <f>E1857+E1860</f>
        <v>14545.618274014847</v>
      </c>
      <c r="F1861" s="533">
        <f>D1861/D1862</f>
        <v>19.176614032025078</v>
      </c>
      <c r="G1861" s="532">
        <f>E1861/E1862</f>
        <v>19.551729227148442</v>
      </c>
      <c r="H1861" s="531"/>
      <c r="I1861" s="531"/>
      <c r="J1861" s="531"/>
    </row>
    <row r="1862" spans="2:13">
      <c r="B1862" s="531"/>
      <c r="C1862" s="530" t="s">
        <v>71</v>
      </c>
      <c r="D1862" s="529">
        <f>Model!AA102</f>
        <v>14315.096999999996</v>
      </c>
      <c r="E1862" s="528">
        <f>D1862*$J$1825</f>
        <v>743.95559108999987</v>
      </c>
      <c r="F1862" s="604"/>
      <c r="G1862" s="605"/>
      <c r="H1862" s="531"/>
      <c r="I1862" s="531"/>
      <c r="J1862" s="531"/>
    </row>
    <row r="1863" spans="2:13">
      <c r="B1863" s="531"/>
      <c r="C1863" s="531"/>
      <c r="D1863" s="531"/>
      <c r="E1863" s="531"/>
      <c r="F1863" s="531"/>
      <c r="G1863" s="531"/>
      <c r="H1863" s="531"/>
      <c r="I1863" s="531"/>
      <c r="J1863" s="531"/>
    </row>
    <row r="1864" spans="2:13">
      <c r="B1864" s="531"/>
      <c r="C1864" s="606" t="s">
        <v>72</v>
      </c>
      <c r="D1864" s="623">
        <f>D1857-Model!AA126</f>
        <v>3.6999999996623956E-2</v>
      </c>
      <c r="E1864" s="607"/>
      <c r="F1864" s="531"/>
      <c r="G1864" s="531"/>
      <c r="H1864" s="531"/>
      <c r="I1864" s="608"/>
      <c r="J1864" s="531"/>
      <c r="K1864" s="531"/>
      <c r="L1864" s="531"/>
      <c r="M1864" s="531"/>
    </row>
    <row r="1865" spans="2:13" ht="13.5" thickBot="1">
      <c r="B1865" s="531"/>
      <c r="C1865" s="531"/>
      <c r="D1865" s="609"/>
      <c r="E1865" s="609"/>
      <c r="F1865" s="531"/>
      <c r="G1865" s="610"/>
      <c r="H1865" s="531"/>
      <c r="I1865" s="531"/>
      <c r="J1865" s="531"/>
    </row>
    <row r="1866" spans="2:13">
      <c r="B1866" s="531"/>
      <c r="C1866" s="611" t="s">
        <v>432</v>
      </c>
      <c r="D1866" s="612" t="s">
        <v>130</v>
      </c>
      <c r="E1866" s="613" t="s">
        <v>131</v>
      </c>
      <c r="F1866" s="531"/>
      <c r="G1866" s="614"/>
      <c r="H1866" s="531"/>
      <c r="I1866" s="531"/>
      <c r="J1866" s="531"/>
      <c r="K1866" s="531"/>
      <c r="L1866" s="531"/>
      <c r="M1866" s="531"/>
    </row>
    <row r="1867" spans="2:13">
      <c r="B1867" s="531"/>
      <c r="C1867" s="615" t="s">
        <v>198</v>
      </c>
      <c r="D1867" s="579">
        <v>0</v>
      </c>
      <c r="E1867" s="580">
        <v>0</v>
      </c>
      <c r="F1867" s="531"/>
      <c r="G1867" s="531"/>
      <c r="H1867" s="531"/>
      <c r="I1867" s="531"/>
      <c r="J1867" s="531"/>
      <c r="K1867" s="531"/>
      <c r="L1867" s="531"/>
      <c r="M1867" s="531"/>
    </row>
    <row r="1868" spans="2:13">
      <c r="B1868" s="531"/>
      <c r="C1868" s="615" t="s">
        <v>74</v>
      </c>
      <c r="D1868" s="520">
        <f>D1858</f>
        <v>3042.9140000000002</v>
      </c>
      <c r="E1868" s="519">
        <f>D1868*$J$1824</f>
        <v>161.23363376729353</v>
      </c>
      <c r="F1868" s="531"/>
      <c r="G1868" s="531"/>
      <c r="H1868" s="531"/>
      <c r="I1868" s="531"/>
      <c r="J1868" s="531"/>
      <c r="K1868" s="531"/>
      <c r="L1868" s="531"/>
      <c r="M1868" s="531"/>
    </row>
    <row r="1869" spans="2:13" ht="13.5" thickBot="1">
      <c r="B1869" s="531"/>
      <c r="C1869" s="616" t="s">
        <v>75</v>
      </c>
      <c r="D1869" s="517">
        <f>SUM(D1867:D1868)</f>
        <v>3042.9140000000002</v>
      </c>
      <c r="E1869" s="516">
        <f>SUM(E1867:E1868)</f>
        <v>161.23363376729353</v>
      </c>
      <c r="F1869" s="531"/>
      <c r="G1869" s="531"/>
      <c r="H1869" s="531"/>
      <c r="I1869" s="531"/>
      <c r="J1869" s="531"/>
      <c r="K1869" s="531"/>
      <c r="L1869" s="531"/>
      <c r="M1869" s="531"/>
    </row>
    <row r="1870" spans="2:13">
      <c r="B1870" s="531"/>
      <c r="C1870" s="531"/>
      <c r="D1870" s="531"/>
      <c r="E1870" s="531"/>
      <c r="F1870" s="531"/>
      <c r="G1870" s="531"/>
      <c r="H1870" s="531"/>
      <c r="I1870" s="531"/>
      <c r="J1870" s="531"/>
      <c r="K1870" s="531"/>
      <c r="L1870" s="531"/>
      <c r="M1870" s="531"/>
    </row>
    <row r="1871" spans="2:13" ht="13.5" thickBot="1">
      <c r="B1871" s="531"/>
      <c r="C1871" s="531"/>
      <c r="D1871" s="531"/>
      <c r="E1871" s="531"/>
      <c r="F1871" s="531"/>
      <c r="G1871" s="531"/>
      <c r="H1871" s="531"/>
      <c r="I1871" s="531"/>
      <c r="J1871" s="531"/>
      <c r="K1871" s="531"/>
      <c r="L1871" s="531"/>
      <c r="M1871" s="531"/>
    </row>
    <row r="1872" spans="2:13">
      <c r="B1872" s="531"/>
      <c r="C1872" s="617" t="s">
        <v>433</v>
      </c>
      <c r="D1872" s="612" t="s">
        <v>130</v>
      </c>
      <c r="E1872" s="612" t="s">
        <v>133</v>
      </c>
      <c r="F1872" s="531"/>
      <c r="G1872" s="531"/>
      <c r="H1872" s="531"/>
      <c r="I1872" s="531"/>
      <c r="J1872" s="531"/>
      <c r="K1872" s="531"/>
      <c r="L1872" s="531"/>
      <c r="M1872" s="531"/>
    </row>
    <row r="1873" spans="2:13">
      <c r="B1873" s="531"/>
      <c r="C1873" s="618"/>
      <c r="D1873" s="619"/>
      <c r="E1873" s="619"/>
      <c r="F1873" s="531"/>
      <c r="G1873" s="531"/>
      <c r="H1873" s="531"/>
      <c r="I1873" s="531"/>
      <c r="J1873" s="531"/>
      <c r="K1873" s="531"/>
      <c r="L1873" s="531"/>
      <c r="M1873" s="531"/>
    </row>
    <row r="1874" spans="2:13">
      <c r="B1874" s="531"/>
      <c r="C1874" s="618" t="s">
        <v>241</v>
      </c>
      <c r="D1874" s="592">
        <f>Model!AA119</f>
        <v>2064.5120000000002</v>
      </c>
      <c r="E1874" s="591">
        <f>+D1874/$D$1880</f>
        <v>1.9164790386265521E-2</v>
      </c>
      <c r="F1874" s="531"/>
      <c r="G1874" s="531"/>
      <c r="H1874" s="531"/>
      <c r="I1874" s="531"/>
      <c r="J1874" s="531"/>
      <c r="K1874" s="531"/>
      <c r="L1874" s="531"/>
      <c r="M1874" s="531"/>
    </row>
    <row r="1875" spans="2:13">
      <c r="B1875" s="531"/>
      <c r="C1875" s="618" t="s">
        <v>242</v>
      </c>
      <c r="D1875" s="593">
        <v>0</v>
      </c>
      <c r="E1875" s="591">
        <f>+D1875/$D$1880</f>
        <v>0</v>
      </c>
      <c r="F1875" s="531"/>
      <c r="G1875" s="531"/>
      <c r="H1875" s="531"/>
      <c r="I1875" s="531"/>
      <c r="J1875" s="531"/>
      <c r="K1875" s="531"/>
      <c r="L1875" s="531"/>
      <c r="M1875" s="531"/>
    </row>
    <row r="1876" spans="2:13">
      <c r="B1876" s="531"/>
      <c r="C1876" s="618" t="s">
        <v>243</v>
      </c>
      <c r="D1876" s="592">
        <f>D1841</f>
        <v>8100</v>
      </c>
      <c r="E1876" s="591">
        <f>+D1876/$D$1880</f>
        <v>7.5192007665128957E-2</v>
      </c>
      <c r="F1876" s="531"/>
      <c r="G1876" s="531"/>
      <c r="H1876" s="531"/>
      <c r="I1876" s="531"/>
      <c r="J1876" s="531"/>
      <c r="K1876" s="531"/>
      <c r="L1876" s="531"/>
      <c r="M1876" s="531"/>
    </row>
    <row r="1877" spans="2:13">
      <c r="B1877" s="531"/>
      <c r="C1877" s="618" t="s">
        <v>244</v>
      </c>
      <c r="D1877" s="592">
        <f>D1829+D1830+D1831+D1836+D1842+D1853+D1833</f>
        <v>21408.072</v>
      </c>
      <c r="E1877" s="591">
        <f>+D1877/$D$1880</f>
        <v>0.1987303597431645</v>
      </c>
      <c r="F1877" s="531"/>
      <c r="G1877" s="531"/>
      <c r="H1877" s="531"/>
      <c r="I1877" s="531"/>
      <c r="J1877" s="531"/>
      <c r="K1877" s="531"/>
      <c r="L1877" s="531"/>
      <c r="M1877" s="531"/>
    </row>
    <row r="1878" spans="2:13">
      <c r="B1878" s="531"/>
      <c r="C1878" s="618" t="s">
        <v>245</v>
      </c>
      <c r="D1878" s="592">
        <f>+SUM(D1828:D1853)-SUM(D1874:D1877)</f>
        <v>76151.631000000008</v>
      </c>
      <c r="E1878" s="591">
        <f>+D1878/$D$1880</f>
        <v>0.70691284220544104</v>
      </c>
      <c r="F1878" s="531"/>
      <c r="G1878" s="531"/>
      <c r="H1878" s="531"/>
      <c r="I1878" s="531"/>
      <c r="J1878" s="531"/>
      <c r="K1878" s="531"/>
      <c r="L1878" s="531"/>
      <c r="M1878" s="531"/>
    </row>
    <row r="1879" spans="2:13" ht="13.5" thickBot="1">
      <c r="B1879" s="531"/>
      <c r="C1879" s="618"/>
      <c r="D1879" s="620"/>
      <c r="E1879" s="591"/>
      <c r="F1879" s="531"/>
      <c r="G1879" s="531"/>
      <c r="H1879" s="531"/>
      <c r="I1879" s="531"/>
      <c r="J1879" s="531"/>
      <c r="K1879" s="531"/>
      <c r="L1879" s="531"/>
      <c r="M1879" s="531"/>
    </row>
    <row r="1880" spans="2:13" ht="13.5" thickBot="1">
      <c r="B1880" s="531"/>
      <c r="C1880" s="621" t="s">
        <v>77</v>
      </c>
      <c r="D1880" s="594">
        <f>+SUM(D1874:D1879)</f>
        <v>107724.21500000001</v>
      </c>
      <c r="E1880" s="596">
        <f>+SUM(E1874:E1879)</f>
        <v>1</v>
      </c>
      <c r="F1880" s="531"/>
      <c r="G1880" s="531"/>
      <c r="H1880" s="531"/>
      <c r="I1880" s="531"/>
      <c r="J1880" s="531"/>
      <c r="K1880" s="531"/>
      <c r="L1880" s="531"/>
      <c r="M1880" s="531"/>
    </row>
    <row r="1881" spans="2:13">
      <c r="B1881" s="531"/>
      <c r="C1881" s="622"/>
      <c r="D1881" s="509">
        <f>+D1880+D1854+D1855-D1857</f>
        <v>0</v>
      </c>
      <c r="E1881" s="508"/>
      <c r="F1881" s="531"/>
      <c r="G1881" s="531"/>
      <c r="H1881" s="531"/>
      <c r="I1881" s="531"/>
      <c r="J1881" s="531"/>
      <c r="K1881" s="531"/>
      <c r="L1881" s="531"/>
      <c r="M1881" s="531"/>
    </row>
    <row r="1882" spans="2:13">
      <c r="B1882" s="561"/>
      <c r="C1882" s="531"/>
      <c r="D1882" s="531"/>
      <c r="E1882" s="531"/>
      <c r="F1882" s="531"/>
      <c r="G1882" s="531"/>
      <c r="H1882" s="531"/>
      <c r="I1882" s="531"/>
      <c r="J1882" s="531"/>
      <c r="K1882" s="531"/>
      <c r="L1882" s="531"/>
      <c r="M1882" s="531"/>
    </row>
    <row r="1883" spans="2:13">
      <c r="B1883" s="531"/>
      <c r="C1883" s="531"/>
      <c r="D1883" s="531"/>
      <c r="E1883" s="531"/>
      <c r="F1883" s="531"/>
      <c r="G1883" s="531"/>
      <c r="H1883" s="531"/>
      <c r="I1883" s="531"/>
      <c r="J1883" s="531"/>
      <c r="K1883" s="531"/>
      <c r="L1883" s="531"/>
      <c r="M1883" s="531"/>
    </row>
    <row r="1884" spans="2:13">
      <c r="B1884" s="557" t="s">
        <v>434</v>
      </c>
      <c r="C1884" s="531"/>
      <c r="D1884" s="531"/>
      <c r="E1884" s="531"/>
      <c r="F1884" s="531"/>
      <c r="G1884" s="531"/>
      <c r="H1884" s="531"/>
      <c r="I1884" s="531"/>
      <c r="J1884" s="531"/>
      <c r="K1884" s="531"/>
      <c r="L1884" s="531"/>
      <c r="M1884" s="531"/>
    </row>
    <row r="1885" spans="2:13">
      <c r="B1885" s="531"/>
      <c r="C1885" s="531"/>
      <c r="D1885" s="531"/>
      <c r="E1885" s="531"/>
      <c r="F1885" s="531"/>
      <c r="G1885" s="531"/>
      <c r="H1885" s="531"/>
      <c r="I1885" s="557" t="s">
        <v>435</v>
      </c>
      <c r="J1885" s="556">
        <f>Model!Z203</f>
        <v>5.0810942644607941E-2</v>
      </c>
      <c r="K1885" s="531"/>
      <c r="L1885" s="531"/>
      <c r="M1885" s="531"/>
    </row>
    <row r="1886" spans="2:13">
      <c r="B1886" s="531"/>
      <c r="C1886" s="560"/>
      <c r="D1886" s="790" t="s">
        <v>436</v>
      </c>
      <c r="E1886" s="791"/>
      <c r="F1886" s="559" t="s">
        <v>20</v>
      </c>
      <c r="G1886" s="558" t="s">
        <v>21</v>
      </c>
      <c r="H1886" s="531"/>
      <c r="I1886" s="557" t="s">
        <v>437</v>
      </c>
      <c r="J1886" s="556">
        <f>AVERAGE(Model!W202:Z202)</f>
        <v>5.1589999999999997E-2</v>
      </c>
      <c r="K1886" s="531"/>
      <c r="L1886" s="531"/>
      <c r="M1886" s="531"/>
    </row>
    <row r="1887" spans="2:13">
      <c r="B1887" s="531"/>
      <c r="C1887" s="554"/>
      <c r="D1887" s="555" t="s">
        <v>18</v>
      </c>
      <c r="E1887" s="552" t="s">
        <v>19</v>
      </c>
      <c r="F1887" s="550"/>
      <c r="G1887" s="549"/>
      <c r="H1887" s="531"/>
      <c r="I1887" s="531"/>
      <c r="J1887" s="531"/>
      <c r="K1887" s="531"/>
      <c r="L1887" s="531"/>
      <c r="M1887" s="531"/>
    </row>
    <row r="1888" spans="2:13">
      <c r="B1888" s="531"/>
      <c r="C1888" s="554"/>
      <c r="D1888" s="553"/>
      <c r="E1888" s="552"/>
      <c r="F1888" s="550"/>
      <c r="G1888" s="549"/>
      <c r="H1888" s="531"/>
      <c r="I1888" s="531"/>
      <c r="J1888" s="531"/>
      <c r="K1888" s="531"/>
      <c r="L1888" s="531"/>
      <c r="M1888" s="531"/>
    </row>
    <row r="1889" spans="2:13">
      <c r="B1889" s="531"/>
      <c r="C1889" s="554" t="s">
        <v>92</v>
      </c>
      <c r="D1889" s="553"/>
      <c r="E1889" s="552"/>
      <c r="F1889" s="550"/>
      <c r="G1889" s="549"/>
      <c r="H1889" s="531"/>
      <c r="I1889" s="531"/>
      <c r="J1889" s="531"/>
      <c r="K1889" s="531"/>
      <c r="L1889" s="531"/>
      <c r="M1889" s="531"/>
    </row>
    <row r="1890" spans="2:13" ht="25.5">
      <c r="B1890" s="531"/>
      <c r="C1890" s="548" t="s">
        <v>304</v>
      </c>
      <c r="D1890" s="418">
        <v>2588.5709999999999</v>
      </c>
      <c r="E1890" s="539">
        <f>D1890*$J$1885</f>
        <v>131.52773261249541</v>
      </c>
      <c r="F1890" s="598"/>
      <c r="G1890" s="546"/>
      <c r="H1890" s="531"/>
      <c r="I1890" s="531"/>
      <c r="J1890" s="531"/>
      <c r="K1890" s="531"/>
      <c r="L1890" s="531"/>
      <c r="M1890" s="531"/>
    </row>
    <row r="1891" spans="2:13" ht="25.5">
      <c r="B1891" s="531"/>
      <c r="C1891" s="548" t="s">
        <v>289</v>
      </c>
      <c r="D1891" s="418">
        <v>251.88200000000001</v>
      </c>
      <c r="E1891" s="539">
        <f>D1891*$J$1885</f>
        <v>12.798361855209137</v>
      </c>
      <c r="F1891" s="550"/>
      <c r="G1891" s="549"/>
      <c r="H1891" s="531"/>
      <c r="I1891" s="531"/>
      <c r="J1891" s="531"/>
      <c r="K1891" s="531"/>
      <c r="L1891" s="531"/>
      <c r="M1891" s="531"/>
    </row>
    <row r="1892" spans="2:13" ht="25.5">
      <c r="B1892" s="531"/>
      <c r="C1892" s="548" t="s">
        <v>289</v>
      </c>
      <c r="D1892" s="418">
        <v>523.02499999999998</v>
      </c>
      <c r="E1892" s="539">
        <f>D1892*$J$1885</f>
        <v>26.575393276696069</v>
      </c>
      <c r="F1892" s="550"/>
      <c r="G1892" s="549"/>
      <c r="H1892" s="531"/>
      <c r="I1892" s="531"/>
      <c r="J1892" s="531"/>
      <c r="K1892" s="531"/>
      <c r="L1892" s="531"/>
      <c r="M1892" s="531"/>
    </row>
    <row r="1893" spans="2:13" ht="25.5">
      <c r="B1893" s="531"/>
      <c r="C1893" s="548" t="s">
        <v>381</v>
      </c>
      <c r="D1893" s="551">
        <v>1320</v>
      </c>
      <c r="E1893" s="539">
        <f>D1893*$J$1885</f>
        <v>67.070444290882477</v>
      </c>
      <c r="F1893" s="550"/>
      <c r="G1893" s="549"/>
      <c r="H1893" s="531"/>
      <c r="I1893" s="531"/>
      <c r="J1893" s="531"/>
      <c r="K1893" s="531"/>
      <c r="L1893" s="531"/>
      <c r="M1893" s="531"/>
    </row>
    <row r="1894" spans="2:13">
      <c r="B1894" s="531"/>
      <c r="C1894" s="548"/>
      <c r="D1894" s="551"/>
      <c r="E1894" s="539"/>
      <c r="F1894" s="550"/>
      <c r="G1894" s="549"/>
      <c r="H1894" s="531"/>
      <c r="I1894" s="531"/>
      <c r="J1894" s="531"/>
      <c r="K1894" s="531"/>
      <c r="L1894" s="531"/>
      <c r="M1894" s="531"/>
    </row>
    <row r="1895" spans="2:13">
      <c r="B1895" s="531"/>
      <c r="C1895" s="554" t="s">
        <v>97</v>
      </c>
      <c r="D1895" s="551"/>
      <c r="E1895" s="539"/>
      <c r="F1895" s="550"/>
      <c r="G1895" s="549"/>
      <c r="H1895" s="531"/>
      <c r="I1895" s="531"/>
      <c r="J1895" s="531"/>
      <c r="K1895" s="531"/>
      <c r="L1895" s="531"/>
      <c r="M1895" s="531"/>
    </row>
    <row r="1896" spans="2:13" ht="25.5">
      <c r="B1896" s="531"/>
      <c r="C1896" s="548" t="s">
        <v>290</v>
      </c>
      <c r="D1896" s="418">
        <v>3120.9</v>
      </c>
      <c r="E1896" s="539">
        <f t="shared" ref="E1896:E1902" si="97">D1896*$J$1885</f>
        <v>158.57587089955692</v>
      </c>
      <c r="F1896" s="601"/>
      <c r="G1896" s="546"/>
      <c r="H1896" s="531"/>
      <c r="I1896" s="531"/>
      <c r="J1896" s="531"/>
      <c r="K1896" s="531"/>
      <c r="L1896" s="531"/>
      <c r="M1896" s="531"/>
    </row>
    <row r="1897" spans="2:13" ht="25.5">
      <c r="B1897" s="531"/>
      <c r="C1897" s="548" t="s">
        <v>343</v>
      </c>
      <c r="D1897" s="418">
        <v>7500</v>
      </c>
      <c r="E1897" s="539">
        <f t="shared" si="97"/>
        <v>381.08206983455955</v>
      </c>
      <c r="F1897" s="601"/>
      <c r="G1897" s="549"/>
      <c r="H1897" s="531"/>
      <c r="I1897" s="531"/>
      <c r="J1897" s="531"/>
      <c r="K1897" s="531"/>
      <c r="L1897" s="531"/>
      <c r="M1897" s="531"/>
    </row>
    <row r="1898" spans="2:13" ht="25.5">
      <c r="B1898" s="531"/>
      <c r="C1898" s="548" t="s">
        <v>388</v>
      </c>
      <c r="D1898" s="551">
        <v>2678.2539999999999</v>
      </c>
      <c r="E1898" s="539">
        <f t="shared" si="97"/>
        <v>136.08461038169179</v>
      </c>
      <c r="F1898" s="601"/>
      <c r="G1898" s="549"/>
      <c r="H1898" s="531"/>
      <c r="I1898" s="531"/>
      <c r="J1898" s="531"/>
      <c r="K1898" s="531"/>
      <c r="L1898" s="531"/>
      <c r="M1898" s="531"/>
    </row>
    <row r="1899" spans="2:13" ht="25.5">
      <c r="B1899" s="531"/>
      <c r="C1899" s="548" t="s">
        <v>168</v>
      </c>
      <c r="D1899" s="418">
        <v>2880.7</v>
      </c>
      <c r="E1899" s="539">
        <f t="shared" si="97"/>
        <v>146.3710824763221</v>
      </c>
      <c r="F1899" s="601"/>
      <c r="G1899" s="546"/>
      <c r="H1899" s="531"/>
      <c r="I1899" s="531"/>
      <c r="J1899" s="531"/>
      <c r="K1899" s="531"/>
      <c r="L1899" s="531"/>
      <c r="M1899" s="531"/>
    </row>
    <row r="1900" spans="2:13" ht="25.5">
      <c r="B1900" s="531"/>
      <c r="C1900" s="548" t="s">
        <v>169</v>
      </c>
      <c r="D1900" s="418">
        <v>4799.6000000000004</v>
      </c>
      <c r="E1900" s="539">
        <f t="shared" si="97"/>
        <v>243.8722003170603</v>
      </c>
      <c r="F1900" s="601"/>
      <c r="G1900" s="549"/>
      <c r="H1900" s="531"/>
      <c r="I1900" s="531"/>
      <c r="J1900" s="531"/>
      <c r="K1900" s="531"/>
      <c r="L1900" s="531"/>
      <c r="M1900" s="531"/>
    </row>
    <row r="1901" spans="2:13" ht="25.5">
      <c r="B1901" s="531"/>
      <c r="C1901" s="548" t="s">
        <v>373</v>
      </c>
      <c r="D1901" s="551">
        <v>8100</v>
      </c>
      <c r="E1901" s="539">
        <f t="shared" si="97"/>
        <v>411.5686354213243</v>
      </c>
      <c r="F1901" s="601"/>
      <c r="G1901" s="549"/>
      <c r="H1901" s="531"/>
      <c r="I1901" s="531"/>
      <c r="J1901" s="531"/>
      <c r="K1901" s="531"/>
      <c r="L1901" s="531"/>
      <c r="M1901" s="531"/>
    </row>
    <row r="1902" spans="2:13" ht="25.5">
      <c r="B1902" s="531"/>
      <c r="C1902" s="548" t="s">
        <v>395</v>
      </c>
      <c r="D1902" s="418">
        <v>5400.4</v>
      </c>
      <c r="E1902" s="539">
        <f t="shared" si="97"/>
        <v>274.39941465794072</v>
      </c>
      <c r="F1902" s="601"/>
      <c r="G1902" s="546"/>
      <c r="H1902" s="531"/>
      <c r="I1902" s="531"/>
      <c r="J1902" s="531"/>
    </row>
    <row r="1903" spans="2:13">
      <c r="B1903" s="531"/>
      <c r="C1903" s="548" t="s">
        <v>175</v>
      </c>
      <c r="D1903" s="576">
        <f>E1903/$J$1885</f>
        <v>11808.48</v>
      </c>
      <c r="E1903" s="575">
        <v>600</v>
      </c>
      <c r="F1903" s="601"/>
      <c r="G1903" s="546"/>
      <c r="H1903" s="531"/>
      <c r="I1903" s="531"/>
      <c r="J1903" s="531"/>
    </row>
    <row r="1904" spans="2:13">
      <c r="B1904" s="531"/>
      <c r="C1904" s="548" t="s">
        <v>176</v>
      </c>
      <c r="D1904" s="576">
        <f>E1904/$J$1885</f>
        <v>7872.3200000000006</v>
      </c>
      <c r="E1904" s="575">
        <v>400</v>
      </c>
      <c r="F1904" s="601"/>
      <c r="G1904" s="546"/>
      <c r="H1904" s="531"/>
      <c r="I1904" s="531"/>
      <c r="J1904" s="531"/>
    </row>
    <row r="1905" spans="2:10">
      <c r="B1905" s="531"/>
      <c r="C1905" s="548" t="s">
        <v>277</v>
      </c>
      <c r="D1905" s="576">
        <f>E1905/$J$1885</f>
        <v>11808.48</v>
      </c>
      <c r="E1905" s="575">
        <v>600</v>
      </c>
      <c r="F1905" s="601"/>
      <c r="G1905" s="549"/>
      <c r="H1905" s="531"/>
      <c r="I1905" s="531"/>
      <c r="J1905" s="531"/>
    </row>
    <row r="1906" spans="2:10">
      <c r="B1906" s="531"/>
      <c r="C1906" s="548" t="s">
        <v>178</v>
      </c>
      <c r="D1906" s="576">
        <f>E1906/$J$1885</f>
        <v>13776.560000000001</v>
      </c>
      <c r="E1906" s="575">
        <v>700</v>
      </c>
      <c r="F1906" s="601"/>
      <c r="G1906" s="549"/>
      <c r="H1906" s="531"/>
      <c r="I1906" s="531"/>
      <c r="J1906" s="531"/>
    </row>
    <row r="1907" spans="2:10">
      <c r="B1907" s="531"/>
      <c r="C1907" s="548" t="s">
        <v>207</v>
      </c>
      <c r="D1907" s="576">
        <f>E1907/$J$1885</f>
        <v>9840.4</v>
      </c>
      <c r="E1907" s="575">
        <v>500</v>
      </c>
      <c r="F1907" s="601"/>
      <c r="G1907" s="546"/>
      <c r="H1907" s="531"/>
      <c r="I1907" s="531"/>
      <c r="J1907" s="531"/>
    </row>
    <row r="1908" spans="2:10">
      <c r="B1908" s="531"/>
      <c r="C1908" s="548"/>
      <c r="D1908" s="576"/>
      <c r="E1908" s="575"/>
      <c r="F1908" s="547"/>
      <c r="G1908" s="546"/>
      <c r="H1908" s="531"/>
      <c r="I1908" s="531"/>
      <c r="J1908" s="531"/>
    </row>
    <row r="1909" spans="2:10">
      <c r="B1909" s="531"/>
      <c r="C1909" s="554" t="s">
        <v>113</v>
      </c>
      <c r="D1909" s="576"/>
      <c r="E1909" s="575"/>
      <c r="F1909" s="547"/>
      <c r="G1909" s="546"/>
      <c r="H1909" s="531"/>
      <c r="I1909" s="531"/>
      <c r="J1909" s="531"/>
    </row>
    <row r="1910" spans="2:10" ht="25.5">
      <c r="B1910" s="531"/>
      <c r="C1910" s="548" t="s">
        <v>420</v>
      </c>
      <c r="D1910" s="418">
        <v>100</v>
      </c>
      <c r="E1910" s="539">
        <f>D1910*$J$1885</f>
        <v>5.0810942644607939</v>
      </c>
      <c r="F1910" s="547"/>
      <c r="G1910" s="546"/>
      <c r="H1910" s="531"/>
      <c r="I1910" s="531"/>
      <c r="J1910" s="531"/>
    </row>
    <row r="1911" spans="2:10" ht="25.5">
      <c r="B1911" s="531"/>
      <c r="C1911" s="548" t="s">
        <v>421</v>
      </c>
      <c r="D1911" s="418">
        <v>4198.95</v>
      </c>
      <c r="E1911" s="539">
        <f>D1911*$J$1885</f>
        <v>213.3526076175765</v>
      </c>
      <c r="F1911" s="547"/>
      <c r="G1911" s="546"/>
      <c r="H1911" s="531"/>
      <c r="I1911" s="531"/>
      <c r="J1911" s="531"/>
    </row>
    <row r="1912" spans="2:10">
      <c r="B1912" s="531"/>
      <c r="C1912" s="548" t="s">
        <v>196</v>
      </c>
      <c r="D1912" s="418">
        <v>-705.22199999999998</v>
      </c>
      <c r="E1912" s="539">
        <f>D1912*$J$1885</f>
        <v>-35.832994593715704</v>
      </c>
      <c r="F1912" s="547"/>
      <c r="G1912" s="546"/>
      <c r="H1912" s="531"/>
      <c r="I1912" s="531"/>
      <c r="J1912" s="531"/>
    </row>
    <row r="1913" spans="2:10">
      <c r="B1913" s="531"/>
      <c r="C1913" s="548" t="s">
        <v>65</v>
      </c>
      <c r="D1913" s="418">
        <v>434.69099999999997</v>
      </c>
      <c r="E1913" s="539">
        <f>D1913*$J$1885</f>
        <v>22.087059469127269</v>
      </c>
      <c r="F1913" s="547"/>
      <c r="G1913" s="546"/>
      <c r="H1913" s="531"/>
      <c r="I1913" s="531"/>
      <c r="J1913" s="531"/>
    </row>
    <row r="1914" spans="2:10">
      <c r="B1914" s="531"/>
      <c r="C1914" s="548"/>
      <c r="D1914" s="418"/>
      <c r="E1914" s="575"/>
      <c r="F1914" s="547"/>
      <c r="G1914" s="546"/>
      <c r="H1914" s="531"/>
      <c r="I1914" s="531"/>
      <c r="J1914" s="531"/>
    </row>
    <row r="1915" spans="2:10">
      <c r="B1915" s="531"/>
      <c r="C1915" s="536" t="s">
        <v>66</v>
      </c>
      <c r="D1915" s="535">
        <f>SUM(D1890:D1914)</f>
        <v>98297.991000000009</v>
      </c>
      <c r="E1915" s="534">
        <f>SUM(E1890:E1914)</f>
        <v>4994.6135827811877</v>
      </c>
      <c r="F1915" s="533">
        <f>+D1915/D1920</f>
        <v>7.0826955834851795</v>
      </c>
      <c r="G1915" s="532">
        <f>+E1915/E1920</f>
        <v>6.9757402415523053</v>
      </c>
      <c r="H1915" s="531"/>
      <c r="I1915" s="531"/>
      <c r="J1915" s="531"/>
    </row>
    <row r="1916" spans="2:10">
      <c r="B1916" s="531"/>
      <c r="C1916" s="545" t="s">
        <v>67</v>
      </c>
      <c r="D1916" s="544">
        <f>Model!Z123</f>
        <v>13723.073</v>
      </c>
      <c r="E1916" s="539">
        <f>D1916*$J$1885</f>
        <v>697.28227511076784</v>
      </c>
      <c r="F1916" s="543"/>
      <c r="G1916" s="542"/>
      <c r="H1916" s="531"/>
      <c r="I1916" s="531"/>
      <c r="J1916" s="531"/>
    </row>
    <row r="1917" spans="2:10">
      <c r="B1917" s="531"/>
      <c r="C1917" s="536" t="s">
        <v>68</v>
      </c>
      <c r="D1917" s="535">
        <f>+D1915-D1916</f>
        <v>84574.918000000005</v>
      </c>
      <c r="E1917" s="534">
        <f>+E1915-E1916</f>
        <v>4297.3313076704198</v>
      </c>
      <c r="F1917" s="533">
        <f>+D1917/D1920</f>
        <v>6.0939027552681235</v>
      </c>
      <c r="G1917" s="532">
        <f>+E1917/E1920</f>
        <v>6.0018791118384751</v>
      </c>
      <c r="H1917" s="531"/>
      <c r="I1917" s="531"/>
      <c r="J1917" s="531"/>
    </row>
    <row r="1918" spans="2:10">
      <c r="B1918" s="531"/>
      <c r="C1918" s="541" t="s">
        <v>69</v>
      </c>
      <c r="D1918" s="540">
        <f>Model!Z128</f>
        <v>162572.09299999999</v>
      </c>
      <c r="E1918" s="539">
        <f>D1918*$J$1885</f>
        <v>8260.4412930368671</v>
      </c>
      <c r="F1918" s="538"/>
      <c r="G1918" s="537"/>
      <c r="H1918" s="531"/>
      <c r="I1918" s="531"/>
      <c r="J1918" s="531"/>
    </row>
    <row r="1919" spans="2:10">
      <c r="B1919" s="531"/>
      <c r="C1919" s="536" t="s">
        <v>70</v>
      </c>
      <c r="D1919" s="535">
        <f>D1915+D1918</f>
        <v>260870.084</v>
      </c>
      <c r="E1919" s="534">
        <f>E1915+E1918</f>
        <v>13255.054875818056</v>
      </c>
      <c r="F1919" s="533">
        <f>D1919/D1920</f>
        <v>18.796552940845025</v>
      </c>
      <c r="G1919" s="532">
        <f>E1919/E1920</f>
        <v>18.512707373398204</v>
      </c>
      <c r="H1919" s="531"/>
      <c r="I1919" s="531"/>
      <c r="J1919" s="531"/>
    </row>
    <row r="1920" spans="2:10">
      <c r="C1920" s="530" t="s">
        <v>71</v>
      </c>
      <c r="D1920" s="529">
        <f>Model!Z102</f>
        <v>13878.613000000001</v>
      </c>
      <c r="E1920" s="528">
        <f>D1920*$J$1886</f>
        <v>715.99764467</v>
      </c>
      <c r="F1920" s="527"/>
      <c r="G1920" s="526"/>
    </row>
    <row r="1922" spans="3:13">
      <c r="C1922" s="525" t="s">
        <v>72</v>
      </c>
      <c r="D1922" s="586">
        <f>D1915-Model!Z126</f>
        <v>0</v>
      </c>
      <c r="E1922" s="524"/>
      <c r="I1922" s="523"/>
    </row>
    <row r="1923" spans="3:13" ht="13.5" thickBot="1">
      <c r="D1923" s="522"/>
      <c r="E1923" s="522"/>
      <c r="G1923" s="587"/>
      <c r="K1923" s="531"/>
      <c r="L1923" s="531"/>
      <c r="M1923" s="531"/>
    </row>
    <row r="1924" spans="3:13">
      <c r="C1924" s="507" t="s">
        <v>438</v>
      </c>
      <c r="D1924" s="506" t="s">
        <v>130</v>
      </c>
      <c r="E1924" s="521" t="s">
        <v>131</v>
      </c>
      <c r="G1924" s="599"/>
      <c r="K1924" s="531"/>
      <c r="L1924" s="531"/>
      <c r="M1924" s="531"/>
    </row>
    <row r="1925" spans="3:13">
      <c r="C1925" s="505" t="s">
        <v>198</v>
      </c>
      <c r="D1925" s="579">
        <v>0</v>
      </c>
      <c r="E1925" s="580">
        <v>0</v>
      </c>
      <c r="K1925" s="531"/>
      <c r="L1925" s="531"/>
      <c r="M1925" s="531"/>
    </row>
    <row r="1926" spans="3:13">
      <c r="C1926" s="505" t="s">
        <v>74</v>
      </c>
      <c r="D1926" s="520">
        <f>D1916</f>
        <v>13723.073</v>
      </c>
      <c r="E1926" s="519">
        <f>D1926*$J$1885</f>
        <v>697.28227511076784</v>
      </c>
      <c r="K1926" s="531"/>
      <c r="L1926" s="531"/>
      <c r="M1926" s="531"/>
    </row>
    <row r="1927" spans="3:13" ht="13.5" thickBot="1">
      <c r="C1927" s="518" t="s">
        <v>75</v>
      </c>
      <c r="D1927" s="517">
        <f>SUM(D1925:D1926)</f>
        <v>13723.073</v>
      </c>
      <c r="E1927" s="516">
        <f>SUM(E1925:E1926)</f>
        <v>697.28227511076784</v>
      </c>
      <c r="K1927" s="531"/>
      <c r="L1927" s="531"/>
      <c r="M1927" s="531"/>
    </row>
    <row r="1928" spans="3:13">
      <c r="K1928" s="531"/>
      <c r="L1928" s="531"/>
      <c r="M1928" s="531"/>
    </row>
    <row r="1929" spans="3:13" ht="13.5" thickBot="1">
      <c r="K1929" s="531"/>
      <c r="L1929" s="531"/>
      <c r="M1929" s="531"/>
    </row>
    <row r="1930" spans="3:13">
      <c r="C1930" s="515" t="s">
        <v>439</v>
      </c>
      <c r="D1930" s="506" t="s">
        <v>130</v>
      </c>
      <c r="E1930" s="506" t="s">
        <v>133</v>
      </c>
      <c r="K1930" s="531"/>
      <c r="L1930" s="531"/>
      <c r="M1930" s="531"/>
    </row>
    <row r="1931" spans="3:13">
      <c r="C1931" s="513"/>
      <c r="D1931" s="514"/>
      <c r="E1931" s="514"/>
      <c r="K1931" s="531"/>
      <c r="L1931" s="531"/>
      <c r="M1931" s="531"/>
    </row>
    <row r="1932" spans="3:13">
      <c r="C1932" s="513" t="s">
        <v>241</v>
      </c>
      <c r="D1932" s="592">
        <f>Model!Z119</f>
        <v>255.08500000000001</v>
      </c>
      <c r="E1932" s="591">
        <f>+D1932/$D$1938</f>
        <v>2.5878951497314731E-3</v>
      </c>
      <c r="K1932" s="531"/>
      <c r="L1932" s="531"/>
      <c r="M1932" s="531"/>
    </row>
    <row r="1933" spans="3:13">
      <c r="C1933" s="513" t="s">
        <v>242</v>
      </c>
      <c r="D1933" s="593">
        <v>0</v>
      </c>
      <c r="E1933" s="591">
        <f>+D1933/$D$1938</f>
        <v>0</v>
      </c>
      <c r="K1933" s="531"/>
      <c r="L1933" s="531"/>
      <c r="M1933" s="531"/>
    </row>
    <row r="1934" spans="3:13">
      <c r="C1934" s="513" t="s">
        <v>243</v>
      </c>
      <c r="D1934" s="593">
        <v>0</v>
      </c>
      <c r="E1934" s="591">
        <f>+D1934/$D$1938</f>
        <v>0</v>
      </c>
      <c r="K1934" s="531"/>
      <c r="L1934" s="531"/>
      <c r="M1934" s="531"/>
    </row>
    <row r="1935" spans="3:13">
      <c r="C1935" s="513" t="s">
        <v>244</v>
      </c>
      <c r="D1935" s="592">
        <f>D1901+D1902+D1890</f>
        <v>16088.971</v>
      </c>
      <c r="E1935" s="591">
        <f>+D1935/$D$1938</f>
        <v>0.1632262579731083</v>
      </c>
      <c r="K1935" s="531"/>
      <c r="L1935" s="531"/>
      <c r="M1935" s="531"/>
    </row>
    <row r="1936" spans="3:13">
      <c r="C1936" s="513" t="s">
        <v>245</v>
      </c>
      <c r="D1936" s="592">
        <f>+SUM(D1889:D1911)-SUM(D1932:D1935)</f>
        <v>82224.466</v>
      </c>
      <c r="E1936" s="591">
        <f>+D1936/$D$1938</f>
        <v>0.83418584687716024</v>
      </c>
      <c r="K1936" s="531"/>
      <c r="L1936" s="531"/>
      <c r="M1936" s="531"/>
    </row>
    <row r="1937" spans="2:13" ht="13.5" thickBot="1">
      <c r="C1937" s="513"/>
      <c r="D1937" s="512"/>
      <c r="E1937" s="591"/>
      <c r="K1937" s="531"/>
      <c r="L1937" s="531"/>
      <c r="M1937" s="531"/>
    </row>
    <row r="1938" spans="2:13" ht="13.5" thickBot="1">
      <c r="C1938" s="511" t="s">
        <v>77</v>
      </c>
      <c r="D1938" s="594">
        <f>+SUM(D1932:D1937)</f>
        <v>98568.521999999997</v>
      </c>
      <c r="E1938" s="596">
        <f>+SUM(E1932:E1937)</f>
        <v>1</v>
      </c>
      <c r="K1938" s="531"/>
      <c r="L1938" s="531"/>
      <c r="M1938" s="531"/>
    </row>
    <row r="1939" spans="2:13">
      <c r="C1939" s="510"/>
      <c r="D1939" s="509">
        <f>+D1938+D1912+D1913-D1915</f>
        <v>0</v>
      </c>
      <c r="E1939" s="508"/>
      <c r="K1939" s="531"/>
      <c r="L1939" s="531"/>
      <c r="M1939" s="531"/>
    </row>
    <row r="1940" spans="2:13">
      <c r="B1940" s="561"/>
      <c r="K1940" s="531"/>
      <c r="L1940" s="531"/>
      <c r="M1940" s="531"/>
    </row>
    <row r="1941" spans="2:13">
      <c r="C1941" s="531"/>
      <c r="D1941" s="531"/>
      <c r="E1941" s="531"/>
      <c r="F1941" s="531"/>
      <c r="G1941" s="531"/>
      <c r="H1941" s="531"/>
      <c r="I1941" s="531"/>
      <c r="J1941" s="531"/>
      <c r="K1941" s="531"/>
      <c r="L1941" s="531"/>
      <c r="M1941" s="531"/>
    </row>
    <row r="1942" spans="2:13">
      <c r="B1942" s="557" t="s">
        <v>440</v>
      </c>
      <c r="K1942" s="531"/>
      <c r="L1942" s="531"/>
      <c r="M1942" s="531"/>
    </row>
    <row r="1943" spans="2:13">
      <c r="B1943" s="531"/>
      <c r="C1943" s="531"/>
      <c r="D1943" s="531"/>
      <c r="E1943" s="531"/>
      <c r="F1943" s="531"/>
      <c r="G1943" s="531"/>
      <c r="H1943" s="531"/>
      <c r="I1943" s="557" t="s">
        <v>441</v>
      </c>
      <c r="J1943" s="556">
        <f>Model!Y203</f>
        <v>5.2168922972585227E-2</v>
      </c>
      <c r="K1943" s="531"/>
      <c r="L1943" s="531"/>
      <c r="M1943" s="531"/>
    </row>
    <row r="1944" spans="2:13">
      <c r="B1944" s="531"/>
      <c r="C1944" s="560"/>
      <c r="D1944" s="790" t="s">
        <v>442</v>
      </c>
      <c r="E1944" s="791"/>
      <c r="F1944" s="559" t="s">
        <v>20</v>
      </c>
      <c r="G1944" s="558" t="s">
        <v>21</v>
      </c>
      <c r="H1944" s="531"/>
      <c r="I1944" s="557" t="s">
        <v>443</v>
      </c>
      <c r="J1944" s="556">
        <f>AVERAGE(Model!V202:Y202)</f>
        <v>5.1924999999999999E-2</v>
      </c>
      <c r="K1944" s="531"/>
      <c r="L1944" s="531"/>
      <c r="M1944" s="531"/>
    </row>
    <row r="1945" spans="2:13">
      <c r="B1945" s="531"/>
      <c r="C1945" s="554"/>
      <c r="D1945" s="555" t="s">
        <v>18</v>
      </c>
      <c r="E1945" s="552" t="s">
        <v>19</v>
      </c>
      <c r="F1945" s="550"/>
      <c r="G1945" s="549"/>
      <c r="H1945" s="531"/>
      <c r="I1945" s="531"/>
      <c r="J1945" s="531"/>
      <c r="K1945" s="531"/>
      <c r="L1945" s="531"/>
      <c r="M1945" s="531"/>
    </row>
    <row r="1946" spans="2:13">
      <c r="B1946" s="531"/>
      <c r="C1946" s="554"/>
      <c r="D1946" s="553"/>
      <c r="E1946" s="552"/>
      <c r="F1946" s="550"/>
      <c r="G1946" s="549"/>
      <c r="H1946" s="531"/>
      <c r="I1946" s="531"/>
      <c r="J1946" s="531"/>
      <c r="K1946" s="531"/>
      <c r="L1946" s="531"/>
      <c r="M1946" s="531"/>
    </row>
    <row r="1947" spans="2:13">
      <c r="B1947" s="531"/>
      <c r="C1947" s="554" t="s">
        <v>92</v>
      </c>
      <c r="D1947" s="553"/>
      <c r="E1947" s="552"/>
      <c r="F1947" s="550"/>
      <c r="G1947" s="549"/>
      <c r="H1947" s="531"/>
      <c r="I1947" s="531"/>
      <c r="J1947" s="531"/>
      <c r="K1947" s="531"/>
      <c r="L1947" s="531"/>
      <c r="M1947" s="531"/>
    </row>
    <row r="1948" spans="2:13" ht="25.5">
      <c r="B1948" s="531"/>
      <c r="C1948" s="548" t="s">
        <v>304</v>
      </c>
      <c r="D1948" s="418">
        <v>2622.857</v>
      </c>
      <c r="E1948" s="539">
        <f>D1948*$J$1943</f>
        <v>136.83162480110596</v>
      </c>
      <c r="F1948" s="598"/>
      <c r="G1948" s="546"/>
      <c r="H1948" s="531"/>
      <c r="I1948" s="531"/>
      <c r="J1948" s="531"/>
      <c r="K1948" s="531"/>
      <c r="L1948" s="531"/>
      <c r="M1948" s="531"/>
    </row>
    <row r="1949" spans="2:13" ht="25.5">
      <c r="B1949" s="531"/>
      <c r="C1949" s="548" t="s">
        <v>289</v>
      </c>
      <c r="D1949" s="418">
        <v>524.21799999999996</v>
      </c>
      <c r="E1949" s="539">
        <f>D1949*$J$1943</f>
        <v>27.347888462842679</v>
      </c>
      <c r="F1949" s="550"/>
      <c r="G1949" s="549"/>
      <c r="H1949" s="531"/>
      <c r="I1949" s="531"/>
      <c r="J1949" s="531"/>
      <c r="K1949" s="531"/>
      <c r="L1949" s="531"/>
      <c r="M1949" s="531"/>
    </row>
    <row r="1950" spans="2:13" ht="25.5">
      <c r="B1950" s="531"/>
      <c r="C1950" s="548" t="s">
        <v>289</v>
      </c>
      <c r="D1950" s="418">
        <v>252.434</v>
      </c>
      <c r="E1950" s="539">
        <f>D1950*$J$1943</f>
        <v>13.16920990166158</v>
      </c>
      <c r="F1950" s="550"/>
      <c r="G1950" s="549"/>
      <c r="H1950" s="531"/>
      <c r="I1950" s="531"/>
      <c r="J1950" s="531"/>
      <c r="K1950" s="531"/>
      <c r="L1950" s="531"/>
      <c r="M1950" s="531"/>
    </row>
    <row r="1951" spans="2:13" ht="25.5">
      <c r="B1951" s="531"/>
      <c r="C1951" s="548" t="s">
        <v>444</v>
      </c>
      <c r="D1951" s="418">
        <v>2521.6239999999998</v>
      </c>
      <c r="E1951" s="539">
        <f>D1951*$J$1943</f>
        <v>131.55040822182224</v>
      </c>
      <c r="F1951" s="550"/>
      <c r="G1951" s="549"/>
      <c r="H1951" s="531"/>
      <c r="I1951" s="531"/>
      <c r="J1951" s="531"/>
      <c r="K1951" s="531"/>
      <c r="L1951" s="531"/>
      <c r="M1951" s="531"/>
    </row>
    <row r="1952" spans="2:13" ht="25.5">
      <c r="B1952" s="531"/>
      <c r="C1952" s="548" t="s">
        <v>381</v>
      </c>
      <c r="D1952" s="551">
        <v>1320</v>
      </c>
      <c r="E1952" s="539">
        <f>D1952*$J$1943</f>
        <v>68.862978323812499</v>
      </c>
      <c r="F1952" s="550"/>
      <c r="G1952" s="549"/>
      <c r="H1952" s="531"/>
      <c r="I1952" s="531"/>
      <c r="J1952" s="531"/>
      <c r="K1952" s="531"/>
      <c r="L1952" s="531"/>
      <c r="M1952" s="531"/>
    </row>
    <row r="1953" spans="2:13">
      <c r="B1953" s="531"/>
      <c r="C1953" s="548"/>
      <c r="D1953" s="551"/>
      <c r="E1953" s="539"/>
      <c r="F1953" s="550"/>
      <c r="G1953" s="549"/>
      <c r="H1953" s="531"/>
      <c r="I1953" s="531"/>
      <c r="J1953" s="531"/>
      <c r="K1953" s="531"/>
      <c r="L1953" s="531"/>
      <c r="M1953" s="531"/>
    </row>
    <row r="1954" spans="2:13">
      <c r="B1954" s="531"/>
      <c r="C1954" s="554" t="s">
        <v>97</v>
      </c>
      <c r="D1954" s="551"/>
      <c r="E1954" s="539"/>
      <c r="F1954" s="550"/>
      <c r="G1954" s="549"/>
      <c r="H1954" s="531"/>
      <c r="I1954" s="531"/>
      <c r="J1954" s="531"/>
      <c r="K1954" s="531"/>
      <c r="L1954" s="531"/>
      <c r="M1954" s="531"/>
    </row>
    <row r="1955" spans="2:13" ht="25.5">
      <c r="B1955" s="531"/>
      <c r="C1955" s="548" t="s">
        <v>290</v>
      </c>
      <c r="D1955" s="418">
        <v>3120.9</v>
      </c>
      <c r="E1955" s="539">
        <f t="shared" ref="E1955:E1961" si="98">D1955*$J$1943</f>
        <v>162.81399170514123</v>
      </c>
      <c r="F1955" s="547"/>
      <c r="G1955" s="546"/>
      <c r="H1955" s="531"/>
      <c r="I1955" s="531"/>
      <c r="J1955" s="531"/>
      <c r="K1955" s="531"/>
      <c r="L1955" s="531"/>
      <c r="M1955" s="531"/>
    </row>
    <row r="1956" spans="2:13" ht="25.5">
      <c r="B1956" s="531"/>
      <c r="C1956" s="548" t="s">
        <v>343</v>
      </c>
      <c r="D1956" s="418">
        <v>7500</v>
      </c>
      <c r="E1956" s="539">
        <f t="shared" si="98"/>
        <v>391.26692229438919</v>
      </c>
      <c r="F1956" s="550"/>
      <c r="G1956" s="549"/>
      <c r="H1956" s="531"/>
      <c r="I1956" s="531"/>
      <c r="J1956" s="531"/>
      <c r="K1956" s="531"/>
      <c r="L1956" s="531"/>
      <c r="M1956" s="531"/>
    </row>
    <row r="1957" spans="2:13" ht="25.5">
      <c r="B1957" s="531"/>
      <c r="C1957" s="548" t="s">
        <v>388</v>
      </c>
      <c r="D1957" s="551">
        <v>2664.3670000000002</v>
      </c>
      <c r="E1957" s="539">
        <f t="shared" si="98"/>
        <v>138.997156793698</v>
      </c>
      <c r="F1957" s="550"/>
      <c r="G1957" s="549"/>
      <c r="H1957" s="531"/>
      <c r="I1957" s="531"/>
      <c r="J1957" s="531"/>
      <c r="K1957" s="531"/>
      <c r="L1957" s="531"/>
      <c r="M1957" s="531"/>
    </row>
    <row r="1958" spans="2:13" ht="25.5">
      <c r="B1958" s="531"/>
      <c r="C1958" s="548" t="s">
        <v>168</v>
      </c>
      <c r="D1958" s="418">
        <v>2865.7649999999999</v>
      </c>
      <c r="E1958" s="539">
        <f t="shared" si="98"/>
        <v>149.5038735425307</v>
      </c>
      <c r="F1958" s="547"/>
      <c r="G1958" s="546"/>
      <c r="H1958" s="531"/>
      <c r="I1958" s="531"/>
      <c r="J1958" s="531"/>
      <c r="K1958" s="531"/>
      <c r="L1958" s="531"/>
      <c r="M1958" s="531"/>
    </row>
    <row r="1959" spans="2:13" ht="25.5">
      <c r="B1959" s="531"/>
      <c r="C1959" s="548" t="s">
        <v>169</v>
      </c>
      <c r="D1959" s="418">
        <v>4799.6000000000004</v>
      </c>
      <c r="E1959" s="539">
        <f t="shared" si="98"/>
        <v>250.38996269922006</v>
      </c>
      <c r="F1959" s="550"/>
      <c r="G1959" s="549"/>
      <c r="H1959" s="531"/>
      <c r="I1959" s="531"/>
      <c r="J1959" s="531"/>
      <c r="K1959" s="531"/>
      <c r="L1959" s="531"/>
      <c r="M1959" s="531"/>
    </row>
    <row r="1960" spans="2:13" ht="25.5">
      <c r="B1960" s="531"/>
      <c r="C1960" s="548" t="s">
        <v>373</v>
      </c>
      <c r="D1960" s="551">
        <v>8100</v>
      </c>
      <c r="E1960" s="539">
        <f t="shared" si="98"/>
        <v>422.56827607794037</v>
      </c>
      <c r="F1960" s="550"/>
      <c r="G1960" s="549"/>
      <c r="H1960" s="531"/>
      <c r="I1960" s="531"/>
      <c r="J1960" s="531"/>
      <c r="K1960" s="531"/>
      <c r="L1960" s="531"/>
      <c r="M1960" s="531"/>
    </row>
    <row r="1961" spans="2:13" ht="25.5">
      <c r="B1961" s="531"/>
      <c r="C1961" s="548" t="s">
        <v>395</v>
      </c>
      <c r="D1961" s="418">
        <v>5400.4</v>
      </c>
      <c r="E1961" s="539">
        <f t="shared" si="98"/>
        <v>281.73305162114923</v>
      </c>
      <c r="F1961" s="547"/>
      <c r="G1961" s="546"/>
      <c r="H1961" s="531"/>
      <c r="I1961" s="531"/>
      <c r="J1961" s="531"/>
      <c r="K1961" s="531"/>
      <c r="L1961" s="531"/>
      <c r="M1961" s="531"/>
    </row>
    <row r="1962" spans="2:13">
      <c r="B1962" s="531"/>
      <c r="C1962" s="548" t="s">
        <v>445</v>
      </c>
      <c r="D1962" s="576">
        <f>E1962/$J$1943</f>
        <v>11501.1</v>
      </c>
      <c r="E1962" s="575">
        <v>600</v>
      </c>
      <c r="F1962" s="547"/>
      <c r="G1962" s="546"/>
      <c r="H1962" s="531"/>
      <c r="I1962" s="531"/>
      <c r="J1962" s="531"/>
      <c r="K1962" s="531"/>
      <c r="L1962" s="531"/>
      <c r="M1962" s="531"/>
    </row>
    <row r="1963" spans="2:13">
      <c r="B1963" s="531"/>
      <c r="C1963" s="548" t="s">
        <v>446</v>
      </c>
      <c r="D1963" s="576">
        <f>E1963/$J$1943</f>
        <v>7667.4000000000005</v>
      </c>
      <c r="E1963" s="575">
        <v>400</v>
      </c>
      <c r="F1963" s="547"/>
      <c r="G1963" s="546"/>
      <c r="H1963" s="531"/>
      <c r="I1963" s="531"/>
      <c r="J1963" s="531"/>
    </row>
    <row r="1964" spans="2:13">
      <c r="B1964" s="531"/>
      <c r="C1964" s="548" t="s">
        <v>277</v>
      </c>
      <c r="D1964" s="576">
        <f>E1964/$J$1943</f>
        <v>11501.1</v>
      </c>
      <c r="E1964" s="575">
        <v>600</v>
      </c>
      <c r="F1964" s="550"/>
      <c r="G1964" s="549"/>
      <c r="H1964" s="531"/>
      <c r="I1964" s="531"/>
      <c r="J1964" s="531"/>
    </row>
    <row r="1965" spans="2:13">
      <c r="B1965" s="531"/>
      <c r="C1965" s="548" t="s">
        <v>178</v>
      </c>
      <c r="D1965" s="576">
        <f>E1965/$J$1943</f>
        <v>13417.95</v>
      </c>
      <c r="E1965" s="575">
        <v>700</v>
      </c>
      <c r="F1965" s="550"/>
      <c r="G1965" s="549"/>
      <c r="H1965" s="531"/>
      <c r="I1965" s="531"/>
      <c r="J1965" s="531"/>
    </row>
    <row r="1966" spans="2:13">
      <c r="B1966" s="531"/>
      <c r="C1966" s="548" t="s">
        <v>207</v>
      </c>
      <c r="D1966" s="576">
        <f>E1966/$J$1943</f>
        <v>9584.25</v>
      </c>
      <c r="E1966" s="575">
        <v>500</v>
      </c>
      <c r="F1966" s="547"/>
      <c r="G1966" s="546"/>
      <c r="H1966" s="531"/>
      <c r="I1966" s="531"/>
      <c r="J1966" s="531"/>
    </row>
    <row r="1967" spans="2:13">
      <c r="B1967" s="531"/>
      <c r="C1967" s="548"/>
      <c r="D1967" s="576"/>
      <c r="E1967" s="575"/>
      <c r="F1967" s="547"/>
      <c r="G1967" s="546"/>
      <c r="H1967" s="531"/>
      <c r="I1967" s="531"/>
      <c r="J1967" s="531"/>
    </row>
    <row r="1968" spans="2:13">
      <c r="B1968" s="531"/>
      <c r="C1968" s="554" t="s">
        <v>113</v>
      </c>
      <c r="D1968" s="576"/>
      <c r="E1968" s="575"/>
      <c r="F1968" s="547"/>
      <c r="G1968" s="546"/>
      <c r="H1968" s="531"/>
      <c r="I1968" s="531"/>
      <c r="J1968" s="531"/>
    </row>
    <row r="1969" spans="2:10" ht="25.5">
      <c r="B1969" s="531"/>
      <c r="C1969" s="548" t="s">
        <v>420</v>
      </c>
      <c r="D1969" s="418">
        <v>100</v>
      </c>
      <c r="E1969" s="539">
        <f>D1969*$J$1943</f>
        <v>5.2168922972585223</v>
      </c>
      <c r="F1969" s="547"/>
      <c r="G1969" s="546"/>
      <c r="H1969" s="531"/>
      <c r="I1969" s="531"/>
      <c r="J1969" s="531"/>
    </row>
    <row r="1970" spans="2:10" ht="25.5">
      <c r="B1970" s="531"/>
      <c r="C1970" s="548" t="s">
        <v>421</v>
      </c>
      <c r="D1970" s="418">
        <v>4200</v>
      </c>
      <c r="E1970" s="539">
        <f>D1970*$J$1943</f>
        <v>219.10947648485796</v>
      </c>
      <c r="F1970" s="547"/>
      <c r="G1970" s="546"/>
      <c r="H1970" s="531"/>
      <c r="I1970" s="531"/>
      <c r="J1970" s="531"/>
    </row>
    <row r="1971" spans="2:10">
      <c r="B1971" s="531"/>
      <c r="C1971" s="548" t="s">
        <v>196</v>
      </c>
      <c r="D1971" s="418">
        <v>-521.94200000000001</v>
      </c>
      <c r="E1971" s="539">
        <f>D1971*$J$1943</f>
        <v>-27.229151994157078</v>
      </c>
      <c r="F1971" s="547"/>
      <c r="G1971" s="546"/>
      <c r="H1971" s="531"/>
      <c r="I1971" s="531"/>
      <c r="J1971" s="531"/>
    </row>
    <row r="1972" spans="2:10">
      <c r="B1972" s="531"/>
      <c r="C1972" s="548" t="s">
        <v>65</v>
      </c>
      <c r="D1972" s="418">
        <v>95.171000000000006</v>
      </c>
      <c r="E1972" s="539">
        <f>D1972*$J$1943</f>
        <v>4.9649685682239086</v>
      </c>
      <c r="F1972" s="547"/>
      <c r="G1972" s="546"/>
      <c r="H1972" s="531"/>
      <c r="I1972" s="531"/>
      <c r="J1972" s="531"/>
    </row>
    <row r="1973" spans="2:10">
      <c r="B1973" s="531"/>
      <c r="C1973" s="548"/>
      <c r="D1973" s="418"/>
      <c r="E1973" s="575"/>
      <c r="F1973" s="547"/>
      <c r="G1973" s="546"/>
      <c r="H1973" s="531"/>
      <c r="I1973" s="531"/>
      <c r="J1973" s="531"/>
    </row>
    <row r="1974" spans="2:10">
      <c r="B1974" s="531"/>
      <c r="C1974" s="536" t="s">
        <v>66</v>
      </c>
      <c r="D1974" s="535">
        <f>SUM(D1948:D1973)</f>
        <v>99237.194000000003</v>
      </c>
      <c r="E1974" s="534">
        <f>SUM(E1948:E1973)</f>
        <v>5177.0975298014973</v>
      </c>
      <c r="F1974" s="533">
        <f>+D1974/D1979</f>
        <v>7.3177354876478748</v>
      </c>
      <c r="G1974" s="532">
        <f>+E1974/E1979</f>
        <v>7.3521112949225893</v>
      </c>
      <c r="H1974" s="531"/>
      <c r="I1974" s="531"/>
      <c r="J1974" s="531"/>
    </row>
    <row r="1975" spans="2:10">
      <c r="B1975" s="531"/>
      <c r="C1975" s="545" t="s">
        <v>67</v>
      </c>
      <c r="D1975" s="544">
        <f>Model!Y123</f>
        <v>18152.333999999999</v>
      </c>
      <c r="E1975" s="539">
        <f>D1975*$J$1943</f>
        <v>946.98771421863978</v>
      </c>
      <c r="F1975" s="543"/>
      <c r="G1975" s="542"/>
      <c r="H1975" s="531"/>
      <c r="I1975" s="531"/>
      <c r="J1975" s="531"/>
    </row>
    <row r="1976" spans="2:10">
      <c r="B1976" s="531"/>
      <c r="C1976" s="536" t="s">
        <v>68</v>
      </c>
      <c r="D1976" s="535">
        <f>+D1974-D1975</f>
        <v>81084.86</v>
      </c>
      <c r="E1976" s="534">
        <f>+E1974-E1975</f>
        <v>4230.1098155828577</v>
      </c>
      <c r="F1976" s="533">
        <f>+D1976/D1979</f>
        <v>5.9791851584695115</v>
      </c>
      <c r="G1976" s="532">
        <f>+E1976/E1979</f>
        <v>6.0072729893311667</v>
      </c>
      <c r="H1976" s="531"/>
      <c r="I1976" s="531"/>
      <c r="J1976" s="531"/>
    </row>
    <row r="1977" spans="2:10">
      <c r="B1977" s="531"/>
      <c r="C1977" s="541" t="s">
        <v>69</v>
      </c>
      <c r="D1977" s="540">
        <f>Model!Y128</f>
        <v>163414.42199999999</v>
      </c>
      <c r="E1977" s="539">
        <f>D1977*$J$1943</f>
        <v>8525.1543939275361</v>
      </c>
      <c r="F1977" s="538"/>
      <c r="G1977" s="537"/>
      <c r="H1977" s="531"/>
      <c r="I1977" s="531"/>
      <c r="J1977" s="531"/>
    </row>
    <row r="1978" spans="2:10">
      <c r="B1978" s="531"/>
      <c r="C1978" s="536" t="s">
        <v>70</v>
      </c>
      <c r="D1978" s="535">
        <f>D1974+D1977</f>
        <v>262651.61599999998</v>
      </c>
      <c r="E1978" s="534">
        <f>E1974+E1977</f>
        <v>13702.251923729033</v>
      </c>
      <c r="F1978" s="533">
        <f>D1978/D1979</f>
        <v>19.367889939444098</v>
      </c>
      <c r="G1978" s="532">
        <f>E1978/E1979</f>
        <v>19.458872573757681</v>
      </c>
      <c r="H1978" s="531"/>
      <c r="I1978" s="531"/>
      <c r="J1978" s="531"/>
    </row>
    <row r="1979" spans="2:10">
      <c r="C1979" s="530" t="s">
        <v>71</v>
      </c>
      <c r="D1979" s="529">
        <f>Model!Y102</f>
        <v>13561.189</v>
      </c>
      <c r="E1979" s="528">
        <f>D1979*$J$1944</f>
        <v>704.16473882499997</v>
      </c>
      <c r="F1979" s="527"/>
      <c r="G1979" s="526"/>
    </row>
    <row r="1981" spans="2:10">
      <c r="C1981" s="525" t="s">
        <v>72</v>
      </c>
      <c r="D1981" s="586">
        <f>D1974-Model!Y126</f>
        <v>0</v>
      </c>
      <c r="E1981" s="524"/>
      <c r="I1981" s="523"/>
    </row>
    <row r="1982" spans="2:10" ht="13.5" thickBot="1">
      <c r="D1982" s="522"/>
      <c r="E1982" s="522"/>
      <c r="G1982" s="587"/>
    </row>
    <row r="1983" spans="2:10">
      <c r="C1983" s="507" t="s">
        <v>447</v>
      </c>
      <c r="D1983" s="506" t="s">
        <v>130</v>
      </c>
      <c r="E1983" s="521" t="s">
        <v>131</v>
      </c>
      <c r="G1983" s="599"/>
    </row>
    <row r="1984" spans="2:10">
      <c r="C1984" s="505" t="s">
        <v>198</v>
      </c>
      <c r="D1984" s="579">
        <v>0</v>
      </c>
      <c r="E1984" s="580">
        <v>0</v>
      </c>
    </row>
    <row r="1985" spans="2:10">
      <c r="C1985" s="505" t="s">
        <v>74</v>
      </c>
      <c r="D1985" s="520">
        <f>D1975</f>
        <v>18152.333999999999</v>
      </c>
      <c r="E1985" s="519">
        <f>D1985*$J$1943</f>
        <v>946.98771421863978</v>
      </c>
    </row>
    <row r="1986" spans="2:10" ht="13.5" thickBot="1">
      <c r="C1986" s="518" t="s">
        <v>75</v>
      </c>
      <c r="D1986" s="517">
        <f>SUM(D1984:D1985)</f>
        <v>18152.333999999999</v>
      </c>
      <c r="E1986" s="516">
        <f>SUM(E1984:E1985)</f>
        <v>946.98771421863978</v>
      </c>
    </row>
    <row r="1988" spans="2:10" ht="13.5" thickBot="1"/>
    <row r="1989" spans="2:10">
      <c r="C1989" s="515" t="s">
        <v>448</v>
      </c>
      <c r="D1989" s="506"/>
      <c r="E1989" s="595" t="s">
        <v>133</v>
      </c>
    </row>
    <row r="1990" spans="2:10">
      <c r="C1990" s="513"/>
      <c r="D1990" s="514"/>
      <c r="E1990" s="514"/>
    </row>
    <row r="1991" spans="2:10">
      <c r="C1991" s="513" t="s">
        <v>241</v>
      </c>
      <c r="D1991" s="592">
        <f>+Model!Y119</f>
        <v>308.28199999999998</v>
      </c>
      <c r="E1991" s="591">
        <f>+D1991/$D$1997</f>
        <v>3.093214282614584E-3</v>
      </c>
    </row>
    <row r="1992" spans="2:10">
      <c r="C1992" s="513" t="s">
        <v>242</v>
      </c>
      <c r="D1992" s="593">
        <v>0</v>
      </c>
      <c r="E1992" s="591">
        <f>+D1992/$D$1997</f>
        <v>0</v>
      </c>
    </row>
    <row r="1993" spans="2:10">
      <c r="C1993" s="513" t="s">
        <v>243</v>
      </c>
      <c r="D1993" s="593">
        <v>0</v>
      </c>
      <c r="E1993" s="591">
        <f>+D1993/$D$1997</f>
        <v>0</v>
      </c>
    </row>
    <row r="1994" spans="2:10">
      <c r="C1994" s="513" t="s">
        <v>244</v>
      </c>
      <c r="D1994" s="592">
        <f>+D1961+D1960</f>
        <v>13500.4</v>
      </c>
      <c r="E1994" s="591">
        <f>+D1994/$D$1997</f>
        <v>0.13545919029009132</v>
      </c>
    </row>
    <row r="1995" spans="2:10">
      <c r="C1995" s="513" t="s">
        <v>245</v>
      </c>
      <c r="D1995" s="592">
        <f>+SUM(D1948:D1970)-SUM(D1991:D1994)</f>
        <v>85855.282999999996</v>
      </c>
      <c r="E1995" s="591">
        <f>+D1995/$D$1997</f>
        <v>0.8614475954272941</v>
      </c>
    </row>
    <row r="1996" spans="2:10" ht="13.5" thickBot="1">
      <c r="C1996" s="513"/>
      <c r="D1996" s="512"/>
      <c r="E1996" s="591"/>
    </row>
    <row r="1997" spans="2:10" ht="13.5" thickBot="1">
      <c r="C1997" s="511" t="s">
        <v>77</v>
      </c>
      <c r="D1997" s="594">
        <f>+SUM(D1991:D1996)</f>
        <v>99663.964999999997</v>
      </c>
      <c r="E1997" s="596">
        <f>+SUM(E1991:E1996)</f>
        <v>1</v>
      </c>
    </row>
    <row r="1998" spans="2:10">
      <c r="C1998" s="510"/>
      <c r="D1998" s="509">
        <f>+D1997+D1971+D1972-D1974</f>
        <v>0</v>
      </c>
      <c r="E1998" s="508"/>
    </row>
    <row r="1999" spans="2:10">
      <c r="B1999" s="561"/>
    </row>
    <row r="2000" spans="2:10">
      <c r="B2000" s="557" t="s">
        <v>449</v>
      </c>
      <c r="C2000" s="531"/>
      <c r="D2000" s="531"/>
      <c r="E2000" s="531"/>
      <c r="F2000" s="531"/>
      <c r="G2000" s="531"/>
      <c r="H2000" s="531"/>
      <c r="I2000" s="531"/>
      <c r="J2000" s="531"/>
    </row>
    <row r="2001" spans="2:10">
      <c r="B2001" s="531"/>
      <c r="C2001" s="531"/>
      <c r="D2001" s="531"/>
      <c r="E2001" s="531"/>
      <c r="F2001" s="531"/>
      <c r="G2001" s="531"/>
      <c r="H2001" s="531"/>
      <c r="I2001" s="557" t="s">
        <v>450</v>
      </c>
      <c r="J2001" s="556">
        <f>Model!X203</f>
        <v>5.1601451032803038E-2</v>
      </c>
    </row>
    <row r="2002" spans="2:10">
      <c r="B2002" s="531"/>
      <c r="C2002" s="560"/>
      <c r="D2002" s="790" t="s">
        <v>451</v>
      </c>
      <c r="E2002" s="791"/>
      <c r="F2002" s="559" t="s">
        <v>20</v>
      </c>
      <c r="G2002" s="558" t="s">
        <v>21</v>
      </c>
      <c r="H2002" s="531"/>
      <c r="I2002" s="557" t="s">
        <v>452</v>
      </c>
      <c r="J2002" s="556">
        <f>AVERAGE(Model!U202:X202)</f>
        <v>5.1739999999999994E-2</v>
      </c>
    </row>
    <row r="2003" spans="2:10">
      <c r="B2003" s="531"/>
      <c r="C2003" s="554"/>
      <c r="D2003" s="555" t="s">
        <v>18</v>
      </c>
      <c r="E2003" s="552" t="s">
        <v>19</v>
      </c>
      <c r="F2003" s="550"/>
      <c r="G2003" s="549"/>
      <c r="H2003" s="531"/>
      <c r="I2003" s="531"/>
      <c r="J2003" s="531"/>
    </row>
    <row r="2004" spans="2:10">
      <c r="B2004" s="531"/>
      <c r="C2004" s="554"/>
      <c r="D2004" s="553"/>
      <c r="E2004" s="552"/>
      <c r="F2004" s="550"/>
      <c r="G2004" s="549"/>
      <c r="H2004" s="531"/>
      <c r="I2004" s="531"/>
      <c r="J2004" s="531"/>
    </row>
    <row r="2005" spans="2:10">
      <c r="B2005" s="531"/>
      <c r="C2005" s="554" t="s">
        <v>92</v>
      </c>
      <c r="D2005" s="553"/>
      <c r="E2005" s="552"/>
      <c r="F2005" s="550"/>
      <c r="G2005" s="549"/>
      <c r="H2005" s="531"/>
      <c r="I2005" s="531"/>
      <c r="J2005" s="531"/>
    </row>
    <row r="2006" spans="2:10" ht="25.5">
      <c r="B2006" s="531"/>
      <c r="C2006" s="548" t="s">
        <v>453</v>
      </c>
      <c r="D2006" s="576">
        <f>E2006/$J$2001</f>
        <v>1232.135894</v>
      </c>
      <c r="E2006" s="575">
        <v>63.58</v>
      </c>
      <c r="F2006" s="550"/>
      <c r="G2006" s="549"/>
      <c r="H2006" s="531"/>
      <c r="I2006" s="531"/>
      <c r="J2006" s="531"/>
    </row>
    <row r="2007" spans="2:10" ht="25.5">
      <c r="B2007" s="531"/>
      <c r="C2007" s="548" t="s">
        <v>304</v>
      </c>
      <c r="D2007" s="418">
        <v>2657.143</v>
      </c>
      <c r="E2007" s="539">
        <f t="shared" ref="E2007:E2020" si="99">D2007*$J$2001</f>
        <v>137.11243440165535</v>
      </c>
      <c r="F2007" s="547"/>
      <c r="G2007" s="546"/>
      <c r="H2007" s="531"/>
      <c r="I2007" s="531"/>
      <c r="J2007" s="531"/>
    </row>
    <row r="2008" spans="2:10" ht="25.5">
      <c r="B2008" s="531"/>
      <c r="C2008" s="548" t="s">
        <v>289</v>
      </c>
      <c r="D2008" s="418">
        <v>525.50300000000004</v>
      </c>
      <c r="E2008" s="539">
        <f t="shared" si="99"/>
        <v>27.116717322091098</v>
      </c>
      <c r="F2008" s="550"/>
      <c r="G2008" s="549"/>
      <c r="H2008" s="531"/>
      <c r="I2008" s="531"/>
      <c r="J2008" s="531"/>
    </row>
    <row r="2009" spans="2:10" ht="25.5">
      <c r="B2009" s="531"/>
      <c r="C2009" s="548" t="s">
        <v>289</v>
      </c>
      <c r="D2009" s="418">
        <v>253.03</v>
      </c>
      <c r="E2009" s="539">
        <f t="shared" si="99"/>
        <v>13.056715154830153</v>
      </c>
      <c r="F2009" s="550"/>
      <c r="G2009" s="549"/>
      <c r="H2009" s="531"/>
      <c r="I2009" s="531"/>
      <c r="J2009" s="531"/>
    </row>
    <row r="2010" spans="2:10" ht="25.5">
      <c r="B2010" s="531"/>
      <c r="C2010" s="548" t="s">
        <v>444</v>
      </c>
      <c r="D2010" s="418">
        <v>2535.529</v>
      </c>
      <c r="E2010" s="539">
        <f t="shared" si="99"/>
        <v>130.83697553575206</v>
      </c>
      <c r="F2010" s="550"/>
      <c r="G2010" s="549"/>
      <c r="H2010" s="531"/>
      <c r="I2010" s="531"/>
      <c r="J2010" s="531"/>
    </row>
    <row r="2011" spans="2:10" ht="25.5">
      <c r="B2011" s="531"/>
      <c r="C2011" s="548" t="s">
        <v>381</v>
      </c>
      <c r="D2011" s="551">
        <v>660</v>
      </c>
      <c r="E2011" s="539">
        <f t="shared" si="99"/>
        <v>34.056957681650005</v>
      </c>
      <c r="F2011" s="550"/>
      <c r="G2011" s="549"/>
      <c r="H2011" s="531"/>
      <c r="I2011" s="531"/>
      <c r="J2011" s="531"/>
    </row>
    <row r="2012" spans="2:10">
      <c r="B2012" s="531"/>
      <c r="C2012" s="548"/>
      <c r="D2012" s="551"/>
      <c r="E2012" s="539"/>
      <c r="F2012" s="550"/>
      <c r="G2012" s="549"/>
      <c r="H2012" s="531"/>
      <c r="I2012" s="531"/>
      <c r="J2012" s="531"/>
    </row>
    <row r="2013" spans="2:10">
      <c r="B2013" s="531"/>
      <c r="C2013" s="554" t="s">
        <v>97</v>
      </c>
      <c r="D2013" s="551"/>
      <c r="E2013" s="539"/>
      <c r="F2013" s="550"/>
      <c r="G2013" s="549"/>
      <c r="H2013" s="531"/>
      <c r="I2013" s="531"/>
      <c r="J2013" s="531"/>
    </row>
    <row r="2014" spans="2:10" ht="25.5">
      <c r="B2014" s="531"/>
      <c r="C2014" s="548" t="s">
        <v>290</v>
      </c>
      <c r="D2014" s="418">
        <v>3120.9</v>
      </c>
      <c r="E2014" s="539">
        <f t="shared" si="99"/>
        <v>161.042968528275</v>
      </c>
      <c r="F2014" s="547"/>
      <c r="G2014" s="546"/>
      <c r="H2014" s="531"/>
      <c r="I2014" s="531"/>
      <c r="J2014" s="531"/>
    </row>
    <row r="2015" spans="2:10" ht="25.5">
      <c r="B2015" s="531"/>
      <c r="C2015" s="548" t="s">
        <v>343</v>
      </c>
      <c r="D2015" s="418">
        <v>7500</v>
      </c>
      <c r="E2015" s="539">
        <f t="shared" si="99"/>
        <v>387.01088274602279</v>
      </c>
      <c r="F2015" s="550"/>
      <c r="G2015" s="549"/>
      <c r="H2015" s="531"/>
      <c r="I2015" s="531"/>
      <c r="J2015" s="531"/>
    </row>
    <row r="2016" spans="2:10" ht="25.5">
      <c r="B2016" s="531"/>
      <c r="C2016" s="548" t="s">
        <v>388</v>
      </c>
      <c r="D2016" s="551">
        <v>2665.1489999999999</v>
      </c>
      <c r="E2016" s="539">
        <f t="shared" si="99"/>
        <v>137.52555561862397</v>
      </c>
      <c r="F2016" s="550"/>
      <c r="G2016" s="549"/>
      <c r="H2016" s="531"/>
      <c r="I2016" s="531"/>
      <c r="J2016" s="531"/>
    </row>
    <row r="2017" spans="2:10" ht="25.5">
      <c r="B2017" s="531"/>
      <c r="C2017" s="548" t="s">
        <v>168</v>
      </c>
      <c r="D2017" s="418">
        <v>2866.6060000000002</v>
      </c>
      <c r="E2017" s="539">
        <f t="shared" si="99"/>
        <v>147.9210291393394</v>
      </c>
      <c r="F2017" s="547"/>
      <c r="G2017" s="546"/>
      <c r="H2017" s="531"/>
      <c r="I2017" s="531"/>
      <c r="J2017" s="531"/>
    </row>
    <row r="2018" spans="2:10" ht="25.5">
      <c r="B2018" s="531"/>
      <c r="C2018" s="548" t="s">
        <v>169</v>
      </c>
      <c r="D2018" s="418">
        <v>4799.6000000000004</v>
      </c>
      <c r="E2018" s="539">
        <f t="shared" si="99"/>
        <v>247.66632437704149</v>
      </c>
      <c r="F2018" s="550"/>
      <c r="G2018" s="549"/>
      <c r="H2018" s="531"/>
      <c r="I2018" s="531"/>
      <c r="J2018" s="531"/>
    </row>
    <row r="2019" spans="2:10" ht="25.5">
      <c r="B2019" s="531"/>
      <c r="C2019" s="548" t="s">
        <v>373</v>
      </c>
      <c r="D2019" s="551">
        <v>8100</v>
      </c>
      <c r="E2019" s="539">
        <f t="shared" si="99"/>
        <v>417.97175336570461</v>
      </c>
      <c r="F2019" s="550"/>
      <c r="G2019" s="549"/>
      <c r="H2019" s="531"/>
      <c r="I2019" s="531"/>
      <c r="J2019" s="531"/>
    </row>
    <row r="2020" spans="2:10" ht="25.5">
      <c r="B2020" s="531"/>
      <c r="C2020" s="548" t="s">
        <v>395</v>
      </c>
      <c r="D2020" s="418">
        <v>5400.4</v>
      </c>
      <c r="E2020" s="539">
        <f t="shared" si="99"/>
        <v>278.66847615754949</v>
      </c>
      <c r="F2020" s="547"/>
      <c r="G2020" s="546"/>
      <c r="H2020" s="531"/>
      <c r="I2020" s="531"/>
      <c r="J2020" s="531"/>
    </row>
    <row r="2021" spans="2:10">
      <c r="B2021" s="531"/>
      <c r="C2021" s="548" t="s">
        <v>277</v>
      </c>
      <c r="D2021" s="576">
        <f>E2021/$J$2001</f>
        <v>11627.580000000002</v>
      </c>
      <c r="E2021" s="575">
        <v>600</v>
      </c>
      <c r="F2021" s="550"/>
      <c r="G2021" s="549"/>
      <c r="H2021" s="531"/>
      <c r="I2021" s="531"/>
      <c r="J2021" s="531"/>
    </row>
    <row r="2022" spans="2:10">
      <c r="B2022" s="531"/>
      <c r="C2022" s="548" t="s">
        <v>178</v>
      </c>
      <c r="D2022" s="576">
        <f>E2022/$J$2001</f>
        <v>13565.510000000002</v>
      </c>
      <c r="E2022" s="575">
        <v>700</v>
      </c>
      <c r="F2022" s="550"/>
      <c r="G2022" s="549"/>
      <c r="H2022" s="531"/>
      <c r="I2022" s="531"/>
      <c r="J2022" s="531"/>
    </row>
    <row r="2023" spans="2:10">
      <c r="B2023" s="531"/>
      <c r="C2023" s="548" t="s">
        <v>207</v>
      </c>
      <c r="D2023" s="576">
        <f>E2023/$J$2001</f>
        <v>9689.6500000000015</v>
      </c>
      <c r="E2023" s="575">
        <v>500</v>
      </c>
      <c r="F2023" s="547"/>
      <c r="G2023" s="546"/>
      <c r="H2023" s="531"/>
      <c r="I2023" s="531"/>
      <c r="J2023" s="531"/>
    </row>
    <row r="2024" spans="2:10">
      <c r="B2024" s="531"/>
      <c r="C2024" s="548"/>
      <c r="D2024" s="576"/>
      <c r="E2024" s="575"/>
      <c r="F2024" s="547"/>
      <c r="G2024" s="546"/>
      <c r="H2024" s="531"/>
      <c r="I2024" s="531"/>
      <c r="J2024" s="531"/>
    </row>
    <row r="2025" spans="2:10">
      <c r="B2025" s="531"/>
      <c r="C2025" s="554" t="s">
        <v>113</v>
      </c>
      <c r="D2025" s="576"/>
      <c r="E2025" s="575"/>
      <c r="F2025" s="547"/>
      <c r="G2025" s="546"/>
      <c r="H2025" s="531"/>
      <c r="I2025" s="531"/>
      <c r="J2025" s="531"/>
    </row>
    <row r="2026" spans="2:10" ht="25.5">
      <c r="B2026" s="531"/>
      <c r="C2026" s="548" t="s">
        <v>454</v>
      </c>
      <c r="D2026" s="418">
        <v>100</v>
      </c>
      <c r="E2026" s="539">
        <f t="shared" ref="E2026:E2033" si="100">D2026*$J$2001</f>
        <v>5.1601451032803034</v>
      </c>
      <c r="F2026" s="547"/>
      <c r="G2026" s="546"/>
      <c r="H2026" s="531"/>
      <c r="I2026" s="531"/>
      <c r="J2026" s="531"/>
    </row>
    <row r="2027" spans="2:10" ht="25.5">
      <c r="B2027" s="531"/>
      <c r="C2027" s="548" t="s">
        <v>455</v>
      </c>
      <c r="D2027" s="418">
        <v>2000</v>
      </c>
      <c r="E2027" s="539">
        <f t="shared" si="100"/>
        <v>103.20290206560608</v>
      </c>
      <c r="F2027" s="547"/>
      <c r="G2027" s="546"/>
      <c r="H2027" s="531"/>
      <c r="I2027" s="531"/>
      <c r="J2027" s="531"/>
    </row>
    <row r="2028" spans="2:10" ht="25.5">
      <c r="B2028" s="531"/>
      <c r="C2028" s="548" t="s">
        <v>456</v>
      </c>
      <c r="D2028" s="418">
        <v>1000</v>
      </c>
      <c r="E2028" s="539">
        <f t="shared" si="100"/>
        <v>51.601451032803041</v>
      </c>
      <c r="F2028" s="547"/>
      <c r="G2028" s="546"/>
      <c r="H2028" s="531"/>
      <c r="I2028" s="531"/>
      <c r="J2028" s="531"/>
    </row>
    <row r="2029" spans="2:10" ht="25.5">
      <c r="B2029" s="531"/>
      <c r="C2029" s="548" t="s">
        <v>457</v>
      </c>
      <c r="D2029" s="418">
        <v>1000</v>
      </c>
      <c r="E2029" s="539">
        <f t="shared" si="100"/>
        <v>51.601451032803041</v>
      </c>
      <c r="F2029" s="547"/>
      <c r="G2029" s="546"/>
      <c r="H2029" s="531"/>
      <c r="I2029" s="531"/>
      <c r="J2029" s="531"/>
    </row>
    <row r="2030" spans="2:10" ht="25.5">
      <c r="B2030" s="531"/>
      <c r="C2030" s="548" t="s">
        <v>456</v>
      </c>
      <c r="D2030" s="418">
        <v>500</v>
      </c>
      <c r="E2030" s="539">
        <f t="shared" si="100"/>
        <v>25.800725516401521</v>
      </c>
      <c r="F2030" s="547"/>
      <c r="G2030" s="546"/>
      <c r="H2030" s="531"/>
      <c r="I2030" s="531"/>
      <c r="J2030" s="531"/>
    </row>
    <row r="2031" spans="2:10" ht="25.5">
      <c r="B2031" s="531"/>
      <c r="C2031" s="548" t="s">
        <v>458</v>
      </c>
      <c r="D2031" s="418">
        <v>500</v>
      </c>
      <c r="E2031" s="539">
        <f t="shared" si="100"/>
        <v>25.800725516401521</v>
      </c>
      <c r="F2031" s="547"/>
      <c r="G2031" s="546"/>
      <c r="H2031" s="531"/>
      <c r="I2031" s="531"/>
      <c r="J2031" s="531"/>
    </row>
    <row r="2032" spans="2:10">
      <c r="B2032" s="531"/>
      <c r="C2032" s="548" t="s">
        <v>196</v>
      </c>
      <c r="D2032" s="418">
        <v>-500.3</v>
      </c>
      <c r="E2032" s="539">
        <f t="shared" si="100"/>
        <v>-25.81620595171136</v>
      </c>
      <c r="F2032" s="547"/>
      <c r="G2032" s="546"/>
      <c r="H2032" s="531"/>
      <c r="I2032" s="531"/>
      <c r="J2032" s="531"/>
    </row>
    <row r="2033" spans="2:10">
      <c r="B2033" s="531"/>
      <c r="C2033" s="548" t="s">
        <v>65</v>
      </c>
      <c r="D2033" s="418">
        <v>-80.183000000000007</v>
      </c>
      <c r="E2033" s="539">
        <f t="shared" si="100"/>
        <v>-4.1375591481632465</v>
      </c>
      <c r="F2033" s="547"/>
      <c r="G2033" s="546"/>
      <c r="H2033" s="531"/>
      <c r="I2033" s="531"/>
      <c r="J2033" s="531"/>
    </row>
    <row r="2034" spans="2:10">
      <c r="B2034" s="531"/>
      <c r="C2034" s="548"/>
      <c r="D2034" s="418"/>
      <c r="E2034" s="575"/>
      <c r="F2034" s="547"/>
      <c r="G2034" s="546"/>
      <c r="H2034" s="531"/>
      <c r="I2034" s="531"/>
      <c r="J2034" s="531"/>
    </row>
    <row r="2035" spans="2:10">
      <c r="B2035" s="531"/>
      <c r="C2035" s="536" t="s">
        <v>66</v>
      </c>
      <c r="D2035" s="535">
        <f>SUM(D2006:D2034)</f>
        <v>81718.252894000005</v>
      </c>
      <c r="E2035" s="534">
        <f>SUM(E2006:E2034)</f>
        <v>4216.7804251959551</v>
      </c>
      <c r="F2035" s="533">
        <f>+D2035/D2040</f>
        <v>6.2017971399784351</v>
      </c>
      <c r="G2035" s="532">
        <f>+E2035/E2040</f>
        <v>6.1851900161185744</v>
      </c>
      <c r="H2035" s="531"/>
      <c r="I2035" s="531"/>
      <c r="J2035" s="531"/>
    </row>
    <row r="2036" spans="2:10">
      <c r="B2036" s="531"/>
      <c r="C2036" s="545" t="s">
        <v>67</v>
      </c>
      <c r="D2036" s="544">
        <f>Model!X123</f>
        <v>3341.4180000000001</v>
      </c>
      <c r="E2036" s="539">
        <f>D2036*$J$2001</f>
        <v>172.42201730712668</v>
      </c>
      <c r="F2036" s="543"/>
      <c r="G2036" s="542"/>
      <c r="H2036" s="531"/>
      <c r="I2036" s="531"/>
      <c r="J2036" s="531"/>
    </row>
    <row r="2037" spans="2:10">
      <c r="B2037" s="531"/>
      <c r="C2037" s="536" t="s">
        <v>68</v>
      </c>
      <c r="D2037" s="535">
        <f>+D2035-D2036</f>
        <v>78376.834894</v>
      </c>
      <c r="E2037" s="534">
        <f>+E2035-E2036</f>
        <v>4044.3584078888284</v>
      </c>
      <c r="F2037" s="533">
        <f>+D2037/D2040</f>
        <v>5.9482087938992194</v>
      </c>
      <c r="G2037" s="532">
        <f>+E2037/E2040</f>
        <v>5.9322807269284681</v>
      </c>
      <c r="H2037" s="531"/>
      <c r="I2037" s="531"/>
      <c r="J2037" s="531"/>
    </row>
    <row r="2038" spans="2:10">
      <c r="B2038" s="531"/>
      <c r="C2038" s="541" t="s">
        <v>69</v>
      </c>
      <c r="D2038" s="540">
        <f>Model!X128</f>
        <v>160178.35800000001</v>
      </c>
      <c r="E2038" s="539">
        <f>D2038*$J$2001</f>
        <v>8265.435696851795</v>
      </c>
      <c r="F2038" s="538"/>
      <c r="G2038" s="537"/>
      <c r="H2038" s="531"/>
      <c r="I2038" s="531"/>
      <c r="J2038" s="531"/>
    </row>
    <row r="2039" spans="2:10">
      <c r="B2039" s="531"/>
      <c r="C2039" s="536" t="s">
        <v>70</v>
      </c>
      <c r="D2039" s="535">
        <f>D2035+D2038</f>
        <v>241896.61089400001</v>
      </c>
      <c r="E2039" s="534">
        <f>E2035+E2038</f>
        <v>12482.21612204775</v>
      </c>
      <c r="F2039" s="533">
        <f>D2039/D2040</f>
        <v>18.358122652950577</v>
      </c>
      <c r="G2039" s="532">
        <f>E2039/E2040</f>
        <v>18.308963415740653</v>
      </c>
      <c r="H2039" s="531"/>
      <c r="I2039" s="531"/>
      <c r="J2039" s="531"/>
    </row>
    <row r="2040" spans="2:10">
      <c r="C2040" s="530" t="s">
        <v>71</v>
      </c>
      <c r="D2040" s="529">
        <f>Model!X102</f>
        <v>13176.544</v>
      </c>
      <c r="E2040" s="528">
        <f>D2040*$J$2002</f>
        <v>681.75438655999994</v>
      </c>
      <c r="F2040" s="527"/>
      <c r="G2040" s="526"/>
    </row>
    <row r="2042" spans="2:10">
      <c r="C2042" s="525" t="s">
        <v>72</v>
      </c>
      <c r="D2042" s="586">
        <f>D2035-Model!X126</f>
        <v>-1.0600000678095967E-4</v>
      </c>
      <c r="E2042" s="524"/>
      <c r="I2042" s="523"/>
    </row>
    <row r="2043" spans="2:10" ht="13.5" thickBot="1">
      <c r="D2043" s="522"/>
      <c r="E2043" s="522"/>
      <c r="G2043" s="587"/>
    </row>
    <row r="2044" spans="2:10">
      <c r="C2044" s="507" t="s">
        <v>459</v>
      </c>
      <c r="D2044" s="506" t="s">
        <v>130</v>
      </c>
      <c r="E2044" s="521" t="s">
        <v>131</v>
      </c>
    </row>
    <row r="2045" spans="2:10">
      <c r="C2045" s="505" t="s">
        <v>198</v>
      </c>
      <c r="D2045" s="579">
        <v>0</v>
      </c>
      <c r="E2045" s="580">
        <v>0</v>
      </c>
    </row>
    <row r="2046" spans="2:10">
      <c r="C2046" s="505" t="s">
        <v>74</v>
      </c>
      <c r="D2046" s="520">
        <f>D2036</f>
        <v>3341.4180000000001</v>
      </c>
      <c r="E2046" s="519">
        <f>D2046*$J$2001</f>
        <v>172.42201730712668</v>
      </c>
    </row>
    <row r="2047" spans="2:10" ht="13.5" thickBot="1">
      <c r="C2047" s="518" t="s">
        <v>75</v>
      </c>
      <c r="D2047" s="517">
        <f>SUM(D2045:D2046)</f>
        <v>3341.4180000000001</v>
      </c>
      <c r="E2047" s="516">
        <f>SUM(E2045:E2046)</f>
        <v>172.42201730712668</v>
      </c>
    </row>
    <row r="2049" spans="3:5" ht="13.5" thickBot="1"/>
    <row r="2050" spans="3:5">
      <c r="C2050" s="515" t="s">
        <v>460</v>
      </c>
      <c r="D2050" s="506"/>
    </row>
    <row r="2051" spans="3:5">
      <c r="C2051" s="513"/>
      <c r="D2051" s="514"/>
    </row>
    <row r="2052" spans="3:5">
      <c r="C2052" s="513" t="s">
        <v>241</v>
      </c>
      <c r="D2052" s="577">
        <v>6.6000000000000003E-2</v>
      </c>
    </row>
    <row r="2053" spans="3:5">
      <c r="C2053" s="513" t="s">
        <v>242</v>
      </c>
      <c r="D2053" s="577">
        <v>1.6E-2</v>
      </c>
    </row>
    <row r="2054" spans="3:5">
      <c r="C2054" s="513" t="s">
        <v>243</v>
      </c>
      <c r="D2054" s="577">
        <v>3.0000000000000001E-3</v>
      </c>
    </row>
    <row r="2055" spans="3:5">
      <c r="C2055" s="513" t="s">
        <v>244</v>
      </c>
      <c r="D2055" s="577">
        <v>0.10100000000000001</v>
      </c>
    </row>
    <row r="2056" spans="3:5">
      <c r="C2056" s="513" t="s">
        <v>245</v>
      </c>
      <c r="D2056" s="577">
        <v>0.81499999999999995</v>
      </c>
    </row>
    <row r="2057" spans="3:5" ht="13.5" thickBot="1">
      <c r="C2057" s="513"/>
      <c r="D2057" s="512"/>
    </row>
    <row r="2058" spans="3:5" ht="13.5" thickBot="1">
      <c r="C2058" s="511" t="s">
        <v>77</v>
      </c>
      <c r="D2058" s="578">
        <f>SUM(D2051:D2057)</f>
        <v>1.0009999999999999</v>
      </c>
    </row>
    <row r="2059" spans="3:5">
      <c r="C2059" s="510"/>
      <c r="D2059" s="509"/>
      <c r="E2059" s="508"/>
    </row>
  </sheetData>
  <mergeCells count="25">
    <mergeCell ref="D340:E340"/>
    <mergeCell ref="D413:E413"/>
    <mergeCell ref="D1282:E1282"/>
    <mergeCell ref="D861:E861"/>
    <mergeCell ref="D1696:E1696"/>
    <mergeCell ref="D1350:E1350"/>
    <mergeCell ref="D1420:E1420"/>
    <mergeCell ref="D1493:E1493"/>
    <mergeCell ref="D1565:E1565"/>
    <mergeCell ref="D1631:E1631"/>
    <mergeCell ref="D929:E929"/>
    <mergeCell ref="D998:E998"/>
    <mergeCell ref="D1069:E1069"/>
    <mergeCell ref="D1139:E1139"/>
    <mergeCell ref="D1214:E1214"/>
    <mergeCell ref="D488:E488"/>
    <mergeCell ref="D566:E566"/>
    <mergeCell ref="D720:E720"/>
    <mergeCell ref="D792:E792"/>
    <mergeCell ref="D643:E643"/>
    <mergeCell ref="D2002:E2002"/>
    <mergeCell ref="D1944:E1944"/>
    <mergeCell ref="D1886:E1886"/>
    <mergeCell ref="D1825:E1825"/>
    <mergeCell ref="D1762:E1762"/>
  </mergeCell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H271"/>
  <sheetViews>
    <sheetView showGridLines="0" tabSelected="1" zoomScaleNormal="100" workbookViewId="0">
      <pane xSplit="2" ySplit="6" topLeftCell="C7" activePane="bottomRight" state="frozen"/>
      <selection pane="bottomRight" activeCell="BC1" sqref="BC1"/>
      <selection pane="bottomLeft" activeCell="K2" sqref="K2"/>
      <selection pane="topRight" activeCell="K2" sqref="K2"/>
    </sheetView>
  </sheetViews>
  <sheetFormatPr defaultColWidth="11.42578125" defaultRowHeight="13.5" customHeight="1" outlineLevelRow="1" outlineLevelCol="1"/>
  <cols>
    <col min="1" max="1" width="2.7109375" style="422" customWidth="1"/>
    <col min="2" max="2" width="50.7109375" style="422" customWidth="1"/>
    <col min="3" max="7" width="12.7109375" style="422" hidden="1" customWidth="1" outlineLevel="1"/>
    <col min="8" max="9" width="12.7109375" style="422" hidden="1" customWidth="1" outlineLevel="1" collapsed="1"/>
    <col min="10" max="10" width="12.7109375" style="422" hidden="1" customWidth="1" outlineLevel="1"/>
    <col min="11" max="11" width="12.7109375" style="422" customWidth="1" collapsed="1"/>
    <col min="12" max="15" width="12.7109375" style="422" customWidth="1"/>
    <col min="16" max="27" width="12.7109375" style="422" hidden="1" customWidth="1" outlineLevel="1"/>
    <col min="28" max="28" width="12.7109375" style="422" hidden="1" customWidth="1" outlineLevel="1" collapsed="1"/>
    <col min="29" max="35" width="12.7109375" style="422" hidden="1" customWidth="1" outlineLevel="1"/>
    <col min="36" max="37" width="12.7109375" style="422" hidden="1" customWidth="1" outlineLevel="1" collapsed="1"/>
    <col min="38" max="41" width="12.7109375" style="422" hidden="1" customWidth="1" outlineLevel="1"/>
    <col min="42" max="42" width="12.7109375" style="422" hidden="1" customWidth="1" outlineLevel="1" collapsed="1"/>
    <col min="43" max="43" width="12.7109375" style="422" hidden="1" customWidth="1" outlineLevel="1"/>
    <col min="44" max="44" width="12.7109375" style="422" customWidth="1" collapsed="1"/>
    <col min="45" max="47" width="12.7109375" style="422" customWidth="1"/>
    <col min="48" max="48" width="12.7109375" style="422" customWidth="1" collapsed="1"/>
    <col min="49" max="51" width="12.7109375" style="422" customWidth="1"/>
    <col min="52" max="52" width="12.7109375" style="422" customWidth="1" collapsed="1"/>
    <col min="53" max="53" width="12.7109375" style="422" customWidth="1"/>
    <col min="54" max="54" width="12.7109375" style="422" hidden="1" customWidth="1" outlineLevel="1"/>
    <col min="55" max="55" width="12.7109375" style="422" customWidth="1" collapsed="1"/>
    <col min="56" max="59" width="12.7109375" style="422" customWidth="1"/>
    <col min="60" max="16384" width="11.42578125" style="422"/>
  </cols>
  <sheetData>
    <row r="1" spans="1:54" ht="12" customHeight="1"/>
    <row r="2" spans="1:54" s="424" customFormat="1" ht="21">
      <c r="A2" s="745"/>
      <c r="B2" s="504" t="s">
        <v>461</v>
      </c>
      <c r="C2" s="503" t="s">
        <v>462</v>
      </c>
      <c r="D2" s="503" t="s">
        <v>462</v>
      </c>
      <c r="E2" s="503" t="s">
        <v>462</v>
      </c>
      <c r="F2" s="503" t="s">
        <v>462</v>
      </c>
      <c r="G2" s="503" t="s">
        <v>462</v>
      </c>
      <c r="H2" s="503" t="s">
        <v>462</v>
      </c>
      <c r="I2" s="503" t="s">
        <v>462</v>
      </c>
      <c r="J2" s="503" t="s">
        <v>462</v>
      </c>
      <c r="K2" s="503" t="s">
        <v>462</v>
      </c>
      <c r="L2" s="503" t="s">
        <v>462</v>
      </c>
      <c r="M2" s="503" t="s">
        <v>462</v>
      </c>
      <c r="N2" s="458" t="s">
        <v>463</v>
      </c>
      <c r="O2" s="740"/>
      <c r="P2" s="503" t="s">
        <v>464</v>
      </c>
      <c r="Q2" s="503" t="s">
        <v>464</v>
      </c>
      <c r="R2" s="503" t="s">
        <v>464</v>
      </c>
      <c r="S2" s="503" t="s">
        <v>464</v>
      </c>
      <c r="T2" s="503" t="s">
        <v>464</v>
      </c>
      <c r="U2" s="503" t="s">
        <v>464</v>
      </c>
      <c r="V2" s="503" t="s">
        <v>464</v>
      </c>
      <c r="W2" s="503" t="s">
        <v>464</v>
      </c>
      <c r="X2" s="503" t="s">
        <v>464</v>
      </c>
      <c r="Y2" s="503" t="s">
        <v>464</v>
      </c>
      <c r="Z2" s="503" t="s">
        <v>464</v>
      </c>
      <c r="AA2" s="503" t="s">
        <v>464</v>
      </c>
      <c r="AB2" s="503" t="s">
        <v>464</v>
      </c>
      <c r="AC2" s="503" t="s">
        <v>464</v>
      </c>
      <c r="AD2" s="503" t="s">
        <v>464</v>
      </c>
      <c r="AE2" s="565" t="s">
        <v>464</v>
      </c>
      <c r="AF2" s="503" t="s">
        <v>464</v>
      </c>
      <c r="AG2" s="503" t="s">
        <v>464</v>
      </c>
      <c r="AH2" s="503" t="s">
        <v>464</v>
      </c>
      <c r="AI2" s="565" t="s">
        <v>464</v>
      </c>
      <c r="AJ2" s="503" t="s">
        <v>464</v>
      </c>
      <c r="AK2" s="503" t="s">
        <v>464</v>
      </c>
      <c r="AL2" s="503" t="s">
        <v>464</v>
      </c>
      <c r="AM2" s="565" t="s">
        <v>464</v>
      </c>
      <c r="AN2" s="503" t="s">
        <v>464</v>
      </c>
      <c r="AO2" s="503" t="s">
        <v>464</v>
      </c>
      <c r="AP2" s="503" t="s">
        <v>464</v>
      </c>
      <c r="AQ2" s="565" t="s">
        <v>464</v>
      </c>
      <c r="AR2" s="503" t="s">
        <v>464</v>
      </c>
      <c r="AS2" s="503" t="s">
        <v>464</v>
      </c>
      <c r="AT2" s="503" t="s">
        <v>464</v>
      </c>
      <c r="AU2" s="565" t="s">
        <v>464</v>
      </c>
      <c r="AV2" s="503" t="s">
        <v>464</v>
      </c>
      <c r="AW2" s="503" t="s">
        <v>464</v>
      </c>
      <c r="AX2" s="503" t="s">
        <v>464</v>
      </c>
      <c r="AY2" s="565" t="s">
        <v>464</v>
      </c>
      <c r="AZ2" s="503" t="s">
        <v>464</v>
      </c>
      <c r="BB2" s="503" t="s">
        <v>464</v>
      </c>
    </row>
    <row r="3" spans="1:54" s="424" customFormat="1" ht="12.75" customHeight="1">
      <c r="A3" s="745"/>
      <c r="B3" s="502" t="s">
        <v>130</v>
      </c>
      <c r="C3" s="501">
        <v>42735</v>
      </c>
      <c r="D3" s="501">
        <v>43100</v>
      </c>
      <c r="E3" s="501">
        <v>43465</v>
      </c>
      <c r="F3" s="501">
        <v>43830</v>
      </c>
      <c r="G3" s="501">
        <v>43830</v>
      </c>
      <c r="H3" s="501">
        <v>44196</v>
      </c>
      <c r="I3" s="501">
        <v>44561</v>
      </c>
      <c r="J3" s="501">
        <v>44926</v>
      </c>
      <c r="K3" s="501">
        <v>45291</v>
      </c>
      <c r="L3" s="501">
        <v>45657</v>
      </c>
      <c r="M3" s="501">
        <v>46022</v>
      </c>
      <c r="N3" s="458">
        <f>AZ3</f>
        <v>46111</v>
      </c>
      <c r="O3" s="740"/>
      <c r="P3" s="501">
        <v>42825</v>
      </c>
      <c r="Q3" s="501">
        <f t="shared" ref="Q3:AZ3" si="0">+EDATE(P3,3)</f>
        <v>42916</v>
      </c>
      <c r="R3" s="501">
        <f t="shared" si="0"/>
        <v>43008</v>
      </c>
      <c r="S3" s="501">
        <f t="shared" si="0"/>
        <v>43099</v>
      </c>
      <c r="T3" s="501">
        <f t="shared" si="0"/>
        <v>43189</v>
      </c>
      <c r="U3" s="501">
        <f t="shared" si="0"/>
        <v>43281</v>
      </c>
      <c r="V3" s="501">
        <f t="shared" si="0"/>
        <v>43373</v>
      </c>
      <c r="W3" s="501">
        <f t="shared" si="0"/>
        <v>43464</v>
      </c>
      <c r="X3" s="501">
        <f t="shared" si="0"/>
        <v>43554</v>
      </c>
      <c r="Y3" s="501">
        <f t="shared" si="0"/>
        <v>43646</v>
      </c>
      <c r="Z3" s="501">
        <f t="shared" si="0"/>
        <v>43738</v>
      </c>
      <c r="AA3" s="501">
        <f t="shared" si="0"/>
        <v>43829</v>
      </c>
      <c r="AB3" s="501">
        <f t="shared" si="0"/>
        <v>43920</v>
      </c>
      <c r="AC3" s="501">
        <f t="shared" si="0"/>
        <v>44012</v>
      </c>
      <c r="AD3" s="501">
        <f t="shared" si="0"/>
        <v>44104</v>
      </c>
      <c r="AE3" s="458">
        <f t="shared" si="0"/>
        <v>44195</v>
      </c>
      <c r="AF3" s="501">
        <f t="shared" si="0"/>
        <v>44285</v>
      </c>
      <c r="AG3" s="501">
        <f t="shared" si="0"/>
        <v>44377</v>
      </c>
      <c r="AH3" s="501">
        <f t="shared" si="0"/>
        <v>44469</v>
      </c>
      <c r="AI3" s="458">
        <f t="shared" si="0"/>
        <v>44560</v>
      </c>
      <c r="AJ3" s="501">
        <f t="shared" si="0"/>
        <v>44650</v>
      </c>
      <c r="AK3" s="501">
        <f t="shared" si="0"/>
        <v>44742</v>
      </c>
      <c r="AL3" s="501">
        <f t="shared" si="0"/>
        <v>44834</v>
      </c>
      <c r="AM3" s="458">
        <f t="shared" si="0"/>
        <v>44925</v>
      </c>
      <c r="AN3" s="501">
        <f t="shared" si="0"/>
        <v>45015</v>
      </c>
      <c r="AO3" s="501">
        <f>+EDATE(AN3,3)</f>
        <v>45107</v>
      </c>
      <c r="AP3" s="501">
        <f t="shared" si="0"/>
        <v>45199</v>
      </c>
      <c r="AQ3" s="458">
        <f t="shared" si="0"/>
        <v>45290</v>
      </c>
      <c r="AR3" s="501">
        <f t="shared" si="0"/>
        <v>45381</v>
      </c>
      <c r="AS3" s="501">
        <f>+EDATE(AR3,3)</f>
        <v>45473</v>
      </c>
      <c r="AT3" s="501">
        <f t="shared" si="0"/>
        <v>45565</v>
      </c>
      <c r="AU3" s="458">
        <f t="shared" si="0"/>
        <v>45656</v>
      </c>
      <c r="AV3" s="501">
        <f t="shared" si="0"/>
        <v>45746</v>
      </c>
      <c r="AW3" s="501">
        <f>+EDATE(AV3,3)</f>
        <v>45838</v>
      </c>
      <c r="AX3" s="501">
        <f t="shared" si="0"/>
        <v>45930</v>
      </c>
      <c r="AY3" s="458">
        <f t="shared" si="0"/>
        <v>46021</v>
      </c>
      <c r="AZ3" s="501">
        <f t="shared" si="0"/>
        <v>46111</v>
      </c>
      <c r="BB3" s="501">
        <f>+EDATE(Z3,3)</f>
        <v>43829</v>
      </c>
    </row>
    <row r="4" spans="1:54" s="424" customFormat="1" ht="12.75" customHeight="1">
      <c r="B4" s="459"/>
      <c r="C4" s="458" t="s">
        <v>465</v>
      </c>
      <c r="D4" s="458" t="s">
        <v>465</v>
      </c>
      <c r="E4" s="458" t="s">
        <v>465</v>
      </c>
      <c r="F4" s="458" t="s">
        <v>465</v>
      </c>
      <c r="G4" s="458" t="s">
        <v>466</v>
      </c>
      <c r="H4" s="458" t="s">
        <v>465</v>
      </c>
      <c r="I4" s="458" t="s">
        <v>465</v>
      </c>
      <c r="J4" s="458" t="s">
        <v>465</v>
      </c>
      <c r="K4" s="458" t="s">
        <v>465</v>
      </c>
      <c r="L4" s="458" t="s">
        <v>465</v>
      </c>
      <c r="M4" s="458" t="s">
        <v>465</v>
      </c>
      <c r="N4" s="458" t="s">
        <v>465</v>
      </c>
      <c r="O4" s="740"/>
      <c r="P4" s="458" t="s">
        <v>465</v>
      </c>
      <c r="Q4" s="458" t="s">
        <v>465</v>
      </c>
      <c r="R4" s="458" t="s">
        <v>465</v>
      </c>
      <c r="S4" s="458" t="s">
        <v>465</v>
      </c>
      <c r="T4" s="458" t="s">
        <v>465</v>
      </c>
      <c r="U4" s="458" t="s">
        <v>465</v>
      </c>
      <c r="V4" s="458" t="s">
        <v>465</v>
      </c>
      <c r="W4" s="458" t="s">
        <v>465</v>
      </c>
      <c r="X4" s="458" t="s">
        <v>465</v>
      </c>
      <c r="Y4" s="458" t="s">
        <v>465</v>
      </c>
      <c r="Z4" s="458" t="s">
        <v>465</v>
      </c>
      <c r="AA4" s="458" t="s">
        <v>465</v>
      </c>
      <c r="AB4" s="458" t="s">
        <v>465</v>
      </c>
      <c r="AC4" s="458" t="s">
        <v>465</v>
      </c>
      <c r="AD4" s="458" t="s">
        <v>465</v>
      </c>
      <c r="AE4" s="458" t="s">
        <v>465</v>
      </c>
      <c r="AF4" s="458" t="s">
        <v>465</v>
      </c>
      <c r="AG4" s="458" t="s">
        <v>465</v>
      </c>
      <c r="AH4" s="458" t="s">
        <v>465</v>
      </c>
      <c r="AI4" s="458" t="s">
        <v>465</v>
      </c>
      <c r="AJ4" s="458" t="s">
        <v>465</v>
      </c>
      <c r="AK4" s="458" t="s">
        <v>465</v>
      </c>
      <c r="AL4" s="458" t="s">
        <v>465</v>
      </c>
      <c r="AM4" s="458" t="s">
        <v>465</v>
      </c>
      <c r="AN4" s="458" t="s">
        <v>465</v>
      </c>
      <c r="AO4" s="458" t="s">
        <v>465</v>
      </c>
      <c r="AP4" s="458" t="s">
        <v>465</v>
      </c>
      <c r="AQ4" s="458" t="s">
        <v>465</v>
      </c>
      <c r="AR4" s="458" t="s">
        <v>465</v>
      </c>
      <c r="AS4" s="458" t="s">
        <v>465</v>
      </c>
      <c r="AT4" s="458" t="s">
        <v>465</v>
      </c>
      <c r="AU4" s="458" t="s">
        <v>465</v>
      </c>
      <c r="AV4" s="458" t="s">
        <v>465</v>
      </c>
      <c r="AW4" s="458" t="s">
        <v>465</v>
      </c>
      <c r="AX4" s="458" t="s">
        <v>465</v>
      </c>
      <c r="AY4" s="458" t="s">
        <v>465</v>
      </c>
      <c r="AZ4" s="458" t="s">
        <v>465</v>
      </c>
      <c r="BB4" s="458" t="s">
        <v>466</v>
      </c>
    </row>
    <row r="5" spans="1:54" s="424" customFormat="1" ht="12.75" customHeight="1">
      <c r="A5" s="457"/>
      <c r="B5" s="457"/>
      <c r="C5" s="456" t="s">
        <v>467</v>
      </c>
      <c r="D5" s="456" t="s">
        <v>467</v>
      </c>
      <c r="E5" s="456" t="s">
        <v>467</v>
      </c>
      <c r="F5" s="456" t="s">
        <v>467</v>
      </c>
      <c r="G5" s="456" t="s">
        <v>467</v>
      </c>
      <c r="H5" s="456" t="s">
        <v>467</v>
      </c>
      <c r="I5" s="456" t="s">
        <v>467</v>
      </c>
      <c r="J5" s="456" t="s">
        <v>467</v>
      </c>
      <c r="K5" s="456" t="s">
        <v>467</v>
      </c>
      <c r="L5" s="456" t="s">
        <v>467</v>
      </c>
      <c r="M5" s="456" t="s">
        <v>467</v>
      </c>
      <c r="N5" s="789" t="s">
        <v>463</v>
      </c>
      <c r="O5" s="456"/>
      <c r="P5" s="456" t="s">
        <v>468</v>
      </c>
      <c r="Q5" s="456" t="s">
        <v>469</v>
      </c>
      <c r="R5" s="456" t="s">
        <v>470</v>
      </c>
      <c r="S5" s="456" t="s">
        <v>471</v>
      </c>
      <c r="T5" s="456" t="s">
        <v>468</v>
      </c>
      <c r="U5" s="456" t="s">
        <v>469</v>
      </c>
      <c r="V5" s="456" t="s">
        <v>470</v>
      </c>
      <c r="W5" s="456" t="s">
        <v>471</v>
      </c>
      <c r="X5" s="456" t="s">
        <v>468</v>
      </c>
      <c r="Y5" s="456" t="s">
        <v>469</v>
      </c>
      <c r="Z5" s="456" t="s">
        <v>470</v>
      </c>
      <c r="AA5" s="456" t="s">
        <v>471</v>
      </c>
      <c r="AB5" s="456" t="s">
        <v>468</v>
      </c>
      <c r="AC5" s="456" t="s">
        <v>469</v>
      </c>
      <c r="AD5" s="456" t="s">
        <v>470</v>
      </c>
      <c r="AE5" s="456" t="s">
        <v>471</v>
      </c>
      <c r="AF5" s="456" t="s">
        <v>468</v>
      </c>
      <c r="AG5" s="456" t="s">
        <v>469</v>
      </c>
      <c r="AH5" s="456" t="s">
        <v>470</v>
      </c>
      <c r="AI5" s="456" t="s">
        <v>471</v>
      </c>
      <c r="AJ5" s="456" t="s">
        <v>468</v>
      </c>
      <c r="AK5" s="456" t="s">
        <v>469</v>
      </c>
      <c r="AL5" s="456" t="s">
        <v>470</v>
      </c>
      <c r="AM5" s="456" t="s">
        <v>471</v>
      </c>
      <c r="AN5" s="456" t="s">
        <v>468</v>
      </c>
      <c r="AO5" s="456" t="s">
        <v>469</v>
      </c>
      <c r="AP5" s="456" t="s">
        <v>470</v>
      </c>
      <c r="AQ5" s="456" t="s">
        <v>471</v>
      </c>
      <c r="AR5" s="456" t="s">
        <v>468</v>
      </c>
      <c r="AS5" s="456" t="s">
        <v>469</v>
      </c>
      <c r="AT5" s="456" t="s">
        <v>470</v>
      </c>
      <c r="AU5" s="456" t="s">
        <v>471</v>
      </c>
      <c r="AV5" s="456" t="s">
        <v>468</v>
      </c>
      <c r="AW5" s="456" t="s">
        <v>469</v>
      </c>
      <c r="AX5" s="456" t="s">
        <v>470</v>
      </c>
      <c r="AY5" s="456" t="s">
        <v>471</v>
      </c>
      <c r="AZ5" s="456" t="s">
        <v>468</v>
      </c>
      <c r="BB5" s="456" t="s">
        <v>471</v>
      </c>
    </row>
    <row r="6" spans="1:54" ht="12.75" customHeight="1">
      <c r="B6" s="464" t="s">
        <v>472</v>
      </c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707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63"/>
      <c r="AG6" s="463"/>
      <c r="AH6" s="463"/>
      <c r="AI6" s="463"/>
      <c r="AJ6" s="463"/>
      <c r="AK6" s="463"/>
      <c r="AL6" s="463"/>
      <c r="AM6" s="463"/>
      <c r="AN6" s="463"/>
      <c r="AO6" s="463"/>
      <c r="AP6" s="463"/>
      <c r="AQ6" s="463"/>
      <c r="AR6" s="463"/>
      <c r="AS6" s="463"/>
      <c r="AT6" s="463"/>
      <c r="AU6" s="463"/>
      <c r="AV6" s="463"/>
      <c r="AW6" s="463"/>
      <c r="AX6" s="463"/>
      <c r="AY6" s="463"/>
      <c r="AZ6" s="463"/>
      <c r="BB6" s="463"/>
    </row>
    <row r="7" spans="1:54" ht="12.75" customHeight="1">
      <c r="B7" s="422" t="s">
        <v>473</v>
      </c>
      <c r="C7" s="420">
        <v>11756.607</v>
      </c>
      <c r="D7" s="420">
        <v>12670.028</v>
      </c>
      <c r="E7" s="420">
        <v>15247.188</v>
      </c>
      <c r="F7" s="420">
        <v>16843.133999999998</v>
      </c>
      <c r="G7" s="420">
        <v>16843.133999999998</v>
      </c>
      <c r="H7" s="420">
        <v>17796.694</v>
      </c>
      <c r="I7" s="420">
        <v>19493.974999999999</v>
      </c>
      <c r="J7" s="420">
        <v>20979.72</v>
      </c>
      <c r="K7" s="420">
        <v>22969.791000000001</v>
      </c>
      <c r="L7" s="420">
        <v>25084.179</v>
      </c>
      <c r="M7" s="420">
        <v>27039.614000000001</v>
      </c>
      <c r="N7" s="486">
        <f>SUM(AW7:AZ7)</f>
        <v>27401.222000000002</v>
      </c>
      <c r="O7" s="486"/>
      <c r="P7" s="420">
        <v>3139.0140000000001</v>
      </c>
      <c r="Q7" s="420">
        <v>3136.1129999999998</v>
      </c>
      <c r="R7" s="420">
        <v>3139.94</v>
      </c>
      <c r="S7" s="486">
        <f t="shared" ref="S7:S13" si="1">D7-R7-Q7-P7</f>
        <v>3254.9610000000002</v>
      </c>
      <c r="T7" s="420">
        <v>3684.5129999999999</v>
      </c>
      <c r="U7" s="420">
        <v>3728.5659999999998</v>
      </c>
      <c r="V7" s="420">
        <v>3838.5450000000001</v>
      </c>
      <c r="W7" s="486">
        <f t="shared" ref="W7:W13" si="2">E7-V7-U7-T7</f>
        <v>3995.5640000000003</v>
      </c>
      <c r="X7" s="420">
        <v>4051.0219999999999</v>
      </c>
      <c r="Y7" s="420">
        <v>4138.701</v>
      </c>
      <c r="Z7" s="420">
        <v>4177.1840000000002</v>
      </c>
      <c r="AA7" s="486">
        <f t="shared" ref="AA7:AA13" si="3">F7-Z7-Y7-X7</f>
        <v>4476.2269999999962</v>
      </c>
      <c r="AB7" s="420">
        <v>4547.4799999999996</v>
      </c>
      <c r="AC7" s="420">
        <v>4424.6779999999999</v>
      </c>
      <c r="AD7" s="420">
        <v>4304.7470000000003</v>
      </c>
      <c r="AE7" s="486">
        <f t="shared" ref="AE7:AE13" si="4">H7-AD7-AC7-AB7</f>
        <v>4519.7890000000007</v>
      </c>
      <c r="AF7" s="420">
        <v>4772.8410000000003</v>
      </c>
      <c r="AG7" s="420">
        <v>4658.7979999999998</v>
      </c>
      <c r="AH7" s="420">
        <v>4768.8100000000004</v>
      </c>
      <c r="AI7" s="486">
        <f t="shared" ref="AI7:AI13" si="5">I7-AH7-AG7-AF7</f>
        <v>5293.525999999998</v>
      </c>
      <c r="AJ7" s="420">
        <v>5238.1629999999996</v>
      </c>
      <c r="AK7" s="420">
        <v>5123.9160000000002</v>
      </c>
      <c r="AL7" s="420">
        <v>5376.8310000000001</v>
      </c>
      <c r="AM7" s="486">
        <f t="shared" ref="AM7:AM13" si="6">J7-AL7-AK7-AJ7</f>
        <v>5240.8100000000022</v>
      </c>
      <c r="AN7" s="420">
        <v>5651.0280000000002</v>
      </c>
      <c r="AO7" s="420">
        <v>5698.2359999999999</v>
      </c>
      <c r="AP7" s="420">
        <v>5654.1980000000003</v>
      </c>
      <c r="AQ7" s="486">
        <f t="shared" ref="AQ7:AQ13" si="7">K7-AP7-AO7-AN7</f>
        <v>5966.3289999999997</v>
      </c>
      <c r="AR7" s="420">
        <v>6030.2020000000002</v>
      </c>
      <c r="AS7" s="420">
        <v>6103.9809999999998</v>
      </c>
      <c r="AT7" s="420">
        <v>6334.5919999999996</v>
      </c>
      <c r="AU7" s="486">
        <f>L7-AT7-AS7-AR7</f>
        <v>6615.4039999999995</v>
      </c>
      <c r="AV7" s="420">
        <v>6756.57</v>
      </c>
      <c r="AW7" s="420">
        <f>13401.981-AV7</f>
        <v>6645.4110000000001</v>
      </c>
      <c r="AX7" s="420">
        <v>6646.7839999999997</v>
      </c>
      <c r="AY7" s="486">
        <f>M7-AX7-AW7-AV7</f>
        <v>6990.849000000002</v>
      </c>
      <c r="AZ7" s="420">
        <v>7118.1779999999999</v>
      </c>
      <c r="BB7" s="486">
        <f>G7-Z7-Y7-X7</f>
        <v>4476.2269999999962</v>
      </c>
    </row>
    <row r="8" spans="1:54" ht="12.75" customHeight="1">
      <c r="B8" s="422" t="s">
        <v>474</v>
      </c>
      <c r="C8" s="420">
        <v>0</v>
      </c>
      <c r="D8" s="420">
        <v>0</v>
      </c>
      <c r="E8" s="420">
        <v>0</v>
      </c>
      <c r="F8" s="420">
        <v>0</v>
      </c>
      <c r="G8" s="420">
        <v>0</v>
      </c>
      <c r="H8" s="420">
        <f>-809.622-128.518</f>
        <v>-938.14</v>
      </c>
      <c r="I8" s="420">
        <f>17.297+0.175</f>
        <v>17.472000000000001</v>
      </c>
      <c r="J8" s="420">
        <f>-85.114+112.011</f>
        <v>26.896999999999991</v>
      </c>
      <c r="K8" s="420">
        <v>0</v>
      </c>
      <c r="L8" s="420">
        <v>0</v>
      </c>
      <c r="M8" s="420">
        <v>0</v>
      </c>
      <c r="N8" s="486">
        <f t="shared" ref="N8:N13" si="8">SUM(AW8:AZ8)</f>
        <v>0</v>
      </c>
      <c r="O8" s="486"/>
      <c r="P8" s="420">
        <v>0</v>
      </c>
      <c r="Q8" s="420">
        <v>0</v>
      </c>
      <c r="R8" s="420">
        <v>0</v>
      </c>
      <c r="S8" s="486">
        <f t="shared" si="1"/>
        <v>0</v>
      </c>
      <c r="T8" s="420">
        <v>0</v>
      </c>
      <c r="U8" s="420">
        <v>0</v>
      </c>
      <c r="V8" s="420">
        <v>0</v>
      </c>
      <c r="W8" s="486">
        <f t="shared" si="2"/>
        <v>0</v>
      </c>
      <c r="X8" s="420">
        <v>0</v>
      </c>
      <c r="Y8" s="420">
        <v>0</v>
      </c>
      <c r="Z8" s="420">
        <v>0</v>
      </c>
      <c r="AA8" s="486">
        <f t="shared" si="3"/>
        <v>0</v>
      </c>
      <c r="AB8" s="420">
        <v>0</v>
      </c>
      <c r="AC8" s="420">
        <f>-606.611-92.34</f>
        <v>-698.95100000000002</v>
      </c>
      <c r="AD8" s="420">
        <f>-313-18.412</f>
        <v>-331.41199999999998</v>
      </c>
      <c r="AE8" s="486">
        <f t="shared" si="4"/>
        <v>92.222999999999956</v>
      </c>
      <c r="AF8" s="420">
        <f>0.979-6.747</f>
        <v>-5.7679999999999998</v>
      </c>
      <c r="AG8" s="420">
        <f>82.079-12.079</f>
        <v>70</v>
      </c>
      <c r="AH8" s="420">
        <f>22.421-8.269</f>
        <v>14.151999999999999</v>
      </c>
      <c r="AI8" s="486">
        <f t="shared" si="5"/>
        <v>-60.911999999999992</v>
      </c>
      <c r="AJ8" s="420">
        <f>-85.114+112.011</f>
        <v>26.896999999999991</v>
      </c>
      <c r="AK8" s="420">
        <v>0</v>
      </c>
      <c r="AL8" s="420">
        <f>0-0</f>
        <v>0</v>
      </c>
      <c r="AM8" s="486">
        <f t="shared" si="6"/>
        <v>0</v>
      </c>
      <c r="AN8" s="420">
        <v>0</v>
      </c>
      <c r="AO8" s="420">
        <v>0</v>
      </c>
      <c r="AP8" s="420">
        <f>0-0</f>
        <v>0</v>
      </c>
      <c r="AQ8" s="486">
        <f t="shared" si="7"/>
        <v>0</v>
      </c>
      <c r="AR8" s="420">
        <v>0</v>
      </c>
      <c r="AS8" s="420">
        <v>0</v>
      </c>
      <c r="AT8" s="420">
        <v>0</v>
      </c>
      <c r="AU8" s="486">
        <f t="shared" ref="AU8:AU13" si="9">L8-AT8-AS8-AR8</f>
        <v>0</v>
      </c>
      <c r="AV8" s="420">
        <v>0</v>
      </c>
      <c r="AW8" s="420">
        <f>0-AV8</f>
        <v>0</v>
      </c>
      <c r="AX8" s="420">
        <v>0</v>
      </c>
      <c r="AY8" s="486">
        <f t="shared" ref="AY8:AY13" si="10">M8-AX8-AW8-AV8</f>
        <v>0</v>
      </c>
      <c r="AZ8" s="420">
        <v>0</v>
      </c>
      <c r="BB8" s="486">
        <f>G8-Z8-Y8-X8</f>
        <v>0</v>
      </c>
    </row>
    <row r="9" spans="1:54" ht="12.75" customHeight="1">
      <c r="B9" s="422" t="s">
        <v>475</v>
      </c>
      <c r="C9" s="420"/>
      <c r="D9" s="420"/>
      <c r="E9" s="420"/>
      <c r="F9" s="420"/>
      <c r="G9" s="420"/>
      <c r="H9" s="420"/>
      <c r="I9" s="420">
        <v>0</v>
      </c>
      <c r="J9" s="420">
        <v>0</v>
      </c>
      <c r="K9" s="420">
        <v>0</v>
      </c>
      <c r="L9" s="420">
        <f>-54.439-0.569</f>
        <v>-55.008000000000003</v>
      </c>
      <c r="M9" s="420">
        <v>0</v>
      </c>
      <c r="N9" s="486">
        <f t="shared" si="8"/>
        <v>0</v>
      </c>
      <c r="O9" s="486"/>
      <c r="P9" s="420"/>
      <c r="Q9" s="420"/>
      <c r="R9" s="420"/>
      <c r="S9" s="486"/>
      <c r="T9" s="420"/>
      <c r="U9" s="420"/>
      <c r="V9" s="420"/>
      <c r="W9" s="486"/>
      <c r="X9" s="420"/>
      <c r="Y9" s="420"/>
      <c r="Z9" s="420"/>
      <c r="AA9" s="486"/>
      <c r="AB9" s="420"/>
      <c r="AC9" s="420"/>
      <c r="AD9" s="420"/>
      <c r="AE9" s="486"/>
      <c r="AF9" s="420"/>
      <c r="AG9" s="420"/>
      <c r="AH9" s="420"/>
      <c r="AI9" s="486"/>
      <c r="AJ9" s="420"/>
      <c r="AK9" s="420"/>
      <c r="AL9" s="420"/>
      <c r="AM9" s="486"/>
      <c r="AN9" s="420"/>
      <c r="AO9" s="420"/>
      <c r="AP9" s="420">
        <v>0</v>
      </c>
      <c r="AQ9" s="486">
        <f t="shared" si="7"/>
        <v>0</v>
      </c>
      <c r="AR9" s="420">
        <v>0</v>
      </c>
      <c r="AS9" s="420">
        <v>-108.626</v>
      </c>
      <c r="AT9" s="420">
        <f>5-5</f>
        <v>0</v>
      </c>
      <c r="AU9" s="486">
        <f t="shared" si="9"/>
        <v>53.618000000000002</v>
      </c>
      <c r="AV9" s="420">
        <v>0</v>
      </c>
      <c r="AW9" s="420">
        <f>0-AV9</f>
        <v>0</v>
      </c>
      <c r="AX9" s="420">
        <v>0</v>
      </c>
      <c r="AY9" s="486">
        <f t="shared" si="10"/>
        <v>0</v>
      </c>
      <c r="AZ9" s="420">
        <v>0</v>
      </c>
      <c r="BB9" s="486"/>
    </row>
    <row r="10" spans="1:54" ht="12.75" customHeight="1">
      <c r="B10" s="422" t="s">
        <v>476</v>
      </c>
      <c r="C10" s="420">
        <v>1230.42</v>
      </c>
      <c r="D10" s="420">
        <v>1400.07</v>
      </c>
      <c r="E10" s="420">
        <v>1589.7349999999999</v>
      </c>
      <c r="F10" s="420">
        <v>1824.5830000000001</v>
      </c>
      <c r="G10" s="420">
        <v>1824.5830000000001</v>
      </c>
      <c r="H10" s="420">
        <v>1891.9970000000001</v>
      </c>
      <c r="I10" s="420">
        <v>1905.9280000000001</v>
      </c>
      <c r="J10" s="420">
        <v>2076.627</v>
      </c>
      <c r="K10" s="420">
        <v>2384.6019999999999</v>
      </c>
      <c r="L10" s="420">
        <v>2663.0920000000001</v>
      </c>
      <c r="M10" s="420">
        <v>2890.404</v>
      </c>
      <c r="N10" s="486">
        <f t="shared" si="8"/>
        <v>2918.9719999999998</v>
      </c>
      <c r="O10" s="486"/>
      <c r="P10" s="420">
        <v>312.64800000000002</v>
      </c>
      <c r="Q10" s="420">
        <v>335.09899999999999</v>
      </c>
      <c r="R10" s="420">
        <v>337.44600000000003</v>
      </c>
      <c r="S10" s="486">
        <f t="shared" si="1"/>
        <v>414.87699999999984</v>
      </c>
      <c r="T10" s="420">
        <v>363.39400000000001</v>
      </c>
      <c r="U10" s="420">
        <v>391.73099999999999</v>
      </c>
      <c r="V10" s="420">
        <v>414.685</v>
      </c>
      <c r="W10" s="486">
        <f t="shared" si="2"/>
        <v>419.92499999999995</v>
      </c>
      <c r="X10" s="420">
        <v>453.61900000000003</v>
      </c>
      <c r="Y10" s="420">
        <v>443.49900000000002</v>
      </c>
      <c r="Z10" s="420">
        <v>442.44400000000002</v>
      </c>
      <c r="AA10" s="486">
        <f t="shared" si="3"/>
        <v>485.02100000000007</v>
      </c>
      <c r="AB10" s="420">
        <v>483.32799999999997</v>
      </c>
      <c r="AC10" s="420">
        <v>470.12599999999998</v>
      </c>
      <c r="AD10" s="420">
        <v>454.91899999999998</v>
      </c>
      <c r="AE10" s="486">
        <f t="shared" si="4"/>
        <v>483.62400000000002</v>
      </c>
      <c r="AF10" s="420">
        <v>454.80799999999999</v>
      </c>
      <c r="AG10" s="420">
        <v>472.59699999999998</v>
      </c>
      <c r="AH10" s="420">
        <v>483.68400000000003</v>
      </c>
      <c r="AI10" s="486">
        <f t="shared" si="5"/>
        <v>494.83900000000017</v>
      </c>
      <c r="AJ10" s="420">
        <v>498.077</v>
      </c>
      <c r="AK10" s="420">
        <v>504.36500000000001</v>
      </c>
      <c r="AL10" s="420">
        <v>518.59199999999998</v>
      </c>
      <c r="AM10" s="486">
        <f t="shared" si="6"/>
        <v>555.59299999999985</v>
      </c>
      <c r="AN10" s="420">
        <v>562.15499999999997</v>
      </c>
      <c r="AO10" s="420">
        <v>584.42399999999998</v>
      </c>
      <c r="AP10" s="420">
        <v>606.65800000000002</v>
      </c>
      <c r="AQ10" s="486">
        <f t="shared" si="7"/>
        <v>631.36500000000001</v>
      </c>
      <c r="AR10" s="420">
        <v>634.00300000000004</v>
      </c>
      <c r="AS10" s="420">
        <v>662.76199999999994</v>
      </c>
      <c r="AT10" s="420">
        <v>688.23699999999997</v>
      </c>
      <c r="AU10" s="486">
        <f t="shared" si="9"/>
        <v>678.09</v>
      </c>
      <c r="AV10" s="420">
        <v>711.59699999999998</v>
      </c>
      <c r="AW10" s="420">
        <f>1429.976-AV10</f>
        <v>718.37900000000013</v>
      </c>
      <c r="AX10" s="420">
        <v>730.76099999999997</v>
      </c>
      <c r="AY10" s="486">
        <f t="shared" si="10"/>
        <v>729.66699999999992</v>
      </c>
      <c r="AZ10" s="420">
        <v>740.16499999999996</v>
      </c>
      <c r="BB10" s="486">
        <f>G10-Z10-Y10-X10</f>
        <v>485.02100000000007</v>
      </c>
    </row>
    <row r="11" spans="1:54" ht="12.75" customHeight="1">
      <c r="B11" s="422" t="s">
        <v>477</v>
      </c>
      <c r="C11" s="420">
        <v>157.821</v>
      </c>
      <c r="D11" s="420">
        <v>254.946</v>
      </c>
      <c r="E11" s="420">
        <v>267.584</v>
      </c>
      <c r="F11" s="420">
        <v>351.524</v>
      </c>
      <c r="G11" s="420">
        <v>351.524</v>
      </c>
      <c r="H11" s="420">
        <v>316.745</v>
      </c>
      <c r="I11" s="420">
        <v>358.36799999999999</v>
      </c>
      <c r="J11" s="420">
        <v>271.45699999999999</v>
      </c>
      <c r="K11" s="420">
        <v>264.89499999999998</v>
      </c>
      <c r="L11" s="420">
        <v>270.63099999999997</v>
      </c>
      <c r="M11" s="420">
        <v>272.11900000000003</v>
      </c>
      <c r="N11" s="486">
        <f t="shared" si="8"/>
        <v>290.654</v>
      </c>
      <c r="O11" s="486"/>
      <c r="P11" s="420">
        <v>63.55</v>
      </c>
      <c r="Q11" s="420">
        <v>61.606000000000002</v>
      </c>
      <c r="R11" s="420">
        <v>61.268000000000001</v>
      </c>
      <c r="S11" s="486">
        <f t="shared" si="1"/>
        <v>68.522000000000006</v>
      </c>
      <c r="T11" s="420">
        <v>55.667000000000002</v>
      </c>
      <c r="U11" s="420">
        <v>61.604999999999997</v>
      </c>
      <c r="V11" s="420">
        <v>71.418999999999997</v>
      </c>
      <c r="W11" s="486">
        <f t="shared" si="2"/>
        <v>78.893000000000029</v>
      </c>
      <c r="X11" s="420">
        <v>78.480999999999995</v>
      </c>
      <c r="Y11" s="420">
        <v>88.921999999999997</v>
      </c>
      <c r="Z11" s="420">
        <v>92.617000000000004</v>
      </c>
      <c r="AA11" s="486">
        <f t="shared" si="3"/>
        <v>91.503999999999991</v>
      </c>
      <c r="AB11" s="420">
        <v>90.424000000000007</v>
      </c>
      <c r="AC11" s="420">
        <v>68.146000000000001</v>
      </c>
      <c r="AD11" s="420">
        <v>84.962999999999994</v>
      </c>
      <c r="AE11" s="486">
        <f t="shared" si="4"/>
        <v>73.212000000000018</v>
      </c>
      <c r="AF11" s="420">
        <v>128.02099999999999</v>
      </c>
      <c r="AG11" s="420">
        <v>61.238999999999997</v>
      </c>
      <c r="AH11" s="420">
        <v>103.149</v>
      </c>
      <c r="AI11" s="486">
        <f t="shared" si="5"/>
        <v>65.959000000000003</v>
      </c>
      <c r="AJ11" s="420">
        <v>61.436</v>
      </c>
      <c r="AK11" s="420">
        <v>91.558999999999997</v>
      </c>
      <c r="AL11" s="420">
        <v>42.877000000000002</v>
      </c>
      <c r="AM11" s="486">
        <f t="shared" si="6"/>
        <v>75.58499999999998</v>
      </c>
      <c r="AN11" s="420">
        <v>55.030999999999999</v>
      </c>
      <c r="AO11" s="420">
        <v>56.491</v>
      </c>
      <c r="AP11" s="420">
        <v>79.295000000000002</v>
      </c>
      <c r="AQ11" s="486">
        <f t="shared" si="7"/>
        <v>74.077999999999975</v>
      </c>
      <c r="AR11" s="420">
        <v>53.418999999999997</v>
      </c>
      <c r="AS11" s="420">
        <v>54.314</v>
      </c>
      <c r="AT11" s="420">
        <v>59.204000000000001</v>
      </c>
      <c r="AU11" s="486">
        <f t="shared" si="9"/>
        <v>103.69399999999997</v>
      </c>
      <c r="AV11" s="420">
        <v>59.893000000000001</v>
      </c>
      <c r="AW11" s="420">
        <f>122.774-AV11</f>
        <v>62.881</v>
      </c>
      <c r="AX11" s="420">
        <v>72.382000000000005</v>
      </c>
      <c r="AY11" s="486">
        <f t="shared" si="10"/>
        <v>76.963000000000022</v>
      </c>
      <c r="AZ11" s="420">
        <v>78.427999999999997</v>
      </c>
      <c r="BB11" s="486">
        <f>G11-Z11-Y11-X11</f>
        <v>91.503999999999991</v>
      </c>
    </row>
    <row r="12" spans="1:54" ht="12.75" customHeight="1">
      <c r="B12" s="422" t="s">
        <v>478</v>
      </c>
      <c r="C12" s="420">
        <v>0</v>
      </c>
      <c r="D12" s="420">
        <v>0</v>
      </c>
      <c r="E12" s="420">
        <v>0</v>
      </c>
      <c r="F12" s="420">
        <v>0</v>
      </c>
      <c r="G12" s="420">
        <v>0</v>
      </c>
      <c r="H12" s="420">
        <v>0</v>
      </c>
      <c r="I12" s="420">
        <v>0</v>
      </c>
      <c r="J12" s="420">
        <v>0</v>
      </c>
      <c r="K12" s="420">
        <f>296.728</f>
        <v>296.72800000000001</v>
      </c>
      <c r="L12" s="420">
        <v>297.56700000000001</v>
      </c>
      <c r="M12" s="420">
        <v>297.56700000000001</v>
      </c>
      <c r="N12" s="486">
        <f t="shared" si="8"/>
        <v>293.58500000000004</v>
      </c>
      <c r="O12" s="486"/>
      <c r="P12" s="420">
        <v>0</v>
      </c>
      <c r="Q12" s="420">
        <v>0</v>
      </c>
      <c r="R12" s="420">
        <v>0</v>
      </c>
      <c r="S12" s="486">
        <f t="shared" si="1"/>
        <v>0</v>
      </c>
      <c r="T12" s="420">
        <v>0</v>
      </c>
      <c r="U12" s="420">
        <v>0</v>
      </c>
      <c r="V12" s="420">
        <v>0</v>
      </c>
      <c r="W12" s="486">
        <f t="shared" si="2"/>
        <v>0</v>
      </c>
      <c r="X12" s="420">
        <v>0</v>
      </c>
      <c r="Y12" s="420">
        <v>0</v>
      </c>
      <c r="Z12" s="420">
        <v>0</v>
      </c>
      <c r="AA12" s="486">
        <f t="shared" si="3"/>
        <v>0</v>
      </c>
      <c r="AB12" s="420">
        <v>0</v>
      </c>
      <c r="AC12" s="420">
        <v>0</v>
      </c>
      <c r="AD12" s="420">
        <v>0</v>
      </c>
      <c r="AE12" s="486">
        <f t="shared" si="4"/>
        <v>0</v>
      </c>
      <c r="AF12" s="420">
        <v>0</v>
      </c>
      <c r="AG12" s="420">
        <v>0</v>
      </c>
      <c r="AH12" s="420">
        <v>0</v>
      </c>
      <c r="AI12" s="486">
        <f t="shared" si="5"/>
        <v>0</v>
      </c>
      <c r="AJ12" s="420">
        <v>0</v>
      </c>
      <c r="AK12" s="420">
        <v>0</v>
      </c>
      <c r="AL12" s="420">
        <v>0</v>
      </c>
      <c r="AM12" s="486">
        <f t="shared" si="6"/>
        <v>0</v>
      </c>
      <c r="AN12" s="420">
        <v>75.665999999999997</v>
      </c>
      <c r="AO12" s="420">
        <v>72.278999999999996</v>
      </c>
      <c r="AP12" s="420">
        <v>74.391999999999996</v>
      </c>
      <c r="AQ12" s="486">
        <f t="shared" si="7"/>
        <v>74.39100000000002</v>
      </c>
      <c r="AR12" s="420">
        <v>74.391999999999996</v>
      </c>
      <c r="AS12" s="420">
        <v>74.391999999999996</v>
      </c>
      <c r="AT12" s="420">
        <v>74.391000000000005</v>
      </c>
      <c r="AU12" s="486">
        <f t="shared" si="9"/>
        <v>74.391999999999996</v>
      </c>
      <c r="AV12" s="420">
        <v>74.391999999999996</v>
      </c>
      <c r="AW12" s="420">
        <f>148.784-AV12</f>
        <v>74.391999999999996</v>
      </c>
      <c r="AX12" s="420">
        <v>74.391000000000005</v>
      </c>
      <c r="AY12" s="486">
        <f t="shared" si="10"/>
        <v>74.391999999999996</v>
      </c>
      <c r="AZ12" s="420">
        <v>70.41</v>
      </c>
      <c r="BB12" s="486"/>
    </row>
    <row r="13" spans="1:54" ht="12.75" customHeight="1">
      <c r="B13" s="422" t="s">
        <v>479</v>
      </c>
      <c r="C13" s="420">
        <v>108</v>
      </c>
      <c r="D13" s="420">
        <v>296.07600000000002</v>
      </c>
      <c r="E13" s="420">
        <v>100.622</v>
      </c>
      <c r="F13" s="420">
        <v>169.84200000000001</v>
      </c>
      <c r="G13" s="420">
        <v>169.84200000000001</v>
      </c>
      <c r="H13" s="420">
        <v>125.93899999999999</v>
      </c>
      <c r="I13" s="420">
        <v>92.966999999999999</v>
      </c>
      <c r="J13" s="420">
        <f>237.32+308.665</f>
        <v>545.98500000000001</v>
      </c>
      <c r="K13" s="420">
        <f>141.321</f>
        <v>141.321</v>
      </c>
      <c r="L13" s="420">
        <v>64.195999999999998</v>
      </c>
      <c r="M13" s="420">
        <v>9.1140000000000008</v>
      </c>
      <c r="N13" s="486">
        <f t="shared" si="8"/>
        <v>6.7870000000000017</v>
      </c>
      <c r="O13" s="486"/>
      <c r="P13" s="420">
        <v>48.75</v>
      </c>
      <c r="Q13" s="420">
        <v>47.238</v>
      </c>
      <c r="R13" s="420">
        <v>34.591000000000001</v>
      </c>
      <c r="S13" s="486">
        <f t="shared" si="1"/>
        <v>165.49700000000001</v>
      </c>
      <c r="T13" s="420">
        <v>26.231999999999999</v>
      </c>
      <c r="U13" s="420">
        <v>33.276000000000003</v>
      </c>
      <c r="V13" s="420">
        <v>20.698</v>
      </c>
      <c r="W13" s="486">
        <f t="shared" si="2"/>
        <v>20.416000000000004</v>
      </c>
      <c r="X13" s="420">
        <v>20.068999999999999</v>
      </c>
      <c r="Y13" s="420">
        <v>65.813999999999993</v>
      </c>
      <c r="Z13" s="420">
        <v>43.61</v>
      </c>
      <c r="AA13" s="486">
        <f t="shared" si="3"/>
        <v>40.349000000000018</v>
      </c>
      <c r="AB13" s="420">
        <v>48.005000000000003</v>
      </c>
      <c r="AC13" s="420">
        <v>34.271999999999998</v>
      </c>
      <c r="AD13" s="420">
        <v>21.082999999999998</v>
      </c>
      <c r="AE13" s="486">
        <f t="shared" si="4"/>
        <v>22.579000000000001</v>
      </c>
      <c r="AF13" s="420">
        <v>19.588999999999999</v>
      </c>
      <c r="AG13" s="420">
        <v>22.911999999999999</v>
      </c>
      <c r="AH13" s="420">
        <v>25.791</v>
      </c>
      <c r="AI13" s="486">
        <f t="shared" si="5"/>
        <v>24.675000000000004</v>
      </c>
      <c r="AJ13" s="420">
        <v>24.800999999999998</v>
      </c>
      <c r="AK13" s="420">
        <v>81.483999999999995</v>
      </c>
      <c r="AL13" s="420">
        <v>80.126999999999995</v>
      </c>
      <c r="AM13" s="486">
        <f t="shared" si="6"/>
        <v>359.57300000000004</v>
      </c>
      <c r="AN13" s="420">
        <v>33.710999999999999</v>
      </c>
      <c r="AO13" s="420">
        <v>37.201999999999998</v>
      </c>
      <c r="AP13" s="420">
        <v>33.569000000000003</v>
      </c>
      <c r="AQ13" s="486">
        <f t="shared" si="7"/>
        <v>36.838999999999999</v>
      </c>
      <c r="AR13" s="420">
        <v>31.748999999999999</v>
      </c>
      <c r="AS13" s="420">
        <v>25.148</v>
      </c>
      <c r="AT13" s="420">
        <v>4.008</v>
      </c>
      <c r="AU13" s="486">
        <f t="shared" si="9"/>
        <v>3.2909999999999933</v>
      </c>
      <c r="AV13" s="420">
        <v>2.327</v>
      </c>
      <c r="AW13" s="420">
        <f>6.53-AV13</f>
        <v>4.2030000000000003</v>
      </c>
      <c r="AX13" s="420">
        <v>0.998</v>
      </c>
      <c r="AY13" s="486">
        <f t="shared" si="10"/>
        <v>1.5860000000000012</v>
      </c>
      <c r="AZ13" s="420">
        <v>0</v>
      </c>
      <c r="BB13" s="486">
        <f>G13-Z13-Y13-X13</f>
        <v>40.349000000000018</v>
      </c>
    </row>
    <row r="14" spans="1:54" s="424" customFormat="1" ht="12.75" customHeight="1">
      <c r="B14" s="424" t="s">
        <v>480</v>
      </c>
      <c r="C14" s="479">
        <f t="shared" ref="C14:K14" si="11">+C7+C8+C10+C11+C12+C13+C9</f>
        <v>13252.848</v>
      </c>
      <c r="D14" s="479">
        <f t="shared" si="11"/>
        <v>14621.119999999999</v>
      </c>
      <c r="E14" s="479">
        <f t="shared" si="11"/>
        <v>17205.128999999997</v>
      </c>
      <c r="F14" s="479">
        <f t="shared" si="11"/>
        <v>19189.082999999999</v>
      </c>
      <c r="G14" s="479">
        <f t="shared" si="11"/>
        <v>19189.082999999999</v>
      </c>
      <c r="H14" s="479">
        <f t="shared" si="11"/>
        <v>19193.234999999997</v>
      </c>
      <c r="I14" s="479">
        <f t="shared" si="11"/>
        <v>21868.71</v>
      </c>
      <c r="J14" s="479">
        <f t="shared" si="11"/>
        <v>23900.686000000002</v>
      </c>
      <c r="K14" s="479">
        <f t="shared" si="11"/>
        <v>26057.337</v>
      </c>
      <c r="L14" s="479">
        <f>+L7+L8+L10+L11+L12+L13+L9</f>
        <v>28324.656999999999</v>
      </c>
      <c r="M14" s="479">
        <f>+M7+M8+M10+M11+M12+M13+M9</f>
        <v>30508.817999999999</v>
      </c>
      <c r="N14" s="479">
        <f t="shared" ref="N14" si="12">+N7+N8+N10+N11+N12+N13+N9</f>
        <v>30911.22</v>
      </c>
      <c r="O14" s="479"/>
      <c r="P14" s="479">
        <f>+P7+P8+P10+P11+P12+P13+P9</f>
        <v>3563.9620000000004</v>
      </c>
      <c r="Q14" s="479">
        <f t="shared" ref="Q14:AU14" si="13">+Q7+Q8+Q10+Q11+Q12+Q13+Q9</f>
        <v>3580.056</v>
      </c>
      <c r="R14" s="479">
        <f t="shared" si="13"/>
        <v>3573.2449999999999</v>
      </c>
      <c r="S14" s="479">
        <f t="shared" si="13"/>
        <v>3903.857</v>
      </c>
      <c r="T14" s="479">
        <f t="shared" si="13"/>
        <v>4129.8060000000005</v>
      </c>
      <c r="U14" s="479">
        <f t="shared" si="13"/>
        <v>4215.177999999999</v>
      </c>
      <c r="V14" s="479">
        <f t="shared" si="13"/>
        <v>4345.3470000000007</v>
      </c>
      <c r="W14" s="479">
        <f t="shared" si="13"/>
        <v>4514.7980000000007</v>
      </c>
      <c r="X14" s="479">
        <f t="shared" si="13"/>
        <v>4603.1909999999998</v>
      </c>
      <c r="Y14" s="479">
        <f t="shared" si="13"/>
        <v>4736.9359999999997</v>
      </c>
      <c r="Z14" s="479">
        <f t="shared" si="13"/>
        <v>4755.8550000000005</v>
      </c>
      <c r="AA14" s="479">
        <f t="shared" si="13"/>
        <v>5093.100999999996</v>
      </c>
      <c r="AB14" s="479">
        <f t="shared" si="13"/>
        <v>5169.2369999999992</v>
      </c>
      <c r="AC14" s="479">
        <f t="shared" si="13"/>
        <v>4298.2709999999997</v>
      </c>
      <c r="AD14" s="479">
        <f t="shared" si="13"/>
        <v>4534.3</v>
      </c>
      <c r="AE14" s="479">
        <f t="shared" si="13"/>
        <v>5191.4270000000006</v>
      </c>
      <c r="AF14" s="479">
        <f t="shared" si="13"/>
        <v>5369.491</v>
      </c>
      <c r="AG14" s="479">
        <f t="shared" si="13"/>
        <v>5285.5459999999994</v>
      </c>
      <c r="AH14" s="479">
        <f t="shared" si="13"/>
        <v>5395.5860000000011</v>
      </c>
      <c r="AI14" s="479">
        <f t="shared" si="13"/>
        <v>5818.0869999999977</v>
      </c>
      <c r="AJ14" s="479">
        <f t="shared" si="13"/>
        <v>5849.3739999999998</v>
      </c>
      <c r="AK14" s="479">
        <f t="shared" si="13"/>
        <v>5801.3240000000005</v>
      </c>
      <c r="AL14" s="479">
        <f t="shared" si="13"/>
        <v>6018.4270000000006</v>
      </c>
      <c r="AM14" s="479">
        <f t="shared" si="13"/>
        <v>6231.5610000000024</v>
      </c>
      <c r="AN14" s="479">
        <f t="shared" si="13"/>
        <v>6377.5910000000003</v>
      </c>
      <c r="AO14" s="479">
        <f t="shared" si="13"/>
        <v>6448.6320000000005</v>
      </c>
      <c r="AP14" s="479">
        <f t="shared" si="13"/>
        <v>6448.112000000001</v>
      </c>
      <c r="AQ14" s="479">
        <f t="shared" si="13"/>
        <v>6783.0019999999986</v>
      </c>
      <c r="AR14" s="479">
        <f t="shared" si="13"/>
        <v>6823.7649999999994</v>
      </c>
      <c r="AS14" s="479">
        <f t="shared" si="13"/>
        <v>6811.9709999999995</v>
      </c>
      <c r="AT14" s="479">
        <f t="shared" si="13"/>
        <v>7160.4319999999989</v>
      </c>
      <c r="AU14" s="479">
        <f t="shared" si="13"/>
        <v>7528.4890000000005</v>
      </c>
      <c r="AV14" s="479">
        <f t="shared" ref="AV14:AY14" si="14">+AV7+AV8+AV10+AV11+AV12+AV13+AV9</f>
        <v>7604.7789999999995</v>
      </c>
      <c r="AW14" s="479">
        <f t="shared" si="14"/>
        <v>7505.2660000000005</v>
      </c>
      <c r="AX14" s="479">
        <f t="shared" si="14"/>
        <v>7525.3159999999989</v>
      </c>
      <c r="AY14" s="479">
        <f t="shared" si="14"/>
        <v>7873.4570000000012</v>
      </c>
      <c r="AZ14" s="479">
        <f t="shared" ref="AZ14" si="15">+AZ7+AZ8+AZ10+AZ11+AZ12+AZ13+AZ9</f>
        <v>8007.1809999999996</v>
      </c>
      <c r="BB14" s="479">
        <f>+BB7+BB8+BB10+BB11+BB13</f>
        <v>5093.100999999996</v>
      </c>
    </row>
    <row r="15" spans="1:54" s="449" customFormat="1" ht="12.75" customHeight="1">
      <c r="B15" s="491" t="s">
        <v>481</v>
      </c>
      <c r="C15" s="497"/>
      <c r="D15" s="497">
        <f>D14/C14-1</f>
        <v>0.103243619786479</v>
      </c>
      <c r="E15" s="497">
        <f>E14/D14-1</f>
        <v>0.17673126272132356</v>
      </c>
      <c r="F15" s="497">
        <f>F14/E14-1</f>
        <v>0.11531177708693741</v>
      </c>
      <c r="G15" s="497">
        <f>G14/E14-1</f>
        <v>0.11531177708693741</v>
      </c>
      <c r="H15" s="497">
        <f t="shared" ref="H15:M15" si="16">H14/G14-1</f>
        <v>2.1637302835153527E-4</v>
      </c>
      <c r="I15" s="497">
        <f t="shared" si="16"/>
        <v>0.13939677183132515</v>
      </c>
      <c r="J15" s="497">
        <f t="shared" si="16"/>
        <v>9.291704906233611E-2</v>
      </c>
      <c r="K15" s="497">
        <f t="shared" si="16"/>
        <v>9.0233853538764341E-2</v>
      </c>
      <c r="L15" s="497">
        <f t="shared" si="16"/>
        <v>8.7012728890907054E-2</v>
      </c>
      <c r="M15" s="497">
        <f t="shared" si="16"/>
        <v>7.7111648695339818E-2</v>
      </c>
      <c r="N15" s="493"/>
      <c r="O15" s="733"/>
      <c r="P15" s="497"/>
      <c r="Q15" s="497"/>
      <c r="R15" s="497"/>
      <c r="S15" s="500"/>
      <c r="T15" s="497">
        <f t="shared" ref="T15:AZ15" si="17">T14/P14-1</f>
        <v>0.15876824724842753</v>
      </c>
      <c r="U15" s="497">
        <f t="shared" si="17"/>
        <v>0.17740560482852752</v>
      </c>
      <c r="V15" s="497">
        <f t="shared" si="17"/>
        <v>0.21607866239230744</v>
      </c>
      <c r="W15" s="497">
        <f t="shared" si="17"/>
        <v>0.15649676717154359</v>
      </c>
      <c r="X15" s="497">
        <f t="shared" si="17"/>
        <v>0.11462644976543679</v>
      </c>
      <c r="Y15" s="497">
        <f t="shared" si="17"/>
        <v>0.12378077509419549</v>
      </c>
      <c r="Z15" s="497">
        <f t="shared" si="17"/>
        <v>9.4470706251997827E-2</v>
      </c>
      <c r="AA15" s="497">
        <f t="shared" si="17"/>
        <v>0.12809055909035028</v>
      </c>
      <c r="AB15" s="497">
        <f t="shared" si="17"/>
        <v>0.12296817577198071</v>
      </c>
      <c r="AC15" s="497">
        <f t="shared" si="17"/>
        <v>-9.2605219914307479E-2</v>
      </c>
      <c r="AD15" s="497">
        <f t="shared" si="17"/>
        <v>-4.6585734846836258E-2</v>
      </c>
      <c r="AE15" s="497">
        <f>AE14/BB14-1</f>
        <v>1.930572356605631E-2</v>
      </c>
      <c r="AF15" s="497">
        <f t="shared" si="17"/>
        <v>3.8739566400225245E-2</v>
      </c>
      <c r="AG15" s="497">
        <f t="shared" si="17"/>
        <v>0.22969119443608821</v>
      </c>
      <c r="AH15" s="497">
        <f t="shared" si="17"/>
        <v>0.18994905498092329</v>
      </c>
      <c r="AI15" s="497">
        <f t="shared" si="17"/>
        <v>0.12071054837138173</v>
      </c>
      <c r="AJ15" s="497">
        <f t="shared" si="17"/>
        <v>8.9372158366593846E-2</v>
      </c>
      <c r="AK15" s="497">
        <f t="shared" si="17"/>
        <v>9.7582728444705946E-2</v>
      </c>
      <c r="AL15" s="497">
        <f t="shared" si="17"/>
        <v>0.11543528358180177</v>
      </c>
      <c r="AM15" s="497">
        <f t="shared" si="17"/>
        <v>7.1067001920047668E-2</v>
      </c>
      <c r="AN15" s="497">
        <f t="shared" si="17"/>
        <v>9.030316748424716E-2</v>
      </c>
      <c r="AO15" s="497">
        <f t="shared" si="17"/>
        <v>0.11157935671236419</v>
      </c>
      <c r="AP15" s="497">
        <f t="shared" si="17"/>
        <v>7.1394901026464286E-2</v>
      </c>
      <c r="AQ15" s="497">
        <f t="shared" si="17"/>
        <v>8.8491631551066652E-2</v>
      </c>
      <c r="AR15" s="497">
        <f t="shared" si="17"/>
        <v>6.9959644636979457E-2</v>
      </c>
      <c r="AS15" s="497">
        <f t="shared" si="17"/>
        <v>5.6343577986772919E-2</v>
      </c>
      <c r="AT15" s="497">
        <f t="shared" si="17"/>
        <v>0.11046954519400365</v>
      </c>
      <c r="AU15" s="497">
        <f t="shared" si="17"/>
        <v>0.10990517178087256</v>
      </c>
      <c r="AV15" s="497">
        <f t="shared" si="17"/>
        <v>0.11445499661843583</v>
      </c>
      <c r="AW15" s="497">
        <f t="shared" si="17"/>
        <v>0.10177597643912484</v>
      </c>
      <c r="AX15" s="497">
        <f t="shared" si="17"/>
        <v>5.0958377930270249E-2</v>
      </c>
      <c r="AY15" s="497">
        <f t="shared" si="17"/>
        <v>4.5821678161447998E-2</v>
      </c>
      <c r="AZ15" s="497">
        <f t="shared" si="17"/>
        <v>5.2914358195024436E-2</v>
      </c>
      <c r="BB15" s="497">
        <f>BB14/W14-1</f>
        <v>0.12809055909035028</v>
      </c>
    </row>
    <row r="16" spans="1:54" ht="12.75" customHeight="1">
      <c r="B16" s="422" t="s">
        <v>482</v>
      </c>
      <c r="C16" s="420">
        <v>-678.68600000000004</v>
      </c>
      <c r="D16" s="420">
        <v>-753.49400000000003</v>
      </c>
      <c r="E16" s="420">
        <v>-836.49800000000005</v>
      </c>
      <c r="F16" s="420">
        <v>-898.50800000000004</v>
      </c>
      <c r="G16" s="420">
        <v>-898.50800000000004</v>
      </c>
      <c r="H16" s="420">
        <v>-860.78700000000003</v>
      </c>
      <c r="I16" s="420">
        <v>-882.10799999999995</v>
      </c>
      <c r="J16" s="420">
        <v>-920.22400000000005</v>
      </c>
      <c r="K16" s="420">
        <v>-1013.934</v>
      </c>
      <c r="L16" s="420">
        <v>-982.59100000000001</v>
      </c>
      <c r="M16" s="420">
        <v>-1056.221</v>
      </c>
      <c r="N16" s="486">
        <f t="shared" ref="N16:N20" si="18">SUM(AW16:AZ16)</f>
        <v>-811.07900000000006</v>
      </c>
      <c r="O16" s="486"/>
      <c r="P16" s="420">
        <v>-178.72800000000001</v>
      </c>
      <c r="Q16" s="420">
        <v>-183.285</v>
      </c>
      <c r="R16" s="420">
        <v>-186.934</v>
      </c>
      <c r="S16" s="486">
        <f>D16-R16-Q16-P16</f>
        <v>-204.54700000000008</v>
      </c>
      <c r="T16" s="420">
        <v>-201.708</v>
      </c>
      <c r="U16" s="420">
        <v>-207.02699999999999</v>
      </c>
      <c r="V16" s="420">
        <v>-212.33199999999999</v>
      </c>
      <c r="W16" s="486">
        <f>E16-V16-U16-T16</f>
        <v>-215.43100000000007</v>
      </c>
      <c r="X16" s="420">
        <v>-222.923</v>
      </c>
      <c r="Y16" s="420">
        <v>-220.256</v>
      </c>
      <c r="Z16" s="420">
        <v>-230</v>
      </c>
      <c r="AA16" s="486">
        <f>F16-Z16-Y16-X16</f>
        <v>-225.32900000000006</v>
      </c>
      <c r="AB16" s="420">
        <v>-214.59200000000001</v>
      </c>
      <c r="AC16" s="420">
        <v>-189.37299999999999</v>
      </c>
      <c r="AD16" s="420">
        <v>-207.55500000000001</v>
      </c>
      <c r="AE16" s="486">
        <f>H16-AD16-AC16-AB16</f>
        <v>-249.26699999999997</v>
      </c>
      <c r="AF16" s="420">
        <v>-220.78100000000001</v>
      </c>
      <c r="AG16" s="420">
        <v>-225.303</v>
      </c>
      <c r="AH16" s="420">
        <v>-222.499</v>
      </c>
      <c r="AI16" s="486">
        <f>I16-AH16-AG16-AF16</f>
        <v>-213.52499999999992</v>
      </c>
      <c r="AJ16" s="420">
        <v>-221.96199999999999</v>
      </c>
      <c r="AK16" s="420">
        <v>-225.04300000000001</v>
      </c>
      <c r="AL16" s="420">
        <v>-220.83</v>
      </c>
      <c r="AM16" s="486">
        <f>J16-AL16-AK16-AJ16</f>
        <v>-252.38900000000001</v>
      </c>
      <c r="AN16" s="420">
        <v>-241.756</v>
      </c>
      <c r="AO16" s="420">
        <v>-263.733</v>
      </c>
      <c r="AP16" s="420">
        <v>-260.23700000000002</v>
      </c>
      <c r="AQ16" s="486">
        <f>K16-AP16-AO16-AN16</f>
        <v>-248.20799999999988</v>
      </c>
      <c r="AR16" s="420">
        <v>-254.2</v>
      </c>
      <c r="AS16" s="420">
        <v>-255.80699999999999</v>
      </c>
      <c r="AT16" s="420">
        <v>-242.24100000000001</v>
      </c>
      <c r="AU16" s="486">
        <f t="shared" ref="AU16:AU20" si="19">L16-AT16-AS16-AR16</f>
        <v>-230.34300000000002</v>
      </c>
      <c r="AV16" s="420">
        <v>-245.142</v>
      </c>
      <c r="AW16" s="420">
        <f>-496.764-AV16</f>
        <v>-251.62200000000001</v>
      </c>
      <c r="AX16" s="420">
        <v>-258.55200000000002</v>
      </c>
      <c r="AY16" s="486">
        <f t="shared" ref="AY16:AY20" si="20">M16-AX16-AW16-AV16</f>
        <v>-300.90500000000003</v>
      </c>
      <c r="AZ16" s="420">
        <v>0</v>
      </c>
      <c r="BB16" s="486">
        <f>G16-Z16-Y16-X16</f>
        <v>-225.32900000000006</v>
      </c>
    </row>
    <row r="17" spans="2:54" ht="12.75" customHeight="1">
      <c r="B17" s="422" t="s">
        <v>483</v>
      </c>
      <c r="C17" s="420">
        <v>-824.96699999999998</v>
      </c>
      <c r="D17" s="420">
        <v>-930.01400000000001</v>
      </c>
      <c r="E17" s="420">
        <v>-1130.2</v>
      </c>
      <c r="F17" s="420">
        <v>-1939.7</v>
      </c>
      <c r="G17" s="420">
        <v>-1939.7</v>
      </c>
      <c r="H17" s="420">
        <v>-1851.136</v>
      </c>
      <c r="I17" s="420">
        <v>-2060.13</v>
      </c>
      <c r="J17" s="420">
        <v>-2683.0419999999999</v>
      </c>
      <c r="K17" s="420">
        <v>-3109.7260000000001</v>
      </c>
      <c r="L17" s="420">
        <v>-2297.933</v>
      </c>
      <c r="M17" s="420">
        <v>-2259.2240000000002</v>
      </c>
      <c r="N17" s="486">
        <f t="shared" si="18"/>
        <v>-2154.0230000000001</v>
      </c>
      <c r="O17" s="486"/>
      <c r="P17" s="420">
        <v>-235.24199999999999</v>
      </c>
      <c r="Q17" s="420">
        <v>-234.04</v>
      </c>
      <c r="R17" s="420">
        <v>-234.44800000000001</v>
      </c>
      <c r="S17" s="486">
        <f>D17-R17-Q17-P17</f>
        <v>-226.28400000000008</v>
      </c>
      <c r="T17" s="420">
        <v>-268.017</v>
      </c>
      <c r="U17" s="420">
        <v>-270.43700000000001</v>
      </c>
      <c r="V17" s="420">
        <v>-305.18900000000002</v>
      </c>
      <c r="W17" s="486">
        <f>E17-V17-U17-T17</f>
        <v>-286.55699999999996</v>
      </c>
      <c r="X17" s="420">
        <v>-289.91199999999998</v>
      </c>
      <c r="Y17" s="420">
        <v>-291.06</v>
      </c>
      <c r="Z17" s="420">
        <v>-298.89</v>
      </c>
      <c r="AA17" s="486">
        <f>F17-Z17-Y17-X17</f>
        <v>-1059.838</v>
      </c>
      <c r="AB17" s="420">
        <v>-387.286</v>
      </c>
      <c r="AC17" s="420">
        <v>-426.13099999999997</v>
      </c>
      <c r="AD17" s="420">
        <v>-435.47</v>
      </c>
      <c r="AE17" s="486">
        <f>H17-AD17-AC17-AB17</f>
        <v>-602.24900000000002</v>
      </c>
      <c r="AF17" s="420">
        <v>-420.35700000000003</v>
      </c>
      <c r="AG17" s="420">
        <v>-402.73500000000001</v>
      </c>
      <c r="AH17" s="420">
        <v>-333.81599999999997</v>
      </c>
      <c r="AI17" s="486">
        <f>I17-AH17-AG17-AF17</f>
        <v>-903.22200000000021</v>
      </c>
      <c r="AJ17" s="420">
        <v>-376.93799999999999</v>
      </c>
      <c r="AK17" s="420">
        <v>-368.14</v>
      </c>
      <c r="AL17" s="420">
        <v>-298.85899999999998</v>
      </c>
      <c r="AM17" s="486">
        <f>J17-AL17-AK17-AJ17</f>
        <v>-1639.105</v>
      </c>
      <c r="AN17" s="420">
        <v>-372.06599999999997</v>
      </c>
      <c r="AO17" s="420">
        <v>-386.25</v>
      </c>
      <c r="AP17" s="420">
        <v>-369.31400000000002</v>
      </c>
      <c r="AQ17" s="486">
        <f>K17-AP17-AO17-AN17</f>
        <v>-1982.0960000000002</v>
      </c>
      <c r="AR17" s="420">
        <v>-493.97300000000001</v>
      </c>
      <c r="AS17" s="420">
        <v>-560.71500000000003</v>
      </c>
      <c r="AT17" s="420">
        <v>-588.73099999999999</v>
      </c>
      <c r="AU17" s="486">
        <f t="shared" si="19"/>
        <v>-654.51400000000012</v>
      </c>
      <c r="AV17" s="420">
        <v>-665.21600000000001</v>
      </c>
      <c r="AW17" s="420">
        <f>-1299.077-AV17</f>
        <v>-633.86099999999999</v>
      </c>
      <c r="AX17" s="420">
        <v>-611.75800000000004</v>
      </c>
      <c r="AY17" s="486">
        <f t="shared" si="20"/>
        <v>-348.38900000000012</v>
      </c>
      <c r="AZ17" s="420">
        <v>-560.01499999999999</v>
      </c>
      <c r="BB17" s="486">
        <f>G17-Z17-Y17-X17</f>
        <v>-1059.838</v>
      </c>
    </row>
    <row r="18" spans="2:54" ht="12.75" customHeight="1">
      <c r="B18" s="422" t="s">
        <v>484</v>
      </c>
      <c r="C18" s="420">
        <v>-1293.7719999999999</v>
      </c>
      <c r="D18" s="420">
        <v>-1460.556</v>
      </c>
      <c r="E18" s="420">
        <v>-1749.8489999999999</v>
      </c>
      <c r="F18" s="420">
        <v>-1234.201</v>
      </c>
      <c r="G18" s="420">
        <v>-1228.201</v>
      </c>
      <c r="H18" s="420">
        <v>-1583.7950000000001</v>
      </c>
      <c r="I18" s="420">
        <v>-1443.615</v>
      </c>
      <c r="J18" s="420">
        <v>-1321.7190000000001</v>
      </c>
      <c r="K18" s="420">
        <v>-1619.6089999999999</v>
      </c>
      <c r="L18" s="420">
        <v>-3495.29</v>
      </c>
      <c r="M18" s="420">
        <v>-4024.2489999999998</v>
      </c>
      <c r="N18" s="486">
        <f t="shared" si="18"/>
        <v>-4232.4039999999995</v>
      </c>
      <c r="O18" s="486"/>
      <c r="P18" s="420">
        <v>-328.82900000000001</v>
      </c>
      <c r="Q18" s="420">
        <v>-347.709</v>
      </c>
      <c r="R18" s="420">
        <v>-347.34199999999998</v>
      </c>
      <c r="S18" s="486">
        <f>D18-R18-Q18-P18</f>
        <v>-436.67599999999987</v>
      </c>
      <c r="T18" s="420">
        <v>-441.91399999999999</v>
      </c>
      <c r="U18" s="420">
        <v>-442.19099999999997</v>
      </c>
      <c r="V18" s="420">
        <v>-414.49900000000002</v>
      </c>
      <c r="W18" s="486">
        <f>E18-V18-U18-T18</f>
        <v>-451.24499999999989</v>
      </c>
      <c r="X18" s="420">
        <v>-452.815</v>
      </c>
      <c r="Y18" s="420">
        <v>-517.45000000000005</v>
      </c>
      <c r="Z18" s="420">
        <v>-473.815</v>
      </c>
      <c r="AA18" s="486">
        <f>F18-Z18-Y18-X18</f>
        <v>209.87900000000008</v>
      </c>
      <c r="AB18" s="420">
        <v>-419.81299999999999</v>
      </c>
      <c r="AC18" s="420">
        <v>-420.315</v>
      </c>
      <c r="AD18" s="420">
        <v>-476.34</v>
      </c>
      <c r="AE18" s="486">
        <f>H18-AD18-AC18-AB18</f>
        <v>-267.32700000000011</v>
      </c>
      <c r="AF18" s="420">
        <v>-502.459</v>
      </c>
      <c r="AG18" s="420">
        <v>-403.10899999999998</v>
      </c>
      <c r="AH18" s="420">
        <v>-466.97500000000002</v>
      </c>
      <c r="AI18" s="486">
        <f>I18-AH18-AG18-AF18</f>
        <v>-71.071999999999946</v>
      </c>
      <c r="AJ18" s="420">
        <v>-592.98800000000006</v>
      </c>
      <c r="AK18" s="420">
        <v>-621.70399999999995</v>
      </c>
      <c r="AL18" s="420">
        <v>-660.83900000000006</v>
      </c>
      <c r="AM18" s="486">
        <f>J18-AL18-AK18-AJ18</f>
        <v>553.81200000000001</v>
      </c>
      <c r="AN18" s="420">
        <v>-714.89300000000003</v>
      </c>
      <c r="AO18" s="420">
        <v>-744.40800000000002</v>
      </c>
      <c r="AP18" s="420">
        <v>-758.79300000000001</v>
      </c>
      <c r="AQ18" s="486">
        <f>K18-AP18-AO18-AN18</f>
        <v>598.48500000000013</v>
      </c>
      <c r="AR18" s="420">
        <v>-840.73500000000001</v>
      </c>
      <c r="AS18" s="420">
        <v>-824.13099999999997</v>
      </c>
      <c r="AT18" s="420">
        <v>-851.59799999999996</v>
      </c>
      <c r="AU18" s="486">
        <f t="shared" si="19"/>
        <v>-978.82600000000014</v>
      </c>
      <c r="AV18" s="420">
        <v>-975.23900000000003</v>
      </c>
      <c r="AW18" s="420">
        <f>-1935.216-AV18</f>
        <v>-959.97699999999986</v>
      </c>
      <c r="AX18" s="420">
        <v>-995.95299999999997</v>
      </c>
      <c r="AY18" s="486">
        <f t="shared" si="20"/>
        <v>-1093.08</v>
      </c>
      <c r="AZ18" s="420">
        <v>-1183.394</v>
      </c>
      <c r="BB18" s="486">
        <f>G18-Z18-Y18-X18</f>
        <v>215.87900000000008</v>
      </c>
    </row>
    <row r="19" spans="2:54" ht="12.75" customHeight="1">
      <c r="B19" s="422" t="s">
        <v>485</v>
      </c>
      <c r="C19" s="420">
        <v>-323.07400000000001</v>
      </c>
      <c r="D19" s="420">
        <v>-336.86900000000003</v>
      </c>
      <c r="E19" s="420">
        <v>-466.68799999999999</v>
      </c>
      <c r="F19" s="420">
        <v>-533.80600000000004</v>
      </c>
      <c r="G19" s="420">
        <v>-533.80600000000004</v>
      </c>
      <c r="H19" s="420">
        <v>-551.16099999999994</v>
      </c>
      <c r="I19" s="420">
        <v>-599.81500000000005</v>
      </c>
      <c r="J19" s="420">
        <v>-704.45600000000002</v>
      </c>
      <c r="K19" s="420">
        <v>-770.56799999999998</v>
      </c>
      <c r="L19" s="420">
        <v>-798.36400000000003</v>
      </c>
      <c r="M19" s="420">
        <v>-829.53300000000002</v>
      </c>
      <c r="N19" s="486">
        <f t="shared" si="18"/>
        <v>-832.09999999999991</v>
      </c>
      <c r="O19" s="486"/>
      <c r="P19" s="420">
        <v>-85.14</v>
      </c>
      <c r="Q19" s="420">
        <v>-83.278000000000006</v>
      </c>
      <c r="R19" s="420">
        <v>-81.561000000000007</v>
      </c>
      <c r="S19" s="486">
        <f>D19-R19-Q19-P19</f>
        <v>-86.890000000000029</v>
      </c>
      <c r="T19" s="420">
        <v>-100.741</v>
      </c>
      <c r="U19" s="420">
        <v>-113.806</v>
      </c>
      <c r="V19" s="420">
        <v>-123.6</v>
      </c>
      <c r="W19" s="486">
        <f>E19-V19-U19-T19</f>
        <v>-128.541</v>
      </c>
      <c r="X19" s="420">
        <v>-121.94799999999999</v>
      </c>
      <c r="Y19" s="420">
        <v>-116.26300000000001</v>
      </c>
      <c r="Z19" s="420">
        <v>-143.04</v>
      </c>
      <c r="AA19" s="486">
        <f>F19-Z19-Y19-X19</f>
        <v>-152.55500000000006</v>
      </c>
      <c r="AB19" s="420">
        <v>-133.619</v>
      </c>
      <c r="AC19" s="420">
        <v>-138.38</v>
      </c>
      <c r="AD19" s="420">
        <v>-141.98400000000001</v>
      </c>
      <c r="AE19" s="486">
        <f>H19-AD19-AC19-AB19</f>
        <v>-137.17799999999991</v>
      </c>
      <c r="AF19" s="420">
        <v>-148.62299999999999</v>
      </c>
      <c r="AG19" s="420">
        <v>-150.39400000000001</v>
      </c>
      <c r="AH19" s="420">
        <v>-150.37299999999999</v>
      </c>
      <c r="AI19" s="486">
        <f>I19-AH19-AG19-AF19</f>
        <v>-150.42500000000007</v>
      </c>
      <c r="AJ19" s="420">
        <v>-174.471</v>
      </c>
      <c r="AK19" s="420">
        <v>-175.77799999999999</v>
      </c>
      <c r="AL19" s="420">
        <v>-176.85400000000001</v>
      </c>
      <c r="AM19" s="486">
        <f>J19-AL19-AK19-AJ19</f>
        <v>-177.35299999999995</v>
      </c>
      <c r="AN19" s="420">
        <v>-194.02500000000001</v>
      </c>
      <c r="AO19" s="420">
        <v>-196.2</v>
      </c>
      <c r="AP19" s="420">
        <v>-191.62799999999999</v>
      </c>
      <c r="AQ19" s="486">
        <f>K19-AP19-AO19-AN19</f>
        <v>-188.71500000000006</v>
      </c>
      <c r="AR19" s="420">
        <v>-193.14699999999999</v>
      </c>
      <c r="AS19" s="420">
        <v>-198.07499999999999</v>
      </c>
      <c r="AT19" s="420">
        <v>-198.36600000000001</v>
      </c>
      <c r="AU19" s="486">
        <f t="shared" si="19"/>
        <v>-208.77600000000007</v>
      </c>
      <c r="AV19" s="420">
        <v>-205.34299999999999</v>
      </c>
      <c r="AW19" s="420">
        <f>-414.443-AV19</f>
        <v>-209.1</v>
      </c>
      <c r="AX19" s="420">
        <v>-204.499</v>
      </c>
      <c r="AY19" s="486">
        <f t="shared" si="20"/>
        <v>-210.59099999999998</v>
      </c>
      <c r="AZ19" s="420">
        <v>-207.91</v>
      </c>
      <c r="BB19" s="486">
        <f>G19-Z19-Y19-X19</f>
        <v>-152.55500000000006</v>
      </c>
    </row>
    <row r="20" spans="2:54" ht="12.75" customHeight="1">
      <c r="B20" s="422" t="s">
        <v>486</v>
      </c>
      <c r="C20" s="420">
        <v>-143.91800000000001</v>
      </c>
      <c r="D20" s="420">
        <v>-152.364</v>
      </c>
      <c r="E20" s="420">
        <v>-211.95</v>
      </c>
      <c r="F20" s="420">
        <v>-267.77100000000002</v>
      </c>
      <c r="G20" s="420">
        <v>-267.77100000000002</v>
      </c>
      <c r="H20" s="420">
        <v>-281.209</v>
      </c>
      <c r="I20" s="420">
        <v>-343.47800000000001</v>
      </c>
      <c r="J20" s="420">
        <v>-371.673</v>
      </c>
      <c r="K20" s="420">
        <v>-392.23200000000003</v>
      </c>
      <c r="L20" s="420">
        <v>-436.99200000000002</v>
      </c>
      <c r="M20" s="420">
        <v>-506.39100000000002</v>
      </c>
      <c r="N20" s="486">
        <f t="shared" si="18"/>
        <v>-527.23099999999999</v>
      </c>
      <c r="O20" s="486"/>
      <c r="P20" s="420">
        <v>-37.546999999999997</v>
      </c>
      <c r="Q20" s="420">
        <v>-38.357999999999997</v>
      </c>
      <c r="R20" s="420">
        <v>-38.229999999999997</v>
      </c>
      <c r="S20" s="486">
        <f>D20-R20-Q20-P20</f>
        <v>-38.229000000000013</v>
      </c>
      <c r="T20" s="420">
        <v>-39.293999999999997</v>
      </c>
      <c r="U20" s="420">
        <v>-39.276000000000003</v>
      </c>
      <c r="V20" s="420">
        <v>-62.518999999999998</v>
      </c>
      <c r="W20" s="486">
        <f>E20-V20-U20-T20</f>
        <v>-70.860999999999976</v>
      </c>
      <c r="X20" s="420">
        <v>-70.861000000000004</v>
      </c>
      <c r="Y20" s="420">
        <v>-64.820999999999998</v>
      </c>
      <c r="Z20" s="420">
        <v>-65.477999999999994</v>
      </c>
      <c r="AA20" s="486">
        <f>F20-Z20-Y20-X20</f>
        <v>-66.611000000000004</v>
      </c>
      <c r="AB20" s="420">
        <v>-68.433999999999997</v>
      </c>
      <c r="AC20" s="420">
        <v>-68.433999999999997</v>
      </c>
      <c r="AD20" s="420">
        <v>-72.171000000000006</v>
      </c>
      <c r="AE20" s="486">
        <f>H20-AD20-AC20-AB20</f>
        <v>-72.170000000000016</v>
      </c>
      <c r="AF20" s="420">
        <v>-77.959999999999994</v>
      </c>
      <c r="AG20" s="420">
        <v>-88.254000000000005</v>
      </c>
      <c r="AH20" s="420">
        <v>-88.284000000000006</v>
      </c>
      <c r="AI20" s="486">
        <f>I20-AH20-AG20-AF20</f>
        <v>-88.98</v>
      </c>
      <c r="AJ20" s="420">
        <v>-88.98</v>
      </c>
      <c r="AK20" s="420">
        <v>-88.98</v>
      </c>
      <c r="AL20" s="420">
        <v>-96.849000000000004</v>
      </c>
      <c r="AM20" s="486">
        <f>J20-AL20-AK20-AJ20</f>
        <v>-96.86399999999999</v>
      </c>
      <c r="AN20" s="420">
        <v>-96.465000000000003</v>
      </c>
      <c r="AO20" s="420">
        <v>-98.150999999999996</v>
      </c>
      <c r="AP20" s="420">
        <v>-98.153999999999996</v>
      </c>
      <c r="AQ20" s="486">
        <f>K20-AP20-AO20-AN20</f>
        <v>-99.462000000000018</v>
      </c>
      <c r="AR20" s="420">
        <v>-109.242</v>
      </c>
      <c r="AS20" s="420">
        <v>-109.242</v>
      </c>
      <c r="AT20" s="420">
        <v>-109.242</v>
      </c>
      <c r="AU20" s="486">
        <f t="shared" si="19"/>
        <v>-109.26599999999998</v>
      </c>
      <c r="AV20" s="420">
        <v>-109.21899999999999</v>
      </c>
      <c r="AW20" s="420">
        <f>-233.001-AV20</f>
        <v>-123.78200000000001</v>
      </c>
      <c r="AX20" s="420">
        <v>-131.67400000000001</v>
      </c>
      <c r="AY20" s="486">
        <f t="shared" si="20"/>
        <v>-141.71599999999998</v>
      </c>
      <c r="AZ20" s="420">
        <v>-130.059</v>
      </c>
      <c r="BB20" s="486">
        <f>G20-Z20-Y20-X20</f>
        <v>-66.611000000000004</v>
      </c>
    </row>
    <row r="21" spans="2:54" s="424" customFormat="1" ht="12.75" customHeight="1">
      <c r="B21" s="485" t="s">
        <v>487</v>
      </c>
      <c r="C21" s="479">
        <f t="shared" ref="C21:H21" si="21">C14+SUM(C16:C20)</f>
        <v>9988.4310000000005</v>
      </c>
      <c r="D21" s="479">
        <f t="shared" si="21"/>
        <v>10987.822999999999</v>
      </c>
      <c r="E21" s="479">
        <f t="shared" si="21"/>
        <v>12809.943999999998</v>
      </c>
      <c r="F21" s="479">
        <f t="shared" si="21"/>
        <v>14315.096999999998</v>
      </c>
      <c r="G21" s="588">
        <f t="shared" si="21"/>
        <v>14321.096999999998</v>
      </c>
      <c r="H21" s="479">
        <f t="shared" si="21"/>
        <v>14065.146999999997</v>
      </c>
      <c r="I21" s="479">
        <f t="shared" ref="I21:N21" si="22">I14+SUM(I16:I20)</f>
        <v>16539.563999999998</v>
      </c>
      <c r="J21" s="479">
        <f t="shared" si="22"/>
        <v>17899.572</v>
      </c>
      <c r="K21" s="479">
        <f t="shared" si="22"/>
        <v>19151.268</v>
      </c>
      <c r="L21" s="479">
        <f t="shared" si="22"/>
        <v>20313.487000000001</v>
      </c>
      <c r="M21" s="479">
        <f t="shared" si="22"/>
        <v>21833.199999999997</v>
      </c>
      <c r="N21" s="479">
        <f t="shared" si="22"/>
        <v>22354.383000000002</v>
      </c>
      <c r="O21" s="479"/>
      <c r="P21" s="479">
        <f t="shared" ref="P21:X21" si="23">P14+SUM(P16:P20)</f>
        <v>2698.4760000000006</v>
      </c>
      <c r="Q21" s="479">
        <f t="shared" si="23"/>
        <v>2693.386</v>
      </c>
      <c r="R21" s="479">
        <f t="shared" si="23"/>
        <v>2684.73</v>
      </c>
      <c r="S21" s="479">
        <f t="shared" si="23"/>
        <v>2911.2309999999998</v>
      </c>
      <c r="T21" s="479">
        <f t="shared" si="23"/>
        <v>3078.1320000000005</v>
      </c>
      <c r="U21" s="479">
        <f t="shared" si="23"/>
        <v>3142.4409999999989</v>
      </c>
      <c r="V21" s="479">
        <f t="shared" si="23"/>
        <v>3227.2080000000005</v>
      </c>
      <c r="W21" s="479">
        <f t="shared" si="23"/>
        <v>3362.1630000000009</v>
      </c>
      <c r="X21" s="479">
        <f t="shared" si="23"/>
        <v>3444.7319999999995</v>
      </c>
      <c r="Y21" s="479">
        <f t="shared" ref="Y21:BB21" si="24">Y14+SUM(Y16:Y20)</f>
        <v>3527.0859999999998</v>
      </c>
      <c r="Z21" s="479">
        <f t="shared" si="24"/>
        <v>3544.6320000000005</v>
      </c>
      <c r="AA21" s="479">
        <f t="shared" si="24"/>
        <v>3798.6469999999963</v>
      </c>
      <c r="AB21" s="479">
        <f t="shared" si="24"/>
        <v>3945.4929999999995</v>
      </c>
      <c r="AC21" s="479">
        <f t="shared" si="24"/>
        <v>3055.6379999999999</v>
      </c>
      <c r="AD21" s="479">
        <f t="shared" si="24"/>
        <v>3200.78</v>
      </c>
      <c r="AE21" s="479">
        <f t="shared" si="24"/>
        <v>3863.2360000000008</v>
      </c>
      <c r="AF21" s="479">
        <f t="shared" si="24"/>
        <v>3999.3109999999997</v>
      </c>
      <c r="AG21" s="479">
        <f t="shared" ref="AG21:AL21" si="25">AG14+SUM(AG16:AG20)</f>
        <v>4015.7509999999993</v>
      </c>
      <c r="AH21" s="479">
        <f t="shared" si="25"/>
        <v>4133.639000000001</v>
      </c>
      <c r="AI21" s="479">
        <f t="shared" si="25"/>
        <v>4390.8629999999976</v>
      </c>
      <c r="AJ21" s="479">
        <f t="shared" si="25"/>
        <v>4394.0349999999999</v>
      </c>
      <c r="AK21" s="479">
        <f t="shared" si="25"/>
        <v>4321.6790000000001</v>
      </c>
      <c r="AL21" s="479">
        <f t="shared" si="25"/>
        <v>4564.1960000000008</v>
      </c>
      <c r="AM21" s="479">
        <f t="shared" ref="AM21" si="26">AM14+SUM(AM16:AM20)</f>
        <v>4619.6620000000021</v>
      </c>
      <c r="AN21" s="479">
        <f>AN14+SUM(AN16:AN20)</f>
        <v>4758.3860000000004</v>
      </c>
      <c r="AO21" s="479">
        <f t="shared" ref="AO21:AQ21" si="27">AO14+SUM(AO16:AO20)</f>
        <v>4759.8900000000003</v>
      </c>
      <c r="AP21" s="479">
        <f t="shared" si="27"/>
        <v>4769.9860000000008</v>
      </c>
      <c r="AQ21" s="479">
        <f t="shared" si="27"/>
        <v>4863.0059999999985</v>
      </c>
      <c r="AR21" s="479">
        <f>AR14+SUM(AR16:AR20)</f>
        <v>4932.4679999999998</v>
      </c>
      <c r="AS21" s="479">
        <f t="shared" ref="AS21:AU21" si="28">AS14+SUM(AS16:AS20)</f>
        <v>4864.0009999999993</v>
      </c>
      <c r="AT21" s="479">
        <f t="shared" si="28"/>
        <v>5170.253999999999</v>
      </c>
      <c r="AU21" s="479">
        <f t="shared" si="28"/>
        <v>5346.7639999999992</v>
      </c>
      <c r="AV21" s="479">
        <f>AV14+SUM(AV16:AV20)</f>
        <v>5404.619999999999</v>
      </c>
      <c r="AW21" s="479">
        <f t="shared" ref="AW21:AY21" si="29">AW14+SUM(AW16:AW20)</f>
        <v>5326.9240000000009</v>
      </c>
      <c r="AX21" s="479">
        <f t="shared" si="29"/>
        <v>5322.8799999999992</v>
      </c>
      <c r="AY21" s="479">
        <f t="shared" si="29"/>
        <v>5778.7760000000017</v>
      </c>
      <c r="AZ21" s="479">
        <f>AZ14+SUM(AZ16:AZ20)</f>
        <v>5925.8029999999999</v>
      </c>
      <c r="BA21" s="479"/>
      <c r="BB21" s="479">
        <f t="shared" si="24"/>
        <v>3804.6469999999963</v>
      </c>
    </row>
    <row r="22" spans="2:54" ht="12.75" customHeight="1">
      <c r="B22" s="435" t="s">
        <v>488</v>
      </c>
      <c r="C22" s="420">
        <v>-3826.8359999999998</v>
      </c>
      <c r="D22" s="420">
        <v>-4926.6289999999999</v>
      </c>
      <c r="E22" s="420">
        <v>-4785.3180000000002</v>
      </c>
      <c r="F22" s="420">
        <v>-5690.0159999999996</v>
      </c>
      <c r="G22" s="420">
        <v>-5690.0159999999996</v>
      </c>
      <c r="H22" s="420">
        <v>-7882.9809999999998</v>
      </c>
      <c r="I22" s="420">
        <v>-7439.3710000000001</v>
      </c>
      <c r="J22" s="420">
        <v>-8575.1200000000008</v>
      </c>
      <c r="K22" s="420">
        <v>-9975.6769999999997</v>
      </c>
      <c r="L22" s="420">
        <v>-11078.699000000001</v>
      </c>
      <c r="M22" s="420">
        <v>-12176.474</v>
      </c>
      <c r="N22" s="486">
        <f t="shared" ref="N22:N24" si="30">SUM(AW22:AZ22)</f>
        <v>-12007.327999999998</v>
      </c>
      <c r="O22" s="486"/>
      <c r="P22" s="420">
        <v>-1121.902</v>
      </c>
      <c r="Q22" s="420">
        <v>-1235.0619999999999</v>
      </c>
      <c r="R22" s="420">
        <v>-1224.867</v>
      </c>
      <c r="S22" s="486">
        <f>D22-R22-Q22-P22</f>
        <v>-1344.7979999999998</v>
      </c>
      <c r="T22" s="420">
        <v>-1203.6659999999999</v>
      </c>
      <c r="U22" s="420">
        <v>-1309.5530000000001</v>
      </c>
      <c r="V22" s="420">
        <v>-1159.4649999999999</v>
      </c>
      <c r="W22" s="486">
        <f>E22-V22-U22-T22</f>
        <v>-1112.6340000000002</v>
      </c>
      <c r="X22" s="420">
        <v>-1336.2570000000001</v>
      </c>
      <c r="Y22" s="420">
        <v>-1433.846</v>
      </c>
      <c r="Z22" s="420">
        <v>-1504.2639999999999</v>
      </c>
      <c r="AA22" s="486">
        <f>F22-Z22-Y22-X22</f>
        <v>-1415.6489999999994</v>
      </c>
      <c r="AB22" s="420">
        <v>-1644.4580000000001</v>
      </c>
      <c r="AC22" s="420">
        <v>-2112.4540000000002</v>
      </c>
      <c r="AD22" s="420">
        <v>-2091.9450000000002</v>
      </c>
      <c r="AE22" s="486">
        <f>H22-AD22-AC22-AB22</f>
        <v>-2034.1239999999998</v>
      </c>
      <c r="AF22" s="420">
        <v>-1962.7719999999999</v>
      </c>
      <c r="AG22" s="420">
        <v>-1802.922</v>
      </c>
      <c r="AH22" s="420">
        <v>-1851.98</v>
      </c>
      <c r="AI22" s="486">
        <f>I22-AH22-AG22-AF22</f>
        <v>-1821.6969999999997</v>
      </c>
      <c r="AJ22" s="420">
        <v>-1919.9459999999999</v>
      </c>
      <c r="AK22" s="420">
        <v>-1995.9670000000001</v>
      </c>
      <c r="AL22" s="420">
        <v>-2286.4169999999999</v>
      </c>
      <c r="AM22" s="486">
        <f>J22-AL22-AK22-AJ22</f>
        <v>-2372.7900000000009</v>
      </c>
      <c r="AN22" s="420">
        <v>-2506.607</v>
      </c>
      <c r="AO22" s="420">
        <v>-2513.0189999999998</v>
      </c>
      <c r="AP22" s="420">
        <v>-2483.855</v>
      </c>
      <c r="AQ22" s="486">
        <f>K22-AP22-AO22-AN22</f>
        <v>-2472.1959999999999</v>
      </c>
      <c r="AR22" s="420">
        <v>-2642.2170000000001</v>
      </c>
      <c r="AS22" s="420">
        <v>-2621.48</v>
      </c>
      <c r="AT22" s="420">
        <v>-2834.306</v>
      </c>
      <c r="AU22" s="486">
        <f t="shared" ref="AU22:AU24" si="31">L22-AT22-AS22-AR22</f>
        <v>-2980.6960000000004</v>
      </c>
      <c r="AV22" s="420">
        <v>-3117.6680000000001</v>
      </c>
      <c r="AW22" s="420">
        <f>-6124.938-AV22</f>
        <v>-3007.27</v>
      </c>
      <c r="AX22" s="420">
        <v>-2951.7089999999998</v>
      </c>
      <c r="AY22" s="486">
        <f t="shared" ref="AY22:AY24" si="32">M22-AX22-AW22-AV22</f>
        <v>-3099.8269999999989</v>
      </c>
      <c r="AZ22" s="420">
        <v>-2948.5219999999999</v>
      </c>
      <c r="BB22" s="486">
        <f>G22-Z22-Y22-X22</f>
        <v>-1415.6489999999994</v>
      </c>
    </row>
    <row r="23" spans="2:54" ht="12.75" customHeight="1">
      <c r="B23" s="435" t="s">
        <v>489</v>
      </c>
      <c r="C23" s="420">
        <v>0</v>
      </c>
      <c r="D23" s="420">
        <v>0</v>
      </c>
      <c r="E23" s="420">
        <v>0</v>
      </c>
      <c r="F23" s="420">
        <v>0</v>
      </c>
      <c r="G23" s="420">
        <v>0</v>
      </c>
      <c r="H23" s="420">
        <v>0</v>
      </c>
      <c r="I23" s="420">
        <v>0</v>
      </c>
      <c r="J23" s="420">
        <v>0</v>
      </c>
      <c r="K23" s="420">
        <v>-168.92699999999999</v>
      </c>
      <c r="L23" s="420">
        <v>0</v>
      </c>
      <c r="M23" s="420">
        <v>0</v>
      </c>
      <c r="N23" s="486">
        <f t="shared" si="30"/>
        <v>0</v>
      </c>
      <c r="O23" s="486"/>
      <c r="P23" s="420">
        <v>0</v>
      </c>
      <c r="Q23" s="420">
        <v>0</v>
      </c>
      <c r="R23" s="420">
        <v>0</v>
      </c>
      <c r="S23" s="486">
        <f>D23-R23-Q23-P23</f>
        <v>0</v>
      </c>
      <c r="T23" s="420">
        <v>0</v>
      </c>
      <c r="U23" s="420">
        <v>0</v>
      </c>
      <c r="V23" s="420">
        <v>0</v>
      </c>
      <c r="W23" s="486">
        <f>E23-V23-U23-T23</f>
        <v>0</v>
      </c>
      <c r="X23" s="420">
        <v>0</v>
      </c>
      <c r="Y23" s="420">
        <v>0</v>
      </c>
      <c r="Z23" s="420">
        <v>0</v>
      </c>
      <c r="AA23" s="486">
        <f>F23-Z23-Y23-X23</f>
        <v>0</v>
      </c>
      <c r="AB23" s="420">
        <v>0</v>
      </c>
      <c r="AC23" s="420">
        <v>0</v>
      </c>
      <c r="AD23" s="420">
        <v>0</v>
      </c>
      <c r="AE23" s="486">
        <f>H23-AD23-AC23-AB23</f>
        <v>0</v>
      </c>
      <c r="AF23" s="420">
        <v>0</v>
      </c>
      <c r="AG23" s="420">
        <v>0</v>
      </c>
      <c r="AH23" s="420">
        <v>0</v>
      </c>
      <c r="AI23" s="486">
        <f>I23-AH23-AG23-AF23</f>
        <v>0</v>
      </c>
      <c r="AJ23" s="420">
        <v>0</v>
      </c>
      <c r="AK23" s="420">
        <v>0</v>
      </c>
      <c r="AL23" s="420">
        <v>0</v>
      </c>
      <c r="AM23" s="486">
        <f>J23-AL23-AK23-AJ23</f>
        <v>0</v>
      </c>
      <c r="AN23" s="420">
        <v>0</v>
      </c>
      <c r="AO23" s="420">
        <v>0</v>
      </c>
      <c r="AP23" s="420">
        <v>-168.92699999999999</v>
      </c>
      <c r="AQ23" s="486">
        <f>K23-AP23-AO23-AN23</f>
        <v>0</v>
      </c>
      <c r="AR23" s="420">
        <v>0</v>
      </c>
      <c r="AS23" s="420">
        <v>0</v>
      </c>
      <c r="AT23" s="420">
        <v>0</v>
      </c>
      <c r="AU23" s="486">
        <f t="shared" si="31"/>
        <v>0</v>
      </c>
      <c r="AV23" s="420">
        <v>0</v>
      </c>
      <c r="AW23" s="420">
        <f>0-AV23</f>
        <v>0</v>
      </c>
      <c r="AX23" s="420">
        <v>0</v>
      </c>
      <c r="AY23" s="486">
        <f t="shared" si="32"/>
        <v>0</v>
      </c>
      <c r="AZ23" s="420">
        <v>0</v>
      </c>
      <c r="BB23" s="486">
        <f>G23-Z23-Y23-X23</f>
        <v>0</v>
      </c>
    </row>
    <row r="24" spans="2:54" ht="12.75" customHeight="1">
      <c r="B24" s="435" t="s">
        <v>490</v>
      </c>
      <c r="C24" s="420">
        <v>263.83300000000003</v>
      </c>
      <c r="D24" s="420">
        <v>637.92899999999997</v>
      </c>
      <c r="E24" s="420">
        <v>600.755</v>
      </c>
      <c r="F24" s="420">
        <v>648.12699999999995</v>
      </c>
      <c r="G24" s="420">
        <v>648.12699999999995</v>
      </c>
      <c r="H24" s="420">
        <v>306.53500000000003</v>
      </c>
      <c r="I24" s="420">
        <v>154.01400000000001</v>
      </c>
      <c r="J24" s="420">
        <v>280.541</v>
      </c>
      <c r="K24" s="420">
        <v>253.99100000000001</v>
      </c>
      <c r="L24" s="420">
        <v>276.447</v>
      </c>
      <c r="M24" s="420">
        <v>328.89299999999997</v>
      </c>
      <c r="N24" s="486">
        <f t="shared" si="30"/>
        <v>438.69999999999993</v>
      </c>
      <c r="O24" s="486"/>
      <c r="P24" s="420">
        <v>118.65300000000001</v>
      </c>
      <c r="Q24" s="420">
        <v>143.56700000000001</v>
      </c>
      <c r="R24" s="420">
        <v>112.557</v>
      </c>
      <c r="S24" s="486">
        <f>D24-R24-Q24-P24</f>
        <v>263.15199999999993</v>
      </c>
      <c r="T24" s="420">
        <v>137.88</v>
      </c>
      <c r="U24" s="420">
        <v>145.04</v>
      </c>
      <c r="V24" s="420">
        <v>177.965</v>
      </c>
      <c r="W24" s="486">
        <f>E24-V24-U24-T24</f>
        <v>139.87</v>
      </c>
      <c r="X24" s="420">
        <v>158.727</v>
      </c>
      <c r="Y24" s="420">
        <v>149.93100000000001</v>
      </c>
      <c r="Z24" s="420">
        <v>232.143</v>
      </c>
      <c r="AA24" s="486">
        <f>F24-Z24-Y24-X24</f>
        <v>107.32599999999988</v>
      </c>
      <c r="AB24" s="420">
        <v>31.117999999999999</v>
      </c>
      <c r="AC24" s="420">
        <v>122.566</v>
      </c>
      <c r="AD24" s="420">
        <v>94.921999999999997</v>
      </c>
      <c r="AE24" s="486">
        <f>H24-AD24-AC24-AB24</f>
        <v>57.92900000000003</v>
      </c>
      <c r="AF24" s="420">
        <v>79.858000000000004</v>
      </c>
      <c r="AG24" s="420">
        <v>28.273</v>
      </c>
      <c r="AH24" s="420">
        <v>12.194000000000001</v>
      </c>
      <c r="AI24" s="486">
        <f>I24-AH24-AG24-AF24</f>
        <v>33.689000000000021</v>
      </c>
      <c r="AJ24" s="420">
        <v>38.710999999999999</v>
      </c>
      <c r="AK24" s="420">
        <v>79.867000000000004</v>
      </c>
      <c r="AL24" s="420">
        <v>66.158000000000001</v>
      </c>
      <c r="AM24" s="486">
        <f>J24-AL24-AK24-AJ24</f>
        <v>95.804999999999964</v>
      </c>
      <c r="AN24" s="420">
        <v>95.206000000000003</v>
      </c>
      <c r="AO24" s="420">
        <v>54.500999999999998</v>
      </c>
      <c r="AP24" s="420">
        <v>57.811</v>
      </c>
      <c r="AQ24" s="486">
        <f>K24-AP24-AO24-AN24</f>
        <v>46.472999999999999</v>
      </c>
      <c r="AR24" s="420">
        <v>68.981999999999999</v>
      </c>
      <c r="AS24" s="420">
        <v>62.329000000000001</v>
      </c>
      <c r="AT24" s="420">
        <v>68.766999999999996</v>
      </c>
      <c r="AU24" s="486">
        <f t="shared" si="31"/>
        <v>76.369</v>
      </c>
      <c r="AV24" s="420">
        <v>114.346</v>
      </c>
      <c r="AW24" s="420">
        <f>160.309-AV24</f>
        <v>45.962999999999994</v>
      </c>
      <c r="AX24" s="420">
        <v>36.188000000000002</v>
      </c>
      <c r="AY24" s="486">
        <f t="shared" si="32"/>
        <v>132.39599999999999</v>
      </c>
      <c r="AZ24" s="420">
        <v>224.15299999999999</v>
      </c>
      <c r="BB24" s="486">
        <f>G24-Z24-Y24-X24</f>
        <v>107.32599999999988</v>
      </c>
    </row>
    <row r="25" spans="2:54" s="424" customFormat="1" ht="12.75" customHeight="1">
      <c r="B25" s="485" t="s">
        <v>491</v>
      </c>
      <c r="C25" s="479">
        <f t="shared" ref="C25:J25" si="33">+C21+C22+C24+C23</f>
        <v>6425.4280000000008</v>
      </c>
      <c r="D25" s="479">
        <f t="shared" si="33"/>
        <v>6699.1229999999987</v>
      </c>
      <c r="E25" s="479">
        <f t="shared" si="33"/>
        <v>8625.3809999999976</v>
      </c>
      <c r="F25" s="479">
        <f t="shared" si="33"/>
        <v>9273.2079999999987</v>
      </c>
      <c r="G25" s="479">
        <f t="shared" si="33"/>
        <v>9279.2079999999987</v>
      </c>
      <c r="H25" s="479">
        <f t="shared" si="33"/>
        <v>6488.7009999999973</v>
      </c>
      <c r="I25" s="479">
        <f t="shared" si="33"/>
        <v>9254.2069999999985</v>
      </c>
      <c r="J25" s="479">
        <f t="shared" si="33"/>
        <v>9604.9929999999986</v>
      </c>
      <c r="K25" s="479">
        <f t="shared" ref="K25:L25" si="34">+K21+K22+K24+K23</f>
        <v>9260.6550000000007</v>
      </c>
      <c r="L25" s="479">
        <f t="shared" si="34"/>
        <v>9511.2350000000006</v>
      </c>
      <c r="M25" s="479">
        <f t="shared" ref="M25" si="35">+M21+M22+M24+M23</f>
        <v>9985.618999999997</v>
      </c>
      <c r="N25" s="479">
        <f t="shared" ref="N25" si="36">+N21+N22+N24+N23</f>
        <v>10785.755000000005</v>
      </c>
      <c r="O25" s="479"/>
      <c r="P25" s="479">
        <f t="shared" ref="P25:AO25" si="37">+P21+P22+P24+P23</f>
        <v>1695.2270000000005</v>
      </c>
      <c r="Q25" s="479">
        <f t="shared" si="37"/>
        <v>1601.8910000000001</v>
      </c>
      <c r="R25" s="479">
        <f t="shared" si="37"/>
        <v>1572.42</v>
      </c>
      <c r="S25" s="479">
        <f t="shared" si="37"/>
        <v>1829.585</v>
      </c>
      <c r="T25" s="479">
        <f t="shared" si="37"/>
        <v>2012.3460000000005</v>
      </c>
      <c r="U25" s="479">
        <f t="shared" si="37"/>
        <v>1977.9279999999987</v>
      </c>
      <c r="V25" s="479">
        <f t="shared" si="37"/>
        <v>2245.7080000000005</v>
      </c>
      <c r="W25" s="479">
        <f t="shared" si="37"/>
        <v>2389.3990000000003</v>
      </c>
      <c r="X25" s="479">
        <f t="shared" si="37"/>
        <v>2267.2019999999993</v>
      </c>
      <c r="Y25" s="479">
        <f t="shared" si="37"/>
        <v>2243.1709999999998</v>
      </c>
      <c r="Z25" s="479">
        <f t="shared" si="37"/>
        <v>2272.5110000000004</v>
      </c>
      <c r="AA25" s="479">
        <f t="shared" si="37"/>
        <v>2490.3239999999969</v>
      </c>
      <c r="AB25" s="479">
        <f t="shared" si="37"/>
        <v>2332.1529999999993</v>
      </c>
      <c r="AC25" s="479">
        <f t="shared" si="37"/>
        <v>1065.7499999999998</v>
      </c>
      <c r="AD25" s="479">
        <f t="shared" si="37"/>
        <v>1203.7570000000001</v>
      </c>
      <c r="AE25" s="479">
        <f t="shared" si="37"/>
        <v>1887.0410000000011</v>
      </c>
      <c r="AF25" s="479">
        <f t="shared" si="37"/>
        <v>2116.3969999999999</v>
      </c>
      <c r="AG25" s="479">
        <f t="shared" si="37"/>
        <v>2241.1019999999994</v>
      </c>
      <c r="AH25" s="479">
        <f t="shared" si="37"/>
        <v>2293.853000000001</v>
      </c>
      <c r="AI25" s="479">
        <f t="shared" si="37"/>
        <v>2602.8549999999977</v>
      </c>
      <c r="AJ25" s="479">
        <f t="shared" si="37"/>
        <v>2512.7999999999997</v>
      </c>
      <c r="AK25" s="479">
        <f t="shared" si="37"/>
        <v>2405.5790000000002</v>
      </c>
      <c r="AL25" s="479">
        <f t="shared" si="37"/>
        <v>2343.9370000000008</v>
      </c>
      <c r="AM25" s="479">
        <f t="shared" si="37"/>
        <v>2342.677000000001</v>
      </c>
      <c r="AN25" s="479">
        <f t="shared" si="37"/>
        <v>2346.9850000000006</v>
      </c>
      <c r="AO25" s="479">
        <f t="shared" si="37"/>
        <v>2301.3720000000008</v>
      </c>
      <c r="AP25" s="479">
        <f>+AP21+AP22+AP24+AP23</f>
        <v>2175.0150000000008</v>
      </c>
      <c r="AQ25" s="479">
        <f t="shared" ref="AQ25:AS25" si="38">+AQ21+AQ22+AQ24+AQ23</f>
        <v>2437.2829999999985</v>
      </c>
      <c r="AR25" s="479">
        <f t="shared" si="38"/>
        <v>2359.2329999999997</v>
      </c>
      <c r="AS25" s="479">
        <f t="shared" si="38"/>
        <v>2304.8499999999995</v>
      </c>
      <c r="AT25" s="479">
        <f>+AT21+AT22+AT24+AT23</f>
        <v>2404.7149999999988</v>
      </c>
      <c r="AU25" s="479">
        <f t="shared" ref="AU25:AW25" si="39">+AU21+AU22+AU24+AU23</f>
        <v>2442.436999999999</v>
      </c>
      <c r="AV25" s="479">
        <f t="shared" si="39"/>
        <v>2401.2979999999989</v>
      </c>
      <c r="AW25" s="479">
        <f t="shared" si="39"/>
        <v>2365.6170000000011</v>
      </c>
      <c r="AX25" s="479">
        <f>+AX21+AX22+AX24+AX23</f>
        <v>2407.3589999999995</v>
      </c>
      <c r="AY25" s="479">
        <f t="shared" ref="AY25:AZ25" si="40">+AY21+AY22+AY24+AY23</f>
        <v>2811.345000000003</v>
      </c>
      <c r="AZ25" s="479">
        <f t="shared" si="40"/>
        <v>3201.4339999999997</v>
      </c>
      <c r="BA25" s="479"/>
      <c r="BB25" s="479">
        <f t="shared" ref="BB25" si="41">+BB21+BB22+BB24</f>
        <v>2496.3239999999969</v>
      </c>
    </row>
    <row r="26" spans="2:54" ht="12.75" customHeight="1">
      <c r="B26" s="435" t="s">
        <v>492</v>
      </c>
      <c r="C26" s="420">
        <v>0</v>
      </c>
      <c r="D26" s="420">
        <v>83.8</v>
      </c>
      <c r="E26" s="420">
        <v>223.291</v>
      </c>
      <c r="F26" s="420">
        <v>50.575000000000003</v>
      </c>
      <c r="G26" s="420">
        <v>50.575000000000003</v>
      </c>
      <c r="H26" s="420">
        <v>489.68</v>
      </c>
      <c r="I26" s="420">
        <v>143.37299999999999</v>
      </c>
      <c r="J26" s="420">
        <v>873.05200000000002</v>
      </c>
      <c r="K26" s="420">
        <v>0</v>
      </c>
      <c r="L26" s="420">
        <v>0</v>
      </c>
      <c r="M26" s="420">
        <v>0</v>
      </c>
      <c r="N26" s="486">
        <f t="shared" ref="N26:N38" si="42">SUM(AW26:AZ26)</f>
        <v>0</v>
      </c>
      <c r="O26" s="486"/>
      <c r="P26" s="420">
        <v>0</v>
      </c>
      <c r="Q26" s="420">
        <v>0</v>
      </c>
      <c r="R26" s="420">
        <v>0</v>
      </c>
      <c r="S26" s="486">
        <f t="shared" ref="S26:S36" si="43">D26-R26-Q26-P26</f>
        <v>83.8</v>
      </c>
      <c r="T26" s="420">
        <v>22.896000000000001</v>
      </c>
      <c r="U26" s="420">
        <v>87.212000000000003</v>
      </c>
      <c r="V26" s="420">
        <v>64.067999999999998</v>
      </c>
      <c r="W26" s="486">
        <f t="shared" ref="W26:W36" si="44">E26-V26-U26-T26</f>
        <v>49.115000000000009</v>
      </c>
      <c r="X26" s="420">
        <v>40</v>
      </c>
      <c r="Y26" s="420">
        <v>0</v>
      </c>
      <c r="Z26" s="420">
        <v>10.574999999999999</v>
      </c>
      <c r="AA26" s="486">
        <f t="shared" ref="AA26:AA38" si="45">F26-Z26-Y26-X26</f>
        <v>0</v>
      </c>
      <c r="AB26" s="420">
        <v>0</v>
      </c>
      <c r="AC26" s="420">
        <v>0</v>
      </c>
      <c r="AD26" s="420">
        <v>199.898</v>
      </c>
      <c r="AE26" s="486">
        <f t="shared" ref="AE26:AE38" si="46">H26-AD26-AC26-AB26</f>
        <v>289.78200000000004</v>
      </c>
      <c r="AF26" s="420">
        <v>47.180999999999997</v>
      </c>
      <c r="AG26" s="420">
        <v>0</v>
      </c>
      <c r="AH26" s="420">
        <v>0</v>
      </c>
      <c r="AI26" s="486">
        <f t="shared" ref="AI26:AI38" si="47">I26-AH26-AG26-AF26</f>
        <v>96.191999999999993</v>
      </c>
      <c r="AJ26" s="420">
        <v>0</v>
      </c>
      <c r="AK26" s="420">
        <v>131.79499999999999</v>
      </c>
      <c r="AL26" s="420">
        <v>143.43199999999999</v>
      </c>
      <c r="AM26" s="486">
        <f t="shared" ref="AM26:AM38" si="48">J26-AL26-AK26-AJ26</f>
        <v>597.82500000000005</v>
      </c>
      <c r="AN26" s="420">
        <v>0</v>
      </c>
      <c r="AO26" s="420">
        <v>0</v>
      </c>
      <c r="AP26" s="420">
        <v>0</v>
      </c>
      <c r="AQ26" s="486">
        <f t="shared" ref="AQ26:AQ38" si="49">K26-AP26-AO26-AN26</f>
        <v>0</v>
      </c>
      <c r="AR26" s="420">
        <v>0</v>
      </c>
      <c r="AS26" s="420">
        <v>0</v>
      </c>
      <c r="AT26" s="420">
        <v>0</v>
      </c>
      <c r="AU26" s="486">
        <f t="shared" ref="AU26:AU38" si="50">L26-AT26-AS26-AR26</f>
        <v>0</v>
      </c>
      <c r="AV26" s="420">
        <v>0</v>
      </c>
      <c r="AW26" s="420">
        <f>0-AV26</f>
        <v>0</v>
      </c>
      <c r="AX26" s="420">
        <v>0</v>
      </c>
      <c r="AY26" s="486">
        <f t="shared" ref="AY26:AY38" si="51">M26-AX26-AW26-AV26</f>
        <v>0</v>
      </c>
      <c r="AZ26" s="420">
        <v>0</v>
      </c>
      <c r="BB26" s="486">
        <f t="shared" ref="BB26:BB38" si="52">G26-Z26-Y26-X26</f>
        <v>0</v>
      </c>
    </row>
    <row r="27" spans="2:54" ht="12.75" customHeight="1">
      <c r="B27" s="435" t="s">
        <v>493</v>
      </c>
      <c r="C27" s="420">
        <v>-4752.607</v>
      </c>
      <c r="D27" s="420">
        <v>691.54100000000005</v>
      </c>
      <c r="E27" s="420">
        <v>-76.141000000000005</v>
      </c>
      <c r="F27" s="420">
        <v>1675.181</v>
      </c>
      <c r="G27" s="420">
        <v>1559.953</v>
      </c>
      <c r="H27" s="420">
        <v>-2158.9470000000001</v>
      </c>
      <c r="I27" s="420">
        <v>-2422.9789999999998</v>
      </c>
      <c r="J27" s="420">
        <v>3596.7150000000001</v>
      </c>
      <c r="K27" s="420">
        <v>7454.4080000000004</v>
      </c>
      <c r="L27" s="420">
        <v>-10116.9</v>
      </c>
      <c r="M27" s="420">
        <v>6769.549</v>
      </c>
      <c r="N27" s="486">
        <f t="shared" si="42"/>
        <v>6382.62</v>
      </c>
      <c r="O27" s="486"/>
      <c r="P27" s="420">
        <v>2481.181</v>
      </c>
      <c r="Q27" s="420">
        <v>653.15099999999995</v>
      </c>
      <c r="R27" s="420">
        <v>-89.19</v>
      </c>
      <c r="S27" s="486">
        <f t="shared" si="43"/>
        <v>-2353.6010000000001</v>
      </c>
      <c r="T27" s="420">
        <v>1935.0170000000001</v>
      </c>
      <c r="U27" s="420">
        <v>-2124.3679999999999</v>
      </c>
      <c r="V27" s="420">
        <v>1347.913</v>
      </c>
      <c r="W27" s="486">
        <f t="shared" si="44"/>
        <v>-1234.7030000000002</v>
      </c>
      <c r="X27" s="420">
        <v>491.83800000000002</v>
      </c>
      <c r="Y27" s="420">
        <v>160.572</v>
      </c>
      <c r="Z27" s="420">
        <v>-953.9</v>
      </c>
      <c r="AA27" s="486">
        <f t="shared" si="45"/>
        <v>1976.671</v>
      </c>
      <c r="AB27" s="420">
        <v>-15389.397999999999</v>
      </c>
      <c r="AC27" s="420">
        <v>3344.7950000000001</v>
      </c>
      <c r="AD27" s="420">
        <v>2175.2089999999998</v>
      </c>
      <c r="AE27" s="486">
        <f t="shared" si="46"/>
        <v>7710.4469999999992</v>
      </c>
      <c r="AF27" s="420">
        <v>-2417.2570000000001</v>
      </c>
      <c r="AG27" s="420">
        <v>2921.3180000000002</v>
      </c>
      <c r="AH27" s="420">
        <v>-2310.8249999999998</v>
      </c>
      <c r="AI27" s="486">
        <f t="shared" si="47"/>
        <v>-616.21500000000015</v>
      </c>
      <c r="AJ27" s="420">
        <v>1815.316</v>
      </c>
      <c r="AK27" s="420">
        <v>192.90899999999999</v>
      </c>
      <c r="AL27" s="420">
        <v>-1578.6949999999999</v>
      </c>
      <c r="AM27" s="486">
        <f t="shared" si="48"/>
        <v>3167.1850000000004</v>
      </c>
      <c r="AN27" s="420">
        <v>4175.6610000000001</v>
      </c>
      <c r="AO27" s="420">
        <v>3003.7979999999998</v>
      </c>
      <c r="AP27" s="420">
        <v>-2555.4960000000001</v>
      </c>
      <c r="AQ27" s="486">
        <f t="shared" si="49"/>
        <v>2830.4450000000006</v>
      </c>
      <c r="AR27" s="420">
        <v>337.185</v>
      </c>
      <c r="AS27" s="420">
        <v>-4477.683</v>
      </c>
      <c r="AT27" s="420">
        <v>-4539.0169999999998</v>
      </c>
      <c r="AU27" s="486">
        <f t="shared" si="50"/>
        <v>-1437.3849999999998</v>
      </c>
      <c r="AV27" s="420">
        <v>-706.48299999999995</v>
      </c>
      <c r="AW27" s="420">
        <f>2310.93-AV27</f>
        <v>3017.4129999999996</v>
      </c>
      <c r="AX27" s="420">
        <v>1290.019</v>
      </c>
      <c r="AY27" s="486">
        <f t="shared" si="51"/>
        <v>3168.6000000000004</v>
      </c>
      <c r="AZ27" s="420">
        <v>-1093.412</v>
      </c>
      <c r="BB27" s="486">
        <f t="shared" si="52"/>
        <v>1861.443</v>
      </c>
    </row>
    <row r="28" spans="2:54" ht="12.75" customHeight="1">
      <c r="B28" s="435" t="s">
        <v>494</v>
      </c>
      <c r="C28" s="420">
        <v>-46.624000000000002</v>
      </c>
      <c r="D28" s="420">
        <v>661.61099999999999</v>
      </c>
      <c r="E28" s="420">
        <v>-948.97199999999998</v>
      </c>
      <c r="F28" s="420">
        <v>187.58099999999999</v>
      </c>
      <c r="G28" s="420">
        <v>279.66399999999999</v>
      </c>
      <c r="H28" s="420">
        <v>-470.27600000000001</v>
      </c>
      <c r="I28" s="420">
        <v>353.57</v>
      </c>
      <c r="J28" s="420">
        <v>-99.986000000000004</v>
      </c>
      <c r="K28" s="420">
        <v>112.899</v>
      </c>
      <c r="L28" s="420">
        <v>-128.05799999999999</v>
      </c>
      <c r="M28" s="420">
        <v>-185.18</v>
      </c>
      <c r="N28" s="486">
        <f t="shared" si="42"/>
        <v>-102.55399999999997</v>
      </c>
      <c r="O28" s="486"/>
      <c r="P28" s="420">
        <v>-145.923</v>
      </c>
      <c r="Q28" s="420">
        <v>95.983999999999995</v>
      </c>
      <c r="R28" s="420">
        <v>-292.14100000000002</v>
      </c>
      <c r="S28" s="486">
        <f t="shared" si="43"/>
        <v>1003.6909999999999</v>
      </c>
      <c r="T28" s="420">
        <v>-702.9</v>
      </c>
      <c r="U28" s="420">
        <v>-246.97900000000001</v>
      </c>
      <c r="V28" s="420">
        <v>368.01600000000002</v>
      </c>
      <c r="W28" s="486">
        <f t="shared" si="44"/>
        <v>-367.10900000000004</v>
      </c>
      <c r="X28" s="420">
        <v>83.076999999999998</v>
      </c>
      <c r="Y28" s="420">
        <v>108.798</v>
      </c>
      <c r="Z28" s="420">
        <v>-117.282</v>
      </c>
      <c r="AA28" s="486">
        <f t="shared" si="45"/>
        <v>112.988</v>
      </c>
      <c r="AB28" s="420">
        <v>-1829.1410000000001</v>
      </c>
      <c r="AC28" s="420">
        <v>287.78899999999999</v>
      </c>
      <c r="AD28" s="420">
        <v>339.56599999999997</v>
      </c>
      <c r="AE28" s="486">
        <f t="shared" si="46"/>
        <v>731.51000000000022</v>
      </c>
      <c r="AF28" s="420">
        <v>-43.933999999999997</v>
      </c>
      <c r="AG28" s="420">
        <v>202.87899999999999</v>
      </c>
      <c r="AH28" s="420">
        <v>-372.09699999999998</v>
      </c>
      <c r="AI28" s="486">
        <f t="shared" si="47"/>
        <v>566.72199999999987</v>
      </c>
      <c r="AJ28" s="420">
        <v>-43.564999999999998</v>
      </c>
      <c r="AK28" s="420">
        <v>-99.798000000000002</v>
      </c>
      <c r="AL28" s="420">
        <v>106.203</v>
      </c>
      <c r="AM28" s="486">
        <f t="shared" si="48"/>
        <v>-62.826000000000022</v>
      </c>
      <c r="AN28" s="420">
        <v>108.05800000000001</v>
      </c>
      <c r="AO28" s="420">
        <v>-71.81</v>
      </c>
      <c r="AP28" s="420">
        <v>154.803</v>
      </c>
      <c r="AQ28" s="486">
        <f t="shared" si="49"/>
        <v>-78.152000000000001</v>
      </c>
      <c r="AR28" s="420">
        <v>78.680000000000007</v>
      </c>
      <c r="AS28" s="420">
        <v>-98.924000000000007</v>
      </c>
      <c r="AT28" s="420">
        <v>-9.1920000000000002</v>
      </c>
      <c r="AU28" s="486">
        <f t="shared" si="50"/>
        <v>-98.621999999999986</v>
      </c>
      <c r="AV28" s="420">
        <v>95.123999999999995</v>
      </c>
      <c r="AW28" s="420">
        <f>54.706-AV28</f>
        <v>-40.417999999999992</v>
      </c>
      <c r="AX28" s="420">
        <v>41.168999999999997</v>
      </c>
      <c r="AY28" s="486">
        <f t="shared" si="51"/>
        <v>-281.05499999999995</v>
      </c>
      <c r="AZ28" s="420">
        <v>177.75</v>
      </c>
      <c r="BB28" s="486">
        <f t="shared" si="52"/>
        <v>205.07099999999997</v>
      </c>
    </row>
    <row r="29" spans="2:54" ht="12.75" customHeight="1">
      <c r="B29" s="435" t="s">
        <v>495</v>
      </c>
      <c r="C29" s="420">
        <v>11266.275</v>
      </c>
      <c r="D29" s="420">
        <v>4505.3850000000002</v>
      </c>
      <c r="E29" s="420">
        <v>10450.045</v>
      </c>
      <c r="F29" s="420">
        <v>8712.6319999999996</v>
      </c>
      <c r="G29" s="420">
        <v>8161.085</v>
      </c>
      <c r="H29" s="420">
        <v>10099.883</v>
      </c>
      <c r="I29" s="420">
        <v>-2579.1280000000002</v>
      </c>
      <c r="J29" s="420">
        <v>11102.846</v>
      </c>
      <c r="K29" s="420">
        <v>2164.14</v>
      </c>
      <c r="L29" s="420">
        <v>11188.023999999999</v>
      </c>
      <c r="M29" s="420">
        <v>11693.973</v>
      </c>
      <c r="N29" s="486">
        <f t="shared" si="42"/>
        <v>11539.840999999999</v>
      </c>
      <c r="O29" s="486"/>
      <c r="P29" s="420">
        <v>1144.2070000000001</v>
      </c>
      <c r="Q29" s="420">
        <v>1287.6379999999999</v>
      </c>
      <c r="R29" s="420">
        <v>995.51099999999997</v>
      </c>
      <c r="S29" s="486">
        <f t="shared" si="43"/>
        <v>1078.0290000000002</v>
      </c>
      <c r="T29" s="420">
        <v>1662.4259999999999</v>
      </c>
      <c r="U29" s="420">
        <v>1367.5340000000001</v>
      </c>
      <c r="V29" s="420">
        <v>926.80399999999997</v>
      </c>
      <c r="W29" s="486">
        <f t="shared" si="44"/>
        <v>6493.2810000000009</v>
      </c>
      <c r="X29" s="420">
        <v>1700.231</v>
      </c>
      <c r="Y29" s="420">
        <v>3225.5419999999999</v>
      </c>
      <c r="Z29" s="420">
        <v>1072.25</v>
      </c>
      <c r="AA29" s="486">
        <f t="shared" si="45"/>
        <v>2714.6090000000004</v>
      </c>
      <c r="AB29" s="420">
        <v>-10.824</v>
      </c>
      <c r="AC29" s="420">
        <v>8681.8610000000008</v>
      </c>
      <c r="AD29" s="420">
        <v>761.86699999999996</v>
      </c>
      <c r="AE29" s="486">
        <f t="shared" si="46"/>
        <v>666.97899999999879</v>
      </c>
      <c r="AF29" s="420">
        <v>155.58799999999999</v>
      </c>
      <c r="AG29" s="420">
        <v>-3747.915</v>
      </c>
      <c r="AH29" s="420">
        <v>12.609</v>
      </c>
      <c r="AI29" s="486">
        <f t="shared" si="47"/>
        <v>1000.5899999999999</v>
      </c>
      <c r="AJ29" s="420">
        <v>305.17</v>
      </c>
      <c r="AK29" s="420">
        <v>183.77</v>
      </c>
      <c r="AL29" s="420">
        <v>3418.5590000000002</v>
      </c>
      <c r="AM29" s="486">
        <f t="shared" si="48"/>
        <v>7195.3469999999988</v>
      </c>
      <c r="AN29" s="420">
        <v>230.02099999999999</v>
      </c>
      <c r="AO29" s="420">
        <v>816.91800000000001</v>
      </c>
      <c r="AP29" s="420">
        <v>73.38</v>
      </c>
      <c r="AQ29" s="486">
        <f t="shared" si="49"/>
        <v>1043.8209999999997</v>
      </c>
      <c r="AR29" s="420">
        <v>83.421999999999997</v>
      </c>
      <c r="AS29" s="420">
        <v>6713.0460000000003</v>
      </c>
      <c r="AT29" s="420">
        <v>1270.364</v>
      </c>
      <c r="AU29" s="486">
        <f t="shared" si="50"/>
        <v>3121.1919999999996</v>
      </c>
      <c r="AV29" s="420">
        <v>-15.595000000000001</v>
      </c>
      <c r="AW29" s="420">
        <f>209.771-AV29</f>
        <v>225.36599999999999</v>
      </c>
      <c r="AX29" s="420">
        <v>44.465000000000003</v>
      </c>
      <c r="AY29" s="486">
        <f t="shared" si="51"/>
        <v>11439.736999999999</v>
      </c>
      <c r="AZ29" s="420">
        <v>-169.727</v>
      </c>
      <c r="BB29" s="486">
        <f t="shared" si="52"/>
        <v>2163.0619999999999</v>
      </c>
    </row>
    <row r="30" spans="2:54" ht="12.75" customHeight="1">
      <c r="B30" s="435" t="s">
        <v>496</v>
      </c>
      <c r="C30" s="420">
        <v>0</v>
      </c>
      <c r="D30" s="420">
        <v>0</v>
      </c>
      <c r="E30" s="420">
        <v>0</v>
      </c>
      <c r="F30" s="420">
        <v>0</v>
      </c>
      <c r="G30" s="420">
        <v>0</v>
      </c>
      <c r="H30" s="420">
        <v>0</v>
      </c>
      <c r="I30" s="420">
        <v>0</v>
      </c>
      <c r="J30" s="420">
        <v>0</v>
      </c>
      <c r="K30" s="420">
        <v>0</v>
      </c>
      <c r="L30" s="420">
        <v>0</v>
      </c>
      <c r="M30" s="420">
        <v>0</v>
      </c>
      <c r="N30" s="486">
        <f t="shared" si="42"/>
        <v>0</v>
      </c>
      <c r="O30" s="486"/>
      <c r="P30" s="420">
        <v>0</v>
      </c>
      <c r="Q30" s="420">
        <v>0</v>
      </c>
      <c r="R30" s="420">
        <v>0</v>
      </c>
      <c r="S30" s="486">
        <f t="shared" si="43"/>
        <v>0</v>
      </c>
      <c r="T30" s="420">
        <v>0</v>
      </c>
      <c r="U30" s="420">
        <v>0</v>
      </c>
      <c r="V30" s="420">
        <v>0</v>
      </c>
      <c r="W30" s="486">
        <f t="shared" si="44"/>
        <v>0</v>
      </c>
      <c r="X30" s="420">
        <v>0</v>
      </c>
      <c r="Y30" s="420">
        <v>0</v>
      </c>
      <c r="Z30" s="420">
        <v>0</v>
      </c>
      <c r="AA30" s="486">
        <f t="shared" si="45"/>
        <v>0</v>
      </c>
      <c r="AB30" s="420">
        <v>0</v>
      </c>
      <c r="AC30" s="420">
        <v>0</v>
      </c>
      <c r="AD30" s="420">
        <v>0</v>
      </c>
      <c r="AE30" s="486">
        <f t="shared" si="46"/>
        <v>0</v>
      </c>
      <c r="AF30" s="420">
        <v>-48.286000000000001</v>
      </c>
      <c r="AG30" s="420">
        <v>48.286000000000001</v>
      </c>
      <c r="AH30" s="420">
        <v>0</v>
      </c>
      <c r="AI30" s="486">
        <f t="shared" si="47"/>
        <v>0</v>
      </c>
      <c r="AJ30" s="420">
        <v>0</v>
      </c>
      <c r="AK30" s="420">
        <v>0</v>
      </c>
      <c r="AL30" s="420">
        <v>0</v>
      </c>
      <c r="AM30" s="486">
        <f t="shared" si="48"/>
        <v>0</v>
      </c>
      <c r="AN30" s="420">
        <v>0</v>
      </c>
      <c r="AO30" s="420">
        <v>0</v>
      </c>
      <c r="AP30" s="420">
        <v>0</v>
      </c>
      <c r="AQ30" s="486">
        <f t="shared" si="49"/>
        <v>0</v>
      </c>
      <c r="AR30" s="420">
        <v>0</v>
      </c>
      <c r="AS30" s="420">
        <v>0</v>
      </c>
      <c r="AT30" s="420">
        <v>0</v>
      </c>
      <c r="AU30" s="486">
        <f t="shared" si="50"/>
        <v>0</v>
      </c>
      <c r="AV30" s="420">
        <v>0</v>
      </c>
      <c r="AW30" s="420">
        <f t="shared" ref="AW30:AW36" si="53">0-AV30</f>
        <v>0</v>
      </c>
      <c r="AX30" s="420">
        <v>0</v>
      </c>
      <c r="AY30" s="486">
        <f t="shared" si="51"/>
        <v>0</v>
      </c>
      <c r="AZ30" s="420">
        <v>0</v>
      </c>
      <c r="BB30" s="486">
        <f t="shared" si="52"/>
        <v>0</v>
      </c>
    </row>
    <row r="31" spans="2:54" ht="12.75" customHeight="1">
      <c r="B31" s="435" t="s">
        <v>497</v>
      </c>
      <c r="C31" s="420">
        <v>0</v>
      </c>
      <c r="D31" s="420">
        <v>0</v>
      </c>
      <c r="E31" s="420">
        <v>0</v>
      </c>
      <c r="F31" s="420">
        <v>0</v>
      </c>
      <c r="G31" s="420">
        <v>0</v>
      </c>
      <c r="H31" s="420">
        <v>0</v>
      </c>
      <c r="I31" s="420">
        <v>0</v>
      </c>
      <c r="J31" s="420">
        <v>97.168999999999997</v>
      </c>
      <c r="K31" s="420">
        <v>0</v>
      </c>
      <c r="L31" s="420">
        <v>0</v>
      </c>
      <c r="M31" s="420">
        <v>0</v>
      </c>
      <c r="N31" s="486">
        <f t="shared" si="42"/>
        <v>0</v>
      </c>
      <c r="O31" s="486"/>
      <c r="P31" s="420">
        <v>0</v>
      </c>
      <c r="Q31" s="420">
        <v>0</v>
      </c>
      <c r="R31" s="420">
        <v>0</v>
      </c>
      <c r="S31" s="486">
        <f t="shared" si="43"/>
        <v>0</v>
      </c>
      <c r="T31" s="420">
        <v>0</v>
      </c>
      <c r="U31" s="420">
        <v>0</v>
      </c>
      <c r="V31" s="420">
        <v>0</v>
      </c>
      <c r="W31" s="486">
        <f t="shared" si="44"/>
        <v>0</v>
      </c>
      <c r="X31" s="420">
        <v>0</v>
      </c>
      <c r="Y31" s="420">
        <v>0</v>
      </c>
      <c r="Z31" s="420">
        <v>0</v>
      </c>
      <c r="AA31" s="486">
        <f t="shared" si="45"/>
        <v>0</v>
      </c>
      <c r="AB31" s="420">
        <v>0</v>
      </c>
      <c r="AC31" s="420">
        <v>0</v>
      </c>
      <c r="AD31" s="420">
        <v>0</v>
      </c>
      <c r="AE31" s="486">
        <f t="shared" si="46"/>
        <v>0</v>
      </c>
      <c r="AF31" s="420">
        <v>0</v>
      </c>
      <c r="AG31" s="420">
        <v>0</v>
      </c>
      <c r="AH31" s="420">
        <v>0</v>
      </c>
      <c r="AI31" s="486">
        <f t="shared" si="47"/>
        <v>0</v>
      </c>
      <c r="AJ31" s="420">
        <v>0</v>
      </c>
      <c r="AK31" s="420">
        <v>0</v>
      </c>
      <c r="AL31" s="420">
        <v>97.168999999999997</v>
      </c>
      <c r="AM31" s="486">
        <f t="shared" si="48"/>
        <v>0</v>
      </c>
      <c r="AN31" s="420">
        <v>0</v>
      </c>
      <c r="AO31" s="420">
        <v>0</v>
      </c>
      <c r="AP31" s="420">
        <v>0</v>
      </c>
      <c r="AQ31" s="486">
        <f t="shared" si="49"/>
        <v>0</v>
      </c>
      <c r="AR31" s="420">
        <v>0</v>
      </c>
      <c r="AS31" s="420">
        <v>0</v>
      </c>
      <c r="AT31" s="420">
        <v>0</v>
      </c>
      <c r="AU31" s="486">
        <f t="shared" si="50"/>
        <v>0</v>
      </c>
      <c r="AV31" s="420">
        <v>0</v>
      </c>
      <c r="AW31" s="420">
        <f t="shared" si="53"/>
        <v>0</v>
      </c>
      <c r="AX31" s="420">
        <v>0</v>
      </c>
      <c r="AY31" s="486">
        <f t="shared" si="51"/>
        <v>0</v>
      </c>
      <c r="AZ31" s="420">
        <v>0</v>
      </c>
      <c r="BB31" s="486">
        <f t="shared" si="52"/>
        <v>0</v>
      </c>
    </row>
    <row r="32" spans="2:54" ht="12.75" customHeight="1">
      <c r="B32" s="435" t="s">
        <v>498</v>
      </c>
      <c r="C32" s="420"/>
      <c r="D32" s="420"/>
      <c r="E32" s="420"/>
      <c r="F32" s="420"/>
      <c r="G32" s="420"/>
      <c r="H32" s="420"/>
      <c r="I32" s="420"/>
      <c r="J32" s="711"/>
      <c r="K32" s="711"/>
      <c r="L32" s="711"/>
      <c r="M32" s="420">
        <v>52.295000000000002</v>
      </c>
      <c r="N32" s="486">
        <f t="shared" si="42"/>
        <v>134.79500000000002</v>
      </c>
      <c r="O32" s="486"/>
      <c r="P32" s="711"/>
      <c r="Q32" s="711"/>
      <c r="R32" s="711"/>
      <c r="S32" s="712"/>
      <c r="T32" s="711"/>
      <c r="U32" s="711"/>
      <c r="V32" s="711"/>
      <c r="W32" s="712"/>
      <c r="X32" s="711"/>
      <c r="Y32" s="711"/>
      <c r="Z32" s="711"/>
      <c r="AA32" s="712"/>
      <c r="AB32" s="711"/>
      <c r="AC32" s="711"/>
      <c r="AD32" s="711"/>
      <c r="AE32" s="712"/>
      <c r="AF32" s="711"/>
      <c r="AG32" s="711"/>
      <c r="AH32" s="711"/>
      <c r="AI32" s="712"/>
      <c r="AJ32" s="711"/>
      <c r="AK32" s="711"/>
      <c r="AL32" s="711"/>
      <c r="AM32" s="712"/>
      <c r="AN32" s="711"/>
      <c r="AO32" s="711"/>
      <c r="AP32" s="711"/>
      <c r="AQ32" s="712"/>
      <c r="AR32" s="711"/>
      <c r="AS32" s="711"/>
      <c r="AT32" s="711"/>
      <c r="AU32" s="712"/>
      <c r="AV32" s="711"/>
      <c r="AW32" s="711"/>
      <c r="AX32" s="420">
        <v>44.116999999999997</v>
      </c>
      <c r="AY32" s="486">
        <f t="shared" si="51"/>
        <v>8.1780000000000044</v>
      </c>
      <c r="AZ32" s="420">
        <v>82.5</v>
      </c>
      <c r="BB32" s="486"/>
    </row>
    <row r="33" spans="2:54" ht="12.75" customHeight="1">
      <c r="B33" s="435" t="s">
        <v>499</v>
      </c>
      <c r="C33" s="420">
        <v>-194.98400000000001</v>
      </c>
      <c r="D33" s="420">
        <v>-194.98400000000001</v>
      </c>
      <c r="E33" s="420">
        <v>-171.78399999999999</v>
      </c>
      <c r="F33" s="420">
        <v>-102.184</v>
      </c>
      <c r="G33" s="420">
        <v>-108.184</v>
      </c>
      <c r="H33" s="420">
        <v>-102.184</v>
      </c>
      <c r="I33" s="420">
        <v>-102.184</v>
      </c>
      <c r="J33" s="420">
        <v>-102.184</v>
      </c>
      <c r="K33" s="420">
        <v>-102.184</v>
      </c>
      <c r="L33" s="420">
        <v>-102.184</v>
      </c>
      <c r="M33" s="420">
        <v>-102.184</v>
      </c>
      <c r="N33" s="486">
        <f t="shared" si="42"/>
        <v>-102.184</v>
      </c>
      <c r="O33" s="486"/>
      <c r="P33" s="420">
        <v>-48.746000000000002</v>
      </c>
      <c r="Q33" s="420">
        <v>-48.746000000000002</v>
      </c>
      <c r="R33" s="420">
        <v>-48.746000000000002</v>
      </c>
      <c r="S33" s="486">
        <f t="shared" si="43"/>
        <v>-48.745999999999988</v>
      </c>
      <c r="T33" s="420">
        <v>-48.746000000000002</v>
      </c>
      <c r="U33" s="420">
        <v>-48.746000000000002</v>
      </c>
      <c r="V33" s="420">
        <v>-48.746000000000002</v>
      </c>
      <c r="W33" s="486">
        <f t="shared" si="44"/>
        <v>-25.545999999999971</v>
      </c>
      <c r="X33" s="420">
        <v>-25.545999999999999</v>
      </c>
      <c r="Y33" s="420">
        <v>-25.545999999999999</v>
      </c>
      <c r="Z33" s="420">
        <v>-25.544</v>
      </c>
      <c r="AA33" s="486">
        <f t="shared" si="45"/>
        <v>-25.548000000000002</v>
      </c>
      <c r="AB33" s="420">
        <v>-25.545999999999999</v>
      </c>
      <c r="AC33" s="420">
        <v>-25.545999999999999</v>
      </c>
      <c r="AD33" s="420">
        <v>-25.545999999999999</v>
      </c>
      <c r="AE33" s="486">
        <f t="shared" si="46"/>
        <v>-25.546000000000006</v>
      </c>
      <c r="AF33" s="420">
        <v>-25.545999999999999</v>
      </c>
      <c r="AG33" s="420">
        <v>-25.545999999999999</v>
      </c>
      <c r="AH33" s="420">
        <v>-25.545999999999999</v>
      </c>
      <c r="AI33" s="486">
        <f t="shared" si="47"/>
        <v>-25.546000000000006</v>
      </c>
      <c r="AJ33" s="420">
        <v>-25.545999999999999</v>
      </c>
      <c r="AK33" s="420">
        <v>-25.545999999999999</v>
      </c>
      <c r="AL33" s="420">
        <v>-25.545999999999999</v>
      </c>
      <c r="AM33" s="486">
        <f t="shared" si="48"/>
        <v>-25.546000000000006</v>
      </c>
      <c r="AN33" s="420">
        <v>-25.545999999999999</v>
      </c>
      <c r="AO33" s="420">
        <v>-25.545999999999999</v>
      </c>
      <c r="AP33" s="420">
        <v>-25.545999999999999</v>
      </c>
      <c r="AQ33" s="486">
        <f t="shared" si="49"/>
        <v>-25.546000000000006</v>
      </c>
      <c r="AR33" s="420">
        <v>-25.545999999999999</v>
      </c>
      <c r="AS33" s="420">
        <v>-25.545999999999999</v>
      </c>
      <c r="AT33" s="420">
        <v>-25.545999999999999</v>
      </c>
      <c r="AU33" s="486">
        <f t="shared" si="50"/>
        <v>-25.546000000000006</v>
      </c>
      <c r="AV33" s="420">
        <v>-25.545999999999999</v>
      </c>
      <c r="AW33" s="420">
        <f>-51.092-AV33</f>
        <v>-25.545999999999999</v>
      </c>
      <c r="AX33" s="420">
        <v>-25.545999999999999</v>
      </c>
      <c r="AY33" s="486">
        <f t="shared" si="51"/>
        <v>-25.546000000000006</v>
      </c>
      <c r="AZ33" s="420">
        <v>-25.545999999999999</v>
      </c>
      <c r="BB33" s="486">
        <f t="shared" si="52"/>
        <v>-31.548000000000002</v>
      </c>
    </row>
    <row r="34" spans="2:54" ht="12.75" customHeight="1">
      <c r="B34" s="435" t="s">
        <v>500</v>
      </c>
      <c r="C34" s="420">
        <v>-133.57900000000001</v>
      </c>
      <c r="D34" s="420">
        <v>-187.024</v>
      </c>
      <c r="E34" s="420">
        <v>-267.58</v>
      </c>
      <c r="F34" s="420">
        <v>-195.34100000000001</v>
      </c>
      <c r="G34" s="420">
        <v>-195.34100000000001</v>
      </c>
      <c r="H34" s="420">
        <v>-229.07</v>
      </c>
      <c r="I34" s="420">
        <v>-219.858</v>
      </c>
      <c r="J34" s="420">
        <v>-238.69</v>
      </c>
      <c r="K34" s="420">
        <v>-247.923</v>
      </c>
      <c r="L34" s="420">
        <v>-201.86699999999999</v>
      </c>
      <c r="M34" s="420">
        <v>-371.267</v>
      </c>
      <c r="N34" s="486">
        <f t="shared" si="42"/>
        <v>-298.73599999999999</v>
      </c>
      <c r="O34" s="486"/>
      <c r="P34" s="420">
        <v>-32.457999999999998</v>
      </c>
      <c r="Q34" s="420">
        <v>-32.517000000000003</v>
      </c>
      <c r="R34" s="420">
        <v>-40.491</v>
      </c>
      <c r="S34" s="486">
        <f t="shared" si="43"/>
        <v>-81.558000000000021</v>
      </c>
      <c r="T34" s="420">
        <v>-37.659999999999997</v>
      </c>
      <c r="U34" s="420">
        <v>-26.471</v>
      </c>
      <c r="V34" s="420">
        <v>-165.82599999999999</v>
      </c>
      <c r="W34" s="486">
        <f t="shared" si="44"/>
        <v>-37.62299999999999</v>
      </c>
      <c r="X34" s="420">
        <v>-41.591000000000001</v>
      </c>
      <c r="Y34" s="420">
        <v>-58.814</v>
      </c>
      <c r="Z34" s="420">
        <v>-43.622999999999998</v>
      </c>
      <c r="AA34" s="486">
        <f t="shared" si="45"/>
        <v>-51.313000000000024</v>
      </c>
      <c r="AB34" s="420">
        <v>-83.016999999999996</v>
      </c>
      <c r="AC34" s="420">
        <v>-29.189</v>
      </c>
      <c r="AD34" s="420">
        <v>-36.712000000000003</v>
      </c>
      <c r="AE34" s="486">
        <f t="shared" si="46"/>
        <v>-80.152000000000015</v>
      </c>
      <c r="AF34" s="420">
        <v>-50.845999999999997</v>
      </c>
      <c r="AG34" s="420">
        <v>-51.94</v>
      </c>
      <c r="AH34" s="420">
        <v>-56.792999999999999</v>
      </c>
      <c r="AI34" s="486">
        <f t="shared" si="47"/>
        <v>-60.279000000000003</v>
      </c>
      <c r="AJ34" s="420">
        <v>-59.218000000000004</v>
      </c>
      <c r="AK34" s="420">
        <v>-60.627000000000002</v>
      </c>
      <c r="AL34" s="420">
        <v>-59.866</v>
      </c>
      <c r="AM34" s="486">
        <f t="shared" si="48"/>
        <v>-58.978999999999999</v>
      </c>
      <c r="AN34" s="420">
        <v>-60.973999999999997</v>
      </c>
      <c r="AO34" s="420">
        <v>-60.807000000000002</v>
      </c>
      <c r="AP34" s="420">
        <v>-64.278000000000006</v>
      </c>
      <c r="AQ34" s="486">
        <f t="shared" si="49"/>
        <v>-61.863999999999983</v>
      </c>
      <c r="AR34" s="420">
        <v>-61.771000000000001</v>
      </c>
      <c r="AS34" s="420">
        <v>-61.427999999999997</v>
      </c>
      <c r="AT34" s="420">
        <v>-60.201999999999998</v>
      </c>
      <c r="AU34" s="486">
        <f t="shared" si="50"/>
        <v>-18.465999999999994</v>
      </c>
      <c r="AV34" s="420">
        <v>-132.76</v>
      </c>
      <c r="AW34" s="420">
        <f>-187.762-AV34</f>
        <v>-55.00200000000001</v>
      </c>
      <c r="AX34" s="420">
        <v>-62.814999999999998</v>
      </c>
      <c r="AY34" s="486">
        <f t="shared" si="51"/>
        <v>-120.69</v>
      </c>
      <c r="AZ34" s="420">
        <v>-60.228999999999999</v>
      </c>
      <c r="BB34" s="486">
        <f t="shared" si="52"/>
        <v>-51.313000000000024</v>
      </c>
    </row>
    <row r="35" spans="2:54" ht="12.75" customHeight="1">
      <c r="B35" s="435" t="s">
        <v>501</v>
      </c>
      <c r="C35" s="420">
        <v>0</v>
      </c>
      <c r="D35" s="420">
        <v>-6.3040000000000003</v>
      </c>
      <c r="E35" s="420">
        <v>0</v>
      </c>
      <c r="F35" s="420">
        <v>-150.744</v>
      </c>
      <c r="G35" s="420">
        <v>-150.744</v>
      </c>
      <c r="H35" s="420">
        <v>0</v>
      </c>
      <c r="I35" s="420">
        <v>0</v>
      </c>
      <c r="J35" s="420">
        <v>0</v>
      </c>
      <c r="K35" s="420">
        <v>0</v>
      </c>
      <c r="L35" s="420">
        <v>0</v>
      </c>
      <c r="M35" s="420">
        <v>0</v>
      </c>
      <c r="N35" s="486">
        <f t="shared" si="42"/>
        <v>0</v>
      </c>
      <c r="O35" s="486"/>
      <c r="P35" s="420">
        <v>-6.3040000000000003</v>
      </c>
      <c r="Q35" s="420">
        <v>0</v>
      </c>
      <c r="R35" s="420">
        <v>0</v>
      </c>
      <c r="S35" s="486">
        <f t="shared" si="43"/>
        <v>0</v>
      </c>
      <c r="T35" s="420">
        <v>0</v>
      </c>
      <c r="U35" s="420">
        <v>0</v>
      </c>
      <c r="V35" s="420">
        <v>0</v>
      </c>
      <c r="W35" s="486">
        <f t="shared" si="44"/>
        <v>0</v>
      </c>
      <c r="X35" s="420">
        <v>-129.273</v>
      </c>
      <c r="Y35" s="420">
        <v>-21.471</v>
      </c>
      <c r="Z35" s="420">
        <v>0</v>
      </c>
      <c r="AA35" s="486">
        <f t="shared" si="45"/>
        <v>0</v>
      </c>
      <c r="AB35" s="420">
        <v>0</v>
      </c>
      <c r="AC35" s="420">
        <v>0</v>
      </c>
      <c r="AD35" s="420">
        <v>0</v>
      </c>
      <c r="AE35" s="486">
        <f t="shared" si="46"/>
        <v>0</v>
      </c>
      <c r="AF35" s="420">
        <v>0</v>
      </c>
      <c r="AG35" s="420">
        <v>0</v>
      </c>
      <c r="AH35" s="420">
        <v>0</v>
      </c>
      <c r="AI35" s="486">
        <f t="shared" si="47"/>
        <v>0</v>
      </c>
      <c r="AJ35" s="420">
        <v>0</v>
      </c>
      <c r="AK35" s="420">
        <v>0</v>
      </c>
      <c r="AL35" s="420">
        <v>0</v>
      </c>
      <c r="AM35" s="486">
        <f t="shared" si="48"/>
        <v>0</v>
      </c>
      <c r="AN35" s="420">
        <v>0</v>
      </c>
      <c r="AO35" s="420">
        <v>0</v>
      </c>
      <c r="AP35" s="420">
        <v>0</v>
      </c>
      <c r="AQ35" s="486">
        <f t="shared" si="49"/>
        <v>0</v>
      </c>
      <c r="AR35" s="420">
        <v>0</v>
      </c>
      <c r="AS35" s="420">
        <v>0</v>
      </c>
      <c r="AT35" s="420">
        <v>0</v>
      </c>
      <c r="AU35" s="486">
        <f t="shared" si="50"/>
        <v>0</v>
      </c>
      <c r="AV35" s="420">
        <v>0</v>
      </c>
      <c r="AW35" s="420">
        <f t="shared" si="53"/>
        <v>0</v>
      </c>
      <c r="AX35" s="420">
        <v>0</v>
      </c>
      <c r="AY35" s="486">
        <f t="shared" si="51"/>
        <v>0</v>
      </c>
      <c r="AZ35" s="420">
        <v>0</v>
      </c>
      <c r="BB35" s="486">
        <f t="shared" si="52"/>
        <v>0</v>
      </c>
    </row>
    <row r="36" spans="2:54" ht="12.75" customHeight="1">
      <c r="B36" s="435" t="s">
        <v>502</v>
      </c>
      <c r="C36" s="420">
        <v>0</v>
      </c>
      <c r="D36" s="420">
        <v>0</v>
      </c>
      <c r="E36" s="420">
        <v>0</v>
      </c>
      <c r="F36" s="420">
        <v>-14.2</v>
      </c>
      <c r="G36" s="420">
        <v>0</v>
      </c>
      <c r="H36" s="420">
        <v>-65.847999999999999</v>
      </c>
      <c r="I36" s="420">
        <v>0</v>
      </c>
      <c r="J36" s="420">
        <v>0</v>
      </c>
      <c r="K36" s="420">
        <v>0</v>
      </c>
      <c r="L36" s="420">
        <v>0</v>
      </c>
      <c r="M36" s="420">
        <v>0</v>
      </c>
      <c r="N36" s="486">
        <f t="shared" si="42"/>
        <v>0</v>
      </c>
      <c r="O36" s="486"/>
      <c r="P36" s="420">
        <v>0</v>
      </c>
      <c r="Q36" s="420">
        <v>0</v>
      </c>
      <c r="R36" s="420">
        <v>0</v>
      </c>
      <c r="S36" s="486">
        <f t="shared" si="43"/>
        <v>0</v>
      </c>
      <c r="T36" s="420">
        <v>0</v>
      </c>
      <c r="U36" s="420">
        <v>0</v>
      </c>
      <c r="V36" s="420">
        <v>0</v>
      </c>
      <c r="W36" s="486">
        <f t="shared" si="44"/>
        <v>0</v>
      </c>
      <c r="X36" s="420">
        <v>-14.2</v>
      </c>
      <c r="Y36" s="420">
        <v>0</v>
      </c>
      <c r="Z36" s="420">
        <v>0</v>
      </c>
      <c r="AA36" s="486">
        <f t="shared" si="45"/>
        <v>0</v>
      </c>
      <c r="AB36" s="420">
        <v>0</v>
      </c>
      <c r="AC36" s="420">
        <v>0</v>
      </c>
      <c r="AD36" s="420">
        <v>-65.847999999999999</v>
      </c>
      <c r="AE36" s="486">
        <f t="shared" si="46"/>
        <v>0</v>
      </c>
      <c r="AF36" s="420">
        <v>0</v>
      </c>
      <c r="AG36" s="420">
        <v>0</v>
      </c>
      <c r="AH36" s="420">
        <v>0</v>
      </c>
      <c r="AI36" s="486">
        <f t="shared" si="47"/>
        <v>0</v>
      </c>
      <c r="AJ36" s="420">
        <v>0</v>
      </c>
      <c r="AK36" s="420">
        <v>0</v>
      </c>
      <c r="AL36" s="420">
        <v>0</v>
      </c>
      <c r="AM36" s="486">
        <f t="shared" si="48"/>
        <v>0</v>
      </c>
      <c r="AN36" s="420">
        <v>0</v>
      </c>
      <c r="AO36" s="420">
        <v>0</v>
      </c>
      <c r="AP36" s="420">
        <v>0</v>
      </c>
      <c r="AQ36" s="486">
        <f t="shared" si="49"/>
        <v>0</v>
      </c>
      <c r="AR36" s="420">
        <v>0</v>
      </c>
      <c r="AS36" s="420">
        <v>0</v>
      </c>
      <c r="AT36" s="420">
        <v>0</v>
      </c>
      <c r="AU36" s="486">
        <f t="shared" si="50"/>
        <v>0</v>
      </c>
      <c r="AV36" s="420">
        <v>0</v>
      </c>
      <c r="AW36" s="420">
        <f t="shared" si="53"/>
        <v>0</v>
      </c>
      <c r="AX36" s="420">
        <v>0</v>
      </c>
      <c r="AY36" s="486">
        <f t="shared" si="51"/>
        <v>0</v>
      </c>
      <c r="AZ36" s="420">
        <v>0</v>
      </c>
      <c r="BB36" s="486">
        <f t="shared" si="52"/>
        <v>14.2</v>
      </c>
    </row>
    <row r="37" spans="2:54" ht="12.75" customHeight="1">
      <c r="B37" s="435" t="s">
        <v>503</v>
      </c>
      <c r="C37" s="420"/>
      <c r="D37" s="420"/>
      <c r="E37" s="420"/>
      <c r="F37" s="420">
        <v>-109.599</v>
      </c>
      <c r="G37" s="420">
        <v>-123.79900000000001</v>
      </c>
      <c r="H37" s="420">
        <v>-19.376999999999999</v>
      </c>
      <c r="I37" s="420">
        <v>-58.697000000000003</v>
      </c>
      <c r="J37" s="420">
        <v>-93.825999999999993</v>
      </c>
      <c r="K37" s="420">
        <v>23.97</v>
      </c>
      <c r="L37" s="420">
        <v>-32.856000000000002</v>
      </c>
      <c r="M37" s="420">
        <v>-33.067</v>
      </c>
      <c r="N37" s="486">
        <f t="shared" si="42"/>
        <v>-38.846000000000004</v>
      </c>
      <c r="O37" s="486"/>
      <c r="P37" s="420"/>
      <c r="Q37" s="420"/>
      <c r="R37" s="420"/>
      <c r="S37" s="486"/>
      <c r="T37" s="420"/>
      <c r="U37" s="420"/>
      <c r="V37" s="420"/>
      <c r="W37" s="486"/>
      <c r="X37" s="420"/>
      <c r="Y37" s="420">
        <v>-51.37</v>
      </c>
      <c r="Z37" s="420">
        <v>0</v>
      </c>
      <c r="AA37" s="486">
        <f t="shared" si="45"/>
        <v>-58.229000000000006</v>
      </c>
      <c r="AB37" s="420">
        <v>8.3520000000000003</v>
      </c>
      <c r="AC37" s="420">
        <v>0</v>
      </c>
      <c r="AD37" s="420">
        <v>0</v>
      </c>
      <c r="AE37" s="486">
        <f t="shared" si="46"/>
        <v>-27.728999999999999</v>
      </c>
      <c r="AF37" s="420">
        <v>9.9860000000000007</v>
      </c>
      <c r="AG37" s="420">
        <v>0</v>
      </c>
      <c r="AH37" s="420">
        <v>-10.920999999999999</v>
      </c>
      <c r="AI37" s="486">
        <f t="shared" si="47"/>
        <v>-57.762</v>
      </c>
      <c r="AJ37" s="420">
        <v>-52.944000000000003</v>
      </c>
      <c r="AK37" s="420">
        <v>-52.637</v>
      </c>
      <c r="AL37" s="420">
        <v>13.202999999999999</v>
      </c>
      <c r="AM37" s="486">
        <f t="shared" si="48"/>
        <v>-1.4479999999999933</v>
      </c>
      <c r="AN37" s="420">
        <v>-1.361</v>
      </c>
      <c r="AO37" s="420">
        <v>-176.91900000000001</v>
      </c>
      <c r="AP37" s="420">
        <v>202.88800000000001</v>
      </c>
      <c r="AQ37" s="486">
        <f t="shared" si="49"/>
        <v>-0.63799999999999524</v>
      </c>
      <c r="AR37" s="420">
        <v>-1.8720000000000001</v>
      </c>
      <c r="AS37" s="420">
        <v>3.073</v>
      </c>
      <c r="AT37" s="420">
        <v>-7.367</v>
      </c>
      <c r="AU37" s="486">
        <f t="shared" si="50"/>
        <v>-26.69</v>
      </c>
      <c r="AV37" s="420">
        <v>-2.7360000000000002</v>
      </c>
      <c r="AW37" s="420">
        <f>-34.505-AV37</f>
        <v>-31.769000000000002</v>
      </c>
      <c r="AX37" s="420">
        <v>0.26400000000000001</v>
      </c>
      <c r="AY37" s="486">
        <f t="shared" si="51"/>
        <v>1.173999999999999</v>
      </c>
      <c r="AZ37" s="420">
        <v>-8.5150000000000006</v>
      </c>
      <c r="BB37" s="486">
        <f t="shared" si="52"/>
        <v>-72.429000000000002</v>
      </c>
    </row>
    <row r="38" spans="2:54" ht="12.75" customHeight="1">
      <c r="B38" s="435" t="s">
        <v>504</v>
      </c>
      <c r="C38" s="420">
        <v>-169.99700000000001</v>
      </c>
      <c r="D38" s="420">
        <v>-94.968000000000004</v>
      </c>
      <c r="E38" s="420">
        <v>-563.48800000000006</v>
      </c>
      <c r="F38" s="420">
        <v>-602.09900000000005</v>
      </c>
      <c r="G38" s="420">
        <v>-602.09900000000005</v>
      </c>
      <c r="H38" s="420">
        <v>-73.328000000000003</v>
      </c>
      <c r="I38" s="420">
        <v>-358.3</v>
      </c>
      <c r="J38" s="420">
        <v>-643.20000000000005</v>
      </c>
      <c r="K38" s="420">
        <v>-321.89999999999998</v>
      </c>
      <c r="L38" s="420">
        <v>-110.44199999999999</v>
      </c>
      <c r="M38" s="420">
        <v>-760.41499999999996</v>
      </c>
      <c r="N38" s="486">
        <f t="shared" si="42"/>
        <v>-856.88099999999997</v>
      </c>
      <c r="O38" s="486"/>
      <c r="P38" s="420">
        <v>-50</v>
      </c>
      <c r="Q38" s="420">
        <v>-39.692999999999998</v>
      </c>
      <c r="R38" s="420">
        <v>-26.462</v>
      </c>
      <c r="S38" s="486">
        <f>D38-R38-Q38-P38</f>
        <v>21.186999999999998</v>
      </c>
      <c r="T38" s="420">
        <v>-23.742000000000001</v>
      </c>
      <c r="U38" s="420">
        <v>-124.093</v>
      </c>
      <c r="V38" s="420">
        <v>-155.065</v>
      </c>
      <c r="W38" s="486">
        <f>E38-V38-U38-T38</f>
        <v>-260.58800000000002</v>
      </c>
      <c r="X38" s="420">
        <v>-107.9</v>
      </c>
      <c r="Y38" s="420">
        <v>-107.426</v>
      </c>
      <c r="Z38" s="420">
        <v>-244.75899999999999</v>
      </c>
      <c r="AA38" s="486">
        <f t="shared" si="45"/>
        <v>-142.01400000000004</v>
      </c>
      <c r="AB38" s="420">
        <v>-62</v>
      </c>
      <c r="AC38" s="420">
        <v>32.375999999999998</v>
      </c>
      <c r="AD38" s="420">
        <v>-13.052</v>
      </c>
      <c r="AE38" s="486">
        <f t="shared" si="46"/>
        <v>-30.652000000000001</v>
      </c>
      <c r="AF38" s="420">
        <v>-81.75</v>
      </c>
      <c r="AG38" s="420">
        <v>-69</v>
      </c>
      <c r="AH38" s="420">
        <v>-69</v>
      </c>
      <c r="AI38" s="486">
        <f t="shared" si="47"/>
        <v>-138.55000000000001</v>
      </c>
      <c r="AJ38" s="420">
        <v>-89.575000000000003</v>
      </c>
      <c r="AK38" s="420">
        <v>-55.625</v>
      </c>
      <c r="AL38" s="420">
        <v>-72.599999999999994</v>
      </c>
      <c r="AM38" s="486">
        <f t="shared" si="48"/>
        <v>-425.40000000000003</v>
      </c>
      <c r="AN38" s="420">
        <v>-103.5</v>
      </c>
      <c r="AO38" s="420">
        <v>-103.5</v>
      </c>
      <c r="AP38" s="420">
        <v>-34.424999999999997</v>
      </c>
      <c r="AQ38" s="486">
        <f t="shared" si="49"/>
        <v>-80.474999999999966</v>
      </c>
      <c r="AR38" s="420">
        <v>0</v>
      </c>
      <c r="AS38" s="420">
        <v>-128.38200000000001</v>
      </c>
      <c r="AT38" s="420">
        <v>-64.191000000000003</v>
      </c>
      <c r="AU38" s="486">
        <f t="shared" si="50"/>
        <v>82.131000000000014</v>
      </c>
      <c r="AV38" s="420">
        <v>-27.61</v>
      </c>
      <c r="AW38" s="420">
        <f>-55.221-AV38</f>
        <v>-27.610999999999997</v>
      </c>
      <c r="AX38" s="420">
        <v>-27.61</v>
      </c>
      <c r="AY38" s="486">
        <f t="shared" si="51"/>
        <v>-677.58399999999995</v>
      </c>
      <c r="AZ38" s="420">
        <v>-124.07599999999999</v>
      </c>
      <c r="BB38" s="486">
        <f t="shared" si="52"/>
        <v>-142.01400000000004</v>
      </c>
    </row>
    <row r="39" spans="2:54" s="424" customFormat="1" ht="12.75" customHeight="1">
      <c r="B39" s="424" t="s">
        <v>505</v>
      </c>
      <c r="C39" s="479">
        <f t="shared" ref="C39:AA39" si="54">SUM(C25:C38)</f>
        <v>12393.912</v>
      </c>
      <c r="D39" s="479">
        <f t="shared" si="54"/>
        <v>12158.179999999998</v>
      </c>
      <c r="E39" s="479">
        <f t="shared" si="54"/>
        <v>17270.751999999997</v>
      </c>
      <c r="F39" s="479">
        <f t="shared" si="54"/>
        <v>18725.010000000002</v>
      </c>
      <c r="G39" s="479">
        <f t="shared" ref="G39:J39" si="55">SUM(G25:G38)</f>
        <v>18150.318000000003</v>
      </c>
      <c r="H39" s="479">
        <f t="shared" si="55"/>
        <v>13959.233999999999</v>
      </c>
      <c r="I39" s="479">
        <f t="shared" si="55"/>
        <v>4010.0039999999972</v>
      </c>
      <c r="J39" s="479">
        <f t="shared" si="55"/>
        <v>24096.888999999996</v>
      </c>
      <c r="K39" s="479">
        <f t="shared" ref="K39:L39" si="56">SUM(K25:K38)</f>
        <v>18344.065000000002</v>
      </c>
      <c r="L39" s="479">
        <f t="shared" si="56"/>
        <v>10006.952000000001</v>
      </c>
      <c r="M39" s="479">
        <f t="shared" ref="M39" si="57">SUM(M25:M38)</f>
        <v>27049.322999999993</v>
      </c>
      <c r="N39" s="479">
        <f t="shared" ref="N39" si="58">SUM(N25:N38)</f>
        <v>27443.809999999998</v>
      </c>
      <c r="O39" s="479"/>
      <c r="P39" s="479">
        <f t="shared" si="54"/>
        <v>5037.1840000000011</v>
      </c>
      <c r="Q39" s="479">
        <f t="shared" si="54"/>
        <v>3517.7079999999996</v>
      </c>
      <c r="R39" s="479">
        <f t="shared" si="54"/>
        <v>2070.9009999999998</v>
      </c>
      <c r="S39" s="479">
        <f t="shared" si="54"/>
        <v>1532.3869999999997</v>
      </c>
      <c r="T39" s="479">
        <f t="shared" si="54"/>
        <v>4819.6369999999997</v>
      </c>
      <c r="U39" s="479">
        <f t="shared" si="54"/>
        <v>862.01699999999914</v>
      </c>
      <c r="V39" s="479">
        <f t="shared" si="54"/>
        <v>4582.8720000000012</v>
      </c>
      <c r="W39" s="479">
        <f t="shared" si="54"/>
        <v>7006.2260000000015</v>
      </c>
      <c r="X39" s="479">
        <f t="shared" si="54"/>
        <v>4263.8379999999988</v>
      </c>
      <c r="Y39" s="479">
        <f t="shared" si="54"/>
        <v>5473.4560000000001</v>
      </c>
      <c r="Z39" s="479">
        <f t="shared" si="54"/>
        <v>1970.2280000000005</v>
      </c>
      <c r="AA39" s="479">
        <f t="shared" si="54"/>
        <v>7017.4879999999976</v>
      </c>
      <c r="AB39" s="479">
        <f t="shared" ref="AB39:AG39" si="59">SUM(AB25:AB38)</f>
        <v>-15059.420999999998</v>
      </c>
      <c r="AC39" s="479">
        <f t="shared" si="59"/>
        <v>13357.835999999999</v>
      </c>
      <c r="AD39" s="479">
        <f t="shared" si="59"/>
        <v>4539.1389999999992</v>
      </c>
      <c r="AE39" s="479">
        <f t="shared" si="59"/>
        <v>11121.68</v>
      </c>
      <c r="AF39" s="479">
        <f t="shared" si="59"/>
        <v>-338.46700000000004</v>
      </c>
      <c r="AG39" s="479">
        <f t="shared" si="59"/>
        <v>1519.184</v>
      </c>
      <c r="AH39" s="479">
        <f t="shared" ref="AH39:AM39" si="60">SUM(AH25:AH38)</f>
        <v>-538.71999999999889</v>
      </c>
      <c r="AI39" s="479">
        <f t="shared" si="60"/>
        <v>3368.0069999999973</v>
      </c>
      <c r="AJ39" s="479">
        <f t="shared" si="60"/>
        <v>4362.4380000000001</v>
      </c>
      <c r="AK39" s="479">
        <f t="shared" si="60"/>
        <v>2619.8200000000006</v>
      </c>
      <c r="AL39" s="479">
        <f t="shared" si="60"/>
        <v>4385.7960000000003</v>
      </c>
      <c r="AM39" s="479">
        <f t="shared" si="60"/>
        <v>12728.835000000001</v>
      </c>
      <c r="AN39" s="479">
        <f t="shared" ref="AN39:AQ39" si="61">SUM(AN25:AN38)</f>
        <v>6669.3440000000001</v>
      </c>
      <c r="AO39" s="479">
        <f t="shared" si="61"/>
        <v>5683.5059999999994</v>
      </c>
      <c r="AP39" s="479">
        <f t="shared" si="61"/>
        <v>-73.658999999999324</v>
      </c>
      <c r="AQ39" s="479">
        <f t="shared" si="61"/>
        <v>6064.8739999999989</v>
      </c>
      <c r="AR39" s="479">
        <f t="shared" ref="AR39:AU39" si="62">SUM(AR25:AR38)</f>
        <v>2769.3309999999997</v>
      </c>
      <c r="AS39" s="479">
        <f t="shared" si="62"/>
        <v>4229.0060000000003</v>
      </c>
      <c r="AT39" s="479">
        <f t="shared" si="62"/>
        <v>-1030.4360000000011</v>
      </c>
      <c r="AU39" s="479">
        <f t="shared" si="62"/>
        <v>4039.050999999999</v>
      </c>
      <c r="AV39" s="479">
        <f t="shared" ref="AV39:AY39" si="63">SUM(AV25:AV38)</f>
        <v>1585.6919999999989</v>
      </c>
      <c r="AW39" s="479">
        <f t="shared" si="63"/>
        <v>5428.05</v>
      </c>
      <c r="AX39" s="479">
        <f t="shared" si="63"/>
        <v>3711.422</v>
      </c>
      <c r="AY39" s="479">
        <f t="shared" si="63"/>
        <v>16324.159000000001</v>
      </c>
      <c r="AZ39" s="479">
        <f t="shared" ref="AZ39" si="64">SUM(AZ25:AZ38)</f>
        <v>1980.1790000000005</v>
      </c>
      <c r="BA39" s="479"/>
      <c r="BB39" s="479">
        <f>SUM(BB25:BB38)</f>
        <v>6442.7959999999966</v>
      </c>
    </row>
    <row r="40" spans="2:54" s="424" customFormat="1" ht="12.75" customHeight="1">
      <c r="C40" s="479"/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479"/>
      <c r="T40" s="479"/>
      <c r="U40" s="479"/>
      <c r="V40" s="479"/>
      <c r="W40" s="479"/>
      <c r="X40" s="479"/>
      <c r="Y40" s="479"/>
      <c r="Z40" s="479"/>
      <c r="AA40" s="479"/>
      <c r="AB40" s="479"/>
      <c r="AC40" s="479"/>
      <c r="AD40" s="479"/>
      <c r="AE40" s="479"/>
      <c r="AF40" s="479"/>
      <c r="AG40" s="479"/>
      <c r="AH40" s="479"/>
      <c r="AI40" s="479"/>
      <c r="AJ40" s="479"/>
      <c r="AK40" s="479"/>
      <c r="AL40" s="479"/>
      <c r="AM40" s="479"/>
      <c r="AN40" s="479"/>
      <c r="AO40" s="479"/>
      <c r="AP40" s="479"/>
      <c r="AQ40" s="479"/>
      <c r="AR40" s="479"/>
      <c r="AS40" s="479"/>
      <c r="AT40" s="479"/>
      <c r="AU40" s="479"/>
      <c r="AV40" s="479"/>
      <c r="AW40" s="479"/>
      <c r="AX40" s="479"/>
      <c r="AY40" s="479"/>
      <c r="AZ40" s="479"/>
      <c r="BB40" s="479"/>
    </row>
    <row r="41" spans="2:54" s="449" customFormat="1" ht="12.75" customHeight="1">
      <c r="B41" s="499"/>
      <c r="C41" s="487"/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79"/>
      <c r="P41" s="487"/>
      <c r="Q41" s="487"/>
      <c r="R41" s="487"/>
      <c r="S41" s="487"/>
      <c r="T41" s="487"/>
      <c r="U41" s="487"/>
      <c r="V41" s="487"/>
      <c r="W41" s="487"/>
      <c r="X41" s="487"/>
      <c r="Y41" s="487"/>
      <c r="Z41" s="487"/>
      <c r="AA41" s="487"/>
      <c r="AB41" s="487"/>
      <c r="AC41" s="487"/>
      <c r="AD41" s="487"/>
      <c r="AE41" s="487"/>
      <c r="AF41" s="487"/>
      <c r="AG41" s="487"/>
      <c r="AH41" s="487"/>
      <c r="AI41" s="487"/>
      <c r="AJ41" s="487"/>
      <c r="AK41" s="487"/>
      <c r="AL41" s="487"/>
      <c r="AM41" s="487"/>
      <c r="AN41" s="487"/>
      <c r="AO41" s="487"/>
      <c r="AP41" s="487"/>
      <c r="AQ41" s="487"/>
      <c r="AR41" s="487"/>
      <c r="AS41" s="487"/>
      <c r="AT41" s="487"/>
      <c r="AU41" s="487"/>
      <c r="AV41" s="487"/>
      <c r="AW41" s="487"/>
      <c r="AX41" s="487"/>
      <c r="AY41" s="487"/>
      <c r="AZ41" s="487"/>
      <c r="BB41" s="487"/>
    </row>
    <row r="42" spans="2:54" s="424" customFormat="1" ht="12.75" customHeight="1">
      <c r="B42" s="766" t="s">
        <v>506</v>
      </c>
      <c r="C42" s="717"/>
      <c r="D42" s="717"/>
      <c r="E42" s="717"/>
      <c r="F42" s="717"/>
      <c r="G42" s="717"/>
      <c r="H42" s="717"/>
      <c r="I42" s="717"/>
      <c r="J42" s="717"/>
      <c r="K42" s="717"/>
      <c r="L42" s="717"/>
      <c r="M42" s="717"/>
      <c r="N42" s="717"/>
      <c r="O42" s="479"/>
      <c r="P42" s="717"/>
      <c r="Q42" s="717"/>
      <c r="R42" s="717"/>
      <c r="S42" s="717"/>
      <c r="T42" s="717"/>
      <c r="U42" s="717"/>
      <c r="V42" s="717"/>
      <c r="W42" s="717"/>
      <c r="X42" s="717"/>
      <c r="Y42" s="717"/>
      <c r="Z42" s="717"/>
      <c r="AA42" s="717"/>
      <c r="AB42" s="717"/>
      <c r="AC42" s="717"/>
      <c r="AD42" s="717"/>
      <c r="AE42" s="717"/>
      <c r="AF42" s="717"/>
      <c r="AG42" s="717"/>
      <c r="AH42" s="717"/>
      <c r="AI42" s="717"/>
      <c r="AJ42" s="717"/>
      <c r="AK42" s="717"/>
      <c r="AL42" s="717"/>
      <c r="AM42" s="717"/>
      <c r="AN42" s="717"/>
      <c r="AO42" s="717"/>
      <c r="AP42" s="717"/>
      <c r="AQ42" s="717"/>
      <c r="AR42" s="717"/>
      <c r="AS42" s="717"/>
      <c r="AT42" s="717"/>
      <c r="AU42" s="717"/>
      <c r="AV42" s="717"/>
      <c r="AW42" s="717"/>
      <c r="AX42" s="717"/>
      <c r="AY42" s="717"/>
      <c r="AZ42" s="717"/>
      <c r="BB42" s="498"/>
    </row>
    <row r="43" spans="2:54" s="449" customFormat="1" ht="12.75" customHeight="1">
      <c r="B43" s="767" t="s">
        <v>507</v>
      </c>
      <c r="C43" s="497">
        <f t="shared" ref="C43:AA43" si="65">C7/C$14</f>
        <v>0.88710041796299177</v>
      </c>
      <c r="D43" s="497">
        <f t="shared" si="65"/>
        <v>0.86655659757939207</v>
      </c>
      <c r="E43" s="497">
        <f t="shared" si="65"/>
        <v>0.88620015577912858</v>
      </c>
      <c r="F43" s="497">
        <f t="shared" si="65"/>
        <v>0.8777456431868057</v>
      </c>
      <c r="G43" s="497">
        <f t="shared" ref="G43:J43" si="66">G7/G$14</f>
        <v>0.8777456431868057</v>
      </c>
      <c r="H43" s="497">
        <f t="shared" si="66"/>
        <v>0.92723785229535316</v>
      </c>
      <c r="I43" s="497">
        <f t="shared" si="66"/>
        <v>0.89140946128052356</v>
      </c>
      <c r="J43" s="497">
        <f t="shared" si="66"/>
        <v>0.87778735723317736</v>
      </c>
      <c r="K43" s="497">
        <f t="shared" ref="K43:L43" si="67">K7/K$14</f>
        <v>0.88150953414771438</v>
      </c>
      <c r="L43" s="497">
        <f t="shared" si="67"/>
        <v>0.88559515477980899</v>
      </c>
      <c r="M43" s="497">
        <f t="shared" ref="M43" si="68">M7/M$14</f>
        <v>0.88628848223487389</v>
      </c>
      <c r="N43" s="497">
        <f t="shared" ref="N43" si="69">N7/N$14</f>
        <v>0.88644906283220137</v>
      </c>
      <c r="O43" s="479"/>
      <c r="P43" s="497">
        <f t="shared" si="65"/>
        <v>0.88076528313152602</v>
      </c>
      <c r="Q43" s="497">
        <f t="shared" si="65"/>
        <v>0.8759955151539528</v>
      </c>
      <c r="R43" s="497">
        <f t="shared" si="65"/>
        <v>0.87873627473067206</v>
      </c>
      <c r="S43" s="497">
        <f t="shared" si="65"/>
        <v>0.83378079678635775</v>
      </c>
      <c r="T43" s="497">
        <f t="shared" si="65"/>
        <v>0.89217580680545272</v>
      </c>
      <c r="U43" s="497">
        <f t="shared" si="65"/>
        <v>0.88455718833226038</v>
      </c>
      <c r="V43" s="497">
        <f t="shared" si="65"/>
        <v>0.8833690381918865</v>
      </c>
      <c r="W43" s="497">
        <f t="shared" si="65"/>
        <v>0.88499286125315013</v>
      </c>
      <c r="X43" s="497">
        <f t="shared" si="65"/>
        <v>0.88004647211032527</v>
      </c>
      <c r="Y43" s="497">
        <f t="shared" si="65"/>
        <v>0.87370844782365653</v>
      </c>
      <c r="Z43" s="497">
        <f t="shared" si="65"/>
        <v>0.8783245073703887</v>
      </c>
      <c r="AA43" s="497">
        <f t="shared" si="65"/>
        <v>0.87888046987483648</v>
      </c>
      <c r="AB43" s="497">
        <f t="shared" ref="AB43:AG43" si="70">AB7/AB$14</f>
        <v>0.87971977295682136</v>
      </c>
      <c r="AC43" s="497">
        <f t="shared" si="70"/>
        <v>1.0294088018182195</v>
      </c>
      <c r="AD43" s="497">
        <f t="shared" si="70"/>
        <v>0.94937410405134204</v>
      </c>
      <c r="AE43" s="497">
        <f t="shared" si="70"/>
        <v>0.87062555247333728</v>
      </c>
      <c r="AF43" s="497">
        <f t="shared" si="70"/>
        <v>0.88888146008625402</v>
      </c>
      <c r="AG43" s="497">
        <f t="shared" si="70"/>
        <v>0.88142227879579527</v>
      </c>
      <c r="AH43" s="497">
        <f t="shared" ref="AH43:AM43" si="71">AH7/AH$14</f>
        <v>0.8838354165794039</v>
      </c>
      <c r="AI43" s="497">
        <f t="shared" si="71"/>
        <v>0.90983960879237458</v>
      </c>
      <c r="AJ43" s="497">
        <f t="shared" si="71"/>
        <v>0.89550830567510298</v>
      </c>
      <c r="AK43" s="497">
        <f t="shared" si="71"/>
        <v>0.88323217251785968</v>
      </c>
      <c r="AL43" s="497">
        <f t="shared" si="71"/>
        <v>0.89339473586702967</v>
      </c>
      <c r="AM43" s="497">
        <f t="shared" si="71"/>
        <v>0.84101078365436854</v>
      </c>
      <c r="AN43" s="497">
        <f t="shared" ref="AN43:AQ43" si="72">AN7/AN$14</f>
        <v>0.88607563576905446</v>
      </c>
      <c r="AO43" s="497">
        <f t="shared" si="72"/>
        <v>0.88363485464824154</v>
      </c>
      <c r="AP43" s="497">
        <f t="shared" si="72"/>
        <v>0.87687651827387603</v>
      </c>
      <c r="AQ43" s="497">
        <f t="shared" si="72"/>
        <v>0.87960006498597543</v>
      </c>
      <c r="AR43" s="497">
        <f t="shared" ref="AR43:AU43" si="73">AR7/AR$14</f>
        <v>0.88370598928890443</v>
      </c>
      <c r="AS43" s="497">
        <f t="shared" si="73"/>
        <v>0.89606679182867932</v>
      </c>
      <c r="AT43" s="497">
        <f t="shared" si="73"/>
        <v>0.88466617656588331</v>
      </c>
      <c r="AU43" s="497">
        <f t="shared" si="73"/>
        <v>0.87871603451901159</v>
      </c>
      <c r="AV43" s="497">
        <f t="shared" ref="AV43:AY43" si="74">AV7/AV$14</f>
        <v>0.88846368842539669</v>
      </c>
      <c r="AW43" s="497">
        <f t="shared" si="74"/>
        <v>0.88543310790050611</v>
      </c>
      <c r="AX43" s="497">
        <f t="shared" si="74"/>
        <v>0.88325646391460511</v>
      </c>
      <c r="AY43" s="497">
        <f t="shared" si="74"/>
        <v>0.88790082933075021</v>
      </c>
      <c r="AZ43" s="497">
        <f t="shared" ref="AZ43" si="75">AZ7/AZ$14</f>
        <v>0.88897428445791349</v>
      </c>
      <c r="BB43" s="497">
        <f>BB7/BB$14</f>
        <v>0.87888046987483648</v>
      </c>
    </row>
    <row r="44" spans="2:54" s="449" customFormat="1" ht="12.75" customHeight="1">
      <c r="B44" s="767" t="str">
        <f>B10</f>
        <v>Maintenance revenues</v>
      </c>
      <c r="C44" s="497">
        <f t="shared" ref="C44:AA44" si="76">C10/C$14</f>
        <v>9.284193103248449E-2</v>
      </c>
      <c r="D44" s="497">
        <f t="shared" si="76"/>
        <v>9.5756686218292447E-2</v>
      </c>
      <c r="E44" s="497">
        <f t="shared" si="76"/>
        <v>9.2398900351168545E-2</v>
      </c>
      <c r="F44" s="497">
        <f t="shared" si="76"/>
        <v>9.5084428995382442E-2</v>
      </c>
      <c r="G44" s="497">
        <f t="shared" ref="G44:I47" si="77">G10/G$14</f>
        <v>9.5084428995382442E-2</v>
      </c>
      <c r="H44" s="497">
        <f t="shared" si="77"/>
        <v>9.8576243139835484E-2</v>
      </c>
      <c r="I44" s="497">
        <f t="shared" si="77"/>
        <v>8.7153197422253081E-2</v>
      </c>
      <c r="J44" s="497">
        <f t="shared" ref="J44:K44" si="78">J10/J$14</f>
        <v>8.6885665122750019E-2</v>
      </c>
      <c r="K44" s="497">
        <f t="shared" si="78"/>
        <v>9.151364930345722E-2</v>
      </c>
      <c r="L44" s="497">
        <f t="shared" ref="L44:M44" si="79">L10/L$14</f>
        <v>9.4020273572950952E-2</v>
      </c>
      <c r="M44" s="497">
        <f t="shared" si="79"/>
        <v>9.4739953543922936E-2</v>
      </c>
      <c r="N44" s="497">
        <f t="shared" ref="N44" si="80">N10/N$14</f>
        <v>9.4430824794362683E-2</v>
      </c>
      <c r="O44" s="479"/>
      <c r="P44" s="497">
        <f t="shared" si="76"/>
        <v>8.7724841061717268E-2</v>
      </c>
      <c r="Q44" s="497">
        <f t="shared" si="76"/>
        <v>9.3601608466459735E-2</v>
      </c>
      <c r="R44" s="497">
        <f t="shared" si="76"/>
        <v>9.4436849418385815E-2</v>
      </c>
      <c r="S44" s="497">
        <f t="shared" si="76"/>
        <v>0.10627361606739177</v>
      </c>
      <c r="T44" s="497">
        <f t="shared" si="76"/>
        <v>8.7992995312612732E-2</v>
      </c>
      <c r="U44" s="497">
        <f t="shared" si="76"/>
        <v>9.2933441956662352E-2</v>
      </c>
      <c r="V44" s="497">
        <f t="shared" si="76"/>
        <v>9.5431964351753718E-2</v>
      </c>
      <c r="W44" s="497">
        <f t="shared" si="76"/>
        <v>9.3010805799063415E-2</v>
      </c>
      <c r="X44" s="497">
        <f t="shared" si="76"/>
        <v>9.8544466219194479E-2</v>
      </c>
      <c r="Y44" s="497">
        <f t="shared" si="76"/>
        <v>9.3625710797021547E-2</v>
      </c>
      <c r="Z44" s="497">
        <f t="shared" si="76"/>
        <v>9.3031431782508084E-2</v>
      </c>
      <c r="AA44" s="497">
        <f t="shared" si="76"/>
        <v>9.5230980104262702E-2</v>
      </c>
      <c r="AB44" s="497">
        <f t="shared" ref="AB44:AJ44" si="81">AB10/AB$14</f>
        <v>9.3500839679047418E-2</v>
      </c>
      <c r="AC44" s="497">
        <f t="shared" si="81"/>
        <v>0.10937560707549618</v>
      </c>
      <c r="AD44" s="497">
        <f t="shared" si="81"/>
        <v>0.10032838585889772</v>
      </c>
      <c r="AE44" s="497">
        <f t="shared" si="81"/>
        <v>9.3158201011012964E-2</v>
      </c>
      <c r="AF44" s="497">
        <f t="shared" si="81"/>
        <v>8.4702255763162648E-2</v>
      </c>
      <c r="AG44" s="497">
        <f t="shared" si="81"/>
        <v>8.9413089962702058E-2</v>
      </c>
      <c r="AH44" s="497">
        <f t="shared" si="81"/>
        <v>8.9644387097156816E-2</v>
      </c>
      <c r="AI44" s="497">
        <f t="shared" si="81"/>
        <v>8.5051839204192098E-2</v>
      </c>
      <c r="AJ44" s="497">
        <f t="shared" si="81"/>
        <v>8.51504793504399E-2</v>
      </c>
      <c r="AK44" s="497">
        <f t="shared" ref="AK44:AN44" si="82">AK10/AK$14</f>
        <v>8.6939636538141976E-2</v>
      </c>
      <c r="AL44" s="497">
        <f t="shared" si="82"/>
        <v>8.6167365658834094E-2</v>
      </c>
      <c r="AM44" s="497">
        <f t="shared" si="82"/>
        <v>8.9157917253798791E-2</v>
      </c>
      <c r="AN44" s="497">
        <f t="shared" si="82"/>
        <v>8.8145351434420913E-2</v>
      </c>
      <c r="AO44" s="497">
        <f t="shared" ref="AO44:AR44" si="83">AO10/AO$14</f>
        <v>9.0627593573334608E-2</v>
      </c>
      <c r="AP44" s="497">
        <f t="shared" si="83"/>
        <v>9.4083043222574284E-2</v>
      </c>
      <c r="AQ44" s="497">
        <f t="shared" si="83"/>
        <v>9.3080467910815909E-2</v>
      </c>
      <c r="AR44" s="497">
        <f t="shared" si="83"/>
        <v>9.291102492538944E-2</v>
      </c>
      <c r="AS44" s="497">
        <f t="shared" ref="AS44:AV44" si="84">AS10/AS$14</f>
        <v>9.7293720128873121E-2</v>
      </c>
      <c r="AT44" s="497">
        <f t="shared" si="84"/>
        <v>9.6116686814426852E-2</v>
      </c>
      <c r="AU44" s="497">
        <f t="shared" si="84"/>
        <v>9.0069866609355481E-2</v>
      </c>
      <c r="AV44" s="497">
        <f t="shared" si="84"/>
        <v>9.3572344442882566E-2</v>
      </c>
      <c r="AW44" s="497">
        <f t="shared" ref="AW44:AZ44" si="85">AW10/AW$14</f>
        <v>9.5716660808557633E-2</v>
      </c>
      <c r="AX44" s="497">
        <f t="shared" si="85"/>
        <v>9.7107018495967493E-2</v>
      </c>
      <c r="AY44" s="497">
        <f t="shared" si="85"/>
        <v>9.2674285259956302E-2</v>
      </c>
      <c r="AZ44" s="497">
        <f t="shared" si="85"/>
        <v>9.243765065383186E-2</v>
      </c>
      <c r="BB44" s="497">
        <f>BB10/BB$14</f>
        <v>9.5230980104262702E-2</v>
      </c>
    </row>
    <row r="45" spans="2:54" s="449" customFormat="1" ht="12.75" customHeight="1">
      <c r="B45" s="767" t="str">
        <f>B11</f>
        <v>Dividends / fiduciary rights' leases</v>
      </c>
      <c r="C45" s="497">
        <f t="shared" ref="C45:F46" si="86">C11/C$14</f>
        <v>1.1908459223255258E-2</v>
      </c>
      <c r="D45" s="497">
        <f t="shared" si="86"/>
        <v>1.7436831104593903E-2</v>
      </c>
      <c r="E45" s="497">
        <f t="shared" si="86"/>
        <v>1.555257156165467E-2</v>
      </c>
      <c r="F45" s="497">
        <f t="shared" si="86"/>
        <v>1.8318957711527958E-2</v>
      </c>
      <c r="G45" s="497">
        <f t="shared" si="77"/>
        <v>1.8318957711527958E-2</v>
      </c>
      <c r="H45" s="497">
        <f t="shared" si="77"/>
        <v>1.6502950128000831E-2</v>
      </c>
      <c r="I45" s="497">
        <f t="shared" si="77"/>
        <v>1.6387249179306874E-2</v>
      </c>
      <c r="J45" s="497">
        <f>J11/J$14</f>
        <v>1.135770747333361E-2</v>
      </c>
      <c r="K45" s="497">
        <f>K11/K$14</f>
        <v>1.0165850792811253E-2</v>
      </c>
      <c r="L45" s="497">
        <f t="shared" ref="L45:M45" si="87">L11/L$14</f>
        <v>9.5546081987859539E-3</v>
      </c>
      <c r="M45" s="497">
        <f t="shared" si="87"/>
        <v>8.9193557088970161E-3</v>
      </c>
      <c r="N45" s="497">
        <f t="shared" ref="N45" si="88">N11/N$14</f>
        <v>9.402864073304127E-3</v>
      </c>
      <c r="O45" s="734"/>
      <c r="P45" s="497">
        <f t="shared" ref="P45:AN45" si="89">P11/P$14</f>
        <v>1.7831278784678398E-2</v>
      </c>
      <c r="Q45" s="497">
        <f t="shared" si="89"/>
        <v>1.7208110711117369E-2</v>
      </c>
      <c r="R45" s="497">
        <f t="shared" si="89"/>
        <v>1.7146319381962333E-2</v>
      </c>
      <c r="S45" s="497">
        <f t="shared" si="89"/>
        <v>1.7552384731305479E-2</v>
      </c>
      <c r="T45" s="497">
        <f t="shared" si="89"/>
        <v>1.3479325663239386E-2</v>
      </c>
      <c r="U45" s="497">
        <f t="shared" si="89"/>
        <v>1.4615041167893743E-2</v>
      </c>
      <c r="V45" s="497">
        <f t="shared" si="89"/>
        <v>1.6435741495443284E-2</v>
      </c>
      <c r="W45" s="497">
        <f t="shared" si="89"/>
        <v>1.7474314465453385E-2</v>
      </c>
      <c r="X45" s="497">
        <f t="shared" si="89"/>
        <v>1.7049259959015389E-2</v>
      </c>
      <c r="Y45" s="497">
        <f t="shared" si="89"/>
        <v>1.8772050118473209E-2</v>
      </c>
      <c r="Z45" s="497">
        <f t="shared" si="89"/>
        <v>1.9474311138586015E-2</v>
      </c>
      <c r="AA45" s="497">
        <f t="shared" si="89"/>
        <v>1.7966264560628203E-2</v>
      </c>
      <c r="AB45" s="497">
        <f t="shared" si="89"/>
        <v>1.7492717010266702E-2</v>
      </c>
      <c r="AC45" s="497">
        <f t="shared" si="89"/>
        <v>1.5854281872874E-2</v>
      </c>
      <c r="AD45" s="497">
        <f t="shared" si="89"/>
        <v>1.8737842665902123E-2</v>
      </c>
      <c r="AE45" s="497">
        <f t="shared" si="89"/>
        <v>1.4102480878571539E-2</v>
      </c>
      <c r="AF45" s="497">
        <f t="shared" si="89"/>
        <v>2.3842297156285389E-2</v>
      </c>
      <c r="AG45" s="497">
        <f t="shared" si="89"/>
        <v>1.158612563394586E-2</v>
      </c>
      <c r="AH45" s="497">
        <f t="shared" si="89"/>
        <v>1.9117293283806427E-2</v>
      </c>
      <c r="AI45" s="497">
        <f t="shared" si="89"/>
        <v>1.1336887880844687E-2</v>
      </c>
      <c r="AJ45" s="497">
        <f t="shared" si="89"/>
        <v>1.0503004253104692E-2</v>
      </c>
      <c r="AK45" s="497">
        <f t="shared" si="89"/>
        <v>1.5782431734548869E-2</v>
      </c>
      <c r="AL45" s="497">
        <f t="shared" si="89"/>
        <v>7.1242867945395033E-3</v>
      </c>
      <c r="AM45" s="497">
        <f t="shared" si="89"/>
        <v>1.2129384595609343E-2</v>
      </c>
      <c r="AN45" s="497">
        <f t="shared" si="89"/>
        <v>8.6288067077365093E-3</v>
      </c>
      <c r="AO45" s="497">
        <f t="shared" ref="AO45:AR45" si="90">AO11/AO$14</f>
        <v>8.7601525408799868E-3</v>
      </c>
      <c r="AP45" s="497">
        <f t="shared" si="90"/>
        <v>1.2297398060083321E-2</v>
      </c>
      <c r="AQ45" s="497">
        <f t="shared" si="90"/>
        <v>1.092112312512955E-2</v>
      </c>
      <c r="AR45" s="497">
        <f t="shared" si="90"/>
        <v>7.8283762702848064E-3</v>
      </c>
      <c r="AS45" s="497">
        <f t="shared" ref="AS45:AV45" si="91">AS11/AS$14</f>
        <v>7.9733163866963028E-3</v>
      </c>
      <c r="AT45" s="497">
        <f t="shared" si="91"/>
        <v>8.268216219356599E-3</v>
      </c>
      <c r="AU45" s="497">
        <f t="shared" si="91"/>
        <v>1.3773547387795874E-2</v>
      </c>
      <c r="AV45" s="497">
        <f t="shared" si="91"/>
        <v>7.8757055267483778E-3</v>
      </c>
      <c r="AW45" s="497">
        <f t="shared" ref="AW45:AZ45" si="92">AW11/AW$14</f>
        <v>8.3782506842528959E-3</v>
      </c>
      <c r="AX45" s="497">
        <f t="shared" si="92"/>
        <v>9.6184665202099177E-3</v>
      </c>
      <c r="AY45" s="497">
        <f t="shared" si="92"/>
        <v>9.7749946433948916E-3</v>
      </c>
      <c r="AZ45" s="497">
        <f t="shared" si="92"/>
        <v>9.7947080252088724E-3</v>
      </c>
      <c r="BB45" s="497">
        <f>BB11/BB$14</f>
        <v>1.7966264560628203E-2</v>
      </c>
    </row>
    <row r="46" spans="2:54" s="449" customFormat="1" ht="12.75" customHeight="1">
      <c r="B46" s="767" t="s">
        <v>478</v>
      </c>
      <c r="C46" s="497">
        <f t="shared" si="86"/>
        <v>0</v>
      </c>
      <c r="D46" s="497">
        <f t="shared" si="86"/>
        <v>0</v>
      </c>
      <c r="E46" s="497">
        <f t="shared" si="86"/>
        <v>0</v>
      </c>
      <c r="F46" s="497">
        <f t="shared" si="86"/>
        <v>0</v>
      </c>
      <c r="G46" s="497">
        <f t="shared" si="77"/>
        <v>0</v>
      </c>
      <c r="H46" s="497">
        <f t="shared" si="77"/>
        <v>0</v>
      </c>
      <c r="I46" s="497">
        <f t="shared" si="77"/>
        <v>0</v>
      </c>
      <c r="J46" s="497">
        <f>J12/J$14</f>
        <v>0</v>
      </c>
      <c r="K46" s="497">
        <f>K12/K$14</f>
        <v>1.138750287491005E-2</v>
      </c>
      <c r="L46" s="497">
        <f t="shared" ref="L46:M46" si="93">L12/L$14</f>
        <v>1.05055817622081E-2</v>
      </c>
      <c r="M46" s="497">
        <f t="shared" si="93"/>
        <v>9.7534752083807373E-3</v>
      </c>
      <c r="N46" s="497">
        <f t="shared" ref="N46" si="94">N12/N$14</f>
        <v>9.4976840124718475E-3</v>
      </c>
      <c r="O46" s="734"/>
      <c r="P46" s="497">
        <f t="shared" ref="P46:AN46" si="95">P12/P$14</f>
        <v>0</v>
      </c>
      <c r="Q46" s="497">
        <f t="shared" si="95"/>
        <v>0</v>
      </c>
      <c r="R46" s="497">
        <f t="shared" si="95"/>
        <v>0</v>
      </c>
      <c r="S46" s="497">
        <f t="shared" si="95"/>
        <v>0</v>
      </c>
      <c r="T46" s="497">
        <f t="shared" si="95"/>
        <v>0</v>
      </c>
      <c r="U46" s="497">
        <f t="shared" si="95"/>
        <v>0</v>
      </c>
      <c r="V46" s="497">
        <f t="shared" si="95"/>
        <v>0</v>
      </c>
      <c r="W46" s="497">
        <f t="shared" si="95"/>
        <v>0</v>
      </c>
      <c r="X46" s="497">
        <f t="shared" si="95"/>
        <v>0</v>
      </c>
      <c r="Y46" s="497">
        <f t="shared" si="95"/>
        <v>0</v>
      </c>
      <c r="Z46" s="497">
        <f t="shared" si="95"/>
        <v>0</v>
      </c>
      <c r="AA46" s="497">
        <f t="shared" si="95"/>
        <v>0</v>
      </c>
      <c r="AB46" s="497">
        <f t="shared" si="95"/>
        <v>0</v>
      </c>
      <c r="AC46" s="497">
        <f t="shared" si="95"/>
        <v>0</v>
      </c>
      <c r="AD46" s="497">
        <f t="shared" si="95"/>
        <v>0</v>
      </c>
      <c r="AE46" s="497">
        <f t="shared" si="95"/>
        <v>0</v>
      </c>
      <c r="AF46" s="497">
        <f t="shared" si="95"/>
        <v>0</v>
      </c>
      <c r="AG46" s="497">
        <f t="shared" si="95"/>
        <v>0</v>
      </c>
      <c r="AH46" s="497">
        <f t="shared" si="95"/>
        <v>0</v>
      </c>
      <c r="AI46" s="497">
        <f t="shared" si="95"/>
        <v>0</v>
      </c>
      <c r="AJ46" s="497">
        <f t="shared" si="95"/>
        <v>0</v>
      </c>
      <c r="AK46" s="497">
        <f t="shared" si="95"/>
        <v>0</v>
      </c>
      <c r="AL46" s="497">
        <f t="shared" si="95"/>
        <v>0</v>
      </c>
      <c r="AM46" s="497">
        <f t="shared" si="95"/>
        <v>0</v>
      </c>
      <c r="AN46" s="497">
        <f t="shared" si="95"/>
        <v>1.186435442473498E-2</v>
      </c>
      <c r="AO46" s="497">
        <f t="shared" ref="AO46:AR46" si="96">AO12/AO$14</f>
        <v>1.1208423740104877E-2</v>
      </c>
      <c r="AP46" s="497">
        <f t="shared" si="96"/>
        <v>1.1537020448776322E-2</v>
      </c>
      <c r="AQ46" s="497">
        <f t="shared" si="96"/>
        <v>1.0967267885222507E-2</v>
      </c>
      <c r="AR46" s="497">
        <f t="shared" si="96"/>
        <v>1.0901899464591762E-2</v>
      </c>
      <c r="AS46" s="497">
        <f t="shared" ref="AS46:AV46" si="97">AS12/AS$14</f>
        <v>1.0920774618682317E-2</v>
      </c>
      <c r="AT46" s="497">
        <f t="shared" si="97"/>
        <v>1.0389177636209661E-2</v>
      </c>
      <c r="AU46" s="497">
        <f t="shared" si="97"/>
        <v>9.8813985117066645E-3</v>
      </c>
      <c r="AV46" s="497">
        <f t="shared" si="97"/>
        <v>9.7822698069200964E-3</v>
      </c>
      <c r="AW46" s="497">
        <f t="shared" ref="AW46:AZ46" si="98">AW12/AW$14</f>
        <v>9.9119738061249248E-3</v>
      </c>
      <c r="AX46" s="497">
        <f t="shared" si="98"/>
        <v>9.8854320536174191E-3</v>
      </c>
      <c r="AY46" s="497">
        <f t="shared" si="98"/>
        <v>9.4484544717777699E-3</v>
      </c>
      <c r="AZ46" s="497">
        <f t="shared" si="98"/>
        <v>8.7933568630458089E-3</v>
      </c>
      <c r="BB46" s="497">
        <f>BB12/BB$14</f>
        <v>0</v>
      </c>
    </row>
    <row r="47" spans="2:54" s="449" customFormat="1" ht="12.75" customHeight="1">
      <c r="B47" s="767" t="str">
        <f>B13</f>
        <v>Mangement fees, income</v>
      </c>
      <c r="C47" s="497">
        <f t="shared" ref="C47:AA47" si="99">C13/C$14</f>
        <v>8.1491917812684493E-3</v>
      </c>
      <c r="D47" s="497">
        <f t="shared" si="99"/>
        <v>2.0249885097721656E-2</v>
      </c>
      <c r="E47" s="497">
        <f t="shared" si="99"/>
        <v>5.8483723080483743E-3</v>
      </c>
      <c r="F47" s="497">
        <f t="shared" si="99"/>
        <v>8.8509701062838703E-3</v>
      </c>
      <c r="G47" s="497">
        <f t="shared" si="77"/>
        <v>8.8509701062838703E-3</v>
      </c>
      <c r="H47" s="497">
        <f t="shared" si="77"/>
        <v>6.561634867702084E-3</v>
      </c>
      <c r="I47" s="497">
        <f t="shared" si="77"/>
        <v>4.2511423856276846E-3</v>
      </c>
      <c r="J47" s="497">
        <f t="shared" ref="J47:K47" si="100">J13/J$14</f>
        <v>2.2843904982476234E-2</v>
      </c>
      <c r="K47" s="497">
        <f t="shared" si="100"/>
        <v>5.4234628811071521E-3</v>
      </c>
      <c r="L47" s="497">
        <f t="shared" ref="L47:M47" si="101">L13/L$14</f>
        <v>2.2664352122604699E-3</v>
      </c>
      <c r="M47" s="497">
        <f t="shared" si="101"/>
        <v>2.9873330392544219E-4</v>
      </c>
      <c r="N47" s="497">
        <f t="shared" ref="N47" si="102">N13/N$14</f>
        <v>2.1956428765995006E-4</v>
      </c>
      <c r="O47" s="734"/>
      <c r="P47" s="497">
        <f t="shared" si="99"/>
        <v>1.3678597022078236E-2</v>
      </c>
      <c r="Q47" s="497">
        <f t="shared" si="99"/>
        <v>1.319476566846999E-2</v>
      </c>
      <c r="R47" s="497">
        <f t="shared" si="99"/>
        <v>9.6805564689798774E-3</v>
      </c>
      <c r="S47" s="497">
        <f t="shared" si="99"/>
        <v>4.2393202414945021E-2</v>
      </c>
      <c r="T47" s="497">
        <f t="shared" si="99"/>
        <v>6.3518722186950176E-3</v>
      </c>
      <c r="U47" s="497">
        <f t="shared" si="99"/>
        <v>7.8943285431837072E-3</v>
      </c>
      <c r="V47" s="497">
        <f t="shared" si="99"/>
        <v>4.7632559609163544E-3</v>
      </c>
      <c r="W47" s="497">
        <f t="shared" si="99"/>
        <v>4.5220184823329861E-3</v>
      </c>
      <c r="X47" s="497">
        <f t="shared" si="99"/>
        <v>4.3598017114649381E-3</v>
      </c>
      <c r="Y47" s="497">
        <f t="shared" si="99"/>
        <v>1.3893791260848784E-2</v>
      </c>
      <c r="Z47" s="497">
        <f t="shared" si="99"/>
        <v>9.1697497085171838E-3</v>
      </c>
      <c r="AA47" s="497">
        <f t="shared" si="99"/>
        <v>7.9222854602726406E-3</v>
      </c>
      <c r="AB47" s="497">
        <f t="shared" ref="AB47:AJ47" si="103">AB13/AB$14</f>
        <v>9.2866703538646046E-3</v>
      </c>
      <c r="AC47" s="497">
        <f t="shared" si="103"/>
        <v>7.9734386221808722E-3</v>
      </c>
      <c r="AD47" s="497">
        <f t="shared" si="103"/>
        <v>4.6496702908938531E-3</v>
      </c>
      <c r="AE47" s="497">
        <f t="shared" si="103"/>
        <v>4.3492858514624201E-3</v>
      </c>
      <c r="AF47" s="497">
        <f t="shared" si="103"/>
        <v>3.6482042711310997E-3</v>
      </c>
      <c r="AG47" s="497">
        <f t="shared" si="103"/>
        <v>4.3348407146584292E-3</v>
      </c>
      <c r="AH47" s="497">
        <f t="shared" si="103"/>
        <v>4.7800183335044598E-3</v>
      </c>
      <c r="AI47" s="497">
        <f t="shared" si="103"/>
        <v>4.2410847414278982E-3</v>
      </c>
      <c r="AJ47" s="497">
        <f t="shared" si="103"/>
        <v>4.2399408894011562E-3</v>
      </c>
      <c r="AK47" s="497">
        <f t="shared" ref="AK47:AN47" si="104">AK13/AK$14</f>
        <v>1.4045759209449426E-2</v>
      </c>
      <c r="AL47" s="497">
        <f t="shared" si="104"/>
        <v>1.3313611679596677E-2</v>
      </c>
      <c r="AM47" s="497">
        <f t="shared" si="104"/>
        <v>5.7701914496223319E-2</v>
      </c>
      <c r="AN47" s="497">
        <f t="shared" si="104"/>
        <v>5.285851664053088E-3</v>
      </c>
      <c r="AO47" s="497">
        <f t="shared" ref="AO47:AR47" si="105">AO13/AO$14</f>
        <v>5.7689754974388358E-3</v>
      </c>
      <c r="AP47" s="497">
        <f t="shared" si="105"/>
        <v>5.2060199946899182E-3</v>
      </c>
      <c r="AQ47" s="497">
        <f t="shared" si="105"/>
        <v>5.4310760928568211E-3</v>
      </c>
      <c r="AR47" s="497">
        <f t="shared" si="105"/>
        <v>4.6527100508297111E-3</v>
      </c>
      <c r="AS47" s="497">
        <f t="shared" ref="AS47:AV47" si="106">AS13/AS$14</f>
        <v>3.6917362096814564E-3</v>
      </c>
      <c r="AT47" s="497">
        <f t="shared" si="106"/>
        <v>5.5974276412372893E-4</v>
      </c>
      <c r="AU47" s="497">
        <f t="shared" si="106"/>
        <v>4.371395109961631E-4</v>
      </c>
      <c r="AV47" s="497">
        <f t="shared" si="106"/>
        <v>3.0599179805225111E-4</v>
      </c>
      <c r="AW47" s="497">
        <f t="shared" ref="AW47:AZ47" si="107">AW13/AW$14</f>
        <v>5.6000680055843458E-4</v>
      </c>
      <c r="AX47" s="497">
        <f t="shared" si="107"/>
        <v>1.3261901560014227E-4</v>
      </c>
      <c r="AY47" s="497">
        <f t="shared" si="107"/>
        <v>2.0143629412086724E-4</v>
      </c>
      <c r="AZ47" s="497">
        <f t="shared" si="107"/>
        <v>0</v>
      </c>
      <c r="BB47" s="497">
        <f>BB13/BB$14</f>
        <v>7.9222854602726406E-3</v>
      </c>
    </row>
    <row r="48" spans="2:54" s="449" customFormat="1" ht="12.75" customHeight="1">
      <c r="B48" s="767" t="str">
        <f t="shared" ref="B48:B53" si="108">B16</f>
        <v>Management fees, expenses</v>
      </c>
      <c r="C48" s="497">
        <f t="shared" ref="C48:AA48" si="109">-C16/C14</f>
        <v>5.1210577530203319E-2</v>
      </c>
      <c r="D48" s="497">
        <f t="shared" si="109"/>
        <v>5.153462935807928E-2</v>
      </c>
      <c r="E48" s="497">
        <f t="shared" si="109"/>
        <v>4.8619106546658276E-2</v>
      </c>
      <c r="F48" s="497">
        <f t="shared" si="109"/>
        <v>4.68239154523434E-2</v>
      </c>
      <c r="G48" s="497">
        <f t="shared" ref="G48:J48" si="110">-G16/G14</f>
        <v>4.68239154523434E-2</v>
      </c>
      <c r="H48" s="497">
        <f t="shared" si="110"/>
        <v>4.4848458323987601E-2</v>
      </c>
      <c r="I48" s="497">
        <f t="shared" si="110"/>
        <v>4.0336535625558161E-2</v>
      </c>
      <c r="J48" s="497">
        <f t="shared" si="110"/>
        <v>3.8501991114397303E-2</v>
      </c>
      <c r="K48" s="497">
        <f t="shared" ref="K48:L48" si="111">-K16/K14</f>
        <v>3.8911650872074918E-2</v>
      </c>
      <c r="L48" s="497">
        <f t="shared" si="111"/>
        <v>3.4690305340678969E-2</v>
      </c>
      <c r="M48" s="497">
        <f t="shared" ref="M48" si="112">-M16/M14</f>
        <v>3.4620187514311437E-2</v>
      </c>
      <c r="N48" s="497">
        <f t="shared" ref="N48" si="113">-N16/N14</f>
        <v>2.6238983773529484E-2</v>
      </c>
      <c r="O48" s="734"/>
      <c r="P48" s="497">
        <f t="shared" si="109"/>
        <v>5.0148682842297419E-2</v>
      </c>
      <c r="Q48" s="497">
        <f t="shared" si="109"/>
        <v>5.1196126541037348E-2</v>
      </c>
      <c r="R48" s="497">
        <f t="shared" si="109"/>
        <v>5.2314912635433621E-2</v>
      </c>
      <c r="S48" s="497">
        <f t="shared" si="109"/>
        <v>5.239613028858385E-2</v>
      </c>
      <c r="T48" s="497">
        <f t="shared" si="109"/>
        <v>4.8842003716397325E-2</v>
      </c>
      <c r="U48" s="497">
        <f t="shared" si="109"/>
        <v>4.9114651860490834E-2</v>
      </c>
      <c r="V48" s="497">
        <f t="shared" si="109"/>
        <v>4.8864221890679835E-2</v>
      </c>
      <c r="W48" s="497">
        <f t="shared" si="109"/>
        <v>4.7716642029167207E-2</v>
      </c>
      <c r="X48" s="497">
        <f t="shared" si="109"/>
        <v>4.8427927496382403E-2</v>
      </c>
      <c r="Y48" s="497">
        <f t="shared" si="109"/>
        <v>4.6497567203778983E-2</v>
      </c>
      <c r="Z48" s="497">
        <f t="shared" si="109"/>
        <v>4.8361440792454767E-2</v>
      </c>
      <c r="AA48" s="497">
        <f t="shared" si="109"/>
        <v>4.424200501816089E-2</v>
      </c>
      <c r="AB48" s="497">
        <f t="shared" ref="AB48:AG48" si="114">-AB16/AB14</f>
        <v>4.15132832950008E-2</v>
      </c>
      <c r="AC48" s="497">
        <f t="shared" si="114"/>
        <v>4.4057947951629851E-2</v>
      </c>
      <c r="AD48" s="497">
        <f t="shared" si="114"/>
        <v>4.5774430452330019E-2</v>
      </c>
      <c r="AE48" s="497">
        <f t="shared" si="114"/>
        <v>4.8015121853779305E-2</v>
      </c>
      <c r="AF48" s="497">
        <f t="shared" si="114"/>
        <v>4.1117677634621236E-2</v>
      </c>
      <c r="AG48" s="497">
        <f t="shared" si="114"/>
        <v>4.2626249019495813E-2</v>
      </c>
      <c r="AH48" s="497">
        <f t="shared" ref="AH48:AM48" si="115">-AH16/AH14</f>
        <v>4.123722613262025E-2</v>
      </c>
      <c r="AI48" s="497">
        <f t="shared" si="115"/>
        <v>3.6700207473693673E-2</v>
      </c>
      <c r="AJ48" s="497">
        <f t="shared" si="115"/>
        <v>3.7946282798808899E-2</v>
      </c>
      <c r="AK48" s="497">
        <f t="shared" si="115"/>
        <v>3.8791662041285743E-2</v>
      </c>
      <c r="AL48" s="497">
        <f t="shared" si="115"/>
        <v>3.669231179509197E-2</v>
      </c>
      <c r="AM48" s="497">
        <f t="shared" si="115"/>
        <v>4.0501729823394159E-2</v>
      </c>
      <c r="AN48" s="497">
        <f t="shared" ref="AN48:AQ48" si="116">-AN16/AN14</f>
        <v>3.7907103167951657E-2</v>
      </c>
      <c r="AO48" s="497">
        <f t="shared" si="116"/>
        <v>4.0897511286114636E-2</v>
      </c>
      <c r="AP48" s="497">
        <f t="shared" si="116"/>
        <v>4.0358635209810249E-2</v>
      </c>
      <c r="AQ48" s="497">
        <f t="shared" si="116"/>
        <v>3.6592647326360798E-2</v>
      </c>
      <c r="AR48" s="497">
        <f t="shared" ref="AR48:AU48" si="117">-AR16/AR14</f>
        <v>3.7252162112851192E-2</v>
      </c>
      <c r="AS48" s="497">
        <f t="shared" si="117"/>
        <v>3.7552567384682052E-2</v>
      </c>
      <c r="AT48" s="497">
        <f t="shared" si="117"/>
        <v>3.3830500729564929E-2</v>
      </c>
      <c r="AU48" s="497">
        <f t="shared" si="117"/>
        <v>3.0596179392704165E-2</v>
      </c>
      <c r="AV48" s="497">
        <f t="shared" ref="AV48:AY48" si="118">-AV16/AV14</f>
        <v>3.2235256277664347E-2</v>
      </c>
      <c r="AW48" s="497">
        <f t="shared" si="118"/>
        <v>3.3526060235573266E-2</v>
      </c>
      <c r="AX48" s="497">
        <f t="shared" si="118"/>
        <v>3.4357626975398785E-2</v>
      </c>
      <c r="AY48" s="497">
        <f t="shared" si="118"/>
        <v>3.8217646962446103E-2</v>
      </c>
      <c r="AZ48" s="497">
        <f t="shared" ref="AZ48" si="119">-AZ16/AZ14</f>
        <v>0</v>
      </c>
      <c r="BB48" s="497">
        <f>-BB16/BB14</f>
        <v>4.424200501816089E-2</v>
      </c>
    </row>
    <row r="49" spans="2:54" s="449" customFormat="1" ht="12.75" customHeight="1">
      <c r="B49" s="767" t="str">
        <f t="shared" si="108"/>
        <v>Administrative expenses</v>
      </c>
      <c r="C49" s="497">
        <f t="shared" ref="C49:AA49" si="120">-C17/C$14</f>
        <v>6.2248280520534154E-2</v>
      </c>
      <c r="D49" s="497">
        <f t="shared" si="120"/>
        <v>6.3607575890219079E-2</v>
      </c>
      <c r="E49" s="497">
        <f t="shared" si="120"/>
        <v>6.568971380569133E-2</v>
      </c>
      <c r="F49" s="497">
        <f t="shared" si="120"/>
        <v>0.10108351712273068</v>
      </c>
      <c r="G49" s="497">
        <f t="shared" ref="G49:I52" si="121">-G17/G$14</f>
        <v>0.10108351712273068</v>
      </c>
      <c r="H49" s="497">
        <f t="shared" si="121"/>
        <v>9.6447315942309889E-2</v>
      </c>
      <c r="I49" s="497">
        <f t="shared" si="121"/>
        <v>9.4204459247939187E-2</v>
      </c>
      <c r="J49" s="497">
        <f t="shared" ref="J49:K49" si="122">-J17/J$14</f>
        <v>0.11225794941617993</v>
      </c>
      <c r="K49" s="497">
        <f t="shared" si="122"/>
        <v>0.11934166565063806</v>
      </c>
      <c r="L49" s="497">
        <f t="shared" ref="L49:M49" si="123">-L17/L$14</f>
        <v>8.1128361060118045E-2</v>
      </c>
      <c r="M49" s="497">
        <f t="shared" si="123"/>
        <v>7.40515086490732E-2</v>
      </c>
      <c r="N49" s="497">
        <f t="shared" ref="N49" si="124">-N17/N$14</f>
        <v>6.9684179401524757E-2</v>
      </c>
      <c r="O49" s="734"/>
      <c r="P49" s="497">
        <f t="shared" si="120"/>
        <v>6.6005754270107242E-2</v>
      </c>
      <c r="Q49" s="497">
        <f t="shared" si="120"/>
        <v>6.5373279077198795E-2</v>
      </c>
      <c r="R49" s="497">
        <f t="shared" si="120"/>
        <v>6.5612069701349904E-2</v>
      </c>
      <c r="S49" s="497">
        <f t="shared" si="120"/>
        <v>5.7964213340806307E-2</v>
      </c>
      <c r="T49" s="497">
        <f t="shared" si="120"/>
        <v>6.4898205872140236E-2</v>
      </c>
      <c r="U49" s="497">
        <f t="shared" si="120"/>
        <v>6.4157907447799381E-2</v>
      </c>
      <c r="V49" s="497">
        <f t="shared" si="120"/>
        <v>7.0233516448743899E-2</v>
      </c>
      <c r="W49" s="497">
        <f t="shared" si="120"/>
        <v>6.3470613746174229E-2</v>
      </c>
      <c r="X49" s="497">
        <f t="shared" si="120"/>
        <v>6.2980658417171917E-2</v>
      </c>
      <c r="Y49" s="497">
        <f t="shared" si="120"/>
        <v>6.1444782027876253E-2</v>
      </c>
      <c r="Z49" s="497">
        <f t="shared" si="120"/>
        <v>6.2846743645464373E-2</v>
      </c>
      <c r="AA49" s="497">
        <f t="shared" si="120"/>
        <v>0.20809286915770978</v>
      </c>
      <c r="AB49" s="497">
        <f t="shared" ref="AB49:AJ49" si="125">-AB17/AB$14</f>
        <v>7.4921308502589462E-2</v>
      </c>
      <c r="AC49" s="497">
        <f t="shared" si="125"/>
        <v>9.9140096099105901E-2</v>
      </c>
      <c r="AD49" s="497">
        <f t="shared" si="125"/>
        <v>9.6039079902079702E-2</v>
      </c>
      <c r="AE49" s="497">
        <f t="shared" si="125"/>
        <v>0.11600837303500559</v>
      </c>
      <c r="AF49" s="497">
        <f t="shared" si="125"/>
        <v>7.8286191372701819E-2</v>
      </c>
      <c r="AG49" s="497">
        <f t="shared" si="125"/>
        <v>7.6195534009163873E-2</v>
      </c>
      <c r="AH49" s="497">
        <f t="shared" si="125"/>
        <v>6.186834942488173E-2</v>
      </c>
      <c r="AI49" s="497">
        <f t="shared" si="125"/>
        <v>0.1552438112389864</v>
      </c>
      <c r="AJ49" s="497">
        <f t="shared" si="125"/>
        <v>6.4440741864001172E-2</v>
      </c>
      <c r="AK49" s="497">
        <f t="shared" ref="AK49:AN49" si="126">-AK17/AK$14</f>
        <v>6.3457927879911544E-2</v>
      </c>
      <c r="AL49" s="497">
        <f t="shared" si="126"/>
        <v>4.9657327404652403E-2</v>
      </c>
      <c r="AM49" s="497">
        <f t="shared" si="126"/>
        <v>0.2630328099171298</v>
      </c>
      <c r="AN49" s="497">
        <f t="shared" si="126"/>
        <v>5.8339583080821579E-2</v>
      </c>
      <c r="AO49" s="497">
        <f t="shared" ref="AO49:AR49" si="127">-AO17/AO$14</f>
        <v>5.9896424543996303E-2</v>
      </c>
      <c r="AP49" s="497">
        <f t="shared" si="127"/>
        <v>5.7274749570106719E-2</v>
      </c>
      <c r="AQ49" s="497">
        <f t="shared" si="127"/>
        <v>0.29221515783129665</v>
      </c>
      <c r="AR49" s="497">
        <f t="shared" si="127"/>
        <v>7.2390095497133919E-2</v>
      </c>
      <c r="AS49" s="497">
        <f t="shared" ref="AS49:AV49" si="128">-AS17/AS$14</f>
        <v>8.2313180722583826E-2</v>
      </c>
      <c r="AT49" s="497">
        <f t="shared" si="128"/>
        <v>8.2220039237856049E-2</v>
      </c>
      <c r="AU49" s="497">
        <f t="shared" si="128"/>
        <v>8.6938295320614811E-2</v>
      </c>
      <c r="AV49" s="497">
        <f t="shared" si="128"/>
        <v>8.7473416387248079E-2</v>
      </c>
      <c r="AW49" s="497">
        <f t="shared" ref="AW49:AZ49" si="129">-AW17/AW$14</f>
        <v>8.445550097758027E-2</v>
      </c>
      <c r="AX49" s="497">
        <f t="shared" si="129"/>
        <v>8.1293330406324485E-2</v>
      </c>
      <c r="AY49" s="497">
        <f t="shared" si="129"/>
        <v>4.4248542920854214E-2</v>
      </c>
      <c r="AZ49" s="497">
        <f t="shared" si="129"/>
        <v>6.9939095919025682E-2</v>
      </c>
      <c r="BB49" s="497">
        <f>-BB17/BB$14</f>
        <v>0.20809286915770978</v>
      </c>
    </row>
    <row r="50" spans="2:54" s="449" customFormat="1" ht="12.75" customHeight="1">
      <c r="B50" s="767" t="str">
        <f t="shared" si="108"/>
        <v>Operating expenses</v>
      </c>
      <c r="C50" s="497">
        <f t="shared" ref="C50:AA50" si="130">-C18/C$14</f>
        <v>9.7622186566992994E-2</v>
      </c>
      <c r="D50" s="497">
        <f t="shared" si="130"/>
        <v>9.9893578604101474E-2</v>
      </c>
      <c r="E50" s="497">
        <f t="shared" si="130"/>
        <v>0.10170507875878176</v>
      </c>
      <c r="F50" s="497">
        <f t="shared" si="130"/>
        <v>6.4317872823834263E-2</v>
      </c>
      <c r="G50" s="497">
        <f t="shared" si="121"/>
        <v>6.4005195037199022E-2</v>
      </c>
      <c r="H50" s="497">
        <f t="shared" si="121"/>
        <v>8.2518397758376869E-2</v>
      </c>
      <c r="I50" s="497">
        <f t="shared" si="121"/>
        <v>6.6012810083448004E-2</v>
      </c>
      <c r="J50" s="497">
        <f t="shared" ref="J50:K50" si="131">-J18/J$14</f>
        <v>5.5300462923951216E-2</v>
      </c>
      <c r="K50" s="497">
        <f t="shared" si="131"/>
        <v>6.2155584049129804E-2</v>
      </c>
      <c r="L50" s="497">
        <f t="shared" ref="L50:M50" si="132">-L18/L$14</f>
        <v>0.12340096474954666</v>
      </c>
      <c r="M50" s="497">
        <f t="shared" si="132"/>
        <v>0.13190445463996672</v>
      </c>
      <c r="N50" s="497">
        <f t="shared" ref="N50" si="133">-N18/N$14</f>
        <v>0.13692128618669852</v>
      </c>
      <c r="O50" s="734"/>
      <c r="P50" s="497">
        <f t="shared" si="130"/>
        <v>9.2265012926624909E-2</v>
      </c>
      <c r="Q50" s="497">
        <f t="shared" si="130"/>
        <v>9.71238997378812E-2</v>
      </c>
      <c r="R50" s="497">
        <f t="shared" si="130"/>
        <v>9.720632086520796E-2</v>
      </c>
      <c r="S50" s="497">
        <f t="shared" si="130"/>
        <v>0.11185758084888864</v>
      </c>
      <c r="T50" s="497">
        <f t="shared" si="130"/>
        <v>0.10700599495472667</v>
      </c>
      <c r="U50" s="497">
        <f t="shared" si="130"/>
        <v>0.10490446666783707</v>
      </c>
      <c r="V50" s="497">
        <f t="shared" si="130"/>
        <v>9.5389159945109089E-2</v>
      </c>
      <c r="W50" s="497">
        <f t="shared" si="130"/>
        <v>9.9947993243551497E-2</v>
      </c>
      <c r="X50" s="497">
        <f t="shared" si="130"/>
        <v>9.8369804772385078E-2</v>
      </c>
      <c r="Y50" s="497">
        <f t="shared" si="130"/>
        <v>0.10923727911882282</v>
      </c>
      <c r="Z50" s="497">
        <f t="shared" si="130"/>
        <v>9.962772203946503E-2</v>
      </c>
      <c r="AA50" s="497">
        <f t="shared" si="130"/>
        <v>-4.1208489680452091E-2</v>
      </c>
      <c r="AB50" s="497">
        <f t="shared" ref="AB50:AJ50" si="134">-AB18/AB$14</f>
        <v>8.1213726513216566E-2</v>
      </c>
      <c r="AC50" s="497">
        <f t="shared" si="134"/>
        <v>9.778699388661162E-2</v>
      </c>
      <c r="AD50" s="497">
        <f t="shared" si="134"/>
        <v>0.10505259907813774</v>
      </c>
      <c r="AE50" s="497">
        <f t="shared" si="134"/>
        <v>5.1493934134102255E-2</v>
      </c>
      <c r="AF50" s="497">
        <f t="shared" si="134"/>
        <v>9.3576653727513462E-2</v>
      </c>
      <c r="AG50" s="497">
        <f t="shared" si="134"/>
        <v>7.6266293018734499E-2</v>
      </c>
      <c r="AH50" s="497">
        <f t="shared" si="134"/>
        <v>8.6547596498322873E-2</v>
      </c>
      <c r="AI50" s="497">
        <f t="shared" si="134"/>
        <v>1.2215699077720903E-2</v>
      </c>
      <c r="AJ50" s="497">
        <f t="shared" si="134"/>
        <v>0.10137631821798368</v>
      </c>
      <c r="AK50" s="497">
        <f t="shared" ref="AK50:AN50" si="135">-AK18/AK$14</f>
        <v>0.10716588144361526</v>
      </c>
      <c r="AL50" s="497">
        <f t="shared" si="135"/>
        <v>0.10980261121386037</v>
      </c>
      <c r="AM50" s="497">
        <f t="shared" si="135"/>
        <v>-8.8872114065801464E-2</v>
      </c>
      <c r="AN50" s="497">
        <f t="shared" si="135"/>
        <v>0.1120945197018749</v>
      </c>
      <c r="AO50" s="497">
        <f t="shared" ref="AO50:AR50" si="136">-AO18/AO$14</f>
        <v>0.11543657631572091</v>
      </c>
      <c r="AP50" s="497">
        <f t="shared" si="136"/>
        <v>0.11767677112308221</v>
      </c>
      <c r="AQ50" s="497">
        <f t="shared" si="136"/>
        <v>-8.8233056690828079E-2</v>
      </c>
      <c r="AR50" s="497">
        <f t="shared" si="136"/>
        <v>0.12320690996832395</v>
      </c>
      <c r="AS50" s="497">
        <f t="shared" ref="AS50:AV50" si="137">-AS18/AS$14</f>
        <v>0.12098275227536935</v>
      </c>
      <c r="AT50" s="497">
        <f t="shared" si="137"/>
        <v>0.1189310924257084</v>
      </c>
      <c r="AU50" s="497">
        <f t="shared" si="137"/>
        <v>0.13001626222738721</v>
      </c>
      <c r="AV50" s="497">
        <f t="shared" si="137"/>
        <v>0.12824028153875347</v>
      </c>
      <c r="AW50" s="497">
        <f t="shared" ref="AW50:AZ50" si="138">-AW18/AW$14</f>
        <v>0.12790712547696509</v>
      </c>
      <c r="AX50" s="497">
        <f t="shared" si="138"/>
        <v>0.13234700044489828</v>
      </c>
      <c r="AY50" s="497">
        <f t="shared" si="138"/>
        <v>0.13883101158741323</v>
      </c>
      <c r="AZ50" s="497">
        <f t="shared" si="138"/>
        <v>0.14779158857530511</v>
      </c>
      <c r="BB50" s="497">
        <f>-BB18/BB$14</f>
        <v>-4.2386553889271046E-2</v>
      </c>
    </row>
    <row r="51" spans="2:54" s="449" customFormat="1" ht="12.75" customHeight="1">
      <c r="B51" s="767" t="str">
        <f t="shared" si="108"/>
        <v>Property taxes</v>
      </c>
      <c r="C51" s="497">
        <f t="shared" ref="C51:AA51" si="139">-C19/C$14</f>
        <v>2.4377703569828917E-2</v>
      </c>
      <c r="D51" s="497">
        <f t="shared" si="139"/>
        <v>2.3039890240966497E-2</v>
      </c>
      <c r="E51" s="497">
        <f t="shared" si="139"/>
        <v>2.7124934663378581E-2</v>
      </c>
      <c r="F51" s="497">
        <f t="shared" si="139"/>
        <v>2.7818213095435571E-2</v>
      </c>
      <c r="G51" s="497">
        <f t="shared" si="121"/>
        <v>2.7818213095435571E-2</v>
      </c>
      <c r="H51" s="497">
        <f t="shared" si="121"/>
        <v>2.8716420134490096E-2</v>
      </c>
      <c r="I51" s="497">
        <f t="shared" si="121"/>
        <v>2.742800101149085E-2</v>
      </c>
      <c r="J51" s="497">
        <f t="shared" ref="J51:K51" si="140">-J19/J$14</f>
        <v>2.9474300444765476E-2</v>
      </c>
      <c r="K51" s="497">
        <f t="shared" si="140"/>
        <v>2.9572016511126981E-2</v>
      </c>
      <c r="L51" s="497">
        <f t="shared" ref="L51:M51" si="141">-L19/L$14</f>
        <v>2.818618421398713E-2</v>
      </c>
      <c r="M51" s="497">
        <f t="shared" si="141"/>
        <v>2.7189942265216569E-2</v>
      </c>
      <c r="N51" s="497">
        <f t="shared" ref="N51" si="142">-N19/N$14</f>
        <v>2.6919028106946276E-2</v>
      </c>
      <c r="O51" s="734"/>
      <c r="P51" s="497">
        <f t="shared" si="139"/>
        <v>2.3889143599174174E-2</v>
      </c>
      <c r="Q51" s="497">
        <f t="shared" si="139"/>
        <v>2.326164730384106E-2</v>
      </c>
      <c r="R51" s="497">
        <f t="shared" si="139"/>
        <v>2.2825470965466967E-2</v>
      </c>
      <c r="S51" s="497">
        <f t="shared" si="139"/>
        <v>2.2257475107310548E-2</v>
      </c>
      <c r="T51" s="497">
        <f t="shared" si="139"/>
        <v>2.4393639798092209E-2</v>
      </c>
      <c r="U51" s="497">
        <f t="shared" si="139"/>
        <v>2.6999097072531699E-2</v>
      </c>
      <c r="V51" s="497">
        <f t="shared" si="139"/>
        <v>2.8444218609008667E-2</v>
      </c>
      <c r="W51" s="497">
        <f t="shared" si="139"/>
        <v>2.8471041229308592E-2</v>
      </c>
      <c r="X51" s="497">
        <f t="shared" si="139"/>
        <v>2.6492057357602586E-2</v>
      </c>
      <c r="Y51" s="497">
        <f t="shared" si="139"/>
        <v>2.4543924595983566E-2</v>
      </c>
      <c r="Z51" s="497">
        <f t="shared" si="139"/>
        <v>3.007661083022926E-2</v>
      </c>
      <c r="AA51" s="497">
        <f t="shared" si="139"/>
        <v>2.9953264229395839E-2</v>
      </c>
      <c r="AB51" s="497">
        <f t="shared" ref="AB51:AJ51" si="143">-AB19/AB$14</f>
        <v>2.5848882533340996E-2</v>
      </c>
      <c r="AC51" s="497">
        <f t="shared" si="143"/>
        <v>3.2194340468527927E-2</v>
      </c>
      <c r="AD51" s="497">
        <f t="shared" si="143"/>
        <v>3.1313322894382815E-2</v>
      </c>
      <c r="AE51" s="497">
        <f t="shared" si="143"/>
        <v>2.6423948559808296E-2</v>
      </c>
      <c r="AF51" s="497">
        <f t="shared" si="143"/>
        <v>2.7679159905473347E-2</v>
      </c>
      <c r="AG51" s="497">
        <f t="shared" si="143"/>
        <v>2.8453824827179636E-2</v>
      </c>
      <c r="AH51" s="497">
        <f t="shared" si="143"/>
        <v>2.7869632696059327E-2</v>
      </c>
      <c r="AI51" s="497">
        <f t="shared" si="143"/>
        <v>2.5854718226111115E-2</v>
      </c>
      <c r="AJ51" s="497">
        <f t="shared" si="143"/>
        <v>2.9827294339531036E-2</v>
      </c>
      <c r="AK51" s="497">
        <f t="shared" ref="AK51:AN51" si="144">-AK19/AK$14</f>
        <v>3.0299635048826781E-2</v>
      </c>
      <c r="AL51" s="497">
        <f t="shared" si="144"/>
        <v>2.9385419146896689E-2</v>
      </c>
      <c r="AM51" s="497">
        <f t="shared" si="144"/>
        <v>2.8460445143680672E-2</v>
      </c>
      <c r="AN51" s="497">
        <f t="shared" si="144"/>
        <v>3.0422929284740899E-2</v>
      </c>
      <c r="AO51" s="497">
        <f t="shared" ref="AO51:AR51" si="145">-AO19/AO$14</f>
        <v>3.0425057593610548E-2</v>
      </c>
      <c r="AP51" s="497">
        <f t="shared" si="145"/>
        <v>2.971846642862282E-2</v>
      </c>
      <c r="AQ51" s="497">
        <f t="shared" si="145"/>
        <v>2.7821752079683907E-2</v>
      </c>
      <c r="AR51" s="497">
        <f t="shared" si="145"/>
        <v>2.8305048605864944E-2</v>
      </c>
      <c r="AS51" s="497">
        <f t="shared" ref="AS51:AV51" si="146">-AS19/AS$14</f>
        <v>2.9077487264699161E-2</v>
      </c>
      <c r="AT51" s="497">
        <f t="shared" si="146"/>
        <v>2.7703077132776352E-2</v>
      </c>
      <c r="AU51" s="497">
        <f t="shared" si="146"/>
        <v>2.7731461120551554E-2</v>
      </c>
      <c r="AV51" s="497">
        <f t="shared" si="146"/>
        <v>2.7001836608269617E-2</v>
      </c>
      <c r="AW51" s="497">
        <f t="shared" ref="AW51:AZ51" si="147">-AW19/AW$14</f>
        <v>2.786043825761805E-2</v>
      </c>
      <c r="AX51" s="497">
        <f t="shared" si="147"/>
        <v>2.717480568257865E-2</v>
      </c>
      <c r="AY51" s="497">
        <f t="shared" si="147"/>
        <v>2.6746954990673085E-2</v>
      </c>
      <c r="AZ51" s="497">
        <f t="shared" si="147"/>
        <v>2.5965442769434088E-2</v>
      </c>
      <c r="BB51" s="497">
        <f>-BB19/BB$14</f>
        <v>2.9953264229395839E-2</v>
      </c>
    </row>
    <row r="52" spans="2:54" s="449" customFormat="1" ht="12.75" customHeight="1">
      <c r="B52" s="767" t="str">
        <f t="shared" si="108"/>
        <v>Insurance</v>
      </c>
      <c r="C52" s="497">
        <f t="shared" ref="C52:AA52" si="148">-C20/C$14</f>
        <v>1.0859401692375857E-2</v>
      </c>
      <c r="D52" s="497">
        <f t="shared" si="148"/>
        <v>1.0420815915607014E-2</v>
      </c>
      <c r="E52" s="497">
        <f t="shared" si="148"/>
        <v>1.2319000921178797E-2</v>
      </c>
      <c r="F52" s="497">
        <f t="shared" si="148"/>
        <v>1.3954340600851017E-2</v>
      </c>
      <c r="G52" s="497">
        <f t="shared" si="121"/>
        <v>1.3954340600851017E-2</v>
      </c>
      <c r="H52" s="497">
        <f t="shared" si="121"/>
        <v>1.4651464435255446E-2</v>
      </c>
      <c r="I52" s="497">
        <f t="shared" si="121"/>
        <v>1.5706367682410165E-2</v>
      </c>
      <c r="J52" s="497">
        <f t="shared" ref="J52:K52" si="149">-J20/J$14</f>
        <v>1.555072519675795E-2</v>
      </c>
      <c r="K52" s="497">
        <f t="shared" si="149"/>
        <v>1.5052651005741685E-2</v>
      </c>
      <c r="L52" s="497">
        <f t="shared" ref="L52:M52" si="150">-L20/L$14</f>
        <v>1.5427971466697726E-2</v>
      </c>
      <c r="M52" s="497">
        <f t="shared" si="150"/>
        <v>1.6598184826432806E-2</v>
      </c>
      <c r="N52" s="497">
        <f t="shared" ref="N52" si="151">-N20/N$14</f>
        <v>1.7056298651428187E-2</v>
      </c>
      <c r="O52" s="734"/>
      <c r="P52" s="497">
        <f t="shared" si="148"/>
        <v>1.0535185279753261E-2</v>
      </c>
      <c r="Q52" s="497">
        <f t="shared" si="148"/>
        <v>1.0714357540775897E-2</v>
      </c>
      <c r="R52" s="497">
        <f t="shared" si="148"/>
        <v>1.0698958509701964E-2</v>
      </c>
      <c r="S52" s="497">
        <f t="shared" si="148"/>
        <v>9.7926230392148105E-3</v>
      </c>
      <c r="T52" s="497">
        <f t="shared" si="148"/>
        <v>9.5147326533013884E-3</v>
      </c>
      <c r="U52" s="497">
        <f t="shared" si="148"/>
        <v>9.3177559761414615E-3</v>
      </c>
      <c r="V52" s="497">
        <f t="shared" si="148"/>
        <v>1.4387573650619845E-2</v>
      </c>
      <c r="W52" s="497">
        <f t="shared" si="148"/>
        <v>1.5695275846228329E-2</v>
      </c>
      <c r="X52" s="497">
        <f t="shared" si="148"/>
        <v>1.5393886545224824E-2</v>
      </c>
      <c r="Y52" s="497">
        <f t="shared" si="148"/>
        <v>1.3684162082831602E-2</v>
      </c>
      <c r="Z52" s="497">
        <f t="shared" si="148"/>
        <v>1.3767871392210231E-2</v>
      </c>
      <c r="AA52" s="497">
        <f t="shared" si="148"/>
        <v>1.3078672502273184E-2</v>
      </c>
      <c r="AB52" s="497">
        <f t="shared" ref="AB52:AJ52" si="152">-AB20/AB$14</f>
        <v>1.3238704280728472E-2</v>
      </c>
      <c r="AC52" s="497">
        <f t="shared" si="152"/>
        <v>1.592128555877468E-2</v>
      </c>
      <c r="AD52" s="497">
        <f t="shared" si="152"/>
        <v>1.5916679531570475E-2</v>
      </c>
      <c r="AE52" s="497">
        <f t="shared" si="152"/>
        <v>1.3901765352763317E-2</v>
      </c>
      <c r="AF52" s="497">
        <f t="shared" si="152"/>
        <v>1.4519067077307699E-2</v>
      </c>
      <c r="AG52" s="497">
        <f t="shared" si="152"/>
        <v>1.6697234306540899E-2</v>
      </c>
      <c r="AH52" s="497">
        <f t="shared" si="152"/>
        <v>1.6362263524295598E-2</v>
      </c>
      <c r="AI52" s="497">
        <f t="shared" si="152"/>
        <v>1.5293686739301086E-2</v>
      </c>
      <c r="AJ52" s="497">
        <f t="shared" si="152"/>
        <v>1.5211884211883187E-2</v>
      </c>
      <c r="AK52" s="497">
        <f t="shared" ref="AK52:AN52" si="153">-AK20/AK$14</f>
        <v>1.5337878043012249E-2</v>
      </c>
      <c r="AL52" s="497">
        <f t="shared" si="153"/>
        <v>1.6092078544775901E-2</v>
      </c>
      <c r="AM52" s="497">
        <f t="shared" si="153"/>
        <v>1.5544098822108931E-2</v>
      </c>
      <c r="AN52" s="497">
        <f t="shared" si="153"/>
        <v>1.5125617180531018E-2</v>
      </c>
      <c r="AO52" s="497">
        <f t="shared" ref="AO52:AR52" si="154">-AO20/AO$14</f>
        <v>1.522043745091982E-2</v>
      </c>
      <c r="AP52" s="497">
        <f t="shared" si="154"/>
        <v>1.5222130136697374E-2</v>
      </c>
      <c r="AQ52" s="497">
        <f t="shared" si="154"/>
        <v>1.466341894046324E-2</v>
      </c>
      <c r="AR52" s="497">
        <f t="shared" si="154"/>
        <v>1.6009050721998781E-2</v>
      </c>
      <c r="AS52" s="497">
        <f t="shared" ref="AS52:AV52" si="155">-AS20/AS$14</f>
        <v>1.6036768212900496E-2</v>
      </c>
      <c r="AT52" s="497">
        <f t="shared" si="155"/>
        <v>1.5256342075450199E-2</v>
      </c>
      <c r="AU52" s="497">
        <f t="shared" si="155"/>
        <v>1.4513669343210831E-2</v>
      </c>
      <c r="AV52" s="497">
        <f t="shared" si="155"/>
        <v>1.4361890069389262E-2</v>
      </c>
      <c r="AW52" s="497">
        <f t="shared" ref="AW52:AZ52" si="156">-AW20/AW$14</f>
        <v>1.6492686601647429E-2</v>
      </c>
      <c r="AX52" s="497">
        <f t="shared" si="156"/>
        <v>1.7497471202538209E-2</v>
      </c>
      <c r="AY52" s="497">
        <f t="shared" si="156"/>
        <v>1.7999209241887009E-2</v>
      </c>
      <c r="AZ52" s="497">
        <f t="shared" si="156"/>
        <v>1.6242795061083296E-2</v>
      </c>
      <c r="BB52" s="497">
        <f>-BB20/BB$14</f>
        <v>1.3078672502273184E-2</v>
      </c>
    </row>
    <row r="53" spans="2:54" s="449" customFormat="1" ht="12.75" customHeight="1">
      <c r="B53" s="767" t="str">
        <f t="shared" si="108"/>
        <v>Operating Profit</v>
      </c>
      <c r="C53" s="497">
        <f t="shared" ref="C53:AA53" si="157">C21/C14</f>
        <v>0.75368185012006483</v>
      </c>
      <c r="D53" s="497">
        <f t="shared" si="157"/>
        <v>0.75150350999102666</v>
      </c>
      <c r="E53" s="497">
        <f t="shared" si="157"/>
        <v>0.74454216530431128</v>
      </c>
      <c r="F53" s="497">
        <f t="shared" si="157"/>
        <v>0.74600214090480499</v>
      </c>
      <c r="G53" s="497">
        <f t="shared" ref="G53:J53" si="158">G21/G14</f>
        <v>0.74631481869144023</v>
      </c>
      <c r="H53" s="497">
        <f t="shared" si="158"/>
        <v>0.73281794340558015</v>
      </c>
      <c r="I53" s="497">
        <f t="shared" si="158"/>
        <v>0.75631182634915362</v>
      </c>
      <c r="J53" s="497">
        <f t="shared" si="158"/>
        <v>0.74891457090394808</v>
      </c>
      <c r="K53" s="497">
        <f t="shared" ref="K53:L53" si="159">K21/K14</f>
        <v>0.73496643191128852</v>
      </c>
      <c r="L53" s="497">
        <f t="shared" si="159"/>
        <v>0.71716621316897156</v>
      </c>
      <c r="M53" s="497">
        <f t="shared" ref="M53" si="160">M21/M14</f>
        <v>0.71563572210499915</v>
      </c>
      <c r="N53" s="497">
        <f t="shared" ref="N53" si="161">N21/N14</f>
        <v>0.7231802238798728</v>
      </c>
      <c r="O53" s="734"/>
      <c r="P53" s="497">
        <f t="shared" si="157"/>
        <v>0.75715622108204306</v>
      </c>
      <c r="Q53" s="497">
        <f t="shared" si="157"/>
        <v>0.75233068979926565</v>
      </c>
      <c r="R53" s="497">
        <f t="shared" si="157"/>
        <v>0.7513422673228396</v>
      </c>
      <c r="S53" s="497">
        <f t="shared" si="157"/>
        <v>0.74573197737519581</v>
      </c>
      <c r="T53" s="497">
        <f t="shared" si="157"/>
        <v>0.74534542300534212</v>
      </c>
      <c r="U53" s="497">
        <f t="shared" si="157"/>
        <v>0.74550612097519953</v>
      </c>
      <c r="V53" s="497">
        <f t="shared" si="157"/>
        <v>0.74268130945583866</v>
      </c>
      <c r="W53" s="497">
        <f t="shared" si="157"/>
        <v>0.74469843390557022</v>
      </c>
      <c r="X53" s="497">
        <f t="shared" si="157"/>
        <v>0.74833566541123309</v>
      </c>
      <c r="Y53" s="497">
        <f t="shared" si="157"/>
        <v>0.74459228497070684</v>
      </c>
      <c r="Z53" s="497">
        <f t="shared" si="157"/>
        <v>0.74531961130017632</v>
      </c>
      <c r="AA53" s="497">
        <f t="shared" si="157"/>
        <v>0.74584167877291252</v>
      </c>
      <c r="AB53" s="497">
        <f t="shared" ref="AB53:AG53" si="162">AB21/AB14</f>
        <v>0.76326409487512381</v>
      </c>
      <c r="AC53" s="497">
        <f t="shared" si="162"/>
        <v>0.71089933603535005</v>
      </c>
      <c r="AD53" s="497">
        <f t="shared" si="162"/>
        <v>0.70590388814149929</v>
      </c>
      <c r="AE53" s="497">
        <f t="shared" si="162"/>
        <v>0.74415685706454127</v>
      </c>
      <c r="AF53" s="497">
        <f t="shared" si="162"/>
        <v>0.74482125028238244</v>
      </c>
      <c r="AG53" s="497">
        <f t="shared" si="162"/>
        <v>0.75976086481888527</v>
      </c>
      <c r="AH53" s="497">
        <f t="shared" ref="AH53:AM53" si="163">AH21/AH14</f>
        <v>0.76611493172382017</v>
      </c>
      <c r="AI53" s="497">
        <f t="shared" si="163"/>
        <v>0.75469187724418685</v>
      </c>
      <c r="AJ53" s="497">
        <f t="shared" si="163"/>
        <v>0.75119747856779207</v>
      </c>
      <c r="AK53" s="497">
        <f t="shared" si="163"/>
        <v>0.7449470155433483</v>
      </c>
      <c r="AL53" s="497">
        <f t="shared" si="163"/>
        <v>0.75837025189472274</v>
      </c>
      <c r="AM53" s="497">
        <f t="shared" si="163"/>
        <v>0.74133303035948783</v>
      </c>
      <c r="AN53" s="497">
        <f t="shared" ref="AN53:AQ53" si="164">AN21/AN14</f>
        <v>0.74611024758407996</v>
      </c>
      <c r="AO53" s="497">
        <f t="shared" si="164"/>
        <v>0.73812399280963781</v>
      </c>
      <c r="AP53" s="497">
        <f t="shared" si="164"/>
        <v>0.73974924753168059</v>
      </c>
      <c r="AQ53" s="497">
        <f t="shared" si="164"/>
        <v>0.71694008051302349</v>
      </c>
      <c r="AR53" s="497">
        <f t="shared" ref="AR53:AU53" si="165">AR21/AR14</f>
        <v>0.72283673309382723</v>
      </c>
      <c r="AS53" s="497">
        <f t="shared" si="165"/>
        <v>0.7140372441397651</v>
      </c>
      <c r="AT53" s="497">
        <f t="shared" si="165"/>
        <v>0.72205894839864404</v>
      </c>
      <c r="AU53" s="497">
        <f t="shared" si="165"/>
        <v>0.71020413259553128</v>
      </c>
      <c r="AV53" s="497">
        <f t="shared" ref="AV53:AY53" si="166">AV21/AV14</f>
        <v>0.71068731911867511</v>
      </c>
      <c r="AW53" s="497">
        <f t="shared" si="166"/>
        <v>0.70975818845061589</v>
      </c>
      <c r="AX53" s="497">
        <f t="shared" si="166"/>
        <v>0.70732976528826164</v>
      </c>
      <c r="AY53" s="497">
        <f t="shared" si="166"/>
        <v>0.73395663429672642</v>
      </c>
      <c r="AZ53" s="497">
        <f t="shared" ref="AZ53" si="167">AZ21/AZ14</f>
        <v>0.74006107767515183</v>
      </c>
      <c r="BB53" s="497">
        <f>BB21/BB14</f>
        <v>0.74701974298173146</v>
      </c>
    </row>
    <row r="54" spans="2:54" s="449" customFormat="1" ht="12.75" customHeight="1">
      <c r="B54" s="767" t="s">
        <v>508</v>
      </c>
      <c r="C54" s="497">
        <f t="shared" ref="C54:N54" si="168">-C22/C121</f>
        <v>5.9050139574619867E-2</v>
      </c>
      <c r="D54" s="497">
        <f t="shared" si="168"/>
        <v>7.2384273631336871E-2</v>
      </c>
      <c r="E54" s="497">
        <f t="shared" si="168"/>
        <v>6.0142666268339626E-2</v>
      </c>
      <c r="F54" s="497">
        <f t="shared" si="168"/>
        <v>5.3148593203660964E-2</v>
      </c>
      <c r="G54" s="497">
        <f t="shared" si="168"/>
        <v>5.3148593203660964E-2</v>
      </c>
      <c r="H54" s="497">
        <f t="shared" si="168"/>
        <v>6.2797657271308316E-2</v>
      </c>
      <c r="I54" s="497">
        <f t="shared" si="168"/>
        <v>5.4690722150449282E-2</v>
      </c>
      <c r="J54" s="497">
        <f t="shared" si="168"/>
        <v>6.1497263058682181E-2</v>
      </c>
      <c r="K54" s="497">
        <f t="shared" si="168"/>
        <v>7.7598155101689659E-2</v>
      </c>
      <c r="L54" s="497">
        <f t="shared" si="168"/>
        <v>7.4525103305066578E-2</v>
      </c>
      <c r="M54" s="497">
        <f t="shared" si="168"/>
        <v>8.071240240035811E-2</v>
      </c>
      <c r="N54" s="497">
        <f t="shared" si="168"/>
        <v>7.9767428527659168E-2</v>
      </c>
      <c r="O54" s="734"/>
      <c r="P54" s="497"/>
      <c r="Q54" s="497"/>
      <c r="R54" s="497"/>
      <c r="S54" s="497">
        <f t="shared" ref="S54:AZ54" si="169">-SUM(P22:S22)/S121</f>
        <v>7.2384273631336871E-2</v>
      </c>
      <c r="T54" s="497">
        <f t="shared" si="169"/>
        <v>7.5801951762230591E-2</v>
      </c>
      <c r="U54" s="497">
        <f t="shared" si="169"/>
        <v>7.0201468864254352E-2</v>
      </c>
      <c r="V54" s="497">
        <f t="shared" si="169"/>
        <v>6.7364863182982473E-2</v>
      </c>
      <c r="W54" s="497">
        <f t="shared" si="169"/>
        <v>6.0142666268339626E-2</v>
      </c>
      <c r="X54" s="497">
        <f t="shared" si="169"/>
        <v>6.0181279205760788E-2</v>
      </c>
      <c r="Y54" s="497">
        <f t="shared" si="169"/>
        <v>5.0809598667209396E-2</v>
      </c>
      <c r="Z54" s="497">
        <f t="shared" si="169"/>
        <v>5.4802757871216308E-2</v>
      </c>
      <c r="AA54" s="497">
        <f t="shared" si="169"/>
        <v>5.3148593203660964E-2</v>
      </c>
      <c r="AB54" s="497">
        <f t="shared" si="169"/>
        <v>4.5668569069110425E-2</v>
      </c>
      <c r="AC54" s="497">
        <f t="shared" si="169"/>
        <v>4.7821668760134113E-2</v>
      </c>
      <c r="AD54" s="497">
        <f t="shared" si="169"/>
        <v>5.030070685642625E-2</v>
      </c>
      <c r="AE54" s="497">
        <f t="shared" si="169"/>
        <v>6.2797657271308316E-2</v>
      </c>
      <c r="AF54" s="497">
        <f t="shared" si="169"/>
        <v>6.230143603404889E-2</v>
      </c>
      <c r="AG54" s="497">
        <f t="shared" si="169"/>
        <v>6.1602224241171982E-2</v>
      </c>
      <c r="AH54" s="497">
        <f t="shared" si="169"/>
        <v>5.8324270804268552E-2</v>
      </c>
      <c r="AI54" s="497">
        <f t="shared" si="169"/>
        <v>5.4690722150449275E-2</v>
      </c>
      <c r="AJ54" s="497">
        <f t="shared" si="169"/>
        <v>5.5070617576680039E-2</v>
      </c>
      <c r="AK54" s="497">
        <f t="shared" si="169"/>
        <v>5.4952345958750898E-2</v>
      </c>
      <c r="AL54" s="497">
        <f t="shared" si="169"/>
        <v>5.687299141345465E-2</v>
      </c>
      <c r="AM54" s="497">
        <f t="shared" si="169"/>
        <v>6.1497263058682181E-2</v>
      </c>
      <c r="AN54" s="497">
        <f t="shared" si="169"/>
        <v>6.8538696569902607E-2</v>
      </c>
      <c r="AO54" s="497">
        <f t="shared" si="169"/>
        <v>7.5675872495549829E-2</v>
      </c>
      <c r="AP54" s="497">
        <f t="shared" si="169"/>
        <v>7.5620887030716788E-2</v>
      </c>
      <c r="AQ54" s="497">
        <f t="shared" si="169"/>
        <v>7.7598155101689659E-2</v>
      </c>
      <c r="AR54" s="497">
        <f t="shared" si="169"/>
        <v>7.8517049705775596E-2</v>
      </c>
      <c r="AS54" s="497">
        <f t="shared" si="169"/>
        <v>7.4188231159561177E-2</v>
      </c>
      <c r="AT54" s="497">
        <f t="shared" si="169"/>
        <v>7.289190929865684E-2</v>
      </c>
      <c r="AU54" s="497">
        <f t="shared" si="169"/>
        <v>7.4525103305066578E-2</v>
      </c>
      <c r="AV54" s="497">
        <f t="shared" si="169"/>
        <v>7.6494658009230984E-2</v>
      </c>
      <c r="AW54" s="497">
        <f t="shared" si="169"/>
        <v>8.0575573242410173E-2</v>
      </c>
      <c r="AX54" s="497">
        <f t="shared" si="169"/>
        <v>8.0918826498186713E-2</v>
      </c>
      <c r="AY54" s="497">
        <f t="shared" si="169"/>
        <v>8.071240240035811E-2</v>
      </c>
      <c r="AZ54" s="497">
        <f t="shared" si="169"/>
        <v>7.9767428527659168E-2</v>
      </c>
      <c r="BB54" s="497">
        <f>-(X22+Y22+Z22+BB22)/BB121</f>
        <v>5.3148593203660964E-2</v>
      </c>
    </row>
    <row r="55" spans="2:54" s="449" customFormat="1" ht="12.75" customHeight="1">
      <c r="B55" s="767" t="s">
        <v>509</v>
      </c>
      <c r="C55" s="497">
        <f t="shared" ref="C55:N55" si="170">C24/C123</f>
        <v>4.7502214572245474E-2</v>
      </c>
      <c r="D55" s="497">
        <f t="shared" si="170"/>
        <v>0.19759642725721741</v>
      </c>
      <c r="E55" s="497">
        <f t="shared" si="170"/>
        <v>0.13625880770056017</v>
      </c>
      <c r="F55" s="497">
        <f t="shared" si="170"/>
        <v>0.21299550365209136</v>
      </c>
      <c r="G55" s="497">
        <f t="shared" si="170"/>
        <v>0.21299550365209136</v>
      </c>
      <c r="H55" s="497">
        <f t="shared" si="170"/>
        <v>3.9570298839760917E-2</v>
      </c>
      <c r="I55" s="497">
        <f t="shared" si="170"/>
        <v>2.2852399825447275E-2</v>
      </c>
      <c r="J55" s="497">
        <f t="shared" si="170"/>
        <v>4.0734206258618455E-2</v>
      </c>
      <c r="K55" s="497">
        <f t="shared" si="170"/>
        <v>8.9856090725320026E-2</v>
      </c>
      <c r="L55" s="497">
        <f t="shared" si="170"/>
        <v>6.1179776660962103E-2</v>
      </c>
      <c r="M55" s="497">
        <f t="shared" si="170"/>
        <v>2.396860825270811E-2</v>
      </c>
      <c r="N55" s="497">
        <f t="shared" si="170"/>
        <v>3.3488107370795786E-2</v>
      </c>
      <c r="O55" s="734"/>
      <c r="P55" s="497"/>
      <c r="Q55" s="497"/>
      <c r="R55" s="497"/>
      <c r="S55" s="497">
        <f t="shared" ref="S55:AZ55" si="171">SUM(P24:S24)/S123</f>
        <v>0.19759642725721741</v>
      </c>
      <c r="T55" s="497">
        <f t="shared" si="171"/>
        <v>0.17524823606653903</v>
      </c>
      <c r="U55" s="497">
        <f t="shared" si="171"/>
        <v>0.1879681158923954</v>
      </c>
      <c r="V55" s="497">
        <f t="shared" si="171"/>
        <v>0.12038068946345377</v>
      </c>
      <c r="W55" s="497">
        <f t="shared" si="171"/>
        <v>0.13625880770056017</v>
      </c>
      <c r="X55" s="497">
        <f t="shared" si="171"/>
        <v>0.18602940428285236</v>
      </c>
      <c r="Y55" s="497">
        <f t="shared" si="171"/>
        <v>3.4513082449893227E-2</v>
      </c>
      <c r="Z55" s="497">
        <f t="shared" si="171"/>
        <v>4.9600479426146024E-2</v>
      </c>
      <c r="AA55" s="497">
        <f t="shared" si="171"/>
        <v>0.21299550365209136</v>
      </c>
      <c r="AB55" s="497">
        <f t="shared" si="171"/>
        <v>0.1279242773449884</v>
      </c>
      <c r="AC55" s="497">
        <f t="shared" si="171"/>
        <v>3.3192610265395897E-2</v>
      </c>
      <c r="AD55" s="497">
        <f t="shared" si="171"/>
        <v>1.9371570685780111E-2</v>
      </c>
      <c r="AE55" s="497">
        <f t="shared" si="171"/>
        <v>3.9570298839760917E-2</v>
      </c>
      <c r="AF55" s="497">
        <f t="shared" si="171"/>
        <v>7.3704530461012482E-2</v>
      </c>
      <c r="AG55" s="497">
        <f t="shared" si="171"/>
        <v>7.0273271481408897E-2</v>
      </c>
      <c r="AH55" s="497">
        <f t="shared" si="171"/>
        <v>5.0895323588489499E-2</v>
      </c>
      <c r="AI55" s="497">
        <f t="shared" si="171"/>
        <v>2.2852399825447275E-2</v>
      </c>
      <c r="AJ55" s="497">
        <f t="shared" si="171"/>
        <v>2.6025860528394125E-2</v>
      </c>
      <c r="AK55" s="497">
        <f t="shared" si="171"/>
        <v>3.1277772737914364E-2</v>
      </c>
      <c r="AL55" s="497">
        <f t="shared" si="171"/>
        <v>4.4771707847209026E-2</v>
      </c>
      <c r="AM55" s="497">
        <f t="shared" si="171"/>
        <v>4.0734206258618448E-2</v>
      </c>
      <c r="AN55" s="497">
        <f t="shared" si="171"/>
        <v>0.1097152396094164</v>
      </c>
      <c r="AO55" s="497">
        <f t="shared" si="171"/>
        <v>7.1242635038018004E-2</v>
      </c>
      <c r="AP55" s="497">
        <f t="shared" si="171"/>
        <v>0.11387704089313676</v>
      </c>
      <c r="AQ55" s="497">
        <f t="shared" si="171"/>
        <v>8.9856090725320012E-2</v>
      </c>
      <c r="AR55" s="497">
        <f t="shared" si="171"/>
        <v>0.12698470220337557</v>
      </c>
      <c r="AS55" s="497">
        <f t="shared" si="171"/>
        <v>5.0319136030291228E-2</v>
      </c>
      <c r="AT55" s="497">
        <f t="shared" si="171"/>
        <v>9.2395389955307106E-2</v>
      </c>
      <c r="AU55" s="497">
        <f t="shared" si="171"/>
        <v>6.1179776660962103E-2</v>
      </c>
      <c r="AV55" s="497">
        <f t="shared" si="171"/>
        <v>0.16021872244623422</v>
      </c>
      <c r="AW55" s="497">
        <f t="shared" si="171"/>
        <v>7.2774937468996562E-2</v>
      </c>
      <c r="AX55" s="497">
        <f t="shared" si="171"/>
        <v>9.5044496049884894E-2</v>
      </c>
      <c r="AY55" s="497">
        <f t="shared" si="171"/>
        <v>2.3968608252708114E-2</v>
      </c>
      <c r="AZ55" s="497">
        <f t="shared" si="171"/>
        <v>3.3488107370795786E-2</v>
      </c>
      <c r="BB55" s="497">
        <f>(X24+Y24+Z24+BB24)/BB123</f>
        <v>0.21299550365209136</v>
      </c>
    </row>
    <row r="56" spans="2:54" s="449" customFormat="1" ht="12.75" customHeight="1">
      <c r="B56" s="767" t="s">
        <v>505</v>
      </c>
      <c r="C56" s="497">
        <f t="shared" ref="C56:AA56" si="172">C39/C14</f>
        <v>0.9351885722978186</v>
      </c>
      <c r="D56" s="497">
        <f t="shared" si="172"/>
        <v>0.83154915628898463</v>
      </c>
      <c r="E56" s="497">
        <f t="shared" si="172"/>
        <v>1.0038141533260228</v>
      </c>
      <c r="F56" s="497">
        <f t="shared" si="172"/>
        <v>0.97581578025380389</v>
      </c>
      <c r="G56" s="497">
        <f t="shared" ref="G56:J56" si="173">G39/G14</f>
        <v>0.9458668764943069</v>
      </c>
      <c r="H56" s="497">
        <f t="shared" si="173"/>
        <v>0.72729969700261576</v>
      </c>
      <c r="I56" s="497">
        <f t="shared" si="173"/>
        <v>0.1833671944984408</v>
      </c>
      <c r="J56" s="497">
        <f t="shared" si="173"/>
        <v>1.0082090949188653</v>
      </c>
      <c r="K56" s="497">
        <f t="shared" ref="K56:L56" si="174">K39/K14</f>
        <v>0.70398847741041237</v>
      </c>
      <c r="L56" s="497">
        <f t="shared" si="174"/>
        <v>0.353294728335104</v>
      </c>
      <c r="M56" s="497">
        <f t="shared" ref="M56" si="175">M39/M14</f>
        <v>0.88660671809704306</v>
      </c>
      <c r="N56" s="497">
        <f t="shared" ref="N56" si="176">N39/N14</f>
        <v>0.88782681498821447</v>
      </c>
      <c r="O56" s="734"/>
      <c r="P56" s="497">
        <f t="shared" si="172"/>
        <v>1.4133663602473878</v>
      </c>
      <c r="Q56" s="497">
        <f t="shared" si="172"/>
        <v>0.98258462996109541</v>
      </c>
      <c r="R56" s="497">
        <f t="shared" si="172"/>
        <v>0.57955751704683001</v>
      </c>
      <c r="S56" s="497">
        <f t="shared" si="172"/>
        <v>0.39253153996163276</v>
      </c>
      <c r="T56" s="497">
        <f t="shared" si="172"/>
        <v>1.1670371441176655</v>
      </c>
      <c r="U56" s="497">
        <f t="shared" si="172"/>
        <v>0.20450310757932391</v>
      </c>
      <c r="V56" s="497">
        <f t="shared" si="172"/>
        <v>1.0546619176788414</v>
      </c>
      <c r="W56" s="497">
        <f t="shared" si="172"/>
        <v>1.5518359846885732</v>
      </c>
      <c r="X56" s="497">
        <f t="shared" si="172"/>
        <v>0.92627874880707728</v>
      </c>
      <c r="Y56" s="497">
        <f t="shared" si="172"/>
        <v>1.1554844735077696</v>
      </c>
      <c r="Z56" s="497">
        <f t="shared" si="172"/>
        <v>0.4142741946505939</v>
      </c>
      <c r="AA56" s="497">
        <f t="shared" si="172"/>
        <v>1.3778419081027458</v>
      </c>
      <c r="AB56" s="497">
        <f t="shared" ref="AB56:AG56" si="177">AB39/AB14</f>
        <v>-2.9132773366746392</v>
      </c>
      <c r="AC56" s="497">
        <f t="shared" si="177"/>
        <v>3.1077230821416331</v>
      </c>
      <c r="AD56" s="497">
        <f t="shared" si="177"/>
        <v>1.0010671989061153</v>
      </c>
      <c r="AE56" s="497">
        <f t="shared" si="177"/>
        <v>2.1423165538107343</v>
      </c>
      <c r="AF56" s="497">
        <f t="shared" si="177"/>
        <v>-6.3035211344985964E-2</v>
      </c>
      <c r="AG56" s="497">
        <f t="shared" si="177"/>
        <v>0.28742234009504414</v>
      </c>
      <c r="AH56" s="497">
        <f t="shared" ref="AH56:AM56" si="178">AH39/AH14</f>
        <v>-9.9844576659513684E-2</v>
      </c>
      <c r="AI56" s="497">
        <f t="shared" si="178"/>
        <v>0.57888563715186769</v>
      </c>
      <c r="AJ56" s="497">
        <f t="shared" si="178"/>
        <v>0.7457957039505424</v>
      </c>
      <c r="AK56" s="497">
        <f t="shared" si="178"/>
        <v>0.45159001634799234</v>
      </c>
      <c r="AL56" s="497">
        <f t="shared" si="178"/>
        <v>0.72872795499554943</v>
      </c>
      <c r="AM56" s="497">
        <f t="shared" si="178"/>
        <v>2.0426398778732962</v>
      </c>
      <c r="AN56" s="497">
        <f t="shared" ref="AN56:AQ56" si="179">AN39/AN14</f>
        <v>1.0457465836238165</v>
      </c>
      <c r="AO56" s="497">
        <f t="shared" si="179"/>
        <v>0.8813506492539811</v>
      </c>
      <c r="AP56" s="497">
        <f t="shared" si="179"/>
        <v>-1.1423343763259588E-2</v>
      </c>
      <c r="AQ56" s="497">
        <f t="shared" si="179"/>
        <v>0.89412829304782748</v>
      </c>
      <c r="AR56" s="497">
        <f t="shared" ref="AR56:AU56" si="180">AR39/AR14</f>
        <v>0.40583622091323485</v>
      </c>
      <c r="AS56" s="497">
        <f t="shared" si="180"/>
        <v>0.62081973044218786</v>
      </c>
      <c r="AT56" s="497">
        <f t="shared" si="180"/>
        <v>-0.14390695980354276</v>
      </c>
      <c r="AU56" s="497">
        <f t="shared" si="180"/>
        <v>0.53650221179840984</v>
      </c>
      <c r="AV56" s="497">
        <f t="shared" ref="AV56:AY56" si="181">AV39/AV14</f>
        <v>0.20851256821532868</v>
      </c>
      <c r="AW56" s="497">
        <f t="shared" si="181"/>
        <v>0.72323219456845367</v>
      </c>
      <c r="AX56" s="497">
        <f t="shared" si="181"/>
        <v>0.49319151514700521</v>
      </c>
      <c r="AY56" s="497">
        <f t="shared" si="181"/>
        <v>2.0733153175282468</v>
      </c>
      <c r="AZ56" s="497">
        <f t="shared" ref="AZ56" si="182">AZ39/AZ14</f>
        <v>0.24730039198564396</v>
      </c>
      <c r="BB56" s="497">
        <f>BB39/BB14</f>
        <v>1.265004562053649</v>
      </c>
    </row>
    <row r="57" spans="2:54" s="449" customFormat="1" ht="12.75" customHeight="1">
      <c r="B57" s="422"/>
      <c r="C57" s="496"/>
      <c r="D57" s="496"/>
      <c r="E57" s="496"/>
      <c r="F57" s="496"/>
      <c r="G57" s="496"/>
      <c r="H57" s="496"/>
      <c r="I57" s="496"/>
      <c r="J57" s="496"/>
      <c r="K57" s="496"/>
      <c r="L57" s="496"/>
      <c r="M57" s="496"/>
      <c r="N57" s="496"/>
      <c r="O57" s="734"/>
      <c r="P57" s="496"/>
      <c r="Q57" s="496"/>
      <c r="S57" s="496"/>
      <c r="T57" s="496"/>
      <c r="U57" s="496"/>
      <c r="V57" s="496"/>
      <c r="W57" s="496"/>
      <c r="X57" s="496"/>
      <c r="Y57" s="496"/>
      <c r="Z57" s="496"/>
      <c r="AA57" s="496"/>
      <c r="AB57" s="496"/>
      <c r="AC57" s="496"/>
      <c r="AD57" s="496"/>
      <c r="AE57" s="496"/>
      <c r="AF57" s="496"/>
      <c r="AG57" s="496"/>
      <c r="AH57" s="496"/>
      <c r="AI57" s="496"/>
      <c r="AJ57" s="496"/>
      <c r="AK57" s="496"/>
      <c r="AL57" s="496"/>
      <c r="AM57" s="496"/>
      <c r="AN57" s="496"/>
      <c r="AO57" s="496"/>
      <c r="AP57" s="496"/>
      <c r="AQ57" s="496"/>
      <c r="AR57" s="496"/>
      <c r="AS57" s="496"/>
      <c r="AT57" s="496"/>
      <c r="AU57" s="496"/>
      <c r="AV57" s="496"/>
      <c r="AW57" s="496"/>
      <c r="AX57" s="496"/>
      <c r="AY57" s="496"/>
      <c r="AZ57" s="496"/>
      <c r="BB57" s="496"/>
    </row>
    <row r="58" spans="2:54" s="449" customFormat="1" ht="12.75" customHeight="1">
      <c r="B58" s="451" t="s">
        <v>510</v>
      </c>
      <c r="C58" s="497">
        <f t="shared" ref="C58:AA58" si="183">-C79/C14</f>
        <v>0.44357182697636011</v>
      </c>
      <c r="D58" s="497">
        <f t="shared" si="183"/>
        <v>0.40799925039942225</v>
      </c>
      <c r="E58" s="497">
        <f t="shared" si="183"/>
        <v>0.46591862228989972</v>
      </c>
      <c r="F58" s="497">
        <f t="shared" si="183"/>
        <v>0.48966352378589428</v>
      </c>
      <c r="G58" s="497">
        <f t="shared" ref="G58:J58" si="184">-G79/G14</f>
        <v>0.37264881286927576</v>
      </c>
      <c r="H58" s="497">
        <f t="shared" si="184"/>
        <v>0.17446115779856813</v>
      </c>
      <c r="I58" s="497">
        <f t="shared" si="184"/>
        <v>0.21001375938498429</v>
      </c>
      <c r="J58" s="497">
        <f t="shared" si="184"/>
        <v>0.25552517613929571</v>
      </c>
      <c r="K58" s="497">
        <f t="shared" ref="K58:L58" si="185">-K79/K14</f>
        <v>8.9676546763009596E-2</v>
      </c>
      <c r="L58" s="497">
        <f t="shared" si="185"/>
        <v>5.452228424160617E-2</v>
      </c>
      <c r="M58" s="497">
        <f t="shared" ref="M58" si="186">-M79/M14</f>
        <v>9.9491792831829795E-2</v>
      </c>
      <c r="N58" s="497">
        <f t="shared" ref="N58" si="187">-N79/N14</f>
        <v>0.1096069000188281</v>
      </c>
      <c r="O58" s="734"/>
      <c r="P58" s="497">
        <f t="shared" si="183"/>
        <v>0.48509103071244863</v>
      </c>
      <c r="Q58" s="497">
        <f t="shared" si="183"/>
        <v>0.24039121175758146</v>
      </c>
      <c r="R58" s="497">
        <f t="shared" si="183"/>
        <v>0.6095115224396872</v>
      </c>
      <c r="S58" s="497">
        <f t="shared" si="183"/>
        <v>0.30687906857243985</v>
      </c>
      <c r="T58" s="497">
        <f t="shared" si="183"/>
        <v>0.11036402194195075</v>
      </c>
      <c r="U58" s="497">
        <f t="shared" si="183"/>
        <v>0.69431563744164571</v>
      </c>
      <c r="V58" s="497">
        <f t="shared" si="183"/>
        <v>0.60708385314222302</v>
      </c>
      <c r="W58" s="497">
        <f t="shared" si="183"/>
        <v>0.44204724109472848</v>
      </c>
      <c r="X58" s="497">
        <f t="shared" si="183"/>
        <v>0.43234139100463137</v>
      </c>
      <c r="Y58" s="497">
        <f t="shared" si="183"/>
        <v>0.43603101245193099</v>
      </c>
      <c r="Z58" s="497">
        <f t="shared" si="183"/>
        <v>0.39655750648411264</v>
      </c>
      <c r="AA58" s="497">
        <f t="shared" si="183"/>
        <v>0.67829461854379147</v>
      </c>
      <c r="AB58" s="497">
        <f t="shared" ref="AB58:AG58" si="188">-AB79/AB14</f>
        <v>0.12252620647882852</v>
      </c>
      <c r="AC58" s="497">
        <f t="shared" si="188"/>
        <v>0.13099476510438732</v>
      </c>
      <c r="AD58" s="497">
        <f t="shared" si="188"/>
        <v>0.36489535319674476</v>
      </c>
      <c r="AE58" s="497">
        <f t="shared" si="188"/>
        <v>9.5833188061779609E-2</v>
      </c>
      <c r="AF58" s="497">
        <f t="shared" si="188"/>
        <v>0.20670748866140198</v>
      </c>
      <c r="AG58" s="497">
        <f t="shared" si="188"/>
        <v>0.23188768009965294</v>
      </c>
      <c r="AH58" s="497">
        <f t="shared" ref="AH58:AM58" si="189">-AH79/AH14</f>
        <v>0.11253698856806274</v>
      </c>
      <c r="AI58" s="497">
        <f t="shared" si="189"/>
        <v>0.28359149665517214</v>
      </c>
      <c r="AJ58" s="497">
        <f t="shared" si="189"/>
        <v>0.30773463963836134</v>
      </c>
      <c r="AK58" s="497">
        <f t="shared" si="189"/>
        <v>0.33999876579897964</v>
      </c>
      <c r="AL58" s="497">
        <f t="shared" si="189"/>
        <v>0.22000748700615616</v>
      </c>
      <c r="AM58" s="497">
        <f t="shared" si="189"/>
        <v>0.16217926776292488</v>
      </c>
      <c r="AN58" s="497">
        <f t="shared" ref="AN58:AQ58" si="190">-AN79/AN14</f>
        <v>0.27701682343693723</v>
      </c>
      <c r="AO58" s="497">
        <f t="shared" si="190"/>
        <v>-0.34236439604554886</v>
      </c>
      <c r="AP58" s="497">
        <f t="shared" si="190"/>
        <v>0.25457606815762512</v>
      </c>
      <c r="AQ58" s="497">
        <f t="shared" si="190"/>
        <v>0.16751860017142844</v>
      </c>
      <c r="AR58" s="497">
        <f t="shared" ref="AR58:AU58" si="191">-AR79/AR14</f>
        <v>9.8779339558147161E-2</v>
      </c>
      <c r="AS58" s="497">
        <f t="shared" si="191"/>
        <v>6.7385783057502743E-2</v>
      </c>
      <c r="AT58" s="497">
        <f t="shared" si="191"/>
        <v>6.7618406263756148E-2</v>
      </c>
      <c r="AU58" s="497">
        <f t="shared" si="191"/>
        <v>-9.6870700083376733E-3</v>
      </c>
      <c r="AV58" s="497">
        <f t="shared" ref="AV58:AY58" si="192">-AV79/AV14</f>
        <v>9.1242625196603352E-2</v>
      </c>
      <c r="AW58" s="497">
        <f t="shared" si="192"/>
        <v>7.2734530661538163E-2</v>
      </c>
      <c r="AX58" s="497">
        <f t="shared" si="192"/>
        <v>3.0053887438082336E-2</v>
      </c>
      <c r="AY58" s="497">
        <f t="shared" si="192"/>
        <v>0.19933302487077784</v>
      </c>
      <c r="AZ58" s="497">
        <f t="shared" ref="AZ58" si="193">-AZ79/AZ14</f>
        <v>0.13070592509398751</v>
      </c>
      <c r="BB58" s="496">
        <f>-BB79/BB14</f>
        <v>0.23742274107660546</v>
      </c>
    </row>
    <row r="59" spans="2:54" s="449" customFormat="1" ht="12.75" customHeight="1">
      <c r="B59" s="451" t="s">
        <v>511</v>
      </c>
      <c r="C59" s="497"/>
      <c r="D59" s="497"/>
      <c r="E59" s="497"/>
      <c r="F59" s="497"/>
      <c r="G59" s="497"/>
      <c r="H59" s="497"/>
      <c r="I59" s="497"/>
      <c r="J59" s="497"/>
      <c r="K59" s="497"/>
      <c r="L59" s="497"/>
      <c r="M59" s="497"/>
      <c r="N59" s="497"/>
      <c r="O59" s="734"/>
      <c r="P59" s="497"/>
      <c r="Q59" s="497"/>
      <c r="R59" s="497"/>
      <c r="S59" s="497"/>
      <c r="T59" s="497"/>
      <c r="U59" s="497"/>
      <c r="V59" s="497"/>
      <c r="W59" s="497"/>
      <c r="X59" s="497"/>
      <c r="Y59" s="497"/>
      <c r="Z59" s="497"/>
      <c r="AA59" s="497"/>
      <c r="AB59" s="497"/>
      <c r="AC59" s="497"/>
      <c r="AD59" s="497"/>
      <c r="AE59" s="497"/>
      <c r="AF59" s="497"/>
      <c r="AG59" s="497"/>
      <c r="AH59" s="497"/>
      <c r="AI59" s="497"/>
      <c r="AJ59" s="497"/>
      <c r="AK59" s="497"/>
      <c r="AL59" s="497"/>
      <c r="AM59" s="497"/>
      <c r="AN59" s="497"/>
      <c r="AO59" s="497"/>
      <c r="AP59" s="497"/>
      <c r="AQ59" s="497"/>
      <c r="AR59" s="497"/>
      <c r="AS59" s="497"/>
      <c r="AT59" s="497"/>
      <c r="AU59" s="497"/>
      <c r="AV59" s="497"/>
      <c r="AW59" s="497"/>
      <c r="AX59" s="497"/>
      <c r="AY59" s="497"/>
      <c r="AZ59" s="497"/>
      <c r="BB59" s="497"/>
    </row>
    <row r="60" spans="2:54" s="449" customFormat="1" ht="12.75" customHeight="1">
      <c r="C60" s="496"/>
      <c r="D60" s="496"/>
      <c r="E60" s="496"/>
      <c r="F60" s="496"/>
      <c r="G60" s="496"/>
      <c r="H60" s="496"/>
      <c r="I60" s="496"/>
      <c r="J60" s="496"/>
      <c r="K60" s="496"/>
      <c r="L60" s="496"/>
      <c r="O60" s="734"/>
    </row>
    <row r="61" spans="2:54" ht="12.75">
      <c r="B61" s="464" t="s">
        <v>512</v>
      </c>
      <c r="C61" s="460">
        <f>+C3</f>
        <v>42735</v>
      </c>
      <c r="D61" s="460">
        <f>+D3</f>
        <v>43100</v>
      </c>
      <c r="E61" s="460">
        <f t="shared" ref="E61:J61" si="194">E3</f>
        <v>43465</v>
      </c>
      <c r="F61" s="460">
        <f t="shared" si="194"/>
        <v>43830</v>
      </c>
      <c r="G61" s="460">
        <f t="shared" si="194"/>
        <v>43830</v>
      </c>
      <c r="H61" s="460">
        <f t="shared" si="194"/>
        <v>44196</v>
      </c>
      <c r="I61" s="460">
        <f t="shared" si="194"/>
        <v>44561</v>
      </c>
      <c r="J61" s="460">
        <f t="shared" si="194"/>
        <v>44926</v>
      </c>
      <c r="K61" s="460">
        <f t="shared" ref="K61:L61" si="195">K3</f>
        <v>45291</v>
      </c>
      <c r="L61" s="460">
        <f t="shared" si="195"/>
        <v>45657</v>
      </c>
      <c r="M61" s="460">
        <f t="shared" ref="M61" si="196">M3</f>
        <v>46022</v>
      </c>
      <c r="N61" s="708">
        <f t="shared" ref="N61" si="197">+N3</f>
        <v>46111</v>
      </c>
      <c r="O61" s="741"/>
      <c r="P61" s="460">
        <f t="shared" ref="P61:T61" si="198">+P3</f>
        <v>42825</v>
      </c>
      <c r="Q61" s="460">
        <f t="shared" si="198"/>
        <v>42916</v>
      </c>
      <c r="R61" s="460">
        <f t="shared" si="198"/>
        <v>43008</v>
      </c>
      <c r="S61" s="460">
        <f t="shared" si="198"/>
        <v>43099</v>
      </c>
      <c r="T61" s="460">
        <f t="shared" si="198"/>
        <v>43189</v>
      </c>
      <c r="U61" s="460">
        <f>U3</f>
        <v>43281</v>
      </c>
      <c r="V61" s="460">
        <f>V3</f>
        <v>43373</v>
      </c>
      <c r="W61" s="460">
        <f>W3</f>
        <v>43464</v>
      </c>
      <c r="X61" s="460">
        <f>+X3</f>
        <v>43554</v>
      </c>
      <c r="Y61" s="460">
        <f>+Y3</f>
        <v>43646</v>
      </c>
      <c r="Z61" s="460">
        <f>+Z3</f>
        <v>43738</v>
      </c>
      <c r="AA61" s="460">
        <f>AA3</f>
        <v>43829</v>
      </c>
      <c r="AB61" s="460">
        <f>+AB3</f>
        <v>43920</v>
      </c>
      <c r="AC61" s="460">
        <f>+AC3</f>
        <v>44012</v>
      </c>
      <c r="AD61" s="460">
        <f>+AD3</f>
        <v>44104</v>
      </c>
      <c r="AE61" s="564">
        <f>AE3</f>
        <v>44195</v>
      </c>
      <c r="AF61" s="564">
        <f>AF3</f>
        <v>44285</v>
      </c>
      <c r="AG61" s="460">
        <f>+AG3</f>
        <v>44377</v>
      </c>
      <c r="AH61" s="460">
        <f>+AH3</f>
        <v>44469</v>
      </c>
      <c r="AI61" s="564">
        <f>AI3</f>
        <v>44560</v>
      </c>
      <c r="AJ61" s="564">
        <f>AJ3</f>
        <v>44650</v>
      </c>
      <c r="AK61" s="564">
        <f>AK3</f>
        <v>44742</v>
      </c>
      <c r="AL61" s="564">
        <f>+AL3</f>
        <v>44834</v>
      </c>
      <c r="AM61" s="564">
        <f>AM3</f>
        <v>44925</v>
      </c>
      <c r="AN61" s="564">
        <f>AN3</f>
        <v>45015</v>
      </c>
      <c r="AO61" s="564">
        <f>AO3</f>
        <v>45107</v>
      </c>
      <c r="AP61" s="564">
        <f>+AP3</f>
        <v>45199</v>
      </c>
      <c r="AQ61" s="564">
        <f>AQ3</f>
        <v>45290</v>
      </c>
      <c r="AR61" s="564">
        <f>AR3</f>
        <v>45381</v>
      </c>
      <c r="AS61" s="564">
        <f>AS3</f>
        <v>45473</v>
      </c>
      <c r="AT61" s="564">
        <f>+AT3</f>
        <v>45565</v>
      </c>
      <c r="AU61" s="564">
        <f>AU3</f>
        <v>45656</v>
      </c>
      <c r="AV61" s="564">
        <f>AV3</f>
        <v>45746</v>
      </c>
      <c r="AW61" s="564">
        <f>AW3</f>
        <v>45838</v>
      </c>
      <c r="AX61" s="564">
        <f>+AX3</f>
        <v>45930</v>
      </c>
      <c r="AY61" s="564">
        <f>AY3</f>
        <v>46021</v>
      </c>
      <c r="AZ61" s="564">
        <f>AZ3</f>
        <v>46111</v>
      </c>
      <c r="BB61" s="460">
        <f>BB3</f>
        <v>43829</v>
      </c>
    </row>
    <row r="62" spans="2:54" s="424" customFormat="1" ht="12.75">
      <c r="B62" s="485" t="s">
        <v>513</v>
      </c>
      <c r="C62" s="479">
        <f t="shared" ref="C62:AA62" si="199">C21</f>
        <v>9988.4310000000005</v>
      </c>
      <c r="D62" s="479">
        <f t="shared" si="199"/>
        <v>10987.822999999999</v>
      </c>
      <c r="E62" s="479">
        <f t="shared" si="199"/>
        <v>12809.943999999998</v>
      </c>
      <c r="F62" s="479">
        <f t="shared" si="199"/>
        <v>14315.096999999998</v>
      </c>
      <c r="G62" s="479">
        <f t="shared" ref="G62:J62" si="200">G21</f>
        <v>14321.096999999998</v>
      </c>
      <c r="H62" s="479">
        <f t="shared" si="200"/>
        <v>14065.146999999997</v>
      </c>
      <c r="I62" s="479">
        <f t="shared" si="200"/>
        <v>16539.563999999998</v>
      </c>
      <c r="J62" s="479">
        <f t="shared" si="200"/>
        <v>17899.572</v>
      </c>
      <c r="K62" s="479">
        <f t="shared" ref="K62:L62" si="201">K21</f>
        <v>19151.268</v>
      </c>
      <c r="L62" s="479">
        <f t="shared" si="201"/>
        <v>20313.487000000001</v>
      </c>
      <c r="M62" s="479">
        <f t="shared" ref="M62" si="202">M21</f>
        <v>21833.199999999997</v>
      </c>
      <c r="N62" s="713">
        <f t="shared" ref="N62" si="203">N21</f>
        <v>22354.383000000002</v>
      </c>
      <c r="O62" s="713"/>
      <c r="P62" s="479">
        <f t="shared" si="199"/>
        <v>2698.4760000000006</v>
      </c>
      <c r="Q62" s="479">
        <f t="shared" si="199"/>
        <v>2693.386</v>
      </c>
      <c r="R62" s="479">
        <f t="shared" si="199"/>
        <v>2684.73</v>
      </c>
      <c r="S62" s="479">
        <f t="shared" si="199"/>
        <v>2911.2309999999998</v>
      </c>
      <c r="T62" s="479">
        <f t="shared" si="199"/>
        <v>3078.1320000000005</v>
      </c>
      <c r="U62" s="479">
        <f t="shared" si="199"/>
        <v>3142.4409999999989</v>
      </c>
      <c r="V62" s="479">
        <f t="shared" si="199"/>
        <v>3227.2080000000005</v>
      </c>
      <c r="W62" s="479">
        <f t="shared" si="199"/>
        <v>3362.1630000000009</v>
      </c>
      <c r="X62" s="479">
        <f t="shared" si="199"/>
        <v>3444.7319999999995</v>
      </c>
      <c r="Y62" s="479">
        <f t="shared" si="199"/>
        <v>3527.0859999999998</v>
      </c>
      <c r="Z62" s="479">
        <f t="shared" si="199"/>
        <v>3544.6320000000005</v>
      </c>
      <c r="AA62" s="479">
        <f t="shared" si="199"/>
        <v>3798.6469999999963</v>
      </c>
      <c r="AB62" s="479">
        <f t="shared" ref="AB62:AG62" si="204">AB21</f>
        <v>3945.4929999999995</v>
      </c>
      <c r="AC62" s="479">
        <f t="shared" si="204"/>
        <v>3055.6379999999999</v>
      </c>
      <c r="AD62" s="479">
        <f t="shared" si="204"/>
        <v>3200.78</v>
      </c>
      <c r="AE62" s="479">
        <f t="shared" si="204"/>
        <v>3863.2360000000008</v>
      </c>
      <c r="AF62" s="479">
        <f t="shared" si="204"/>
        <v>3999.3109999999997</v>
      </c>
      <c r="AG62" s="479">
        <f t="shared" si="204"/>
        <v>4015.7509999999993</v>
      </c>
      <c r="AH62" s="479">
        <f t="shared" ref="AH62:AM62" si="205">AH21</f>
        <v>4133.639000000001</v>
      </c>
      <c r="AI62" s="479">
        <f t="shared" si="205"/>
        <v>4390.8629999999976</v>
      </c>
      <c r="AJ62" s="479">
        <f t="shared" si="205"/>
        <v>4394.0349999999999</v>
      </c>
      <c r="AK62" s="479">
        <f t="shared" si="205"/>
        <v>4321.6790000000001</v>
      </c>
      <c r="AL62" s="479">
        <f t="shared" si="205"/>
        <v>4564.1960000000008</v>
      </c>
      <c r="AM62" s="479">
        <f t="shared" si="205"/>
        <v>4619.6620000000021</v>
      </c>
      <c r="AN62" s="479">
        <f t="shared" ref="AN62:AQ62" si="206">AN21</f>
        <v>4758.3860000000004</v>
      </c>
      <c r="AO62" s="479">
        <f t="shared" si="206"/>
        <v>4759.8900000000003</v>
      </c>
      <c r="AP62" s="479">
        <f t="shared" si="206"/>
        <v>4769.9860000000008</v>
      </c>
      <c r="AQ62" s="479">
        <f t="shared" si="206"/>
        <v>4863.0059999999985</v>
      </c>
      <c r="AR62" s="479">
        <f t="shared" ref="AR62:AU62" si="207">AR21</f>
        <v>4932.4679999999998</v>
      </c>
      <c r="AS62" s="479">
        <f t="shared" si="207"/>
        <v>4864.0009999999993</v>
      </c>
      <c r="AT62" s="479">
        <f t="shared" si="207"/>
        <v>5170.253999999999</v>
      </c>
      <c r="AU62" s="479">
        <f t="shared" si="207"/>
        <v>5346.7639999999992</v>
      </c>
      <c r="AV62" s="479">
        <f t="shared" ref="AV62:AY62" si="208">AV21</f>
        <v>5404.619999999999</v>
      </c>
      <c r="AW62" s="479">
        <f t="shared" si="208"/>
        <v>5326.9240000000009</v>
      </c>
      <c r="AX62" s="479">
        <f t="shared" si="208"/>
        <v>5322.8799999999992</v>
      </c>
      <c r="AY62" s="479">
        <f t="shared" si="208"/>
        <v>5778.7760000000017</v>
      </c>
      <c r="AZ62" s="479">
        <f t="shared" ref="AZ62" si="209">AZ21</f>
        <v>5925.8029999999999</v>
      </c>
      <c r="BB62" s="479">
        <f>BB21</f>
        <v>3804.6469999999963</v>
      </c>
    </row>
    <row r="63" spans="2:54" ht="12.75">
      <c r="B63" s="435" t="s">
        <v>514</v>
      </c>
      <c r="C63" s="725"/>
      <c r="D63" s="725"/>
      <c r="E63" s="725"/>
      <c r="F63" s="725"/>
      <c r="G63" s="725"/>
      <c r="H63" s="725"/>
      <c r="I63" s="725"/>
      <c r="J63" s="725"/>
      <c r="K63" s="725"/>
      <c r="L63" s="725"/>
      <c r="M63" s="725"/>
      <c r="N63" s="712"/>
      <c r="O63" s="486"/>
      <c r="P63" s="725"/>
      <c r="Q63" s="725"/>
      <c r="R63" s="725"/>
      <c r="S63" s="726"/>
      <c r="T63" s="725"/>
      <c r="U63" s="725"/>
      <c r="V63" s="725"/>
      <c r="W63" s="726"/>
      <c r="X63" s="725"/>
      <c r="Y63" s="725"/>
      <c r="Z63" s="725"/>
      <c r="AA63" s="726"/>
      <c r="AB63" s="725"/>
      <c r="AC63" s="725"/>
      <c r="AD63" s="725"/>
      <c r="AE63" s="726"/>
      <c r="AF63" s="725"/>
      <c r="AG63" s="725"/>
      <c r="AH63" s="725"/>
      <c r="AI63" s="726"/>
      <c r="AJ63" s="725"/>
      <c r="AK63" s="725"/>
      <c r="AL63" s="725"/>
      <c r="AM63" s="726"/>
      <c r="AN63" s="725"/>
      <c r="AO63" s="725"/>
      <c r="AP63" s="725"/>
      <c r="AQ63" s="726"/>
      <c r="AR63" s="725"/>
      <c r="AS63" s="725"/>
      <c r="AT63" s="725"/>
      <c r="AU63" s="726"/>
      <c r="AV63" s="725"/>
      <c r="AW63" s="725"/>
      <c r="AX63" s="725"/>
      <c r="AY63" s="726"/>
      <c r="AZ63" s="725"/>
      <c r="BB63" s="726"/>
    </row>
    <row r="64" spans="2:54" s="424" customFormat="1" ht="12.75">
      <c r="B64" s="424" t="s">
        <v>512</v>
      </c>
      <c r="C64" s="479">
        <f>+C62</f>
        <v>9988.4310000000005</v>
      </c>
      <c r="D64" s="479">
        <f t="shared" ref="D64:X64" si="210">+D62</f>
        <v>10987.822999999999</v>
      </c>
      <c r="E64" s="479">
        <f t="shared" si="210"/>
        <v>12809.943999999998</v>
      </c>
      <c r="F64" s="479">
        <f t="shared" ref="F64:I64" si="211">+F62</f>
        <v>14315.096999999998</v>
      </c>
      <c r="G64" s="479">
        <f t="shared" si="211"/>
        <v>14321.096999999998</v>
      </c>
      <c r="H64" s="479">
        <f t="shared" si="211"/>
        <v>14065.146999999997</v>
      </c>
      <c r="I64" s="479">
        <f t="shared" si="211"/>
        <v>16539.563999999998</v>
      </c>
      <c r="J64" s="479">
        <f t="shared" ref="J64:K64" si="212">+J62</f>
        <v>17899.572</v>
      </c>
      <c r="K64" s="479">
        <f t="shared" si="212"/>
        <v>19151.268</v>
      </c>
      <c r="L64" s="479">
        <f t="shared" ref="L64:M64" si="213">+L62</f>
        <v>20313.487000000001</v>
      </c>
      <c r="M64" s="479">
        <f t="shared" si="213"/>
        <v>21833.199999999997</v>
      </c>
      <c r="N64" s="479">
        <f t="shared" ref="N64" si="214">+N62</f>
        <v>22354.383000000002</v>
      </c>
      <c r="O64" s="479"/>
      <c r="P64" s="479">
        <f t="shared" si="210"/>
        <v>2698.4760000000006</v>
      </c>
      <c r="Q64" s="479">
        <f t="shared" si="210"/>
        <v>2693.386</v>
      </c>
      <c r="R64" s="479">
        <f t="shared" si="210"/>
        <v>2684.73</v>
      </c>
      <c r="S64" s="479">
        <f t="shared" si="210"/>
        <v>2911.2309999999998</v>
      </c>
      <c r="T64" s="479">
        <f t="shared" si="210"/>
        <v>3078.1320000000005</v>
      </c>
      <c r="U64" s="479">
        <f t="shared" si="210"/>
        <v>3142.4409999999989</v>
      </c>
      <c r="V64" s="479">
        <f t="shared" si="210"/>
        <v>3227.2080000000005</v>
      </c>
      <c r="W64" s="479">
        <f t="shared" si="210"/>
        <v>3362.1630000000009</v>
      </c>
      <c r="X64" s="479">
        <f t="shared" si="210"/>
        <v>3444.7319999999995</v>
      </c>
      <c r="Y64" s="479">
        <f t="shared" ref="Y64:AD64" si="215">+Y62</f>
        <v>3527.0859999999998</v>
      </c>
      <c r="Z64" s="479">
        <f t="shared" si="215"/>
        <v>3544.6320000000005</v>
      </c>
      <c r="AA64" s="479">
        <f t="shared" si="215"/>
        <v>3798.6469999999963</v>
      </c>
      <c r="AB64" s="479">
        <f t="shared" si="215"/>
        <v>3945.4929999999995</v>
      </c>
      <c r="AC64" s="479">
        <f t="shared" si="215"/>
        <v>3055.6379999999999</v>
      </c>
      <c r="AD64" s="479">
        <f t="shared" si="215"/>
        <v>3200.78</v>
      </c>
      <c r="AE64" s="479">
        <f t="shared" ref="AE64:AJ64" si="216">+AE62</f>
        <v>3863.2360000000008</v>
      </c>
      <c r="AF64" s="479">
        <f t="shared" si="216"/>
        <v>3999.3109999999997</v>
      </c>
      <c r="AG64" s="479">
        <f t="shared" si="216"/>
        <v>4015.7509999999993</v>
      </c>
      <c r="AH64" s="479">
        <f t="shared" si="216"/>
        <v>4133.639000000001</v>
      </c>
      <c r="AI64" s="479">
        <f t="shared" si="216"/>
        <v>4390.8629999999976</v>
      </c>
      <c r="AJ64" s="479">
        <f t="shared" si="216"/>
        <v>4394.0349999999999</v>
      </c>
      <c r="AK64" s="479">
        <f t="shared" ref="AK64:AN64" si="217">+AK62</f>
        <v>4321.6790000000001</v>
      </c>
      <c r="AL64" s="479">
        <f t="shared" si="217"/>
        <v>4564.1960000000008</v>
      </c>
      <c r="AM64" s="479">
        <f t="shared" si="217"/>
        <v>4619.6620000000021</v>
      </c>
      <c r="AN64" s="479">
        <f t="shared" si="217"/>
        <v>4758.3860000000004</v>
      </c>
      <c r="AO64" s="479">
        <f t="shared" ref="AO64:AR64" si="218">+AO62</f>
        <v>4759.8900000000003</v>
      </c>
      <c r="AP64" s="479">
        <f t="shared" si="218"/>
        <v>4769.9860000000008</v>
      </c>
      <c r="AQ64" s="479">
        <f t="shared" si="218"/>
        <v>4863.0059999999985</v>
      </c>
      <c r="AR64" s="479">
        <f t="shared" si="218"/>
        <v>4932.4679999999998</v>
      </c>
      <c r="AS64" s="479">
        <f t="shared" ref="AS64:AV64" si="219">+AS62</f>
        <v>4864.0009999999993</v>
      </c>
      <c r="AT64" s="479">
        <f t="shared" si="219"/>
        <v>5170.253999999999</v>
      </c>
      <c r="AU64" s="479">
        <f t="shared" si="219"/>
        <v>5346.7639999999992</v>
      </c>
      <c r="AV64" s="479">
        <f t="shared" si="219"/>
        <v>5404.619999999999</v>
      </c>
      <c r="AW64" s="479">
        <f t="shared" ref="AW64:AZ64" si="220">+AW62</f>
        <v>5326.9240000000009</v>
      </c>
      <c r="AX64" s="479">
        <f t="shared" si="220"/>
        <v>5322.8799999999992</v>
      </c>
      <c r="AY64" s="479">
        <f t="shared" si="220"/>
        <v>5778.7760000000017</v>
      </c>
      <c r="AZ64" s="479">
        <f t="shared" si="220"/>
        <v>5925.8029999999999</v>
      </c>
      <c r="BB64" s="479">
        <f>+BB62</f>
        <v>3804.6469999999963</v>
      </c>
    </row>
    <row r="65" spans="2:60" s="449" customFormat="1" ht="12.75">
      <c r="B65" s="491" t="s">
        <v>515</v>
      </c>
      <c r="C65" s="490"/>
      <c r="D65" s="490">
        <f>+D64/C64-1</f>
        <v>0.10005495357579153</v>
      </c>
      <c r="E65" s="490">
        <f>+E64/D64-1</f>
        <v>0.16583093848526675</v>
      </c>
      <c r="F65" s="490">
        <f>+F64/E64-1</f>
        <v>0.11749879624766524</v>
      </c>
      <c r="G65" s="490">
        <f>+G64/E64-1</f>
        <v>0.11796718237019621</v>
      </c>
      <c r="H65" s="490">
        <f t="shared" ref="H65:M65" si="221">+H64/G64-1</f>
        <v>-1.7872234228984096E-2</v>
      </c>
      <c r="I65" s="490">
        <f t="shared" si="221"/>
        <v>0.17592542758351559</v>
      </c>
      <c r="J65" s="490">
        <f t="shared" si="221"/>
        <v>8.2227560533034705E-2</v>
      </c>
      <c r="K65" s="490">
        <f t="shared" si="221"/>
        <v>6.9928822879116836E-2</v>
      </c>
      <c r="L65" s="490">
        <f t="shared" si="221"/>
        <v>6.0686268919635022E-2</v>
      </c>
      <c r="M65" s="490">
        <f t="shared" si="221"/>
        <v>7.481300477854913E-2</v>
      </c>
      <c r="N65" s="493"/>
      <c r="O65" s="733"/>
      <c r="P65" s="490"/>
      <c r="Q65" s="490"/>
      <c r="R65" s="490"/>
      <c r="S65" s="490"/>
      <c r="T65" s="490">
        <f t="shared" ref="T65:AZ65" si="222">+T64/P64-1</f>
        <v>0.14069274657250985</v>
      </c>
      <c r="U65" s="490">
        <f t="shared" si="222"/>
        <v>0.16672508136598285</v>
      </c>
      <c r="V65" s="490">
        <f t="shared" si="222"/>
        <v>0.20206054240091209</v>
      </c>
      <c r="W65" s="490">
        <f t="shared" si="222"/>
        <v>0.15489392631501975</v>
      </c>
      <c r="X65" s="490">
        <f t="shared" si="222"/>
        <v>0.11909820631473855</v>
      </c>
      <c r="Y65" s="490">
        <f t="shared" si="222"/>
        <v>0.12240325275796771</v>
      </c>
      <c r="Z65" s="490">
        <f t="shared" si="222"/>
        <v>9.8358705109803823E-2</v>
      </c>
      <c r="AA65" s="490">
        <f t="shared" si="222"/>
        <v>0.12982237922432538</v>
      </c>
      <c r="AB65" s="490">
        <f t="shared" si="222"/>
        <v>0.14537008974863652</v>
      </c>
      <c r="AC65" s="490">
        <f t="shared" si="222"/>
        <v>-0.13366501412213927</v>
      </c>
      <c r="AD65" s="490">
        <f t="shared" si="222"/>
        <v>-9.7006402921375301E-2</v>
      </c>
      <c r="AE65" s="490">
        <f>+AE64/BB64-1</f>
        <v>1.5399326139850622E-2</v>
      </c>
      <c r="AF65" s="490">
        <f t="shared" si="222"/>
        <v>1.3640373965940533E-2</v>
      </c>
      <c r="AG65" s="490">
        <f t="shared" si="222"/>
        <v>0.31421032203421984</v>
      </c>
      <c r="AH65" s="490">
        <f t="shared" si="222"/>
        <v>0.29144739719693358</v>
      </c>
      <c r="AI65" s="490">
        <f t="shared" si="222"/>
        <v>0.13657643488515769</v>
      </c>
      <c r="AJ65" s="490">
        <f t="shared" si="222"/>
        <v>9.8698000730625957E-2</v>
      </c>
      <c r="AK65" s="490">
        <f t="shared" si="222"/>
        <v>7.6182014273295628E-2</v>
      </c>
      <c r="AL65" s="490">
        <f t="shared" si="222"/>
        <v>0.10415931337980888</v>
      </c>
      <c r="AM65" s="490">
        <f t="shared" si="222"/>
        <v>5.2107979684177019E-2</v>
      </c>
      <c r="AN65" s="490">
        <f t="shared" si="222"/>
        <v>8.2919457855934464E-2</v>
      </c>
      <c r="AO65" s="490">
        <f t="shared" si="222"/>
        <v>0.10139832227243173</v>
      </c>
      <c r="AP65" s="490">
        <f t="shared" si="222"/>
        <v>4.5087897189340698E-2</v>
      </c>
      <c r="AQ65" s="490">
        <f t="shared" si="222"/>
        <v>5.2675715236308651E-2</v>
      </c>
      <c r="AR65" s="490">
        <f t="shared" si="222"/>
        <v>3.6584253568331615E-2</v>
      </c>
      <c r="AS65" s="490">
        <f t="shared" si="222"/>
        <v>2.1872564281947504E-2</v>
      </c>
      <c r="AT65" s="490">
        <f t="shared" si="222"/>
        <v>8.3913873122478444E-2</v>
      </c>
      <c r="AU65" s="490">
        <f t="shared" si="222"/>
        <v>9.9477154665242207E-2</v>
      </c>
      <c r="AV65" s="490">
        <f t="shared" si="222"/>
        <v>9.5723276866671814E-2</v>
      </c>
      <c r="AW65" s="490">
        <f t="shared" si="222"/>
        <v>9.5173294577859169E-2</v>
      </c>
      <c r="AX65" s="490">
        <f t="shared" si="222"/>
        <v>2.9520019712764745E-2</v>
      </c>
      <c r="AY65" s="490">
        <f t="shared" si="222"/>
        <v>8.0798778476103061E-2</v>
      </c>
      <c r="AZ65" s="490">
        <f t="shared" si="222"/>
        <v>9.6432866695530972E-2</v>
      </c>
      <c r="BB65" s="490">
        <f>+BB64/W64-1</f>
        <v>0.1316069446960173</v>
      </c>
    </row>
    <row r="66" spans="2:60" s="449" customFormat="1" ht="12.75">
      <c r="B66" s="491" t="s">
        <v>516</v>
      </c>
      <c r="C66" s="490">
        <f t="shared" ref="C66:AA66" si="223">C64/C14</f>
        <v>0.75368185012006483</v>
      </c>
      <c r="D66" s="490">
        <f t="shared" si="223"/>
        <v>0.75150350999102666</v>
      </c>
      <c r="E66" s="490">
        <f t="shared" si="223"/>
        <v>0.74454216530431128</v>
      </c>
      <c r="F66" s="490">
        <f t="shared" si="223"/>
        <v>0.74600214090480499</v>
      </c>
      <c r="G66" s="490">
        <f t="shared" ref="G66:J66" si="224">G64/G14</f>
        <v>0.74631481869144023</v>
      </c>
      <c r="H66" s="490">
        <f t="shared" si="224"/>
        <v>0.73281794340558015</v>
      </c>
      <c r="I66" s="490">
        <f t="shared" si="224"/>
        <v>0.75631182634915362</v>
      </c>
      <c r="J66" s="490">
        <f t="shared" si="224"/>
        <v>0.74891457090394808</v>
      </c>
      <c r="K66" s="490">
        <f t="shared" ref="K66:L66" si="225">K64/K14</f>
        <v>0.73496643191128852</v>
      </c>
      <c r="L66" s="490">
        <f t="shared" si="225"/>
        <v>0.71716621316897156</v>
      </c>
      <c r="M66" s="490">
        <f t="shared" ref="M66" si="226">M64/M14</f>
        <v>0.71563572210499915</v>
      </c>
      <c r="N66" s="493">
        <f t="shared" ref="N66" si="227">N64/N14</f>
        <v>0.7231802238798728</v>
      </c>
      <c r="O66" s="733"/>
      <c r="P66" s="490">
        <f t="shared" si="223"/>
        <v>0.75715622108204306</v>
      </c>
      <c r="Q66" s="490">
        <f t="shared" si="223"/>
        <v>0.75233068979926565</v>
      </c>
      <c r="R66" s="490">
        <f t="shared" si="223"/>
        <v>0.7513422673228396</v>
      </c>
      <c r="S66" s="490">
        <f t="shared" si="223"/>
        <v>0.74573197737519581</v>
      </c>
      <c r="T66" s="490">
        <f t="shared" si="223"/>
        <v>0.74534542300534212</v>
      </c>
      <c r="U66" s="490">
        <f t="shared" si="223"/>
        <v>0.74550612097519953</v>
      </c>
      <c r="V66" s="490">
        <f t="shared" si="223"/>
        <v>0.74268130945583866</v>
      </c>
      <c r="W66" s="490">
        <f t="shared" si="223"/>
        <v>0.74469843390557022</v>
      </c>
      <c r="X66" s="490">
        <f t="shared" si="223"/>
        <v>0.74833566541123309</v>
      </c>
      <c r="Y66" s="490">
        <f t="shared" si="223"/>
        <v>0.74459228497070684</v>
      </c>
      <c r="Z66" s="490">
        <f t="shared" si="223"/>
        <v>0.74531961130017632</v>
      </c>
      <c r="AA66" s="490">
        <f t="shared" si="223"/>
        <v>0.74584167877291252</v>
      </c>
      <c r="AB66" s="490">
        <f t="shared" ref="AB66:AG66" si="228">AB64/AB14</f>
        <v>0.76326409487512381</v>
      </c>
      <c r="AC66" s="490">
        <f t="shared" si="228"/>
        <v>0.71089933603535005</v>
      </c>
      <c r="AD66" s="490">
        <f t="shared" si="228"/>
        <v>0.70590388814149929</v>
      </c>
      <c r="AE66" s="490">
        <f t="shared" si="228"/>
        <v>0.74415685706454127</v>
      </c>
      <c r="AF66" s="490">
        <f t="shared" si="228"/>
        <v>0.74482125028238244</v>
      </c>
      <c r="AG66" s="490">
        <f t="shared" si="228"/>
        <v>0.75976086481888527</v>
      </c>
      <c r="AH66" s="490">
        <f t="shared" ref="AH66:AM66" si="229">AH64/AH14</f>
        <v>0.76611493172382017</v>
      </c>
      <c r="AI66" s="490">
        <f t="shared" si="229"/>
        <v>0.75469187724418685</v>
      </c>
      <c r="AJ66" s="490">
        <f t="shared" si="229"/>
        <v>0.75119747856779207</v>
      </c>
      <c r="AK66" s="490">
        <f t="shared" si="229"/>
        <v>0.7449470155433483</v>
      </c>
      <c r="AL66" s="490">
        <f t="shared" si="229"/>
        <v>0.75837025189472274</v>
      </c>
      <c r="AM66" s="490">
        <f t="shared" si="229"/>
        <v>0.74133303035948783</v>
      </c>
      <c r="AN66" s="490">
        <f t="shared" ref="AN66:AQ66" si="230">AN64/AN14</f>
        <v>0.74611024758407996</v>
      </c>
      <c r="AO66" s="490">
        <f t="shared" si="230"/>
        <v>0.73812399280963781</v>
      </c>
      <c r="AP66" s="490">
        <f t="shared" si="230"/>
        <v>0.73974924753168059</v>
      </c>
      <c r="AQ66" s="490">
        <f t="shared" si="230"/>
        <v>0.71694008051302349</v>
      </c>
      <c r="AR66" s="490">
        <f t="shared" ref="AR66:AU66" si="231">AR64/AR14</f>
        <v>0.72283673309382723</v>
      </c>
      <c r="AS66" s="490">
        <f t="shared" si="231"/>
        <v>0.7140372441397651</v>
      </c>
      <c r="AT66" s="490">
        <f t="shared" si="231"/>
        <v>0.72205894839864404</v>
      </c>
      <c r="AU66" s="490">
        <f t="shared" si="231"/>
        <v>0.71020413259553128</v>
      </c>
      <c r="AV66" s="490">
        <f t="shared" ref="AV66:AY66" si="232">AV64/AV14</f>
        <v>0.71068731911867511</v>
      </c>
      <c r="AW66" s="490">
        <f t="shared" si="232"/>
        <v>0.70975818845061589</v>
      </c>
      <c r="AX66" s="490">
        <f t="shared" si="232"/>
        <v>0.70732976528826164</v>
      </c>
      <c r="AY66" s="490">
        <f t="shared" si="232"/>
        <v>0.73395663429672642</v>
      </c>
      <c r="AZ66" s="490">
        <f t="shared" ref="AZ66" si="233">AZ64/AZ14</f>
        <v>0.74006107767515183</v>
      </c>
      <c r="BB66" s="490">
        <f>BB64/BB14</f>
        <v>0.74701974298173146</v>
      </c>
    </row>
    <row r="67" spans="2:60" s="449" customFormat="1" ht="12.75">
      <c r="B67" s="499"/>
      <c r="C67" s="768"/>
      <c r="D67" s="768"/>
      <c r="E67" s="768"/>
      <c r="F67" s="768"/>
      <c r="G67" s="768"/>
      <c r="H67" s="768"/>
      <c r="I67" s="768"/>
      <c r="J67" s="768"/>
      <c r="K67" s="768"/>
      <c r="L67" s="768"/>
      <c r="M67" s="768"/>
      <c r="N67" s="769"/>
      <c r="O67" s="733"/>
      <c r="P67" s="768"/>
      <c r="Q67" s="768"/>
      <c r="R67" s="768"/>
      <c r="S67" s="768"/>
      <c r="T67" s="768"/>
      <c r="U67" s="768"/>
      <c r="V67" s="768"/>
      <c r="W67" s="768"/>
      <c r="X67" s="768"/>
      <c r="Y67" s="768"/>
      <c r="Z67" s="768"/>
      <c r="AA67" s="768"/>
      <c r="AB67" s="768"/>
      <c r="AC67" s="768"/>
      <c r="AD67" s="768"/>
      <c r="AE67" s="768"/>
      <c r="AF67" s="768"/>
      <c r="AG67" s="768"/>
      <c r="AH67" s="768"/>
      <c r="AI67" s="768"/>
      <c r="AJ67" s="768"/>
      <c r="AK67" s="768"/>
      <c r="AL67" s="768"/>
      <c r="AM67" s="768"/>
      <c r="AN67" s="768"/>
      <c r="AO67" s="768"/>
      <c r="AP67" s="768"/>
      <c r="AQ67" s="768"/>
      <c r="AR67" s="768"/>
      <c r="AS67" s="768"/>
      <c r="AT67" s="768"/>
      <c r="AU67" s="768"/>
      <c r="AV67" s="768"/>
      <c r="AW67" s="768"/>
      <c r="AX67" s="768"/>
      <c r="AY67" s="768"/>
      <c r="AZ67" s="768"/>
      <c r="BB67" s="768"/>
    </row>
    <row r="68" spans="2:60" ht="12.75">
      <c r="B68" s="715" t="s">
        <v>517</v>
      </c>
      <c r="C68" s="716">
        <f t="shared" ref="C68:X68" si="234">C69-C64</f>
        <v>0</v>
      </c>
      <c r="D68" s="716">
        <f t="shared" si="234"/>
        <v>0</v>
      </c>
      <c r="E68" s="716">
        <f t="shared" si="234"/>
        <v>0</v>
      </c>
      <c r="F68" s="716">
        <f t="shared" ref="F68:I68" si="235">F69-F64</f>
        <v>0</v>
      </c>
      <c r="G68" s="716">
        <f t="shared" si="235"/>
        <v>0</v>
      </c>
      <c r="H68" s="716">
        <f t="shared" si="235"/>
        <v>0</v>
      </c>
      <c r="I68" s="716">
        <f t="shared" si="235"/>
        <v>0</v>
      </c>
      <c r="J68" s="716">
        <f t="shared" ref="J68:K68" si="236">J69-J64</f>
        <v>0</v>
      </c>
      <c r="K68" s="716">
        <f t="shared" si="236"/>
        <v>0</v>
      </c>
      <c r="L68" s="716">
        <f t="shared" ref="L68:M68" si="237">L69-L64</f>
        <v>0</v>
      </c>
      <c r="M68" s="716">
        <f t="shared" si="237"/>
        <v>0</v>
      </c>
      <c r="N68" s="716">
        <f t="shared" ref="N68" si="238">N69-N64</f>
        <v>0</v>
      </c>
      <c r="O68" s="733"/>
      <c r="P68" s="716">
        <f t="shared" si="234"/>
        <v>0</v>
      </c>
      <c r="Q68" s="716">
        <f t="shared" si="234"/>
        <v>0</v>
      </c>
      <c r="R68" s="716">
        <f t="shared" si="234"/>
        <v>0</v>
      </c>
      <c r="S68" s="716">
        <f t="shared" si="234"/>
        <v>0</v>
      </c>
      <c r="T68" s="716">
        <f t="shared" si="234"/>
        <v>0</v>
      </c>
      <c r="U68" s="716">
        <f t="shared" si="234"/>
        <v>0</v>
      </c>
      <c r="V68" s="716">
        <f t="shared" si="234"/>
        <v>0</v>
      </c>
      <c r="W68" s="716">
        <f t="shared" si="234"/>
        <v>0</v>
      </c>
      <c r="X68" s="716">
        <f t="shared" si="234"/>
        <v>0</v>
      </c>
      <c r="Y68" s="716">
        <f t="shared" ref="Y68:BB68" si="239">Y69-Y64</f>
        <v>0</v>
      </c>
      <c r="Z68" s="716">
        <f t="shared" si="239"/>
        <v>0</v>
      </c>
      <c r="AA68" s="716">
        <f t="shared" si="239"/>
        <v>0</v>
      </c>
      <c r="AB68" s="716">
        <f t="shared" si="239"/>
        <v>0</v>
      </c>
      <c r="AC68" s="716">
        <f t="shared" si="239"/>
        <v>0</v>
      </c>
      <c r="AD68" s="716">
        <f t="shared" si="239"/>
        <v>0</v>
      </c>
      <c r="AE68" s="716">
        <f t="shared" si="239"/>
        <v>0</v>
      </c>
      <c r="AF68" s="716">
        <f t="shared" si="239"/>
        <v>0</v>
      </c>
      <c r="AG68" s="716">
        <f t="shared" ref="AG68:AL68" si="240">AG69-AG64</f>
        <v>0</v>
      </c>
      <c r="AH68" s="716">
        <f t="shared" si="240"/>
        <v>0</v>
      </c>
      <c r="AI68" s="716">
        <f t="shared" si="240"/>
        <v>0</v>
      </c>
      <c r="AJ68" s="716">
        <f t="shared" si="240"/>
        <v>0</v>
      </c>
      <c r="AK68" s="716">
        <f t="shared" si="240"/>
        <v>0</v>
      </c>
      <c r="AL68" s="716">
        <f t="shared" si="240"/>
        <v>0</v>
      </c>
      <c r="AM68" s="716">
        <f t="shared" ref="AM68:AP68" si="241">AM69-AM64</f>
        <v>0</v>
      </c>
      <c r="AN68" s="716">
        <f t="shared" si="241"/>
        <v>0</v>
      </c>
      <c r="AO68" s="716">
        <f t="shared" si="241"/>
        <v>0</v>
      </c>
      <c r="AP68" s="716">
        <f t="shared" si="241"/>
        <v>0</v>
      </c>
      <c r="AQ68" s="716">
        <f t="shared" ref="AQ68:AT68" si="242">AQ69-AQ64</f>
        <v>0</v>
      </c>
      <c r="AR68" s="716">
        <f t="shared" si="242"/>
        <v>0</v>
      </c>
      <c r="AS68" s="716">
        <f t="shared" si="242"/>
        <v>0</v>
      </c>
      <c r="AT68" s="716">
        <f t="shared" si="242"/>
        <v>0</v>
      </c>
      <c r="AU68" s="716">
        <f t="shared" ref="AU68:AX68" si="243">AU69-AU64</f>
        <v>0</v>
      </c>
      <c r="AV68" s="716">
        <f t="shared" si="243"/>
        <v>0</v>
      </c>
      <c r="AW68" s="716">
        <f t="shared" si="243"/>
        <v>0</v>
      </c>
      <c r="AX68" s="716">
        <f t="shared" si="243"/>
        <v>0</v>
      </c>
      <c r="AY68" s="716">
        <f t="shared" ref="AY68:AZ68" si="244">AY69-AY64</f>
        <v>0</v>
      </c>
      <c r="AZ68" s="716">
        <f t="shared" si="244"/>
        <v>0</v>
      </c>
      <c r="BB68" s="492">
        <f t="shared" si="239"/>
        <v>0</v>
      </c>
    </row>
    <row r="69" spans="2:60" s="424" customFormat="1" ht="12.75">
      <c r="B69" s="424" t="s">
        <v>518</v>
      </c>
      <c r="C69" s="479">
        <f t="shared" ref="C69:X69" si="245">C64</f>
        <v>9988.4310000000005</v>
      </c>
      <c r="D69" s="479">
        <f t="shared" si="245"/>
        <v>10987.822999999999</v>
      </c>
      <c r="E69" s="479">
        <f t="shared" si="245"/>
        <v>12809.943999999998</v>
      </c>
      <c r="F69" s="479">
        <f t="shared" ref="F69:I69" si="246">F64</f>
        <v>14315.096999999998</v>
      </c>
      <c r="G69" s="479">
        <f t="shared" si="246"/>
        <v>14321.096999999998</v>
      </c>
      <c r="H69" s="479">
        <f t="shared" si="246"/>
        <v>14065.146999999997</v>
      </c>
      <c r="I69" s="479">
        <f t="shared" si="246"/>
        <v>16539.563999999998</v>
      </c>
      <c r="J69" s="479">
        <f t="shared" ref="J69:K69" si="247">J64</f>
        <v>17899.572</v>
      </c>
      <c r="K69" s="479">
        <f t="shared" si="247"/>
        <v>19151.268</v>
      </c>
      <c r="L69" s="479">
        <f t="shared" ref="L69:M69" si="248">L64</f>
        <v>20313.487000000001</v>
      </c>
      <c r="M69" s="479">
        <f t="shared" si="248"/>
        <v>21833.199999999997</v>
      </c>
      <c r="N69" s="479">
        <f t="shared" ref="N69" si="249">N64</f>
        <v>22354.383000000002</v>
      </c>
      <c r="O69" s="733"/>
      <c r="P69" s="479">
        <f t="shared" si="245"/>
        <v>2698.4760000000006</v>
      </c>
      <c r="Q69" s="479">
        <f t="shared" si="245"/>
        <v>2693.386</v>
      </c>
      <c r="R69" s="479">
        <f t="shared" si="245"/>
        <v>2684.73</v>
      </c>
      <c r="S69" s="479">
        <f t="shared" si="245"/>
        <v>2911.2309999999998</v>
      </c>
      <c r="T69" s="479">
        <f t="shared" si="245"/>
        <v>3078.1320000000005</v>
      </c>
      <c r="U69" s="479">
        <f t="shared" si="245"/>
        <v>3142.4409999999989</v>
      </c>
      <c r="V69" s="479">
        <f t="shared" si="245"/>
        <v>3227.2080000000005</v>
      </c>
      <c r="W69" s="479">
        <f t="shared" si="245"/>
        <v>3362.1630000000009</v>
      </c>
      <c r="X69" s="479">
        <f t="shared" si="245"/>
        <v>3444.7319999999995</v>
      </c>
      <c r="Y69" s="479">
        <f t="shared" ref="Y69:AD69" si="250">Y64</f>
        <v>3527.0859999999998</v>
      </c>
      <c r="Z69" s="479">
        <f t="shared" si="250"/>
        <v>3544.6320000000005</v>
      </c>
      <c r="AA69" s="479">
        <f t="shared" si="250"/>
        <v>3798.6469999999963</v>
      </c>
      <c r="AB69" s="479">
        <f t="shared" si="250"/>
        <v>3945.4929999999995</v>
      </c>
      <c r="AC69" s="479">
        <f t="shared" si="250"/>
        <v>3055.6379999999999</v>
      </c>
      <c r="AD69" s="479">
        <f t="shared" si="250"/>
        <v>3200.78</v>
      </c>
      <c r="AE69" s="479">
        <f t="shared" ref="AE69:AJ69" si="251">AE64</f>
        <v>3863.2360000000008</v>
      </c>
      <c r="AF69" s="479">
        <f t="shared" si="251"/>
        <v>3999.3109999999997</v>
      </c>
      <c r="AG69" s="479">
        <f t="shared" si="251"/>
        <v>4015.7509999999993</v>
      </c>
      <c r="AH69" s="479">
        <f t="shared" si="251"/>
        <v>4133.639000000001</v>
      </c>
      <c r="AI69" s="479">
        <f t="shared" si="251"/>
        <v>4390.8629999999976</v>
      </c>
      <c r="AJ69" s="479">
        <f t="shared" si="251"/>
        <v>4394.0349999999999</v>
      </c>
      <c r="AK69" s="479">
        <f t="shared" ref="AK69:AN69" si="252">AK64</f>
        <v>4321.6790000000001</v>
      </c>
      <c r="AL69" s="479">
        <f t="shared" si="252"/>
        <v>4564.1960000000008</v>
      </c>
      <c r="AM69" s="479">
        <f t="shared" si="252"/>
        <v>4619.6620000000021</v>
      </c>
      <c r="AN69" s="479">
        <f t="shared" si="252"/>
        <v>4758.3860000000004</v>
      </c>
      <c r="AO69" s="479">
        <f t="shared" ref="AO69:AR69" si="253">AO64</f>
        <v>4759.8900000000003</v>
      </c>
      <c r="AP69" s="479">
        <f t="shared" si="253"/>
        <v>4769.9860000000008</v>
      </c>
      <c r="AQ69" s="479">
        <f t="shared" si="253"/>
        <v>4863.0059999999985</v>
      </c>
      <c r="AR69" s="479">
        <f t="shared" si="253"/>
        <v>4932.4679999999998</v>
      </c>
      <c r="AS69" s="479">
        <f t="shared" ref="AS69:AV69" si="254">AS64</f>
        <v>4864.0009999999993</v>
      </c>
      <c r="AT69" s="479">
        <f t="shared" si="254"/>
        <v>5170.253999999999</v>
      </c>
      <c r="AU69" s="479">
        <f t="shared" si="254"/>
        <v>5346.7639999999992</v>
      </c>
      <c r="AV69" s="479">
        <f t="shared" si="254"/>
        <v>5404.619999999999</v>
      </c>
      <c r="AW69" s="479">
        <f t="shared" ref="AW69:AZ69" si="255">AW64</f>
        <v>5326.9240000000009</v>
      </c>
      <c r="AX69" s="479">
        <f t="shared" si="255"/>
        <v>5322.8799999999992</v>
      </c>
      <c r="AY69" s="479">
        <f t="shared" si="255"/>
        <v>5778.7760000000017</v>
      </c>
      <c r="AZ69" s="479">
        <f t="shared" si="255"/>
        <v>5925.8029999999999</v>
      </c>
      <c r="BB69" s="479">
        <f>BB64</f>
        <v>3804.6469999999963</v>
      </c>
    </row>
    <row r="70" spans="2:60" s="449" customFormat="1" ht="12.75">
      <c r="B70" s="491" t="s">
        <v>515</v>
      </c>
      <c r="C70" s="490"/>
      <c r="D70" s="490">
        <f>+D69/C69-1</f>
        <v>0.10005495357579153</v>
      </c>
      <c r="E70" s="490">
        <f>+E69/D69-1</f>
        <v>0.16583093848526675</v>
      </c>
      <c r="F70" s="490">
        <f>+F69/E69-1</f>
        <v>0.11749879624766524</v>
      </c>
      <c r="G70" s="490">
        <f>+G69/E69-1</f>
        <v>0.11796718237019621</v>
      </c>
      <c r="H70" s="490">
        <f t="shared" ref="H70:M70" si="256">+H69/G69-1</f>
        <v>-1.7872234228984096E-2</v>
      </c>
      <c r="I70" s="490">
        <f t="shared" si="256"/>
        <v>0.17592542758351559</v>
      </c>
      <c r="J70" s="490">
        <f t="shared" si="256"/>
        <v>8.2227560533034705E-2</v>
      </c>
      <c r="K70" s="490">
        <f t="shared" si="256"/>
        <v>6.9928822879116836E-2</v>
      </c>
      <c r="L70" s="490">
        <f t="shared" si="256"/>
        <v>6.0686268919635022E-2</v>
      </c>
      <c r="M70" s="490">
        <f t="shared" si="256"/>
        <v>7.481300477854913E-2</v>
      </c>
      <c r="N70" s="490"/>
      <c r="O70" s="733"/>
      <c r="P70" s="490"/>
      <c r="Q70" s="490"/>
      <c r="R70" s="490"/>
      <c r="S70" s="490"/>
      <c r="T70" s="490">
        <f t="shared" ref="T70:AZ70" si="257">+T69/P69-1</f>
        <v>0.14069274657250985</v>
      </c>
      <c r="U70" s="490">
        <f t="shared" si="257"/>
        <v>0.16672508136598285</v>
      </c>
      <c r="V70" s="490">
        <f t="shared" si="257"/>
        <v>0.20206054240091209</v>
      </c>
      <c r="W70" s="490">
        <f t="shared" si="257"/>
        <v>0.15489392631501975</v>
      </c>
      <c r="X70" s="490">
        <f t="shared" si="257"/>
        <v>0.11909820631473855</v>
      </c>
      <c r="Y70" s="490">
        <f t="shared" si="257"/>
        <v>0.12240325275796771</v>
      </c>
      <c r="Z70" s="490">
        <f t="shared" si="257"/>
        <v>9.8358705109803823E-2</v>
      </c>
      <c r="AA70" s="490">
        <f t="shared" si="257"/>
        <v>0.12982237922432538</v>
      </c>
      <c r="AB70" s="490">
        <f t="shared" si="257"/>
        <v>0.14537008974863652</v>
      </c>
      <c r="AC70" s="490">
        <f t="shared" si="257"/>
        <v>-0.13366501412213927</v>
      </c>
      <c r="AD70" s="490">
        <f t="shared" si="257"/>
        <v>-9.7006402921375301E-2</v>
      </c>
      <c r="AE70" s="490">
        <f>+AE69/BB69-1</f>
        <v>1.5399326139850622E-2</v>
      </c>
      <c r="AF70" s="490">
        <f t="shared" si="257"/>
        <v>1.3640373965940533E-2</v>
      </c>
      <c r="AG70" s="490">
        <f t="shared" si="257"/>
        <v>0.31421032203421984</v>
      </c>
      <c r="AH70" s="490">
        <f t="shared" si="257"/>
        <v>0.29144739719693358</v>
      </c>
      <c r="AI70" s="490">
        <f t="shared" si="257"/>
        <v>0.13657643488515769</v>
      </c>
      <c r="AJ70" s="490">
        <f t="shared" si="257"/>
        <v>9.8698000730625957E-2</v>
      </c>
      <c r="AK70" s="490">
        <f t="shared" si="257"/>
        <v>7.6182014273295628E-2</v>
      </c>
      <c r="AL70" s="490">
        <f t="shared" si="257"/>
        <v>0.10415931337980888</v>
      </c>
      <c r="AM70" s="490">
        <f t="shared" si="257"/>
        <v>5.2107979684177019E-2</v>
      </c>
      <c r="AN70" s="490">
        <f t="shared" si="257"/>
        <v>8.2919457855934464E-2</v>
      </c>
      <c r="AO70" s="490">
        <f t="shared" si="257"/>
        <v>0.10139832227243173</v>
      </c>
      <c r="AP70" s="490">
        <f t="shared" si="257"/>
        <v>4.5087897189340698E-2</v>
      </c>
      <c r="AQ70" s="490">
        <f t="shared" si="257"/>
        <v>5.2675715236308651E-2</v>
      </c>
      <c r="AR70" s="490">
        <f t="shared" si="257"/>
        <v>3.6584253568331615E-2</v>
      </c>
      <c r="AS70" s="490">
        <f t="shared" si="257"/>
        <v>2.1872564281947504E-2</v>
      </c>
      <c r="AT70" s="490">
        <f t="shared" si="257"/>
        <v>8.3913873122478444E-2</v>
      </c>
      <c r="AU70" s="490">
        <f t="shared" si="257"/>
        <v>9.9477154665242207E-2</v>
      </c>
      <c r="AV70" s="490">
        <f t="shared" si="257"/>
        <v>9.5723276866671814E-2</v>
      </c>
      <c r="AW70" s="490">
        <f t="shared" si="257"/>
        <v>9.5173294577859169E-2</v>
      </c>
      <c r="AX70" s="490">
        <f t="shared" si="257"/>
        <v>2.9520019712764745E-2</v>
      </c>
      <c r="AY70" s="490">
        <f t="shared" si="257"/>
        <v>8.0798778476103061E-2</v>
      </c>
      <c r="AZ70" s="490">
        <f t="shared" si="257"/>
        <v>9.6432866695530972E-2</v>
      </c>
      <c r="BB70" s="490">
        <f>+BB69/W69-1</f>
        <v>0.1316069446960173</v>
      </c>
    </row>
    <row r="71" spans="2:60" s="449" customFormat="1" ht="12.75">
      <c r="B71" s="491" t="s">
        <v>516</v>
      </c>
      <c r="C71" s="490">
        <f t="shared" ref="C71:AA71" si="258">C69/C14</f>
        <v>0.75368185012006483</v>
      </c>
      <c r="D71" s="490">
        <f t="shared" si="258"/>
        <v>0.75150350999102666</v>
      </c>
      <c r="E71" s="490">
        <f t="shared" si="258"/>
        <v>0.74454216530431128</v>
      </c>
      <c r="F71" s="490">
        <f t="shared" si="258"/>
        <v>0.74600214090480499</v>
      </c>
      <c r="G71" s="490">
        <f t="shared" ref="G71:J71" si="259">G69/G14</f>
        <v>0.74631481869144023</v>
      </c>
      <c r="H71" s="490">
        <f t="shared" si="259"/>
        <v>0.73281794340558015</v>
      </c>
      <c r="I71" s="490">
        <f t="shared" si="259"/>
        <v>0.75631182634915362</v>
      </c>
      <c r="J71" s="490">
        <f t="shared" si="259"/>
        <v>0.74891457090394808</v>
      </c>
      <c r="K71" s="490">
        <f t="shared" ref="K71:L71" si="260">K69/K14</f>
        <v>0.73496643191128852</v>
      </c>
      <c r="L71" s="490">
        <f t="shared" si="260"/>
        <v>0.71716621316897156</v>
      </c>
      <c r="M71" s="490">
        <f t="shared" ref="M71" si="261">M69/M14</f>
        <v>0.71563572210499915</v>
      </c>
      <c r="N71" s="490">
        <f t="shared" ref="N71" si="262">N69/N14</f>
        <v>0.7231802238798728</v>
      </c>
      <c r="O71" s="733"/>
      <c r="P71" s="490">
        <f t="shared" si="258"/>
        <v>0.75715622108204306</v>
      </c>
      <c r="Q71" s="490">
        <f t="shared" si="258"/>
        <v>0.75233068979926565</v>
      </c>
      <c r="R71" s="490">
        <f t="shared" si="258"/>
        <v>0.7513422673228396</v>
      </c>
      <c r="S71" s="490">
        <f t="shared" si="258"/>
        <v>0.74573197737519581</v>
      </c>
      <c r="T71" s="490">
        <f t="shared" si="258"/>
        <v>0.74534542300534212</v>
      </c>
      <c r="U71" s="490">
        <f t="shared" si="258"/>
        <v>0.74550612097519953</v>
      </c>
      <c r="V71" s="490">
        <f t="shared" si="258"/>
        <v>0.74268130945583866</v>
      </c>
      <c r="W71" s="490">
        <f t="shared" si="258"/>
        <v>0.74469843390557022</v>
      </c>
      <c r="X71" s="490">
        <f t="shared" si="258"/>
        <v>0.74833566541123309</v>
      </c>
      <c r="Y71" s="490">
        <f t="shared" si="258"/>
        <v>0.74459228497070684</v>
      </c>
      <c r="Z71" s="490">
        <f t="shared" si="258"/>
        <v>0.74531961130017632</v>
      </c>
      <c r="AA71" s="490">
        <f t="shared" si="258"/>
        <v>0.74584167877291252</v>
      </c>
      <c r="AB71" s="490">
        <f t="shared" ref="AB71:AG71" si="263">AB69/AB14</f>
        <v>0.76326409487512381</v>
      </c>
      <c r="AC71" s="490">
        <f t="shared" si="263"/>
        <v>0.71089933603535005</v>
      </c>
      <c r="AD71" s="490">
        <f t="shared" si="263"/>
        <v>0.70590388814149929</v>
      </c>
      <c r="AE71" s="490">
        <f t="shared" si="263"/>
        <v>0.74415685706454127</v>
      </c>
      <c r="AF71" s="490">
        <f t="shared" si="263"/>
        <v>0.74482125028238244</v>
      </c>
      <c r="AG71" s="490">
        <f t="shared" si="263"/>
        <v>0.75976086481888527</v>
      </c>
      <c r="AH71" s="490">
        <f t="shared" ref="AH71:AM71" si="264">AH69/AH14</f>
        <v>0.76611493172382017</v>
      </c>
      <c r="AI71" s="490">
        <f t="shared" si="264"/>
        <v>0.75469187724418685</v>
      </c>
      <c r="AJ71" s="490">
        <f t="shared" si="264"/>
        <v>0.75119747856779207</v>
      </c>
      <c r="AK71" s="490">
        <f t="shared" si="264"/>
        <v>0.7449470155433483</v>
      </c>
      <c r="AL71" s="490">
        <f t="shared" si="264"/>
        <v>0.75837025189472274</v>
      </c>
      <c r="AM71" s="490">
        <f t="shared" si="264"/>
        <v>0.74133303035948783</v>
      </c>
      <c r="AN71" s="490">
        <f t="shared" ref="AN71:AQ71" si="265">AN69/AN14</f>
        <v>0.74611024758407996</v>
      </c>
      <c r="AO71" s="490">
        <f t="shared" si="265"/>
        <v>0.73812399280963781</v>
      </c>
      <c r="AP71" s="490">
        <f t="shared" si="265"/>
        <v>0.73974924753168059</v>
      </c>
      <c r="AQ71" s="490">
        <f t="shared" si="265"/>
        <v>0.71694008051302349</v>
      </c>
      <c r="AR71" s="490">
        <f t="shared" ref="AR71:AU71" si="266">AR69/AR14</f>
        <v>0.72283673309382723</v>
      </c>
      <c r="AS71" s="490">
        <f t="shared" si="266"/>
        <v>0.7140372441397651</v>
      </c>
      <c r="AT71" s="490">
        <f t="shared" si="266"/>
        <v>0.72205894839864404</v>
      </c>
      <c r="AU71" s="490">
        <f t="shared" si="266"/>
        <v>0.71020413259553128</v>
      </c>
      <c r="AV71" s="490">
        <f t="shared" ref="AV71:AY71" si="267">AV69/AV14</f>
        <v>0.71068731911867511</v>
      </c>
      <c r="AW71" s="490">
        <f t="shared" si="267"/>
        <v>0.70975818845061589</v>
      </c>
      <c r="AX71" s="490">
        <f t="shared" si="267"/>
        <v>0.70732976528826164</v>
      </c>
      <c r="AY71" s="490">
        <f t="shared" si="267"/>
        <v>0.73395663429672642</v>
      </c>
      <c r="AZ71" s="490">
        <f t="shared" ref="AZ71" si="268">AZ69/AZ14</f>
        <v>0.74006107767515183</v>
      </c>
      <c r="BB71" s="490">
        <f>BB69/BB14</f>
        <v>0.74701974298173146</v>
      </c>
    </row>
    <row r="72" spans="2:60" ht="12.75">
      <c r="C72" s="467"/>
      <c r="D72" s="467"/>
      <c r="E72" s="467"/>
      <c r="F72" s="467"/>
      <c r="G72" s="467"/>
      <c r="H72" s="467"/>
      <c r="I72" s="467"/>
      <c r="J72" s="467"/>
      <c r="K72" s="467"/>
      <c r="L72" s="467"/>
      <c r="BH72" s="651"/>
    </row>
    <row r="73" spans="2:60" ht="12.75">
      <c r="B73" s="464" t="s">
        <v>519</v>
      </c>
      <c r="C73" s="460">
        <f t="shared" ref="C73:T73" si="269">+C61</f>
        <v>42735</v>
      </c>
      <c r="D73" s="461">
        <f t="shared" si="269"/>
        <v>43100</v>
      </c>
      <c r="E73" s="461">
        <f t="shared" si="269"/>
        <v>43465</v>
      </c>
      <c r="F73" s="461">
        <f t="shared" ref="F73:I73" si="270">+F61</f>
        <v>43830</v>
      </c>
      <c r="G73" s="461">
        <f t="shared" si="270"/>
        <v>43830</v>
      </c>
      <c r="H73" s="461">
        <f t="shared" si="270"/>
        <v>44196</v>
      </c>
      <c r="I73" s="461">
        <f t="shared" si="270"/>
        <v>44561</v>
      </c>
      <c r="J73" s="461">
        <f t="shared" ref="J73:K73" si="271">+J61</f>
        <v>44926</v>
      </c>
      <c r="K73" s="461">
        <f t="shared" si="271"/>
        <v>45291</v>
      </c>
      <c r="L73" s="461">
        <f t="shared" ref="L73:M73" si="272">+L61</f>
        <v>45657</v>
      </c>
      <c r="M73" s="461">
        <f t="shared" si="272"/>
        <v>46022</v>
      </c>
      <c r="N73" s="708">
        <f t="shared" ref="N73" si="273">+N61</f>
        <v>46111</v>
      </c>
      <c r="O73" s="741"/>
      <c r="P73" s="460">
        <f t="shared" si="269"/>
        <v>42825</v>
      </c>
      <c r="Q73" s="460">
        <f t="shared" si="269"/>
        <v>42916</v>
      </c>
      <c r="R73" s="460">
        <f t="shared" si="269"/>
        <v>43008</v>
      </c>
      <c r="S73" s="460">
        <f t="shared" si="269"/>
        <v>43099</v>
      </c>
      <c r="T73" s="460">
        <f t="shared" si="269"/>
        <v>43189</v>
      </c>
      <c r="U73" s="460">
        <f>U3</f>
        <v>43281</v>
      </c>
      <c r="V73" s="460">
        <f>V3</f>
        <v>43373</v>
      </c>
      <c r="W73" s="460">
        <f>W3</f>
        <v>43464</v>
      </c>
      <c r="X73" s="460">
        <f>+X61</f>
        <v>43554</v>
      </c>
      <c r="Y73" s="460">
        <f>+Y61</f>
        <v>43646</v>
      </c>
      <c r="Z73" s="460">
        <f>+Z61</f>
        <v>43738</v>
      </c>
      <c r="AA73" s="460">
        <f>AA3</f>
        <v>43829</v>
      </c>
      <c r="AB73" s="460">
        <f>+AB61</f>
        <v>43920</v>
      </c>
      <c r="AC73" s="460">
        <f>+AC61</f>
        <v>44012</v>
      </c>
      <c r="AD73" s="460">
        <f>+AD61</f>
        <v>44104</v>
      </c>
      <c r="AE73" s="564">
        <f>AE3</f>
        <v>44195</v>
      </c>
      <c r="AF73" s="564">
        <f>AF3</f>
        <v>44285</v>
      </c>
      <c r="AG73" s="460">
        <f>+AG61</f>
        <v>44377</v>
      </c>
      <c r="AH73" s="460">
        <f>+AH61</f>
        <v>44469</v>
      </c>
      <c r="AI73" s="564">
        <f>AI3</f>
        <v>44560</v>
      </c>
      <c r="AJ73" s="564">
        <f>AJ3</f>
        <v>44650</v>
      </c>
      <c r="AK73" s="564">
        <f>AK3</f>
        <v>44742</v>
      </c>
      <c r="AL73" s="564">
        <f>+AL61</f>
        <v>44834</v>
      </c>
      <c r="AM73" s="564">
        <f>AM3</f>
        <v>44925</v>
      </c>
      <c r="AN73" s="564">
        <f>AN3</f>
        <v>45015</v>
      </c>
      <c r="AO73" s="564">
        <f>AO3</f>
        <v>45107</v>
      </c>
      <c r="AP73" s="564">
        <f>+AP61</f>
        <v>45199</v>
      </c>
      <c r="AQ73" s="564">
        <f>AQ3</f>
        <v>45290</v>
      </c>
      <c r="AR73" s="564">
        <f>AR3</f>
        <v>45381</v>
      </c>
      <c r="AS73" s="564">
        <f>AS3</f>
        <v>45473</v>
      </c>
      <c r="AT73" s="564">
        <f>+AT61</f>
        <v>45565</v>
      </c>
      <c r="AU73" s="564">
        <f>AU3</f>
        <v>45656</v>
      </c>
      <c r="AV73" s="564">
        <f>AV3</f>
        <v>45746</v>
      </c>
      <c r="AW73" s="564">
        <f>AW3</f>
        <v>45838</v>
      </c>
      <c r="AX73" s="564">
        <f>+AX61</f>
        <v>45930</v>
      </c>
      <c r="AY73" s="564">
        <f>AY3</f>
        <v>46021</v>
      </c>
      <c r="AZ73" s="564">
        <f>AZ3</f>
        <v>46111</v>
      </c>
      <c r="BB73" s="460">
        <f>BB3</f>
        <v>43829</v>
      </c>
      <c r="BF73" s="651"/>
      <c r="BH73" s="651"/>
    </row>
    <row r="74" spans="2:60" s="424" customFormat="1" ht="12.75">
      <c r="B74" s="424" t="s">
        <v>520</v>
      </c>
      <c r="C74" s="479">
        <f t="shared" ref="C74:X74" si="274">C69</f>
        <v>9988.4310000000005</v>
      </c>
      <c r="D74" s="479">
        <f t="shared" si="274"/>
        <v>10987.822999999999</v>
      </c>
      <c r="E74" s="479">
        <f t="shared" si="274"/>
        <v>12809.943999999998</v>
      </c>
      <c r="F74" s="479">
        <f t="shared" ref="F74:I74" si="275">F69</f>
        <v>14315.096999999998</v>
      </c>
      <c r="G74" s="479">
        <f t="shared" si="275"/>
        <v>14321.096999999998</v>
      </c>
      <c r="H74" s="479">
        <f t="shared" si="275"/>
        <v>14065.146999999997</v>
      </c>
      <c r="I74" s="479">
        <f t="shared" si="275"/>
        <v>16539.563999999998</v>
      </c>
      <c r="J74" s="479">
        <f t="shared" ref="J74:K74" si="276">J69</f>
        <v>17899.572</v>
      </c>
      <c r="K74" s="479">
        <f t="shared" si="276"/>
        <v>19151.268</v>
      </c>
      <c r="L74" s="479">
        <f t="shared" ref="L74:M74" si="277">L69</f>
        <v>20313.487000000001</v>
      </c>
      <c r="M74" s="479">
        <f t="shared" si="277"/>
        <v>21833.199999999997</v>
      </c>
      <c r="N74" s="479">
        <f t="shared" ref="N74" si="278">N69</f>
        <v>22354.383000000002</v>
      </c>
      <c r="O74" s="479"/>
      <c r="P74" s="479">
        <f t="shared" si="274"/>
        <v>2698.4760000000006</v>
      </c>
      <c r="Q74" s="479">
        <f t="shared" si="274"/>
        <v>2693.386</v>
      </c>
      <c r="R74" s="479">
        <f t="shared" si="274"/>
        <v>2684.73</v>
      </c>
      <c r="S74" s="479">
        <f t="shared" si="274"/>
        <v>2911.2309999999998</v>
      </c>
      <c r="T74" s="479">
        <f t="shared" si="274"/>
        <v>3078.1320000000005</v>
      </c>
      <c r="U74" s="479">
        <f t="shared" si="274"/>
        <v>3142.4409999999989</v>
      </c>
      <c r="V74" s="479">
        <f t="shared" si="274"/>
        <v>3227.2080000000005</v>
      </c>
      <c r="W74" s="479">
        <f t="shared" si="274"/>
        <v>3362.1630000000009</v>
      </c>
      <c r="X74" s="479">
        <f t="shared" si="274"/>
        <v>3444.7319999999995</v>
      </c>
      <c r="Y74" s="479">
        <f t="shared" ref="Y74:AD74" si="279">Y69</f>
        <v>3527.0859999999998</v>
      </c>
      <c r="Z74" s="479">
        <f t="shared" si="279"/>
        <v>3544.6320000000005</v>
      </c>
      <c r="AA74" s="479">
        <f t="shared" si="279"/>
        <v>3798.6469999999963</v>
      </c>
      <c r="AB74" s="479">
        <f t="shared" si="279"/>
        <v>3945.4929999999995</v>
      </c>
      <c r="AC74" s="479">
        <f t="shared" si="279"/>
        <v>3055.6379999999999</v>
      </c>
      <c r="AD74" s="479">
        <f t="shared" si="279"/>
        <v>3200.78</v>
      </c>
      <c r="AE74" s="479">
        <f t="shared" ref="AE74:AJ74" si="280">AE69</f>
        <v>3863.2360000000008</v>
      </c>
      <c r="AF74" s="479">
        <f t="shared" si="280"/>
        <v>3999.3109999999997</v>
      </c>
      <c r="AG74" s="479">
        <f t="shared" si="280"/>
        <v>4015.7509999999993</v>
      </c>
      <c r="AH74" s="479">
        <f t="shared" si="280"/>
        <v>4133.639000000001</v>
      </c>
      <c r="AI74" s="479">
        <f t="shared" si="280"/>
        <v>4390.8629999999976</v>
      </c>
      <c r="AJ74" s="479">
        <f t="shared" si="280"/>
        <v>4394.0349999999999</v>
      </c>
      <c r="AK74" s="479">
        <f t="shared" ref="AK74:AN74" si="281">AK69</f>
        <v>4321.6790000000001</v>
      </c>
      <c r="AL74" s="479">
        <f t="shared" si="281"/>
        <v>4564.1960000000008</v>
      </c>
      <c r="AM74" s="479">
        <f t="shared" si="281"/>
        <v>4619.6620000000021</v>
      </c>
      <c r="AN74" s="479">
        <f t="shared" si="281"/>
        <v>4758.3860000000004</v>
      </c>
      <c r="AO74" s="479">
        <f t="shared" ref="AO74:AR74" si="282">AO69</f>
        <v>4759.8900000000003</v>
      </c>
      <c r="AP74" s="479">
        <f t="shared" si="282"/>
        <v>4769.9860000000008</v>
      </c>
      <c r="AQ74" s="479">
        <f t="shared" si="282"/>
        <v>4863.0059999999985</v>
      </c>
      <c r="AR74" s="479">
        <f t="shared" si="282"/>
        <v>4932.4679999999998</v>
      </c>
      <c r="AS74" s="479">
        <f t="shared" ref="AS74:AV74" si="283">AS69</f>
        <v>4864.0009999999993</v>
      </c>
      <c r="AT74" s="479">
        <f t="shared" si="283"/>
        <v>5170.253999999999</v>
      </c>
      <c r="AU74" s="479">
        <f t="shared" si="283"/>
        <v>5346.7639999999992</v>
      </c>
      <c r="AV74" s="479">
        <f t="shared" si="283"/>
        <v>5404.619999999999</v>
      </c>
      <c r="AW74" s="479">
        <f t="shared" ref="AW74:AZ74" si="284">AW69</f>
        <v>5326.9240000000009</v>
      </c>
      <c r="AX74" s="479">
        <f t="shared" si="284"/>
        <v>5322.8799999999992</v>
      </c>
      <c r="AY74" s="479">
        <f t="shared" si="284"/>
        <v>5778.7760000000017</v>
      </c>
      <c r="AZ74" s="479">
        <f t="shared" si="284"/>
        <v>5925.8029999999999</v>
      </c>
      <c r="BB74" s="479">
        <f>BB69</f>
        <v>3804.6469999999963</v>
      </c>
      <c r="BF74" s="650"/>
      <c r="BH74" s="651"/>
    </row>
    <row r="75" spans="2:60" ht="12.75">
      <c r="B75" s="435" t="s">
        <v>521</v>
      </c>
      <c r="C75" s="420">
        <f>12176.264-9424.812</f>
        <v>2751.4519999999993</v>
      </c>
      <c r="D75" s="420">
        <f>9480.721-11356.668</f>
        <v>-1875.9470000000001</v>
      </c>
      <c r="E75" s="420">
        <f>15044.885-13472.85</f>
        <v>1572.0349999999999</v>
      </c>
      <c r="F75" s="420">
        <f>13266.786-15304.416</f>
        <v>-2037.6299999999992</v>
      </c>
      <c r="G75" s="420">
        <f>11666.701-14846.386</f>
        <v>-3179.6850000000013</v>
      </c>
      <c r="H75" s="420">
        <f>13520.527-13702.118</f>
        <v>-181.59100000000035</v>
      </c>
      <c r="I75" s="420">
        <f>18112.965-17181.481</f>
        <v>931.48400000000038</v>
      </c>
      <c r="J75" s="420">
        <f>19665.898-19358.127</f>
        <v>307.77100000000064</v>
      </c>
      <c r="K75" s="420">
        <f>18487.147-20448.43</f>
        <v>-1961.2829999999994</v>
      </c>
      <c r="L75" s="420">
        <f>19558.643-21247.8</f>
        <v>-1689.1569999999992</v>
      </c>
      <c r="M75" s="420">
        <f>17254.602-23277.023</f>
        <v>-6022.4210000000021</v>
      </c>
      <c r="N75" s="486">
        <f>SUM(AW75:AZ75)</f>
        <v>-7120.3640000000023</v>
      </c>
      <c r="O75" s="486"/>
      <c r="P75" s="487">
        <f>1923.739-2834.497</f>
        <v>-910.75799999999981</v>
      </c>
      <c r="Q75" s="487">
        <f>4052.085-4849.928-P75</f>
        <v>112.91499999999996</v>
      </c>
      <c r="R75" s="487">
        <f>7975.154-8207.418-Q75-P75</f>
        <v>565.57900000000063</v>
      </c>
      <c r="S75" s="489">
        <f>+IFERROR(D75-P75-Q75-R75,"NA")</f>
        <v>-1643.6830000000009</v>
      </c>
      <c r="T75" s="487">
        <f>1720.871-1735.892</f>
        <v>-15.020999999999958</v>
      </c>
      <c r="U75" s="487">
        <f>7103.958-6446.74-T75</f>
        <v>672.23899999999981</v>
      </c>
      <c r="V75" s="487">
        <f>10972.666-9958.829-U75-T75</f>
        <v>356.61899999999969</v>
      </c>
      <c r="W75" s="489">
        <f>E75-V75-U75-T75</f>
        <v>558.19800000000032</v>
      </c>
      <c r="X75" s="487">
        <f>3128.845-3798.881</f>
        <v>-670.03600000000006</v>
      </c>
      <c r="Y75" s="487">
        <f>6667.851-7759.39-X75</f>
        <v>-421.50300000000061</v>
      </c>
      <c r="Z75" s="487">
        <f>10571.647-10098.788-Y75-X75</f>
        <v>1564.398000000001</v>
      </c>
      <c r="AA75" s="489">
        <f>F75-Z75-Y75-X75</f>
        <v>-2510.4889999999996</v>
      </c>
      <c r="AB75" s="487">
        <f>3887.616-4229.534</f>
        <v>-341.91799999999967</v>
      </c>
      <c r="AC75" s="487">
        <f>7717.526-7655.008-AB75</f>
        <v>404.43599999999969</v>
      </c>
      <c r="AD75" s="487">
        <f>10657.813-10144.415-AC75-AB75</f>
        <v>450.8799999999992</v>
      </c>
      <c r="AE75" s="486">
        <f>H75-AD75-AC75-AB75</f>
        <v>-694.98899999999958</v>
      </c>
      <c r="AF75" s="487">
        <f>2918.273-3517.288</f>
        <v>-599.01499999999987</v>
      </c>
      <c r="AG75" s="487">
        <f>7056.947-7958.567-AF75</f>
        <v>-302.60500000000002</v>
      </c>
      <c r="AH75" s="487">
        <f>10467.539-12057.429-AG75-AF75</f>
        <v>-688.26999999999953</v>
      </c>
      <c r="AI75" s="486">
        <f>I75-AH75-AG75-AF75</f>
        <v>2521.3739999999998</v>
      </c>
      <c r="AJ75" s="487">
        <f>3693.822-4042.401</f>
        <v>-348.57899999999972</v>
      </c>
      <c r="AK75" s="487">
        <f>9296.261-9249.877-AJ75</f>
        <v>394.96299999999974</v>
      </c>
      <c r="AL75" s="487">
        <f>14267.761-14849.331-AK75-AJ75</f>
        <v>-627.95399999999972</v>
      </c>
      <c r="AM75" s="486">
        <f>J75-AL75-AK75-AJ75</f>
        <v>889.34100000000035</v>
      </c>
      <c r="AN75" s="487">
        <f>5343.67-5913.961</f>
        <v>-570.29100000000017</v>
      </c>
      <c r="AO75" s="487">
        <f>9425.569-10059.963-AN75</f>
        <v>-64.103000000000065</v>
      </c>
      <c r="AP75" s="487">
        <f>13779.06-15846.963-AO75-AN75</f>
        <v>-1433.509</v>
      </c>
      <c r="AQ75" s="486">
        <f>K75-AP75-AO75-AN75</f>
        <v>106.6200000000008</v>
      </c>
      <c r="AR75" s="487">
        <f>4602.916-5987.132</f>
        <v>-1384.2159999999994</v>
      </c>
      <c r="AS75" s="487">
        <f>9681.13-10655.705-AR75</f>
        <v>409.64099999999871</v>
      </c>
      <c r="AT75" s="487">
        <f>14652.296-16673.036-AS75-AR75</f>
        <v>-1046.1649999999991</v>
      </c>
      <c r="AU75" s="486">
        <f>L75-AT75-AS75-AR75</f>
        <v>331.58300000000054</v>
      </c>
      <c r="AV75" s="487">
        <f>(4909853-5839159)/1000</f>
        <v>-929.30600000000004</v>
      </c>
      <c r="AW75" s="487">
        <f>9830.514-11298.353-AV75</f>
        <v>-538.5329999999999</v>
      </c>
      <c r="AX75" s="487">
        <f>14480.042-16947.298-AW75-AV75</f>
        <v>-999.41699999999946</v>
      </c>
      <c r="AY75" s="486">
        <f>M75-AX75-AW75-AV75</f>
        <v>-3555.1650000000031</v>
      </c>
      <c r="AZ75" s="487">
        <f>4751.585-6778.834</f>
        <v>-2027.2489999999998</v>
      </c>
      <c r="BA75" s="424"/>
      <c r="BB75" s="486">
        <f>G75-Z75-Y75-X75</f>
        <v>-3652.5440000000017</v>
      </c>
      <c r="BF75" s="651"/>
      <c r="BH75" s="651"/>
    </row>
    <row r="76" spans="2:60" ht="12.75">
      <c r="B76" s="435" t="s">
        <v>522</v>
      </c>
      <c r="C76" s="420">
        <v>-3701.3229999999999</v>
      </c>
      <c r="D76" s="420">
        <v>-4936.4359999999997</v>
      </c>
      <c r="E76" s="420">
        <v>-6118.7690000000002</v>
      </c>
      <c r="F76" s="420">
        <v>-6912.7910000000002</v>
      </c>
      <c r="G76" s="420">
        <v>-4946.9520000000002</v>
      </c>
      <c r="H76" s="420">
        <v>-7398.1689999999999</v>
      </c>
      <c r="I76" s="420">
        <v>-6108.2219999999998</v>
      </c>
      <c r="J76" s="420">
        <v>-7991.3779999999997</v>
      </c>
      <c r="K76" s="420">
        <v>-8273.73</v>
      </c>
      <c r="L76" s="420">
        <v>-9031.3009999999995</v>
      </c>
      <c r="M76" s="420">
        <v>-12361.334999999999</v>
      </c>
      <c r="N76" s="486">
        <f t="shared" ref="N76:N77" si="285">SUM(AW76:AZ76)</f>
        <v>-11031.535999999998</v>
      </c>
      <c r="O76" s="486"/>
      <c r="P76" s="420">
        <v>-1416.0360000000001</v>
      </c>
      <c r="Q76" s="420">
        <f>-2351.764-P76</f>
        <v>-935.72800000000007</v>
      </c>
      <c r="R76" s="420">
        <f>-3773.209-Q76-P76</f>
        <v>-1421.4449999999997</v>
      </c>
      <c r="S76" s="423">
        <f>+IFERROR(D76-P76-Q76-R76,"NA")</f>
        <v>-1163.2269999999999</v>
      </c>
      <c r="T76" s="420">
        <v>-693.36699999999996</v>
      </c>
      <c r="U76" s="420">
        <f>-2797.673-T76</f>
        <v>-2104.3059999999996</v>
      </c>
      <c r="V76" s="420">
        <f>-3869.496-U76-T76</f>
        <v>-1071.8230000000005</v>
      </c>
      <c r="W76" s="423">
        <f>E76-V76-U76-T76</f>
        <v>-2249.2730000000001</v>
      </c>
      <c r="X76" s="420">
        <v>-1721.998</v>
      </c>
      <c r="Y76" s="420">
        <f>-3509.026-X76</f>
        <v>-1787.0279999999998</v>
      </c>
      <c r="Z76" s="420">
        <f>-5556.885-Y76-X76</f>
        <v>-2047.8590000000004</v>
      </c>
      <c r="AA76" s="423">
        <f>F76-Z76-Y76-X76</f>
        <v>-1355.9059999999999</v>
      </c>
      <c r="AB76" s="420">
        <v>-2207.2249999999999</v>
      </c>
      <c r="AC76" s="420">
        <f>-3913.442-AB76</f>
        <v>-1706.2170000000001</v>
      </c>
      <c r="AD76" s="420">
        <f>-5408.403-AC76-AB76</f>
        <v>-1494.9610000000002</v>
      </c>
      <c r="AE76" s="486">
        <f>H76-AD76-AC76-AB76</f>
        <v>-1989.7660000000001</v>
      </c>
      <c r="AF76" s="420">
        <v>-2251.145</v>
      </c>
      <c r="AG76" s="420">
        <f>-3153.816-AF76</f>
        <v>-902.67099999999982</v>
      </c>
      <c r="AH76" s="420">
        <f>-5192.041-AG76-AF76</f>
        <v>-2038.2250000000008</v>
      </c>
      <c r="AI76" s="486">
        <f>I76-AH76-AG76-AF76</f>
        <v>-916.18099999999913</v>
      </c>
      <c r="AJ76" s="420">
        <v>-2308.2779999999998</v>
      </c>
      <c r="AK76" s="420">
        <f>-3838.941-AJ76</f>
        <v>-1530.663</v>
      </c>
      <c r="AL76" s="420">
        <f>-(7248.291)-AK76-AJ76</f>
        <v>-3409.3500000000008</v>
      </c>
      <c r="AM76" s="486">
        <f>J76-AL76-AK76-AJ76</f>
        <v>-743.08699999999862</v>
      </c>
      <c r="AN76" s="420">
        <v>-2635.848</v>
      </c>
      <c r="AO76" s="420">
        <f>-4203.267-AN76</f>
        <v>-1567.4189999999999</v>
      </c>
      <c r="AP76" s="420">
        <f>-6822.395-AO76-AN76</f>
        <v>-2619.1280000000006</v>
      </c>
      <c r="AQ76" s="486">
        <f>K76-AP76-AO76-AN76</f>
        <v>-1451.3349999999991</v>
      </c>
      <c r="AR76" s="420">
        <v>-2812.4160000000002</v>
      </c>
      <c r="AS76" s="420">
        <f>-4190.317-AR76</f>
        <v>-1377.9009999999998</v>
      </c>
      <c r="AT76" s="420">
        <f>-7600.984-AS76-AR76</f>
        <v>-3410.6670000000004</v>
      </c>
      <c r="AU76" s="486">
        <f t="shared" ref="AU76:AU77" si="286">L76-AT76-AS76-AR76</f>
        <v>-1430.3169999999991</v>
      </c>
      <c r="AV76" s="420">
        <v>-3984.2779999999998</v>
      </c>
      <c r="AW76" s="420">
        <f>-5650.699-AV76</f>
        <v>-1666.4209999999998</v>
      </c>
      <c r="AX76" s="420">
        <f>-9207.325-AW76-AV76</f>
        <v>-3556.6260000000007</v>
      </c>
      <c r="AY76" s="486">
        <f t="shared" ref="AY76:AY77" si="287">M76-AX76-AW76-AV76</f>
        <v>-3154.0099999999989</v>
      </c>
      <c r="AZ76" s="420">
        <v>-2654.4789999999998</v>
      </c>
      <c r="BB76" s="486">
        <f>G76-Z76-Y76-X76</f>
        <v>609.93299999999999</v>
      </c>
      <c r="BF76" s="651"/>
      <c r="BH76" s="651"/>
    </row>
    <row r="77" spans="2:60" ht="12.75">
      <c r="B77" s="435" t="s">
        <v>523</v>
      </c>
      <c r="C77" s="420">
        <v>171.69800000000001</v>
      </c>
      <c r="D77" s="420">
        <v>494.839</v>
      </c>
      <c r="E77" s="420">
        <v>587.72400000000005</v>
      </c>
      <c r="F77" s="420">
        <v>621.88800000000003</v>
      </c>
      <c r="G77" s="420">
        <v>621.88800000000003</v>
      </c>
      <c r="H77" s="420">
        <v>306.53500000000003</v>
      </c>
      <c r="I77" s="420">
        <v>154.01400000000001</v>
      </c>
      <c r="J77" s="420">
        <v>280.541</v>
      </c>
      <c r="K77" s="420">
        <v>253.99100000000001</v>
      </c>
      <c r="L77" s="420">
        <v>276.447</v>
      </c>
      <c r="M77" s="420">
        <v>328.89299999999997</v>
      </c>
      <c r="N77" s="486">
        <f t="shared" si="285"/>
        <v>438.69999999999993</v>
      </c>
      <c r="O77" s="486"/>
      <c r="P77" s="420">
        <v>61.36</v>
      </c>
      <c r="Q77" s="420">
        <f>148.743-P77</f>
        <v>87.382999999999996</v>
      </c>
      <c r="R77" s="420">
        <f>319.693-Q77-P77</f>
        <v>170.95</v>
      </c>
      <c r="S77" s="423">
        <f>+IFERROR(D77-P77-Q77-R77,"NA")</f>
        <v>175.14600000000002</v>
      </c>
      <c r="T77" s="420">
        <v>226.21700000000001</v>
      </c>
      <c r="U77" s="420">
        <f>240.322-T77</f>
        <v>14.10499999999999</v>
      </c>
      <c r="V77" s="420">
        <f>511.199-U77-T77</f>
        <v>270.87700000000007</v>
      </c>
      <c r="W77" s="423">
        <f>E77-V77-U77-T77</f>
        <v>76.524999999999949</v>
      </c>
      <c r="X77" s="420">
        <v>245.54300000000001</v>
      </c>
      <c r="Y77" s="420">
        <f>308.276-X77</f>
        <v>62.733000000000004</v>
      </c>
      <c r="Z77" s="420">
        <f>600.187-Y77-X77</f>
        <v>291.91099999999994</v>
      </c>
      <c r="AA77" s="423">
        <f>F77-Z77-Y77-X77</f>
        <v>21.701000000000079</v>
      </c>
      <c r="AB77" s="420">
        <v>31.117999999999999</v>
      </c>
      <c r="AC77" s="420">
        <f>153.684-AB77</f>
        <v>122.566</v>
      </c>
      <c r="AD77" s="420">
        <f>248.606-AC77-AB77</f>
        <v>94.921999999999997</v>
      </c>
      <c r="AE77" s="486">
        <f>H77-AD77-AC77-AB77</f>
        <v>57.92900000000003</v>
      </c>
      <c r="AF77" s="420">
        <v>185.96100000000001</v>
      </c>
      <c r="AG77" s="420">
        <f>108.131-AF77</f>
        <v>-77.830000000000013</v>
      </c>
      <c r="AH77" s="420">
        <f xml:space="preserve"> 120.325-AG77-AF77</f>
        <v>12.194000000000017</v>
      </c>
      <c r="AI77" s="486">
        <f>I77-AH77-AG77-AF77</f>
        <v>33.688999999999993</v>
      </c>
      <c r="AJ77" s="420">
        <v>38.710999999999999</v>
      </c>
      <c r="AK77" s="420">
        <f>118.578-AJ77</f>
        <v>79.867000000000004</v>
      </c>
      <c r="AL77" s="420">
        <f xml:space="preserve"> 184.736-AK77-AJ77</f>
        <v>66.157999999999987</v>
      </c>
      <c r="AM77" s="486">
        <f>J77-AL77-AK77-AJ77</f>
        <v>95.805000000000021</v>
      </c>
      <c r="AN77" s="420">
        <v>95.206000000000003</v>
      </c>
      <c r="AO77" s="420">
        <f>149.707-AN77</f>
        <v>54.500999999999991</v>
      </c>
      <c r="AP77" s="420">
        <f>207.518-AO77-AN77</f>
        <v>57.810999999999993</v>
      </c>
      <c r="AQ77" s="486">
        <f>K77-AP77-AO77-AN77</f>
        <v>46.473000000000027</v>
      </c>
      <c r="AR77" s="420">
        <v>68.981999999999999</v>
      </c>
      <c r="AS77" s="420">
        <f>131.311-AR77</f>
        <v>62.329000000000008</v>
      </c>
      <c r="AT77" s="420">
        <f>200.078-AS77-AR77</f>
        <v>68.766999999999996</v>
      </c>
      <c r="AU77" s="486">
        <f t="shared" si="286"/>
        <v>76.369</v>
      </c>
      <c r="AV77" s="420">
        <v>114.346</v>
      </c>
      <c r="AW77" s="420">
        <f>160.309-AV77</f>
        <v>45.962999999999994</v>
      </c>
      <c r="AX77" s="420">
        <f>196.497-AW77-AV77</f>
        <v>36.188000000000017</v>
      </c>
      <c r="AY77" s="486">
        <f t="shared" si="287"/>
        <v>132.39599999999993</v>
      </c>
      <c r="AZ77" s="420">
        <v>224.15299999999999</v>
      </c>
      <c r="BB77" s="486">
        <f>G77-Z77-Y77-X77</f>
        <v>21.701000000000079</v>
      </c>
      <c r="BF77" s="651"/>
      <c r="BH77" s="651"/>
    </row>
    <row r="78" spans="2:60" s="424" customFormat="1" ht="12.75">
      <c r="B78" s="424" t="s">
        <v>524</v>
      </c>
      <c r="C78" s="488">
        <f t="shared" ref="C78:X78" si="288">SUM(C74:C77)</f>
        <v>9210.2579999999998</v>
      </c>
      <c r="D78" s="488">
        <f t="shared" si="288"/>
        <v>4670.2789999999986</v>
      </c>
      <c r="E78" s="488">
        <f t="shared" si="288"/>
        <v>8850.9339999999975</v>
      </c>
      <c r="F78" s="488">
        <f t="shared" ref="F78:I78" si="289">SUM(F74:F77)</f>
        <v>5986.5639999999985</v>
      </c>
      <c r="G78" s="488">
        <f t="shared" si="289"/>
        <v>6816.3479999999963</v>
      </c>
      <c r="H78" s="488">
        <f t="shared" si="289"/>
        <v>6791.9219999999968</v>
      </c>
      <c r="I78" s="488">
        <f t="shared" si="289"/>
        <v>11516.839999999998</v>
      </c>
      <c r="J78" s="488">
        <f t="shared" ref="J78:K78" si="290">SUM(J74:J77)</f>
        <v>10496.505999999999</v>
      </c>
      <c r="K78" s="488">
        <f t="shared" si="290"/>
        <v>9170.246000000001</v>
      </c>
      <c r="L78" s="488">
        <f t="shared" ref="L78:M78" si="291">SUM(L74:L77)</f>
        <v>9869.4760000000024</v>
      </c>
      <c r="M78" s="488">
        <f t="shared" si="291"/>
        <v>3778.3369999999959</v>
      </c>
      <c r="N78" s="488">
        <f t="shared" ref="N78" si="292">SUM(N74:N77)</f>
        <v>4641.1830000000018</v>
      </c>
      <c r="O78" s="488"/>
      <c r="P78" s="488">
        <f t="shared" si="288"/>
        <v>433.04200000000071</v>
      </c>
      <c r="Q78" s="488">
        <f t="shared" si="288"/>
        <v>1957.9559999999999</v>
      </c>
      <c r="R78" s="488">
        <f t="shared" si="288"/>
        <v>1999.814000000001</v>
      </c>
      <c r="S78" s="488">
        <f t="shared" si="288"/>
        <v>279.46699999999902</v>
      </c>
      <c r="T78" s="488">
        <f t="shared" si="288"/>
        <v>2595.9610000000007</v>
      </c>
      <c r="U78" s="488">
        <f t="shared" si="288"/>
        <v>1724.4789999999989</v>
      </c>
      <c r="V78" s="488">
        <f t="shared" si="288"/>
        <v>2782.8809999999999</v>
      </c>
      <c r="W78" s="488">
        <f t="shared" si="288"/>
        <v>1747.613000000001</v>
      </c>
      <c r="X78" s="488">
        <f t="shared" si="288"/>
        <v>1298.2409999999995</v>
      </c>
      <c r="Y78" s="488">
        <f t="shared" ref="Y78:BB78" si="293">SUM(Y74:Y77)</f>
        <v>1381.2879999999993</v>
      </c>
      <c r="Z78" s="488">
        <f t="shared" si="293"/>
        <v>3353.0820000000012</v>
      </c>
      <c r="AA78" s="488">
        <f t="shared" si="293"/>
        <v>-46.047000000003152</v>
      </c>
      <c r="AB78" s="488">
        <f t="shared" si="293"/>
        <v>1427.4679999999998</v>
      </c>
      <c r="AC78" s="488">
        <f t="shared" si="293"/>
        <v>1876.4229999999995</v>
      </c>
      <c r="AD78" s="488">
        <f t="shared" si="293"/>
        <v>2251.6209999999992</v>
      </c>
      <c r="AE78" s="488">
        <f t="shared" si="293"/>
        <v>1236.4100000000012</v>
      </c>
      <c r="AF78" s="488">
        <f t="shared" si="293"/>
        <v>1335.1119999999999</v>
      </c>
      <c r="AG78" s="488">
        <f t="shared" ref="AG78:AL78" si="294">SUM(AG74:AG77)</f>
        <v>2732.6449999999995</v>
      </c>
      <c r="AH78" s="488">
        <f t="shared" si="294"/>
        <v>1419.3380000000006</v>
      </c>
      <c r="AI78" s="488">
        <f t="shared" si="294"/>
        <v>6029.744999999999</v>
      </c>
      <c r="AJ78" s="488">
        <f t="shared" si="294"/>
        <v>1775.8890000000004</v>
      </c>
      <c r="AK78" s="488">
        <f t="shared" si="294"/>
        <v>3265.846</v>
      </c>
      <c r="AL78" s="488">
        <f t="shared" si="294"/>
        <v>593.0500000000003</v>
      </c>
      <c r="AM78" s="488">
        <f t="shared" ref="AM78" si="295">SUM(AM74:AM77)</f>
        <v>4861.7210000000041</v>
      </c>
      <c r="AN78" s="488">
        <f>SUM(AN74:AN77)</f>
        <v>1647.4530000000002</v>
      </c>
      <c r="AO78" s="488">
        <f t="shared" ref="AO78:AQ78" si="296">SUM(AO74:AO77)</f>
        <v>3182.8690000000006</v>
      </c>
      <c r="AP78" s="488">
        <f t="shared" si="296"/>
        <v>775.1600000000002</v>
      </c>
      <c r="AQ78" s="488">
        <f t="shared" si="296"/>
        <v>3564.7640000000001</v>
      </c>
      <c r="AR78" s="488">
        <f>SUM(AR74:AR77)</f>
        <v>804.81800000000021</v>
      </c>
      <c r="AS78" s="488">
        <f t="shared" ref="AS78:AU78" si="297">SUM(AS74:AS77)</f>
        <v>3958.0699999999983</v>
      </c>
      <c r="AT78" s="488">
        <f t="shared" si="297"/>
        <v>782.18899999999962</v>
      </c>
      <c r="AU78" s="488">
        <f t="shared" si="297"/>
        <v>4324.3990000000003</v>
      </c>
      <c r="AV78" s="488">
        <f>SUM(AV74:AV77)</f>
        <v>605.3819999999987</v>
      </c>
      <c r="AW78" s="488">
        <f t="shared" ref="AW78:AY78" si="298">SUM(AW74:AW77)</f>
        <v>3167.9330000000018</v>
      </c>
      <c r="AX78" s="488">
        <f t="shared" si="298"/>
        <v>803.02499999999907</v>
      </c>
      <c r="AY78" s="488">
        <f t="shared" si="298"/>
        <v>-798.00300000000038</v>
      </c>
      <c r="AZ78" s="488">
        <f>SUM(AZ74:AZ77)</f>
        <v>1468.2280000000003</v>
      </c>
      <c r="BB78" s="488">
        <f t="shared" si="293"/>
        <v>783.73699999999462</v>
      </c>
      <c r="BF78" s="650"/>
      <c r="BH78" s="651"/>
    </row>
    <row r="79" spans="2:60" ht="12.75">
      <c r="B79" s="435" t="s">
        <v>525</v>
      </c>
      <c r="C79" s="420">
        <v>-5878.59</v>
      </c>
      <c r="D79" s="420">
        <f>-6025.406+60</f>
        <v>-5965.4059999999999</v>
      </c>
      <c r="E79" s="420">
        <f>-9407.291+1391.101</f>
        <v>-8016.1899999999987</v>
      </c>
      <c r="F79" s="420">
        <f>-9646.769+250.575</f>
        <v>-9396.1939999999995</v>
      </c>
      <c r="G79" s="420">
        <f>-7401.364+250.575</f>
        <v>-7150.7889999999998</v>
      </c>
      <c r="H79" s="420">
        <f>-5591.676+2243.202</f>
        <v>-3348.4740000000002</v>
      </c>
      <c r="I79" s="420">
        <f>-4966.132+373.402</f>
        <v>-4592.7299999999996</v>
      </c>
      <c r="J79" s="420">
        <f>-7174.575+1067.348</f>
        <v>-6107.2269999999999</v>
      </c>
      <c r="K79" s="420">
        <f>-5945.415+3608.683</f>
        <v>-2336.732</v>
      </c>
      <c r="L79" s="420">
        <f>-1722.791+178.466</f>
        <v>-1544.3249999999998</v>
      </c>
      <c r="M79" s="420">
        <f>-3062.044+26.667</f>
        <v>-3035.377</v>
      </c>
      <c r="N79" s="486">
        <f t="shared" ref="N79:N82" si="299">SUM(AW79:AZ79)</f>
        <v>-3388.0829999999996</v>
      </c>
      <c r="O79" s="486"/>
      <c r="P79" s="420">
        <v>-1728.846</v>
      </c>
      <c r="Q79" s="420">
        <f>-2589.46-P79</f>
        <v>-860.61400000000003</v>
      </c>
      <c r="R79" s="420">
        <f>-4767.394-Q79-P79</f>
        <v>-2177.9340000000002</v>
      </c>
      <c r="S79" s="423">
        <f>+IFERROR(D79-P79-Q79-R79,"NA")</f>
        <v>-1198.0119999999993</v>
      </c>
      <c r="T79" s="420">
        <f>-1266.107+810.325</f>
        <v>-455.78199999999993</v>
      </c>
      <c r="U79" s="420">
        <f>-4385.752+1003.306-T79</f>
        <v>-2926.6640000000007</v>
      </c>
      <c r="V79" s="420">
        <f>-7303.944+1283.508-U79-T79</f>
        <v>-2637.99</v>
      </c>
      <c r="W79" s="423">
        <f>E79-V79-U79-T79</f>
        <v>-1995.7539999999983</v>
      </c>
      <c r="X79" s="420">
        <v>-1990.15</v>
      </c>
      <c r="Y79" s="420">
        <f>-4055.601-X79</f>
        <v>-2065.451</v>
      </c>
      <c r="Z79" s="420">
        <f>-5992.146+50.575-Y79-X79</f>
        <v>-1885.9699999999998</v>
      </c>
      <c r="AA79" s="423">
        <f>F79-Z79-Y79-X79</f>
        <v>-3454.623</v>
      </c>
      <c r="AB79" s="420">
        <v>-633.36699999999996</v>
      </c>
      <c r="AC79" s="420">
        <f>-1196.418-AB79</f>
        <v>-563.05099999999993</v>
      </c>
      <c r="AD79" s="420">
        <f>-3655.848+804.885-AC79-AB79</f>
        <v>-1654.5449999999998</v>
      </c>
      <c r="AE79" s="486">
        <f>H79-AD79-AC79-AB79</f>
        <v>-497.51100000000042</v>
      </c>
      <c r="AF79" s="420">
        <v>-1109.914</v>
      </c>
      <c r="AG79" s="420">
        <f>-2335.567-AF79</f>
        <v>-1225.653</v>
      </c>
      <c r="AH79" s="420">
        <f>-3216.173+273.403-AG79-AF79</f>
        <v>-607.20299999999952</v>
      </c>
      <c r="AI79" s="486">
        <f>I79-AH79-AG79-AF79</f>
        <v>-1649.9599999999998</v>
      </c>
      <c r="AJ79" s="420">
        <v>-1800.0550000000001</v>
      </c>
      <c r="AK79" s="420">
        <f>-3832.498+60-AJ79</f>
        <v>-1972.443</v>
      </c>
      <c r="AL79" s="420">
        <f>-(5555.585)+458.988-AK79-AJ79</f>
        <v>-1324.0989999999995</v>
      </c>
      <c r="AM79" s="486">
        <f>J79-AL79-AK79-AJ79</f>
        <v>-1010.6300000000003</v>
      </c>
      <c r="AN79" s="420">
        <v>-1766.7</v>
      </c>
      <c r="AO79" s="420">
        <f>-3167.601+3608.683-AN79</f>
        <v>2207.7820000000002</v>
      </c>
      <c r="AP79" s="420">
        <f>-4809.136+3608.683-AO79-AN79</f>
        <v>-1641.5350000000005</v>
      </c>
      <c r="AQ79" s="486">
        <f>K79-AP79-AO79-AN79</f>
        <v>-1136.2789999999993</v>
      </c>
      <c r="AR79" s="420">
        <v>-674.04700000000003</v>
      </c>
      <c r="AS79" s="420">
        <f>-1133.077+0-AR79</f>
        <v>-459.03</v>
      </c>
      <c r="AT79" s="420">
        <f>-1617.254-AS79-AR79</f>
        <v>-484.17699999999991</v>
      </c>
      <c r="AU79" s="486">
        <f t="shared" ref="AU79:AU82" si="300">L79-AT79-AS79-AR79</f>
        <v>72.929000000000087</v>
      </c>
      <c r="AV79" s="420">
        <v>-693.88</v>
      </c>
      <c r="AW79" s="420">
        <f>-1239.772+0-AV79</f>
        <v>-545.89199999999994</v>
      </c>
      <c r="AX79" s="420">
        <f>-1465.937-AW79-AV79</f>
        <v>-226.16499999999996</v>
      </c>
      <c r="AY79" s="486">
        <f t="shared" ref="AY79:AY82" si="301">M79-AX79-AW79-AV79</f>
        <v>-1569.44</v>
      </c>
      <c r="AZ79" s="420">
        <f>-304.719-741.867</f>
        <v>-1046.586</v>
      </c>
      <c r="BA79" s="630"/>
      <c r="BB79" s="486">
        <f>G79-Z79-Y79-X79</f>
        <v>-1209.2179999999994</v>
      </c>
      <c r="BF79" s="651"/>
      <c r="BH79" s="651"/>
    </row>
    <row r="80" spans="2:60" ht="12.75">
      <c r="B80" s="435" t="s">
        <v>526</v>
      </c>
      <c r="C80" s="420">
        <v>-2529.1709999999998</v>
      </c>
      <c r="D80" s="420">
        <v>-10052.514999999999</v>
      </c>
      <c r="E80" s="420">
        <v>-2543.19</v>
      </c>
      <c r="F80" s="420">
        <f>-18467.504+491</f>
        <v>-17976.504000000001</v>
      </c>
      <c r="G80" s="420">
        <v>-17013.964</v>
      </c>
      <c r="H80" s="420">
        <v>-5582.2659999999996</v>
      </c>
      <c r="I80" s="420">
        <f>-5318.809-1219.188</f>
        <v>-6537.9970000000003</v>
      </c>
      <c r="J80" s="420">
        <f>-3040-0</f>
        <v>-3040</v>
      </c>
      <c r="K80" s="420">
        <f>-50</f>
        <v>-50</v>
      </c>
      <c r="L80" s="420">
        <v>0</v>
      </c>
      <c r="M80" s="420">
        <f>-651.381</f>
        <v>-651.38099999999997</v>
      </c>
      <c r="N80" s="486">
        <f t="shared" si="299"/>
        <v>-651.38099999999997</v>
      </c>
      <c r="O80" s="486"/>
      <c r="P80" s="420">
        <v>36.661999999999999</v>
      </c>
      <c r="Q80" s="420">
        <f>-913.758-P80</f>
        <v>-950.42000000000007</v>
      </c>
      <c r="R80" s="420">
        <f>-913.758-256.898-Q80-P80</f>
        <v>-256.89799999999985</v>
      </c>
      <c r="S80" s="423">
        <f>+IFERROR(D80-P80-Q80-R80,"NA")</f>
        <v>-8881.8590000000004</v>
      </c>
      <c r="T80" s="420">
        <v>-1220.6959999999999</v>
      </c>
      <c r="U80" s="420">
        <f>-2128.68-T80</f>
        <v>-907.98399999999992</v>
      </c>
      <c r="V80" s="420">
        <f>-2425.632-U80-T80</f>
        <v>-296.95200000000023</v>
      </c>
      <c r="W80" s="423">
        <f>E80-V80-U80-T80</f>
        <v>-117.55799999999999</v>
      </c>
      <c r="X80" s="420">
        <v>0</v>
      </c>
      <c r="Y80" s="420">
        <f>-400-X80</f>
        <v>-400</v>
      </c>
      <c r="Z80" s="420">
        <f>-400-Y80-X80</f>
        <v>0</v>
      </c>
      <c r="AA80" s="423">
        <f>F80-Z80-Y80-X80</f>
        <v>-17576.504000000001</v>
      </c>
      <c r="AB80" s="420">
        <v>-1233.329</v>
      </c>
      <c r="AC80" s="420">
        <f>-1118.155-645.926-1233.329-AB80</f>
        <v>-1764.0809999999999</v>
      </c>
      <c r="AD80" s="420">
        <f>-4515.655-AC80-AB80</f>
        <v>-1518.2449999999997</v>
      </c>
      <c r="AE80" s="486">
        <f>H80-AD80-AC80-AB80</f>
        <v>-1066.6109999999996</v>
      </c>
      <c r="AF80" s="420">
        <f>-3449.915+273.403</f>
        <v>-3176.5119999999997</v>
      </c>
      <c r="AG80" s="420">
        <f>-3689.915+273.403-512.698-AF80</f>
        <v>-752.69799999999987</v>
      </c>
      <c r="AH80" s="420">
        <f>-3689.915-1219.188-AG80-AF80</f>
        <v>-979.89300000000094</v>
      </c>
      <c r="AI80" s="486">
        <f>I80-AH80-AG80-AF80</f>
        <v>-1628.8939999999993</v>
      </c>
      <c r="AJ80" s="420">
        <v>27.962</v>
      </c>
      <c r="AK80" s="420">
        <f>-2950-AJ80</f>
        <v>-2977.962</v>
      </c>
      <c r="AL80" s="420">
        <f>-(2940)-0-AK80-AJ80</f>
        <v>9.9999999999999893</v>
      </c>
      <c r="AM80" s="486">
        <f>J80-AL80-AK80-AJ80</f>
        <v>-100.00000000000001</v>
      </c>
      <c r="AN80" s="420">
        <v>-50</v>
      </c>
      <c r="AO80" s="420">
        <f>-50-AN80</f>
        <v>0</v>
      </c>
      <c r="AP80" s="420">
        <f>-50-AO80-AN80</f>
        <v>0</v>
      </c>
      <c r="AQ80" s="486">
        <f>K80-AP80-AO80-AN80</f>
        <v>0</v>
      </c>
      <c r="AR80" s="420">
        <v>0</v>
      </c>
      <c r="AS80" s="420">
        <f>0-AR80</f>
        <v>0</v>
      </c>
      <c r="AT80" s="420">
        <f>0-AS80-AR80</f>
        <v>0</v>
      </c>
      <c r="AU80" s="486">
        <f t="shared" si="300"/>
        <v>0</v>
      </c>
      <c r="AV80" s="420">
        <v>0</v>
      </c>
      <c r="AW80" s="420">
        <f>0-AV80</f>
        <v>0</v>
      </c>
      <c r="AX80" s="420">
        <f>0-AW80-AV80</f>
        <v>0</v>
      </c>
      <c r="AY80" s="486">
        <f t="shared" si="301"/>
        <v>-651.38099999999997</v>
      </c>
      <c r="AZ80" s="420">
        <v>0</v>
      </c>
      <c r="BB80" s="486">
        <f>G80-Z80-Y80-X80</f>
        <v>-16613.964</v>
      </c>
      <c r="BF80" s="651"/>
      <c r="BH80" s="651"/>
    </row>
    <row r="81" spans="1:60" ht="12.75">
      <c r="B81" s="435" t="s">
        <v>527</v>
      </c>
      <c r="C81" s="420">
        <v>0</v>
      </c>
      <c r="D81" s="420">
        <v>0</v>
      </c>
      <c r="E81" s="420">
        <v>0</v>
      </c>
      <c r="F81" s="420">
        <v>0</v>
      </c>
      <c r="G81" s="420">
        <v>0</v>
      </c>
      <c r="H81" s="420">
        <v>0</v>
      </c>
      <c r="I81" s="420">
        <v>0</v>
      </c>
      <c r="J81" s="420">
        <v>0</v>
      </c>
      <c r="K81" s="420">
        <v>0</v>
      </c>
      <c r="L81" s="420">
        <v>0</v>
      </c>
      <c r="M81" s="420">
        <v>0</v>
      </c>
      <c r="N81" s="486">
        <f t="shared" si="299"/>
        <v>0</v>
      </c>
      <c r="O81" s="486"/>
      <c r="P81" s="420">
        <v>0</v>
      </c>
      <c r="Q81" s="420">
        <f>-P81</f>
        <v>0</v>
      </c>
      <c r="R81" s="420">
        <f>-Q81-P81</f>
        <v>0</v>
      </c>
      <c r="S81" s="423">
        <f>+IFERROR(D81-P81-Q81-R81,"NA")</f>
        <v>0</v>
      </c>
      <c r="T81" s="420">
        <v>0</v>
      </c>
      <c r="U81" s="420">
        <f>-T81</f>
        <v>0</v>
      </c>
      <c r="V81" s="420">
        <f>-U81-T81</f>
        <v>0</v>
      </c>
      <c r="W81" s="423">
        <f>E81-V81-U81-T81</f>
        <v>0</v>
      </c>
      <c r="X81" s="420">
        <v>0</v>
      </c>
      <c r="Y81" s="420">
        <f>-X81</f>
        <v>0</v>
      </c>
      <c r="Z81" s="420">
        <f>-Y81-X81</f>
        <v>0</v>
      </c>
      <c r="AA81" s="423">
        <f>F81-Z81-Y81-X81</f>
        <v>0</v>
      </c>
      <c r="AB81" s="420">
        <v>0</v>
      </c>
      <c r="AC81" s="420">
        <f>-AB81</f>
        <v>0</v>
      </c>
      <c r="AD81" s="420">
        <f>-AC81-AB81</f>
        <v>0</v>
      </c>
      <c r="AE81" s="486">
        <f>H81-AD81-AC81-AB81</f>
        <v>0</v>
      </c>
      <c r="AF81" s="420">
        <v>0</v>
      </c>
      <c r="AG81" s="420">
        <f>-AF81</f>
        <v>0</v>
      </c>
      <c r="AH81" s="420">
        <f>-AG81-AF81</f>
        <v>0</v>
      </c>
      <c r="AI81" s="486">
        <f>I81-AH81-AG81-AF81</f>
        <v>0</v>
      </c>
      <c r="AJ81" s="420">
        <v>0</v>
      </c>
      <c r="AK81" s="420">
        <v>0</v>
      </c>
      <c r="AL81" s="420">
        <f>-AK81-AJ81</f>
        <v>0</v>
      </c>
      <c r="AM81" s="486">
        <f>J81-AL81-AK81-AJ81</f>
        <v>0</v>
      </c>
      <c r="AN81" s="420">
        <v>0</v>
      </c>
      <c r="AO81" s="420">
        <v>0</v>
      </c>
      <c r="AP81" s="420">
        <f>0-AO81-AN81</f>
        <v>0</v>
      </c>
      <c r="AQ81" s="486">
        <f>K81-AP81-AO81-AN81</f>
        <v>0</v>
      </c>
      <c r="AR81" s="420">
        <v>0</v>
      </c>
      <c r="AS81" s="420">
        <v>0</v>
      </c>
      <c r="AT81" s="420">
        <f>0-AS81-AR81</f>
        <v>0</v>
      </c>
      <c r="AU81" s="486">
        <f t="shared" si="300"/>
        <v>0</v>
      </c>
      <c r="AV81" s="420">
        <v>0</v>
      </c>
      <c r="AW81" s="420">
        <v>0</v>
      </c>
      <c r="AX81" s="420">
        <f>0-AW81-AV81</f>
        <v>0</v>
      </c>
      <c r="AY81" s="486">
        <f t="shared" si="301"/>
        <v>0</v>
      </c>
      <c r="AZ81" s="420">
        <v>0</v>
      </c>
      <c r="BB81" s="486">
        <f>G81-Z81-Y81-X81</f>
        <v>0</v>
      </c>
      <c r="BF81" s="651"/>
      <c r="BH81" s="651"/>
    </row>
    <row r="82" spans="1:60" ht="12.75">
      <c r="B82" s="435" t="s">
        <v>528</v>
      </c>
      <c r="C82" s="420">
        <v>0</v>
      </c>
      <c r="D82" s="420">
        <v>0</v>
      </c>
      <c r="E82" s="420">
        <v>0</v>
      </c>
      <c r="F82" s="420">
        <v>0</v>
      </c>
      <c r="G82" s="420">
        <v>-288.82499999999999</v>
      </c>
      <c r="H82" s="420">
        <v>0</v>
      </c>
      <c r="I82" s="420">
        <v>0</v>
      </c>
      <c r="J82" s="420">
        <v>0</v>
      </c>
      <c r="K82" s="420">
        <v>0</v>
      </c>
      <c r="L82" s="420">
        <v>0</v>
      </c>
      <c r="M82" s="420">
        <v>0</v>
      </c>
      <c r="N82" s="486">
        <f t="shared" si="299"/>
        <v>0</v>
      </c>
      <c r="O82" s="486"/>
      <c r="P82" s="420">
        <v>0</v>
      </c>
      <c r="Q82" s="420">
        <f>-P82</f>
        <v>0</v>
      </c>
      <c r="R82" s="420">
        <f>-Q82-P82</f>
        <v>0</v>
      </c>
      <c r="S82" s="423">
        <f>+IFERROR(D82-P82-Q82-R82,"NA")</f>
        <v>0</v>
      </c>
      <c r="T82" s="420">
        <v>0</v>
      </c>
      <c r="U82" s="420">
        <f>-T82</f>
        <v>0</v>
      </c>
      <c r="V82" s="420">
        <f>-U82-T82</f>
        <v>0</v>
      </c>
      <c r="W82" s="423">
        <f>E82-V82-U82-T82</f>
        <v>0</v>
      </c>
      <c r="X82" s="420">
        <v>0</v>
      </c>
      <c r="Y82" s="420">
        <f>-X82</f>
        <v>0</v>
      </c>
      <c r="Z82" s="420">
        <f>-Y82-X82</f>
        <v>0</v>
      </c>
      <c r="AA82" s="423">
        <f>F82-Z82-Y82-X82</f>
        <v>0</v>
      </c>
      <c r="AB82" s="420">
        <v>0</v>
      </c>
      <c r="AC82" s="420">
        <f>-AB82</f>
        <v>0</v>
      </c>
      <c r="AD82" s="420">
        <f>-AC82-AB82</f>
        <v>0</v>
      </c>
      <c r="AE82" s="486">
        <f>H82-AD82-AC82-AB82</f>
        <v>0</v>
      </c>
      <c r="AF82" s="420">
        <v>0</v>
      </c>
      <c r="AG82" s="420">
        <f>-AF82</f>
        <v>0</v>
      </c>
      <c r="AH82" s="420">
        <f>-AG82-AF82</f>
        <v>0</v>
      </c>
      <c r="AI82" s="486">
        <f>I82-AH82-AG82-AF82</f>
        <v>0</v>
      </c>
      <c r="AJ82" s="420">
        <v>0</v>
      </c>
      <c r="AK82" s="420">
        <v>0</v>
      </c>
      <c r="AL82" s="420">
        <f>-AK82-AJ82</f>
        <v>0</v>
      </c>
      <c r="AM82" s="486">
        <f>J82-AL82-AK82-AJ82</f>
        <v>0</v>
      </c>
      <c r="AN82" s="420">
        <v>0</v>
      </c>
      <c r="AO82" s="420">
        <v>0</v>
      </c>
      <c r="AP82" s="420">
        <f>0-AO82-AN82</f>
        <v>0</v>
      </c>
      <c r="AQ82" s="486">
        <f>K82-AP82-AO82-AN82</f>
        <v>0</v>
      </c>
      <c r="AR82" s="420">
        <v>0</v>
      </c>
      <c r="AS82" s="420">
        <v>0</v>
      </c>
      <c r="AT82" s="420">
        <f>0-AS82-AR82</f>
        <v>0</v>
      </c>
      <c r="AU82" s="486">
        <f t="shared" si="300"/>
        <v>0</v>
      </c>
      <c r="AV82" s="420">
        <v>0</v>
      </c>
      <c r="AW82" s="420">
        <f>-2501.022-AV82</f>
        <v>-2501.0219999999999</v>
      </c>
      <c r="AX82" s="420">
        <f>-5000-AW82-AV82</f>
        <v>-2498.9780000000001</v>
      </c>
      <c r="AY82" s="486">
        <f t="shared" si="301"/>
        <v>5000</v>
      </c>
      <c r="AZ82" s="420">
        <v>0</v>
      </c>
      <c r="BB82" s="486">
        <f>G82-Z82-Y82-X82</f>
        <v>-288.82499999999999</v>
      </c>
      <c r="BF82" s="651"/>
      <c r="BH82" s="651"/>
    </row>
    <row r="83" spans="1:60" s="424" customFormat="1" ht="12.75">
      <c r="B83" s="485" t="s">
        <v>529</v>
      </c>
      <c r="C83" s="479">
        <f t="shared" ref="C83:X83" si="302">SUM(C78:C82)</f>
        <v>802.49699999999984</v>
      </c>
      <c r="D83" s="479">
        <f t="shared" si="302"/>
        <v>-11347.642</v>
      </c>
      <c r="E83" s="479">
        <f t="shared" si="302"/>
        <v>-1708.4460000000013</v>
      </c>
      <c r="F83" s="479">
        <f t="shared" ref="F83:I83" si="303">SUM(F78:F82)</f>
        <v>-21386.134000000002</v>
      </c>
      <c r="G83" s="479">
        <f t="shared" si="303"/>
        <v>-17637.230000000003</v>
      </c>
      <c r="H83" s="479">
        <f t="shared" si="303"/>
        <v>-2138.8180000000029</v>
      </c>
      <c r="I83" s="479">
        <f t="shared" si="303"/>
        <v>386.11299999999846</v>
      </c>
      <c r="J83" s="479">
        <f t="shared" ref="J83:K83" si="304">SUM(J78:J82)</f>
        <v>1349.2789999999995</v>
      </c>
      <c r="K83" s="479">
        <f t="shared" si="304"/>
        <v>6783.514000000001</v>
      </c>
      <c r="L83" s="479">
        <f t="shared" ref="L83:M83" si="305">SUM(L78:L82)</f>
        <v>8325.1510000000017</v>
      </c>
      <c r="M83" s="479">
        <f t="shared" si="305"/>
        <v>91.578999999995972</v>
      </c>
      <c r="N83" s="479">
        <f t="shared" ref="N83" si="306">SUM(N78:N82)</f>
        <v>601.71900000000221</v>
      </c>
      <c r="O83" s="479"/>
      <c r="P83" s="479">
        <f t="shared" si="302"/>
        <v>-1259.1419999999991</v>
      </c>
      <c r="Q83" s="479">
        <f t="shared" si="302"/>
        <v>146.9219999999998</v>
      </c>
      <c r="R83" s="479">
        <f t="shared" si="302"/>
        <v>-435.01799999999906</v>
      </c>
      <c r="S83" s="479">
        <f t="shared" si="302"/>
        <v>-9800.4040000000005</v>
      </c>
      <c r="T83" s="479">
        <f t="shared" si="302"/>
        <v>919.48300000000108</v>
      </c>
      <c r="U83" s="479">
        <f t="shared" si="302"/>
        <v>-2110.1690000000017</v>
      </c>
      <c r="V83" s="479">
        <f t="shared" si="302"/>
        <v>-152.06100000000015</v>
      </c>
      <c r="W83" s="479">
        <f t="shared" si="302"/>
        <v>-365.69899999999734</v>
      </c>
      <c r="X83" s="479">
        <f t="shared" si="302"/>
        <v>-691.90900000000056</v>
      </c>
      <c r="Y83" s="479">
        <f t="shared" ref="Y83:BB83" si="307">SUM(Y78:Y82)</f>
        <v>-1084.1630000000007</v>
      </c>
      <c r="Z83" s="479">
        <f t="shared" si="307"/>
        <v>1467.1120000000014</v>
      </c>
      <c r="AA83" s="479">
        <f t="shared" si="307"/>
        <v>-21077.174000000003</v>
      </c>
      <c r="AB83" s="479">
        <f t="shared" si="307"/>
        <v>-439.22800000000007</v>
      </c>
      <c r="AC83" s="479">
        <f t="shared" si="307"/>
        <v>-450.70900000000029</v>
      </c>
      <c r="AD83" s="479">
        <f t="shared" si="307"/>
        <v>-921.16900000000032</v>
      </c>
      <c r="AE83" s="479">
        <f t="shared" si="307"/>
        <v>-327.71199999999885</v>
      </c>
      <c r="AF83" s="479">
        <f t="shared" si="307"/>
        <v>-2951.3139999999999</v>
      </c>
      <c r="AG83" s="479">
        <f t="shared" ref="AG83:AL83" si="308">SUM(AG78:AG82)</f>
        <v>754.29399999999964</v>
      </c>
      <c r="AH83" s="479">
        <f t="shared" si="308"/>
        <v>-167.75799999999981</v>
      </c>
      <c r="AI83" s="479">
        <f t="shared" si="308"/>
        <v>2750.8909999999996</v>
      </c>
      <c r="AJ83" s="479">
        <f t="shared" si="308"/>
        <v>3.7960000000002871</v>
      </c>
      <c r="AK83" s="479">
        <f t="shared" si="308"/>
        <v>-1684.559</v>
      </c>
      <c r="AL83" s="479">
        <f t="shared" si="308"/>
        <v>-721.04899999999918</v>
      </c>
      <c r="AM83" s="479">
        <f t="shared" ref="AM83:AO83" si="309">SUM(AM78:AM82)</f>
        <v>3751.091000000004</v>
      </c>
      <c r="AN83" s="479">
        <f t="shared" si="309"/>
        <v>-169.24699999999984</v>
      </c>
      <c r="AO83" s="479">
        <f t="shared" si="309"/>
        <v>5390.6510000000007</v>
      </c>
      <c r="AP83" s="479">
        <f>SUM(AP78:AP82)</f>
        <v>-866.37500000000034</v>
      </c>
      <c r="AQ83" s="479">
        <f t="shared" ref="AQ83:AS83" si="310">SUM(AQ78:AQ82)</f>
        <v>2428.4850000000006</v>
      </c>
      <c r="AR83" s="479">
        <f t="shared" si="310"/>
        <v>130.77100000000019</v>
      </c>
      <c r="AS83" s="479">
        <f t="shared" si="310"/>
        <v>3499.0399999999981</v>
      </c>
      <c r="AT83" s="479">
        <f>SUM(AT78:AT82)</f>
        <v>298.01199999999972</v>
      </c>
      <c r="AU83" s="479">
        <f t="shared" ref="AU83:AW83" si="311">SUM(AU78:AU82)</f>
        <v>4397.3280000000004</v>
      </c>
      <c r="AV83" s="479">
        <f t="shared" si="311"/>
        <v>-88.498000000001298</v>
      </c>
      <c r="AW83" s="479">
        <f t="shared" si="311"/>
        <v>121.01900000000205</v>
      </c>
      <c r="AX83" s="479">
        <f>SUM(AX78:AX82)</f>
        <v>-1922.1180000000008</v>
      </c>
      <c r="AY83" s="479">
        <f t="shared" ref="AY83:AZ83" si="312">SUM(AY78:AY82)</f>
        <v>1981.1759999999999</v>
      </c>
      <c r="AZ83" s="479">
        <f t="shared" si="312"/>
        <v>421.64200000000028</v>
      </c>
      <c r="BB83" s="479">
        <f t="shared" si="307"/>
        <v>-17328.270000000004</v>
      </c>
      <c r="BF83" s="650"/>
      <c r="BH83" s="652"/>
    </row>
    <row r="84" spans="1:60" s="424" customFormat="1" ht="12.75">
      <c r="B84" s="435" t="s">
        <v>530</v>
      </c>
      <c r="C84" s="420">
        <f>344.495+87.18</f>
        <v>431.67500000000001</v>
      </c>
      <c r="D84" s="420">
        <f>-449.903+458.272</f>
        <v>8.3689999999999714</v>
      </c>
      <c r="E84" s="420">
        <f>2406.004-890.661</f>
        <v>1515.3429999999998</v>
      </c>
      <c r="F84" s="420">
        <v>-1477.1790000000001</v>
      </c>
      <c r="G84" s="420">
        <f>-2036.5-601.077-2124.476</f>
        <v>-4762.0529999999999</v>
      </c>
      <c r="H84" s="420">
        <f>-1069.549-51.51</f>
        <v>-1121.059</v>
      </c>
      <c r="I84" s="420">
        <f>-1286.7+154.014</f>
        <v>-1132.6860000000001</v>
      </c>
      <c r="J84" s="420">
        <f>264.132-1203.179-35.254-680+533.504</f>
        <v>-1120.797</v>
      </c>
      <c r="K84" s="420">
        <f>139.185+1167.462-1867.316-15.594+146.496</f>
        <v>-429.76700000000017</v>
      </c>
      <c r="L84" s="420">
        <f>36.201-1696.688-891.66+276.447</f>
        <v>-2275.6999999999998</v>
      </c>
      <c r="M84" s="420">
        <f>530.225-648.239-9.488-5000</f>
        <v>-5127.5020000000004</v>
      </c>
      <c r="N84" s="486">
        <f t="shared" ref="N84:N89" si="313">SUM(AW84:AZ84)</f>
        <v>-2145.1219999999998</v>
      </c>
      <c r="O84" s="486"/>
      <c r="P84" s="420">
        <v>0</v>
      </c>
      <c r="Q84" s="420">
        <f>-166.408-P84</f>
        <v>-166.40799999999999</v>
      </c>
      <c r="R84" s="420">
        <f>559.136-Q84-P84</f>
        <v>725.54399999999998</v>
      </c>
      <c r="S84" s="423">
        <f t="shared" ref="S84:S89" si="314">+IFERROR(D84-P84-Q84-R84,"NA")</f>
        <v>-550.76700000000005</v>
      </c>
      <c r="T84" s="420">
        <f>2406.004</f>
        <v>2406.0039999999999</v>
      </c>
      <c r="U84" s="420">
        <f>2406.004-T84</f>
        <v>0</v>
      </c>
      <c r="V84" s="420">
        <f>2406.004+25.953-U84-T84</f>
        <v>25.952999999999975</v>
      </c>
      <c r="W84" s="423">
        <f t="shared" ref="W84:W89" si="315">E84-V84-U84-T84</f>
        <v>-916.61400000000003</v>
      </c>
      <c r="X84" s="420">
        <v>-1426.875</v>
      </c>
      <c r="Y84" s="420">
        <f>-1434.916-X84</f>
        <v>-8.04099999999994</v>
      </c>
      <c r="Z84" s="420">
        <f>-1491.903-Y84-X84</f>
        <v>-56.98700000000008</v>
      </c>
      <c r="AA84" s="423">
        <f t="shared" ref="AA84:AA89" si="316">F84-Z84-Y84-X84</f>
        <v>14.723999999999933</v>
      </c>
      <c r="AB84" s="420">
        <v>0</v>
      </c>
      <c r="AC84" s="420">
        <f>0-AB84</f>
        <v>0</v>
      </c>
      <c r="AD84" s="420">
        <f>0-838.954-AC84-AB84</f>
        <v>-838.95399999999995</v>
      </c>
      <c r="AE84" s="486">
        <f t="shared" ref="AE84:AE89" si="317">H84-AD84-AC84-AB84</f>
        <v>-282.10500000000002</v>
      </c>
      <c r="AF84" s="420">
        <f>-218.95-948.514</f>
        <v>-1167.4639999999999</v>
      </c>
      <c r="AG84" s="420">
        <f>-1219.188-AF84</f>
        <v>-51.72400000000016</v>
      </c>
      <c r="AH84" s="420">
        <f>0-823.71-AG84-AF84</f>
        <v>395.47800000000007</v>
      </c>
      <c r="AI84" s="486">
        <f t="shared" ref="AI84:AI89" si="318">I84-AH84-AG84-AF84</f>
        <v>-308.97600000000011</v>
      </c>
      <c r="AJ84" s="420">
        <f>220-306.996</f>
        <v>-86.995999999999981</v>
      </c>
      <c r="AK84" s="420">
        <f>355.765-628.426-AJ84</f>
        <v>-185.66500000000008</v>
      </c>
      <c r="AL84" s="420">
        <f>-(950.08)+257.772-35.252-AK84-AJ84</f>
        <v>-454.89899999999989</v>
      </c>
      <c r="AM84" s="486">
        <f t="shared" ref="AM84:AM89" si="319">J84-AL84-AK84-AJ84</f>
        <v>-393.23700000000008</v>
      </c>
      <c r="AN84" s="420">
        <f>2.67-438.987</f>
        <v>-436.31700000000001</v>
      </c>
      <c r="AO84" s="420">
        <f>8.443-871.682-AN84</f>
        <v>-426.92200000000003</v>
      </c>
      <c r="AP84" s="420">
        <f>18.639+1167.462-1322.853-15.594-AO84-AN84</f>
        <v>710.8929999999998</v>
      </c>
      <c r="AQ84" s="486">
        <f t="shared" ref="AQ84:AQ89" si="320">K84-AP84-AO84-AN84</f>
        <v>-277.42099999999982</v>
      </c>
      <c r="AR84" s="420">
        <f>2.83-551.047</f>
        <v>-548.21699999999998</v>
      </c>
      <c r="AS84" s="420">
        <f>14.275-1012.821-AR84</f>
        <v>-450.32900000000006</v>
      </c>
      <c r="AT84" s="420">
        <f>31.763-1413.815-1250.003-AS84-AR84</f>
        <v>-1633.509</v>
      </c>
      <c r="AU84" s="486">
        <f t="shared" ref="AU84:AU89" si="321">L84-AT84-AS84-AR84</f>
        <v>356.35500000000025</v>
      </c>
      <c r="AV84" s="420">
        <f>(4953-197366-2501022)/1000</f>
        <v>-2693.4349999999999</v>
      </c>
      <c r="AW84" s="420">
        <f>9.747-379.213-AV84</f>
        <v>2323.9690000000001</v>
      </c>
      <c r="AX84" s="420">
        <f>274.857-300-536.845-9.487-AW84-AV84</f>
        <v>-202.00900000000001</v>
      </c>
      <c r="AY84" s="486">
        <f t="shared" ref="AY84:AY89" si="322">M84-AX84-AW84-AV84</f>
        <v>-4556.027</v>
      </c>
      <c r="AZ84" s="420">
        <f>1.101+352-56.791-7.365</f>
        <v>288.94499999999999</v>
      </c>
      <c r="BB84" s="486">
        <f t="shared" ref="BB84:BB89" si="323">G84-Z84-Y84-X84</f>
        <v>-3270.1499999999996</v>
      </c>
      <c r="BF84" s="652"/>
    </row>
    <row r="85" spans="1:60" ht="12.75">
      <c r="B85" s="435" t="s">
        <v>531</v>
      </c>
      <c r="C85" s="420">
        <v>1100</v>
      </c>
      <c r="D85" s="420">
        <v>13622.797</v>
      </c>
      <c r="E85" s="420">
        <v>675.06200000000001</v>
      </c>
      <c r="F85" s="420">
        <v>0</v>
      </c>
      <c r="G85" s="420">
        <v>0</v>
      </c>
      <c r="H85" s="420">
        <v>0</v>
      </c>
      <c r="I85" s="420">
        <v>0</v>
      </c>
      <c r="J85" s="420">
        <v>0</v>
      </c>
      <c r="K85" s="420">
        <v>0</v>
      </c>
      <c r="L85" s="420">
        <v>0</v>
      </c>
      <c r="M85" s="420">
        <f>15341.77</f>
        <v>15341.77</v>
      </c>
      <c r="N85" s="486">
        <f t="shared" si="313"/>
        <v>15341.77</v>
      </c>
      <c r="O85" s="486"/>
      <c r="P85" s="420">
        <v>300</v>
      </c>
      <c r="Q85" s="420">
        <f>600-P85</f>
        <v>300</v>
      </c>
      <c r="R85" s="420">
        <f>1000-Q85-P85</f>
        <v>400</v>
      </c>
      <c r="S85" s="423">
        <f t="shared" si="314"/>
        <v>12622.797</v>
      </c>
      <c r="T85" s="420">
        <v>100</v>
      </c>
      <c r="U85" s="420">
        <f>300-T85</f>
        <v>200</v>
      </c>
      <c r="V85" s="420">
        <f>675.062-U85-T85</f>
        <v>375.06200000000001</v>
      </c>
      <c r="W85" s="423">
        <f t="shared" si="315"/>
        <v>0</v>
      </c>
      <c r="X85" s="420">
        <v>0</v>
      </c>
      <c r="Y85" s="420">
        <f>-X85</f>
        <v>0</v>
      </c>
      <c r="Z85" s="420">
        <f>216.953-Y85-X85</f>
        <v>216.953</v>
      </c>
      <c r="AA85" s="423">
        <f t="shared" si="316"/>
        <v>-216.953</v>
      </c>
      <c r="AB85" s="420">
        <v>36.962000000000003</v>
      </c>
      <c r="AC85" s="420">
        <f>29.624-AB85</f>
        <v>-7.3380000000000045</v>
      </c>
      <c r="AD85" s="420">
        <f>0-AC85-AB85</f>
        <v>-29.623999999999999</v>
      </c>
      <c r="AE85" s="486">
        <f t="shared" si="317"/>
        <v>0</v>
      </c>
      <c r="AF85" s="420">
        <v>0</v>
      </c>
      <c r="AG85" s="420">
        <f>0.1-AF85</f>
        <v>0.1</v>
      </c>
      <c r="AH85" s="420">
        <f>0-AG85-AF85</f>
        <v>-0.1</v>
      </c>
      <c r="AI85" s="486">
        <f t="shared" si="318"/>
        <v>0</v>
      </c>
      <c r="AJ85" s="420">
        <v>0</v>
      </c>
      <c r="AK85" s="420">
        <v>0</v>
      </c>
      <c r="AL85" s="420">
        <f>0-AK85-AJ85</f>
        <v>0</v>
      </c>
      <c r="AM85" s="486">
        <f t="shared" si="319"/>
        <v>0</v>
      </c>
      <c r="AN85" s="420">
        <v>0</v>
      </c>
      <c r="AO85" s="420">
        <v>0</v>
      </c>
      <c r="AP85" s="420">
        <f>0-AO85-AN85</f>
        <v>0</v>
      </c>
      <c r="AQ85" s="486">
        <f t="shared" si="320"/>
        <v>0</v>
      </c>
      <c r="AR85" s="420">
        <v>0</v>
      </c>
      <c r="AS85" s="420">
        <v>0</v>
      </c>
      <c r="AT85" s="420">
        <f>0-AS85-AR85</f>
        <v>0</v>
      </c>
      <c r="AU85" s="486">
        <f t="shared" si="321"/>
        <v>0</v>
      </c>
      <c r="AV85" s="420">
        <v>0</v>
      </c>
      <c r="AW85" s="420">
        <f>0-AV85</f>
        <v>0</v>
      </c>
      <c r="AX85" s="420">
        <f>0-AW85-AV85</f>
        <v>0</v>
      </c>
      <c r="AY85" s="486">
        <f t="shared" si="322"/>
        <v>15341.77</v>
      </c>
      <c r="AZ85" s="420">
        <v>0</v>
      </c>
      <c r="BB85" s="486">
        <f t="shared" si="323"/>
        <v>-216.953</v>
      </c>
    </row>
    <row r="86" spans="1:60" ht="12.75">
      <c r="B86" s="435" t="s">
        <v>532</v>
      </c>
      <c r="C86" s="420">
        <v>-6370.7079999999996</v>
      </c>
      <c r="D86" s="420">
        <v>-6767.4920000000002</v>
      </c>
      <c r="E86" s="420">
        <v>-8406.0869999999995</v>
      </c>
      <c r="F86" s="420">
        <v>-9087.6630000000005</v>
      </c>
      <c r="G86" s="420">
        <v>-9087.6630000000005</v>
      </c>
      <c r="H86" s="420">
        <v>-5721.241</v>
      </c>
      <c r="I86" s="420">
        <v>-5156.9340000000002</v>
      </c>
      <c r="J86" s="420">
        <v>-8652.0820000000003</v>
      </c>
      <c r="K86" s="420">
        <v>-10292.848</v>
      </c>
      <c r="L86" s="420">
        <v>-8249.7780000000002</v>
      </c>
      <c r="M86" s="420">
        <v>-8926.3430000000008</v>
      </c>
      <c r="N86" s="486">
        <f t="shared" si="313"/>
        <v>-9896.5619999999999</v>
      </c>
      <c r="O86" s="486"/>
      <c r="P86" s="420">
        <v>-1662.539</v>
      </c>
      <c r="Q86" s="420">
        <f>-3346.8-P86</f>
        <v>-1684.2610000000002</v>
      </c>
      <c r="R86" s="420">
        <f>-5048.692-Q86-P86</f>
        <v>-1701.8919999999996</v>
      </c>
      <c r="S86" s="423">
        <f t="shared" si="314"/>
        <v>-1718.8000000000004</v>
      </c>
      <c r="T86" s="420">
        <v>-2020.682</v>
      </c>
      <c r="U86" s="420">
        <f>-4114.471-T86</f>
        <v>-2093.7889999999998</v>
      </c>
      <c r="V86" s="420">
        <f>-6241.584-U86-T86</f>
        <v>-2127.1130000000003</v>
      </c>
      <c r="W86" s="423">
        <f t="shared" si="315"/>
        <v>-2164.5029999999997</v>
      </c>
      <c r="X86" s="420">
        <v>-2238.761</v>
      </c>
      <c r="Y86" s="420">
        <f>-4497.174-X86</f>
        <v>-2258.413</v>
      </c>
      <c r="Z86" s="420">
        <f>-6789.689-Y86-X86</f>
        <v>-2292.5149999999999</v>
      </c>
      <c r="AA86" s="423">
        <f t="shared" si="316"/>
        <v>-2297.9740000000006</v>
      </c>
      <c r="AB86" s="420">
        <v>-2317.634</v>
      </c>
      <c r="AC86" s="420">
        <f>-3458.521-AB86</f>
        <v>-1140.8870000000002</v>
      </c>
      <c r="AD86" s="420">
        <f>-4590.047-AC86-AB86</f>
        <v>-1131.5259999999994</v>
      </c>
      <c r="AE86" s="486">
        <f t="shared" si="317"/>
        <v>-1131.194</v>
      </c>
      <c r="AF86" s="420">
        <f>-1213.167</f>
        <v>-1213.1669999999999</v>
      </c>
      <c r="AG86" s="420">
        <f>-2470.329-AF86</f>
        <v>-1257.1620000000003</v>
      </c>
      <c r="AH86" s="420">
        <f>-3738.909-AG86-AF86</f>
        <v>-1268.58</v>
      </c>
      <c r="AI86" s="486">
        <f t="shared" si="318"/>
        <v>-1418.0250000000001</v>
      </c>
      <c r="AJ86" s="420">
        <v>-2587.9839999999999</v>
      </c>
      <c r="AK86" s="420">
        <f>-4507.309-AJ86</f>
        <v>-1919.3250000000003</v>
      </c>
      <c r="AL86" s="420">
        <f>-(6499.532)-AK86-AJ86</f>
        <v>-1992.2230000000004</v>
      </c>
      <c r="AM86" s="486">
        <f t="shared" si="319"/>
        <v>-2152.5499999999997</v>
      </c>
      <c r="AN86" s="420">
        <v>-4196.5529999999999</v>
      </c>
      <c r="AO86" s="420">
        <f>-5678.313-AN86</f>
        <v>-1481.7600000000002</v>
      </c>
      <c r="AP86" s="420">
        <f>-8023.862-AO86-AN86</f>
        <v>-2345.549</v>
      </c>
      <c r="AQ86" s="486">
        <f t="shared" si="320"/>
        <v>-2268.9859999999999</v>
      </c>
      <c r="AR86" s="420">
        <v>-2689.34</v>
      </c>
      <c r="AS86" s="420">
        <f>-4241.045-AR86</f>
        <v>-1551.7049999999999</v>
      </c>
      <c r="AT86" s="420">
        <f>-6232.431-AS86-AR86</f>
        <v>-1991.3859999999995</v>
      </c>
      <c r="AU86" s="486">
        <f t="shared" si="321"/>
        <v>-2017.3470000000007</v>
      </c>
      <c r="AV86" s="420">
        <v>-2111.4340000000002</v>
      </c>
      <c r="AW86" s="420">
        <f>-4233.955-AV86</f>
        <v>-2122.5209999999997</v>
      </c>
      <c r="AX86" s="420">
        <f>-6417.539-AW86-AV86</f>
        <v>-2183.5839999999998</v>
      </c>
      <c r="AY86" s="486">
        <f t="shared" si="322"/>
        <v>-2508.804000000001</v>
      </c>
      <c r="AZ86" s="420">
        <v>-3081.6529999999998</v>
      </c>
      <c r="BA86" s="631"/>
      <c r="BB86" s="486">
        <f t="shared" si="323"/>
        <v>-2297.9740000000006</v>
      </c>
    </row>
    <row r="87" spans="1:60" ht="12.75">
      <c r="B87" s="435" t="s">
        <v>533</v>
      </c>
      <c r="C87" s="420">
        <v>0</v>
      </c>
      <c r="D87" s="420">
        <v>0</v>
      </c>
      <c r="E87" s="420">
        <v>-2000.8689999999999</v>
      </c>
      <c r="F87" s="420">
        <v>0</v>
      </c>
      <c r="G87" s="420">
        <v>0</v>
      </c>
      <c r="H87" s="420">
        <v>-1300.864</v>
      </c>
      <c r="I87" s="420">
        <v>-1803.203</v>
      </c>
      <c r="J87" s="420">
        <v>-1037.116</v>
      </c>
      <c r="K87" s="420">
        <v>0</v>
      </c>
      <c r="L87" s="420">
        <v>0</v>
      </c>
      <c r="M87" s="420">
        <f>-198.974</f>
        <v>-198.97399999999999</v>
      </c>
      <c r="N87" s="486">
        <f t="shared" si="313"/>
        <v>-8.2999999999998408E-2</v>
      </c>
      <c r="O87" s="486"/>
      <c r="P87" s="420">
        <v>0</v>
      </c>
      <c r="Q87" s="420">
        <f>-P87</f>
        <v>0</v>
      </c>
      <c r="R87" s="420">
        <f>-Q87-P87</f>
        <v>0</v>
      </c>
      <c r="S87" s="423">
        <f t="shared" si="314"/>
        <v>0</v>
      </c>
      <c r="T87" s="420">
        <v>-4.9889999999999999</v>
      </c>
      <c r="U87" s="420">
        <f>-838.257-T87</f>
        <v>-833.26799999999992</v>
      </c>
      <c r="V87" s="420">
        <f>-1156.61-U87-T87</f>
        <v>-318.35300000000001</v>
      </c>
      <c r="W87" s="423">
        <f t="shared" si="315"/>
        <v>-844.2589999999999</v>
      </c>
      <c r="X87" s="420">
        <v>0</v>
      </c>
      <c r="Y87" s="420">
        <f>-X87</f>
        <v>0</v>
      </c>
      <c r="Z87" s="420">
        <f>-Y87-X87</f>
        <v>0</v>
      </c>
      <c r="AA87" s="423">
        <f t="shared" si="316"/>
        <v>0</v>
      </c>
      <c r="AB87" s="420">
        <v>0</v>
      </c>
      <c r="AC87" s="420">
        <f>0-AB87</f>
        <v>0</v>
      </c>
      <c r="AD87" s="420">
        <f>-911.429-AC87-AB87</f>
        <v>-911.42899999999997</v>
      </c>
      <c r="AE87" s="486">
        <f t="shared" si="317"/>
        <v>-389.43500000000006</v>
      </c>
      <c r="AF87" s="420">
        <f>-1283.446</f>
        <v>-1283.4459999999999</v>
      </c>
      <c r="AG87" s="420">
        <f>-1730.332-AF87</f>
        <v>-446.88600000000019</v>
      </c>
      <c r="AH87" s="420">
        <f>-1798.545-AG87-AF87</f>
        <v>-68.212999999999965</v>
      </c>
      <c r="AI87" s="486">
        <f t="shared" si="318"/>
        <v>-4.6579999999999018</v>
      </c>
      <c r="AJ87" s="420">
        <v>-451.64600000000002</v>
      </c>
      <c r="AK87" s="420">
        <f>-554.146-AJ87</f>
        <v>-102.49999999999994</v>
      </c>
      <c r="AL87" s="420">
        <f>-(1037.116)-AK87-AJ87</f>
        <v>-482.96999999999997</v>
      </c>
      <c r="AM87" s="486">
        <f t="shared" si="319"/>
        <v>0</v>
      </c>
      <c r="AN87" s="420">
        <v>0</v>
      </c>
      <c r="AO87" s="420">
        <f>0-AN87</f>
        <v>0</v>
      </c>
      <c r="AP87" s="420">
        <f>0-AO87-AN87</f>
        <v>0</v>
      </c>
      <c r="AQ87" s="486">
        <f t="shared" si="320"/>
        <v>0</v>
      </c>
      <c r="AR87" s="420">
        <v>0</v>
      </c>
      <c r="AS87" s="420">
        <f>0-AR87</f>
        <v>0</v>
      </c>
      <c r="AT87" s="420">
        <f>0-AS87-AR87</f>
        <v>0</v>
      </c>
      <c r="AU87" s="486">
        <f t="shared" si="321"/>
        <v>0</v>
      </c>
      <c r="AV87" s="420">
        <v>-198.89099999999999</v>
      </c>
      <c r="AW87" s="420">
        <f>-198.974-AV87</f>
        <v>-8.2999999999998408E-2</v>
      </c>
      <c r="AX87" s="420">
        <f>-198.974-AW87-AV87</f>
        <v>0</v>
      </c>
      <c r="AY87" s="486">
        <f t="shared" si="322"/>
        <v>0</v>
      </c>
      <c r="AZ87" s="420">
        <v>0</v>
      </c>
      <c r="BB87" s="486">
        <f t="shared" si="323"/>
        <v>0</v>
      </c>
    </row>
    <row r="88" spans="1:60" ht="12.75">
      <c r="B88" s="435" t="s">
        <v>534</v>
      </c>
      <c r="C88" s="420">
        <f>-13403.201+17561.558</f>
        <v>4158.3570000000018</v>
      </c>
      <c r="D88" s="420">
        <f>-9020.553+10810</f>
        <v>1789.4470000000001</v>
      </c>
      <c r="E88" s="420">
        <f>-12766.726+23209.299</f>
        <v>10442.572999999999</v>
      </c>
      <c r="F88" s="420">
        <f>-19952.065+49547.71</f>
        <v>29595.645</v>
      </c>
      <c r="G88" s="420">
        <f>-19952.065+49547.71</f>
        <v>29595.645</v>
      </c>
      <c r="H88" s="420">
        <f>-23860.589+39912.175</f>
        <v>16051.586000000003</v>
      </c>
      <c r="I88" s="420">
        <f>-18002.395+26783.36</f>
        <v>8780.9650000000001</v>
      </c>
      <c r="J88" s="420">
        <f>-35309.334+43942.323</f>
        <v>8632.9889999999941</v>
      </c>
      <c r="K88" s="420">
        <f>-28224.313+28051.638</f>
        <v>-172.67499999999927</v>
      </c>
      <c r="L88" s="420">
        <f>-27869.914+32689.901</f>
        <v>4819.987000000001</v>
      </c>
      <c r="M88" s="420">
        <f>-66773.362+75552.579</f>
        <v>8779.2170000000042</v>
      </c>
      <c r="N88" s="486">
        <f t="shared" si="313"/>
        <v>7336.2160000000049</v>
      </c>
      <c r="O88" s="486"/>
      <c r="P88" s="420">
        <v>-62.137</v>
      </c>
      <c r="Q88" s="420">
        <f>-525.818+1410-P88</f>
        <v>946.31899999999996</v>
      </c>
      <c r="R88" s="420">
        <f>-574.975+1910-Q88-P88</f>
        <v>450.84300000000013</v>
      </c>
      <c r="S88" s="423">
        <f t="shared" si="314"/>
        <v>454.42199999999997</v>
      </c>
      <c r="T88" s="420">
        <f>-1836.162+2300</f>
        <v>463.83799999999997</v>
      </c>
      <c r="U88" s="420">
        <f>-6017.359+9504.098-T88</f>
        <v>3022.9009999999998</v>
      </c>
      <c r="V88" s="420">
        <f>-12687.781+20596.772-U88-T88</f>
        <v>4422.2520000000004</v>
      </c>
      <c r="W88" s="423">
        <f t="shared" si="315"/>
        <v>2533.5819999999985</v>
      </c>
      <c r="X88" s="420">
        <f>-64.112+3000</f>
        <v>2935.8879999999999</v>
      </c>
      <c r="Y88" s="420">
        <f>-10464.266+31128.264-X88</f>
        <v>17728.11</v>
      </c>
      <c r="Z88" s="420">
        <f>-13023.112+31128.5-Y88-X88</f>
        <v>-2558.6100000000015</v>
      </c>
      <c r="AA88" s="423">
        <f t="shared" si="316"/>
        <v>11490.257000000001</v>
      </c>
      <c r="AB88" s="420">
        <f>-1838.101+5300</f>
        <v>3461.8989999999999</v>
      </c>
      <c r="AC88" s="420">
        <f>21169.178-5280.342-AB88</f>
        <v>12426.937</v>
      </c>
      <c r="AD88" s="420">
        <f>-11842.452+35758.956-AC88-AB88</f>
        <v>8027.6680000000015</v>
      </c>
      <c r="AE88" s="486">
        <f t="shared" si="317"/>
        <v>-7864.9179999999978</v>
      </c>
      <c r="AF88" s="420">
        <f>-7047.812+11183.36</f>
        <v>4135.5480000000007</v>
      </c>
      <c r="AG88" s="420">
        <f>11383.36-7299.627-AF88</f>
        <v>-51.815000000000509</v>
      </c>
      <c r="AH88" s="420">
        <f>-7351.316+11383.36-AG88-AF88</f>
        <v>-51.688999999999396</v>
      </c>
      <c r="AI88" s="486">
        <f t="shared" si="318"/>
        <v>4748.9209999999985</v>
      </c>
      <c r="AJ88" s="420">
        <f>-6172.765+7300</f>
        <v>1127.2349999999997</v>
      </c>
      <c r="AK88" s="420">
        <f>-11428.906+16214.644-AJ88</f>
        <v>3658.5029999999997</v>
      </c>
      <c r="AL88" s="420">
        <f>-(15986.631)+22499.126-(235)-AK88-AJ88</f>
        <v>1491.7570000000014</v>
      </c>
      <c r="AM88" s="486">
        <f t="shared" si="319"/>
        <v>2355.4939999999933</v>
      </c>
      <c r="AN88" s="420">
        <f>-11246.582+11200</f>
        <v>-46.582000000000335</v>
      </c>
      <c r="AO88" s="420">
        <f>-15489.839+14188.53-AN88</f>
        <v>-1254.726999999999</v>
      </c>
      <c r="AP88" s="420">
        <f>-20872.146+19501.638+146.496-AO88-AN88</f>
        <v>77.296999999997752</v>
      </c>
      <c r="AQ88" s="486">
        <f t="shared" si="320"/>
        <v>1051.3370000000023</v>
      </c>
      <c r="AR88" s="420">
        <f>-13488.971+14914.901</f>
        <v>1425.9300000000003</v>
      </c>
      <c r="AS88" s="420">
        <f>-19281.607+22789.901-AR88</f>
        <v>2082.3640000000014</v>
      </c>
      <c r="AT88" s="420">
        <f>-23842.679+28089.901-AS88-AR88</f>
        <v>738.92799999999988</v>
      </c>
      <c r="AU88" s="486">
        <f t="shared" si="321"/>
        <v>572.76499999999942</v>
      </c>
      <c r="AV88" s="420">
        <f>(-21277411+23658368)/1000</f>
        <v>2380.9569999999999</v>
      </c>
      <c r="AW88" s="420">
        <f>-36092.557+40458.368-AV88</f>
        <v>1984.8540000000016</v>
      </c>
      <c r="AX88" s="420">
        <f>-51683.068+58888.368-AW88-AV88</f>
        <v>2839.4890000000019</v>
      </c>
      <c r="AY88" s="486">
        <f t="shared" si="322"/>
        <v>1573.9170000000013</v>
      </c>
      <c r="AZ88" s="420">
        <f>-1542.044+2480</f>
        <v>937.9559999999999</v>
      </c>
      <c r="BB88" s="486">
        <f t="shared" si="323"/>
        <v>11490.257000000001</v>
      </c>
    </row>
    <row r="89" spans="1:60" ht="12.75">
      <c r="B89" s="435" t="s">
        <v>535</v>
      </c>
      <c r="C89" s="420">
        <v>0</v>
      </c>
      <c r="D89" s="420">
        <v>0</v>
      </c>
      <c r="E89" s="420">
        <v>0</v>
      </c>
      <c r="F89" s="420">
        <v>0</v>
      </c>
      <c r="G89" s="420">
        <v>0</v>
      </c>
      <c r="H89" s="420">
        <f>-702.896</f>
        <v>-702.89599999999996</v>
      </c>
      <c r="I89" s="420">
        <v>-2569.2399999999998</v>
      </c>
      <c r="J89" s="420">
        <f>-839.506+356.278</f>
        <v>-483.22799999999995</v>
      </c>
      <c r="K89" s="420">
        <f>-1389.577+143.722</f>
        <v>-1245.855</v>
      </c>
      <c r="L89" s="420">
        <v>-1585.567</v>
      </c>
      <c r="M89" s="420">
        <f>-957.684-1086.958</f>
        <v>-2044.6420000000001</v>
      </c>
      <c r="N89" s="486">
        <f t="shared" si="313"/>
        <v>-1852.9470000000001</v>
      </c>
      <c r="O89" s="486"/>
      <c r="P89" s="420">
        <v>0</v>
      </c>
      <c r="Q89" s="420">
        <f>-P89</f>
        <v>0</v>
      </c>
      <c r="R89" s="420">
        <f>-Q89-P89</f>
        <v>0</v>
      </c>
      <c r="S89" s="423">
        <f t="shared" si="314"/>
        <v>0</v>
      </c>
      <c r="T89" s="420">
        <v>0</v>
      </c>
      <c r="U89" s="420">
        <f>-T89</f>
        <v>0</v>
      </c>
      <c r="V89" s="420">
        <f>-U89-T89</f>
        <v>0</v>
      </c>
      <c r="W89" s="423">
        <f t="shared" si="315"/>
        <v>0</v>
      </c>
      <c r="X89" s="420">
        <v>0</v>
      </c>
      <c r="Y89" s="420">
        <f>-X89</f>
        <v>0</v>
      </c>
      <c r="Z89" s="420">
        <f>-Y89-X89</f>
        <v>0</v>
      </c>
      <c r="AA89" s="423">
        <f t="shared" si="316"/>
        <v>0</v>
      </c>
      <c r="AB89" s="420">
        <v>0</v>
      </c>
      <c r="AC89" s="420">
        <v>-409.48</v>
      </c>
      <c r="AD89" s="420">
        <f>-376.45-AC89-AB89</f>
        <v>33.03000000000003</v>
      </c>
      <c r="AE89" s="486">
        <f t="shared" si="317"/>
        <v>-326.44599999999991</v>
      </c>
      <c r="AF89" s="420">
        <v>35.533000000000001</v>
      </c>
      <c r="AG89" s="420">
        <f>-549.349-AF89</f>
        <v>-584.88200000000006</v>
      </c>
      <c r="AH89" s="420">
        <f>540.842+0.1-AG89-AF89</f>
        <v>1090.2910000000002</v>
      </c>
      <c r="AI89" s="486">
        <f t="shared" si="318"/>
        <v>-3110.1819999999998</v>
      </c>
      <c r="AJ89" s="420">
        <f>-680+624.443</f>
        <v>-55.557000000000016</v>
      </c>
      <c r="AK89" s="420">
        <f>-327+365.546-AJ89</f>
        <v>94.103000000000009</v>
      </c>
      <c r="AL89" s="420">
        <f>601.954+356.278-AK89-AJ89</f>
        <v>919.68599999999992</v>
      </c>
      <c r="AM89" s="486">
        <f t="shared" si="319"/>
        <v>-1441.4599999999998</v>
      </c>
      <c r="AN89" s="420">
        <f>146.496-268.567</f>
        <v>-122.071</v>
      </c>
      <c r="AO89" s="420">
        <f>146.496-722.791+143.722-AN89</f>
        <v>-310.50200000000007</v>
      </c>
      <c r="AP89" s="420">
        <f>-880.742+143.722-AO89-AN89</f>
        <v>-304.44699999999989</v>
      </c>
      <c r="AQ89" s="486">
        <f t="shared" si="320"/>
        <v>-508.83500000000004</v>
      </c>
      <c r="AR89" s="420">
        <f>-406.793</f>
        <v>-406.79300000000001</v>
      </c>
      <c r="AS89" s="420">
        <f>0-902.376+0-AR89</f>
        <v>-495.58299999999997</v>
      </c>
      <c r="AT89" s="420">
        <f>-1175.08-AS89-AR89</f>
        <v>-272.70399999999995</v>
      </c>
      <c r="AU89" s="486">
        <f t="shared" si="321"/>
        <v>-410.48700000000008</v>
      </c>
      <c r="AV89" s="420">
        <v>-233.26599999999999</v>
      </c>
      <c r="AW89" s="420">
        <f>-484.229-AV89</f>
        <v>-250.96299999999999</v>
      </c>
      <c r="AX89" s="420">
        <f>-668.261-AW89-AV89</f>
        <v>-184.03200000000001</v>
      </c>
      <c r="AY89" s="486">
        <f t="shared" si="322"/>
        <v>-1376.3810000000001</v>
      </c>
      <c r="AZ89" s="420">
        <f>-37.482-4.089</f>
        <v>-41.570999999999998</v>
      </c>
      <c r="BB89" s="486">
        <f t="shared" si="323"/>
        <v>0</v>
      </c>
    </row>
    <row r="90" spans="1:60" s="424" customFormat="1" ht="12.75">
      <c r="B90" s="485" t="s">
        <v>536</v>
      </c>
      <c r="C90" s="479">
        <f t="shared" ref="C90:X90" si="324">SUM(C83:C89)</f>
        <v>121.82100000000173</v>
      </c>
      <c r="D90" s="479">
        <f t="shared" si="324"/>
        <v>-2694.5209999999988</v>
      </c>
      <c r="E90" s="479">
        <f t="shared" si="324"/>
        <v>517.57599999999729</v>
      </c>
      <c r="F90" s="479">
        <f t="shared" ref="F90:I90" si="325">SUM(F83:F89)</f>
        <v>-2355.3310000000019</v>
      </c>
      <c r="G90" s="479">
        <f t="shared" si="325"/>
        <v>-1891.3010000000031</v>
      </c>
      <c r="H90" s="479">
        <f t="shared" si="325"/>
        <v>5066.7080000000014</v>
      </c>
      <c r="I90" s="479">
        <f t="shared" si="325"/>
        <v>-1494.9850000000006</v>
      </c>
      <c r="J90" s="479">
        <f t="shared" ref="J90:K90" si="326">SUM(J83:J89)</f>
        <v>-1310.9550000000063</v>
      </c>
      <c r="K90" s="479">
        <f t="shared" si="326"/>
        <v>-5357.6309999999976</v>
      </c>
      <c r="L90" s="479">
        <f t="shared" ref="L90:M90" si="327">SUM(L83:L89)</f>
        <v>1034.0930000000026</v>
      </c>
      <c r="M90" s="479">
        <f t="shared" si="327"/>
        <v>7915.1049999999996</v>
      </c>
      <c r="N90" s="479">
        <f t="shared" ref="N90" si="328">SUM(N83:N89)</f>
        <v>9384.9910000000073</v>
      </c>
      <c r="O90" s="479"/>
      <c r="P90" s="479">
        <f t="shared" si="324"/>
        <v>-2683.8179999999993</v>
      </c>
      <c r="Q90" s="479">
        <f t="shared" si="324"/>
        <v>-457.42800000000034</v>
      </c>
      <c r="R90" s="479">
        <f t="shared" si="324"/>
        <v>-560.52299999999855</v>
      </c>
      <c r="S90" s="479">
        <f t="shared" si="324"/>
        <v>1007.2479999999998</v>
      </c>
      <c r="T90" s="479">
        <f t="shared" si="324"/>
        <v>1863.6540000000009</v>
      </c>
      <c r="U90" s="479">
        <f t="shared" si="324"/>
        <v>-1814.3250000000016</v>
      </c>
      <c r="V90" s="479">
        <f t="shared" si="324"/>
        <v>2225.7399999999998</v>
      </c>
      <c r="W90" s="479">
        <f t="shared" si="324"/>
        <v>-1757.4929999999986</v>
      </c>
      <c r="X90" s="479">
        <f t="shared" si="324"/>
        <v>-1421.6570000000002</v>
      </c>
      <c r="Y90" s="479">
        <f t="shared" ref="Y90:BB90" si="329">SUM(Y83:Y89)</f>
        <v>14377.493</v>
      </c>
      <c r="Z90" s="479">
        <f t="shared" si="329"/>
        <v>-3224.047</v>
      </c>
      <c r="AA90" s="479">
        <f t="shared" si="329"/>
        <v>-12087.120000000006</v>
      </c>
      <c r="AB90" s="479">
        <f t="shared" si="329"/>
        <v>741.9989999999998</v>
      </c>
      <c r="AC90" s="479">
        <f t="shared" si="329"/>
        <v>10418.522999999999</v>
      </c>
      <c r="AD90" s="479">
        <f t="shared" si="329"/>
        <v>4227.9960000000019</v>
      </c>
      <c r="AE90" s="479">
        <f t="shared" si="329"/>
        <v>-10321.809999999998</v>
      </c>
      <c r="AF90" s="479">
        <f t="shared" si="329"/>
        <v>-2444.309999999999</v>
      </c>
      <c r="AG90" s="479">
        <f t="shared" ref="AG90:AL90" si="330">SUM(AG83:AG89)</f>
        <v>-1638.0750000000016</v>
      </c>
      <c r="AH90" s="479">
        <f t="shared" si="330"/>
        <v>-70.570999999998776</v>
      </c>
      <c r="AI90" s="479">
        <f t="shared" si="330"/>
        <v>2657.9709999999986</v>
      </c>
      <c r="AJ90" s="479">
        <f t="shared" si="330"/>
        <v>-2051.152</v>
      </c>
      <c r="AK90" s="479">
        <f t="shared" si="330"/>
        <v>-139.44300000000072</v>
      </c>
      <c r="AL90" s="479">
        <f t="shared" si="330"/>
        <v>-1239.6979999999978</v>
      </c>
      <c r="AM90" s="479">
        <f t="shared" ref="AM90:AP90" si="331">SUM(AM83:AM89)</f>
        <v>2119.3379999999979</v>
      </c>
      <c r="AN90" s="479">
        <f t="shared" si="331"/>
        <v>-4970.7700000000004</v>
      </c>
      <c r="AO90" s="479">
        <f t="shared" si="331"/>
        <v>1916.7400000000021</v>
      </c>
      <c r="AP90" s="479">
        <f t="shared" si="331"/>
        <v>-2728.1810000000023</v>
      </c>
      <c r="AQ90" s="479">
        <f t="shared" ref="AQ90:AT90" si="332">SUM(AQ83:AQ89)</f>
        <v>424.58000000000311</v>
      </c>
      <c r="AR90" s="479">
        <f t="shared" si="332"/>
        <v>-2087.6489999999999</v>
      </c>
      <c r="AS90" s="479">
        <f t="shared" si="332"/>
        <v>3083.7869999999994</v>
      </c>
      <c r="AT90" s="479">
        <f t="shared" si="332"/>
        <v>-2860.6589999999997</v>
      </c>
      <c r="AU90" s="479">
        <f t="shared" ref="AU90:AX90" si="333">SUM(AU83:AU89)</f>
        <v>2898.6139999999996</v>
      </c>
      <c r="AV90" s="479">
        <f t="shared" si="333"/>
        <v>-2944.5670000000018</v>
      </c>
      <c r="AW90" s="479">
        <f t="shared" si="333"/>
        <v>2056.2750000000037</v>
      </c>
      <c r="AX90" s="479">
        <f t="shared" si="333"/>
        <v>-1652.2539999999992</v>
      </c>
      <c r="AY90" s="479">
        <f t="shared" ref="AY90:AZ90" si="334">SUM(AY83:AY89)</f>
        <v>10455.651</v>
      </c>
      <c r="AZ90" s="479">
        <f t="shared" si="334"/>
        <v>-1474.6809999999998</v>
      </c>
      <c r="BB90" s="479">
        <f t="shared" si="329"/>
        <v>-11623.090000000007</v>
      </c>
    </row>
    <row r="91" spans="1:60" ht="12.75">
      <c r="A91" s="746"/>
      <c r="B91" s="435" t="s">
        <v>537</v>
      </c>
      <c r="C91" s="487">
        <v>0</v>
      </c>
      <c r="D91" s="487">
        <v>0</v>
      </c>
      <c r="E91" s="487">
        <v>0</v>
      </c>
      <c r="F91" s="487">
        <v>0</v>
      </c>
      <c r="G91" s="487">
        <v>0</v>
      </c>
      <c r="H91" s="487">
        <v>0</v>
      </c>
      <c r="I91" s="487">
        <v>0</v>
      </c>
      <c r="J91" s="487">
        <v>0</v>
      </c>
      <c r="K91" s="487">
        <v>0</v>
      </c>
      <c r="L91" s="487">
        <v>0</v>
      </c>
      <c r="M91" s="487">
        <v>0</v>
      </c>
      <c r="N91" s="486">
        <f>SUM(AW91:AZ91)</f>
        <v>0</v>
      </c>
      <c r="O91" s="486"/>
      <c r="P91" s="487">
        <v>0</v>
      </c>
      <c r="Q91" s="487">
        <f>-P91</f>
        <v>0</v>
      </c>
      <c r="R91" s="487">
        <f>-Q91-P91</f>
        <v>0</v>
      </c>
      <c r="S91" s="423">
        <f>+IFERROR(D91-P91-Q91-R91,"NA")</f>
        <v>0</v>
      </c>
      <c r="T91" s="487">
        <v>0</v>
      </c>
      <c r="U91" s="487">
        <f>-T91</f>
        <v>0</v>
      </c>
      <c r="V91" s="487">
        <f>-U91-T91</f>
        <v>0</v>
      </c>
      <c r="W91" s="423">
        <f>E91-V91-U91-T91</f>
        <v>0</v>
      </c>
      <c r="X91" s="487">
        <v>0</v>
      </c>
      <c r="Y91" s="487">
        <f>-X91</f>
        <v>0</v>
      </c>
      <c r="Z91" s="420">
        <f>-Y91-X91</f>
        <v>0</v>
      </c>
      <c r="AA91" s="423">
        <f>F91-Z91-Y91-X91</f>
        <v>0</v>
      </c>
      <c r="AB91" s="487">
        <v>0</v>
      </c>
      <c r="AC91" s="487">
        <f>0-AB91</f>
        <v>0</v>
      </c>
      <c r="AD91" s="420">
        <f>-AC91-AB91</f>
        <v>0</v>
      </c>
      <c r="AE91" s="486">
        <f>H91-AD91-AC91-AB91</f>
        <v>0</v>
      </c>
      <c r="AF91" s="487">
        <v>0</v>
      </c>
      <c r="AG91" s="487">
        <f>0-AF91</f>
        <v>0</v>
      </c>
      <c r="AH91" s="420">
        <f>-AG91-AF91</f>
        <v>0</v>
      </c>
      <c r="AI91" s="486">
        <f>I91-AH91-AG91-AF91</f>
        <v>0</v>
      </c>
      <c r="AJ91" s="487">
        <v>0</v>
      </c>
      <c r="AK91" s="487">
        <v>0</v>
      </c>
      <c r="AL91" s="487">
        <f>-AK91-AJ91</f>
        <v>0</v>
      </c>
      <c r="AM91" s="486">
        <f>J91-AL91-AK91-AJ91</f>
        <v>0</v>
      </c>
      <c r="AN91" s="487">
        <v>0</v>
      </c>
      <c r="AO91" s="487">
        <v>0</v>
      </c>
      <c r="AP91" s="487">
        <f>0-AO91-AN91</f>
        <v>0</v>
      </c>
      <c r="AQ91" s="486">
        <f>K91-AP91-AO91-AN91</f>
        <v>0</v>
      </c>
      <c r="AR91" s="487">
        <v>0</v>
      </c>
      <c r="AS91" s="487">
        <v>0</v>
      </c>
      <c r="AT91" s="487">
        <f>0-AS91-AR91</f>
        <v>0</v>
      </c>
      <c r="AU91" s="486">
        <f>L91-AT91-AS91-AR91</f>
        <v>0</v>
      </c>
      <c r="AV91" s="487">
        <v>0</v>
      </c>
      <c r="AW91" s="487">
        <v>0</v>
      </c>
      <c r="AX91" s="487">
        <f>0-AW91-AV91</f>
        <v>0</v>
      </c>
      <c r="AY91" s="486">
        <f>M91-AX91-AW91-AV91</f>
        <v>0</v>
      </c>
      <c r="AZ91" s="487">
        <v>0</v>
      </c>
      <c r="BB91" s="486">
        <f>G91-Z91-Y91-X91</f>
        <v>0</v>
      </c>
    </row>
    <row r="92" spans="1:60" ht="12.75">
      <c r="B92" s="435" t="s">
        <v>538</v>
      </c>
      <c r="C92" s="420">
        <f>-441.798-C90</f>
        <v>-563.61900000000173</v>
      </c>
      <c r="D92" s="420">
        <f>-2325.676-D90</f>
        <v>368.84499999999889</v>
      </c>
      <c r="E92" s="420">
        <f>1180.482-E90</f>
        <v>662.90600000000268</v>
      </c>
      <c r="F92" s="420">
        <f>-1366.012-F90</f>
        <v>989.31900000000201</v>
      </c>
      <c r="G92" s="420">
        <f>-1366.012-G90</f>
        <v>525.28900000000317</v>
      </c>
      <c r="H92" s="420">
        <f>4703.679-H90</f>
        <v>-363.02900000000136</v>
      </c>
      <c r="I92" s="420">
        <f>-1007.082-I90</f>
        <v>487.90300000000059</v>
      </c>
      <c r="J92" s="420">
        <f>147.6-J90</f>
        <v>1458.5550000000062</v>
      </c>
      <c r="K92" s="420">
        <f>-4060.469-K90</f>
        <v>1297.1619999999975</v>
      </c>
      <c r="L92" s="420">
        <f>1691.959-L90</f>
        <v>657.86599999999748</v>
      </c>
      <c r="M92" s="420">
        <f>9203.222-M90</f>
        <v>1288.1170000000002</v>
      </c>
      <c r="N92" s="486">
        <f>SUM(AW92:AZ92)</f>
        <v>1706.6089999999981</v>
      </c>
      <c r="O92" s="486"/>
      <c r="P92" s="487">
        <f>-2547.797-P90</f>
        <v>136.02099999999928</v>
      </c>
      <c r="Q92" s="420">
        <f>-3683.18-P92-Q90-P90</f>
        <v>-677.95499999999947</v>
      </c>
      <c r="R92" s="420">
        <f>-3570.943-Q92-P92-R90-Q90-P90</f>
        <v>672.75999999999794</v>
      </c>
      <c r="S92" s="423">
        <f>+IFERROR(D92-P92-Q92-R92,"NA")</f>
        <v>238.01900000000114</v>
      </c>
      <c r="T92" s="420">
        <f>521.414-T90</f>
        <v>-1342.2400000000009</v>
      </c>
      <c r="U92" s="420">
        <f>275.496-T92-U90-T90</f>
        <v>1568.4070000000015</v>
      </c>
      <c r="V92" s="420">
        <f>2786.117-U92-T92-V90-U90-T90</f>
        <v>284.88100000000077</v>
      </c>
      <c r="W92" s="423">
        <f>E92-V92-U92-T92</f>
        <v>151.85800000000131</v>
      </c>
      <c r="X92" s="420">
        <f>-1067.508-X90</f>
        <v>354.14900000000011</v>
      </c>
      <c r="Y92" s="420">
        <f>13743.408-X92-Y90-X90</f>
        <v>433.42299999999977</v>
      </c>
      <c r="Z92" s="420">
        <f>9314.147-Y92-X92-Z90-Y90-X90</f>
        <v>-1205.2139999999972</v>
      </c>
      <c r="AA92" s="423">
        <f>F92-Z92-Y92-X92</f>
        <v>1406.9609999999996</v>
      </c>
      <c r="AB92" s="420">
        <f>1026.04-AB90</f>
        <v>284.04100000000017</v>
      </c>
      <c r="AC92" s="420">
        <f>11814.399-AB92-AC90-AB90</f>
        <v>369.83600000000115</v>
      </c>
      <c r="AD92" s="420">
        <f>15331.022-AC92-AB92-AD90-AC90-AB90</f>
        <v>-711.37300000000141</v>
      </c>
      <c r="AE92" s="486">
        <f>H92-AD92-AC92-AB92</f>
        <v>-305.53300000000127</v>
      </c>
      <c r="AF92" s="420">
        <f>-2926.333-AF90</f>
        <v>-482.02300000000105</v>
      </c>
      <c r="AG92" s="420">
        <f>-4032.777-AF92-AG90-AF90</f>
        <v>531.63100000000168</v>
      </c>
      <c r="AH92" s="420">
        <f>-4244.228-AG92-AF92-AH90-AG90-AF90</f>
        <v>-140.88000000000147</v>
      </c>
      <c r="AI92" s="486">
        <f>I92-AH92-AG92-AF92</f>
        <v>579.17500000000143</v>
      </c>
      <c r="AJ92" s="420">
        <f>-2402.786-AJ90</f>
        <v>-351.63400000000001</v>
      </c>
      <c r="AK92" s="420">
        <f>-1481.432-AK90-AJ92-AJ90</f>
        <v>1060.7970000000007</v>
      </c>
      <c r="AL92" s="420">
        <f>-(1860.872)-AK92-AJ92-AL90-AK90-AJ90</f>
        <v>860.25799999999776</v>
      </c>
      <c r="AM92" s="486">
        <f>J92-AL92-AK92-AJ92</f>
        <v>-110.86599999999225</v>
      </c>
      <c r="AN92" s="420">
        <f>-3815.195-AN90</f>
        <v>1155.5750000000003</v>
      </c>
      <c r="AO92" s="420">
        <f>-2512.343-AO90-AN92-AN90</f>
        <v>-613.88800000000265</v>
      </c>
      <c r="AP92" s="420">
        <f>-4223.51-AO92-AN92-AP90-AO90-AN90</f>
        <v>1017.0140000000024</v>
      </c>
      <c r="AQ92" s="486">
        <f>K92-AP92-AO92-AN92</f>
        <v>-261.53900000000249</v>
      </c>
      <c r="AR92" s="420">
        <f>-1032.985-AR90</f>
        <v>1054.664</v>
      </c>
      <c r="AS92" s="420">
        <f>1855.374-AS90-AR92-AR90</f>
        <v>-195.42799999999943</v>
      </c>
      <c r="AT92" s="420">
        <f>-158.208-AS92-AR92-AT90-AS90-AR90</f>
        <v>847.07699999999977</v>
      </c>
      <c r="AU92" s="486">
        <f>L92-AT92-AS92-AR92</f>
        <v>-1048.4470000000028</v>
      </c>
      <c r="AV92" s="420">
        <f>-2510.028-AV90</f>
        <v>434.53900000000203</v>
      </c>
      <c r="AW92" s="420">
        <f>-321.483-AW90-AV92-AV90</f>
        <v>132.26999999999589</v>
      </c>
      <c r="AX92" s="420">
        <f>-1647.672-AW92-AV92-AX90-AW90-AV90</f>
        <v>326.0649999999996</v>
      </c>
      <c r="AY92" s="486">
        <f>M92-AX92-AW92-AV92</f>
        <v>395.24300000000267</v>
      </c>
      <c r="AZ92" s="420">
        <f>-621.65-AZ90</f>
        <v>853.03099999999984</v>
      </c>
      <c r="BB92" s="486">
        <f>G92-Z92-Y92-X92</f>
        <v>942.93100000000049</v>
      </c>
    </row>
    <row r="93" spans="1:60" ht="12.75">
      <c r="B93" s="485" t="s">
        <v>539</v>
      </c>
      <c r="C93" s="479">
        <f t="shared" ref="C93:X93" si="335">SUM(C90:C92)</f>
        <v>-441.798</v>
      </c>
      <c r="D93" s="479">
        <f t="shared" si="335"/>
        <v>-2325.6759999999999</v>
      </c>
      <c r="E93" s="479">
        <f t="shared" si="335"/>
        <v>1180.482</v>
      </c>
      <c r="F93" s="479">
        <f t="shared" ref="F93:I93" si="336">SUM(F90:F92)</f>
        <v>-1366.0119999999999</v>
      </c>
      <c r="G93" s="479">
        <f t="shared" si="336"/>
        <v>-1366.0119999999999</v>
      </c>
      <c r="H93" s="479">
        <f t="shared" si="336"/>
        <v>4703.6790000000001</v>
      </c>
      <c r="I93" s="479">
        <f t="shared" si="336"/>
        <v>-1007.082</v>
      </c>
      <c r="J93" s="479">
        <f t="shared" ref="J93:K93" si="337">SUM(J90:J92)</f>
        <v>147.59999999999991</v>
      </c>
      <c r="K93" s="479">
        <f t="shared" si="337"/>
        <v>-4060.4690000000001</v>
      </c>
      <c r="L93" s="479">
        <f t="shared" ref="L93:M93" si="338">SUM(L90:L92)</f>
        <v>1691.9590000000001</v>
      </c>
      <c r="M93" s="479">
        <f t="shared" si="338"/>
        <v>9203.2219999999998</v>
      </c>
      <c r="N93" s="479">
        <f>SUM(N90:N92)</f>
        <v>11091.600000000006</v>
      </c>
      <c r="O93" s="479"/>
      <c r="P93" s="479">
        <f t="shared" si="335"/>
        <v>-2547.797</v>
      </c>
      <c r="Q93" s="479">
        <f t="shared" si="335"/>
        <v>-1135.3829999999998</v>
      </c>
      <c r="R93" s="479">
        <f t="shared" si="335"/>
        <v>112.2369999999994</v>
      </c>
      <c r="S93" s="479">
        <f t="shared" si="335"/>
        <v>1245.267000000001</v>
      </c>
      <c r="T93" s="479">
        <f t="shared" si="335"/>
        <v>521.41399999999999</v>
      </c>
      <c r="U93" s="479">
        <f t="shared" si="335"/>
        <v>-245.91800000000012</v>
      </c>
      <c r="V93" s="479">
        <f t="shared" si="335"/>
        <v>2510.6210000000005</v>
      </c>
      <c r="W93" s="479">
        <f t="shared" si="335"/>
        <v>-1605.6349999999973</v>
      </c>
      <c r="X93" s="479">
        <f t="shared" si="335"/>
        <v>-1067.508</v>
      </c>
      <c r="Y93" s="479">
        <f t="shared" ref="Y93:BB93" si="339">SUM(Y90:Y92)</f>
        <v>14810.916000000001</v>
      </c>
      <c r="Z93" s="479">
        <f t="shared" si="339"/>
        <v>-4429.2609999999968</v>
      </c>
      <c r="AA93" s="479">
        <f t="shared" si="339"/>
        <v>-10680.159000000007</v>
      </c>
      <c r="AB93" s="479">
        <f t="shared" si="339"/>
        <v>1026.04</v>
      </c>
      <c r="AC93" s="479">
        <f t="shared" si="339"/>
        <v>10788.359</v>
      </c>
      <c r="AD93" s="479">
        <f t="shared" si="339"/>
        <v>3516.6230000000005</v>
      </c>
      <c r="AE93" s="479">
        <f t="shared" si="339"/>
        <v>-10627.342999999999</v>
      </c>
      <c r="AF93" s="479">
        <f t="shared" si="339"/>
        <v>-2926.3330000000001</v>
      </c>
      <c r="AG93" s="479">
        <f t="shared" ref="AG93:AL93" si="340">SUM(AG90:AG92)</f>
        <v>-1106.444</v>
      </c>
      <c r="AH93" s="479">
        <f t="shared" si="340"/>
        <v>-211.45100000000025</v>
      </c>
      <c r="AI93" s="479">
        <f t="shared" si="340"/>
        <v>3237.1460000000002</v>
      </c>
      <c r="AJ93" s="479">
        <f t="shared" si="340"/>
        <v>-2402.7860000000001</v>
      </c>
      <c r="AK93" s="479">
        <f t="shared" si="340"/>
        <v>921.35400000000004</v>
      </c>
      <c r="AL93" s="479">
        <f t="shared" si="340"/>
        <v>-379.44000000000005</v>
      </c>
      <c r="AM93" s="479">
        <f t="shared" ref="AM93:AN93" si="341">SUM(AM90:AM92)</f>
        <v>2008.4720000000057</v>
      </c>
      <c r="AN93" s="479">
        <f t="shared" si="341"/>
        <v>-3815.1950000000002</v>
      </c>
      <c r="AO93" s="479">
        <f>SUM(AO90:AO92)</f>
        <v>1302.8519999999994</v>
      </c>
      <c r="AP93" s="479">
        <f t="shared" ref="AP93:AR93" si="342">SUM(AP90:AP92)</f>
        <v>-1711.1669999999999</v>
      </c>
      <c r="AQ93" s="479">
        <f t="shared" si="342"/>
        <v>163.04100000000062</v>
      </c>
      <c r="AR93" s="479">
        <f t="shared" si="342"/>
        <v>-1032.9849999999999</v>
      </c>
      <c r="AS93" s="479">
        <f>SUM(AS90:AS92)</f>
        <v>2888.3589999999999</v>
      </c>
      <c r="AT93" s="479">
        <f t="shared" ref="AT93:AV93" si="343">SUM(AT90:AT92)</f>
        <v>-2013.5819999999999</v>
      </c>
      <c r="AU93" s="479">
        <f t="shared" si="343"/>
        <v>1850.1669999999967</v>
      </c>
      <c r="AV93" s="479">
        <f t="shared" si="343"/>
        <v>-2510.0279999999998</v>
      </c>
      <c r="AW93" s="479">
        <f>SUM(AW90:AW92)</f>
        <v>2188.5449999999996</v>
      </c>
      <c r="AX93" s="479">
        <f t="shared" ref="AX93:AZ93" si="344">SUM(AX90:AX92)</f>
        <v>-1326.1889999999996</v>
      </c>
      <c r="AY93" s="479">
        <f t="shared" si="344"/>
        <v>10850.894000000002</v>
      </c>
      <c r="AZ93" s="479">
        <f t="shared" si="344"/>
        <v>-621.65</v>
      </c>
      <c r="BB93" s="479">
        <f t="shared" si="339"/>
        <v>-10680.159000000007</v>
      </c>
    </row>
    <row r="94" spans="1:60" s="424" customFormat="1" ht="12.75">
      <c r="B94" s="485" t="s">
        <v>74</v>
      </c>
      <c r="C94" s="714">
        <f>5995.918+C93</f>
        <v>5554.12</v>
      </c>
      <c r="D94" s="479">
        <f>C94+D93</f>
        <v>3228.444</v>
      </c>
      <c r="E94" s="479">
        <f>D94+E93</f>
        <v>4408.9259999999995</v>
      </c>
      <c r="F94" s="479">
        <f>E94+F93</f>
        <v>3042.9139999999998</v>
      </c>
      <c r="G94" s="479">
        <f>E94+G93</f>
        <v>3042.9139999999998</v>
      </c>
      <c r="H94" s="479">
        <f>F94+H93</f>
        <v>7746.5929999999998</v>
      </c>
      <c r="I94" s="479">
        <f>H94+I93</f>
        <v>6739.5109999999995</v>
      </c>
      <c r="J94" s="479">
        <f>I94+J93</f>
        <v>6887.110999999999</v>
      </c>
      <c r="K94" s="479">
        <f>J94+K93</f>
        <v>2826.6419999999989</v>
      </c>
      <c r="L94" s="479">
        <f>K94+L93</f>
        <v>4518.6009999999987</v>
      </c>
      <c r="M94" s="479">
        <f>L94+M93</f>
        <v>13721.822999999999</v>
      </c>
      <c r="N94" s="479">
        <f>N93+AV94</f>
        <v>13100.173000000006</v>
      </c>
      <c r="O94" s="479"/>
      <c r="P94" s="479">
        <f>C94+P93</f>
        <v>3006.3229999999999</v>
      </c>
      <c r="Q94" s="479">
        <f>+P94+Q93</f>
        <v>1870.94</v>
      </c>
      <c r="R94" s="479">
        <f>+Q94+R93</f>
        <v>1983.1769999999995</v>
      </c>
      <c r="S94" s="479">
        <f>+R94+S93</f>
        <v>3228.4440000000004</v>
      </c>
      <c r="T94" s="479">
        <f>D94+T93</f>
        <v>3749.8580000000002</v>
      </c>
      <c r="U94" s="479">
        <f>+T94+U93</f>
        <v>3503.94</v>
      </c>
      <c r="V94" s="479">
        <f>+U94+V93</f>
        <v>6014.5610000000006</v>
      </c>
      <c r="W94" s="479">
        <f>+V94+W93</f>
        <v>4408.9260000000031</v>
      </c>
      <c r="X94" s="479">
        <f>E94+X93</f>
        <v>3341.4179999999997</v>
      </c>
      <c r="Y94" s="479">
        <f>X94+Y93</f>
        <v>18152.334000000003</v>
      </c>
      <c r="Z94" s="479">
        <f>Y94+Z93</f>
        <v>13723.073000000006</v>
      </c>
      <c r="AA94" s="479">
        <f>+Z94+AA93</f>
        <v>3042.9139999999989</v>
      </c>
      <c r="AB94" s="479">
        <f>+AA94+AB93</f>
        <v>4068.9539999999988</v>
      </c>
      <c r="AC94" s="479">
        <f>AB94+AC93</f>
        <v>14857.312999999998</v>
      </c>
      <c r="AD94" s="479">
        <f>AC94+AD93</f>
        <v>18373.935999999998</v>
      </c>
      <c r="AE94" s="479">
        <f>+AD94+AE93</f>
        <v>7746.5929999999989</v>
      </c>
      <c r="AF94" s="479">
        <f>+AE94+AF93</f>
        <v>4820.2599999999984</v>
      </c>
      <c r="AG94" s="479">
        <f>AF94+AG93</f>
        <v>3713.8159999999984</v>
      </c>
      <c r="AH94" s="479">
        <f>AG94+AH93</f>
        <v>3502.364999999998</v>
      </c>
      <c r="AI94" s="479">
        <f>+AH94+AI93</f>
        <v>6739.5109999999986</v>
      </c>
      <c r="AJ94" s="479">
        <f>+AI94+AJ93</f>
        <v>4336.7249999999985</v>
      </c>
      <c r="AK94" s="479">
        <f>+AJ94+AK93</f>
        <v>5258.0789999999988</v>
      </c>
      <c r="AL94" s="479">
        <f>AK94+AL93</f>
        <v>4878.6389999999992</v>
      </c>
      <c r="AM94" s="479">
        <f>+AL94+AM93</f>
        <v>6887.1110000000044</v>
      </c>
      <c r="AN94" s="479">
        <f>+AM94+AN93</f>
        <v>3071.9160000000043</v>
      </c>
      <c r="AO94" s="479">
        <f>+AN94+AO93</f>
        <v>4374.7680000000037</v>
      </c>
      <c r="AP94" s="479">
        <f>AO94+AP93</f>
        <v>2663.6010000000038</v>
      </c>
      <c r="AQ94" s="479">
        <f>+AP94+AQ93</f>
        <v>2826.6420000000044</v>
      </c>
      <c r="AR94" s="479">
        <f>+AQ94+AR93</f>
        <v>1793.6570000000045</v>
      </c>
      <c r="AS94" s="479">
        <f>+AR94+AS93</f>
        <v>4682.0160000000042</v>
      </c>
      <c r="AT94" s="479">
        <f>AS94+AT93</f>
        <v>2668.4340000000043</v>
      </c>
      <c r="AU94" s="479">
        <f>+AT94+AU93</f>
        <v>4518.6010000000006</v>
      </c>
      <c r="AV94" s="479">
        <f>+AU94+AV93</f>
        <v>2008.5730000000008</v>
      </c>
      <c r="AW94" s="479">
        <f>+AV94+AW93</f>
        <v>4197.1180000000004</v>
      </c>
      <c r="AX94" s="479">
        <f>AW94+AX93</f>
        <v>2870.929000000001</v>
      </c>
      <c r="AY94" s="479">
        <f>+AX94+AY93</f>
        <v>13721.823000000004</v>
      </c>
      <c r="AZ94" s="479">
        <f>+AY94+AZ93</f>
        <v>13100.173000000004</v>
      </c>
      <c r="BB94" s="479">
        <f>+Z94+BB93</f>
        <v>3042.9139999999989</v>
      </c>
    </row>
    <row r="95" spans="1:60" ht="12.75">
      <c r="C95" s="483"/>
      <c r="D95" s="483"/>
      <c r="E95" s="483"/>
      <c r="F95" s="483"/>
      <c r="G95" s="629"/>
      <c r="H95" s="628"/>
      <c r="I95" s="628"/>
      <c r="J95" s="628"/>
      <c r="K95" s="628"/>
      <c r="L95" s="628"/>
      <c r="M95" s="628"/>
      <c r="N95" s="483"/>
      <c r="O95" s="735"/>
      <c r="P95" s="483"/>
      <c r="Q95" s="483"/>
      <c r="T95" s="483"/>
      <c r="U95" s="483"/>
      <c r="X95" s="483"/>
      <c r="Y95" s="483"/>
      <c r="Z95" s="483"/>
      <c r="AB95" s="483"/>
      <c r="AC95" s="483"/>
      <c r="AD95" s="483"/>
      <c r="AF95" s="483"/>
      <c r="AG95" s="483"/>
      <c r="AH95" s="483"/>
      <c r="AJ95" s="483"/>
      <c r="AK95" s="483"/>
      <c r="AL95" s="483"/>
      <c r="AN95" s="483"/>
      <c r="AO95" s="483"/>
      <c r="AP95" s="483"/>
      <c r="AR95" s="483"/>
      <c r="AS95" s="483"/>
      <c r="AT95" s="483"/>
      <c r="AV95" s="483"/>
      <c r="AW95" s="483"/>
      <c r="AX95" s="483"/>
      <c r="AZ95" s="483"/>
    </row>
    <row r="96" spans="1:60" s="770" customFormat="1" ht="11.25">
      <c r="B96" s="484" t="s">
        <v>540</v>
      </c>
      <c r="C96" s="771">
        <f t="shared" ref="C96:N96" si="345">C94-C123</f>
        <v>0</v>
      </c>
      <c r="D96" s="771">
        <f t="shared" si="345"/>
        <v>0</v>
      </c>
      <c r="E96" s="771">
        <f t="shared" si="345"/>
        <v>0</v>
      </c>
      <c r="F96" s="771">
        <f t="shared" si="345"/>
        <v>0</v>
      </c>
      <c r="G96" s="771">
        <f t="shared" si="345"/>
        <v>0</v>
      </c>
      <c r="H96" s="771">
        <f t="shared" si="345"/>
        <v>0</v>
      </c>
      <c r="I96" s="771">
        <f t="shared" si="345"/>
        <v>0</v>
      </c>
      <c r="J96" s="771">
        <f t="shared" si="345"/>
        <v>0</v>
      </c>
      <c r="K96" s="771">
        <f t="shared" si="345"/>
        <v>0</v>
      </c>
      <c r="L96" s="771">
        <f t="shared" si="345"/>
        <v>0</v>
      </c>
      <c r="M96" s="771">
        <f t="shared" si="345"/>
        <v>0</v>
      </c>
      <c r="N96" s="771">
        <f t="shared" si="345"/>
        <v>0</v>
      </c>
      <c r="O96" s="772"/>
      <c r="P96" s="771">
        <f t="shared" ref="P96:AY96" si="346">P94-P123</f>
        <v>0</v>
      </c>
      <c r="Q96" s="771">
        <f t="shared" si="346"/>
        <v>0</v>
      </c>
      <c r="R96" s="771">
        <f t="shared" si="346"/>
        <v>0</v>
      </c>
      <c r="S96" s="771">
        <f t="shared" si="346"/>
        <v>0</v>
      </c>
      <c r="T96" s="771">
        <f t="shared" si="346"/>
        <v>0</v>
      </c>
      <c r="U96" s="771">
        <f t="shared" si="346"/>
        <v>0</v>
      </c>
      <c r="V96" s="771">
        <f t="shared" si="346"/>
        <v>0</v>
      </c>
      <c r="W96" s="771">
        <f t="shared" si="346"/>
        <v>0</v>
      </c>
      <c r="X96" s="771">
        <f t="shared" si="346"/>
        <v>0</v>
      </c>
      <c r="Y96" s="771">
        <f t="shared" si="346"/>
        <v>0</v>
      </c>
      <c r="Z96" s="771">
        <f t="shared" si="346"/>
        <v>0</v>
      </c>
      <c r="AA96" s="771">
        <f t="shared" si="346"/>
        <v>0</v>
      </c>
      <c r="AB96" s="771">
        <f t="shared" si="346"/>
        <v>0</v>
      </c>
      <c r="AC96" s="771">
        <f t="shared" si="346"/>
        <v>0</v>
      </c>
      <c r="AD96" s="771">
        <f t="shared" si="346"/>
        <v>0</v>
      </c>
      <c r="AE96" s="771">
        <f t="shared" si="346"/>
        <v>0</v>
      </c>
      <c r="AF96" s="771">
        <f t="shared" si="346"/>
        <v>0</v>
      </c>
      <c r="AG96" s="771">
        <f t="shared" si="346"/>
        <v>0</v>
      </c>
      <c r="AH96" s="771">
        <f t="shared" si="346"/>
        <v>0</v>
      </c>
      <c r="AI96" s="771">
        <f t="shared" si="346"/>
        <v>0</v>
      </c>
      <c r="AJ96" s="771">
        <f t="shared" si="346"/>
        <v>0</v>
      </c>
      <c r="AK96" s="771">
        <f t="shared" si="346"/>
        <v>0</v>
      </c>
      <c r="AL96" s="771">
        <f t="shared" si="346"/>
        <v>0</v>
      </c>
      <c r="AM96" s="771">
        <f t="shared" si="346"/>
        <v>0</v>
      </c>
      <c r="AN96" s="771">
        <f t="shared" si="346"/>
        <v>4.0927261579781771E-12</v>
      </c>
      <c r="AO96" s="771">
        <f t="shared" si="346"/>
        <v>0</v>
      </c>
      <c r="AP96" s="771">
        <f t="shared" si="346"/>
        <v>3.637978807091713E-12</v>
      </c>
      <c r="AQ96" s="771">
        <f t="shared" si="346"/>
        <v>4.5474735088646412E-12</v>
      </c>
      <c r="AR96" s="771">
        <f t="shared" si="346"/>
        <v>4.5474735088646412E-12</v>
      </c>
      <c r="AS96" s="771">
        <f t="shared" si="346"/>
        <v>0</v>
      </c>
      <c r="AT96" s="771">
        <f t="shared" si="346"/>
        <v>4.0927261579781771E-12</v>
      </c>
      <c r="AU96" s="771">
        <f t="shared" si="346"/>
        <v>0</v>
      </c>
      <c r="AV96" s="771">
        <f t="shared" si="346"/>
        <v>0</v>
      </c>
      <c r="AW96" s="771">
        <f t="shared" si="346"/>
        <v>0</v>
      </c>
      <c r="AX96" s="771">
        <f t="shared" si="346"/>
        <v>0</v>
      </c>
      <c r="AY96" s="771">
        <f t="shared" si="346"/>
        <v>0</v>
      </c>
      <c r="AZ96" s="771">
        <f t="shared" ref="AZ96" si="347">AZ94-AZ123</f>
        <v>0</v>
      </c>
      <c r="BB96" s="771">
        <f>BB94-BB123</f>
        <v>0</v>
      </c>
    </row>
    <row r="97" spans="2:54" ht="12.75">
      <c r="C97" s="483"/>
      <c r="D97" s="483"/>
      <c r="E97" s="483"/>
      <c r="F97" s="483"/>
      <c r="G97" s="483"/>
      <c r="H97" s="483"/>
      <c r="I97" s="420"/>
      <c r="J97" s="420"/>
      <c r="K97" s="420"/>
      <c r="L97" s="420"/>
      <c r="M97" s="420"/>
      <c r="N97" s="483"/>
      <c r="O97" s="735"/>
      <c r="P97" s="483"/>
      <c r="Q97" s="483"/>
      <c r="T97" s="483"/>
      <c r="U97" s="483"/>
      <c r="X97" s="483"/>
      <c r="Y97" s="483"/>
      <c r="Z97" s="483"/>
      <c r="AB97" s="483"/>
      <c r="AC97" s="483"/>
      <c r="AD97" s="483"/>
      <c r="AF97" s="483"/>
      <c r="AG97" s="483"/>
      <c r="AH97" s="483"/>
      <c r="AJ97" s="483"/>
      <c r="AK97" s="483"/>
      <c r="AL97" s="483"/>
      <c r="AN97" s="483"/>
      <c r="AO97" s="483"/>
      <c r="AP97" s="483"/>
      <c r="AR97" s="483"/>
      <c r="AS97" s="483"/>
      <c r="AT97" s="483"/>
      <c r="AV97" s="483"/>
      <c r="AW97" s="483"/>
      <c r="AX97" s="483"/>
      <c r="AZ97" s="483"/>
    </row>
    <row r="98" spans="2:54" ht="12.75">
      <c r="B98" s="464" t="s">
        <v>541</v>
      </c>
      <c r="C98" s="460">
        <f t="shared" ref="C98:T98" si="348">+C73</f>
        <v>42735</v>
      </c>
      <c r="D98" s="461">
        <f t="shared" si="348"/>
        <v>43100</v>
      </c>
      <c r="E98" s="461">
        <f t="shared" si="348"/>
        <v>43465</v>
      </c>
      <c r="F98" s="461">
        <f t="shared" ref="F98:I98" si="349">+F73</f>
        <v>43830</v>
      </c>
      <c r="G98" s="461">
        <f t="shared" si="349"/>
        <v>43830</v>
      </c>
      <c r="H98" s="461">
        <f t="shared" si="349"/>
        <v>44196</v>
      </c>
      <c r="I98" s="461">
        <f t="shared" si="349"/>
        <v>44561</v>
      </c>
      <c r="J98" s="461">
        <f t="shared" ref="J98:K98" si="350">+J73</f>
        <v>44926</v>
      </c>
      <c r="K98" s="461">
        <f t="shared" si="350"/>
        <v>45291</v>
      </c>
      <c r="L98" s="461">
        <f t="shared" ref="L98:M98" si="351">+L73</f>
        <v>45657</v>
      </c>
      <c r="M98" s="461">
        <f t="shared" si="351"/>
        <v>46022</v>
      </c>
      <c r="N98" s="708">
        <f t="shared" ref="N98" si="352">+N73</f>
        <v>46111</v>
      </c>
      <c r="O98" s="741"/>
      <c r="P98" s="460">
        <f t="shared" si="348"/>
        <v>42825</v>
      </c>
      <c r="Q98" s="460">
        <f t="shared" si="348"/>
        <v>42916</v>
      </c>
      <c r="R98" s="460">
        <f t="shared" si="348"/>
        <v>43008</v>
      </c>
      <c r="S98" s="460">
        <f t="shared" si="348"/>
        <v>43099</v>
      </c>
      <c r="T98" s="460">
        <f t="shared" si="348"/>
        <v>43189</v>
      </c>
      <c r="U98" s="460">
        <f>U73</f>
        <v>43281</v>
      </c>
      <c r="V98" s="460">
        <f>V3</f>
        <v>43373</v>
      </c>
      <c r="W98" s="460">
        <f>W3</f>
        <v>43464</v>
      </c>
      <c r="X98" s="460">
        <f>+X73</f>
        <v>43554</v>
      </c>
      <c r="Y98" s="460">
        <f>+Y73</f>
        <v>43646</v>
      </c>
      <c r="Z98" s="460">
        <f>+Z73</f>
        <v>43738</v>
      </c>
      <c r="AA98" s="460">
        <f>AA3</f>
        <v>43829</v>
      </c>
      <c r="AB98" s="460">
        <f>+AB73</f>
        <v>43920</v>
      </c>
      <c r="AC98" s="460">
        <f>+AC73</f>
        <v>44012</v>
      </c>
      <c r="AD98" s="460">
        <f>+AD73</f>
        <v>44104</v>
      </c>
      <c r="AE98" s="564">
        <f>AE3</f>
        <v>44195</v>
      </c>
      <c r="AF98" s="564">
        <f>AF3</f>
        <v>44285</v>
      </c>
      <c r="AG98" s="460">
        <f>+AG73</f>
        <v>44377</v>
      </c>
      <c r="AH98" s="460">
        <f>+AH73</f>
        <v>44469</v>
      </c>
      <c r="AI98" s="564">
        <f>AI3</f>
        <v>44560</v>
      </c>
      <c r="AJ98" s="564">
        <f>AJ3</f>
        <v>44650</v>
      </c>
      <c r="AK98" s="564">
        <f>AK3</f>
        <v>44742</v>
      </c>
      <c r="AL98" s="564">
        <f>+AL73</f>
        <v>44834</v>
      </c>
      <c r="AM98" s="564">
        <f>AM3</f>
        <v>44925</v>
      </c>
      <c r="AN98" s="564">
        <f>AN3</f>
        <v>45015</v>
      </c>
      <c r="AO98" s="564">
        <f>AO3</f>
        <v>45107</v>
      </c>
      <c r="AP98" s="564">
        <f>+AP73</f>
        <v>45199</v>
      </c>
      <c r="AQ98" s="564">
        <f>AQ3</f>
        <v>45290</v>
      </c>
      <c r="AR98" s="564">
        <f>AR3</f>
        <v>45381</v>
      </c>
      <c r="AS98" s="564">
        <f>AS3</f>
        <v>45473</v>
      </c>
      <c r="AT98" s="564">
        <f>+AT73</f>
        <v>45565</v>
      </c>
      <c r="AU98" s="564">
        <f>AU3</f>
        <v>45656</v>
      </c>
      <c r="AV98" s="564">
        <f>AV3</f>
        <v>45746</v>
      </c>
      <c r="AW98" s="564">
        <f>AW3</f>
        <v>45838</v>
      </c>
      <c r="AX98" s="564">
        <f>+AX73</f>
        <v>45930</v>
      </c>
      <c r="AY98" s="564">
        <f>AY3</f>
        <v>46021</v>
      </c>
      <c r="AZ98" s="564">
        <f>AZ3</f>
        <v>46111</v>
      </c>
      <c r="BB98" s="460">
        <f>BB3</f>
        <v>43829</v>
      </c>
    </row>
    <row r="99" spans="2:54" ht="12.75">
      <c r="B99" s="422" t="str">
        <f t="shared" ref="B99:H99" si="353">+B14</f>
        <v>Total revenues</v>
      </c>
      <c r="C99" s="423">
        <f t="shared" si="353"/>
        <v>13252.848</v>
      </c>
      <c r="D99" s="423">
        <f t="shared" si="353"/>
        <v>14621.119999999999</v>
      </c>
      <c r="E99" s="423">
        <f t="shared" si="353"/>
        <v>17205.128999999997</v>
      </c>
      <c r="F99" s="423">
        <f t="shared" si="353"/>
        <v>19189.082999999999</v>
      </c>
      <c r="G99" s="423">
        <f t="shared" si="353"/>
        <v>19189.082999999999</v>
      </c>
      <c r="H99" s="423">
        <f t="shared" si="353"/>
        <v>19193.234999999997</v>
      </c>
      <c r="I99" s="423">
        <f t="shared" ref="I99:N99" si="354">+I14</f>
        <v>21868.71</v>
      </c>
      <c r="J99" s="423">
        <f t="shared" si="354"/>
        <v>23900.686000000002</v>
      </c>
      <c r="K99" s="423">
        <f t="shared" si="354"/>
        <v>26057.337</v>
      </c>
      <c r="L99" s="423">
        <f t="shared" si="354"/>
        <v>28324.656999999999</v>
      </c>
      <c r="M99" s="423">
        <f t="shared" si="354"/>
        <v>30508.817999999999</v>
      </c>
      <c r="N99" s="423">
        <f t="shared" si="354"/>
        <v>30911.22</v>
      </c>
      <c r="O99" s="423"/>
      <c r="P99" s="582"/>
      <c r="Q99" s="423"/>
      <c r="R99" s="423"/>
      <c r="S99" s="423">
        <f t="shared" ref="S99:AZ99" si="355">+S14+R14+Q14+P14</f>
        <v>14621.119999999999</v>
      </c>
      <c r="T99" s="423">
        <f t="shared" si="355"/>
        <v>15186.964</v>
      </c>
      <c r="U99" s="423">
        <f t="shared" si="355"/>
        <v>15822.085999999999</v>
      </c>
      <c r="V99" s="423">
        <f t="shared" si="355"/>
        <v>16594.188000000002</v>
      </c>
      <c r="W99" s="423">
        <f t="shared" si="355"/>
        <v>17205.129000000001</v>
      </c>
      <c r="X99" s="423">
        <f t="shared" si="355"/>
        <v>17678.514000000003</v>
      </c>
      <c r="Y99" s="423">
        <f t="shared" si="355"/>
        <v>18200.272000000001</v>
      </c>
      <c r="Z99" s="423">
        <f t="shared" si="355"/>
        <v>18610.78</v>
      </c>
      <c r="AA99" s="423">
        <f t="shared" si="355"/>
        <v>19189.082999999995</v>
      </c>
      <c r="AB99" s="423">
        <f t="shared" si="355"/>
        <v>19755.128999999994</v>
      </c>
      <c r="AC99" s="423">
        <f t="shared" si="355"/>
        <v>19316.463999999993</v>
      </c>
      <c r="AD99" s="423">
        <f t="shared" si="355"/>
        <v>19094.908999999996</v>
      </c>
      <c r="AE99" s="423">
        <f t="shared" si="355"/>
        <v>19193.235000000001</v>
      </c>
      <c r="AF99" s="423">
        <f t="shared" si="355"/>
        <v>19393.489000000001</v>
      </c>
      <c r="AG99" s="423">
        <f t="shared" si="355"/>
        <v>20380.763999999999</v>
      </c>
      <c r="AH99" s="423">
        <f t="shared" si="355"/>
        <v>21242.050000000003</v>
      </c>
      <c r="AI99" s="423">
        <f t="shared" si="355"/>
        <v>21868.71</v>
      </c>
      <c r="AJ99" s="423">
        <f t="shared" si="355"/>
        <v>22348.592999999997</v>
      </c>
      <c r="AK99" s="423">
        <f t="shared" si="355"/>
        <v>22864.370999999999</v>
      </c>
      <c r="AL99" s="423">
        <f t="shared" si="355"/>
        <v>23487.212</v>
      </c>
      <c r="AM99" s="423">
        <f t="shared" si="355"/>
        <v>23900.686000000005</v>
      </c>
      <c r="AN99" s="423">
        <f t="shared" si="355"/>
        <v>24428.903000000002</v>
      </c>
      <c r="AO99" s="423">
        <f t="shared" si="355"/>
        <v>25076.211000000003</v>
      </c>
      <c r="AP99" s="423">
        <f t="shared" si="355"/>
        <v>25505.896000000004</v>
      </c>
      <c r="AQ99" s="423">
        <f t="shared" si="355"/>
        <v>26057.337</v>
      </c>
      <c r="AR99" s="423">
        <f t="shared" si="355"/>
        <v>26503.511000000002</v>
      </c>
      <c r="AS99" s="423">
        <f t="shared" si="355"/>
        <v>26866.85</v>
      </c>
      <c r="AT99" s="423">
        <f t="shared" si="355"/>
        <v>27579.17</v>
      </c>
      <c r="AU99" s="423">
        <f t="shared" si="355"/>
        <v>28324.656999999999</v>
      </c>
      <c r="AV99" s="423">
        <f t="shared" si="355"/>
        <v>29105.670999999995</v>
      </c>
      <c r="AW99" s="423">
        <f t="shared" si="355"/>
        <v>29798.966</v>
      </c>
      <c r="AX99" s="423">
        <f t="shared" si="355"/>
        <v>30163.85</v>
      </c>
      <c r="AY99" s="423">
        <f t="shared" si="355"/>
        <v>30508.817999999999</v>
      </c>
      <c r="AZ99" s="423">
        <f t="shared" si="355"/>
        <v>30911.219999999998</v>
      </c>
      <c r="BB99" s="423">
        <f>+BB14+Z14+Y14+X14</f>
        <v>19189.082999999995</v>
      </c>
    </row>
    <row r="100" spans="2:54" ht="12.75">
      <c r="B100" s="422" t="s">
        <v>513</v>
      </c>
      <c r="C100" s="423">
        <f t="shared" ref="C100:H100" si="356">C21</f>
        <v>9988.4310000000005</v>
      </c>
      <c r="D100" s="423">
        <f t="shared" si="356"/>
        <v>10987.822999999999</v>
      </c>
      <c r="E100" s="423">
        <f t="shared" si="356"/>
        <v>12809.943999999998</v>
      </c>
      <c r="F100" s="423">
        <f t="shared" si="356"/>
        <v>14315.096999999998</v>
      </c>
      <c r="G100" s="423">
        <f t="shared" si="356"/>
        <v>14321.096999999998</v>
      </c>
      <c r="H100" s="423">
        <f t="shared" si="356"/>
        <v>14065.146999999997</v>
      </c>
      <c r="I100" s="423">
        <f t="shared" ref="I100:N100" si="357">I21</f>
        <v>16539.563999999998</v>
      </c>
      <c r="J100" s="423">
        <f t="shared" si="357"/>
        <v>17899.572</v>
      </c>
      <c r="K100" s="423">
        <f t="shared" si="357"/>
        <v>19151.268</v>
      </c>
      <c r="L100" s="423">
        <f t="shared" si="357"/>
        <v>20313.487000000001</v>
      </c>
      <c r="M100" s="423">
        <f t="shared" si="357"/>
        <v>21833.199999999997</v>
      </c>
      <c r="N100" s="423">
        <f t="shared" si="357"/>
        <v>22354.383000000002</v>
      </c>
      <c r="O100" s="423"/>
      <c r="P100" s="582"/>
      <c r="Q100" s="423"/>
      <c r="R100" s="423"/>
      <c r="S100" s="423">
        <f t="shared" ref="S100:AZ100" si="358">S21+R21+Q21+P21</f>
        <v>10987.823</v>
      </c>
      <c r="T100" s="423">
        <f t="shared" si="358"/>
        <v>11367.479000000001</v>
      </c>
      <c r="U100" s="423">
        <f t="shared" si="358"/>
        <v>11816.534</v>
      </c>
      <c r="V100" s="423">
        <f t="shared" si="358"/>
        <v>12359.011999999999</v>
      </c>
      <c r="W100" s="423">
        <f t="shared" si="358"/>
        <v>12809.944</v>
      </c>
      <c r="X100" s="423">
        <f t="shared" si="358"/>
        <v>13176.544</v>
      </c>
      <c r="Y100" s="423">
        <f t="shared" si="358"/>
        <v>13561.189</v>
      </c>
      <c r="Z100" s="423">
        <f t="shared" si="358"/>
        <v>13878.613000000001</v>
      </c>
      <c r="AA100" s="423">
        <f t="shared" si="358"/>
        <v>14315.096999999996</v>
      </c>
      <c r="AB100" s="423">
        <f t="shared" si="358"/>
        <v>14815.857999999997</v>
      </c>
      <c r="AC100" s="423">
        <f t="shared" si="358"/>
        <v>14344.409999999996</v>
      </c>
      <c r="AD100" s="423">
        <f t="shared" si="358"/>
        <v>14000.557999999997</v>
      </c>
      <c r="AE100" s="423">
        <f t="shared" si="358"/>
        <v>14065.147000000001</v>
      </c>
      <c r="AF100" s="423">
        <f t="shared" si="358"/>
        <v>14118.965</v>
      </c>
      <c r="AG100" s="423">
        <f t="shared" si="358"/>
        <v>15079.078</v>
      </c>
      <c r="AH100" s="423">
        <f t="shared" si="358"/>
        <v>16011.937000000002</v>
      </c>
      <c r="AI100" s="423">
        <f t="shared" si="358"/>
        <v>16539.563999999998</v>
      </c>
      <c r="AJ100" s="423">
        <f t="shared" si="358"/>
        <v>16934.287999999997</v>
      </c>
      <c r="AK100" s="423">
        <f t="shared" si="358"/>
        <v>17240.216</v>
      </c>
      <c r="AL100" s="423">
        <f t="shared" si="358"/>
        <v>17670.772999999997</v>
      </c>
      <c r="AM100" s="423">
        <f t="shared" si="358"/>
        <v>17899.572000000004</v>
      </c>
      <c r="AN100" s="423">
        <f t="shared" si="358"/>
        <v>18263.923000000003</v>
      </c>
      <c r="AO100" s="423">
        <f t="shared" si="358"/>
        <v>18702.134000000005</v>
      </c>
      <c r="AP100" s="423">
        <f t="shared" si="358"/>
        <v>18907.924000000003</v>
      </c>
      <c r="AQ100" s="423">
        <f t="shared" si="358"/>
        <v>19151.267999999996</v>
      </c>
      <c r="AR100" s="423">
        <f t="shared" si="358"/>
        <v>19325.349999999999</v>
      </c>
      <c r="AS100" s="423">
        <f t="shared" si="358"/>
        <v>19429.460999999999</v>
      </c>
      <c r="AT100" s="423">
        <f t="shared" si="358"/>
        <v>19829.728999999996</v>
      </c>
      <c r="AU100" s="423">
        <f t="shared" si="358"/>
        <v>20313.486999999997</v>
      </c>
      <c r="AV100" s="423">
        <f t="shared" si="358"/>
        <v>20785.638999999996</v>
      </c>
      <c r="AW100" s="423">
        <f t="shared" si="358"/>
        <v>21248.561999999998</v>
      </c>
      <c r="AX100" s="423">
        <f t="shared" si="358"/>
        <v>21401.187999999998</v>
      </c>
      <c r="AY100" s="423">
        <f t="shared" si="358"/>
        <v>21833.200000000001</v>
      </c>
      <c r="AZ100" s="423">
        <f t="shared" si="358"/>
        <v>22354.383000000002</v>
      </c>
      <c r="BB100" s="423">
        <f>BB21+Z21+Y21+X21</f>
        <v>14321.096999999996</v>
      </c>
    </row>
    <row r="101" spans="2:54" ht="12.75">
      <c r="B101" s="422" t="s">
        <v>542</v>
      </c>
      <c r="C101" s="423">
        <f t="shared" ref="C101:H101" si="359">C64</f>
        <v>9988.4310000000005</v>
      </c>
      <c r="D101" s="423">
        <f t="shared" si="359"/>
        <v>10987.822999999999</v>
      </c>
      <c r="E101" s="423">
        <f t="shared" si="359"/>
        <v>12809.943999999998</v>
      </c>
      <c r="F101" s="423">
        <f t="shared" si="359"/>
        <v>14315.096999999998</v>
      </c>
      <c r="G101" s="423">
        <f t="shared" si="359"/>
        <v>14321.096999999998</v>
      </c>
      <c r="H101" s="423">
        <f t="shared" si="359"/>
        <v>14065.146999999997</v>
      </c>
      <c r="I101" s="423">
        <f t="shared" ref="I101:N101" si="360">I64</f>
        <v>16539.563999999998</v>
      </c>
      <c r="J101" s="423">
        <f t="shared" si="360"/>
        <v>17899.572</v>
      </c>
      <c r="K101" s="423">
        <f t="shared" si="360"/>
        <v>19151.268</v>
      </c>
      <c r="L101" s="423">
        <f t="shared" si="360"/>
        <v>20313.487000000001</v>
      </c>
      <c r="M101" s="423">
        <f t="shared" si="360"/>
        <v>21833.199999999997</v>
      </c>
      <c r="N101" s="423">
        <f t="shared" si="360"/>
        <v>22354.383000000002</v>
      </c>
      <c r="O101" s="423"/>
      <c r="P101" s="582"/>
      <c r="Q101" s="423"/>
      <c r="R101" s="423"/>
      <c r="S101" s="423">
        <f t="shared" ref="S101:AZ101" si="361">S64+R64+Q64+P64</f>
        <v>10987.823</v>
      </c>
      <c r="T101" s="423">
        <f t="shared" si="361"/>
        <v>11367.479000000001</v>
      </c>
      <c r="U101" s="423">
        <f t="shared" si="361"/>
        <v>11816.534</v>
      </c>
      <c r="V101" s="423">
        <f t="shared" si="361"/>
        <v>12359.011999999999</v>
      </c>
      <c r="W101" s="423">
        <f t="shared" si="361"/>
        <v>12809.944</v>
      </c>
      <c r="X101" s="423">
        <f t="shared" si="361"/>
        <v>13176.544</v>
      </c>
      <c r="Y101" s="423">
        <f t="shared" si="361"/>
        <v>13561.189</v>
      </c>
      <c r="Z101" s="423">
        <f t="shared" si="361"/>
        <v>13878.613000000001</v>
      </c>
      <c r="AA101" s="423">
        <f t="shared" si="361"/>
        <v>14315.096999999996</v>
      </c>
      <c r="AB101" s="423">
        <f t="shared" si="361"/>
        <v>14815.857999999997</v>
      </c>
      <c r="AC101" s="423">
        <f t="shared" si="361"/>
        <v>14344.409999999996</v>
      </c>
      <c r="AD101" s="423">
        <f t="shared" si="361"/>
        <v>14000.557999999997</v>
      </c>
      <c r="AE101" s="423">
        <f t="shared" si="361"/>
        <v>14065.147000000001</v>
      </c>
      <c r="AF101" s="423">
        <f t="shared" si="361"/>
        <v>14118.965</v>
      </c>
      <c r="AG101" s="423">
        <f t="shared" si="361"/>
        <v>15079.078</v>
      </c>
      <c r="AH101" s="423">
        <f t="shared" si="361"/>
        <v>16011.937000000002</v>
      </c>
      <c r="AI101" s="423">
        <f t="shared" si="361"/>
        <v>16539.563999999998</v>
      </c>
      <c r="AJ101" s="423">
        <f t="shared" si="361"/>
        <v>16934.287999999997</v>
      </c>
      <c r="AK101" s="423">
        <f t="shared" si="361"/>
        <v>17240.216</v>
      </c>
      <c r="AL101" s="423">
        <f t="shared" si="361"/>
        <v>17670.772999999997</v>
      </c>
      <c r="AM101" s="423">
        <f t="shared" si="361"/>
        <v>17899.572000000004</v>
      </c>
      <c r="AN101" s="423">
        <f t="shared" si="361"/>
        <v>18263.923000000003</v>
      </c>
      <c r="AO101" s="423">
        <f t="shared" si="361"/>
        <v>18702.134000000005</v>
      </c>
      <c r="AP101" s="423">
        <f t="shared" si="361"/>
        <v>18907.924000000003</v>
      </c>
      <c r="AQ101" s="423">
        <f t="shared" si="361"/>
        <v>19151.267999999996</v>
      </c>
      <c r="AR101" s="423">
        <f t="shared" si="361"/>
        <v>19325.349999999999</v>
      </c>
      <c r="AS101" s="423">
        <f t="shared" si="361"/>
        <v>19429.460999999999</v>
      </c>
      <c r="AT101" s="423">
        <f t="shared" si="361"/>
        <v>19829.728999999996</v>
      </c>
      <c r="AU101" s="423">
        <f t="shared" si="361"/>
        <v>20313.486999999997</v>
      </c>
      <c r="AV101" s="423">
        <f t="shared" si="361"/>
        <v>20785.638999999996</v>
      </c>
      <c r="AW101" s="423">
        <f t="shared" si="361"/>
        <v>21248.561999999998</v>
      </c>
      <c r="AX101" s="423">
        <f t="shared" si="361"/>
        <v>21401.187999999998</v>
      </c>
      <c r="AY101" s="423">
        <f t="shared" si="361"/>
        <v>21833.200000000001</v>
      </c>
      <c r="AZ101" s="423">
        <f t="shared" si="361"/>
        <v>22354.383000000002</v>
      </c>
      <c r="BB101" s="423">
        <f>BB64+Z64+Y64+X64</f>
        <v>14321.096999999996</v>
      </c>
    </row>
    <row r="102" spans="2:54" s="424" customFormat="1" ht="12.75">
      <c r="B102" s="422" t="s">
        <v>543</v>
      </c>
      <c r="C102" s="423">
        <f t="shared" ref="C102:H102" si="362">+C69</f>
        <v>9988.4310000000005</v>
      </c>
      <c r="D102" s="423">
        <f t="shared" si="362"/>
        <v>10987.822999999999</v>
      </c>
      <c r="E102" s="423">
        <f t="shared" si="362"/>
        <v>12809.943999999998</v>
      </c>
      <c r="F102" s="423">
        <f t="shared" si="362"/>
        <v>14315.096999999998</v>
      </c>
      <c r="G102" s="423">
        <f t="shared" si="362"/>
        <v>14321.096999999998</v>
      </c>
      <c r="H102" s="423">
        <f t="shared" si="362"/>
        <v>14065.146999999997</v>
      </c>
      <c r="I102" s="423">
        <f t="shared" ref="I102:N102" si="363">+I69</f>
        <v>16539.563999999998</v>
      </c>
      <c r="J102" s="423">
        <f t="shared" si="363"/>
        <v>17899.572</v>
      </c>
      <c r="K102" s="423">
        <f t="shared" si="363"/>
        <v>19151.268</v>
      </c>
      <c r="L102" s="423">
        <f t="shared" si="363"/>
        <v>20313.487000000001</v>
      </c>
      <c r="M102" s="423">
        <f t="shared" si="363"/>
        <v>21833.199999999997</v>
      </c>
      <c r="N102" s="423">
        <f t="shared" si="363"/>
        <v>22354.383000000002</v>
      </c>
      <c r="O102" s="423"/>
      <c r="P102" s="582"/>
      <c r="Q102" s="423"/>
      <c r="R102" s="423"/>
      <c r="S102" s="423">
        <f t="shared" ref="S102:AZ102" si="364">+S69+R69+Q69+P69</f>
        <v>10987.823</v>
      </c>
      <c r="T102" s="423">
        <f t="shared" si="364"/>
        <v>11367.479000000001</v>
      </c>
      <c r="U102" s="423">
        <f t="shared" si="364"/>
        <v>11816.534</v>
      </c>
      <c r="V102" s="423">
        <f t="shared" si="364"/>
        <v>12359.011999999999</v>
      </c>
      <c r="W102" s="423">
        <f t="shared" si="364"/>
        <v>12809.944</v>
      </c>
      <c r="X102" s="423">
        <f t="shared" si="364"/>
        <v>13176.544</v>
      </c>
      <c r="Y102" s="423">
        <f t="shared" si="364"/>
        <v>13561.189</v>
      </c>
      <c r="Z102" s="423">
        <f t="shared" si="364"/>
        <v>13878.613000000001</v>
      </c>
      <c r="AA102" s="423">
        <f t="shared" si="364"/>
        <v>14315.096999999996</v>
      </c>
      <c r="AB102" s="423">
        <f t="shared" si="364"/>
        <v>14815.857999999997</v>
      </c>
      <c r="AC102" s="423">
        <f t="shared" si="364"/>
        <v>14344.409999999996</v>
      </c>
      <c r="AD102" s="423">
        <f t="shared" si="364"/>
        <v>14000.557999999997</v>
      </c>
      <c r="AE102" s="423">
        <f t="shared" si="364"/>
        <v>14065.147000000001</v>
      </c>
      <c r="AF102" s="423">
        <f t="shared" si="364"/>
        <v>14118.965</v>
      </c>
      <c r="AG102" s="423">
        <f t="shared" si="364"/>
        <v>15079.078</v>
      </c>
      <c r="AH102" s="423">
        <f t="shared" si="364"/>
        <v>16011.937000000002</v>
      </c>
      <c r="AI102" s="423">
        <f t="shared" si="364"/>
        <v>16539.563999999998</v>
      </c>
      <c r="AJ102" s="423">
        <f t="shared" si="364"/>
        <v>16934.287999999997</v>
      </c>
      <c r="AK102" s="423">
        <f t="shared" si="364"/>
        <v>17240.216</v>
      </c>
      <c r="AL102" s="423">
        <f t="shared" si="364"/>
        <v>17670.772999999997</v>
      </c>
      <c r="AM102" s="423">
        <f t="shared" si="364"/>
        <v>17899.572000000004</v>
      </c>
      <c r="AN102" s="423">
        <f t="shared" si="364"/>
        <v>18263.923000000003</v>
      </c>
      <c r="AO102" s="423">
        <f t="shared" si="364"/>
        <v>18702.134000000005</v>
      </c>
      <c r="AP102" s="423">
        <f t="shared" si="364"/>
        <v>18907.924000000003</v>
      </c>
      <c r="AQ102" s="423">
        <f t="shared" si="364"/>
        <v>19151.267999999996</v>
      </c>
      <c r="AR102" s="423">
        <f t="shared" si="364"/>
        <v>19325.349999999999</v>
      </c>
      <c r="AS102" s="423">
        <f t="shared" si="364"/>
        <v>19429.460999999999</v>
      </c>
      <c r="AT102" s="423">
        <f t="shared" si="364"/>
        <v>19829.728999999996</v>
      </c>
      <c r="AU102" s="423">
        <f t="shared" si="364"/>
        <v>20313.486999999997</v>
      </c>
      <c r="AV102" s="423">
        <f t="shared" si="364"/>
        <v>20785.638999999996</v>
      </c>
      <c r="AW102" s="423">
        <f t="shared" si="364"/>
        <v>21248.561999999998</v>
      </c>
      <c r="AX102" s="423">
        <f t="shared" si="364"/>
        <v>21401.187999999998</v>
      </c>
      <c r="AY102" s="423">
        <f t="shared" si="364"/>
        <v>21833.200000000001</v>
      </c>
      <c r="AZ102" s="423">
        <f t="shared" si="364"/>
        <v>22354.383000000002</v>
      </c>
      <c r="BB102" s="423">
        <f>+BB69+Z69+Y69+X69</f>
        <v>14321.096999999996</v>
      </c>
    </row>
    <row r="103" spans="2:54" ht="12.75">
      <c r="B103" s="422" t="s">
        <v>522</v>
      </c>
      <c r="C103" s="423">
        <f t="shared" ref="C103:H103" si="365">-C76</f>
        <v>3701.3229999999999</v>
      </c>
      <c r="D103" s="423">
        <f t="shared" si="365"/>
        <v>4936.4359999999997</v>
      </c>
      <c r="E103" s="423">
        <f t="shared" si="365"/>
        <v>6118.7690000000002</v>
      </c>
      <c r="F103" s="423">
        <f t="shared" si="365"/>
        <v>6912.7910000000002</v>
      </c>
      <c r="G103" s="423">
        <f t="shared" si="365"/>
        <v>4946.9520000000002</v>
      </c>
      <c r="H103" s="423">
        <f t="shared" si="365"/>
        <v>7398.1689999999999</v>
      </c>
      <c r="I103" s="423">
        <f t="shared" ref="I103:N103" si="366">-I76</f>
        <v>6108.2219999999998</v>
      </c>
      <c r="J103" s="423">
        <f t="shared" si="366"/>
        <v>7991.3779999999997</v>
      </c>
      <c r="K103" s="423">
        <f t="shared" si="366"/>
        <v>8273.73</v>
      </c>
      <c r="L103" s="423">
        <f t="shared" si="366"/>
        <v>9031.3009999999995</v>
      </c>
      <c r="M103" s="423">
        <f t="shared" si="366"/>
        <v>12361.334999999999</v>
      </c>
      <c r="N103" s="423">
        <f t="shared" si="366"/>
        <v>11031.535999999998</v>
      </c>
      <c r="O103" s="423"/>
      <c r="P103" s="582"/>
      <c r="Q103" s="423"/>
      <c r="R103" s="423"/>
      <c r="S103" s="423">
        <f t="shared" ref="S103:AZ103" si="367">-S76-R76-Q76-P76</f>
        <v>4936.4359999999997</v>
      </c>
      <c r="T103" s="423">
        <f t="shared" si="367"/>
        <v>4213.7669999999998</v>
      </c>
      <c r="U103" s="423">
        <f t="shared" si="367"/>
        <v>5382.3449999999993</v>
      </c>
      <c r="V103" s="423">
        <f t="shared" si="367"/>
        <v>5032.723</v>
      </c>
      <c r="W103" s="423">
        <f t="shared" si="367"/>
        <v>6118.7690000000002</v>
      </c>
      <c r="X103" s="423">
        <f t="shared" si="367"/>
        <v>7147.4000000000005</v>
      </c>
      <c r="Y103" s="423">
        <f t="shared" si="367"/>
        <v>6830.1220000000003</v>
      </c>
      <c r="Z103" s="423">
        <f t="shared" si="367"/>
        <v>7806.1580000000004</v>
      </c>
      <c r="AA103" s="423">
        <f t="shared" si="367"/>
        <v>6912.7909999999993</v>
      </c>
      <c r="AB103" s="423">
        <f t="shared" si="367"/>
        <v>7398.018</v>
      </c>
      <c r="AC103" s="423">
        <f t="shared" si="367"/>
        <v>7317.2070000000003</v>
      </c>
      <c r="AD103" s="423">
        <f t="shared" si="367"/>
        <v>6764.3090000000002</v>
      </c>
      <c r="AE103" s="423">
        <f t="shared" si="367"/>
        <v>7398.1689999999999</v>
      </c>
      <c r="AF103" s="423">
        <f t="shared" si="367"/>
        <v>7442.0889999999999</v>
      </c>
      <c r="AG103" s="423">
        <f t="shared" si="367"/>
        <v>6638.5430000000006</v>
      </c>
      <c r="AH103" s="423">
        <f t="shared" si="367"/>
        <v>7181.8070000000007</v>
      </c>
      <c r="AI103" s="423">
        <f t="shared" si="367"/>
        <v>6108.2219999999998</v>
      </c>
      <c r="AJ103" s="423">
        <f t="shared" si="367"/>
        <v>6165.3549999999996</v>
      </c>
      <c r="AK103" s="423">
        <f t="shared" si="367"/>
        <v>6793.3469999999998</v>
      </c>
      <c r="AL103" s="423">
        <f t="shared" si="367"/>
        <v>8164.4719999999998</v>
      </c>
      <c r="AM103" s="423">
        <f t="shared" si="367"/>
        <v>7991.3780000000006</v>
      </c>
      <c r="AN103" s="423">
        <f t="shared" si="367"/>
        <v>8318.9480000000003</v>
      </c>
      <c r="AO103" s="423">
        <f t="shared" si="367"/>
        <v>8355.7039999999997</v>
      </c>
      <c r="AP103" s="423">
        <f t="shared" si="367"/>
        <v>7565.4819999999991</v>
      </c>
      <c r="AQ103" s="423">
        <f t="shared" si="367"/>
        <v>8273.73</v>
      </c>
      <c r="AR103" s="423">
        <f t="shared" si="367"/>
        <v>8450.2979999999989</v>
      </c>
      <c r="AS103" s="423">
        <f t="shared" si="367"/>
        <v>8260.7799999999988</v>
      </c>
      <c r="AT103" s="423">
        <f t="shared" si="367"/>
        <v>9052.3189999999995</v>
      </c>
      <c r="AU103" s="423">
        <f t="shared" si="367"/>
        <v>9031.3009999999995</v>
      </c>
      <c r="AV103" s="423">
        <f t="shared" si="367"/>
        <v>10203.162999999999</v>
      </c>
      <c r="AW103" s="423">
        <f t="shared" si="367"/>
        <v>10491.682999999999</v>
      </c>
      <c r="AX103" s="423">
        <f t="shared" si="367"/>
        <v>10637.642</v>
      </c>
      <c r="AY103" s="423">
        <f t="shared" si="367"/>
        <v>12361.334999999999</v>
      </c>
      <c r="AZ103" s="423">
        <f t="shared" si="367"/>
        <v>11031.536</v>
      </c>
      <c r="BB103" s="423">
        <f>-BB76-Z76-Y76-X76</f>
        <v>4946.9520000000002</v>
      </c>
    </row>
    <row r="104" spans="2:54" ht="12.75">
      <c r="B104" s="422" t="s">
        <v>544</v>
      </c>
      <c r="C104" s="423">
        <f t="shared" ref="C104:H104" si="368">+C39</f>
        <v>12393.912</v>
      </c>
      <c r="D104" s="423">
        <f t="shared" si="368"/>
        <v>12158.179999999998</v>
      </c>
      <c r="E104" s="423">
        <f t="shared" si="368"/>
        <v>17270.751999999997</v>
      </c>
      <c r="F104" s="423">
        <f t="shared" si="368"/>
        <v>18725.010000000002</v>
      </c>
      <c r="G104" s="423">
        <f t="shared" si="368"/>
        <v>18150.318000000003</v>
      </c>
      <c r="H104" s="423">
        <f t="shared" si="368"/>
        <v>13959.233999999999</v>
      </c>
      <c r="I104" s="423">
        <f t="shared" ref="I104:N104" si="369">+I39</f>
        <v>4010.0039999999972</v>
      </c>
      <c r="J104" s="423">
        <f t="shared" si="369"/>
        <v>24096.888999999996</v>
      </c>
      <c r="K104" s="423">
        <f t="shared" si="369"/>
        <v>18344.065000000002</v>
      </c>
      <c r="L104" s="423">
        <f t="shared" si="369"/>
        <v>10006.952000000001</v>
      </c>
      <c r="M104" s="423">
        <f t="shared" si="369"/>
        <v>27049.322999999993</v>
      </c>
      <c r="N104" s="423">
        <f t="shared" si="369"/>
        <v>27443.809999999998</v>
      </c>
      <c r="O104" s="423"/>
      <c r="P104" s="582"/>
      <c r="Q104" s="423"/>
      <c r="R104" s="423"/>
      <c r="S104" s="423">
        <f t="shared" ref="S104:AZ104" si="370">+S39+R39+Q39+P39</f>
        <v>12158.18</v>
      </c>
      <c r="T104" s="423">
        <f t="shared" si="370"/>
        <v>11940.632999999998</v>
      </c>
      <c r="U104" s="423">
        <f t="shared" si="370"/>
        <v>9284.9419999999991</v>
      </c>
      <c r="V104" s="423">
        <f t="shared" si="370"/>
        <v>11796.913</v>
      </c>
      <c r="W104" s="423">
        <f t="shared" si="370"/>
        <v>17270.752</v>
      </c>
      <c r="X104" s="423">
        <f t="shared" si="370"/>
        <v>16714.953000000001</v>
      </c>
      <c r="Y104" s="423">
        <f t="shared" si="370"/>
        <v>21326.392</v>
      </c>
      <c r="Z104" s="423">
        <f t="shared" si="370"/>
        <v>18713.748000000003</v>
      </c>
      <c r="AA104" s="423">
        <f t="shared" si="370"/>
        <v>18725.009999999998</v>
      </c>
      <c r="AB104" s="423">
        <f t="shared" si="370"/>
        <v>-598.2489999999998</v>
      </c>
      <c r="AC104" s="423">
        <f t="shared" si="370"/>
        <v>7286.1309999999994</v>
      </c>
      <c r="AD104" s="423">
        <f t="shared" si="370"/>
        <v>9855.0419999999976</v>
      </c>
      <c r="AE104" s="423">
        <f t="shared" si="370"/>
        <v>13959.234</v>
      </c>
      <c r="AF104" s="423">
        <f t="shared" si="370"/>
        <v>28680.187999999998</v>
      </c>
      <c r="AG104" s="423">
        <f t="shared" si="370"/>
        <v>16841.536</v>
      </c>
      <c r="AH104" s="423">
        <f t="shared" si="370"/>
        <v>11763.677000000001</v>
      </c>
      <c r="AI104" s="423">
        <f t="shared" si="370"/>
        <v>4010.0039999999985</v>
      </c>
      <c r="AJ104" s="423">
        <f t="shared" si="370"/>
        <v>8710.9089999999978</v>
      </c>
      <c r="AK104" s="423">
        <f t="shared" si="370"/>
        <v>9811.5449999999983</v>
      </c>
      <c r="AL104" s="423">
        <f t="shared" si="370"/>
        <v>14736.060999999998</v>
      </c>
      <c r="AM104" s="423">
        <f t="shared" si="370"/>
        <v>24096.889000000003</v>
      </c>
      <c r="AN104" s="423">
        <f t="shared" si="370"/>
        <v>26403.794999999998</v>
      </c>
      <c r="AO104" s="423">
        <f t="shared" si="370"/>
        <v>29467.481</v>
      </c>
      <c r="AP104" s="423">
        <f t="shared" si="370"/>
        <v>25008.025999999998</v>
      </c>
      <c r="AQ104" s="423">
        <f t="shared" si="370"/>
        <v>18344.064999999999</v>
      </c>
      <c r="AR104" s="423">
        <f t="shared" si="370"/>
        <v>14444.051999999998</v>
      </c>
      <c r="AS104" s="423">
        <f t="shared" si="370"/>
        <v>12989.552</v>
      </c>
      <c r="AT104" s="423">
        <f t="shared" si="370"/>
        <v>12032.774999999998</v>
      </c>
      <c r="AU104" s="423">
        <f t="shared" si="370"/>
        <v>10006.951999999997</v>
      </c>
      <c r="AV104" s="423">
        <f t="shared" si="370"/>
        <v>8823.3129999999983</v>
      </c>
      <c r="AW104" s="423">
        <f t="shared" si="370"/>
        <v>10022.356999999996</v>
      </c>
      <c r="AX104" s="423">
        <f t="shared" si="370"/>
        <v>14764.214999999998</v>
      </c>
      <c r="AY104" s="423">
        <f t="shared" si="370"/>
        <v>27049.323</v>
      </c>
      <c r="AZ104" s="423">
        <f t="shared" si="370"/>
        <v>27443.81</v>
      </c>
      <c r="BB104" s="423">
        <f>+BB39+Z39+Y39+X39</f>
        <v>18150.317999999996</v>
      </c>
    </row>
    <row r="105" spans="2:54" ht="12.75">
      <c r="B105" s="422" t="s">
        <v>545</v>
      </c>
      <c r="C105" s="423">
        <f t="shared" ref="C105:H105" si="371">-C79</f>
        <v>5878.59</v>
      </c>
      <c r="D105" s="423">
        <f t="shared" si="371"/>
        <v>5965.4059999999999</v>
      </c>
      <c r="E105" s="423">
        <f t="shared" si="371"/>
        <v>8016.1899999999987</v>
      </c>
      <c r="F105" s="423">
        <f t="shared" si="371"/>
        <v>9396.1939999999995</v>
      </c>
      <c r="G105" s="423">
        <f t="shared" si="371"/>
        <v>7150.7889999999998</v>
      </c>
      <c r="H105" s="423">
        <f t="shared" si="371"/>
        <v>3348.4740000000002</v>
      </c>
      <c r="I105" s="423">
        <f t="shared" ref="I105:N105" si="372">-I79</f>
        <v>4592.7299999999996</v>
      </c>
      <c r="J105" s="423">
        <f t="shared" si="372"/>
        <v>6107.2269999999999</v>
      </c>
      <c r="K105" s="423">
        <f t="shared" si="372"/>
        <v>2336.732</v>
      </c>
      <c r="L105" s="423">
        <f t="shared" si="372"/>
        <v>1544.3249999999998</v>
      </c>
      <c r="M105" s="423">
        <f t="shared" si="372"/>
        <v>3035.377</v>
      </c>
      <c r="N105" s="423">
        <f t="shared" si="372"/>
        <v>3388.0829999999996</v>
      </c>
      <c r="O105" s="423"/>
      <c r="P105" s="582"/>
      <c r="Q105" s="423"/>
      <c r="R105" s="423"/>
      <c r="S105" s="423">
        <f t="shared" ref="S105:AZ105" si="373">-S79-R79-Q79-P79</f>
        <v>5965.405999999999</v>
      </c>
      <c r="T105" s="423">
        <f t="shared" si="373"/>
        <v>4692.3419999999987</v>
      </c>
      <c r="U105" s="423">
        <f t="shared" si="373"/>
        <v>6758.3920000000007</v>
      </c>
      <c r="V105" s="423">
        <f t="shared" si="373"/>
        <v>7218.4480000000003</v>
      </c>
      <c r="W105" s="423">
        <f t="shared" si="373"/>
        <v>8016.1899999999987</v>
      </c>
      <c r="X105" s="423">
        <f t="shared" si="373"/>
        <v>9550.5579999999991</v>
      </c>
      <c r="Y105" s="423">
        <f t="shared" si="373"/>
        <v>8689.3449999999975</v>
      </c>
      <c r="Z105" s="423">
        <f t="shared" si="373"/>
        <v>7937.324999999998</v>
      </c>
      <c r="AA105" s="423">
        <f t="shared" si="373"/>
        <v>9396.1939999999995</v>
      </c>
      <c r="AB105" s="423">
        <f t="shared" si="373"/>
        <v>8039.4109999999991</v>
      </c>
      <c r="AC105" s="423">
        <f t="shared" si="373"/>
        <v>6537.0110000000004</v>
      </c>
      <c r="AD105" s="423">
        <f t="shared" si="373"/>
        <v>6305.5859999999993</v>
      </c>
      <c r="AE105" s="423">
        <f t="shared" si="373"/>
        <v>3348.4740000000002</v>
      </c>
      <c r="AF105" s="423">
        <f t="shared" si="373"/>
        <v>3825.0210000000002</v>
      </c>
      <c r="AG105" s="423">
        <f t="shared" si="373"/>
        <v>4487.6230000000005</v>
      </c>
      <c r="AH105" s="423">
        <f t="shared" si="373"/>
        <v>3440.2809999999999</v>
      </c>
      <c r="AI105" s="423">
        <f t="shared" si="373"/>
        <v>4592.7299999999996</v>
      </c>
      <c r="AJ105" s="423">
        <f t="shared" si="373"/>
        <v>5282.8709999999992</v>
      </c>
      <c r="AK105" s="423">
        <f t="shared" si="373"/>
        <v>6029.6609999999991</v>
      </c>
      <c r="AL105" s="423">
        <f t="shared" si="373"/>
        <v>6746.5569999999998</v>
      </c>
      <c r="AM105" s="423">
        <f t="shared" si="373"/>
        <v>6107.2269999999999</v>
      </c>
      <c r="AN105" s="423">
        <f t="shared" si="373"/>
        <v>6073.8720000000003</v>
      </c>
      <c r="AO105" s="423">
        <f t="shared" si="373"/>
        <v>1893.6469999999997</v>
      </c>
      <c r="AP105" s="423">
        <f t="shared" si="373"/>
        <v>2211.0830000000005</v>
      </c>
      <c r="AQ105" s="423">
        <f t="shared" si="373"/>
        <v>2336.732</v>
      </c>
      <c r="AR105" s="423">
        <f t="shared" si="373"/>
        <v>1244.0789999999997</v>
      </c>
      <c r="AS105" s="423">
        <f t="shared" si="373"/>
        <v>3910.8909999999996</v>
      </c>
      <c r="AT105" s="423">
        <f t="shared" si="373"/>
        <v>2753.5329999999994</v>
      </c>
      <c r="AU105" s="423">
        <f t="shared" si="373"/>
        <v>1544.3249999999998</v>
      </c>
      <c r="AV105" s="423">
        <f t="shared" si="373"/>
        <v>1564.1579999999997</v>
      </c>
      <c r="AW105" s="423">
        <f t="shared" si="373"/>
        <v>1651.0199999999998</v>
      </c>
      <c r="AX105" s="423">
        <f t="shared" si="373"/>
        <v>1393.0079999999998</v>
      </c>
      <c r="AY105" s="423">
        <f t="shared" si="373"/>
        <v>3035.377</v>
      </c>
      <c r="AZ105" s="423">
        <f t="shared" si="373"/>
        <v>3388.0829999999996</v>
      </c>
      <c r="BB105" s="423">
        <f>-BB79-Z79-Y79-X79</f>
        <v>7150.7889999999989</v>
      </c>
    </row>
    <row r="106" spans="2:54" ht="12.75">
      <c r="B106" s="422" t="s">
        <v>529</v>
      </c>
      <c r="C106" s="423">
        <f t="shared" ref="C106:H106" si="374">+C83</f>
        <v>802.49699999999984</v>
      </c>
      <c r="D106" s="423">
        <f t="shared" si="374"/>
        <v>-11347.642</v>
      </c>
      <c r="E106" s="423">
        <f t="shared" si="374"/>
        <v>-1708.4460000000013</v>
      </c>
      <c r="F106" s="423">
        <f t="shared" si="374"/>
        <v>-21386.134000000002</v>
      </c>
      <c r="G106" s="423">
        <f t="shared" si="374"/>
        <v>-17637.230000000003</v>
      </c>
      <c r="H106" s="423">
        <f t="shared" si="374"/>
        <v>-2138.8180000000029</v>
      </c>
      <c r="I106" s="423">
        <f t="shared" ref="I106:N106" si="375">+I83</f>
        <v>386.11299999999846</v>
      </c>
      <c r="J106" s="423">
        <f t="shared" si="375"/>
        <v>1349.2789999999995</v>
      </c>
      <c r="K106" s="423">
        <f t="shared" si="375"/>
        <v>6783.514000000001</v>
      </c>
      <c r="L106" s="423">
        <f t="shared" si="375"/>
        <v>8325.1510000000017</v>
      </c>
      <c r="M106" s="423">
        <f t="shared" si="375"/>
        <v>91.578999999995972</v>
      </c>
      <c r="N106" s="423">
        <f t="shared" si="375"/>
        <v>601.71900000000221</v>
      </c>
      <c r="O106" s="423"/>
      <c r="P106" s="582"/>
      <c r="Q106" s="423"/>
      <c r="R106" s="423"/>
      <c r="S106" s="423">
        <f t="shared" ref="S106:AZ106" si="376">+S83+R83+Q83+P83</f>
        <v>-11347.641999999998</v>
      </c>
      <c r="T106" s="423">
        <f t="shared" si="376"/>
        <v>-9169.0169999999962</v>
      </c>
      <c r="U106" s="423">
        <f t="shared" si="376"/>
        <v>-11426.107999999998</v>
      </c>
      <c r="V106" s="423">
        <f t="shared" si="376"/>
        <v>-11143.151000000002</v>
      </c>
      <c r="W106" s="423">
        <f t="shared" si="376"/>
        <v>-1708.4459999999981</v>
      </c>
      <c r="X106" s="423">
        <f t="shared" si="376"/>
        <v>-3319.8379999999997</v>
      </c>
      <c r="Y106" s="423">
        <f t="shared" si="376"/>
        <v>-2293.831999999999</v>
      </c>
      <c r="Z106" s="423">
        <f t="shared" si="376"/>
        <v>-674.65899999999715</v>
      </c>
      <c r="AA106" s="423">
        <f t="shared" si="376"/>
        <v>-21386.134000000002</v>
      </c>
      <c r="AB106" s="423">
        <f t="shared" si="376"/>
        <v>-21133.453000000001</v>
      </c>
      <c r="AC106" s="423">
        <f t="shared" si="376"/>
        <v>-20499.999000000003</v>
      </c>
      <c r="AD106" s="423">
        <f t="shared" si="376"/>
        <v>-22888.280000000002</v>
      </c>
      <c r="AE106" s="423">
        <f t="shared" si="376"/>
        <v>-2138.8179999999993</v>
      </c>
      <c r="AF106" s="423">
        <f t="shared" si="376"/>
        <v>-4650.9040000000005</v>
      </c>
      <c r="AG106" s="423">
        <f t="shared" si="376"/>
        <v>-3445.9009999999994</v>
      </c>
      <c r="AH106" s="423">
        <f t="shared" si="376"/>
        <v>-2692.4899999999989</v>
      </c>
      <c r="AI106" s="423">
        <f t="shared" si="376"/>
        <v>386.11299999999983</v>
      </c>
      <c r="AJ106" s="423">
        <f t="shared" si="376"/>
        <v>3341.223</v>
      </c>
      <c r="AK106" s="423">
        <f t="shared" si="376"/>
        <v>902.37000000000012</v>
      </c>
      <c r="AL106" s="423">
        <f t="shared" si="376"/>
        <v>349.07900000000063</v>
      </c>
      <c r="AM106" s="423">
        <f t="shared" si="376"/>
        <v>1349.2790000000052</v>
      </c>
      <c r="AN106" s="423">
        <f t="shared" si="376"/>
        <v>1176.2360000000051</v>
      </c>
      <c r="AO106" s="423">
        <f t="shared" si="376"/>
        <v>8251.4460000000054</v>
      </c>
      <c r="AP106" s="423">
        <f t="shared" si="376"/>
        <v>8106.1200000000044</v>
      </c>
      <c r="AQ106" s="423">
        <f t="shared" si="376"/>
        <v>6783.514000000001</v>
      </c>
      <c r="AR106" s="423">
        <f t="shared" si="376"/>
        <v>7083.5320000000011</v>
      </c>
      <c r="AS106" s="423">
        <f t="shared" si="376"/>
        <v>5191.9209999999985</v>
      </c>
      <c r="AT106" s="423">
        <f t="shared" si="376"/>
        <v>6356.3079999999991</v>
      </c>
      <c r="AU106" s="423">
        <f t="shared" si="376"/>
        <v>8325.150999999998</v>
      </c>
      <c r="AV106" s="423">
        <f t="shared" si="376"/>
        <v>8105.8819999999969</v>
      </c>
      <c r="AW106" s="423">
        <f t="shared" si="376"/>
        <v>4727.8610000000008</v>
      </c>
      <c r="AX106" s="423">
        <f t="shared" si="376"/>
        <v>2507.7310000000002</v>
      </c>
      <c r="AY106" s="423">
        <f t="shared" si="376"/>
        <v>91.578999999999837</v>
      </c>
      <c r="AZ106" s="423">
        <f t="shared" si="376"/>
        <v>601.71900000000142</v>
      </c>
      <c r="BB106" s="423">
        <f>+BB83+Z83+Y83+X83</f>
        <v>-17637.230000000003</v>
      </c>
    </row>
    <row r="107" spans="2:54" ht="12.75">
      <c r="C107" s="423"/>
      <c r="D107" s="423"/>
      <c r="E107" s="423"/>
      <c r="F107" s="423"/>
      <c r="G107" s="423"/>
      <c r="H107" s="423"/>
      <c r="I107" s="423"/>
      <c r="J107" s="423"/>
      <c r="K107" s="423"/>
      <c r="L107" s="423"/>
      <c r="M107" s="423"/>
      <c r="N107" s="423"/>
      <c r="O107" s="423"/>
    </row>
    <row r="108" spans="2:54" ht="12.75">
      <c r="B108" s="464" t="s">
        <v>546</v>
      </c>
      <c r="C108" s="460">
        <f>+C98</f>
        <v>42735</v>
      </c>
      <c r="D108" s="461">
        <f>+D98</f>
        <v>43100</v>
      </c>
      <c r="E108" s="461">
        <f t="shared" ref="E108:J108" si="377">E3</f>
        <v>43465</v>
      </c>
      <c r="F108" s="461">
        <f t="shared" si="377"/>
        <v>43830</v>
      </c>
      <c r="G108" s="461">
        <f t="shared" si="377"/>
        <v>43830</v>
      </c>
      <c r="H108" s="461">
        <f t="shared" si="377"/>
        <v>44196</v>
      </c>
      <c r="I108" s="461">
        <f t="shared" si="377"/>
        <v>44561</v>
      </c>
      <c r="J108" s="461">
        <f t="shared" si="377"/>
        <v>44926</v>
      </c>
      <c r="K108" s="461">
        <f t="shared" ref="K108:L108" si="378">K3</f>
        <v>45291</v>
      </c>
      <c r="L108" s="461">
        <f t="shared" si="378"/>
        <v>45657</v>
      </c>
      <c r="M108" s="461">
        <f t="shared" ref="M108" si="379">M3</f>
        <v>46022</v>
      </c>
      <c r="N108" s="708">
        <f t="shared" ref="N108" si="380">+N98</f>
        <v>46111</v>
      </c>
      <c r="O108" s="741"/>
      <c r="P108" s="460">
        <f t="shared" ref="P108:T108" si="381">+P98</f>
        <v>42825</v>
      </c>
      <c r="Q108" s="460">
        <f t="shared" si="381"/>
        <v>42916</v>
      </c>
      <c r="R108" s="460">
        <f t="shared" si="381"/>
        <v>43008</v>
      </c>
      <c r="S108" s="460">
        <f t="shared" si="381"/>
        <v>43099</v>
      </c>
      <c r="T108" s="460">
        <f t="shared" si="381"/>
        <v>43189</v>
      </c>
      <c r="U108" s="460">
        <f>U3</f>
        <v>43281</v>
      </c>
      <c r="V108" s="460">
        <f>V3</f>
        <v>43373</v>
      </c>
      <c r="W108" s="460">
        <f>W3</f>
        <v>43464</v>
      </c>
      <c r="X108" s="460">
        <f>+X98</f>
        <v>43554</v>
      </c>
      <c r="Y108" s="460">
        <f>+Y98</f>
        <v>43646</v>
      </c>
      <c r="Z108" s="460">
        <f>+Z98</f>
        <v>43738</v>
      </c>
      <c r="AA108" s="460">
        <f>AA3</f>
        <v>43829</v>
      </c>
      <c r="AB108" s="460">
        <f>+AB98</f>
        <v>43920</v>
      </c>
      <c r="AC108" s="460">
        <f>+AC98</f>
        <v>44012</v>
      </c>
      <c r="AD108" s="460">
        <f>+AD98</f>
        <v>44104</v>
      </c>
      <c r="AE108" s="564">
        <f>AE3</f>
        <v>44195</v>
      </c>
      <c r="AF108" s="564">
        <f>AF3</f>
        <v>44285</v>
      </c>
      <c r="AG108" s="460">
        <f>+AG98</f>
        <v>44377</v>
      </c>
      <c r="AH108" s="460">
        <f>+AH98</f>
        <v>44469</v>
      </c>
      <c r="AI108" s="564">
        <f>AI3</f>
        <v>44560</v>
      </c>
      <c r="AJ108" s="564">
        <f>AJ3</f>
        <v>44650</v>
      </c>
      <c r="AK108" s="564">
        <f>AK3</f>
        <v>44742</v>
      </c>
      <c r="AL108" s="564">
        <f>+AL98</f>
        <v>44834</v>
      </c>
      <c r="AM108" s="564">
        <f>AM3</f>
        <v>44925</v>
      </c>
      <c r="AN108" s="564">
        <f>AN3</f>
        <v>45015</v>
      </c>
      <c r="AO108" s="564">
        <f>AO3</f>
        <v>45107</v>
      </c>
      <c r="AP108" s="564">
        <f>+AP98</f>
        <v>45199</v>
      </c>
      <c r="AQ108" s="564">
        <f>AQ3</f>
        <v>45290</v>
      </c>
      <c r="AR108" s="564">
        <f>AR3</f>
        <v>45381</v>
      </c>
      <c r="AS108" s="564">
        <f>AS3</f>
        <v>45473</v>
      </c>
      <c r="AT108" s="564">
        <f>+AT98</f>
        <v>45565</v>
      </c>
      <c r="AU108" s="564">
        <f>AU3</f>
        <v>45656</v>
      </c>
      <c r="AV108" s="564">
        <f>AV3</f>
        <v>45746</v>
      </c>
      <c r="AW108" s="564">
        <f>AW3</f>
        <v>45838</v>
      </c>
      <c r="AX108" s="564">
        <f>+AX98</f>
        <v>45930</v>
      </c>
      <c r="AY108" s="564">
        <f>AY3</f>
        <v>46021</v>
      </c>
      <c r="AZ108" s="564">
        <f>AZ3</f>
        <v>46111</v>
      </c>
      <c r="BB108" s="460">
        <f>BB3</f>
        <v>43829</v>
      </c>
    </row>
    <row r="109" spans="2:54" ht="12.75">
      <c r="C109" s="419"/>
      <c r="D109" s="419"/>
      <c r="E109" s="419"/>
      <c r="F109" s="419"/>
      <c r="G109" s="419"/>
      <c r="H109" s="419"/>
      <c r="I109" s="419"/>
      <c r="J109" s="419"/>
      <c r="K109" s="419"/>
      <c r="L109" s="419"/>
    </row>
    <row r="110" spans="2:54" s="424" customFormat="1" ht="12.75">
      <c r="B110" s="422" t="s">
        <v>547</v>
      </c>
      <c r="C110" s="420">
        <v>172739.27799999999</v>
      </c>
      <c r="D110" s="420">
        <v>203064.242</v>
      </c>
      <c r="E110" s="420">
        <v>223515.535</v>
      </c>
      <c r="F110" s="420">
        <v>259582.45300000001</v>
      </c>
      <c r="G110" s="420">
        <v>259485.46100000001</v>
      </c>
      <c r="H110" s="420">
        <v>278253.39199999999</v>
      </c>
      <c r="I110" s="420">
        <v>286470.31199999998</v>
      </c>
      <c r="J110" s="420">
        <v>300989.56699999998</v>
      </c>
      <c r="K110" s="420">
        <v>312270.87</v>
      </c>
      <c r="L110" s="420">
        <v>327172.61499999999</v>
      </c>
      <c r="M110" s="420">
        <v>360758.353</v>
      </c>
      <c r="N110" s="423">
        <f>AZ110</f>
        <v>361811.05300000001</v>
      </c>
      <c r="O110" s="423"/>
      <c r="P110" s="420">
        <v>178210.61</v>
      </c>
      <c r="Q110" s="420">
        <v>183897.09299999999</v>
      </c>
      <c r="R110" s="420">
        <v>187030.97500000001</v>
      </c>
      <c r="S110" s="423">
        <f>+D110</f>
        <v>203064.242</v>
      </c>
      <c r="T110" s="420">
        <v>206625.489</v>
      </c>
      <c r="U110" s="420">
        <v>210580.30300000001</v>
      </c>
      <c r="V110" s="420">
        <v>214088.78700000001</v>
      </c>
      <c r="W110" s="423">
        <f>E110</f>
        <v>223515.535</v>
      </c>
      <c r="X110" s="420">
        <v>228104.43</v>
      </c>
      <c r="Y110" s="420">
        <v>233494.30799999999</v>
      </c>
      <c r="Z110" s="420">
        <v>237080.20199999999</v>
      </c>
      <c r="AA110" s="423">
        <f>F110</f>
        <v>259582.45300000001</v>
      </c>
      <c r="AB110" s="420">
        <v>261860.092</v>
      </c>
      <c r="AC110" s="420">
        <v>271940.05599999998</v>
      </c>
      <c r="AD110" s="420">
        <v>276457.20600000001</v>
      </c>
      <c r="AE110" s="423">
        <f>H110</f>
        <v>278253.39199999999</v>
      </c>
      <c r="AF110" s="420">
        <v>283093.91100000002</v>
      </c>
      <c r="AG110" s="420">
        <v>280885.57</v>
      </c>
      <c r="AH110" s="420">
        <v>282077.18699999998</v>
      </c>
      <c r="AI110" s="423">
        <f>I110</f>
        <v>286470.31199999998</v>
      </c>
      <c r="AJ110" s="420">
        <v>288817.48</v>
      </c>
      <c r="AK110" s="420">
        <v>293569.82900000003</v>
      </c>
      <c r="AL110" s="420">
        <v>298778.02899999998</v>
      </c>
      <c r="AM110" s="423">
        <f>J110</f>
        <v>300989.56699999998</v>
      </c>
      <c r="AN110" s="420">
        <v>303457.93599999999</v>
      </c>
      <c r="AO110" s="420">
        <v>307214.995</v>
      </c>
      <c r="AP110" s="420">
        <v>309380.5</v>
      </c>
      <c r="AQ110" s="423">
        <f>K110</f>
        <v>312270.87</v>
      </c>
      <c r="AR110" s="420">
        <v>313557.10499999998</v>
      </c>
      <c r="AS110" s="420">
        <v>321319.12900000002</v>
      </c>
      <c r="AT110" s="420">
        <v>322254.49599999998</v>
      </c>
      <c r="AU110" s="423">
        <f>L110</f>
        <v>327172.61499999999</v>
      </c>
      <c r="AV110" s="420">
        <v>328040.79499999998</v>
      </c>
      <c r="AW110" s="420">
        <v>328639.97600000002</v>
      </c>
      <c r="AX110" s="420">
        <v>329158.99599999998</v>
      </c>
      <c r="AY110" s="423">
        <f>M110</f>
        <v>360758.353</v>
      </c>
      <c r="AZ110" s="420">
        <v>361811.05300000001</v>
      </c>
      <c r="BB110" s="423">
        <f>G110</f>
        <v>259485.46100000001</v>
      </c>
    </row>
    <row r="111" spans="2:54" s="424" customFormat="1" ht="12.75">
      <c r="B111" s="435" t="s">
        <v>548</v>
      </c>
      <c r="C111" s="420">
        <v>0</v>
      </c>
      <c r="D111" s="420">
        <v>0</v>
      </c>
      <c r="E111" s="420">
        <v>0</v>
      </c>
      <c r="F111" s="420">
        <v>0</v>
      </c>
      <c r="G111" s="420">
        <v>0</v>
      </c>
      <c r="H111" s="420">
        <v>0</v>
      </c>
      <c r="I111" s="420">
        <v>0</v>
      </c>
      <c r="J111" s="420">
        <v>0</v>
      </c>
      <c r="K111" s="420">
        <v>0</v>
      </c>
      <c r="L111" s="420">
        <v>0</v>
      </c>
      <c r="M111" s="420">
        <v>0</v>
      </c>
      <c r="N111" s="423">
        <f t="shared" ref="N111:N114" si="382">AZ111</f>
        <v>0</v>
      </c>
      <c r="O111" s="423"/>
      <c r="P111" s="420">
        <v>0</v>
      </c>
      <c r="Q111" s="420">
        <v>0</v>
      </c>
      <c r="R111" s="420">
        <v>0</v>
      </c>
      <c r="S111" s="423">
        <f>+D111</f>
        <v>0</v>
      </c>
      <c r="T111" s="420">
        <v>0</v>
      </c>
      <c r="U111" s="420">
        <v>0</v>
      </c>
      <c r="V111" s="420">
        <v>0</v>
      </c>
      <c r="W111" s="423">
        <f>E111</f>
        <v>0</v>
      </c>
      <c r="X111" s="420">
        <v>0</v>
      </c>
      <c r="Y111" s="420">
        <v>0</v>
      </c>
      <c r="Z111" s="420">
        <v>0</v>
      </c>
      <c r="AA111" s="423">
        <f>F111</f>
        <v>0</v>
      </c>
      <c r="AB111" s="420">
        <v>0</v>
      </c>
      <c r="AC111" s="420">
        <v>0</v>
      </c>
      <c r="AD111" s="420">
        <v>0</v>
      </c>
      <c r="AE111" s="423">
        <f>H111</f>
        <v>0</v>
      </c>
      <c r="AF111" s="420">
        <v>0</v>
      </c>
      <c r="AG111" s="420">
        <v>0</v>
      </c>
      <c r="AH111" s="420">
        <v>0</v>
      </c>
      <c r="AI111" s="423">
        <f>I111</f>
        <v>0</v>
      </c>
      <c r="AJ111" s="420">
        <v>0</v>
      </c>
      <c r="AK111" s="420">
        <v>0</v>
      </c>
      <c r="AL111" s="420">
        <v>0</v>
      </c>
      <c r="AM111" s="423">
        <f>J111</f>
        <v>0</v>
      </c>
      <c r="AN111" s="420">
        <v>0</v>
      </c>
      <c r="AO111" s="420">
        <v>0</v>
      </c>
      <c r="AP111" s="420">
        <v>0</v>
      </c>
      <c r="AQ111" s="423">
        <f>K111</f>
        <v>0</v>
      </c>
      <c r="AR111" s="420">
        <v>0</v>
      </c>
      <c r="AS111" s="420">
        <v>0</v>
      </c>
      <c r="AT111" s="420">
        <v>0</v>
      </c>
      <c r="AU111" s="423">
        <f t="shared" ref="AU111:AU114" si="383">L111</f>
        <v>0</v>
      </c>
      <c r="AV111" s="420">
        <v>0</v>
      </c>
      <c r="AW111" s="420">
        <v>0</v>
      </c>
      <c r="AX111" s="420">
        <v>0</v>
      </c>
      <c r="AY111" s="423">
        <f t="shared" ref="AY111:AY114" si="384">M111</f>
        <v>0</v>
      </c>
      <c r="AZ111" s="420">
        <v>0</v>
      </c>
      <c r="BB111" s="423">
        <f>G111</f>
        <v>0</v>
      </c>
    </row>
    <row r="112" spans="2:54" s="424" customFormat="1" ht="12.75">
      <c r="B112" s="435" t="s">
        <v>549</v>
      </c>
      <c r="C112" s="711"/>
      <c r="D112" s="711"/>
      <c r="E112" s="420">
        <v>1308.1569999999999</v>
      </c>
      <c r="F112" s="420">
        <v>1488.232</v>
      </c>
      <c r="G112" s="420">
        <v>1488.232</v>
      </c>
      <c r="H112" s="420">
        <v>1612.37</v>
      </c>
      <c r="I112" s="420">
        <v>2323.5419999999999</v>
      </c>
      <c r="J112" s="420">
        <v>2851.6320000000001</v>
      </c>
      <c r="K112" s="420">
        <v>3537.1590000000001</v>
      </c>
      <c r="L112" s="420">
        <v>2662.8150000000001</v>
      </c>
      <c r="M112" s="420">
        <v>2131.587</v>
      </c>
      <c r="N112" s="423">
        <f t="shared" si="382"/>
        <v>2773.596</v>
      </c>
      <c r="O112" s="423"/>
      <c r="P112" s="420"/>
      <c r="Q112" s="420"/>
      <c r="R112" s="420"/>
      <c r="S112" s="423"/>
      <c r="T112" s="420"/>
      <c r="U112" s="420"/>
      <c r="V112" s="420"/>
      <c r="W112" s="423">
        <f>E112</f>
        <v>1308.1569999999999</v>
      </c>
      <c r="X112" s="420">
        <v>1668.4559999999999</v>
      </c>
      <c r="Y112" s="420">
        <v>1728.69</v>
      </c>
      <c r="Z112" s="420">
        <v>1648.81</v>
      </c>
      <c r="AA112" s="423">
        <f>G112</f>
        <v>1488.232</v>
      </c>
      <c r="AB112" s="420">
        <v>1958.1949999999999</v>
      </c>
      <c r="AC112" s="420">
        <v>2289.3009999999999</v>
      </c>
      <c r="AD112" s="420">
        <v>2268.5169999999998</v>
      </c>
      <c r="AE112" s="423">
        <f>K112</f>
        <v>3537.1590000000001</v>
      </c>
      <c r="AF112" s="420">
        <v>2265.1959999999999</v>
      </c>
      <c r="AG112" s="420">
        <v>2193.7530000000002</v>
      </c>
      <c r="AH112" s="420">
        <v>2693.2350000000001</v>
      </c>
      <c r="AI112" s="423">
        <f>I112</f>
        <v>2323.5419999999999</v>
      </c>
      <c r="AJ112" s="420">
        <v>2731.5520000000001</v>
      </c>
      <c r="AK112" s="420">
        <v>2707.08</v>
      </c>
      <c r="AL112" s="420">
        <v>2767.2959999999998</v>
      </c>
      <c r="AM112" s="423">
        <f>J112</f>
        <v>2851.6320000000001</v>
      </c>
      <c r="AN112" s="420">
        <v>2871.3939999999998</v>
      </c>
      <c r="AO112" s="420">
        <v>2995.1550000000002</v>
      </c>
      <c r="AP112" s="420">
        <v>3176.4059999999999</v>
      </c>
      <c r="AQ112" s="423">
        <f>K112</f>
        <v>3537.1590000000001</v>
      </c>
      <c r="AR112" s="420">
        <v>3634.8359999999998</v>
      </c>
      <c r="AS112" s="420">
        <v>2686.0459999999998</v>
      </c>
      <c r="AT112" s="420">
        <v>2705.9209999999998</v>
      </c>
      <c r="AU112" s="423">
        <f>L112</f>
        <v>2662.8150000000001</v>
      </c>
      <c r="AV112" s="420">
        <v>2458.2570000000001</v>
      </c>
      <c r="AW112" s="420">
        <v>2408.549</v>
      </c>
      <c r="AX112" s="420">
        <v>2391.308</v>
      </c>
      <c r="AY112" s="423">
        <f t="shared" si="384"/>
        <v>2131.587</v>
      </c>
      <c r="AZ112" s="420">
        <v>2773.596</v>
      </c>
      <c r="BB112" s="423"/>
    </row>
    <row r="113" spans="2:54" s="424" customFormat="1" ht="12.75">
      <c r="B113" s="435" t="s">
        <v>550</v>
      </c>
      <c r="C113" s="420">
        <v>519.70000000000005</v>
      </c>
      <c r="D113" s="420">
        <v>599.75</v>
      </c>
      <c r="E113" s="420">
        <v>419.08</v>
      </c>
      <c r="F113" s="420">
        <v>1341.626</v>
      </c>
      <c r="G113" s="420">
        <v>1341.626</v>
      </c>
      <c r="H113" s="420">
        <v>1544.453</v>
      </c>
      <c r="I113" s="420">
        <v>1801.424</v>
      </c>
      <c r="J113" s="420">
        <v>6237.451</v>
      </c>
      <c r="K113" s="420">
        <v>1680.8620000000001</v>
      </c>
      <c r="L113" s="420">
        <v>390.26900000000001</v>
      </c>
      <c r="M113" s="420">
        <v>383.36900000000003</v>
      </c>
      <c r="N113" s="423">
        <f t="shared" si="382"/>
        <v>653.82600000000002</v>
      </c>
      <c r="O113" s="423"/>
      <c r="P113" s="420">
        <v>538.15099999999995</v>
      </c>
      <c r="Q113" s="420">
        <v>833.63199999999995</v>
      </c>
      <c r="R113" s="420">
        <v>849.79100000000005</v>
      </c>
      <c r="S113" s="423">
        <f>+D113</f>
        <v>599.75</v>
      </c>
      <c r="T113" s="420">
        <v>485.80900000000003</v>
      </c>
      <c r="U113" s="420">
        <v>391.42500000000001</v>
      </c>
      <c r="V113" s="420">
        <v>413.25900000000001</v>
      </c>
      <c r="W113" s="423">
        <f>E113</f>
        <v>419.08</v>
      </c>
      <c r="X113" s="420">
        <v>633.83699999999999</v>
      </c>
      <c r="Y113" s="420">
        <v>698.18600000000004</v>
      </c>
      <c r="Z113" s="420">
        <v>890.75400000000002</v>
      </c>
      <c r="AA113" s="423">
        <f>F113</f>
        <v>1341.626</v>
      </c>
      <c r="AB113" s="420">
        <v>1399.1579999999999</v>
      </c>
      <c r="AC113" s="420">
        <v>1557.57</v>
      </c>
      <c r="AD113" s="420">
        <v>1555.34</v>
      </c>
      <c r="AE113" s="423">
        <f>H113</f>
        <v>1544.453</v>
      </c>
      <c r="AF113" s="420">
        <v>1680.3610000000001</v>
      </c>
      <c r="AG113" s="420">
        <v>1649.441</v>
      </c>
      <c r="AH113" s="420">
        <v>1424.6780000000001</v>
      </c>
      <c r="AI113" s="423">
        <f>I113</f>
        <v>1801.424</v>
      </c>
      <c r="AJ113" s="420">
        <v>2115.7069999999999</v>
      </c>
      <c r="AK113" s="420">
        <v>2300.277</v>
      </c>
      <c r="AL113" s="420">
        <v>2503.96</v>
      </c>
      <c r="AM113" s="423">
        <f>J113</f>
        <v>6237.451</v>
      </c>
      <c r="AN113" s="420">
        <v>6317.5510000000004</v>
      </c>
      <c r="AO113" s="420">
        <v>1988.213</v>
      </c>
      <c r="AP113" s="420">
        <v>2040.375</v>
      </c>
      <c r="AQ113" s="423">
        <f>K113</f>
        <v>1680.8620000000001</v>
      </c>
      <c r="AR113" s="420">
        <v>1724.056</v>
      </c>
      <c r="AS113" s="420">
        <v>1914.104</v>
      </c>
      <c r="AT113" s="420">
        <v>1707.1079999999999</v>
      </c>
      <c r="AU113" s="423">
        <f t="shared" si="383"/>
        <v>390.26900000000001</v>
      </c>
      <c r="AV113" s="420">
        <v>380.35599999999999</v>
      </c>
      <c r="AW113" s="420">
        <v>415.53899999999999</v>
      </c>
      <c r="AX113" s="420">
        <v>424.36900000000003</v>
      </c>
      <c r="AY113" s="423">
        <f t="shared" si="384"/>
        <v>383.36900000000003</v>
      </c>
      <c r="AZ113" s="420">
        <v>653.82600000000002</v>
      </c>
      <c r="BB113" s="423">
        <f>G113</f>
        <v>1341.626</v>
      </c>
    </row>
    <row r="114" spans="2:54" s="424" customFormat="1" ht="12.75">
      <c r="B114" s="435" t="s">
        <v>551</v>
      </c>
      <c r="C114" s="420">
        <f>1947.373+1285.024</f>
        <v>3232.3969999999999</v>
      </c>
      <c r="D114" s="420">
        <f>1878.598+1834.223</f>
        <v>3712.8209999999999</v>
      </c>
      <c r="E114" s="420">
        <f>2348.59+435.236</f>
        <v>2783.826</v>
      </c>
      <c r="F114" s="420">
        <f>3968.486+926.236</f>
        <v>4894.7219999999998</v>
      </c>
      <c r="G114" s="420">
        <f>3821.965+926.235</f>
        <v>4748.2</v>
      </c>
      <c r="H114" s="420">
        <f>4316.335+669.636</f>
        <v>4985.9709999999995</v>
      </c>
      <c r="I114" s="420">
        <f>4818.582+624.051</f>
        <v>5442.6330000000007</v>
      </c>
      <c r="J114" s="420">
        <f>6573.655+676.418</f>
        <v>7250.0729999999994</v>
      </c>
      <c r="K114" s="420">
        <f>4543.222+676.418</f>
        <v>5219.6399999999994</v>
      </c>
      <c r="L114" s="420">
        <f>4246.343+516.418</f>
        <v>4762.7609999999995</v>
      </c>
      <c r="M114" s="420">
        <f>4076.567+516.418</f>
        <v>4592.9849999999997</v>
      </c>
      <c r="N114" s="423">
        <f t="shared" si="382"/>
        <v>5003.6319999999996</v>
      </c>
      <c r="O114" s="423"/>
      <c r="P114" s="420">
        <v>3672.3490000000002</v>
      </c>
      <c r="Q114" s="420">
        <v>5311.518</v>
      </c>
      <c r="R114" s="420">
        <f>3951.222+936.347</f>
        <v>4887.5690000000004</v>
      </c>
      <c r="S114" s="423">
        <f>+D114</f>
        <v>3712.8209999999999</v>
      </c>
      <c r="T114" s="420">
        <f>1694.804+621.05</f>
        <v>2315.8540000000003</v>
      </c>
      <c r="U114" s="420">
        <f>1965.57+858.826</f>
        <v>2824.3959999999997</v>
      </c>
      <c r="V114" s="420">
        <f>2070.923+504.156</f>
        <v>2575.0789999999997</v>
      </c>
      <c r="W114" s="423">
        <f>E114</f>
        <v>2783.826</v>
      </c>
      <c r="X114" s="420">
        <f>2324.325+1326.236</f>
        <v>3650.5609999999997</v>
      </c>
      <c r="Y114" s="420">
        <f>2263.973+926.236</f>
        <v>3190.2089999999998</v>
      </c>
      <c r="Z114" s="420">
        <f>3300.534+926.236</f>
        <v>4226.7700000000004</v>
      </c>
      <c r="AA114" s="423">
        <f>F114</f>
        <v>4894.7219999999998</v>
      </c>
      <c r="AB114" s="420">
        <f>3678.775+926.236</f>
        <v>4605.0110000000004</v>
      </c>
      <c r="AC114" s="420">
        <f>4523.92+926.236</f>
        <v>5450.1559999999999</v>
      </c>
      <c r="AD114" s="420">
        <f>4773.435+550.236</f>
        <v>5323.6710000000003</v>
      </c>
      <c r="AE114" s="423">
        <f>H114</f>
        <v>4985.9709999999995</v>
      </c>
      <c r="AF114" s="420">
        <f>4594.761+669.636</f>
        <v>5264.3970000000008</v>
      </c>
      <c r="AG114" s="420">
        <f>5048.406+669.636</f>
        <v>5718.0419999999995</v>
      </c>
      <c r="AH114" s="420">
        <f>4650.614+669.636</f>
        <v>5320.25</v>
      </c>
      <c r="AI114" s="423">
        <f>I114</f>
        <v>5442.6330000000007</v>
      </c>
      <c r="AJ114" s="420">
        <f>4748.741+624.051</f>
        <v>5372.7920000000004</v>
      </c>
      <c r="AK114" s="420">
        <f>5754.511+624.051</f>
        <v>6378.5620000000008</v>
      </c>
      <c r="AL114" s="420">
        <f>5168.097+784.051</f>
        <v>5952.1480000000001</v>
      </c>
      <c r="AM114" s="423">
        <f>J114</f>
        <v>7250.0729999999994</v>
      </c>
      <c r="AN114" s="420">
        <f>6293.17+676.418</f>
        <v>6969.5879999999997</v>
      </c>
      <c r="AO114" s="420">
        <f>7096.988+676.418</f>
        <v>7773.4059999999999</v>
      </c>
      <c r="AP114" s="420">
        <f>6845.841+676.418</f>
        <v>7522.259</v>
      </c>
      <c r="AQ114" s="423">
        <f>K114</f>
        <v>5219.6399999999994</v>
      </c>
      <c r="AR114" s="420">
        <f>6599.594+676.418</f>
        <v>7276.0119999999997</v>
      </c>
      <c r="AS114" s="420">
        <f>7298.904+516.418</f>
        <v>7815.3220000000001</v>
      </c>
      <c r="AT114" s="420">
        <f>5828.233+516.418</f>
        <v>6344.6509999999998</v>
      </c>
      <c r="AU114" s="423">
        <f t="shared" si="383"/>
        <v>4762.7609999999995</v>
      </c>
      <c r="AV114" s="420">
        <f>4165.872+516.418</f>
        <v>4682.29</v>
      </c>
      <c r="AW114" s="420">
        <f>3903.836+516.418</f>
        <v>4420.2539999999999</v>
      </c>
      <c r="AX114" s="420">
        <f>3964.952+516.418</f>
        <v>4481.37</v>
      </c>
      <c r="AY114" s="423">
        <f t="shared" si="384"/>
        <v>4592.9849999999997</v>
      </c>
      <c r="AZ114" s="420">
        <f>4487.214+516.418</f>
        <v>5003.6319999999996</v>
      </c>
      <c r="BB114" s="423">
        <f>G114</f>
        <v>4748.2</v>
      </c>
    </row>
    <row r="115" spans="2:54" s="424" customFormat="1" ht="12.75">
      <c r="B115" s="422" t="s">
        <v>552</v>
      </c>
      <c r="C115" s="477">
        <f t="shared" ref="C115:M115" si="385">C111++C112+C113-C114</f>
        <v>-2712.6970000000001</v>
      </c>
      <c r="D115" s="477">
        <f t="shared" si="385"/>
        <v>-3113.0709999999999</v>
      </c>
      <c r="E115" s="477">
        <f t="shared" si="385"/>
        <v>-1056.5890000000002</v>
      </c>
      <c r="F115" s="477">
        <f t="shared" si="385"/>
        <v>-2064.8639999999996</v>
      </c>
      <c r="G115" s="477">
        <f t="shared" si="385"/>
        <v>-1918.3419999999996</v>
      </c>
      <c r="H115" s="477">
        <f t="shared" si="385"/>
        <v>-1829.1479999999997</v>
      </c>
      <c r="I115" s="477">
        <f t="shared" si="385"/>
        <v>-1317.6670000000004</v>
      </c>
      <c r="J115" s="477">
        <f t="shared" si="385"/>
        <v>1839.0100000000011</v>
      </c>
      <c r="K115" s="477">
        <f t="shared" si="385"/>
        <v>-1.6189999999987776</v>
      </c>
      <c r="L115" s="477">
        <f t="shared" si="385"/>
        <v>-1709.6769999999997</v>
      </c>
      <c r="M115" s="477">
        <f t="shared" si="385"/>
        <v>-2078.0289999999995</v>
      </c>
      <c r="N115" s="477">
        <f>N111++N112+N113-N114</f>
        <v>-1576.2099999999996</v>
      </c>
      <c r="O115" s="477">
        <f t="shared" ref="O115:AY115" si="386">O111++O112+O113-O114</f>
        <v>0</v>
      </c>
      <c r="P115" s="477">
        <f t="shared" si="386"/>
        <v>-3134.1980000000003</v>
      </c>
      <c r="Q115" s="477">
        <f t="shared" si="386"/>
        <v>-4477.8860000000004</v>
      </c>
      <c r="R115" s="477">
        <f t="shared" si="386"/>
        <v>-4037.7780000000002</v>
      </c>
      <c r="S115" s="477">
        <f t="shared" si="386"/>
        <v>-3113.0709999999999</v>
      </c>
      <c r="T115" s="477">
        <f t="shared" si="386"/>
        <v>-1830.0450000000003</v>
      </c>
      <c r="U115" s="477">
        <f t="shared" si="386"/>
        <v>-2432.9709999999995</v>
      </c>
      <c r="V115" s="477">
        <f t="shared" si="386"/>
        <v>-2161.8199999999997</v>
      </c>
      <c r="W115" s="477">
        <f t="shared" si="386"/>
        <v>-1056.5890000000002</v>
      </c>
      <c r="X115" s="477">
        <f t="shared" si="386"/>
        <v>-1348.268</v>
      </c>
      <c r="Y115" s="477">
        <f t="shared" si="386"/>
        <v>-763.33299999999963</v>
      </c>
      <c r="Z115" s="477">
        <f t="shared" si="386"/>
        <v>-1687.2060000000006</v>
      </c>
      <c r="AA115" s="477">
        <f t="shared" si="386"/>
        <v>-2064.8639999999996</v>
      </c>
      <c r="AB115" s="477">
        <f t="shared" si="386"/>
        <v>-1247.6580000000004</v>
      </c>
      <c r="AC115" s="477">
        <f t="shared" si="386"/>
        <v>-1603.2849999999999</v>
      </c>
      <c r="AD115" s="477">
        <f t="shared" si="386"/>
        <v>-1499.8140000000003</v>
      </c>
      <c r="AE115" s="477">
        <f t="shared" si="386"/>
        <v>95.641000000000531</v>
      </c>
      <c r="AF115" s="477">
        <f t="shared" si="386"/>
        <v>-1318.8400000000011</v>
      </c>
      <c r="AG115" s="477">
        <f t="shared" si="386"/>
        <v>-1874.847999999999</v>
      </c>
      <c r="AH115" s="477">
        <f t="shared" si="386"/>
        <v>-1202.3369999999995</v>
      </c>
      <c r="AI115" s="477">
        <f t="shared" si="386"/>
        <v>-1317.6670000000004</v>
      </c>
      <c r="AJ115" s="477">
        <f t="shared" si="386"/>
        <v>-525.53300000000036</v>
      </c>
      <c r="AK115" s="477">
        <f t="shared" si="386"/>
        <v>-1371.2050000000008</v>
      </c>
      <c r="AL115" s="477">
        <f t="shared" si="386"/>
        <v>-680.89200000000073</v>
      </c>
      <c r="AM115" s="477">
        <f t="shared" si="386"/>
        <v>1839.0100000000011</v>
      </c>
      <c r="AN115" s="477">
        <f t="shared" si="386"/>
        <v>2219.357</v>
      </c>
      <c r="AO115" s="477">
        <f t="shared" si="386"/>
        <v>-2790.0379999999996</v>
      </c>
      <c r="AP115" s="477">
        <f t="shared" si="386"/>
        <v>-2305.4780000000001</v>
      </c>
      <c r="AQ115" s="477">
        <f t="shared" si="386"/>
        <v>-1.6189999999987776</v>
      </c>
      <c r="AR115" s="477">
        <f t="shared" si="386"/>
        <v>-1917.12</v>
      </c>
      <c r="AS115" s="477">
        <f t="shared" si="386"/>
        <v>-3215.1720000000005</v>
      </c>
      <c r="AT115" s="477">
        <f t="shared" si="386"/>
        <v>-1931.6220000000003</v>
      </c>
      <c r="AU115" s="477">
        <f t="shared" si="386"/>
        <v>-1709.6769999999997</v>
      </c>
      <c r="AV115" s="477">
        <f t="shared" si="386"/>
        <v>-1843.6769999999997</v>
      </c>
      <c r="AW115" s="477">
        <f t="shared" si="386"/>
        <v>-1596.1660000000002</v>
      </c>
      <c r="AX115" s="477">
        <f t="shared" si="386"/>
        <v>-1665.6929999999998</v>
      </c>
      <c r="AY115" s="477">
        <f t="shared" si="386"/>
        <v>-2078.0289999999995</v>
      </c>
      <c r="AZ115" s="477">
        <f t="shared" ref="AZ115" si="387">AZ111++AZ112+AZ113-AZ114</f>
        <v>-1576.2099999999996</v>
      </c>
      <c r="BB115" s="477">
        <f>BB111+BB113-BB114</f>
        <v>-3406.5739999999996</v>
      </c>
    </row>
    <row r="116" spans="2:54" s="449" customFormat="1" ht="12.75">
      <c r="B116" s="482" t="s">
        <v>553</v>
      </c>
      <c r="C116" s="481">
        <f t="shared" ref="C116:N116" si="388">+C115/C99</f>
        <v>-0.20468785275436646</v>
      </c>
      <c r="D116" s="481">
        <f t="shared" si="388"/>
        <v>-0.21291604199951852</v>
      </c>
      <c r="E116" s="481">
        <f t="shared" si="388"/>
        <v>-6.1411280322280659E-2</v>
      </c>
      <c r="F116" s="481">
        <f t="shared" si="388"/>
        <v>-0.10760618420379961</v>
      </c>
      <c r="G116" s="481">
        <f t="shared" si="388"/>
        <v>-9.9970488428238066E-2</v>
      </c>
      <c r="H116" s="481">
        <f t="shared" si="388"/>
        <v>-9.5301703959754569E-2</v>
      </c>
      <c r="I116" s="481">
        <f t="shared" si="388"/>
        <v>-6.0253531186796133E-2</v>
      </c>
      <c r="J116" s="481">
        <f t="shared" si="388"/>
        <v>7.6943816591707917E-2</v>
      </c>
      <c r="K116" s="481">
        <f t="shared" si="388"/>
        <v>-6.2132212512689907E-5</v>
      </c>
      <c r="L116" s="481">
        <f t="shared" si="388"/>
        <v>-6.0360024836311338E-2</v>
      </c>
      <c r="M116" s="481">
        <f t="shared" si="388"/>
        <v>-6.8112406059126898E-2</v>
      </c>
      <c r="N116" s="481">
        <f t="shared" si="388"/>
        <v>-5.0991516996093958E-2</v>
      </c>
      <c r="O116" s="742"/>
      <c r="P116" s="481"/>
      <c r="Q116" s="481"/>
      <c r="R116" s="481"/>
      <c r="S116" s="481">
        <f t="shared" ref="S116:AZ116" si="389">+S115/S99</f>
        <v>-0.21291604199951852</v>
      </c>
      <c r="T116" s="481">
        <f t="shared" si="389"/>
        <v>-0.12050104286808083</v>
      </c>
      <c r="U116" s="481">
        <f t="shared" si="389"/>
        <v>-0.15377055844595963</v>
      </c>
      <c r="V116" s="481">
        <f t="shared" si="389"/>
        <v>-0.13027573268423856</v>
      </c>
      <c r="W116" s="481">
        <f t="shared" si="389"/>
        <v>-6.1411280322280645E-2</v>
      </c>
      <c r="X116" s="481">
        <f t="shared" si="389"/>
        <v>-7.6265912395125507E-2</v>
      </c>
      <c r="Y116" s="481">
        <f t="shared" si="389"/>
        <v>-4.1940746819607945E-2</v>
      </c>
      <c r="Z116" s="481">
        <f t="shared" si="389"/>
        <v>-9.0657457667008085E-2</v>
      </c>
      <c r="AA116" s="481">
        <f t="shared" si="389"/>
        <v>-0.10760618420379964</v>
      </c>
      <c r="AB116" s="481">
        <f t="shared" si="389"/>
        <v>-6.3156155548262968E-2</v>
      </c>
      <c r="AC116" s="481">
        <f t="shared" si="389"/>
        <v>-8.3000957110990939E-2</v>
      </c>
      <c r="AD116" s="481">
        <f t="shared" si="389"/>
        <v>-7.8545228992712171E-2</v>
      </c>
      <c r="AE116" s="481">
        <f t="shared" si="389"/>
        <v>4.983057832616572E-3</v>
      </c>
      <c r="AF116" s="481">
        <f t="shared" si="389"/>
        <v>-6.8004266792839649E-2</v>
      </c>
      <c r="AG116" s="481">
        <f t="shared" si="389"/>
        <v>-9.1991055879946368E-2</v>
      </c>
      <c r="AH116" s="481">
        <f t="shared" si="389"/>
        <v>-5.6601740415826128E-2</v>
      </c>
      <c r="AI116" s="481">
        <f t="shared" si="389"/>
        <v>-6.0253531186796133E-2</v>
      </c>
      <c r="AJ116" s="481">
        <f t="shared" si="389"/>
        <v>-2.3515261117332997E-2</v>
      </c>
      <c r="AK116" s="481">
        <f t="shared" si="389"/>
        <v>-5.9971253965394496E-2</v>
      </c>
      <c r="AL116" s="481">
        <f t="shared" si="389"/>
        <v>-2.8989903101313205E-2</v>
      </c>
      <c r="AM116" s="481">
        <f t="shared" si="389"/>
        <v>7.6943816591707903E-2</v>
      </c>
      <c r="AN116" s="481">
        <f t="shared" si="389"/>
        <v>9.0849638233857652E-2</v>
      </c>
      <c r="AO116" s="481">
        <f t="shared" si="389"/>
        <v>-0.11126234342181916</v>
      </c>
      <c r="AP116" s="481">
        <f t="shared" si="389"/>
        <v>-9.0390002374352962E-2</v>
      </c>
      <c r="AQ116" s="481">
        <f t="shared" si="389"/>
        <v>-6.2132212512689907E-5</v>
      </c>
      <c r="AR116" s="481">
        <f t="shared" si="389"/>
        <v>-7.2334567295631119E-2</v>
      </c>
      <c r="AS116" s="481">
        <f t="shared" si="389"/>
        <v>-0.11967059778128067</v>
      </c>
      <c r="AT116" s="481">
        <f t="shared" si="389"/>
        <v>-7.0039163615148697E-2</v>
      </c>
      <c r="AU116" s="481">
        <f t="shared" si="389"/>
        <v>-6.0360024836311338E-2</v>
      </c>
      <c r="AV116" s="481">
        <f t="shared" si="389"/>
        <v>-6.334425342745062E-2</v>
      </c>
      <c r="AW116" s="481">
        <f t="shared" si="389"/>
        <v>-5.3564476029134708E-2</v>
      </c>
      <c r="AX116" s="481">
        <f t="shared" si="389"/>
        <v>-5.5221498581911783E-2</v>
      </c>
      <c r="AY116" s="481">
        <f t="shared" si="389"/>
        <v>-6.8112406059126898E-2</v>
      </c>
      <c r="AZ116" s="481">
        <f t="shared" si="389"/>
        <v>-5.0991516996093965E-2</v>
      </c>
      <c r="BB116" s="481">
        <f>+BB115/BB99</f>
        <v>-0.17752666972152867</v>
      </c>
    </row>
    <row r="117" spans="2:54" ht="12.75">
      <c r="C117" s="480"/>
      <c r="D117" s="480"/>
      <c r="E117" s="480"/>
      <c r="F117" s="480"/>
      <c r="G117" s="480"/>
      <c r="H117" s="480"/>
      <c r="I117" s="480"/>
      <c r="J117" s="480"/>
      <c r="K117" s="480"/>
      <c r="L117" s="480"/>
      <c r="M117" s="480"/>
      <c r="N117" s="480"/>
      <c r="O117" s="480"/>
      <c r="P117" s="480"/>
      <c r="Q117" s="480"/>
      <c r="T117" s="480"/>
      <c r="U117" s="480"/>
      <c r="X117" s="480"/>
      <c r="Y117" s="480"/>
      <c r="Z117" s="480"/>
      <c r="AB117" s="480"/>
      <c r="AC117" s="480"/>
      <c r="AD117" s="480"/>
      <c r="AF117" s="480"/>
      <c r="AG117" s="480"/>
      <c r="AH117" s="480"/>
      <c r="AJ117" s="480"/>
      <c r="AK117" s="480"/>
      <c r="AL117" s="480"/>
      <c r="AN117" s="480"/>
      <c r="AO117" s="480"/>
      <c r="AP117" s="480"/>
      <c r="AR117" s="480"/>
      <c r="AS117" s="480"/>
      <c r="AT117" s="480"/>
      <c r="AV117" s="480"/>
      <c r="AW117" s="480"/>
      <c r="AX117" s="480"/>
      <c r="AZ117" s="480"/>
    </row>
    <row r="118" spans="2:54" ht="12.75">
      <c r="B118" s="424" t="s">
        <v>554</v>
      </c>
      <c r="C118" s="480"/>
      <c r="D118" s="480"/>
      <c r="E118" s="480"/>
      <c r="F118" s="480"/>
      <c r="G118" s="480"/>
      <c r="H118" s="480"/>
      <c r="I118" s="480"/>
      <c r="J118" s="480"/>
      <c r="K118" s="480"/>
      <c r="L118" s="480"/>
      <c r="M118" s="480"/>
      <c r="N118" s="480"/>
      <c r="O118" s="480"/>
      <c r="P118" s="480"/>
      <c r="Q118" s="480"/>
      <c r="R118" s="480"/>
      <c r="S118" s="480"/>
      <c r="T118" s="480"/>
      <c r="U118" s="480"/>
      <c r="V118" s="480"/>
      <c r="W118" s="480"/>
      <c r="X118" s="480"/>
      <c r="Y118" s="480"/>
      <c r="Z118" s="480"/>
      <c r="AA118" s="480"/>
      <c r="AB118" s="480"/>
      <c r="AC118" s="480"/>
      <c r="AD118" s="480"/>
      <c r="AE118" s="480"/>
      <c r="AF118" s="480"/>
      <c r="AG118" s="480"/>
      <c r="AH118" s="480"/>
      <c r="AI118" s="480"/>
      <c r="AJ118" s="480"/>
      <c r="AK118" s="480"/>
      <c r="AL118" s="480"/>
      <c r="AM118" s="480"/>
      <c r="AN118" s="480"/>
      <c r="AO118" s="480"/>
      <c r="AP118" s="480"/>
      <c r="AQ118" s="480"/>
      <c r="AR118" s="480"/>
      <c r="AS118" s="480"/>
      <c r="AT118" s="480"/>
      <c r="AU118" s="480"/>
      <c r="AV118" s="480"/>
      <c r="AW118" s="480"/>
      <c r="AX118" s="480"/>
      <c r="AY118" s="480"/>
      <c r="AZ118" s="480"/>
    </row>
    <row r="119" spans="2:54" ht="12.75">
      <c r="B119" s="422" t="s">
        <v>555</v>
      </c>
      <c r="C119" s="420">
        <v>633.91099999999994</v>
      </c>
      <c r="D119" s="420">
        <v>2474.703</v>
      </c>
      <c r="E119" s="420">
        <v>2390.5610000000001</v>
      </c>
      <c r="F119" s="420">
        <v>2064.5120000000002</v>
      </c>
      <c r="G119" s="420">
        <v>2064.5120000000002</v>
      </c>
      <c r="H119" s="420">
        <v>2803.0479999999998</v>
      </c>
      <c r="I119" s="420">
        <v>4462.8649999999998</v>
      </c>
      <c r="J119" s="420">
        <v>22959.940999999999</v>
      </c>
      <c r="K119" s="420">
        <v>23253.195</v>
      </c>
      <c r="L119" s="420">
        <v>27172.424999999999</v>
      </c>
      <c r="M119" s="420">
        <v>11947.916999999999</v>
      </c>
      <c r="N119" s="423">
        <f t="shared" ref="N119:N120" si="390">AZ119</f>
        <v>12880.267</v>
      </c>
      <c r="O119" s="423"/>
      <c r="P119" s="420">
        <v>626.96900000000005</v>
      </c>
      <c r="Q119" s="420">
        <v>1631.569</v>
      </c>
      <c r="R119" s="420">
        <v>2133.0549999999998</v>
      </c>
      <c r="S119" s="478">
        <f>+D119</f>
        <v>2474.703</v>
      </c>
      <c r="T119" s="420">
        <v>2975.2339999999999</v>
      </c>
      <c r="U119" s="420">
        <v>4997.0569999999998</v>
      </c>
      <c r="V119" s="420">
        <v>391.39400000000001</v>
      </c>
      <c r="W119" s="478">
        <f>E119</f>
        <v>2390.5610000000001</v>
      </c>
      <c r="X119" s="420">
        <v>5399.2020000000002</v>
      </c>
      <c r="Y119" s="420">
        <v>308.28199999999998</v>
      </c>
      <c r="Z119" s="420">
        <v>255.08500000000001</v>
      </c>
      <c r="AA119" s="478">
        <f>F119</f>
        <v>2064.5120000000002</v>
      </c>
      <c r="AB119" s="420">
        <v>5567.61</v>
      </c>
      <c r="AC119" s="420">
        <v>6573.32</v>
      </c>
      <c r="AD119" s="420">
        <v>277.61599999999999</v>
      </c>
      <c r="AE119" s="465">
        <f>H119</f>
        <v>2803.0479999999998</v>
      </c>
      <c r="AF119" s="420">
        <v>307.34699999999998</v>
      </c>
      <c r="AG119" s="420">
        <v>171.58799999999999</v>
      </c>
      <c r="AH119" s="420">
        <v>168.95</v>
      </c>
      <c r="AI119" s="465">
        <f>I119</f>
        <v>4462.8649999999998</v>
      </c>
      <c r="AJ119" s="420">
        <v>4469.4840000000004</v>
      </c>
      <c r="AK119" s="420">
        <v>13594.281000000001</v>
      </c>
      <c r="AL119" s="420">
        <v>17330.953000000001</v>
      </c>
      <c r="AM119" s="423">
        <f>J119</f>
        <v>22959.940999999999</v>
      </c>
      <c r="AN119" s="420">
        <v>16711.254000000001</v>
      </c>
      <c r="AO119" s="420">
        <v>16621.323</v>
      </c>
      <c r="AP119" s="420">
        <v>14664.540999999999</v>
      </c>
      <c r="AQ119" s="423">
        <f>K119</f>
        <v>23253.195</v>
      </c>
      <c r="AR119" s="420">
        <v>13699.852000000001</v>
      </c>
      <c r="AS119" s="420">
        <v>13776.14</v>
      </c>
      <c r="AT119" s="420">
        <v>21300.596000000001</v>
      </c>
      <c r="AU119" s="423">
        <f t="shared" ref="AU119:AU120" si="391">L119</f>
        <v>27172.424999999999</v>
      </c>
      <c r="AV119" s="420">
        <v>27225.129000000001</v>
      </c>
      <c r="AW119" s="420">
        <v>15238.64</v>
      </c>
      <c r="AX119" s="420">
        <v>15543.519</v>
      </c>
      <c r="AY119" s="423">
        <f t="shared" ref="AY119:AY120" si="392">M119</f>
        <v>11947.916999999999</v>
      </c>
      <c r="AZ119" s="420">
        <v>12880.267</v>
      </c>
      <c r="BB119" s="423">
        <f>G119</f>
        <v>2064.5120000000002</v>
      </c>
    </row>
    <row r="120" spans="2:54" ht="12.75">
      <c r="B120" s="422" t="s">
        <v>556</v>
      </c>
      <c r="C120" s="420">
        <v>64172.642</v>
      </c>
      <c r="D120" s="420">
        <v>65587.442999999999</v>
      </c>
      <c r="E120" s="420">
        <v>77175.548999999999</v>
      </c>
      <c r="F120" s="420">
        <v>104994.126</v>
      </c>
      <c r="G120" s="420">
        <v>104994.126</v>
      </c>
      <c r="H120" s="420">
        <v>122726.81</v>
      </c>
      <c r="I120" s="420">
        <v>131563.33300000001</v>
      </c>
      <c r="J120" s="420">
        <v>116479.11</v>
      </c>
      <c r="K120" s="420">
        <v>105302.39999999999</v>
      </c>
      <c r="L120" s="420">
        <v>121484.853</v>
      </c>
      <c r="M120" s="420">
        <v>138914.573</v>
      </c>
      <c r="N120" s="423">
        <f t="shared" si="390"/>
        <v>137648.943</v>
      </c>
      <c r="O120" s="423"/>
      <c r="P120" s="420">
        <v>3672.3490000000002</v>
      </c>
      <c r="Q120" s="420">
        <v>60239.108</v>
      </c>
      <c r="R120" s="420">
        <v>60627.447999999997</v>
      </c>
      <c r="S120" s="478">
        <f>+D120</f>
        <v>65587.442999999999</v>
      </c>
      <c r="T120" s="420">
        <v>63096.851000000002</v>
      </c>
      <c r="U120" s="420">
        <v>67407.183000000005</v>
      </c>
      <c r="V120" s="420">
        <v>74090.788</v>
      </c>
      <c r="W120" s="478">
        <f>E120</f>
        <v>77175.548999999999</v>
      </c>
      <c r="X120" s="420">
        <v>76319.051000000007</v>
      </c>
      <c r="Y120" s="420">
        <v>98928.911999999997</v>
      </c>
      <c r="Z120" s="420">
        <v>98042.906000000003</v>
      </c>
      <c r="AA120" s="478">
        <f>F120</f>
        <v>104994.126</v>
      </c>
      <c r="AB120" s="420">
        <v>125774.736</v>
      </c>
      <c r="AC120" s="420">
        <v>133045.91899999999</v>
      </c>
      <c r="AD120" s="420">
        <v>144143.93299999999</v>
      </c>
      <c r="AE120" s="423">
        <f>H120</f>
        <v>122726.81</v>
      </c>
      <c r="AF120" s="420">
        <v>131331.59299999999</v>
      </c>
      <c r="AG120" s="420">
        <v>127936.822</v>
      </c>
      <c r="AH120" s="420">
        <v>131025.11199999999</v>
      </c>
      <c r="AI120" s="423">
        <f>I120</f>
        <v>131563.33300000001</v>
      </c>
      <c r="AJ120" s="420">
        <v>129840.704</v>
      </c>
      <c r="AK120" s="420">
        <v>124517.93</v>
      </c>
      <c r="AL120" s="420">
        <v>123755.823</v>
      </c>
      <c r="AM120" s="423">
        <f>J120</f>
        <v>116479.11</v>
      </c>
      <c r="AN120" s="420">
        <v>116961.86</v>
      </c>
      <c r="AO120" s="420">
        <v>111277.209</v>
      </c>
      <c r="AP120" s="420">
        <v>115937.88099999999</v>
      </c>
      <c r="AQ120" s="423">
        <f>K120</f>
        <v>105302.39999999999</v>
      </c>
      <c r="AR120" s="420">
        <v>115078.382</v>
      </c>
      <c r="AS120" s="420">
        <v>123978.162</v>
      </c>
      <c r="AT120" s="420">
        <v>123711.36900000001</v>
      </c>
      <c r="AU120" s="423">
        <f t="shared" si="391"/>
        <v>121484.853</v>
      </c>
      <c r="AV120" s="420">
        <v>123820.05899999999</v>
      </c>
      <c r="AW120" s="420">
        <v>132944.48199999999</v>
      </c>
      <c r="AX120" s="420">
        <v>133461.89199999999</v>
      </c>
      <c r="AY120" s="423">
        <f t="shared" si="392"/>
        <v>138914.573</v>
      </c>
      <c r="AZ120" s="420">
        <v>137648.943</v>
      </c>
      <c r="BB120" s="423">
        <f>G120</f>
        <v>104994.126</v>
      </c>
    </row>
    <row r="121" spans="2:54" ht="12.75">
      <c r="B121" s="424" t="s">
        <v>23</v>
      </c>
      <c r="C121" s="479">
        <f t="shared" ref="C121:X121" si="393">SUM(C119:C120)</f>
        <v>64806.553</v>
      </c>
      <c r="D121" s="479">
        <f t="shared" si="393"/>
        <v>68062.145999999993</v>
      </c>
      <c r="E121" s="479">
        <f t="shared" si="393"/>
        <v>79566.11</v>
      </c>
      <c r="F121" s="479">
        <f t="shared" ref="F121:I121" si="394">SUM(F119:F120)</f>
        <v>107058.63800000001</v>
      </c>
      <c r="G121" s="479">
        <f t="shared" si="394"/>
        <v>107058.63800000001</v>
      </c>
      <c r="H121" s="479">
        <f t="shared" si="394"/>
        <v>125529.85799999999</v>
      </c>
      <c r="I121" s="479">
        <f t="shared" si="394"/>
        <v>136026.198</v>
      </c>
      <c r="J121" s="479">
        <f t="shared" ref="J121:K121" si="395">SUM(J119:J120)</f>
        <v>139439.05100000001</v>
      </c>
      <c r="K121" s="479">
        <f t="shared" si="395"/>
        <v>128555.595</v>
      </c>
      <c r="L121" s="479">
        <f t="shared" ref="L121:M121" si="396">SUM(L119:L120)</f>
        <v>148657.27799999999</v>
      </c>
      <c r="M121" s="479">
        <f t="shared" si="396"/>
        <v>150862.49</v>
      </c>
      <c r="N121" s="479">
        <f t="shared" ref="N121" si="397">SUM(N119:N120)</f>
        <v>150529.21</v>
      </c>
      <c r="O121" s="479"/>
      <c r="P121" s="479">
        <f t="shared" si="393"/>
        <v>4299.3180000000002</v>
      </c>
      <c r="Q121" s="479">
        <f t="shared" si="393"/>
        <v>61870.677000000003</v>
      </c>
      <c r="R121" s="479">
        <f t="shared" si="393"/>
        <v>62760.502999999997</v>
      </c>
      <c r="S121" s="479">
        <f t="shared" si="393"/>
        <v>68062.145999999993</v>
      </c>
      <c r="T121" s="479">
        <f t="shared" si="393"/>
        <v>66072.085000000006</v>
      </c>
      <c r="U121" s="479">
        <f t="shared" si="393"/>
        <v>72404.240000000005</v>
      </c>
      <c r="V121" s="479">
        <f t="shared" si="393"/>
        <v>74482.182000000001</v>
      </c>
      <c r="W121" s="479">
        <f t="shared" si="393"/>
        <v>79566.11</v>
      </c>
      <c r="X121" s="479">
        <f t="shared" si="393"/>
        <v>81718.253000000012</v>
      </c>
      <c r="Y121" s="479">
        <f t="shared" ref="Y121:BB121" si="398">SUM(Y119:Y120)</f>
        <v>99237.194000000003</v>
      </c>
      <c r="Z121" s="479">
        <f t="shared" si="398"/>
        <v>98297.991000000009</v>
      </c>
      <c r="AA121" s="479">
        <f t="shared" si="398"/>
        <v>107058.63800000001</v>
      </c>
      <c r="AB121" s="479">
        <f t="shared" si="398"/>
        <v>131342.34599999999</v>
      </c>
      <c r="AC121" s="479">
        <f t="shared" si="398"/>
        <v>139619.239</v>
      </c>
      <c r="AD121" s="479">
        <f t="shared" si="398"/>
        <v>144421.549</v>
      </c>
      <c r="AE121" s="479">
        <f t="shared" si="398"/>
        <v>125529.85799999999</v>
      </c>
      <c r="AF121" s="479">
        <f t="shared" si="398"/>
        <v>131638.94</v>
      </c>
      <c r="AG121" s="479">
        <f>SUM(AG119:AG120)</f>
        <v>128108.41</v>
      </c>
      <c r="AH121" s="479">
        <f>SUM(AH119:AH120)</f>
        <v>131194.06200000001</v>
      </c>
      <c r="AI121" s="479">
        <f>SUM(AI119:AI120)</f>
        <v>136026.198</v>
      </c>
      <c r="AJ121" s="479">
        <f>SUM(AJ119:AJ120)</f>
        <v>134310.18799999999</v>
      </c>
      <c r="AK121" s="479">
        <f>SUM(AK119:AK120)</f>
        <v>138112.21099999998</v>
      </c>
      <c r="AL121" s="479">
        <f t="shared" ref="AL121" si="399">SUM(AL119:AL120)</f>
        <v>141086.77600000001</v>
      </c>
      <c r="AM121" s="479">
        <f>SUM(AM119:AM120)</f>
        <v>139439.05100000001</v>
      </c>
      <c r="AN121" s="479">
        <f>SUM(AN119:AN120)</f>
        <v>133673.114</v>
      </c>
      <c r="AO121" s="479">
        <f>SUM(AO119:AO120)</f>
        <v>127898.53200000001</v>
      </c>
      <c r="AP121" s="479">
        <f t="shared" ref="AP121" si="400">SUM(AP119:AP120)</f>
        <v>130602.42199999999</v>
      </c>
      <c r="AQ121" s="479">
        <f>SUM(AQ119:AQ120)</f>
        <v>128555.595</v>
      </c>
      <c r="AR121" s="479">
        <f t="shared" ref="AR121" si="401">SUM(AR119:AR120)</f>
        <v>128778.234</v>
      </c>
      <c r="AS121" s="479">
        <f>SUM(AS119:AS120)</f>
        <v>137754.302</v>
      </c>
      <c r="AT121" s="479">
        <f t="shared" ref="AT121" si="402">SUM(AT119:AT120)</f>
        <v>145011.965</v>
      </c>
      <c r="AU121" s="479">
        <f>SUM(AU119:AU120)</f>
        <v>148657.27799999999</v>
      </c>
      <c r="AV121" s="479">
        <f t="shared" ref="AV121" si="403">SUM(AV119:AV120)</f>
        <v>151045.18799999999</v>
      </c>
      <c r="AW121" s="479">
        <f>SUM(AW119:AW120)</f>
        <v>148183.12199999997</v>
      </c>
      <c r="AX121" s="479">
        <f t="shared" ref="AX121" si="404">SUM(AX119:AX120)</f>
        <v>149005.41099999999</v>
      </c>
      <c r="AY121" s="479">
        <f>SUM(AY119:AY120)</f>
        <v>150862.49</v>
      </c>
      <c r="AZ121" s="479">
        <f t="shared" ref="AZ121" si="405">SUM(AZ119:AZ120)</f>
        <v>150529.21</v>
      </c>
      <c r="BB121" s="479">
        <f t="shared" si="398"/>
        <v>107058.63800000001</v>
      </c>
    </row>
    <row r="122" spans="2:54" ht="12.75">
      <c r="B122" s="424"/>
      <c r="C122" s="479"/>
      <c r="D122" s="479"/>
      <c r="E122" s="479"/>
      <c r="F122" s="479"/>
      <c r="G122" s="479"/>
      <c r="H122" s="479"/>
      <c r="I122" s="479"/>
      <c r="J122" s="479"/>
      <c r="K122" s="479"/>
      <c r="L122" s="479"/>
      <c r="M122" s="479"/>
      <c r="N122" s="479"/>
      <c r="O122" s="479"/>
      <c r="P122" s="479"/>
      <c r="Q122" s="479"/>
      <c r="R122" s="479"/>
      <c r="S122" s="479"/>
      <c r="T122" s="479"/>
      <c r="U122" s="479"/>
      <c r="V122" s="479"/>
      <c r="W122" s="479"/>
      <c r="X122" s="479"/>
      <c r="Y122" s="479"/>
      <c r="Z122" s="479"/>
      <c r="AA122" s="479"/>
      <c r="AB122" s="479"/>
      <c r="AC122" s="479"/>
      <c r="AD122" s="479"/>
      <c r="AE122" s="479"/>
      <c r="AF122" s="479"/>
      <c r="AG122" s="479"/>
      <c r="AH122" s="479"/>
      <c r="AI122" s="479"/>
      <c r="AJ122" s="479"/>
      <c r="AK122" s="479"/>
      <c r="AL122" s="479"/>
      <c r="AM122" s="479"/>
      <c r="AN122" s="479"/>
      <c r="AO122" s="479"/>
      <c r="AP122" s="479"/>
      <c r="AQ122" s="479"/>
      <c r="AR122" s="479"/>
      <c r="AS122" s="479"/>
      <c r="AT122" s="479"/>
      <c r="AU122" s="479"/>
      <c r="AV122" s="479"/>
      <c r="AW122" s="479"/>
      <c r="AX122" s="479"/>
      <c r="AY122" s="479"/>
      <c r="AZ122" s="479"/>
      <c r="BB122" s="479"/>
    </row>
    <row r="123" spans="2:54" ht="12.75">
      <c r="B123" s="435" t="s">
        <v>557</v>
      </c>
      <c r="C123" s="420">
        <v>5554.12</v>
      </c>
      <c r="D123" s="420">
        <v>3228.444</v>
      </c>
      <c r="E123" s="420">
        <v>4408.9260000000004</v>
      </c>
      <c r="F123" s="420">
        <v>3042.9140000000002</v>
      </c>
      <c r="G123" s="420">
        <v>3042.9140000000002</v>
      </c>
      <c r="H123" s="420">
        <v>7746.5929999999998</v>
      </c>
      <c r="I123" s="420">
        <v>6739.5110000000004</v>
      </c>
      <c r="J123" s="420">
        <v>6887.1109999999999</v>
      </c>
      <c r="K123" s="420">
        <v>2826.6419999999998</v>
      </c>
      <c r="L123" s="420">
        <v>4518.6009999999997</v>
      </c>
      <c r="M123" s="420">
        <v>13721.823</v>
      </c>
      <c r="N123" s="423">
        <f t="shared" ref="N123" si="406">AZ123</f>
        <v>13100.173000000001</v>
      </c>
      <c r="O123" s="423"/>
      <c r="P123" s="420">
        <v>3006.3229999999999</v>
      </c>
      <c r="Q123" s="420">
        <v>1870.94</v>
      </c>
      <c r="R123" s="420">
        <v>1983.1769999999999</v>
      </c>
      <c r="S123" s="478">
        <f>+D123</f>
        <v>3228.444</v>
      </c>
      <c r="T123" s="420">
        <v>3749.8580000000002</v>
      </c>
      <c r="U123" s="420">
        <v>3503.94</v>
      </c>
      <c r="V123" s="420">
        <v>6014.5609999999997</v>
      </c>
      <c r="W123" s="478">
        <f>E123</f>
        <v>4408.9260000000004</v>
      </c>
      <c r="X123" s="420">
        <v>3341.4180000000001</v>
      </c>
      <c r="Y123" s="420">
        <v>18152.333999999999</v>
      </c>
      <c r="Z123" s="420">
        <v>13723.073</v>
      </c>
      <c r="AA123" s="478">
        <f>F123</f>
        <v>3042.9140000000002</v>
      </c>
      <c r="AB123" s="420">
        <v>4068.9540000000002</v>
      </c>
      <c r="AC123" s="420">
        <v>14857.313</v>
      </c>
      <c r="AD123" s="420">
        <v>18373.936000000002</v>
      </c>
      <c r="AE123" s="465">
        <f>H123</f>
        <v>7746.5929999999998</v>
      </c>
      <c r="AF123" s="420">
        <v>4820.26</v>
      </c>
      <c r="AG123" s="420">
        <v>3713.8159999999998</v>
      </c>
      <c r="AH123" s="420">
        <v>3502.3649999999998</v>
      </c>
      <c r="AI123" s="465">
        <f>I123</f>
        <v>6739.5110000000004</v>
      </c>
      <c r="AJ123" s="420">
        <v>4336.7250000000004</v>
      </c>
      <c r="AK123" s="420">
        <v>5258.0789999999997</v>
      </c>
      <c r="AL123" s="420">
        <v>4878.6390000000001</v>
      </c>
      <c r="AM123" s="423">
        <f>J123</f>
        <v>6887.1109999999999</v>
      </c>
      <c r="AN123" s="420">
        <v>3071.9160000000002</v>
      </c>
      <c r="AO123" s="420">
        <v>4374.768</v>
      </c>
      <c r="AP123" s="420">
        <v>2663.6010000000001</v>
      </c>
      <c r="AQ123" s="423">
        <f>K123</f>
        <v>2826.6419999999998</v>
      </c>
      <c r="AR123" s="420">
        <v>1793.6569999999999</v>
      </c>
      <c r="AS123" s="420">
        <v>4682.0159999999996</v>
      </c>
      <c r="AT123" s="420">
        <v>2668.4340000000002</v>
      </c>
      <c r="AU123" s="423">
        <f>L123</f>
        <v>4518.6009999999997</v>
      </c>
      <c r="AV123" s="420">
        <v>2008.5730000000001</v>
      </c>
      <c r="AW123" s="420">
        <v>4197.1180000000004</v>
      </c>
      <c r="AX123" s="420">
        <v>2870.9290000000001</v>
      </c>
      <c r="AY123" s="423">
        <f t="shared" ref="AY123" si="407">M123</f>
        <v>13721.823</v>
      </c>
      <c r="AZ123" s="420">
        <v>13100.173000000001</v>
      </c>
      <c r="BB123" s="423">
        <f>G123</f>
        <v>3042.9140000000002</v>
      </c>
    </row>
    <row r="124" spans="2:54" ht="12.75">
      <c r="B124" s="435"/>
      <c r="C124" s="420"/>
      <c r="D124" s="420"/>
      <c r="E124" s="420"/>
      <c r="F124" s="420"/>
      <c r="G124" s="420"/>
      <c r="H124" s="420"/>
      <c r="I124" s="420"/>
      <c r="J124" s="420"/>
      <c r="K124" s="420"/>
      <c r="L124" s="420"/>
      <c r="M124" s="420"/>
      <c r="N124" s="420"/>
      <c r="O124" s="420"/>
      <c r="P124" s="420"/>
      <c r="Q124" s="420"/>
      <c r="R124" s="420"/>
      <c r="S124" s="420"/>
      <c r="T124" s="420"/>
      <c r="U124" s="420"/>
      <c r="V124" s="420"/>
      <c r="W124" s="420"/>
      <c r="X124" s="420"/>
      <c r="Y124" s="420"/>
      <c r="Z124" s="420"/>
      <c r="AA124" s="420"/>
      <c r="AB124" s="420"/>
      <c r="AC124" s="420"/>
      <c r="AD124" s="420"/>
      <c r="AE124" s="420"/>
      <c r="AF124" s="420"/>
      <c r="AG124" s="420"/>
      <c r="AH124" s="420"/>
      <c r="AI124" s="420"/>
      <c r="AJ124" s="420"/>
      <c r="AK124" s="420"/>
      <c r="AL124" s="420"/>
      <c r="AM124" s="420"/>
      <c r="AN124" s="420"/>
      <c r="AO124" s="420"/>
      <c r="AP124" s="420"/>
      <c r="AQ124" s="420"/>
      <c r="AR124" s="420"/>
      <c r="AS124" s="420"/>
      <c r="AT124" s="420"/>
      <c r="AU124" s="420"/>
      <c r="AV124" s="420"/>
      <c r="AW124" s="420"/>
      <c r="AX124" s="420"/>
      <c r="AY124" s="420"/>
      <c r="AZ124" s="420"/>
      <c r="BB124" s="420"/>
    </row>
    <row r="125" spans="2:54" ht="12.75">
      <c r="B125" s="424" t="s">
        <v>558</v>
      </c>
      <c r="C125" s="479">
        <f t="shared" ref="C125:X125" si="408">C121-C123</f>
        <v>59252.432999999997</v>
      </c>
      <c r="D125" s="479">
        <f t="shared" si="408"/>
        <v>64833.70199999999</v>
      </c>
      <c r="E125" s="479">
        <f t="shared" si="408"/>
        <v>75157.183999999994</v>
      </c>
      <c r="F125" s="479">
        <f t="shared" ref="F125:I125" si="409">F121-F123</f>
        <v>104015.724</v>
      </c>
      <c r="G125" s="479">
        <f t="shared" si="409"/>
        <v>104015.724</v>
      </c>
      <c r="H125" s="479">
        <f t="shared" si="409"/>
        <v>117783.265</v>
      </c>
      <c r="I125" s="479">
        <f t="shared" si="409"/>
        <v>129286.68700000001</v>
      </c>
      <c r="J125" s="479">
        <f t="shared" ref="J125:K125" si="410">J121-J123</f>
        <v>132551.94</v>
      </c>
      <c r="K125" s="479">
        <f t="shared" si="410"/>
        <v>125728.95300000001</v>
      </c>
      <c r="L125" s="479">
        <f t="shared" ref="L125:M125" si="411">L121-L123</f>
        <v>144138.677</v>
      </c>
      <c r="M125" s="479">
        <f t="shared" si="411"/>
        <v>137140.66699999999</v>
      </c>
      <c r="N125" s="479">
        <f t="shared" ref="N125" si="412">N121-N123</f>
        <v>137429.03699999998</v>
      </c>
      <c r="O125" s="479"/>
      <c r="P125" s="479">
        <f t="shared" si="408"/>
        <v>1292.9950000000003</v>
      </c>
      <c r="Q125" s="479">
        <f t="shared" si="408"/>
        <v>59999.737000000001</v>
      </c>
      <c r="R125" s="479">
        <f t="shared" si="408"/>
        <v>60777.325999999994</v>
      </c>
      <c r="S125" s="479">
        <f t="shared" si="408"/>
        <v>64833.70199999999</v>
      </c>
      <c r="T125" s="479">
        <f t="shared" si="408"/>
        <v>62322.227000000006</v>
      </c>
      <c r="U125" s="479">
        <f t="shared" si="408"/>
        <v>68900.3</v>
      </c>
      <c r="V125" s="479">
        <f t="shared" si="408"/>
        <v>68467.620999999999</v>
      </c>
      <c r="W125" s="479">
        <f t="shared" si="408"/>
        <v>75157.183999999994</v>
      </c>
      <c r="X125" s="479">
        <f t="shared" si="408"/>
        <v>78376.835000000006</v>
      </c>
      <c r="Y125" s="479">
        <f t="shared" ref="Y125:AD125" si="413">Y121-Y123</f>
        <v>81084.86</v>
      </c>
      <c r="Z125" s="479">
        <f t="shared" si="413"/>
        <v>84574.918000000005</v>
      </c>
      <c r="AA125" s="479">
        <f t="shared" si="413"/>
        <v>104015.724</v>
      </c>
      <c r="AB125" s="479">
        <f t="shared" si="413"/>
        <v>127273.39199999999</v>
      </c>
      <c r="AC125" s="479">
        <f t="shared" si="413"/>
        <v>124761.92600000001</v>
      </c>
      <c r="AD125" s="479">
        <f t="shared" si="413"/>
        <v>126047.613</v>
      </c>
      <c r="AE125" s="479">
        <f t="shared" ref="AE125:AJ125" si="414">AE121-AE123</f>
        <v>117783.265</v>
      </c>
      <c r="AF125" s="479">
        <f t="shared" si="414"/>
        <v>126818.68000000001</v>
      </c>
      <c r="AG125" s="479">
        <f t="shared" si="414"/>
        <v>124394.594</v>
      </c>
      <c r="AH125" s="479">
        <f t="shared" si="414"/>
        <v>127691.697</v>
      </c>
      <c r="AI125" s="479">
        <f t="shared" si="414"/>
        <v>129286.68700000001</v>
      </c>
      <c r="AJ125" s="479">
        <f t="shared" si="414"/>
        <v>129973.46299999999</v>
      </c>
      <c r="AK125" s="479">
        <f t="shared" ref="AK125:AN125" si="415">AK121-AK123</f>
        <v>132854.13199999998</v>
      </c>
      <c r="AL125" s="479">
        <f t="shared" si="415"/>
        <v>136208.13700000002</v>
      </c>
      <c r="AM125" s="479">
        <f t="shared" si="415"/>
        <v>132551.94</v>
      </c>
      <c r="AN125" s="479">
        <f t="shared" si="415"/>
        <v>130601.198</v>
      </c>
      <c r="AO125" s="479">
        <f t="shared" ref="AO125:AR125" si="416">AO121-AO123</f>
        <v>123523.76400000001</v>
      </c>
      <c r="AP125" s="479">
        <f t="shared" si="416"/>
        <v>127938.821</v>
      </c>
      <c r="AQ125" s="479">
        <f t="shared" si="416"/>
        <v>125728.95300000001</v>
      </c>
      <c r="AR125" s="479">
        <f t="shared" si="416"/>
        <v>126984.57699999999</v>
      </c>
      <c r="AS125" s="479">
        <f t="shared" ref="AS125:AV125" si="417">AS121-AS123</f>
        <v>133072.28599999999</v>
      </c>
      <c r="AT125" s="479">
        <f t="shared" si="417"/>
        <v>142343.53099999999</v>
      </c>
      <c r="AU125" s="479">
        <f t="shared" si="417"/>
        <v>144138.677</v>
      </c>
      <c r="AV125" s="479">
        <f t="shared" si="417"/>
        <v>149036.61499999999</v>
      </c>
      <c r="AW125" s="479">
        <f t="shared" ref="AW125:AZ125" si="418">AW121-AW123</f>
        <v>143986.00399999999</v>
      </c>
      <c r="AX125" s="479">
        <f t="shared" si="418"/>
        <v>146134.48199999999</v>
      </c>
      <c r="AY125" s="479">
        <f t="shared" si="418"/>
        <v>137140.66699999999</v>
      </c>
      <c r="AZ125" s="479">
        <f t="shared" si="418"/>
        <v>137429.03699999998</v>
      </c>
      <c r="BB125" s="479">
        <f>BB121-BB123</f>
        <v>104015.724</v>
      </c>
    </row>
    <row r="126" spans="2:54" ht="12.75">
      <c r="B126" s="422" t="s">
        <v>559</v>
      </c>
      <c r="C126" s="423">
        <f t="shared" ref="C126:X126" si="419">C121</f>
        <v>64806.553</v>
      </c>
      <c r="D126" s="423">
        <f t="shared" si="419"/>
        <v>68062.145999999993</v>
      </c>
      <c r="E126" s="423">
        <f t="shared" si="419"/>
        <v>79566.11</v>
      </c>
      <c r="F126" s="423">
        <f t="shared" ref="F126:I126" si="420">F121</f>
        <v>107058.63800000001</v>
      </c>
      <c r="G126" s="423">
        <f t="shared" si="420"/>
        <v>107058.63800000001</v>
      </c>
      <c r="H126" s="423">
        <f t="shared" si="420"/>
        <v>125529.85799999999</v>
      </c>
      <c r="I126" s="423">
        <f t="shared" si="420"/>
        <v>136026.198</v>
      </c>
      <c r="J126" s="423">
        <f t="shared" ref="J126:K126" si="421">J121</f>
        <v>139439.05100000001</v>
      </c>
      <c r="K126" s="423">
        <f t="shared" si="421"/>
        <v>128555.595</v>
      </c>
      <c r="L126" s="423">
        <f t="shared" ref="L126:M126" si="422">L121</f>
        <v>148657.27799999999</v>
      </c>
      <c r="M126" s="423">
        <f t="shared" si="422"/>
        <v>150862.49</v>
      </c>
      <c r="N126" s="423">
        <f t="shared" ref="N126" si="423">N121</f>
        <v>150529.21</v>
      </c>
      <c r="O126" s="423"/>
      <c r="P126" s="423">
        <f t="shared" si="419"/>
        <v>4299.3180000000002</v>
      </c>
      <c r="Q126" s="423">
        <f t="shared" si="419"/>
        <v>61870.677000000003</v>
      </c>
      <c r="R126" s="423">
        <f t="shared" si="419"/>
        <v>62760.502999999997</v>
      </c>
      <c r="S126" s="423">
        <f t="shared" si="419"/>
        <v>68062.145999999993</v>
      </c>
      <c r="T126" s="423">
        <f t="shared" si="419"/>
        <v>66072.085000000006</v>
      </c>
      <c r="U126" s="423">
        <f t="shared" si="419"/>
        <v>72404.240000000005</v>
      </c>
      <c r="V126" s="423">
        <f t="shared" si="419"/>
        <v>74482.182000000001</v>
      </c>
      <c r="W126" s="423">
        <f t="shared" si="419"/>
        <v>79566.11</v>
      </c>
      <c r="X126" s="423">
        <f t="shared" si="419"/>
        <v>81718.253000000012</v>
      </c>
      <c r="Y126" s="423">
        <f t="shared" ref="Y126:AD126" si="424">Y121</f>
        <v>99237.194000000003</v>
      </c>
      <c r="Z126" s="423">
        <f t="shared" si="424"/>
        <v>98297.991000000009</v>
      </c>
      <c r="AA126" s="423">
        <f t="shared" si="424"/>
        <v>107058.63800000001</v>
      </c>
      <c r="AB126" s="423">
        <f t="shared" si="424"/>
        <v>131342.34599999999</v>
      </c>
      <c r="AC126" s="423">
        <f t="shared" si="424"/>
        <v>139619.239</v>
      </c>
      <c r="AD126" s="423">
        <f t="shared" si="424"/>
        <v>144421.549</v>
      </c>
      <c r="AE126" s="423">
        <f t="shared" ref="AE126:AJ126" si="425">AE121</f>
        <v>125529.85799999999</v>
      </c>
      <c r="AF126" s="423">
        <f t="shared" si="425"/>
        <v>131638.94</v>
      </c>
      <c r="AG126" s="423">
        <f t="shared" si="425"/>
        <v>128108.41</v>
      </c>
      <c r="AH126" s="423">
        <f t="shared" si="425"/>
        <v>131194.06200000001</v>
      </c>
      <c r="AI126" s="423">
        <f t="shared" si="425"/>
        <v>136026.198</v>
      </c>
      <c r="AJ126" s="423">
        <f t="shared" si="425"/>
        <v>134310.18799999999</v>
      </c>
      <c r="AK126" s="423">
        <f t="shared" ref="AK126:AN126" si="426">AK121</f>
        <v>138112.21099999998</v>
      </c>
      <c r="AL126" s="423">
        <f t="shared" si="426"/>
        <v>141086.77600000001</v>
      </c>
      <c r="AM126" s="423">
        <f t="shared" si="426"/>
        <v>139439.05100000001</v>
      </c>
      <c r="AN126" s="423">
        <f t="shared" si="426"/>
        <v>133673.114</v>
      </c>
      <c r="AO126" s="423">
        <f t="shared" ref="AO126:AR126" si="427">AO121</f>
        <v>127898.53200000001</v>
      </c>
      <c r="AP126" s="423">
        <f t="shared" si="427"/>
        <v>130602.42199999999</v>
      </c>
      <c r="AQ126" s="423">
        <f t="shared" si="427"/>
        <v>128555.595</v>
      </c>
      <c r="AR126" s="423">
        <f t="shared" si="427"/>
        <v>128778.234</v>
      </c>
      <c r="AS126" s="423">
        <f t="shared" ref="AS126:AV126" si="428">AS121</f>
        <v>137754.302</v>
      </c>
      <c r="AT126" s="423">
        <f t="shared" si="428"/>
        <v>145011.965</v>
      </c>
      <c r="AU126" s="423">
        <f t="shared" si="428"/>
        <v>148657.27799999999</v>
      </c>
      <c r="AV126" s="423">
        <f t="shared" si="428"/>
        <v>151045.18799999999</v>
      </c>
      <c r="AW126" s="423">
        <f t="shared" ref="AW126:AZ126" si="429">AW121</f>
        <v>148183.12199999997</v>
      </c>
      <c r="AX126" s="423">
        <f t="shared" si="429"/>
        <v>149005.41099999999</v>
      </c>
      <c r="AY126" s="423">
        <f t="shared" si="429"/>
        <v>150862.49</v>
      </c>
      <c r="AZ126" s="423">
        <f t="shared" si="429"/>
        <v>150529.21</v>
      </c>
      <c r="BB126" s="423">
        <f>BB121</f>
        <v>107058.63800000001</v>
      </c>
    </row>
    <row r="127" spans="2:54" ht="12.75">
      <c r="C127" s="423"/>
      <c r="D127" s="423"/>
      <c r="E127" s="423"/>
      <c r="F127" s="423"/>
      <c r="G127" s="423"/>
      <c r="H127" s="423"/>
      <c r="I127" s="423"/>
      <c r="J127" s="423"/>
      <c r="K127" s="423"/>
      <c r="L127" s="423"/>
      <c r="M127" s="423"/>
      <c r="N127" s="423"/>
      <c r="O127" s="423"/>
      <c r="P127" s="423"/>
      <c r="Q127" s="423"/>
      <c r="R127" s="423"/>
      <c r="S127" s="423"/>
      <c r="T127" s="423"/>
      <c r="U127" s="423"/>
      <c r="V127" s="423"/>
      <c r="W127" s="423"/>
      <c r="X127" s="423"/>
      <c r="Y127" s="423"/>
      <c r="Z127" s="423"/>
      <c r="AA127" s="423"/>
      <c r="AB127" s="423"/>
      <c r="AC127" s="423"/>
      <c r="AD127" s="423"/>
      <c r="AE127" s="423"/>
      <c r="AF127" s="423"/>
      <c r="AG127" s="423"/>
      <c r="AH127" s="423"/>
      <c r="AI127" s="423"/>
      <c r="AJ127" s="423"/>
      <c r="AK127" s="423"/>
      <c r="AL127" s="423"/>
      <c r="AM127" s="423"/>
      <c r="AN127" s="423"/>
      <c r="AO127" s="423"/>
      <c r="AP127" s="423"/>
      <c r="AQ127" s="423"/>
      <c r="AR127" s="423"/>
      <c r="AS127" s="423"/>
      <c r="AT127" s="423"/>
      <c r="AU127" s="423"/>
      <c r="AV127" s="423"/>
      <c r="AW127" s="423"/>
      <c r="AX127" s="423"/>
      <c r="AY127" s="423"/>
      <c r="AZ127" s="423"/>
      <c r="BB127" s="423"/>
    </row>
    <row r="128" spans="2:54" ht="12.75">
      <c r="B128" s="422" t="s">
        <v>560</v>
      </c>
      <c r="C128" s="420">
        <v>122643.33500000001</v>
      </c>
      <c r="D128" s="420">
        <v>149876.53400000001</v>
      </c>
      <c r="E128" s="420">
        <v>158105.315</v>
      </c>
      <c r="F128" s="420">
        <v>167456.41500000001</v>
      </c>
      <c r="G128" s="420">
        <v>166904.86799999999</v>
      </c>
      <c r="H128" s="420">
        <v>173395.57199999999</v>
      </c>
      <c r="I128" s="420">
        <v>170939.77100000001</v>
      </c>
      <c r="J128" s="420">
        <v>186151.008</v>
      </c>
      <c r="K128" s="420">
        <v>194762.61900000001</v>
      </c>
      <c r="L128" s="420">
        <v>187779.03700000001</v>
      </c>
      <c r="M128" s="420">
        <v>414841.337</v>
      </c>
      <c r="N128" s="423">
        <f t="shared" ref="N128" si="430">AZ128</f>
        <v>402857.17499999999</v>
      </c>
      <c r="O128" s="423"/>
      <c r="P128" s="420">
        <v>127624.625</v>
      </c>
      <c r="Q128" s="420">
        <v>129602.325</v>
      </c>
      <c r="R128" s="420">
        <v>130962.087</v>
      </c>
      <c r="S128" s="478">
        <f>D128</f>
        <v>149876.53400000001</v>
      </c>
      <c r="T128" s="420">
        <v>153075.47099999999</v>
      </c>
      <c r="U128" s="420">
        <v>150787.883</v>
      </c>
      <c r="V128" s="420">
        <v>153730.27299999999</v>
      </c>
      <c r="W128" s="478">
        <f>E128</f>
        <v>158105.315</v>
      </c>
      <c r="X128" s="420">
        <v>160178.35800000001</v>
      </c>
      <c r="Y128" s="420">
        <v>163414.42199999999</v>
      </c>
      <c r="Z128" s="420">
        <v>162572.09299999999</v>
      </c>
      <c r="AA128" s="478">
        <f>F128</f>
        <v>167456.41500000001</v>
      </c>
      <c r="AB128" s="420">
        <v>149374.728</v>
      </c>
      <c r="AC128" s="420">
        <v>160957.61199999999</v>
      </c>
      <c r="AD128" s="420">
        <v>163779.53700000001</v>
      </c>
      <c r="AE128" s="423">
        <f>H128</f>
        <v>173395.57199999999</v>
      </c>
      <c r="AF128" s="420">
        <v>171072.60500000001</v>
      </c>
      <c r="AG128" s="420">
        <v>171236.446</v>
      </c>
      <c r="AH128" s="420">
        <v>168768.13200000001</v>
      </c>
      <c r="AI128" s="423">
        <f>I128</f>
        <v>170939.77100000001</v>
      </c>
      <c r="AJ128" s="420">
        <v>172366.55</v>
      </c>
      <c r="AK128" s="420">
        <v>172366.55</v>
      </c>
      <c r="AL128" s="420">
        <v>175138.769</v>
      </c>
      <c r="AM128" s="423">
        <f>J128</f>
        <v>186151.008</v>
      </c>
      <c r="AN128" s="420">
        <v>189029.62</v>
      </c>
      <c r="AO128" s="420">
        <v>193492.516</v>
      </c>
      <c r="AP128" s="420">
        <v>190413.747</v>
      </c>
      <c r="AQ128" s="423">
        <f>K128</f>
        <v>194762.61900000001</v>
      </c>
      <c r="AR128" s="420">
        <v>194811.611</v>
      </c>
      <c r="AS128" s="420">
        <v>196767.58900000001</v>
      </c>
      <c r="AT128" s="420">
        <v>192676.698</v>
      </c>
      <c r="AU128" s="423">
        <f>L128</f>
        <v>187779.03700000001</v>
      </c>
      <c r="AV128" s="420">
        <v>187202.66399999999</v>
      </c>
      <c r="AW128" s="420">
        <v>191564.18400000001</v>
      </c>
      <c r="AX128" s="420">
        <v>193659.75599999999</v>
      </c>
      <c r="AY128" s="423">
        <f t="shared" ref="AY128" si="431">M128</f>
        <v>414841.337</v>
      </c>
      <c r="AZ128" s="420">
        <v>402857.17499999999</v>
      </c>
      <c r="BB128" s="423">
        <f>G128</f>
        <v>166904.86799999999</v>
      </c>
    </row>
    <row r="129" spans="2:54" s="424" customFormat="1" ht="12.75">
      <c r="B129" s="424" t="s">
        <v>561</v>
      </c>
      <c r="C129" s="477">
        <f t="shared" ref="C129:X129" si="432">C126+C128</f>
        <v>187449.88800000001</v>
      </c>
      <c r="D129" s="477">
        <f t="shared" si="432"/>
        <v>217938.68</v>
      </c>
      <c r="E129" s="477">
        <f t="shared" si="432"/>
        <v>237671.42499999999</v>
      </c>
      <c r="F129" s="477">
        <f t="shared" ref="F129:I129" si="433">F126+F128</f>
        <v>274515.05300000001</v>
      </c>
      <c r="G129" s="477">
        <f t="shared" si="433"/>
        <v>273963.50599999999</v>
      </c>
      <c r="H129" s="477">
        <f t="shared" si="433"/>
        <v>298925.43</v>
      </c>
      <c r="I129" s="477">
        <f t="shared" si="433"/>
        <v>306965.96900000004</v>
      </c>
      <c r="J129" s="477">
        <f t="shared" ref="J129:K129" si="434">J126+J128</f>
        <v>325590.05900000001</v>
      </c>
      <c r="K129" s="477">
        <f t="shared" si="434"/>
        <v>323318.21400000004</v>
      </c>
      <c r="L129" s="477">
        <f t="shared" ref="L129:M129" si="435">L126+L128</f>
        <v>336436.315</v>
      </c>
      <c r="M129" s="477">
        <f t="shared" si="435"/>
        <v>565703.82700000005</v>
      </c>
      <c r="N129" s="477">
        <f t="shared" ref="N129" si="436">N126+N128</f>
        <v>553386.38500000001</v>
      </c>
      <c r="O129" s="477"/>
      <c r="P129" s="477">
        <f t="shared" si="432"/>
        <v>131923.943</v>
      </c>
      <c r="Q129" s="477">
        <f t="shared" si="432"/>
        <v>191473.00200000001</v>
      </c>
      <c r="R129" s="477">
        <f t="shared" si="432"/>
        <v>193722.59</v>
      </c>
      <c r="S129" s="477">
        <f t="shared" si="432"/>
        <v>217938.68</v>
      </c>
      <c r="T129" s="477">
        <f t="shared" si="432"/>
        <v>219147.55599999998</v>
      </c>
      <c r="U129" s="477">
        <f t="shared" si="432"/>
        <v>223192.12300000002</v>
      </c>
      <c r="V129" s="477">
        <f t="shared" si="432"/>
        <v>228212.45499999999</v>
      </c>
      <c r="W129" s="477">
        <f t="shared" si="432"/>
        <v>237671.42499999999</v>
      </c>
      <c r="X129" s="477">
        <f t="shared" si="432"/>
        <v>241896.61100000003</v>
      </c>
      <c r="Y129" s="477">
        <f t="shared" ref="Y129:BB129" si="437">Y126+Y128</f>
        <v>262651.61599999998</v>
      </c>
      <c r="Z129" s="477">
        <f t="shared" si="437"/>
        <v>260870.084</v>
      </c>
      <c r="AA129" s="477">
        <f t="shared" si="437"/>
        <v>274515.05300000001</v>
      </c>
      <c r="AB129" s="477">
        <f t="shared" si="437"/>
        <v>280717.07400000002</v>
      </c>
      <c r="AC129" s="477">
        <f t="shared" si="437"/>
        <v>300576.85100000002</v>
      </c>
      <c r="AD129" s="477">
        <f t="shared" si="437"/>
        <v>308201.08600000001</v>
      </c>
      <c r="AE129" s="477">
        <f t="shared" si="437"/>
        <v>298925.43</v>
      </c>
      <c r="AF129" s="477">
        <f t="shared" si="437"/>
        <v>302711.54500000004</v>
      </c>
      <c r="AG129" s="477">
        <f>AG126+AG128</f>
        <v>299344.85600000003</v>
      </c>
      <c r="AH129" s="477">
        <f>AH126+AH128</f>
        <v>299962.19400000002</v>
      </c>
      <c r="AI129" s="477">
        <f>AI126+AI128</f>
        <v>306965.96900000004</v>
      </c>
      <c r="AJ129" s="477">
        <f>AJ126+AJ128</f>
        <v>306676.73800000001</v>
      </c>
      <c r="AK129" s="477">
        <f>AK126+AK128</f>
        <v>310478.76099999994</v>
      </c>
      <c r="AL129" s="477">
        <f t="shared" ref="AL129" si="438">AL126+AL128</f>
        <v>316225.54500000004</v>
      </c>
      <c r="AM129" s="477">
        <f>AM126+AM128</f>
        <v>325590.05900000001</v>
      </c>
      <c r="AN129" s="477">
        <f>AN126+AN128</f>
        <v>322702.734</v>
      </c>
      <c r="AO129" s="477">
        <f>AO126+AO128</f>
        <v>321391.04800000001</v>
      </c>
      <c r="AP129" s="477">
        <f t="shared" ref="AP129" si="439">AP126+AP128</f>
        <v>321016.16899999999</v>
      </c>
      <c r="AQ129" s="477">
        <f>AQ126+AQ128</f>
        <v>323318.21400000004</v>
      </c>
      <c r="AR129" s="477">
        <f t="shared" ref="AR129" si="440">AR126+AR128</f>
        <v>323589.84499999997</v>
      </c>
      <c r="AS129" s="477">
        <f>AS126+AS128</f>
        <v>334521.891</v>
      </c>
      <c r="AT129" s="477">
        <f t="shared" ref="AT129" si="441">AT126+AT128</f>
        <v>337688.663</v>
      </c>
      <c r="AU129" s="477">
        <f>AU126+AU128</f>
        <v>336436.315</v>
      </c>
      <c r="AV129" s="477">
        <f t="shared" ref="AV129" si="442">AV126+AV128</f>
        <v>338247.85199999996</v>
      </c>
      <c r="AW129" s="477">
        <f>AW126+AW128</f>
        <v>339747.30599999998</v>
      </c>
      <c r="AX129" s="477">
        <f t="shared" ref="AX129" si="443">AX126+AX128</f>
        <v>342665.16700000002</v>
      </c>
      <c r="AY129" s="477">
        <f>AY126+AY128</f>
        <v>565703.82700000005</v>
      </c>
      <c r="AZ129" s="477">
        <f t="shared" ref="AZ129" si="444">AZ126+AZ128</f>
        <v>553386.38500000001</v>
      </c>
      <c r="BB129" s="477">
        <f t="shared" si="437"/>
        <v>273963.50599999999</v>
      </c>
    </row>
    <row r="130" spans="2:54" ht="12.75"/>
    <row r="131" spans="2:54" ht="12.75">
      <c r="B131" s="464" t="s">
        <v>562</v>
      </c>
      <c r="C131" s="460">
        <f t="shared" ref="C131:N131" si="445">+C108</f>
        <v>42735</v>
      </c>
      <c r="D131" s="461">
        <f t="shared" si="445"/>
        <v>43100</v>
      </c>
      <c r="E131" s="461">
        <f t="shared" si="445"/>
        <v>43465</v>
      </c>
      <c r="F131" s="461">
        <f t="shared" si="445"/>
        <v>43830</v>
      </c>
      <c r="G131" s="461">
        <f t="shared" si="445"/>
        <v>43830</v>
      </c>
      <c r="H131" s="461">
        <f t="shared" si="445"/>
        <v>44196</v>
      </c>
      <c r="I131" s="461">
        <f t="shared" si="445"/>
        <v>44561</v>
      </c>
      <c r="J131" s="461">
        <f t="shared" si="445"/>
        <v>44926</v>
      </c>
      <c r="K131" s="461">
        <f t="shared" si="445"/>
        <v>45291</v>
      </c>
      <c r="L131" s="461">
        <f t="shared" si="445"/>
        <v>45657</v>
      </c>
      <c r="M131" s="461">
        <f t="shared" si="445"/>
        <v>46022</v>
      </c>
      <c r="N131" s="708">
        <f t="shared" si="445"/>
        <v>46111</v>
      </c>
      <c r="O131" s="741"/>
      <c r="P131" s="460">
        <f>+P108</f>
        <v>42825</v>
      </c>
      <c r="Q131" s="460">
        <f>+Q108</f>
        <v>42916</v>
      </c>
      <c r="R131" s="460">
        <f>+R108</f>
        <v>43008</v>
      </c>
      <c r="S131" s="460">
        <f>+S108</f>
        <v>43099</v>
      </c>
      <c r="T131" s="460">
        <f>+T108</f>
        <v>43189</v>
      </c>
      <c r="U131" s="460">
        <f>U3</f>
        <v>43281</v>
      </c>
      <c r="V131" s="460">
        <f>V3</f>
        <v>43373</v>
      </c>
      <c r="W131" s="460">
        <f>W3</f>
        <v>43464</v>
      </c>
      <c r="X131" s="460">
        <f>+X108</f>
        <v>43554</v>
      </c>
      <c r="Y131" s="460">
        <f>+Y108</f>
        <v>43646</v>
      </c>
      <c r="Z131" s="460">
        <f>+Z108</f>
        <v>43738</v>
      </c>
      <c r="AA131" s="460">
        <f>AA3</f>
        <v>43829</v>
      </c>
      <c r="AB131" s="460">
        <f>+AB108</f>
        <v>43920</v>
      </c>
      <c r="AC131" s="460">
        <f>+AC108</f>
        <v>44012</v>
      </c>
      <c r="AD131" s="460">
        <f>+AD108</f>
        <v>44104</v>
      </c>
      <c r="AE131" s="564">
        <f>AE3</f>
        <v>44195</v>
      </c>
      <c r="AF131" s="564">
        <f>AF3</f>
        <v>44285</v>
      </c>
      <c r="AG131" s="460">
        <f>+AG108</f>
        <v>44377</v>
      </c>
      <c r="AH131" s="460">
        <f>+AH108</f>
        <v>44469</v>
      </c>
      <c r="AI131" s="564">
        <f>AI3</f>
        <v>44560</v>
      </c>
      <c r="AJ131" s="564">
        <f>AJ3</f>
        <v>44650</v>
      </c>
      <c r="AK131" s="564">
        <f>AK3</f>
        <v>44742</v>
      </c>
      <c r="AL131" s="564">
        <f>+AL108</f>
        <v>44834</v>
      </c>
      <c r="AM131" s="564">
        <f>AM3</f>
        <v>44925</v>
      </c>
      <c r="AN131" s="564">
        <f>AN3</f>
        <v>45015</v>
      </c>
      <c r="AO131" s="564">
        <f>AO3</f>
        <v>45107</v>
      </c>
      <c r="AP131" s="564">
        <f>+AP108</f>
        <v>45199</v>
      </c>
      <c r="AQ131" s="564">
        <f>AQ3</f>
        <v>45290</v>
      </c>
      <c r="AR131" s="564">
        <f>AR3</f>
        <v>45381</v>
      </c>
      <c r="AS131" s="564">
        <f>AS3</f>
        <v>45473</v>
      </c>
      <c r="AT131" s="564">
        <f>+AT108</f>
        <v>45565</v>
      </c>
      <c r="AU131" s="564">
        <f>AU3</f>
        <v>45656</v>
      </c>
      <c r="AV131" s="564">
        <f>AV3</f>
        <v>45746</v>
      </c>
      <c r="AW131" s="564">
        <f>AW3</f>
        <v>45838</v>
      </c>
      <c r="AX131" s="564">
        <f>+AX108</f>
        <v>45930</v>
      </c>
      <c r="AY131" s="564">
        <f>AY3</f>
        <v>46021</v>
      </c>
      <c r="AZ131" s="564">
        <f>AZ3</f>
        <v>46111</v>
      </c>
      <c r="BB131" s="460">
        <f>BB3</f>
        <v>43829</v>
      </c>
    </row>
    <row r="132" spans="2:54" ht="12.75">
      <c r="B132" s="424"/>
    </row>
    <row r="133" spans="2:54" s="424" customFormat="1" ht="12.75">
      <c r="B133" s="424" t="s">
        <v>563</v>
      </c>
      <c r="C133" s="728">
        <f t="shared" ref="C133:E134" si="446">+C125/C$102</f>
        <v>5.9321061536091095</v>
      </c>
      <c r="D133" s="728">
        <f t="shared" si="446"/>
        <v>5.9005047678689397</v>
      </c>
      <c r="E133" s="728">
        <f t="shared" si="446"/>
        <v>5.8670969990188881</v>
      </c>
      <c r="F133" s="728">
        <f t="shared" ref="F133:H134" si="447">+F125/F$102</f>
        <v>7.2661557235693213</v>
      </c>
      <c r="G133" s="728">
        <f t="shared" si="447"/>
        <v>7.2631114781221031</v>
      </c>
      <c r="H133" s="728">
        <f t="shared" si="447"/>
        <v>8.3741225740477532</v>
      </c>
      <c r="I133" s="728">
        <f t="shared" ref="I133:I134" si="448">+I125/I$102</f>
        <v>7.8168134903677036</v>
      </c>
      <c r="J133" s="728">
        <f t="shared" ref="J133:K133" si="449">+J125/J$102</f>
        <v>7.4053133784427922</v>
      </c>
      <c r="K133" s="728">
        <f t="shared" si="449"/>
        <v>6.5650458758135501</v>
      </c>
      <c r="L133" s="728">
        <f t="shared" ref="L133:M133" si="450">+L125/L$102</f>
        <v>7.0957131584547737</v>
      </c>
      <c r="M133" s="728">
        <f t="shared" si="450"/>
        <v>6.2812902826887491</v>
      </c>
      <c r="N133" s="728">
        <f t="shared" ref="N133" si="451">+N125/N$102</f>
        <v>6.1477445832434725</v>
      </c>
      <c r="O133" s="728"/>
      <c r="P133" s="728"/>
      <c r="Q133" s="728"/>
      <c r="R133" s="728"/>
      <c r="S133" s="728">
        <f t="shared" ref="S133:X134" si="452">+S125/S$102</f>
        <v>5.9005047678689388</v>
      </c>
      <c r="T133" s="728">
        <f t="shared" si="452"/>
        <v>5.4825020569644334</v>
      </c>
      <c r="U133" s="728">
        <f t="shared" si="452"/>
        <v>5.8308383828963724</v>
      </c>
      <c r="V133" s="728">
        <f t="shared" si="452"/>
        <v>5.5398943701972296</v>
      </c>
      <c r="W133" s="728">
        <f t="shared" si="452"/>
        <v>5.8670969990188873</v>
      </c>
      <c r="X133" s="728">
        <f t="shared" si="452"/>
        <v>5.9482088019438182</v>
      </c>
      <c r="Y133" s="728">
        <f t="shared" ref="Y133:AB134" si="453">+Y125/Y$102</f>
        <v>5.9791851584695115</v>
      </c>
      <c r="Z133" s="728">
        <f t="shared" si="453"/>
        <v>6.0939027552681235</v>
      </c>
      <c r="AA133" s="728">
        <f t="shared" si="453"/>
        <v>7.2661557235693222</v>
      </c>
      <c r="AB133" s="728">
        <f t="shared" si="453"/>
        <v>8.5903490705701966</v>
      </c>
      <c r="AC133" s="728">
        <f t="shared" ref="AC133:AF134" si="454">+AC125/AC$102</f>
        <v>8.6975989950092085</v>
      </c>
      <c r="AD133" s="728">
        <f t="shared" si="454"/>
        <v>9.00304209303658</v>
      </c>
      <c r="AE133" s="728">
        <f t="shared" si="454"/>
        <v>8.3741225740477496</v>
      </c>
      <c r="AF133" s="728">
        <f t="shared" si="454"/>
        <v>8.9821513120827206</v>
      </c>
      <c r="AG133" s="728">
        <f t="shared" ref="AG133:AJ134" si="455">+AG125/AG$102</f>
        <v>8.2494827601528424</v>
      </c>
      <c r="AH133" s="728">
        <f t="shared" si="455"/>
        <v>7.974781377168795</v>
      </c>
      <c r="AI133" s="728">
        <f t="shared" si="455"/>
        <v>7.8168134903677036</v>
      </c>
      <c r="AJ133" s="728">
        <f t="shared" si="455"/>
        <v>7.6751654985435476</v>
      </c>
      <c r="AK133" s="728">
        <f t="shared" ref="AK133:AN133" si="456">+AK125/AK$102</f>
        <v>7.7060595992532797</v>
      </c>
      <c r="AL133" s="728">
        <f t="shared" si="456"/>
        <v>7.7081029222660513</v>
      </c>
      <c r="AM133" s="728">
        <f t="shared" si="456"/>
        <v>7.4053133784427905</v>
      </c>
      <c r="AN133" s="728">
        <f t="shared" si="456"/>
        <v>7.1507746720132355</v>
      </c>
      <c r="AO133" s="728">
        <f t="shared" ref="AO133:AR133" si="457">+AO125/AO$102</f>
        <v>6.6047951533231437</v>
      </c>
      <c r="AP133" s="728">
        <f t="shared" si="457"/>
        <v>6.766412907096516</v>
      </c>
      <c r="AQ133" s="728">
        <f t="shared" si="457"/>
        <v>6.565045875813551</v>
      </c>
      <c r="AR133" s="728">
        <f t="shared" si="457"/>
        <v>6.5708810965907478</v>
      </c>
      <c r="AS133" s="728">
        <f t="shared" ref="AS133:AV133" si="458">+AS125/AS$102</f>
        <v>6.8489952449015439</v>
      </c>
      <c r="AT133" s="728">
        <f t="shared" si="458"/>
        <v>7.1782892746542331</v>
      </c>
      <c r="AU133" s="728">
        <f t="shared" si="458"/>
        <v>7.0957131584547755</v>
      </c>
      <c r="AV133" s="728">
        <f t="shared" si="458"/>
        <v>7.1701723964319797</v>
      </c>
      <c r="AW133" s="728">
        <f t="shared" ref="AW133:AZ133" si="459">+AW125/AW$102</f>
        <v>6.7762705071524367</v>
      </c>
      <c r="AX133" s="728">
        <f t="shared" si="459"/>
        <v>6.8283350438302772</v>
      </c>
      <c r="AY133" s="728">
        <f t="shared" si="459"/>
        <v>6.2812902826887482</v>
      </c>
      <c r="AZ133" s="728">
        <f t="shared" si="459"/>
        <v>6.1477445832434725</v>
      </c>
      <c r="BB133" s="476">
        <f>+BB125/BB$102</f>
        <v>7.263111478122104</v>
      </c>
    </row>
    <row r="134" spans="2:54" ht="12.75">
      <c r="B134" s="422" t="s">
        <v>564</v>
      </c>
      <c r="C134" s="475">
        <f t="shared" si="446"/>
        <v>6.4881614539861161</v>
      </c>
      <c r="D134" s="475">
        <f t="shared" si="446"/>
        <v>6.1943249358858443</v>
      </c>
      <c r="E134" s="475">
        <f t="shared" si="446"/>
        <v>6.2112769579632836</v>
      </c>
      <c r="F134" s="475">
        <f t="shared" si="447"/>
        <v>7.4787224983526146</v>
      </c>
      <c r="G134" s="475">
        <f t="shared" si="447"/>
        <v>7.475589195436636</v>
      </c>
      <c r="H134" s="475">
        <f t="shared" si="447"/>
        <v>8.9248877384644487</v>
      </c>
      <c r="I134" s="475">
        <f t="shared" si="448"/>
        <v>8.2242916439635305</v>
      </c>
      <c r="J134" s="475">
        <f t="shared" ref="J134:K134" si="460">+J126/J$102</f>
        <v>7.7900773828558583</v>
      </c>
      <c r="K134" s="475">
        <f t="shared" si="460"/>
        <v>6.712641429277685</v>
      </c>
      <c r="L134" s="475">
        <f t="shared" ref="L134:M134" si="461">+L126/L$102</f>
        <v>7.3181565528360535</v>
      </c>
      <c r="M134" s="475">
        <f t="shared" si="461"/>
        <v>6.9097745635087851</v>
      </c>
      <c r="N134" s="475">
        <f t="shared" ref="N134" si="462">+N126/N$102</f>
        <v>6.733767154298107</v>
      </c>
      <c r="O134" s="475"/>
      <c r="P134" s="475"/>
      <c r="Q134" s="475"/>
      <c r="R134" s="475"/>
      <c r="S134" s="475">
        <f t="shared" si="452"/>
        <v>6.1943249358858434</v>
      </c>
      <c r="T134" s="475">
        <f t="shared" si="452"/>
        <v>5.8123780127502327</v>
      </c>
      <c r="U134" s="475">
        <f t="shared" si="452"/>
        <v>6.1273669588730506</v>
      </c>
      <c r="V134" s="475">
        <f t="shared" si="452"/>
        <v>6.0265482386456144</v>
      </c>
      <c r="W134" s="475">
        <f t="shared" si="452"/>
        <v>6.2112769579632827</v>
      </c>
      <c r="X134" s="475">
        <f t="shared" si="452"/>
        <v>6.2017971480230329</v>
      </c>
      <c r="Y134" s="475">
        <f t="shared" si="453"/>
        <v>7.3177354876478748</v>
      </c>
      <c r="Z134" s="475">
        <f t="shared" si="453"/>
        <v>7.0826955834851795</v>
      </c>
      <c r="AA134" s="475">
        <f t="shared" si="453"/>
        <v>7.4787224983526155</v>
      </c>
      <c r="AB134" s="475">
        <f t="shared" si="453"/>
        <v>8.864984127142689</v>
      </c>
      <c r="AC134" s="475">
        <f t="shared" si="454"/>
        <v>9.7333552931072127</v>
      </c>
      <c r="AD134" s="475">
        <f t="shared" si="454"/>
        <v>10.315413785650545</v>
      </c>
      <c r="AE134" s="475">
        <f t="shared" si="454"/>
        <v>8.9248877384644452</v>
      </c>
      <c r="AF134" s="475">
        <f t="shared" si="454"/>
        <v>9.3235545240037077</v>
      </c>
      <c r="AG134" s="475">
        <f t="shared" si="455"/>
        <v>8.4957720889831592</v>
      </c>
      <c r="AH134" s="475">
        <f t="shared" si="455"/>
        <v>8.1935159999692733</v>
      </c>
      <c r="AI134" s="475">
        <f t="shared" si="455"/>
        <v>8.2242916439635305</v>
      </c>
      <c r="AJ134" s="475">
        <f t="shared" si="455"/>
        <v>7.9312568677230493</v>
      </c>
      <c r="AK134" s="475">
        <f t="shared" ref="AK134:AN134" si="463">+AK126/AK$102</f>
        <v>8.0110487594818984</v>
      </c>
      <c r="AL134" s="475">
        <f t="shared" si="463"/>
        <v>7.9841881280462399</v>
      </c>
      <c r="AM134" s="475">
        <f t="shared" si="463"/>
        <v>7.7900773828558574</v>
      </c>
      <c r="AN134" s="475">
        <f t="shared" si="463"/>
        <v>7.3189705190938437</v>
      </c>
      <c r="AO134" s="475">
        <f t="shared" ref="AO134:AR134" si="464">+AO126/AO$102</f>
        <v>6.8387132719720629</v>
      </c>
      <c r="AP134" s="475">
        <f t="shared" si="464"/>
        <v>6.9072851149602661</v>
      </c>
      <c r="AQ134" s="475">
        <f t="shared" si="464"/>
        <v>6.7126414292776868</v>
      </c>
      <c r="AR134" s="475">
        <f t="shared" si="464"/>
        <v>6.6636947843117982</v>
      </c>
      <c r="AS134" s="475">
        <f t="shared" ref="AS134:AV134" si="465">+AS126/AS$102</f>
        <v>7.0899703290791241</v>
      </c>
      <c r="AT134" s="475">
        <f t="shared" si="465"/>
        <v>7.3128566204813001</v>
      </c>
      <c r="AU134" s="475">
        <f t="shared" si="465"/>
        <v>7.3181565528360544</v>
      </c>
      <c r="AV134" s="475">
        <f t="shared" si="465"/>
        <v>7.2668051244419294</v>
      </c>
      <c r="AW134" s="475">
        <f t="shared" ref="AW134:AZ134" si="466">+AW126/AW$102</f>
        <v>6.9737953090660909</v>
      </c>
      <c r="AX134" s="475">
        <f t="shared" si="466"/>
        <v>6.9624831574770525</v>
      </c>
      <c r="AY134" s="475">
        <f t="shared" si="466"/>
        <v>6.9097745635087842</v>
      </c>
      <c r="AZ134" s="475">
        <f t="shared" si="466"/>
        <v>6.733767154298107</v>
      </c>
      <c r="BB134" s="475">
        <f>+BB126/BB$102</f>
        <v>7.4755891954366369</v>
      </c>
    </row>
    <row r="135" spans="2:54" ht="12.75">
      <c r="C135" s="475"/>
      <c r="D135" s="475"/>
      <c r="E135" s="475"/>
      <c r="F135" s="475"/>
      <c r="G135" s="475"/>
      <c r="H135" s="475"/>
      <c r="I135" s="475"/>
      <c r="J135" s="475"/>
      <c r="K135" s="475"/>
      <c r="L135" s="475"/>
      <c r="M135" s="475"/>
      <c r="N135" s="475"/>
      <c r="O135" s="475"/>
      <c r="P135" s="475"/>
      <c r="Q135" s="475"/>
      <c r="R135" s="475"/>
      <c r="S135" s="475"/>
      <c r="T135" s="475"/>
      <c r="U135" s="475"/>
      <c r="V135" s="475"/>
      <c r="W135" s="475"/>
      <c r="X135" s="475"/>
      <c r="Y135" s="475"/>
      <c r="Z135" s="475"/>
      <c r="AA135" s="475"/>
      <c r="AB135" s="475"/>
      <c r="AC135" s="475"/>
      <c r="AD135" s="475"/>
      <c r="AE135" s="475"/>
      <c r="AF135" s="475"/>
      <c r="AG135" s="475"/>
      <c r="AH135" s="475"/>
      <c r="AI135" s="475"/>
      <c r="AJ135" s="475"/>
      <c r="AK135" s="475"/>
      <c r="AL135" s="475"/>
      <c r="AM135" s="475"/>
      <c r="AN135" s="475"/>
      <c r="AO135" s="475"/>
      <c r="AP135" s="475"/>
      <c r="AQ135" s="475"/>
      <c r="AR135" s="475"/>
      <c r="AS135" s="475"/>
      <c r="AT135" s="475"/>
      <c r="AU135" s="475"/>
      <c r="AV135" s="475"/>
      <c r="AW135" s="475"/>
      <c r="AX135" s="475"/>
      <c r="AY135" s="475"/>
      <c r="AZ135" s="475"/>
      <c r="BB135" s="475"/>
    </row>
    <row r="136" spans="2:54" s="424" customFormat="1" ht="12.75">
      <c r="B136" s="424" t="s">
        <v>565</v>
      </c>
      <c r="C136" s="728">
        <f t="shared" ref="C136:N136" si="467">+(C102-C105)/C103</f>
        <v>1.1103708052499066</v>
      </c>
      <c r="D136" s="728">
        <f t="shared" si="467"/>
        <v>1.01741762680606</v>
      </c>
      <c r="E136" s="728">
        <f t="shared" si="467"/>
        <v>0.78345072350337119</v>
      </c>
      <c r="F136" s="728">
        <f t="shared" si="467"/>
        <v>0.7115654154740102</v>
      </c>
      <c r="G136" s="728">
        <f t="shared" si="467"/>
        <v>1.4494395741054285</v>
      </c>
      <c r="H136" s="728">
        <f t="shared" si="467"/>
        <v>1.4485574741534017</v>
      </c>
      <c r="I136" s="728">
        <f t="shared" si="467"/>
        <v>1.9558611327486131</v>
      </c>
      <c r="J136" s="728">
        <f t="shared" si="467"/>
        <v>1.4756334889927623</v>
      </c>
      <c r="K136" s="728">
        <f t="shared" si="467"/>
        <v>2.0322799994681966</v>
      </c>
      <c r="L136" s="728">
        <f t="shared" si="467"/>
        <v>2.0782345755057885</v>
      </c>
      <c r="M136" s="728">
        <f t="shared" si="467"/>
        <v>1.5206952161720395</v>
      </c>
      <c r="N136" s="728">
        <f t="shared" si="467"/>
        <v>1.7192800712430261</v>
      </c>
      <c r="O136" s="728"/>
      <c r="P136" s="728"/>
      <c r="Q136" s="728"/>
      <c r="R136" s="728"/>
      <c r="S136" s="728">
        <f t="shared" ref="S136:AY136" si="468">+(S102-S105)/S103</f>
        <v>1.0174176268060604</v>
      </c>
      <c r="T136" s="728">
        <f t="shared" si="468"/>
        <v>1.5841257952800909</v>
      </c>
      <c r="U136" s="728">
        <f t="shared" si="468"/>
        <v>0.93976547397091781</v>
      </c>
      <c r="V136" s="728">
        <f t="shared" si="468"/>
        <v>1.0214279625562541</v>
      </c>
      <c r="W136" s="728">
        <f t="shared" si="468"/>
        <v>0.78345072350337142</v>
      </c>
      <c r="X136" s="728">
        <f t="shared" si="468"/>
        <v>0.50731538741360505</v>
      </c>
      <c r="Y136" s="728">
        <f t="shared" si="468"/>
        <v>0.71328799104906215</v>
      </c>
      <c r="Z136" s="728">
        <f t="shared" si="468"/>
        <v>0.76110270891263065</v>
      </c>
      <c r="AA136" s="728">
        <f t="shared" si="468"/>
        <v>0.71156541547400998</v>
      </c>
      <c r="AB136" s="728">
        <f t="shared" si="468"/>
        <v>0.91598141556292478</v>
      </c>
      <c r="AC136" s="728">
        <f t="shared" si="468"/>
        <v>1.0669916813888134</v>
      </c>
      <c r="AD136" s="728">
        <f t="shared" si="468"/>
        <v>1.1375843415787181</v>
      </c>
      <c r="AE136" s="728">
        <f t="shared" si="468"/>
        <v>1.4485574741534022</v>
      </c>
      <c r="AF136" s="728">
        <f t="shared" si="468"/>
        <v>1.3832062476006399</v>
      </c>
      <c r="AG136" s="728">
        <f t="shared" si="468"/>
        <v>1.5954487302409577</v>
      </c>
      <c r="AH136" s="728">
        <f t="shared" si="468"/>
        <v>1.7504864722764064</v>
      </c>
      <c r="AI136" s="728">
        <f t="shared" si="468"/>
        <v>1.9558611327486131</v>
      </c>
      <c r="AJ136" s="728">
        <f t="shared" si="468"/>
        <v>1.889820942995172</v>
      </c>
      <c r="AK136" s="728">
        <f t="shared" si="468"/>
        <v>1.650225580998586</v>
      </c>
      <c r="AL136" s="728">
        <f t="shared" si="468"/>
        <v>1.3380186740795972</v>
      </c>
      <c r="AM136" s="728">
        <f t="shared" si="468"/>
        <v>1.4756334889927625</v>
      </c>
      <c r="AN136" s="728">
        <f t="shared" si="468"/>
        <v>1.4653356409969149</v>
      </c>
      <c r="AO136" s="728">
        <f t="shared" si="468"/>
        <v>2.0116182909303637</v>
      </c>
      <c r="AP136" s="728">
        <f t="shared" si="468"/>
        <v>2.2069765019598226</v>
      </c>
      <c r="AQ136" s="728">
        <f t="shared" si="468"/>
        <v>2.0322799994681962</v>
      </c>
      <c r="AR136" s="728">
        <f t="shared" si="468"/>
        <v>2.1397199246701124</v>
      </c>
      <c r="AS136" s="728">
        <f t="shared" si="468"/>
        <v>1.8785841046487137</v>
      </c>
      <c r="AT136" s="728">
        <f t="shared" si="468"/>
        <v>1.8863891120054428</v>
      </c>
      <c r="AU136" s="728">
        <f t="shared" si="468"/>
        <v>2.0782345755057881</v>
      </c>
      <c r="AV136" s="728">
        <f t="shared" si="468"/>
        <v>1.8838747357069565</v>
      </c>
      <c r="AW136" s="728">
        <f t="shared" si="468"/>
        <v>1.8679121357364685</v>
      </c>
      <c r="AX136" s="728">
        <f t="shared" si="468"/>
        <v>1.8808848803146412</v>
      </c>
      <c r="AY136" s="728">
        <f t="shared" si="468"/>
        <v>1.5206952161720397</v>
      </c>
      <c r="AZ136" s="728">
        <f t="shared" ref="AZ136" si="469">+(AZ102-AZ105)/AZ103</f>
        <v>1.7192800712430256</v>
      </c>
      <c r="BB136" s="476">
        <f>+(BB102-BB105)/BB103</f>
        <v>1.4494395741054282</v>
      </c>
    </row>
    <row r="137" spans="2:54" ht="12.75">
      <c r="B137" s="422" t="s">
        <v>566</v>
      </c>
      <c r="C137" s="475">
        <f t="shared" ref="C137:N137" si="470">+C102/C103</f>
        <v>2.6986110101712284</v>
      </c>
      <c r="D137" s="475">
        <f t="shared" si="470"/>
        <v>2.2258615324902418</v>
      </c>
      <c r="E137" s="475">
        <f t="shared" si="470"/>
        <v>2.0935492089993915</v>
      </c>
      <c r="F137" s="475">
        <f t="shared" si="470"/>
        <v>2.070812932142748</v>
      </c>
      <c r="G137" s="475">
        <f t="shared" si="470"/>
        <v>2.8949334863164222</v>
      </c>
      <c r="H137" s="475">
        <f t="shared" si="470"/>
        <v>1.9011659506561687</v>
      </c>
      <c r="I137" s="475">
        <f t="shared" si="470"/>
        <v>2.7077542368302918</v>
      </c>
      <c r="J137" s="475">
        <f t="shared" si="470"/>
        <v>2.239860509664291</v>
      </c>
      <c r="K137" s="475">
        <f t="shared" si="470"/>
        <v>2.3147078766167133</v>
      </c>
      <c r="L137" s="475">
        <f t="shared" si="470"/>
        <v>2.2492315337513391</v>
      </c>
      <c r="M137" s="475">
        <f t="shared" si="470"/>
        <v>1.7662493573711899</v>
      </c>
      <c r="N137" s="475">
        <f t="shared" si="470"/>
        <v>2.0264071113940982</v>
      </c>
      <c r="O137" s="475"/>
      <c r="P137" s="475"/>
      <c r="Q137" s="475"/>
      <c r="R137" s="475"/>
      <c r="S137" s="475">
        <f t="shared" ref="S137:AY137" si="471">+S102/S103</f>
        <v>2.2258615324902422</v>
      </c>
      <c r="T137" s="475">
        <f t="shared" si="471"/>
        <v>2.6976999440168385</v>
      </c>
      <c r="U137" s="475">
        <f t="shared" si="471"/>
        <v>2.195424856637767</v>
      </c>
      <c r="V137" s="475">
        <f t="shared" si="471"/>
        <v>2.4557306253493385</v>
      </c>
      <c r="W137" s="475">
        <f t="shared" si="471"/>
        <v>2.0935492089993919</v>
      </c>
      <c r="X137" s="475">
        <f t="shared" si="471"/>
        <v>1.8435436662282787</v>
      </c>
      <c r="Y137" s="475">
        <f t="shared" si="471"/>
        <v>1.985497330794384</v>
      </c>
      <c r="Z137" s="475">
        <f t="shared" si="471"/>
        <v>1.7779057251979784</v>
      </c>
      <c r="AA137" s="475">
        <f t="shared" si="471"/>
        <v>2.070812932142748</v>
      </c>
      <c r="AB137" s="475">
        <f t="shared" si="471"/>
        <v>2.0026793662843207</v>
      </c>
      <c r="AC137" s="475">
        <f t="shared" si="471"/>
        <v>1.9603668448904064</v>
      </c>
      <c r="AD137" s="475">
        <f t="shared" si="471"/>
        <v>2.0697691368031821</v>
      </c>
      <c r="AE137" s="475">
        <f t="shared" si="471"/>
        <v>1.9011659506561693</v>
      </c>
      <c r="AF137" s="475">
        <f t="shared" si="471"/>
        <v>1.897177660734775</v>
      </c>
      <c r="AG137" s="475">
        <f t="shared" si="471"/>
        <v>2.2714438996629229</v>
      </c>
      <c r="AH137" s="475">
        <f t="shared" si="471"/>
        <v>2.2295136864580183</v>
      </c>
      <c r="AI137" s="475">
        <f t="shared" si="471"/>
        <v>2.7077542368302918</v>
      </c>
      <c r="AJ137" s="475">
        <f t="shared" si="471"/>
        <v>2.7466849840763423</v>
      </c>
      <c r="AK137" s="475">
        <f t="shared" si="471"/>
        <v>2.5378088297270844</v>
      </c>
      <c r="AL137" s="475">
        <f t="shared" si="471"/>
        <v>2.1643497583187252</v>
      </c>
      <c r="AM137" s="475">
        <f t="shared" si="471"/>
        <v>2.239860509664291</v>
      </c>
      <c r="AN137" s="475">
        <f t="shared" si="471"/>
        <v>2.1954606519959015</v>
      </c>
      <c r="AO137" s="475">
        <f t="shared" si="471"/>
        <v>2.2382475492190732</v>
      </c>
      <c r="AP137" s="475">
        <f t="shared" si="471"/>
        <v>2.4992358715545162</v>
      </c>
      <c r="AQ137" s="475">
        <f t="shared" si="471"/>
        <v>2.3147078766167128</v>
      </c>
      <c r="AR137" s="475">
        <f t="shared" si="471"/>
        <v>2.2869430166841456</v>
      </c>
      <c r="AS137" s="475">
        <f t="shared" si="471"/>
        <v>2.3520128849818058</v>
      </c>
      <c r="AT137" s="475">
        <f t="shared" si="471"/>
        <v>2.1905689580758252</v>
      </c>
      <c r="AU137" s="475">
        <f t="shared" si="471"/>
        <v>2.2492315337513387</v>
      </c>
      <c r="AV137" s="475">
        <f t="shared" si="471"/>
        <v>2.0371760208084493</v>
      </c>
      <c r="AW137" s="475">
        <f t="shared" si="471"/>
        <v>2.0252767835246259</v>
      </c>
      <c r="AX137" s="475">
        <f t="shared" si="471"/>
        <v>2.0118357056949274</v>
      </c>
      <c r="AY137" s="475">
        <f t="shared" si="471"/>
        <v>1.7662493573711904</v>
      </c>
      <c r="AZ137" s="475">
        <f t="shared" ref="AZ137" si="472">+AZ102/AZ103</f>
        <v>2.0264071113940978</v>
      </c>
      <c r="BB137" s="475">
        <f>+BB102/BB103</f>
        <v>2.8949334863164218</v>
      </c>
    </row>
    <row r="138" spans="2:54" ht="12.75">
      <c r="C138" s="474"/>
      <c r="D138" s="474"/>
      <c r="E138" s="474"/>
      <c r="F138" s="474"/>
      <c r="G138" s="474"/>
      <c r="H138" s="474"/>
      <c r="I138" s="474"/>
      <c r="J138" s="474"/>
      <c r="K138" s="474"/>
      <c r="L138" s="474"/>
      <c r="M138" s="474"/>
      <c r="N138" s="474"/>
      <c r="O138" s="474"/>
      <c r="P138" s="474"/>
      <c r="Q138" s="474"/>
      <c r="R138" s="474"/>
      <c r="S138" s="474"/>
      <c r="T138" s="474"/>
      <c r="U138" s="474"/>
      <c r="V138" s="474"/>
      <c r="W138" s="474"/>
      <c r="X138" s="474"/>
      <c r="Y138" s="474"/>
      <c r="Z138" s="474"/>
      <c r="AA138" s="474"/>
      <c r="AB138" s="474"/>
      <c r="AC138" s="474"/>
      <c r="AD138" s="474"/>
      <c r="AE138" s="474"/>
      <c r="AF138" s="474"/>
      <c r="AG138" s="474"/>
      <c r="AH138" s="474"/>
      <c r="AI138" s="474"/>
      <c r="AJ138" s="474"/>
      <c r="AK138" s="474"/>
      <c r="AL138" s="474"/>
      <c r="AM138" s="474"/>
      <c r="AN138" s="474"/>
      <c r="AO138" s="474"/>
      <c r="AP138" s="474"/>
      <c r="AQ138" s="474"/>
      <c r="AR138" s="474"/>
      <c r="AS138" s="474"/>
      <c r="AT138" s="474"/>
      <c r="AU138" s="474"/>
      <c r="AV138" s="474"/>
      <c r="AW138" s="474"/>
      <c r="AX138" s="474"/>
      <c r="AY138" s="474"/>
      <c r="AZ138" s="474"/>
      <c r="BB138" s="474"/>
    </row>
    <row r="139" spans="2:54" s="424" customFormat="1" ht="12.75">
      <c r="B139" s="424" t="s">
        <v>567</v>
      </c>
      <c r="C139" s="473">
        <f t="shared" ref="C139:X139" si="473">C125/C128</f>
        <v>0.48312803137651134</v>
      </c>
      <c r="D139" s="473">
        <f t="shared" si="473"/>
        <v>0.43258074009104042</v>
      </c>
      <c r="E139" s="473">
        <f t="shared" si="473"/>
        <v>0.47536152722000519</v>
      </c>
      <c r="F139" s="473">
        <f t="shared" ref="F139:I139" si="474">F125/F128</f>
        <v>0.62115102607445638</v>
      </c>
      <c r="G139" s="473">
        <f t="shared" si="474"/>
        <v>0.62320365634871722</v>
      </c>
      <c r="H139" s="473">
        <f t="shared" si="474"/>
        <v>0.67927492981193316</v>
      </c>
      <c r="I139" s="473">
        <f t="shared" si="474"/>
        <v>0.756328888494884</v>
      </c>
      <c r="J139" s="473">
        <f t="shared" ref="J139:K139" si="475">J125/J128</f>
        <v>0.71206673240254492</v>
      </c>
      <c r="K139" s="473">
        <f t="shared" si="475"/>
        <v>0.64554971403419059</v>
      </c>
      <c r="L139" s="473">
        <f t="shared" ref="L139:M139" si="476">L125/L128</f>
        <v>0.76759727444975656</v>
      </c>
      <c r="M139" s="473">
        <f t="shared" si="476"/>
        <v>0.33058582828740612</v>
      </c>
      <c r="N139" s="473">
        <f t="shared" ref="N139" si="477">N125/N128</f>
        <v>0.34113588022852015</v>
      </c>
      <c r="O139" s="724"/>
      <c r="P139" s="473">
        <f t="shared" si="473"/>
        <v>1.0131234469836839E-2</v>
      </c>
      <c r="Q139" s="473">
        <f t="shared" si="473"/>
        <v>0.46295262835755457</v>
      </c>
      <c r="R139" s="473">
        <f t="shared" si="473"/>
        <v>0.46408336482908974</v>
      </c>
      <c r="S139" s="473">
        <f t="shared" si="473"/>
        <v>0.43258074009104042</v>
      </c>
      <c r="T139" s="473">
        <f t="shared" si="473"/>
        <v>0.40713398817502255</v>
      </c>
      <c r="U139" s="473">
        <f t="shared" si="473"/>
        <v>0.45693525652853684</v>
      </c>
      <c r="V139" s="473">
        <f t="shared" si="473"/>
        <v>0.44537500431030919</v>
      </c>
      <c r="W139" s="473">
        <f t="shared" si="473"/>
        <v>0.47536152722000519</v>
      </c>
      <c r="X139" s="473">
        <f t="shared" si="473"/>
        <v>0.48930976680382754</v>
      </c>
      <c r="Y139" s="473">
        <f t="shared" ref="Y139:AD139" si="478">Y125/Y128</f>
        <v>0.49619157848870893</v>
      </c>
      <c r="Z139" s="473">
        <f t="shared" si="478"/>
        <v>0.5202302341029712</v>
      </c>
      <c r="AA139" s="473">
        <f t="shared" si="478"/>
        <v>0.62115102607445638</v>
      </c>
      <c r="AB139" s="473">
        <f t="shared" si="478"/>
        <v>0.85204099585038229</v>
      </c>
      <c r="AC139" s="473">
        <f t="shared" si="478"/>
        <v>0.77512286899485072</v>
      </c>
      <c r="AD139" s="473">
        <f t="shared" si="478"/>
        <v>0.76961759270329355</v>
      </c>
      <c r="AE139" s="473">
        <f t="shared" ref="AE139:AJ139" si="479">AE125/AE128</f>
        <v>0.67927492981193316</v>
      </c>
      <c r="AF139" s="473">
        <f t="shared" si="479"/>
        <v>0.74131495220991106</v>
      </c>
      <c r="AG139" s="473">
        <f t="shared" si="479"/>
        <v>0.72644928638614703</v>
      </c>
      <c r="AH139" s="473">
        <f t="shared" si="479"/>
        <v>0.7566102408480766</v>
      </c>
      <c r="AI139" s="473">
        <f t="shared" si="479"/>
        <v>0.756328888494884</v>
      </c>
      <c r="AJ139" s="473">
        <f t="shared" si="479"/>
        <v>0.75405270338125352</v>
      </c>
      <c r="AK139" s="473">
        <f t="shared" ref="AK139:AN139" si="480">AK125/AK128</f>
        <v>0.77076516296230324</v>
      </c>
      <c r="AL139" s="473">
        <f t="shared" si="480"/>
        <v>0.77771550969391601</v>
      </c>
      <c r="AM139" s="473">
        <f t="shared" si="480"/>
        <v>0.71206673240254492</v>
      </c>
      <c r="AN139" s="473">
        <f t="shared" si="480"/>
        <v>0.69090335154882077</v>
      </c>
      <c r="AO139" s="473">
        <f t="shared" ref="AO139:AR139" si="481">AO125/AO128</f>
        <v>0.63839039645336981</v>
      </c>
      <c r="AP139" s="473">
        <f t="shared" si="481"/>
        <v>0.67189907774883495</v>
      </c>
      <c r="AQ139" s="473">
        <f t="shared" si="481"/>
        <v>0.64554971403419059</v>
      </c>
      <c r="AR139" s="473">
        <f t="shared" si="481"/>
        <v>0.65183269286757239</v>
      </c>
      <c r="AS139" s="473">
        <f t="shared" ref="AS139:AV139" si="482">AS125/AS128</f>
        <v>0.67629169354715213</v>
      </c>
      <c r="AT139" s="473">
        <f t="shared" si="482"/>
        <v>0.73876878977861649</v>
      </c>
      <c r="AU139" s="473">
        <f t="shared" si="482"/>
        <v>0.76759727444975656</v>
      </c>
      <c r="AV139" s="473">
        <f t="shared" si="482"/>
        <v>0.79612443442578362</v>
      </c>
      <c r="AW139" s="473">
        <f t="shared" ref="AW139:AZ139" si="483">AW125/AW128</f>
        <v>0.75163321761650381</v>
      </c>
      <c r="AX139" s="473">
        <f t="shared" si="483"/>
        <v>0.75459395910836524</v>
      </c>
      <c r="AY139" s="473">
        <f t="shared" si="483"/>
        <v>0.33058582828740612</v>
      </c>
      <c r="AZ139" s="473">
        <f t="shared" si="483"/>
        <v>0.34113588022852015</v>
      </c>
      <c r="BB139" s="473">
        <f>BB125/BB128</f>
        <v>0.62320365634871722</v>
      </c>
    </row>
    <row r="140" spans="2:54" s="424" customFormat="1" ht="12.75">
      <c r="C140" s="473"/>
      <c r="D140" s="473"/>
      <c r="E140" s="473"/>
      <c r="F140" s="473"/>
      <c r="G140" s="473"/>
      <c r="H140" s="473"/>
      <c r="I140" s="473"/>
      <c r="J140" s="473"/>
      <c r="K140" s="473"/>
      <c r="L140" s="473"/>
      <c r="M140" s="473"/>
      <c r="N140" s="473"/>
      <c r="O140" s="724"/>
      <c r="P140" s="473"/>
      <c r="Q140" s="473"/>
      <c r="R140" s="473"/>
      <c r="S140" s="473"/>
      <c r="T140" s="473"/>
      <c r="U140" s="473"/>
      <c r="V140" s="473"/>
      <c r="W140" s="473"/>
      <c r="X140" s="473"/>
      <c r="Y140" s="473"/>
      <c r="Z140" s="473"/>
      <c r="AA140" s="473"/>
      <c r="AB140" s="473"/>
      <c r="AC140" s="473"/>
      <c r="AD140" s="473"/>
      <c r="AE140" s="473"/>
      <c r="AF140" s="473"/>
      <c r="AG140" s="473"/>
      <c r="AH140" s="473"/>
      <c r="AI140" s="473"/>
      <c r="AJ140" s="473"/>
      <c r="AK140" s="473"/>
      <c r="AL140" s="473"/>
      <c r="AM140" s="473"/>
      <c r="AN140" s="473"/>
      <c r="AO140" s="473"/>
      <c r="AP140" s="473"/>
      <c r="AQ140" s="473"/>
      <c r="AR140" s="473"/>
      <c r="AS140" s="473"/>
      <c r="AT140" s="473"/>
      <c r="AU140" s="473"/>
      <c r="AV140" s="473"/>
      <c r="AW140" s="473"/>
      <c r="AX140" s="473"/>
      <c r="AY140" s="473"/>
      <c r="AZ140" s="473"/>
      <c r="BB140" s="473"/>
    </row>
    <row r="141" spans="2:54" ht="12.75">
      <c r="B141" s="472" t="s">
        <v>568</v>
      </c>
      <c r="C141" s="461">
        <f t="shared" ref="C141:U141" si="484">+C220</f>
        <v>42735</v>
      </c>
      <c r="D141" s="461">
        <f t="shared" si="484"/>
        <v>43100</v>
      </c>
      <c r="E141" s="461">
        <f t="shared" si="484"/>
        <v>43465</v>
      </c>
      <c r="F141" s="461">
        <f t="shared" ref="F141:I141" si="485">+F220</f>
        <v>43830</v>
      </c>
      <c r="G141" s="461">
        <f t="shared" si="485"/>
        <v>43830</v>
      </c>
      <c r="H141" s="461">
        <f t="shared" si="485"/>
        <v>44196</v>
      </c>
      <c r="I141" s="461">
        <f t="shared" si="485"/>
        <v>44561</v>
      </c>
      <c r="J141" s="461">
        <f t="shared" ref="J141:K141" si="486">+J220</f>
        <v>44926</v>
      </c>
      <c r="K141" s="461">
        <f t="shared" si="486"/>
        <v>45291</v>
      </c>
      <c r="L141" s="461">
        <f t="shared" ref="L141:M141" si="487">+L220</f>
        <v>45657</v>
      </c>
      <c r="M141" s="461">
        <f t="shared" si="487"/>
        <v>46022</v>
      </c>
      <c r="N141" s="697">
        <f t="shared" ref="N141" si="488">+N220</f>
        <v>46111</v>
      </c>
      <c r="O141" s="743"/>
      <c r="P141" s="460">
        <f t="shared" si="484"/>
        <v>42825</v>
      </c>
      <c r="Q141" s="460">
        <f t="shared" si="484"/>
        <v>42916</v>
      </c>
      <c r="R141" s="460">
        <f t="shared" si="484"/>
        <v>43008</v>
      </c>
      <c r="S141" s="460">
        <f t="shared" si="484"/>
        <v>43099</v>
      </c>
      <c r="T141" s="460">
        <f t="shared" si="484"/>
        <v>43189</v>
      </c>
      <c r="U141" s="460">
        <f t="shared" si="484"/>
        <v>43281</v>
      </c>
      <c r="V141" s="460">
        <f>V3</f>
        <v>43373</v>
      </c>
      <c r="W141" s="460">
        <f>W3</f>
        <v>43464</v>
      </c>
      <c r="X141" s="460">
        <f>+X220</f>
        <v>43554</v>
      </c>
      <c r="Y141" s="460">
        <f>+Y220</f>
        <v>43646</v>
      </c>
      <c r="Z141" s="460">
        <f>+Z220</f>
        <v>43738</v>
      </c>
      <c r="AA141" s="460">
        <f>AA3</f>
        <v>43829</v>
      </c>
      <c r="AB141" s="460">
        <f>+AB220</f>
        <v>43920</v>
      </c>
      <c r="AC141" s="460">
        <f>+AC220</f>
        <v>44012</v>
      </c>
      <c r="AD141" s="460">
        <f>+AD220</f>
        <v>44104</v>
      </c>
      <c r="AE141" s="564">
        <f>AE3</f>
        <v>44195</v>
      </c>
      <c r="AF141" s="564">
        <f>AF3</f>
        <v>44285</v>
      </c>
      <c r="AG141" s="460">
        <f>+AG220</f>
        <v>44377</v>
      </c>
      <c r="AH141" s="460">
        <f>+AH220</f>
        <v>44469</v>
      </c>
      <c r="AI141" s="564">
        <f>AI3</f>
        <v>44560</v>
      </c>
      <c r="AJ141" s="564">
        <f>AJ3</f>
        <v>44650</v>
      </c>
      <c r="AK141" s="564">
        <f>AK3</f>
        <v>44742</v>
      </c>
      <c r="AL141" s="564">
        <f>+AL220</f>
        <v>44834</v>
      </c>
      <c r="AM141" s="564">
        <f>AM3</f>
        <v>44925</v>
      </c>
      <c r="AN141" s="564">
        <f>AN3</f>
        <v>45015</v>
      </c>
      <c r="AO141" s="564">
        <f>AO3</f>
        <v>45107</v>
      </c>
      <c r="AP141" s="564">
        <f>+AP220</f>
        <v>45199</v>
      </c>
      <c r="AQ141" s="564">
        <f>AQ3</f>
        <v>45290</v>
      </c>
      <c r="AR141" s="564">
        <f>AR3</f>
        <v>45381</v>
      </c>
      <c r="AS141" s="564">
        <f>AS3</f>
        <v>45473</v>
      </c>
      <c r="AT141" s="564">
        <f>+AT220</f>
        <v>45565</v>
      </c>
      <c r="AU141" s="564">
        <f>AU3</f>
        <v>45656</v>
      </c>
      <c r="AV141" s="564">
        <f>AV3</f>
        <v>45746</v>
      </c>
      <c r="AW141" s="564">
        <f>AW3</f>
        <v>45838</v>
      </c>
      <c r="AX141" s="564">
        <f>+AX220</f>
        <v>45930</v>
      </c>
      <c r="AY141" s="564">
        <f>AY3</f>
        <v>46021</v>
      </c>
      <c r="AZ141" s="564">
        <f>AZ3</f>
        <v>46111</v>
      </c>
      <c r="BB141" s="460">
        <f>BB3</f>
        <v>43829</v>
      </c>
    </row>
    <row r="142" spans="2:54" ht="12.75">
      <c r="B142" s="422" t="str">
        <f t="shared" ref="B142:N142" si="489">B99</f>
        <v>Total revenues</v>
      </c>
      <c r="C142" s="465">
        <f t="shared" si="489"/>
        <v>13252.848</v>
      </c>
      <c r="D142" s="465">
        <f t="shared" si="489"/>
        <v>14621.119999999999</v>
      </c>
      <c r="E142" s="465">
        <f t="shared" si="489"/>
        <v>17205.128999999997</v>
      </c>
      <c r="F142" s="465">
        <f t="shared" si="489"/>
        <v>19189.082999999999</v>
      </c>
      <c r="G142" s="465">
        <f t="shared" si="489"/>
        <v>19189.082999999999</v>
      </c>
      <c r="H142" s="465">
        <f t="shared" si="489"/>
        <v>19193.234999999997</v>
      </c>
      <c r="I142" s="465">
        <f t="shared" si="489"/>
        <v>21868.71</v>
      </c>
      <c r="J142" s="465">
        <f t="shared" si="489"/>
        <v>23900.686000000002</v>
      </c>
      <c r="K142" s="465">
        <f t="shared" si="489"/>
        <v>26057.337</v>
      </c>
      <c r="L142" s="465">
        <f t="shared" si="489"/>
        <v>28324.656999999999</v>
      </c>
      <c r="M142" s="465">
        <f t="shared" si="489"/>
        <v>30508.817999999999</v>
      </c>
      <c r="N142" s="465">
        <f t="shared" si="489"/>
        <v>30911.22</v>
      </c>
      <c r="O142" s="465"/>
      <c r="P142" s="465"/>
      <c r="Q142" s="465"/>
      <c r="R142" s="465"/>
      <c r="S142" s="465">
        <f t="shared" ref="S142:AY142" si="490">S99</f>
        <v>14621.119999999999</v>
      </c>
      <c r="T142" s="465">
        <f t="shared" si="490"/>
        <v>15186.964</v>
      </c>
      <c r="U142" s="465">
        <f t="shared" si="490"/>
        <v>15822.085999999999</v>
      </c>
      <c r="V142" s="465">
        <f t="shared" si="490"/>
        <v>16594.188000000002</v>
      </c>
      <c r="W142" s="465">
        <f t="shared" si="490"/>
        <v>17205.129000000001</v>
      </c>
      <c r="X142" s="465">
        <f t="shared" si="490"/>
        <v>17678.514000000003</v>
      </c>
      <c r="Y142" s="465">
        <f t="shared" si="490"/>
        <v>18200.272000000001</v>
      </c>
      <c r="Z142" s="465">
        <f t="shared" si="490"/>
        <v>18610.78</v>
      </c>
      <c r="AA142" s="465">
        <f t="shared" si="490"/>
        <v>19189.082999999995</v>
      </c>
      <c r="AB142" s="465">
        <f t="shared" si="490"/>
        <v>19755.128999999994</v>
      </c>
      <c r="AC142" s="465">
        <f t="shared" si="490"/>
        <v>19316.463999999993</v>
      </c>
      <c r="AD142" s="465">
        <f t="shared" si="490"/>
        <v>19094.908999999996</v>
      </c>
      <c r="AE142" s="465">
        <f t="shared" si="490"/>
        <v>19193.235000000001</v>
      </c>
      <c r="AF142" s="465">
        <f t="shared" si="490"/>
        <v>19393.489000000001</v>
      </c>
      <c r="AG142" s="465">
        <f t="shared" si="490"/>
        <v>20380.763999999999</v>
      </c>
      <c r="AH142" s="465">
        <f t="shared" si="490"/>
        <v>21242.050000000003</v>
      </c>
      <c r="AI142" s="465">
        <f t="shared" si="490"/>
        <v>21868.71</v>
      </c>
      <c r="AJ142" s="465">
        <f t="shared" si="490"/>
        <v>22348.592999999997</v>
      </c>
      <c r="AK142" s="465">
        <f t="shared" si="490"/>
        <v>22864.370999999999</v>
      </c>
      <c r="AL142" s="465">
        <f t="shared" si="490"/>
        <v>23487.212</v>
      </c>
      <c r="AM142" s="465">
        <f t="shared" si="490"/>
        <v>23900.686000000005</v>
      </c>
      <c r="AN142" s="465">
        <f t="shared" si="490"/>
        <v>24428.903000000002</v>
      </c>
      <c r="AO142" s="465">
        <f t="shared" si="490"/>
        <v>25076.211000000003</v>
      </c>
      <c r="AP142" s="465">
        <f t="shared" si="490"/>
        <v>25505.896000000004</v>
      </c>
      <c r="AQ142" s="465">
        <f t="shared" si="490"/>
        <v>26057.337</v>
      </c>
      <c r="AR142" s="465">
        <f t="shared" si="490"/>
        <v>26503.511000000002</v>
      </c>
      <c r="AS142" s="465">
        <f t="shared" si="490"/>
        <v>26866.85</v>
      </c>
      <c r="AT142" s="465">
        <f t="shared" si="490"/>
        <v>27579.17</v>
      </c>
      <c r="AU142" s="465">
        <f t="shared" si="490"/>
        <v>28324.656999999999</v>
      </c>
      <c r="AV142" s="465">
        <f t="shared" si="490"/>
        <v>29105.670999999995</v>
      </c>
      <c r="AW142" s="465">
        <f t="shared" si="490"/>
        <v>29798.966</v>
      </c>
      <c r="AX142" s="465">
        <f t="shared" si="490"/>
        <v>30163.85</v>
      </c>
      <c r="AY142" s="465">
        <f t="shared" si="490"/>
        <v>30508.817999999999</v>
      </c>
      <c r="AZ142" s="465">
        <f t="shared" ref="AZ142" si="491">AZ99</f>
        <v>30911.219999999998</v>
      </c>
      <c r="BB142" s="465">
        <f>BB99</f>
        <v>19189.082999999995</v>
      </c>
    </row>
    <row r="143" spans="2:54" ht="12.75">
      <c r="B143" s="422" t="str">
        <f t="shared" ref="B143:N143" si="492">B102</f>
        <v>Adjusted EBITDA</v>
      </c>
      <c r="C143" s="465">
        <f t="shared" si="492"/>
        <v>9988.4310000000005</v>
      </c>
      <c r="D143" s="465">
        <f t="shared" si="492"/>
        <v>10987.822999999999</v>
      </c>
      <c r="E143" s="465">
        <f t="shared" si="492"/>
        <v>12809.943999999998</v>
      </c>
      <c r="F143" s="465">
        <f t="shared" si="492"/>
        <v>14315.096999999998</v>
      </c>
      <c r="G143" s="465">
        <f t="shared" si="492"/>
        <v>14321.096999999998</v>
      </c>
      <c r="H143" s="465">
        <f t="shared" si="492"/>
        <v>14065.146999999997</v>
      </c>
      <c r="I143" s="465">
        <f t="shared" si="492"/>
        <v>16539.563999999998</v>
      </c>
      <c r="J143" s="465">
        <f t="shared" si="492"/>
        <v>17899.572</v>
      </c>
      <c r="K143" s="465">
        <f t="shared" si="492"/>
        <v>19151.268</v>
      </c>
      <c r="L143" s="465">
        <f t="shared" si="492"/>
        <v>20313.487000000001</v>
      </c>
      <c r="M143" s="465">
        <f t="shared" si="492"/>
        <v>21833.199999999997</v>
      </c>
      <c r="N143" s="465">
        <f t="shared" si="492"/>
        <v>22354.383000000002</v>
      </c>
      <c r="O143" s="465"/>
      <c r="P143" s="465"/>
      <c r="Q143" s="465"/>
      <c r="R143" s="465"/>
      <c r="S143" s="465">
        <f t="shared" ref="S143:AY143" si="493">S102</f>
        <v>10987.823</v>
      </c>
      <c r="T143" s="465">
        <f t="shared" si="493"/>
        <v>11367.479000000001</v>
      </c>
      <c r="U143" s="465">
        <f t="shared" si="493"/>
        <v>11816.534</v>
      </c>
      <c r="V143" s="465">
        <f t="shared" si="493"/>
        <v>12359.011999999999</v>
      </c>
      <c r="W143" s="465">
        <f t="shared" si="493"/>
        <v>12809.944</v>
      </c>
      <c r="X143" s="465">
        <f t="shared" si="493"/>
        <v>13176.544</v>
      </c>
      <c r="Y143" s="465">
        <f t="shared" si="493"/>
        <v>13561.189</v>
      </c>
      <c r="Z143" s="465">
        <f t="shared" si="493"/>
        <v>13878.613000000001</v>
      </c>
      <c r="AA143" s="465">
        <f t="shared" si="493"/>
        <v>14315.096999999996</v>
      </c>
      <c r="AB143" s="465">
        <f t="shared" si="493"/>
        <v>14815.857999999997</v>
      </c>
      <c r="AC143" s="465">
        <f t="shared" si="493"/>
        <v>14344.409999999996</v>
      </c>
      <c r="AD143" s="465">
        <f t="shared" si="493"/>
        <v>14000.557999999997</v>
      </c>
      <c r="AE143" s="465">
        <f t="shared" si="493"/>
        <v>14065.147000000001</v>
      </c>
      <c r="AF143" s="465">
        <f t="shared" si="493"/>
        <v>14118.965</v>
      </c>
      <c r="AG143" s="465">
        <f t="shared" si="493"/>
        <v>15079.078</v>
      </c>
      <c r="AH143" s="465">
        <f t="shared" si="493"/>
        <v>16011.937000000002</v>
      </c>
      <c r="AI143" s="465">
        <f t="shared" si="493"/>
        <v>16539.563999999998</v>
      </c>
      <c r="AJ143" s="465">
        <f t="shared" si="493"/>
        <v>16934.287999999997</v>
      </c>
      <c r="AK143" s="465">
        <f t="shared" si="493"/>
        <v>17240.216</v>
      </c>
      <c r="AL143" s="465">
        <f t="shared" si="493"/>
        <v>17670.772999999997</v>
      </c>
      <c r="AM143" s="465">
        <f t="shared" si="493"/>
        <v>17899.572000000004</v>
      </c>
      <c r="AN143" s="465">
        <f t="shared" si="493"/>
        <v>18263.923000000003</v>
      </c>
      <c r="AO143" s="465">
        <f t="shared" si="493"/>
        <v>18702.134000000005</v>
      </c>
      <c r="AP143" s="465">
        <f t="shared" si="493"/>
        <v>18907.924000000003</v>
      </c>
      <c r="AQ143" s="465">
        <f t="shared" si="493"/>
        <v>19151.267999999996</v>
      </c>
      <c r="AR143" s="465">
        <f t="shared" si="493"/>
        <v>19325.349999999999</v>
      </c>
      <c r="AS143" s="465">
        <f t="shared" si="493"/>
        <v>19429.460999999999</v>
      </c>
      <c r="AT143" s="465">
        <f t="shared" si="493"/>
        <v>19829.728999999996</v>
      </c>
      <c r="AU143" s="465">
        <f t="shared" si="493"/>
        <v>20313.486999999997</v>
      </c>
      <c r="AV143" s="465">
        <f t="shared" si="493"/>
        <v>20785.638999999996</v>
      </c>
      <c r="AW143" s="465">
        <f t="shared" si="493"/>
        <v>21248.561999999998</v>
      </c>
      <c r="AX143" s="465">
        <f t="shared" si="493"/>
        <v>21401.187999999998</v>
      </c>
      <c r="AY143" s="465">
        <f t="shared" si="493"/>
        <v>21833.200000000001</v>
      </c>
      <c r="AZ143" s="465">
        <f t="shared" ref="AZ143" si="494">AZ102</f>
        <v>22354.383000000002</v>
      </c>
      <c r="BB143" s="465">
        <f>BB102</f>
        <v>14321.096999999996</v>
      </c>
    </row>
    <row r="144" spans="2:54" ht="12.75">
      <c r="B144" s="422" t="s">
        <v>569</v>
      </c>
      <c r="C144" s="467">
        <f t="shared" ref="C144:H144" si="495">C143/C142</f>
        <v>0.75368185012006483</v>
      </c>
      <c r="D144" s="467">
        <f t="shared" si="495"/>
        <v>0.75150350999102666</v>
      </c>
      <c r="E144" s="467">
        <f t="shared" si="495"/>
        <v>0.74454216530431128</v>
      </c>
      <c r="F144" s="467">
        <f t="shared" si="495"/>
        <v>0.74600214090480499</v>
      </c>
      <c r="G144" s="467">
        <f t="shared" si="495"/>
        <v>0.74631481869144023</v>
      </c>
      <c r="H144" s="467">
        <f t="shared" si="495"/>
        <v>0.73281794340558015</v>
      </c>
      <c r="I144" s="467">
        <f t="shared" ref="I144:N144" si="496">I143/I142</f>
        <v>0.75631182634915362</v>
      </c>
      <c r="J144" s="467">
        <f t="shared" si="496"/>
        <v>0.74891457090394808</v>
      </c>
      <c r="K144" s="467">
        <f t="shared" si="496"/>
        <v>0.73496643191128852</v>
      </c>
      <c r="L144" s="467">
        <f t="shared" si="496"/>
        <v>0.71716621316897156</v>
      </c>
      <c r="M144" s="467">
        <f t="shared" si="496"/>
        <v>0.71563572210499915</v>
      </c>
      <c r="N144" s="467">
        <f t="shared" si="496"/>
        <v>0.7231802238798728</v>
      </c>
      <c r="O144" s="735"/>
      <c r="P144" s="467"/>
      <c r="Q144" s="467"/>
      <c r="R144" s="467"/>
      <c r="S144" s="467">
        <f t="shared" ref="S144:X144" si="497">S143/S142</f>
        <v>0.75150350999102677</v>
      </c>
      <c r="T144" s="467">
        <f t="shared" si="497"/>
        <v>0.7485023998213205</v>
      </c>
      <c r="U144" s="467">
        <f t="shared" si="497"/>
        <v>0.7468379327479322</v>
      </c>
      <c r="V144" s="467">
        <f t="shared" si="497"/>
        <v>0.74477955775841498</v>
      </c>
      <c r="W144" s="467">
        <f t="shared" si="497"/>
        <v>0.74454216530431128</v>
      </c>
      <c r="X144" s="467">
        <f t="shared" si="497"/>
        <v>0.74534228385937851</v>
      </c>
      <c r="Y144" s="467">
        <f t="shared" ref="Y144:BB144" si="498">Y143/Y142</f>
        <v>0.74510913902825182</v>
      </c>
      <c r="Z144" s="467">
        <f t="shared" si="498"/>
        <v>0.74572978671501156</v>
      </c>
      <c r="AA144" s="467">
        <f t="shared" si="498"/>
        <v>0.7460021409048051</v>
      </c>
      <c r="AB144" s="467">
        <f t="shared" si="498"/>
        <v>0.74997525958954769</v>
      </c>
      <c r="AC144" s="467">
        <f t="shared" si="498"/>
        <v>0.74260019846282432</v>
      </c>
      <c r="AD144" s="467">
        <f t="shared" si="498"/>
        <v>0.73320894066580788</v>
      </c>
      <c r="AE144" s="467">
        <f t="shared" si="498"/>
        <v>0.73281794340558015</v>
      </c>
      <c r="AF144" s="467">
        <f t="shared" si="498"/>
        <v>0.72802604007974014</v>
      </c>
      <c r="AG144" s="467">
        <f t="shared" ref="AG144:AL144" si="499">AG143/AG142</f>
        <v>0.73986814233264264</v>
      </c>
      <c r="AH144" s="467">
        <f t="shared" si="499"/>
        <v>0.75378492188842416</v>
      </c>
      <c r="AI144" s="467">
        <f t="shared" si="499"/>
        <v>0.75631182634915362</v>
      </c>
      <c r="AJ144" s="467">
        <f t="shared" si="499"/>
        <v>0.75773396562369721</v>
      </c>
      <c r="AK144" s="467">
        <f t="shared" si="499"/>
        <v>0.75402100499506419</v>
      </c>
      <c r="AL144" s="467">
        <f t="shared" si="499"/>
        <v>0.75235719761034203</v>
      </c>
      <c r="AM144" s="467">
        <f t="shared" ref="AM144:AP144" si="500">AM143/AM142</f>
        <v>0.74891457090394808</v>
      </c>
      <c r="AN144" s="467">
        <f t="shared" si="500"/>
        <v>0.74763582302488163</v>
      </c>
      <c r="AO144" s="467">
        <f t="shared" si="500"/>
        <v>0.74581179748407778</v>
      </c>
      <c r="AP144" s="467">
        <f t="shared" si="500"/>
        <v>0.74131581184209328</v>
      </c>
      <c r="AQ144" s="467">
        <f t="shared" ref="AQ144:AT144" si="501">AQ143/AQ142</f>
        <v>0.73496643191128841</v>
      </c>
      <c r="AR144" s="467">
        <f t="shared" si="501"/>
        <v>0.72916188349536015</v>
      </c>
      <c r="AS144" s="467">
        <f t="shared" si="501"/>
        <v>0.72317599569729984</v>
      </c>
      <c r="AT144" s="467">
        <f t="shared" si="501"/>
        <v>0.71901108699065264</v>
      </c>
      <c r="AU144" s="467">
        <f t="shared" ref="AU144:AX144" si="502">AU143/AU142</f>
        <v>0.71716621316897144</v>
      </c>
      <c r="AV144" s="467">
        <f t="shared" si="502"/>
        <v>0.71414395497014993</v>
      </c>
      <c r="AW144" s="467">
        <f t="shared" si="502"/>
        <v>0.71306373516450194</v>
      </c>
      <c r="AX144" s="467">
        <f t="shared" si="502"/>
        <v>0.70949789234464433</v>
      </c>
      <c r="AY144" s="467">
        <f t="shared" ref="AY144:AZ144" si="503">AY143/AY142</f>
        <v>0.71563572210499937</v>
      </c>
      <c r="AZ144" s="467">
        <f t="shared" si="503"/>
        <v>0.72318022387987291</v>
      </c>
      <c r="BB144" s="467">
        <f t="shared" si="498"/>
        <v>0.74631481869144034</v>
      </c>
    </row>
    <row r="145" spans="1:54" ht="12.75">
      <c r="B145" s="422" t="str">
        <f t="shared" ref="B145:N145" si="504">B103</f>
        <v>Cash interest paid</v>
      </c>
      <c r="C145" s="465">
        <f t="shared" si="504"/>
        <v>3701.3229999999999</v>
      </c>
      <c r="D145" s="465">
        <f t="shared" si="504"/>
        <v>4936.4359999999997</v>
      </c>
      <c r="E145" s="465">
        <f t="shared" si="504"/>
        <v>6118.7690000000002</v>
      </c>
      <c r="F145" s="465">
        <f t="shared" si="504"/>
        <v>6912.7910000000002</v>
      </c>
      <c r="G145" s="465">
        <f t="shared" si="504"/>
        <v>4946.9520000000002</v>
      </c>
      <c r="H145" s="465">
        <f t="shared" si="504"/>
        <v>7398.1689999999999</v>
      </c>
      <c r="I145" s="465">
        <f t="shared" si="504"/>
        <v>6108.2219999999998</v>
      </c>
      <c r="J145" s="465">
        <f t="shared" si="504"/>
        <v>7991.3779999999997</v>
      </c>
      <c r="K145" s="465">
        <f t="shared" si="504"/>
        <v>8273.73</v>
      </c>
      <c r="L145" s="465">
        <f t="shared" si="504"/>
        <v>9031.3009999999995</v>
      </c>
      <c r="M145" s="465">
        <f t="shared" si="504"/>
        <v>12361.334999999999</v>
      </c>
      <c r="N145" s="465">
        <f t="shared" si="504"/>
        <v>11031.535999999998</v>
      </c>
      <c r="O145" s="465"/>
      <c r="P145" s="465"/>
      <c r="Q145" s="465"/>
      <c r="R145" s="465"/>
      <c r="S145" s="465">
        <f t="shared" ref="S145:AY145" si="505">S103</f>
        <v>4936.4359999999997</v>
      </c>
      <c r="T145" s="465">
        <f t="shared" si="505"/>
        <v>4213.7669999999998</v>
      </c>
      <c r="U145" s="465">
        <f t="shared" si="505"/>
        <v>5382.3449999999993</v>
      </c>
      <c r="V145" s="465">
        <f t="shared" si="505"/>
        <v>5032.723</v>
      </c>
      <c r="W145" s="465">
        <f t="shared" si="505"/>
        <v>6118.7690000000002</v>
      </c>
      <c r="X145" s="465">
        <f t="shared" si="505"/>
        <v>7147.4000000000005</v>
      </c>
      <c r="Y145" s="465">
        <f t="shared" si="505"/>
        <v>6830.1220000000003</v>
      </c>
      <c r="Z145" s="465">
        <f t="shared" si="505"/>
        <v>7806.1580000000004</v>
      </c>
      <c r="AA145" s="465">
        <f t="shared" si="505"/>
        <v>6912.7909999999993</v>
      </c>
      <c r="AB145" s="465">
        <f t="shared" si="505"/>
        <v>7398.018</v>
      </c>
      <c r="AC145" s="465">
        <f t="shared" si="505"/>
        <v>7317.2070000000003</v>
      </c>
      <c r="AD145" s="465">
        <f t="shared" si="505"/>
        <v>6764.3090000000002</v>
      </c>
      <c r="AE145" s="465">
        <f t="shared" si="505"/>
        <v>7398.1689999999999</v>
      </c>
      <c r="AF145" s="465">
        <f t="shared" si="505"/>
        <v>7442.0889999999999</v>
      </c>
      <c r="AG145" s="465">
        <f t="shared" si="505"/>
        <v>6638.5430000000006</v>
      </c>
      <c r="AH145" s="465">
        <f t="shared" si="505"/>
        <v>7181.8070000000007</v>
      </c>
      <c r="AI145" s="465">
        <f t="shared" si="505"/>
        <v>6108.2219999999998</v>
      </c>
      <c r="AJ145" s="465">
        <f t="shared" si="505"/>
        <v>6165.3549999999996</v>
      </c>
      <c r="AK145" s="465">
        <f t="shared" si="505"/>
        <v>6793.3469999999998</v>
      </c>
      <c r="AL145" s="465">
        <f t="shared" si="505"/>
        <v>8164.4719999999998</v>
      </c>
      <c r="AM145" s="465">
        <f t="shared" si="505"/>
        <v>7991.3780000000006</v>
      </c>
      <c r="AN145" s="465">
        <f t="shared" si="505"/>
        <v>8318.9480000000003</v>
      </c>
      <c r="AO145" s="465">
        <f t="shared" si="505"/>
        <v>8355.7039999999997</v>
      </c>
      <c r="AP145" s="465">
        <f t="shared" si="505"/>
        <v>7565.4819999999991</v>
      </c>
      <c r="AQ145" s="465">
        <f t="shared" si="505"/>
        <v>8273.73</v>
      </c>
      <c r="AR145" s="465">
        <f t="shared" si="505"/>
        <v>8450.2979999999989</v>
      </c>
      <c r="AS145" s="465">
        <f t="shared" si="505"/>
        <v>8260.7799999999988</v>
      </c>
      <c r="AT145" s="465">
        <f t="shared" si="505"/>
        <v>9052.3189999999995</v>
      </c>
      <c r="AU145" s="465">
        <f t="shared" si="505"/>
        <v>9031.3009999999995</v>
      </c>
      <c r="AV145" s="465">
        <f t="shared" si="505"/>
        <v>10203.162999999999</v>
      </c>
      <c r="AW145" s="465">
        <f t="shared" si="505"/>
        <v>10491.682999999999</v>
      </c>
      <c r="AX145" s="465">
        <f t="shared" si="505"/>
        <v>10637.642</v>
      </c>
      <c r="AY145" s="465">
        <f t="shared" si="505"/>
        <v>12361.334999999999</v>
      </c>
      <c r="AZ145" s="465">
        <f t="shared" ref="AZ145" si="506">AZ103</f>
        <v>11031.536</v>
      </c>
      <c r="BB145" s="465">
        <f>BB103</f>
        <v>4946.9520000000002</v>
      </c>
    </row>
    <row r="146" spans="1:54" ht="12.75">
      <c r="B146" s="422" t="str">
        <f t="shared" ref="B146:N146" si="507">B105</f>
        <v>Capex</v>
      </c>
      <c r="C146" s="465">
        <f t="shared" si="507"/>
        <v>5878.59</v>
      </c>
      <c r="D146" s="465">
        <f t="shared" si="507"/>
        <v>5965.4059999999999</v>
      </c>
      <c r="E146" s="465">
        <f t="shared" si="507"/>
        <v>8016.1899999999987</v>
      </c>
      <c r="F146" s="465">
        <f t="shared" si="507"/>
        <v>9396.1939999999995</v>
      </c>
      <c r="G146" s="465">
        <f t="shared" si="507"/>
        <v>7150.7889999999998</v>
      </c>
      <c r="H146" s="465">
        <f t="shared" si="507"/>
        <v>3348.4740000000002</v>
      </c>
      <c r="I146" s="465">
        <f t="shared" si="507"/>
        <v>4592.7299999999996</v>
      </c>
      <c r="J146" s="465">
        <f t="shared" si="507"/>
        <v>6107.2269999999999</v>
      </c>
      <c r="K146" s="465">
        <f t="shared" si="507"/>
        <v>2336.732</v>
      </c>
      <c r="L146" s="465">
        <f t="shared" si="507"/>
        <v>1544.3249999999998</v>
      </c>
      <c r="M146" s="465">
        <f t="shared" si="507"/>
        <v>3035.377</v>
      </c>
      <c r="N146" s="465">
        <f t="shared" si="507"/>
        <v>3388.0829999999996</v>
      </c>
      <c r="O146" s="465"/>
      <c r="P146" s="465"/>
      <c r="Q146" s="465"/>
      <c r="R146" s="465"/>
      <c r="S146" s="465">
        <f t="shared" ref="S146:AY146" si="508">S105</f>
        <v>5965.405999999999</v>
      </c>
      <c r="T146" s="465">
        <f t="shared" si="508"/>
        <v>4692.3419999999987</v>
      </c>
      <c r="U146" s="465">
        <f t="shared" si="508"/>
        <v>6758.3920000000007</v>
      </c>
      <c r="V146" s="465">
        <f t="shared" si="508"/>
        <v>7218.4480000000003</v>
      </c>
      <c r="W146" s="465">
        <f t="shared" si="508"/>
        <v>8016.1899999999987</v>
      </c>
      <c r="X146" s="465">
        <f t="shared" si="508"/>
        <v>9550.5579999999991</v>
      </c>
      <c r="Y146" s="465">
        <f t="shared" si="508"/>
        <v>8689.3449999999975</v>
      </c>
      <c r="Z146" s="465">
        <f t="shared" si="508"/>
        <v>7937.324999999998</v>
      </c>
      <c r="AA146" s="465">
        <f t="shared" si="508"/>
        <v>9396.1939999999995</v>
      </c>
      <c r="AB146" s="465">
        <f t="shared" si="508"/>
        <v>8039.4109999999991</v>
      </c>
      <c r="AC146" s="465">
        <f t="shared" si="508"/>
        <v>6537.0110000000004</v>
      </c>
      <c r="AD146" s="465">
        <f t="shared" si="508"/>
        <v>6305.5859999999993</v>
      </c>
      <c r="AE146" s="465">
        <f t="shared" si="508"/>
        <v>3348.4740000000002</v>
      </c>
      <c r="AF146" s="465">
        <f t="shared" si="508"/>
        <v>3825.0210000000002</v>
      </c>
      <c r="AG146" s="465">
        <f t="shared" si="508"/>
        <v>4487.6230000000005</v>
      </c>
      <c r="AH146" s="465">
        <f t="shared" si="508"/>
        <v>3440.2809999999999</v>
      </c>
      <c r="AI146" s="465">
        <f t="shared" si="508"/>
        <v>4592.7299999999996</v>
      </c>
      <c r="AJ146" s="465">
        <f t="shared" si="508"/>
        <v>5282.8709999999992</v>
      </c>
      <c r="AK146" s="465">
        <f t="shared" si="508"/>
        <v>6029.6609999999991</v>
      </c>
      <c r="AL146" s="465">
        <f t="shared" si="508"/>
        <v>6746.5569999999998</v>
      </c>
      <c r="AM146" s="465">
        <f t="shared" si="508"/>
        <v>6107.2269999999999</v>
      </c>
      <c r="AN146" s="465">
        <f t="shared" si="508"/>
        <v>6073.8720000000003</v>
      </c>
      <c r="AO146" s="465">
        <f t="shared" si="508"/>
        <v>1893.6469999999997</v>
      </c>
      <c r="AP146" s="465">
        <f t="shared" si="508"/>
        <v>2211.0830000000005</v>
      </c>
      <c r="AQ146" s="465">
        <f t="shared" si="508"/>
        <v>2336.732</v>
      </c>
      <c r="AR146" s="465">
        <f t="shared" si="508"/>
        <v>1244.0789999999997</v>
      </c>
      <c r="AS146" s="465">
        <f t="shared" si="508"/>
        <v>3910.8909999999996</v>
      </c>
      <c r="AT146" s="465">
        <f t="shared" si="508"/>
        <v>2753.5329999999994</v>
      </c>
      <c r="AU146" s="465">
        <f t="shared" si="508"/>
        <v>1544.3249999999998</v>
      </c>
      <c r="AV146" s="465">
        <f t="shared" si="508"/>
        <v>1564.1579999999997</v>
      </c>
      <c r="AW146" s="465">
        <f t="shared" si="508"/>
        <v>1651.0199999999998</v>
      </c>
      <c r="AX146" s="465">
        <f t="shared" si="508"/>
        <v>1393.0079999999998</v>
      </c>
      <c r="AY146" s="465">
        <f t="shared" si="508"/>
        <v>3035.377</v>
      </c>
      <c r="AZ146" s="465">
        <f t="shared" ref="AZ146" si="509">AZ105</f>
        <v>3388.0829999999996</v>
      </c>
      <c r="BB146" s="465">
        <f>BB105</f>
        <v>7150.7889999999989</v>
      </c>
    </row>
    <row r="147" spans="1:54" ht="12.75">
      <c r="B147" s="422" t="str">
        <f t="shared" ref="B147:N147" si="510">B106</f>
        <v xml:space="preserve">Free cash flow </v>
      </c>
      <c r="C147" s="465">
        <f t="shared" si="510"/>
        <v>802.49699999999984</v>
      </c>
      <c r="D147" s="465">
        <f t="shared" si="510"/>
        <v>-11347.642</v>
      </c>
      <c r="E147" s="465">
        <f t="shared" si="510"/>
        <v>-1708.4460000000013</v>
      </c>
      <c r="F147" s="465">
        <f t="shared" si="510"/>
        <v>-21386.134000000002</v>
      </c>
      <c r="G147" s="465">
        <f t="shared" si="510"/>
        <v>-17637.230000000003</v>
      </c>
      <c r="H147" s="465">
        <f t="shared" si="510"/>
        <v>-2138.8180000000029</v>
      </c>
      <c r="I147" s="465">
        <f t="shared" si="510"/>
        <v>386.11299999999846</v>
      </c>
      <c r="J147" s="465">
        <f t="shared" si="510"/>
        <v>1349.2789999999995</v>
      </c>
      <c r="K147" s="465">
        <f t="shared" si="510"/>
        <v>6783.514000000001</v>
      </c>
      <c r="L147" s="465">
        <f t="shared" si="510"/>
        <v>8325.1510000000017</v>
      </c>
      <c r="M147" s="465">
        <f t="shared" si="510"/>
        <v>91.578999999995972</v>
      </c>
      <c r="N147" s="465">
        <f t="shared" si="510"/>
        <v>601.71900000000221</v>
      </c>
      <c r="O147" s="465"/>
      <c r="P147" s="465"/>
      <c r="Q147" s="465"/>
      <c r="R147" s="465"/>
      <c r="S147" s="465">
        <f t="shared" ref="S147:AY147" si="511">S106</f>
        <v>-11347.641999999998</v>
      </c>
      <c r="T147" s="465">
        <f t="shared" si="511"/>
        <v>-9169.0169999999962</v>
      </c>
      <c r="U147" s="465">
        <f t="shared" si="511"/>
        <v>-11426.107999999998</v>
      </c>
      <c r="V147" s="465">
        <f t="shared" si="511"/>
        <v>-11143.151000000002</v>
      </c>
      <c r="W147" s="465">
        <f t="shared" si="511"/>
        <v>-1708.4459999999981</v>
      </c>
      <c r="X147" s="465">
        <f t="shared" si="511"/>
        <v>-3319.8379999999997</v>
      </c>
      <c r="Y147" s="465">
        <f t="shared" si="511"/>
        <v>-2293.831999999999</v>
      </c>
      <c r="Z147" s="465">
        <f t="shared" si="511"/>
        <v>-674.65899999999715</v>
      </c>
      <c r="AA147" s="465">
        <f t="shared" si="511"/>
        <v>-21386.134000000002</v>
      </c>
      <c r="AB147" s="465">
        <f t="shared" si="511"/>
        <v>-21133.453000000001</v>
      </c>
      <c r="AC147" s="465">
        <f t="shared" si="511"/>
        <v>-20499.999000000003</v>
      </c>
      <c r="AD147" s="465">
        <f t="shared" si="511"/>
        <v>-22888.280000000002</v>
      </c>
      <c r="AE147" s="465">
        <f t="shared" si="511"/>
        <v>-2138.8179999999993</v>
      </c>
      <c r="AF147" s="465">
        <f t="shared" si="511"/>
        <v>-4650.9040000000005</v>
      </c>
      <c r="AG147" s="465">
        <f t="shared" si="511"/>
        <v>-3445.9009999999994</v>
      </c>
      <c r="AH147" s="465">
        <f t="shared" si="511"/>
        <v>-2692.4899999999989</v>
      </c>
      <c r="AI147" s="465">
        <f t="shared" si="511"/>
        <v>386.11299999999983</v>
      </c>
      <c r="AJ147" s="465">
        <f t="shared" si="511"/>
        <v>3341.223</v>
      </c>
      <c r="AK147" s="465">
        <f t="shared" si="511"/>
        <v>902.37000000000012</v>
      </c>
      <c r="AL147" s="465">
        <f t="shared" si="511"/>
        <v>349.07900000000063</v>
      </c>
      <c r="AM147" s="465">
        <f t="shared" si="511"/>
        <v>1349.2790000000052</v>
      </c>
      <c r="AN147" s="465">
        <f t="shared" si="511"/>
        <v>1176.2360000000051</v>
      </c>
      <c r="AO147" s="465">
        <f t="shared" si="511"/>
        <v>8251.4460000000054</v>
      </c>
      <c r="AP147" s="465">
        <f t="shared" si="511"/>
        <v>8106.1200000000044</v>
      </c>
      <c r="AQ147" s="465">
        <f t="shared" si="511"/>
        <v>6783.514000000001</v>
      </c>
      <c r="AR147" s="465">
        <f t="shared" si="511"/>
        <v>7083.5320000000011</v>
      </c>
      <c r="AS147" s="465">
        <f t="shared" si="511"/>
        <v>5191.9209999999985</v>
      </c>
      <c r="AT147" s="465">
        <f t="shared" si="511"/>
        <v>6356.3079999999991</v>
      </c>
      <c r="AU147" s="465">
        <f t="shared" si="511"/>
        <v>8325.150999999998</v>
      </c>
      <c r="AV147" s="465">
        <f t="shared" si="511"/>
        <v>8105.8819999999969</v>
      </c>
      <c r="AW147" s="465">
        <f t="shared" si="511"/>
        <v>4727.8610000000008</v>
      </c>
      <c r="AX147" s="465">
        <f t="shared" si="511"/>
        <v>2507.7310000000002</v>
      </c>
      <c r="AY147" s="465">
        <f t="shared" si="511"/>
        <v>91.578999999999837</v>
      </c>
      <c r="AZ147" s="465">
        <f t="shared" ref="AZ147" si="512">AZ106</f>
        <v>601.71900000000142</v>
      </c>
      <c r="BB147" s="465">
        <f>BB106</f>
        <v>-17637.230000000003</v>
      </c>
    </row>
    <row r="148" spans="1:54" ht="12.75">
      <c r="B148" s="422" t="s">
        <v>570</v>
      </c>
      <c r="C148" s="465">
        <f t="shared" ref="C148:H148" si="513">C123</f>
        <v>5554.12</v>
      </c>
      <c r="D148" s="465">
        <f t="shared" si="513"/>
        <v>3228.444</v>
      </c>
      <c r="E148" s="465">
        <f t="shared" si="513"/>
        <v>4408.9260000000004</v>
      </c>
      <c r="F148" s="465">
        <f t="shared" si="513"/>
        <v>3042.9140000000002</v>
      </c>
      <c r="G148" s="465">
        <f t="shared" si="513"/>
        <v>3042.9140000000002</v>
      </c>
      <c r="H148" s="465">
        <f t="shared" si="513"/>
        <v>7746.5929999999998</v>
      </c>
      <c r="I148" s="465">
        <f t="shared" ref="I148:N148" si="514">I123</f>
        <v>6739.5110000000004</v>
      </c>
      <c r="J148" s="465">
        <f t="shared" si="514"/>
        <v>6887.1109999999999</v>
      </c>
      <c r="K148" s="465">
        <f t="shared" si="514"/>
        <v>2826.6419999999998</v>
      </c>
      <c r="L148" s="465">
        <f t="shared" si="514"/>
        <v>4518.6009999999997</v>
      </c>
      <c r="M148" s="465">
        <f t="shared" si="514"/>
        <v>13721.823</v>
      </c>
      <c r="N148" s="465">
        <f t="shared" si="514"/>
        <v>13100.173000000001</v>
      </c>
      <c r="O148" s="465"/>
      <c r="P148" s="465"/>
      <c r="Q148" s="465"/>
      <c r="R148" s="465"/>
      <c r="S148" s="465">
        <f t="shared" ref="S148:X148" si="515">S123</f>
        <v>3228.444</v>
      </c>
      <c r="T148" s="465">
        <f t="shared" si="515"/>
        <v>3749.8580000000002</v>
      </c>
      <c r="U148" s="465">
        <f t="shared" si="515"/>
        <v>3503.94</v>
      </c>
      <c r="V148" s="465">
        <f t="shared" si="515"/>
        <v>6014.5609999999997</v>
      </c>
      <c r="W148" s="465">
        <f t="shared" si="515"/>
        <v>4408.9260000000004</v>
      </c>
      <c r="X148" s="465">
        <f t="shared" si="515"/>
        <v>3341.4180000000001</v>
      </c>
      <c r="Y148" s="465">
        <f t="shared" ref="Y148:AD148" si="516">Y123</f>
        <v>18152.333999999999</v>
      </c>
      <c r="Z148" s="465">
        <f t="shared" si="516"/>
        <v>13723.073</v>
      </c>
      <c r="AA148" s="465">
        <f t="shared" si="516"/>
        <v>3042.9140000000002</v>
      </c>
      <c r="AB148" s="465">
        <f t="shared" si="516"/>
        <v>4068.9540000000002</v>
      </c>
      <c r="AC148" s="465">
        <f t="shared" si="516"/>
        <v>14857.313</v>
      </c>
      <c r="AD148" s="465">
        <f t="shared" si="516"/>
        <v>18373.936000000002</v>
      </c>
      <c r="AE148" s="465">
        <f t="shared" ref="AE148:AJ148" si="517">AE123</f>
        <v>7746.5929999999998</v>
      </c>
      <c r="AF148" s="465">
        <f t="shared" si="517"/>
        <v>4820.26</v>
      </c>
      <c r="AG148" s="465">
        <f t="shared" si="517"/>
        <v>3713.8159999999998</v>
      </c>
      <c r="AH148" s="465">
        <f t="shared" si="517"/>
        <v>3502.3649999999998</v>
      </c>
      <c r="AI148" s="465">
        <f t="shared" si="517"/>
        <v>6739.5110000000004</v>
      </c>
      <c r="AJ148" s="465">
        <f t="shared" si="517"/>
        <v>4336.7250000000004</v>
      </c>
      <c r="AK148" s="465">
        <f t="shared" ref="AK148:AN148" si="518">AK123</f>
        <v>5258.0789999999997</v>
      </c>
      <c r="AL148" s="465">
        <f t="shared" si="518"/>
        <v>4878.6390000000001</v>
      </c>
      <c r="AM148" s="465">
        <f t="shared" si="518"/>
        <v>6887.1109999999999</v>
      </c>
      <c r="AN148" s="465">
        <f t="shared" si="518"/>
        <v>3071.9160000000002</v>
      </c>
      <c r="AO148" s="465">
        <f t="shared" ref="AO148:AR148" si="519">AO123</f>
        <v>4374.768</v>
      </c>
      <c r="AP148" s="465">
        <f t="shared" si="519"/>
        <v>2663.6010000000001</v>
      </c>
      <c r="AQ148" s="465">
        <f t="shared" si="519"/>
        <v>2826.6419999999998</v>
      </c>
      <c r="AR148" s="465">
        <f t="shared" si="519"/>
        <v>1793.6569999999999</v>
      </c>
      <c r="AS148" s="465">
        <f t="shared" ref="AS148:AV148" si="520">AS123</f>
        <v>4682.0159999999996</v>
      </c>
      <c r="AT148" s="465">
        <f t="shared" si="520"/>
        <v>2668.4340000000002</v>
      </c>
      <c r="AU148" s="465">
        <f t="shared" si="520"/>
        <v>4518.6009999999997</v>
      </c>
      <c r="AV148" s="465">
        <f t="shared" si="520"/>
        <v>2008.5730000000001</v>
      </c>
      <c r="AW148" s="465">
        <f t="shared" ref="AW148:AZ148" si="521">AW123</f>
        <v>4197.1180000000004</v>
      </c>
      <c r="AX148" s="465">
        <f t="shared" si="521"/>
        <v>2870.9290000000001</v>
      </c>
      <c r="AY148" s="465">
        <f t="shared" si="521"/>
        <v>13721.823</v>
      </c>
      <c r="AZ148" s="465">
        <f t="shared" si="521"/>
        <v>13100.173000000001</v>
      </c>
      <c r="BB148" s="465">
        <f>BB123</f>
        <v>3042.9140000000002</v>
      </c>
    </row>
    <row r="149" spans="1:54" ht="12.75">
      <c r="B149" s="422" t="s">
        <v>23</v>
      </c>
      <c r="C149" s="465">
        <f t="shared" ref="C149:H149" si="522">C126</f>
        <v>64806.553</v>
      </c>
      <c r="D149" s="465">
        <f t="shared" si="522"/>
        <v>68062.145999999993</v>
      </c>
      <c r="E149" s="465">
        <f t="shared" si="522"/>
        <v>79566.11</v>
      </c>
      <c r="F149" s="465">
        <f t="shared" si="522"/>
        <v>107058.63800000001</v>
      </c>
      <c r="G149" s="465">
        <f t="shared" si="522"/>
        <v>107058.63800000001</v>
      </c>
      <c r="H149" s="465">
        <f t="shared" si="522"/>
        <v>125529.85799999999</v>
      </c>
      <c r="I149" s="465">
        <f t="shared" ref="I149:N149" si="523">I126</f>
        <v>136026.198</v>
      </c>
      <c r="J149" s="465">
        <f t="shared" si="523"/>
        <v>139439.05100000001</v>
      </c>
      <c r="K149" s="465">
        <f t="shared" si="523"/>
        <v>128555.595</v>
      </c>
      <c r="L149" s="465">
        <f t="shared" si="523"/>
        <v>148657.27799999999</v>
      </c>
      <c r="M149" s="465">
        <f t="shared" si="523"/>
        <v>150862.49</v>
      </c>
      <c r="N149" s="465">
        <f t="shared" si="523"/>
        <v>150529.21</v>
      </c>
      <c r="O149" s="465"/>
      <c r="P149" s="465"/>
      <c r="Q149" s="465"/>
      <c r="R149" s="465"/>
      <c r="S149" s="465">
        <f t="shared" ref="S149:X149" si="524">S126</f>
        <v>68062.145999999993</v>
      </c>
      <c r="T149" s="465">
        <f t="shared" si="524"/>
        <v>66072.085000000006</v>
      </c>
      <c r="U149" s="465">
        <f t="shared" si="524"/>
        <v>72404.240000000005</v>
      </c>
      <c r="V149" s="465">
        <f t="shared" si="524"/>
        <v>74482.182000000001</v>
      </c>
      <c r="W149" s="465">
        <f t="shared" si="524"/>
        <v>79566.11</v>
      </c>
      <c r="X149" s="465">
        <f t="shared" si="524"/>
        <v>81718.253000000012</v>
      </c>
      <c r="Y149" s="465">
        <f t="shared" ref="Y149:AD149" si="525">Y126</f>
        <v>99237.194000000003</v>
      </c>
      <c r="Z149" s="465">
        <f t="shared" si="525"/>
        <v>98297.991000000009</v>
      </c>
      <c r="AA149" s="465">
        <f t="shared" si="525"/>
        <v>107058.63800000001</v>
      </c>
      <c r="AB149" s="465">
        <f t="shared" si="525"/>
        <v>131342.34599999999</v>
      </c>
      <c r="AC149" s="465">
        <f t="shared" si="525"/>
        <v>139619.239</v>
      </c>
      <c r="AD149" s="465">
        <f t="shared" si="525"/>
        <v>144421.549</v>
      </c>
      <c r="AE149" s="465">
        <f t="shared" ref="AE149:AJ149" si="526">AE126</f>
        <v>125529.85799999999</v>
      </c>
      <c r="AF149" s="465">
        <f t="shared" si="526"/>
        <v>131638.94</v>
      </c>
      <c r="AG149" s="465">
        <f t="shared" si="526"/>
        <v>128108.41</v>
      </c>
      <c r="AH149" s="465">
        <f t="shared" si="526"/>
        <v>131194.06200000001</v>
      </c>
      <c r="AI149" s="465">
        <f t="shared" si="526"/>
        <v>136026.198</v>
      </c>
      <c r="AJ149" s="465">
        <f t="shared" si="526"/>
        <v>134310.18799999999</v>
      </c>
      <c r="AK149" s="465">
        <f t="shared" ref="AK149:AN149" si="527">AK126</f>
        <v>138112.21099999998</v>
      </c>
      <c r="AL149" s="465">
        <f t="shared" si="527"/>
        <v>141086.77600000001</v>
      </c>
      <c r="AM149" s="465">
        <f t="shared" si="527"/>
        <v>139439.05100000001</v>
      </c>
      <c r="AN149" s="465">
        <f t="shared" si="527"/>
        <v>133673.114</v>
      </c>
      <c r="AO149" s="465">
        <f t="shared" ref="AO149:AR149" si="528">AO126</f>
        <v>127898.53200000001</v>
      </c>
      <c r="AP149" s="465">
        <f t="shared" si="528"/>
        <v>130602.42199999999</v>
      </c>
      <c r="AQ149" s="465">
        <f t="shared" si="528"/>
        <v>128555.595</v>
      </c>
      <c r="AR149" s="465">
        <f t="shared" si="528"/>
        <v>128778.234</v>
      </c>
      <c r="AS149" s="465">
        <f t="shared" ref="AS149:AV149" si="529">AS126</f>
        <v>137754.302</v>
      </c>
      <c r="AT149" s="465">
        <f t="shared" si="529"/>
        <v>145011.965</v>
      </c>
      <c r="AU149" s="465">
        <f t="shared" si="529"/>
        <v>148657.27799999999</v>
      </c>
      <c r="AV149" s="465">
        <f t="shared" si="529"/>
        <v>151045.18799999999</v>
      </c>
      <c r="AW149" s="465">
        <f t="shared" ref="AW149:AZ149" si="530">AW126</f>
        <v>148183.12199999997</v>
      </c>
      <c r="AX149" s="465">
        <f t="shared" si="530"/>
        <v>149005.41099999999</v>
      </c>
      <c r="AY149" s="465">
        <f t="shared" si="530"/>
        <v>150862.49</v>
      </c>
      <c r="AZ149" s="465">
        <f t="shared" si="530"/>
        <v>150529.21</v>
      </c>
      <c r="BB149" s="465">
        <f>BB126</f>
        <v>107058.63800000001</v>
      </c>
    </row>
    <row r="150" spans="1:54" ht="12.75">
      <c r="B150" s="424" t="s">
        <v>571</v>
      </c>
      <c r="C150" s="588">
        <f t="shared" ref="C150:H150" si="531">C125</f>
        <v>59252.432999999997</v>
      </c>
      <c r="D150" s="588">
        <f t="shared" si="531"/>
        <v>64833.70199999999</v>
      </c>
      <c r="E150" s="588">
        <f t="shared" si="531"/>
        <v>75157.183999999994</v>
      </c>
      <c r="F150" s="588">
        <f t="shared" si="531"/>
        <v>104015.724</v>
      </c>
      <c r="G150" s="588">
        <f t="shared" si="531"/>
        <v>104015.724</v>
      </c>
      <c r="H150" s="588">
        <f t="shared" si="531"/>
        <v>117783.265</v>
      </c>
      <c r="I150" s="588">
        <f t="shared" ref="I150:N150" si="532">I125</f>
        <v>129286.68700000001</v>
      </c>
      <c r="J150" s="588">
        <f t="shared" si="532"/>
        <v>132551.94</v>
      </c>
      <c r="K150" s="588">
        <f t="shared" si="532"/>
        <v>125728.95300000001</v>
      </c>
      <c r="L150" s="588">
        <f t="shared" si="532"/>
        <v>144138.677</v>
      </c>
      <c r="M150" s="588">
        <f t="shared" si="532"/>
        <v>137140.66699999999</v>
      </c>
      <c r="N150" s="588">
        <f t="shared" si="532"/>
        <v>137429.03699999998</v>
      </c>
      <c r="O150" s="588"/>
      <c r="P150" s="588"/>
      <c r="Q150" s="588"/>
      <c r="R150" s="588"/>
      <c r="S150" s="588">
        <f t="shared" ref="S150:X150" si="533">S125</f>
        <v>64833.70199999999</v>
      </c>
      <c r="T150" s="588">
        <f t="shared" si="533"/>
        <v>62322.227000000006</v>
      </c>
      <c r="U150" s="588">
        <f t="shared" si="533"/>
        <v>68900.3</v>
      </c>
      <c r="V150" s="588">
        <f t="shared" si="533"/>
        <v>68467.620999999999</v>
      </c>
      <c r="W150" s="588">
        <f t="shared" si="533"/>
        <v>75157.183999999994</v>
      </c>
      <c r="X150" s="588">
        <f t="shared" si="533"/>
        <v>78376.835000000006</v>
      </c>
      <c r="Y150" s="588">
        <f t="shared" ref="Y150:AD150" si="534">Y125</f>
        <v>81084.86</v>
      </c>
      <c r="Z150" s="588">
        <f t="shared" si="534"/>
        <v>84574.918000000005</v>
      </c>
      <c r="AA150" s="588">
        <f t="shared" si="534"/>
        <v>104015.724</v>
      </c>
      <c r="AB150" s="588">
        <f t="shared" si="534"/>
        <v>127273.39199999999</v>
      </c>
      <c r="AC150" s="588">
        <f t="shared" si="534"/>
        <v>124761.92600000001</v>
      </c>
      <c r="AD150" s="588">
        <f t="shared" si="534"/>
        <v>126047.613</v>
      </c>
      <c r="AE150" s="588">
        <f t="shared" ref="AE150:AJ150" si="535">AE125</f>
        <v>117783.265</v>
      </c>
      <c r="AF150" s="588">
        <f t="shared" si="535"/>
        <v>126818.68000000001</v>
      </c>
      <c r="AG150" s="588">
        <f t="shared" si="535"/>
        <v>124394.594</v>
      </c>
      <c r="AH150" s="588">
        <f t="shared" si="535"/>
        <v>127691.697</v>
      </c>
      <c r="AI150" s="588">
        <f t="shared" si="535"/>
        <v>129286.68700000001</v>
      </c>
      <c r="AJ150" s="588">
        <f t="shared" si="535"/>
        <v>129973.46299999999</v>
      </c>
      <c r="AK150" s="588">
        <f t="shared" ref="AK150:AN150" si="536">AK125</f>
        <v>132854.13199999998</v>
      </c>
      <c r="AL150" s="588">
        <f t="shared" si="536"/>
        <v>136208.13700000002</v>
      </c>
      <c r="AM150" s="588">
        <f t="shared" si="536"/>
        <v>132551.94</v>
      </c>
      <c r="AN150" s="588">
        <f t="shared" si="536"/>
        <v>130601.198</v>
      </c>
      <c r="AO150" s="588">
        <f t="shared" ref="AO150:AR150" si="537">AO125</f>
        <v>123523.76400000001</v>
      </c>
      <c r="AP150" s="588">
        <f t="shared" si="537"/>
        <v>127938.821</v>
      </c>
      <c r="AQ150" s="588">
        <f t="shared" si="537"/>
        <v>125728.95300000001</v>
      </c>
      <c r="AR150" s="588">
        <f t="shared" si="537"/>
        <v>126984.57699999999</v>
      </c>
      <c r="AS150" s="588">
        <f t="shared" ref="AS150:AV150" si="538">AS125</f>
        <v>133072.28599999999</v>
      </c>
      <c r="AT150" s="588">
        <f t="shared" si="538"/>
        <v>142343.53099999999</v>
      </c>
      <c r="AU150" s="588">
        <f t="shared" si="538"/>
        <v>144138.677</v>
      </c>
      <c r="AV150" s="588">
        <f t="shared" si="538"/>
        <v>149036.61499999999</v>
      </c>
      <c r="AW150" s="588">
        <f t="shared" ref="AW150:AZ150" si="539">AW125</f>
        <v>143986.00399999999</v>
      </c>
      <c r="AX150" s="588">
        <f t="shared" si="539"/>
        <v>146134.48199999999</v>
      </c>
      <c r="AY150" s="588">
        <f t="shared" si="539"/>
        <v>137140.66699999999</v>
      </c>
      <c r="AZ150" s="588">
        <f t="shared" si="539"/>
        <v>137429.03699999998</v>
      </c>
      <c r="BB150" s="588">
        <f>BB125</f>
        <v>104015.724</v>
      </c>
    </row>
    <row r="151" spans="1:54" ht="12.75">
      <c r="B151" s="422" t="s">
        <v>572</v>
      </c>
      <c r="C151" s="427">
        <f t="shared" ref="C151:H151" si="540">C134</f>
        <v>6.4881614539861161</v>
      </c>
      <c r="D151" s="427">
        <f t="shared" si="540"/>
        <v>6.1943249358858443</v>
      </c>
      <c r="E151" s="427">
        <f t="shared" si="540"/>
        <v>6.2112769579632836</v>
      </c>
      <c r="F151" s="427">
        <f t="shared" si="540"/>
        <v>7.4787224983526146</v>
      </c>
      <c r="G151" s="427">
        <f t="shared" si="540"/>
        <v>7.475589195436636</v>
      </c>
      <c r="H151" s="427">
        <f t="shared" si="540"/>
        <v>8.9248877384644487</v>
      </c>
      <c r="I151" s="427">
        <f t="shared" ref="I151:N151" si="541">I134</f>
        <v>8.2242916439635305</v>
      </c>
      <c r="J151" s="427">
        <f t="shared" si="541"/>
        <v>7.7900773828558583</v>
      </c>
      <c r="K151" s="427">
        <f t="shared" si="541"/>
        <v>6.712641429277685</v>
      </c>
      <c r="L151" s="427">
        <f t="shared" si="541"/>
        <v>7.3181565528360535</v>
      </c>
      <c r="M151" s="427">
        <f t="shared" si="541"/>
        <v>6.9097745635087851</v>
      </c>
      <c r="N151" s="427">
        <f t="shared" si="541"/>
        <v>6.733767154298107</v>
      </c>
      <c r="O151" s="427"/>
      <c r="P151" s="427"/>
      <c r="Q151" s="427"/>
      <c r="R151" s="427"/>
      <c r="S151" s="427">
        <f t="shared" ref="S151:X151" si="542">S134</f>
        <v>6.1943249358858434</v>
      </c>
      <c r="T151" s="427">
        <f t="shared" si="542"/>
        <v>5.8123780127502327</v>
      </c>
      <c r="U151" s="427">
        <f t="shared" si="542"/>
        <v>6.1273669588730506</v>
      </c>
      <c r="V151" s="427">
        <f t="shared" si="542"/>
        <v>6.0265482386456144</v>
      </c>
      <c r="W151" s="427">
        <f t="shared" si="542"/>
        <v>6.2112769579632827</v>
      </c>
      <c r="X151" s="427">
        <f t="shared" si="542"/>
        <v>6.2017971480230329</v>
      </c>
      <c r="Y151" s="427">
        <f t="shared" ref="Y151:AD151" si="543">Y134</f>
        <v>7.3177354876478748</v>
      </c>
      <c r="Z151" s="427">
        <f t="shared" si="543"/>
        <v>7.0826955834851795</v>
      </c>
      <c r="AA151" s="427">
        <f t="shared" si="543"/>
        <v>7.4787224983526155</v>
      </c>
      <c r="AB151" s="427">
        <f t="shared" si="543"/>
        <v>8.864984127142689</v>
      </c>
      <c r="AC151" s="427">
        <f t="shared" si="543"/>
        <v>9.7333552931072127</v>
      </c>
      <c r="AD151" s="427">
        <f t="shared" si="543"/>
        <v>10.315413785650545</v>
      </c>
      <c r="AE151" s="427">
        <f t="shared" ref="AE151:AJ151" si="544">AE134</f>
        <v>8.9248877384644452</v>
      </c>
      <c r="AF151" s="427">
        <f t="shared" si="544"/>
        <v>9.3235545240037077</v>
      </c>
      <c r="AG151" s="427">
        <f t="shared" si="544"/>
        <v>8.4957720889831592</v>
      </c>
      <c r="AH151" s="427">
        <f t="shared" si="544"/>
        <v>8.1935159999692733</v>
      </c>
      <c r="AI151" s="427">
        <f t="shared" si="544"/>
        <v>8.2242916439635305</v>
      </c>
      <c r="AJ151" s="427">
        <f t="shared" si="544"/>
        <v>7.9312568677230493</v>
      </c>
      <c r="AK151" s="427">
        <f t="shared" ref="AK151:AN151" si="545">AK134</f>
        <v>8.0110487594818984</v>
      </c>
      <c r="AL151" s="427">
        <f t="shared" si="545"/>
        <v>7.9841881280462399</v>
      </c>
      <c r="AM151" s="427">
        <f t="shared" si="545"/>
        <v>7.7900773828558574</v>
      </c>
      <c r="AN151" s="427">
        <f t="shared" si="545"/>
        <v>7.3189705190938437</v>
      </c>
      <c r="AO151" s="427">
        <f t="shared" ref="AO151:AR151" si="546">AO134</f>
        <v>6.8387132719720629</v>
      </c>
      <c r="AP151" s="427">
        <f t="shared" si="546"/>
        <v>6.9072851149602661</v>
      </c>
      <c r="AQ151" s="427">
        <f t="shared" si="546"/>
        <v>6.7126414292776868</v>
      </c>
      <c r="AR151" s="427">
        <f t="shared" si="546"/>
        <v>6.6636947843117982</v>
      </c>
      <c r="AS151" s="427">
        <f t="shared" ref="AS151:AV151" si="547">AS134</f>
        <v>7.0899703290791241</v>
      </c>
      <c r="AT151" s="427">
        <f t="shared" si="547"/>
        <v>7.3128566204813001</v>
      </c>
      <c r="AU151" s="427">
        <f t="shared" si="547"/>
        <v>7.3181565528360544</v>
      </c>
      <c r="AV151" s="427">
        <f t="shared" si="547"/>
        <v>7.2668051244419294</v>
      </c>
      <c r="AW151" s="427">
        <f t="shared" ref="AW151:AZ151" si="548">AW134</f>
        <v>6.9737953090660909</v>
      </c>
      <c r="AX151" s="427">
        <f t="shared" si="548"/>
        <v>6.9624831574770525</v>
      </c>
      <c r="AY151" s="427">
        <f t="shared" si="548"/>
        <v>6.9097745635087842</v>
      </c>
      <c r="AZ151" s="427">
        <f t="shared" si="548"/>
        <v>6.733767154298107</v>
      </c>
      <c r="BB151" s="427">
        <f>BB134</f>
        <v>7.4755891954366369</v>
      </c>
    </row>
    <row r="152" spans="1:54" s="424" customFormat="1" ht="12.75">
      <c r="B152" s="424" t="s">
        <v>573</v>
      </c>
      <c r="C152" s="429">
        <f t="shared" ref="C152:H152" si="549">C133</f>
        <v>5.9321061536091095</v>
      </c>
      <c r="D152" s="429">
        <f t="shared" si="549"/>
        <v>5.9005047678689397</v>
      </c>
      <c r="E152" s="429">
        <f t="shared" si="549"/>
        <v>5.8670969990188881</v>
      </c>
      <c r="F152" s="429">
        <f t="shared" si="549"/>
        <v>7.2661557235693213</v>
      </c>
      <c r="G152" s="429">
        <f t="shared" si="549"/>
        <v>7.2631114781221031</v>
      </c>
      <c r="H152" s="429">
        <f t="shared" si="549"/>
        <v>8.3741225740477532</v>
      </c>
      <c r="I152" s="429">
        <f t="shared" ref="I152:N152" si="550">I133</f>
        <v>7.8168134903677036</v>
      </c>
      <c r="J152" s="429">
        <f t="shared" si="550"/>
        <v>7.4053133784427922</v>
      </c>
      <c r="K152" s="429">
        <f t="shared" si="550"/>
        <v>6.5650458758135501</v>
      </c>
      <c r="L152" s="429">
        <f t="shared" si="550"/>
        <v>7.0957131584547737</v>
      </c>
      <c r="M152" s="429">
        <f t="shared" si="550"/>
        <v>6.2812902826887491</v>
      </c>
      <c r="N152" s="429">
        <f t="shared" si="550"/>
        <v>6.1477445832434725</v>
      </c>
      <c r="O152" s="429"/>
      <c r="P152" s="429"/>
      <c r="Q152" s="429"/>
      <c r="R152" s="429"/>
      <c r="S152" s="429">
        <f t="shared" ref="S152:X152" si="551">S133</f>
        <v>5.9005047678689388</v>
      </c>
      <c r="T152" s="429">
        <f t="shared" si="551"/>
        <v>5.4825020569644334</v>
      </c>
      <c r="U152" s="429">
        <f t="shared" si="551"/>
        <v>5.8308383828963724</v>
      </c>
      <c r="V152" s="429">
        <f t="shared" si="551"/>
        <v>5.5398943701972296</v>
      </c>
      <c r="W152" s="429">
        <f t="shared" si="551"/>
        <v>5.8670969990188873</v>
      </c>
      <c r="X152" s="429">
        <f t="shared" si="551"/>
        <v>5.9482088019438182</v>
      </c>
      <c r="Y152" s="429">
        <f t="shared" ref="Y152:AD152" si="552">Y133</f>
        <v>5.9791851584695115</v>
      </c>
      <c r="Z152" s="429">
        <f t="shared" si="552"/>
        <v>6.0939027552681235</v>
      </c>
      <c r="AA152" s="429">
        <f t="shared" si="552"/>
        <v>7.2661557235693222</v>
      </c>
      <c r="AB152" s="429">
        <f t="shared" si="552"/>
        <v>8.5903490705701966</v>
      </c>
      <c r="AC152" s="429">
        <f t="shared" si="552"/>
        <v>8.6975989950092085</v>
      </c>
      <c r="AD152" s="429">
        <f t="shared" si="552"/>
        <v>9.00304209303658</v>
      </c>
      <c r="AE152" s="429">
        <f t="shared" ref="AE152:AJ152" si="553">AE133</f>
        <v>8.3741225740477496</v>
      </c>
      <c r="AF152" s="429">
        <f t="shared" si="553"/>
        <v>8.9821513120827206</v>
      </c>
      <c r="AG152" s="429">
        <f t="shared" si="553"/>
        <v>8.2494827601528424</v>
      </c>
      <c r="AH152" s="429">
        <f t="shared" si="553"/>
        <v>7.974781377168795</v>
      </c>
      <c r="AI152" s="429">
        <f t="shared" si="553"/>
        <v>7.8168134903677036</v>
      </c>
      <c r="AJ152" s="429">
        <f t="shared" si="553"/>
        <v>7.6751654985435476</v>
      </c>
      <c r="AK152" s="429">
        <f t="shared" ref="AK152:AN152" si="554">AK133</f>
        <v>7.7060595992532797</v>
      </c>
      <c r="AL152" s="429">
        <f t="shared" si="554"/>
        <v>7.7081029222660513</v>
      </c>
      <c r="AM152" s="429">
        <f t="shared" si="554"/>
        <v>7.4053133784427905</v>
      </c>
      <c r="AN152" s="429">
        <f t="shared" si="554"/>
        <v>7.1507746720132355</v>
      </c>
      <c r="AO152" s="429">
        <f t="shared" ref="AO152:AR152" si="555">AO133</f>
        <v>6.6047951533231437</v>
      </c>
      <c r="AP152" s="429">
        <f t="shared" si="555"/>
        <v>6.766412907096516</v>
      </c>
      <c r="AQ152" s="429">
        <f t="shared" si="555"/>
        <v>6.565045875813551</v>
      </c>
      <c r="AR152" s="429">
        <f t="shared" si="555"/>
        <v>6.5708810965907478</v>
      </c>
      <c r="AS152" s="429">
        <f t="shared" ref="AS152:AV152" si="556">AS133</f>
        <v>6.8489952449015439</v>
      </c>
      <c r="AT152" s="429">
        <f t="shared" si="556"/>
        <v>7.1782892746542331</v>
      </c>
      <c r="AU152" s="429">
        <f t="shared" si="556"/>
        <v>7.0957131584547755</v>
      </c>
      <c r="AV152" s="429">
        <f t="shared" si="556"/>
        <v>7.1701723964319797</v>
      </c>
      <c r="AW152" s="429">
        <f t="shared" ref="AW152:AZ152" si="557">AW133</f>
        <v>6.7762705071524367</v>
      </c>
      <c r="AX152" s="429">
        <f t="shared" si="557"/>
        <v>6.8283350438302772</v>
      </c>
      <c r="AY152" s="429">
        <f t="shared" si="557"/>
        <v>6.2812902826887482</v>
      </c>
      <c r="AZ152" s="429">
        <f t="shared" si="557"/>
        <v>6.1477445832434725</v>
      </c>
      <c r="BB152" s="429">
        <f>BB133</f>
        <v>7.263111478122104</v>
      </c>
    </row>
    <row r="153" spans="1:54" s="424" customFormat="1" ht="12.75">
      <c r="C153" s="429"/>
      <c r="D153" s="429"/>
      <c r="E153" s="429"/>
      <c r="F153" s="429"/>
      <c r="G153" s="429"/>
      <c r="H153" s="429"/>
      <c r="I153" s="429"/>
      <c r="J153" s="429"/>
      <c r="K153" s="429"/>
      <c r="L153" s="429"/>
      <c r="M153" s="429"/>
      <c r="N153" s="429"/>
      <c r="O153" s="429"/>
      <c r="P153" s="429"/>
      <c r="Q153" s="429"/>
      <c r="R153" s="429"/>
      <c r="S153" s="429"/>
      <c r="T153" s="429"/>
      <c r="U153" s="429"/>
      <c r="V153" s="429"/>
      <c r="W153" s="429"/>
      <c r="X153" s="429"/>
      <c r="Y153" s="429"/>
      <c r="Z153" s="429"/>
      <c r="AA153" s="429"/>
      <c r="AB153" s="429"/>
      <c r="AC153" s="429"/>
      <c r="AD153" s="429"/>
      <c r="AE153" s="429"/>
      <c r="AF153" s="429"/>
      <c r="AG153" s="429"/>
      <c r="AH153" s="429"/>
      <c r="AI153" s="429"/>
      <c r="AJ153" s="429"/>
      <c r="AK153" s="429"/>
      <c r="AL153" s="429"/>
      <c r="AM153" s="429"/>
      <c r="AN153" s="429"/>
      <c r="AO153" s="429"/>
      <c r="AP153" s="429"/>
      <c r="AQ153" s="429"/>
      <c r="AR153" s="429"/>
      <c r="AS153" s="429"/>
      <c r="AT153" s="429"/>
      <c r="AU153" s="429"/>
      <c r="AV153" s="429"/>
      <c r="AW153" s="429"/>
      <c r="AX153" s="429"/>
      <c r="AY153" s="429"/>
      <c r="AZ153" s="429"/>
      <c r="BB153" s="429"/>
    </row>
    <row r="154" spans="1:54" ht="12.75">
      <c r="B154" s="464" t="s">
        <v>574</v>
      </c>
      <c r="C154" s="460"/>
      <c r="D154" s="460"/>
      <c r="E154" s="460"/>
      <c r="F154" s="460"/>
      <c r="G154" s="460"/>
      <c r="H154" s="460"/>
      <c r="I154" s="460"/>
      <c r="J154" s="460"/>
      <c r="K154" s="460"/>
      <c r="L154" s="460"/>
      <c r="M154" s="460"/>
      <c r="N154" s="460"/>
      <c r="O154" s="741"/>
      <c r="P154" s="460"/>
      <c r="Q154" s="460"/>
      <c r="R154" s="463"/>
      <c r="S154" s="463"/>
      <c r="T154" s="460"/>
      <c r="U154" s="460"/>
      <c r="V154" s="463"/>
      <c r="W154" s="463"/>
      <c r="X154" s="460"/>
      <c r="Y154" s="460"/>
      <c r="Z154" s="460"/>
      <c r="AA154" s="463"/>
      <c r="AB154" s="460"/>
      <c r="AC154" s="460"/>
      <c r="AD154" s="460"/>
      <c r="AE154" s="463"/>
      <c r="AF154" s="460"/>
      <c r="AG154" s="460"/>
      <c r="AH154" s="460"/>
      <c r="AI154" s="463"/>
      <c r="AJ154" s="460"/>
      <c r="AK154" s="460"/>
      <c r="AL154" s="460"/>
      <c r="AM154" s="463"/>
      <c r="AN154" s="460"/>
      <c r="AO154" s="460"/>
      <c r="AP154" s="460"/>
      <c r="AQ154" s="463"/>
      <c r="AR154" s="460"/>
      <c r="AS154" s="460"/>
      <c r="AT154" s="460"/>
      <c r="AU154" s="463"/>
      <c r="AV154" s="460"/>
      <c r="AW154" s="460"/>
      <c r="AX154" s="460"/>
      <c r="AY154" s="463"/>
      <c r="AZ154" s="460"/>
      <c r="BB154" s="463"/>
    </row>
    <row r="155" spans="1:54" s="424" customFormat="1" ht="12.75">
      <c r="A155" s="745"/>
      <c r="B155" s="462" t="s">
        <v>575</v>
      </c>
      <c r="C155" s="461">
        <f t="shared" ref="C155:N155" si="558">+C98</f>
        <v>42735</v>
      </c>
      <c r="D155" s="461">
        <f t="shared" si="558"/>
        <v>43100</v>
      </c>
      <c r="E155" s="461">
        <f t="shared" si="558"/>
        <v>43465</v>
      </c>
      <c r="F155" s="461">
        <f t="shared" si="558"/>
        <v>43830</v>
      </c>
      <c r="G155" s="461">
        <f t="shared" si="558"/>
        <v>43830</v>
      </c>
      <c r="H155" s="461">
        <f t="shared" si="558"/>
        <v>44196</v>
      </c>
      <c r="I155" s="461">
        <f t="shared" si="558"/>
        <v>44561</v>
      </c>
      <c r="J155" s="461">
        <f t="shared" si="558"/>
        <v>44926</v>
      </c>
      <c r="K155" s="461">
        <f t="shared" si="558"/>
        <v>45291</v>
      </c>
      <c r="L155" s="461">
        <f t="shared" si="558"/>
        <v>45657</v>
      </c>
      <c r="M155" s="461">
        <f t="shared" si="558"/>
        <v>46022</v>
      </c>
      <c r="N155" s="697">
        <f t="shared" si="558"/>
        <v>46111</v>
      </c>
      <c r="O155" s="743"/>
      <c r="P155" s="460">
        <f>+P98</f>
        <v>42825</v>
      </c>
      <c r="Q155" s="460">
        <f>+Q98</f>
        <v>42916</v>
      </c>
      <c r="R155" s="460">
        <f>+R98</f>
        <v>43008</v>
      </c>
      <c r="S155" s="460">
        <f>+S98</f>
        <v>43099</v>
      </c>
      <c r="T155" s="460">
        <f>+T98</f>
        <v>43189</v>
      </c>
      <c r="U155" s="460">
        <f>U3</f>
        <v>43281</v>
      </c>
      <c r="V155" s="460">
        <f>V3</f>
        <v>43373</v>
      </c>
      <c r="W155" s="460">
        <f>W3</f>
        <v>43464</v>
      </c>
      <c r="X155" s="460">
        <f>+X98</f>
        <v>43554</v>
      </c>
      <c r="Y155" s="460">
        <f>+Y98</f>
        <v>43646</v>
      </c>
      <c r="Z155" s="460">
        <f>+Z98</f>
        <v>43738</v>
      </c>
      <c r="AA155" s="460">
        <f>AA3</f>
        <v>43829</v>
      </c>
      <c r="AB155" s="460">
        <f>+AB98</f>
        <v>43920</v>
      </c>
      <c r="AC155" s="460">
        <f>+AC98</f>
        <v>44012</v>
      </c>
      <c r="AD155" s="460">
        <f>+AD98</f>
        <v>44104</v>
      </c>
      <c r="AE155" s="564">
        <f>AE3</f>
        <v>44195</v>
      </c>
      <c r="AF155" s="564">
        <f>AF3</f>
        <v>44285</v>
      </c>
      <c r="AG155" s="460">
        <f>+AG98</f>
        <v>44377</v>
      </c>
      <c r="AH155" s="460">
        <f>+AH98</f>
        <v>44469</v>
      </c>
      <c r="AI155" s="564">
        <f>AI3</f>
        <v>44560</v>
      </c>
      <c r="AJ155" s="564">
        <f>AJ3</f>
        <v>44650</v>
      </c>
      <c r="AK155" s="564">
        <f>AK3</f>
        <v>44742</v>
      </c>
      <c r="AL155" s="564">
        <f>+AL98</f>
        <v>44834</v>
      </c>
      <c r="AM155" s="564">
        <f>AM3</f>
        <v>44925</v>
      </c>
      <c r="AN155" s="564">
        <f>AN3</f>
        <v>45015</v>
      </c>
      <c r="AO155" s="564">
        <f>AO3</f>
        <v>45107</v>
      </c>
      <c r="AP155" s="564">
        <f>+AP98</f>
        <v>45199</v>
      </c>
      <c r="AQ155" s="564">
        <f>AQ3</f>
        <v>45290</v>
      </c>
      <c r="AR155" s="564">
        <f>AR3</f>
        <v>45381</v>
      </c>
      <c r="AS155" s="564">
        <f>AS3</f>
        <v>45473</v>
      </c>
      <c r="AT155" s="564">
        <f>+AT98</f>
        <v>45565</v>
      </c>
      <c r="AU155" s="564">
        <f>AU3</f>
        <v>45656</v>
      </c>
      <c r="AV155" s="564">
        <f>AV3</f>
        <v>45746</v>
      </c>
      <c r="AW155" s="564">
        <f>AW3</f>
        <v>45838</v>
      </c>
      <c r="AX155" s="564">
        <f>+AX98</f>
        <v>45930</v>
      </c>
      <c r="AY155" s="564">
        <f>AY3</f>
        <v>46021</v>
      </c>
      <c r="AZ155" s="564">
        <f>AZ3</f>
        <v>46111</v>
      </c>
      <c r="BB155" s="460">
        <f>BB3</f>
        <v>43829</v>
      </c>
    </row>
    <row r="156" spans="1:54" s="424" customFormat="1" ht="12.75">
      <c r="B156" s="459"/>
      <c r="C156" s="458"/>
      <c r="D156" s="458"/>
      <c r="E156" s="458"/>
      <c r="F156" s="458"/>
      <c r="G156" s="458"/>
      <c r="H156" s="458"/>
      <c r="I156" s="458"/>
      <c r="J156" s="458"/>
      <c r="K156" s="458"/>
      <c r="L156" s="458"/>
      <c r="M156" s="458"/>
      <c r="N156" s="458"/>
      <c r="O156" s="740"/>
      <c r="P156" s="458"/>
      <c r="Q156" s="458"/>
      <c r="R156" s="458"/>
      <c r="S156" s="458"/>
      <c r="T156" s="458"/>
      <c r="U156" s="458"/>
      <c r="V156" s="458"/>
      <c r="W156" s="458"/>
      <c r="X156" s="458"/>
      <c r="Y156" s="458"/>
      <c r="Z156" s="458"/>
      <c r="AA156" s="458"/>
      <c r="AB156" s="458"/>
      <c r="AC156" s="458"/>
      <c r="AD156" s="458"/>
      <c r="AE156" s="458"/>
      <c r="AF156" s="458"/>
      <c r="AG156" s="458"/>
      <c r="AH156" s="458"/>
      <c r="AI156" s="458"/>
      <c r="AJ156" s="458"/>
      <c r="AK156" s="458"/>
      <c r="AL156" s="458"/>
      <c r="AM156" s="458"/>
      <c r="AN156" s="458"/>
      <c r="AO156" s="458"/>
      <c r="AP156" s="458"/>
      <c r="AQ156" s="458"/>
      <c r="AR156" s="458"/>
      <c r="AS156" s="458"/>
      <c r="AT156" s="458"/>
      <c r="AU156" s="458"/>
      <c r="AV156" s="458"/>
      <c r="AW156" s="458"/>
      <c r="AX156" s="458"/>
      <c r="AY156" s="458"/>
      <c r="AZ156" s="458"/>
      <c r="BB156" s="458"/>
    </row>
    <row r="157" spans="1:54" s="424" customFormat="1" ht="12.75">
      <c r="A157" s="457"/>
      <c r="B157" s="457"/>
      <c r="C157" s="456"/>
      <c r="D157" s="456"/>
      <c r="E157" s="456"/>
      <c r="F157" s="456"/>
      <c r="G157" s="456"/>
      <c r="H157" s="456"/>
      <c r="I157" s="456"/>
      <c r="J157" s="456"/>
      <c r="K157" s="456"/>
      <c r="L157" s="456"/>
      <c r="M157" s="456"/>
      <c r="N157" s="456"/>
      <c r="O157" s="456"/>
      <c r="P157" s="456"/>
      <c r="Q157" s="456"/>
      <c r="R157" s="456"/>
      <c r="S157" s="456"/>
      <c r="T157" s="456"/>
      <c r="U157" s="456"/>
      <c r="V157" s="456"/>
      <c r="W157" s="456"/>
      <c r="X157" s="456"/>
      <c r="Y157" s="456"/>
      <c r="Z157" s="456"/>
      <c r="AA157" s="456"/>
      <c r="AB157" s="456"/>
      <c r="AC157" s="456"/>
      <c r="AD157" s="456"/>
      <c r="AE157" s="456"/>
      <c r="AF157" s="456"/>
      <c r="AG157" s="456"/>
      <c r="AH157" s="456"/>
      <c r="AI157" s="456"/>
      <c r="AJ157" s="456"/>
      <c r="AK157" s="456"/>
      <c r="AL157" s="456"/>
      <c r="AM157" s="456"/>
      <c r="AN157" s="456"/>
      <c r="AO157" s="456"/>
      <c r="AP157" s="456"/>
      <c r="AQ157" s="456"/>
      <c r="AR157" s="456"/>
      <c r="AS157" s="456"/>
      <c r="AT157" s="456"/>
      <c r="AU157" s="456"/>
      <c r="AV157" s="456"/>
      <c r="AW157" s="456"/>
      <c r="AX157" s="456"/>
      <c r="AY157" s="456"/>
      <c r="AZ157" s="456"/>
      <c r="BB157" s="456"/>
    </row>
    <row r="158" spans="1:54" s="424" customFormat="1" ht="12.75">
      <c r="B158" s="424" t="str">
        <f t="shared" ref="B158:N158" si="559">+B14</f>
        <v>Total revenues</v>
      </c>
      <c r="C158" s="455">
        <f t="shared" si="559"/>
        <v>13252.848</v>
      </c>
      <c r="D158" s="455">
        <f t="shared" si="559"/>
        <v>14621.119999999999</v>
      </c>
      <c r="E158" s="455">
        <f t="shared" si="559"/>
        <v>17205.128999999997</v>
      </c>
      <c r="F158" s="455">
        <f t="shared" si="559"/>
        <v>19189.082999999999</v>
      </c>
      <c r="G158" s="455">
        <f t="shared" si="559"/>
        <v>19189.082999999999</v>
      </c>
      <c r="H158" s="455">
        <f t="shared" si="559"/>
        <v>19193.234999999997</v>
      </c>
      <c r="I158" s="455">
        <f t="shared" si="559"/>
        <v>21868.71</v>
      </c>
      <c r="J158" s="455">
        <f t="shared" si="559"/>
        <v>23900.686000000002</v>
      </c>
      <c r="K158" s="455">
        <f t="shared" si="559"/>
        <v>26057.337</v>
      </c>
      <c r="L158" s="455">
        <f t="shared" si="559"/>
        <v>28324.656999999999</v>
      </c>
      <c r="M158" s="455">
        <f t="shared" si="559"/>
        <v>30508.817999999999</v>
      </c>
      <c r="N158" s="455">
        <f t="shared" si="559"/>
        <v>30911.22</v>
      </c>
      <c r="O158" s="455"/>
      <c r="P158" s="455">
        <f t="shared" ref="P158:AY158" si="560">+P14</f>
        <v>3563.9620000000004</v>
      </c>
      <c r="Q158" s="455">
        <f t="shared" si="560"/>
        <v>3580.056</v>
      </c>
      <c r="R158" s="455">
        <f t="shared" si="560"/>
        <v>3573.2449999999999</v>
      </c>
      <c r="S158" s="455">
        <f t="shared" si="560"/>
        <v>3903.857</v>
      </c>
      <c r="T158" s="455">
        <f t="shared" si="560"/>
        <v>4129.8060000000005</v>
      </c>
      <c r="U158" s="455">
        <f t="shared" si="560"/>
        <v>4215.177999999999</v>
      </c>
      <c r="V158" s="455">
        <f t="shared" si="560"/>
        <v>4345.3470000000007</v>
      </c>
      <c r="W158" s="455">
        <f t="shared" si="560"/>
        <v>4514.7980000000007</v>
      </c>
      <c r="X158" s="455">
        <f t="shared" si="560"/>
        <v>4603.1909999999998</v>
      </c>
      <c r="Y158" s="455">
        <f t="shared" si="560"/>
        <v>4736.9359999999997</v>
      </c>
      <c r="Z158" s="455">
        <f t="shared" si="560"/>
        <v>4755.8550000000005</v>
      </c>
      <c r="AA158" s="455">
        <f t="shared" si="560"/>
        <v>5093.100999999996</v>
      </c>
      <c r="AB158" s="455">
        <f t="shared" si="560"/>
        <v>5169.2369999999992</v>
      </c>
      <c r="AC158" s="455">
        <f t="shared" si="560"/>
        <v>4298.2709999999997</v>
      </c>
      <c r="AD158" s="455">
        <f t="shared" si="560"/>
        <v>4534.3</v>
      </c>
      <c r="AE158" s="455">
        <f t="shared" si="560"/>
        <v>5191.4270000000006</v>
      </c>
      <c r="AF158" s="455">
        <f t="shared" si="560"/>
        <v>5369.491</v>
      </c>
      <c r="AG158" s="455">
        <f t="shared" si="560"/>
        <v>5285.5459999999994</v>
      </c>
      <c r="AH158" s="455">
        <f t="shared" si="560"/>
        <v>5395.5860000000011</v>
      </c>
      <c r="AI158" s="455">
        <f t="shared" si="560"/>
        <v>5818.0869999999977</v>
      </c>
      <c r="AJ158" s="455">
        <f t="shared" si="560"/>
        <v>5849.3739999999998</v>
      </c>
      <c r="AK158" s="455">
        <f t="shared" si="560"/>
        <v>5801.3240000000005</v>
      </c>
      <c r="AL158" s="455">
        <f t="shared" si="560"/>
        <v>6018.4270000000006</v>
      </c>
      <c r="AM158" s="455">
        <f t="shared" si="560"/>
        <v>6231.5610000000024</v>
      </c>
      <c r="AN158" s="455">
        <f t="shared" si="560"/>
        <v>6377.5910000000003</v>
      </c>
      <c r="AO158" s="455">
        <f t="shared" si="560"/>
        <v>6448.6320000000005</v>
      </c>
      <c r="AP158" s="455">
        <f t="shared" si="560"/>
        <v>6448.112000000001</v>
      </c>
      <c r="AQ158" s="455">
        <f t="shared" si="560"/>
        <v>6783.0019999999986</v>
      </c>
      <c r="AR158" s="455">
        <f t="shared" si="560"/>
        <v>6823.7649999999994</v>
      </c>
      <c r="AS158" s="455">
        <f t="shared" si="560"/>
        <v>6811.9709999999995</v>
      </c>
      <c r="AT158" s="455">
        <f t="shared" si="560"/>
        <v>7160.4319999999989</v>
      </c>
      <c r="AU158" s="455">
        <f t="shared" si="560"/>
        <v>7528.4890000000005</v>
      </c>
      <c r="AV158" s="455">
        <f t="shared" si="560"/>
        <v>7604.7789999999995</v>
      </c>
      <c r="AW158" s="455">
        <f t="shared" si="560"/>
        <v>7505.2660000000005</v>
      </c>
      <c r="AX158" s="455">
        <f t="shared" si="560"/>
        <v>7525.3159999999989</v>
      </c>
      <c r="AY158" s="455">
        <f t="shared" si="560"/>
        <v>7873.4570000000012</v>
      </c>
      <c r="AZ158" s="455">
        <f t="shared" ref="AZ158" si="561">+AZ14</f>
        <v>8007.1809999999996</v>
      </c>
      <c r="BB158" s="455">
        <f>+BB14</f>
        <v>5093.100999999996</v>
      </c>
    </row>
    <row r="159" spans="1:54" s="449" customFormat="1" ht="12.75">
      <c r="B159" s="451" t="s">
        <v>481</v>
      </c>
      <c r="C159" s="450"/>
      <c r="D159" s="450">
        <f>+D158/C158-1</f>
        <v>0.103243619786479</v>
      </c>
      <c r="E159" s="450">
        <f>+E158/D158-1</f>
        <v>0.17673126272132356</v>
      </c>
      <c r="F159" s="450">
        <f>+F158/E158-1</f>
        <v>0.11531177708693741</v>
      </c>
      <c r="G159" s="450">
        <f>+G158/E158-1</f>
        <v>0.11531177708693741</v>
      </c>
      <c r="H159" s="450">
        <f t="shared" ref="H159:M159" si="562">+H158/G158-1</f>
        <v>2.1637302835153527E-4</v>
      </c>
      <c r="I159" s="450">
        <f t="shared" si="562"/>
        <v>0.13939677183132515</v>
      </c>
      <c r="J159" s="450">
        <f t="shared" si="562"/>
        <v>9.291704906233611E-2</v>
      </c>
      <c r="K159" s="450">
        <f t="shared" si="562"/>
        <v>9.0233853538764341E-2</v>
      </c>
      <c r="L159" s="450">
        <f t="shared" si="562"/>
        <v>8.7012728890907054E-2</v>
      </c>
      <c r="M159" s="450">
        <f t="shared" si="562"/>
        <v>7.7111648695339818E-2</v>
      </c>
      <c r="N159" s="450"/>
      <c r="O159" s="736"/>
      <c r="P159" s="452"/>
      <c r="Q159" s="452"/>
      <c r="R159" s="452"/>
      <c r="S159" s="452"/>
      <c r="T159" s="450">
        <f t="shared" ref="T159:AZ159" si="563">T158/P158-1</f>
        <v>0.15876824724842753</v>
      </c>
      <c r="U159" s="450">
        <f t="shared" si="563"/>
        <v>0.17740560482852752</v>
      </c>
      <c r="V159" s="450">
        <f t="shared" si="563"/>
        <v>0.21607866239230744</v>
      </c>
      <c r="W159" s="450">
        <f t="shared" si="563"/>
        <v>0.15649676717154359</v>
      </c>
      <c r="X159" s="450">
        <f t="shared" si="563"/>
        <v>0.11462644976543679</v>
      </c>
      <c r="Y159" s="450">
        <f t="shared" si="563"/>
        <v>0.12378077509419549</v>
      </c>
      <c r="Z159" s="450">
        <f t="shared" si="563"/>
        <v>9.4470706251997827E-2</v>
      </c>
      <c r="AA159" s="450">
        <f t="shared" si="563"/>
        <v>0.12809055909035028</v>
      </c>
      <c r="AB159" s="450">
        <f t="shared" si="563"/>
        <v>0.12296817577198071</v>
      </c>
      <c r="AC159" s="450">
        <f t="shared" si="563"/>
        <v>-9.2605219914307479E-2</v>
      </c>
      <c r="AD159" s="450">
        <f t="shared" si="563"/>
        <v>-4.6585734846836258E-2</v>
      </c>
      <c r="AE159" s="450">
        <f>AE158/BB158-1</f>
        <v>1.930572356605631E-2</v>
      </c>
      <c r="AF159" s="450">
        <f t="shared" si="563"/>
        <v>3.8739566400225245E-2</v>
      </c>
      <c r="AG159" s="450">
        <f t="shared" si="563"/>
        <v>0.22969119443608821</v>
      </c>
      <c r="AH159" s="450">
        <f t="shared" si="563"/>
        <v>0.18994905498092329</v>
      </c>
      <c r="AI159" s="450">
        <f t="shared" si="563"/>
        <v>0.12071054837138173</v>
      </c>
      <c r="AJ159" s="450">
        <f t="shared" si="563"/>
        <v>8.9372158366593846E-2</v>
      </c>
      <c r="AK159" s="450">
        <f t="shared" si="563"/>
        <v>9.7582728444705946E-2</v>
      </c>
      <c r="AL159" s="450">
        <f t="shared" si="563"/>
        <v>0.11543528358180177</v>
      </c>
      <c r="AM159" s="450">
        <f t="shared" si="563"/>
        <v>7.1067001920047668E-2</v>
      </c>
      <c r="AN159" s="450">
        <f t="shared" si="563"/>
        <v>9.030316748424716E-2</v>
      </c>
      <c r="AO159" s="450">
        <f t="shared" si="563"/>
        <v>0.11157935671236419</v>
      </c>
      <c r="AP159" s="450">
        <f t="shared" si="563"/>
        <v>7.1394901026464286E-2</v>
      </c>
      <c r="AQ159" s="450">
        <f t="shared" si="563"/>
        <v>8.8491631551066652E-2</v>
      </c>
      <c r="AR159" s="450">
        <f t="shared" si="563"/>
        <v>6.9959644636979457E-2</v>
      </c>
      <c r="AS159" s="450">
        <f t="shared" si="563"/>
        <v>5.6343577986772919E-2</v>
      </c>
      <c r="AT159" s="450">
        <f t="shared" si="563"/>
        <v>0.11046954519400365</v>
      </c>
      <c r="AU159" s="450">
        <f t="shared" si="563"/>
        <v>0.10990517178087256</v>
      </c>
      <c r="AV159" s="450">
        <f t="shared" si="563"/>
        <v>0.11445499661843583</v>
      </c>
      <c r="AW159" s="450">
        <f t="shared" si="563"/>
        <v>0.10177597643912484</v>
      </c>
      <c r="AX159" s="450">
        <f t="shared" si="563"/>
        <v>5.0958377930270249E-2</v>
      </c>
      <c r="AY159" s="450">
        <f t="shared" si="563"/>
        <v>4.5821678161447998E-2</v>
      </c>
      <c r="AZ159" s="450">
        <f t="shared" si="563"/>
        <v>5.2914358195024436E-2</v>
      </c>
      <c r="BB159" s="450">
        <f>BB158/W158-1</f>
        <v>0.12809055909035028</v>
      </c>
    </row>
    <row r="160" spans="1:54" s="424" customFormat="1" thickBot="1">
      <c r="B160" s="445"/>
      <c r="C160" s="454"/>
      <c r="D160" s="454"/>
      <c r="E160" s="454"/>
      <c r="F160" s="454"/>
      <c r="G160" s="454"/>
      <c r="H160" s="454"/>
      <c r="I160" s="454"/>
      <c r="J160" s="454"/>
      <c r="K160" s="454"/>
      <c r="L160" s="454"/>
      <c r="M160" s="454"/>
      <c r="N160" s="454"/>
      <c r="O160" s="479"/>
      <c r="P160" s="454"/>
      <c r="Q160" s="454"/>
      <c r="R160" s="454"/>
      <c r="S160" s="454"/>
      <c r="T160" s="454"/>
      <c r="U160" s="454"/>
      <c r="V160" s="454"/>
      <c r="W160" s="454"/>
      <c r="X160" s="454"/>
      <c r="Y160" s="454"/>
      <c r="Z160" s="454"/>
      <c r="AA160" s="454"/>
      <c r="AB160" s="454"/>
      <c r="AC160" s="454"/>
      <c r="AD160" s="454"/>
      <c r="AE160" s="454"/>
      <c r="AF160" s="454"/>
      <c r="AG160" s="454"/>
      <c r="AH160" s="454"/>
      <c r="AI160" s="454"/>
      <c r="AJ160" s="454"/>
      <c r="AK160" s="454"/>
      <c r="AL160" s="454"/>
      <c r="AM160" s="454"/>
      <c r="AN160" s="454"/>
      <c r="AO160" s="454"/>
      <c r="AP160" s="454"/>
      <c r="AQ160" s="454"/>
      <c r="AR160" s="454"/>
      <c r="AS160" s="454"/>
      <c r="AT160" s="454"/>
      <c r="AU160" s="454"/>
      <c r="AV160" s="454"/>
      <c r="AW160" s="454"/>
      <c r="AX160" s="454"/>
      <c r="AY160" s="454"/>
      <c r="AZ160" s="454"/>
      <c r="BB160" s="454"/>
    </row>
    <row r="161" spans="2:54" thickTop="1">
      <c r="R161" s="448"/>
      <c r="S161" s="448"/>
      <c r="W161" s="448"/>
      <c r="AA161" s="448"/>
      <c r="AE161" s="448"/>
      <c r="AI161" s="448"/>
      <c r="AM161" s="448"/>
      <c r="AQ161" s="448"/>
      <c r="AU161" s="448"/>
      <c r="AY161" s="448"/>
      <c r="BB161" s="448"/>
    </row>
    <row r="162" spans="2:54" s="424" customFormat="1" ht="13.5" customHeight="1" thickBot="1">
      <c r="B162" s="445" t="str">
        <f t="shared" ref="B162:N162" si="564">+B69</f>
        <v xml:space="preserve">Adj. EBITDA </v>
      </c>
      <c r="C162" s="454">
        <f t="shared" si="564"/>
        <v>9988.4310000000005</v>
      </c>
      <c r="D162" s="454">
        <f t="shared" si="564"/>
        <v>10987.822999999999</v>
      </c>
      <c r="E162" s="454">
        <f t="shared" si="564"/>
        <v>12809.943999999998</v>
      </c>
      <c r="F162" s="454">
        <f t="shared" si="564"/>
        <v>14315.096999999998</v>
      </c>
      <c r="G162" s="454">
        <f t="shared" si="564"/>
        <v>14321.096999999998</v>
      </c>
      <c r="H162" s="454">
        <f t="shared" si="564"/>
        <v>14065.146999999997</v>
      </c>
      <c r="I162" s="454">
        <f t="shared" si="564"/>
        <v>16539.563999999998</v>
      </c>
      <c r="J162" s="454">
        <f t="shared" si="564"/>
        <v>17899.572</v>
      </c>
      <c r="K162" s="454">
        <f t="shared" si="564"/>
        <v>19151.268</v>
      </c>
      <c r="L162" s="454">
        <f t="shared" si="564"/>
        <v>20313.487000000001</v>
      </c>
      <c r="M162" s="454">
        <f t="shared" si="564"/>
        <v>21833.199999999997</v>
      </c>
      <c r="N162" s="454">
        <f t="shared" si="564"/>
        <v>22354.383000000002</v>
      </c>
      <c r="O162" s="479"/>
      <c r="P162" s="453">
        <f t="shared" ref="P162:AY162" si="565">+P69</f>
        <v>2698.4760000000006</v>
      </c>
      <c r="Q162" s="453">
        <f t="shared" si="565"/>
        <v>2693.386</v>
      </c>
      <c r="R162" s="453">
        <f t="shared" si="565"/>
        <v>2684.73</v>
      </c>
      <c r="S162" s="453">
        <f t="shared" si="565"/>
        <v>2911.2309999999998</v>
      </c>
      <c r="T162" s="453">
        <f t="shared" si="565"/>
        <v>3078.1320000000005</v>
      </c>
      <c r="U162" s="453">
        <f t="shared" si="565"/>
        <v>3142.4409999999989</v>
      </c>
      <c r="V162" s="453">
        <f t="shared" si="565"/>
        <v>3227.2080000000005</v>
      </c>
      <c r="W162" s="453">
        <f t="shared" si="565"/>
        <v>3362.1630000000009</v>
      </c>
      <c r="X162" s="453">
        <f t="shared" si="565"/>
        <v>3444.7319999999995</v>
      </c>
      <c r="Y162" s="453">
        <f t="shared" si="565"/>
        <v>3527.0859999999998</v>
      </c>
      <c r="Z162" s="453">
        <f t="shared" si="565"/>
        <v>3544.6320000000005</v>
      </c>
      <c r="AA162" s="453">
        <f t="shared" si="565"/>
        <v>3798.6469999999963</v>
      </c>
      <c r="AB162" s="453">
        <f t="shared" si="565"/>
        <v>3945.4929999999995</v>
      </c>
      <c r="AC162" s="453">
        <f t="shared" si="565"/>
        <v>3055.6379999999999</v>
      </c>
      <c r="AD162" s="453">
        <f t="shared" si="565"/>
        <v>3200.78</v>
      </c>
      <c r="AE162" s="453">
        <f t="shared" si="565"/>
        <v>3863.2360000000008</v>
      </c>
      <c r="AF162" s="453">
        <f t="shared" si="565"/>
        <v>3999.3109999999997</v>
      </c>
      <c r="AG162" s="453">
        <f t="shared" si="565"/>
        <v>4015.7509999999993</v>
      </c>
      <c r="AH162" s="453">
        <f t="shared" si="565"/>
        <v>4133.639000000001</v>
      </c>
      <c r="AI162" s="453">
        <f t="shared" si="565"/>
        <v>4390.8629999999976</v>
      </c>
      <c r="AJ162" s="453">
        <f t="shared" si="565"/>
        <v>4394.0349999999999</v>
      </c>
      <c r="AK162" s="453">
        <f t="shared" si="565"/>
        <v>4321.6790000000001</v>
      </c>
      <c r="AL162" s="453">
        <f t="shared" si="565"/>
        <v>4564.1960000000008</v>
      </c>
      <c r="AM162" s="453">
        <f t="shared" si="565"/>
        <v>4619.6620000000021</v>
      </c>
      <c r="AN162" s="453">
        <f t="shared" si="565"/>
        <v>4758.3860000000004</v>
      </c>
      <c r="AO162" s="453">
        <f t="shared" si="565"/>
        <v>4759.8900000000003</v>
      </c>
      <c r="AP162" s="453">
        <f t="shared" si="565"/>
        <v>4769.9860000000008</v>
      </c>
      <c r="AQ162" s="453">
        <f t="shared" si="565"/>
        <v>4863.0059999999985</v>
      </c>
      <c r="AR162" s="453">
        <f t="shared" si="565"/>
        <v>4932.4679999999998</v>
      </c>
      <c r="AS162" s="453">
        <f t="shared" si="565"/>
        <v>4864.0009999999993</v>
      </c>
      <c r="AT162" s="453">
        <f t="shared" si="565"/>
        <v>5170.253999999999</v>
      </c>
      <c r="AU162" s="453">
        <f t="shared" si="565"/>
        <v>5346.7639999999992</v>
      </c>
      <c r="AV162" s="453">
        <f t="shared" si="565"/>
        <v>5404.619999999999</v>
      </c>
      <c r="AW162" s="453">
        <f t="shared" si="565"/>
        <v>5326.9240000000009</v>
      </c>
      <c r="AX162" s="453">
        <f t="shared" si="565"/>
        <v>5322.8799999999992</v>
      </c>
      <c r="AY162" s="453">
        <f t="shared" si="565"/>
        <v>5778.7760000000017</v>
      </c>
      <c r="AZ162" s="453">
        <f t="shared" ref="AZ162" si="566">+AZ69</f>
        <v>5925.8029999999999</v>
      </c>
      <c r="BB162" s="453">
        <f>+BB69</f>
        <v>3804.6469999999963</v>
      </c>
    </row>
    <row r="163" spans="2:54" s="449" customFormat="1" ht="13.5" customHeight="1" thickTop="1">
      <c r="B163" s="451" t="s">
        <v>515</v>
      </c>
      <c r="C163" s="450"/>
      <c r="D163" s="450">
        <f>+D162/C162-1</f>
        <v>0.10005495357579153</v>
      </c>
      <c r="E163" s="450">
        <f>+E162/D162-1</f>
        <v>0.16583093848526675</v>
      </c>
      <c r="F163" s="450">
        <f>+F162/E162-1</f>
        <v>0.11749879624766524</v>
      </c>
      <c r="G163" s="450">
        <f>+G162/E162-1</f>
        <v>0.11796718237019621</v>
      </c>
      <c r="H163" s="450">
        <f t="shared" ref="H163:M163" si="567">+H162/G162-1</f>
        <v>-1.7872234228984096E-2</v>
      </c>
      <c r="I163" s="450">
        <f t="shared" si="567"/>
        <v>0.17592542758351559</v>
      </c>
      <c r="J163" s="450">
        <f t="shared" si="567"/>
        <v>8.2227560533034705E-2</v>
      </c>
      <c r="K163" s="450">
        <f t="shared" si="567"/>
        <v>6.9928822879116836E-2</v>
      </c>
      <c r="L163" s="450">
        <f t="shared" si="567"/>
        <v>6.0686268919635022E-2</v>
      </c>
      <c r="M163" s="450">
        <f t="shared" si="567"/>
        <v>7.481300477854913E-2</v>
      </c>
      <c r="N163" s="450"/>
      <c r="O163" s="736"/>
      <c r="P163" s="452"/>
      <c r="Q163" s="452"/>
      <c r="R163" s="452"/>
      <c r="S163" s="452"/>
      <c r="T163" s="450">
        <f t="shared" ref="T163:AZ163" si="568">T162/P162-1</f>
        <v>0.14069274657250985</v>
      </c>
      <c r="U163" s="450">
        <f t="shared" si="568"/>
        <v>0.16672508136598285</v>
      </c>
      <c r="V163" s="450">
        <f t="shared" si="568"/>
        <v>0.20206054240091209</v>
      </c>
      <c r="W163" s="450">
        <f t="shared" si="568"/>
        <v>0.15489392631501975</v>
      </c>
      <c r="X163" s="450">
        <f t="shared" si="568"/>
        <v>0.11909820631473855</v>
      </c>
      <c r="Y163" s="450">
        <f t="shared" si="568"/>
        <v>0.12240325275796771</v>
      </c>
      <c r="Z163" s="450">
        <f t="shared" si="568"/>
        <v>9.8358705109803823E-2</v>
      </c>
      <c r="AA163" s="450">
        <f t="shared" si="568"/>
        <v>0.12982237922432538</v>
      </c>
      <c r="AB163" s="450">
        <f t="shared" si="568"/>
        <v>0.14537008974863652</v>
      </c>
      <c r="AC163" s="450">
        <f t="shared" si="568"/>
        <v>-0.13366501412213927</v>
      </c>
      <c r="AD163" s="450">
        <f t="shared" si="568"/>
        <v>-9.7006402921375301E-2</v>
      </c>
      <c r="AE163" s="450">
        <f>AE162/BB162-1</f>
        <v>1.5399326139850622E-2</v>
      </c>
      <c r="AF163" s="450">
        <f t="shared" si="568"/>
        <v>1.3640373965940533E-2</v>
      </c>
      <c r="AG163" s="450">
        <f t="shared" si="568"/>
        <v>0.31421032203421984</v>
      </c>
      <c r="AH163" s="450">
        <f t="shared" si="568"/>
        <v>0.29144739719693358</v>
      </c>
      <c r="AI163" s="450">
        <f t="shared" si="568"/>
        <v>0.13657643488515769</v>
      </c>
      <c r="AJ163" s="450">
        <f t="shared" si="568"/>
        <v>9.8698000730625957E-2</v>
      </c>
      <c r="AK163" s="450">
        <f t="shared" si="568"/>
        <v>7.6182014273295628E-2</v>
      </c>
      <c r="AL163" s="450">
        <f t="shared" si="568"/>
        <v>0.10415931337980888</v>
      </c>
      <c r="AM163" s="450">
        <f t="shared" si="568"/>
        <v>5.2107979684177019E-2</v>
      </c>
      <c r="AN163" s="450">
        <f t="shared" si="568"/>
        <v>8.2919457855934464E-2</v>
      </c>
      <c r="AO163" s="450">
        <f t="shared" si="568"/>
        <v>0.10139832227243173</v>
      </c>
      <c r="AP163" s="450">
        <f t="shared" si="568"/>
        <v>4.5087897189340698E-2</v>
      </c>
      <c r="AQ163" s="450">
        <f t="shared" si="568"/>
        <v>5.2675715236308651E-2</v>
      </c>
      <c r="AR163" s="450">
        <f t="shared" si="568"/>
        <v>3.6584253568331615E-2</v>
      </c>
      <c r="AS163" s="450">
        <f t="shared" si="568"/>
        <v>2.1872564281947504E-2</v>
      </c>
      <c r="AT163" s="450">
        <f t="shared" si="568"/>
        <v>8.3913873122478444E-2</v>
      </c>
      <c r="AU163" s="450">
        <f t="shared" si="568"/>
        <v>9.9477154665242207E-2</v>
      </c>
      <c r="AV163" s="450">
        <f t="shared" si="568"/>
        <v>9.5723276866671814E-2</v>
      </c>
      <c r="AW163" s="450">
        <f t="shared" si="568"/>
        <v>9.5173294577859169E-2</v>
      </c>
      <c r="AX163" s="450">
        <f t="shared" si="568"/>
        <v>2.9520019712764745E-2</v>
      </c>
      <c r="AY163" s="450">
        <f t="shared" si="568"/>
        <v>8.0798778476103061E-2</v>
      </c>
      <c r="AZ163" s="450">
        <f t="shared" si="568"/>
        <v>9.6432866695530972E-2</v>
      </c>
      <c r="BB163" s="450">
        <f>BB162/W162-1</f>
        <v>0.1316069446960173</v>
      </c>
    </row>
    <row r="164" spans="2:54" s="449" customFormat="1" ht="12.75">
      <c r="B164" s="451" t="s">
        <v>516</v>
      </c>
      <c r="C164" s="450">
        <f t="shared" ref="C164:N164" si="569">C162/C158</f>
        <v>0.75368185012006483</v>
      </c>
      <c r="D164" s="450">
        <f t="shared" si="569"/>
        <v>0.75150350999102666</v>
      </c>
      <c r="E164" s="450">
        <f t="shared" si="569"/>
        <v>0.74454216530431128</v>
      </c>
      <c r="F164" s="450">
        <f t="shared" si="569"/>
        <v>0.74600214090480499</v>
      </c>
      <c r="G164" s="450">
        <f t="shared" si="569"/>
        <v>0.74631481869144023</v>
      </c>
      <c r="H164" s="450">
        <f t="shared" si="569"/>
        <v>0.73281794340558015</v>
      </c>
      <c r="I164" s="450">
        <f t="shared" si="569"/>
        <v>0.75631182634915362</v>
      </c>
      <c r="J164" s="450">
        <f t="shared" si="569"/>
        <v>0.74891457090394808</v>
      </c>
      <c r="K164" s="450">
        <f t="shared" si="569"/>
        <v>0.73496643191128852</v>
      </c>
      <c r="L164" s="450">
        <f t="shared" si="569"/>
        <v>0.71716621316897156</v>
      </c>
      <c r="M164" s="450">
        <f t="shared" si="569"/>
        <v>0.71563572210499915</v>
      </c>
      <c r="N164" s="450">
        <f t="shared" si="569"/>
        <v>0.7231802238798728</v>
      </c>
      <c r="O164" s="736"/>
      <c r="P164" s="450">
        <f t="shared" ref="P164:AY164" si="570">P162/P158</f>
        <v>0.75715622108204306</v>
      </c>
      <c r="Q164" s="450">
        <f t="shared" si="570"/>
        <v>0.75233068979926565</v>
      </c>
      <c r="R164" s="450">
        <f t="shared" si="570"/>
        <v>0.7513422673228396</v>
      </c>
      <c r="S164" s="450">
        <f t="shared" si="570"/>
        <v>0.74573197737519581</v>
      </c>
      <c r="T164" s="450">
        <f t="shared" si="570"/>
        <v>0.74534542300534212</v>
      </c>
      <c r="U164" s="450">
        <f t="shared" si="570"/>
        <v>0.74550612097519953</v>
      </c>
      <c r="V164" s="450">
        <f t="shared" si="570"/>
        <v>0.74268130945583866</v>
      </c>
      <c r="W164" s="450">
        <f t="shared" si="570"/>
        <v>0.74469843390557022</v>
      </c>
      <c r="X164" s="450">
        <f t="shared" si="570"/>
        <v>0.74833566541123309</v>
      </c>
      <c r="Y164" s="450">
        <f t="shared" si="570"/>
        <v>0.74459228497070684</v>
      </c>
      <c r="Z164" s="450">
        <f t="shared" si="570"/>
        <v>0.74531961130017632</v>
      </c>
      <c r="AA164" s="450">
        <f t="shared" si="570"/>
        <v>0.74584167877291252</v>
      </c>
      <c r="AB164" s="450">
        <f t="shared" si="570"/>
        <v>0.76326409487512381</v>
      </c>
      <c r="AC164" s="450">
        <f t="shared" si="570"/>
        <v>0.71089933603535005</v>
      </c>
      <c r="AD164" s="450">
        <f t="shared" si="570"/>
        <v>0.70590388814149929</v>
      </c>
      <c r="AE164" s="450">
        <f t="shared" si="570"/>
        <v>0.74415685706454127</v>
      </c>
      <c r="AF164" s="450">
        <f t="shared" si="570"/>
        <v>0.74482125028238244</v>
      </c>
      <c r="AG164" s="450">
        <f t="shared" si="570"/>
        <v>0.75976086481888527</v>
      </c>
      <c r="AH164" s="450">
        <f t="shared" si="570"/>
        <v>0.76611493172382017</v>
      </c>
      <c r="AI164" s="450">
        <f t="shared" si="570"/>
        <v>0.75469187724418685</v>
      </c>
      <c r="AJ164" s="450">
        <f t="shared" si="570"/>
        <v>0.75119747856779207</v>
      </c>
      <c r="AK164" s="450">
        <f t="shared" si="570"/>
        <v>0.7449470155433483</v>
      </c>
      <c r="AL164" s="450">
        <f t="shared" si="570"/>
        <v>0.75837025189472274</v>
      </c>
      <c r="AM164" s="450">
        <f t="shared" si="570"/>
        <v>0.74133303035948783</v>
      </c>
      <c r="AN164" s="450">
        <f t="shared" si="570"/>
        <v>0.74611024758407996</v>
      </c>
      <c r="AO164" s="450">
        <f t="shared" si="570"/>
        <v>0.73812399280963781</v>
      </c>
      <c r="AP164" s="450">
        <f t="shared" si="570"/>
        <v>0.73974924753168059</v>
      </c>
      <c r="AQ164" s="450">
        <f t="shared" si="570"/>
        <v>0.71694008051302349</v>
      </c>
      <c r="AR164" s="450">
        <f t="shared" si="570"/>
        <v>0.72283673309382723</v>
      </c>
      <c r="AS164" s="450">
        <f t="shared" si="570"/>
        <v>0.7140372441397651</v>
      </c>
      <c r="AT164" s="450">
        <f t="shared" si="570"/>
        <v>0.72205894839864404</v>
      </c>
      <c r="AU164" s="450">
        <f t="shared" si="570"/>
        <v>0.71020413259553128</v>
      </c>
      <c r="AV164" s="450">
        <f t="shared" si="570"/>
        <v>0.71068731911867511</v>
      </c>
      <c r="AW164" s="450">
        <f t="shared" si="570"/>
        <v>0.70975818845061589</v>
      </c>
      <c r="AX164" s="450">
        <f t="shared" si="570"/>
        <v>0.70732976528826164</v>
      </c>
      <c r="AY164" s="450">
        <f t="shared" si="570"/>
        <v>0.73395663429672642</v>
      </c>
      <c r="AZ164" s="450">
        <f t="shared" ref="AZ164" si="571">AZ162/AZ158</f>
        <v>0.74006107767515183</v>
      </c>
      <c r="BB164" s="450">
        <f>BB162/BB158</f>
        <v>0.74701974298173146</v>
      </c>
    </row>
    <row r="165" spans="2:54" ht="12.75">
      <c r="R165" s="448"/>
      <c r="S165" s="448"/>
      <c r="W165" s="448"/>
      <c r="AA165" s="448"/>
      <c r="AE165" s="448"/>
      <c r="AI165" s="448"/>
      <c r="AM165" s="448"/>
      <c r="AQ165" s="448"/>
      <c r="AU165" s="448"/>
      <c r="AY165" s="448"/>
      <c r="BB165" s="448"/>
    </row>
    <row r="166" spans="2:54" s="424" customFormat="1" ht="12.75">
      <c r="B166" s="424" t="str">
        <f t="shared" ref="B166:N166" si="572">+B74</f>
        <v xml:space="preserve">Adjusted EBITDA </v>
      </c>
      <c r="C166" s="447">
        <f t="shared" si="572"/>
        <v>9988.4310000000005</v>
      </c>
      <c r="D166" s="447">
        <f t="shared" si="572"/>
        <v>10987.822999999999</v>
      </c>
      <c r="E166" s="447">
        <f t="shared" si="572"/>
        <v>12809.943999999998</v>
      </c>
      <c r="F166" s="447">
        <f t="shared" si="572"/>
        <v>14315.096999999998</v>
      </c>
      <c r="G166" s="447">
        <f t="shared" si="572"/>
        <v>14321.096999999998</v>
      </c>
      <c r="H166" s="447">
        <f t="shared" si="572"/>
        <v>14065.146999999997</v>
      </c>
      <c r="I166" s="447">
        <f t="shared" si="572"/>
        <v>16539.563999999998</v>
      </c>
      <c r="J166" s="447">
        <f t="shared" si="572"/>
        <v>17899.572</v>
      </c>
      <c r="K166" s="447">
        <f t="shared" si="572"/>
        <v>19151.268</v>
      </c>
      <c r="L166" s="447">
        <f t="shared" si="572"/>
        <v>20313.487000000001</v>
      </c>
      <c r="M166" s="447">
        <f t="shared" si="572"/>
        <v>21833.199999999997</v>
      </c>
      <c r="N166" s="447">
        <f t="shared" si="572"/>
        <v>22354.383000000002</v>
      </c>
      <c r="O166" s="477"/>
      <c r="P166" s="447">
        <f t="shared" ref="P166:AY166" si="573">+P74</f>
        <v>2698.4760000000006</v>
      </c>
      <c r="Q166" s="447">
        <f t="shared" si="573"/>
        <v>2693.386</v>
      </c>
      <c r="R166" s="447">
        <f t="shared" si="573"/>
        <v>2684.73</v>
      </c>
      <c r="S166" s="447">
        <f t="shared" si="573"/>
        <v>2911.2309999999998</v>
      </c>
      <c r="T166" s="447">
        <f t="shared" si="573"/>
        <v>3078.1320000000005</v>
      </c>
      <c r="U166" s="447">
        <f t="shared" si="573"/>
        <v>3142.4409999999989</v>
      </c>
      <c r="V166" s="447">
        <f t="shared" si="573"/>
        <v>3227.2080000000005</v>
      </c>
      <c r="W166" s="447">
        <f t="shared" si="573"/>
        <v>3362.1630000000009</v>
      </c>
      <c r="X166" s="447">
        <f t="shared" si="573"/>
        <v>3444.7319999999995</v>
      </c>
      <c r="Y166" s="447">
        <f t="shared" si="573"/>
        <v>3527.0859999999998</v>
      </c>
      <c r="Z166" s="447">
        <f t="shared" si="573"/>
        <v>3544.6320000000005</v>
      </c>
      <c r="AA166" s="447">
        <f t="shared" si="573"/>
        <v>3798.6469999999963</v>
      </c>
      <c r="AB166" s="447">
        <f t="shared" si="573"/>
        <v>3945.4929999999995</v>
      </c>
      <c r="AC166" s="447">
        <f t="shared" si="573"/>
        <v>3055.6379999999999</v>
      </c>
      <c r="AD166" s="447">
        <f t="shared" si="573"/>
        <v>3200.78</v>
      </c>
      <c r="AE166" s="447">
        <f t="shared" si="573"/>
        <v>3863.2360000000008</v>
      </c>
      <c r="AF166" s="447">
        <f t="shared" si="573"/>
        <v>3999.3109999999997</v>
      </c>
      <c r="AG166" s="447">
        <f t="shared" si="573"/>
        <v>4015.7509999999993</v>
      </c>
      <c r="AH166" s="447">
        <f t="shared" si="573"/>
        <v>4133.639000000001</v>
      </c>
      <c r="AI166" s="447">
        <f t="shared" si="573"/>
        <v>4390.8629999999976</v>
      </c>
      <c r="AJ166" s="447">
        <f t="shared" si="573"/>
        <v>4394.0349999999999</v>
      </c>
      <c r="AK166" s="447">
        <f t="shared" si="573"/>
        <v>4321.6790000000001</v>
      </c>
      <c r="AL166" s="447">
        <f t="shared" si="573"/>
        <v>4564.1960000000008</v>
      </c>
      <c r="AM166" s="447">
        <f t="shared" si="573"/>
        <v>4619.6620000000021</v>
      </c>
      <c r="AN166" s="447">
        <f t="shared" si="573"/>
        <v>4758.3860000000004</v>
      </c>
      <c r="AO166" s="447">
        <f t="shared" si="573"/>
        <v>4759.8900000000003</v>
      </c>
      <c r="AP166" s="447">
        <f t="shared" si="573"/>
        <v>4769.9860000000008</v>
      </c>
      <c r="AQ166" s="447">
        <f t="shared" si="573"/>
        <v>4863.0059999999985</v>
      </c>
      <c r="AR166" s="447">
        <f t="shared" si="573"/>
        <v>4932.4679999999998</v>
      </c>
      <c r="AS166" s="447">
        <f t="shared" si="573"/>
        <v>4864.0009999999993</v>
      </c>
      <c r="AT166" s="447">
        <f t="shared" si="573"/>
        <v>5170.253999999999</v>
      </c>
      <c r="AU166" s="447">
        <f t="shared" si="573"/>
        <v>5346.7639999999992</v>
      </c>
      <c r="AV166" s="447">
        <f t="shared" si="573"/>
        <v>5404.619999999999</v>
      </c>
      <c r="AW166" s="447">
        <f t="shared" si="573"/>
        <v>5326.9240000000009</v>
      </c>
      <c r="AX166" s="447">
        <f t="shared" si="573"/>
        <v>5322.8799999999992</v>
      </c>
      <c r="AY166" s="447">
        <f t="shared" si="573"/>
        <v>5778.7760000000017</v>
      </c>
      <c r="AZ166" s="447">
        <f t="shared" ref="AZ166" si="574">+AZ74</f>
        <v>5925.8029999999999</v>
      </c>
      <c r="BB166" s="447">
        <f t="shared" ref="BB166:BB185" si="575">+BB74</f>
        <v>3804.6469999999963</v>
      </c>
    </row>
    <row r="167" spans="2:54" ht="12.75">
      <c r="B167" s="422" t="str">
        <f t="shared" ref="B167:N167" si="576">+B75</f>
        <v>Change in Working Capital</v>
      </c>
      <c r="C167" s="441">
        <f t="shared" si="576"/>
        <v>2751.4519999999993</v>
      </c>
      <c r="D167" s="446">
        <f t="shared" si="576"/>
        <v>-1875.9470000000001</v>
      </c>
      <c r="E167" s="446">
        <f t="shared" si="576"/>
        <v>1572.0349999999999</v>
      </c>
      <c r="F167" s="446">
        <f t="shared" si="576"/>
        <v>-2037.6299999999992</v>
      </c>
      <c r="G167" s="446">
        <f t="shared" si="576"/>
        <v>-3179.6850000000013</v>
      </c>
      <c r="H167" s="446">
        <f t="shared" si="576"/>
        <v>-181.59100000000035</v>
      </c>
      <c r="I167" s="446">
        <f t="shared" si="576"/>
        <v>931.48400000000038</v>
      </c>
      <c r="J167" s="446">
        <f t="shared" si="576"/>
        <v>307.77100000000064</v>
      </c>
      <c r="K167" s="446">
        <f t="shared" si="576"/>
        <v>-1961.2829999999994</v>
      </c>
      <c r="L167" s="446">
        <f t="shared" si="576"/>
        <v>-1689.1569999999992</v>
      </c>
      <c r="M167" s="446">
        <f t="shared" si="576"/>
        <v>-6022.4210000000021</v>
      </c>
      <c r="N167" s="446">
        <f t="shared" si="576"/>
        <v>-7120.3640000000023</v>
      </c>
      <c r="O167" s="737"/>
      <c r="P167" s="446">
        <f t="shared" ref="P167:AY167" si="577">+P75</f>
        <v>-910.75799999999981</v>
      </c>
      <c r="Q167" s="446">
        <f t="shared" si="577"/>
        <v>112.91499999999996</v>
      </c>
      <c r="R167" s="446">
        <f t="shared" si="577"/>
        <v>565.57900000000063</v>
      </c>
      <c r="S167" s="446">
        <f t="shared" si="577"/>
        <v>-1643.6830000000009</v>
      </c>
      <c r="T167" s="446">
        <f t="shared" si="577"/>
        <v>-15.020999999999958</v>
      </c>
      <c r="U167" s="446">
        <f t="shared" si="577"/>
        <v>672.23899999999981</v>
      </c>
      <c r="V167" s="446">
        <f t="shared" si="577"/>
        <v>356.61899999999969</v>
      </c>
      <c r="W167" s="446">
        <f t="shared" si="577"/>
        <v>558.19800000000032</v>
      </c>
      <c r="X167" s="446">
        <f t="shared" si="577"/>
        <v>-670.03600000000006</v>
      </c>
      <c r="Y167" s="446">
        <f t="shared" si="577"/>
        <v>-421.50300000000061</v>
      </c>
      <c r="Z167" s="446">
        <f t="shared" si="577"/>
        <v>1564.398000000001</v>
      </c>
      <c r="AA167" s="446">
        <f t="shared" si="577"/>
        <v>-2510.4889999999996</v>
      </c>
      <c r="AB167" s="446">
        <f t="shared" si="577"/>
        <v>-341.91799999999967</v>
      </c>
      <c r="AC167" s="446">
        <f t="shared" si="577"/>
        <v>404.43599999999969</v>
      </c>
      <c r="AD167" s="446">
        <f t="shared" si="577"/>
        <v>450.8799999999992</v>
      </c>
      <c r="AE167" s="446">
        <f t="shared" si="577"/>
        <v>-694.98899999999958</v>
      </c>
      <c r="AF167" s="446">
        <f t="shared" si="577"/>
        <v>-599.01499999999987</v>
      </c>
      <c r="AG167" s="446">
        <f t="shared" si="577"/>
        <v>-302.60500000000002</v>
      </c>
      <c r="AH167" s="446">
        <f t="shared" si="577"/>
        <v>-688.26999999999953</v>
      </c>
      <c r="AI167" s="446">
        <f t="shared" si="577"/>
        <v>2521.3739999999998</v>
      </c>
      <c r="AJ167" s="446">
        <f t="shared" si="577"/>
        <v>-348.57899999999972</v>
      </c>
      <c r="AK167" s="446">
        <f t="shared" si="577"/>
        <v>394.96299999999974</v>
      </c>
      <c r="AL167" s="446">
        <f t="shared" si="577"/>
        <v>-627.95399999999972</v>
      </c>
      <c r="AM167" s="446">
        <f t="shared" si="577"/>
        <v>889.34100000000035</v>
      </c>
      <c r="AN167" s="446">
        <f t="shared" si="577"/>
        <v>-570.29100000000017</v>
      </c>
      <c r="AO167" s="446">
        <f t="shared" si="577"/>
        <v>-64.103000000000065</v>
      </c>
      <c r="AP167" s="446">
        <f t="shared" si="577"/>
        <v>-1433.509</v>
      </c>
      <c r="AQ167" s="446">
        <f t="shared" si="577"/>
        <v>106.6200000000008</v>
      </c>
      <c r="AR167" s="446">
        <f t="shared" si="577"/>
        <v>-1384.2159999999994</v>
      </c>
      <c r="AS167" s="446">
        <f t="shared" si="577"/>
        <v>409.64099999999871</v>
      </c>
      <c r="AT167" s="446">
        <f t="shared" si="577"/>
        <v>-1046.1649999999991</v>
      </c>
      <c r="AU167" s="446">
        <f t="shared" si="577"/>
        <v>331.58300000000054</v>
      </c>
      <c r="AV167" s="446">
        <f t="shared" si="577"/>
        <v>-929.30600000000004</v>
      </c>
      <c r="AW167" s="446">
        <f t="shared" si="577"/>
        <v>-538.5329999999999</v>
      </c>
      <c r="AX167" s="446">
        <f t="shared" si="577"/>
        <v>-999.41699999999946</v>
      </c>
      <c r="AY167" s="446">
        <f t="shared" si="577"/>
        <v>-3555.1650000000031</v>
      </c>
      <c r="AZ167" s="446">
        <f t="shared" ref="AZ167" si="578">+AZ75</f>
        <v>-2027.2489999999998</v>
      </c>
      <c r="BB167" s="446">
        <f t="shared" si="575"/>
        <v>-3652.5440000000017</v>
      </c>
    </row>
    <row r="168" spans="2:54" ht="12.75">
      <c r="B168" s="422" t="str">
        <f t="shared" ref="B168:N168" si="579">+B76</f>
        <v>Cash interest paid</v>
      </c>
      <c r="C168" s="441">
        <f t="shared" si="579"/>
        <v>-3701.3229999999999</v>
      </c>
      <c r="D168" s="446">
        <f t="shared" si="579"/>
        <v>-4936.4359999999997</v>
      </c>
      <c r="E168" s="446">
        <f t="shared" si="579"/>
        <v>-6118.7690000000002</v>
      </c>
      <c r="F168" s="446">
        <f t="shared" si="579"/>
        <v>-6912.7910000000002</v>
      </c>
      <c r="G168" s="446">
        <f t="shared" si="579"/>
        <v>-4946.9520000000002</v>
      </c>
      <c r="H168" s="446">
        <f t="shared" si="579"/>
        <v>-7398.1689999999999</v>
      </c>
      <c r="I168" s="446">
        <f t="shared" si="579"/>
        <v>-6108.2219999999998</v>
      </c>
      <c r="J168" s="446">
        <f t="shared" si="579"/>
        <v>-7991.3779999999997</v>
      </c>
      <c r="K168" s="446">
        <f t="shared" si="579"/>
        <v>-8273.73</v>
      </c>
      <c r="L168" s="446">
        <f t="shared" si="579"/>
        <v>-9031.3009999999995</v>
      </c>
      <c r="M168" s="446">
        <f t="shared" si="579"/>
        <v>-12361.334999999999</v>
      </c>
      <c r="N168" s="446">
        <f t="shared" si="579"/>
        <v>-11031.535999999998</v>
      </c>
      <c r="O168" s="737"/>
      <c r="P168" s="446">
        <f t="shared" ref="P168:AY168" si="580">+P76</f>
        <v>-1416.0360000000001</v>
      </c>
      <c r="Q168" s="446">
        <f t="shared" si="580"/>
        <v>-935.72800000000007</v>
      </c>
      <c r="R168" s="446">
        <f t="shared" si="580"/>
        <v>-1421.4449999999997</v>
      </c>
      <c r="S168" s="446">
        <f t="shared" si="580"/>
        <v>-1163.2269999999999</v>
      </c>
      <c r="T168" s="446">
        <f t="shared" si="580"/>
        <v>-693.36699999999996</v>
      </c>
      <c r="U168" s="446">
        <f t="shared" si="580"/>
        <v>-2104.3059999999996</v>
      </c>
      <c r="V168" s="446">
        <f t="shared" si="580"/>
        <v>-1071.8230000000005</v>
      </c>
      <c r="W168" s="446">
        <f t="shared" si="580"/>
        <v>-2249.2730000000001</v>
      </c>
      <c r="X168" s="446">
        <f t="shared" si="580"/>
        <v>-1721.998</v>
      </c>
      <c r="Y168" s="446">
        <f t="shared" si="580"/>
        <v>-1787.0279999999998</v>
      </c>
      <c r="Z168" s="446">
        <f t="shared" si="580"/>
        <v>-2047.8590000000004</v>
      </c>
      <c r="AA168" s="446">
        <f t="shared" si="580"/>
        <v>-1355.9059999999999</v>
      </c>
      <c r="AB168" s="446">
        <f t="shared" si="580"/>
        <v>-2207.2249999999999</v>
      </c>
      <c r="AC168" s="446">
        <f t="shared" si="580"/>
        <v>-1706.2170000000001</v>
      </c>
      <c r="AD168" s="446">
        <f t="shared" si="580"/>
        <v>-1494.9610000000002</v>
      </c>
      <c r="AE168" s="446">
        <f t="shared" si="580"/>
        <v>-1989.7660000000001</v>
      </c>
      <c r="AF168" s="446">
        <f t="shared" si="580"/>
        <v>-2251.145</v>
      </c>
      <c r="AG168" s="446">
        <f t="shared" si="580"/>
        <v>-902.67099999999982</v>
      </c>
      <c r="AH168" s="446">
        <f t="shared" si="580"/>
        <v>-2038.2250000000008</v>
      </c>
      <c r="AI168" s="446">
        <f t="shared" si="580"/>
        <v>-916.18099999999913</v>
      </c>
      <c r="AJ168" s="446">
        <f t="shared" si="580"/>
        <v>-2308.2779999999998</v>
      </c>
      <c r="AK168" s="446">
        <f t="shared" si="580"/>
        <v>-1530.663</v>
      </c>
      <c r="AL168" s="446">
        <f t="shared" si="580"/>
        <v>-3409.3500000000008</v>
      </c>
      <c r="AM168" s="446">
        <f t="shared" si="580"/>
        <v>-743.08699999999862</v>
      </c>
      <c r="AN168" s="446">
        <f t="shared" si="580"/>
        <v>-2635.848</v>
      </c>
      <c r="AO168" s="446">
        <f t="shared" si="580"/>
        <v>-1567.4189999999999</v>
      </c>
      <c r="AP168" s="446">
        <f t="shared" si="580"/>
        <v>-2619.1280000000006</v>
      </c>
      <c r="AQ168" s="446">
        <f t="shared" si="580"/>
        <v>-1451.3349999999991</v>
      </c>
      <c r="AR168" s="446">
        <f t="shared" si="580"/>
        <v>-2812.4160000000002</v>
      </c>
      <c r="AS168" s="446">
        <f t="shared" si="580"/>
        <v>-1377.9009999999998</v>
      </c>
      <c r="AT168" s="446">
        <f t="shared" si="580"/>
        <v>-3410.6670000000004</v>
      </c>
      <c r="AU168" s="446">
        <f t="shared" si="580"/>
        <v>-1430.3169999999991</v>
      </c>
      <c r="AV168" s="446">
        <f t="shared" si="580"/>
        <v>-3984.2779999999998</v>
      </c>
      <c r="AW168" s="446">
        <f t="shared" si="580"/>
        <v>-1666.4209999999998</v>
      </c>
      <c r="AX168" s="446">
        <f t="shared" si="580"/>
        <v>-3556.6260000000007</v>
      </c>
      <c r="AY168" s="446">
        <f t="shared" si="580"/>
        <v>-3154.0099999999989</v>
      </c>
      <c r="AZ168" s="446">
        <f t="shared" ref="AZ168" si="581">+AZ76</f>
        <v>-2654.4789999999998</v>
      </c>
      <c r="BB168" s="446">
        <f t="shared" si="575"/>
        <v>609.93299999999999</v>
      </c>
    </row>
    <row r="169" spans="2:54" ht="12.75">
      <c r="B169" s="422" t="str">
        <f t="shared" ref="B169:N169" si="582">+B77</f>
        <v>Cash interest income</v>
      </c>
      <c r="C169" s="441">
        <f t="shared" si="582"/>
        <v>171.69800000000001</v>
      </c>
      <c r="D169" s="446">
        <f t="shared" si="582"/>
        <v>494.839</v>
      </c>
      <c r="E169" s="446">
        <f t="shared" si="582"/>
        <v>587.72400000000005</v>
      </c>
      <c r="F169" s="446">
        <f t="shared" si="582"/>
        <v>621.88800000000003</v>
      </c>
      <c r="G169" s="446">
        <f t="shared" si="582"/>
        <v>621.88800000000003</v>
      </c>
      <c r="H169" s="446">
        <f t="shared" si="582"/>
        <v>306.53500000000003</v>
      </c>
      <c r="I169" s="446">
        <f t="shared" si="582"/>
        <v>154.01400000000001</v>
      </c>
      <c r="J169" s="446">
        <f t="shared" si="582"/>
        <v>280.541</v>
      </c>
      <c r="K169" s="446">
        <f t="shared" si="582"/>
        <v>253.99100000000001</v>
      </c>
      <c r="L169" s="446">
        <f t="shared" si="582"/>
        <v>276.447</v>
      </c>
      <c r="M169" s="446">
        <f t="shared" si="582"/>
        <v>328.89299999999997</v>
      </c>
      <c r="N169" s="446">
        <f t="shared" si="582"/>
        <v>438.69999999999993</v>
      </c>
      <c r="O169" s="737"/>
      <c r="P169" s="446">
        <f t="shared" ref="P169:AY169" si="583">+P77</f>
        <v>61.36</v>
      </c>
      <c r="Q169" s="446">
        <f t="shared" si="583"/>
        <v>87.382999999999996</v>
      </c>
      <c r="R169" s="446">
        <f t="shared" si="583"/>
        <v>170.95</v>
      </c>
      <c r="S169" s="446">
        <f t="shared" si="583"/>
        <v>175.14600000000002</v>
      </c>
      <c r="T169" s="446">
        <f t="shared" si="583"/>
        <v>226.21700000000001</v>
      </c>
      <c r="U169" s="446">
        <f t="shared" si="583"/>
        <v>14.10499999999999</v>
      </c>
      <c r="V169" s="446">
        <f t="shared" si="583"/>
        <v>270.87700000000007</v>
      </c>
      <c r="W169" s="446">
        <f t="shared" si="583"/>
        <v>76.524999999999949</v>
      </c>
      <c r="X169" s="446">
        <f t="shared" si="583"/>
        <v>245.54300000000001</v>
      </c>
      <c r="Y169" s="446">
        <f t="shared" si="583"/>
        <v>62.733000000000004</v>
      </c>
      <c r="Z169" s="446">
        <f t="shared" si="583"/>
        <v>291.91099999999994</v>
      </c>
      <c r="AA169" s="446">
        <f t="shared" si="583"/>
        <v>21.701000000000079</v>
      </c>
      <c r="AB169" s="446">
        <f t="shared" si="583"/>
        <v>31.117999999999999</v>
      </c>
      <c r="AC169" s="446">
        <f t="shared" si="583"/>
        <v>122.566</v>
      </c>
      <c r="AD169" s="446">
        <f t="shared" si="583"/>
        <v>94.921999999999997</v>
      </c>
      <c r="AE169" s="446">
        <f t="shared" si="583"/>
        <v>57.92900000000003</v>
      </c>
      <c r="AF169" s="446">
        <f t="shared" si="583"/>
        <v>185.96100000000001</v>
      </c>
      <c r="AG169" s="446">
        <f t="shared" si="583"/>
        <v>-77.830000000000013</v>
      </c>
      <c r="AH169" s="446">
        <f t="shared" si="583"/>
        <v>12.194000000000017</v>
      </c>
      <c r="AI169" s="446">
        <f t="shared" si="583"/>
        <v>33.688999999999993</v>
      </c>
      <c r="AJ169" s="446">
        <f t="shared" si="583"/>
        <v>38.710999999999999</v>
      </c>
      <c r="AK169" s="446">
        <f t="shared" si="583"/>
        <v>79.867000000000004</v>
      </c>
      <c r="AL169" s="446">
        <f t="shared" si="583"/>
        <v>66.157999999999987</v>
      </c>
      <c r="AM169" s="446">
        <f t="shared" si="583"/>
        <v>95.805000000000021</v>
      </c>
      <c r="AN169" s="446">
        <f t="shared" si="583"/>
        <v>95.206000000000003</v>
      </c>
      <c r="AO169" s="446">
        <f t="shared" si="583"/>
        <v>54.500999999999991</v>
      </c>
      <c r="AP169" s="446">
        <f t="shared" si="583"/>
        <v>57.810999999999993</v>
      </c>
      <c r="AQ169" s="446">
        <f t="shared" si="583"/>
        <v>46.473000000000027</v>
      </c>
      <c r="AR169" s="446">
        <f t="shared" si="583"/>
        <v>68.981999999999999</v>
      </c>
      <c r="AS169" s="446">
        <f t="shared" si="583"/>
        <v>62.329000000000008</v>
      </c>
      <c r="AT169" s="446">
        <f t="shared" si="583"/>
        <v>68.766999999999996</v>
      </c>
      <c r="AU169" s="446">
        <f t="shared" si="583"/>
        <v>76.369</v>
      </c>
      <c r="AV169" s="446">
        <f t="shared" si="583"/>
        <v>114.346</v>
      </c>
      <c r="AW169" s="446">
        <f t="shared" si="583"/>
        <v>45.962999999999994</v>
      </c>
      <c r="AX169" s="446">
        <f t="shared" si="583"/>
        <v>36.188000000000017</v>
      </c>
      <c r="AY169" s="446">
        <f t="shared" si="583"/>
        <v>132.39599999999993</v>
      </c>
      <c r="AZ169" s="446">
        <f t="shared" ref="AZ169" si="584">+AZ77</f>
        <v>224.15299999999999</v>
      </c>
      <c r="BB169" s="446">
        <f t="shared" si="575"/>
        <v>21.701000000000079</v>
      </c>
    </row>
    <row r="170" spans="2:54" s="424" customFormat="1" ht="13.5" customHeight="1" thickBot="1">
      <c r="B170" s="445" t="str">
        <f t="shared" ref="B170:N170" si="585">+B78</f>
        <v xml:space="preserve">Net cash from operations </v>
      </c>
      <c r="C170" s="444">
        <f t="shared" si="585"/>
        <v>9210.2579999999998</v>
      </c>
      <c r="D170" s="444">
        <f t="shared" si="585"/>
        <v>4670.2789999999986</v>
      </c>
      <c r="E170" s="444">
        <f t="shared" si="585"/>
        <v>8850.9339999999975</v>
      </c>
      <c r="F170" s="444">
        <f t="shared" si="585"/>
        <v>5986.5639999999985</v>
      </c>
      <c r="G170" s="444">
        <f t="shared" si="585"/>
        <v>6816.3479999999963</v>
      </c>
      <c r="H170" s="444">
        <f t="shared" si="585"/>
        <v>6791.9219999999968</v>
      </c>
      <c r="I170" s="444">
        <f t="shared" si="585"/>
        <v>11516.839999999998</v>
      </c>
      <c r="J170" s="444">
        <f t="shared" si="585"/>
        <v>10496.505999999999</v>
      </c>
      <c r="K170" s="444">
        <f t="shared" si="585"/>
        <v>9170.246000000001</v>
      </c>
      <c r="L170" s="444">
        <f t="shared" si="585"/>
        <v>9869.4760000000024</v>
      </c>
      <c r="M170" s="444">
        <f t="shared" si="585"/>
        <v>3778.3369999999959</v>
      </c>
      <c r="N170" s="444">
        <f t="shared" si="585"/>
        <v>4641.1830000000018</v>
      </c>
      <c r="O170" s="723"/>
      <c r="P170" s="444">
        <f t="shared" ref="P170:AY170" si="586">+P78</f>
        <v>433.04200000000071</v>
      </c>
      <c r="Q170" s="444">
        <f t="shared" si="586"/>
        <v>1957.9559999999999</v>
      </c>
      <c r="R170" s="444">
        <f t="shared" si="586"/>
        <v>1999.814000000001</v>
      </c>
      <c r="S170" s="444">
        <f t="shared" si="586"/>
        <v>279.46699999999902</v>
      </c>
      <c r="T170" s="444">
        <f t="shared" si="586"/>
        <v>2595.9610000000007</v>
      </c>
      <c r="U170" s="444">
        <f t="shared" si="586"/>
        <v>1724.4789999999989</v>
      </c>
      <c r="V170" s="444">
        <f t="shared" si="586"/>
        <v>2782.8809999999999</v>
      </c>
      <c r="W170" s="444">
        <f t="shared" si="586"/>
        <v>1747.613000000001</v>
      </c>
      <c r="X170" s="444">
        <f t="shared" si="586"/>
        <v>1298.2409999999995</v>
      </c>
      <c r="Y170" s="444">
        <f t="shared" si="586"/>
        <v>1381.2879999999993</v>
      </c>
      <c r="Z170" s="444">
        <f t="shared" si="586"/>
        <v>3353.0820000000012</v>
      </c>
      <c r="AA170" s="444">
        <f t="shared" si="586"/>
        <v>-46.047000000003152</v>
      </c>
      <c r="AB170" s="444">
        <f t="shared" si="586"/>
        <v>1427.4679999999998</v>
      </c>
      <c r="AC170" s="444">
        <f t="shared" si="586"/>
        <v>1876.4229999999995</v>
      </c>
      <c r="AD170" s="444">
        <f t="shared" si="586"/>
        <v>2251.6209999999992</v>
      </c>
      <c r="AE170" s="444">
        <f t="shared" si="586"/>
        <v>1236.4100000000012</v>
      </c>
      <c r="AF170" s="444">
        <f t="shared" si="586"/>
        <v>1335.1119999999999</v>
      </c>
      <c r="AG170" s="444">
        <f t="shared" si="586"/>
        <v>2732.6449999999995</v>
      </c>
      <c r="AH170" s="444">
        <f t="shared" si="586"/>
        <v>1419.3380000000006</v>
      </c>
      <c r="AI170" s="444">
        <f t="shared" si="586"/>
        <v>6029.744999999999</v>
      </c>
      <c r="AJ170" s="444">
        <f t="shared" si="586"/>
        <v>1775.8890000000004</v>
      </c>
      <c r="AK170" s="444">
        <f t="shared" si="586"/>
        <v>3265.846</v>
      </c>
      <c r="AL170" s="444">
        <f t="shared" si="586"/>
        <v>593.0500000000003</v>
      </c>
      <c r="AM170" s="444">
        <f t="shared" si="586"/>
        <v>4861.7210000000041</v>
      </c>
      <c r="AN170" s="444">
        <f t="shared" si="586"/>
        <v>1647.4530000000002</v>
      </c>
      <c r="AO170" s="444">
        <f t="shared" si="586"/>
        <v>3182.8690000000006</v>
      </c>
      <c r="AP170" s="444">
        <f t="shared" si="586"/>
        <v>775.1600000000002</v>
      </c>
      <c r="AQ170" s="444">
        <f t="shared" si="586"/>
        <v>3564.7640000000001</v>
      </c>
      <c r="AR170" s="444">
        <f t="shared" si="586"/>
        <v>804.81800000000021</v>
      </c>
      <c r="AS170" s="444">
        <f t="shared" si="586"/>
        <v>3958.0699999999983</v>
      </c>
      <c r="AT170" s="444">
        <f t="shared" si="586"/>
        <v>782.18899999999962</v>
      </c>
      <c r="AU170" s="444">
        <f t="shared" si="586"/>
        <v>4324.3990000000003</v>
      </c>
      <c r="AV170" s="444">
        <f t="shared" si="586"/>
        <v>605.3819999999987</v>
      </c>
      <c r="AW170" s="444">
        <f t="shared" si="586"/>
        <v>3167.9330000000018</v>
      </c>
      <c r="AX170" s="444">
        <f t="shared" si="586"/>
        <v>803.02499999999907</v>
      </c>
      <c r="AY170" s="444">
        <f t="shared" si="586"/>
        <v>-798.00300000000038</v>
      </c>
      <c r="AZ170" s="444">
        <f t="shared" ref="AZ170" si="587">+AZ78</f>
        <v>1468.2280000000003</v>
      </c>
      <c r="BB170" s="444">
        <f t="shared" si="575"/>
        <v>783.73699999999462</v>
      </c>
    </row>
    <row r="171" spans="2:54" s="424" customFormat="1" ht="13.5" customHeight="1" thickTop="1">
      <c r="B171" s="422" t="str">
        <f t="shared" ref="B171:N171" si="588">+B79</f>
        <v>Net Capex</v>
      </c>
      <c r="C171" s="437">
        <f t="shared" si="588"/>
        <v>-5878.59</v>
      </c>
      <c r="D171" s="437">
        <f t="shared" si="588"/>
        <v>-5965.4059999999999</v>
      </c>
      <c r="E171" s="437">
        <f t="shared" si="588"/>
        <v>-8016.1899999999987</v>
      </c>
      <c r="F171" s="437">
        <f t="shared" si="588"/>
        <v>-9396.1939999999995</v>
      </c>
      <c r="G171" s="437">
        <f t="shared" si="588"/>
        <v>-7150.7889999999998</v>
      </c>
      <c r="H171" s="437">
        <f t="shared" si="588"/>
        <v>-3348.4740000000002</v>
      </c>
      <c r="I171" s="437">
        <f t="shared" si="588"/>
        <v>-4592.7299999999996</v>
      </c>
      <c r="J171" s="437">
        <f t="shared" si="588"/>
        <v>-6107.2269999999999</v>
      </c>
      <c r="K171" s="437">
        <f t="shared" si="588"/>
        <v>-2336.732</v>
      </c>
      <c r="L171" s="437">
        <f t="shared" si="588"/>
        <v>-1544.3249999999998</v>
      </c>
      <c r="M171" s="437">
        <f t="shared" si="588"/>
        <v>-3035.377</v>
      </c>
      <c r="N171" s="437">
        <f t="shared" si="588"/>
        <v>-3388.0829999999996</v>
      </c>
      <c r="O171" s="478"/>
      <c r="P171" s="437">
        <f t="shared" ref="P171:AY171" si="589">+P79</f>
        <v>-1728.846</v>
      </c>
      <c r="Q171" s="437">
        <f t="shared" si="589"/>
        <v>-860.61400000000003</v>
      </c>
      <c r="R171" s="437">
        <f t="shared" si="589"/>
        <v>-2177.9340000000002</v>
      </c>
      <c r="S171" s="437">
        <f t="shared" si="589"/>
        <v>-1198.0119999999993</v>
      </c>
      <c r="T171" s="437">
        <f t="shared" si="589"/>
        <v>-455.78199999999993</v>
      </c>
      <c r="U171" s="437">
        <f t="shared" si="589"/>
        <v>-2926.6640000000007</v>
      </c>
      <c r="V171" s="437">
        <f t="shared" si="589"/>
        <v>-2637.99</v>
      </c>
      <c r="W171" s="437">
        <f t="shared" si="589"/>
        <v>-1995.7539999999983</v>
      </c>
      <c r="X171" s="437">
        <f t="shared" si="589"/>
        <v>-1990.15</v>
      </c>
      <c r="Y171" s="437">
        <f t="shared" si="589"/>
        <v>-2065.451</v>
      </c>
      <c r="Z171" s="437">
        <f t="shared" si="589"/>
        <v>-1885.9699999999998</v>
      </c>
      <c r="AA171" s="437">
        <f t="shared" si="589"/>
        <v>-3454.623</v>
      </c>
      <c r="AB171" s="437">
        <f t="shared" si="589"/>
        <v>-633.36699999999996</v>
      </c>
      <c r="AC171" s="437">
        <f t="shared" si="589"/>
        <v>-563.05099999999993</v>
      </c>
      <c r="AD171" s="437">
        <f t="shared" si="589"/>
        <v>-1654.5449999999998</v>
      </c>
      <c r="AE171" s="437">
        <f t="shared" si="589"/>
        <v>-497.51100000000042</v>
      </c>
      <c r="AF171" s="437">
        <f t="shared" si="589"/>
        <v>-1109.914</v>
      </c>
      <c r="AG171" s="437">
        <f t="shared" si="589"/>
        <v>-1225.653</v>
      </c>
      <c r="AH171" s="437">
        <f t="shared" si="589"/>
        <v>-607.20299999999952</v>
      </c>
      <c r="AI171" s="437">
        <f t="shared" si="589"/>
        <v>-1649.9599999999998</v>
      </c>
      <c r="AJ171" s="437">
        <f t="shared" si="589"/>
        <v>-1800.0550000000001</v>
      </c>
      <c r="AK171" s="437">
        <f t="shared" si="589"/>
        <v>-1972.443</v>
      </c>
      <c r="AL171" s="437">
        <f t="shared" si="589"/>
        <v>-1324.0989999999995</v>
      </c>
      <c r="AM171" s="437">
        <f t="shared" si="589"/>
        <v>-1010.6300000000003</v>
      </c>
      <c r="AN171" s="437">
        <f t="shared" si="589"/>
        <v>-1766.7</v>
      </c>
      <c r="AO171" s="437">
        <f t="shared" si="589"/>
        <v>2207.7820000000002</v>
      </c>
      <c r="AP171" s="437">
        <f t="shared" si="589"/>
        <v>-1641.5350000000005</v>
      </c>
      <c r="AQ171" s="437">
        <f t="shared" si="589"/>
        <v>-1136.2789999999993</v>
      </c>
      <c r="AR171" s="437">
        <f t="shared" si="589"/>
        <v>-674.04700000000003</v>
      </c>
      <c r="AS171" s="437">
        <f t="shared" si="589"/>
        <v>-459.03</v>
      </c>
      <c r="AT171" s="437">
        <f t="shared" si="589"/>
        <v>-484.17699999999991</v>
      </c>
      <c r="AU171" s="437">
        <f t="shared" si="589"/>
        <v>72.929000000000087</v>
      </c>
      <c r="AV171" s="437">
        <f t="shared" si="589"/>
        <v>-693.88</v>
      </c>
      <c r="AW171" s="437">
        <f t="shared" si="589"/>
        <v>-545.89199999999994</v>
      </c>
      <c r="AX171" s="437">
        <f t="shared" si="589"/>
        <v>-226.16499999999996</v>
      </c>
      <c r="AY171" s="437">
        <f t="shared" si="589"/>
        <v>-1569.44</v>
      </c>
      <c r="AZ171" s="437">
        <f t="shared" ref="AZ171" si="590">+AZ79</f>
        <v>-1046.586</v>
      </c>
      <c r="BB171" s="437">
        <f t="shared" si="575"/>
        <v>-1209.2179999999994</v>
      </c>
    </row>
    <row r="172" spans="2:54" ht="12.75">
      <c r="B172" s="422" t="str">
        <f t="shared" ref="B172:N172" si="591">+B80</f>
        <v>Acquisition of investment properties</v>
      </c>
      <c r="C172" s="437">
        <f t="shared" si="591"/>
        <v>-2529.1709999999998</v>
      </c>
      <c r="D172" s="437">
        <f t="shared" si="591"/>
        <v>-10052.514999999999</v>
      </c>
      <c r="E172" s="437">
        <f t="shared" si="591"/>
        <v>-2543.19</v>
      </c>
      <c r="F172" s="437">
        <f t="shared" si="591"/>
        <v>-17976.504000000001</v>
      </c>
      <c r="G172" s="437">
        <f t="shared" si="591"/>
        <v>-17013.964</v>
      </c>
      <c r="H172" s="437">
        <f t="shared" si="591"/>
        <v>-5582.2659999999996</v>
      </c>
      <c r="I172" s="437">
        <f t="shared" si="591"/>
        <v>-6537.9970000000003</v>
      </c>
      <c r="J172" s="437">
        <f t="shared" si="591"/>
        <v>-3040</v>
      </c>
      <c r="K172" s="437">
        <f t="shared" si="591"/>
        <v>-50</v>
      </c>
      <c r="L172" s="437">
        <f t="shared" si="591"/>
        <v>0</v>
      </c>
      <c r="M172" s="437">
        <f t="shared" si="591"/>
        <v>-651.38099999999997</v>
      </c>
      <c r="N172" s="437">
        <f t="shared" si="591"/>
        <v>-651.38099999999997</v>
      </c>
      <c r="O172" s="478"/>
      <c r="P172" s="437">
        <f t="shared" ref="P172:AY172" si="592">+P80</f>
        <v>36.661999999999999</v>
      </c>
      <c r="Q172" s="437">
        <f t="shared" si="592"/>
        <v>-950.42000000000007</v>
      </c>
      <c r="R172" s="437">
        <f t="shared" si="592"/>
        <v>-256.89799999999985</v>
      </c>
      <c r="S172" s="437">
        <f t="shared" si="592"/>
        <v>-8881.8590000000004</v>
      </c>
      <c r="T172" s="437">
        <f t="shared" si="592"/>
        <v>-1220.6959999999999</v>
      </c>
      <c r="U172" s="437">
        <f t="shared" si="592"/>
        <v>-907.98399999999992</v>
      </c>
      <c r="V172" s="437">
        <f t="shared" si="592"/>
        <v>-296.95200000000023</v>
      </c>
      <c r="W172" s="437">
        <f t="shared" si="592"/>
        <v>-117.55799999999999</v>
      </c>
      <c r="X172" s="437">
        <f t="shared" si="592"/>
        <v>0</v>
      </c>
      <c r="Y172" s="437">
        <f t="shared" si="592"/>
        <v>-400</v>
      </c>
      <c r="Z172" s="437">
        <f t="shared" si="592"/>
        <v>0</v>
      </c>
      <c r="AA172" s="437">
        <f t="shared" si="592"/>
        <v>-17576.504000000001</v>
      </c>
      <c r="AB172" s="437">
        <f t="shared" si="592"/>
        <v>-1233.329</v>
      </c>
      <c r="AC172" s="437">
        <f t="shared" si="592"/>
        <v>-1764.0809999999999</v>
      </c>
      <c r="AD172" s="437">
        <f t="shared" si="592"/>
        <v>-1518.2449999999997</v>
      </c>
      <c r="AE172" s="437">
        <f t="shared" si="592"/>
        <v>-1066.6109999999996</v>
      </c>
      <c r="AF172" s="437">
        <f t="shared" si="592"/>
        <v>-3176.5119999999997</v>
      </c>
      <c r="AG172" s="437">
        <f t="shared" si="592"/>
        <v>-752.69799999999987</v>
      </c>
      <c r="AH172" s="437">
        <f t="shared" si="592"/>
        <v>-979.89300000000094</v>
      </c>
      <c r="AI172" s="437">
        <f t="shared" si="592"/>
        <v>-1628.8939999999993</v>
      </c>
      <c r="AJ172" s="437">
        <f t="shared" si="592"/>
        <v>27.962</v>
      </c>
      <c r="AK172" s="437">
        <f t="shared" si="592"/>
        <v>-2977.962</v>
      </c>
      <c r="AL172" s="437">
        <f t="shared" si="592"/>
        <v>9.9999999999999893</v>
      </c>
      <c r="AM172" s="437">
        <f t="shared" si="592"/>
        <v>-100.00000000000001</v>
      </c>
      <c r="AN172" s="437">
        <f t="shared" si="592"/>
        <v>-50</v>
      </c>
      <c r="AO172" s="437">
        <f t="shared" si="592"/>
        <v>0</v>
      </c>
      <c r="AP172" s="437">
        <f t="shared" si="592"/>
        <v>0</v>
      </c>
      <c r="AQ172" s="437">
        <f t="shared" si="592"/>
        <v>0</v>
      </c>
      <c r="AR172" s="437">
        <f t="shared" si="592"/>
        <v>0</v>
      </c>
      <c r="AS172" s="437">
        <f t="shared" si="592"/>
        <v>0</v>
      </c>
      <c r="AT172" s="437">
        <f t="shared" si="592"/>
        <v>0</v>
      </c>
      <c r="AU172" s="437">
        <f t="shared" si="592"/>
        <v>0</v>
      </c>
      <c r="AV172" s="437">
        <f t="shared" si="592"/>
        <v>0</v>
      </c>
      <c r="AW172" s="437">
        <f t="shared" si="592"/>
        <v>0</v>
      </c>
      <c r="AX172" s="437">
        <f t="shared" si="592"/>
        <v>0</v>
      </c>
      <c r="AY172" s="437">
        <f t="shared" si="592"/>
        <v>-651.38099999999997</v>
      </c>
      <c r="AZ172" s="437">
        <f t="shared" ref="AZ172" si="593">+AZ80</f>
        <v>0</v>
      </c>
      <c r="BB172" s="437">
        <f t="shared" si="575"/>
        <v>-16613.964</v>
      </c>
    </row>
    <row r="173" spans="2:54" ht="12.75">
      <c r="B173" s="422" t="str">
        <f t="shared" ref="B173:N173" si="594">+B81</f>
        <v>Purchase and development of intangible assets</v>
      </c>
      <c r="C173" s="437">
        <f t="shared" si="594"/>
        <v>0</v>
      </c>
      <c r="D173" s="437">
        <f t="shared" si="594"/>
        <v>0</v>
      </c>
      <c r="E173" s="437">
        <f t="shared" si="594"/>
        <v>0</v>
      </c>
      <c r="F173" s="437">
        <f t="shared" si="594"/>
        <v>0</v>
      </c>
      <c r="G173" s="437">
        <f t="shared" si="594"/>
        <v>0</v>
      </c>
      <c r="H173" s="437">
        <f t="shared" si="594"/>
        <v>0</v>
      </c>
      <c r="I173" s="437">
        <f t="shared" si="594"/>
        <v>0</v>
      </c>
      <c r="J173" s="437">
        <f t="shared" si="594"/>
        <v>0</v>
      </c>
      <c r="K173" s="437">
        <f t="shared" si="594"/>
        <v>0</v>
      </c>
      <c r="L173" s="437">
        <f t="shared" si="594"/>
        <v>0</v>
      </c>
      <c r="M173" s="437">
        <f t="shared" si="594"/>
        <v>0</v>
      </c>
      <c r="N173" s="437">
        <f t="shared" si="594"/>
        <v>0</v>
      </c>
      <c r="O173" s="478"/>
      <c r="P173" s="437">
        <f t="shared" ref="P173:AY173" si="595">+P81</f>
        <v>0</v>
      </c>
      <c r="Q173" s="437">
        <f t="shared" si="595"/>
        <v>0</v>
      </c>
      <c r="R173" s="437">
        <f t="shared" si="595"/>
        <v>0</v>
      </c>
      <c r="S173" s="437">
        <f t="shared" si="595"/>
        <v>0</v>
      </c>
      <c r="T173" s="437">
        <f t="shared" si="595"/>
        <v>0</v>
      </c>
      <c r="U173" s="437">
        <f t="shared" si="595"/>
        <v>0</v>
      </c>
      <c r="V173" s="437">
        <f t="shared" si="595"/>
        <v>0</v>
      </c>
      <c r="W173" s="437">
        <f t="shared" si="595"/>
        <v>0</v>
      </c>
      <c r="X173" s="437">
        <f t="shared" si="595"/>
        <v>0</v>
      </c>
      <c r="Y173" s="437">
        <f t="shared" si="595"/>
        <v>0</v>
      </c>
      <c r="Z173" s="437">
        <f t="shared" si="595"/>
        <v>0</v>
      </c>
      <c r="AA173" s="437">
        <f t="shared" si="595"/>
        <v>0</v>
      </c>
      <c r="AB173" s="437">
        <f t="shared" si="595"/>
        <v>0</v>
      </c>
      <c r="AC173" s="437">
        <f t="shared" si="595"/>
        <v>0</v>
      </c>
      <c r="AD173" s="437">
        <f t="shared" si="595"/>
        <v>0</v>
      </c>
      <c r="AE173" s="437">
        <f t="shared" si="595"/>
        <v>0</v>
      </c>
      <c r="AF173" s="437">
        <f t="shared" si="595"/>
        <v>0</v>
      </c>
      <c r="AG173" s="437">
        <f t="shared" si="595"/>
        <v>0</v>
      </c>
      <c r="AH173" s="437">
        <f t="shared" si="595"/>
        <v>0</v>
      </c>
      <c r="AI173" s="437">
        <f t="shared" si="595"/>
        <v>0</v>
      </c>
      <c r="AJ173" s="437">
        <f t="shared" si="595"/>
        <v>0</v>
      </c>
      <c r="AK173" s="437">
        <f t="shared" si="595"/>
        <v>0</v>
      </c>
      <c r="AL173" s="437">
        <f t="shared" si="595"/>
        <v>0</v>
      </c>
      <c r="AM173" s="437">
        <f t="shared" si="595"/>
        <v>0</v>
      </c>
      <c r="AN173" s="437">
        <f t="shared" si="595"/>
        <v>0</v>
      </c>
      <c r="AO173" s="437">
        <f t="shared" si="595"/>
        <v>0</v>
      </c>
      <c r="AP173" s="437">
        <f t="shared" si="595"/>
        <v>0</v>
      </c>
      <c r="AQ173" s="437">
        <f t="shared" si="595"/>
        <v>0</v>
      </c>
      <c r="AR173" s="437">
        <f t="shared" si="595"/>
        <v>0</v>
      </c>
      <c r="AS173" s="437">
        <f t="shared" si="595"/>
        <v>0</v>
      </c>
      <c r="AT173" s="437">
        <f t="shared" si="595"/>
        <v>0</v>
      </c>
      <c r="AU173" s="437">
        <f t="shared" si="595"/>
        <v>0</v>
      </c>
      <c r="AV173" s="437">
        <f t="shared" si="595"/>
        <v>0</v>
      </c>
      <c r="AW173" s="437">
        <f t="shared" si="595"/>
        <v>0</v>
      </c>
      <c r="AX173" s="437">
        <f t="shared" si="595"/>
        <v>0</v>
      </c>
      <c r="AY173" s="437">
        <f t="shared" si="595"/>
        <v>0</v>
      </c>
      <c r="AZ173" s="437">
        <f>+AZ81</f>
        <v>0</v>
      </c>
      <c r="BB173" s="437">
        <f t="shared" si="575"/>
        <v>0</v>
      </c>
    </row>
    <row r="174" spans="2:54" ht="12.75">
      <c r="B174" s="422" t="str">
        <f t="shared" ref="B174:N174" si="596">+B82</f>
        <v>Disposals/ Acquisition, of subsidiaries</v>
      </c>
      <c r="C174" s="437">
        <f t="shared" si="596"/>
        <v>0</v>
      </c>
      <c r="D174" s="437">
        <f t="shared" si="596"/>
        <v>0</v>
      </c>
      <c r="E174" s="437">
        <f t="shared" si="596"/>
        <v>0</v>
      </c>
      <c r="F174" s="437">
        <f t="shared" si="596"/>
        <v>0</v>
      </c>
      <c r="G174" s="437">
        <f t="shared" si="596"/>
        <v>-288.82499999999999</v>
      </c>
      <c r="H174" s="437">
        <f t="shared" si="596"/>
        <v>0</v>
      </c>
      <c r="I174" s="437">
        <f t="shared" si="596"/>
        <v>0</v>
      </c>
      <c r="J174" s="437">
        <f t="shared" si="596"/>
        <v>0</v>
      </c>
      <c r="K174" s="437">
        <f t="shared" si="596"/>
        <v>0</v>
      </c>
      <c r="L174" s="437">
        <f t="shared" si="596"/>
        <v>0</v>
      </c>
      <c r="M174" s="437">
        <f t="shared" si="596"/>
        <v>0</v>
      </c>
      <c r="N174" s="437">
        <f t="shared" si="596"/>
        <v>0</v>
      </c>
      <c r="O174" s="478"/>
      <c r="P174" s="437">
        <f t="shared" ref="P174:AY174" si="597">+P82</f>
        <v>0</v>
      </c>
      <c r="Q174" s="437">
        <f t="shared" si="597"/>
        <v>0</v>
      </c>
      <c r="R174" s="437">
        <f t="shared" si="597"/>
        <v>0</v>
      </c>
      <c r="S174" s="437">
        <f t="shared" si="597"/>
        <v>0</v>
      </c>
      <c r="T174" s="437">
        <f t="shared" si="597"/>
        <v>0</v>
      </c>
      <c r="U174" s="437">
        <f t="shared" si="597"/>
        <v>0</v>
      </c>
      <c r="V174" s="437">
        <f t="shared" si="597"/>
        <v>0</v>
      </c>
      <c r="W174" s="437">
        <f t="shared" si="597"/>
        <v>0</v>
      </c>
      <c r="X174" s="437">
        <f t="shared" si="597"/>
        <v>0</v>
      </c>
      <c r="Y174" s="437">
        <f t="shared" si="597"/>
        <v>0</v>
      </c>
      <c r="Z174" s="437">
        <f t="shared" si="597"/>
        <v>0</v>
      </c>
      <c r="AA174" s="437">
        <f t="shared" si="597"/>
        <v>0</v>
      </c>
      <c r="AB174" s="437">
        <f t="shared" si="597"/>
        <v>0</v>
      </c>
      <c r="AC174" s="437">
        <f t="shared" si="597"/>
        <v>0</v>
      </c>
      <c r="AD174" s="437">
        <f t="shared" si="597"/>
        <v>0</v>
      </c>
      <c r="AE174" s="437">
        <f t="shared" si="597"/>
        <v>0</v>
      </c>
      <c r="AF174" s="437">
        <f t="shared" si="597"/>
        <v>0</v>
      </c>
      <c r="AG174" s="437">
        <f t="shared" si="597"/>
        <v>0</v>
      </c>
      <c r="AH174" s="437">
        <f t="shared" si="597"/>
        <v>0</v>
      </c>
      <c r="AI174" s="437">
        <f t="shared" si="597"/>
        <v>0</v>
      </c>
      <c r="AJ174" s="437">
        <f t="shared" si="597"/>
        <v>0</v>
      </c>
      <c r="AK174" s="437">
        <f t="shared" si="597"/>
        <v>0</v>
      </c>
      <c r="AL174" s="437">
        <f t="shared" si="597"/>
        <v>0</v>
      </c>
      <c r="AM174" s="437">
        <f t="shared" si="597"/>
        <v>0</v>
      </c>
      <c r="AN174" s="437">
        <f t="shared" si="597"/>
        <v>0</v>
      </c>
      <c r="AO174" s="437">
        <f t="shared" si="597"/>
        <v>0</v>
      </c>
      <c r="AP174" s="437">
        <f t="shared" si="597"/>
        <v>0</v>
      </c>
      <c r="AQ174" s="437">
        <f t="shared" si="597"/>
        <v>0</v>
      </c>
      <c r="AR174" s="437">
        <f t="shared" si="597"/>
        <v>0</v>
      </c>
      <c r="AS174" s="437">
        <f t="shared" si="597"/>
        <v>0</v>
      </c>
      <c r="AT174" s="437">
        <f t="shared" si="597"/>
        <v>0</v>
      </c>
      <c r="AU174" s="437">
        <f t="shared" si="597"/>
        <v>0</v>
      </c>
      <c r="AV174" s="437">
        <f t="shared" si="597"/>
        <v>0</v>
      </c>
      <c r="AW174" s="437">
        <f t="shared" si="597"/>
        <v>-2501.0219999999999</v>
      </c>
      <c r="AX174" s="437">
        <f t="shared" si="597"/>
        <v>-2498.9780000000001</v>
      </c>
      <c r="AY174" s="437">
        <f t="shared" si="597"/>
        <v>5000</v>
      </c>
      <c r="AZ174" s="437">
        <f t="shared" ref="AZ174" si="598">+AZ82</f>
        <v>0</v>
      </c>
      <c r="BB174" s="437">
        <f t="shared" si="575"/>
        <v>-288.82499999999999</v>
      </c>
    </row>
    <row r="175" spans="2:54" ht="13.5" customHeight="1" thickBot="1">
      <c r="B175" s="426" t="str">
        <f t="shared" ref="B175:N175" si="599">+B83</f>
        <v xml:space="preserve">Free cash flow </v>
      </c>
      <c r="C175" s="436">
        <f t="shared" si="599"/>
        <v>802.49699999999984</v>
      </c>
      <c r="D175" s="436">
        <f t="shared" si="599"/>
        <v>-11347.642</v>
      </c>
      <c r="E175" s="436">
        <f t="shared" si="599"/>
        <v>-1708.4460000000013</v>
      </c>
      <c r="F175" s="436">
        <f t="shared" si="599"/>
        <v>-21386.134000000002</v>
      </c>
      <c r="G175" s="436">
        <f t="shared" si="599"/>
        <v>-17637.230000000003</v>
      </c>
      <c r="H175" s="436">
        <f t="shared" si="599"/>
        <v>-2138.8180000000029</v>
      </c>
      <c r="I175" s="436">
        <f t="shared" si="599"/>
        <v>386.11299999999846</v>
      </c>
      <c r="J175" s="436">
        <f t="shared" si="599"/>
        <v>1349.2789999999995</v>
      </c>
      <c r="K175" s="436">
        <f t="shared" si="599"/>
        <v>6783.514000000001</v>
      </c>
      <c r="L175" s="436">
        <f t="shared" si="599"/>
        <v>8325.1510000000017</v>
      </c>
      <c r="M175" s="436">
        <f t="shared" si="599"/>
        <v>91.578999999995972</v>
      </c>
      <c r="N175" s="436">
        <f t="shared" si="599"/>
        <v>601.71900000000221</v>
      </c>
      <c r="O175" s="477"/>
      <c r="P175" s="436">
        <f t="shared" ref="P175:AY175" si="600">+P83</f>
        <v>-1259.1419999999991</v>
      </c>
      <c r="Q175" s="436">
        <f t="shared" si="600"/>
        <v>146.9219999999998</v>
      </c>
      <c r="R175" s="436">
        <f t="shared" si="600"/>
        <v>-435.01799999999906</v>
      </c>
      <c r="S175" s="436">
        <f t="shared" si="600"/>
        <v>-9800.4040000000005</v>
      </c>
      <c r="T175" s="436">
        <f t="shared" si="600"/>
        <v>919.48300000000108</v>
      </c>
      <c r="U175" s="436">
        <f t="shared" si="600"/>
        <v>-2110.1690000000017</v>
      </c>
      <c r="V175" s="436">
        <f t="shared" si="600"/>
        <v>-152.06100000000015</v>
      </c>
      <c r="W175" s="436">
        <f t="shared" si="600"/>
        <v>-365.69899999999734</v>
      </c>
      <c r="X175" s="436">
        <f t="shared" si="600"/>
        <v>-691.90900000000056</v>
      </c>
      <c r="Y175" s="436">
        <f t="shared" si="600"/>
        <v>-1084.1630000000007</v>
      </c>
      <c r="Z175" s="436">
        <f t="shared" si="600"/>
        <v>1467.1120000000014</v>
      </c>
      <c r="AA175" s="436">
        <f t="shared" si="600"/>
        <v>-21077.174000000003</v>
      </c>
      <c r="AB175" s="436">
        <f t="shared" si="600"/>
        <v>-439.22800000000007</v>
      </c>
      <c r="AC175" s="436">
        <f t="shared" si="600"/>
        <v>-450.70900000000029</v>
      </c>
      <c r="AD175" s="436">
        <f t="shared" si="600"/>
        <v>-921.16900000000032</v>
      </c>
      <c r="AE175" s="436">
        <f t="shared" si="600"/>
        <v>-327.71199999999885</v>
      </c>
      <c r="AF175" s="436">
        <f t="shared" si="600"/>
        <v>-2951.3139999999999</v>
      </c>
      <c r="AG175" s="436">
        <f t="shared" si="600"/>
        <v>754.29399999999964</v>
      </c>
      <c r="AH175" s="436">
        <f t="shared" si="600"/>
        <v>-167.75799999999981</v>
      </c>
      <c r="AI175" s="436">
        <f t="shared" si="600"/>
        <v>2750.8909999999996</v>
      </c>
      <c r="AJ175" s="436">
        <f t="shared" si="600"/>
        <v>3.7960000000002871</v>
      </c>
      <c r="AK175" s="436">
        <f t="shared" si="600"/>
        <v>-1684.559</v>
      </c>
      <c r="AL175" s="436">
        <f t="shared" si="600"/>
        <v>-721.04899999999918</v>
      </c>
      <c r="AM175" s="436">
        <f t="shared" si="600"/>
        <v>3751.091000000004</v>
      </c>
      <c r="AN175" s="436">
        <f t="shared" si="600"/>
        <v>-169.24699999999984</v>
      </c>
      <c r="AO175" s="436">
        <f t="shared" si="600"/>
        <v>5390.6510000000007</v>
      </c>
      <c r="AP175" s="436">
        <f t="shared" si="600"/>
        <v>-866.37500000000034</v>
      </c>
      <c r="AQ175" s="436">
        <f t="shared" si="600"/>
        <v>2428.4850000000006</v>
      </c>
      <c r="AR175" s="436">
        <f t="shared" si="600"/>
        <v>130.77100000000019</v>
      </c>
      <c r="AS175" s="436">
        <f t="shared" si="600"/>
        <v>3499.0399999999981</v>
      </c>
      <c r="AT175" s="436">
        <f t="shared" si="600"/>
        <v>298.01199999999972</v>
      </c>
      <c r="AU175" s="436">
        <f t="shared" si="600"/>
        <v>4397.3280000000004</v>
      </c>
      <c r="AV175" s="436">
        <f t="shared" si="600"/>
        <v>-88.498000000001298</v>
      </c>
      <c r="AW175" s="436">
        <f t="shared" si="600"/>
        <v>121.01900000000205</v>
      </c>
      <c r="AX175" s="436">
        <f t="shared" si="600"/>
        <v>-1922.1180000000008</v>
      </c>
      <c r="AY175" s="436">
        <f t="shared" si="600"/>
        <v>1981.1759999999999</v>
      </c>
      <c r="AZ175" s="436">
        <f t="shared" ref="AZ175" si="601">+AZ83</f>
        <v>421.64200000000028</v>
      </c>
      <c r="BB175" s="436">
        <f t="shared" si="575"/>
        <v>-17328.270000000004</v>
      </c>
    </row>
    <row r="176" spans="2:54" ht="13.5" customHeight="1" thickTop="1">
      <c r="B176" s="443" t="str">
        <f t="shared" ref="B176:N176" si="602">+B84</f>
        <v>Other investing activities</v>
      </c>
      <c r="C176" s="442">
        <f t="shared" si="602"/>
        <v>431.67500000000001</v>
      </c>
      <c r="D176" s="442">
        <f t="shared" si="602"/>
        <v>8.3689999999999714</v>
      </c>
      <c r="E176" s="442">
        <f t="shared" si="602"/>
        <v>1515.3429999999998</v>
      </c>
      <c r="F176" s="442">
        <f t="shared" si="602"/>
        <v>-1477.1790000000001</v>
      </c>
      <c r="G176" s="442">
        <f t="shared" si="602"/>
        <v>-4762.0529999999999</v>
      </c>
      <c r="H176" s="442">
        <f t="shared" si="602"/>
        <v>-1121.059</v>
      </c>
      <c r="I176" s="442">
        <f t="shared" si="602"/>
        <v>-1132.6860000000001</v>
      </c>
      <c r="J176" s="442">
        <f t="shared" si="602"/>
        <v>-1120.797</v>
      </c>
      <c r="K176" s="442">
        <f t="shared" si="602"/>
        <v>-429.76700000000017</v>
      </c>
      <c r="L176" s="442">
        <f t="shared" si="602"/>
        <v>-2275.6999999999998</v>
      </c>
      <c r="M176" s="442">
        <f t="shared" si="602"/>
        <v>-5127.5020000000004</v>
      </c>
      <c r="N176" s="442">
        <f t="shared" si="602"/>
        <v>-2145.1219999999998</v>
      </c>
      <c r="O176" s="478"/>
      <c r="P176" s="442">
        <f t="shared" ref="P176:AY176" si="603">+P84</f>
        <v>0</v>
      </c>
      <c r="Q176" s="442">
        <f t="shared" si="603"/>
        <v>-166.40799999999999</v>
      </c>
      <c r="R176" s="442">
        <f t="shared" si="603"/>
        <v>725.54399999999998</v>
      </c>
      <c r="S176" s="442">
        <f t="shared" si="603"/>
        <v>-550.76700000000005</v>
      </c>
      <c r="T176" s="442">
        <f t="shared" si="603"/>
        <v>2406.0039999999999</v>
      </c>
      <c r="U176" s="442">
        <f t="shared" si="603"/>
        <v>0</v>
      </c>
      <c r="V176" s="442">
        <f t="shared" si="603"/>
        <v>25.952999999999975</v>
      </c>
      <c r="W176" s="442">
        <f t="shared" si="603"/>
        <v>-916.61400000000003</v>
      </c>
      <c r="X176" s="442">
        <f t="shared" si="603"/>
        <v>-1426.875</v>
      </c>
      <c r="Y176" s="442">
        <f t="shared" si="603"/>
        <v>-8.04099999999994</v>
      </c>
      <c r="Z176" s="442">
        <f t="shared" si="603"/>
        <v>-56.98700000000008</v>
      </c>
      <c r="AA176" s="442">
        <f t="shared" si="603"/>
        <v>14.723999999999933</v>
      </c>
      <c r="AB176" s="442">
        <f t="shared" si="603"/>
        <v>0</v>
      </c>
      <c r="AC176" s="442">
        <f t="shared" si="603"/>
        <v>0</v>
      </c>
      <c r="AD176" s="442">
        <f t="shared" si="603"/>
        <v>-838.95399999999995</v>
      </c>
      <c r="AE176" s="442">
        <f t="shared" si="603"/>
        <v>-282.10500000000002</v>
      </c>
      <c r="AF176" s="442">
        <f t="shared" si="603"/>
        <v>-1167.4639999999999</v>
      </c>
      <c r="AG176" s="442">
        <f t="shared" si="603"/>
        <v>-51.72400000000016</v>
      </c>
      <c r="AH176" s="442">
        <f t="shared" si="603"/>
        <v>395.47800000000007</v>
      </c>
      <c r="AI176" s="442">
        <f t="shared" si="603"/>
        <v>-308.97600000000011</v>
      </c>
      <c r="AJ176" s="442">
        <f t="shared" si="603"/>
        <v>-86.995999999999981</v>
      </c>
      <c r="AK176" s="442">
        <f t="shared" si="603"/>
        <v>-185.66500000000008</v>
      </c>
      <c r="AL176" s="442">
        <f t="shared" si="603"/>
        <v>-454.89899999999989</v>
      </c>
      <c r="AM176" s="442">
        <f t="shared" si="603"/>
        <v>-393.23700000000008</v>
      </c>
      <c r="AN176" s="442">
        <f t="shared" si="603"/>
        <v>-436.31700000000001</v>
      </c>
      <c r="AO176" s="442">
        <f t="shared" si="603"/>
        <v>-426.92200000000003</v>
      </c>
      <c r="AP176" s="442">
        <f t="shared" si="603"/>
        <v>710.8929999999998</v>
      </c>
      <c r="AQ176" s="442">
        <f t="shared" si="603"/>
        <v>-277.42099999999982</v>
      </c>
      <c r="AR176" s="442">
        <f t="shared" si="603"/>
        <v>-548.21699999999998</v>
      </c>
      <c r="AS176" s="442">
        <f t="shared" si="603"/>
        <v>-450.32900000000006</v>
      </c>
      <c r="AT176" s="442">
        <f t="shared" si="603"/>
        <v>-1633.509</v>
      </c>
      <c r="AU176" s="442">
        <f t="shared" si="603"/>
        <v>356.35500000000025</v>
      </c>
      <c r="AV176" s="442">
        <f t="shared" si="603"/>
        <v>-2693.4349999999999</v>
      </c>
      <c r="AW176" s="442">
        <f t="shared" si="603"/>
        <v>2323.9690000000001</v>
      </c>
      <c r="AX176" s="442">
        <f t="shared" si="603"/>
        <v>-202.00900000000001</v>
      </c>
      <c r="AY176" s="442">
        <f t="shared" si="603"/>
        <v>-4556.027</v>
      </c>
      <c r="AZ176" s="442">
        <f t="shared" ref="AZ176" si="604">+AZ84</f>
        <v>288.94499999999999</v>
      </c>
      <c r="BB176" s="442">
        <f t="shared" si="575"/>
        <v>-3270.1499999999996</v>
      </c>
    </row>
    <row r="177" spans="2:54" ht="12.75">
      <c r="B177" s="422" t="str">
        <f t="shared" ref="B177:N177" si="605">+B85</f>
        <v>Equity Issuance/Buyback/ Trustor's contributions</v>
      </c>
      <c r="C177" s="437">
        <f t="shared" si="605"/>
        <v>1100</v>
      </c>
      <c r="D177" s="437">
        <f t="shared" si="605"/>
        <v>13622.797</v>
      </c>
      <c r="E177" s="437">
        <f t="shared" si="605"/>
        <v>675.06200000000001</v>
      </c>
      <c r="F177" s="437">
        <f t="shared" si="605"/>
        <v>0</v>
      </c>
      <c r="G177" s="437">
        <f t="shared" si="605"/>
        <v>0</v>
      </c>
      <c r="H177" s="437">
        <f t="shared" si="605"/>
        <v>0</v>
      </c>
      <c r="I177" s="437">
        <f t="shared" si="605"/>
        <v>0</v>
      </c>
      <c r="J177" s="437">
        <f t="shared" si="605"/>
        <v>0</v>
      </c>
      <c r="K177" s="437">
        <f t="shared" si="605"/>
        <v>0</v>
      </c>
      <c r="L177" s="437">
        <f t="shared" si="605"/>
        <v>0</v>
      </c>
      <c r="M177" s="437">
        <f t="shared" si="605"/>
        <v>15341.77</v>
      </c>
      <c r="N177" s="437">
        <f t="shared" si="605"/>
        <v>15341.77</v>
      </c>
      <c r="O177" s="478"/>
      <c r="P177" s="437">
        <f t="shared" ref="P177:AY177" si="606">+P85</f>
        <v>300</v>
      </c>
      <c r="Q177" s="437">
        <f t="shared" si="606"/>
        <v>300</v>
      </c>
      <c r="R177" s="437">
        <f t="shared" si="606"/>
        <v>400</v>
      </c>
      <c r="S177" s="437">
        <f t="shared" si="606"/>
        <v>12622.797</v>
      </c>
      <c r="T177" s="437">
        <f t="shared" si="606"/>
        <v>100</v>
      </c>
      <c r="U177" s="437">
        <f t="shared" si="606"/>
        <v>200</v>
      </c>
      <c r="V177" s="437">
        <f t="shared" si="606"/>
        <v>375.06200000000001</v>
      </c>
      <c r="W177" s="437">
        <f t="shared" si="606"/>
        <v>0</v>
      </c>
      <c r="X177" s="437">
        <f t="shared" si="606"/>
        <v>0</v>
      </c>
      <c r="Y177" s="437">
        <f t="shared" si="606"/>
        <v>0</v>
      </c>
      <c r="Z177" s="437">
        <f t="shared" si="606"/>
        <v>216.953</v>
      </c>
      <c r="AA177" s="437">
        <f t="shared" si="606"/>
        <v>-216.953</v>
      </c>
      <c r="AB177" s="437">
        <f t="shared" si="606"/>
        <v>36.962000000000003</v>
      </c>
      <c r="AC177" s="437">
        <f t="shared" si="606"/>
        <v>-7.3380000000000045</v>
      </c>
      <c r="AD177" s="437">
        <f t="shared" si="606"/>
        <v>-29.623999999999999</v>
      </c>
      <c r="AE177" s="437">
        <f t="shared" si="606"/>
        <v>0</v>
      </c>
      <c r="AF177" s="437">
        <f t="shared" si="606"/>
        <v>0</v>
      </c>
      <c r="AG177" s="437">
        <f t="shared" si="606"/>
        <v>0.1</v>
      </c>
      <c r="AH177" s="437">
        <f t="shared" si="606"/>
        <v>-0.1</v>
      </c>
      <c r="AI177" s="437">
        <f t="shared" si="606"/>
        <v>0</v>
      </c>
      <c r="AJ177" s="437">
        <f t="shared" si="606"/>
        <v>0</v>
      </c>
      <c r="AK177" s="437">
        <f t="shared" si="606"/>
        <v>0</v>
      </c>
      <c r="AL177" s="437">
        <f t="shared" si="606"/>
        <v>0</v>
      </c>
      <c r="AM177" s="437">
        <f t="shared" si="606"/>
        <v>0</v>
      </c>
      <c r="AN177" s="437">
        <f t="shared" si="606"/>
        <v>0</v>
      </c>
      <c r="AO177" s="437">
        <f t="shared" si="606"/>
        <v>0</v>
      </c>
      <c r="AP177" s="437">
        <f t="shared" si="606"/>
        <v>0</v>
      </c>
      <c r="AQ177" s="437">
        <f t="shared" si="606"/>
        <v>0</v>
      </c>
      <c r="AR177" s="437">
        <f t="shared" si="606"/>
        <v>0</v>
      </c>
      <c r="AS177" s="437">
        <f t="shared" si="606"/>
        <v>0</v>
      </c>
      <c r="AT177" s="437">
        <f t="shared" si="606"/>
        <v>0</v>
      </c>
      <c r="AU177" s="437">
        <f t="shared" si="606"/>
        <v>0</v>
      </c>
      <c r="AV177" s="437">
        <f t="shared" si="606"/>
        <v>0</v>
      </c>
      <c r="AW177" s="437">
        <f t="shared" si="606"/>
        <v>0</v>
      </c>
      <c r="AX177" s="437">
        <f t="shared" si="606"/>
        <v>0</v>
      </c>
      <c r="AY177" s="437">
        <f t="shared" si="606"/>
        <v>15341.77</v>
      </c>
      <c r="AZ177" s="437">
        <f t="shared" ref="AZ177" si="607">+AZ85</f>
        <v>0</v>
      </c>
      <c r="BB177" s="437">
        <f t="shared" si="575"/>
        <v>-216.953</v>
      </c>
    </row>
    <row r="178" spans="2:54" s="424" customFormat="1" ht="12.75">
      <c r="B178" s="422" t="str">
        <f t="shared" ref="B178:N178" si="608">+B86</f>
        <v>Distributions to trustors/ beneficiaries</v>
      </c>
      <c r="C178" s="441">
        <f t="shared" si="608"/>
        <v>-6370.7079999999996</v>
      </c>
      <c r="D178" s="441">
        <f t="shared" si="608"/>
        <v>-6767.4920000000002</v>
      </c>
      <c r="E178" s="441">
        <f t="shared" si="608"/>
        <v>-8406.0869999999995</v>
      </c>
      <c r="F178" s="441">
        <f t="shared" si="608"/>
        <v>-9087.6630000000005</v>
      </c>
      <c r="G178" s="441">
        <f t="shared" si="608"/>
        <v>-9087.6630000000005</v>
      </c>
      <c r="H178" s="441">
        <f t="shared" si="608"/>
        <v>-5721.241</v>
      </c>
      <c r="I178" s="441">
        <f t="shared" si="608"/>
        <v>-5156.9340000000002</v>
      </c>
      <c r="J178" s="441">
        <f t="shared" si="608"/>
        <v>-8652.0820000000003</v>
      </c>
      <c r="K178" s="441">
        <f t="shared" si="608"/>
        <v>-10292.848</v>
      </c>
      <c r="L178" s="441">
        <f t="shared" si="608"/>
        <v>-8249.7780000000002</v>
      </c>
      <c r="M178" s="441">
        <f t="shared" si="608"/>
        <v>-8926.3430000000008</v>
      </c>
      <c r="N178" s="441">
        <f t="shared" si="608"/>
        <v>-9896.5619999999999</v>
      </c>
      <c r="O178" s="478"/>
      <c r="P178" s="441">
        <f t="shared" ref="P178:AY178" si="609">+P86</f>
        <v>-1662.539</v>
      </c>
      <c r="Q178" s="441">
        <f t="shared" si="609"/>
        <v>-1684.2610000000002</v>
      </c>
      <c r="R178" s="441">
        <f t="shared" si="609"/>
        <v>-1701.8919999999996</v>
      </c>
      <c r="S178" s="441">
        <f t="shared" si="609"/>
        <v>-1718.8000000000004</v>
      </c>
      <c r="T178" s="441">
        <f t="shared" si="609"/>
        <v>-2020.682</v>
      </c>
      <c r="U178" s="441">
        <f t="shared" si="609"/>
        <v>-2093.7889999999998</v>
      </c>
      <c r="V178" s="441">
        <f t="shared" si="609"/>
        <v>-2127.1130000000003</v>
      </c>
      <c r="W178" s="441">
        <f t="shared" si="609"/>
        <v>-2164.5029999999997</v>
      </c>
      <c r="X178" s="441">
        <f t="shared" si="609"/>
        <v>-2238.761</v>
      </c>
      <c r="Y178" s="441">
        <f t="shared" si="609"/>
        <v>-2258.413</v>
      </c>
      <c r="Z178" s="441">
        <f t="shared" si="609"/>
        <v>-2292.5149999999999</v>
      </c>
      <c r="AA178" s="441">
        <f t="shared" si="609"/>
        <v>-2297.9740000000006</v>
      </c>
      <c r="AB178" s="441">
        <f t="shared" si="609"/>
        <v>-2317.634</v>
      </c>
      <c r="AC178" s="441">
        <f t="shared" si="609"/>
        <v>-1140.8870000000002</v>
      </c>
      <c r="AD178" s="441">
        <f t="shared" si="609"/>
        <v>-1131.5259999999994</v>
      </c>
      <c r="AE178" s="441">
        <f t="shared" si="609"/>
        <v>-1131.194</v>
      </c>
      <c r="AF178" s="441">
        <f t="shared" si="609"/>
        <v>-1213.1669999999999</v>
      </c>
      <c r="AG178" s="441">
        <f t="shared" si="609"/>
        <v>-1257.1620000000003</v>
      </c>
      <c r="AH178" s="441">
        <f t="shared" si="609"/>
        <v>-1268.58</v>
      </c>
      <c r="AI178" s="441">
        <f t="shared" si="609"/>
        <v>-1418.0250000000001</v>
      </c>
      <c r="AJ178" s="441">
        <f t="shared" si="609"/>
        <v>-2587.9839999999999</v>
      </c>
      <c r="AK178" s="441">
        <f t="shared" si="609"/>
        <v>-1919.3250000000003</v>
      </c>
      <c r="AL178" s="441">
        <f t="shared" si="609"/>
        <v>-1992.2230000000004</v>
      </c>
      <c r="AM178" s="441">
        <f t="shared" si="609"/>
        <v>-2152.5499999999997</v>
      </c>
      <c r="AN178" s="441">
        <f t="shared" si="609"/>
        <v>-4196.5529999999999</v>
      </c>
      <c r="AO178" s="441">
        <f t="shared" si="609"/>
        <v>-1481.7600000000002</v>
      </c>
      <c r="AP178" s="441">
        <f t="shared" si="609"/>
        <v>-2345.549</v>
      </c>
      <c r="AQ178" s="441">
        <f t="shared" si="609"/>
        <v>-2268.9859999999999</v>
      </c>
      <c r="AR178" s="441">
        <f t="shared" si="609"/>
        <v>-2689.34</v>
      </c>
      <c r="AS178" s="441">
        <f t="shared" si="609"/>
        <v>-1551.7049999999999</v>
      </c>
      <c r="AT178" s="441">
        <f t="shared" si="609"/>
        <v>-1991.3859999999995</v>
      </c>
      <c r="AU178" s="441">
        <f t="shared" si="609"/>
        <v>-2017.3470000000007</v>
      </c>
      <c r="AV178" s="441">
        <f t="shared" si="609"/>
        <v>-2111.4340000000002</v>
      </c>
      <c r="AW178" s="441">
        <f t="shared" si="609"/>
        <v>-2122.5209999999997</v>
      </c>
      <c r="AX178" s="441">
        <f t="shared" si="609"/>
        <v>-2183.5839999999998</v>
      </c>
      <c r="AY178" s="441">
        <f t="shared" si="609"/>
        <v>-2508.804000000001</v>
      </c>
      <c r="AZ178" s="441">
        <f t="shared" ref="AZ178" si="610">+AZ86</f>
        <v>-3081.6529999999998</v>
      </c>
      <c r="BB178" s="441">
        <f t="shared" si="575"/>
        <v>-2297.9740000000006</v>
      </c>
    </row>
    <row r="179" spans="2:54" ht="12.75">
      <c r="B179" s="422" t="str">
        <f t="shared" ref="B179:N179" si="611">+B87</f>
        <v>Trust certificates repurchase</v>
      </c>
      <c r="C179" s="437">
        <f t="shared" si="611"/>
        <v>0</v>
      </c>
      <c r="D179" s="437">
        <f t="shared" si="611"/>
        <v>0</v>
      </c>
      <c r="E179" s="437">
        <f t="shared" si="611"/>
        <v>-2000.8689999999999</v>
      </c>
      <c r="F179" s="437">
        <f t="shared" si="611"/>
        <v>0</v>
      </c>
      <c r="G179" s="437">
        <f t="shared" si="611"/>
        <v>0</v>
      </c>
      <c r="H179" s="437">
        <f t="shared" si="611"/>
        <v>-1300.864</v>
      </c>
      <c r="I179" s="437">
        <f t="shared" si="611"/>
        <v>-1803.203</v>
      </c>
      <c r="J179" s="437">
        <f t="shared" si="611"/>
        <v>-1037.116</v>
      </c>
      <c r="K179" s="437">
        <f t="shared" si="611"/>
        <v>0</v>
      </c>
      <c r="L179" s="437">
        <f t="shared" si="611"/>
        <v>0</v>
      </c>
      <c r="M179" s="437">
        <f t="shared" si="611"/>
        <v>-198.97399999999999</v>
      </c>
      <c r="N179" s="437">
        <f t="shared" si="611"/>
        <v>-8.2999999999998408E-2</v>
      </c>
      <c r="O179" s="478"/>
      <c r="P179" s="437">
        <f t="shared" ref="P179:AY179" si="612">+P87</f>
        <v>0</v>
      </c>
      <c r="Q179" s="437">
        <f t="shared" si="612"/>
        <v>0</v>
      </c>
      <c r="R179" s="437">
        <f t="shared" si="612"/>
        <v>0</v>
      </c>
      <c r="S179" s="437">
        <f t="shared" si="612"/>
        <v>0</v>
      </c>
      <c r="T179" s="437">
        <f t="shared" si="612"/>
        <v>-4.9889999999999999</v>
      </c>
      <c r="U179" s="437">
        <f t="shared" si="612"/>
        <v>-833.26799999999992</v>
      </c>
      <c r="V179" s="437">
        <f t="shared" si="612"/>
        <v>-318.35300000000001</v>
      </c>
      <c r="W179" s="437">
        <f t="shared" si="612"/>
        <v>-844.2589999999999</v>
      </c>
      <c r="X179" s="437">
        <f t="shared" si="612"/>
        <v>0</v>
      </c>
      <c r="Y179" s="437">
        <f t="shared" si="612"/>
        <v>0</v>
      </c>
      <c r="Z179" s="437">
        <f t="shared" si="612"/>
        <v>0</v>
      </c>
      <c r="AA179" s="437">
        <f t="shared" si="612"/>
        <v>0</v>
      </c>
      <c r="AB179" s="437">
        <f t="shared" si="612"/>
        <v>0</v>
      </c>
      <c r="AC179" s="437">
        <f t="shared" si="612"/>
        <v>0</v>
      </c>
      <c r="AD179" s="437">
        <f t="shared" si="612"/>
        <v>-911.42899999999997</v>
      </c>
      <c r="AE179" s="437">
        <f t="shared" si="612"/>
        <v>-389.43500000000006</v>
      </c>
      <c r="AF179" s="437">
        <f t="shared" si="612"/>
        <v>-1283.4459999999999</v>
      </c>
      <c r="AG179" s="437">
        <f t="shared" si="612"/>
        <v>-446.88600000000019</v>
      </c>
      <c r="AH179" s="437">
        <f t="shared" si="612"/>
        <v>-68.212999999999965</v>
      </c>
      <c r="AI179" s="437">
        <f t="shared" si="612"/>
        <v>-4.6579999999999018</v>
      </c>
      <c r="AJ179" s="437">
        <f t="shared" si="612"/>
        <v>-451.64600000000002</v>
      </c>
      <c r="AK179" s="437">
        <f t="shared" si="612"/>
        <v>-102.49999999999994</v>
      </c>
      <c r="AL179" s="437">
        <f t="shared" si="612"/>
        <v>-482.96999999999997</v>
      </c>
      <c r="AM179" s="437">
        <f t="shared" si="612"/>
        <v>0</v>
      </c>
      <c r="AN179" s="437">
        <f t="shared" si="612"/>
        <v>0</v>
      </c>
      <c r="AO179" s="437">
        <f t="shared" si="612"/>
        <v>0</v>
      </c>
      <c r="AP179" s="437">
        <f t="shared" si="612"/>
        <v>0</v>
      </c>
      <c r="AQ179" s="437">
        <f t="shared" si="612"/>
        <v>0</v>
      </c>
      <c r="AR179" s="437">
        <f t="shared" si="612"/>
        <v>0</v>
      </c>
      <c r="AS179" s="437">
        <f t="shared" si="612"/>
        <v>0</v>
      </c>
      <c r="AT179" s="437">
        <f t="shared" si="612"/>
        <v>0</v>
      </c>
      <c r="AU179" s="437">
        <f t="shared" si="612"/>
        <v>0</v>
      </c>
      <c r="AV179" s="437">
        <f t="shared" si="612"/>
        <v>-198.89099999999999</v>
      </c>
      <c r="AW179" s="437">
        <f t="shared" si="612"/>
        <v>-8.2999999999998408E-2</v>
      </c>
      <c r="AX179" s="437">
        <f t="shared" si="612"/>
        <v>0</v>
      </c>
      <c r="AY179" s="437">
        <f t="shared" si="612"/>
        <v>0</v>
      </c>
      <c r="AZ179" s="437">
        <f t="shared" ref="AZ179" si="613">+AZ87</f>
        <v>0</v>
      </c>
      <c r="BB179" s="437">
        <f t="shared" si="575"/>
        <v>0</v>
      </c>
    </row>
    <row r="180" spans="2:54" ht="12.75">
      <c r="B180" s="422" t="str">
        <f t="shared" ref="B180:N180" si="614">+B88</f>
        <v>Change in debt</v>
      </c>
      <c r="C180" s="437">
        <f t="shared" si="614"/>
        <v>4158.3570000000018</v>
      </c>
      <c r="D180" s="437">
        <f t="shared" si="614"/>
        <v>1789.4470000000001</v>
      </c>
      <c r="E180" s="437">
        <f t="shared" si="614"/>
        <v>10442.572999999999</v>
      </c>
      <c r="F180" s="437">
        <f t="shared" si="614"/>
        <v>29595.645</v>
      </c>
      <c r="G180" s="437">
        <f t="shared" si="614"/>
        <v>29595.645</v>
      </c>
      <c r="H180" s="437">
        <f t="shared" si="614"/>
        <v>16051.586000000003</v>
      </c>
      <c r="I180" s="437">
        <f t="shared" si="614"/>
        <v>8780.9650000000001</v>
      </c>
      <c r="J180" s="437">
        <f t="shared" si="614"/>
        <v>8632.9889999999941</v>
      </c>
      <c r="K180" s="437">
        <f t="shared" si="614"/>
        <v>-172.67499999999927</v>
      </c>
      <c r="L180" s="437">
        <f t="shared" si="614"/>
        <v>4819.987000000001</v>
      </c>
      <c r="M180" s="437">
        <f t="shared" si="614"/>
        <v>8779.2170000000042</v>
      </c>
      <c r="N180" s="437">
        <f t="shared" si="614"/>
        <v>7336.2160000000049</v>
      </c>
      <c r="O180" s="478"/>
      <c r="P180" s="437">
        <f t="shared" ref="P180:AY180" si="615">+P88</f>
        <v>-62.137</v>
      </c>
      <c r="Q180" s="437">
        <f t="shared" si="615"/>
        <v>946.31899999999996</v>
      </c>
      <c r="R180" s="437">
        <f t="shared" si="615"/>
        <v>450.84300000000013</v>
      </c>
      <c r="S180" s="437">
        <f t="shared" si="615"/>
        <v>454.42199999999997</v>
      </c>
      <c r="T180" s="437">
        <f t="shared" si="615"/>
        <v>463.83799999999997</v>
      </c>
      <c r="U180" s="437">
        <f t="shared" si="615"/>
        <v>3022.9009999999998</v>
      </c>
      <c r="V180" s="437">
        <f t="shared" si="615"/>
        <v>4422.2520000000004</v>
      </c>
      <c r="W180" s="437">
        <f t="shared" si="615"/>
        <v>2533.5819999999985</v>
      </c>
      <c r="X180" s="437">
        <f t="shared" si="615"/>
        <v>2935.8879999999999</v>
      </c>
      <c r="Y180" s="437">
        <f t="shared" si="615"/>
        <v>17728.11</v>
      </c>
      <c r="Z180" s="437">
        <f t="shared" si="615"/>
        <v>-2558.6100000000015</v>
      </c>
      <c r="AA180" s="437">
        <f t="shared" si="615"/>
        <v>11490.257000000001</v>
      </c>
      <c r="AB180" s="437">
        <f t="shared" si="615"/>
        <v>3461.8989999999999</v>
      </c>
      <c r="AC180" s="437">
        <f t="shared" si="615"/>
        <v>12426.937</v>
      </c>
      <c r="AD180" s="437">
        <f t="shared" si="615"/>
        <v>8027.6680000000015</v>
      </c>
      <c r="AE180" s="437">
        <f t="shared" si="615"/>
        <v>-7864.9179999999978</v>
      </c>
      <c r="AF180" s="437">
        <f t="shared" si="615"/>
        <v>4135.5480000000007</v>
      </c>
      <c r="AG180" s="437">
        <f t="shared" si="615"/>
        <v>-51.815000000000509</v>
      </c>
      <c r="AH180" s="437">
        <f t="shared" si="615"/>
        <v>-51.688999999999396</v>
      </c>
      <c r="AI180" s="437">
        <f t="shared" si="615"/>
        <v>4748.9209999999985</v>
      </c>
      <c r="AJ180" s="437">
        <f t="shared" si="615"/>
        <v>1127.2349999999997</v>
      </c>
      <c r="AK180" s="437">
        <f t="shared" si="615"/>
        <v>3658.5029999999997</v>
      </c>
      <c r="AL180" s="437">
        <f t="shared" si="615"/>
        <v>1491.7570000000014</v>
      </c>
      <c r="AM180" s="437">
        <f t="shared" si="615"/>
        <v>2355.4939999999933</v>
      </c>
      <c r="AN180" s="437">
        <f t="shared" si="615"/>
        <v>-46.582000000000335</v>
      </c>
      <c r="AO180" s="437">
        <f t="shared" si="615"/>
        <v>-1254.726999999999</v>
      </c>
      <c r="AP180" s="437">
        <f t="shared" si="615"/>
        <v>77.296999999997752</v>
      </c>
      <c r="AQ180" s="437">
        <f t="shared" si="615"/>
        <v>1051.3370000000023</v>
      </c>
      <c r="AR180" s="437">
        <f t="shared" si="615"/>
        <v>1425.9300000000003</v>
      </c>
      <c r="AS180" s="437">
        <f t="shared" si="615"/>
        <v>2082.3640000000014</v>
      </c>
      <c r="AT180" s="437">
        <f t="shared" si="615"/>
        <v>738.92799999999988</v>
      </c>
      <c r="AU180" s="437">
        <f t="shared" si="615"/>
        <v>572.76499999999942</v>
      </c>
      <c r="AV180" s="437">
        <f t="shared" si="615"/>
        <v>2380.9569999999999</v>
      </c>
      <c r="AW180" s="437">
        <f t="shared" si="615"/>
        <v>1984.8540000000016</v>
      </c>
      <c r="AX180" s="437">
        <f t="shared" si="615"/>
        <v>2839.4890000000019</v>
      </c>
      <c r="AY180" s="437">
        <f t="shared" si="615"/>
        <v>1573.9170000000013</v>
      </c>
      <c r="AZ180" s="437">
        <f t="shared" ref="AZ180" si="616">+AZ88</f>
        <v>937.9559999999999</v>
      </c>
      <c r="BB180" s="437">
        <f t="shared" si="575"/>
        <v>11490.257000000001</v>
      </c>
    </row>
    <row r="181" spans="2:54" ht="13.5" customHeight="1" thickBot="1">
      <c r="B181" s="440" t="str">
        <f t="shared" ref="B181:N181" si="617">+B89</f>
        <v>Other financing activities</v>
      </c>
      <c r="C181" s="439">
        <f t="shared" si="617"/>
        <v>0</v>
      </c>
      <c r="D181" s="439">
        <f t="shared" si="617"/>
        <v>0</v>
      </c>
      <c r="E181" s="439">
        <f t="shared" si="617"/>
        <v>0</v>
      </c>
      <c r="F181" s="439">
        <f t="shared" si="617"/>
        <v>0</v>
      </c>
      <c r="G181" s="439">
        <f t="shared" si="617"/>
        <v>0</v>
      </c>
      <c r="H181" s="439">
        <f t="shared" si="617"/>
        <v>-702.89599999999996</v>
      </c>
      <c r="I181" s="439">
        <f t="shared" si="617"/>
        <v>-2569.2399999999998</v>
      </c>
      <c r="J181" s="439">
        <f t="shared" si="617"/>
        <v>-483.22799999999995</v>
      </c>
      <c r="K181" s="439">
        <f t="shared" si="617"/>
        <v>-1245.855</v>
      </c>
      <c r="L181" s="439">
        <f t="shared" si="617"/>
        <v>-1585.567</v>
      </c>
      <c r="M181" s="439">
        <f t="shared" si="617"/>
        <v>-2044.6420000000001</v>
      </c>
      <c r="N181" s="439">
        <f t="shared" si="617"/>
        <v>-1852.9470000000001</v>
      </c>
      <c r="O181" s="478"/>
      <c r="P181" s="439">
        <f t="shared" ref="P181:AY181" si="618">+P89</f>
        <v>0</v>
      </c>
      <c r="Q181" s="439">
        <f t="shared" si="618"/>
        <v>0</v>
      </c>
      <c r="R181" s="439">
        <f t="shared" si="618"/>
        <v>0</v>
      </c>
      <c r="S181" s="439">
        <f t="shared" si="618"/>
        <v>0</v>
      </c>
      <c r="T181" s="439">
        <f t="shared" si="618"/>
        <v>0</v>
      </c>
      <c r="U181" s="439">
        <f t="shared" si="618"/>
        <v>0</v>
      </c>
      <c r="V181" s="439">
        <f t="shared" si="618"/>
        <v>0</v>
      </c>
      <c r="W181" s="439">
        <f t="shared" si="618"/>
        <v>0</v>
      </c>
      <c r="X181" s="439">
        <f t="shared" si="618"/>
        <v>0</v>
      </c>
      <c r="Y181" s="439">
        <f t="shared" si="618"/>
        <v>0</v>
      </c>
      <c r="Z181" s="439">
        <f t="shared" si="618"/>
        <v>0</v>
      </c>
      <c r="AA181" s="439">
        <f t="shared" si="618"/>
        <v>0</v>
      </c>
      <c r="AB181" s="439">
        <f t="shared" si="618"/>
        <v>0</v>
      </c>
      <c r="AC181" s="439">
        <f t="shared" si="618"/>
        <v>-409.48</v>
      </c>
      <c r="AD181" s="439">
        <f t="shared" si="618"/>
        <v>33.03000000000003</v>
      </c>
      <c r="AE181" s="439">
        <f t="shared" si="618"/>
        <v>-326.44599999999991</v>
      </c>
      <c r="AF181" s="439">
        <f t="shared" si="618"/>
        <v>35.533000000000001</v>
      </c>
      <c r="AG181" s="439">
        <f t="shared" si="618"/>
        <v>-584.88200000000006</v>
      </c>
      <c r="AH181" s="439">
        <f t="shared" si="618"/>
        <v>1090.2910000000002</v>
      </c>
      <c r="AI181" s="439">
        <f t="shared" si="618"/>
        <v>-3110.1819999999998</v>
      </c>
      <c r="AJ181" s="439">
        <f t="shared" si="618"/>
        <v>-55.557000000000016</v>
      </c>
      <c r="AK181" s="439">
        <f t="shared" si="618"/>
        <v>94.103000000000009</v>
      </c>
      <c r="AL181" s="439">
        <f t="shared" si="618"/>
        <v>919.68599999999992</v>
      </c>
      <c r="AM181" s="439">
        <f t="shared" si="618"/>
        <v>-1441.4599999999998</v>
      </c>
      <c r="AN181" s="439">
        <f t="shared" si="618"/>
        <v>-122.071</v>
      </c>
      <c r="AO181" s="439">
        <f t="shared" si="618"/>
        <v>-310.50200000000007</v>
      </c>
      <c r="AP181" s="439">
        <f t="shared" si="618"/>
        <v>-304.44699999999989</v>
      </c>
      <c r="AQ181" s="439">
        <f t="shared" si="618"/>
        <v>-508.83500000000004</v>
      </c>
      <c r="AR181" s="439">
        <f t="shared" si="618"/>
        <v>-406.79300000000001</v>
      </c>
      <c r="AS181" s="439">
        <f t="shared" si="618"/>
        <v>-495.58299999999997</v>
      </c>
      <c r="AT181" s="439">
        <f t="shared" si="618"/>
        <v>-272.70399999999995</v>
      </c>
      <c r="AU181" s="439">
        <f t="shared" si="618"/>
        <v>-410.48700000000008</v>
      </c>
      <c r="AV181" s="439">
        <f t="shared" si="618"/>
        <v>-233.26599999999999</v>
      </c>
      <c r="AW181" s="439">
        <f t="shared" si="618"/>
        <v>-250.96299999999999</v>
      </c>
      <c r="AX181" s="439">
        <f t="shared" si="618"/>
        <v>-184.03200000000001</v>
      </c>
      <c r="AY181" s="439">
        <f t="shared" si="618"/>
        <v>-1376.3810000000001</v>
      </c>
      <c r="AZ181" s="439">
        <f t="shared" ref="AZ181" si="619">+AZ89</f>
        <v>-41.570999999999998</v>
      </c>
      <c r="BB181" s="439">
        <f t="shared" si="575"/>
        <v>0</v>
      </c>
    </row>
    <row r="182" spans="2:54" ht="14.25" thickTop="1" thickBot="1">
      <c r="B182" s="438" t="str">
        <f t="shared" ref="B182:N182" si="620">+B90</f>
        <v>Cash flow after financing activities</v>
      </c>
      <c r="C182" s="436">
        <f t="shared" si="620"/>
        <v>121.82100000000173</v>
      </c>
      <c r="D182" s="436">
        <f t="shared" si="620"/>
        <v>-2694.5209999999988</v>
      </c>
      <c r="E182" s="436">
        <f t="shared" si="620"/>
        <v>517.57599999999729</v>
      </c>
      <c r="F182" s="436">
        <f t="shared" si="620"/>
        <v>-2355.3310000000019</v>
      </c>
      <c r="G182" s="436">
        <f t="shared" si="620"/>
        <v>-1891.3010000000031</v>
      </c>
      <c r="H182" s="436">
        <f t="shared" si="620"/>
        <v>5066.7080000000014</v>
      </c>
      <c r="I182" s="436">
        <f t="shared" si="620"/>
        <v>-1494.9850000000006</v>
      </c>
      <c r="J182" s="436">
        <f t="shared" si="620"/>
        <v>-1310.9550000000063</v>
      </c>
      <c r="K182" s="436">
        <f t="shared" si="620"/>
        <v>-5357.6309999999976</v>
      </c>
      <c r="L182" s="436">
        <f t="shared" si="620"/>
        <v>1034.0930000000026</v>
      </c>
      <c r="M182" s="436">
        <f t="shared" si="620"/>
        <v>7915.1049999999996</v>
      </c>
      <c r="N182" s="436">
        <f t="shared" si="620"/>
        <v>9384.9910000000073</v>
      </c>
      <c r="O182" s="477"/>
      <c r="P182" s="436">
        <f t="shared" ref="P182:AY182" si="621">+P90</f>
        <v>-2683.8179999999993</v>
      </c>
      <c r="Q182" s="436">
        <f t="shared" si="621"/>
        <v>-457.42800000000034</v>
      </c>
      <c r="R182" s="436">
        <f t="shared" si="621"/>
        <v>-560.52299999999855</v>
      </c>
      <c r="S182" s="436">
        <f t="shared" si="621"/>
        <v>1007.2479999999998</v>
      </c>
      <c r="T182" s="436">
        <f t="shared" si="621"/>
        <v>1863.6540000000009</v>
      </c>
      <c r="U182" s="436">
        <f t="shared" si="621"/>
        <v>-1814.3250000000016</v>
      </c>
      <c r="V182" s="436">
        <f t="shared" si="621"/>
        <v>2225.7399999999998</v>
      </c>
      <c r="W182" s="436">
        <f t="shared" si="621"/>
        <v>-1757.4929999999986</v>
      </c>
      <c r="X182" s="436">
        <f t="shared" si="621"/>
        <v>-1421.6570000000002</v>
      </c>
      <c r="Y182" s="436">
        <f t="shared" si="621"/>
        <v>14377.493</v>
      </c>
      <c r="Z182" s="436">
        <f t="shared" si="621"/>
        <v>-3224.047</v>
      </c>
      <c r="AA182" s="436">
        <f t="shared" si="621"/>
        <v>-12087.120000000006</v>
      </c>
      <c r="AB182" s="436">
        <f t="shared" si="621"/>
        <v>741.9989999999998</v>
      </c>
      <c r="AC182" s="436">
        <f t="shared" si="621"/>
        <v>10418.522999999999</v>
      </c>
      <c r="AD182" s="436">
        <f t="shared" si="621"/>
        <v>4227.9960000000019</v>
      </c>
      <c r="AE182" s="436">
        <f t="shared" si="621"/>
        <v>-10321.809999999998</v>
      </c>
      <c r="AF182" s="436">
        <f t="shared" si="621"/>
        <v>-2444.309999999999</v>
      </c>
      <c r="AG182" s="436">
        <f t="shared" si="621"/>
        <v>-1638.0750000000016</v>
      </c>
      <c r="AH182" s="436">
        <f t="shared" si="621"/>
        <v>-70.570999999998776</v>
      </c>
      <c r="AI182" s="436">
        <f t="shared" si="621"/>
        <v>2657.9709999999986</v>
      </c>
      <c r="AJ182" s="436">
        <f t="shared" si="621"/>
        <v>-2051.152</v>
      </c>
      <c r="AK182" s="436">
        <f t="shared" si="621"/>
        <v>-139.44300000000072</v>
      </c>
      <c r="AL182" s="436">
        <f t="shared" si="621"/>
        <v>-1239.6979999999978</v>
      </c>
      <c r="AM182" s="436">
        <f t="shared" si="621"/>
        <v>2119.3379999999979</v>
      </c>
      <c r="AN182" s="436">
        <f t="shared" si="621"/>
        <v>-4970.7700000000004</v>
      </c>
      <c r="AO182" s="436">
        <f t="shared" si="621"/>
        <v>1916.7400000000021</v>
      </c>
      <c r="AP182" s="436">
        <f t="shared" si="621"/>
        <v>-2728.1810000000023</v>
      </c>
      <c r="AQ182" s="436">
        <f t="shared" si="621"/>
        <v>424.58000000000311</v>
      </c>
      <c r="AR182" s="436">
        <f t="shared" si="621"/>
        <v>-2087.6489999999999</v>
      </c>
      <c r="AS182" s="436">
        <f t="shared" si="621"/>
        <v>3083.7869999999994</v>
      </c>
      <c r="AT182" s="436">
        <f t="shared" si="621"/>
        <v>-2860.6589999999997</v>
      </c>
      <c r="AU182" s="436">
        <f t="shared" si="621"/>
        <v>2898.6139999999996</v>
      </c>
      <c r="AV182" s="436">
        <f t="shared" si="621"/>
        <v>-2944.5670000000018</v>
      </c>
      <c r="AW182" s="436">
        <f t="shared" si="621"/>
        <v>2056.2750000000037</v>
      </c>
      <c r="AX182" s="436">
        <f t="shared" si="621"/>
        <v>-1652.2539999999992</v>
      </c>
      <c r="AY182" s="436">
        <f t="shared" si="621"/>
        <v>10455.651</v>
      </c>
      <c r="AZ182" s="436">
        <f t="shared" ref="AZ182" si="622">+AZ90</f>
        <v>-1474.6809999999998</v>
      </c>
      <c r="BB182" s="436">
        <f t="shared" si="575"/>
        <v>-11623.090000000007</v>
      </c>
    </row>
    <row r="183" spans="2:54" ht="13.5" customHeight="1" thickTop="1">
      <c r="B183" s="422" t="str">
        <f t="shared" ref="B183:N183" si="623">+B91</f>
        <v>FX</v>
      </c>
      <c r="C183" s="437">
        <f t="shared" si="623"/>
        <v>0</v>
      </c>
      <c r="D183" s="437">
        <f t="shared" si="623"/>
        <v>0</v>
      </c>
      <c r="E183" s="437">
        <f t="shared" si="623"/>
        <v>0</v>
      </c>
      <c r="F183" s="437">
        <f t="shared" si="623"/>
        <v>0</v>
      </c>
      <c r="G183" s="437">
        <f t="shared" si="623"/>
        <v>0</v>
      </c>
      <c r="H183" s="437">
        <f t="shared" si="623"/>
        <v>0</v>
      </c>
      <c r="I183" s="437">
        <f t="shared" si="623"/>
        <v>0</v>
      </c>
      <c r="J183" s="437">
        <f t="shared" si="623"/>
        <v>0</v>
      </c>
      <c r="K183" s="437">
        <f t="shared" si="623"/>
        <v>0</v>
      </c>
      <c r="L183" s="437">
        <f t="shared" si="623"/>
        <v>0</v>
      </c>
      <c r="M183" s="437">
        <f t="shared" si="623"/>
        <v>0</v>
      </c>
      <c r="N183" s="437">
        <f t="shared" si="623"/>
        <v>0</v>
      </c>
      <c r="O183" s="478"/>
      <c r="P183" s="437">
        <f t="shared" ref="P183:AY183" si="624">+P91</f>
        <v>0</v>
      </c>
      <c r="Q183" s="437">
        <f t="shared" si="624"/>
        <v>0</v>
      </c>
      <c r="R183" s="437">
        <f t="shared" si="624"/>
        <v>0</v>
      </c>
      <c r="S183" s="437">
        <f t="shared" si="624"/>
        <v>0</v>
      </c>
      <c r="T183" s="437">
        <f t="shared" si="624"/>
        <v>0</v>
      </c>
      <c r="U183" s="437">
        <f t="shared" si="624"/>
        <v>0</v>
      </c>
      <c r="V183" s="437">
        <f t="shared" si="624"/>
        <v>0</v>
      </c>
      <c r="W183" s="437">
        <f t="shared" si="624"/>
        <v>0</v>
      </c>
      <c r="X183" s="437">
        <f t="shared" si="624"/>
        <v>0</v>
      </c>
      <c r="Y183" s="437">
        <f t="shared" si="624"/>
        <v>0</v>
      </c>
      <c r="Z183" s="437">
        <f t="shared" si="624"/>
        <v>0</v>
      </c>
      <c r="AA183" s="437">
        <f t="shared" si="624"/>
        <v>0</v>
      </c>
      <c r="AB183" s="437">
        <f t="shared" si="624"/>
        <v>0</v>
      </c>
      <c r="AC183" s="437">
        <f t="shared" si="624"/>
        <v>0</v>
      </c>
      <c r="AD183" s="437">
        <f t="shared" si="624"/>
        <v>0</v>
      </c>
      <c r="AE183" s="437">
        <f t="shared" si="624"/>
        <v>0</v>
      </c>
      <c r="AF183" s="437">
        <f t="shared" si="624"/>
        <v>0</v>
      </c>
      <c r="AG183" s="437">
        <f t="shared" si="624"/>
        <v>0</v>
      </c>
      <c r="AH183" s="437">
        <f t="shared" si="624"/>
        <v>0</v>
      </c>
      <c r="AI183" s="437">
        <f t="shared" si="624"/>
        <v>0</v>
      </c>
      <c r="AJ183" s="437">
        <f t="shared" si="624"/>
        <v>0</v>
      </c>
      <c r="AK183" s="437">
        <f t="shared" si="624"/>
        <v>0</v>
      </c>
      <c r="AL183" s="437">
        <f t="shared" si="624"/>
        <v>0</v>
      </c>
      <c r="AM183" s="437">
        <f t="shared" si="624"/>
        <v>0</v>
      </c>
      <c r="AN183" s="437">
        <f t="shared" si="624"/>
        <v>0</v>
      </c>
      <c r="AO183" s="437">
        <f t="shared" si="624"/>
        <v>0</v>
      </c>
      <c r="AP183" s="437">
        <f t="shared" si="624"/>
        <v>0</v>
      </c>
      <c r="AQ183" s="437">
        <f t="shared" si="624"/>
        <v>0</v>
      </c>
      <c r="AR183" s="437">
        <f t="shared" si="624"/>
        <v>0</v>
      </c>
      <c r="AS183" s="437">
        <f t="shared" si="624"/>
        <v>0</v>
      </c>
      <c r="AT183" s="437">
        <f t="shared" si="624"/>
        <v>0</v>
      </c>
      <c r="AU183" s="437">
        <f t="shared" si="624"/>
        <v>0</v>
      </c>
      <c r="AV183" s="437">
        <f t="shared" si="624"/>
        <v>0</v>
      </c>
      <c r="AW183" s="437">
        <f t="shared" si="624"/>
        <v>0</v>
      </c>
      <c r="AX183" s="437">
        <f t="shared" si="624"/>
        <v>0</v>
      </c>
      <c r="AY183" s="437">
        <f t="shared" si="624"/>
        <v>0</v>
      </c>
      <c r="AZ183" s="437">
        <f t="shared" ref="AZ183" si="625">+AZ91</f>
        <v>0</v>
      </c>
      <c r="BB183" s="437">
        <f t="shared" si="575"/>
        <v>0</v>
      </c>
    </row>
    <row r="184" spans="2:54" ht="12.75">
      <c r="B184" s="422" t="str">
        <f t="shared" ref="B184:N184" si="626">+B92</f>
        <v>Balancing figure</v>
      </c>
      <c r="C184" s="437">
        <f t="shared" si="626"/>
        <v>-563.61900000000173</v>
      </c>
      <c r="D184" s="437">
        <f t="shared" si="626"/>
        <v>368.84499999999889</v>
      </c>
      <c r="E184" s="437">
        <f t="shared" si="626"/>
        <v>662.90600000000268</v>
      </c>
      <c r="F184" s="437">
        <f t="shared" si="626"/>
        <v>989.31900000000201</v>
      </c>
      <c r="G184" s="437">
        <f t="shared" si="626"/>
        <v>525.28900000000317</v>
      </c>
      <c r="H184" s="437">
        <f t="shared" si="626"/>
        <v>-363.02900000000136</v>
      </c>
      <c r="I184" s="437">
        <f t="shared" si="626"/>
        <v>487.90300000000059</v>
      </c>
      <c r="J184" s="437">
        <f t="shared" si="626"/>
        <v>1458.5550000000062</v>
      </c>
      <c r="K184" s="437">
        <f t="shared" si="626"/>
        <v>1297.1619999999975</v>
      </c>
      <c r="L184" s="437">
        <f t="shared" si="626"/>
        <v>657.86599999999748</v>
      </c>
      <c r="M184" s="437">
        <f t="shared" si="626"/>
        <v>1288.1170000000002</v>
      </c>
      <c r="N184" s="437">
        <f t="shared" si="626"/>
        <v>1706.6089999999981</v>
      </c>
      <c r="O184" s="478"/>
      <c r="P184" s="437">
        <f t="shared" ref="P184:AY184" si="627">+P92</f>
        <v>136.02099999999928</v>
      </c>
      <c r="Q184" s="437">
        <f t="shared" si="627"/>
        <v>-677.95499999999947</v>
      </c>
      <c r="R184" s="437">
        <f t="shared" si="627"/>
        <v>672.75999999999794</v>
      </c>
      <c r="S184" s="437">
        <f t="shared" si="627"/>
        <v>238.01900000000114</v>
      </c>
      <c r="T184" s="437">
        <f t="shared" si="627"/>
        <v>-1342.2400000000009</v>
      </c>
      <c r="U184" s="437">
        <f t="shared" si="627"/>
        <v>1568.4070000000015</v>
      </c>
      <c r="V184" s="437">
        <f t="shared" si="627"/>
        <v>284.88100000000077</v>
      </c>
      <c r="W184" s="437">
        <f t="shared" si="627"/>
        <v>151.85800000000131</v>
      </c>
      <c r="X184" s="437">
        <f t="shared" si="627"/>
        <v>354.14900000000011</v>
      </c>
      <c r="Y184" s="437">
        <f t="shared" si="627"/>
        <v>433.42299999999977</v>
      </c>
      <c r="Z184" s="437">
        <f t="shared" si="627"/>
        <v>-1205.2139999999972</v>
      </c>
      <c r="AA184" s="437">
        <f t="shared" si="627"/>
        <v>1406.9609999999996</v>
      </c>
      <c r="AB184" s="437">
        <f t="shared" si="627"/>
        <v>284.04100000000017</v>
      </c>
      <c r="AC184" s="437">
        <f t="shared" si="627"/>
        <v>369.83600000000115</v>
      </c>
      <c r="AD184" s="437">
        <f t="shared" si="627"/>
        <v>-711.37300000000141</v>
      </c>
      <c r="AE184" s="437">
        <f t="shared" si="627"/>
        <v>-305.53300000000127</v>
      </c>
      <c r="AF184" s="437">
        <f t="shared" si="627"/>
        <v>-482.02300000000105</v>
      </c>
      <c r="AG184" s="437">
        <f t="shared" si="627"/>
        <v>531.63100000000168</v>
      </c>
      <c r="AH184" s="437">
        <f t="shared" si="627"/>
        <v>-140.88000000000147</v>
      </c>
      <c r="AI184" s="437">
        <f t="shared" si="627"/>
        <v>579.17500000000143</v>
      </c>
      <c r="AJ184" s="437">
        <f t="shared" si="627"/>
        <v>-351.63400000000001</v>
      </c>
      <c r="AK184" s="437">
        <f t="shared" si="627"/>
        <v>1060.7970000000007</v>
      </c>
      <c r="AL184" s="437">
        <f t="shared" si="627"/>
        <v>860.25799999999776</v>
      </c>
      <c r="AM184" s="437">
        <f t="shared" si="627"/>
        <v>-110.86599999999225</v>
      </c>
      <c r="AN184" s="437">
        <f t="shared" si="627"/>
        <v>1155.5750000000003</v>
      </c>
      <c r="AO184" s="437">
        <f t="shared" si="627"/>
        <v>-613.88800000000265</v>
      </c>
      <c r="AP184" s="437">
        <f t="shared" si="627"/>
        <v>1017.0140000000024</v>
      </c>
      <c r="AQ184" s="437">
        <f t="shared" si="627"/>
        <v>-261.53900000000249</v>
      </c>
      <c r="AR184" s="437">
        <f t="shared" si="627"/>
        <v>1054.664</v>
      </c>
      <c r="AS184" s="437">
        <f t="shared" si="627"/>
        <v>-195.42799999999943</v>
      </c>
      <c r="AT184" s="437">
        <f t="shared" si="627"/>
        <v>847.07699999999977</v>
      </c>
      <c r="AU184" s="437">
        <f t="shared" si="627"/>
        <v>-1048.4470000000028</v>
      </c>
      <c r="AV184" s="437">
        <f t="shared" si="627"/>
        <v>434.53900000000203</v>
      </c>
      <c r="AW184" s="437">
        <f t="shared" si="627"/>
        <v>132.26999999999589</v>
      </c>
      <c r="AX184" s="437">
        <f t="shared" si="627"/>
        <v>326.0649999999996</v>
      </c>
      <c r="AY184" s="437">
        <f t="shared" si="627"/>
        <v>395.24300000000267</v>
      </c>
      <c r="AZ184" s="437">
        <f t="shared" ref="AZ184" si="628">+AZ92</f>
        <v>853.03099999999984</v>
      </c>
      <c r="BB184" s="437">
        <f t="shared" si="575"/>
        <v>942.93100000000049</v>
      </c>
    </row>
    <row r="185" spans="2:54" s="424" customFormat="1" ht="13.5" customHeight="1" thickBot="1">
      <c r="B185" s="426" t="str">
        <f t="shared" ref="B185:N185" si="629">+B93</f>
        <v xml:space="preserve">Net change in cash </v>
      </c>
      <c r="C185" s="436">
        <f t="shared" si="629"/>
        <v>-441.798</v>
      </c>
      <c r="D185" s="436">
        <f t="shared" si="629"/>
        <v>-2325.6759999999999</v>
      </c>
      <c r="E185" s="436">
        <f t="shared" si="629"/>
        <v>1180.482</v>
      </c>
      <c r="F185" s="436">
        <f t="shared" si="629"/>
        <v>-1366.0119999999999</v>
      </c>
      <c r="G185" s="436">
        <f t="shared" si="629"/>
        <v>-1366.0119999999999</v>
      </c>
      <c r="H185" s="436">
        <f t="shared" si="629"/>
        <v>4703.6790000000001</v>
      </c>
      <c r="I185" s="436">
        <f t="shared" si="629"/>
        <v>-1007.082</v>
      </c>
      <c r="J185" s="436">
        <f t="shared" si="629"/>
        <v>147.59999999999991</v>
      </c>
      <c r="K185" s="436">
        <f t="shared" si="629"/>
        <v>-4060.4690000000001</v>
      </c>
      <c r="L185" s="436">
        <f t="shared" si="629"/>
        <v>1691.9590000000001</v>
      </c>
      <c r="M185" s="436">
        <f t="shared" si="629"/>
        <v>9203.2219999999998</v>
      </c>
      <c r="N185" s="436">
        <f t="shared" si="629"/>
        <v>11091.600000000006</v>
      </c>
      <c r="O185" s="477"/>
      <c r="P185" s="436">
        <f t="shared" ref="P185:AY185" si="630">+P93</f>
        <v>-2547.797</v>
      </c>
      <c r="Q185" s="436">
        <f t="shared" si="630"/>
        <v>-1135.3829999999998</v>
      </c>
      <c r="R185" s="436">
        <f t="shared" si="630"/>
        <v>112.2369999999994</v>
      </c>
      <c r="S185" s="436">
        <f t="shared" si="630"/>
        <v>1245.267000000001</v>
      </c>
      <c r="T185" s="436">
        <f t="shared" si="630"/>
        <v>521.41399999999999</v>
      </c>
      <c r="U185" s="436">
        <f t="shared" si="630"/>
        <v>-245.91800000000012</v>
      </c>
      <c r="V185" s="436">
        <f t="shared" si="630"/>
        <v>2510.6210000000005</v>
      </c>
      <c r="W185" s="436">
        <f t="shared" si="630"/>
        <v>-1605.6349999999973</v>
      </c>
      <c r="X185" s="436">
        <f t="shared" si="630"/>
        <v>-1067.508</v>
      </c>
      <c r="Y185" s="436">
        <f t="shared" si="630"/>
        <v>14810.916000000001</v>
      </c>
      <c r="Z185" s="436">
        <f t="shared" si="630"/>
        <v>-4429.2609999999968</v>
      </c>
      <c r="AA185" s="436">
        <f t="shared" si="630"/>
        <v>-10680.159000000007</v>
      </c>
      <c r="AB185" s="436">
        <f t="shared" si="630"/>
        <v>1026.04</v>
      </c>
      <c r="AC185" s="436">
        <f t="shared" si="630"/>
        <v>10788.359</v>
      </c>
      <c r="AD185" s="436">
        <f t="shared" si="630"/>
        <v>3516.6230000000005</v>
      </c>
      <c r="AE185" s="436">
        <f t="shared" si="630"/>
        <v>-10627.342999999999</v>
      </c>
      <c r="AF185" s="436">
        <f t="shared" si="630"/>
        <v>-2926.3330000000001</v>
      </c>
      <c r="AG185" s="436">
        <f t="shared" si="630"/>
        <v>-1106.444</v>
      </c>
      <c r="AH185" s="436">
        <f t="shared" si="630"/>
        <v>-211.45100000000025</v>
      </c>
      <c r="AI185" s="436">
        <f t="shared" si="630"/>
        <v>3237.1460000000002</v>
      </c>
      <c r="AJ185" s="436">
        <f t="shared" si="630"/>
        <v>-2402.7860000000001</v>
      </c>
      <c r="AK185" s="436">
        <f t="shared" si="630"/>
        <v>921.35400000000004</v>
      </c>
      <c r="AL185" s="436">
        <f t="shared" si="630"/>
        <v>-379.44000000000005</v>
      </c>
      <c r="AM185" s="436">
        <f t="shared" si="630"/>
        <v>2008.4720000000057</v>
      </c>
      <c r="AN185" s="436">
        <f t="shared" si="630"/>
        <v>-3815.1950000000002</v>
      </c>
      <c r="AO185" s="436">
        <f t="shared" si="630"/>
        <v>1302.8519999999994</v>
      </c>
      <c r="AP185" s="436">
        <f t="shared" si="630"/>
        <v>-1711.1669999999999</v>
      </c>
      <c r="AQ185" s="436">
        <f t="shared" si="630"/>
        <v>163.04100000000062</v>
      </c>
      <c r="AR185" s="436">
        <f t="shared" si="630"/>
        <v>-1032.9849999999999</v>
      </c>
      <c r="AS185" s="436">
        <f t="shared" si="630"/>
        <v>2888.3589999999999</v>
      </c>
      <c r="AT185" s="436">
        <f t="shared" si="630"/>
        <v>-2013.5819999999999</v>
      </c>
      <c r="AU185" s="436">
        <f t="shared" si="630"/>
        <v>1850.1669999999967</v>
      </c>
      <c r="AV185" s="436">
        <f t="shared" si="630"/>
        <v>-2510.0279999999998</v>
      </c>
      <c r="AW185" s="436">
        <f t="shared" si="630"/>
        <v>2188.5449999999996</v>
      </c>
      <c r="AX185" s="436">
        <f t="shared" si="630"/>
        <v>-1326.1889999999996</v>
      </c>
      <c r="AY185" s="436">
        <f t="shared" si="630"/>
        <v>10850.894000000002</v>
      </c>
      <c r="AZ185" s="436">
        <f t="shared" ref="AZ185" si="631">+AZ93</f>
        <v>-621.65</v>
      </c>
      <c r="BB185" s="436">
        <f t="shared" si="575"/>
        <v>-10680.159000000007</v>
      </c>
    </row>
    <row r="186" spans="2:54" ht="13.5" customHeight="1" thickTop="1">
      <c r="C186" s="434"/>
      <c r="D186" s="433"/>
      <c r="E186" s="433"/>
      <c r="F186" s="433"/>
      <c r="G186" s="433"/>
      <c r="H186" s="433"/>
      <c r="I186" s="433"/>
      <c r="J186" s="433"/>
      <c r="K186" s="433"/>
      <c r="L186" s="433"/>
      <c r="M186" s="433"/>
      <c r="N186" s="433"/>
      <c r="O186" s="433"/>
      <c r="P186" s="433"/>
      <c r="Q186" s="433"/>
      <c r="R186" s="433"/>
      <c r="S186" s="433"/>
      <c r="T186" s="433"/>
      <c r="U186" s="433"/>
      <c r="V186" s="433"/>
      <c r="W186" s="433"/>
      <c r="X186" s="433"/>
      <c r="Y186" s="433"/>
      <c r="Z186" s="433"/>
      <c r="AA186" s="433"/>
      <c r="AB186" s="433"/>
      <c r="AC186" s="433"/>
      <c r="AD186" s="433"/>
      <c r="AE186" s="433"/>
      <c r="AF186" s="433"/>
      <c r="AG186" s="433"/>
      <c r="AH186" s="433"/>
      <c r="AI186" s="433"/>
      <c r="AJ186" s="433"/>
      <c r="AK186" s="433"/>
      <c r="AL186" s="433"/>
      <c r="AM186" s="433"/>
      <c r="AN186" s="433"/>
      <c r="AO186" s="433"/>
      <c r="AP186" s="433"/>
      <c r="AQ186" s="433"/>
      <c r="AR186" s="433"/>
      <c r="AS186" s="433"/>
      <c r="AT186" s="433"/>
      <c r="AU186" s="433"/>
      <c r="AV186" s="433"/>
      <c r="AW186" s="433"/>
      <c r="AX186" s="433"/>
      <c r="AY186" s="433"/>
      <c r="AZ186" s="433"/>
      <c r="BB186" s="433"/>
    </row>
    <row r="187" spans="2:54" ht="12.75">
      <c r="B187" s="435" t="s">
        <v>557</v>
      </c>
      <c r="C187" s="471">
        <f t="shared" ref="C187:N187" si="632">C123</f>
        <v>5554.12</v>
      </c>
      <c r="D187" s="471">
        <f t="shared" si="632"/>
        <v>3228.444</v>
      </c>
      <c r="E187" s="471">
        <f t="shared" si="632"/>
        <v>4408.9260000000004</v>
      </c>
      <c r="F187" s="471">
        <f t="shared" si="632"/>
        <v>3042.9140000000002</v>
      </c>
      <c r="G187" s="471">
        <f t="shared" si="632"/>
        <v>3042.9140000000002</v>
      </c>
      <c r="H187" s="471">
        <f t="shared" si="632"/>
        <v>7746.5929999999998</v>
      </c>
      <c r="I187" s="471">
        <f t="shared" si="632"/>
        <v>6739.5110000000004</v>
      </c>
      <c r="J187" s="471">
        <f t="shared" si="632"/>
        <v>6887.1109999999999</v>
      </c>
      <c r="K187" s="471">
        <f t="shared" si="632"/>
        <v>2826.6419999999998</v>
      </c>
      <c r="L187" s="471">
        <f t="shared" si="632"/>
        <v>4518.6009999999997</v>
      </c>
      <c r="M187" s="471">
        <f t="shared" si="632"/>
        <v>13721.823</v>
      </c>
      <c r="N187" s="471">
        <f t="shared" si="632"/>
        <v>13100.173000000001</v>
      </c>
      <c r="O187" s="471"/>
      <c r="P187" s="471">
        <f t="shared" ref="P187:AY187" si="633">P123</f>
        <v>3006.3229999999999</v>
      </c>
      <c r="Q187" s="471">
        <f t="shared" si="633"/>
        <v>1870.94</v>
      </c>
      <c r="R187" s="471">
        <f t="shared" si="633"/>
        <v>1983.1769999999999</v>
      </c>
      <c r="S187" s="471">
        <f t="shared" si="633"/>
        <v>3228.444</v>
      </c>
      <c r="T187" s="471">
        <f t="shared" si="633"/>
        <v>3749.8580000000002</v>
      </c>
      <c r="U187" s="471">
        <f t="shared" si="633"/>
        <v>3503.94</v>
      </c>
      <c r="V187" s="471">
        <f t="shared" si="633"/>
        <v>6014.5609999999997</v>
      </c>
      <c r="W187" s="471">
        <f t="shared" si="633"/>
        <v>4408.9260000000004</v>
      </c>
      <c r="X187" s="471">
        <f t="shared" si="633"/>
        <v>3341.4180000000001</v>
      </c>
      <c r="Y187" s="471">
        <f t="shared" si="633"/>
        <v>18152.333999999999</v>
      </c>
      <c r="Z187" s="471">
        <f t="shared" si="633"/>
        <v>13723.073</v>
      </c>
      <c r="AA187" s="471">
        <f t="shared" si="633"/>
        <v>3042.9140000000002</v>
      </c>
      <c r="AB187" s="471">
        <f t="shared" si="633"/>
        <v>4068.9540000000002</v>
      </c>
      <c r="AC187" s="471">
        <f t="shared" si="633"/>
        <v>14857.313</v>
      </c>
      <c r="AD187" s="471">
        <f t="shared" si="633"/>
        <v>18373.936000000002</v>
      </c>
      <c r="AE187" s="471">
        <f t="shared" si="633"/>
        <v>7746.5929999999998</v>
      </c>
      <c r="AF187" s="471">
        <f t="shared" si="633"/>
        <v>4820.26</v>
      </c>
      <c r="AG187" s="471">
        <f t="shared" si="633"/>
        <v>3713.8159999999998</v>
      </c>
      <c r="AH187" s="471">
        <f t="shared" si="633"/>
        <v>3502.3649999999998</v>
      </c>
      <c r="AI187" s="471">
        <f t="shared" si="633"/>
        <v>6739.5110000000004</v>
      </c>
      <c r="AJ187" s="471">
        <f t="shared" si="633"/>
        <v>4336.7250000000004</v>
      </c>
      <c r="AK187" s="471">
        <f t="shared" si="633"/>
        <v>5258.0789999999997</v>
      </c>
      <c r="AL187" s="471">
        <f t="shared" si="633"/>
        <v>4878.6390000000001</v>
      </c>
      <c r="AM187" s="471">
        <f t="shared" si="633"/>
        <v>6887.1109999999999</v>
      </c>
      <c r="AN187" s="471">
        <f t="shared" si="633"/>
        <v>3071.9160000000002</v>
      </c>
      <c r="AO187" s="471">
        <f t="shared" si="633"/>
        <v>4374.768</v>
      </c>
      <c r="AP187" s="471">
        <f t="shared" si="633"/>
        <v>2663.6010000000001</v>
      </c>
      <c r="AQ187" s="471">
        <f t="shared" si="633"/>
        <v>2826.6419999999998</v>
      </c>
      <c r="AR187" s="471">
        <f t="shared" si="633"/>
        <v>1793.6569999999999</v>
      </c>
      <c r="AS187" s="471">
        <f t="shared" si="633"/>
        <v>4682.0159999999996</v>
      </c>
      <c r="AT187" s="471">
        <f t="shared" si="633"/>
        <v>2668.4340000000002</v>
      </c>
      <c r="AU187" s="471">
        <f t="shared" si="633"/>
        <v>4518.6009999999997</v>
      </c>
      <c r="AV187" s="471">
        <f t="shared" si="633"/>
        <v>2008.5730000000001</v>
      </c>
      <c r="AW187" s="471">
        <f t="shared" si="633"/>
        <v>4197.1180000000004</v>
      </c>
      <c r="AX187" s="471">
        <f t="shared" si="633"/>
        <v>2870.9290000000001</v>
      </c>
      <c r="AY187" s="471">
        <f t="shared" si="633"/>
        <v>13721.823</v>
      </c>
      <c r="AZ187" s="471">
        <f t="shared" ref="AZ187" si="634">AZ123</f>
        <v>13100.173000000001</v>
      </c>
      <c r="BB187" s="471">
        <f>BB123</f>
        <v>3042.9140000000002</v>
      </c>
    </row>
    <row r="188" spans="2:54" ht="12.75">
      <c r="B188" s="435"/>
      <c r="C188" s="471"/>
      <c r="D188" s="471"/>
      <c r="E188" s="471"/>
      <c r="F188" s="471"/>
      <c r="G188" s="471"/>
      <c r="H188" s="471"/>
      <c r="I188" s="471"/>
      <c r="J188" s="471"/>
      <c r="K188" s="471"/>
      <c r="L188" s="471"/>
      <c r="M188" s="471"/>
      <c r="N188" s="471"/>
      <c r="O188" s="471"/>
      <c r="P188" s="471"/>
      <c r="Q188" s="471"/>
      <c r="R188" s="471"/>
      <c r="S188" s="471"/>
      <c r="T188" s="471"/>
      <c r="U188" s="471"/>
      <c r="V188" s="471"/>
      <c r="W188" s="471"/>
      <c r="X188" s="471"/>
      <c r="Y188" s="471"/>
      <c r="Z188" s="471"/>
      <c r="AA188" s="471"/>
      <c r="AB188" s="471"/>
      <c r="AC188" s="471"/>
      <c r="AD188" s="471"/>
      <c r="AE188" s="471"/>
      <c r="AF188" s="471"/>
      <c r="AG188" s="471"/>
      <c r="AH188" s="471"/>
      <c r="AI188" s="471"/>
      <c r="AJ188" s="471"/>
      <c r="AK188" s="471"/>
      <c r="AL188" s="471"/>
      <c r="AM188" s="471"/>
      <c r="AN188" s="471"/>
      <c r="AO188" s="471"/>
      <c r="AP188" s="471"/>
      <c r="AQ188" s="471"/>
      <c r="AR188" s="471"/>
      <c r="AS188" s="471"/>
      <c r="AT188" s="471"/>
      <c r="AU188" s="471"/>
      <c r="AV188" s="471"/>
      <c r="AW188" s="471"/>
      <c r="AX188" s="471"/>
      <c r="AY188" s="471"/>
      <c r="AZ188" s="471"/>
      <c r="BB188" s="471"/>
    </row>
    <row r="189" spans="2:54" s="424" customFormat="1" ht="12.75">
      <c r="B189" s="424" t="s">
        <v>571</v>
      </c>
      <c r="C189" s="455">
        <f t="shared" ref="C189:N189" si="635">C125</f>
        <v>59252.432999999997</v>
      </c>
      <c r="D189" s="455">
        <f t="shared" si="635"/>
        <v>64833.70199999999</v>
      </c>
      <c r="E189" s="455">
        <f t="shared" si="635"/>
        <v>75157.183999999994</v>
      </c>
      <c r="F189" s="455">
        <f t="shared" si="635"/>
        <v>104015.724</v>
      </c>
      <c r="G189" s="455">
        <f t="shared" si="635"/>
        <v>104015.724</v>
      </c>
      <c r="H189" s="455">
        <f t="shared" si="635"/>
        <v>117783.265</v>
      </c>
      <c r="I189" s="455">
        <f t="shared" si="635"/>
        <v>129286.68700000001</v>
      </c>
      <c r="J189" s="455">
        <f t="shared" si="635"/>
        <v>132551.94</v>
      </c>
      <c r="K189" s="455">
        <f t="shared" si="635"/>
        <v>125728.95300000001</v>
      </c>
      <c r="L189" s="455">
        <f t="shared" si="635"/>
        <v>144138.677</v>
      </c>
      <c r="M189" s="455">
        <f t="shared" si="635"/>
        <v>137140.66699999999</v>
      </c>
      <c r="N189" s="455">
        <f t="shared" si="635"/>
        <v>137429.03699999998</v>
      </c>
      <c r="O189" s="455"/>
      <c r="P189" s="455">
        <f t="shared" ref="P189:AY189" si="636">P125</f>
        <v>1292.9950000000003</v>
      </c>
      <c r="Q189" s="455">
        <f t="shared" si="636"/>
        <v>59999.737000000001</v>
      </c>
      <c r="R189" s="455">
        <f t="shared" si="636"/>
        <v>60777.325999999994</v>
      </c>
      <c r="S189" s="455">
        <f t="shared" si="636"/>
        <v>64833.70199999999</v>
      </c>
      <c r="T189" s="455">
        <f t="shared" si="636"/>
        <v>62322.227000000006</v>
      </c>
      <c r="U189" s="455">
        <f t="shared" si="636"/>
        <v>68900.3</v>
      </c>
      <c r="V189" s="455">
        <f t="shared" si="636"/>
        <v>68467.620999999999</v>
      </c>
      <c r="W189" s="455">
        <f t="shared" si="636"/>
        <v>75157.183999999994</v>
      </c>
      <c r="X189" s="455">
        <f t="shared" si="636"/>
        <v>78376.835000000006</v>
      </c>
      <c r="Y189" s="455">
        <f t="shared" si="636"/>
        <v>81084.86</v>
      </c>
      <c r="Z189" s="455">
        <f t="shared" si="636"/>
        <v>84574.918000000005</v>
      </c>
      <c r="AA189" s="455">
        <f t="shared" si="636"/>
        <v>104015.724</v>
      </c>
      <c r="AB189" s="455">
        <f t="shared" si="636"/>
        <v>127273.39199999999</v>
      </c>
      <c r="AC189" s="455">
        <f t="shared" si="636"/>
        <v>124761.92600000001</v>
      </c>
      <c r="AD189" s="455">
        <f t="shared" si="636"/>
        <v>126047.613</v>
      </c>
      <c r="AE189" s="455">
        <f t="shared" si="636"/>
        <v>117783.265</v>
      </c>
      <c r="AF189" s="455">
        <f t="shared" si="636"/>
        <v>126818.68000000001</v>
      </c>
      <c r="AG189" s="455">
        <f t="shared" si="636"/>
        <v>124394.594</v>
      </c>
      <c r="AH189" s="455">
        <f t="shared" si="636"/>
        <v>127691.697</v>
      </c>
      <c r="AI189" s="455">
        <f t="shared" si="636"/>
        <v>129286.68700000001</v>
      </c>
      <c r="AJ189" s="455">
        <f t="shared" si="636"/>
        <v>129973.46299999999</v>
      </c>
      <c r="AK189" s="455">
        <f t="shared" si="636"/>
        <v>132854.13199999998</v>
      </c>
      <c r="AL189" s="455">
        <f t="shared" si="636"/>
        <v>136208.13700000002</v>
      </c>
      <c r="AM189" s="455">
        <f t="shared" si="636"/>
        <v>132551.94</v>
      </c>
      <c r="AN189" s="455">
        <f t="shared" si="636"/>
        <v>130601.198</v>
      </c>
      <c r="AO189" s="455">
        <f t="shared" si="636"/>
        <v>123523.76400000001</v>
      </c>
      <c r="AP189" s="455">
        <f t="shared" si="636"/>
        <v>127938.821</v>
      </c>
      <c r="AQ189" s="455">
        <f t="shared" si="636"/>
        <v>125728.95300000001</v>
      </c>
      <c r="AR189" s="455">
        <f t="shared" si="636"/>
        <v>126984.57699999999</v>
      </c>
      <c r="AS189" s="455">
        <f t="shared" si="636"/>
        <v>133072.28599999999</v>
      </c>
      <c r="AT189" s="455">
        <f t="shared" si="636"/>
        <v>142343.53099999999</v>
      </c>
      <c r="AU189" s="455">
        <f t="shared" si="636"/>
        <v>144138.677</v>
      </c>
      <c r="AV189" s="455">
        <f t="shared" si="636"/>
        <v>149036.61499999999</v>
      </c>
      <c r="AW189" s="455">
        <f t="shared" si="636"/>
        <v>143986.00399999999</v>
      </c>
      <c r="AX189" s="455">
        <f t="shared" si="636"/>
        <v>146134.48199999999</v>
      </c>
      <c r="AY189" s="455">
        <f t="shared" si="636"/>
        <v>137140.66699999999</v>
      </c>
      <c r="AZ189" s="455">
        <f t="shared" ref="AZ189" si="637">AZ125</f>
        <v>137429.03699999998</v>
      </c>
      <c r="BB189" s="455">
        <f>BB125</f>
        <v>104015.724</v>
      </c>
    </row>
    <row r="190" spans="2:54" ht="12.75">
      <c r="B190" s="422" t="s">
        <v>576</v>
      </c>
      <c r="C190" s="471">
        <f t="shared" ref="C190:N190" si="638">C126</f>
        <v>64806.553</v>
      </c>
      <c r="D190" s="471">
        <f t="shared" si="638"/>
        <v>68062.145999999993</v>
      </c>
      <c r="E190" s="471">
        <f t="shared" si="638"/>
        <v>79566.11</v>
      </c>
      <c r="F190" s="471">
        <f t="shared" si="638"/>
        <v>107058.63800000001</v>
      </c>
      <c r="G190" s="471">
        <f t="shared" si="638"/>
        <v>107058.63800000001</v>
      </c>
      <c r="H190" s="471">
        <f t="shared" si="638"/>
        <v>125529.85799999999</v>
      </c>
      <c r="I190" s="471">
        <f t="shared" si="638"/>
        <v>136026.198</v>
      </c>
      <c r="J190" s="471">
        <f t="shared" si="638"/>
        <v>139439.05100000001</v>
      </c>
      <c r="K190" s="471">
        <f t="shared" si="638"/>
        <v>128555.595</v>
      </c>
      <c r="L190" s="471">
        <f t="shared" si="638"/>
        <v>148657.27799999999</v>
      </c>
      <c r="M190" s="471">
        <f t="shared" si="638"/>
        <v>150862.49</v>
      </c>
      <c r="N190" s="471">
        <f t="shared" si="638"/>
        <v>150529.21</v>
      </c>
      <c r="O190" s="471"/>
      <c r="P190" s="471">
        <f t="shared" ref="P190:AY190" si="639">P126</f>
        <v>4299.3180000000002</v>
      </c>
      <c r="Q190" s="471">
        <f t="shared" si="639"/>
        <v>61870.677000000003</v>
      </c>
      <c r="R190" s="471">
        <f t="shared" si="639"/>
        <v>62760.502999999997</v>
      </c>
      <c r="S190" s="471">
        <f t="shared" si="639"/>
        <v>68062.145999999993</v>
      </c>
      <c r="T190" s="471">
        <f t="shared" si="639"/>
        <v>66072.085000000006</v>
      </c>
      <c r="U190" s="471">
        <f t="shared" si="639"/>
        <v>72404.240000000005</v>
      </c>
      <c r="V190" s="471">
        <f t="shared" si="639"/>
        <v>74482.182000000001</v>
      </c>
      <c r="W190" s="471">
        <f t="shared" si="639"/>
        <v>79566.11</v>
      </c>
      <c r="X190" s="471">
        <f t="shared" si="639"/>
        <v>81718.253000000012</v>
      </c>
      <c r="Y190" s="471">
        <f t="shared" si="639"/>
        <v>99237.194000000003</v>
      </c>
      <c r="Z190" s="471">
        <f t="shared" si="639"/>
        <v>98297.991000000009</v>
      </c>
      <c r="AA190" s="471">
        <f t="shared" si="639"/>
        <v>107058.63800000001</v>
      </c>
      <c r="AB190" s="471">
        <f t="shared" si="639"/>
        <v>131342.34599999999</v>
      </c>
      <c r="AC190" s="471">
        <f t="shared" si="639"/>
        <v>139619.239</v>
      </c>
      <c r="AD190" s="471">
        <f t="shared" si="639"/>
        <v>144421.549</v>
      </c>
      <c r="AE190" s="471">
        <f t="shared" si="639"/>
        <v>125529.85799999999</v>
      </c>
      <c r="AF190" s="471">
        <f t="shared" si="639"/>
        <v>131638.94</v>
      </c>
      <c r="AG190" s="471">
        <f t="shared" si="639"/>
        <v>128108.41</v>
      </c>
      <c r="AH190" s="471">
        <f t="shared" si="639"/>
        <v>131194.06200000001</v>
      </c>
      <c r="AI190" s="471">
        <f t="shared" si="639"/>
        <v>136026.198</v>
      </c>
      <c r="AJ190" s="471">
        <f t="shared" si="639"/>
        <v>134310.18799999999</v>
      </c>
      <c r="AK190" s="471">
        <f t="shared" si="639"/>
        <v>138112.21099999998</v>
      </c>
      <c r="AL190" s="471">
        <f t="shared" si="639"/>
        <v>141086.77600000001</v>
      </c>
      <c r="AM190" s="471">
        <f t="shared" si="639"/>
        <v>139439.05100000001</v>
      </c>
      <c r="AN190" s="471">
        <f t="shared" si="639"/>
        <v>133673.114</v>
      </c>
      <c r="AO190" s="471">
        <f t="shared" si="639"/>
        <v>127898.53200000001</v>
      </c>
      <c r="AP190" s="471">
        <f t="shared" si="639"/>
        <v>130602.42199999999</v>
      </c>
      <c r="AQ190" s="471">
        <f t="shared" si="639"/>
        <v>128555.595</v>
      </c>
      <c r="AR190" s="471">
        <f t="shared" si="639"/>
        <v>128778.234</v>
      </c>
      <c r="AS190" s="471">
        <f t="shared" si="639"/>
        <v>137754.302</v>
      </c>
      <c r="AT190" s="471">
        <f t="shared" si="639"/>
        <v>145011.965</v>
      </c>
      <c r="AU190" s="471">
        <f t="shared" si="639"/>
        <v>148657.27799999999</v>
      </c>
      <c r="AV190" s="471">
        <f t="shared" si="639"/>
        <v>151045.18799999999</v>
      </c>
      <c r="AW190" s="471">
        <f t="shared" si="639"/>
        <v>148183.12199999997</v>
      </c>
      <c r="AX190" s="471">
        <f t="shared" si="639"/>
        <v>149005.41099999999</v>
      </c>
      <c r="AY190" s="471">
        <f t="shared" si="639"/>
        <v>150862.49</v>
      </c>
      <c r="AZ190" s="471">
        <f t="shared" ref="AZ190" si="640">AZ126</f>
        <v>150529.21</v>
      </c>
      <c r="BB190" s="471">
        <f>BB126</f>
        <v>107058.63800000001</v>
      </c>
    </row>
    <row r="191" spans="2:54" ht="12.75">
      <c r="C191" s="471"/>
      <c r="D191" s="471"/>
      <c r="E191" s="471"/>
      <c r="F191" s="471"/>
      <c r="G191" s="471"/>
      <c r="H191" s="471"/>
      <c r="I191" s="471"/>
      <c r="J191" s="471"/>
      <c r="K191" s="471"/>
      <c r="L191" s="471"/>
      <c r="M191" s="471"/>
      <c r="N191" s="471"/>
      <c r="O191" s="471"/>
      <c r="P191" s="589"/>
      <c r="Q191" s="589"/>
      <c r="R191" s="589"/>
      <c r="S191" s="471"/>
      <c r="T191" s="471"/>
      <c r="U191" s="471"/>
      <c r="V191" s="471"/>
      <c r="W191" s="471"/>
      <c r="X191" s="471"/>
      <c r="Y191" s="471"/>
      <c r="Z191" s="471"/>
      <c r="AA191" s="471"/>
      <c r="AB191" s="471"/>
      <c r="AC191" s="471"/>
      <c r="AD191" s="471"/>
      <c r="AE191" s="471"/>
      <c r="AF191" s="471"/>
      <c r="AG191" s="471"/>
      <c r="AH191" s="471"/>
      <c r="AI191" s="471"/>
      <c r="AJ191" s="471"/>
      <c r="AK191" s="471"/>
      <c r="AL191" s="471"/>
      <c r="AM191" s="471"/>
      <c r="AN191" s="471"/>
      <c r="AO191" s="471"/>
      <c r="AP191" s="471"/>
      <c r="AQ191" s="471"/>
      <c r="AR191" s="471"/>
      <c r="AS191" s="471"/>
      <c r="AT191" s="471"/>
      <c r="AU191" s="471"/>
      <c r="AV191" s="471"/>
      <c r="AW191" s="471"/>
      <c r="AX191" s="471"/>
      <c r="AY191" s="471"/>
      <c r="AZ191" s="471"/>
      <c r="BB191" s="471"/>
    </row>
    <row r="192" spans="2:54" ht="12.75">
      <c r="B192" s="422" t="s">
        <v>71</v>
      </c>
      <c r="C192" s="471">
        <f t="shared" ref="C192:N192" si="641">C143</f>
        <v>9988.4310000000005</v>
      </c>
      <c r="D192" s="471">
        <f t="shared" si="641"/>
        <v>10987.822999999999</v>
      </c>
      <c r="E192" s="471">
        <f t="shared" si="641"/>
        <v>12809.943999999998</v>
      </c>
      <c r="F192" s="471">
        <f t="shared" si="641"/>
        <v>14315.096999999998</v>
      </c>
      <c r="G192" s="471">
        <f t="shared" si="641"/>
        <v>14321.096999999998</v>
      </c>
      <c r="H192" s="471">
        <f t="shared" si="641"/>
        <v>14065.146999999997</v>
      </c>
      <c r="I192" s="471">
        <f t="shared" si="641"/>
        <v>16539.563999999998</v>
      </c>
      <c r="J192" s="471">
        <f t="shared" si="641"/>
        <v>17899.572</v>
      </c>
      <c r="K192" s="471">
        <f t="shared" si="641"/>
        <v>19151.268</v>
      </c>
      <c r="L192" s="471">
        <f t="shared" si="641"/>
        <v>20313.487000000001</v>
      </c>
      <c r="M192" s="471">
        <f t="shared" si="641"/>
        <v>21833.199999999997</v>
      </c>
      <c r="N192" s="471">
        <f t="shared" si="641"/>
        <v>22354.383000000002</v>
      </c>
      <c r="O192" s="471"/>
      <c r="P192" s="471"/>
      <c r="Q192" s="471"/>
      <c r="R192" s="471"/>
      <c r="S192" s="471">
        <f t="shared" ref="S192:AY192" si="642">S143</f>
        <v>10987.823</v>
      </c>
      <c r="T192" s="471">
        <f t="shared" si="642"/>
        <v>11367.479000000001</v>
      </c>
      <c r="U192" s="471">
        <f t="shared" si="642"/>
        <v>11816.534</v>
      </c>
      <c r="V192" s="471">
        <f t="shared" si="642"/>
        <v>12359.011999999999</v>
      </c>
      <c r="W192" s="471">
        <f t="shared" si="642"/>
        <v>12809.944</v>
      </c>
      <c r="X192" s="471">
        <f t="shared" si="642"/>
        <v>13176.544</v>
      </c>
      <c r="Y192" s="471">
        <f t="shared" si="642"/>
        <v>13561.189</v>
      </c>
      <c r="Z192" s="471">
        <f t="shared" si="642"/>
        <v>13878.613000000001</v>
      </c>
      <c r="AA192" s="471">
        <f t="shared" si="642"/>
        <v>14315.096999999996</v>
      </c>
      <c r="AB192" s="471">
        <f t="shared" si="642"/>
        <v>14815.857999999997</v>
      </c>
      <c r="AC192" s="471">
        <f t="shared" si="642"/>
        <v>14344.409999999996</v>
      </c>
      <c r="AD192" s="471">
        <f t="shared" si="642"/>
        <v>14000.557999999997</v>
      </c>
      <c r="AE192" s="471">
        <f t="shared" si="642"/>
        <v>14065.147000000001</v>
      </c>
      <c r="AF192" s="471">
        <f t="shared" si="642"/>
        <v>14118.965</v>
      </c>
      <c r="AG192" s="471">
        <f t="shared" si="642"/>
        <v>15079.078</v>
      </c>
      <c r="AH192" s="471">
        <f t="shared" si="642"/>
        <v>16011.937000000002</v>
      </c>
      <c r="AI192" s="471">
        <f t="shared" si="642"/>
        <v>16539.563999999998</v>
      </c>
      <c r="AJ192" s="471">
        <f t="shared" si="642"/>
        <v>16934.287999999997</v>
      </c>
      <c r="AK192" s="471">
        <f t="shared" si="642"/>
        <v>17240.216</v>
      </c>
      <c r="AL192" s="471">
        <f t="shared" si="642"/>
        <v>17670.772999999997</v>
      </c>
      <c r="AM192" s="471">
        <f t="shared" si="642"/>
        <v>17899.572000000004</v>
      </c>
      <c r="AN192" s="471">
        <f t="shared" si="642"/>
        <v>18263.923000000003</v>
      </c>
      <c r="AO192" s="471">
        <f t="shared" si="642"/>
        <v>18702.134000000005</v>
      </c>
      <c r="AP192" s="471">
        <f t="shared" si="642"/>
        <v>18907.924000000003</v>
      </c>
      <c r="AQ192" s="471">
        <f t="shared" si="642"/>
        <v>19151.267999999996</v>
      </c>
      <c r="AR192" s="471">
        <f t="shared" si="642"/>
        <v>19325.349999999999</v>
      </c>
      <c r="AS192" s="471">
        <f t="shared" si="642"/>
        <v>19429.460999999999</v>
      </c>
      <c r="AT192" s="471">
        <f t="shared" si="642"/>
        <v>19829.728999999996</v>
      </c>
      <c r="AU192" s="471">
        <f t="shared" si="642"/>
        <v>20313.486999999997</v>
      </c>
      <c r="AV192" s="471">
        <f t="shared" si="642"/>
        <v>20785.638999999996</v>
      </c>
      <c r="AW192" s="471">
        <f t="shared" si="642"/>
        <v>21248.561999999998</v>
      </c>
      <c r="AX192" s="471">
        <f t="shared" si="642"/>
        <v>21401.187999999998</v>
      </c>
      <c r="AY192" s="471">
        <f t="shared" si="642"/>
        <v>21833.200000000001</v>
      </c>
      <c r="AZ192" s="471">
        <f t="shared" ref="AZ192" si="643">AZ143</f>
        <v>22354.383000000002</v>
      </c>
      <c r="BB192" s="471">
        <f>BB143</f>
        <v>14321.096999999996</v>
      </c>
    </row>
    <row r="193" spans="2:54" ht="12.75">
      <c r="C193" s="434"/>
      <c r="D193" s="433"/>
      <c r="E193" s="433"/>
      <c r="F193" s="433"/>
      <c r="G193" s="433"/>
      <c r="H193" s="433"/>
      <c r="I193" s="433"/>
      <c r="J193" s="433"/>
      <c r="K193" s="433"/>
      <c r="L193" s="433"/>
      <c r="M193" s="433"/>
      <c r="N193" s="433"/>
      <c r="O193" s="433"/>
      <c r="P193" s="470"/>
      <c r="Q193" s="470"/>
      <c r="R193" s="470"/>
      <c r="S193" s="433"/>
      <c r="T193" s="433"/>
      <c r="U193" s="433"/>
      <c r="V193" s="433"/>
      <c r="W193" s="433"/>
      <c r="X193" s="433"/>
      <c r="Y193" s="433"/>
      <c r="Z193" s="433"/>
      <c r="AA193" s="433"/>
      <c r="AB193" s="433"/>
      <c r="AC193" s="433"/>
      <c r="AD193" s="433"/>
      <c r="AE193" s="433"/>
      <c r="AF193" s="433"/>
      <c r="AG193" s="433"/>
      <c r="AH193" s="433"/>
      <c r="AI193" s="433"/>
      <c r="AJ193" s="433"/>
      <c r="AK193" s="433"/>
      <c r="AL193" s="433"/>
      <c r="AM193" s="433"/>
      <c r="AN193" s="433"/>
      <c r="AO193" s="433"/>
      <c r="AP193" s="433"/>
      <c r="AQ193" s="433"/>
      <c r="AR193" s="433"/>
      <c r="AS193" s="433"/>
      <c r="AT193" s="433"/>
      <c r="AU193" s="433"/>
      <c r="AV193" s="433"/>
      <c r="AW193" s="433"/>
      <c r="AX193" s="433"/>
      <c r="AY193" s="433"/>
      <c r="AZ193" s="433"/>
      <c r="BB193" s="433"/>
    </row>
    <row r="194" spans="2:54" s="424" customFormat="1" ht="12.75">
      <c r="B194" s="424" t="s">
        <v>563</v>
      </c>
      <c r="C194" s="429">
        <f t="shared" ref="C194:N194" si="644">+C133</f>
        <v>5.9321061536091095</v>
      </c>
      <c r="D194" s="429">
        <f t="shared" si="644"/>
        <v>5.9005047678689397</v>
      </c>
      <c r="E194" s="429">
        <f t="shared" si="644"/>
        <v>5.8670969990188881</v>
      </c>
      <c r="F194" s="429">
        <f t="shared" si="644"/>
        <v>7.2661557235693213</v>
      </c>
      <c r="G194" s="429">
        <f t="shared" si="644"/>
        <v>7.2631114781221031</v>
      </c>
      <c r="H194" s="429">
        <f t="shared" si="644"/>
        <v>8.3741225740477532</v>
      </c>
      <c r="I194" s="429">
        <f t="shared" si="644"/>
        <v>7.8168134903677036</v>
      </c>
      <c r="J194" s="429">
        <f t="shared" si="644"/>
        <v>7.4053133784427922</v>
      </c>
      <c r="K194" s="429">
        <f t="shared" si="644"/>
        <v>6.5650458758135501</v>
      </c>
      <c r="L194" s="429">
        <f t="shared" si="644"/>
        <v>7.0957131584547737</v>
      </c>
      <c r="M194" s="429">
        <f t="shared" si="644"/>
        <v>6.2812902826887491</v>
      </c>
      <c r="N194" s="429">
        <f t="shared" si="644"/>
        <v>6.1477445832434725</v>
      </c>
      <c r="O194" s="429"/>
      <c r="P194" s="600"/>
      <c r="Q194" s="430"/>
      <c r="R194" s="430"/>
      <c r="S194" s="429">
        <f t="shared" ref="S194:AY194" si="645">+S133</f>
        <v>5.9005047678689388</v>
      </c>
      <c r="T194" s="429">
        <f t="shared" si="645"/>
        <v>5.4825020569644334</v>
      </c>
      <c r="U194" s="429">
        <f t="shared" si="645"/>
        <v>5.8308383828963724</v>
      </c>
      <c r="V194" s="429">
        <f t="shared" si="645"/>
        <v>5.5398943701972296</v>
      </c>
      <c r="W194" s="429">
        <f t="shared" si="645"/>
        <v>5.8670969990188873</v>
      </c>
      <c r="X194" s="429">
        <f t="shared" si="645"/>
        <v>5.9482088019438182</v>
      </c>
      <c r="Y194" s="429">
        <f t="shared" si="645"/>
        <v>5.9791851584695115</v>
      </c>
      <c r="Z194" s="429">
        <f t="shared" si="645"/>
        <v>6.0939027552681235</v>
      </c>
      <c r="AA194" s="429">
        <f t="shared" si="645"/>
        <v>7.2661557235693222</v>
      </c>
      <c r="AB194" s="429">
        <f t="shared" si="645"/>
        <v>8.5903490705701966</v>
      </c>
      <c r="AC194" s="429">
        <f t="shared" si="645"/>
        <v>8.6975989950092085</v>
      </c>
      <c r="AD194" s="429">
        <f t="shared" si="645"/>
        <v>9.00304209303658</v>
      </c>
      <c r="AE194" s="429">
        <f t="shared" si="645"/>
        <v>8.3741225740477496</v>
      </c>
      <c r="AF194" s="429">
        <f t="shared" si="645"/>
        <v>8.9821513120827206</v>
      </c>
      <c r="AG194" s="429">
        <f t="shared" si="645"/>
        <v>8.2494827601528424</v>
      </c>
      <c r="AH194" s="429">
        <f t="shared" si="645"/>
        <v>7.974781377168795</v>
      </c>
      <c r="AI194" s="429">
        <f t="shared" si="645"/>
        <v>7.8168134903677036</v>
      </c>
      <c r="AJ194" s="429">
        <f t="shared" si="645"/>
        <v>7.6751654985435476</v>
      </c>
      <c r="AK194" s="429">
        <f t="shared" si="645"/>
        <v>7.7060595992532797</v>
      </c>
      <c r="AL194" s="429">
        <f t="shared" si="645"/>
        <v>7.7081029222660513</v>
      </c>
      <c r="AM194" s="429">
        <f t="shared" si="645"/>
        <v>7.4053133784427905</v>
      </c>
      <c r="AN194" s="429">
        <f t="shared" si="645"/>
        <v>7.1507746720132355</v>
      </c>
      <c r="AO194" s="429">
        <f t="shared" si="645"/>
        <v>6.6047951533231437</v>
      </c>
      <c r="AP194" s="429">
        <f t="shared" si="645"/>
        <v>6.766412907096516</v>
      </c>
      <c r="AQ194" s="429">
        <f t="shared" si="645"/>
        <v>6.565045875813551</v>
      </c>
      <c r="AR194" s="429">
        <f t="shared" si="645"/>
        <v>6.5708810965907478</v>
      </c>
      <c r="AS194" s="429">
        <f t="shared" si="645"/>
        <v>6.8489952449015439</v>
      </c>
      <c r="AT194" s="429">
        <f t="shared" si="645"/>
        <v>7.1782892746542331</v>
      </c>
      <c r="AU194" s="429">
        <f t="shared" si="645"/>
        <v>7.0957131584547755</v>
      </c>
      <c r="AV194" s="429">
        <f t="shared" si="645"/>
        <v>7.1701723964319797</v>
      </c>
      <c r="AW194" s="429">
        <f t="shared" si="645"/>
        <v>6.7762705071524367</v>
      </c>
      <c r="AX194" s="429">
        <f t="shared" si="645"/>
        <v>6.8283350438302772</v>
      </c>
      <c r="AY194" s="429">
        <f t="shared" si="645"/>
        <v>6.2812902826887482</v>
      </c>
      <c r="AZ194" s="429">
        <f t="shared" ref="AZ194" si="646">+AZ133</f>
        <v>6.1477445832434725</v>
      </c>
      <c r="BB194" s="429">
        <f>+BB133</f>
        <v>7.263111478122104</v>
      </c>
    </row>
    <row r="195" spans="2:54" ht="12.75">
      <c r="B195" s="422" t="s">
        <v>564</v>
      </c>
      <c r="C195" s="427">
        <f t="shared" ref="C195:N195" si="647">+C134</f>
        <v>6.4881614539861161</v>
      </c>
      <c r="D195" s="427">
        <f t="shared" si="647"/>
        <v>6.1943249358858443</v>
      </c>
      <c r="E195" s="427">
        <f t="shared" si="647"/>
        <v>6.2112769579632836</v>
      </c>
      <c r="F195" s="427">
        <f t="shared" si="647"/>
        <v>7.4787224983526146</v>
      </c>
      <c r="G195" s="427">
        <f t="shared" si="647"/>
        <v>7.475589195436636</v>
      </c>
      <c r="H195" s="427">
        <f t="shared" si="647"/>
        <v>8.9248877384644487</v>
      </c>
      <c r="I195" s="427">
        <f t="shared" si="647"/>
        <v>8.2242916439635305</v>
      </c>
      <c r="J195" s="427">
        <f t="shared" si="647"/>
        <v>7.7900773828558583</v>
      </c>
      <c r="K195" s="427">
        <f t="shared" si="647"/>
        <v>6.712641429277685</v>
      </c>
      <c r="L195" s="427">
        <f t="shared" si="647"/>
        <v>7.3181565528360535</v>
      </c>
      <c r="M195" s="427">
        <f t="shared" si="647"/>
        <v>6.9097745635087851</v>
      </c>
      <c r="N195" s="427">
        <f t="shared" si="647"/>
        <v>6.733767154298107</v>
      </c>
      <c r="O195" s="427"/>
      <c r="P195" s="600"/>
      <c r="Q195" s="428"/>
      <c r="R195" s="428"/>
      <c r="S195" s="427">
        <f t="shared" ref="S195:AY195" si="648">+S134</f>
        <v>6.1943249358858434</v>
      </c>
      <c r="T195" s="427">
        <f t="shared" si="648"/>
        <v>5.8123780127502327</v>
      </c>
      <c r="U195" s="427">
        <f t="shared" si="648"/>
        <v>6.1273669588730506</v>
      </c>
      <c r="V195" s="427">
        <f t="shared" si="648"/>
        <v>6.0265482386456144</v>
      </c>
      <c r="W195" s="427">
        <f t="shared" si="648"/>
        <v>6.2112769579632827</v>
      </c>
      <c r="X195" s="427">
        <f t="shared" si="648"/>
        <v>6.2017971480230329</v>
      </c>
      <c r="Y195" s="427">
        <f t="shared" si="648"/>
        <v>7.3177354876478748</v>
      </c>
      <c r="Z195" s="427">
        <f t="shared" si="648"/>
        <v>7.0826955834851795</v>
      </c>
      <c r="AA195" s="427">
        <f t="shared" si="648"/>
        <v>7.4787224983526155</v>
      </c>
      <c r="AB195" s="427">
        <f t="shared" si="648"/>
        <v>8.864984127142689</v>
      </c>
      <c r="AC195" s="427">
        <f t="shared" si="648"/>
        <v>9.7333552931072127</v>
      </c>
      <c r="AD195" s="427">
        <f t="shared" si="648"/>
        <v>10.315413785650545</v>
      </c>
      <c r="AE195" s="427">
        <f t="shared" si="648"/>
        <v>8.9248877384644452</v>
      </c>
      <c r="AF195" s="427">
        <f t="shared" si="648"/>
        <v>9.3235545240037077</v>
      </c>
      <c r="AG195" s="427">
        <f t="shared" si="648"/>
        <v>8.4957720889831592</v>
      </c>
      <c r="AH195" s="427">
        <f t="shared" si="648"/>
        <v>8.1935159999692733</v>
      </c>
      <c r="AI195" s="427">
        <f t="shared" si="648"/>
        <v>8.2242916439635305</v>
      </c>
      <c r="AJ195" s="427">
        <f t="shared" si="648"/>
        <v>7.9312568677230493</v>
      </c>
      <c r="AK195" s="427">
        <f t="shared" si="648"/>
        <v>8.0110487594818984</v>
      </c>
      <c r="AL195" s="427">
        <f t="shared" si="648"/>
        <v>7.9841881280462399</v>
      </c>
      <c r="AM195" s="427">
        <f t="shared" si="648"/>
        <v>7.7900773828558574</v>
      </c>
      <c r="AN195" s="427">
        <f t="shared" si="648"/>
        <v>7.3189705190938437</v>
      </c>
      <c r="AO195" s="427">
        <f t="shared" si="648"/>
        <v>6.8387132719720629</v>
      </c>
      <c r="AP195" s="427">
        <f t="shared" si="648"/>
        <v>6.9072851149602661</v>
      </c>
      <c r="AQ195" s="427">
        <f t="shared" si="648"/>
        <v>6.7126414292776868</v>
      </c>
      <c r="AR195" s="427">
        <f t="shared" si="648"/>
        <v>6.6636947843117982</v>
      </c>
      <c r="AS195" s="427">
        <f t="shared" si="648"/>
        <v>7.0899703290791241</v>
      </c>
      <c r="AT195" s="427">
        <f t="shared" si="648"/>
        <v>7.3128566204813001</v>
      </c>
      <c r="AU195" s="427">
        <f t="shared" si="648"/>
        <v>7.3181565528360544</v>
      </c>
      <c r="AV195" s="427">
        <f t="shared" si="648"/>
        <v>7.2668051244419294</v>
      </c>
      <c r="AW195" s="427">
        <f t="shared" si="648"/>
        <v>6.9737953090660909</v>
      </c>
      <c r="AX195" s="427">
        <f t="shared" si="648"/>
        <v>6.9624831574770525</v>
      </c>
      <c r="AY195" s="427">
        <f t="shared" si="648"/>
        <v>6.9097745635087842</v>
      </c>
      <c r="AZ195" s="427">
        <f t="shared" ref="AZ195" si="649">+AZ134</f>
        <v>6.733767154298107</v>
      </c>
      <c r="BB195" s="427">
        <f>+BB134</f>
        <v>7.4755891954366369</v>
      </c>
    </row>
    <row r="196" spans="2:54" ht="12.75">
      <c r="C196" s="431"/>
      <c r="D196" s="431"/>
      <c r="E196" s="431"/>
      <c r="F196" s="431"/>
      <c r="G196" s="431"/>
      <c r="H196" s="431"/>
      <c r="I196" s="431"/>
      <c r="J196" s="431"/>
      <c r="K196" s="431"/>
      <c r="L196" s="431"/>
      <c r="M196" s="431"/>
      <c r="N196" s="431"/>
      <c r="O196" s="431"/>
      <c r="P196" s="432"/>
      <c r="Q196" s="432"/>
      <c r="R196" s="432"/>
      <c r="S196" s="431"/>
      <c r="T196" s="431"/>
      <c r="U196" s="431"/>
      <c r="V196" s="431"/>
      <c r="W196" s="431"/>
      <c r="X196" s="431"/>
      <c r="Y196" s="431"/>
      <c r="Z196" s="431"/>
      <c r="AA196" s="431"/>
      <c r="AB196" s="431"/>
      <c r="AC196" s="431"/>
      <c r="AD196" s="431"/>
      <c r="AE196" s="431"/>
      <c r="AF196" s="431"/>
      <c r="AG196" s="431"/>
      <c r="AH196" s="431"/>
      <c r="AI196" s="431"/>
      <c r="AJ196" s="431"/>
      <c r="AK196" s="431"/>
      <c r="AL196" s="431"/>
      <c r="AM196" s="431"/>
      <c r="AN196" s="431"/>
      <c r="AO196" s="431"/>
      <c r="AP196" s="431"/>
      <c r="AQ196" s="431"/>
      <c r="AR196" s="431"/>
      <c r="AS196" s="431"/>
      <c r="AT196" s="431"/>
      <c r="AU196" s="431"/>
      <c r="AV196" s="431"/>
      <c r="AW196" s="431"/>
      <c r="AX196" s="431"/>
      <c r="AY196" s="431"/>
      <c r="AZ196" s="431"/>
      <c r="BB196" s="431"/>
    </row>
    <row r="197" spans="2:54" ht="12.75">
      <c r="B197" s="424" t="s">
        <v>565</v>
      </c>
      <c r="C197" s="429">
        <f t="shared" ref="C197:N197" si="650">+C136</f>
        <v>1.1103708052499066</v>
      </c>
      <c r="D197" s="429">
        <f t="shared" si="650"/>
        <v>1.01741762680606</v>
      </c>
      <c r="E197" s="429">
        <f t="shared" si="650"/>
        <v>0.78345072350337119</v>
      </c>
      <c r="F197" s="429">
        <f t="shared" si="650"/>
        <v>0.7115654154740102</v>
      </c>
      <c r="G197" s="429">
        <f t="shared" si="650"/>
        <v>1.4494395741054285</v>
      </c>
      <c r="H197" s="429">
        <f t="shared" si="650"/>
        <v>1.4485574741534017</v>
      </c>
      <c r="I197" s="429">
        <f t="shared" si="650"/>
        <v>1.9558611327486131</v>
      </c>
      <c r="J197" s="429">
        <f t="shared" si="650"/>
        <v>1.4756334889927623</v>
      </c>
      <c r="K197" s="429">
        <f t="shared" si="650"/>
        <v>2.0322799994681966</v>
      </c>
      <c r="L197" s="429">
        <f t="shared" si="650"/>
        <v>2.0782345755057885</v>
      </c>
      <c r="M197" s="429">
        <f t="shared" si="650"/>
        <v>1.5206952161720395</v>
      </c>
      <c r="N197" s="429">
        <f t="shared" si="650"/>
        <v>1.7192800712430261</v>
      </c>
      <c r="O197" s="429"/>
      <c r="P197" s="430"/>
      <c r="Q197" s="430"/>
      <c r="R197" s="430"/>
      <c r="S197" s="429">
        <f t="shared" ref="S197:AY197" si="651">+S136</f>
        <v>1.0174176268060604</v>
      </c>
      <c r="T197" s="429">
        <f t="shared" si="651"/>
        <v>1.5841257952800909</v>
      </c>
      <c r="U197" s="429">
        <f t="shared" si="651"/>
        <v>0.93976547397091781</v>
      </c>
      <c r="V197" s="429">
        <f t="shared" si="651"/>
        <v>1.0214279625562541</v>
      </c>
      <c r="W197" s="429">
        <f t="shared" si="651"/>
        <v>0.78345072350337142</v>
      </c>
      <c r="X197" s="429">
        <f t="shared" si="651"/>
        <v>0.50731538741360505</v>
      </c>
      <c r="Y197" s="429">
        <f t="shared" si="651"/>
        <v>0.71328799104906215</v>
      </c>
      <c r="Z197" s="429">
        <f t="shared" si="651"/>
        <v>0.76110270891263065</v>
      </c>
      <c r="AA197" s="429">
        <f t="shared" si="651"/>
        <v>0.71156541547400998</v>
      </c>
      <c r="AB197" s="429">
        <f t="shared" si="651"/>
        <v>0.91598141556292478</v>
      </c>
      <c r="AC197" s="429">
        <f t="shared" si="651"/>
        <v>1.0669916813888134</v>
      </c>
      <c r="AD197" s="429">
        <f t="shared" si="651"/>
        <v>1.1375843415787181</v>
      </c>
      <c r="AE197" s="429">
        <f t="shared" si="651"/>
        <v>1.4485574741534022</v>
      </c>
      <c r="AF197" s="429">
        <f t="shared" si="651"/>
        <v>1.3832062476006399</v>
      </c>
      <c r="AG197" s="429">
        <f t="shared" si="651"/>
        <v>1.5954487302409577</v>
      </c>
      <c r="AH197" s="429">
        <f t="shared" si="651"/>
        <v>1.7504864722764064</v>
      </c>
      <c r="AI197" s="429">
        <f t="shared" si="651"/>
        <v>1.9558611327486131</v>
      </c>
      <c r="AJ197" s="429">
        <f t="shared" si="651"/>
        <v>1.889820942995172</v>
      </c>
      <c r="AK197" s="429">
        <f t="shared" si="651"/>
        <v>1.650225580998586</v>
      </c>
      <c r="AL197" s="429">
        <f t="shared" si="651"/>
        <v>1.3380186740795972</v>
      </c>
      <c r="AM197" s="429">
        <f t="shared" si="651"/>
        <v>1.4756334889927625</v>
      </c>
      <c r="AN197" s="429">
        <f t="shared" si="651"/>
        <v>1.4653356409969149</v>
      </c>
      <c r="AO197" s="429">
        <f t="shared" si="651"/>
        <v>2.0116182909303637</v>
      </c>
      <c r="AP197" s="429">
        <f t="shared" si="651"/>
        <v>2.2069765019598226</v>
      </c>
      <c r="AQ197" s="429">
        <f t="shared" si="651"/>
        <v>2.0322799994681962</v>
      </c>
      <c r="AR197" s="429">
        <f t="shared" si="651"/>
        <v>2.1397199246701124</v>
      </c>
      <c r="AS197" s="429">
        <f t="shared" si="651"/>
        <v>1.8785841046487137</v>
      </c>
      <c r="AT197" s="429">
        <f t="shared" si="651"/>
        <v>1.8863891120054428</v>
      </c>
      <c r="AU197" s="429">
        <f t="shared" si="651"/>
        <v>2.0782345755057881</v>
      </c>
      <c r="AV197" s="429">
        <f t="shared" si="651"/>
        <v>1.8838747357069565</v>
      </c>
      <c r="AW197" s="429">
        <f t="shared" si="651"/>
        <v>1.8679121357364685</v>
      </c>
      <c r="AX197" s="429">
        <f t="shared" si="651"/>
        <v>1.8808848803146412</v>
      </c>
      <c r="AY197" s="429">
        <f t="shared" si="651"/>
        <v>1.5206952161720397</v>
      </c>
      <c r="AZ197" s="429">
        <f t="shared" ref="AZ197" si="652">+AZ136</f>
        <v>1.7192800712430256</v>
      </c>
      <c r="BB197" s="429">
        <f>+BB136</f>
        <v>1.4494395741054282</v>
      </c>
    </row>
    <row r="198" spans="2:54" ht="12.75">
      <c r="B198" s="422" t="s">
        <v>566</v>
      </c>
      <c r="C198" s="427">
        <f t="shared" ref="C198:N198" si="653">+C137</f>
        <v>2.6986110101712284</v>
      </c>
      <c r="D198" s="427">
        <f t="shared" si="653"/>
        <v>2.2258615324902418</v>
      </c>
      <c r="E198" s="427">
        <f t="shared" si="653"/>
        <v>2.0935492089993915</v>
      </c>
      <c r="F198" s="427">
        <f t="shared" si="653"/>
        <v>2.070812932142748</v>
      </c>
      <c r="G198" s="427">
        <f t="shared" si="653"/>
        <v>2.8949334863164222</v>
      </c>
      <c r="H198" s="427">
        <f t="shared" si="653"/>
        <v>1.9011659506561687</v>
      </c>
      <c r="I198" s="427">
        <f t="shared" si="653"/>
        <v>2.7077542368302918</v>
      </c>
      <c r="J198" s="427">
        <f t="shared" si="653"/>
        <v>2.239860509664291</v>
      </c>
      <c r="K198" s="427">
        <f t="shared" si="653"/>
        <v>2.3147078766167133</v>
      </c>
      <c r="L198" s="427">
        <f t="shared" si="653"/>
        <v>2.2492315337513391</v>
      </c>
      <c r="M198" s="427">
        <f t="shared" si="653"/>
        <v>1.7662493573711899</v>
      </c>
      <c r="N198" s="427">
        <f t="shared" si="653"/>
        <v>2.0264071113940982</v>
      </c>
      <c r="O198" s="427"/>
      <c r="P198" s="428"/>
      <c r="Q198" s="428"/>
      <c r="R198" s="428"/>
      <c r="S198" s="427">
        <f t="shared" ref="S198:AY198" si="654">+S137</f>
        <v>2.2258615324902422</v>
      </c>
      <c r="T198" s="427">
        <f t="shared" si="654"/>
        <v>2.6976999440168385</v>
      </c>
      <c r="U198" s="427">
        <f t="shared" si="654"/>
        <v>2.195424856637767</v>
      </c>
      <c r="V198" s="427">
        <f t="shared" si="654"/>
        <v>2.4557306253493385</v>
      </c>
      <c r="W198" s="427">
        <f t="shared" si="654"/>
        <v>2.0935492089993919</v>
      </c>
      <c r="X198" s="427">
        <f t="shared" si="654"/>
        <v>1.8435436662282787</v>
      </c>
      <c r="Y198" s="427">
        <f t="shared" si="654"/>
        <v>1.985497330794384</v>
      </c>
      <c r="Z198" s="427">
        <f t="shared" si="654"/>
        <v>1.7779057251979784</v>
      </c>
      <c r="AA198" s="427">
        <f t="shared" si="654"/>
        <v>2.070812932142748</v>
      </c>
      <c r="AB198" s="427">
        <f t="shared" si="654"/>
        <v>2.0026793662843207</v>
      </c>
      <c r="AC198" s="427">
        <f t="shared" si="654"/>
        <v>1.9603668448904064</v>
      </c>
      <c r="AD198" s="427">
        <f t="shared" si="654"/>
        <v>2.0697691368031821</v>
      </c>
      <c r="AE198" s="427">
        <f t="shared" si="654"/>
        <v>1.9011659506561693</v>
      </c>
      <c r="AF198" s="427">
        <f t="shared" si="654"/>
        <v>1.897177660734775</v>
      </c>
      <c r="AG198" s="427">
        <f t="shared" si="654"/>
        <v>2.2714438996629229</v>
      </c>
      <c r="AH198" s="427">
        <f t="shared" si="654"/>
        <v>2.2295136864580183</v>
      </c>
      <c r="AI198" s="427">
        <f t="shared" si="654"/>
        <v>2.7077542368302918</v>
      </c>
      <c r="AJ198" s="427">
        <f t="shared" si="654"/>
        <v>2.7466849840763423</v>
      </c>
      <c r="AK198" s="427">
        <f t="shared" si="654"/>
        <v>2.5378088297270844</v>
      </c>
      <c r="AL198" s="427">
        <f t="shared" si="654"/>
        <v>2.1643497583187252</v>
      </c>
      <c r="AM198" s="427">
        <f t="shared" si="654"/>
        <v>2.239860509664291</v>
      </c>
      <c r="AN198" s="427">
        <f t="shared" si="654"/>
        <v>2.1954606519959015</v>
      </c>
      <c r="AO198" s="427">
        <f t="shared" si="654"/>
        <v>2.2382475492190732</v>
      </c>
      <c r="AP198" s="427">
        <f t="shared" si="654"/>
        <v>2.4992358715545162</v>
      </c>
      <c r="AQ198" s="427">
        <f t="shared" si="654"/>
        <v>2.3147078766167128</v>
      </c>
      <c r="AR198" s="427">
        <f t="shared" si="654"/>
        <v>2.2869430166841456</v>
      </c>
      <c r="AS198" s="427">
        <f t="shared" si="654"/>
        <v>2.3520128849818058</v>
      </c>
      <c r="AT198" s="427">
        <f t="shared" si="654"/>
        <v>2.1905689580758252</v>
      </c>
      <c r="AU198" s="427">
        <f t="shared" si="654"/>
        <v>2.2492315337513387</v>
      </c>
      <c r="AV198" s="427">
        <f t="shared" si="654"/>
        <v>2.0371760208084493</v>
      </c>
      <c r="AW198" s="427">
        <f t="shared" si="654"/>
        <v>2.0252767835246259</v>
      </c>
      <c r="AX198" s="427">
        <f t="shared" si="654"/>
        <v>2.0118357056949274</v>
      </c>
      <c r="AY198" s="427">
        <f t="shared" si="654"/>
        <v>1.7662493573711904</v>
      </c>
      <c r="AZ198" s="427">
        <f t="shared" ref="AZ198" si="655">+AZ137</f>
        <v>2.0264071113940978</v>
      </c>
      <c r="BB198" s="427">
        <f>+BB137</f>
        <v>2.8949334863164218</v>
      </c>
    </row>
    <row r="199" spans="2:54" ht="12.75">
      <c r="C199" s="427"/>
      <c r="D199" s="427"/>
      <c r="E199" s="427"/>
      <c r="F199" s="427"/>
      <c r="G199" s="427"/>
      <c r="H199" s="427"/>
      <c r="I199" s="427"/>
      <c r="J199" s="427"/>
      <c r="K199" s="427"/>
      <c r="L199" s="427"/>
      <c r="M199" s="427"/>
      <c r="N199" s="427"/>
      <c r="O199" s="427"/>
      <c r="P199" s="427"/>
      <c r="Q199" s="427"/>
      <c r="R199" s="427"/>
      <c r="S199" s="427"/>
      <c r="T199" s="427"/>
      <c r="U199" s="427"/>
      <c r="V199" s="427"/>
      <c r="W199" s="427"/>
      <c r="X199" s="427"/>
      <c r="Y199" s="427"/>
      <c r="Z199" s="427"/>
      <c r="AA199" s="427"/>
      <c r="AB199" s="427"/>
      <c r="AC199" s="427"/>
      <c r="AD199" s="427"/>
      <c r="AE199" s="427"/>
      <c r="AF199" s="427"/>
      <c r="AG199" s="427"/>
      <c r="AH199" s="427"/>
      <c r="AI199" s="427"/>
      <c r="AJ199" s="427"/>
      <c r="AK199" s="427"/>
      <c r="AL199" s="427"/>
      <c r="AM199" s="427"/>
      <c r="AN199" s="427"/>
      <c r="AO199" s="427"/>
      <c r="AP199" s="427"/>
      <c r="AQ199" s="427"/>
      <c r="AR199" s="427"/>
      <c r="AS199" s="427"/>
      <c r="AT199" s="427"/>
      <c r="AU199" s="427"/>
      <c r="AV199" s="427"/>
      <c r="AW199" s="427"/>
      <c r="AX199" s="427"/>
      <c r="AY199" s="427"/>
      <c r="AZ199" s="427"/>
      <c r="BB199" s="427"/>
    </row>
    <row r="200" spans="2:54" s="424" customFormat="1" ht="12.75" customHeight="1">
      <c r="B200" s="424" t="s">
        <v>567</v>
      </c>
      <c r="C200" s="473">
        <f t="shared" ref="C200:N200" si="656">+C139</f>
        <v>0.48312803137651134</v>
      </c>
      <c r="D200" s="473">
        <f t="shared" si="656"/>
        <v>0.43258074009104042</v>
      </c>
      <c r="E200" s="473">
        <f t="shared" si="656"/>
        <v>0.47536152722000519</v>
      </c>
      <c r="F200" s="473">
        <f t="shared" si="656"/>
        <v>0.62115102607445638</v>
      </c>
      <c r="G200" s="473">
        <f t="shared" si="656"/>
        <v>0.62320365634871722</v>
      </c>
      <c r="H200" s="473">
        <f t="shared" si="656"/>
        <v>0.67927492981193316</v>
      </c>
      <c r="I200" s="473">
        <f t="shared" si="656"/>
        <v>0.756328888494884</v>
      </c>
      <c r="J200" s="473">
        <f t="shared" si="656"/>
        <v>0.71206673240254492</v>
      </c>
      <c r="K200" s="473">
        <f t="shared" si="656"/>
        <v>0.64554971403419059</v>
      </c>
      <c r="L200" s="473">
        <f t="shared" si="656"/>
        <v>0.76759727444975656</v>
      </c>
      <c r="M200" s="473">
        <f t="shared" si="656"/>
        <v>0.33058582828740612</v>
      </c>
      <c r="N200" s="473">
        <f t="shared" si="656"/>
        <v>0.34113588022852015</v>
      </c>
      <c r="O200" s="724"/>
      <c r="P200" s="473">
        <f t="shared" ref="P200:AY200" si="657">+P139</f>
        <v>1.0131234469836839E-2</v>
      </c>
      <c r="Q200" s="473">
        <f t="shared" si="657"/>
        <v>0.46295262835755457</v>
      </c>
      <c r="R200" s="473">
        <f t="shared" si="657"/>
        <v>0.46408336482908974</v>
      </c>
      <c r="S200" s="473">
        <f t="shared" si="657"/>
        <v>0.43258074009104042</v>
      </c>
      <c r="T200" s="473">
        <f t="shared" si="657"/>
        <v>0.40713398817502255</v>
      </c>
      <c r="U200" s="473">
        <f t="shared" si="657"/>
        <v>0.45693525652853684</v>
      </c>
      <c r="V200" s="473">
        <f t="shared" si="657"/>
        <v>0.44537500431030919</v>
      </c>
      <c r="W200" s="473">
        <f t="shared" si="657"/>
        <v>0.47536152722000519</v>
      </c>
      <c r="X200" s="473">
        <f t="shared" si="657"/>
        <v>0.48930976680382754</v>
      </c>
      <c r="Y200" s="473">
        <f t="shared" si="657"/>
        <v>0.49619157848870893</v>
      </c>
      <c r="Z200" s="473">
        <f t="shared" si="657"/>
        <v>0.5202302341029712</v>
      </c>
      <c r="AA200" s="473">
        <f t="shared" si="657"/>
        <v>0.62115102607445638</v>
      </c>
      <c r="AB200" s="473">
        <f t="shared" si="657"/>
        <v>0.85204099585038229</v>
      </c>
      <c r="AC200" s="473">
        <f t="shared" si="657"/>
        <v>0.77512286899485072</v>
      </c>
      <c r="AD200" s="473">
        <f t="shared" si="657"/>
        <v>0.76961759270329355</v>
      </c>
      <c r="AE200" s="473">
        <f t="shared" si="657"/>
        <v>0.67927492981193316</v>
      </c>
      <c r="AF200" s="473">
        <f t="shared" si="657"/>
        <v>0.74131495220991106</v>
      </c>
      <c r="AG200" s="473">
        <f t="shared" si="657"/>
        <v>0.72644928638614703</v>
      </c>
      <c r="AH200" s="473">
        <f t="shared" si="657"/>
        <v>0.7566102408480766</v>
      </c>
      <c r="AI200" s="473">
        <f t="shared" si="657"/>
        <v>0.756328888494884</v>
      </c>
      <c r="AJ200" s="473">
        <f t="shared" si="657"/>
        <v>0.75405270338125352</v>
      </c>
      <c r="AK200" s="473">
        <f t="shared" si="657"/>
        <v>0.77076516296230324</v>
      </c>
      <c r="AL200" s="473">
        <f t="shared" si="657"/>
        <v>0.77771550969391601</v>
      </c>
      <c r="AM200" s="473">
        <f t="shared" si="657"/>
        <v>0.71206673240254492</v>
      </c>
      <c r="AN200" s="473">
        <f t="shared" si="657"/>
        <v>0.69090335154882077</v>
      </c>
      <c r="AO200" s="473">
        <f t="shared" si="657"/>
        <v>0.63839039645336981</v>
      </c>
      <c r="AP200" s="473">
        <f t="shared" si="657"/>
        <v>0.67189907774883495</v>
      </c>
      <c r="AQ200" s="473">
        <f t="shared" si="657"/>
        <v>0.64554971403419059</v>
      </c>
      <c r="AR200" s="473">
        <f t="shared" si="657"/>
        <v>0.65183269286757239</v>
      </c>
      <c r="AS200" s="473">
        <f t="shared" si="657"/>
        <v>0.67629169354715213</v>
      </c>
      <c r="AT200" s="473">
        <f t="shared" si="657"/>
        <v>0.73876878977861649</v>
      </c>
      <c r="AU200" s="473">
        <f t="shared" si="657"/>
        <v>0.76759727444975656</v>
      </c>
      <c r="AV200" s="473">
        <f t="shared" si="657"/>
        <v>0.79612443442578362</v>
      </c>
      <c r="AW200" s="473">
        <f t="shared" si="657"/>
        <v>0.75163321761650381</v>
      </c>
      <c r="AX200" s="473">
        <f t="shared" si="657"/>
        <v>0.75459395910836524</v>
      </c>
      <c r="AY200" s="473">
        <f t="shared" si="657"/>
        <v>0.33058582828740612</v>
      </c>
      <c r="AZ200" s="473">
        <f t="shared" ref="AZ200" si="658">+AZ139</f>
        <v>0.34113588022852015</v>
      </c>
      <c r="BB200" s="473">
        <f>+BB139</f>
        <v>0.62320365634871722</v>
      </c>
    </row>
    <row r="201" spans="2:54" s="424" customFormat="1" ht="12.75">
      <c r="C201" s="468"/>
      <c r="D201" s="468"/>
      <c r="E201" s="468"/>
      <c r="F201" s="468"/>
      <c r="G201" s="468"/>
      <c r="H201" s="468"/>
      <c r="I201" s="468"/>
      <c r="J201" s="468"/>
      <c r="K201" s="468"/>
      <c r="L201" s="468"/>
      <c r="M201" s="468"/>
      <c r="N201" s="422"/>
      <c r="O201" s="422"/>
      <c r="P201" s="422"/>
      <c r="Q201" s="422"/>
      <c r="R201" s="422"/>
      <c r="S201" s="422"/>
      <c r="T201" s="422"/>
      <c r="U201" s="422"/>
      <c r="V201" s="422"/>
      <c r="W201" s="422"/>
      <c r="X201" s="422"/>
      <c r="Y201" s="422"/>
      <c r="Z201" s="422"/>
      <c r="AA201" s="422"/>
      <c r="AB201" s="422"/>
      <c r="AC201" s="422"/>
      <c r="AD201" s="422"/>
      <c r="AE201" s="422"/>
      <c r="AF201" s="422"/>
      <c r="AG201" s="422"/>
      <c r="AH201" s="422"/>
      <c r="AI201" s="422"/>
      <c r="AJ201" s="422"/>
      <c r="AK201" s="422"/>
      <c r="AL201" s="422"/>
      <c r="AM201" s="422"/>
      <c r="AN201" s="422"/>
      <c r="AO201" s="422"/>
      <c r="AP201" s="422"/>
      <c r="AQ201" s="422"/>
      <c r="AR201" s="422"/>
      <c r="AS201" s="422"/>
      <c r="AT201" s="422"/>
      <c r="AU201" s="422"/>
      <c r="AV201" s="422"/>
      <c r="AW201" s="422"/>
      <c r="AX201" s="422"/>
      <c r="AY201" s="422"/>
      <c r="AZ201" s="422"/>
    </row>
    <row r="202" spans="2:54" s="424" customFormat="1" ht="12.75">
      <c r="B202" s="729" t="s">
        <v>577</v>
      </c>
      <c r="C202" s="730">
        <v>5.3620000000000001E-2</v>
      </c>
      <c r="D202" s="730">
        <v>5.305E-2</v>
      </c>
      <c r="E202" s="730">
        <v>5.2060000000000002E-2</v>
      </c>
      <c r="F202" s="730">
        <v>5.1970000000000002E-2</v>
      </c>
      <c r="G202" s="730">
        <v>5.1970000000000002E-2</v>
      </c>
      <c r="H202" s="730">
        <v>4.7442822877681215E-2</v>
      </c>
      <c r="I202" s="730">
        <f>1/20.2723</f>
        <v>4.9328393916822456E-2</v>
      </c>
      <c r="J202" s="731">
        <v>4.972E-2</v>
      </c>
      <c r="K202" s="731">
        <v>5.6500000000000002E-2</v>
      </c>
      <c r="L202" s="731">
        <f>1/18.3098</f>
        <v>5.4615561065658833E-2</v>
      </c>
      <c r="M202" s="730">
        <f>AVERAGE(AV202:AY202)</f>
        <v>5.2141487265822614E-2</v>
      </c>
      <c r="N202" s="730">
        <f>AVERAGE(AW202:AZ202)</f>
        <v>5.4138445412480099E-2</v>
      </c>
      <c r="O202" s="744"/>
      <c r="P202" s="731">
        <v>4.9390000000000003E-2</v>
      </c>
      <c r="Q202" s="731">
        <v>5.3929999999999999E-2</v>
      </c>
      <c r="R202" s="731">
        <v>5.6129999999999999E-2</v>
      </c>
      <c r="S202" s="731">
        <v>5.2690000000000001E-2</v>
      </c>
      <c r="T202" s="731">
        <v>5.3429999999999998E-2</v>
      </c>
      <c r="U202" s="731">
        <v>5.16E-2</v>
      </c>
      <c r="V202" s="731">
        <v>5.28E-2</v>
      </c>
      <c r="W202" s="731">
        <v>5.0450000000000002E-2</v>
      </c>
      <c r="X202" s="731">
        <v>5.2109999999999997E-2</v>
      </c>
      <c r="Y202" s="731">
        <v>5.2339999999999998E-2</v>
      </c>
      <c r="Z202" s="731">
        <v>5.1459999999999999E-2</v>
      </c>
      <c r="AA202" s="731">
        <v>5.1970000000000002E-2</v>
      </c>
      <c r="AB202" s="731">
        <f t="shared" ref="AB202:AI202" si="659">AVERAGE(AA203:AB203)</f>
        <v>4.7081881058331776E-2</v>
      </c>
      <c r="AC202" s="731">
        <f t="shared" si="659"/>
        <v>4.2203197988540359E-2</v>
      </c>
      <c r="AD202" s="731">
        <f t="shared" si="659"/>
        <v>4.3976171061970361E-2</v>
      </c>
      <c r="AE202" s="731">
        <f t="shared" si="659"/>
        <v>4.7442822877681215E-2</v>
      </c>
      <c r="AF202" s="731">
        <f t="shared" si="659"/>
        <v>4.9350162698481512E-2</v>
      </c>
      <c r="AG202" s="731">
        <f t="shared" si="659"/>
        <v>4.9501417055558064E-2</v>
      </c>
      <c r="AH202" s="731">
        <f t="shared" si="659"/>
        <v>4.9625498326026807E-2</v>
      </c>
      <c r="AI202" s="731">
        <f t="shared" si="659"/>
        <v>4.8684281960890544E-2</v>
      </c>
      <c r="AJ202" s="731">
        <v>4.8730000000000002E-2</v>
      </c>
      <c r="AK202" s="731">
        <v>4.99E-2</v>
      </c>
      <c r="AL202" s="731">
        <f t="shared" ref="AL202:AM202" si="660">AVERAGE(AK203:AL203)</f>
        <v>4.9642646226151659E-2</v>
      </c>
      <c r="AM202" s="731">
        <f t="shared" si="660"/>
        <v>5.0377718685714841E-2</v>
      </c>
      <c r="AN202" s="731">
        <v>5.3580000000000003E-2</v>
      </c>
      <c r="AO202" s="731">
        <v>5.654E-2</v>
      </c>
      <c r="AP202" s="731">
        <v>5.8549999999999998E-2</v>
      </c>
      <c r="AQ202" s="731">
        <f>AVERAGE( 0.0553,0.0576,0.0583)</f>
        <v>5.7066666666666661E-2</v>
      </c>
      <c r="AR202" s="731">
        <v>5.8869999999999999E-2</v>
      </c>
      <c r="AS202" s="732">
        <v>5.8029999999999998E-2</v>
      </c>
      <c r="AT202" s="731">
        <v>5.2810000000000003E-2</v>
      </c>
      <c r="AU202" s="731">
        <v>4.9759999999999999E-2</v>
      </c>
      <c r="AV202" s="731">
        <v>4.8939999999999997E-2</v>
      </c>
      <c r="AW202" s="732">
        <v>5.1310000000000001E-2</v>
      </c>
      <c r="AX202" s="731">
        <f>1/18.6295</f>
        <v>5.3678305912665397E-2</v>
      </c>
      <c r="AY202" s="731">
        <f>1/18.3024</f>
        <v>5.4637643150625061E-2</v>
      </c>
      <c r="AZ202" s="731">
        <f>1/17.5661</f>
        <v>5.6927832586629937E-2</v>
      </c>
      <c r="BB202" s="648">
        <v>5.1970000000000002E-2</v>
      </c>
    </row>
    <row r="203" spans="2:54" s="424" customFormat="1" ht="12.75">
      <c r="B203" s="729" t="s">
        <v>578</v>
      </c>
      <c r="C203" s="730">
        <f>1/20.664</f>
        <v>4.8393341076267901E-2</v>
      </c>
      <c r="D203" s="730">
        <f>1/19.7354</f>
        <v>5.0670368981626926E-2</v>
      </c>
      <c r="E203" s="730">
        <f>1/19.6566</f>
        <v>5.087349795997273E-2</v>
      </c>
      <c r="F203" s="730">
        <f>1/18.8727</f>
        <v>5.2986589094300235E-2</v>
      </c>
      <c r="G203" s="730">
        <f>1/18.8727</f>
        <v>5.2986589094300235E-2</v>
      </c>
      <c r="H203" s="730">
        <f>1/19.9352</f>
        <v>5.0162526586139095E-2</v>
      </c>
      <c r="I203" s="730">
        <f>1/20.4586</f>
        <v>4.8879199945255296E-2</v>
      </c>
      <c r="J203" s="731">
        <f>1/19.4143</f>
        <v>5.1508424202778361E-2</v>
      </c>
      <c r="K203" s="731">
        <v>5.8900000000000001E-2</v>
      </c>
      <c r="L203" s="731">
        <f>1/20.8197</f>
        <v>4.8031431768949598E-2</v>
      </c>
      <c r="M203" s="730">
        <f>AY203</f>
        <v>5.5658523824631122E-2</v>
      </c>
      <c r="N203" s="730">
        <f>AZ203</f>
        <v>5.5350451382931022E-2</v>
      </c>
      <c r="O203" s="744"/>
      <c r="P203" s="731">
        <f>1/18.7079</f>
        <v>5.3453353930692386E-2</v>
      </c>
      <c r="Q203" s="731">
        <f>1/18.0279</f>
        <v>5.5469577710104898E-2</v>
      </c>
      <c r="R203" s="731">
        <f>1/18.1979</f>
        <v>5.4951395490688483E-2</v>
      </c>
      <c r="S203" s="731">
        <f>D203</f>
        <v>5.0670368981626926E-2</v>
      </c>
      <c r="T203" s="732">
        <f>1/18.3445</f>
        <v>5.4512251628553519E-2</v>
      </c>
      <c r="U203" s="732">
        <f>1/19.8633</f>
        <v>5.0344101936737606E-2</v>
      </c>
      <c r="V203" s="732">
        <f>1/18.812</f>
        <v>5.3157559004890491E-2</v>
      </c>
      <c r="W203" s="732">
        <f>E203</f>
        <v>5.087349795997273E-2</v>
      </c>
      <c r="X203" s="732">
        <f>1/19.3793</f>
        <v>5.1601451032803038E-2</v>
      </c>
      <c r="Y203" s="732">
        <f>1/19.1685</f>
        <v>5.2168922972585227E-2</v>
      </c>
      <c r="Z203" s="732">
        <f>1/19.6808</f>
        <v>5.0810942644607941E-2</v>
      </c>
      <c r="AA203" s="732">
        <f>F203</f>
        <v>5.2986589094300235E-2</v>
      </c>
      <c r="AB203" s="732">
        <f>1/24.2853</f>
        <v>4.1177173022363324E-2</v>
      </c>
      <c r="AC203" s="732">
        <f>1/23.1325</f>
        <v>4.3229222954717386E-2</v>
      </c>
      <c r="AD203" s="732">
        <f>1/22.3598</f>
        <v>4.4723119169223335E-2</v>
      </c>
      <c r="AE203" s="732">
        <f>1/19.9352</f>
        <v>5.0162526586139095E-2</v>
      </c>
      <c r="AF203" s="732">
        <f>1/20.6025</f>
        <v>4.8537798810823929E-2</v>
      </c>
      <c r="AG203" s="732">
        <f>1/19.8157</f>
        <v>5.0465035300292192E-2</v>
      </c>
      <c r="AH203" s="732">
        <f>1/20.4977</f>
        <v>4.8785961351761421E-2</v>
      </c>
      <c r="AI203" s="732">
        <f>1/20.5835</f>
        <v>4.8582602570019673E-2</v>
      </c>
      <c r="AJ203" s="732">
        <f>1/19.9942</f>
        <v>5.0014504206219806E-2</v>
      </c>
      <c r="AK203" s="732">
        <f>1/19.9847</f>
        <v>5.0038279283651996E-2</v>
      </c>
      <c r="AL203" s="732">
        <f>1/20.3058</f>
        <v>4.9247013168651321E-2</v>
      </c>
      <c r="AM203" s="732">
        <f>1/19.4143</f>
        <v>5.1508424202778361E-2</v>
      </c>
      <c r="AN203" s="732">
        <v>5.5219999999999998E-2</v>
      </c>
      <c r="AO203" s="732">
        <v>5.8380000000000001E-2</v>
      </c>
      <c r="AP203" s="732">
        <v>5.7340000000000002E-2</v>
      </c>
      <c r="AQ203" s="732">
        <f>K203</f>
        <v>5.8900000000000001E-2</v>
      </c>
      <c r="AR203" s="732">
        <v>5.96E-2</v>
      </c>
      <c r="AS203" s="732">
        <v>5.4510000000000003E-2</v>
      </c>
      <c r="AT203" s="732">
        <v>5.0810000000000001E-2</v>
      </c>
      <c r="AU203" s="732">
        <f>L203</f>
        <v>4.8031431768949598E-2</v>
      </c>
      <c r="AV203" s="732">
        <f>1/20.3182</f>
        <v>4.9216958195115706E-2</v>
      </c>
      <c r="AW203" s="732">
        <f>1/18.8928</f>
        <v>5.2930216802168022E-2</v>
      </c>
      <c r="AX203" s="732">
        <f>1/18.3825</f>
        <v>5.439956480348157E-2</v>
      </c>
      <c r="AY203" s="732">
        <f>1/17.9667</f>
        <v>5.5658523824631122E-2</v>
      </c>
      <c r="AZ203" s="732">
        <f>1/18.0667</f>
        <v>5.5350451382931022E-2</v>
      </c>
      <c r="BB203" s="648">
        <f>G203</f>
        <v>5.2986589094300235E-2</v>
      </c>
    </row>
    <row r="204" spans="2:54" s="424" customFormat="1" ht="12.75">
      <c r="B204" s="767" t="s">
        <v>579</v>
      </c>
      <c r="C204" s="773">
        <f>1/C203</f>
        <v>20.664000000000001</v>
      </c>
      <c r="D204" s="773">
        <f t="shared" ref="D204:AZ204" si="661">1/D203</f>
        <v>19.735399999999998</v>
      </c>
      <c r="E204" s="773">
        <f t="shared" si="661"/>
        <v>19.656600000000001</v>
      </c>
      <c r="F204" s="773">
        <f t="shared" si="661"/>
        <v>18.872699999999998</v>
      </c>
      <c r="G204" s="773">
        <f t="shared" si="661"/>
        <v>18.872699999999998</v>
      </c>
      <c r="H204" s="773">
        <f t="shared" si="661"/>
        <v>19.935199999999998</v>
      </c>
      <c r="I204" s="773">
        <f t="shared" si="661"/>
        <v>20.458600000000001</v>
      </c>
      <c r="J204" s="773">
        <f t="shared" si="661"/>
        <v>19.414300000000001</v>
      </c>
      <c r="K204" s="773">
        <f t="shared" si="661"/>
        <v>16.977928692699489</v>
      </c>
      <c r="L204" s="773">
        <f t="shared" si="661"/>
        <v>20.819700000000001</v>
      </c>
      <c r="M204" s="773">
        <f t="shared" si="661"/>
        <v>17.966699999999999</v>
      </c>
      <c r="N204" s="773">
        <f t="shared" si="661"/>
        <v>18.066700000000001</v>
      </c>
      <c r="O204" s="744"/>
      <c r="P204" s="773">
        <f t="shared" si="661"/>
        <v>18.707899999999999</v>
      </c>
      <c r="Q204" s="773">
        <f t="shared" si="661"/>
        <v>18.027899999999999</v>
      </c>
      <c r="R204" s="773">
        <f t="shared" si="661"/>
        <v>18.197900000000001</v>
      </c>
      <c r="S204" s="773">
        <f t="shared" si="661"/>
        <v>19.735399999999998</v>
      </c>
      <c r="T204" s="773">
        <f t="shared" si="661"/>
        <v>18.3445</v>
      </c>
      <c r="U204" s="773">
        <f t="shared" si="661"/>
        <v>19.863299999999999</v>
      </c>
      <c r="V204" s="773">
        <f t="shared" si="661"/>
        <v>18.812000000000001</v>
      </c>
      <c r="W204" s="773">
        <f t="shared" si="661"/>
        <v>19.656600000000001</v>
      </c>
      <c r="X204" s="773">
        <f t="shared" si="661"/>
        <v>19.379300000000001</v>
      </c>
      <c r="Y204" s="773">
        <f t="shared" si="661"/>
        <v>19.168500000000002</v>
      </c>
      <c r="Z204" s="773">
        <f t="shared" si="661"/>
        <v>19.680800000000001</v>
      </c>
      <c r="AA204" s="773">
        <f t="shared" si="661"/>
        <v>18.872699999999998</v>
      </c>
      <c r="AB204" s="773">
        <f t="shared" si="661"/>
        <v>24.285299999999999</v>
      </c>
      <c r="AC204" s="773">
        <f t="shared" si="661"/>
        <v>23.1325</v>
      </c>
      <c r="AD204" s="773">
        <f t="shared" si="661"/>
        <v>22.3598</v>
      </c>
      <c r="AE204" s="773">
        <f t="shared" si="661"/>
        <v>19.935199999999998</v>
      </c>
      <c r="AF204" s="773">
        <f t="shared" si="661"/>
        <v>20.602499999999999</v>
      </c>
      <c r="AG204" s="773">
        <f t="shared" si="661"/>
        <v>19.8157</v>
      </c>
      <c r="AH204" s="773">
        <f t="shared" si="661"/>
        <v>20.497699999999998</v>
      </c>
      <c r="AI204" s="773">
        <f t="shared" si="661"/>
        <v>20.583500000000001</v>
      </c>
      <c r="AJ204" s="773">
        <f t="shared" si="661"/>
        <v>19.994199999999999</v>
      </c>
      <c r="AK204" s="773">
        <f t="shared" si="661"/>
        <v>19.9847</v>
      </c>
      <c r="AL204" s="773">
        <f t="shared" si="661"/>
        <v>20.305800000000001</v>
      </c>
      <c r="AM204" s="773">
        <f t="shared" si="661"/>
        <v>19.414300000000001</v>
      </c>
      <c r="AN204" s="773">
        <f t="shared" si="661"/>
        <v>18.109380659181458</v>
      </c>
      <c r="AO204" s="773">
        <f t="shared" si="661"/>
        <v>17.129153819801303</v>
      </c>
      <c r="AP204" s="773">
        <f t="shared" si="661"/>
        <v>17.439832577607255</v>
      </c>
      <c r="AQ204" s="773">
        <f t="shared" si="661"/>
        <v>16.977928692699489</v>
      </c>
      <c r="AR204" s="773">
        <f t="shared" si="661"/>
        <v>16.778523489932887</v>
      </c>
      <c r="AS204" s="773">
        <f t="shared" si="661"/>
        <v>18.345257750871397</v>
      </c>
      <c r="AT204" s="773">
        <f t="shared" si="661"/>
        <v>19.681165124975397</v>
      </c>
      <c r="AU204" s="773">
        <f t="shared" si="661"/>
        <v>20.819700000000001</v>
      </c>
      <c r="AV204" s="773">
        <f t="shared" si="661"/>
        <v>20.318200000000001</v>
      </c>
      <c r="AW204" s="773">
        <f t="shared" si="661"/>
        <v>18.892800000000001</v>
      </c>
      <c r="AX204" s="773">
        <f t="shared" si="661"/>
        <v>18.3825</v>
      </c>
      <c r="AY204" s="773">
        <f t="shared" si="661"/>
        <v>17.966699999999999</v>
      </c>
      <c r="AZ204" s="773">
        <f t="shared" si="661"/>
        <v>18.066700000000001</v>
      </c>
      <c r="BB204" s="648"/>
    </row>
    <row r="205" spans="2:54" s="424" customFormat="1" ht="12.75">
      <c r="C205" s="468"/>
      <c r="D205" s="468"/>
      <c r="E205" s="468"/>
      <c r="F205" s="468"/>
      <c r="G205" s="468"/>
      <c r="H205" s="468"/>
      <c r="I205" s="468"/>
      <c r="J205" s="468"/>
      <c r="K205" s="468"/>
      <c r="L205" s="468"/>
      <c r="M205" s="468"/>
      <c r="N205" s="468"/>
      <c r="O205" s="744"/>
      <c r="P205" s="468"/>
      <c r="Q205" s="468"/>
      <c r="T205" s="468"/>
      <c r="U205" s="468"/>
      <c r="X205" s="468"/>
      <c r="Y205" s="468"/>
      <c r="Z205" s="468"/>
      <c r="AB205" s="468"/>
      <c r="AC205" s="468"/>
      <c r="AD205" s="468"/>
      <c r="AF205" s="468"/>
      <c r="AG205" s="468"/>
      <c r="AH205" s="468"/>
      <c r="AJ205" s="468"/>
      <c r="AK205" s="468"/>
      <c r="AL205" s="468"/>
      <c r="AN205" s="468"/>
      <c r="AO205" s="468"/>
      <c r="AP205" s="468"/>
      <c r="AR205" s="468"/>
      <c r="AS205" s="468"/>
      <c r="AT205" s="468"/>
      <c r="AV205" s="468"/>
      <c r="AW205" s="468"/>
      <c r="AX205" s="468"/>
      <c r="AZ205" s="468"/>
    </row>
    <row r="206" spans="2:54" ht="12.75">
      <c r="B206" s="464" t="s">
        <v>580</v>
      </c>
      <c r="C206" s="461">
        <f t="shared" ref="C206:N206" si="662">C3</f>
        <v>42735</v>
      </c>
      <c r="D206" s="461">
        <f t="shared" si="662"/>
        <v>43100</v>
      </c>
      <c r="E206" s="461">
        <f t="shared" si="662"/>
        <v>43465</v>
      </c>
      <c r="F206" s="461">
        <f t="shared" si="662"/>
        <v>43830</v>
      </c>
      <c r="G206" s="461">
        <f t="shared" si="662"/>
        <v>43830</v>
      </c>
      <c r="H206" s="461">
        <f t="shared" si="662"/>
        <v>44196</v>
      </c>
      <c r="I206" s="461">
        <f t="shared" si="662"/>
        <v>44561</v>
      </c>
      <c r="J206" s="461">
        <f t="shared" si="662"/>
        <v>44926</v>
      </c>
      <c r="K206" s="461">
        <f t="shared" si="662"/>
        <v>45291</v>
      </c>
      <c r="L206" s="461">
        <f t="shared" si="662"/>
        <v>45657</v>
      </c>
      <c r="M206" s="461">
        <f t="shared" si="662"/>
        <v>46022</v>
      </c>
      <c r="N206" s="697">
        <f t="shared" si="662"/>
        <v>46111</v>
      </c>
      <c r="O206" s="744"/>
      <c r="P206" s="461">
        <f t="shared" ref="P206:AY206" si="663">P3</f>
        <v>42825</v>
      </c>
      <c r="Q206" s="461">
        <f t="shared" si="663"/>
        <v>42916</v>
      </c>
      <c r="R206" s="461">
        <f t="shared" si="663"/>
        <v>43008</v>
      </c>
      <c r="S206" s="461">
        <f t="shared" si="663"/>
        <v>43099</v>
      </c>
      <c r="T206" s="461">
        <f t="shared" si="663"/>
        <v>43189</v>
      </c>
      <c r="U206" s="461">
        <f t="shared" si="663"/>
        <v>43281</v>
      </c>
      <c r="V206" s="461">
        <f t="shared" si="663"/>
        <v>43373</v>
      </c>
      <c r="W206" s="461">
        <f t="shared" si="663"/>
        <v>43464</v>
      </c>
      <c r="X206" s="461">
        <f t="shared" si="663"/>
        <v>43554</v>
      </c>
      <c r="Y206" s="461">
        <f t="shared" si="663"/>
        <v>43646</v>
      </c>
      <c r="Z206" s="461">
        <f t="shared" si="663"/>
        <v>43738</v>
      </c>
      <c r="AA206" s="461">
        <f t="shared" si="663"/>
        <v>43829</v>
      </c>
      <c r="AB206" s="461">
        <f t="shared" si="663"/>
        <v>43920</v>
      </c>
      <c r="AC206" s="461">
        <f t="shared" si="663"/>
        <v>44012</v>
      </c>
      <c r="AD206" s="461">
        <f t="shared" si="663"/>
        <v>44104</v>
      </c>
      <c r="AE206" s="461">
        <f t="shared" si="663"/>
        <v>44195</v>
      </c>
      <c r="AF206" s="461">
        <f t="shared" si="663"/>
        <v>44285</v>
      </c>
      <c r="AG206" s="461">
        <f t="shared" si="663"/>
        <v>44377</v>
      </c>
      <c r="AH206" s="461">
        <f t="shared" si="663"/>
        <v>44469</v>
      </c>
      <c r="AI206" s="461">
        <f t="shared" si="663"/>
        <v>44560</v>
      </c>
      <c r="AJ206" s="461">
        <f t="shared" si="663"/>
        <v>44650</v>
      </c>
      <c r="AK206" s="461">
        <f t="shared" si="663"/>
        <v>44742</v>
      </c>
      <c r="AL206" s="461">
        <f t="shared" si="663"/>
        <v>44834</v>
      </c>
      <c r="AM206" s="461">
        <f t="shared" si="663"/>
        <v>44925</v>
      </c>
      <c r="AN206" s="461">
        <f t="shared" si="663"/>
        <v>45015</v>
      </c>
      <c r="AO206" s="461">
        <f t="shared" si="663"/>
        <v>45107</v>
      </c>
      <c r="AP206" s="461">
        <f t="shared" si="663"/>
        <v>45199</v>
      </c>
      <c r="AQ206" s="461">
        <f t="shared" si="663"/>
        <v>45290</v>
      </c>
      <c r="AR206" s="461">
        <f t="shared" si="663"/>
        <v>45381</v>
      </c>
      <c r="AS206" s="461">
        <f t="shared" si="663"/>
        <v>45473</v>
      </c>
      <c r="AT206" s="461">
        <f t="shared" si="663"/>
        <v>45565</v>
      </c>
      <c r="AU206" s="461">
        <f t="shared" si="663"/>
        <v>45656</v>
      </c>
      <c r="AV206" s="461">
        <f t="shared" si="663"/>
        <v>45746</v>
      </c>
      <c r="AW206" s="461">
        <f t="shared" si="663"/>
        <v>45838</v>
      </c>
      <c r="AX206" s="461">
        <f t="shared" si="663"/>
        <v>45930</v>
      </c>
      <c r="AY206" s="461">
        <f t="shared" si="663"/>
        <v>46021</v>
      </c>
      <c r="AZ206" s="461">
        <f t="shared" ref="AZ206" si="664">AZ3</f>
        <v>46111</v>
      </c>
      <c r="BB206" s="461">
        <f>BB3</f>
        <v>43829</v>
      </c>
    </row>
    <row r="207" spans="2:54" ht="12.75">
      <c r="B207" s="422" t="s">
        <v>581</v>
      </c>
      <c r="C207" s="465">
        <f t="shared" ref="C207:N207" si="665">C142*C$202</f>
        <v>710.61770976000003</v>
      </c>
      <c r="D207" s="465">
        <f t="shared" si="665"/>
        <v>775.65041599999995</v>
      </c>
      <c r="E207" s="465">
        <f t="shared" si="665"/>
        <v>895.69901573999994</v>
      </c>
      <c r="F207" s="465">
        <f t="shared" si="665"/>
        <v>997.25664351</v>
      </c>
      <c r="G207" s="465">
        <f t="shared" si="665"/>
        <v>997.25664351</v>
      </c>
      <c r="H207" s="465">
        <f t="shared" si="665"/>
        <v>910.58124855471169</v>
      </c>
      <c r="I207" s="465">
        <f t="shared" si="665"/>
        <v>1078.7483413327543</v>
      </c>
      <c r="J207" s="465">
        <f t="shared" si="665"/>
        <v>1188.34210792</v>
      </c>
      <c r="K207" s="465">
        <f t="shared" si="665"/>
        <v>1472.2395405</v>
      </c>
      <c r="L207" s="465">
        <f t="shared" si="665"/>
        <v>1546.9670340473408</v>
      </c>
      <c r="M207" s="465">
        <f t="shared" si="665"/>
        <v>1590.7751452422997</v>
      </c>
      <c r="N207" s="465">
        <f t="shared" si="665"/>
        <v>1673.4853966031631</v>
      </c>
      <c r="O207" s="744"/>
      <c r="P207" s="597"/>
      <c r="Q207" s="465"/>
      <c r="R207" s="465"/>
      <c r="S207" s="465">
        <f>S142*AVERAGE(P$202:S$202)</f>
        <v>775.43109919999995</v>
      </c>
      <c r="T207" s="465">
        <f>T142*AVERAGE(Q$202:T$202)</f>
        <v>820.77946938000002</v>
      </c>
      <c r="U207" s="465">
        <f>U142*AVERAGE(R$202:U$202)</f>
        <v>845.88827277500002</v>
      </c>
      <c r="V207" s="465">
        <f>V142*AVERAGE(S$202:V$202)</f>
        <v>873.35211444000004</v>
      </c>
      <c r="W207" s="465">
        <f>W142*AVERAGE(T$202:W$202)</f>
        <v>895.87106703000006</v>
      </c>
      <c r="X207" s="465">
        <f>X142*AVERAGE(U$202:X$202)</f>
        <v>914.6863143600001</v>
      </c>
      <c r="Y207" s="465">
        <f>Y142*AVERAGE(V$202:Y$202)</f>
        <v>945.04912360000003</v>
      </c>
      <c r="Z207" s="465">
        <f>Z142*AVERAGE(W$202:Z$202)</f>
        <v>960.13014019999991</v>
      </c>
      <c r="AA207" s="465">
        <f>AA142*AVERAGE(X$202:AA$202)</f>
        <v>997.25664350999978</v>
      </c>
      <c r="AB207" s="465">
        <f>AB142*AVERAGE(Y$202:AB$202)</f>
        <v>1001.84126955</v>
      </c>
      <c r="AC207" s="465">
        <f>AC142*AVERAGE(Z$202:AC$202)</f>
        <v>930.64347166651464</v>
      </c>
      <c r="AD207" s="465">
        <f>AD142*AVERAGE(AA$202:AD$202)</f>
        <v>884.24346619614664</v>
      </c>
      <c r="AE207" s="465">
        <f>AE142*AVERAGE(AB$202:AE$202)</f>
        <v>867.07393457187527</v>
      </c>
      <c r="AF207" s="465">
        <f>AF142*AVERAGE(AC$202:AF$202)</f>
        <v>887.11808668912272</v>
      </c>
      <c r="AG207" s="465">
        <f>AG142*AVERAGE(AD$202:AG$202)</f>
        <v>969.46491464893188</v>
      </c>
      <c r="AH207" s="465">
        <f>AH142*AVERAGE(AE$202:AH$202)</f>
        <v>1040.4350830348806</v>
      </c>
      <c r="AI207" s="465">
        <f>AI142*AVERAGE(AF$202:AI$202)</f>
        <v>1077.9161514853188</v>
      </c>
      <c r="AJ207" s="465">
        <f>AJ142*AVERAGE(AG$202:AJ$202)</f>
        <v>1098.104806784916</v>
      </c>
      <c r="AK207" s="465">
        <f>AK142*AVERAGE(AH$202:AK$202)</f>
        <v>1125.7260502846411</v>
      </c>
      <c r="AL207" s="465">
        <f>AL142*AVERAGE(AI$202:AL$202)</f>
        <v>1156.4922817994591</v>
      </c>
      <c r="AM207" s="465">
        <f>AM142*AVERAGE(AJ$202:AM$202)</f>
        <v>1186.969998885985</v>
      </c>
      <c r="AN207" s="465">
        <f>AN142*AVERAGE(AK$202:AN$202)</f>
        <v>1242.8226687241477</v>
      </c>
      <c r="AO207" s="465">
        <f>AO142*AVERAGE(AL$202:AO$202)</f>
        <v>1317.3810325367406</v>
      </c>
      <c r="AP207" s="465">
        <f>AP142*AVERAGE(AM$202:AP$202)</f>
        <v>1396.7520829587752</v>
      </c>
      <c r="AQ207" s="465">
        <f>AQ142*AVERAGE(AN$202:AQ$202)</f>
        <v>1470.5240991474998</v>
      </c>
      <c r="AR207" s="465">
        <f>AR142*AVERAGE(AO$202:AR$202)</f>
        <v>1530.7544503233335</v>
      </c>
      <c r="AS207" s="465">
        <f>AS142*AVERAGE(AP$202:AS$202)</f>
        <v>1561.7476014583331</v>
      </c>
      <c r="AT207" s="465">
        <f>AT142*AVERAGE(AQ$202:AT$202)</f>
        <v>1563.5780605083332</v>
      </c>
      <c r="AU207" s="465">
        <f>AU142*AVERAGE(AR$202:AU$202)</f>
        <v>1554.1031179474999</v>
      </c>
      <c r="AV207" s="465">
        <f>AV142*AVERAGE(AS$202:AV$202)</f>
        <v>1524.7005753349997</v>
      </c>
      <c r="AW207" s="465">
        <f>AW142*AVERAGE(AT$202:AW$202)</f>
        <v>1510.9565710299998</v>
      </c>
      <c r="AX207" s="465">
        <f>AX142*AVERAGE(AU$202:AX$202)</f>
        <v>1536.0058765759379</v>
      </c>
      <c r="AY207" s="465">
        <f>AY142*AVERAGE(AV$202:AY$202)</f>
        <v>1590.7751452422997</v>
      </c>
      <c r="AZ207" s="465">
        <f>AZ142*AVERAGE(AW$202:AZ$202)</f>
        <v>1673.4853966031631</v>
      </c>
      <c r="BB207" s="465">
        <f>BB142*AVERAGE(X$202,Y$202,Z$202,BB$202)</f>
        <v>997.25664350999978</v>
      </c>
    </row>
    <row r="208" spans="2:54" ht="12.75">
      <c r="B208" s="422" t="s">
        <v>543</v>
      </c>
      <c r="C208" s="465">
        <f t="shared" ref="C208:N208" si="666">C143*C$202</f>
        <v>535.57967022000003</v>
      </c>
      <c r="D208" s="465">
        <f t="shared" si="666"/>
        <v>582.90401014999998</v>
      </c>
      <c r="E208" s="465">
        <f t="shared" si="666"/>
        <v>666.88568463999991</v>
      </c>
      <c r="F208" s="465">
        <f t="shared" si="666"/>
        <v>743.95559108999987</v>
      </c>
      <c r="G208" s="465">
        <f t="shared" si="666"/>
        <v>744.26741108999988</v>
      </c>
      <c r="H208" s="465">
        <f t="shared" si="666"/>
        <v>667.29027786954919</v>
      </c>
      <c r="I208" s="465">
        <f t="shared" si="666"/>
        <v>815.87012820449559</v>
      </c>
      <c r="J208" s="465">
        <f t="shared" si="666"/>
        <v>889.96671984</v>
      </c>
      <c r="K208" s="465">
        <f t="shared" si="666"/>
        <v>1082.046642</v>
      </c>
      <c r="L208" s="465">
        <f t="shared" si="666"/>
        <v>1109.4324897049669</v>
      </c>
      <c r="M208" s="465">
        <f t="shared" si="666"/>
        <v>1138.4155197721582</v>
      </c>
      <c r="N208" s="465">
        <f t="shared" si="666"/>
        <v>1210.2315437751731</v>
      </c>
      <c r="O208" s="465"/>
      <c r="P208" s="597"/>
      <c r="Q208" s="465"/>
      <c r="R208" s="465"/>
      <c r="S208" s="465">
        <f>S143*AVERAGE(P$202:S$202)</f>
        <v>582.73919280500002</v>
      </c>
      <c r="T208" s="465">
        <f>T143*AVERAGE(Q$202:T$202)</f>
        <v>614.35540255500007</v>
      </c>
      <c r="U208" s="465">
        <f>U143*AVERAGE(R$202:U$202)</f>
        <v>631.74144897500003</v>
      </c>
      <c r="V208" s="465">
        <f>V143*AVERAGE(S$202:V$202)</f>
        <v>650.45480155999985</v>
      </c>
      <c r="W208" s="465">
        <f>W143*AVERAGE(T$202:W$202)</f>
        <v>667.01378407999994</v>
      </c>
      <c r="X208" s="465">
        <f>X143*AVERAGE(U$202:X$202)</f>
        <v>681.75438655999994</v>
      </c>
      <c r="Y208" s="465">
        <f>Y143*AVERAGE(V$202:Y$202)</f>
        <v>704.16473882499997</v>
      </c>
      <c r="Z208" s="465">
        <f>Z143*AVERAGE(W$202:Z$202)</f>
        <v>715.99764467</v>
      </c>
      <c r="AA208" s="465">
        <f>AA143*AVERAGE(X$202:AA$202)</f>
        <v>743.95559108999987</v>
      </c>
      <c r="AB208" s="465">
        <f>AB143*AVERAGE(Y$202:AB$202)</f>
        <v>751.35616619828318</v>
      </c>
      <c r="AC208" s="465">
        <f>AC143*AVERAGE(Z$202:AC$202)</f>
        <v>691.09602675768554</v>
      </c>
      <c r="AD208" s="465">
        <f>AD143*AVERAGE(AA$202:AD$202)</f>
        <v>648.33521514033873</v>
      </c>
      <c r="AE208" s="465">
        <f>AE143*AVERAGE(AB$202:AE$202)</f>
        <v>635.40733751354617</v>
      </c>
      <c r="AF208" s="465">
        <f>AF143*AVERAGE(AC$202:AF$202)</f>
        <v>645.84506773539761</v>
      </c>
      <c r="AG208" s="465">
        <f>AG143*AVERAGE(AD$202:AG$202)</f>
        <v>717.27620545797924</v>
      </c>
      <c r="AH208" s="465">
        <f>AH143*AVERAGE(AE$202:AH$202)</f>
        <v>784.2642777954236</v>
      </c>
      <c r="AI208" s="465">
        <f>AI143*AVERAGE(AF$202:AI$202)</f>
        <v>815.24073318111232</v>
      </c>
      <c r="AJ208" s="465">
        <f>AJ143*AVERAGE(AG$202:AJ$202)</f>
        <v>832.07130991557813</v>
      </c>
      <c r="AK208" s="465">
        <f>AK143*AVERAGE(AH$202:AK$202)</f>
        <v>848.82108778474935</v>
      </c>
      <c r="AL208" s="465">
        <f>AL143*AVERAGE(AI$202:AL$202)</f>
        <v>870.09529219263106</v>
      </c>
      <c r="AM208" s="465">
        <f>AM143*AVERAGE(AJ$202:AM$202)</f>
        <v>888.93912739155724</v>
      </c>
      <c r="AN208" s="465">
        <f>AN143*AVERAGE(AK$202:AN$202)</f>
        <v>929.17874880555803</v>
      </c>
      <c r="AO208" s="465">
        <f>AO143*AVERAGE(AL$202:AO$202)</f>
        <v>982.51831584765671</v>
      </c>
      <c r="AP208" s="465">
        <f>AP143*AVERAGE(AM$202:AP$202)</f>
        <v>1035.4344043207193</v>
      </c>
      <c r="AQ208" s="465">
        <f>AQ143*AVERAGE(AN$202:AQ$202)</f>
        <v>1080.7858501899996</v>
      </c>
      <c r="AR208" s="465">
        <f>AR143*AVERAGE(AO$202:AR$202)</f>
        <v>1116.1677981666664</v>
      </c>
      <c r="AS208" s="465">
        <f>AS143*AVERAGE(AP$202:AS$202)</f>
        <v>1129.4183767124998</v>
      </c>
      <c r="AT208" s="465">
        <f>AT143*AVERAGE(AQ$202:AT$202)</f>
        <v>1124.229960880833</v>
      </c>
      <c r="AU208" s="465">
        <f>AU143*AVERAGE(AR$202:AU$202)</f>
        <v>1114.5502479724998</v>
      </c>
      <c r="AV208" s="465">
        <f>AV143*AVERAGE(AS$202:AV$202)</f>
        <v>1088.8556990149998</v>
      </c>
      <c r="AW208" s="465">
        <f>AW143*AVERAGE(AT$202:AW$202)</f>
        <v>1077.4083362099998</v>
      </c>
      <c r="AX208" s="465">
        <f>AX143*AVERAGE(AU$202:AX$202)</f>
        <v>1089.7929320596159</v>
      </c>
      <c r="AY208" s="465">
        <f>AY143*AVERAGE(AV$202:AY$202)</f>
        <v>1138.4155197721584</v>
      </c>
      <c r="AZ208" s="465">
        <f>AZ143*AVERAGE(AW$202:AZ$202)</f>
        <v>1210.2315437751731</v>
      </c>
      <c r="BB208" s="465">
        <f>BB143*AVERAGE(X$202,Y$202,Z$202,BB$202)</f>
        <v>744.26741108999988</v>
      </c>
    </row>
    <row r="209" spans="1:54" ht="12.75">
      <c r="B209" s="422" t="s">
        <v>569</v>
      </c>
      <c r="C209" s="466">
        <f t="shared" ref="C209:H209" si="667">C208/C207</f>
        <v>0.75368185012006472</v>
      </c>
      <c r="D209" s="466">
        <f t="shared" si="667"/>
        <v>0.75150350999102666</v>
      </c>
      <c r="E209" s="466">
        <f t="shared" si="667"/>
        <v>0.74454216530431128</v>
      </c>
      <c r="F209" s="466">
        <f t="shared" si="667"/>
        <v>0.74600214090480499</v>
      </c>
      <c r="G209" s="466">
        <f t="shared" si="667"/>
        <v>0.74631481869144023</v>
      </c>
      <c r="H209" s="466">
        <f t="shared" si="667"/>
        <v>0.73281794340558015</v>
      </c>
      <c r="I209" s="466">
        <f t="shared" ref="I209:N209" si="668">I208/I207</f>
        <v>0.75631182634915362</v>
      </c>
      <c r="J209" s="466">
        <f t="shared" si="668"/>
        <v>0.74891457090394808</v>
      </c>
      <c r="K209" s="466">
        <f t="shared" si="668"/>
        <v>0.73496643191128863</v>
      </c>
      <c r="L209" s="466">
        <f t="shared" si="668"/>
        <v>0.71716621316897156</v>
      </c>
      <c r="M209" s="466">
        <f t="shared" si="668"/>
        <v>0.71563572210499926</v>
      </c>
      <c r="N209" s="466">
        <f t="shared" si="668"/>
        <v>0.7231802238798728</v>
      </c>
      <c r="O209" s="738"/>
      <c r="P209" s="597"/>
      <c r="Q209" s="467"/>
      <c r="R209" s="467"/>
      <c r="S209" s="466">
        <f t="shared" ref="S209:X209" si="669">S208/S207</f>
        <v>0.75150350999102677</v>
      </c>
      <c r="T209" s="466">
        <f t="shared" si="669"/>
        <v>0.7485023998213205</v>
      </c>
      <c r="U209" s="466">
        <f t="shared" si="669"/>
        <v>0.7468379327479322</v>
      </c>
      <c r="V209" s="466">
        <f t="shared" si="669"/>
        <v>0.74477955775841498</v>
      </c>
      <c r="W209" s="466">
        <f t="shared" si="669"/>
        <v>0.74454216530431117</v>
      </c>
      <c r="X209" s="466">
        <f t="shared" si="669"/>
        <v>0.74534228385937851</v>
      </c>
      <c r="Y209" s="466">
        <f t="shared" ref="Y209:BB209" si="670">Y208/Y207</f>
        <v>0.74510913902825182</v>
      </c>
      <c r="Z209" s="466">
        <f t="shared" si="670"/>
        <v>0.74572978671501144</v>
      </c>
      <c r="AA209" s="466">
        <f t="shared" si="670"/>
        <v>0.7460021409048051</v>
      </c>
      <c r="AB209" s="466">
        <f t="shared" si="670"/>
        <v>0.74997525958954758</v>
      </c>
      <c r="AC209" s="466">
        <f t="shared" si="670"/>
        <v>0.74260019846282421</v>
      </c>
      <c r="AD209" s="466">
        <f t="shared" si="670"/>
        <v>0.73320894066580777</v>
      </c>
      <c r="AE209" s="466">
        <f t="shared" si="670"/>
        <v>0.73281794340558015</v>
      </c>
      <c r="AF209" s="466">
        <f t="shared" si="670"/>
        <v>0.72802604007974014</v>
      </c>
      <c r="AG209" s="466">
        <f t="shared" ref="AG209:AL209" si="671">AG208/AG207</f>
        <v>0.73986814233264275</v>
      </c>
      <c r="AH209" s="466">
        <f t="shared" si="671"/>
        <v>0.75378492188842416</v>
      </c>
      <c r="AI209" s="466">
        <f t="shared" si="671"/>
        <v>0.7563118263491535</v>
      </c>
      <c r="AJ209" s="466">
        <f t="shared" si="671"/>
        <v>0.7577339656236971</v>
      </c>
      <c r="AK209" s="466">
        <f t="shared" si="671"/>
        <v>0.7540210049950643</v>
      </c>
      <c r="AL209" s="466">
        <f t="shared" si="671"/>
        <v>0.75235719761034214</v>
      </c>
      <c r="AM209" s="466">
        <f t="shared" ref="AM209:AP209" si="672">AM208/AM207</f>
        <v>0.74891457090394808</v>
      </c>
      <c r="AN209" s="466">
        <f t="shared" si="672"/>
        <v>0.74763582302488174</v>
      </c>
      <c r="AO209" s="466">
        <f t="shared" si="672"/>
        <v>0.74581179748407767</v>
      </c>
      <c r="AP209" s="466">
        <f t="shared" si="672"/>
        <v>0.74131581184209328</v>
      </c>
      <c r="AQ209" s="466">
        <f t="shared" ref="AQ209:AT209" si="673">AQ208/AQ207</f>
        <v>0.73496643191128841</v>
      </c>
      <c r="AR209" s="466">
        <f t="shared" si="673"/>
        <v>0.72916188349536004</v>
      </c>
      <c r="AS209" s="466">
        <f t="shared" si="673"/>
        <v>0.72317599569729984</v>
      </c>
      <c r="AT209" s="466">
        <f t="shared" si="673"/>
        <v>0.71901108699065253</v>
      </c>
      <c r="AU209" s="466">
        <f t="shared" ref="AU209:AX209" si="674">AU208/AU207</f>
        <v>0.71716621316897144</v>
      </c>
      <c r="AV209" s="466">
        <f t="shared" si="674"/>
        <v>0.71414395497014993</v>
      </c>
      <c r="AW209" s="466">
        <f t="shared" si="674"/>
        <v>0.71306373516450194</v>
      </c>
      <c r="AX209" s="466">
        <f t="shared" si="674"/>
        <v>0.70949789234464433</v>
      </c>
      <c r="AY209" s="466">
        <f t="shared" ref="AY209:AZ209" si="675">AY208/AY207</f>
        <v>0.71563572210499937</v>
      </c>
      <c r="AZ209" s="466">
        <f t="shared" si="675"/>
        <v>0.7231802238798728</v>
      </c>
      <c r="BB209" s="466">
        <f t="shared" si="670"/>
        <v>0.74631481869144034</v>
      </c>
    </row>
    <row r="210" spans="1:54" ht="12.75">
      <c r="B210" s="422" t="s">
        <v>522</v>
      </c>
      <c r="C210" s="465">
        <f t="shared" ref="C210:N210" si="676">C145*C$202</f>
        <v>198.46493925999999</v>
      </c>
      <c r="D210" s="465">
        <f t="shared" si="676"/>
        <v>261.8779298</v>
      </c>
      <c r="E210" s="465">
        <f t="shared" si="676"/>
        <v>318.54311414</v>
      </c>
      <c r="F210" s="465">
        <f t="shared" si="676"/>
        <v>359.25774827000004</v>
      </c>
      <c r="G210" s="465">
        <f t="shared" si="676"/>
        <v>257.09309544000001</v>
      </c>
      <c r="H210" s="465">
        <f t="shared" si="676"/>
        <v>350.99002148615193</v>
      </c>
      <c r="I210" s="465">
        <f t="shared" si="676"/>
        <v>301.30878094740109</v>
      </c>
      <c r="J210" s="465">
        <f t="shared" si="676"/>
        <v>397.33131415999998</v>
      </c>
      <c r="K210" s="465">
        <f t="shared" si="676"/>
        <v>467.46574499999997</v>
      </c>
      <c r="L210" s="465">
        <f t="shared" si="676"/>
        <v>493.24957126784562</v>
      </c>
      <c r="M210" s="465">
        <f t="shared" si="676"/>
        <v>644.53839149106739</v>
      </c>
      <c r="N210" s="465">
        <f t="shared" si="676"/>
        <v>597.23020955180891</v>
      </c>
      <c r="O210" s="465"/>
      <c r="P210" s="597"/>
      <c r="Q210" s="465"/>
      <c r="R210" s="465"/>
      <c r="S210" s="465">
        <f>S145*AVERAGE(P$202:S$202)</f>
        <v>261.80388325999996</v>
      </c>
      <c r="T210" s="465">
        <f>T145*AVERAGE(Q$202:T$202)</f>
        <v>227.73303751500001</v>
      </c>
      <c r="U210" s="465">
        <f>U145*AVERAGE(R$202:U$202)</f>
        <v>287.75361956249998</v>
      </c>
      <c r="V210" s="465">
        <f>V145*AVERAGE(S$202:V$202)</f>
        <v>264.87221148999998</v>
      </c>
      <c r="W210" s="465">
        <f>W145*AVERAGE(T$202:W$202)</f>
        <v>318.60430183</v>
      </c>
      <c r="X210" s="465">
        <f>X145*AVERAGE(U$202:X$202)</f>
        <v>369.80647599999998</v>
      </c>
      <c r="Y210" s="465">
        <f>Y145*AVERAGE(V$202:Y$202)</f>
        <v>354.65408485</v>
      </c>
      <c r="Z210" s="465">
        <f>Z145*AVERAGE(W$202:Z$202)</f>
        <v>402.71969122000002</v>
      </c>
      <c r="AA210" s="465">
        <f>AA145*AVERAGE(X$202:AA$202)</f>
        <v>359.25774826999998</v>
      </c>
      <c r="AB210" s="465">
        <f>AB145*AVERAGE(Y$202:AB$202)</f>
        <v>375.17546685084943</v>
      </c>
      <c r="AC210" s="465">
        <f>AC145*AVERAGE(Z$202:AC$202)</f>
        <v>352.53403135183152</v>
      </c>
      <c r="AD210" s="465">
        <f>AD145*AVERAGE(AA$202:AD$202)</f>
        <v>313.24035304812355</v>
      </c>
      <c r="AE210" s="465">
        <f>AE145*AVERAGE(AB$202:AE$202)</f>
        <v>334.21981773565926</v>
      </c>
      <c r="AF210" s="465">
        <f>AF145*AVERAGE(AC$202:AF$202)</f>
        <v>340.42413691781638</v>
      </c>
      <c r="AG210" s="465">
        <f>AG145*AVERAGE(AD$202:AG$202)</f>
        <v>315.77984627505941</v>
      </c>
      <c r="AH210" s="465">
        <f>AH145*AVERAGE(AE$202:AH$202)</f>
        <v>351.76472903441459</v>
      </c>
      <c r="AI210" s="465">
        <f>AI145*AVERAGE(AF$202:AI$202)</f>
        <v>301.07633923802348</v>
      </c>
      <c r="AJ210" s="465">
        <f>AJ145*AVERAGE(AG$202:AJ$202)</f>
        <v>302.93656343535434</v>
      </c>
      <c r="AK210" s="465">
        <f>AK145*AVERAGE(AH$202:AK$202)</f>
        <v>334.47006639819728</v>
      </c>
      <c r="AL210" s="465">
        <f>AL145*AVERAGE(AI$202:AL$202)</f>
        <v>402.0123313472792</v>
      </c>
      <c r="AM210" s="465">
        <f>AM145*AVERAGE(AJ$202:AM$202)</f>
        <v>396.87253896216549</v>
      </c>
      <c r="AN210" s="465">
        <f>AN145*AVERAGE(AK$202:AN$202)</f>
        <v>423.22723842071053</v>
      </c>
      <c r="AO210" s="465">
        <f>AO145*AVERAGE(AL$202:AO$202)</f>
        <v>438.96767191388568</v>
      </c>
      <c r="AP210" s="465">
        <f>AP145*AVERAGE(AM$202:AP$202)</f>
        <v>414.3003932144598</v>
      </c>
      <c r="AQ210" s="465">
        <f>AQ145*AVERAGE(AN$202:AQ$202)</f>
        <v>466.92105777499989</v>
      </c>
      <c r="AR210" s="465">
        <f>AR145*AVERAGE(AO$202:AR$202)</f>
        <v>488.06104481999989</v>
      </c>
      <c r="AS210" s="465">
        <f>AS145*AVERAGE(AP$202:AS$202)</f>
        <v>480.19225741666656</v>
      </c>
      <c r="AT210" s="465">
        <f>AT145*AVERAGE(AQ$202:AT$202)</f>
        <v>513.2136821058333</v>
      </c>
      <c r="AU210" s="465">
        <f>AU145*AVERAGE(AR$202:AU$202)</f>
        <v>495.52490761749999</v>
      </c>
      <c r="AV210" s="465">
        <f>AV145*AVERAGE(AS$202:AV$202)</f>
        <v>534.49269375499989</v>
      </c>
      <c r="AW210" s="465">
        <f>AW145*AVERAGE(AT$202:AW$202)</f>
        <v>531.98078651499986</v>
      </c>
      <c r="AX210" s="465">
        <f>AX145*AVERAGE(AU$202:AX$202)</f>
        <v>541.69081947135442</v>
      </c>
      <c r="AY210" s="465">
        <f>AY145*AVERAGE(AV$202:AY$202)</f>
        <v>644.53839149106739</v>
      </c>
      <c r="AZ210" s="465">
        <f>AZ145*AVERAGE(AW$202:AZ$202)</f>
        <v>597.23020955180903</v>
      </c>
      <c r="BB210" s="465">
        <f>BB145*AVERAGE(X$202,Y$202,Z$202,BB$202)</f>
        <v>257.09309544000001</v>
      </c>
    </row>
    <row r="211" spans="1:54" ht="12.75">
      <c r="B211" s="422" t="s">
        <v>545</v>
      </c>
      <c r="C211" s="465">
        <f t="shared" ref="C211:N211" si="677">C146*C$202</f>
        <v>315.2099958</v>
      </c>
      <c r="D211" s="465">
        <f t="shared" si="677"/>
        <v>316.46478830000001</v>
      </c>
      <c r="E211" s="465">
        <f t="shared" si="677"/>
        <v>417.32285139999993</v>
      </c>
      <c r="F211" s="465">
        <f t="shared" si="677"/>
        <v>488.32020218000002</v>
      </c>
      <c r="G211" s="465">
        <f t="shared" si="677"/>
        <v>371.62650432999999</v>
      </c>
      <c r="H211" s="465">
        <f t="shared" si="677"/>
        <v>158.86105889252073</v>
      </c>
      <c r="I211" s="465">
        <f t="shared" si="677"/>
        <v>226.55199459360799</v>
      </c>
      <c r="J211" s="465">
        <f t="shared" si="677"/>
        <v>303.65132643999999</v>
      </c>
      <c r="K211" s="465">
        <f t="shared" si="677"/>
        <v>132.02535800000001</v>
      </c>
      <c r="L211" s="465">
        <f t="shared" si="677"/>
        <v>84.344176342723571</v>
      </c>
      <c r="M211" s="465">
        <f t="shared" si="677"/>
        <v>158.26907119247085</v>
      </c>
      <c r="N211" s="465">
        <f t="shared" si="677"/>
        <v>183.42554654845179</v>
      </c>
      <c r="O211" s="465"/>
      <c r="P211" s="597"/>
      <c r="Q211" s="465"/>
      <c r="R211" s="465"/>
      <c r="S211" s="465">
        <f>S146*AVERAGE(P$202:S$202)</f>
        <v>316.37530720999996</v>
      </c>
      <c r="T211" s="465">
        <f>T146*AVERAGE(Q$202:T$202)</f>
        <v>253.59762338999994</v>
      </c>
      <c r="U211" s="465">
        <f>U146*AVERAGE(R$202:U$202)</f>
        <v>361.32053230000008</v>
      </c>
      <c r="V211" s="465">
        <f>V146*AVERAGE(S$202:V$202)</f>
        <v>379.90691823999998</v>
      </c>
      <c r="W211" s="465">
        <f>W146*AVERAGE(T$202:W$202)</f>
        <v>417.40301329999994</v>
      </c>
      <c r="X211" s="465">
        <f>X146*AVERAGE(U$202:X$202)</f>
        <v>494.14587091999988</v>
      </c>
      <c r="Y211" s="465">
        <f>Y146*AVERAGE(V$202:Y$202)</f>
        <v>451.19423912499985</v>
      </c>
      <c r="Z211" s="465">
        <f>Z146*AVERAGE(W$202:Z$202)</f>
        <v>409.48659674999988</v>
      </c>
      <c r="AA211" s="465">
        <f>AA146*AVERAGE(X$202:AA$202)</f>
        <v>488.32020218000002</v>
      </c>
      <c r="AB211" s="465">
        <f>AB146*AVERAGE(Y$202:AB$202)</f>
        <v>407.70241098776103</v>
      </c>
      <c r="AC211" s="465">
        <f>AC146*AVERAGE(Z$202:AC$202)</f>
        <v>314.94514789881816</v>
      </c>
      <c r="AD211" s="465">
        <f>AD146*AVERAGE(AA$202:AD$202)</f>
        <v>291.99789436220385</v>
      </c>
      <c r="AE211" s="465">
        <f>AE146*AVERAGE(AB$202:AE$202)</f>
        <v>151.27072252236923</v>
      </c>
      <c r="AF211" s="465">
        <f>AF146*AVERAGE(AC$202:AF$202)</f>
        <v>174.96827471661828</v>
      </c>
      <c r="AG211" s="465">
        <f>AG146*AVERAGE(AD$202:AG$202)</f>
        <v>213.46565068275086</v>
      </c>
      <c r="AH211" s="465">
        <f>AH146*AVERAGE(AE$202:AH$202)</f>
        <v>168.50487819670519</v>
      </c>
      <c r="AI211" s="465">
        <f>AI146*AVERAGE(AF$202:AI$202)</f>
        <v>226.37722327522599</v>
      </c>
      <c r="AJ211" s="465">
        <f>AJ146*AVERAGE(AG$202:AJ$202)</f>
        <v>259.57544793646008</v>
      </c>
      <c r="AK211" s="465">
        <f>AK146*AVERAGE(AH$202:AK$202)</f>
        <v>296.87002813614856</v>
      </c>
      <c r="AL211" s="465">
        <f>AL146*AVERAGE(AI$202:AL$202)</f>
        <v>332.19528563969675</v>
      </c>
      <c r="AM211" s="465">
        <f>AM146*AVERAGE(AJ$202:AM$202)</f>
        <v>303.30071803740094</v>
      </c>
      <c r="AN211" s="465">
        <f>AN146*AVERAGE(AK$202:AN$202)</f>
        <v>309.00879210699213</v>
      </c>
      <c r="AO211" s="465">
        <f>AO146*AVERAGE(AL$202:AO$202)</f>
        <v>99.482917898565304</v>
      </c>
      <c r="AP211" s="465">
        <f>AP146*AVERAGE(AM$202:AP$202)</f>
        <v>121.08317174369164</v>
      </c>
      <c r="AQ211" s="465">
        <f>AQ146*AVERAGE(AN$202:AQ$202)</f>
        <v>131.87152314333332</v>
      </c>
      <c r="AR211" s="465">
        <f>AR146*AVERAGE(AO$202:AR$202)</f>
        <v>71.853856109999981</v>
      </c>
      <c r="AS211" s="465">
        <f>AS146*AVERAGE(AP$202:AS$202)</f>
        <v>227.33683475416663</v>
      </c>
      <c r="AT211" s="465">
        <f>AT146*AVERAGE(AQ$202:AT$202)</f>
        <v>156.10925882416663</v>
      </c>
      <c r="AU211" s="465">
        <f>AU146*AVERAGE(AR$202:AU$202)</f>
        <v>84.733251937499986</v>
      </c>
      <c r="AV211" s="465">
        <f>AV146*AVERAGE(AS$202:AV$202)</f>
        <v>81.93841682999998</v>
      </c>
      <c r="AW211" s="465">
        <f>AW146*AVERAGE(AT$202:AW$202)</f>
        <v>83.714969099999976</v>
      </c>
      <c r="AX211" s="465">
        <f>AX146*AVERAGE(AU$202:AX$202)</f>
        <v>70.93485991069754</v>
      </c>
      <c r="AY211" s="465">
        <f>AY146*AVERAGE(AV$202:AY$202)</f>
        <v>158.26907119247085</v>
      </c>
      <c r="AZ211" s="465">
        <f>AZ146*AVERAGE(AW$202:AZ$202)</f>
        <v>183.42554654845179</v>
      </c>
      <c r="BB211" s="465">
        <f>BB146*AVERAGE(X$202,Y$202,Z$202,BB$202)</f>
        <v>371.62650432999993</v>
      </c>
    </row>
    <row r="212" spans="1:54" ht="12.75">
      <c r="B212" s="422" t="s">
        <v>529</v>
      </c>
      <c r="C212" s="465">
        <f t="shared" ref="C212:N212" si="678">C147*C$202</f>
        <v>43.029889139999995</v>
      </c>
      <c r="D212" s="465">
        <f t="shared" si="678"/>
        <v>-601.99240810000003</v>
      </c>
      <c r="E212" s="465">
        <f t="shared" si="678"/>
        <v>-88.941698760000065</v>
      </c>
      <c r="F212" s="465">
        <f t="shared" si="678"/>
        <v>-1111.43738398</v>
      </c>
      <c r="G212" s="465">
        <f t="shared" si="678"/>
        <v>-916.60684310000022</v>
      </c>
      <c r="H212" s="465">
        <f t="shared" si="678"/>
        <v>-101.47156354159652</v>
      </c>
      <c r="I212" s="465">
        <f t="shared" si="678"/>
        <v>19.046334160405994</v>
      </c>
      <c r="J212" s="465">
        <f t="shared" si="678"/>
        <v>67.086151879999974</v>
      </c>
      <c r="K212" s="465">
        <f t="shared" si="678"/>
        <v>383.26854100000008</v>
      </c>
      <c r="L212" s="465">
        <f t="shared" si="678"/>
        <v>454.68279282133079</v>
      </c>
      <c r="M212" s="465">
        <f t="shared" si="678"/>
        <v>4.7750652623165593</v>
      </c>
      <c r="N212" s="465">
        <f t="shared" si="678"/>
        <v>32.576131235152232</v>
      </c>
      <c r="O212" s="465"/>
      <c r="P212" s="597"/>
      <c r="Q212" s="465"/>
      <c r="R212" s="465"/>
      <c r="S212" s="465">
        <f>S147*AVERAGE(P$202:S$202)</f>
        <v>-601.82219346999989</v>
      </c>
      <c r="T212" s="465">
        <f>T147*AVERAGE(Q$202:T$202)</f>
        <v>-495.53952376499984</v>
      </c>
      <c r="U212" s="465">
        <f>U147*AVERAGE(R$202:U$202)</f>
        <v>-610.86829894999994</v>
      </c>
      <c r="V212" s="465">
        <f>V147*AVERAGE(S$202:V$202)</f>
        <v>-586.46403713000007</v>
      </c>
      <c r="W212" s="465">
        <f>W147*AVERAGE(T$202:W$202)</f>
        <v>-88.958783219999901</v>
      </c>
      <c r="X212" s="465">
        <f>X147*AVERAGE(U$202:X$202)</f>
        <v>-171.76841811999998</v>
      </c>
      <c r="Y212" s="465">
        <f>Y147*AVERAGE(V$202:Y$202)</f>
        <v>-119.10722659999995</v>
      </c>
      <c r="Z212" s="465">
        <f>Z147*AVERAGE(W$202:Z$202)</f>
        <v>-34.80565780999985</v>
      </c>
      <c r="AA212" s="465">
        <f>AA147*AVERAGE(X$202:AA$202)</f>
        <v>-1111.43738398</v>
      </c>
      <c r="AB212" s="465">
        <f>AB147*AVERAGE(Y$202:AB$202)</f>
        <v>-1071.7401735769613</v>
      </c>
      <c r="AC212" s="465">
        <f>AC147*AVERAGE(Z$202:AC$202)</f>
        <v>-987.66473193645004</v>
      </c>
      <c r="AD212" s="465">
        <f>AD147*AVERAGE(AA$202:AD$202)</f>
        <v>-1059.9061793103044</v>
      </c>
      <c r="AE212" s="465">
        <f>AE147*AVERAGE(AB$202:AE$202)</f>
        <v>-96.623280994222625</v>
      </c>
      <c r="AF212" s="465">
        <f>AF147*AVERAGE(AC$202:AF$202)</f>
        <v>-212.74671400565353</v>
      </c>
      <c r="AG212" s="465">
        <f>AG147*AVERAGE(AD$202:AG$202)</f>
        <v>-163.91339004041598</v>
      </c>
      <c r="AH212" s="465">
        <f>AH147*AVERAGE(AE$202:AH$202)</f>
        <v>-131.87809353243139</v>
      </c>
      <c r="AI212" s="465">
        <f>AI147*AVERAGE(AF$202:AI$202)</f>
        <v>19.031641052373491</v>
      </c>
      <c r="AJ212" s="465">
        <f>AJ147*AVERAGE(AG$202:AJ$202)</f>
        <v>164.17199225205442</v>
      </c>
      <c r="AK212" s="465">
        <f>AK147*AVERAGE(AH$202:AK$202)</f>
        <v>44.428137384376413</v>
      </c>
      <c r="AL212" s="465">
        <f>AL147*AVERAGE(AI$202:AL$202)</f>
        <v>17.188381883651157</v>
      </c>
      <c r="AM212" s="465">
        <f>AM147*AVERAGE(AJ$202:AM$202)</f>
        <v>67.008691429479839</v>
      </c>
      <c r="AN212" s="465">
        <f>AN147*AVERAGE(AK$202:AN$202)</f>
        <v>59.841113805618818</v>
      </c>
      <c r="AO212" s="465">
        <f>AO147*AVERAGE(AL$202:AO$202)</f>
        <v>433.49046837264063</v>
      </c>
      <c r="AP212" s="465">
        <f>AP147*AVERAGE(AM$202:AP$202)</f>
        <v>443.90677334816195</v>
      </c>
      <c r="AQ212" s="465">
        <f>AQ147*AVERAGE(AN$202:AQ$202)</f>
        <v>382.82195966166665</v>
      </c>
      <c r="AR212" s="465">
        <f>AR147*AVERAGE(AO$202:AR$202)</f>
        <v>409.12119654666674</v>
      </c>
      <c r="AS212" s="465">
        <f>AS147*AVERAGE(AP$202:AS$202)</f>
        <v>301.80204112916658</v>
      </c>
      <c r="AT212" s="465">
        <f>AT147*AVERAGE(AQ$202:AT$202)</f>
        <v>360.3655851366666</v>
      </c>
      <c r="AU212" s="465">
        <f>AU147*AVERAGE(AR$202:AU$202)</f>
        <v>456.78022249249989</v>
      </c>
      <c r="AV212" s="465">
        <f>AV147*AVERAGE(AS$202:AV$202)</f>
        <v>424.62662856999987</v>
      </c>
      <c r="AW212" s="465">
        <f>AW147*AVERAGE(AT$202:AW$202)</f>
        <v>239.726192005</v>
      </c>
      <c r="AX212" s="465">
        <f>AX147*AVERAGE(AU$202:AX$202)</f>
        <v>127.69886976866859</v>
      </c>
      <c r="AY212" s="465">
        <f>AY147*AVERAGE(AV$202:AY$202)</f>
        <v>4.7750652623167609</v>
      </c>
      <c r="AZ212" s="465">
        <f>AZ147*AVERAGE(AW$202:AZ$202)</f>
        <v>32.576131235152189</v>
      </c>
      <c r="BB212" s="465">
        <f>BB147*AVERAGE(X$202,Y$202,Z$202,BB$202)</f>
        <v>-916.60684310000022</v>
      </c>
    </row>
    <row r="213" spans="1:54" ht="12.75">
      <c r="B213" s="422" t="s">
        <v>570</v>
      </c>
      <c r="C213" s="465">
        <f t="shared" ref="C213:N213" si="679">C148*C$203</f>
        <v>268.78242353852107</v>
      </c>
      <c r="D213" s="465">
        <f t="shared" si="679"/>
        <v>163.58644871651956</v>
      </c>
      <c r="E213" s="465">
        <f t="shared" si="679"/>
        <v>224.29748786667074</v>
      </c>
      <c r="F213" s="465">
        <f t="shared" si="679"/>
        <v>161.23363376729353</v>
      </c>
      <c r="G213" s="465">
        <f t="shared" si="679"/>
        <v>161.23363376729353</v>
      </c>
      <c r="H213" s="465">
        <f t="shared" si="679"/>
        <v>388.58867731449902</v>
      </c>
      <c r="I213" s="465">
        <f t="shared" si="679"/>
        <v>329.4219057022475</v>
      </c>
      <c r="J213" s="465">
        <f t="shared" si="679"/>
        <v>354.74423491962108</v>
      </c>
      <c r="K213" s="465">
        <f t="shared" si="679"/>
        <v>166.48921379999999</v>
      </c>
      <c r="L213" s="465">
        <f t="shared" si="679"/>
        <v>217.03487562260742</v>
      </c>
      <c r="M213" s="465">
        <f t="shared" si="679"/>
        <v>763.73641236287131</v>
      </c>
      <c r="N213" s="465">
        <f t="shared" si="679"/>
        <v>725.10048874448569</v>
      </c>
      <c r="O213" s="465"/>
      <c r="P213" s="597"/>
      <c r="Q213" s="465"/>
      <c r="R213" s="465"/>
      <c r="S213" s="465">
        <f t="shared" ref="S213:AY213" si="680">S148*S$203</f>
        <v>163.58644871651956</v>
      </c>
      <c r="T213" s="465">
        <f t="shared" si="680"/>
        <v>204.41320286734447</v>
      </c>
      <c r="U213" s="465">
        <f t="shared" si="680"/>
        <v>176.40271254021238</v>
      </c>
      <c r="V213" s="465">
        <f t="shared" si="680"/>
        <v>319.71938124601314</v>
      </c>
      <c r="W213" s="465">
        <f t="shared" si="680"/>
        <v>224.29748786667074</v>
      </c>
      <c r="X213" s="465">
        <f t="shared" si="680"/>
        <v>172.42201730712668</v>
      </c>
      <c r="Y213" s="465">
        <f t="shared" si="680"/>
        <v>946.98771421863978</v>
      </c>
      <c r="Z213" s="465">
        <f t="shared" si="680"/>
        <v>697.28227511076784</v>
      </c>
      <c r="AA213" s="465">
        <f t="shared" si="680"/>
        <v>161.23363376729353</v>
      </c>
      <c r="AB213" s="465">
        <f t="shared" si="680"/>
        <v>167.54802287803736</v>
      </c>
      <c r="AC213" s="465">
        <f t="shared" si="680"/>
        <v>642.27009618502109</v>
      </c>
      <c r="AD213" s="465">
        <f t="shared" si="680"/>
        <v>821.7397293356828</v>
      </c>
      <c r="AE213" s="465">
        <f t="shared" si="680"/>
        <v>388.58867731449902</v>
      </c>
      <c r="AF213" s="465">
        <f t="shared" si="680"/>
        <v>233.96481009586216</v>
      </c>
      <c r="AG213" s="465">
        <f t="shared" si="680"/>
        <v>187.41785553878995</v>
      </c>
      <c r="AH213" s="465">
        <f t="shared" si="680"/>
        <v>170.86624352976187</v>
      </c>
      <c r="AI213" s="465">
        <f t="shared" si="680"/>
        <v>327.42298442927586</v>
      </c>
      <c r="AJ213" s="465">
        <f t="shared" si="680"/>
        <v>216.8991507537186</v>
      </c>
      <c r="AK213" s="465">
        <f t="shared" si="680"/>
        <v>263.10522549750561</v>
      </c>
      <c r="AL213" s="465">
        <f t="shared" si="680"/>
        <v>240.25839907809592</v>
      </c>
      <c r="AM213" s="465">
        <f t="shared" si="680"/>
        <v>354.74423491962108</v>
      </c>
      <c r="AN213" s="465">
        <f t="shared" si="680"/>
        <v>169.63120151999999</v>
      </c>
      <c r="AO213" s="465">
        <f t="shared" si="680"/>
        <v>255.39895584000001</v>
      </c>
      <c r="AP213" s="465">
        <f t="shared" si="680"/>
        <v>152.73088134000002</v>
      </c>
      <c r="AQ213" s="465">
        <f t="shared" si="680"/>
        <v>166.48921379999999</v>
      </c>
      <c r="AR213" s="465">
        <f t="shared" si="680"/>
        <v>106.9019572</v>
      </c>
      <c r="AS213" s="465">
        <f t="shared" si="680"/>
        <v>255.21669215999998</v>
      </c>
      <c r="AT213" s="465">
        <f t="shared" si="680"/>
        <v>135.58313154000001</v>
      </c>
      <c r="AU213" s="465">
        <f t="shared" si="680"/>
        <v>217.03487562260742</v>
      </c>
      <c r="AV213" s="465">
        <f t="shared" si="680"/>
        <v>98.855853372838141</v>
      </c>
      <c r="AW213" s="465">
        <f t="shared" si="680"/>
        <v>222.15436568428186</v>
      </c>
      <c r="AX213" s="465">
        <f t="shared" si="680"/>
        <v>156.17728818169454</v>
      </c>
      <c r="AY213" s="465">
        <f t="shared" si="680"/>
        <v>763.73641236287131</v>
      </c>
      <c r="AZ213" s="465">
        <f t="shared" ref="AZ213" si="681">AZ148*AZ$203</f>
        <v>725.10048874448569</v>
      </c>
      <c r="BB213" s="465">
        <f>BB148*BB$203</f>
        <v>161.23363376729353</v>
      </c>
    </row>
    <row r="214" spans="1:54" ht="12.75">
      <c r="B214" s="422" t="s">
        <v>23</v>
      </c>
      <c r="C214" s="465">
        <f t="shared" ref="C214:N214" si="682">C149*C$203</f>
        <v>3136.2056233062326</v>
      </c>
      <c r="D214" s="465">
        <f t="shared" si="682"/>
        <v>3448.734051501363</v>
      </c>
      <c r="E214" s="465">
        <f t="shared" si="682"/>
        <v>4047.8063347679658</v>
      </c>
      <c r="F214" s="465">
        <f t="shared" si="682"/>
        <v>5672.6720607014367</v>
      </c>
      <c r="G214" s="465">
        <f t="shared" si="682"/>
        <v>5672.6720607014367</v>
      </c>
      <c r="H214" s="465">
        <f t="shared" si="682"/>
        <v>6296.8948392792654</v>
      </c>
      <c r="I214" s="465">
        <f t="shared" si="682"/>
        <v>6648.8517298348861</v>
      </c>
      <c r="J214" s="465">
        <f t="shared" si="682"/>
        <v>7182.2857893408463</v>
      </c>
      <c r="K214" s="465">
        <f t="shared" si="682"/>
        <v>7571.9245455</v>
      </c>
      <c r="L214" s="465">
        <f t="shared" si="682"/>
        <v>7140.2219052147721</v>
      </c>
      <c r="M214" s="465">
        <f t="shared" si="682"/>
        <v>8396.7834939081731</v>
      </c>
      <c r="N214" s="465">
        <f t="shared" si="682"/>
        <v>8331.8597198160132</v>
      </c>
      <c r="O214" s="465"/>
      <c r="P214" s="597"/>
      <c r="Q214" s="465"/>
      <c r="R214" s="465"/>
      <c r="S214" s="465">
        <f t="shared" ref="S214:AY214" si="683">S149*S$203</f>
        <v>3448.734051501363</v>
      </c>
      <c r="T214" s="465">
        <f t="shared" si="683"/>
        <v>3601.7381231431768</v>
      </c>
      <c r="U214" s="465">
        <f t="shared" si="683"/>
        <v>3645.1264392120147</v>
      </c>
      <c r="V214" s="465">
        <f t="shared" si="683"/>
        <v>3959.2909844779924</v>
      </c>
      <c r="W214" s="465">
        <f t="shared" si="683"/>
        <v>4047.8063347679658</v>
      </c>
      <c r="X214" s="465">
        <f t="shared" si="683"/>
        <v>4216.7804306657108</v>
      </c>
      <c r="Y214" s="465">
        <f t="shared" si="683"/>
        <v>5177.0975298014973</v>
      </c>
      <c r="Z214" s="465">
        <f t="shared" si="683"/>
        <v>4994.6135827811877</v>
      </c>
      <c r="AA214" s="465">
        <f t="shared" si="683"/>
        <v>5672.6720607014367</v>
      </c>
      <c r="AB214" s="465">
        <f t="shared" si="683"/>
        <v>5408.3065064051088</v>
      </c>
      <c r="AC214" s="465">
        <f t="shared" si="683"/>
        <v>6035.6312114989732</v>
      </c>
      <c r="AD214" s="465">
        <f t="shared" si="683"/>
        <v>6458.9821465308269</v>
      </c>
      <c r="AE214" s="465">
        <f t="shared" si="683"/>
        <v>6296.8948392792654</v>
      </c>
      <c r="AF214" s="465">
        <f t="shared" si="683"/>
        <v>6389.4643853901225</v>
      </c>
      <c r="AG214" s="465">
        <f t="shared" si="683"/>
        <v>6464.9954329143056</v>
      </c>
      <c r="AH214" s="465">
        <f t="shared" si="683"/>
        <v>6400.4284383125923</v>
      </c>
      <c r="AI214" s="465">
        <f t="shared" si="683"/>
        <v>6608.5067165448054</v>
      </c>
      <c r="AJ214" s="465">
        <f t="shared" si="683"/>
        <v>6717.4574626641725</v>
      </c>
      <c r="AK214" s="465">
        <f t="shared" si="683"/>
        <v>6910.8973865006719</v>
      </c>
      <c r="AL214" s="465">
        <f t="shared" si="683"/>
        <v>6948.1023155945595</v>
      </c>
      <c r="AM214" s="465">
        <f t="shared" si="683"/>
        <v>7182.2857893408463</v>
      </c>
      <c r="AN214" s="465">
        <f t="shared" si="683"/>
        <v>7381.4293550800003</v>
      </c>
      <c r="AO214" s="465">
        <f t="shared" si="683"/>
        <v>7466.7162981600004</v>
      </c>
      <c r="AP214" s="465">
        <f t="shared" si="683"/>
        <v>7488.7428774800001</v>
      </c>
      <c r="AQ214" s="465">
        <f t="shared" si="683"/>
        <v>7571.9245455</v>
      </c>
      <c r="AR214" s="465">
        <f t="shared" si="683"/>
        <v>7675.1827463999998</v>
      </c>
      <c r="AS214" s="465">
        <f t="shared" si="683"/>
        <v>7508.9870020200005</v>
      </c>
      <c r="AT214" s="465">
        <f t="shared" si="683"/>
        <v>7368.0579416499995</v>
      </c>
      <c r="AU214" s="465">
        <f t="shared" si="683"/>
        <v>7140.2219052147721</v>
      </c>
      <c r="AV214" s="465">
        <f t="shared" si="683"/>
        <v>7433.9847033693923</v>
      </c>
      <c r="AW214" s="465">
        <f t="shared" si="683"/>
        <v>7843.3647738821128</v>
      </c>
      <c r="AX214" s="465">
        <f t="shared" si="683"/>
        <v>8105.8295117639054</v>
      </c>
      <c r="AY214" s="465">
        <f t="shared" si="683"/>
        <v>8396.7834939081731</v>
      </c>
      <c r="AZ214" s="465">
        <f t="shared" ref="AZ214" si="684">AZ149*AZ$203</f>
        <v>8331.8597198160132</v>
      </c>
      <c r="BB214" s="465">
        <f>BB149*BB$203</f>
        <v>5672.6720607014367</v>
      </c>
    </row>
    <row r="215" spans="1:54" ht="12.75">
      <c r="B215" s="424" t="s">
        <v>571</v>
      </c>
      <c r="C215" s="588">
        <f t="shared" ref="C215:N215" si="685">C150*C$203</f>
        <v>2867.4231997677116</v>
      </c>
      <c r="D215" s="588">
        <f t="shared" si="685"/>
        <v>3285.147602784843</v>
      </c>
      <c r="E215" s="588">
        <f t="shared" si="685"/>
        <v>3823.5088469012949</v>
      </c>
      <c r="F215" s="588">
        <f t="shared" si="685"/>
        <v>5511.4384269341435</v>
      </c>
      <c r="G215" s="588">
        <f t="shared" si="685"/>
        <v>5511.4384269341435</v>
      </c>
      <c r="H215" s="588">
        <f t="shared" si="685"/>
        <v>5908.306161964766</v>
      </c>
      <c r="I215" s="588">
        <f t="shared" si="685"/>
        <v>6319.4298241326387</v>
      </c>
      <c r="J215" s="588">
        <f t="shared" si="685"/>
        <v>6827.5415544212256</v>
      </c>
      <c r="K215" s="588">
        <f t="shared" si="685"/>
        <v>7405.4353317000005</v>
      </c>
      <c r="L215" s="588">
        <f t="shared" si="685"/>
        <v>6923.1870295921644</v>
      </c>
      <c r="M215" s="588">
        <f t="shared" si="685"/>
        <v>7633.0470815453027</v>
      </c>
      <c r="N215" s="588">
        <f t="shared" si="685"/>
        <v>7606.7592310715272</v>
      </c>
      <c r="O215" s="588"/>
      <c r="P215" s="597"/>
      <c r="Q215" s="588"/>
      <c r="R215" s="588"/>
      <c r="S215" s="588">
        <f t="shared" ref="S215:AY215" si="686">S150*S$203</f>
        <v>3285.147602784843</v>
      </c>
      <c r="T215" s="588">
        <f t="shared" si="686"/>
        <v>3397.3249202758325</v>
      </c>
      <c r="U215" s="588">
        <f t="shared" si="686"/>
        <v>3468.7237266718021</v>
      </c>
      <c r="V215" s="588">
        <f t="shared" si="686"/>
        <v>3639.5716032319792</v>
      </c>
      <c r="W215" s="588">
        <f t="shared" si="686"/>
        <v>3823.5088469012949</v>
      </c>
      <c r="X215" s="588">
        <f t="shared" si="686"/>
        <v>4044.3584133585837</v>
      </c>
      <c r="Y215" s="588">
        <f t="shared" si="686"/>
        <v>4230.1098155828568</v>
      </c>
      <c r="Z215" s="588">
        <f t="shared" si="686"/>
        <v>4297.3313076704198</v>
      </c>
      <c r="AA215" s="588">
        <f t="shared" si="686"/>
        <v>5511.4384269341435</v>
      </c>
      <c r="AB215" s="588">
        <f t="shared" si="686"/>
        <v>5240.7584835270718</v>
      </c>
      <c r="AC215" s="588">
        <f t="shared" si="686"/>
        <v>5393.3611153139518</v>
      </c>
      <c r="AD215" s="588">
        <f t="shared" si="686"/>
        <v>5637.2424171951443</v>
      </c>
      <c r="AE215" s="588">
        <f t="shared" si="686"/>
        <v>5908.306161964766</v>
      </c>
      <c r="AF215" s="588">
        <f t="shared" si="686"/>
        <v>6155.4995752942605</v>
      </c>
      <c r="AG215" s="588">
        <f t="shared" si="686"/>
        <v>6277.5775773755149</v>
      </c>
      <c r="AH215" s="588">
        <f t="shared" si="686"/>
        <v>6229.5621947828295</v>
      </c>
      <c r="AI215" s="588">
        <f t="shared" si="686"/>
        <v>6281.0837321155295</v>
      </c>
      <c r="AJ215" s="588">
        <f t="shared" si="686"/>
        <v>6500.558311910454</v>
      </c>
      <c r="AK215" s="588">
        <f t="shared" si="686"/>
        <v>6647.7921610031672</v>
      </c>
      <c r="AL215" s="588">
        <f t="shared" si="686"/>
        <v>6707.8439165164646</v>
      </c>
      <c r="AM215" s="588">
        <f t="shared" si="686"/>
        <v>6827.5415544212256</v>
      </c>
      <c r="AN215" s="588">
        <f t="shared" si="686"/>
        <v>7211.7981535600002</v>
      </c>
      <c r="AO215" s="588">
        <f t="shared" si="686"/>
        <v>7211.3173423200005</v>
      </c>
      <c r="AP215" s="588">
        <f t="shared" si="686"/>
        <v>7336.0119961399996</v>
      </c>
      <c r="AQ215" s="588">
        <f t="shared" si="686"/>
        <v>7405.4353317000005</v>
      </c>
      <c r="AR215" s="588">
        <f t="shared" si="686"/>
        <v>7568.2807891999992</v>
      </c>
      <c r="AS215" s="588">
        <f t="shared" si="686"/>
        <v>7253.7703098599995</v>
      </c>
      <c r="AT215" s="588">
        <f t="shared" si="686"/>
        <v>7232.4748101099995</v>
      </c>
      <c r="AU215" s="588">
        <f t="shared" si="686"/>
        <v>6923.1870295921644</v>
      </c>
      <c r="AV215" s="588">
        <f t="shared" si="686"/>
        <v>7335.128849996554</v>
      </c>
      <c r="AW215" s="588">
        <f t="shared" si="686"/>
        <v>7621.2104081978314</v>
      </c>
      <c r="AX215" s="588">
        <f t="shared" si="686"/>
        <v>7949.6522235822104</v>
      </c>
      <c r="AY215" s="588">
        <f t="shared" si="686"/>
        <v>7633.0470815453027</v>
      </c>
      <c r="AZ215" s="588">
        <f t="shared" ref="AZ215" si="687">AZ150*AZ$203</f>
        <v>7606.7592310715272</v>
      </c>
      <c r="BB215" s="588">
        <f>BB150*BB$203</f>
        <v>5511.4384269341435</v>
      </c>
    </row>
    <row r="216" spans="1:54" ht="12.75">
      <c r="B216" s="422" t="s">
        <v>572</v>
      </c>
      <c r="C216" s="427">
        <f t="shared" ref="C216:H216" si="688">C214/C208</f>
        <v>5.8557219358568515</v>
      </c>
      <c r="D216" s="427">
        <f t="shared" si="688"/>
        <v>5.9164699357856412</v>
      </c>
      <c r="E216" s="427">
        <f t="shared" si="688"/>
        <v>6.0697154369913697</v>
      </c>
      <c r="F216" s="427">
        <f t="shared" si="688"/>
        <v>7.6250143538677788</v>
      </c>
      <c r="G216" s="427">
        <f t="shared" si="688"/>
        <v>7.6218197601768622</v>
      </c>
      <c r="H216" s="427">
        <f t="shared" si="688"/>
        <v>9.4365151840414896</v>
      </c>
      <c r="I216" s="427">
        <f t="shared" ref="I216:N216" si="689">I214/I208</f>
        <v>8.1493996409295786</v>
      </c>
      <c r="J216" s="427">
        <f t="shared" si="689"/>
        <v>8.0702858087009055</v>
      </c>
      <c r="K216" s="427">
        <f t="shared" si="689"/>
        <v>6.9977801802558526</v>
      </c>
      <c r="L216" s="427">
        <f t="shared" si="689"/>
        <v>6.4359228447632555</v>
      </c>
      <c r="M216" s="427">
        <f t="shared" si="689"/>
        <v>7.375851214316457</v>
      </c>
      <c r="N216" s="427">
        <f t="shared" si="689"/>
        <v>6.8845170683832695</v>
      </c>
      <c r="O216" s="427"/>
      <c r="P216" s="597"/>
      <c r="Q216" s="427"/>
      <c r="R216" s="427"/>
      <c r="S216" s="427">
        <f t="shared" ref="S216:X216" si="690">S214/S208</f>
        <v>5.9181433033549213</v>
      </c>
      <c r="T216" s="427">
        <f t="shared" si="690"/>
        <v>5.8626295270850681</v>
      </c>
      <c r="U216" s="427">
        <f t="shared" si="690"/>
        <v>5.7699656166715503</v>
      </c>
      <c r="V216" s="427">
        <f t="shared" si="690"/>
        <v>6.0869578869774488</v>
      </c>
      <c r="W216" s="427">
        <f t="shared" si="690"/>
        <v>6.0685497532124195</v>
      </c>
      <c r="X216" s="427">
        <f t="shared" si="690"/>
        <v>6.185190024141634</v>
      </c>
      <c r="Y216" s="427">
        <f t="shared" ref="Y216:AD216" si="691">Y214/Y208</f>
        <v>7.3521112949225893</v>
      </c>
      <c r="Z216" s="427">
        <f t="shared" si="691"/>
        <v>6.9757402415523053</v>
      </c>
      <c r="AA216" s="427">
        <f t="shared" si="691"/>
        <v>7.6250143538677788</v>
      </c>
      <c r="AB216" s="427">
        <f t="shared" si="691"/>
        <v>7.1980596549437976</v>
      </c>
      <c r="AC216" s="427">
        <f t="shared" si="691"/>
        <v>8.733419058731192</v>
      </c>
      <c r="AD216" s="427">
        <f t="shared" si="691"/>
        <v>9.9624114126404724</v>
      </c>
      <c r="AE216" s="427">
        <f t="shared" ref="AE216:AJ216" si="692">AE214/AE208</f>
        <v>9.9100127863175995</v>
      </c>
      <c r="AF216" s="427">
        <f t="shared" si="692"/>
        <v>9.8931844564428619</v>
      </c>
      <c r="AG216" s="427">
        <f t="shared" si="692"/>
        <v>9.0132579105791208</v>
      </c>
      <c r="AH216" s="427">
        <f t="shared" si="692"/>
        <v>8.1610607795426748</v>
      </c>
      <c r="AI216" s="427">
        <f t="shared" si="692"/>
        <v>8.106202803137748</v>
      </c>
      <c r="AJ216" s="427">
        <f t="shared" si="692"/>
        <v>8.0731751985845115</v>
      </c>
      <c r="AK216" s="427">
        <f t="shared" ref="AK216:AN216" si="693">AK214/AK208</f>
        <v>8.1417597724117705</v>
      </c>
      <c r="AL216" s="427">
        <f t="shared" si="693"/>
        <v>7.9854498443330435</v>
      </c>
      <c r="AM216" s="427">
        <f t="shared" si="693"/>
        <v>8.0796148667862777</v>
      </c>
      <c r="AN216" s="427">
        <f t="shared" si="693"/>
        <v>7.9440359183512212</v>
      </c>
      <c r="AO216" s="427">
        <f t="shared" ref="AO216:AR216" si="694">AO214/AO208</f>
        <v>7.5995695731312392</v>
      </c>
      <c r="AP216" s="427">
        <f t="shared" si="694"/>
        <v>7.2324647956746944</v>
      </c>
      <c r="AQ216" s="427">
        <f t="shared" si="694"/>
        <v>7.0059434476949098</v>
      </c>
      <c r="AR216" s="427">
        <f t="shared" si="694"/>
        <v>6.8763699857733576</v>
      </c>
      <c r="AS216" s="427">
        <f t="shared" ref="AS216:AV216" si="695">AS214/AS208</f>
        <v>6.648543318267131</v>
      </c>
      <c r="AT216" s="427">
        <f t="shared" si="695"/>
        <v>6.5538708253933509</v>
      </c>
      <c r="AU216" s="427">
        <f t="shared" si="695"/>
        <v>6.4063705680418535</v>
      </c>
      <c r="AV216" s="427">
        <f t="shared" si="695"/>
        <v>6.8273369098350871</v>
      </c>
      <c r="AW216" s="427">
        <f t="shared" ref="AW216:AZ216" si="696">AW214/AW208</f>
        <v>7.2798441503364675</v>
      </c>
      <c r="AX216" s="427">
        <f t="shared" si="696"/>
        <v>7.4379538289393912</v>
      </c>
      <c r="AY216" s="427">
        <f t="shared" si="696"/>
        <v>7.3758512143164552</v>
      </c>
      <c r="AZ216" s="427">
        <f t="shared" si="696"/>
        <v>6.8845170683832695</v>
      </c>
      <c r="BB216" s="427">
        <f>BB214/BB208</f>
        <v>7.6218197601768622</v>
      </c>
    </row>
    <row r="217" spans="1:54" ht="12.75">
      <c r="B217" s="424" t="s">
        <v>573</v>
      </c>
      <c r="C217" s="429">
        <f t="shared" ref="C217:H217" si="697">C215/C208</f>
        <v>5.3538686384228518</v>
      </c>
      <c r="D217" s="429">
        <f t="shared" si="697"/>
        <v>5.6358294772058075</v>
      </c>
      <c r="E217" s="429">
        <f t="shared" si="697"/>
        <v>5.7333797005483964</v>
      </c>
      <c r="F217" s="429">
        <f t="shared" si="697"/>
        <v>7.4082895443518462</v>
      </c>
      <c r="G217" s="429">
        <f t="shared" si="697"/>
        <v>7.4051857501895615</v>
      </c>
      <c r="H217" s="429">
        <f t="shared" si="697"/>
        <v>8.8541768970891557</v>
      </c>
      <c r="I217" s="429">
        <f t="shared" ref="I217:N217" si="698">I215/I208</f>
        <v>7.7456320628381814</v>
      </c>
      <c r="J217" s="429">
        <f t="shared" si="698"/>
        <v>7.6716818755297895</v>
      </c>
      <c r="K217" s="429">
        <f t="shared" si="698"/>
        <v>6.8439150811578422</v>
      </c>
      <c r="L217" s="429">
        <f t="shared" si="698"/>
        <v>6.2402959115008958</v>
      </c>
      <c r="M217" s="429">
        <f t="shared" si="698"/>
        <v>6.7049745448594873</v>
      </c>
      <c r="N217" s="429">
        <f t="shared" si="698"/>
        <v>6.2853751170153345</v>
      </c>
      <c r="O217" s="429"/>
      <c r="P217" s="597"/>
      <c r="Q217" s="429"/>
      <c r="R217" s="429"/>
      <c r="S217" s="429">
        <f t="shared" ref="S217:X217" si="699">S215/S208</f>
        <v>5.6374234706470832</v>
      </c>
      <c r="T217" s="429">
        <f t="shared" si="699"/>
        <v>5.529901594658293</v>
      </c>
      <c r="U217" s="429">
        <f t="shared" si="699"/>
        <v>5.4907331667089494</v>
      </c>
      <c r="V217" s="429">
        <f t="shared" si="699"/>
        <v>5.5954258382029245</v>
      </c>
      <c r="W217" s="429">
        <f t="shared" si="699"/>
        <v>5.7322786097666505</v>
      </c>
      <c r="X217" s="429">
        <f t="shared" si="699"/>
        <v>5.9322807349515267</v>
      </c>
      <c r="Y217" s="429">
        <f t="shared" ref="Y217:AD217" si="700">Y215/Y208</f>
        <v>6.0072729893311649</v>
      </c>
      <c r="Z217" s="429">
        <f t="shared" si="700"/>
        <v>6.0018791118384751</v>
      </c>
      <c r="AA217" s="429">
        <f t="shared" si="700"/>
        <v>7.4082895443518462</v>
      </c>
      <c r="AB217" s="429">
        <f t="shared" si="700"/>
        <v>6.9750655139283619</v>
      </c>
      <c r="AC217" s="429">
        <f t="shared" si="700"/>
        <v>7.8040690533516708</v>
      </c>
      <c r="AD217" s="429">
        <f t="shared" si="700"/>
        <v>8.694950213332012</v>
      </c>
      <c r="AE217" s="429">
        <f t="shared" ref="AE217:AJ217" si="701">AE215/AE208</f>
        <v>9.2984544136442366</v>
      </c>
      <c r="AF217" s="429">
        <f t="shared" si="701"/>
        <v>9.5309229454643223</v>
      </c>
      <c r="AG217" s="429">
        <f t="shared" si="701"/>
        <v>8.751966856850208</v>
      </c>
      <c r="AH217" s="429">
        <f t="shared" si="701"/>
        <v>7.9431925833651436</v>
      </c>
      <c r="AI217" s="429">
        <f t="shared" si="701"/>
        <v>7.704575441914451</v>
      </c>
      <c r="AJ217" s="429">
        <f t="shared" si="701"/>
        <v>7.8125014460238988</v>
      </c>
      <c r="AK217" s="429">
        <f t="shared" ref="AK217:AN217" si="702">AK215/AK208</f>
        <v>7.8317943046779792</v>
      </c>
      <c r="AL217" s="429">
        <f t="shared" si="702"/>
        <v>7.7093210096709841</v>
      </c>
      <c r="AM217" s="429">
        <f t="shared" si="702"/>
        <v>7.6805501569668788</v>
      </c>
      <c r="AN217" s="429">
        <f t="shared" si="702"/>
        <v>7.7614755641265285</v>
      </c>
      <c r="AO217" s="429">
        <f t="shared" ref="AO217:AR217" si="703">AO215/AO208</f>
        <v>7.3396263723577686</v>
      </c>
      <c r="AP217" s="429">
        <f t="shared" si="703"/>
        <v>7.0849606363550155</v>
      </c>
      <c r="AQ217" s="429">
        <f t="shared" si="703"/>
        <v>6.851898857112297</v>
      </c>
      <c r="AR217" s="429">
        <f t="shared" si="703"/>
        <v>6.7805941020974529</v>
      </c>
      <c r="AS217" s="429">
        <f t="shared" ref="AS217:AV217" si="704">AS215/AS208</f>
        <v>6.4225715283420524</v>
      </c>
      <c r="AT217" s="429">
        <f t="shared" si="704"/>
        <v>6.4332699374453277</v>
      </c>
      <c r="AU217" s="429">
        <f t="shared" si="704"/>
        <v>6.2116419086409689</v>
      </c>
      <c r="AV217" s="429">
        <f t="shared" si="704"/>
        <v>6.7365481547573802</v>
      </c>
      <c r="AW217" s="429">
        <f t="shared" ref="AW217:AZ217" si="705">AW215/AW208</f>
        <v>7.0736508638934144</v>
      </c>
      <c r="AX217" s="429">
        <f t="shared" si="705"/>
        <v>7.2946446886547927</v>
      </c>
      <c r="AY217" s="429">
        <f t="shared" si="705"/>
        <v>6.7049745448594855</v>
      </c>
      <c r="AZ217" s="429">
        <f t="shared" si="705"/>
        <v>6.2853751170153345</v>
      </c>
      <c r="BB217" s="429">
        <f>BB215/BB208</f>
        <v>7.4051857501895615</v>
      </c>
    </row>
    <row r="218" spans="1:54" ht="12.75">
      <c r="B218" s="424"/>
      <c r="C218" s="429"/>
      <c r="D218" s="429"/>
      <c r="E218" s="429"/>
      <c r="F218" s="429"/>
      <c r="G218" s="429"/>
      <c r="H218" s="429"/>
      <c r="I218" s="429"/>
      <c r="J218" s="429"/>
      <c r="K218" s="429"/>
      <c r="L218" s="429"/>
      <c r="M218" s="429"/>
      <c r="N218" s="429"/>
      <c r="O218" s="429"/>
      <c r="P218" s="429"/>
      <c r="Q218" s="429"/>
      <c r="R218" s="429"/>
      <c r="S218" s="429"/>
      <c r="T218" s="429"/>
      <c r="U218" s="429"/>
      <c r="V218" s="429"/>
      <c r="W218" s="429"/>
      <c r="X218" s="429"/>
      <c r="Y218" s="429"/>
      <c r="Z218" s="429"/>
      <c r="AA218" s="429"/>
      <c r="AB218" s="429"/>
      <c r="AC218" s="429"/>
      <c r="AD218" s="429"/>
      <c r="AE218" s="429"/>
      <c r="AF218" s="429"/>
      <c r="AG218" s="429"/>
      <c r="AH218" s="429"/>
      <c r="AI218" s="429"/>
      <c r="AJ218" s="429"/>
      <c r="AK218" s="429"/>
      <c r="AL218" s="429"/>
      <c r="AM218" s="429"/>
      <c r="AN218" s="429"/>
      <c r="AO218" s="429"/>
      <c r="AP218" s="429"/>
      <c r="AQ218" s="429"/>
      <c r="AR218" s="429"/>
      <c r="AS218" s="429"/>
      <c r="AT218" s="429"/>
      <c r="AU218" s="429"/>
      <c r="AV218" s="429"/>
      <c r="AW218" s="429"/>
      <c r="AX218" s="429"/>
      <c r="AY218" s="429"/>
      <c r="AZ218" s="429"/>
      <c r="BB218" s="429"/>
    </row>
    <row r="219" spans="1:54" ht="12.75">
      <c r="B219" s="464" t="s">
        <v>574</v>
      </c>
      <c r="C219" s="460"/>
      <c r="D219" s="460"/>
      <c r="E219" s="460"/>
      <c r="F219" s="460"/>
      <c r="G219" s="460"/>
      <c r="H219" s="460"/>
      <c r="I219" s="460"/>
      <c r="J219" s="460"/>
      <c r="K219" s="460"/>
      <c r="L219" s="460"/>
      <c r="M219" s="460"/>
      <c r="N219" s="460"/>
      <c r="O219" s="741"/>
      <c r="P219" s="460"/>
      <c r="Q219" s="460"/>
      <c r="R219" s="463"/>
      <c r="S219" s="463"/>
      <c r="T219" s="460"/>
      <c r="U219" s="460"/>
      <c r="V219" s="463"/>
      <c r="W219" s="463"/>
      <c r="X219" s="460"/>
      <c r="Y219" s="460"/>
      <c r="Z219" s="460"/>
      <c r="AA219" s="463"/>
      <c r="AB219" s="460"/>
      <c r="AC219" s="460"/>
      <c r="AD219" s="460"/>
      <c r="AE219" s="463"/>
      <c r="AF219" s="460"/>
      <c r="AG219" s="460"/>
      <c r="AH219" s="460"/>
      <c r="AI219" s="463"/>
      <c r="AJ219" s="460"/>
      <c r="AK219" s="460"/>
      <c r="AL219" s="460"/>
      <c r="AM219" s="463"/>
      <c r="AN219" s="460"/>
      <c r="AO219" s="460"/>
      <c r="AP219" s="460"/>
      <c r="AQ219" s="463"/>
      <c r="AR219" s="460"/>
      <c r="AS219" s="460"/>
      <c r="AT219" s="460"/>
      <c r="AU219" s="463"/>
      <c r="AV219" s="460"/>
      <c r="AW219" s="460"/>
      <c r="AX219" s="460"/>
      <c r="AY219" s="463"/>
      <c r="AZ219" s="460"/>
      <c r="BB219" s="463"/>
    </row>
    <row r="220" spans="1:54" s="424" customFormat="1" ht="12.75">
      <c r="A220" s="745"/>
      <c r="B220" s="462" t="s">
        <v>131</v>
      </c>
      <c r="C220" s="461">
        <f t="shared" ref="C220:N220" si="706">+C131</f>
        <v>42735</v>
      </c>
      <c r="D220" s="461">
        <f t="shared" si="706"/>
        <v>43100</v>
      </c>
      <c r="E220" s="461">
        <f t="shared" si="706"/>
        <v>43465</v>
      </c>
      <c r="F220" s="461">
        <f t="shared" si="706"/>
        <v>43830</v>
      </c>
      <c r="G220" s="461">
        <f t="shared" si="706"/>
        <v>43830</v>
      </c>
      <c r="H220" s="461">
        <f t="shared" si="706"/>
        <v>44196</v>
      </c>
      <c r="I220" s="461">
        <f t="shared" si="706"/>
        <v>44561</v>
      </c>
      <c r="J220" s="461">
        <f t="shared" si="706"/>
        <v>44926</v>
      </c>
      <c r="K220" s="461">
        <f t="shared" si="706"/>
        <v>45291</v>
      </c>
      <c r="L220" s="461">
        <f t="shared" si="706"/>
        <v>45657</v>
      </c>
      <c r="M220" s="461">
        <f t="shared" si="706"/>
        <v>46022</v>
      </c>
      <c r="N220" s="697">
        <f t="shared" si="706"/>
        <v>46111</v>
      </c>
      <c r="O220" s="743"/>
      <c r="P220" s="460">
        <f>+P131</f>
        <v>42825</v>
      </c>
      <c r="Q220" s="460">
        <f>+Q131</f>
        <v>42916</v>
      </c>
      <c r="R220" s="460">
        <f>+R131</f>
        <v>43008</v>
      </c>
      <c r="S220" s="460">
        <f>+S131</f>
        <v>43099</v>
      </c>
      <c r="T220" s="460">
        <f>+T131</f>
        <v>43189</v>
      </c>
      <c r="U220" s="460">
        <f>U3</f>
        <v>43281</v>
      </c>
      <c r="V220" s="460">
        <f>V3</f>
        <v>43373</v>
      </c>
      <c r="W220" s="460">
        <f>W3</f>
        <v>43464</v>
      </c>
      <c r="X220" s="460">
        <f>+X131</f>
        <v>43554</v>
      </c>
      <c r="Y220" s="460">
        <f>+Y131</f>
        <v>43646</v>
      </c>
      <c r="Z220" s="460">
        <f>+Z131</f>
        <v>43738</v>
      </c>
      <c r="AA220" s="460">
        <f>AA3</f>
        <v>43829</v>
      </c>
      <c r="AB220" s="460">
        <f>+AB131</f>
        <v>43920</v>
      </c>
      <c r="AC220" s="460">
        <f>+AC131</f>
        <v>44012</v>
      </c>
      <c r="AD220" s="460">
        <f>+AD131</f>
        <v>44104</v>
      </c>
      <c r="AE220" s="564">
        <f>AE3</f>
        <v>44195</v>
      </c>
      <c r="AF220" s="564">
        <f>AF3</f>
        <v>44285</v>
      </c>
      <c r="AG220" s="460">
        <f>+AG131</f>
        <v>44377</v>
      </c>
      <c r="AH220" s="460">
        <f>+AH131</f>
        <v>44469</v>
      </c>
      <c r="AI220" s="564">
        <f>AI3</f>
        <v>44560</v>
      </c>
      <c r="AJ220" s="564">
        <f>AJ3</f>
        <v>44650</v>
      </c>
      <c r="AK220" s="564">
        <f>AK3</f>
        <v>44742</v>
      </c>
      <c r="AL220" s="564">
        <f>+AL131</f>
        <v>44834</v>
      </c>
      <c r="AM220" s="564">
        <f>AM3</f>
        <v>44925</v>
      </c>
      <c r="AN220" s="564">
        <f>AN3</f>
        <v>45015</v>
      </c>
      <c r="AO220" s="564">
        <f>AO3</f>
        <v>45107</v>
      </c>
      <c r="AP220" s="564">
        <f>+AP131</f>
        <v>45199</v>
      </c>
      <c r="AQ220" s="564">
        <f>AQ3</f>
        <v>45290</v>
      </c>
      <c r="AR220" s="564">
        <f>AR3</f>
        <v>45381</v>
      </c>
      <c r="AS220" s="564">
        <f>AS3</f>
        <v>45473</v>
      </c>
      <c r="AT220" s="564">
        <f>+AT131</f>
        <v>45565</v>
      </c>
      <c r="AU220" s="564">
        <f>AU3</f>
        <v>45656</v>
      </c>
      <c r="AV220" s="564">
        <f>AV3</f>
        <v>45746</v>
      </c>
      <c r="AW220" s="564">
        <f>AW3</f>
        <v>45838</v>
      </c>
      <c r="AX220" s="564">
        <f>+AX131</f>
        <v>45930</v>
      </c>
      <c r="AY220" s="564">
        <f>AY3</f>
        <v>46021</v>
      </c>
      <c r="AZ220" s="564">
        <f>AZ3</f>
        <v>46111</v>
      </c>
      <c r="BB220" s="460">
        <f>BB3</f>
        <v>43829</v>
      </c>
    </row>
    <row r="221" spans="1:54" s="424" customFormat="1" ht="12.75">
      <c r="B221" s="459"/>
      <c r="C221" s="458"/>
      <c r="D221" s="458"/>
      <c r="E221" s="458"/>
      <c r="F221" s="458"/>
      <c r="G221" s="458"/>
      <c r="H221" s="458"/>
      <c r="I221" s="458"/>
      <c r="J221" s="458"/>
      <c r="K221" s="458"/>
      <c r="L221" s="458"/>
      <c r="M221" s="458"/>
      <c r="N221" s="458"/>
      <c r="O221" s="740"/>
      <c r="P221" s="458"/>
      <c r="Q221" s="458"/>
      <c r="R221" s="458"/>
      <c r="S221" s="458"/>
      <c r="T221" s="458"/>
      <c r="U221" s="458"/>
      <c r="V221" s="458"/>
      <c r="W221" s="458"/>
      <c r="X221" s="458"/>
      <c r="Y221" s="458"/>
      <c r="Z221" s="458"/>
      <c r="AA221" s="458"/>
      <c r="AB221" s="458"/>
      <c r="AC221" s="458"/>
      <c r="AD221" s="458"/>
      <c r="AE221" s="458"/>
      <c r="AF221" s="458"/>
      <c r="AG221" s="458"/>
      <c r="AH221" s="458"/>
      <c r="AI221" s="458"/>
      <c r="AJ221" s="458"/>
      <c r="AK221" s="458"/>
      <c r="AL221" s="458"/>
      <c r="AM221" s="458"/>
      <c r="AN221" s="458"/>
      <c r="AO221" s="458"/>
      <c r="AP221" s="458"/>
      <c r="AQ221" s="458"/>
      <c r="AR221" s="458"/>
      <c r="AS221" s="458"/>
      <c r="AT221" s="458"/>
      <c r="AU221" s="458"/>
      <c r="AV221" s="458"/>
      <c r="AW221" s="458"/>
      <c r="AX221" s="458"/>
      <c r="AY221" s="458"/>
      <c r="AZ221" s="458"/>
      <c r="BB221" s="458"/>
    </row>
    <row r="222" spans="1:54" s="424" customFormat="1" ht="12.75">
      <c r="A222" s="457"/>
      <c r="B222" s="457"/>
      <c r="C222" s="456"/>
      <c r="D222" s="456"/>
      <c r="E222" s="456"/>
      <c r="F222" s="456"/>
      <c r="G222" s="456"/>
      <c r="H222" s="456"/>
      <c r="I222" s="456"/>
      <c r="J222" s="456"/>
      <c r="K222" s="456"/>
      <c r="L222" s="456"/>
      <c r="M222" s="456"/>
      <c r="N222" s="456"/>
      <c r="O222" s="456"/>
      <c r="P222" s="456"/>
      <c r="Q222" s="456"/>
      <c r="R222" s="456"/>
      <c r="S222" s="456"/>
      <c r="T222" s="456"/>
      <c r="U222" s="456"/>
      <c r="V222" s="456"/>
      <c r="W222" s="456"/>
      <c r="X222" s="456"/>
      <c r="Y222" s="456"/>
      <c r="Z222" s="456"/>
      <c r="AA222" s="456"/>
      <c r="AB222" s="456"/>
      <c r="AC222" s="456"/>
      <c r="AD222" s="456"/>
      <c r="AE222" s="456"/>
      <c r="AF222" s="456"/>
      <c r="AG222" s="456"/>
      <c r="AH222" s="456"/>
      <c r="AI222" s="456"/>
      <c r="AJ222" s="456"/>
      <c r="AK222" s="456"/>
      <c r="AL222" s="456"/>
      <c r="AM222" s="456"/>
      <c r="AN222" s="456"/>
      <c r="AO222" s="456"/>
      <c r="AP222" s="456"/>
      <c r="AQ222" s="456"/>
      <c r="AR222" s="456"/>
      <c r="AS222" s="456"/>
      <c r="AT222" s="456"/>
      <c r="AU222" s="456"/>
      <c r="AV222" s="456"/>
      <c r="AW222" s="456"/>
      <c r="AX222" s="456"/>
      <c r="AY222" s="456"/>
      <c r="AZ222" s="456"/>
      <c r="BB222" s="456"/>
    </row>
    <row r="223" spans="1:54" s="424" customFormat="1" ht="12.75">
      <c r="B223" s="424" t="str">
        <f>+B14</f>
        <v>Total revenues</v>
      </c>
      <c r="C223" s="455">
        <f t="shared" ref="C223:N223" si="707">C14*C$202</f>
        <v>710.61770976000003</v>
      </c>
      <c r="D223" s="455">
        <f t="shared" si="707"/>
        <v>775.65041599999995</v>
      </c>
      <c r="E223" s="455">
        <f t="shared" si="707"/>
        <v>895.69901573999994</v>
      </c>
      <c r="F223" s="455">
        <f t="shared" si="707"/>
        <v>997.25664351</v>
      </c>
      <c r="G223" s="455">
        <f t="shared" si="707"/>
        <v>997.25664351</v>
      </c>
      <c r="H223" s="455">
        <f t="shared" si="707"/>
        <v>910.58124855471169</v>
      </c>
      <c r="I223" s="455">
        <f t="shared" si="707"/>
        <v>1078.7483413327543</v>
      </c>
      <c r="J223" s="455">
        <f t="shared" si="707"/>
        <v>1188.34210792</v>
      </c>
      <c r="K223" s="455">
        <f t="shared" si="707"/>
        <v>1472.2395405</v>
      </c>
      <c r="L223" s="455">
        <f t="shared" si="707"/>
        <v>1546.9670340473408</v>
      </c>
      <c r="M223" s="455">
        <f t="shared" si="707"/>
        <v>1590.7751452422997</v>
      </c>
      <c r="N223" s="455">
        <f t="shared" si="707"/>
        <v>1673.4853966031631</v>
      </c>
      <c r="O223" s="455"/>
      <c r="P223" s="455">
        <f t="shared" ref="P223:AY223" si="708">P14*P$202</f>
        <v>176.02408318000005</v>
      </c>
      <c r="Q223" s="455">
        <f t="shared" si="708"/>
        <v>193.07242008</v>
      </c>
      <c r="R223" s="455">
        <f t="shared" si="708"/>
        <v>200.56624184999998</v>
      </c>
      <c r="S223" s="455">
        <f t="shared" si="708"/>
        <v>205.69422532999999</v>
      </c>
      <c r="T223" s="455">
        <f t="shared" si="708"/>
        <v>220.65553458000002</v>
      </c>
      <c r="U223" s="455">
        <f t="shared" si="708"/>
        <v>217.50318479999996</v>
      </c>
      <c r="V223" s="455">
        <f t="shared" si="708"/>
        <v>229.43432160000003</v>
      </c>
      <c r="W223" s="455">
        <f t="shared" si="708"/>
        <v>227.77155910000005</v>
      </c>
      <c r="X223" s="455">
        <f t="shared" si="708"/>
        <v>239.87228300999996</v>
      </c>
      <c r="Y223" s="455">
        <f t="shared" si="708"/>
        <v>247.93123023999996</v>
      </c>
      <c r="Z223" s="455">
        <f t="shared" si="708"/>
        <v>244.73629830000002</v>
      </c>
      <c r="AA223" s="455">
        <f t="shared" si="708"/>
        <v>264.68845896999983</v>
      </c>
      <c r="AB223" s="455">
        <f t="shared" si="708"/>
        <v>243.37740159632773</v>
      </c>
      <c r="AC223" s="455">
        <f t="shared" si="708"/>
        <v>181.40078202140134</v>
      </c>
      <c r="AD223" s="455">
        <f t="shared" si="708"/>
        <v>199.4011524462922</v>
      </c>
      <c r="AE223" s="455">
        <f t="shared" si="708"/>
        <v>246.295951643412</v>
      </c>
      <c r="AF223" s="455">
        <f t="shared" si="708"/>
        <v>264.98525445803222</v>
      </c>
      <c r="AG223" s="455">
        <f t="shared" si="708"/>
        <v>261.64201691233666</v>
      </c>
      <c r="AH223" s="455">
        <f t="shared" si="708"/>
        <v>267.75864401093372</v>
      </c>
      <c r="AI223" s="455">
        <f t="shared" si="708"/>
        <v>283.24938798099168</v>
      </c>
      <c r="AJ223" s="455">
        <f t="shared" si="708"/>
        <v>285.03999501999999</v>
      </c>
      <c r="AK223" s="455">
        <f t="shared" si="708"/>
        <v>289.48606760000001</v>
      </c>
      <c r="AL223" s="455">
        <f t="shared" si="708"/>
        <v>298.77064239891928</v>
      </c>
      <c r="AM223" s="455">
        <f t="shared" si="708"/>
        <v>313.931827030872</v>
      </c>
      <c r="AN223" s="455">
        <f t="shared" si="708"/>
        <v>341.71132578000004</v>
      </c>
      <c r="AO223" s="455">
        <f t="shared" si="708"/>
        <v>364.60565328000001</v>
      </c>
      <c r="AP223" s="455">
        <f t="shared" si="708"/>
        <v>377.53695760000005</v>
      </c>
      <c r="AQ223" s="455">
        <f t="shared" si="708"/>
        <v>387.0833141333332</v>
      </c>
      <c r="AR223" s="455">
        <f t="shared" si="708"/>
        <v>401.71504554999996</v>
      </c>
      <c r="AS223" s="455">
        <f t="shared" si="708"/>
        <v>395.29867712999999</v>
      </c>
      <c r="AT223" s="455">
        <f t="shared" si="708"/>
        <v>378.14241391999997</v>
      </c>
      <c r="AU223" s="455">
        <f t="shared" si="708"/>
        <v>374.61761264</v>
      </c>
      <c r="AV223" s="455">
        <f t="shared" si="708"/>
        <v>372.17788425999998</v>
      </c>
      <c r="AW223" s="455">
        <f t="shared" si="708"/>
        <v>385.09519846000006</v>
      </c>
      <c r="AX223" s="455">
        <f t="shared" si="708"/>
        <v>403.94621433747545</v>
      </c>
      <c r="AY223" s="455">
        <f t="shared" si="708"/>
        <v>430.18713392779102</v>
      </c>
      <c r="AZ223" s="455">
        <f t="shared" ref="AZ223" si="709">AZ14*AZ$202</f>
        <v>455.83145945884405</v>
      </c>
      <c r="BB223" s="455">
        <f>BB14*BB$202</f>
        <v>264.68845896999983</v>
      </c>
    </row>
    <row r="224" spans="1:54" s="449" customFormat="1" ht="12.75">
      <c r="B224" s="451" t="str">
        <f>+B15</f>
        <v xml:space="preserve">% y-o-y growth </v>
      </c>
      <c r="C224" s="450"/>
      <c r="D224" s="450">
        <f>+D223/C223-1</f>
        <v>9.1515740948763691E-2</v>
      </c>
      <c r="E224" s="450">
        <f>+E223/D223-1</f>
        <v>0.154771527564036</v>
      </c>
      <c r="F224" s="450">
        <f>+F223/E223-1</f>
        <v>0.11338365453722887</v>
      </c>
      <c r="G224" s="450">
        <f>+G223/E223-1</f>
        <v>0.11338365453722887</v>
      </c>
      <c r="H224" s="450">
        <f t="shared" ref="H224:M224" si="710">+H223/G223-1</f>
        <v>-8.6913830576471063E-2</v>
      </c>
      <c r="I224" s="450">
        <f t="shared" si="710"/>
        <v>0.18468104086808279</v>
      </c>
      <c r="J224" s="450">
        <f t="shared" si="710"/>
        <v>0.10159345084308224</v>
      </c>
      <c r="K224" s="450">
        <f t="shared" si="710"/>
        <v>0.23890210629405062</v>
      </c>
      <c r="L224" s="450">
        <f t="shared" si="710"/>
        <v>5.0757700422827901E-2</v>
      </c>
      <c r="M224" s="450">
        <f t="shared" si="710"/>
        <v>2.8318710244486178E-2</v>
      </c>
      <c r="N224" s="450"/>
      <c r="O224" s="736"/>
      <c r="P224" s="452"/>
      <c r="Q224" s="452"/>
      <c r="R224" s="452"/>
      <c r="S224" s="452"/>
      <c r="T224" s="450">
        <f t="shared" ref="T224:AZ224" si="711">T223/P223-1</f>
        <v>0.25355309679051352</v>
      </c>
      <c r="U224" s="450">
        <f t="shared" si="711"/>
        <v>0.12653679230765857</v>
      </c>
      <c r="V224" s="450">
        <f t="shared" si="711"/>
        <v>0.14393289460740855</v>
      </c>
      <c r="W224" s="450">
        <f t="shared" si="711"/>
        <v>0.10733083894105855</v>
      </c>
      <c r="X224" s="450">
        <f t="shared" si="711"/>
        <v>8.7089356115981786E-2</v>
      </c>
      <c r="Y224" s="450">
        <f t="shared" si="711"/>
        <v>0.13989701101608887</v>
      </c>
      <c r="Z224" s="450">
        <f t="shared" si="711"/>
        <v>6.6694366358481139E-2</v>
      </c>
      <c r="AA224" s="450">
        <f t="shared" si="711"/>
        <v>0.16207861954262648</v>
      </c>
      <c r="AB224" s="450">
        <f t="shared" si="711"/>
        <v>1.4612436844908983E-2</v>
      </c>
      <c r="AC224" s="450">
        <f t="shared" si="711"/>
        <v>-0.2683423470056453</v>
      </c>
      <c r="AD224" s="450">
        <f t="shared" si="711"/>
        <v>-0.18524079251266423</v>
      </c>
      <c r="AE224" s="450">
        <f>AE223/BB223-1</f>
        <v>-6.9487379231266244E-2</v>
      </c>
      <c r="AF224" s="450">
        <f t="shared" si="711"/>
        <v>8.8783316445886884E-2</v>
      </c>
      <c r="AG224" s="450">
        <f t="shared" si="711"/>
        <v>0.44234227657005687</v>
      </c>
      <c r="AH224" s="450">
        <f t="shared" si="711"/>
        <v>0.34281392422269619</v>
      </c>
      <c r="AI224" s="450">
        <f t="shared" si="711"/>
        <v>0.15003671839105581</v>
      </c>
      <c r="AJ224" s="450">
        <f t="shared" si="711"/>
        <v>7.5682477513645985E-2</v>
      </c>
      <c r="AK224" s="450">
        <f t="shared" si="711"/>
        <v>0.10642040990301838</v>
      </c>
      <c r="AL224" s="450">
        <f t="shared" si="711"/>
        <v>0.11582071795493265</v>
      </c>
      <c r="AM224" s="450">
        <f t="shared" si="711"/>
        <v>0.10832305505966122</v>
      </c>
      <c r="AN224" s="450">
        <f t="shared" si="711"/>
        <v>0.1988188736672678</v>
      </c>
      <c r="AO224" s="450">
        <f t="shared" si="711"/>
        <v>0.25949292241517186</v>
      </c>
      <c r="AP224" s="450">
        <f t="shared" si="711"/>
        <v>0.26363472183425496</v>
      </c>
      <c r="AQ224" s="450">
        <f t="shared" si="711"/>
        <v>0.233017110097816</v>
      </c>
      <c r="AR224" s="450">
        <f t="shared" si="711"/>
        <v>0.17559769092532629</v>
      </c>
      <c r="AS224" s="450">
        <f t="shared" si="711"/>
        <v>8.4181426080163213E-2</v>
      </c>
      <c r="AT224" s="450">
        <f t="shared" si="711"/>
        <v>1.6037007975293616E-3</v>
      </c>
      <c r="AU224" s="450">
        <f t="shared" si="711"/>
        <v>-3.2204181989201719E-2</v>
      </c>
      <c r="AV224" s="450">
        <f t="shared" si="711"/>
        <v>-7.3527645073785508E-2</v>
      </c>
      <c r="AW224" s="450">
        <f t="shared" si="711"/>
        <v>-2.5812073908469846E-2</v>
      </c>
      <c r="AX224" s="450">
        <f t="shared" si="711"/>
        <v>6.8238313047143562E-2</v>
      </c>
      <c r="AY224" s="450">
        <f t="shared" si="711"/>
        <v>0.14833664892630716</v>
      </c>
      <c r="AZ224" s="450">
        <f t="shared" si="711"/>
        <v>0.22476772193267802</v>
      </c>
      <c r="BB224" s="450">
        <f>BB223/W223-1</f>
        <v>0.16207861954262648</v>
      </c>
    </row>
    <row r="225" spans="2:54" s="424" customFormat="1" outlineLevel="1" thickBot="1">
      <c r="B225" s="445"/>
      <c r="C225" s="454"/>
      <c r="D225" s="454"/>
      <c r="E225" s="454"/>
      <c r="F225" s="454"/>
      <c r="G225" s="454"/>
      <c r="H225" s="454"/>
      <c r="I225" s="454"/>
      <c r="J225" s="454"/>
      <c r="K225" s="454"/>
      <c r="L225" s="454"/>
      <c r="M225" s="454"/>
      <c r="N225" s="454"/>
      <c r="O225" s="479"/>
      <c r="P225" s="454"/>
      <c r="Q225" s="454"/>
      <c r="R225" s="454"/>
      <c r="S225" s="454"/>
      <c r="T225" s="454"/>
      <c r="U225" s="454"/>
      <c r="V225" s="454"/>
      <c r="W225" s="454"/>
      <c r="X225" s="454"/>
      <c r="Y225" s="454"/>
      <c r="Z225" s="454"/>
      <c r="AA225" s="454"/>
      <c r="AB225" s="454"/>
      <c r="AC225" s="454"/>
      <c r="AD225" s="454"/>
      <c r="AE225" s="454"/>
      <c r="AF225" s="454"/>
      <c r="AG225" s="454"/>
      <c r="AH225" s="454"/>
      <c r="AI225" s="454"/>
      <c r="AJ225" s="454"/>
      <c r="AK225" s="454"/>
      <c r="AL225" s="454"/>
      <c r="AM225" s="454"/>
      <c r="AN225" s="454"/>
      <c r="AO225" s="454"/>
      <c r="AP225" s="454"/>
      <c r="AQ225" s="454"/>
      <c r="AR225" s="454"/>
      <c r="AS225" s="454"/>
      <c r="AT225" s="454"/>
      <c r="AU225" s="454"/>
      <c r="AV225" s="454"/>
      <c r="AW225" s="454"/>
      <c r="AX225" s="454"/>
      <c r="AY225" s="454"/>
      <c r="AZ225" s="454"/>
      <c r="BB225" s="454"/>
    </row>
    <row r="226" spans="2:54" s="449" customFormat="1" outlineLevel="1" thickTop="1">
      <c r="B226" s="451"/>
      <c r="C226" s="452"/>
      <c r="D226" s="452"/>
      <c r="E226" s="452"/>
      <c r="F226" s="452"/>
      <c r="G226" s="452"/>
      <c r="H226" s="452"/>
      <c r="I226" s="452"/>
      <c r="J226" s="452"/>
      <c r="K226" s="452"/>
      <c r="L226" s="452"/>
      <c r="M226" s="452"/>
      <c r="N226" s="452"/>
      <c r="O226" s="739"/>
      <c r="P226" s="452"/>
      <c r="Q226" s="452"/>
      <c r="R226" s="452"/>
      <c r="S226" s="452"/>
      <c r="T226" s="452"/>
      <c r="U226" s="452"/>
      <c r="V226" s="452"/>
      <c r="W226" s="452"/>
      <c r="X226" s="452"/>
      <c r="Y226" s="452"/>
      <c r="Z226" s="452"/>
      <c r="AA226" s="452"/>
      <c r="AB226" s="452"/>
      <c r="AC226" s="452"/>
      <c r="AD226" s="452"/>
      <c r="AE226" s="452"/>
      <c r="AF226" s="452"/>
      <c r="AG226" s="452"/>
      <c r="AH226" s="452"/>
      <c r="AI226" s="452"/>
      <c r="AJ226" s="452"/>
      <c r="AK226" s="452"/>
      <c r="AL226" s="452"/>
      <c r="AM226" s="452"/>
      <c r="AN226" s="452"/>
      <c r="AO226" s="452"/>
      <c r="AP226" s="452"/>
      <c r="AQ226" s="452"/>
      <c r="AR226" s="452"/>
      <c r="AS226" s="452"/>
      <c r="AT226" s="452"/>
      <c r="AU226" s="452"/>
      <c r="AV226" s="452"/>
      <c r="AW226" s="452"/>
      <c r="AX226" s="452"/>
      <c r="AY226" s="452"/>
      <c r="AZ226" s="452"/>
      <c r="BB226" s="452"/>
    </row>
    <row r="227" spans="2:54" s="449" customFormat="1" ht="12.75" outlineLevel="1">
      <c r="B227" s="451"/>
      <c r="C227" s="452"/>
      <c r="D227" s="452"/>
      <c r="E227" s="452"/>
      <c r="F227" s="452"/>
      <c r="G227" s="452"/>
      <c r="H227" s="452"/>
      <c r="I227" s="452"/>
      <c r="J227" s="452"/>
      <c r="K227" s="452"/>
      <c r="L227" s="452"/>
      <c r="M227" s="452"/>
      <c r="N227" s="452"/>
      <c r="O227" s="739"/>
      <c r="P227" s="452"/>
      <c r="Q227" s="452"/>
      <c r="R227" s="452"/>
      <c r="S227" s="452"/>
      <c r="T227" s="452"/>
      <c r="U227" s="452"/>
      <c r="V227" s="452"/>
      <c r="W227" s="452"/>
      <c r="X227" s="452"/>
      <c r="Y227" s="452"/>
      <c r="Z227" s="452"/>
      <c r="AA227" s="452"/>
      <c r="AB227" s="452"/>
      <c r="AC227" s="452"/>
      <c r="AD227" s="452"/>
      <c r="AE227" s="452"/>
      <c r="AF227" s="452"/>
      <c r="AG227" s="452"/>
      <c r="AH227" s="452"/>
      <c r="AI227" s="452"/>
      <c r="AJ227" s="452"/>
      <c r="AK227" s="452"/>
      <c r="AL227" s="452"/>
      <c r="AM227" s="452"/>
      <c r="AN227" s="452"/>
      <c r="AO227" s="452"/>
      <c r="AP227" s="452"/>
      <c r="AQ227" s="452"/>
      <c r="AR227" s="452"/>
      <c r="AS227" s="452"/>
      <c r="AT227" s="452"/>
      <c r="AU227" s="452"/>
      <c r="AV227" s="452"/>
      <c r="AW227" s="452"/>
      <c r="AX227" s="452"/>
      <c r="AY227" s="452"/>
      <c r="AZ227" s="452"/>
      <c r="BB227" s="452"/>
    </row>
    <row r="228" spans="2:54" ht="12.75">
      <c r="R228" s="448"/>
      <c r="S228" s="448"/>
      <c r="W228" s="448"/>
      <c r="AA228" s="448"/>
      <c r="AE228" s="448"/>
      <c r="AI228" s="448"/>
      <c r="AM228" s="448"/>
      <c r="AQ228" s="448"/>
      <c r="AU228" s="448"/>
      <c r="AY228" s="448"/>
      <c r="BB228" s="448"/>
    </row>
    <row r="229" spans="2:54" s="424" customFormat="1" ht="13.5" customHeight="1" thickBot="1">
      <c r="B229" s="445" t="str">
        <f>B69</f>
        <v xml:space="preserve">Adj. EBITDA </v>
      </c>
      <c r="C229" s="454">
        <f t="shared" ref="C229:N229" si="712">C69*C$202</f>
        <v>535.57967022000003</v>
      </c>
      <c r="D229" s="454">
        <f t="shared" si="712"/>
        <v>582.90401014999998</v>
      </c>
      <c r="E229" s="454">
        <f t="shared" si="712"/>
        <v>666.88568463999991</v>
      </c>
      <c r="F229" s="454">
        <f t="shared" si="712"/>
        <v>743.95559108999987</v>
      </c>
      <c r="G229" s="454">
        <f t="shared" si="712"/>
        <v>744.26741108999988</v>
      </c>
      <c r="H229" s="454">
        <f t="shared" si="712"/>
        <v>667.29027786954919</v>
      </c>
      <c r="I229" s="454">
        <f t="shared" si="712"/>
        <v>815.87012820449559</v>
      </c>
      <c r="J229" s="454">
        <f t="shared" si="712"/>
        <v>889.96671984</v>
      </c>
      <c r="K229" s="454">
        <f t="shared" si="712"/>
        <v>1082.046642</v>
      </c>
      <c r="L229" s="454">
        <f t="shared" si="712"/>
        <v>1109.4324897049669</v>
      </c>
      <c r="M229" s="454">
        <f t="shared" si="712"/>
        <v>1138.4155197721582</v>
      </c>
      <c r="N229" s="454">
        <f t="shared" si="712"/>
        <v>1210.2315437751731</v>
      </c>
      <c r="O229" s="479"/>
      <c r="P229" s="453">
        <f t="shared" ref="P229:AY229" si="713">P69*P$202</f>
        <v>133.27772964000005</v>
      </c>
      <c r="Q229" s="453">
        <f t="shared" si="713"/>
        <v>145.25430698</v>
      </c>
      <c r="R229" s="453">
        <f t="shared" si="713"/>
        <v>150.6938949</v>
      </c>
      <c r="S229" s="453">
        <f t="shared" si="713"/>
        <v>153.39276139</v>
      </c>
      <c r="T229" s="453">
        <f t="shared" si="713"/>
        <v>164.46459276000002</v>
      </c>
      <c r="U229" s="453">
        <f t="shared" si="713"/>
        <v>162.14995559999994</v>
      </c>
      <c r="V229" s="453">
        <f t="shared" si="713"/>
        <v>170.39658240000003</v>
      </c>
      <c r="W229" s="453">
        <f t="shared" si="713"/>
        <v>169.62112335000006</v>
      </c>
      <c r="X229" s="453">
        <f t="shared" si="713"/>
        <v>179.50498451999997</v>
      </c>
      <c r="Y229" s="453">
        <f t="shared" si="713"/>
        <v>184.60768123999998</v>
      </c>
      <c r="Z229" s="453">
        <f t="shared" si="713"/>
        <v>182.40676272000002</v>
      </c>
      <c r="AA229" s="453">
        <f t="shared" si="713"/>
        <v>197.41568458999981</v>
      </c>
      <c r="AB229" s="453">
        <f t="shared" si="713"/>
        <v>185.76123214248059</v>
      </c>
      <c r="AC229" s="453">
        <f t="shared" si="713"/>
        <v>128.95769549530749</v>
      </c>
      <c r="AD229" s="453">
        <f t="shared" si="713"/>
        <v>140.75804881173349</v>
      </c>
      <c r="AE229" s="453">
        <f t="shared" si="713"/>
        <v>183.28282128268171</v>
      </c>
      <c r="AF229" s="453">
        <f t="shared" si="713"/>
        <v>197.36664853182677</v>
      </c>
      <c r="AG229" s="453">
        <f t="shared" si="713"/>
        <v>198.78536504227432</v>
      </c>
      <c r="AH229" s="453">
        <f t="shared" si="713"/>
        <v>205.13389527489917</v>
      </c>
      <c r="AI229" s="453">
        <f t="shared" si="713"/>
        <v>213.76601234364162</v>
      </c>
      <c r="AJ229" s="453">
        <f t="shared" si="713"/>
        <v>214.12132554999999</v>
      </c>
      <c r="AK229" s="453">
        <f t="shared" si="713"/>
        <v>215.65178209999999</v>
      </c>
      <c r="AL229" s="453">
        <f t="shared" si="713"/>
        <v>226.57876733481655</v>
      </c>
      <c r="AM229" s="453">
        <f t="shared" si="713"/>
        <v>232.72803265908689</v>
      </c>
      <c r="AN229" s="453">
        <f t="shared" si="713"/>
        <v>254.95432188000004</v>
      </c>
      <c r="AO229" s="453">
        <f t="shared" si="713"/>
        <v>269.12418060000005</v>
      </c>
      <c r="AP229" s="453">
        <f t="shared" si="713"/>
        <v>279.28268030000004</v>
      </c>
      <c r="AQ229" s="453">
        <f t="shared" si="713"/>
        <v>277.5155423999999</v>
      </c>
      <c r="AR229" s="453">
        <f t="shared" si="713"/>
        <v>290.37439115999996</v>
      </c>
      <c r="AS229" s="453">
        <f t="shared" si="713"/>
        <v>282.25797802999995</v>
      </c>
      <c r="AT229" s="453">
        <f t="shared" si="713"/>
        <v>273.04111373999996</v>
      </c>
      <c r="AU229" s="453">
        <f t="shared" si="713"/>
        <v>266.05497663999995</v>
      </c>
      <c r="AV229" s="453">
        <f t="shared" si="713"/>
        <v>264.50210279999993</v>
      </c>
      <c r="AW229" s="453">
        <f t="shared" si="713"/>
        <v>273.32447044000003</v>
      </c>
      <c r="AX229" s="453">
        <f t="shared" si="713"/>
        <v>285.72318097640834</v>
      </c>
      <c r="AY229" s="453">
        <f t="shared" si="713"/>
        <v>315.73870093539659</v>
      </c>
      <c r="AZ229" s="453">
        <f t="shared" ref="AZ229" si="714">AZ69*AZ$202</f>
        <v>337.34312112534946</v>
      </c>
      <c r="BB229" s="453">
        <f>BB69*BB$202</f>
        <v>197.72750458999982</v>
      </c>
    </row>
    <row r="230" spans="2:54" s="449" customFormat="1" ht="13.5" customHeight="1" thickTop="1">
      <c r="B230" s="451" t="str">
        <f>B70</f>
        <v xml:space="preserve">% growth </v>
      </c>
      <c r="C230" s="450"/>
      <c r="D230" s="450">
        <f>+D229/C229-1</f>
        <v>8.8360971413572464E-2</v>
      </c>
      <c r="E230" s="450">
        <f>+E229/D229-1</f>
        <v>0.14407462125434467</v>
      </c>
      <c r="F230" s="450">
        <f>+F229/E229-1</f>
        <v>0.1155668928350202</v>
      </c>
      <c r="G230" s="450">
        <f>+G229/E229-1</f>
        <v>0.11603446922357064</v>
      </c>
      <c r="H230" s="450">
        <f t="shared" ref="H230:M230" si="715">+H229/G229-1</f>
        <v>-0.10342671474452392</v>
      </c>
      <c r="I230" s="450">
        <f t="shared" si="715"/>
        <v>0.22266149419906989</v>
      </c>
      <c r="J230" s="450">
        <f t="shared" si="715"/>
        <v>9.0819101072581843E-2</v>
      </c>
      <c r="K230" s="450">
        <f t="shared" si="715"/>
        <v>0.21582820781717826</v>
      </c>
      <c r="L230" s="450">
        <f t="shared" si="715"/>
        <v>2.5309304277630895E-2</v>
      </c>
      <c r="M230" s="450">
        <f t="shared" si="715"/>
        <v>2.6124194429260728E-2</v>
      </c>
      <c r="N230" s="450"/>
      <c r="O230" s="736"/>
      <c r="P230" s="452"/>
      <c r="Q230" s="452"/>
      <c r="R230" s="452"/>
      <c r="S230" s="452"/>
      <c r="T230" s="450">
        <f t="shared" ref="T230:AZ230" si="716">T229/P229-1</f>
        <v>0.2339990574887465</v>
      </c>
      <c r="U230" s="450">
        <f t="shared" si="716"/>
        <v>0.11631771182059536</v>
      </c>
      <c r="V230" s="450">
        <f t="shared" si="716"/>
        <v>0.13074642149952176</v>
      </c>
      <c r="W230" s="450">
        <f t="shared" si="716"/>
        <v>0.10579613935457854</v>
      </c>
      <c r="X230" s="450">
        <f t="shared" si="716"/>
        <v>9.1450636927962403E-2</v>
      </c>
      <c r="Y230" s="450">
        <f t="shared" si="716"/>
        <v>0.13849973351457412</v>
      </c>
      <c r="Z230" s="450">
        <f t="shared" si="716"/>
        <v>7.0483692518001906E-2</v>
      </c>
      <c r="AA230" s="450">
        <f t="shared" si="716"/>
        <v>0.16386261740908181</v>
      </c>
      <c r="AB230" s="450">
        <f t="shared" si="716"/>
        <v>3.4852779376628229E-2</v>
      </c>
      <c r="AC230" s="450">
        <f t="shared" si="716"/>
        <v>-0.30145000127239829</v>
      </c>
      <c r="AD230" s="450">
        <f t="shared" si="716"/>
        <v>-0.22832878171407811</v>
      </c>
      <c r="AE230" s="450">
        <f>AE229/BB229-1</f>
        <v>-7.3053485084283332E-2</v>
      </c>
      <c r="AF230" s="450">
        <f t="shared" si="716"/>
        <v>6.2474910698507413E-2</v>
      </c>
      <c r="AG230" s="450">
        <f t="shared" si="716"/>
        <v>0.54147733703497924</v>
      </c>
      <c r="AH230" s="450">
        <f t="shared" si="716"/>
        <v>0.45735108582863049</v>
      </c>
      <c r="AI230" s="450">
        <f t="shared" si="716"/>
        <v>0.16631777516096236</v>
      </c>
      <c r="AJ230" s="450">
        <f t="shared" si="716"/>
        <v>8.4891125946597867E-2</v>
      </c>
      <c r="AK230" s="450">
        <f t="shared" si="716"/>
        <v>8.4847378247079774E-2</v>
      </c>
      <c r="AL230" s="450">
        <f t="shared" si="716"/>
        <v>0.10454085138479519</v>
      </c>
      <c r="AM230" s="450">
        <f t="shared" si="716"/>
        <v>8.870456115803238E-2</v>
      </c>
      <c r="AN230" s="450">
        <f t="shared" si="716"/>
        <v>0.19070027810221557</v>
      </c>
      <c r="AO230" s="450">
        <f t="shared" si="716"/>
        <v>0.24795713709986567</v>
      </c>
      <c r="AP230" s="450">
        <f t="shared" si="716"/>
        <v>0.23260746620314454</v>
      </c>
      <c r="AQ230" s="450">
        <f t="shared" si="716"/>
        <v>0.19244570251887216</v>
      </c>
      <c r="AR230" s="450">
        <f t="shared" si="716"/>
        <v>0.13892711846897488</v>
      </c>
      <c r="AS230" s="450">
        <f t="shared" si="716"/>
        <v>4.8801996909823231E-2</v>
      </c>
      <c r="AT230" s="450">
        <f t="shared" si="716"/>
        <v>-2.2348562944524586E-2</v>
      </c>
      <c r="AU230" s="450">
        <f t="shared" si="716"/>
        <v>-4.1297023081615869E-2</v>
      </c>
      <c r="AV230" s="450">
        <f t="shared" si="716"/>
        <v>-8.9099759302617265E-2</v>
      </c>
      <c r="AW230" s="450">
        <f t="shared" si="716"/>
        <v>-3.165015087385914E-2</v>
      </c>
      <c r="AX230" s="450">
        <f t="shared" si="716"/>
        <v>4.6447463763588104E-2</v>
      </c>
      <c r="AY230" s="450">
        <f t="shared" si="716"/>
        <v>0.18674232266898683</v>
      </c>
      <c r="AZ230" s="450">
        <f t="shared" si="716"/>
        <v>0.27538918426076697</v>
      </c>
      <c r="BB230" s="450">
        <f>BB229/W229-1</f>
        <v>0.1657009497691182</v>
      </c>
    </row>
    <row r="231" spans="2:54" s="449" customFormat="1" ht="12.75">
      <c r="B231" s="451" t="str">
        <f>B71</f>
        <v>% margin</v>
      </c>
      <c r="C231" s="450">
        <f t="shared" ref="C231:X231" si="717">C229/C223</f>
        <v>0.75368185012006472</v>
      </c>
      <c r="D231" s="450">
        <f t="shared" si="717"/>
        <v>0.75150350999102666</v>
      </c>
      <c r="E231" s="450">
        <f t="shared" si="717"/>
        <v>0.74454216530431128</v>
      </c>
      <c r="F231" s="450">
        <f t="shared" ref="F231:I231" si="718">F229/F223</f>
        <v>0.74600214090480499</v>
      </c>
      <c r="G231" s="450">
        <f t="shared" si="718"/>
        <v>0.74631481869144023</v>
      </c>
      <c r="H231" s="450">
        <f t="shared" si="718"/>
        <v>0.73281794340558015</v>
      </c>
      <c r="I231" s="450">
        <f t="shared" si="718"/>
        <v>0.75631182634915362</v>
      </c>
      <c r="J231" s="450">
        <f t="shared" ref="J231:K231" si="719">J229/J223</f>
        <v>0.74891457090394808</v>
      </c>
      <c r="K231" s="450">
        <f t="shared" si="719"/>
        <v>0.73496643191128863</v>
      </c>
      <c r="L231" s="450">
        <f t="shared" ref="L231:M231" si="720">L229/L223</f>
        <v>0.71716621316897156</v>
      </c>
      <c r="M231" s="450">
        <f t="shared" si="720"/>
        <v>0.71563572210499926</v>
      </c>
      <c r="N231" s="450">
        <f t="shared" ref="N231" si="721">N229/N223</f>
        <v>0.7231802238798728</v>
      </c>
      <c r="O231" s="736"/>
      <c r="P231" s="450">
        <f t="shared" si="717"/>
        <v>0.75715622108204306</v>
      </c>
      <c r="Q231" s="450">
        <f t="shared" si="717"/>
        <v>0.75233068979926565</v>
      </c>
      <c r="R231" s="450">
        <f t="shared" si="717"/>
        <v>0.75134226732283971</v>
      </c>
      <c r="S231" s="450">
        <f t="shared" si="717"/>
        <v>0.74573197737519592</v>
      </c>
      <c r="T231" s="450">
        <f t="shared" si="717"/>
        <v>0.74534542300534212</v>
      </c>
      <c r="U231" s="450">
        <f t="shared" si="717"/>
        <v>0.74550612097519953</v>
      </c>
      <c r="V231" s="450">
        <f t="shared" si="717"/>
        <v>0.74268130945583866</v>
      </c>
      <c r="W231" s="450">
        <f t="shared" si="717"/>
        <v>0.74469843390557022</v>
      </c>
      <c r="X231" s="450">
        <f t="shared" si="717"/>
        <v>0.7483356654112332</v>
      </c>
      <c r="Y231" s="450">
        <f t="shared" ref="Y231:AD231" si="722">Y229/Y223</f>
        <v>0.74459228497070684</v>
      </c>
      <c r="Z231" s="450">
        <f t="shared" si="722"/>
        <v>0.74531961130017632</v>
      </c>
      <c r="AA231" s="450">
        <f t="shared" si="722"/>
        <v>0.74584167877291241</v>
      </c>
      <c r="AB231" s="450">
        <f t="shared" si="722"/>
        <v>0.76326409487512381</v>
      </c>
      <c r="AC231" s="450">
        <f t="shared" si="722"/>
        <v>0.71089933603535016</v>
      </c>
      <c r="AD231" s="450">
        <f t="shared" si="722"/>
        <v>0.70590388814149929</v>
      </c>
      <c r="AE231" s="450">
        <f t="shared" ref="AE231:AJ231" si="723">AE229/AE223</f>
        <v>0.74415685706454127</v>
      </c>
      <c r="AF231" s="450">
        <f t="shared" si="723"/>
        <v>0.74482125028238233</v>
      </c>
      <c r="AG231" s="450">
        <f t="shared" si="723"/>
        <v>0.75976086481888538</v>
      </c>
      <c r="AH231" s="450">
        <f t="shared" si="723"/>
        <v>0.76611493172382028</v>
      </c>
      <c r="AI231" s="450">
        <f t="shared" si="723"/>
        <v>0.75469187724418685</v>
      </c>
      <c r="AJ231" s="450">
        <f t="shared" si="723"/>
        <v>0.75119747856779207</v>
      </c>
      <c r="AK231" s="450">
        <f t="shared" ref="AK231:AN231" si="724">AK229/AK223</f>
        <v>0.7449470155433483</v>
      </c>
      <c r="AL231" s="450">
        <f t="shared" si="724"/>
        <v>0.75837025189472274</v>
      </c>
      <c r="AM231" s="450">
        <f t="shared" si="724"/>
        <v>0.74133303035948772</v>
      </c>
      <c r="AN231" s="450">
        <f t="shared" si="724"/>
        <v>0.74611024758407996</v>
      </c>
      <c r="AO231" s="450">
        <f t="shared" ref="AO231:AR231" si="725">AO229/AO223</f>
        <v>0.73812399280963781</v>
      </c>
      <c r="AP231" s="450">
        <f t="shared" si="725"/>
        <v>0.73974924753168059</v>
      </c>
      <c r="AQ231" s="450">
        <f t="shared" si="725"/>
        <v>0.7169400805130236</v>
      </c>
      <c r="AR231" s="450">
        <f t="shared" si="725"/>
        <v>0.72283673309382723</v>
      </c>
      <c r="AS231" s="450">
        <f t="shared" ref="AS231:AV231" si="726">AS229/AS223</f>
        <v>0.71403724413976499</v>
      </c>
      <c r="AT231" s="450">
        <f t="shared" si="726"/>
        <v>0.72205894839864404</v>
      </c>
      <c r="AU231" s="450">
        <f t="shared" si="726"/>
        <v>0.71020413259553128</v>
      </c>
      <c r="AV231" s="450">
        <f t="shared" si="726"/>
        <v>0.71068731911867511</v>
      </c>
      <c r="AW231" s="450">
        <f t="shared" ref="AW231:AZ231" si="727">AW229/AW223</f>
        <v>0.70975818845061578</v>
      </c>
      <c r="AX231" s="450">
        <f t="shared" si="727"/>
        <v>0.70732976528826164</v>
      </c>
      <c r="AY231" s="450">
        <f t="shared" si="727"/>
        <v>0.73395663429672642</v>
      </c>
      <c r="AZ231" s="450">
        <f t="shared" si="727"/>
        <v>0.74006107767515195</v>
      </c>
      <c r="BB231" s="450">
        <f>BB229/BB223</f>
        <v>0.74701974298173135</v>
      </c>
    </row>
    <row r="232" spans="2:54" ht="12.75">
      <c r="R232" s="448"/>
      <c r="S232" s="448"/>
      <c r="W232" s="448"/>
      <c r="AA232" s="448"/>
      <c r="AE232" s="448"/>
      <c r="AI232" s="448"/>
      <c r="AM232" s="448"/>
      <c r="AQ232" s="448"/>
      <c r="AU232" s="448"/>
      <c r="AY232" s="448"/>
      <c r="BB232" s="448"/>
    </row>
    <row r="233" spans="2:54" s="424" customFormat="1" ht="12.75">
      <c r="B233" s="424" t="str">
        <f t="shared" ref="B233:B252" si="728">B74</f>
        <v xml:space="preserve">Adjusted EBITDA </v>
      </c>
      <c r="C233" s="447">
        <f t="shared" ref="C233:N233" si="729">C74*C$202</f>
        <v>535.57967022000003</v>
      </c>
      <c r="D233" s="447">
        <f t="shared" si="729"/>
        <v>582.90401014999998</v>
      </c>
      <c r="E233" s="447">
        <f t="shared" si="729"/>
        <v>666.88568463999991</v>
      </c>
      <c r="F233" s="447">
        <f t="shared" si="729"/>
        <v>743.95559108999987</v>
      </c>
      <c r="G233" s="447">
        <f t="shared" si="729"/>
        <v>744.26741108999988</v>
      </c>
      <c r="H233" s="447">
        <f t="shared" si="729"/>
        <v>667.29027786954919</v>
      </c>
      <c r="I233" s="447">
        <f t="shared" si="729"/>
        <v>815.87012820449559</v>
      </c>
      <c r="J233" s="447">
        <f t="shared" si="729"/>
        <v>889.96671984</v>
      </c>
      <c r="K233" s="447">
        <f t="shared" si="729"/>
        <v>1082.046642</v>
      </c>
      <c r="L233" s="447">
        <f t="shared" si="729"/>
        <v>1109.4324897049669</v>
      </c>
      <c r="M233" s="447">
        <f t="shared" si="729"/>
        <v>1138.4155197721582</v>
      </c>
      <c r="N233" s="447">
        <f t="shared" si="729"/>
        <v>1210.2315437751731</v>
      </c>
      <c r="O233" s="477"/>
      <c r="P233" s="447">
        <f t="shared" ref="P233:AY233" si="730">P74*P$202</f>
        <v>133.27772964000005</v>
      </c>
      <c r="Q233" s="447">
        <f t="shared" si="730"/>
        <v>145.25430698</v>
      </c>
      <c r="R233" s="447">
        <f t="shared" si="730"/>
        <v>150.6938949</v>
      </c>
      <c r="S233" s="447">
        <f t="shared" si="730"/>
        <v>153.39276139</v>
      </c>
      <c r="T233" s="447">
        <f t="shared" si="730"/>
        <v>164.46459276000002</v>
      </c>
      <c r="U233" s="447">
        <f t="shared" si="730"/>
        <v>162.14995559999994</v>
      </c>
      <c r="V233" s="447">
        <f t="shared" si="730"/>
        <v>170.39658240000003</v>
      </c>
      <c r="W233" s="447">
        <f t="shared" si="730"/>
        <v>169.62112335000006</v>
      </c>
      <c r="X233" s="447">
        <f t="shared" si="730"/>
        <v>179.50498451999997</v>
      </c>
      <c r="Y233" s="447">
        <f t="shared" si="730"/>
        <v>184.60768123999998</v>
      </c>
      <c r="Z233" s="447">
        <f t="shared" si="730"/>
        <v>182.40676272000002</v>
      </c>
      <c r="AA233" s="447">
        <f t="shared" si="730"/>
        <v>197.41568458999981</v>
      </c>
      <c r="AB233" s="447">
        <f t="shared" si="730"/>
        <v>185.76123214248059</v>
      </c>
      <c r="AC233" s="447">
        <f t="shared" si="730"/>
        <v>128.95769549530749</v>
      </c>
      <c r="AD233" s="447">
        <f t="shared" si="730"/>
        <v>140.75804881173349</v>
      </c>
      <c r="AE233" s="447">
        <f t="shared" si="730"/>
        <v>183.28282128268171</v>
      </c>
      <c r="AF233" s="447">
        <f t="shared" si="730"/>
        <v>197.36664853182677</v>
      </c>
      <c r="AG233" s="447">
        <f t="shared" si="730"/>
        <v>198.78536504227432</v>
      </c>
      <c r="AH233" s="447">
        <f t="shared" si="730"/>
        <v>205.13389527489917</v>
      </c>
      <c r="AI233" s="447">
        <f t="shared" si="730"/>
        <v>213.76601234364162</v>
      </c>
      <c r="AJ233" s="447">
        <f t="shared" si="730"/>
        <v>214.12132554999999</v>
      </c>
      <c r="AK233" s="447">
        <f t="shared" si="730"/>
        <v>215.65178209999999</v>
      </c>
      <c r="AL233" s="447">
        <f t="shared" si="730"/>
        <v>226.57876733481655</v>
      </c>
      <c r="AM233" s="447">
        <f t="shared" si="730"/>
        <v>232.72803265908689</v>
      </c>
      <c r="AN233" s="447">
        <f t="shared" si="730"/>
        <v>254.95432188000004</v>
      </c>
      <c r="AO233" s="447">
        <f t="shared" si="730"/>
        <v>269.12418060000005</v>
      </c>
      <c r="AP233" s="447">
        <f t="shared" si="730"/>
        <v>279.28268030000004</v>
      </c>
      <c r="AQ233" s="447">
        <f t="shared" si="730"/>
        <v>277.5155423999999</v>
      </c>
      <c r="AR233" s="447">
        <f t="shared" si="730"/>
        <v>290.37439115999996</v>
      </c>
      <c r="AS233" s="447">
        <f t="shared" si="730"/>
        <v>282.25797802999995</v>
      </c>
      <c r="AT233" s="447">
        <f t="shared" si="730"/>
        <v>273.04111373999996</v>
      </c>
      <c r="AU233" s="447">
        <f t="shared" si="730"/>
        <v>266.05497663999995</v>
      </c>
      <c r="AV233" s="447">
        <f t="shared" si="730"/>
        <v>264.50210279999993</v>
      </c>
      <c r="AW233" s="447">
        <f t="shared" si="730"/>
        <v>273.32447044000003</v>
      </c>
      <c r="AX233" s="447">
        <f t="shared" si="730"/>
        <v>285.72318097640834</v>
      </c>
      <c r="AY233" s="447">
        <f t="shared" si="730"/>
        <v>315.73870093539659</v>
      </c>
      <c r="AZ233" s="447">
        <f t="shared" ref="AZ233" si="731">AZ74*AZ$202</f>
        <v>337.34312112534946</v>
      </c>
      <c r="BB233" s="447">
        <f t="shared" ref="BB233:BB252" si="732">BB74*BB$202</f>
        <v>197.72750458999982</v>
      </c>
    </row>
    <row r="234" spans="2:54" ht="12.75">
      <c r="B234" s="422" t="str">
        <f t="shared" si="728"/>
        <v>Change in Working Capital</v>
      </c>
      <c r="C234" s="441">
        <f t="shared" ref="C234:N234" si="733">C75*C$202</f>
        <v>147.53285623999997</v>
      </c>
      <c r="D234" s="446">
        <f t="shared" si="733"/>
        <v>-99.518988350000001</v>
      </c>
      <c r="E234" s="446">
        <f t="shared" si="733"/>
        <v>81.840142099999994</v>
      </c>
      <c r="F234" s="446">
        <f t="shared" si="733"/>
        <v>-105.89563109999996</v>
      </c>
      <c r="G234" s="446">
        <f t="shared" si="733"/>
        <v>-165.24822945000008</v>
      </c>
      <c r="H234" s="446">
        <f t="shared" si="733"/>
        <v>-8.6151896491810263</v>
      </c>
      <c r="I234" s="446">
        <f t="shared" si="733"/>
        <v>45.948609679217469</v>
      </c>
      <c r="J234" s="446">
        <f t="shared" si="733"/>
        <v>15.302374120000032</v>
      </c>
      <c r="K234" s="446">
        <f t="shared" si="733"/>
        <v>-110.81248949999997</v>
      </c>
      <c r="L234" s="446">
        <f t="shared" si="733"/>
        <v>-92.254257282985037</v>
      </c>
      <c r="M234" s="446">
        <f t="shared" si="733"/>
        <v>-314.01798788092282</v>
      </c>
      <c r="N234" s="446">
        <f t="shared" si="733"/>
        <v>-385.48543773098856</v>
      </c>
      <c r="O234" s="737"/>
      <c r="P234" s="446">
        <f t="shared" ref="P234:AY234" si="734">P75*P$202</f>
        <v>-44.982337619999996</v>
      </c>
      <c r="Q234" s="446">
        <f t="shared" si="734"/>
        <v>6.0895059499999977</v>
      </c>
      <c r="R234" s="446">
        <f t="shared" si="734"/>
        <v>31.745949270000036</v>
      </c>
      <c r="S234" s="446">
        <f t="shared" si="734"/>
        <v>-86.605657270000052</v>
      </c>
      <c r="T234" s="446">
        <f t="shared" si="734"/>
        <v>-0.80257202999999777</v>
      </c>
      <c r="U234" s="446">
        <f t="shared" si="734"/>
        <v>34.687532399999988</v>
      </c>
      <c r="V234" s="446">
        <f t="shared" si="734"/>
        <v>18.829483199999984</v>
      </c>
      <c r="W234" s="446">
        <f t="shared" si="734"/>
        <v>28.161089100000016</v>
      </c>
      <c r="X234" s="446">
        <f t="shared" si="734"/>
        <v>-34.915575959999998</v>
      </c>
      <c r="Y234" s="446">
        <f t="shared" si="734"/>
        <v>-22.06146702000003</v>
      </c>
      <c r="Z234" s="446">
        <f t="shared" si="734"/>
        <v>80.503921080000055</v>
      </c>
      <c r="AA234" s="446">
        <f t="shared" si="734"/>
        <v>-130.47011332999998</v>
      </c>
      <c r="AB234" s="446">
        <f t="shared" si="734"/>
        <v>-16.09814260770267</v>
      </c>
      <c r="AC234" s="446">
        <f t="shared" si="734"/>
        <v>17.068492581693295</v>
      </c>
      <c r="AD234" s="446">
        <f t="shared" si="734"/>
        <v>19.82797600842116</v>
      </c>
      <c r="AE234" s="446">
        <f t="shared" si="734"/>
        <v>-32.972240028936767</v>
      </c>
      <c r="AF234" s="446">
        <f t="shared" si="734"/>
        <v>-29.561487708830896</v>
      </c>
      <c r="AG234" s="446">
        <f t="shared" si="734"/>
        <v>-14.979376308097148</v>
      </c>
      <c r="AH234" s="446">
        <f t="shared" si="734"/>
        <v>-34.155741732854445</v>
      </c>
      <c r="AI234" s="446">
        <f t="shared" si="734"/>
        <v>122.75128274485843</v>
      </c>
      <c r="AJ234" s="446">
        <f t="shared" si="734"/>
        <v>-16.986254669999987</v>
      </c>
      <c r="AK234" s="446">
        <f t="shared" si="734"/>
        <v>19.708653699999989</v>
      </c>
      <c r="AL234" s="446">
        <f t="shared" si="734"/>
        <v>-31.173298268296826</v>
      </c>
      <c r="AM234" s="446">
        <f t="shared" si="734"/>
        <v>44.802970713672337</v>
      </c>
      <c r="AN234" s="446">
        <f t="shared" si="734"/>
        <v>-30.55619178000001</v>
      </c>
      <c r="AO234" s="446">
        <f t="shared" si="734"/>
        <v>-3.6243836200000037</v>
      </c>
      <c r="AP234" s="446">
        <f t="shared" si="734"/>
        <v>-83.931951949999998</v>
      </c>
      <c r="AQ234" s="446">
        <f t="shared" si="734"/>
        <v>6.0844480000000454</v>
      </c>
      <c r="AR234" s="446">
        <f t="shared" si="734"/>
        <v>-81.488795919999959</v>
      </c>
      <c r="AS234" s="446">
        <f t="shared" si="734"/>
        <v>23.771467229999924</v>
      </c>
      <c r="AT234" s="446">
        <f t="shared" si="734"/>
        <v>-55.247973649999956</v>
      </c>
      <c r="AU234" s="446">
        <f t="shared" si="734"/>
        <v>16.499570080000026</v>
      </c>
      <c r="AV234" s="446">
        <f t="shared" si="734"/>
        <v>-45.480235639999997</v>
      </c>
      <c r="AW234" s="446">
        <f t="shared" si="734"/>
        <v>-27.632128229999996</v>
      </c>
      <c r="AX234" s="446">
        <f t="shared" si="734"/>
        <v>-53.647011460318282</v>
      </c>
      <c r="AY234" s="446">
        <f t="shared" si="734"/>
        <v>-194.24583661159213</v>
      </c>
      <c r="AZ234" s="446">
        <f t="shared" ref="AZ234" si="735">AZ75*AZ$202</f>
        <v>-115.40689168341294</v>
      </c>
      <c r="BB234" s="446">
        <f t="shared" si="732"/>
        <v>-189.82271168000008</v>
      </c>
    </row>
    <row r="235" spans="2:54" ht="12.75">
      <c r="B235" s="422" t="str">
        <f t="shared" si="728"/>
        <v>Cash interest paid</v>
      </c>
      <c r="C235" s="441">
        <f t="shared" ref="C235:N235" si="736">C76*C$202</f>
        <v>-198.46493925999999</v>
      </c>
      <c r="D235" s="446">
        <f t="shared" si="736"/>
        <v>-261.8779298</v>
      </c>
      <c r="E235" s="446">
        <f t="shared" si="736"/>
        <v>-318.54311414</v>
      </c>
      <c r="F235" s="446">
        <f t="shared" si="736"/>
        <v>-359.25774827000004</v>
      </c>
      <c r="G235" s="446">
        <f t="shared" si="736"/>
        <v>-257.09309544000001</v>
      </c>
      <c r="H235" s="446">
        <f t="shared" si="736"/>
        <v>-350.99002148615193</v>
      </c>
      <c r="I235" s="446">
        <f t="shared" si="736"/>
        <v>-301.30878094740109</v>
      </c>
      <c r="J235" s="446">
        <f t="shared" si="736"/>
        <v>-397.33131415999998</v>
      </c>
      <c r="K235" s="446">
        <f t="shared" si="736"/>
        <v>-467.46574499999997</v>
      </c>
      <c r="L235" s="446">
        <f t="shared" si="736"/>
        <v>-493.24957126784562</v>
      </c>
      <c r="M235" s="446">
        <f t="shared" si="736"/>
        <v>-644.53839149106739</v>
      </c>
      <c r="N235" s="446">
        <f t="shared" si="736"/>
        <v>-597.23020955180891</v>
      </c>
      <c r="O235" s="737"/>
      <c r="P235" s="446">
        <f t="shared" ref="P235:AY235" si="737">P76*P$202</f>
        <v>-69.938018040000003</v>
      </c>
      <c r="Q235" s="446">
        <f t="shared" si="737"/>
        <v>-50.463811040000003</v>
      </c>
      <c r="R235" s="446">
        <f t="shared" si="737"/>
        <v>-79.78570784999998</v>
      </c>
      <c r="S235" s="446">
        <f t="shared" si="737"/>
        <v>-61.290430629999996</v>
      </c>
      <c r="T235" s="446">
        <f t="shared" si="737"/>
        <v>-37.046598809999999</v>
      </c>
      <c r="U235" s="446">
        <f t="shared" si="737"/>
        <v>-108.58218959999998</v>
      </c>
      <c r="V235" s="446">
        <f t="shared" si="737"/>
        <v>-56.59225440000003</v>
      </c>
      <c r="W235" s="446">
        <f t="shared" si="737"/>
        <v>-113.47582285000001</v>
      </c>
      <c r="X235" s="446">
        <f t="shared" si="737"/>
        <v>-89.733315779999998</v>
      </c>
      <c r="Y235" s="446">
        <f t="shared" si="737"/>
        <v>-93.533045519999988</v>
      </c>
      <c r="Z235" s="446">
        <f t="shared" si="737"/>
        <v>-105.38282414000001</v>
      </c>
      <c r="AA235" s="446">
        <f t="shared" si="737"/>
        <v>-70.466434820000003</v>
      </c>
      <c r="AB235" s="446">
        <f t="shared" si="737"/>
        <v>-103.92030491897636</v>
      </c>
      <c r="AC235" s="446">
        <f t="shared" si="737"/>
        <v>-72.007813862413371</v>
      </c>
      <c r="AD235" s="446">
        <f t="shared" si="737"/>
        <v>-65.742660666974288</v>
      </c>
      <c r="AE235" s="446">
        <f t="shared" si="737"/>
        <v>-94.400115906032241</v>
      </c>
      <c r="AF235" s="446">
        <f t="shared" si="737"/>
        <v>-111.09437200787316</v>
      </c>
      <c r="AG235" s="446">
        <f t="shared" si="737"/>
        <v>-44.683493634957642</v>
      </c>
      <c r="AH235" s="446">
        <f t="shared" si="737"/>
        <v>-101.14793132556603</v>
      </c>
      <c r="AI235" s="446">
        <f t="shared" si="737"/>
        <v>-44.60361413121062</v>
      </c>
      <c r="AJ235" s="446">
        <f t="shared" si="737"/>
        <v>-112.48238694</v>
      </c>
      <c r="AK235" s="446">
        <f t="shared" si="737"/>
        <v>-76.3800837</v>
      </c>
      <c r="AL235" s="446">
        <f t="shared" si="737"/>
        <v>-169.2491559111302</v>
      </c>
      <c r="AM235" s="446">
        <f t="shared" si="737"/>
        <v>-37.435027845011717</v>
      </c>
      <c r="AN235" s="446">
        <f t="shared" si="737"/>
        <v>-141.22873584000001</v>
      </c>
      <c r="AO235" s="446">
        <f t="shared" si="737"/>
        <v>-88.621870259999994</v>
      </c>
      <c r="AP235" s="446">
        <f t="shared" si="737"/>
        <v>-153.34994440000003</v>
      </c>
      <c r="AQ235" s="446">
        <f t="shared" si="737"/>
        <v>-82.822850666666611</v>
      </c>
      <c r="AR235" s="446">
        <f t="shared" si="737"/>
        <v>-165.56692992000001</v>
      </c>
      <c r="AS235" s="446">
        <f t="shared" si="737"/>
        <v>-79.959595029999988</v>
      </c>
      <c r="AT235" s="446">
        <f t="shared" si="737"/>
        <v>-180.11732427000004</v>
      </c>
      <c r="AU235" s="446">
        <f t="shared" si="737"/>
        <v>-71.172573919999948</v>
      </c>
      <c r="AV235" s="446">
        <f t="shared" si="737"/>
        <v>-194.99056531999997</v>
      </c>
      <c r="AW235" s="446">
        <f t="shared" si="737"/>
        <v>-85.50406151</v>
      </c>
      <c r="AX235" s="446">
        <f t="shared" si="737"/>
        <v>-190.91365844493953</v>
      </c>
      <c r="AY235" s="446">
        <f t="shared" si="737"/>
        <v>-172.32767287350288</v>
      </c>
      <c r="AZ235" s="446">
        <f t="shared" ref="AZ235" si="738">AZ76*AZ$202</f>
        <v>-151.11373611672485</v>
      </c>
      <c r="BB235" s="446">
        <f t="shared" si="732"/>
        <v>31.698218010000001</v>
      </c>
    </row>
    <row r="236" spans="2:54" ht="12.75">
      <c r="B236" s="422" t="str">
        <f t="shared" si="728"/>
        <v>Cash interest income</v>
      </c>
      <c r="C236" s="441">
        <f t="shared" ref="C236:N236" si="739">C77*C$202</f>
        <v>9.2064467600000004</v>
      </c>
      <c r="D236" s="446">
        <f t="shared" si="739"/>
        <v>26.251208949999999</v>
      </c>
      <c r="E236" s="446">
        <f t="shared" si="739"/>
        <v>30.596911440000003</v>
      </c>
      <c r="F236" s="446">
        <f t="shared" si="739"/>
        <v>32.319519360000001</v>
      </c>
      <c r="G236" s="446">
        <f t="shared" si="739"/>
        <v>32.319519360000001</v>
      </c>
      <c r="H236" s="446">
        <f t="shared" si="739"/>
        <v>14.542885710810012</v>
      </c>
      <c r="I236" s="446">
        <f t="shared" si="739"/>
        <v>7.5972632607054944</v>
      </c>
      <c r="J236" s="446">
        <f t="shared" si="739"/>
        <v>13.948498519999999</v>
      </c>
      <c r="K236" s="446">
        <f t="shared" si="739"/>
        <v>14.3504915</v>
      </c>
      <c r="L236" s="446">
        <f t="shared" si="739"/>
        <v>15.098308009918187</v>
      </c>
      <c r="M236" s="446">
        <f t="shared" si="739"/>
        <v>17.148970171318197</v>
      </c>
      <c r="N236" s="446">
        <f t="shared" si="739"/>
        <v>23.750536002455014</v>
      </c>
      <c r="O236" s="737"/>
      <c r="P236" s="446">
        <f t="shared" ref="P236:AY236" si="740">P77*P$202</f>
        <v>3.0305704000000002</v>
      </c>
      <c r="Q236" s="446">
        <f t="shared" si="740"/>
        <v>4.7125651899999994</v>
      </c>
      <c r="R236" s="446">
        <f t="shared" si="740"/>
        <v>9.595423499999999</v>
      </c>
      <c r="S236" s="446">
        <f t="shared" si="740"/>
        <v>9.2284427400000002</v>
      </c>
      <c r="T236" s="446">
        <f t="shared" si="740"/>
        <v>12.086774310000001</v>
      </c>
      <c r="U236" s="446">
        <f t="shared" si="740"/>
        <v>0.72781799999999952</v>
      </c>
      <c r="V236" s="446">
        <f t="shared" si="740"/>
        <v>14.302305600000004</v>
      </c>
      <c r="W236" s="446">
        <f t="shared" si="740"/>
        <v>3.8606862499999974</v>
      </c>
      <c r="X236" s="446">
        <f t="shared" si="740"/>
        <v>12.79524573</v>
      </c>
      <c r="Y236" s="446">
        <f t="shared" si="740"/>
        <v>3.2834452199999999</v>
      </c>
      <c r="Z236" s="446">
        <f t="shared" si="740"/>
        <v>15.021740059999997</v>
      </c>
      <c r="AA236" s="446">
        <f t="shared" si="740"/>
        <v>1.1278009700000042</v>
      </c>
      <c r="AB236" s="446">
        <f t="shared" si="740"/>
        <v>1.4650939747731682</v>
      </c>
      <c r="AC236" s="446">
        <f t="shared" si="740"/>
        <v>5.1726771646634377</v>
      </c>
      <c r="AD236" s="446">
        <f t="shared" si="740"/>
        <v>4.1743061095443501</v>
      </c>
      <c r="AE236" s="446">
        <f t="shared" si="740"/>
        <v>2.7483152864811964</v>
      </c>
      <c r="AF236" s="446">
        <f t="shared" si="740"/>
        <v>9.1772056055723219</v>
      </c>
      <c r="AG236" s="446">
        <f t="shared" si="740"/>
        <v>-3.8526952894340849</v>
      </c>
      <c r="AH236" s="446">
        <f t="shared" si="740"/>
        <v>0.60513332658757168</v>
      </c>
      <c r="AI236" s="446">
        <f t="shared" si="740"/>
        <v>1.6401247749804413</v>
      </c>
      <c r="AJ236" s="446">
        <f t="shared" si="740"/>
        <v>1.8863870300000001</v>
      </c>
      <c r="AK236" s="446">
        <f t="shared" si="740"/>
        <v>3.9853633000000004</v>
      </c>
      <c r="AL236" s="446">
        <f t="shared" si="740"/>
        <v>3.2842581890297406</v>
      </c>
      <c r="AM236" s="446">
        <f t="shared" si="740"/>
        <v>4.8264373386849115</v>
      </c>
      <c r="AN236" s="446">
        <f t="shared" si="740"/>
        <v>5.1011374800000002</v>
      </c>
      <c r="AO236" s="446">
        <f t="shared" si="740"/>
        <v>3.0814865399999993</v>
      </c>
      <c r="AP236" s="446">
        <f t="shared" si="740"/>
        <v>3.3848340499999994</v>
      </c>
      <c r="AQ236" s="446">
        <f t="shared" si="740"/>
        <v>2.6520592000000014</v>
      </c>
      <c r="AR236" s="446">
        <f t="shared" si="740"/>
        <v>4.0609703399999999</v>
      </c>
      <c r="AS236" s="446">
        <f t="shared" si="740"/>
        <v>3.6169518700000003</v>
      </c>
      <c r="AT236" s="446">
        <f t="shared" si="740"/>
        <v>3.63158527</v>
      </c>
      <c r="AU236" s="446">
        <f t="shared" si="740"/>
        <v>3.8001214399999999</v>
      </c>
      <c r="AV236" s="446">
        <f t="shared" si="740"/>
        <v>5.5960932400000001</v>
      </c>
      <c r="AW236" s="446">
        <f t="shared" si="740"/>
        <v>2.3583615299999998</v>
      </c>
      <c r="AX236" s="446">
        <f t="shared" si="740"/>
        <v>1.9425105343675362</v>
      </c>
      <c r="AY236" s="446">
        <f t="shared" si="740"/>
        <v>7.2338054025701517</v>
      </c>
      <c r="AZ236" s="446">
        <f t="shared" ref="AZ236" si="741">AZ77*AZ$202</f>
        <v>12.760544457790859</v>
      </c>
      <c r="BB236" s="446">
        <f t="shared" si="732"/>
        <v>1.1278009700000042</v>
      </c>
    </row>
    <row r="237" spans="2:54" s="424" customFormat="1" ht="13.5" customHeight="1" thickBot="1">
      <c r="B237" s="445" t="str">
        <f t="shared" si="728"/>
        <v xml:space="preserve">Net cash from operations </v>
      </c>
      <c r="C237" s="444">
        <f t="shared" ref="C237:N237" si="742">C78*C$202</f>
        <v>493.85403395999998</v>
      </c>
      <c r="D237" s="444">
        <f t="shared" si="742"/>
        <v>247.75830094999992</v>
      </c>
      <c r="E237" s="444">
        <f t="shared" si="742"/>
        <v>460.77962403999987</v>
      </c>
      <c r="F237" s="444">
        <f t="shared" si="742"/>
        <v>311.12173107999996</v>
      </c>
      <c r="G237" s="444">
        <f t="shared" si="742"/>
        <v>354.24560555999983</v>
      </c>
      <c r="H237" s="444">
        <f t="shared" si="742"/>
        <v>322.22795244502618</v>
      </c>
      <c r="I237" s="444">
        <f t="shared" si="742"/>
        <v>568.10722019701745</v>
      </c>
      <c r="J237" s="444">
        <f t="shared" si="742"/>
        <v>521.88627831999997</v>
      </c>
      <c r="K237" s="444">
        <f t="shared" si="742"/>
        <v>518.11889900000006</v>
      </c>
      <c r="L237" s="444">
        <f t="shared" si="742"/>
        <v>539.02696916405444</v>
      </c>
      <c r="M237" s="444">
        <f t="shared" si="742"/>
        <v>197.00811057148621</v>
      </c>
      <c r="N237" s="444">
        <f t="shared" si="742"/>
        <v>251.26643249483072</v>
      </c>
      <c r="O237" s="723"/>
      <c r="P237" s="444">
        <f t="shared" ref="P237:AY237" si="743">P78*P$202</f>
        <v>21.387944380000036</v>
      </c>
      <c r="Q237" s="444">
        <f t="shared" si="743"/>
        <v>105.59256707999999</v>
      </c>
      <c r="R237" s="444">
        <f t="shared" si="743"/>
        <v>112.24955982000006</v>
      </c>
      <c r="S237" s="444">
        <f t="shared" si="743"/>
        <v>14.725116229999948</v>
      </c>
      <c r="T237" s="444">
        <f t="shared" si="743"/>
        <v>138.70219623000003</v>
      </c>
      <c r="U237" s="444">
        <f t="shared" si="743"/>
        <v>88.983116399999943</v>
      </c>
      <c r="V237" s="444">
        <f t="shared" si="743"/>
        <v>146.93611679999998</v>
      </c>
      <c r="W237" s="444">
        <f t="shared" si="743"/>
        <v>88.167075850000046</v>
      </c>
      <c r="X237" s="444">
        <f t="shared" si="743"/>
        <v>67.651338509999974</v>
      </c>
      <c r="Y237" s="444">
        <f t="shared" si="743"/>
        <v>72.296613919999956</v>
      </c>
      <c r="Z237" s="444">
        <f t="shared" si="743"/>
        <v>172.54959972000006</v>
      </c>
      <c r="AA237" s="444">
        <f t="shared" si="743"/>
        <v>-2.3930625900001639</v>
      </c>
      <c r="AB237" s="444">
        <f t="shared" si="743"/>
        <v>67.207878590574737</v>
      </c>
      <c r="AC237" s="444">
        <f t="shared" si="743"/>
        <v>79.191051379250851</v>
      </c>
      <c r="AD237" s="444">
        <f t="shared" si="743"/>
        <v>99.017670262724735</v>
      </c>
      <c r="AE237" s="444">
        <f t="shared" si="743"/>
        <v>58.658780634193889</v>
      </c>
      <c r="AF237" s="444">
        <f t="shared" si="743"/>
        <v>65.887994420695037</v>
      </c>
      <c r="AG237" s="444">
        <f t="shared" si="743"/>
        <v>135.26979980978544</v>
      </c>
      <c r="AH237" s="444">
        <f t="shared" si="743"/>
        <v>70.435355543066265</v>
      </c>
      <c r="AI237" s="444">
        <f t="shared" si="743"/>
        <v>293.55380573226989</v>
      </c>
      <c r="AJ237" s="444">
        <f t="shared" si="743"/>
        <v>86.539070970000026</v>
      </c>
      <c r="AK237" s="444">
        <f t="shared" si="743"/>
        <v>162.96571539999999</v>
      </c>
      <c r="AL237" s="444">
        <f t="shared" si="743"/>
        <v>29.440571344419254</v>
      </c>
      <c r="AM237" s="444">
        <f t="shared" si="743"/>
        <v>244.92241286643244</v>
      </c>
      <c r="AN237" s="444">
        <f t="shared" si="743"/>
        <v>88.27053174000001</v>
      </c>
      <c r="AO237" s="444">
        <f t="shared" si="743"/>
        <v>179.95941326000005</v>
      </c>
      <c r="AP237" s="444">
        <f t="shared" si="743"/>
        <v>45.385618000000008</v>
      </c>
      <c r="AQ237" s="444">
        <f t="shared" si="743"/>
        <v>203.42919893333331</v>
      </c>
      <c r="AR237" s="444">
        <f t="shared" si="743"/>
        <v>47.379635660000012</v>
      </c>
      <c r="AS237" s="444">
        <f t="shared" si="743"/>
        <v>229.68680209999991</v>
      </c>
      <c r="AT237" s="444">
        <f t="shared" si="743"/>
        <v>41.307401089999985</v>
      </c>
      <c r="AU237" s="444">
        <f t="shared" si="743"/>
        <v>215.18209424</v>
      </c>
      <c r="AV237" s="444">
        <f t="shared" si="743"/>
        <v>29.627395079999935</v>
      </c>
      <c r="AW237" s="444">
        <f t="shared" si="743"/>
        <v>162.54664223000009</v>
      </c>
      <c r="AX237" s="444">
        <f t="shared" si="743"/>
        <v>43.105021605518083</v>
      </c>
      <c r="AY237" s="444">
        <f t="shared" si="743"/>
        <v>-43.601003147128274</v>
      </c>
      <c r="AZ237" s="444">
        <f t="shared" ref="AZ237" si="744">AZ78*AZ$202</f>
        <v>83.58303778300251</v>
      </c>
      <c r="BB237" s="444">
        <f t="shared" si="732"/>
        <v>40.730811889999721</v>
      </c>
    </row>
    <row r="238" spans="2:54" s="424" customFormat="1" ht="13.5" customHeight="1" thickTop="1">
      <c r="B238" s="422" t="str">
        <f t="shared" si="728"/>
        <v>Net Capex</v>
      </c>
      <c r="C238" s="437">
        <f t="shared" ref="C238:N238" si="745">C79*C$202</f>
        <v>-315.2099958</v>
      </c>
      <c r="D238" s="437">
        <f t="shared" si="745"/>
        <v>-316.46478830000001</v>
      </c>
      <c r="E238" s="437">
        <f t="shared" si="745"/>
        <v>-417.32285139999993</v>
      </c>
      <c r="F238" s="437">
        <f t="shared" si="745"/>
        <v>-488.32020218000002</v>
      </c>
      <c r="G238" s="437">
        <f t="shared" si="745"/>
        <v>-371.62650432999999</v>
      </c>
      <c r="H238" s="437">
        <f t="shared" si="745"/>
        <v>-158.86105889252073</v>
      </c>
      <c r="I238" s="437">
        <f t="shared" si="745"/>
        <v>-226.55199459360799</v>
      </c>
      <c r="J238" s="437">
        <f t="shared" si="745"/>
        <v>-303.65132643999999</v>
      </c>
      <c r="K238" s="437">
        <f t="shared" si="745"/>
        <v>-132.02535800000001</v>
      </c>
      <c r="L238" s="437">
        <f t="shared" si="745"/>
        <v>-84.344176342723571</v>
      </c>
      <c r="M238" s="437">
        <f t="shared" si="745"/>
        <v>-158.26907119247085</v>
      </c>
      <c r="N238" s="437">
        <f t="shared" si="745"/>
        <v>-183.42554654845179</v>
      </c>
      <c r="O238" s="478"/>
      <c r="P238" s="437">
        <f t="shared" ref="P238:AY238" si="746">P79*P$202</f>
        <v>-85.387703940000009</v>
      </c>
      <c r="Q238" s="437">
        <f t="shared" si="746"/>
        <v>-46.412913019999998</v>
      </c>
      <c r="R238" s="437">
        <f t="shared" si="746"/>
        <v>-122.24743542000002</v>
      </c>
      <c r="S238" s="437">
        <f t="shared" si="746"/>
        <v>-63.12325227999996</v>
      </c>
      <c r="T238" s="437">
        <f t="shared" si="746"/>
        <v>-24.352432259999997</v>
      </c>
      <c r="U238" s="437">
        <f t="shared" si="746"/>
        <v>-151.01586240000003</v>
      </c>
      <c r="V238" s="437">
        <f t="shared" si="746"/>
        <v>-139.28587199999998</v>
      </c>
      <c r="W238" s="437">
        <f t="shared" si="746"/>
        <v>-100.68578929999993</v>
      </c>
      <c r="X238" s="437">
        <f t="shared" si="746"/>
        <v>-103.7067165</v>
      </c>
      <c r="Y238" s="437">
        <f t="shared" si="746"/>
        <v>-108.10570534</v>
      </c>
      <c r="Z238" s="437">
        <f t="shared" si="746"/>
        <v>-97.052016199999983</v>
      </c>
      <c r="AA238" s="437">
        <f t="shared" si="746"/>
        <v>-179.53675731000001</v>
      </c>
      <c r="AB238" s="437">
        <f t="shared" si="746"/>
        <v>-29.82010976027242</v>
      </c>
      <c r="AC238" s="437">
        <f t="shared" si="746"/>
        <v>-23.762552830645635</v>
      </c>
      <c r="AD238" s="437">
        <f t="shared" si="746"/>
        <v>-72.76055394972775</v>
      </c>
      <c r="AE238" s="437">
        <f t="shared" si="746"/>
        <v>-23.603326252698078</v>
      </c>
      <c r="AF238" s="437">
        <f t="shared" si="746"/>
        <v>-54.774436481322411</v>
      </c>
      <c r="AG238" s="437">
        <f t="shared" si="746"/>
        <v>-60.671560318395912</v>
      </c>
      <c r="AH238" s="437">
        <f t="shared" si="746"/>
        <v>-30.132751460058433</v>
      </c>
      <c r="AI238" s="437">
        <f t="shared" si="746"/>
        <v>-80.327117864190953</v>
      </c>
      <c r="AJ238" s="437">
        <f t="shared" si="746"/>
        <v>-87.716680150000002</v>
      </c>
      <c r="AK238" s="437">
        <f t="shared" si="746"/>
        <v>-98.424905699999997</v>
      </c>
      <c r="AL238" s="437">
        <f t="shared" si="746"/>
        <v>-65.731778225401158</v>
      </c>
      <c r="AM238" s="437">
        <f t="shared" si="746"/>
        <v>-50.913233835344009</v>
      </c>
      <c r="AN238" s="437">
        <f t="shared" si="746"/>
        <v>-94.659786000000011</v>
      </c>
      <c r="AO238" s="437">
        <f t="shared" si="746"/>
        <v>124.82799428000001</v>
      </c>
      <c r="AP238" s="437">
        <f t="shared" si="746"/>
        <v>-96.111874250000028</v>
      </c>
      <c r="AQ238" s="437">
        <f t="shared" si="746"/>
        <v>-64.843654933333283</v>
      </c>
      <c r="AR238" s="437">
        <f t="shared" si="746"/>
        <v>-39.681146890000001</v>
      </c>
      <c r="AS238" s="437">
        <f t="shared" si="746"/>
        <v>-26.637510899999999</v>
      </c>
      <c r="AT238" s="437">
        <f t="shared" si="746"/>
        <v>-25.569387369999998</v>
      </c>
      <c r="AU238" s="437">
        <f t="shared" si="746"/>
        <v>3.6289470400000043</v>
      </c>
      <c r="AV238" s="437">
        <f t="shared" si="746"/>
        <v>-33.9584872</v>
      </c>
      <c r="AW238" s="437">
        <f t="shared" si="746"/>
        <v>-28.009718519999996</v>
      </c>
      <c r="AX238" s="437">
        <f t="shared" si="746"/>
        <v>-12.140154056737968</v>
      </c>
      <c r="AY238" s="437">
        <f t="shared" si="746"/>
        <v>-85.750502666317004</v>
      </c>
      <c r="AZ238" s="437">
        <f t="shared" ref="AZ238" si="747">AZ79*AZ$202</f>
        <v>-59.579872595510679</v>
      </c>
      <c r="BB238" s="437">
        <f t="shared" si="732"/>
        <v>-62.843059459999971</v>
      </c>
    </row>
    <row r="239" spans="2:54" ht="12.75">
      <c r="B239" s="422" t="str">
        <f t="shared" si="728"/>
        <v>Acquisition of investment properties</v>
      </c>
      <c r="C239" s="437">
        <f t="shared" ref="C239:N239" si="748">C80*C$202</f>
        <v>-135.61414901999999</v>
      </c>
      <c r="D239" s="437">
        <f t="shared" si="748"/>
        <v>-533.28592074999995</v>
      </c>
      <c r="E239" s="437">
        <f t="shared" si="748"/>
        <v>-132.39847140000001</v>
      </c>
      <c r="F239" s="437">
        <f t="shared" si="748"/>
        <v>-934.23891288000004</v>
      </c>
      <c r="G239" s="437">
        <f t="shared" si="748"/>
        <v>-884.21570908000001</v>
      </c>
      <c r="H239" s="437">
        <f t="shared" si="748"/>
        <v>-264.83845709410201</v>
      </c>
      <c r="I239" s="437">
        <f t="shared" si="748"/>
        <v>-322.50889144300351</v>
      </c>
      <c r="J239" s="437">
        <f t="shared" si="748"/>
        <v>-151.14879999999999</v>
      </c>
      <c r="K239" s="437">
        <f t="shared" si="748"/>
        <v>-2.8250000000000002</v>
      </c>
      <c r="L239" s="437">
        <f t="shared" si="748"/>
        <v>0</v>
      </c>
      <c r="M239" s="437">
        <f t="shared" si="748"/>
        <v>-33.9639741166988</v>
      </c>
      <c r="N239" s="437">
        <f t="shared" si="748"/>
        <v>-35.264754711226701</v>
      </c>
      <c r="O239" s="478"/>
      <c r="P239" s="437">
        <f t="shared" ref="P239:AY239" si="749">P80*P$202</f>
        <v>1.8107361800000001</v>
      </c>
      <c r="Q239" s="437">
        <f t="shared" si="749"/>
        <v>-51.256150600000005</v>
      </c>
      <c r="R239" s="437">
        <f t="shared" si="749"/>
        <v>-14.419684739999992</v>
      </c>
      <c r="S239" s="437">
        <f t="shared" si="749"/>
        <v>-467.98515071000003</v>
      </c>
      <c r="T239" s="437">
        <f t="shared" si="749"/>
        <v>-65.221787279999987</v>
      </c>
      <c r="U239" s="437">
        <f t="shared" si="749"/>
        <v>-46.851974399999996</v>
      </c>
      <c r="V239" s="437">
        <f t="shared" si="749"/>
        <v>-15.679065600000012</v>
      </c>
      <c r="W239" s="437">
        <f t="shared" si="749"/>
        <v>-5.9308011</v>
      </c>
      <c r="X239" s="437">
        <f t="shared" si="749"/>
        <v>0</v>
      </c>
      <c r="Y239" s="437">
        <f t="shared" si="749"/>
        <v>-20.936</v>
      </c>
      <c r="Z239" s="437">
        <f t="shared" si="749"/>
        <v>0</v>
      </c>
      <c r="AA239" s="437">
        <f t="shared" si="749"/>
        <v>-913.45091288000003</v>
      </c>
      <c r="AB239" s="437">
        <f t="shared" si="749"/>
        <v>-58.067449283791269</v>
      </c>
      <c r="AC239" s="437">
        <f t="shared" si="749"/>
        <v>-74.449859710822267</v>
      </c>
      <c r="AD239" s="437">
        <f t="shared" si="749"/>
        <v>-66.76660183398117</v>
      </c>
      <c r="AE239" s="437">
        <f t="shared" si="749"/>
        <v>-50.603036752386423</v>
      </c>
      <c r="AF239" s="437">
        <f t="shared" si="749"/>
        <v>-156.76138401367888</v>
      </c>
      <c r="AG239" s="437">
        <f t="shared" si="749"/>
        <v>-37.259617614884434</v>
      </c>
      <c r="AH239" s="437">
        <f t="shared" si="749"/>
        <v>-48.62767843118543</v>
      </c>
      <c r="AI239" s="437">
        <f t="shared" si="749"/>
        <v>-79.301534780402804</v>
      </c>
      <c r="AJ239" s="437">
        <f t="shared" si="749"/>
        <v>1.3625882600000001</v>
      </c>
      <c r="AK239" s="437">
        <f t="shared" si="749"/>
        <v>-148.60030380000001</v>
      </c>
      <c r="AL239" s="437">
        <f t="shared" si="749"/>
        <v>0.49642646226151604</v>
      </c>
      <c r="AM239" s="437">
        <f t="shared" si="749"/>
        <v>-5.0377718685714852</v>
      </c>
      <c r="AN239" s="437">
        <f t="shared" si="749"/>
        <v>-2.6790000000000003</v>
      </c>
      <c r="AO239" s="437">
        <f t="shared" si="749"/>
        <v>0</v>
      </c>
      <c r="AP239" s="437">
        <f t="shared" si="749"/>
        <v>0</v>
      </c>
      <c r="AQ239" s="437">
        <f t="shared" si="749"/>
        <v>0</v>
      </c>
      <c r="AR239" s="437">
        <f t="shared" si="749"/>
        <v>0</v>
      </c>
      <c r="AS239" s="437">
        <f t="shared" si="749"/>
        <v>0</v>
      </c>
      <c r="AT239" s="437">
        <f t="shared" si="749"/>
        <v>0</v>
      </c>
      <c r="AU239" s="437">
        <f t="shared" si="749"/>
        <v>0</v>
      </c>
      <c r="AV239" s="437">
        <f t="shared" si="749"/>
        <v>0</v>
      </c>
      <c r="AW239" s="437">
        <f t="shared" si="749"/>
        <v>0</v>
      </c>
      <c r="AX239" s="437">
        <f t="shared" si="749"/>
        <v>0</v>
      </c>
      <c r="AY239" s="437">
        <f t="shared" si="749"/>
        <v>-35.589922633097302</v>
      </c>
      <c r="AZ239" s="437">
        <f t="shared" ref="AZ239" si="750">AZ80*AZ$202</f>
        <v>0</v>
      </c>
      <c r="BB239" s="437">
        <f t="shared" si="732"/>
        <v>-863.42770908</v>
      </c>
    </row>
    <row r="240" spans="2:54" ht="12.75">
      <c r="B240" s="422" t="str">
        <f t="shared" si="728"/>
        <v>Purchase and development of intangible assets</v>
      </c>
      <c r="C240" s="437">
        <f t="shared" ref="C240:N240" si="751">C81*C$202</f>
        <v>0</v>
      </c>
      <c r="D240" s="437">
        <f t="shared" si="751"/>
        <v>0</v>
      </c>
      <c r="E240" s="437">
        <f t="shared" si="751"/>
        <v>0</v>
      </c>
      <c r="F240" s="437">
        <f t="shared" si="751"/>
        <v>0</v>
      </c>
      <c r="G240" s="437">
        <f t="shared" si="751"/>
        <v>0</v>
      </c>
      <c r="H240" s="437">
        <f t="shared" si="751"/>
        <v>0</v>
      </c>
      <c r="I240" s="437">
        <f t="shared" si="751"/>
        <v>0</v>
      </c>
      <c r="J240" s="437">
        <f t="shared" si="751"/>
        <v>0</v>
      </c>
      <c r="K240" s="437">
        <f t="shared" si="751"/>
        <v>0</v>
      </c>
      <c r="L240" s="437">
        <f t="shared" si="751"/>
        <v>0</v>
      </c>
      <c r="M240" s="437">
        <f t="shared" si="751"/>
        <v>0</v>
      </c>
      <c r="N240" s="437">
        <f t="shared" si="751"/>
        <v>0</v>
      </c>
      <c r="O240" s="478"/>
      <c r="P240" s="437">
        <f t="shared" ref="P240:AY240" si="752">P81*P$202</f>
        <v>0</v>
      </c>
      <c r="Q240" s="437">
        <f t="shared" si="752"/>
        <v>0</v>
      </c>
      <c r="R240" s="437">
        <f t="shared" si="752"/>
        <v>0</v>
      </c>
      <c r="S240" s="437">
        <f t="shared" si="752"/>
        <v>0</v>
      </c>
      <c r="T240" s="437">
        <f t="shared" si="752"/>
        <v>0</v>
      </c>
      <c r="U240" s="437">
        <f t="shared" si="752"/>
        <v>0</v>
      </c>
      <c r="V240" s="437">
        <f t="shared" si="752"/>
        <v>0</v>
      </c>
      <c r="W240" s="437">
        <f t="shared" si="752"/>
        <v>0</v>
      </c>
      <c r="X240" s="437">
        <f t="shared" si="752"/>
        <v>0</v>
      </c>
      <c r="Y240" s="437">
        <f t="shared" si="752"/>
        <v>0</v>
      </c>
      <c r="Z240" s="437">
        <f t="shared" si="752"/>
        <v>0</v>
      </c>
      <c r="AA240" s="437">
        <f t="shared" si="752"/>
        <v>0</v>
      </c>
      <c r="AB240" s="437">
        <f t="shared" si="752"/>
        <v>0</v>
      </c>
      <c r="AC240" s="437">
        <f t="shared" si="752"/>
        <v>0</v>
      </c>
      <c r="AD240" s="437">
        <f t="shared" si="752"/>
        <v>0</v>
      </c>
      <c r="AE240" s="437">
        <f t="shared" si="752"/>
        <v>0</v>
      </c>
      <c r="AF240" s="437">
        <f t="shared" si="752"/>
        <v>0</v>
      </c>
      <c r="AG240" s="437">
        <f t="shared" si="752"/>
        <v>0</v>
      </c>
      <c r="AH240" s="437">
        <f t="shared" si="752"/>
        <v>0</v>
      </c>
      <c r="AI240" s="437">
        <f t="shared" si="752"/>
        <v>0</v>
      </c>
      <c r="AJ240" s="437">
        <f t="shared" si="752"/>
        <v>0</v>
      </c>
      <c r="AK240" s="437">
        <f t="shared" si="752"/>
        <v>0</v>
      </c>
      <c r="AL240" s="437">
        <f t="shared" si="752"/>
        <v>0</v>
      </c>
      <c r="AM240" s="437">
        <f t="shared" si="752"/>
        <v>0</v>
      </c>
      <c r="AN240" s="437">
        <f t="shared" si="752"/>
        <v>0</v>
      </c>
      <c r="AO240" s="437">
        <f t="shared" si="752"/>
        <v>0</v>
      </c>
      <c r="AP240" s="437">
        <f t="shared" si="752"/>
        <v>0</v>
      </c>
      <c r="AQ240" s="437">
        <f t="shared" si="752"/>
        <v>0</v>
      </c>
      <c r="AR240" s="437">
        <f t="shared" si="752"/>
        <v>0</v>
      </c>
      <c r="AS240" s="437">
        <f t="shared" si="752"/>
        <v>0</v>
      </c>
      <c r="AT240" s="437">
        <f t="shared" si="752"/>
        <v>0</v>
      </c>
      <c r="AU240" s="437">
        <f t="shared" si="752"/>
        <v>0</v>
      </c>
      <c r="AV240" s="437">
        <f t="shared" si="752"/>
        <v>0</v>
      </c>
      <c r="AW240" s="437">
        <f t="shared" si="752"/>
        <v>0</v>
      </c>
      <c r="AX240" s="437">
        <f t="shared" si="752"/>
        <v>0</v>
      </c>
      <c r="AY240" s="437">
        <f t="shared" si="752"/>
        <v>0</v>
      </c>
      <c r="AZ240" s="437">
        <f t="shared" ref="AZ240" si="753">AZ81*AZ$202</f>
        <v>0</v>
      </c>
      <c r="BB240" s="437">
        <f t="shared" si="732"/>
        <v>0</v>
      </c>
    </row>
    <row r="241" spans="2:54" ht="12.75">
      <c r="B241" s="422" t="str">
        <f t="shared" si="728"/>
        <v>Disposals/ Acquisition, of subsidiaries</v>
      </c>
      <c r="C241" s="437">
        <f t="shared" ref="C241:N241" si="754">C82*C$202</f>
        <v>0</v>
      </c>
      <c r="D241" s="437">
        <f t="shared" si="754"/>
        <v>0</v>
      </c>
      <c r="E241" s="437">
        <f t="shared" si="754"/>
        <v>0</v>
      </c>
      <c r="F241" s="437">
        <f t="shared" si="754"/>
        <v>0</v>
      </c>
      <c r="G241" s="437">
        <f t="shared" si="754"/>
        <v>-15.010235250000001</v>
      </c>
      <c r="H241" s="437">
        <f t="shared" si="754"/>
        <v>0</v>
      </c>
      <c r="I241" s="437">
        <f t="shared" si="754"/>
        <v>0</v>
      </c>
      <c r="J241" s="437">
        <f t="shared" si="754"/>
        <v>0</v>
      </c>
      <c r="K241" s="437">
        <f t="shared" si="754"/>
        <v>0</v>
      </c>
      <c r="L241" s="437">
        <f t="shared" si="754"/>
        <v>0</v>
      </c>
      <c r="M241" s="437">
        <f t="shared" si="754"/>
        <v>0</v>
      </c>
      <c r="N241" s="437">
        <f t="shared" si="754"/>
        <v>0</v>
      </c>
      <c r="O241" s="478"/>
      <c r="P241" s="437">
        <f t="shared" ref="P241:AY241" si="755">P82*P$202</f>
        <v>0</v>
      </c>
      <c r="Q241" s="437">
        <f t="shared" si="755"/>
        <v>0</v>
      </c>
      <c r="R241" s="437">
        <f t="shared" si="755"/>
        <v>0</v>
      </c>
      <c r="S241" s="437">
        <f t="shared" si="755"/>
        <v>0</v>
      </c>
      <c r="T241" s="437">
        <f t="shared" si="755"/>
        <v>0</v>
      </c>
      <c r="U241" s="437">
        <f t="shared" si="755"/>
        <v>0</v>
      </c>
      <c r="V241" s="437">
        <f t="shared" si="755"/>
        <v>0</v>
      </c>
      <c r="W241" s="437">
        <f t="shared" si="755"/>
        <v>0</v>
      </c>
      <c r="X241" s="437">
        <f t="shared" si="755"/>
        <v>0</v>
      </c>
      <c r="Y241" s="437">
        <f t="shared" si="755"/>
        <v>0</v>
      </c>
      <c r="Z241" s="437">
        <f t="shared" si="755"/>
        <v>0</v>
      </c>
      <c r="AA241" s="437">
        <f t="shared" si="755"/>
        <v>0</v>
      </c>
      <c r="AB241" s="437">
        <f t="shared" si="755"/>
        <v>0</v>
      </c>
      <c r="AC241" s="437">
        <f t="shared" si="755"/>
        <v>0</v>
      </c>
      <c r="AD241" s="437">
        <f t="shared" si="755"/>
        <v>0</v>
      </c>
      <c r="AE241" s="437">
        <f t="shared" si="755"/>
        <v>0</v>
      </c>
      <c r="AF241" s="437">
        <f t="shared" si="755"/>
        <v>0</v>
      </c>
      <c r="AG241" s="437">
        <f t="shared" si="755"/>
        <v>0</v>
      </c>
      <c r="AH241" s="437">
        <f t="shared" si="755"/>
        <v>0</v>
      </c>
      <c r="AI241" s="437">
        <f t="shared" si="755"/>
        <v>0</v>
      </c>
      <c r="AJ241" s="437">
        <f t="shared" si="755"/>
        <v>0</v>
      </c>
      <c r="AK241" s="437">
        <f t="shared" si="755"/>
        <v>0</v>
      </c>
      <c r="AL241" s="437">
        <f t="shared" si="755"/>
        <v>0</v>
      </c>
      <c r="AM241" s="437">
        <f t="shared" si="755"/>
        <v>0</v>
      </c>
      <c r="AN241" s="437">
        <f t="shared" si="755"/>
        <v>0</v>
      </c>
      <c r="AO241" s="437">
        <f t="shared" si="755"/>
        <v>0</v>
      </c>
      <c r="AP241" s="437">
        <f t="shared" si="755"/>
        <v>0</v>
      </c>
      <c r="AQ241" s="437">
        <f t="shared" si="755"/>
        <v>0</v>
      </c>
      <c r="AR241" s="437">
        <f t="shared" si="755"/>
        <v>0</v>
      </c>
      <c r="AS241" s="437">
        <f t="shared" si="755"/>
        <v>0</v>
      </c>
      <c r="AT241" s="437">
        <f t="shared" si="755"/>
        <v>0</v>
      </c>
      <c r="AU241" s="437">
        <f t="shared" si="755"/>
        <v>0</v>
      </c>
      <c r="AV241" s="437">
        <f t="shared" si="755"/>
        <v>0</v>
      </c>
      <c r="AW241" s="437">
        <f t="shared" si="755"/>
        <v>-128.32743882</v>
      </c>
      <c r="AX241" s="437">
        <f t="shared" si="755"/>
        <v>-134.14090555302076</v>
      </c>
      <c r="AY241" s="437">
        <f t="shared" si="755"/>
        <v>273.18821575312529</v>
      </c>
      <c r="AZ241" s="437">
        <f t="shared" ref="AZ241" si="756">AZ82*AZ$202</f>
        <v>0</v>
      </c>
      <c r="BB241" s="437">
        <f t="shared" si="732"/>
        <v>-15.010235250000001</v>
      </c>
    </row>
    <row r="242" spans="2:54" ht="13.5" customHeight="1" thickBot="1">
      <c r="B242" s="426" t="str">
        <f t="shared" si="728"/>
        <v xml:space="preserve">Free cash flow </v>
      </c>
      <c r="C242" s="436">
        <f t="shared" ref="C242:N242" si="757">C83*C$202</f>
        <v>43.029889139999995</v>
      </c>
      <c r="D242" s="436">
        <f t="shared" si="757"/>
        <v>-601.99240810000003</v>
      </c>
      <c r="E242" s="436">
        <f t="shared" si="757"/>
        <v>-88.941698760000065</v>
      </c>
      <c r="F242" s="436">
        <f t="shared" si="757"/>
        <v>-1111.43738398</v>
      </c>
      <c r="G242" s="436">
        <f t="shared" si="757"/>
        <v>-916.60684310000022</v>
      </c>
      <c r="H242" s="436">
        <f t="shared" si="757"/>
        <v>-101.47156354159652</v>
      </c>
      <c r="I242" s="436">
        <f t="shared" si="757"/>
        <v>19.046334160405994</v>
      </c>
      <c r="J242" s="436">
        <f t="shared" si="757"/>
        <v>67.086151879999974</v>
      </c>
      <c r="K242" s="436">
        <f t="shared" si="757"/>
        <v>383.26854100000008</v>
      </c>
      <c r="L242" s="436">
        <f t="shared" si="757"/>
        <v>454.68279282133079</v>
      </c>
      <c r="M242" s="436">
        <f t="shared" si="757"/>
        <v>4.7750652623165593</v>
      </c>
      <c r="N242" s="436">
        <f t="shared" si="757"/>
        <v>32.576131235152232</v>
      </c>
      <c r="O242" s="477"/>
      <c r="P242" s="436">
        <f t="shared" ref="P242:AY242" si="758">P83*P$202</f>
        <v>-62.189023379999959</v>
      </c>
      <c r="Q242" s="436">
        <f t="shared" si="758"/>
        <v>7.9235034599999885</v>
      </c>
      <c r="R242" s="436">
        <f t="shared" si="758"/>
        <v>-24.417560339999948</v>
      </c>
      <c r="S242" s="436">
        <f t="shared" si="758"/>
        <v>-516.38328676000003</v>
      </c>
      <c r="T242" s="436">
        <f t="shared" si="758"/>
        <v>49.127976690000054</v>
      </c>
      <c r="U242" s="436">
        <f t="shared" si="758"/>
        <v>-108.88472040000009</v>
      </c>
      <c r="V242" s="436">
        <f t="shared" si="758"/>
        <v>-8.0288208000000072</v>
      </c>
      <c r="W242" s="436">
        <f t="shared" si="758"/>
        <v>-18.449514549999865</v>
      </c>
      <c r="X242" s="436">
        <f t="shared" si="758"/>
        <v>-36.055377990000025</v>
      </c>
      <c r="Y242" s="436">
        <f t="shared" si="758"/>
        <v>-56.745091420000037</v>
      </c>
      <c r="Z242" s="436">
        <f t="shared" si="758"/>
        <v>75.497583520000077</v>
      </c>
      <c r="AA242" s="436">
        <f t="shared" si="758"/>
        <v>-1095.3807327800002</v>
      </c>
      <c r="AB242" s="436">
        <f t="shared" si="758"/>
        <v>-20.679680453488952</v>
      </c>
      <c r="AC242" s="436">
        <f t="shared" si="758"/>
        <v>-19.021361162217048</v>
      </c>
      <c r="AD242" s="436">
        <f t="shared" si="758"/>
        <v>-40.509485520984192</v>
      </c>
      <c r="AE242" s="436">
        <f t="shared" si="758"/>
        <v>-15.547582370890613</v>
      </c>
      <c r="AF242" s="436">
        <f t="shared" si="758"/>
        <v>-145.64782607430627</v>
      </c>
      <c r="AG242" s="436">
        <f t="shared" si="758"/>
        <v>37.338621876505094</v>
      </c>
      <c r="AH242" s="436">
        <f t="shared" si="758"/>
        <v>-8.325074348177596</v>
      </c>
      <c r="AI242" s="436">
        <f t="shared" si="758"/>
        <v>133.92515308767614</v>
      </c>
      <c r="AJ242" s="436">
        <f t="shared" si="758"/>
        <v>0.18497908000001401</v>
      </c>
      <c r="AK242" s="436">
        <f t="shared" si="758"/>
        <v>-84.059494099999995</v>
      </c>
      <c r="AL242" s="436">
        <f t="shared" si="758"/>
        <v>-35.794780418720386</v>
      </c>
      <c r="AM242" s="436">
        <f t="shared" si="758"/>
        <v>188.97140716251698</v>
      </c>
      <c r="AN242" s="436">
        <f t="shared" si="758"/>
        <v>-9.0682542599999927</v>
      </c>
      <c r="AO242" s="436">
        <f t="shared" si="758"/>
        <v>304.78740754000006</v>
      </c>
      <c r="AP242" s="436">
        <f t="shared" si="758"/>
        <v>-50.72625625000002</v>
      </c>
      <c r="AQ242" s="436">
        <f t="shared" si="758"/>
        <v>138.58554400000003</v>
      </c>
      <c r="AR242" s="436">
        <f t="shared" si="758"/>
        <v>7.6984887700000106</v>
      </c>
      <c r="AS242" s="436">
        <f t="shared" si="758"/>
        <v>203.04929119999989</v>
      </c>
      <c r="AT242" s="436">
        <f t="shared" si="758"/>
        <v>15.738013719999985</v>
      </c>
      <c r="AU242" s="436">
        <f t="shared" si="758"/>
        <v>218.81104128000001</v>
      </c>
      <c r="AV242" s="436">
        <f t="shared" si="758"/>
        <v>-4.3310921200000632</v>
      </c>
      <c r="AW242" s="436">
        <f t="shared" si="758"/>
        <v>6.2094848900001054</v>
      </c>
      <c r="AX242" s="436">
        <f t="shared" si="758"/>
        <v>-103.17603800424064</v>
      </c>
      <c r="AY242" s="436">
        <f t="shared" si="758"/>
        <v>108.24678730658275</v>
      </c>
      <c r="AZ242" s="436">
        <f t="shared" ref="AZ242" si="759">AZ83*AZ$202</f>
        <v>24.003165187491835</v>
      </c>
      <c r="BB242" s="436">
        <f t="shared" si="732"/>
        <v>-900.5501919000003</v>
      </c>
    </row>
    <row r="243" spans="2:54" ht="13.5" customHeight="1" thickTop="1" thickBot="1">
      <c r="B243" s="443" t="str">
        <f t="shared" si="728"/>
        <v>Other investing activities</v>
      </c>
      <c r="C243" s="442">
        <f t="shared" ref="C243:N243" si="760">C84*C$202</f>
        <v>23.146413500000001</v>
      </c>
      <c r="D243" s="442">
        <f t="shared" si="760"/>
        <v>0.44397544999999849</v>
      </c>
      <c r="E243" s="442">
        <f t="shared" si="760"/>
        <v>78.888756579999992</v>
      </c>
      <c r="F243" s="442">
        <f t="shared" si="760"/>
        <v>-76.768992630000014</v>
      </c>
      <c r="G243" s="442">
        <f t="shared" si="760"/>
        <v>-247.48389441</v>
      </c>
      <c r="H243" s="442">
        <f t="shared" si="760"/>
        <v>-53.186203572430422</v>
      </c>
      <c r="I243" s="442">
        <f t="shared" si="760"/>
        <v>-55.87358119206997</v>
      </c>
      <c r="J243" s="442">
        <f t="shared" si="760"/>
        <v>-55.726026840000003</v>
      </c>
      <c r="K243" s="442">
        <f t="shared" si="760"/>
        <v>-24.28183550000001</v>
      </c>
      <c r="L243" s="442">
        <f t="shared" si="760"/>
        <v>-124.28863231711979</v>
      </c>
      <c r="M243" s="442">
        <f t="shared" si="760"/>
        <v>-267.35558023848</v>
      </c>
      <c r="N243" s="442">
        <f t="shared" si="760"/>
        <v>-116.13357030011012</v>
      </c>
      <c r="O243" s="478"/>
      <c r="P243" s="442">
        <f t="shared" ref="P243:AY243" si="761">P84*P$202</f>
        <v>0</v>
      </c>
      <c r="Q243" s="442">
        <f t="shared" si="761"/>
        <v>-8.9743834399999987</v>
      </c>
      <c r="R243" s="442">
        <f t="shared" si="761"/>
        <v>40.724784719999995</v>
      </c>
      <c r="S243" s="442">
        <f t="shared" si="761"/>
        <v>-29.019913230000004</v>
      </c>
      <c r="T243" s="442">
        <f t="shared" si="761"/>
        <v>128.55279371999998</v>
      </c>
      <c r="U243" s="442">
        <f t="shared" si="761"/>
        <v>0</v>
      </c>
      <c r="V243" s="442">
        <f t="shared" si="761"/>
        <v>1.3703183999999986</v>
      </c>
      <c r="W243" s="442">
        <f t="shared" si="761"/>
        <v>-46.243176300000002</v>
      </c>
      <c r="X243" s="442">
        <f t="shared" si="761"/>
        <v>-74.354456249999998</v>
      </c>
      <c r="Y243" s="442">
        <f t="shared" si="761"/>
        <v>-0.42086593999999683</v>
      </c>
      <c r="Z243" s="442">
        <f t="shared" si="761"/>
        <v>-2.932551020000004</v>
      </c>
      <c r="AA243" s="442">
        <f t="shared" si="761"/>
        <v>0.76520627999999657</v>
      </c>
      <c r="AB243" s="442">
        <f t="shared" si="761"/>
        <v>0</v>
      </c>
      <c r="AC243" s="442">
        <f t="shared" si="761"/>
        <v>0</v>
      </c>
      <c r="AD243" s="442">
        <f t="shared" si="761"/>
        <v>-36.893984617124282</v>
      </c>
      <c r="AE243" s="442">
        <f t="shared" si="761"/>
        <v>-13.38385754790826</v>
      </c>
      <c r="AF243" s="442">
        <f t="shared" si="761"/>
        <v>-57.614538344620016</v>
      </c>
      <c r="AG243" s="442">
        <f t="shared" si="761"/>
        <v>-2.5604112957816931</v>
      </c>
      <c r="AH243" s="442">
        <f t="shared" si="761"/>
        <v>19.625792826980433</v>
      </c>
      <c r="AI243" s="442">
        <f t="shared" si="761"/>
        <v>-15.042274703148122</v>
      </c>
      <c r="AJ243" s="442">
        <f t="shared" si="761"/>
        <v>-4.239315079999999</v>
      </c>
      <c r="AK243" s="442">
        <f t="shared" si="761"/>
        <v>-9.2646835000000038</v>
      </c>
      <c r="AL243" s="442">
        <f t="shared" si="761"/>
        <v>-22.582390125630159</v>
      </c>
      <c r="AM243" s="442">
        <f t="shared" si="761"/>
        <v>-19.810382962814451</v>
      </c>
      <c r="AN243" s="442">
        <f t="shared" si="761"/>
        <v>-23.377864860000003</v>
      </c>
      <c r="AO243" s="442">
        <f t="shared" si="761"/>
        <v>-24.138169880000003</v>
      </c>
      <c r="AP243" s="442">
        <f t="shared" si="761"/>
        <v>41.622785149999984</v>
      </c>
      <c r="AQ243" s="442">
        <f t="shared" si="761"/>
        <v>-15.831491733333321</v>
      </c>
      <c r="AR243" s="442">
        <f t="shared" si="761"/>
        <v>-32.273534789999999</v>
      </c>
      <c r="AS243" s="442">
        <f t="shared" si="761"/>
        <v>-26.132591870000002</v>
      </c>
      <c r="AT243" s="442">
        <f t="shared" si="761"/>
        <v>-86.265610290000012</v>
      </c>
      <c r="AU243" s="442">
        <f t="shared" si="761"/>
        <v>17.732224800000012</v>
      </c>
      <c r="AV243" s="442">
        <f t="shared" si="761"/>
        <v>-131.81670889999998</v>
      </c>
      <c r="AW243" s="442">
        <f t="shared" si="761"/>
        <v>119.24284939</v>
      </c>
      <c r="AX243" s="442">
        <f t="shared" si="761"/>
        <v>-10.843500899111625</v>
      </c>
      <c r="AY243" s="442">
        <f t="shared" si="761"/>
        <v>-248.93057741061284</v>
      </c>
      <c r="AZ243" s="442">
        <f t="shared" ref="AZ243" si="762">AZ84*AZ$202</f>
        <v>16.449012586743788</v>
      </c>
      <c r="BB243" s="442">
        <f t="shared" si="732"/>
        <v>-169.94969549999999</v>
      </c>
    </row>
    <row r="244" spans="2:54" ht="13.5" customHeight="1" thickTop="1">
      <c r="B244" s="443" t="str">
        <f t="shared" si="728"/>
        <v>Equity Issuance/Buyback/ Trustor's contributions</v>
      </c>
      <c r="C244" s="442">
        <f t="shared" ref="C244:N244" si="763">C85*C$202</f>
        <v>58.981999999999999</v>
      </c>
      <c r="D244" s="442">
        <f t="shared" si="763"/>
        <v>722.68938085000002</v>
      </c>
      <c r="E244" s="442">
        <f t="shared" si="763"/>
        <v>35.143727720000001</v>
      </c>
      <c r="F244" s="442">
        <f t="shared" si="763"/>
        <v>0</v>
      </c>
      <c r="G244" s="442">
        <f t="shared" si="763"/>
        <v>0</v>
      </c>
      <c r="H244" s="442">
        <f t="shared" si="763"/>
        <v>0</v>
      </c>
      <c r="I244" s="442">
        <f t="shared" si="763"/>
        <v>0</v>
      </c>
      <c r="J244" s="442">
        <f t="shared" si="763"/>
        <v>0</v>
      </c>
      <c r="K244" s="442">
        <f t="shared" si="763"/>
        <v>0</v>
      </c>
      <c r="L244" s="442">
        <f t="shared" si="763"/>
        <v>0</v>
      </c>
      <c r="M244" s="442">
        <f t="shared" si="763"/>
        <v>799.9427050901794</v>
      </c>
      <c r="N244" s="442">
        <f t="shared" si="763"/>
        <v>830.57957767582479</v>
      </c>
      <c r="O244" s="478"/>
      <c r="P244" s="442">
        <f t="shared" ref="P244:AY244" si="764">P85*P$202</f>
        <v>14.817</v>
      </c>
      <c r="Q244" s="442">
        <f t="shared" si="764"/>
        <v>16.178999999999998</v>
      </c>
      <c r="R244" s="442">
        <f t="shared" si="764"/>
        <v>22.451999999999998</v>
      </c>
      <c r="S244" s="442">
        <f t="shared" si="764"/>
        <v>665.09517392999999</v>
      </c>
      <c r="T244" s="442">
        <f t="shared" si="764"/>
        <v>5.343</v>
      </c>
      <c r="U244" s="442">
        <f t="shared" si="764"/>
        <v>10.32</v>
      </c>
      <c r="V244" s="442">
        <f t="shared" si="764"/>
        <v>19.803273600000001</v>
      </c>
      <c r="W244" s="442">
        <f t="shared" si="764"/>
        <v>0</v>
      </c>
      <c r="X244" s="442">
        <f t="shared" si="764"/>
        <v>0</v>
      </c>
      <c r="Y244" s="442">
        <f t="shared" si="764"/>
        <v>0</v>
      </c>
      <c r="Z244" s="442">
        <f t="shared" si="764"/>
        <v>11.164401379999999</v>
      </c>
      <c r="AA244" s="442">
        <f t="shared" si="764"/>
        <v>-11.275047410000001</v>
      </c>
      <c r="AB244" s="442">
        <f t="shared" si="764"/>
        <v>1.7402404876780593</v>
      </c>
      <c r="AC244" s="442">
        <f t="shared" si="764"/>
        <v>-0.30968706683990932</v>
      </c>
      <c r="AD244" s="442">
        <f t="shared" si="764"/>
        <v>-1.3027500915398098</v>
      </c>
      <c r="AE244" s="442">
        <f t="shared" si="764"/>
        <v>0</v>
      </c>
      <c r="AF244" s="442">
        <f t="shared" si="764"/>
        <v>0</v>
      </c>
      <c r="AG244" s="442">
        <f t="shared" si="764"/>
        <v>4.9501417055558064E-3</v>
      </c>
      <c r="AH244" s="442">
        <f t="shared" si="764"/>
        <v>-4.9625498326026814E-3</v>
      </c>
      <c r="AI244" s="442">
        <f t="shared" si="764"/>
        <v>0</v>
      </c>
      <c r="AJ244" s="442">
        <f t="shared" si="764"/>
        <v>0</v>
      </c>
      <c r="AK244" s="442">
        <f t="shared" si="764"/>
        <v>0</v>
      </c>
      <c r="AL244" s="442">
        <f t="shared" si="764"/>
        <v>0</v>
      </c>
      <c r="AM244" s="442">
        <f t="shared" si="764"/>
        <v>0</v>
      </c>
      <c r="AN244" s="442">
        <f t="shared" si="764"/>
        <v>0</v>
      </c>
      <c r="AO244" s="442">
        <f t="shared" si="764"/>
        <v>0</v>
      </c>
      <c r="AP244" s="442">
        <f t="shared" si="764"/>
        <v>0</v>
      </c>
      <c r="AQ244" s="442">
        <f t="shared" si="764"/>
        <v>0</v>
      </c>
      <c r="AR244" s="442">
        <f t="shared" si="764"/>
        <v>0</v>
      </c>
      <c r="AS244" s="442">
        <f t="shared" si="764"/>
        <v>0</v>
      </c>
      <c r="AT244" s="442">
        <f t="shared" si="764"/>
        <v>0</v>
      </c>
      <c r="AU244" s="442">
        <f t="shared" si="764"/>
        <v>0</v>
      </c>
      <c r="AV244" s="442">
        <f t="shared" si="764"/>
        <v>0</v>
      </c>
      <c r="AW244" s="442">
        <f t="shared" si="764"/>
        <v>0</v>
      </c>
      <c r="AX244" s="442">
        <f t="shared" si="764"/>
        <v>0</v>
      </c>
      <c r="AY244" s="442">
        <f t="shared" si="764"/>
        <v>838.23815455896511</v>
      </c>
      <c r="AZ244" s="442">
        <f t="shared" ref="AZ244" si="765">AZ85*AZ$202</f>
        <v>0</v>
      </c>
      <c r="BB244" s="442">
        <f t="shared" si="732"/>
        <v>-11.275047410000001</v>
      </c>
    </row>
    <row r="245" spans="2:54" ht="12.75">
      <c r="B245" s="422" t="str">
        <f t="shared" si="728"/>
        <v>Distributions to trustors/ beneficiaries</v>
      </c>
      <c r="C245" s="437">
        <f t="shared" ref="C245:N245" si="766">C86*C$202</f>
        <v>-341.59736296</v>
      </c>
      <c r="D245" s="437">
        <f t="shared" si="766"/>
        <v>-359.01545060000001</v>
      </c>
      <c r="E245" s="437">
        <f t="shared" si="766"/>
        <v>-437.62088921999998</v>
      </c>
      <c r="F245" s="437">
        <f t="shared" si="766"/>
        <v>-472.28584611000002</v>
      </c>
      <c r="G245" s="437">
        <f t="shared" si="766"/>
        <v>-472.28584611000002</v>
      </c>
      <c r="H245" s="437">
        <f t="shared" si="766"/>
        <v>-271.43182340352774</v>
      </c>
      <c r="I245" s="437">
        <f t="shared" si="766"/>
        <v>-254.38327175505492</v>
      </c>
      <c r="J245" s="437">
        <f t="shared" si="766"/>
        <v>-430.18151704000002</v>
      </c>
      <c r="K245" s="437">
        <f t="shared" si="766"/>
        <v>-581.54591200000004</v>
      </c>
      <c r="L245" s="437">
        <f t="shared" si="766"/>
        <v>-450.56625413712879</v>
      </c>
      <c r="M245" s="437">
        <f t="shared" si="766"/>
        <v>-465.43279986486488</v>
      </c>
      <c r="N245" s="437">
        <f t="shared" si="766"/>
        <v>-535.78448160822484</v>
      </c>
      <c r="O245" s="478"/>
      <c r="P245" s="437">
        <f t="shared" ref="P245:AY245" si="767">P86*P$202</f>
        <v>-82.112801210000001</v>
      </c>
      <c r="Q245" s="437">
        <f t="shared" si="767"/>
        <v>-90.832195730000009</v>
      </c>
      <c r="R245" s="437">
        <f t="shared" si="767"/>
        <v>-95.527197959999981</v>
      </c>
      <c r="S245" s="437">
        <f t="shared" si="767"/>
        <v>-90.563572000000022</v>
      </c>
      <c r="T245" s="437">
        <f t="shared" si="767"/>
        <v>-107.96503926</v>
      </c>
      <c r="U245" s="437">
        <f t="shared" si="767"/>
        <v>-108.03951239999999</v>
      </c>
      <c r="V245" s="437">
        <f t="shared" si="767"/>
        <v>-112.31156640000002</v>
      </c>
      <c r="W245" s="437">
        <f t="shared" si="767"/>
        <v>-109.19917634999999</v>
      </c>
      <c r="X245" s="437">
        <f t="shared" si="767"/>
        <v>-116.66183570999999</v>
      </c>
      <c r="Y245" s="437">
        <f t="shared" si="767"/>
        <v>-118.20533641999999</v>
      </c>
      <c r="Z245" s="437">
        <f t="shared" si="767"/>
        <v>-117.97282189999999</v>
      </c>
      <c r="AA245" s="437">
        <f t="shared" si="767"/>
        <v>-119.42570878000004</v>
      </c>
      <c r="AB245" s="437">
        <f t="shared" si="767"/>
        <v>-109.11856832474571</v>
      </c>
      <c r="AC245" s="437">
        <f t="shared" si="767"/>
        <v>-48.149079943551854</v>
      </c>
      <c r="AD245" s="437">
        <f t="shared" si="767"/>
        <v>-49.760180937067048</v>
      </c>
      <c r="AE245" s="437">
        <f t="shared" si="767"/>
        <v>-53.667036582295722</v>
      </c>
      <c r="AF245" s="437">
        <f t="shared" si="767"/>
        <v>-59.869988830428717</v>
      </c>
      <c r="AG245" s="437">
        <f t="shared" si="767"/>
        <v>-62.231300468399503</v>
      </c>
      <c r="AH245" s="437">
        <f t="shared" si="767"/>
        <v>-62.953914666431082</v>
      </c>
      <c r="AI245" s="437">
        <f t="shared" si="767"/>
        <v>-69.035528927591812</v>
      </c>
      <c r="AJ245" s="437">
        <f t="shared" si="767"/>
        <v>-126.11246032</v>
      </c>
      <c r="AK245" s="437">
        <f t="shared" si="767"/>
        <v>-95.774317500000009</v>
      </c>
      <c r="AL245" s="437">
        <f t="shared" si="767"/>
        <v>-98.899221592602558</v>
      </c>
      <c r="AM245" s="437">
        <f t="shared" si="767"/>
        <v>-108.44055835693547</v>
      </c>
      <c r="AN245" s="437">
        <f t="shared" si="767"/>
        <v>-224.85130974</v>
      </c>
      <c r="AO245" s="437">
        <f t="shared" si="767"/>
        <v>-83.778710400000008</v>
      </c>
      <c r="AP245" s="437">
        <f t="shared" si="767"/>
        <v>-137.33189394999999</v>
      </c>
      <c r="AQ245" s="437">
        <f t="shared" si="767"/>
        <v>-129.48346773333333</v>
      </c>
      <c r="AR245" s="437">
        <f t="shared" si="767"/>
        <v>-158.32144579999999</v>
      </c>
      <c r="AS245" s="437">
        <f t="shared" si="767"/>
        <v>-90.045441149999988</v>
      </c>
      <c r="AT245" s="437">
        <f t="shared" si="767"/>
        <v>-105.16509465999998</v>
      </c>
      <c r="AU245" s="437">
        <f t="shared" si="767"/>
        <v>-100.38318672000003</v>
      </c>
      <c r="AV245" s="437">
        <f t="shared" si="767"/>
        <v>-103.33357996000001</v>
      </c>
      <c r="AW245" s="437">
        <f t="shared" si="767"/>
        <v>-108.90655250999998</v>
      </c>
      <c r="AX245" s="437">
        <f t="shared" si="767"/>
        <v>-117.21108993800155</v>
      </c>
      <c r="AY245" s="437">
        <f t="shared" si="767"/>
        <v>-137.07513768686081</v>
      </c>
      <c r="AZ245" s="437">
        <f t="shared" ref="AZ245" si="768">AZ86*AZ$202</f>
        <v>-175.4318260740859</v>
      </c>
      <c r="BB245" s="437">
        <f t="shared" si="732"/>
        <v>-119.42570878000004</v>
      </c>
    </row>
    <row r="246" spans="2:54" ht="12.75">
      <c r="B246" s="422" t="str">
        <f t="shared" si="728"/>
        <v>Trust certificates repurchase</v>
      </c>
      <c r="C246" s="437">
        <f t="shared" ref="C246:N246" si="769">C87*C$202</f>
        <v>0</v>
      </c>
      <c r="D246" s="437">
        <f t="shared" si="769"/>
        <v>0</v>
      </c>
      <c r="E246" s="437">
        <f t="shared" si="769"/>
        <v>-104.16524013999999</v>
      </c>
      <c r="F246" s="437">
        <f t="shared" si="769"/>
        <v>0</v>
      </c>
      <c r="G246" s="437">
        <f t="shared" si="769"/>
        <v>0</v>
      </c>
      <c r="H246" s="437">
        <f t="shared" si="769"/>
        <v>-61.7166603399519</v>
      </c>
      <c r="I246" s="437">
        <f t="shared" si="769"/>
        <v>-88.949107895996008</v>
      </c>
      <c r="J246" s="437">
        <f t="shared" si="769"/>
        <v>-51.565407520000001</v>
      </c>
      <c r="K246" s="437">
        <f t="shared" si="769"/>
        <v>0</v>
      </c>
      <c r="L246" s="437">
        <f t="shared" si="769"/>
        <v>0</v>
      </c>
      <c r="M246" s="437">
        <f t="shared" si="769"/>
        <v>-10.374800287229789</v>
      </c>
      <c r="N246" s="437">
        <f t="shared" si="769"/>
        <v>-4.4934909692357621E-3</v>
      </c>
      <c r="O246" s="478"/>
      <c r="P246" s="437">
        <f t="shared" ref="P246:AY246" si="770">P87*P$202</f>
        <v>0</v>
      </c>
      <c r="Q246" s="437">
        <f t="shared" si="770"/>
        <v>0</v>
      </c>
      <c r="R246" s="437">
        <f t="shared" si="770"/>
        <v>0</v>
      </c>
      <c r="S246" s="437">
        <f t="shared" si="770"/>
        <v>0</v>
      </c>
      <c r="T246" s="437">
        <f t="shared" si="770"/>
        <v>-0.26656226999999999</v>
      </c>
      <c r="U246" s="437">
        <f t="shared" si="770"/>
        <v>-42.996628799999996</v>
      </c>
      <c r="V246" s="437">
        <f t="shared" si="770"/>
        <v>-16.809038399999999</v>
      </c>
      <c r="W246" s="437">
        <f t="shared" si="770"/>
        <v>-42.592866549999997</v>
      </c>
      <c r="X246" s="437">
        <f t="shared" si="770"/>
        <v>0</v>
      </c>
      <c r="Y246" s="437">
        <f t="shared" si="770"/>
        <v>0</v>
      </c>
      <c r="Z246" s="437">
        <f t="shared" si="770"/>
        <v>0</v>
      </c>
      <c r="AA246" s="437">
        <f t="shared" si="770"/>
        <v>0</v>
      </c>
      <c r="AB246" s="437">
        <f t="shared" si="770"/>
        <v>0</v>
      </c>
      <c r="AC246" s="437">
        <f t="shared" si="770"/>
        <v>0</v>
      </c>
      <c r="AD246" s="437">
        <f t="shared" si="770"/>
        <v>-40.081157614840585</v>
      </c>
      <c r="AE246" s="437">
        <f t="shared" si="770"/>
        <v>-18.475895727369785</v>
      </c>
      <c r="AF246" s="437">
        <f t="shared" si="770"/>
        <v>-63.3382689147153</v>
      </c>
      <c r="AG246" s="437">
        <f t="shared" si="770"/>
        <v>-22.121490262290131</v>
      </c>
      <c r="AH246" s="437">
        <f t="shared" si="770"/>
        <v>-3.385104117313265</v>
      </c>
      <c r="AI246" s="437">
        <f t="shared" si="770"/>
        <v>-0.22677138537382338</v>
      </c>
      <c r="AJ246" s="437">
        <f t="shared" si="770"/>
        <v>-22.008709580000001</v>
      </c>
      <c r="AK246" s="437">
        <f t="shared" si="770"/>
        <v>-5.1147499999999972</v>
      </c>
      <c r="AL246" s="437">
        <f t="shared" si="770"/>
        <v>-23.975908847844465</v>
      </c>
      <c r="AM246" s="437">
        <f t="shared" si="770"/>
        <v>0</v>
      </c>
      <c r="AN246" s="437">
        <f t="shared" si="770"/>
        <v>0</v>
      </c>
      <c r="AO246" s="437">
        <f t="shared" si="770"/>
        <v>0</v>
      </c>
      <c r="AP246" s="437">
        <f t="shared" si="770"/>
        <v>0</v>
      </c>
      <c r="AQ246" s="437">
        <f t="shared" si="770"/>
        <v>0</v>
      </c>
      <c r="AR246" s="437">
        <f t="shared" si="770"/>
        <v>0</v>
      </c>
      <c r="AS246" s="437">
        <f t="shared" si="770"/>
        <v>0</v>
      </c>
      <c r="AT246" s="437">
        <f t="shared" si="770"/>
        <v>0</v>
      </c>
      <c r="AU246" s="437">
        <f t="shared" si="770"/>
        <v>0</v>
      </c>
      <c r="AV246" s="437">
        <f t="shared" si="770"/>
        <v>-9.7337255399999982</v>
      </c>
      <c r="AW246" s="437">
        <f t="shared" si="770"/>
        <v>-4.2587299999999181E-3</v>
      </c>
      <c r="AX246" s="437">
        <f t="shared" si="770"/>
        <v>0</v>
      </c>
      <c r="AY246" s="437">
        <f t="shared" si="770"/>
        <v>0</v>
      </c>
      <c r="AZ246" s="437">
        <f t="shared" ref="AZ246" si="771">AZ87*AZ$202</f>
        <v>0</v>
      </c>
      <c r="BB246" s="437">
        <f t="shared" si="732"/>
        <v>0</v>
      </c>
    </row>
    <row r="247" spans="2:54" ht="12.75">
      <c r="B247" s="422" t="str">
        <f t="shared" si="728"/>
        <v>Change in debt</v>
      </c>
      <c r="C247" s="437">
        <f t="shared" ref="C247:N247" si="772">C88*C$202</f>
        <v>222.9711023400001</v>
      </c>
      <c r="D247" s="437">
        <f t="shared" si="772"/>
        <v>94.930163350000001</v>
      </c>
      <c r="E247" s="437">
        <f t="shared" si="772"/>
        <v>543.64035037999997</v>
      </c>
      <c r="F247" s="437">
        <f t="shared" si="772"/>
        <v>1538.0856706500001</v>
      </c>
      <c r="G247" s="437">
        <f t="shared" si="772"/>
        <v>1538.0856706500001</v>
      </c>
      <c r="H247" s="437">
        <f t="shared" si="772"/>
        <v>761.53255150386769</v>
      </c>
      <c r="I247" s="437">
        <f t="shared" si="772"/>
        <v>433.15090048983092</v>
      </c>
      <c r="J247" s="437">
        <f t="shared" si="772"/>
        <v>429.23221307999972</v>
      </c>
      <c r="K247" s="437">
        <f t="shared" si="772"/>
        <v>-9.7561374999999586</v>
      </c>
      <c r="L247" s="437">
        <f t="shared" si="772"/>
        <v>263.24629433418175</v>
      </c>
      <c r="M247" s="437">
        <f t="shared" si="772"/>
        <v>457.76143140939365</v>
      </c>
      <c r="N247" s="437">
        <f t="shared" si="772"/>
        <v>397.17132945016334</v>
      </c>
      <c r="O247" s="478"/>
      <c r="P247" s="437">
        <f t="shared" ref="P247:AY247" si="773">P88*P$202</f>
        <v>-3.0689464300000004</v>
      </c>
      <c r="Q247" s="437">
        <f t="shared" si="773"/>
        <v>51.034983669999995</v>
      </c>
      <c r="R247" s="437">
        <f t="shared" si="773"/>
        <v>25.305817590000007</v>
      </c>
      <c r="S247" s="437">
        <f t="shared" si="773"/>
        <v>23.943495179999999</v>
      </c>
      <c r="T247" s="437">
        <f t="shared" si="773"/>
        <v>24.782864339999996</v>
      </c>
      <c r="U247" s="437">
        <f t="shared" si="773"/>
        <v>155.9816916</v>
      </c>
      <c r="V247" s="437">
        <f t="shared" si="773"/>
        <v>233.49490560000001</v>
      </c>
      <c r="W247" s="437">
        <f t="shared" si="773"/>
        <v>127.81921189999993</v>
      </c>
      <c r="X247" s="437">
        <f t="shared" si="773"/>
        <v>152.98912367999998</v>
      </c>
      <c r="Y247" s="437">
        <f t="shared" si="773"/>
        <v>927.88927739999997</v>
      </c>
      <c r="Z247" s="437">
        <f t="shared" si="773"/>
        <v>-131.66607060000007</v>
      </c>
      <c r="AA247" s="437">
        <f t="shared" si="773"/>
        <v>597.14865629000008</v>
      </c>
      <c r="AB247" s="437">
        <f t="shared" si="773"/>
        <v>162.99271695395771</v>
      </c>
      <c r="AC247" s="437">
        <f t="shared" si="773"/>
        <v>524.45648260211772</v>
      </c>
      <c r="AD247" s="437">
        <f t="shared" si="773"/>
        <v>353.02610119670555</v>
      </c>
      <c r="AE247" s="437">
        <f t="shared" si="773"/>
        <v>-373.13391162148667</v>
      </c>
      <c r="AF247" s="437">
        <f t="shared" si="773"/>
        <v>204.08996664737984</v>
      </c>
      <c r="AG247" s="437">
        <f t="shared" si="773"/>
        <v>-2.5649159247337665</v>
      </c>
      <c r="AH247" s="437">
        <f t="shared" si="773"/>
        <v>-2.5650923829739698</v>
      </c>
      <c r="AI247" s="437">
        <f t="shared" si="773"/>
        <v>231.1978089739942</v>
      </c>
      <c r="AJ247" s="437">
        <f t="shared" si="773"/>
        <v>54.930161549999987</v>
      </c>
      <c r="AK247" s="437">
        <f t="shared" si="773"/>
        <v>182.5592997</v>
      </c>
      <c r="AL247" s="437">
        <f t="shared" si="773"/>
        <v>74.054765006385395</v>
      </c>
      <c r="AM247" s="437">
        <f t="shared" si="773"/>
        <v>118.66441409788885</v>
      </c>
      <c r="AN247" s="437">
        <f t="shared" si="773"/>
        <v>-2.4958635600000179</v>
      </c>
      <c r="AO247" s="437">
        <f t="shared" si="773"/>
        <v>-70.942264579999943</v>
      </c>
      <c r="AP247" s="437">
        <f t="shared" si="773"/>
        <v>4.5257393499998679</v>
      </c>
      <c r="AQ247" s="437">
        <f t="shared" si="773"/>
        <v>59.996298133333454</v>
      </c>
      <c r="AR247" s="437">
        <f t="shared" si="773"/>
        <v>83.944499100000016</v>
      </c>
      <c r="AS247" s="437">
        <f t="shared" si="773"/>
        <v>120.83958292000008</v>
      </c>
      <c r="AT247" s="437">
        <f t="shared" si="773"/>
        <v>39.022787679999993</v>
      </c>
      <c r="AU247" s="437">
        <f t="shared" si="773"/>
        <v>28.500786399999971</v>
      </c>
      <c r="AV247" s="437">
        <f t="shared" si="773"/>
        <v>116.52403557999999</v>
      </c>
      <c r="AW247" s="437">
        <f t="shared" si="773"/>
        <v>101.84285874000008</v>
      </c>
      <c r="AX247" s="437">
        <f t="shared" si="773"/>
        <v>152.41895917764845</v>
      </c>
      <c r="AY247" s="437">
        <f t="shared" si="773"/>
        <v>85.99511539470241</v>
      </c>
      <c r="AZ247" s="437">
        <f t="shared" ref="AZ247" si="774">AZ88*AZ$202</f>
        <v>53.395802141625062</v>
      </c>
      <c r="BB247" s="437">
        <f t="shared" si="732"/>
        <v>597.14865629000008</v>
      </c>
    </row>
    <row r="248" spans="2:54" ht="13.5" customHeight="1" thickBot="1">
      <c r="B248" s="440" t="str">
        <f t="shared" si="728"/>
        <v>Other financing activities</v>
      </c>
      <c r="C248" s="439">
        <f t="shared" ref="C248:N248" si="775">C89*C$202</f>
        <v>0</v>
      </c>
      <c r="D248" s="439">
        <f t="shared" si="775"/>
        <v>0</v>
      </c>
      <c r="E248" s="439">
        <f t="shared" si="775"/>
        <v>0</v>
      </c>
      <c r="F248" s="439">
        <f t="shared" si="775"/>
        <v>0</v>
      </c>
      <c r="G248" s="439">
        <f t="shared" si="775"/>
        <v>0</v>
      </c>
      <c r="H248" s="439">
        <f t="shared" si="775"/>
        <v>-33.347370429430612</v>
      </c>
      <c r="I248" s="439">
        <f t="shared" si="775"/>
        <v>-126.73648278685691</v>
      </c>
      <c r="J248" s="439">
        <f t="shared" si="775"/>
        <v>-24.026096159999998</v>
      </c>
      <c r="K248" s="439">
        <f t="shared" si="775"/>
        <v>-70.390807500000008</v>
      </c>
      <c r="L248" s="439">
        <f t="shared" si="775"/>
        <v>-86.59663131219348</v>
      </c>
      <c r="M248" s="439">
        <f t="shared" si="775"/>
        <v>-106.61067480616609</v>
      </c>
      <c r="N248" s="439">
        <f t="shared" si="775"/>
        <v>-100.31567001171877</v>
      </c>
      <c r="O248" s="478"/>
      <c r="P248" s="439">
        <f t="shared" ref="P248:AY248" si="776">P89*P$202</f>
        <v>0</v>
      </c>
      <c r="Q248" s="439">
        <f t="shared" si="776"/>
        <v>0</v>
      </c>
      <c r="R248" s="439">
        <f t="shared" si="776"/>
        <v>0</v>
      </c>
      <c r="S248" s="439">
        <f t="shared" si="776"/>
        <v>0</v>
      </c>
      <c r="T248" s="439">
        <f t="shared" si="776"/>
        <v>0</v>
      </c>
      <c r="U248" s="439">
        <f t="shared" si="776"/>
        <v>0</v>
      </c>
      <c r="V248" s="439">
        <f t="shared" si="776"/>
        <v>0</v>
      </c>
      <c r="W248" s="439">
        <f t="shared" si="776"/>
        <v>0</v>
      </c>
      <c r="X248" s="439">
        <f t="shared" si="776"/>
        <v>0</v>
      </c>
      <c r="Y248" s="439">
        <f t="shared" si="776"/>
        <v>0</v>
      </c>
      <c r="Z248" s="439">
        <f t="shared" si="776"/>
        <v>0</v>
      </c>
      <c r="AA248" s="439">
        <f t="shared" si="776"/>
        <v>0</v>
      </c>
      <c r="AB248" s="439">
        <f t="shared" si="776"/>
        <v>0</v>
      </c>
      <c r="AC248" s="439">
        <f t="shared" si="776"/>
        <v>-17.281365512347506</v>
      </c>
      <c r="AD248" s="439">
        <f t="shared" si="776"/>
        <v>1.4525329301768823</v>
      </c>
      <c r="AE248" s="439">
        <f t="shared" si="776"/>
        <v>-15.487519757127517</v>
      </c>
      <c r="AF248" s="439">
        <f t="shared" si="776"/>
        <v>1.7535593311651436</v>
      </c>
      <c r="AG248" s="439">
        <f t="shared" si="776"/>
        <v>-28.952487810288915</v>
      </c>
      <c r="AH248" s="439">
        <f t="shared" si="776"/>
        <v>54.1062341953821</v>
      </c>
      <c r="AI248" s="439">
        <f t="shared" si="776"/>
        <v>-151.41697743768646</v>
      </c>
      <c r="AJ248" s="439">
        <f t="shared" si="776"/>
        <v>-2.707292610000001</v>
      </c>
      <c r="AK248" s="439">
        <f t="shared" si="776"/>
        <v>4.6957397000000007</v>
      </c>
      <c r="AL248" s="439">
        <f t="shared" si="776"/>
        <v>45.655646737144508</v>
      </c>
      <c r="AM248" s="439">
        <f t="shared" si="776"/>
        <v>-72.61746637671051</v>
      </c>
      <c r="AN248" s="439">
        <f t="shared" si="776"/>
        <v>-6.5405641800000005</v>
      </c>
      <c r="AO248" s="439">
        <f t="shared" si="776"/>
        <v>-17.555783080000005</v>
      </c>
      <c r="AP248" s="439">
        <f t="shared" si="776"/>
        <v>-17.825371849999993</v>
      </c>
      <c r="AQ248" s="439">
        <f t="shared" si="776"/>
        <v>-29.037517333333334</v>
      </c>
      <c r="AR248" s="439">
        <f t="shared" si="776"/>
        <v>-23.947903910000001</v>
      </c>
      <c r="AS248" s="439">
        <f t="shared" si="776"/>
        <v>-28.758681489999997</v>
      </c>
      <c r="AT248" s="439">
        <f t="shared" si="776"/>
        <v>-14.401498239999999</v>
      </c>
      <c r="AU248" s="439">
        <f t="shared" si="776"/>
        <v>-20.425833120000004</v>
      </c>
      <c r="AV248" s="439">
        <f t="shared" si="776"/>
        <v>-11.416038039999998</v>
      </c>
      <c r="AW248" s="439">
        <f t="shared" si="776"/>
        <v>-12.876911529999999</v>
      </c>
      <c r="AX248" s="439">
        <f t="shared" si="776"/>
        <v>-9.8785259937196397</v>
      </c>
      <c r="AY248" s="439">
        <f t="shared" si="776"/>
        <v>-75.202213917300483</v>
      </c>
      <c r="AZ248" s="439">
        <f t="shared" ref="AZ248" si="777">AZ89*AZ$202</f>
        <v>-2.366546928458793</v>
      </c>
      <c r="BB248" s="439">
        <f t="shared" si="732"/>
        <v>0</v>
      </c>
    </row>
    <row r="249" spans="2:54" ht="14.25" thickTop="1" thickBot="1">
      <c r="B249" s="438" t="str">
        <f t="shared" si="728"/>
        <v>Cash flow after financing activities</v>
      </c>
      <c r="C249" s="436">
        <f t="shared" ref="C249:N249" si="778">C90*C$202</f>
        <v>6.5320420200000928</v>
      </c>
      <c r="D249" s="436">
        <f t="shared" si="778"/>
        <v>-142.94433904999994</v>
      </c>
      <c r="E249" s="436">
        <f t="shared" si="778"/>
        <v>26.945006559999861</v>
      </c>
      <c r="F249" s="436">
        <f t="shared" si="778"/>
        <v>-122.4065520700001</v>
      </c>
      <c r="G249" s="436">
        <f t="shared" si="778"/>
        <v>-98.290912970000164</v>
      </c>
      <c r="H249" s="436">
        <f t="shared" si="778"/>
        <v>240.37893021693051</v>
      </c>
      <c r="I249" s="436">
        <f t="shared" si="778"/>
        <v>-73.745208979740852</v>
      </c>
      <c r="J249" s="436">
        <f t="shared" si="778"/>
        <v>-65.18068260000031</v>
      </c>
      <c r="K249" s="436">
        <f t="shared" si="778"/>
        <v>-302.70615149999986</v>
      </c>
      <c r="L249" s="436">
        <f t="shared" si="778"/>
        <v>56.477569389070482</v>
      </c>
      <c r="M249" s="436">
        <f t="shared" si="778"/>
        <v>412.70534656514889</v>
      </c>
      <c r="N249" s="436">
        <f t="shared" si="778"/>
        <v>508.08882295011739</v>
      </c>
      <c r="O249" s="477"/>
      <c r="P249" s="436">
        <f t="shared" ref="P249:AY249" si="779">P90*P$202</f>
        <v>-132.55377101999997</v>
      </c>
      <c r="Q249" s="436">
        <f t="shared" si="779"/>
        <v>-24.669092040000017</v>
      </c>
      <c r="R249" s="436">
        <f t="shared" si="779"/>
        <v>-31.462155989999918</v>
      </c>
      <c r="S249" s="436">
        <f t="shared" si="779"/>
        <v>53.071897119999988</v>
      </c>
      <c r="T249" s="436">
        <f t="shared" si="779"/>
        <v>99.575033220000051</v>
      </c>
      <c r="U249" s="436">
        <f t="shared" si="779"/>
        <v>-93.619170000000082</v>
      </c>
      <c r="V249" s="436">
        <f t="shared" si="779"/>
        <v>117.51907199999999</v>
      </c>
      <c r="W249" s="436">
        <f t="shared" si="779"/>
        <v>-88.665521849999934</v>
      </c>
      <c r="X249" s="436">
        <f t="shared" si="779"/>
        <v>-74.082546270000009</v>
      </c>
      <c r="Y249" s="436">
        <f t="shared" si="779"/>
        <v>752.51798362</v>
      </c>
      <c r="Z249" s="436">
        <f t="shared" si="779"/>
        <v>-165.90945862000001</v>
      </c>
      <c r="AA249" s="436">
        <f t="shared" si="779"/>
        <v>-628.16762640000036</v>
      </c>
      <c r="AB249" s="436">
        <f t="shared" si="779"/>
        <v>34.934708663401111</v>
      </c>
      <c r="AC249" s="436">
        <f t="shared" si="779"/>
        <v>439.69498891716142</v>
      </c>
      <c r="AD249" s="436">
        <f t="shared" si="779"/>
        <v>185.93107534532652</v>
      </c>
      <c r="AE249" s="436">
        <f t="shared" si="779"/>
        <v>-489.69580360707863</v>
      </c>
      <c r="AF249" s="436">
        <f t="shared" si="779"/>
        <v>-120.62709618552529</v>
      </c>
      <c r="AG249" s="436">
        <f t="shared" si="779"/>
        <v>-81.087033743283357</v>
      </c>
      <c r="AH249" s="436">
        <f t="shared" si="779"/>
        <v>-3.5021210423659772</v>
      </c>
      <c r="AI249" s="436">
        <f t="shared" si="779"/>
        <v>129.40140960787014</v>
      </c>
      <c r="AJ249" s="436">
        <f t="shared" si="779"/>
        <v>-99.952636960000007</v>
      </c>
      <c r="AK249" s="436">
        <f t="shared" si="779"/>
        <v>-6.9582057000000361</v>
      </c>
      <c r="AL249" s="436">
        <f t="shared" si="779"/>
        <v>-61.541889241267647</v>
      </c>
      <c r="AM249" s="436">
        <f t="shared" si="779"/>
        <v>106.76741356394541</v>
      </c>
      <c r="AN249" s="436">
        <f t="shared" si="779"/>
        <v>-266.33385660000005</v>
      </c>
      <c r="AO249" s="436">
        <f t="shared" si="779"/>
        <v>108.37247960000012</v>
      </c>
      <c r="AP249" s="436">
        <f t="shared" si="779"/>
        <v>-159.73499755000012</v>
      </c>
      <c r="AQ249" s="436">
        <f t="shared" si="779"/>
        <v>24.229365333333508</v>
      </c>
      <c r="AR249" s="436">
        <f t="shared" si="779"/>
        <v>-122.89989662999999</v>
      </c>
      <c r="AS249" s="436">
        <f t="shared" si="779"/>
        <v>178.95215960999997</v>
      </c>
      <c r="AT249" s="436">
        <f t="shared" si="779"/>
        <v>-151.07140178999998</v>
      </c>
      <c r="AU249" s="436">
        <f t="shared" si="779"/>
        <v>144.23503263999999</v>
      </c>
      <c r="AV249" s="436">
        <f t="shared" si="779"/>
        <v>-144.10710898000008</v>
      </c>
      <c r="AW249" s="436">
        <f t="shared" si="779"/>
        <v>105.5074702500002</v>
      </c>
      <c r="AX249" s="436">
        <f t="shared" si="779"/>
        <v>-88.690195657425008</v>
      </c>
      <c r="AY249" s="436">
        <f t="shared" si="779"/>
        <v>571.2721282454761</v>
      </c>
      <c r="AZ249" s="436">
        <f t="shared" ref="AZ249" si="780">AZ90*AZ$202</f>
        <v>-83.950393086684016</v>
      </c>
      <c r="BB249" s="436">
        <f t="shared" si="732"/>
        <v>-604.05198730000041</v>
      </c>
    </row>
    <row r="250" spans="2:54" ht="13.5" customHeight="1" thickTop="1">
      <c r="B250" s="422" t="str">
        <f t="shared" si="728"/>
        <v>FX</v>
      </c>
      <c r="C250" s="437">
        <f t="shared" ref="C250:N250" si="781">C91*C$202</f>
        <v>0</v>
      </c>
      <c r="D250" s="437">
        <f t="shared" si="781"/>
        <v>0</v>
      </c>
      <c r="E250" s="437">
        <f t="shared" si="781"/>
        <v>0</v>
      </c>
      <c r="F250" s="437">
        <f t="shared" si="781"/>
        <v>0</v>
      </c>
      <c r="G250" s="437">
        <f t="shared" si="781"/>
        <v>0</v>
      </c>
      <c r="H250" s="437">
        <f t="shared" si="781"/>
        <v>0</v>
      </c>
      <c r="I250" s="437">
        <f t="shared" si="781"/>
        <v>0</v>
      </c>
      <c r="J250" s="437">
        <f t="shared" si="781"/>
        <v>0</v>
      </c>
      <c r="K250" s="437">
        <f t="shared" si="781"/>
        <v>0</v>
      </c>
      <c r="L250" s="437">
        <f t="shared" si="781"/>
        <v>0</v>
      </c>
      <c r="M250" s="437">
        <f t="shared" si="781"/>
        <v>0</v>
      </c>
      <c r="N250" s="437">
        <f t="shared" si="781"/>
        <v>0</v>
      </c>
      <c r="O250" s="478"/>
      <c r="P250" s="437">
        <f t="shared" ref="P250:AY250" si="782">P91*P$202</f>
        <v>0</v>
      </c>
      <c r="Q250" s="437">
        <f t="shared" si="782"/>
        <v>0</v>
      </c>
      <c r="R250" s="437">
        <f t="shared" si="782"/>
        <v>0</v>
      </c>
      <c r="S250" s="437">
        <f t="shared" si="782"/>
        <v>0</v>
      </c>
      <c r="T250" s="437">
        <f t="shared" si="782"/>
        <v>0</v>
      </c>
      <c r="U250" s="437">
        <f t="shared" si="782"/>
        <v>0</v>
      </c>
      <c r="V250" s="437">
        <f t="shared" si="782"/>
        <v>0</v>
      </c>
      <c r="W250" s="437">
        <f t="shared" si="782"/>
        <v>0</v>
      </c>
      <c r="X250" s="437">
        <f t="shared" si="782"/>
        <v>0</v>
      </c>
      <c r="Y250" s="437">
        <f t="shared" si="782"/>
        <v>0</v>
      </c>
      <c r="Z250" s="437">
        <f t="shared" si="782"/>
        <v>0</v>
      </c>
      <c r="AA250" s="437">
        <f t="shared" si="782"/>
        <v>0</v>
      </c>
      <c r="AB250" s="437">
        <f t="shared" si="782"/>
        <v>0</v>
      </c>
      <c r="AC250" s="437">
        <f t="shared" si="782"/>
        <v>0</v>
      </c>
      <c r="AD250" s="437">
        <f t="shared" si="782"/>
        <v>0</v>
      </c>
      <c r="AE250" s="437">
        <f t="shared" si="782"/>
        <v>0</v>
      </c>
      <c r="AF250" s="437">
        <f t="shared" si="782"/>
        <v>0</v>
      </c>
      <c r="AG250" s="437">
        <f t="shared" si="782"/>
        <v>0</v>
      </c>
      <c r="AH250" s="437">
        <f t="shared" si="782"/>
        <v>0</v>
      </c>
      <c r="AI250" s="437">
        <f t="shared" si="782"/>
        <v>0</v>
      </c>
      <c r="AJ250" s="437">
        <f t="shared" si="782"/>
        <v>0</v>
      </c>
      <c r="AK250" s="437">
        <f t="shared" si="782"/>
        <v>0</v>
      </c>
      <c r="AL250" s="437">
        <f t="shared" si="782"/>
        <v>0</v>
      </c>
      <c r="AM250" s="437">
        <f t="shared" si="782"/>
        <v>0</v>
      </c>
      <c r="AN250" s="437">
        <f t="shared" si="782"/>
        <v>0</v>
      </c>
      <c r="AO250" s="437">
        <f t="shared" si="782"/>
        <v>0</v>
      </c>
      <c r="AP250" s="437">
        <f t="shared" si="782"/>
        <v>0</v>
      </c>
      <c r="AQ250" s="437">
        <f t="shared" si="782"/>
        <v>0</v>
      </c>
      <c r="AR250" s="437">
        <f t="shared" si="782"/>
        <v>0</v>
      </c>
      <c r="AS250" s="437">
        <f t="shared" si="782"/>
        <v>0</v>
      </c>
      <c r="AT250" s="437">
        <f t="shared" si="782"/>
        <v>0</v>
      </c>
      <c r="AU250" s="437">
        <f t="shared" si="782"/>
        <v>0</v>
      </c>
      <c r="AV250" s="437">
        <f t="shared" si="782"/>
        <v>0</v>
      </c>
      <c r="AW250" s="437">
        <f t="shared" si="782"/>
        <v>0</v>
      </c>
      <c r="AX250" s="437">
        <f t="shared" si="782"/>
        <v>0</v>
      </c>
      <c r="AY250" s="437">
        <f t="shared" si="782"/>
        <v>0</v>
      </c>
      <c r="AZ250" s="437">
        <f t="shared" ref="AZ250" si="783">AZ91*AZ$202</f>
        <v>0</v>
      </c>
      <c r="BB250" s="437">
        <f t="shared" si="732"/>
        <v>0</v>
      </c>
    </row>
    <row r="251" spans="2:54" ht="12.75">
      <c r="B251" s="422" t="str">
        <f t="shared" si="728"/>
        <v>Balancing figure</v>
      </c>
      <c r="C251" s="437">
        <f t="shared" ref="C251:N251" si="784">C92*C$202</f>
        <v>-30.221250780000094</v>
      </c>
      <c r="D251" s="437">
        <f t="shared" si="784"/>
        <v>19.567227249999942</v>
      </c>
      <c r="E251" s="437">
        <f t="shared" si="784"/>
        <v>34.510886360000143</v>
      </c>
      <c r="F251" s="437">
        <f t="shared" si="784"/>
        <v>51.414908430000104</v>
      </c>
      <c r="G251" s="437">
        <f t="shared" si="784"/>
        <v>27.299269330000165</v>
      </c>
      <c r="H251" s="437">
        <f t="shared" si="784"/>
        <v>-17.2231205464618</v>
      </c>
      <c r="I251" s="437">
        <f t="shared" si="784"/>
        <v>24.067471377199457</v>
      </c>
      <c r="J251" s="437">
        <f t="shared" si="784"/>
        <v>72.519354600000312</v>
      </c>
      <c r="K251" s="437">
        <f t="shared" si="784"/>
        <v>73.289652999999859</v>
      </c>
      <c r="L251" s="437">
        <f t="shared" si="784"/>
        <v>35.929720696020574</v>
      </c>
      <c r="M251" s="437">
        <f t="shared" si="784"/>
        <v>67.164336152389637</v>
      </c>
      <c r="N251" s="437">
        <f t="shared" si="784"/>
        <v>92.393158186947147</v>
      </c>
      <c r="O251" s="478"/>
      <c r="P251" s="437">
        <f t="shared" ref="P251:AY251" si="785">P92*P$202</f>
        <v>6.7180771899999643</v>
      </c>
      <c r="Q251" s="437">
        <f t="shared" si="785"/>
        <v>-36.562113149999973</v>
      </c>
      <c r="R251" s="437">
        <f t="shared" si="785"/>
        <v>37.762018799999886</v>
      </c>
      <c r="S251" s="437">
        <f t="shared" si="785"/>
        <v>12.541221110000061</v>
      </c>
      <c r="T251" s="437">
        <f t="shared" si="785"/>
        <v>-71.71588320000005</v>
      </c>
      <c r="U251" s="437">
        <f t="shared" si="785"/>
        <v>80.929801200000085</v>
      </c>
      <c r="V251" s="437">
        <f t="shared" si="785"/>
        <v>15.041716800000041</v>
      </c>
      <c r="W251" s="437">
        <f t="shared" si="785"/>
        <v>7.6612361000000666</v>
      </c>
      <c r="X251" s="437">
        <f t="shared" si="785"/>
        <v>18.454704390000003</v>
      </c>
      <c r="Y251" s="437">
        <f t="shared" si="785"/>
        <v>22.685359819999988</v>
      </c>
      <c r="Z251" s="437">
        <f t="shared" si="785"/>
        <v>-62.020312439999856</v>
      </c>
      <c r="AA251" s="437">
        <f t="shared" si="785"/>
        <v>73.119763169999985</v>
      </c>
      <c r="AB251" s="437">
        <f t="shared" si="785"/>
        <v>13.373184577689624</v>
      </c>
      <c r="AC251" s="437">
        <f t="shared" si="785"/>
        <v>15.60826193128986</v>
      </c>
      <c r="AD251" s="437">
        <f t="shared" si="785"/>
        <v>-31.283460736867102</v>
      </c>
      <c r="AE251" s="437">
        <f t="shared" si="785"/>
        <v>-14.495348002286635</v>
      </c>
      <c r="AF251" s="437">
        <f t="shared" si="785"/>
        <v>-23.787913474410207</v>
      </c>
      <c r="AG251" s="437">
        <f t="shared" si="785"/>
        <v>26.316487850663471</v>
      </c>
      <c r="AH251" s="437">
        <f t="shared" si="785"/>
        <v>-6.9912402041707296</v>
      </c>
      <c r="AI251" s="437">
        <f t="shared" si="785"/>
        <v>28.196719004698849</v>
      </c>
      <c r="AJ251" s="437">
        <f t="shared" si="785"/>
        <v>-17.135124820000001</v>
      </c>
      <c r="AK251" s="437">
        <f t="shared" si="785"/>
        <v>52.933770300000035</v>
      </c>
      <c r="AL251" s="437">
        <f t="shared" si="785"/>
        <v>42.70548355721666</v>
      </c>
      <c r="AM251" s="437">
        <f t="shared" si="785"/>
        <v>-5.5851761598100715</v>
      </c>
      <c r="AN251" s="437">
        <f t="shared" si="785"/>
        <v>61.915708500000015</v>
      </c>
      <c r="AO251" s="437">
        <f t="shared" si="785"/>
        <v>-34.709227520000148</v>
      </c>
      <c r="AP251" s="437">
        <f t="shared" si="785"/>
        <v>59.546169700000135</v>
      </c>
      <c r="AQ251" s="437">
        <f t="shared" si="785"/>
        <v>-14.925158933333474</v>
      </c>
      <c r="AR251" s="437">
        <f t="shared" si="785"/>
        <v>62.088069679999997</v>
      </c>
      <c r="AS251" s="437">
        <f t="shared" si="785"/>
        <v>-11.340686839999966</v>
      </c>
      <c r="AT251" s="437">
        <f t="shared" si="785"/>
        <v>44.734136369999987</v>
      </c>
      <c r="AU251" s="437">
        <f t="shared" si="785"/>
        <v>-52.170722720000143</v>
      </c>
      <c r="AV251" s="437">
        <f t="shared" si="785"/>
        <v>21.266338660000098</v>
      </c>
      <c r="AW251" s="437">
        <f t="shared" si="785"/>
        <v>6.786773699999789</v>
      </c>
      <c r="AX251" s="437">
        <f t="shared" si="785"/>
        <v>17.50261681741322</v>
      </c>
      <c r="AY251" s="437">
        <f t="shared" si="785"/>
        <v>21.595145991782648</v>
      </c>
      <c r="AZ251" s="437">
        <f t="shared" ref="AZ251" si="786">AZ92*AZ$202</f>
        <v>48.561205959205509</v>
      </c>
      <c r="BB251" s="437">
        <f t="shared" si="732"/>
        <v>49.004124070000024</v>
      </c>
    </row>
    <row r="252" spans="2:54" s="424" customFormat="1" ht="13.5" customHeight="1" thickBot="1">
      <c r="B252" s="426" t="str">
        <f t="shared" si="728"/>
        <v xml:space="preserve">Net change in cash </v>
      </c>
      <c r="C252" s="436">
        <f t="shared" ref="C252:N252" si="787">C93*C$202</f>
        <v>-23.68920876</v>
      </c>
      <c r="D252" s="436">
        <f t="shared" si="787"/>
        <v>-123.37711179999999</v>
      </c>
      <c r="E252" s="436">
        <f t="shared" si="787"/>
        <v>61.455892920000004</v>
      </c>
      <c r="F252" s="436">
        <f t="shared" si="787"/>
        <v>-70.991643640000007</v>
      </c>
      <c r="G252" s="436">
        <f t="shared" si="787"/>
        <v>-70.991643640000007</v>
      </c>
      <c r="H252" s="436">
        <f t="shared" si="787"/>
        <v>223.1558096704687</v>
      </c>
      <c r="I252" s="436">
        <f t="shared" si="787"/>
        <v>-49.677737602541391</v>
      </c>
      <c r="J252" s="436">
        <f t="shared" si="787"/>
        <v>7.3386719999999954</v>
      </c>
      <c r="K252" s="436">
        <f t="shared" si="787"/>
        <v>-229.41649850000002</v>
      </c>
      <c r="L252" s="436">
        <f t="shared" si="787"/>
        <v>92.407290085091063</v>
      </c>
      <c r="M252" s="436">
        <f t="shared" si="787"/>
        <v>479.86968271753852</v>
      </c>
      <c r="N252" s="436">
        <f t="shared" si="787"/>
        <v>600.48198113706462</v>
      </c>
      <c r="O252" s="477"/>
      <c r="P252" s="436">
        <f t="shared" ref="P252:AY252" si="788">P93*P$202</f>
        <v>-125.83569383000001</v>
      </c>
      <c r="Q252" s="436">
        <f t="shared" si="788"/>
        <v>-61.23120518999999</v>
      </c>
      <c r="R252" s="436">
        <f t="shared" si="788"/>
        <v>6.2998628099999658</v>
      </c>
      <c r="S252" s="436">
        <f t="shared" si="788"/>
        <v>65.613118230000055</v>
      </c>
      <c r="T252" s="436">
        <f t="shared" si="788"/>
        <v>27.859150019999998</v>
      </c>
      <c r="U252" s="436">
        <f t="shared" si="788"/>
        <v>-12.689368800000006</v>
      </c>
      <c r="V252" s="436">
        <f t="shared" si="788"/>
        <v>132.56078880000004</v>
      </c>
      <c r="W252" s="436">
        <f t="shared" si="788"/>
        <v>-81.004285749999866</v>
      </c>
      <c r="X252" s="436">
        <f t="shared" si="788"/>
        <v>-55.627841879999998</v>
      </c>
      <c r="Y252" s="436">
        <f t="shared" si="788"/>
        <v>775.20334344000003</v>
      </c>
      <c r="Z252" s="436">
        <f t="shared" si="788"/>
        <v>-227.92977105999984</v>
      </c>
      <c r="AA252" s="436">
        <f t="shared" si="788"/>
        <v>-555.04786323000042</v>
      </c>
      <c r="AB252" s="436">
        <f t="shared" si="788"/>
        <v>48.307893241090731</v>
      </c>
      <c r="AC252" s="436">
        <f t="shared" si="788"/>
        <v>455.30325084845128</v>
      </c>
      <c r="AD252" s="436">
        <f t="shared" si="788"/>
        <v>154.64761460845941</v>
      </c>
      <c r="AE252" s="436">
        <f t="shared" si="788"/>
        <v>-504.19115160936525</v>
      </c>
      <c r="AF252" s="436">
        <f t="shared" si="788"/>
        <v>-144.41500965993549</v>
      </c>
      <c r="AG252" s="436">
        <f t="shared" si="788"/>
        <v>-54.770545892619886</v>
      </c>
      <c r="AH252" s="436">
        <f t="shared" si="788"/>
        <v>-10.493361246536706</v>
      </c>
      <c r="AI252" s="436">
        <f t="shared" si="788"/>
        <v>157.59812861256898</v>
      </c>
      <c r="AJ252" s="436">
        <f t="shared" si="788"/>
        <v>-117.08776178000001</v>
      </c>
      <c r="AK252" s="436">
        <f t="shared" si="788"/>
        <v>45.975564600000006</v>
      </c>
      <c r="AL252" s="436">
        <f t="shared" si="788"/>
        <v>-18.836405684050987</v>
      </c>
      <c r="AM252" s="436">
        <f t="shared" si="788"/>
        <v>101.18223740413535</v>
      </c>
      <c r="AN252" s="436">
        <f t="shared" si="788"/>
        <v>-204.41814810000002</v>
      </c>
      <c r="AO252" s="436">
        <f t="shared" si="788"/>
        <v>73.663252079999964</v>
      </c>
      <c r="AP252" s="436">
        <f t="shared" si="788"/>
        <v>-100.18882785</v>
      </c>
      <c r="AQ252" s="436">
        <f t="shared" si="788"/>
        <v>9.3042064000000355</v>
      </c>
      <c r="AR252" s="436">
        <f t="shared" si="788"/>
        <v>-60.81182694999999</v>
      </c>
      <c r="AS252" s="436">
        <f t="shared" si="788"/>
        <v>167.61147276999998</v>
      </c>
      <c r="AT252" s="436">
        <f t="shared" si="788"/>
        <v>-106.33726541999999</v>
      </c>
      <c r="AU252" s="436">
        <f t="shared" si="788"/>
        <v>92.064309919999829</v>
      </c>
      <c r="AV252" s="436">
        <f t="shared" si="788"/>
        <v>-122.84077031999999</v>
      </c>
      <c r="AW252" s="436">
        <f t="shared" si="788"/>
        <v>112.29424394999998</v>
      </c>
      <c r="AX252" s="436">
        <f t="shared" si="788"/>
        <v>-71.187578840011795</v>
      </c>
      <c r="AY252" s="436">
        <f t="shared" si="788"/>
        <v>592.8672742372587</v>
      </c>
      <c r="AZ252" s="436">
        <f t="shared" ref="AZ252" si="789">AZ93*AZ$202</f>
        <v>-35.3891871274785</v>
      </c>
      <c r="BB252" s="436">
        <f t="shared" si="732"/>
        <v>-555.04786323000042</v>
      </c>
    </row>
    <row r="253" spans="2:54" ht="13.5" customHeight="1" thickTop="1">
      <c r="C253" s="434"/>
      <c r="D253" s="433"/>
      <c r="E253" s="433"/>
      <c r="F253" s="433"/>
      <c r="G253" s="433"/>
      <c r="H253" s="433"/>
      <c r="I253" s="433"/>
      <c r="J253" s="433"/>
      <c r="K253" s="433"/>
      <c r="L253" s="433"/>
      <c r="M253" s="433"/>
      <c r="N253" s="433"/>
      <c r="O253" s="433"/>
      <c r="P253" s="433"/>
      <c r="Q253" s="433"/>
      <c r="R253" s="433"/>
      <c r="S253" s="433"/>
      <c r="T253" s="433"/>
      <c r="U253" s="433"/>
      <c r="V253" s="433"/>
      <c r="W253" s="433"/>
      <c r="X253" s="433"/>
      <c r="Y253" s="433"/>
      <c r="Z253" s="433"/>
      <c r="AA253" s="433"/>
      <c r="AB253" s="433"/>
      <c r="AC253" s="433"/>
      <c r="AD253" s="433"/>
      <c r="AE253" s="433"/>
      <c r="AF253" s="433"/>
      <c r="AG253" s="433"/>
      <c r="AH253" s="433"/>
      <c r="AI253" s="433"/>
      <c r="AJ253" s="433"/>
      <c r="AK253" s="433"/>
      <c r="AL253" s="433"/>
      <c r="AM253" s="433"/>
      <c r="AN253" s="433"/>
      <c r="AO253" s="433"/>
      <c r="AP253" s="433"/>
      <c r="AQ253" s="433"/>
      <c r="AR253" s="433"/>
      <c r="AS253" s="433"/>
      <c r="AT253" s="433"/>
      <c r="AU253" s="433"/>
      <c r="AV253" s="433"/>
      <c r="AW253" s="433"/>
      <c r="AX253" s="433"/>
      <c r="AY253" s="433"/>
      <c r="AZ253" s="433"/>
      <c r="BB253" s="433"/>
    </row>
    <row r="254" spans="2:54" ht="12.75">
      <c r="B254" s="435" t="s">
        <v>557</v>
      </c>
      <c r="C254" s="471">
        <f t="shared" ref="C254:X254" si="790">C187*C$203</f>
        <v>268.78242353852107</v>
      </c>
      <c r="D254" s="471">
        <f t="shared" si="790"/>
        <v>163.58644871651956</v>
      </c>
      <c r="E254" s="471">
        <f t="shared" si="790"/>
        <v>224.29748786667074</v>
      </c>
      <c r="F254" s="471">
        <f t="shared" ref="F254:I254" si="791">F187*F$203</f>
        <v>161.23363376729353</v>
      </c>
      <c r="G254" s="471">
        <f t="shared" si="791"/>
        <v>161.23363376729353</v>
      </c>
      <c r="H254" s="471">
        <f t="shared" si="791"/>
        <v>388.58867731449902</v>
      </c>
      <c r="I254" s="471">
        <f t="shared" si="791"/>
        <v>329.4219057022475</v>
      </c>
      <c r="J254" s="471">
        <f t="shared" ref="J254:K254" si="792">J187*J$203</f>
        <v>354.74423491962108</v>
      </c>
      <c r="K254" s="471">
        <f t="shared" si="792"/>
        <v>166.48921379999999</v>
      </c>
      <c r="L254" s="471">
        <f t="shared" ref="L254:M254" si="793">L187*L$203</f>
        <v>217.03487562260742</v>
      </c>
      <c r="M254" s="471">
        <f t="shared" si="793"/>
        <v>763.73641236287131</v>
      </c>
      <c r="N254" s="471">
        <f t="shared" ref="N254" si="794">N187*N$203</f>
        <v>725.10048874448569</v>
      </c>
      <c r="O254" s="471"/>
      <c r="P254" s="471">
        <f t="shared" si="790"/>
        <v>160.69804734898091</v>
      </c>
      <c r="Q254" s="471">
        <f t="shared" si="790"/>
        <v>103.78025172094365</v>
      </c>
      <c r="R254" s="471">
        <f t="shared" si="790"/>
        <v>108.97834365503711</v>
      </c>
      <c r="S254" s="471">
        <f t="shared" si="790"/>
        <v>163.58644871651956</v>
      </c>
      <c r="T254" s="471">
        <f t="shared" si="790"/>
        <v>204.41320286734447</v>
      </c>
      <c r="U254" s="471">
        <f t="shared" si="790"/>
        <v>176.40271254021238</v>
      </c>
      <c r="V254" s="471">
        <f t="shared" si="790"/>
        <v>319.71938124601314</v>
      </c>
      <c r="W254" s="471">
        <f t="shared" si="790"/>
        <v>224.29748786667074</v>
      </c>
      <c r="X254" s="471">
        <f t="shared" si="790"/>
        <v>172.42201730712668</v>
      </c>
      <c r="Y254" s="471">
        <f t="shared" ref="Y254:AD254" si="795">Y187*Y$203</f>
        <v>946.98771421863978</v>
      </c>
      <c r="Z254" s="471">
        <f t="shared" si="795"/>
        <v>697.28227511076784</v>
      </c>
      <c r="AA254" s="471">
        <f t="shared" si="795"/>
        <v>161.23363376729353</v>
      </c>
      <c r="AB254" s="471">
        <f t="shared" si="795"/>
        <v>167.54802287803736</v>
      </c>
      <c r="AC254" s="471">
        <f t="shared" si="795"/>
        <v>642.27009618502109</v>
      </c>
      <c r="AD254" s="471">
        <f t="shared" si="795"/>
        <v>821.7397293356828</v>
      </c>
      <c r="AE254" s="471">
        <f t="shared" ref="AE254:AJ254" si="796">AE187*AE$203</f>
        <v>388.58867731449902</v>
      </c>
      <c r="AF254" s="471">
        <f t="shared" si="796"/>
        <v>233.96481009586216</v>
      </c>
      <c r="AG254" s="471">
        <f t="shared" si="796"/>
        <v>187.41785553878995</v>
      </c>
      <c r="AH254" s="471">
        <f t="shared" si="796"/>
        <v>170.86624352976187</v>
      </c>
      <c r="AI254" s="471">
        <f t="shared" si="796"/>
        <v>327.42298442927586</v>
      </c>
      <c r="AJ254" s="471">
        <f t="shared" si="796"/>
        <v>216.8991507537186</v>
      </c>
      <c r="AK254" s="471">
        <f t="shared" ref="AK254:AN254" si="797">AK187*AK$203</f>
        <v>263.10522549750561</v>
      </c>
      <c r="AL254" s="471">
        <f t="shared" si="797"/>
        <v>240.25839907809592</v>
      </c>
      <c r="AM254" s="471">
        <f t="shared" si="797"/>
        <v>354.74423491962108</v>
      </c>
      <c r="AN254" s="471">
        <f t="shared" si="797"/>
        <v>169.63120151999999</v>
      </c>
      <c r="AO254" s="471">
        <f t="shared" ref="AO254:AR254" si="798">AO187*AO$203</f>
        <v>255.39895584000001</v>
      </c>
      <c r="AP254" s="471">
        <f t="shared" si="798"/>
        <v>152.73088134000002</v>
      </c>
      <c r="AQ254" s="471">
        <f t="shared" si="798"/>
        <v>166.48921379999999</v>
      </c>
      <c r="AR254" s="471">
        <f t="shared" si="798"/>
        <v>106.9019572</v>
      </c>
      <c r="AS254" s="471">
        <f t="shared" ref="AS254:AV254" si="799">AS187*AS$203</f>
        <v>255.21669215999998</v>
      </c>
      <c r="AT254" s="471">
        <f t="shared" si="799"/>
        <v>135.58313154000001</v>
      </c>
      <c r="AU254" s="471">
        <f t="shared" si="799"/>
        <v>217.03487562260742</v>
      </c>
      <c r="AV254" s="471">
        <f t="shared" si="799"/>
        <v>98.855853372838141</v>
      </c>
      <c r="AW254" s="471">
        <f t="shared" ref="AW254:AZ254" si="800">AW187*AW$203</f>
        <v>222.15436568428186</v>
      </c>
      <c r="AX254" s="471">
        <f t="shared" si="800"/>
        <v>156.17728818169454</v>
      </c>
      <c r="AY254" s="471">
        <f t="shared" si="800"/>
        <v>763.73641236287131</v>
      </c>
      <c r="AZ254" s="471">
        <f t="shared" si="800"/>
        <v>725.10048874448569</v>
      </c>
      <c r="BB254" s="471">
        <f>BB187*BB$203</f>
        <v>161.23363376729353</v>
      </c>
    </row>
    <row r="255" spans="2:54" ht="12.75">
      <c r="C255" s="471"/>
      <c r="D255" s="471"/>
      <c r="E255" s="471"/>
      <c r="F255" s="471"/>
      <c r="G255" s="471"/>
      <c r="H255" s="471"/>
      <c r="I255" s="471"/>
      <c r="J255" s="471"/>
      <c r="K255" s="471"/>
      <c r="L255" s="471"/>
      <c r="M255" s="471"/>
      <c r="N255" s="471"/>
      <c r="O255" s="471"/>
      <c r="P255" s="471"/>
      <c r="Q255" s="471"/>
      <c r="R255" s="471"/>
      <c r="S255" s="471"/>
      <c r="T255" s="471"/>
      <c r="U255" s="471"/>
      <c r="V255" s="471"/>
      <c r="W255" s="471"/>
      <c r="X255" s="471"/>
      <c r="Y255" s="471"/>
      <c r="Z255" s="471"/>
      <c r="AA255" s="471"/>
      <c r="AB255" s="471"/>
      <c r="AC255" s="471"/>
      <c r="AD255" s="471"/>
      <c r="AE255" s="471"/>
      <c r="AF255" s="471"/>
      <c r="AG255" s="471"/>
      <c r="AH255" s="471"/>
      <c r="AI255" s="471"/>
      <c r="AJ255" s="471"/>
      <c r="AK255" s="471"/>
      <c r="AL255" s="471"/>
      <c r="AM255" s="471"/>
      <c r="AN255" s="471"/>
      <c r="AO255" s="471"/>
      <c r="AP255" s="471"/>
      <c r="AQ255" s="471"/>
      <c r="AR255" s="471"/>
      <c r="AS255" s="471"/>
      <c r="AT255" s="471"/>
      <c r="AU255" s="471"/>
      <c r="AV255" s="471"/>
      <c r="AW255" s="471"/>
      <c r="AX255" s="471"/>
      <c r="AY255" s="471"/>
      <c r="AZ255" s="471"/>
      <c r="BB255" s="471"/>
    </row>
    <row r="256" spans="2:54" ht="12.75">
      <c r="B256" s="422" t="s">
        <v>582</v>
      </c>
      <c r="C256" s="471">
        <f t="shared" ref="C256:N256" si="801">C203*C128</f>
        <v>5935.1207413859847</v>
      </c>
      <c r="D256" s="471">
        <f t="shared" si="801"/>
        <v>7594.2992794673537</v>
      </c>
      <c r="E256" s="471">
        <f t="shared" si="801"/>
        <v>8043.370420113346</v>
      </c>
      <c r="F256" s="471">
        <f t="shared" si="801"/>
        <v>8872.9442528096151</v>
      </c>
      <c r="G256" s="471">
        <f t="shared" si="801"/>
        <v>8843.7196585544189</v>
      </c>
      <c r="H256" s="471">
        <f t="shared" si="801"/>
        <v>8697.959990368794</v>
      </c>
      <c r="I256" s="471">
        <f t="shared" si="801"/>
        <v>8355.3992453051524</v>
      </c>
      <c r="J256" s="471">
        <f t="shared" si="801"/>
        <v>9588.3450858387878</v>
      </c>
      <c r="K256" s="471">
        <f t="shared" si="801"/>
        <v>11471.518259100001</v>
      </c>
      <c r="L256" s="471">
        <f t="shared" si="801"/>
        <v>9019.296003304562</v>
      </c>
      <c r="M256" s="471">
        <f t="shared" si="801"/>
        <v>23089.456438856327</v>
      </c>
      <c r="N256" s="471">
        <f t="shared" si="801"/>
        <v>22298.326479102434</v>
      </c>
      <c r="O256" s="471"/>
      <c r="P256" s="471">
        <f t="shared" ref="P256:AY256" si="802">P203*P128</f>
        <v>6821.9642503968917</v>
      </c>
      <c r="Q256" s="471">
        <f t="shared" si="802"/>
        <v>7188.9862379977703</v>
      </c>
      <c r="R256" s="471">
        <f t="shared" si="802"/>
        <v>7196.5494370229526</v>
      </c>
      <c r="S256" s="471">
        <f t="shared" si="802"/>
        <v>7594.2992794673537</v>
      </c>
      <c r="T256" s="471">
        <f t="shared" si="802"/>
        <v>8344.4885933113474</v>
      </c>
      <c r="U256" s="471">
        <f t="shared" si="802"/>
        <v>7591.2805525768636</v>
      </c>
      <c r="V256" s="471">
        <f t="shared" si="802"/>
        <v>8171.9260578354224</v>
      </c>
      <c r="W256" s="471">
        <f t="shared" si="802"/>
        <v>8043.370420113346</v>
      </c>
      <c r="X256" s="471">
        <f t="shared" si="802"/>
        <v>8265.435696851795</v>
      </c>
      <c r="Y256" s="471">
        <f t="shared" si="802"/>
        <v>8525.1543939275361</v>
      </c>
      <c r="Z256" s="471">
        <f t="shared" si="802"/>
        <v>8260.4412930368671</v>
      </c>
      <c r="AA256" s="471">
        <f t="shared" si="802"/>
        <v>8872.9442528096151</v>
      </c>
      <c r="AB256" s="471">
        <f t="shared" si="802"/>
        <v>6150.8290200244592</v>
      </c>
      <c r="AC256" s="471">
        <f t="shared" si="802"/>
        <v>6958.0724954068946</v>
      </c>
      <c r="AD256" s="471">
        <f t="shared" si="802"/>
        <v>7324.7317507312227</v>
      </c>
      <c r="AE256" s="471">
        <f t="shared" si="802"/>
        <v>8697.959990368794</v>
      </c>
      <c r="AF256" s="471">
        <f t="shared" si="802"/>
        <v>8303.4876835335526</v>
      </c>
      <c r="AG256" s="471">
        <f t="shared" si="802"/>
        <v>8641.4532920865768</v>
      </c>
      <c r="AH256" s="471">
        <f t="shared" si="802"/>
        <v>8233.5155651609712</v>
      </c>
      <c r="AI256" s="471">
        <f t="shared" si="802"/>
        <v>8304.6989579031742</v>
      </c>
      <c r="AJ256" s="471">
        <f t="shared" si="802"/>
        <v>8620.8275399865961</v>
      </c>
      <c r="AK256" s="471">
        <f t="shared" si="802"/>
        <v>8624.9255680595652</v>
      </c>
      <c r="AL256" s="471">
        <f t="shared" si="802"/>
        <v>8625.0612632843822</v>
      </c>
      <c r="AM256" s="471">
        <f t="shared" si="802"/>
        <v>9588.3450858387878</v>
      </c>
      <c r="AN256" s="471">
        <f t="shared" si="802"/>
        <v>10438.215616399999</v>
      </c>
      <c r="AO256" s="471">
        <f t="shared" si="802"/>
        <v>11296.093084080001</v>
      </c>
      <c r="AP256" s="471">
        <f t="shared" si="802"/>
        <v>10918.324252980001</v>
      </c>
      <c r="AQ256" s="471">
        <f t="shared" si="802"/>
        <v>11471.518259100001</v>
      </c>
      <c r="AR256" s="471">
        <f t="shared" si="802"/>
        <v>11610.7720156</v>
      </c>
      <c r="AS256" s="471">
        <f t="shared" si="802"/>
        <v>10725.801276390001</v>
      </c>
      <c r="AT256" s="471">
        <f t="shared" si="802"/>
        <v>9789.9030253800011</v>
      </c>
      <c r="AU256" s="471">
        <f t="shared" si="802"/>
        <v>9019.296003304562</v>
      </c>
      <c r="AV256" s="471">
        <f t="shared" si="802"/>
        <v>9213.545688102291</v>
      </c>
      <c r="AW256" s="471">
        <f t="shared" si="802"/>
        <v>10139.533790650406</v>
      </c>
      <c r="AX256" s="471">
        <f t="shared" si="802"/>
        <v>10535.006446348429</v>
      </c>
      <c r="AY256" s="471">
        <f t="shared" si="802"/>
        <v>23089.456438856327</v>
      </c>
      <c r="AZ256" s="471">
        <f t="shared" ref="AZ256" si="803">AZ203*AZ128</f>
        <v>22298.326479102434</v>
      </c>
      <c r="BB256" s="471">
        <f>BB203*BB128</f>
        <v>8843.7196585544189</v>
      </c>
    </row>
    <row r="257" spans="2:54" ht="12.75">
      <c r="C257" s="471"/>
      <c r="D257" s="471"/>
      <c r="E257" s="471"/>
      <c r="F257" s="471"/>
      <c r="G257" s="471"/>
      <c r="H257" s="471"/>
      <c r="I257" s="471"/>
      <c r="J257" s="471"/>
      <c r="K257" s="471"/>
      <c r="L257" s="471"/>
      <c r="M257" s="471"/>
      <c r="N257" s="471"/>
      <c r="O257" s="471"/>
      <c r="P257" s="471"/>
      <c r="Q257" s="471"/>
      <c r="R257" s="471"/>
      <c r="S257" s="471"/>
      <c r="T257" s="471"/>
      <c r="U257" s="471"/>
      <c r="V257" s="471"/>
      <c r="W257" s="471"/>
      <c r="X257" s="471"/>
      <c r="Y257" s="471"/>
      <c r="Z257" s="471"/>
      <c r="AA257" s="471"/>
      <c r="AB257" s="471"/>
      <c r="AC257" s="471"/>
      <c r="AD257" s="471"/>
      <c r="AE257" s="471"/>
      <c r="AF257" s="471"/>
      <c r="AG257" s="471"/>
      <c r="AH257" s="471"/>
      <c r="AI257" s="471"/>
      <c r="AJ257" s="471"/>
      <c r="AK257" s="471"/>
      <c r="AL257" s="471"/>
      <c r="AM257" s="471"/>
      <c r="AN257" s="471"/>
      <c r="AO257" s="471"/>
      <c r="AP257" s="471"/>
      <c r="AQ257" s="471"/>
      <c r="AR257" s="471"/>
      <c r="AS257" s="471"/>
      <c r="AT257" s="471"/>
      <c r="AU257" s="471"/>
      <c r="AV257" s="471"/>
      <c r="AW257" s="471"/>
      <c r="AX257" s="471"/>
      <c r="AY257" s="471"/>
      <c r="AZ257" s="471"/>
      <c r="BB257" s="471"/>
    </row>
    <row r="258" spans="2:54" s="424" customFormat="1" ht="12.75">
      <c r="B258" s="424" t="s">
        <v>571</v>
      </c>
      <c r="C258" s="455">
        <f t="shared" ref="C258:N258" si="804">C125*C$203</f>
        <v>2867.4231997677116</v>
      </c>
      <c r="D258" s="455">
        <f t="shared" si="804"/>
        <v>3285.147602784843</v>
      </c>
      <c r="E258" s="455">
        <f t="shared" si="804"/>
        <v>3823.5088469012949</v>
      </c>
      <c r="F258" s="455">
        <f t="shared" si="804"/>
        <v>5511.4384269341435</v>
      </c>
      <c r="G258" s="455">
        <f t="shared" si="804"/>
        <v>5511.4384269341435</v>
      </c>
      <c r="H258" s="455">
        <f t="shared" si="804"/>
        <v>5908.306161964766</v>
      </c>
      <c r="I258" s="455">
        <f t="shared" si="804"/>
        <v>6319.4298241326387</v>
      </c>
      <c r="J258" s="455">
        <f t="shared" si="804"/>
        <v>6827.5415544212256</v>
      </c>
      <c r="K258" s="455">
        <f t="shared" si="804"/>
        <v>7405.4353317000005</v>
      </c>
      <c r="L258" s="455">
        <f t="shared" si="804"/>
        <v>6923.1870295921644</v>
      </c>
      <c r="M258" s="455">
        <f t="shared" si="804"/>
        <v>7633.0470815453027</v>
      </c>
      <c r="N258" s="455">
        <f t="shared" si="804"/>
        <v>7606.7592310715272</v>
      </c>
      <c r="O258" s="455"/>
      <c r="P258" s="455">
        <f t="shared" ref="P258:AY258" si="805">P125*P$203</f>
        <v>69.11491936561562</v>
      </c>
      <c r="Q258" s="455">
        <f t="shared" si="805"/>
        <v>3328.1600741073562</v>
      </c>
      <c r="R258" s="455">
        <f t="shared" si="805"/>
        <v>3339.7988778925037</v>
      </c>
      <c r="S258" s="455">
        <f t="shared" si="805"/>
        <v>3285.147602784843</v>
      </c>
      <c r="T258" s="455">
        <f t="shared" si="805"/>
        <v>3397.3249202758325</v>
      </c>
      <c r="U258" s="455">
        <f t="shared" si="805"/>
        <v>3468.7237266718021</v>
      </c>
      <c r="V258" s="455">
        <f t="shared" si="805"/>
        <v>3639.5716032319792</v>
      </c>
      <c r="W258" s="455">
        <f t="shared" si="805"/>
        <v>3823.5088469012949</v>
      </c>
      <c r="X258" s="455">
        <f t="shared" si="805"/>
        <v>4044.3584133585837</v>
      </c>
      <c r="Y258" s="455">
        <f t="shared" si="805"/>
        <v>4230.1098155828568</v>
      </c>
      <c r="Z258" s="455">
        <f t="shared" si="805"/>
        <v>4297.3313076704198</v>
      </c>
      <c r="AA258" s="455">
        <f t="shared" si="805"/>
        <v>5511.4384269341435</v>
      </c>
      <c r="AB258" s="455">
        <f t="shared" si="805"/>
        <v>5240.7584835270718</v>
      </c>
      <c r="AC258" s="455">
        <f t="shared" si="805"/>
        <v>5393.3611153139518</v>
      </c>
      <c r="AD258" s="455">
        <f t="shared" si="805"/>
        <v>5637.2424171951443</v>
      </c>
      <c r="AE258" s="455">
        <f t="shared" si="805"/>
        <v>5908.306161964766</v>
      </c>
      <c r="AF258" s="455">
        <f t="shared" si="805"/>
        <v>6155.4995752942605</v>
      </c>
      <c r="AG258" s="455">
        <f t="shared" si="805"/>
        <v>6277.5775773755149</v>
      </c>
      <c r="AH258" s="455">
        <f t="shared" si="805"/>
        <v>6229.5621947828295</v>
      </c>
      <c r="AI258" s="455">
        <f t="shared" si="805"/>
        <v>6281.0837321155295</v>
      </c>
      <c r="AJ258" s="455">
        <f t="shared" si="805"/>
        <v>6500.558311910454</v>
      </c>
      <c r="AK258" s="455">
        <f t="shared" si="805"/>
        <v>6647.7921610031672</v>
      </c>
      <c r="AL258" s="455">
        <f t="shared" si="805"/>
        <v>6707.8439165164646</v>
      </c>
      <c r="AM258" s="455">
        <f t="shared" si="805"/>
        <v>6827.5415544212256</v>
      </c>
      <c r="AN258" s="455">
        <f t="shared" si="805"/>
        <v>7211.7981535600002</v>
      </c>
      <c r="AO258" s="455">
        <f t="shared" si="805"/>
        <v>7211.3173423200005</v>
      </c>
      <c r="AP258" s="455">
        <f t="shared" si="805"/>
        <v>7336.0119961399996</v>
      </c>
      <c r="AQ258" s="455">
        <f t="shared" si="805"/>
        <v>7405.4353317000005</v>
      </c>
      <c r="AR258" s="455">
        <f t="shared" si="805"/>
        <v>7568.2807891999992</v>
      </c>
      <c r="AS258" s="455">
        <f t="shared" si="805"/>
        <v>7253.7703098599995</v>
      </c>
      <c r="AT258" s="455">
        <f t="shared" si="805"/>
        <v>7232.4748101099995</v>
      </c>
      <c r="AU258" s="455">
        <f t="shared" si="805"/>
        <v>6923.1870295921644</v>
      </c>
      <c r="AV258" s="455">
        <f t="shared" si="805"/>
        <v>7335.128849996554</v>
      </c>
      <c r="AW258" s="455">
        <f t="shared" si="805"/>
        <v>7621.2104081978314</v>
      </c>
      <c r="AX258" s="455">
        <f t="shared" si="805"/>
        <v>7949.6522235822104</v>
      </c>
      <c r="AY258" s="455">
        <f t="shared" si="805"/>
        <v>7633.0470815453027</v>
      </c>
      <c r="AZ258" s="455">
        <f t="shared" ref="AZ258" si="806">AZ125*AZ$203</f>
        <v>7606.7592310715272</v>
      </c>
      <c r="BB258" s="455">
        <f>BB125*BB$203</f>
        <v>5511.4384269341435</v>
      </c>
    </row>
    <row r="259" spans="2:54" ht="12.75">
      <c r="B259" s="422" t="s">
        <v>576</v>
      </c>
      <c r="C259" s="471">
        <f t="shared" ref="C259:N259" si="807">C126*C$203</f>
        <v>3136.2056233062326</v>
      </c>
      <c r="D259" s="471">
        <f t="shared" si="807"/>
        <v>3448.734051501363</v>
      </c>
      <c r="E259" s="471">
        <f t="shared" si="807"/>
        <v>4047.8063347679658</v>
      </c>
      <c r="F259" s="471">
        <f t="shared" si="807"/>
        <v>5672.6720607014367</v>
      </c>
      <c r="G259" s="471">
        <f t="shared" si="807"/>
        <v>5672.6720607014367</v>
      </c>
      <c r="H259" s="471">
        <f t="shared" si="807"/>
        <v>6296.8948392792654</v>
      </c>
      <c r="I259" s="471">
        <f t="shared" si="807"/>
        <v>6648.8517298348861</v>
      </c>
      <c r="J259" s="471">
        <f t="shared" si="807"/>
        <v>7182.2857893408463</v>
      </c>
      <c r="K259" s="471">
        <f t="shared" si="807"/>
        <v>7571.9245455</v>
      </c>
      <c r="L259" s="471">
        <f t="shared" si="807"/>
        <v>7140.2219052147721</v>
      </c>
      <c r="M259" s="471">
        <f t="shared" si="807"/>
        <v>8396.7834939081731</v>
      </c>
      <c r="N259" s="471">
        <f t="shared" si="807"/>
        <v>8331.8597198160132</v>
      </c>
      <c r="O259" s="471"/>
      <c r="P259" s="471">
        <f t="shared" ref="P259:AY259" si="808">P126*P$203</f>
        <v>229.81296671459654</v>
      </c>
      <c r="Q259" s="471">
        <f t="shared" si="808"/>
        <v>3431.9403258283</v>
      </c>
      <c r="R259" s="471">
        <f t="shared" si="808"/>
        <v>3448.7772215475406</v>
      </c>
      <c r="S259" s="471">
        <f t="shared" si="808"/>
        <v>3448.734051501363</v>
      </c>
      <c r="T259" s="471">
        <f t="shared" si="808"/>
        <v>3601.7381231431768</v>
      </c>
      <c r="U259" s="471">
        <f t="shared" si="808"/>
        <v>3645.1264392120147</v>
      </c>
      <c r="V259" s="471">
        <f t="shared" si="808"/>
        <v>3959.2909844779924</v>
      </c>
      <c r="W259" s="471">
        <f t="shared" si="808"/>
        <v>4047.8063347679658</v>
      </c>
      <c r="X259" s="471">
        <f t="shared" si="808"/>
        <v>4216.7804306657108</v>
      </c>
      <c r="Y259" s="471">
        <f t="shared" si="808"/>
        <v>5177.0975298014973</v>
      </c>
      <c r="Z259" s="471">
        <f t="shared" si="808"/>
        <v>4994.6135827811877</v>
      </c>
      <c r="AA259" s="471">
        <f t="shared" si="808"/>
        <v>5672.6720607014367</v>
      </c>
      <c r="AB259" s="471">
        <f t="shared" si="808"/>
        <v>5408.3065064051088</v>
      </c>
      <c r="AC259" s="471">
        <f t="shared" si="808"/>
        <v>6035.6312114989732</v>
      </c>
      <c r="AD259" s="471">
        <f t="shared" si="808"/>
        <v>6458.9821465308269</v>
      </c>
      <c r="AE259" s="471">
        <f t="shared" si="808"/>
        <v>6296.8948392792654</v>
      </c>
      <c r="AF259" s="471">
        <f t="shared" si="808"/>
        <v>6389.4643853901225</v>
      </c>
      <c r="AG259" s="471">
        <f t="shared" si="808"/>
        <v>6464.9954329143056</v>
      </c>
      <c r="AH259" s="471">
        <f t="shared" si="808"/>
        <v>6400.4284383125923</v>
      </c>
      <c r="AI259" s="471">
        <f t="shared" si="808"/>
        <v>6608.5067165448054</v>
      </c>
      <c r="AJ259" s="471">
        <f t="shared" si="808"/>
        <v>6717.4574626641725</v>
      </c>
      <c r="AK259" s="471">
        <f t="shared" si="808"/>
        <v>6910.8973865006719</v>
      </c>
      <c r="AL259" s="471">
        <f t="shared" si="808"/>
        <v>6948.1023155945595</v>
      </c>
      <c r="AM259" s="471">
        <f t="shared" si="808"/>
        <v>7182.2857893408463</v>
      </c>
      <c r="AN259" s="471">
        <f t="shared" si="808"/>
        <v>7381.4293550800003</v>
      </c>
      <c r="AO259" s="471">
        <f t="shared" si="808"/>
        <v>7466.7162981600004</v>
      </c>
      <c r="AP259" s="471">
        <f t="shared" si="808"/>
        <v>7488.7428774800001</v>
      </c>
      <c r="AQ259" s="471">
        <f t="shared" si="808"/>
        <v>7571.9245455</v>
      </c>
      <c r="AR259" s="471">
        <f t="shared" si="808"/>
        <v>7675.1827463999998</v>
      </c>
      <c r="AS259" s="471">
        <f t="shared" si="808"/>
        <v>7508.9870020200005</v>
      </c>
      <c r="AT259" s="471">
        <f t="shared" si="808"/>
        <v>7368.0579416499995</v>
      </c>
      <c r="AU259" s="471">
        <f t="shared" si="808"/>
        <v>7140.2219052147721</v>
      </c>
      <c r="AV259" s="471">
        <f t="shared" si="808"/>
        <v>7433.9847033693923</v>
      </c>
      <c r="AW259" s="471">
        <f t="shared" si="808"/>
        <v>7843.3647738821128</v>
      </c>
      <c r="AX259" s="471">
        <f t="shared" si="808"/>
        <v>8105.8295117639054</v>
      </c>
      <c r="AY259" s="471">
        <f t="shared" si="808"/>
        <v>8396.7834939081731</v>
      </c>
      <c r="AZ259" s="471">
        <f t="shared" ref="AZ259" si="809">AZ126*AZ$203</f>
        <v>8331.8597198160132</v>
      </c>
      <c r="BB259" s="471">
        <f>BB126*BB$203</f>
        <v>5672.6720607014367</v>
      </c>
    </row>
    <row r="260" spans="2:54" ht="12.75">
      <c r="C260" s="471"/>
      <c r="D260" s="471"/>
      <c r="E260" s="471"/>
      <c r="F260" s="471"/>
      <c r="G260" s="471"/>
      <c r="H260" s="471"/>
      <c r="I260" s="471"/>
      <c r="J260" s="471"/>
      <c r="K260" s="471"/>
      <c r="L260" s="471"/>
      <c r="M260" s="471"/>
      <c r="N260" s="471"/>
      <c r="O260" s="471"/>
      <c r="P260" s="471"/>
      <c r="Q260" s="471"/>
      <c r="R260" s="471"/>
      <c r="S260" s="471"/>
      <c r="T260" s="471"/>
      <c r="U260" s="471"/>
      <c r="V260" s="471"/>
      <c r="W260" s="471"/>
      <c r="X260" s="471"/>
      <c r="Y260" s="471"/>
      <c r="Z260" s="471"/>
      <c r="AA260" s="471"/>
      <c r="AB260" s="471"/>
      <c r="AC260" s="471"/>
      <c r="AD260" s="471"/>
      <c r="AE260" s="471"/>
      <c r="AF260" s="471"/>
      <c r="AG260" s="471"/>
      <c r="AH260" s="471"/>
      <c r="AI260" s="471"/>
      <c r="AJ260" s="471"/>
      <c r="AK260" s="471"/>
      <c r="AL260" s="471"/>
      <c r="AM260" s="471"/>
      <c r="AN260" s="471"/>
      <c r="AO260" s="471"/>
      <c r="AP260" s="471"/>
      <c r="AQ260" s="471"/>
      <c r="AR260" s="471"/>
      <c r="AS260" s="471"/>
      <c r="AT260" s="471"/>
      <c r="AU260" s="471"/>
      <c r="AV260" s="471"/>
      <c r="AW260" s="471"/>
      <c r="AX260" s="471"/>
      <c r="AY260" s="471"/>
      <c r="AZ260" s="471"/>
      <c r="BB260" s="471"/>
    </row>
    <row r="261" spans="2:54" s="424" customFormat="1" ht="12.75">
      <c r="B261" s="424" t="s">
        <v>71</v>
      </c>
      <c r="C261" s="455">
        <f t="shared" ref="C261:L261" si="810">C233</f>
        <v>535.57967022000003</v>
      </c>
      <c r="D261" s="455">
        <f t="shared" si="810"/>
        <v>582.90401014999998</v>
      </c>
      <c r="E261" s="455">
        <f t="shared" si="810"/>
        <v>666.88568463999991</v>
      </c>
      <c r="F261" s="455">
        <f t="shared" si="810"/>
        <v>743.95559108999987</v>
      </c>
      <c r="G261" s="455">
        <f t="shared" si="810"/>
        <v>744.26741108999988</v>
      </c>
      <c r="H261" s="455">
        <f t="shared" si="810"/>
        <v>667.29027786954919</v>
      </c>
      <c r="I261" s="455">
        <f t="shared" si="810"/>
        <v>815.87012820449559</v>
      </c>
      <c r="J261" s="455">
        <f t="shared" si="810"/>
        <v>889.96671984</v>
      </c>
      <c r="K261" s="455">
        <f t="shared" si="810"/>
        <v>1082.046642</v>
      </c>
      <c r="L261" s="455">
        <f t="shared" si="810"/>
        <v>1109.4324897049669</v>
      </c>
      <c r="M261" s="455">
        <f t="shared" ref="M261" si="811">M233</f>
        <v>1138.4155197721582</v>
      </c>
      <c r="N261" s="455">
        <f>N233</f>
        <v>1210.2315437751731</v>
      </c>
      <c r="O261" s="455"/>
      <c r="P261" s="455"/>
      <c r="Q261" s="455"/>
      <c r="R261" s="455"/>
      <c r="S261" s="455">
        <f t="shared" ref="S261:AY261" si="812">SUM(P229:S229)</f>
        <v>582.61869291000005</v>
      </c>
      <c r="T261" s="455">
        <f t="shared" si="812"/>
        <v>613.80555602999993</v>
      </c>
      <c r="U261" s="455">
        <f t="shared" si="812"/>
        <v>630.70120464999991</v>
      </c>
      <c r="V261" s="455">
        <f t="shared" si="812"/>
        <v>650.40389214999993</v>
      </c>
      <c r="W261" s="455">
        <f t="shared" si="812"/>
        <v>666.63225411000008</v>
      </c>
      <c r="X261" s="455">
        <f t="shared" si="812"/>
        <v>681.67264587</v>
      </c>
      <c r="Y261" s="455">
        <f t="shared" si="812"/>
        <v>704.13037151000003</v>
      </c>
      <c r="Z261" s="455">
        <f t="shared" si="812"/>
        <v>716.14055183000005</v>
      </c>
      <c r="AA261" s="455">
        <f t="shared" si="812"/>
        <v>743.93511306999983</v>
      </c>
      <c r="AB261" s="455">
        <f t="shared" si="812"/>
        <v>750.19136069248043</v>
      </c>
      <c r="AC261" s="455">
        <f t="shared" si="812"/>
        <v>694.54137494778786</v>
      </c>
      <c r="AD261" s="455">
        <f t="shared" si="812"/>
        <v>652.89266103952139</v>
      </c>
      <c r="AE261" s="455">
        <f t="shared" si="812"/>
        <v>638.7597977322032</v>
      </c>
      <c r="AF261" s="455">
        <f t="shared" si="812"/>
        <v>650.36521412154946</v>
      </c>
      <c r="AG261" s="455">
        <f t="shared" si="812"/>
        <v>720.19288366851629</v>
      </c>
      <c r="AH261" s="455">
        <f t="shared" si="812"/>
        <v>784.56873013168195</v>
      </c>
      <c r="AI261" s="455">
        <f t="shared" si="812"/>
        <v>815.05192119264188</v>
      </c>
      <c r="AJ261" s="455">
        <f t="shared" si="812"/>
        <v>831.80659821081508</v>
      </c>
      <c r="AK261" s="455">
        <f t="shared" si="812"/>
        <v>848.67301526854078</v>
      </c>
      <c r="AL261" s="455">
        <f t="shared" si="812"/>
        <v>870.11788732845821</v>
      </c>
      <c r="AM261" s="455">
        <f t="shared" si="812"/>
        <v>889.07990764390343</v>
      </c>
      <c r="AN261" s="455">
        <f t="shared" si="812"/>
        <v>929.91290397390355</v>
      </c>
      <c r="AO261" s="455">
        <f t="shared" si="812"/>
        <v>983.38530247390349</v>
      </c>
      <c r="AP261" s="455">
        <f t="shared" si="812"/>
        <v>1036.089215439087</v>
      </c>
      <c r="AQ261" s="455">
        <f t="shared" si="812"/>
        <v>1080.87672518</v>
      </c>
      <c r="AR261" s="455">
        <f t="shared" si="812"/>
        <v>1116.29679446</v>
      </c>
      <c r="AS261" s="455">
        <f t="shared" si="812"/>
        <v>1129.43059189</v>
      </c>
      <c r="AT261" s="455">
        <f t="shared" si="812"/>
        <v>1123.1890253299998</v>
      </c>
      <c r="AU261" s="455">
        <f t="shared" si="812"/>
        <v>1111.7284595699998</v>
      </c>
      <c r="AV261" s="455">
        <f>SUM(AS229:AV229)</f>
        <v>1085.8561712099997</v>
      </c>
      <c r="AW261" s="455">
        <f t="shared" si="812"/>
        <v>1076.9226636199996</v>
      </c>
      <c r="AX261" s="455">
        <f t="shared" si="812"/>
        <v>1089.6047308564082</v>
      </c>
      <c r="AY261" s="455">
        <f t="shared" si="812"/>
        <v>1139.288455151805</v>
      </c>
      <c r="AZ261" s="455">
        <f>SUM(AW229:AZ229)</f>
        <v>1212.1294734771543</v>
      </c>
      <c r="BB261" s="455">
        <f>BB192*AVERAGE(X$202,Y$202,Z$202,BB$202)</f>
        <v>744.26741108999988</v>
      </c>
    </row>
    <row r="262" spans="2:54" ht="12.75">
      <c r="C262" s="434"/>
      <c r="D262" s="433"/>
      <c r="E262" s="433"/>
      <c r="F262" s="433"/>
      <c r="G262" s="433"/>
      <c r="H262" s="433"/>
      <c r="I262" s="433"/>
      <c r="J262" s="433"/>
      <c r="K262" s="433"/>
      <c r="L262" s="433"/>
      <c r="M262" s="433"/>
      <c r="N262" s="433"/>
      <c r="O262" s="433"/>
      <c r="P262" s="433"/>
      <c r="Q262" s="433"/>
      <c r="R262" s="433"/>
      <c r="S262" s="433"/>
      <c r="T262" s="433"/>
      <c r="U262" s="433"/>
      <c r="V262" s="433"/>
      <c r="W262" s="433"/>
      <c r="X262" s="433"/>
      <c r="Y262" s="433"/>
      <c r="Z262" s="433"/>
      <c r="AA262" s="433"/>
      <c r="AB262" s="433"/>
      <c r="AC262" s="433"/>
      <c r="AD262" s="433"/>
      <c r="AE262" s="433"/>
      <c r="AF262" s="433"/>
      <c r="AG262" s="433"/>
      <c r="AH262" s="433"/>
      <c r="AI262" s="433"/>
      <c r="AJ262" s="433"/>
      <c r="AK262" s="433"/>
      <c r="AL262" s="433"/>
      <c r="AM262" s="433"/>
      <c r="AN262" s="433"/>
      <c r="AO262" s="433"/>
      <c r="AP262" s="433"/>
      <c r="AQ262" s="433"/>
      <c r="AR262" s="433"/>
      <c r="AS262" s="433"/>
      <c r="AT262" s="433"/>
      <c r="AU262" s="433"/>
      <c r="AV262" s="433"/>
      <c r="AW262" s="433"/>
      <c r="AX262" s="433"/>
      <c r="AY262" s="433"/>
      <c r="AZ262" s="433"/>
      <c r="BB262" s="433"/>
    </row>
    <row r="263" spans="2:54" s="424" customFormat="1" ht="12.75">
      <c r="B263" s="424" t="str">
        <f>+B133</f>
        <v>Total Net Leverage</v>
      </c>
      <c r="C263" s="429">
        <f t="shared" ref="C263:E264" si="813">C258/C$261</f>
        <v>5.3538686384228518</v>
      </c>
      <c r="D263" s="429">
        <f t="shared" si="813"/>
        <v>5.6358294772058075</v>
      </c>
      <c r="E263" s="429">
        <f t="shared" si="813"/>
        <v>5.7333797005483964</v>
      </c>
      <c r="F263" s="429">
        <f t="shared" ref="F263:H264" si="814">F258/F$261</f>
        <v>7.4082895443518462</v>
      </c>
      <c r="G263" s="429">
        <f t="shared" si="814"/>
        <v>7.4051857501895615</v>
      </c>
      <c r="H263" s="429">
        <f t="shared" si="814"/>
        <v>8.8541768970891557</v>
      </c>
      <c r="I263" s="429">
        <f t="shared" ref="I263:I264" si="815">I258/I$261</f>
        <v>7.7456320628381814</v>
      </c>
      <c r="J263" s="429">
        <f t="shared" ref="J263:K263" si="816">J258/J$261</f>
        <v>7.6716818755297895</v>
      </c>
      <c r="K263" s="429">
        <f t="shared" si="816"/>
        <v>6.8439150811578422</v>
      </c>
      <c r="L263" s="429">
        <f t="shared" ref="L263:M263" si="817">L258/L$261</f>
        <v>6.2402959115008958</v>
      </c>
      <c r="M263" s="429">
        <f t="shared" si="817"/>
        <v>6.7049745448594873</v>
      </c>
      <c r="N263" s="429">
        <f t="shared" ref="N263" si="818">N258/N$261</f>
        <v>6.2853751170153345</v>
      </c>
      <c r="O263" s="429"/>
      <c r="P263" s="430"/>
      <c r="Q263" s="430"/>
      <c r="R263" s="430"/>
      <c r="S263" s="429">
        <f t="shared" ref="S263:X264" si="819">S258/S$261</f>
        <v>5.6385894286648224</v>
      </c>
      <c r="T263" s="429">
        <f t="shared" si="819"/>
        <v>5.5348552760734329</v>
      </c>
      <c r="U263" s="429">
        <f t="shared" si="819"/>
        <v>5.499789283891932</v>
      </c>
      <c r="V263" s="429">
        <f t="shared" si="819"/>
        <v>5.5958638119474848</v>
      </c>
      <c r="W263" s="429">
        <f t="shared" si="819"/>
        <v>5.7355593332427972</v>
      </c>
      <c r="X263" s="429">
        <f t="shared" si="819"/>
        <v>5.9329920862482028</v>
      </c>
      <c r="Y263" s="429">
        <f t="shared" ref="Y263:AB264" si="820">Y258/Y$261</f>
        <v>6.007566193333532</v>
      </c>
      <c r="Z263" s="429">
        <f t="shared" si="820"/>
        <v>6.0006814258586143</v>
      </c>
      <c r="AA263" s="429">
        <f t="shared" si="820"/>
        <v>7.4084934695313276</v>
      </c>
      <c r="AB263" s="429">
        <f t="shared" si="820"/>
        <v>6.9858955436243306</v>
      </c>
      <c r="AC263" s="429">
        <f t="shared" ref="AC263:AF264" si="821">AC258/AC$261</f>
        <v>7.7653561182289499</v>
      </c>
      <c r="AD263" s="429">
        <f t="shared" si="821"/>
        <v>8.6342560631936802</v>
      </c>
      <c r="AE263" s="429">
        <f t="shared" si="821"/>
        <v>9.2496525030866046</v>
      </c>
      <c r="AF263" s="429">
        <f t="shared" si="821"/>
        <v>9.4646814461141116</v>
      </c>
      <c r="AG263" s="429">
        <f t="shared" ref="AG263:AJ264" si="822">AG258/AG$261</f>
        <v>8.71652264237715</v>
      </c>
      <c r="AH263" s="429">
        <f t="shared" si="822"/>
        <v>7.9401102230231126</v>
      </c>
      <c r="AI263" s="429">
        <f t="shared" si="822"/>
        <v>7.7063602560737499</v>
      </c>
      <c r="AJ263" s="429">
        <f t="shared" si="822"/>
        <v>7.8149876736887061</v>
      </c>
      <c r="AK263" s="429">
        <f t="shared" ref="AK263:AN263" si="823">AK258/AK$261</f>
        <v>7.8331607596827428</v>
      </c>
      <c r="AL263" s="429">
        <f t="shared" si="823"/>
        <v>7.7091208147802854</v>
      </c>
      <c r="AM263" s="429">
        <f t="shared" si="823"/>
        <v>7.6793339898035464</v>
      </c>
      <c r="AN263" s="429">
        <f t="shared" si="823"/>
        <v>7.7553479715584066</v>
      </c>
      <c r="AO263" s="429">
        <f t="shared" ref="AO263:AR263" si="824">AO258/AO$261</f>
        <v>7.3331555029127253</v>
      </c>
      <c r="AP263" s="429">
        <f t="shared" si="824"/>
        <v>7.0804829225358281</v>
      </c>
      <c r="AQ263" s="429">
        <f t="shared" si="824"/>
        <v>6.8513227819451492</v>
      </c>
      <c r="AR263" s="429">
        <f t="shared" si="824"/>
        <v>6.7798105546483241</v>
      </c>
      <c r="AS263" s="429">
        <f t="shared" ref="AS263:AV263" si="825">AS258/AS$261</f>
        <v>6.4225020660379588</v>
      </c>
      <c r="AT263" s="429">
        <f t="shared" si="825"/>
        <v>6.4392320856100369</v>
      </c>
      <c r="AU263" s="429">
        <f t="shared" si="825"/>
        <v>6.2274082938111981</v>
      </c>
      <c r="AV263" s="429">
        <f t="shared" si="825"/>
        <v>6.755156939268316</v>
      </c>
      <c r="AW263" s="429">
        <f t="shared" ref="AW263:AZ263" si="826">AW258/AW$261</f>
        <v>7.0768409521438329</v>
      </c>
      <c r="AX263" s="429">
        <f t="shared" si="826"/>
        <v>7.2959046509773664</v>
      </c>
      <c r="AY263" s="429">
        <f t="shared" si="826"/>
        <v>6.6998371194134796</v>
      </c>
      <c r="AZ263" s="429">
        <f t="shared" si="826"/>
        <v>6.2755335939901933</v>
      </c>
      <c r="BB263" s="429">
        <f>BB258/BB$261</f>
        <v>7.4051857501895615</v>
      </c>
    </row>
    <row r="264" spans="2:54" ht="12.75">
      <c r="B264" s="422" t="str">
        <f>+B134</f>
        <v xml:space="preserve">Total Gross Leverage </v>
      </c>
      <c r="C264" s="427">
        <f t="shared" si="813"/>
        <v>5.8557219358568515</v>
      </c>
      <c r="D264" s="427">
        <f t="shared" si="813"/>
        <v>5.9164699357856412</v>
      </c>
      <c r="E264" s="427">
        <f t="shared" si="813"/>
        <v>6.0697154369913697</v>
      </c>
      <c r="F264" s="427">
        <f t="shared" si="814"/>
        <v>7.6250143538677788</v>
      </c>
      <c r="G264" s="427">
        <f t="shared" si="814"/>
        <v>7.6218197601768622</v>
      </c>
      <c r="H264" s="427">
        <f t="shared" si="814"/>
        <v>9.4365151840414896</v>
      </c>
      <c r="I264" s="427">
        <f t="shared" si="815"/>
        <v>8.1493996409295786</v>
      </c>
      <c r="J264" s="427">
        <f t="shared" ref="J264:K264" si="827">J259/J$261</f>
        <v>8.0702858087009055</v>
      </c>
      <c r="K264" s="427">
        <f t="shared" si="827"/>
        <v>6.9977801802558526</v>
      </c>
      <c r="L264" s="427">
        <f t="shared" ref="L264:M264" si="828">L259/L$261</f>
        <v>6.4359228447632555</v>
      </c>
      <c r="M264" s="427">
        <f t="shared" si="828"/>
        <v>7.375851214316457</v>
      </c>
      <c r="N264" s="427">
        <f t="shared" ref="N264" si="829">N259/N$261</f>
        <v>6.8845170683832695</v>
      </c>
      <c r="O264" s="427"/>
      <c r="P264" s="428"/>
      <c r="Q264" s="428"/>
      <c r="R264" s="428"/>
      <c r="S264" s="427">
        <f t="shared" si="819"/>
        <v>5.9193673211479085</v>
      </c>
      <c r="T264" s="427">
        <f t="shared" si="819"/>
        <v>5.8678812659153268</v>
      </c>
      <c r="U264" s="427">
        <f t="shared" si="819"/>
        <v>5.7794822846974485</v>
      </c>
      <c r="V264" s="427">
        <f t="shared" si="819"/>
        <v>6.0874343346716593</v>
      </c>
      <c r="W264" s="427">
        <f t="shared" si="819"/>
        <v>6.072022932901838</v>
      </c>
      <c r="X264" s="427">
        <f t="shared" si="819"/>
        <v>6.1859317022820397</v>
      </c>
      <c r="Y264" s="427">
        <f t="shared" si="820"/>
        <v>7.3524701380218369</v>
      </c>
      <c r="Z264" s="427">
        <f t="shared" si="820"/>
        <v>6.9743482197986557</v>
      </c>
      <c r="AA264" s="427">
        <f t="shared" si="820"/>
        <v>7.6252242447489804</v>
      </c>
      <c r="AB264" s="427">
        <f t="shared" si="820"/>
        <v>7.2092359227022476</v>
      </c>
      <c r="AC264" s="427">
        <f t="shared" si="821"/>
        <v>8.6900959816147765</v>
      </c>
      <c r="AD264" s="427">
        <f t="shared" si="821"/>
        <v>9.8928698880562962</v>
      </c>
      <c r="AE264" s="427">
        <f t="shared" si="821"/>
        <v>9.8580011792151119</v>
      </c>
      <c r="AF264" s="427">
        <f t="shared" si="821"/>
        <v>9.8244251793515645</v>
      </c>
      <c r="AG264" s="427">
        <f t="shared" si="822"/>
        <v>8.9767555046960918</v>
      </c>
      <c r="AH264" s="427">
        <f t="shared" si="822"/>
        <v>8.1578938753247847</v>
      </c>
      <c r="AI264" s="427">
        <f t="shared" si="822"/>
        <v>8.1080806568430255</v>
      </c>
      <c r="AJ264" s="427">
        <f t="shared" si="822"/>
        <v>8.0757443823037374</v>
      </c>
      <c r="AK264" s="427">
        <f t="shared" ref="AK264:AN264" si="830">AK259/AK$261</f>
        <v>8.1431803087481178</v>
      </c>
      <c r="AL264" s="427">
        <f t="shared" si="830"/>
        <v>7.9852424789558905</v>
      </c>
      <c r="AM264" s="427">
        <f t="shared" si="830"/>
        <v>8.0783355102177321</v>
      </c>
      <c r="AN264" s="427">
        <f t="shared" si="830"/>
        <v>7.9377641965565706</v>
      </c>
      <c r="AO264" s="427">
        <f t="shared" ref="AO264:AR264" si="831">AO259/AO$261</f>
        <v>7.5928695287350481</v>
      </c>
      <c r="AP264" s="427">
        <f t="shared" si="831"/>
        <v>7.2278938588375583</v>
      </c>
      <c r="AQ264" s="427">
        <f t="shared" si="831"/>
        <v>7.0053544211889998</v>
      </c>
      <c r="AR264" s="427">
        <f t="shared" si="831"/>
        <v>6.8755753707174359</v>
      </c>
      <c r="AS264" s="427">
        <f t="shared" ref="AS264:AV264" si="832">AS259/AS$261</f>
        <v>6.6484714120009709</v>
      </c>
      <c r="AT264" s="427">
        <f t="shared" si="832"/>
        <v>6.5599447425914965</v>
      </c>
      <c r="AU264" s="427">
        <f t="shared" si="832"/>
        <v>6.4226312133598746</v>
      </c>
      <c r="AV264" s="427">
        <f t="shared" si="832"/>
        <v>6.8461964857514195</v>
      </c>
      <c r="AW264" s="427">
        <f t="shared" ref="AW264:AZ264" si="833">AW259/AW$261</f>
        <v>7.2831272280195076</v>
      </c>
      <c r="AX264" s="427">
        <f t="shared" si="833"/>
        <v>7.4392385442314302</v>
      </c>
      <c r="AY264" s="427">
        <f t="shared" si="833"/>
        <v>7.370199755767155</v>
      </c>
      <c r="AZ264" s="427">
        <f t="shared" si="833"/>
        <v>6.8737374200752397</v>
      </c>
      <c r="BB264" s="427">
        <f>BB259/BB$261</f>
        <v>7.6218197601768622</v>
      </c>
    </row>
    <row r="265" spans="2:54" ht="12.75">
      <c r="C265" s="431"/>
      <c r="D265" s="431"/>
      <c r="E265" s="431"/>
      <c r="F265" s="431"/>
      <c r="G265" s="431"/>
      <c r="H265" s="431"/>
      <c r="I265" s="431"/>
      <c r="J265" s="431"/>
      <c r="K265" s="431"/>
      <c r="L265" s="431"/>
      <c r="M265" s="431"/>
      <c r="N265" s="431"/>
      <c r="O265" s="431"/>
      <c r="P265" s="432"/>
      <c r="Q265" s="432"/>
      <c r="R265" s="432"/>
      <c r="S265" s="431"/>
      <c r="T265" s="431"/>
      <c r="U265" s="431"/>
      <c r="V265" s="431"/>
      <c r="W265" s="431"/>
      <c r="X265" s="431"/>
      <c r="Y265" s="431"/>
      <c r="Z265" s="431"/>
      <c r="AA265" s="431"/>
      <c r="AB265" s="431"/>
      <c r="AC265" s="431"/>
      <c r="AD265" s="431"/>
      <c r="AE265" s="431"/>
      <c r="AF265" s="431"/>
      <c r="AG265" s="431"/>
      <c r="AH265" s="431"/>
      <c r="AI265" s="431"/>
      <c r="AJ265" s="431"/>
      <c r="AK265" s="431"/>
      <c r="AL265" s="431"/>
      <c r="AM265" s="431"/>
      <c r="AN265" s="431"/>
      <c r="AO265" s="431"/>
      <c r="AP265" s="431"/>
      <c r="AQ265" s="431"/>
      <c r="AR265" s="431"/>
      <c r="AS265" s="431"/>
      <c r="AT265" s="431"/>
      <c r="AU265" s="431"/>
      <c r="AV265" s="431"/>
      <c r="AW265" s="431"/>
      <c r="AX265" s="431"/>
      <c r="AY265" s="431"/>
      <c r="AZ265" s="431"/>
      <c r="BB265" s="431"/>
    </row>
    <row r="266" spans="2:54" ht="12.75">
      <c r="B266" s="422" t="str">
        <f>B136</f>
        <v>EBITDA - Capex / Interest</v>
      </c>
      <c r="C266" s="429">
        <f t="shared" ref="C266:L266" si="834">(C261+C238)/-C235</f>
        <v>1.1103708052499068</v>
      </c>
      <c r="D266" s="429">
        <f t="shared" si="834"/>
        <v>1.01741762680606</v>
      </c>
      <c r="E266" s="429">
        <f t="shared" si="834"/>
        <v>0.7834507235033713</v>
      </c>
      <c r="F266" s="429">
        <f t="shared" si="834"/>
        <v>0.71156541547400998</v>
      </c>
      <c r="G266" s="429">
        <f t="shared" si="834"/>
        <v>1.4494395741054285</v>
      </c>
      <c r="H266" s="429">
        <f t="shared" si="834"/>
        <v>1.4485574741534017</v>
      </c>
      <c r="I266" s="429">
        <f t="shared" si="834"/>
        <v>1.9558611327486128</v>
      </c>
      <c r="J266" s="429">
        <f t="shared" si="834"/>
        <v>1.4756334889927618</v>
      </c>
      <c r="K266" s="429">
        <f t="shared" si="834"/>
        <v>2.0322799994681966</v>
      </c>
      <c r="L266" s="429">
        <f t="shared" si="834"/>
        <v>2.0782345755057885</v>
      </c>
      <c r="M266" s="429">
        <f t="shared" ref="M266" si="835">(M261+M238)/-M235</f>
        <v>1.5206952161720395</v>
      </c>
      <c r="N266" s="429">
        <f>(N261+N238)/-N235</f>
        <v>1.7192800712430258</v>
      </c>
      <c r="O266" s="429"/>
      <c r="P266" s="430"/>
      <c r="Q266" s="430"/>
      <c r="R266" s="430"/>
      <c r="S266" s="429">
        <f t="shared" ref="S266:AZ266" si="836">(S261+SUM(P238:S238))/-SUM(P235:S235)</f>
        <v>1.0151807080613371</v>
      </c>
      <c r="T266" s="429">
        <f t="shared" si="836"/>
        <v>1.5647006600478026</v>
      </c>
      <c r="U266" s="429">
        <f t="shared" si="836"/>
        <v>0.94160301051811446</v>
      </c>
      <c r="V266" s="429">
        <f t="shared" si="836"/>
        <v>1.0345905233309522</v>
      </c>
      <c r="W266" s="429">
        <f t="shared" si="836"/>
        <v>0.79599237586551652</v>
      </c>
      <c r="X266" s="429">
        <f t="shared" si="836"/>
        <v>0.50756443687068165</v>
      </c>
      <c r="Y266" s="429">
        <f t="shared" si="836"/>
        <v>0.71418537464270093</v>
      </c>
      <c r="Z266" s="429">
        <f t="shared" si="836"/>
        <v>0.76242541043082002</v>
      </c>
      <c r="AA266" s="429">
        <f t="shared" si="836"/>
        <v>0.7115644747922496</v>
      </c>
      <c r="AB266" s="429">
        <f t="shared" si="836"/>
        <v>0.89920821240080107</v>
      </c>
      <c r="AC266" s="429">
        <f t="shared" si="836"/>
        <v>1.0357969610960529</v>
      </c>
      <c r="AD266" s="429">
        <f t="shared" si="836"/>
        <v>1.1117312237256238</v>
      </c>
      <c r="AE266" s="429">
        <f t="shared" si="836"/>
        <v>1.454494458448691</v>
      </c>
      <c r="AF266" s="429">
        <f t="shared" si="836"/>
        <v>1.3852041446513763</v>
      </c>
      <c r="AG266" s="429">
        <f t="shared" si="836"/>
        <v>1.6092111078928621</v>
      </c>
      <c r="AH266" s="429">
        <f t="shared" si="836"/>
        <v>1.7516119166511881</v>
      </c>
      <c r="AI266" s="429">
        <f t="shared" si="836"/>
        <v>1.9538593363751675</v>
      </c>
      <c r="AJ266" s="429">
        <f t="shared" si="836"/>
        <v>1.8914675722820429</v>
      </c>
      <c r="AK266" s="429">
        <f t="shared" si="836"/>
        <v>1.6498757778712472</v>
      </c>
      <c r="AL266" s="429">
        <f t="shared" si="836"/>
        <v>1.3357264663672659</v>
      </c>
      <c r="AM266" s="429">
        <f t="shared" si="836"/>
        <v>1.4822355421719295</v>
      </c>
      <c r="AN266" s="429">
        <f t="shared" si="836"/>
        <v>1.461686135277352</v>
      </c>
      <c r="AO266" s="429">
        <f t="shared" si="836"/>
        <v>2.0546094367157552</v>
      </c>
      <c r="AP266" s="429">
        <f t="shared" si="836"/>
        <v>2.1853413333471625</v>
      </c>
      <c r="AQ266" s="429">
        <f t="shared" si="836"/>
        <v>2.0387160857119291</v>
      </c>
      <c r="AR266" s="429">
        <f t="shared" si="836"/>
        <v>2.1218792881674795</v>
      </c>
      <c r="AS266" s="429">
        <f t="shared" si="836"/>
        <v>1.8728621100927696</v>
      </c>
      <c r="AT266" s="429">
        <f t="shared" si="836"/>
        <v>1.9007288490123</v>
      </c>
      <c r="AU266" s="429">
        <f>(AU261+SUM(AR238:AU238))/-SUM(AR235:AU235)</f>
        <v>2.060055412382356</v>
      </c>
      <c r="AV266" s="429">
        <f t="shared" si="836"/>
        <v>1.9065818280037619</v>
      </c>
      <c r="AW266" s="429">
        <f t="shared" si="836"/>
        <v>1.8673240210076689</v>
      </c>
      <c r="AX266" s="429">
        <f t="shared" si="836"/>
        <v>1.8782920570250288</v>
      </c>
      <c r="AY266" s="429">
        <f>(AY261+SUM(AV238:AY238))/-SUM(AV235:AY235)</f>
        <v>1.5214772148597273</v>
      </c>
      <c r="AZ266" s="429">
        <f t="shared" si="836"/>
        <v>1.7114838736286602</v>
      </c>
      <c r="BB266" s="429">
        <f>BB136</f>
        <v>1.4494395741054282</v>
      </c>
    </row>
    <row r="267" spans="2:54" ht="12.75">
      <c r="B267" s="422" t="str">
        <f>B137</f>
        <v>EBITDA/Interest</v>
      </c>
      <c r="C267" s="427">
        <f t="shared" ref="C267:L267" si="837">C261/-C235</f>
        <v>2.698611010171228</v>
      </c>
      <c r="D267" s="427">
        <f t="shared" si="837"/>
        <v>2.2258615324902418</v>
      </c>
      <c r="E267" s="427">
        <f t="shared" si="837"/>
        <v>2.0935492089993915</v>
      </c>
      <c r="F267" s="427">
        <f t="shared" si="837"/>
        <v>2.0708129321427475</v>
      </c>
      <c r="G267" s="427">
        <f t="shared" si="837"/>
        <v>2.8949334863164222</v>
      </c>
      <c r="H267" s="427">
        <f t="shared" si="837"/>
        <v>1.9011659506561689</v>
      </c>
      <c r="I267" s="427">
        <f t="shared" si="837"/>
        <v>2.7077542368302918</v>
      </c>
      <c r="J267" s="427">
        <f t="shared" si="837"/>
        <v>2.239860509664291</v>
      </c>
      <c r="K267" s="427">
        <f t="shared" si="837"/>
        <v>2.3147078766167137</v>
      </c>
      <c r="L267" s="427">
        <f t="shared" si="837"/>
        <v>2.2492315337513391</v>
      </c>
      <c r="M267" s="427">
        <f t="shared" ref="M267" si="838">M261/-M235</f>
        <v>1.7662493573711899</v>
      </c>
      <c r="N267" s="427">
        <f>N261/-N235</f>
        <v>2.0264071113940982</v>
      </c>
      <c r="O267" s="427"/>
      <c r="P267" s="428"/>
      <c r="Q267" s="428"/>
      <c r="R267" s="428"/>
      <c r="S267" s="427">
        <f t="shared" ref="S267:AZ267" si="839">S261/-SUM(P235:S235)</f>
        <v>2.2281750862099292</v>
      </c>
      <c r="T267" s="427">
        <f t="shared" si="839"/>
        <v>2.685221683053181</v>
      </c>
      <c r="U267" s="427">
        <f t="shared" si="839"/>
        <v>2.1998268794731279</v>
      </c>
      <c r="V267" s="427">
        <f t="shared" si="839"/>
        <v>2.4682184940918446</v>
      </c>
      <c r="W267" s="427">
        <f t="shared" si="839"/>
        <v>2.1116213894500659</v>
      </c>
      <c r="X267" s="427">
        <f t="shared" si="839"/>
        <v>1.8504425224472172</v>
      </c>
      <c r="Y267" s="427">
        <f t="shared" si="839"/>
        <v>1.9928155726896664</v>
      </c>
      <c r="Z267" s="427">
        <f t="shared" si="839"/>
        <v>1.7808903626146568</v>
      </c>
      <c r="AA267" s="427">
        <f t="shared" si="839"/>
        <v>2.0715754790376151</v>
      </c>
      <c r="AB267" s="427">
        <f t="shared" si="839"/>
        <v>2.0096065277987245</v>
      </c>
      <c r="AC267" s="427">
        <f t="shared" si="839"/>
        <v>1.9743776004219982</v>
      </c>
      <c r="AD267" s="427">
        <f t="shared" si="839"/>
        <v>2.0916847821874534</v>
      </c>
      <c r="AE267" s="427">
        <f t="shared" si="839"/>
        <v>1.9006697889105002</v>
      </c>
      <c r="AF267" s="427">
        <f t="shared" si="839"/>
        <v>1.8947553067992811</v>
      </c>
      <c r="AG267" s="427">
        <f t="shared" si="839"/>
        <v>2.2796639010896911</v>
      </c>
      <c r="AH267" s="427">
        <f t="shared" si="839"/>
        <v>2.2331649940438707</v>
      </c>
      <c r="AI267" s="427">
        <f t="shared" si="839"/>
        <v>2.7030594402726336</v>
      </c>
      <c r="AJ267" s="427">
        <f t="shared" si="839"/>
        <v>2.7459846371587524</v>
      </c>
      <c r="AK267" s="427">
        <f t="shared" si="839"/>
        <v>2.5362745564820828</v>
      </c>
      <c r="AL267" s="427">
        <f t="shared" si="839"/>
        <v>2.1606281546587942</v>
      </c>
      <c r="AM267" s="427">
        <f t="shared" si="839"/>
        <v>2.2477245042085112</v>
      </c>
      <c r="AN267" s="427">
        <f t="shared" si="839"/>
        <v>2.1916762632186426</v>
      </c>
      <c r="AO267" s="427">
        <f t="shared" si="839"/>
        <v>2.2527077459232374</v>
      </c>
      <c r="AP267" s="427">
        <f t="shared" si="839"/>
        <v>2.463151641892904</v>
      </c>
      <c r="AQ267" s="427">
        <f t="shared" si="839"/>
        <v>2.3193614794323167</v>
      </c>
      <c r="AR267" s="427">
        <f t="shared" si="839"/>
        <v>2.276476798511248</v>
      </c>
      <c r="AS267" s="427">
        <f t="shared" si="839"/>
        <v>2.3446796475671214</v>
      </c>
      <c r="AT267" s="427">
        <f t="shared" si="839"/>
        <v>2.2089726339607885</v>
      </c>
      <c r="AU267" s="427">
        <f>AU261/-SUM(AR235:AU235)</f>
        <v>2.2377047291303436</v>
      </c>
      <c r="AV267" s="427">
        <f t="shared" si="839"/>
        <v>2.0634236287951895</v>
      </c>
      <c r="AW267" s="427">
        <f t="shared" si="839"/>
        <v>2.0251109480470451</v>
      </c>
      <c r="AX267" s="427">
        <f t="shared" si="839"/>
        <v>2.0081886642170197</v>
      </c>
      <c r="AY267" s="427">
        <f>AY261/-SUM(AV235:AY235)</f>
        <v>1.7698070780894466</v>
      </c>
      <c r="AZ267" s="427">
        <f t="shared" si="839"/>
        <v>2.0206902170658712</v>
      </c>
      <c r="BB267" s="427">
        <f>BB137</f>
        <v>2.8949334863164218</v>
      </c>
    </row>
    <row r="268" spans="2:54" ht="12.75">
      <c r="C268" s="427"/>
      <c r="D268" s="427"/>
      <c r="E268" s="427"/>
      <c r="F268" s="427"/>
      <c r="G268" s="427"/>
      <c r="H268" s="427"/>
      <c r="I268" s="427"/>
      <c r="J268" s="427"/>
      <c r="K268" s="427"/>
      <c r="L268" s="427"/>
      <c r="M268" s="427"/>
      <c r="N268" s="427"/>
      <c r="O268" s="427"/>
      <c r="P268" s="427"/>
      <c r="Q268" s="427"/>
      <c r="R268" s="427"/>
      <c r="S268" s="427"/>
      <c r="T268" s="427"/>
      <c r="U268" s="427"/>
      <c r="V268" s="427"/>
      <c r="W268" s="427"/>
      <c r="X268" s="427"/>
      <c r="Y268" s="427"/>
      <c r="Z268" s="427"/>
      <c r="AA268" s="427"/>
      <c r="AB268" s="427"/>
      <c r="AC268" s="427"/>
      <c r="AD268" s="427"/>
      <c r="AE268" s="427"/>
      <c r="AF268" s="427"/>
      <c r="AG268" s="427"/>
      <c r="AH268" s="427"/>
      <c r="AI268" s="427"/>
      <c r="AJ268" s="427"/>
      <c r="AK268" s="427"/>
      <c r="AL268" s="427"/>
      <c r="AM268" s="427"/>
      <c r="AN268" s="427"/>
      <c r="AO268" s="427"/>
      <c r="AP268" s="427"/>
      <c r="AQ268" s="427"/>
      <c r="AR268" s="427"/>
      <c r="AS268" s="427"/>
      <c r="AT268" s="427"/>
      <c r="AU268" s="427"/>
      <c r="AV268" s="427"/>
      <c r="AW268" s="427"/>
      <c r="AX268" s="427"/>
      <c r="AY268" s="427"/>
      <c r="AZ268" s="427"/>
      <c r="BB268" s="427"/>
    </row>
    <row r="269" spans="2:54" s="424" customFormat="1" thickBot="1">
      <c r="B269" s="426" t="str">
        <f>+B139</f>
        <v xml:space="preserve">Gearing (Net debt / Equity) </v>
      </c>
      <c r="C269" s="425">
        <f>C258/C256</f>
        <v>0.48312803137651139</v>
      </c>
      <c r="D269" s="425">
        <f t="shared" ref="D269:BB269" si="840">D258/D256</f>
        <v>0.43258074009104042</v>
      </c>
      <c r="E269" s="425">
        <f t="shared" si="840"/>
        <v>0.47536152722000519</v>
      </c>
      <c r="F269" s="425">
        <f t="shared" si="840"/>
        <v>0.62115102607445638</v>
      </c>
      <c r="G269" s="425">
        <f t="shared" si="840"/>
        <v>0.62320365634871733</v>
      </c>
      <c r="H269" s="425">
        <f t="shared" si="840"/>
        <v>0.67927492981193327</v>
      </c>
      <c r="I269" s="425">
        <f t="shared" si="840"/>
        <v>0.756328888494884</v>
      </c>
      <c r="J269" s="425">
        <f t="shared" si="840"/>
        <v>0.71206673240254503</v>
      </c>
      <c r="K269" s="425">
        <f t="shared" si="840"/>
        <v>0.64554971403419048</v>
      </c>
      <c r="L269" s="425">
        <f t="shared" si="840"/>
        <v>0.76759727444975656</v>
      </c>
      <c r="M269" s="425">
        <f t="shared" ref="M269" si="841">M258/M256</f>
        <v>0.33058582828740618</v>
      </c>
      <c r="N269" s="425">
        <f t="shared" si="840"/>
        <v>0.34113588022852015</v>
      </c>
      <c r="O269" s="724"/>
      <c r="P269" s="425">
        <f t="shared" si="840"/>
        <v>1.0131234469836839E-2</v>
      </c>
      <c r="Q269" s="425">
        <f t="shared" si="840"/>
        <v>0.46295262835755457</v>
      </c>
      <c r="R269" s="425">
        <f t="shared" si="840"/>
        <v>0.4640833648290898</v>
      </c>
      <c r="S269" s="425">
        <f t="shared" si="840"/>
        <v>0.43258074009104042</v>
      </c>
      <c r="T269" s="425">
        <f t="shared" si="840"/>
        <v>0.40713398817502255</v>
      </c>
      <c r="U269" s="425">
        <f t="shared" si="840"/>
        <v>0.45693525652853684</v>
      </c>
      <c r="V269" s="425">
        <f t="shared" si="840"/>
        <v>0.44537500431030919</v>
      </c>
      <c r="W269" s="425">
        <f t="shared" si="840"/>
        <v>0.47536152722000519</v>
      </c>
      <c r="X269" s="425">
        <f t="shared" si="840"/>
        <v>0.48930976680382754</v>
      </c>
      <c r="Y269" s="425">
        <f t="shared" si="840"/>
        <v>0.49619157848870893</v>
      </c>
      <c r="Z269" s="425">
        <f t="shared" si="840"/>
        <v>0.5202302341029712</v>
      </c>
      <c r="AA269" s="425">
        <f t="shared" si="840"/>
        <v>0.62115102607445638</v>
      </c>
      <c r="AB269" s="425">
        <f t="shared" si="840"/>
        <v>0.8520409958503824</v>
      </c>
      <c r="AC269" s="425">
        <f t="shared" si="840"/>
        <v>0.77512286899485061</v>
      </c>
      <c r="AD269" s="425">
        <f t="shared" si="840"/>
        <v>0.76961759270329355</v>
      </c>
      <c r="AE269" s="425">
        <f t="shared" si="840"/>
        <v>0.67927492981193327</v>
      </c>
      <c r="AF269" s="425">
        <f t="shared" si="840"/>
        <v>0.74131495220991106</v>
      </c>
      <c r="AG269" s="425">
        <f t="shared" si="840"/>
        <v>0.72644928638614703</v>
      </c>
      <c r="AH269" s="425">
        <f t="shared" si="840"/>
        <v>0.7566102408480766</v>
      </c>
      <c r="AI269" s="425">
        <f t="shared" si="840"/>
        <v>0.756328888494884</v>
      </c>
      <c r="AJ269" s="425">
        <f t="shared" si="840"/>
        <v>0.75405270338125352</v>
      </c>
      <c r="AK269" s="425">
        <f t="shared" si="840"/>
        <v>0.77076516296230335</v>
      </c>
      <c r="AL269" s="425">
        <f t="shared" si="840"/>
        <v>0.77771550969391601</v>
      </c>
      <c r="AM269" s="425">
        <f t="shared" si="840"/>
        <v>0.71206673240254503</v>
      </c>
      <c r="AN269" s="425">
        <f t="shared" si="840"/>
        <v>0.69090335154882088</v>
      </c>
      <c r="AO269" s="425">
        <f t="shared" si="840"/>
        <v>0.63839039645336981</v>
      </c>
      <c r="AP269" s="425">
        <f t="shared" si="840"/>
        <v>0.67189907774883495</v>
      </c>
      <c r="AQ269" s="425">
        <f t="shared" si="840"/>
        <v>0.64554971403419048</v>
      </c>
      <c r="AR269" s="425">
        <f t="shared" si="840"/>
        <v>0.65183269286757239</v>
      </c>
      <c r="AS269" s="425">
        <f t="shared" si="840"/>
        <v>0.67629169354715213</v>
      </c>
      <c r="AT269" s="425">
        <f t="shared" si="840"/>
        <v>0.73876878977861649</v>
      </c>
      <c r="AU269" s="425">
        <f t="shared" si="840"/>
        <v>0.76759727444975656</v>
      </c>
      <c r="AV269" s="425">
        <f t="shared" ref="AV269:AY269" si="842">AV258/AV256</f>
        <v>0.79612443442578362</v>
      </c>
      <c r="AW269" s="425">
        <f t="shared" si="842"/>
        <v>0.75163321761650392</v>
      </c>
      <c r="AX269" s="425">
        <f t="shared" si="842"/>
        <v>0.75459395910836524</v>
      </c>
      <c r="AY269" s="425">
        <f t="shared" si="842"/>
        <v>0.33058582828740618</v>
      </c>
      <c r="AZ269" s="425">
        <f t="shared" ref="AZ269" si="843">AZ258/AZ256</f>
        <v>0.34113588022852015</v>
      </c>
      <c r="BB269" s="425">
        <f t="shared" si="840"/>
        <v>0.62320365634871733</v>
      </c>
    </row>
    <row r="270" spans="2:54" thickTop="1">
      <c r="C270" s="423"/>
      <c r="D270" s="423"/>
      <c r="E270" s="423"/>
      <c r="F270" s="423"/>
      <c r="G270" s="423"/>
      <c r="H270" s="423"/>
      <c r="I270" s="423"/>
      <c r="J270" s="423"/>
      <c r="K270" s="423"/>
      <c r="L270" s="423"/>
      <c r="M270" s="423"/>
      <c r="N270" s="423"/>
      <c r="O270" s="423"/>
      <c r="P270" s="423"/>
      <c r="Q270" s="423"/>
      <c r="T270" s="423"/>
      <c r="U270" s="423"/>
      <c r="X270" s="423"/>
      <c r="Y270" s="423"/>
      <c r="Z270" s="423"/>
      <c r="AB270" s="423"/>
      <c r="AC270" s="423"/>
      <c r="AD270" s="423"/>
      <c r="AF270" s="423"/>
      <c r="AG270" s="423"/>
      <c r="AH270" s="423"/>
      <c r="AJ270" s="423"/>
      <c r="AK270" s="423"/>
      <c r="AL270" s="423"/>
      <c r="AN270" s="423"/>
      <c r="AO270" s="423"/>
      <c r="AP270" s="423"/>
      <c r="AR270" s="423"/>
      <c r="AS270" s="423"/>
      <c r="AT270" s="423"/>
      <c r="AV270" s="423"/>
      <c r="AW270" s="423"/>
      <c r="AX270" s="423"/>
      <c r="AZ270" s="423"/>
    </row>
    <row r="271" spans="2:54" ht="12.75"/>
  </sheetData>
  <pageMargins left="0.7" right="0.7" top="0.75" bottom="0.75" header="0.3" footer="0.3"/>
  <pageSetup paperSize="9" orientation="portrait" verticalDpi="9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R146"/>
  <sheetViews>
    <sheetView view="pageBreakPreview" topLeftCell="A13" zoomScale="70" zoomScaleNormal="100" workbookViewId="0"/>
  </sheetViews>
  <sheetFormatPr defaultColWidth="9.140625" defaultRowHeight="12.75"/>
  <cols>
    <col min="1" max="1" width="7.7109375" style="14" customWidth="1"/>
    <col min="2" max="2" width="23.140625" style="14" customWidth="1"/>
    <col min="3" max="3" width="12" style="14" customWidth="1"/>
    <col min="4" max="4" width="17.85546875" style="14" customWidth="1"/>
    <col min="5" max="5" width="11.5703125" style="14" customWidth="1"/>
    <col min="6" max="7" width="12" style="14" customWidth="1"/>
    <col min="8" max="8" width="11.5703125" style="14" customWidth="1"/>
    <col min="9" max="9" width="12.28515625" style="14" customWidth="1"/>
    <col min="10" max="10" width="13.42578125" style="14" bestFit="1" customWidth="1"/>
    <col min="11" max="11" width="11" style="14" customWidth="1"/>
    <col min="12" max="13" width="2.7109375" style="14" customWidth="1"/>
    <col min="14" max="14" width="10.85546875" style="14" customWidth="1"/>
    <col min="15" max="15" width="9.42578125" style="14" bestFit="1" customWidth="1"/>
    <col min="16" max="16" width="9.140625" style="14"/>
    <col min="17" max="17" width="9.28515625" style="14" bestFit="1" customWidth="1"/>
    <col min="18" max="16384" width="9.140625" style="14"/>
  </cols>
  <sheetData>
    <row r="1" spans="1:12" ht="13.5" thickBot="1">
      <c r="B1" s="15" t="s">
        <v>583</v>
      </c>
    </row>
    <row r="2" spans="1:12">
      <c r="A2" s="16"/>
      <c r="B2" s="17"/>
      <c r="C2" s="18"/>
      <c r="D2" s="18"/>
      <c r="E2" s="18"/>
      <c r="F2" s="18"/>
      <c r="G2" s="18"/>
      <c r="H2" s="18"/>
      <c r="I2" s="18"/>
      <c r="J2" s="18"/>
      <c r="K2" s="18"/>
      <c r="L2" s="19"/>
    </row>
    <row r="3" spans="1:12" ht="13.5" thickBot="1">
      <c r="A3" s="20"/>
      <c r="B3" s="21" t="s">
        <v>584</v>
      </c>
      <c r="D3" s="22"/>
      <c r="E3" s="23" t="s">
        <v>585</v>
      </c>
      <c r="F3" s="23" t="s">
        <v>586</v>
      </c>
      <c r="G3" s="24" t="s">
        <v>587</v>
      </c>
      <c r="H3" s="23" t="s">
        <v>588</v>
      </c>
      <c r="I3" s="23" t="s">
        <v>589</v>
      </c>
      <c r="J3" s="25" t="s">
        <v>590</v>
      </c>
      <c r="K3" s="23" t="s">
        <v>591</v>
      </c>
      <c r="L3" s="26"/>
    </row>
    <row r="4" spans="1:12" ht="13.5" thickBot="1">
      <c r="A4" s="20"/>
      <c r="B4" s="14" t="s">
        <v>592</v>
      </c>
      <c r="D4" s="27">
        <v>0</v>
      </c>
      <c r="E4" s="28">
        <v>0</v>
      </c>
      <c r="F4" s="28">
        <v>0</v>
      </c>
      <c r="G4" s="29" t="e">
        <f t="shared" ref="G4:G9" si="0">E4/F4</f>
        <v>#DIV/0!</v>
      </c>
      <c r="H4" s="30">
        <v>2.5000000000000001E-2</v>
      </c>
      <c r="I4" s="29" t="e">
        <f t="shared" ref="I4:I9" si="1">((H4*100)+E4)/F4</f>
        <v>#DIV/0!</v>
      </c>
      <c r="J4" s="29" t="e">
        <f>(((E4+H4*100)+((100-F4)/3)))/F4</f>
        <v>#DIV/0!</v>
      </c>
      <c r="K4" s="29"/>
      <c r="L4" s="26"/>
    </row>
    <row r="5" spans="1:12" ht="13.5" thickBot="1">
      <c r="A5" s="20"/>
      <c r="B5" s="14" t="s">
        <v>593</v>
      </c>
      <c r="D5" s="27">
        <v>0</v>
      </c>
      <c r="E5" s="28">
        <v>0</v>
      </c>
      <c r="F5" s="28">
        <v>0</v>
      </c>
      <c r="G5" s="29" t="e">
        <f t="shared" si="0"/>
        <v>#DIV/0!</v>
      </c>
      <c r="H5" s="30">
        <v>2.5000000000000001E-2</v>
      </c>
      <c r="I5" s="29" t="e">
        <f t="shared" si="1"/>
        <v>#DIV/0!</v>
      </c>
      <c r="J5" s="29" t="e">
        <f>(((E5+H5*100)+((100-F5)/3)))/F5</f>
        <v>#DIV/0!</v>
      </c>
      <c r="K5" s="29"/>
      <c r="L5" s="26"/>
    </row>
    <row r="6" spans="1:12" ht="13.5" thickBot="1">
      <c r="A6" s="20"/>
      <c r="B6" s="14" t="s">
        <v>594</v>
      </c>
      <c r="D6" s="27">
        <v>0</v>
      </c>
      <c r="E6" s="31">
        <v>0</v>
      </c>
      <c r="F6" s="31">
        <v>0</v>
      </c>
      <c r="G6" s="29" t="e">
        <f t="shared" si="0"/>
        <v>#DIV/0!</v>
      </c>
      <c r="H6" s="32"/>
      <c r="I6" s="29" t="e">
        <f t="shared" si="1"/>
        <v>#DIV/0!</v>
      </c>
      <c r="J6" s="29"/>
      <c r="K6" s="33">
        <v>0</v>
      </c>
      <c r="L6" s="26"/>
    </row>
    <row r="7" spans="1:12" ht="13.5" thickBot="1">
      <c r="A7" s="20"/>
      <c r="D7" s="27">
        <v>0</v>
      </c>
      <c r="E7" s="34">
        <v>0</v>
      </c>
      <c r="F7" s="34">
        <v>0</v>
      </c>
      <c r="G7" s="29" t="e">
        <f t="shared" si="0"/>
        <v>#DIV/0!</v>
      </c>
      <c r="I7" s="29" t="e">
        <f t="shared" si="1"/>
        <v>#DIV/0!</v>
      </c>
      <c r="J7" s="29"/>
      <c r="K7" s="33">
        <v>0</v>
      </c>
      <c r="L7" s="26"/>
    </row>
    <row r="8" spans="1:12" ht="13.5" thickBot="1">
      <c r="A8" s="20"/>
      <c r="D8" s="27">
        <v>0</v>
      </c>
      <c r="E8" s="28">
        <v>0</v>
      </c>
      <c r="F8" s="28">
        <v>0</v>
      </c>
      <c r="G8" s="29" t="e">
        <f t="shared" si="0"/>
        <v>#DIV/0!</v>
      </c>
      <c r="I8" s="29" t="e">
        <f t="shared" si="1"/>
        <v>#DIV/0!</v>
      </c>
      <c r="J8" s="29"/>
      <c r="K8" s="33">
        <v>0</v>
      </c>
      <c r="L8" s="26"/>
    </row>
    <row r="9" spans="1:12" ht="13.5" thickBot="1">
      <c r="A9" s="20"/>
      <c r="D9" s="27">
        <v>0</v>
      </c>
      <c r="E9" s="28">
        <v>0</v>
      </c>
      <c r="F9" s="28">
        <v>0</v>
      </c>
      <c r="G9" s="29" t="e">
        <f t="shared" si="0"/>
        <v>#DIV/0!</v>
      </c>
      <c r="H9" s="35"/>
      <c r="I9" s="29" t="e">
        <f t="shared" si="1"/>
        <v>#DIV/0!</v>
      </c>
      <c r="J9" s="29"/>
      <c r="K9" s="29"/>
      <c r="L9" s="26"/>
    </row>
    <row r="10" spans="1:12">
      <c r="A10" s="20"/>
      <c r="D10" s="36">
        <v>0</v>
      </c>
      <c r="E10" s="37"/>
      <c r="I10" s="37"/>
      <c r="L10" s="26"/>
    </row>
    <row r="11" spans="1:12">
      <c r="A11" s="20"/>
      <c r="D11" s="37">
        <f>SUM(D4:D10)</f>
        <v>0</v>
      </c>
      <c r="L11" s="26"/>
    </row>
    <row r="12" spans="1:12" ht="13.5" thickBot="1">
      <c r="A12" s="38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39"/>
    </row>
    <row r="13" spans="1:12" ht="13.5" thickBot="1">
      <c r="A13" s="16"/>
      <c r="B13" s="40" t="s">
        <v>595</v>
      </c>
      <c r="C13" s="18"/>
      <c r="D13" s="18"/>
      <c r="E13" s="41" t="s">
        <v>542</v>
      </c>
      <c r="F13" s="18"/>
      <c r="G13" s="41" t="s">
        <v>545</v>
      </c>
      <c r="H13" s="18"/>
      <c r="I13" s="18"/>
      <c r="J13" s="18"/>
      <c r="K13" s="18"/>
      <c r="L13" s="19"/>
    </row>
    <row r="14" spans="1:12">
      <c r="A14" s="20"/>
      <c r="C14" s="42" t="s">
        <v>10</v>
      </c>
      <c r="D14" s="42" t="s">
        <v>542</v>
      </c>
      <c r="E14" s="42" t="s">
        <v>596</v>
      </c>
      <c r="F14" s="42" t="s">
        <v>545</v>
      </c>
      <c r="G14" s="42" t="s">
        <v>597</v>
      </c>
      <c r="H14" s="42"/>
      <c r="I14" s="42"/>
      <c r="J14" s="42"/>
      <c r="K14" s="42"/>
      <c r="L14" s="26"/>
    </row>
    <row r="15" spans="1:12">
      <c r="A15" s="20"/>
      <c r="B15" s="43">
        <v>2007</v>
      </c>
      <c r="C15" s="44">
        <v>0</v>
      </c>
      <c r="D15" s="44">
        <v>0</v>
      </c>
      <c r="E15" s="45" t="e">
        <f t="shared" ref="E15:E23" si="2">D15/C15</f>
        <v>#DIV/0!</v>
      </c>
      <c r="F15" s="44">
        <v>0</v>
      </c>
      <c r="G15" s="45" t="e">
        <f t="shared" ref="G15:G23" si="3">F15/D15</f>
        <v>#DIV/0!</v>
      </c>
      <c r="H15" s="42"/>
      <c r="I15" s="42"/>
      <c r="J15" s="42"/>
      <c r="K15" s="42"/>
      <c r="L15" s="26"/>
    </row>
    <row r="16" spans="1:12">
      <c r="A16" s="20"/>
      <c r="B16" s="43">
        <v>2006</v>
      </c>
      <c r="C16" s="44">
        <v>0</v>
      </c>
      <c r="D16" s="44">
        <v>0</v>
      </c>
      <c r="E16" s="45" t="e">
        <f t="shared" si="2"/>
        <v>#DIV/0!</v>
      </c>
      <c r="F16" s="44">
        <v>0</v>
      </c>
      <c r="G16" s="45" t="e">
        <f t="shared" si="3"/>
        <v>#DIV/0!</v>
      </c>
      <c r="H16" s="44"/>
      <c r="I16" s="44"/>
      <c r="J16" s="44"/>
      <c r="K16" s="44"/>
      <c r="L16" s="26"/>
    </row>
    <row r="17" spans="1:12">
      <c r="A17" s="20"/>
      <c r="B17" s="43">
        <v>2005</v>
      </c>
      <c r="C17" s="44">
        <v>0</v>
      </c>
      <c r="D17" s="44">
        <v>0</v>
      </c>
      <c r="E17" s="45" t="e">
        <f t="shared" si="2"/>
        <v>#DIV/0!</v>
      </c>
      <c r="F17" s="44">
        <v>0</v>
      </c>
      <c r="G17" s="45" t="e">
        <f t="shared" si="3"/>
        <v>#DIV/0!</v>
      </c>
      <c r="H17" s="44"/>
      <c r="I17" s="44"/>
      <c r="J17" s="44"/>
      <c r="K17" s="44"/>
      <c r="L17" s="26"/>
    </row>
    <row r="18" spans="1:12">
      <c r="A18" s="20"/>
      <c r="B18" s="43">
        <v>2004</v>
      </c>
      <c r="C18" s="44">
        <v>0</v>
      </c>
      <c r="D18" s="44">
        <v>0</v>
      </c>
      <c r="E18" s="45" t="e">
        <f t="shared" si="2"/>
        <v>#DIV/0!</v>
      </c>
      <c r="F18" s="44">
        <v>0</v>
      </c>
      <c r="G18" s="45" t="e">
        <f t="shared" si="3"/>
        <v>#DIV/0!</v>
      </c>
      <c r="H18" s="44"/>
      <c r="I18" s="44"/>
      <c r="J18" s="44"/>
      <c r="K18" s="44"/>
      <c r="L18" s="26"/>
    </row>
    <row r="19" spans="1:12">
      <c r="A19" s="20"/>
      <c r="B19" s="43">
        <v>2003</v>
      </c>
      <c r="C19" s="44">
        <v>0</v>
      </c>
      <c r="D19" s="44">
        <v>0</v>
      </c>
      <c r="E19" s="45" t="e">
        <f t="shared" si="2"/>
        <v>#DIV/0!</v>
      </c>
      <c r="F19" s="44">
        <v>0</v>
      </c>
      <c r="G19" s="45" t="e">
        <f t="shared" si="3"/>
        <v>#DIV/0!</v>
      </c>
      <c r="H19" s="44"/>
      <c r="I19" s="44"/>
      <c r="J19" s="44"/>
      <c r="K19" s="44"/>
      <c r="L19" s="26"/>
    </row>
    <row r="20" spans="1:12">
      <c r="A20" s="20"/>
      <c r="B20" s="43">
        <v>2002</v>
      </c>
      <c r="C20" s="44">
        <v>0</v>
      </c>
      <c r="D20" s="44">
        <v>0</v>
      </c>
      <c r="E20" s="45" t="e">
        <f t="shared" si="2"/>
        <v>#DIV/0!</v>
      </c>
      <c r="F20" s="44">
        <v>0</v>
      </c>
      <c r="G20" s="45" t="e">
        <f t="shared" si="3"/>
        <v>#DIV/0!</v>
      </c>
      <c r="H20" s="44"/>
      <c r="I20" s="44"/>
      <c r="J20" s="44"/>
      <c r="K20" s="44"/>
      <c r="L20" s="26"/>
    </row>
    <row r="21" spans="1:12">
      <c r="A21" s="20"/>
      <c r="B21" s="43">
        <v>2001</v>
      </c>
      <c r="C21" s="44">
        <v>0</v>
      </c>
      <c r="D21" s="46">
        <v>0</v>
      </c>
      <c r="E21" s="45" t="e">
        <f t="shared" si="2"/>
        <v>#DIV/0!</v>
      </c>
      <c r="F21" s="46">
        <v>0</v>
      </c>
      <c r="G21" s="45" t="e">
        <f t="shared" si="3"/>
        <v>#DIV/0!</v>
      </c>
      <c r="H21" s="46"/>
      <c r="I21" s="46"/>
      <c r="J21" s="46"/>
      <c r="K21" s="46"/>
      <c r="L21" s="26"/>
    </row>
    <row r="22" spans="1:12">
      <c r="A22" s="20"/>
      <c r="B22" s="43">
        <v>2000</v>
      </c>
      <c r="C22" s="44">
        <v>0</v>
      </c>
      <c r="D22" s="46">
        <v>0</v>
      </c>
      <c r="E22" s="45" t="e">
        <f t="shared" si="2"/>
        <v>#DIV/0!</v>
      </c>
      <c r="F22" s="46">
        <v>0</v>
      </c>
      <c r="G22" s="45" t="e">
        <f t="shared" si="3"/>
        <v>#DIV/0!</v>
      </c>
      <c r="H22" s="46"/>
      <c r="I22" s="46"/>
      <c r="J22" s="46"/>
      <c r="K22" s="46"/>
      <c r="L22" s="26"/>
    </row>
    <row r="23" spans="1:12">
      <c r="A23" s="20"/>
      <c r="B23" s="43">
        <v>1999</v>
      </c>
      <c r="C23" s="44">
        <v>0</v>
      </c>
      <c r="D23" s="46">
        <v>0</v>
      </c>
      <c r="E23" s="45" t="e">
        <f t="shared" si="2"/>
        <v>#DIV/0!</v>
      </c>
      <c r="F23" s="46">
        <v>0</v>
      </c>
      <c r="G23" s="45" t="e">
        <f t="shared" si="3"/>
        <v>#DIV/0!</v>
      </c>
      <c r="H23" s="46"/>
      <c r="I23" s="46"/>
      <c r="J23" s="46"/>
      <c r="K23" s="46"/>
      <c r="L23" s="26"/>
    </row>
    <row r="24" spans="1:12" ht="13.5" thickBot="1">
      <c r="A24" s="20"/>
      <c r="B24" s="43" t="s">
        <v>598</v>
      </c>
      <c r="C24" s="47">
        <f>AVERAGE(C16,C17,C18,C19,C20,C21,C23)</f>
        <v>0</v>
      </c>
      <c r="D24" s="47">
        <f>AVERAGE(D16,D17,D18,D19,D20,D21,D23)</f>
        <v>0</v>
      </c>
      <c r="E24" s="48" t="e">
        <f>AVERAGE(E16,E17,E18,E19,E20,E21,E23)</f>
        <v>#DIV/0!</v>
      </c>
      <c r="F24" s="47">
        <f>AVERAGE(F16,F17,F18,F19,F20,F21,F23)</f>
        <v>0</v>
      </c>
      <c r="G24" s="48" t="e">
        <f>AVERAGE(G16,G17,G18,G19,G20,G21,G23)</f>
        <v>#DIV/0!</v>
      </c>
      <c r="H24" s="46"/>
      <c r="I24" s="46"/>
      <c r="J24" s="46"/>
      <c r="K24" s="44"/>
      <c r="L24" s="26"/>
    </row>
    <row r="25" spans="1:12" ht="14.25" thickTop="1" thickBot="1">
      <c r="A25" s="38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39"/>
    </row>
    <row r="26" spans="1:12" ht="13.5" thickBot="1">
      <c r="A26" s="20"/>
      <c r="B26" s="49" t="s">
        <v>599</v>
      </c>
      <c r="E26" s="43"/>
      <c r="L26" s="26"/>
    </row>
    <row r="27" spans="1:12">
      <c r="A27" s="20"/>
      <c r="C27" s="42" t="s">
        <v>600</v>
      </c>
      <c r="D27" s="42" t="s">
        <v>601</v>
      </c>
      <c r="E27" s="42"/>
      <c r="F27" s="50"/>
      <c r="G27" s="51" t="s">
        <v>600</v>
      </c>
      <c r="H27" s="52" t="s">
        <v>601</v>
      </c>
      <c r="L27" s="26"/>
    </row>
    <row r="28" spans="1:12">
      <c r="A28" s="20"/>
      <c r="B28" s="14" t="s">
        <v>602</v>
      </c>
      <c r="C28" s="53">
        <v>0</v>
      </c>
      <c r="D28" s="53">
        <v>0</v>
      </c>
      <c r="E28" s="54"/>
      <c r="F28" s="55" t="s">
        <v>598</v>
      </c>
      <c r="G28" s="56">
        <f>AVERAGE(C28:C31)</f>
        <v>0</v>
      </c>
      <c r="H28" s="57">
        <f>AVERAGE(D28:D31)</f>
        <v>0</v>
      </c>
      <c r="L28" s="26"/>
    </row>
    <row r="29" spans="1:12">
      <c r="A29" s="20"/>
      <c r="B29" s="14" t="s">
        <v>603</v>
      </c>
      <c r="C29" s="53">
        <v>0</v>
      </c>
      <c r="D29" s="53">
        <v>0</v>
      </c>
      <c r="E29" s="54"/>
      <c r="F29" s="55" t="s">
        <v>604</v>
      </c>
      <c r="G29" s="56">
        <f>MIN(C28:C31)</f>
        <v>0</v>
      </c>
      <c r="H29" s="57">
        <f>MIN(D28:D31)</f>
        <v>0</v>
      </c>
      <c r="L29" s="26"/>
    </row>
    <row r="30" spans="1:12">
      <c r="A30" s="20"/>
      <c r="B30" s="14" t="s">
        <v>605</v>
      </c>
      <c r="C30" s="53">
        <v>0</v>
      </c>
      <c r="D30" s="53">
        <v>0</v>
      </c>
      <c r="E30" s="54"/>
      <c r="F30" s="55" t="s">
        <v>606</v>
      </c>
      <c r="G30" s="56">
        <f>MAX(C28:C31)</f>
        <v>0</v>
      </c>
      <c r="H30" s="57">
        <f>MAX(D28:D31)</f>
        <v>0</v>
      </c>
      <c r="L30" s="26"/>
    </row>
    <row r="31" spans="1:12">
      <c r="A31" s="20"/>
      <c r="B31" s="14" t="s">
        <v>607</v>
      </c>
      <c r="C31" s="53">
        <v>0</v>
      </c>
      <c r="D31" s="53">
        <v>0</v>
      </c>
      <c r="E31" s="54"/>
      <c r="F31" s="58"/>
      <c r="G31" s="59"/>
      <c r="H31" s="60"/>
      <c r="L31" s="26"/>
    </row>
    <row r="32" spans="1:12" ht="13.5" thickBot="1">
      <c r="A32" s="20"/>
      <c r="C32" s="56"/>
      <c r="D32" s="56"/>
      <c r="F32" s="61"/>
      <c r="G32" s="61"/>
      <c r="L32" s="26"/>
    </row>
    <row r="33" spans="1:14" ht="13.5" thickBot="1">
      <c r="A33" s="20"/>
      <c r="B33" s="14" t="s">
        <v>608</v>
      </c>
      <c r="C33" s="27">
        <v>500</v>
      </c>
      <c r="D33" s="62"/>
      <c r="E33" s="14" t="s">
        <v>609</v>
      </c>
      <c r="F33" s="61"/>
      <c r="G33" s="27">
        <v>50</v>
      </c>
      <c r="L33" s="26"/>
    </row>
    <row r="34" spans="1:14">
      <c r="A34" s="20"/>
      <c r="F34" s="61"/>
      <c r="G34" s="61"/>
      <c r="L34" s="26"/>
    </row>
    <row r="35" spans="1:14" ht="13.5" thickBot="1">
      <c r="A35" s="20"/>
      <c r="B35" s="63" t="s">
        <v>610</v>
      </c>
      <c r="E35" s="64"/>
      <c r="F35" s="64"/>
      <c r="G35" s="64"/>
      <c r="H35" s="64"/>
      <c r="I35" s="64"/>
      <c r="J35" s="64"/>
      <c r="K35" s="64"/>
      <c r="L35" s="26"/>
    </row>
    <row r="36" spans="1:14">
      <c r="A36" s="20"/>
      <c r="B36" s="65"/>
      <c r="C36" s="66"/>
      <c r="D36" s="66"/>
      <c r="E36" s="67"/>
      <c r="F36" s="68"/>
      <c r="G36" s="41" t="s">
        <v>542</v>
      </c>
      <c r="H36" s="68"/>
      <c r="I36" s="69"/>
      <c r="L36" s="26"/>
    </row>
    <row r="37" spans="1:14">
      <c r="A37" s="20"/>
      <c r="B37" s="20"/>
      <c r="C37" s="55"/>
      <c r="D37" s="55"/>
      <c r="E37" s="70">
        <f>+F37-G33</f>
        <v>400</v>
      </c>
      <c r="F37" s="71">
        <f>+G37-G33</f>
        <v>450</v>
      </c>
      <c r="G37" s="71">
        <f>+C33</f>
        <v>500</v>
      </c>
      <c r="H37" s="71">
        <f>+G37+G33</f>
        <v>550</v>
      </c>
      <c r="I37" s="72">
        <f>+H37+G33</f>
        <v>600</v>
      </c>
      <c r="L37" s="26"/>
    </row>
    <row r="38" spans="1:14" ht="13.5" thickBot="1">
      <c r="A38" s="20"/>
      <c r="B38" s="73" t="s">
        <v>611</v>
      </c>
      <c r="C38" s="74" t="s">
        <v>612</v>
      </c>
      <c r="D38" s="74" t="s">
        <v>613</v>
      </c>
      <c r="E38" s="55"/>
      <c r="I38" s="26"/>
      <c r="L38" s="26"/>
      <c r="N38" s="75"/>
    </row>
    <row r="39" spans="1:14" ht="13.5" thickBot="1">
      <c r="A39" s="20"/>
      <c r="B39" s="76" t="e">
        <f t="shared" ref="B39:B44" si="4">+D39/G$29</f>
        <v>#DIV/0!</v>
      </c>
      <c r="C39" s="77" t="e">
        <f t="shared" ref="C39:C44" si="5">+D39/G$28</f>
        <v>#DIV/0!</v>
      </c>
      <c r="D39" s="78">
        <v>0</v>
      </c>
      <c r="E39" s="79">
        <f t="shared" ref="E39:I44" si="6">+E$37*$D39</f>
        <v>0</v>
      </c>
      <c r="F39" s="79">
        <f t="shared" si="6"/>
        <v>0</v>
      </c>
      <c r="G39" s="80">
        <f t="shared" si="6"/>
        <v>0</v>
      </c>
      <c r="H39" s="79">
        <f t="shared" si="6"/>
        <v>0</v>
      </c>
      <c r="I39" s="81">
        <f t="shared" si="6"/>
        <v>0</v>
      </c>
      <c r="L39" s="26"/>
      <c r="N39" s="75"/>
    </row>
    <row r="40" spans="1:14">
      <c r="A40" s="20"/>
      <c r="B40" s="76" t="e">
        <f t="shared" si="4"/>
        <v>#DIV/0!</v>
      </c>
      <c r="C40" s="77" t="e">
        <f t="shared" si="5"/>
        <v>#DIV/0!</v>
      </c>
      <c r="D40" s="82">
        <f>+D39+0.5</f>
        <v>0.5</v>
      </c>
      <c r="E40" s="83">
        <f t="shared" si="6"/>
        <v>200</v>
      </c>
      <c r="F40" s="79">
        <f t="shared" si="6"/>
        <v>225</v>
      </c>
      <c r="G40" s="80">
        <f t="shared" si="6"/>
        <v>250</v>
      </c>
      <c r="H40" s="79">
        <f t="shared" si="6"/>
        <v>275</v>
      </c>
      <c r="I40" s="84">
        <f t="shared" si="6"/>
        <v>300</v>
      </c>
      <c r="L40" s="26"/>
    </row>
    <row r="41" spans="1:14">
      <c r="A41" s="20"/>
      <c r="B41" s="76" t="e">
        <f t="shared" si="4"/>
        <v>#DIV/0!</v>
      </c>
      <c r="C41" s="77" t="e">
        <f t="shared" si="5"/>
        <v>#DIV/0!</v>
      </c>
      <c r="D41" s="82">
        <f>+D40+0.5</f>
        <v>1</v>
      </c>
      <c r="E41" s="83">
        <f t="shared" si="6"/>
        <v>400</v>
      </c>
      <c r="F41" s="85">
        <f t="shared" si="6"/>
        <v>450</v>
      </c>
      <c r="G41" s="85">
        <f t="shared" si="6"/>
        <v>500</v>
      </c>
      <c r="H41" s="85">
        <f t="shared" si="6"/>
        <v>550</v>
      </c>
      <c r="I41" s="84">
        <f t="shared" si="6"/>
        <v>600</v>
      </c>
      <c r="L41" s="26"/>
      <c r="N41" s="75"/>
    </row>
    <row r="42" spans="1:14">
      <c r="A42" s="20"/>
      <c r="B42" s="76" t="e">
        <f t="shared" si="4"/>
        <v>#DIV/0!</v>
      </c>
      <c r="C42" s="77" t="e">
        <f t="shared" si="5"/>
        <v>#DIV/0!</v>
      </c>
      <c r="D42" s="82">
        <f>+D41+0.5</f>
        <v>1.5</v>
      </c>
      <c r="E42" s="83">
        <f t="shared" si="6"/>
        <v>600</v>
      </c>
      <c r="F42" s="80">
        <f t="shared" si="6"/>
        <v>675</v>
      </c>
      <c r="G42" s="80">
        <f t="shared" si="6"/>
        <v>750</v>
      </c>
      <c r="H42" s="80">
        <f t="shared" si="6"/>
        <v>825</v>
      </c>
      <c r="I42" s="84">
        <f t="shared" si="6"/>
        <v>900</v>
      </c>
      <c r="L42" s="26"/>
      <c r="N42" s="75"/>
    </row>
    <row r="43" spans="1:14">
      <c r="A43" s="20"/>
      <c r="B43" s="76" t="e">
        <f t="shared" si="4"/>
        <v>#DIV/0!</v>
      </c>
      <c r="C43" s="77" t="e">
        <f t="shared" si="5"/>
        <v>#DIV/0!</v>
      </c>
      <c r="D43" s="82">
        <f>+D42+0.5</f>
        <v>2</v>
      </c>
      <c r="E43" s="86">
        <f t="shared" si="6"/>
        <v>800</v>
      </c>
      <c r="F43" s="79">
        <f t="shared" si="6"/>
        <v>900</v>
      </c>
      <c r="G43" s="80">
        <f t="shared" si="6"/>
        <v>1000</v>
      </c>
      <c r="H43" s="79">
        <f t="shared" si="6"/>
        <v>1100</v>
      </c>
      <c r="I43" s="81">
        <f t="shared" si="6"/>
        <v>1200</v>
      </c>
      <c r="L43" s="26"/>
    </row>
    <row r="44" spans="1:14" ht="13.5" thickBot="1">
      <c r="A44" s="20"/>
      <c r="B44" s="87" t="e">
        <f t="shared" si="4"/>
        <v>#DIV/0!</v>
      </c>
      <c r="C44" s="88" t="e">
        <f t="shared" si="5"/>
        <v>#DIV/0!</v>
      </c>
      <c r="D44" s="89">
        <f>+D43+0.5</f>
        <v>2.5</v>
      </c>
      <c r="E44" s="90">
        <f t="shared" si="6"/>
        <v>1000</v>
      </c>
      <c r="F44" s="91">
        <f t="shared" si="6"/>
        <v>1125</v>
      </c>
      <c r="G44" s="92">
        <f t="shared" si="6"/>
        <v>1250</v>
      </c>
      <c r="H44" s="91">
        <f t="shared" si="6"/>
        <v>1375</v>
      </c>
      <c r="I44" s="93">
        <f t="shared" si="6"/>
        <v>1500</v>
      </c>
      <c r="L44" s="26"/>
    </row>
    <row r="45" spans="1:14" ht="13.5" thickBot="1">
      <c r="A45" s="20"/>
      <c r="D45" s="94"/>
      <c r="F45" s="95"/>
      <c r="G45" s="95"/>
      <c r="H45" s="95"/>
      <c r="I45" s="95"/>
      <c r="J45" s="95"/>
      <c r="K45" s="95"/>
      <c r="L45" s="26"/>
    </row>
    <row r="46" spans="1:14" ht="13.5" thickBot="1">
      <c r="A46" s="20"/>
      <c r="B46" s="14" t="s">
        <v>614</v>
      </c>
      <c r="C46" s="27">
        <v>3798.55</v>
      </c>
      <c r="E46" s="14" t="s">
        <v>609</v>
      </c>
      <c r="F46" s="61"/>
      <c r="G46" s="27">
        <v>500</v>
      </c>
      <c r="H46" s="95"/>
      <c r="I46" s="95"/>
      <c r="J46" s="95"/>
      <c r="K46" s="95"/>
      <c r="L46" s="26"/>
    </row>
    <row r="47" spans="1:14" ht="13.5" thickBot="1">
      <c r="A47" s="20"/>
      <c r="D47" s="94"/>
      <c r="F47" s="95"/>
      <c r="G47" s="95"/>
      <c r="H47" s="95"/>
      <c r="I47" s="95"/>
      <c r="J47" s="95"/>
      <c r="K47" s="95"/>
      <c r="L47" s="26"/>
    </row>
    <row r="48" spans="1:14">
      <c r="A48" s="20"/>
      <c r="B48" s="65"/>
      <c r="C48" s="66"/>
      <c r="D48" s="96"/>
      <c r="E48" s="97"/>
      <c r="F48" s="97"/>
      <c r="G48" s="98" t="s">
        <v>10</v>
      </c>
      <c r="H48" s="97"/>
      <c r="I48" s="99"/>
      <c r="J48" s="95"/>
      <c r="K48" s="95"/>
      <c r="L48" s="26"/>
    </row>
    <row r="49" spans="1:18">
      <c r="A49" s="20"/>
      <c r="B49" s="20"/>
      <c r="C49" s="55"/>
      <c r="D49" s="100"/>
      <c r="E49" s="71">
        <f>+F49-G46</f>
        <v>2798.55</v>
      </c>
      <c r="F49" s="71">
        <f>+G49-G46</f>
        <v>3298.55</v>
      </c>
      <c r="G49" s="71">
        <f>+C46</f>
        <v>3798.55</v>
      </c>
      <c r="H49" s="71">
        <f>+G49+G46</f>
        <v>4298.55</v>
      </c>
      <c r="I49" s="72">
        <f>+H49+G46</f>
        <v>4798.55</v>
      </c>
      <c r="J49" s="95"/>
      <c r="K49" s="95"/>
      <c r="L49" s="26"/>
    </row>
    <row r="50" spans="1:18" ht="13.5" thickBot="1">
      <c r="A50" s="20"/>
      <c r="B50" s="73" t="s">
        <v>611</v>
      </c>
      <c r="C50" s="74" t="s">
        <v>612</v>
      </c>
      <c r="D50" s="101" t="s">
        <v>613</v>
      </c>
      <c r="I50" s="26"/>
      <c r="J50" s="95"/>
      <c r="K50" s="95"/>
      <c r="L50" s="26"/>
    </row>
    <row r="51" spans="1:18" ht="13.5" thickBot="1">
      <c r="A51" s="20"/>
      <c r="B51" s="76" t="e">
        <f t="shared" ref="B51:B56" si="7">+D51/H$29</f>
        <v>#DIV/0!</v>
      </c>
      <c r="C51" s="77" t="e">
        <f t="shared" ref="C51:C56" si="8">+D51/H$28</f>
        <v>#DIV/0!</v>
      </c>
      <c r="D51" s="78">
        <v>0</v>
      </c>
      <c r="E51" s="79">
        <f t="shared" ref="E51:I56" si="9">+E$49*$D51</f>
        <v>0</v>
      </c>
      <c r="F51" s="79">
        <f t="shared" si="9"/>
        <v>0</v>
      </c>
      <c r="G51" s="80">
        <f t="shared" si="9"/>
        <v>0</v>
      </c>
      <c r="H51" s="79">
        <f t="shared" si="9"/>
        <v>0</v>
      </c>
      <c r="I51" s="81">
        <f t="shared" si="9"/>
        <v>0</v>
      </c>
      <c r="J51" s="95"/>
      <c r="K51" s="95"/>
      <c r="L51" s="26"/>
    </row>
    <row r="52" spans="1:18">
      <c r="A52" s="20"/>
      <c r="B52" s="76" t="e">
        <f t="shared" si="7"/>
        <v>#DIV/0!</v>
      </c>
      <c r="C52" s="77" t="e">
        <f t="shared" si="8"/>
        <v>#DIV/0!</v>
      </c>
      <c r="D52" s="102">
        <f>+D51+0.1</f>
        <v>0.1</v>
      </c>
      <c r="E52" s="80">
        <f t="shared" si="9"/>
        <v>279.85500000000002</v>
      </c>
      <c r="F52" s="79">
        <f t="shared" si="9"/>
        <v>329.85500000000002</v>
      </c>
      <c r="G52" s="80">
        <f t="shared" si="9"/>
        <v>379.85500000000002</v>
      </c>
      <c r="H52" s="79">
        <f t="shared" si="9"/>
        <v>429.85500000000002</v>
      </c>
      <c r="I52" s="84">
        <f t="shared" si="9"/>
        <v>479.85500000000002</v>
      </c>
      <c r="J52" s="95"/>
      <c r="K52" s="95"/>
      <c r="L52" s="26"/>
    </row>
    <row r="53" spans="1:18">
      <c r="A53" s="20"/>
      <c r="B53" s="76" t="e">
        <f t="shared" si="7"/>
        <v>#DIV/0!</v>
      </c>
      <c r="C53" s="77" t="e">
        <f t="shared" si="8"/>
        <v>#DIV/0!</v>
      </c>
      <c r="D53" s="102">
        <f>+D52+0.1</f>
        <v>0.2</v>
      </c>
      <c r="E53" s="80">
        <f t="shared" si="9"/>
        <v>559.71</v>
      </c>
      <c r="F53" s="85">
        <f t="shared" si="9"/>
        <v>659.71</v>
      </c>
      <c r="G53" s="85">
        <f t="shared" si="9"/>
        <v>759.71</v>
      </c>
      <c r="H53" s="85">
        <f t="shared" si="9"/>
        <v>859.71</v>
      </c>
      <c r="I53" s="84">
        <f t="shared" si="9"/>
        <v>959.71</v>
      </c>
      <c r="J53" s="95"/>
      <c r="K53" s="95"/>
      <c r="L53" s="26"/>
    </row>
    <row r="54" spans="1:18">
      <c r="A54" s="20"/>
      <c r="B54" s="76" t="e">
        <f t="shared" si="7"/>
        <v>#DIV/0!</v>
      </c>
      <c r="C54" s="77" t="e">
        <f t="shared" si="8"/>
        <v>#DIV/0!</v>
      </c>
      <c r="D54" s="102">
        <f>+D53+0.1</f>
        <v>0.30000000000000004</v>
      </c>
      <c r="E54" s="80">
        <f t="shared" si="9"/>
        <v>839.56500000000017</v>
      </c>
      <c r="F54" s="80">
        <f t="shared" si="9"/>
        <v>989.56500000000017</v>
      </c>
      <c r="G54" s="80">
        <f t="shared" si="9"/>
        <v>1139.5650000000003</v>
      </c>
      <c r="H54" s="80">
        <f t="shared" si="9"/>
        <v>1289.5650000000003</v>
      </c>
      <c r="I54" s="84">
        <f t="shared" si="9"/>
        <v>1439.5650000000003</v>
      </c>
      <c r="J54" s="95"/>
      <c r="K54" s="95"/>
      <c r="L54" s="26"/>
    </row>
    <row r="55" spans="1:18">
      <c r="A55" s="20"/>
      <c r="B55" s="76" t="e">
        <f t="shared" si="7"/>
        <v>#DIV/0!</v>
      </c>
      <c r="C55" s="77" t="e">
        <f t="shared" si="8"/>
        <v>#DIV/0!</v>
      </c>
      <c r="D55" s="102">
        <f>+D54+0.1</f>
        <v>0.4</v>
      </c>
      <c r="E55" s="79">
        <f t="shared" si="9"/>
        <v>1119.42</v>
      </c>
      <c r="F55" s="79">
        <f t="shared" si="9"/>
        <v>1319.42</v>
      </c>
      <c r="G55" s="80">
        <f t="shared" si="9"/>
        <v>1519.42</v>
      </c>
      <c r="H55" s="79">
        <f t="shared" si="9"/>
        <v>1719.42</v>
      </c>
      <c r="I55" s="81">
        <f t="shared" si="9"/>
        <v>1919.42</v>
      </c>
      <c r="J55" s="95"/>
      <c r="K55" s="95"/>
      <c r="L55" s="26"/>
    </row>
    <row r="56" spans="1:18" ht="13.5" thickBot="1">
      <c r="A56" s="20"/>
      <c r="B56" s="87" t="e">
        <f t="shared" si="7"/>
        <v>#DIV/0!</v>
      </c>
      <c r="C56" s="88" t="e">
        <f t="shared" si="8"/>
        <v>#DIV/0!</v>
      </c>
      <c r="D56" s="103">
        <f>+D55+0.1</f>
        <v>0.5</v>
      </c>
      <c r="E56" s="91">
        <f t="shared" si="9"/>
        <v>1399.2750000000001</v>
      </c>
      <c r="F56" s="91">
        <f t="shared" si="9"/>
        <v>1649.2750000000001</v>
      </c>
      <c r="G56" s="92">
        <f t="shared" si="9"/>
        <v>1899.2750000000001</v>
      </c>
      <c r="H56" s="91">
        <f t="shared" si="9"/>
        <v>2149.2750000000001</v>
      </c>
      <c r="I56" s="93">
        <f t="shared" si="9"/>
        <v>2399.2750000000001</v>
      </c>
      <c r="J56" s="95"/>
      <c r="K56" s="95"/>
      <c r="L56" s="26"/>
    </row>
    <row r="57" spans="1:18" ht="13.5" thickBot="1">
      <c r="A57" s="38"/>
      <c r="B57" s="22"/>
      <c r="C57" s="22"/>
      <c r="D57" s="104"/>
      <c r="E57" s="22"/>
      <c r="F57" s="104"/>
      <c r="G57" s="104"/>
      <c r="H57" s="104"/>
      <c r="I57" s="104"/>
      <c r="J57" s="104"/>
      <c r="K57" s="104"/>
      <c r="L57" s="39"/>
    </row>
    <row r="58" spans="1:18">
      <c r="A58" s="20"/>
      <c r="D58" s="95"/>
      <c r="F58" s="95"/>
      <c r="G58" s="95"/>
      <c r="H58" s="95"/>
      <c r="I58" s="95"/>
      <c r="J58" s="95"/>
      <c r="K58" s="95"/>
      <c r="L58" s="26"/>
    </row>
    <row r="59" spans="1:18">
      <c r="A59" s="20"/>
      <c r="B59" s="105" t="s">
        <v>615</v>
      </c>
      <c r="D59" s="95"/>
      <c r="E59" s="95"/>
      <c r="F59" s="95"/>
      <c r="G59" s="95"/>
      <c r="H59" s="95"/>
      <c r="L59" s="26"/>
    </row>
    <row r="60" spans="1:18">
      <c r="A60" s="20"/>
      <c r="B60" s="50"/>
      <c r="C60" s="106"/>
      <c r="D60" s="106"/>
      <c r="E60" s="107" t="s">
        <v>616</v>
      </c>
      <c r="F60" s="106"/>
      <c r="G60" s="108"/>
      <c r="H60" s="95"/>
      <c r="L60" s="26"/>
    </row>
    <row r="61" spans="1:18">
      <c r="A61" s="20"/>
      <c r="B61" s="55"/>
      <c r="C61" s="42" t="s">
        <v>617</v>
      </c>
      <c r="D61" s="42" t="s">
        <v>618</v>
      </c>
      <c r="E61" s="42" t="s">
        <v>619</v>
      </c>
      <c r="F61" s="42" t="s">
        <v>620</v>
      </c>
      <c r="G61" s="109" t="s">
        <v>621</v>
      </c>
      <c r="H61" s="95"/>
      <c r="L61" s="26"/>
    </row>
    <row r="62" spans="1:18">
      <c r="A62" s="20"/>
      <c r="B62" s="55" t="s">
        <v>622</v>
      </c>
      <c r="C62" s="43" t="s">
        <v>623</v>
      </c>
      <c r="D62" s="35">
        <v>7.4999999999999997E-2</v>
      </c>
      <c r="E62" s="43" t="s">
        <v>623</v>
      </c>
      <c r="F62" s="110">
        <v>0.35</v>
      </c>
      <c r="G62" s="111">
        <f>+D62*(1-F62)</f>
        <v>4.8750000000000002E-2</v>
      </c>
      <c r="H62" s="45"/>
      <c r="I62" s="112"/>
      <c r="J62" s="75"/>
      <c r="K62" s="75"/>
      <c r="L62" s="113"/>
      <c r="Q62" s="14">
        <v>0.625</v>
      </c>
      <c r="R62" s="14">
        <f>G62*Q62</f>
        <v>3.0468750000000003E-2</v>
      </c>
    </row>
    <row r="63" spans="1:18" ht="13.5" thickBot="1">
      <c r="A63" s="20"/>
      <c r="B63" s="55" t="s">
        <v>624</v>
      </c>
      <c r="C63" s="35">
        <v>0.03</v>
      </c>
      <c r="D63" s="35">
        <f>+D62+C63</f>
        <v>0.105</v>
      </c>
      <c r="E63" s="43" t="s">
        <v>623</v>
      </c>
      <c r="F63" s="110">
        <f>+F62</f>
        <v>0.35</v>
      </c>
      <c r="G63" s="111">
        <f>+D63*(1-F63)</f>
        <v>6.8250000000000005E-2</v>
      </c>
      <c r="H63" s="45"/>
      <c r="I63" s="112"/>
      <c r="J63" s="75"/>
      <c r="K63" s="75"/>
      <c r="L63" s="26"/>
      <c r="Q63" s="14">
        <f>1-Q62</f>
        <v>0.375</v>
      </c>
      <c r="R63" s="14">
        <f>G63*Q63</f>
        <v>2.5593750000000002E-2</v>
      </c>
    </row>
    <row r="64" spans="1:18" ht="13.5" thickBot="1">
      <c r="A64" s="20"/>
      <c r="B64" s="58" t="s">
        <v>625</v>
      </c>
      <c r="C64" s="114" t="s">
        <v>623</v>
      </c>
      <c r="D64" s="35">
        <v>0.17499999999999999</v>
      </c>
      <c r="E64" s="115">
        <v>0.03</v>
      </c>
      <c r="F64" s="114" t="s">
        <v>623</v>
      </c>
      <c r="G64" s="116">
        <f>+D64-E64</f>
        <v>0.14499999999999999</v>
      </c>
      <c r="H64" s="45"/>
      <c r="I64" s="112"/>
      <c r="J64" s="75"/>
      <c r="K64" s="75"/>
      <c r="L64" s="26"/>
    </row>
    <row r="65" spans="1:16" ht="13.5" thickBot="1">
      <c r="A65" s="20"/>
      <c r="B65" s="95"/>
      <c r="D65" s="117"/>
      <c r="E65" s="95"/>
      <c r="F65" s="95"/>
      <c r="G65" s="95"/>
      <c r="H65" s="95"/>
      <c r="J65" s="21" t="s">
        <v>626</v>
      </c>
      <c r="K65" s="21"/>
      <c r="L65" s="26"/>
      <c r="O65" s="118"/>
      <c r="P65" s="119"/>
    </row>
    <row r="66" spans="1:16" ht="13.5" thickBot="1">
      <c r="A66" s="20"/>
      <c r="B66" s="14" t="s">
        <v>627</v>
      </c>
      <c r="D66" s="27">
        <v>0</v>
      </c>
      <c r="F66" s="120" t="s">
        <v>628</v>
      </c>
      <c r="I66" s="121">
        <v>1.5</v>
      </c>
      <c r="L66" s="26"/>
      <c r="O66" s="118"/>
      <c r="P66" s="119"/>
    </row>
    <row r="67" spans="1:16" ht="13.5" thickBot="1">
      <c r="A67" s="20"/>
      <c r="B67" s="14" t="s">
        <v>629</v>
      </c>
      <c r="D67" s="122">
        <v>0.09</v>
      </c>
      <c r="F67" s="95" t="s">
        <v>630</v>
      </c>
      <c r="H67" s="95"/>
      <c r="I67" s="121">
        <f>I66</f>
        <v>1.5</v>
      </c>
      <c r="L67" s="26"/>
      <c r="O67" s="118"/>
      <c r="P67" s="119"/>
    </row>
    <row r="68" spans="1:16" ht="13.5" thickBot="1">
      <c r="A68" s="20"/>
      <c r="B68" s="14" t="s">
        <v>631</v>
      </c>
      <c r="D68" s="123">
        <v>0</v>
      </c>
      <c r="F68" s="120" t="s">
        <v>632</v>
      </c>
      <c r="I68" s="121">
        <v>3.5</v>
      </c>
      <c r="K68" s="43"/>
      <c r="L68" s="26"/>
      <c r="O68" s="118"/>
      <c r="P68" s="119"/>
    </row>
    <row r="69" spans="1:16" ht="13.5" thickBot="1">
      <c r="A69" s="20"/>
      <c r="F69" s="95" t="s">
        <v>633</v>
      </c>
      <c r="H69" s="95"/>
      <c r="I69" s="121">
        <v>5</v>
      </c>
      <c r="J69" s="43"/>
      <c r="K69" s="43"/>
      <c r="L69" s="26"/>
      <c r="O69" s="118"/>
      <c r="P69" s="119"/>
    </row>
    <row r="70" spans="1:16" ht="13.5" thickBot="1">
      <c r="A70" s="20"/>
      <c r="B70" s="95"/>
      <c r="D70" s="95"/>
      <c r="E70" s="95"/>
      <c r="F70" s="95"/>
      <c r="G70" s="95"/>
      <c r="H70" s="95"/>
      <c r="L70" s="26"/>
      <c r="O70" s="118"/>
      <c r="P70" s="119"/>
    </row>
    <row r="71" spans="1:16">
      <c r="A71" s="20"/>
      <c r="B71" s="124" t="s">
        <v>542</v>
      </c>
      <c r="C71" s="18"/>
      <c r="D71" s="125">
        <f>+E37</f>
        <v>400</v>
      </c>
      <c r="E71" s="125">
        <f>+F37</f>
        <v>450</v>
      </c>
      <c r="F71" s="125">
        <f>+G37</f>
        <v>500</v>
      </c>
      <c r="G71" s="125">
        <f>+H37</f>
        <v>550</v>
      </c>
      <c r="H71" s="126">
        <f>+I37</f>
        <v>600</v>
      </c>
      <c r="L71" s="26"/>
      <c r="O71" s="37"/>
    </row>
    <row r="72" spans="1:16" ht="15">
      <c r="A72" s="20"/>
      <c r="B72" s="127" t="s">
        <v>634</v>
      </c>
      <c r="D72" s="128">
        <f>-D68</f>
        <v>0</v>
      </c>
      <c r="E72" s="128">
        <f>+D72</f>
        <v>0</v>
      </c>
      <c r="F72" s="128">
        <f>+E72</f>
        <v>0</v>
      </c>
      <c r="G72" s="128">
        <f>+F72</f>
        <v>0</v>
      </c>
      <c r="H72" s="129">
        <f>+G72</f>
        <v>0</v>
      </c>
      <c r="L72" s="26"/>
      <c r="O72" s="37"/>
    </row>
    <row r="73" spans="1:16">
      <c r="A73" s="20"/>
      <c r="B73" s="127" t="s">
        <v>635</v>
      </c>
      <c r="D73" s="120">
        <f>SUM(D71:D72)</f>
        <v>400</v>
      </c>
      <c r="E73" s="120">
        <f>SUM(E71:E72)</f>
        <v>450</v>
      </c>
      <c r="F73" s="120">
        <f>SUM(F71:F72)</f>
        <v>500</v>
      </c>
      <c r="G73" s="120">
        <f>SUM(G71:G72)</f>
        <v>550</v>
      </c>
      <c r="H73" s="130">
        <f>SUM(H71:H72)</f>
        <v>600</v>
      </c>
      <c r="L73" s="26"/>
      <c r="O73" s="37"/>
    </row>
    <row r="74" spans="1:16">
      <c r="A74" s="20"/>
      <c r="B74" s="127" t="s">
        <v>636</v>
      </c>
      <c r="D74" s="120">
        <f>-D73*$F62</f>
        <v>-140</v>
      </c>
      <c r="E74" s="120">
        <f>-E73*$F62</f>
        <v>-157.5</v>
      </c>
      <c r="F74" s="120">
        <f>-F73*$F62</f>
        <v>-175</v>
      </c>
      <c r="G74" s="120">
        <f>-G73*$F62</f>
        <v>-192.5</v>
      </c>
      <c r="H74" s="130">
        <f>-H73*$F62</f>
        <v>-210</v>
      </c>
      <c r="L74" s="26"/>
      <c r="O74" s="37"/>
    </row>
    <row r="75" spans="1:16">
      <c r="A75" s="20"/>
      <c r="B75" s="127" t="s">
        <v>637</v>
      </c>
      <c r="D75" s="120">
        <f>-MAX($D66,$D67*D71)</f>
        <v>-36</v>
      </c>
      <c r="E75" s="120">
        <f>-MAX($D66,$D67*E71)</f>
        <v>-40.5</v>
      </c>
      <c r="F75" s="120">
        <f>-MAX($D66,$D67*F71)</f>
        <v>-45</v>
      </c>
      <c r="G75" s="120">
        <f>-MAX($D66,$D67*G71)</f>
        <v>-49.5</v>
      </c>
      <c r="H75" s="130">
        <f>-MAX($D66,$D67*H71)</f>
        <v>-54</v>
      </c>
      <c r="L75" s="26"/>
      <c r="O75" s="37"/>
    </row>
    <row r="76" spans="1:16" ht="15">
      <c r="A76" s="20"/>
      <c r="B76" s="127" t="s">
        <v>638</v>
      </c>
      <c r="D76" s="128">
        <f>-D72</f>
        <v>0</v>
      </c>
      <c r="E76" s="128">
        <f>-E72</f>
        <v>0</v>
      </c>
      <c r="F76" s="128">
        <f>-F72</f>
        <v>0</v>
      </c>
      <c r="G76" s="128">
        <f>-G72</f>
        <v>0</v>
      </c>
      <c r="H76" s="129">
        <f>-H72</f>
        <v>0</v>
      </c>
      <c r="L76" s="26"/>
    </row>
    <row r="77" spans="1:16" ht="13.5" thickBot="1">
      <c r="A77" s="20"/>
      <c r="B77" s="131" t="s">
        <v>639</v>
      </c>
      <c r="C77" s="22"/>
      <c r="D77" s="132">
        <f>SUM(D73:D76)</f>
        <v>224</v>
      </c>
      <c r="E77" s="132">
        <f>SUM(E73:E76)</f>
        <v>252</v>
      </c>
      <c r="F77" s="132">
        <f>SUM(F73:F76)</f>
        <v>280</v>
      </c>
      <c r="G77" s="132">
        <f>SUM(G73:G76)</f>
        <v>308</v>
      </c>
      <c r="H77" s="133">
        <f>SUM(H73:H76)</f>
        <v>336</v>
      </c>
      <c r="L77" s="26"/>
      <c r="O77" s="37"/>
    </row>
    <row r="78" spans="1:16">
      <c r="A78" s="20"/>
      <c r="B78" s="127" t="s">
        <v>640</v>
      </c>
      <c r="D78" s="120">
        <f>+D77/$I66</f>
        <v>149.33333333333334</v>
      </c>
      <c r="E78" s="120">
        <f>+E77/$I66</f>
        <v>168</v>
      </c>
      <c r="F78" s="120">
        <f>+F77/$I66</f>
        <v>186.66666666666666</v>
      </c>
      <c r="G78" s="120">
        <f>+G77/$I66</f>
        <v>205.33333333333334</v>
      </c>
      <c r="H78" s="130">
        <f>+H77/$I66</f>
        <v>224</v>
      </c>
      <c r="L78" s="26"/>
      <c r="O78" s="37"/>
    </row>
    <row r="79" spans="1:16">
      <c r="A79" s="20"/>
      <c r="B79" s="127" t="s">
        <v>641</v>
      </c>
      <c r="D79" s="134">
        <f>MIN(+D78/$D62,D71*$I68)</f>
        <v>1400</v>
      </c>
      <c r="E79" s="134">
        <f>MIN(+E78/$D62,E71*$I68)</f>
        <v>1575</v>
      </c>
      <c r="F79" s="134">
        <f>MIN(+F78/$D62,F71*$I68)</f>
        <v>1750</v>
      </c>
      <c r="G79" s="134">
        <f>MIN(+G78/$D62,G71*$I68)</f>
        <v>1925</v>
      </c>
      <c r="H79" s="135">
        <f>MIN(+H78/$D62,H71*$I68)</f>
        <v>2100</v>
      </c>
      <c r="L79" s="26"/>
      <c r="O79" s="37"/>
    </row>
    <row r="80" spans="1:16" ht="13.5" thickBot="1">
      <c r="A80" s="20"/>
      <c r="B80" s="131" t="s">
        <v>642</v>
      </c>
      <c r="C80" s="22"/>
      <c r="D80" s="136">
        <f>+D79/D71</f>
        <v>3.5</v>
      </c>
      <c r="E80" s="136">
        <f>+E79/E71</f>
        <v>3.5</v>
      </c>
      <c r="F80" s="136">
        <f>+F79/F71</f>
        <v>3.5</v>
      </c>
      <c r="G80" s="136">
        <f>+G79/G71</f>
        <v>3.5</v>
      </c>
      <c r="H80" s="137">
        <f>+H79/H71</f>
        <v>3.5</v>
      </c>
      <c r="L80" s="26"/>
      <c r="O80" s="37"/>
    </row>
    <row r="81" spans="1:15">
      <c r="A81" s="20"/>
      <c r="B81" s="124" t="s">
        <v>643</v>
      </c>
      <c r="C81" s="18"/>
      <c r="D81" s="125">
        <f>-D79*$G62</f>
        <v>-68.25</v>
      </c>
      <c r="E81" s="125">
        <f>-E79*$G62</f>
        <v>-76.78125</v>
      </c>
      <c r="F81" s="125">
        <f>-F79*$G62</f>
        <v>-85.3125</v>
      </c>
      <c r="G81" s="125">
        <f>-G79*$G62</f>
        <v>-93.84375</v>
      </c>
      <c r="H81" s="126">
        <f>-H79*$G62</f>
        <v>-102.375</v>
      </c>
      <c r="L81" s="26"/>
      <c r="O81" s="37"/>
    </row>
    <row r="82" spans="1:15">
      <c r="A82" s="20"/>
      <c r="B82" s="127" t="s">
        <v>644</v>
      </c>
      <c r="D82" s="120">
        <f>+D77+D81</f>
        <v>155.75</v>
      </c>
      <c r="E82" s="120">
        <f>+E77+E81</f>
        <v>175.21875</v>
      </c>
      <c r="F82" s="120">
        <f>+F77+F81</f>
        <v>194.6875</v>
      </c>
      <c r="G82" s="120">
        <f>+G77+G81</f>
        <v>214.15625</v>
      </c>
      <c r="H82" s="130">
        <f>+H77+H81</f>
        <v>233.625</v>
      </c>
      <c r="L82" s="26"/>
      <c r="O82" s="37"/>
    </row>
    <row r="83" spans="1:15">
      <c r="A83" s="20"/>
      <c r="B83" s="127" t="s">
        <v>645</v>
      </c>
      <c r="D83" s="120">
        <f>+D82/$I67</f>
        <v>103.83333333333333</v>
      </c>
      <c r="E83" s="120">
        <f>+E82/$I67</f>
        <v>116.8125</v>
      </c>
      <c r="F83" s="120">
        <f>+F82/$I67</f>
        <v>129.79166666666666</v>
      </c>
      <c r="G83" s="120">
        <f>+G82/$I67</f>
        <v>142.77083333333334</v>
      </c>
      <c r="H83" s="130">
        <f>+H82/$I67</f>
        <v>155.75</v>
      </c>
      <c r="L83" s="26"/>
      <c r="O83" s="37"/>
    </row>
    <row r="84" spans="1:15" ht="13.5" thickBot="1">
      <c r="A84" s="20"/>
      <c r="B84" s="131" t="s">
        <v>646</v>
      </c>
      <c r="C84" s="22"/>
      <c r="D84" s="132">
        <f>MIN(+D83/$D63,($I69*D71)-D79)</f>
        <v>600</v>
      </c>
      <c r="E84" s="132">
        <f>MIN(+E83/$D63,($I69*E71)-E79)</f>
        <v>675</v>
      </c>
      <c r="F84" s="132">
        <f>MIN(+F83/$D63,($I69*F71)-F79)</f>
        <v>750</v>
      </c>
      <c r="G84" s="132">
        <f>MIN(+G83/$D63,($I69*G71)-G79)</f>
        <v>825</v>
      </c>
      <c r="H84" s="133">
        <f>MIN(+H83/$D63,($I69*H71)-H79)</f>
        <v>900</v>
      </c>
      <c r="L84" s="26"/>
      <c r="O84" s="37"/>
    </row>
    <row r="85" spans="1:15">
      <c r="A85" s="20"/>
      <c r="B85" s="127" t="s">
        <v>647</v>
      </c>
      <c r="D85" s="134">
        <f>+D79+D84</f>
        <v>2000</v>
      </c>
      <c r="E85" s="134">
        <f>+E79+E84</f>
        <v>2250</v>
      </c>
      <c r="F85" s="134">
        <f>+F79+F84</f>
        <v>2500</v>
      </c>
      <c r="G85" s="134">
        <f>+G79+G84</f>
        <v>2750</v>
      </c>
      <c r="H85" s="135">
        <f>+H79+H84</f>
        <v>3000</v>
      </c>
      <c r="L85" s="26"/>
      <c r="O85" s="37"/>
    </row>
    <row r="86" spans="1:15" ht="13.5" thickBot="1">
      <c r="A86" s="20"/>
      <c r="B86" s="131" t="s">
        <v>648</v>
      </c>
      <c r="C86" s="22"/>
      <c r="D86" s="136">
        <f>+D85/D71</f>
        <v>5</v>
      </c>
      <c r="E86" s="136">
        <f>+E85/E71</f>
        <v>5</v>
      </c>
      <c r="F86" s="136">
        <f>+F85/F71</f>
        <v>5</v>
      </c>
      <c r="G86" s="136">
        <f>+G85/G71</f>
        <v>5</v>
      </c>
      <c r="H86" s="137">
        <f>+H85/H71</f>
        <v>5</v>
      </c>
      <c r="L86" s="26"/>
      <c r="O86" s="37"/>
    </row>
    <row r="87" spans="1:15">
      <c r="A87" s="20"/>
      <c r="B87" s="127" t="s">
        <v>649</v>
      </c>
      <c r="D87" s="120">
        <f>-D84*$G63</f>
        <v>-40.950000000000003</v>
      </c>
      <c r="E87" s="120">
        <f>-E84*$G63</f>
        <v>-46.068750000000001</v>
      </c>
      <c r="F87" s="120">
        <f>-F84*$G63</f>
        <v>-51.187500000000007</v>
      </c>
      <c r="G87" s="120">
        <f>-G84*$G63</f>
        <v>-56.306250000000006</v>
      </c>
      <c r="H87" s="130">
        <f>-H84*$G63</f>
        <v>-61.425000000000004</v>
      </c>
      <c r="L87" s="26"/>
      <c r="O87" s="37"/>
    </row>
    <row r="88" spans="1:15" ht="13.5" thickBot="1">
      <c r="A88" s="20"/>
      <c r="B88" s="131" t="s">
        <v>650</v>
      </c>
      <c r="C88" s="22"/>
      <c r="D88" s="132">
        <f>+D82+D87</f>
        <v>114.8</v>
      </c>
      <c r="E88" s="132">
        <f>+E82+E87</f>
        <v>129.15</v>
      </c>
      <c r="F88" s="132">
        <f>+F82+F87</f>
        <v>143.5</v>
      </c>
      <c r="G88" s="132">
        <f>+G82+G87</f>
        <v>157.85</v>
      </c>
      <c r="H88" s="133">
        <f>+H82+H87</f>
        <v>172.2</v>
      </c>
      <c r="L88" s="26"/>
      <c r="O88" s="37"/>
    </row>
    <row r="89" spans="1:15">
      <c r="A89" s="20"/>
      <c r="L89" s="26"/>
      <c r="O89" s="37"/>
    </row>
    <row r="90" spans="1:15" ht="13.5" thickBot="1">
      <c r="A90" s="20"/>
      <c r="L90" s="26"/>
      <c r="O90" s="37"/>
    </row>
    <row r="91" spans="1:15" ht="13.5" thickBot="1">
      <c r="A91" s="20"/>
      <c r="B91" s="138" t="s">
        <v>542</v>
      </c>
      <c r="C91" s="139"/>
      <c r="D91" s="140">
        <f>+D71</f>
        <v>400</v>
      </c>
      <c r="E91" s="140">
        <f>+E71</f>
        <v>450</v>
      </c>
      <c r="F91" s="140">
        <f>+F71</f>
        <v>500</v>
      </c>
      <c r="G91" s="140">
        <f>+G71</f>
        <v>550</v>
      </c>
      <c r="H91" s="141">
        <f>+H71</f>
        <v>600</v>
      </c>
      <c r="L91" s="26"/>
      <c r="O91" s="37"/>
    </row>
    <row r="92" spans="1:15" ht="13.5" thickBot="1">
      <c r="A92" s="20"/>
      <c r="B92" s="124"/>
      <c r="C92" s="142" t="s">
        <v>651</v>
      </c>
      <c r="D92" s="143"/>
      <c r="E92" s="143"/>
      <c r="F92" s="144" t="s">
        <v>652</v>
      </c>
      <c r="G92" s="143"/>
      <c r="H92" s="145"/>
      <c r="L92" s="26"/>
    </row>
    <row r="93" spans="1:15">
      <c r="A93" s="20"/>
      <c r="B93" s="127"/>
      <c r="C93" s="110">
        <f>+C94-0.01</f>
        <v>0.12499999999999999</v>
      </c>
      <c r="D93" s="80">
        <f t="shared" ref="D93:H98" si="10">+D$88/$C93</f>
        <v>918.40000000000009</v>
      </c>
      <c r="E93" s="80">
        <f t="shared" si="10"/>
        <v>1033.2000000000003</v>
      </c>
      <c r="F93" s="80">
        <f t="shared" si="10"/>
        <v>1148.0000000000002</v>
      </c>
      <c r="G93" s="80">
        <f t="shared" si="10"/>
        <v>1262.8000000000002</v>
      </c>
      <c r="H93" s="84">
        <f t="shared" si="10"/>
        <v>1377.6000000000001</v>
      </c>
      <c r="L93" s="26"/>
    </row>
    <row r="94" spans="1:15">
      <c r="A94" s="20"/>
      <c r="B94" s="127"/>
      <c r="C94" s="110">
        <f>+C95-0.01</f>
        <v>0.13499999999999998</v>
      </c>
      <c r="D94" s="80">
        <f t="shared" si="10"/>
        <v>850.37037037037044</v>
      </c>
      <c r="E94" s="80">
        <f t="shared" si="10"/>
        <v>956.66666666666686</v>
      </c>
      <c r="F94" s="80">
        <f t="shared" si="10"/>
        <v>1062.962962962963</v>
      </c>
      <c r="G94" s="80">
        <f t="shared" si="10"/>
        <v>1169.2592592592594</v>
      </c>
      <c r="H94" s="84">
        <f t="shared" si="10"/>
        <v>1275.5555555555557</v>
      </c>
      <c r="L94" s="26"/>
    </row>
    <row r="95" spans="1:15">
      <c r="A95" s="20"/>
      <c r="B95" s="127"/>
      <c r="C95" s="110">
        <f>+G64</f>
        <v>0.14499999999999999</v>
      </c>
      <c r="D95" s="146">
        <f t="shared" si="10"/>
        <v>791.72413793103453</v>
      </c>
      <c r="E95" s="146">
        <f t="shared" si="10"/>
        <v>890.68965517241395</v>
      </c>
      <c r="F95" s="146">
        <f t="shared" si="10"/>
        <v>989.65517241379314</v>
      </c>
      <c r="G95" s="146">
        <f t="shared" si="10"/>
        <v>1088.6206896551726</v>
      </c>
      <c r="H95" s="147">
        <f t="shared" si="10"/>
        <v>1187.5862068965516</v>
      </c>
      <c r="L95" s="26"/>
    </row>
    <row r="96" spans="1:15">
      <c r="A96" s="20"/>
      <c r="B96" s="127"/>
      <c r="C96" s="110">
        <f>+C95+0.01</f>
        <v>0.155</v>
      </c>
      <c r="D96" s="80">
        <f t="shared" si="10"/>
        <v>740.64516129032256</v>
      </c>
      <c r="E96" s="80">
        <f t="shared" si="10"/>
        <v>833.22580645161293</v>
      </c>
      <c r="F96" s="80">
        <f t="shared" si="10"/>
        <v>925.80645161290329</v>
      </c>
      <c r="G96" s="80">
        <f t="shared" si="10"/>
        <v>1018.3870967741935</v>
      </c>
      <c r="H96" s="84">
        <f t="shared" si="10"/>
        <v>1110.9677419354839</v>
      </c>
      <c r="L96" s="26"/>
    </row>
    <row r="97" spans="1:12">
      <c r="A97" s="20"/>
      <c r="B97" s="127"/>
      <c r="C97" s="110">
        <f>+C96+0.01</f>
        <v>0.16500000000000001</v>
      </c>
      <c r="D97" s="80">
        <f t="shared" si="10"/>
        <v>695.75757575757575</v>
      </c>
      <c r="E97" s="80">
        <f t="shared" si="10"/>
        <v>782.72727272727275</v>
      </c>
      <c r="F97" s="80">
        <f t="shared" si="10"/>
        <v>869.69696969696963</v>
      </c>
      <c r="G97" s="80">
        <f t="shared" si="10"/>
        <v>956.66666666666663</v>
      </c>
      <c r="H97" s="84">
        <f t="shared" si="10"/>
        <v>1043.6363636363635</v>
      </c>
      <c r="L97" s="26"/>
    </row>
    <row r="98" spans="1:12">
      <c r="A98" s="20"/>
      <c r="B98" s="127"/>
      <c r="C98" s="110">
        <f>+C97+0.01</f>
        <v>0.17500000000000002</v>
      </c>
      <c r="D98" s="80">
        <f t="shared" si="10"/>
        <v>655.99999999999989</v>
      </c>
      <c r="E98" s="80">
        <f t="shared" si="10"/>
        <v>738</v>
      </c>
      <c r="F98" s="80">
        <f t="shared" si="10"/>
        <v>819.99999999999989</v>
      </c>
      <c r="G98" s="80">
        <f t="shared" si="10"/>
        <v>901.99999999999989</v>
      </c>
      <c r="H98" s="84">
        <f t="shared" si="10"/>
        <v>983.99999999999989</v>
      </c>
      <c r="L98" s="26"/>
    </row>
    <row r="99" spans="1:12">
      <c r="A99" s="20"/>
      <c r="B99" s="127"/>
      <c r="D99" s="120"/>
      <c r="E99" s="120"/>
      <c r="F99" s="120"/>
      <c r="G99" s="120"/>
      <c r="H99" s="130"/>
      <c r="L99" s="26"/>
    </row>
    <row r="100" spans="1:12" ht="13.5" thickBot="1">
      <c r="A100" s="20"/>
      <c r="B100" s="20"/>
      <c r="C100" s="42" t="str">
        <f t="shared" ref="C100:C106" si="11">+C92</f>
        <v>Discount Rate</v>
      </c>
      <c r="D100" s="22"/>
      <c r="E100" s="22"/>
      <c r="F100" s="148" t="s">
        <v>653</v>
      </c>
      <c r="G100" s="22"/>
      <c r="H100" s="39"/>
      <c r="L100" s="26"/>
    </row>
    <row r="101" spans="1:12">
      <c r="A101" s="20"/>
      <c r="B101" s="127"/>
      <c r="C101" s="110">
        <f t="shared" si="11"/>
        <v>0.12499999999999999</v>
      </c>
      <c r="D101" s="80">
        <f t="shared" ref="D101:H106" si="12">+D93+D$79+D$84</f>
        <v>2918.4</v>
      </c>
      <c r="E101" s="80">
        <f t="shared" si="12"/>
        <v>3283.2000000000003</v>
      </c>
      <c r="F101" s="80">
        <f t="shared" si="12"/>
        <v>3648</v>
      </c>
      <c r="G101" s="80">
        <f t="shared" si="12"/>
        <v>4012.8</v>
      </c>
      <c r="H101" s="84">
        <f t="shared" si="12"/>
        <v>4377.6000000000004</v>
      </c>
      <c r="L101" s="26"/>
    </row>
    <row r="102" spans="1:12">
      <c r="A102" s="20"/>
      <c r="B102" s="127"/>
      <c r="C102" s="110">
        <f t="shared" si="11"/>
        <v>0.13499999999999998</v>
      </c>
      <c r="D102" s="80">
        <f t="shared" si="12"/>
        <v>2850.3703703703704</v>
      </c>
      <c r="E102" s="80">
        <f t="shared" si="12"/>
        <v>3206.666666666667</v>
      </c>
      <c r="F102" s="80">
        <f t="shared" si="12"/>
        <v>3562.962962962963</v>
      </c>
      <c r="G102" s="80">
        <f t="shared" si="12"/>
        <v>3919.2592592592591</v>
      </c>
      <c r="H102" s="84">
        <f t="shared" si="12"/>
        <v>4275.5555555555557</v>
      </c>
      <c r="L102" s="26"/>
    </row>
    <row r="103" spans="1:12">
      <c r="A103" s="20"/>
      <c r="B103" s="127"/>
      <c r="C103" s="110">
        <f t="shared" si="11"/>
        <v>0.14499999999999999</v>
      </c>
      <c r="D103" s="146">
        <f t="shared" si="12"/>
        <v>2791.7241379310344</v>
      </c>
      <c r="E103" s="146">
        <f t="shared" si="12"/>
        <v>3140.6896551724139</v>
      </c>
      <c r="F103" s="146">
        <f t="shared" si="12"/>
        <v>3489.655172413793</v>
      </c>
      <c r="G103" s="146">
        <f t="shared" si="12"/>
        <v>3838.6206896551726</v>
      </c>
      <c r="H103" s="147">
        <f t="shared" si="12"/>
        <v>4187.5862068965516</v>
      </c>
      <c r="L103" s="26"/>
    </row>
    <row r="104" spans="1:12">
      <c r="A104" s="20"/>
      <c r="B104" s="127"/>
      <c r="C104" s="110">
        <f t="shared" si="11"/>
        <v>0.155</v>
      </c>
      <c r="D104" s="80">
        <f t="shared" si="12"/>
        <v>2740.6451612903224</v>
      </c>
      <c r="E104" s="80">
        <f t="shared" si="12"/>
        <v>3083.2258064516127</v>
      </c>
      <c r="F104" s="80">
        <f t="shared" si="12"/>
        <v>3425.8064516129034</v>
      </c>
      <c r="G104" s="80">
        <f t="shared" si="12"/>
        <v>3768.3870967741937</v>
      </c>
      <c r="H104" s="84">
        <f t="shared" si="12"/>
        <v>4110.9677419354839</v>
      </c>
      <c r="L104" s="26"/>
    </row>
    <row r="105" spans="1:12">
      <c r="A105" s="20"/>
      <c r="B105" s="127"/>
      <c r="C105" s="110">
        <f t="shared" si="11"/>
        <v>0.16500000000000001</v>
      </c>
      <c r="D105" s="80">
        <f t="shared" si="12"/>
        <v>2695.757575757576</v>
      </c>
      <c r="E105" s="80">
        <f t="shared" si="12"/>
        <v>3032.727272727273</v>
      </c>
      <c r="F105" s="80">
        <f t="shared" si="12"/>
        <v>3369.6969696969695</v>
      </c>
      <c r="G105" s="80">
        <f t="shared" si="12"/>
        <v>3706.6666666666665</v>
      </c>
      <c r="H105" s="84">
        <f t="shared" si="12"/>
        <v>4043.6363636363635</v>
      </c>
      <c r="L105" s="26"/>
    </row>
    <row r="106" spans="1:12" ht="13.5" thickBot="1">
      <c r="A106" s="20"/>
      <c r="B106" s="131"/>
      <c r="C106" s="149">
        <f t="shared" si="11"/>
        <v>0.17500000000000002</v>
      </c>
      <c r="D106" s="92">
        <f t="shared" si="12"/>
        <v>2656</v>
      </c>
      <c r="E106" s="92">
        <f t="shared" si="12"/>
        <v>2988</v>
      </c>
      <c r="F106" s="92">
        <f t="shared" si="12"/>
        <v>3320</v>
      </c>
      <c r="G106" s="92">
        <f t="shared" si="12"/>
        <v>3652</v>
      </c>
      <c r="H106" s="150">
        <f t="shared" si="12"/>
        <v>3984</v>
      </c>
      <c r="L106" s="26"/>
    </row>
    <row r="107" spans="1:12" ht="13.5" thickBot="1">
      <c r="A107" s="38"/>
      <c r="B107" s="22"/>
      <c r="C107" s="22"/>
      <c r="D107" s="104"/>
      <c r="E107" s="22"/>
      <c r="F107" s="104"/>
      <c r="G107" s="104"/>
      <c r="H107" s="104"/>
      <c r="I107" s="104"/>
      <c r="J107" s="104"/>
      <c r="K107" s="104"/>
      <c r="L107" s="39"/>
    </row>
    <row r="108" spans="1:12">
      <c r="A108" s="20"/>
      <c r="B108" s="95"/>
      <c r="D108" s="95"/>
      <c r="E108" s="95"/>
      <c r="F108" s="95"/>
      <c r="G108" s="95"/>
      <c r="H108" s="95"/>
      <c r="L108" s="26"/>
    </row>
    <row r="109" spans="1:12" ht="13.5" thickBot="1">
      <c r="A109" s="20"/>
      <c r="B109" s="49" t="s">
        <v>654</v>
      </c>
      <c r="L109" s="26"/>
    </row>
    <row r="110" spans="1:12">
      <c r="A110" s="20"/>
      <c r="B110" s="14" t="s">
        <v>542</v>
      </c>
      <c r="D110" s="79">
        <f>+E37</f>
        <v>400</v>
      </c>
      <c r="E110" s="79">
        <f>+F37</f>
        <v>450</v>
      </c>
      <c r="F110" s="79">
        <f>+G37</f>
        <v>500</v>
      </c>
      <c r="G110" s="79">
        <f>+H37</f>
        <v>550</v>
      </c>
      <c r="H110" s="79">
        <f>+I37</f>
        <v>600</v>
      </c>
      <c r="L110" s="26"/>
    </row>
    <row r="111" spans="1:12">
      <c r="A111" s="20"/>
      <c r="B111" s="14" t="s">
        <v>655</v>
      </c>
      <c r="D111" s="151">
        <f>+D79</f>
        <v>1400</v>
      </c>
      <c r="E111" s="151">
        <f>+E79</f>
        <v>1575</v>
      </c>
      <c r="F111" s="151">
        <f>+F79</f>
        <v>1750</v>
      </c>
      <c r="G111" s="151">
        <f>+G79</f>
        <v>1925</v>
      </c>
      <c r="H111" s="151">
        <f>+H79</f>
        <v>2100</v>
      </c>
      <c r="L111" s="26"/>
    </row>
    <row r="112" spans="1:12">
      <c r="A112" s="20"/>
      <c r="B112" s="152" t="s">
        <v>656</v>
      </c>
      <c r="L112" s="26"/>
    </row>
    <row r="113" spans="1:14">
      <c r="A113" s="20"/>
      <c r="B113" s="14" t="s">
        <v>657</v>
      </c>
      <c r="D113" s="79">
        <f>D4</f>
        <v>0</v>
      </c>
      <c r="E113" s="79">
        <f t="shared" ref="E113:H115" si="13">+D113</f>
        <v>0</v>
      </c>
      <c r="F113" s="79">
        <f t="shared" si="13"/>
        <v>0</v>
      </c>
      <c r="G113" s="79">
        <f t="shared" si="13"/>
        <v>0</v>
      </c>
      <c r="H113" s="79">
        <f t="shared" si="13"/>
        <v>0</v>
      </c>
      <c r="L113" s="26"/>
    </row>
    <row r="114" spans="1:14">
      <c r="A114" s="20"/>
      <c r="B114" s="14" t="s">
        <v>658</v>
      </c>
      <c r="D114" s="79">
        <v>0</v>
      </c>
      <c r="E114" s="79">
        <f t="shared" si="13"/>
        <v>0</v>
      </c>
      <c r="F114" s="79">
        <f t="shared" si="13"/>
        <v>0</v>
      </c>
      <c r="G114" s="79">
        <f t="shared" si="13"/>
        <v>0</v>
      </c>
      <c r="H114" s="79">
        <f t="shared" si="13"/>
        <v>0</v>
      </c>
      <c r="L114" s="26"/>
    </row>
    <row r="115" spans="1:14">
      <c r="A115" s="20"/>
      <c r="B115" s="14" t="s">
        <v>659</v>
      </c>
      <c r="D115" s="153">
        <v>0</v>
      </c>
      <c r="E115" s="153">
        <f t="shared" si="13"/>
        <v>0</v>
      </c>
      <c r="F115" s="153">
        <f t="shared" si="13"/>
        <v>0</v>
      </c>
      <c r="G115" s="153">
        <f t="shared" si="13"/>
        <v>0</v>
      </c>
      <c r="H115" s="153">
        <f t="shared" si="13"/>
        <v>0</v>
      </c>
      <c r="L115" s="26"/>
    </row>
    <row r="116" spans="1:14">
      <c r="A116" s="20"/>
      <c r="B116" s="14" t="s">
        <v>660</v>
      </c>
      <c r="D116" s="154">
        <f>+D111-SUM(D113:D115)</f>
        <v>1400</v>
      </c>
      <c r="E116" s="154">
        <f>+E111-SUM(E113:E115)</f>
        <v>1575</v>
      </c>
      <c r="F116" s="154">
        <f>+F111-SUM(F113:F115)</f>
        <v>1750</v>
      </c>
      <c r="G116" s="154">
        <f>+G111-SUM(G113:G115)</f>
        <v>1925</v>
      </c>
      <c r="H116" s="154">
        <f>+H111-SUM(H113:H115)</f>
        <v>2100</v>
      </c>
      <c r="L116" s="26"/>
    </row>
    <row r="117" spans="1:14">
      <c r="A117" s="20"/>
      <c r="L117" s="26"/>
    </row>
    <row r="118" spans="1:14">
      <c r="A118" s="20"/>
      <c r="B118" s="14" t="s">
        <v>661</v>
      </c>
      <c r="D118" s="94">
        <f>+D111/D110</f>
        <v>3.5</v>
      </c>
      <c r="E118" s="94">
        <f>+E111/E110</f>
        <v>3.5</v>
      </c>
      <c r="F118" s="94">
        <f>+F111/F110</f>
        <v>3.5</v>
      </c>
      <c r="G118" s="94">
        <f>+G111/G110</f>
        <v>3.5</v>
      </c>
      <c r="H118" s="94">
        <f>+H111/H110</f>
        <v>3.5</v>
      </c>
      <c r="L118" s="26"/>
    </row>
    <row r="119" spans="1:14">
      <c r="A119" s="20"/>
      <c r="D119" s="79"/>
      <c r="E119" s="79"/>
      <c r="F119" s="79"/>
      <c r="G119" s="79"/>
      <c r="H119" s="79"/>
      <c r="L119" s="26"/>
    </row>
    <row r="120" spans="1:14" ht="13.5" thickBot="1">
      <c r="A120" s="38"/>
      <c r="B120" s="22"/>
      <c r="C120" s="22"/>
      <c r="D120" s="91"/>
      <c r="E120" s="91"/>
      <c r="F120" s="91"/>
      <c r="G120" s="91"/>
      <c r="H120" s="91"/>
      <c r="I120" s="91"/>
      <c r="J120" s="91"/>
      <c r="K120" s="91"/>
      <c r="L120" s="39"/>
    </row>
    <row r="121" spans="1:14" ht="13.5" thickBot="1">
      <c r="A121" s="20"/>
      <c r="D121" s="79"/>
      <c r="E121" s="79"/>
      <c r="F121" s="155" t="s">
        <v>662</v>
      </c>
      <c r="G121" s="79"/>
      <c r="H121" s="79"/>
      <c r="L121" s="26"/>
    </row>
    <row r="122" spans="1:14" ht="13.5" thickBot="1">
      <c r="A122" s="20"/>
      <c r="B122" s="49" t="s">
        <v>663</v>
      </c>
      <c r="D122" s="156">
        <v>0.2</v>
      </c>
      <c r="E122" s="156">
        <v>0.3</v>
      </c>
      <c r="F122" s="156">
        <v>0.25</v>
      </c>
      <c r="G122" s="156">
        <v>0.15</v>
      </c>
      <c r="H122" s="156">
        <v>0.1</v>
      </c>
      <c r="J122" s="157">
        <f>SUM(D122:H122)</f>
        <v>1</v>
      </c>
      <c r="L122" s="26"/>
    </row>
    <row r="123" spans="1:14">
      <c r="A123" s="20"/>
      <c r="B123" s="152" t="s">
        <v>542</v>
      </c>
      <c r="D123" s="158">
        <f>D71</f>
        <v>400</v>
      </c>
      <c r="E123" s="158">
        <f>E71</f>
        <v>450</v>
      </c>
      <c r="F123" s="158">
        <f>F71</f>
        <v>500</v>
      </c>
      <c r="G123" s="158">
        <f>G71</f>
        <v>550</v>
      </c>
      <c r="H123" s="158">
        <f>H71</f>
        <v>600</v>
      </c>
      <c r="J123" s="159">
        <f>(D123*D$122)+(E123*E$122)+(F123*F$122)+(G123*G$122)+(H123*H$122)</f>
        <v>482.5</v>
      </c>
      <c r="K123" s="159"/>
      <c r="L123" s="26"/>
    </row>
    <row r="124" spans="1:14">
      <c r="A124" s="20"/>
      <c r="B124" s="160" t="s">
        <v>664</v>
      </c>
      <c r="D124" s="161" t="e">
        <f>1-(D123/$D$15)</f>
        <v>#DIV/0!</v>
      </c>
      <c r="E124" s="162" t="e">
        <f>1-(E123/$D$15)</f>
        <v>#DIV/0!</v>
      </c>
      <c r="F124" s="162" t="e">
        <f>1-(F123/$D$15)</f>
        <v>#DIV/0!</v>
      </c>
      <c r="G124" s="162" t="e">
        <f>1-(G123/$D$15)</f>
        <v>#DIV/0!</v>
      </c>
      <c r="H124" s="163" t="e">
        <f>1-(H123/$D$15)</f>
        <v>#DIV/0!</v>
      </c>
      <c r="J124" s="163" t="e">
        <f>1-(J123/$D$15)</f>
        <v>#DIV/0!</v>
      </c>
      <c r="K124" s="159"/>
      <c r="L124" s="26"/>
    </row>
    <row r="125" spans="1:14">
      <c r="A125" s="20"/>
      <c r="B125" s="152"/>
      <c r="D125" s="158"/>
      <c r="E125" s="158"/>
      <c r="F125" s="158"/>
      <c r="G125" s="158"/>
      <c r="H125" s="158"/>
      <c r="J125" s="159"/>
      <c r="K125" s="159"/>
      <c r="L125" s="26"/>
    </row>
    <row r="126" spans="1:14">
      <c r="A126" s="20"/>
      <c r="B126" s="14" t="s">
        <v>653</v>
      </c>
      <c r="D126" s="79">
        <f>+D103</f>
        <v>2791.7241379310344</v>
      </c>
      <c r="E126" s="79">
        <f>+E103</f>
        <v>3140.6896551724139</v>
      </c>
      <c r="F126" s="79">
        <f>+F103</f>
        <v>3489.655172413793</v>
      </c>
      <c r="G126" s="79">
        <f>+G103</f>
        <v>3838.6206896551726</v>
      </c>
      <c r="H126" s="79">
        <f>+H103</f>
        <v>4187.5862068965516</v>
      </c>
      <c r="J126" s="159">
        <f>(D126*D$122)+(E126*E$122)+(F126*F$122)+(G126*G$122)+(H126*H$122)</f>
        <v>3367.5172413793107</v>
      </c>
      <c r="K126" s="159"/>
      <c r="L126" s="26"/>
      <c r="N126" s="164"/>
    </row>
    <row r="127" spans="1:14">
      <c r="A127" s="20"/>
      <c r="B127" s="14" t="str">
        <f>+B111</f>
        <v xml:space="preserve">Pro-Forma Senior Debt </v>
      </c>
      <c r="D127" s="153">
        <f>+D111</f>
        <v>1400</v>
      </c>
      <c r="E127" s="153">
        <f>+E111</f>
        <v>1575</v>
      </c>
      <c r="F127" s="153">
        <f>+F111</f>
        <v>1750</v>
      </c>
      <c r="G127" s="153">
        <f>+G111</f>
        <v>1925</v>
      </c>
      <c r="H127" s="153">
        <f>+H111</f>
        <v>2100</v>
      </c>
      <c r="J127" s="153">
        <f>(D127*D$122)+(E127*E$122)+(F127*F$122)+(G127*G$122)+(H127*H$122)</f>
        <v>1688.75</v>
      </c>
      <c r="K127" s="79"/>
      <c r="L127" s="165"/>
      <c r="N127" s="164"/>
    </row>
    <row r="128" spans="1:14" ht="13.5" thickBot="1">
      <c r="A128" s="20"/>
      <c r="B128" s="14" t="s">
        <v>665</v>
      </c>
      <c r="D128" s="166">
        <f>+D126-D127</f>
        <v>1391.7241379310344</v>
      </c>
      <c r="E128" s="166">
        <f>+E126-E127</f>
        <v>1565.6896551724139</v>
      </c>
      <c r="F128" s="166">
        <f>+F126-F127</f>
        <v>1739.655172413793</v>
      </c>
      <c r="G128" s="166">
        <f>+G126-G127</f>
        <v>1913.6206896551726</v>
      </c>
      <c r="H128" s="166">
        <f>+H126-H127</f>
        <v>2087.5862068965516</v>
      </c>
      <c r="J128" s="166">
        <f>+J126-J127</f>
        <v>1678.7672413793107</v>
      </c>
      <c r="K128" s="79"/>
      <c r="L128" s="26"/>
      <c r="N128" s="164"/>
    </row>
    <row r="129" spans="1:14" ht="13.5" thickBot="1">
      <c r="A129" s="20"/>
      <c r="B129" s="14" t="s">
        <v>666</v>
      </c>
      <c r="C129" s="115">
        <v>0.85</v>
      </c>
      <c r="D129" s="79">
        <f>+D128*$C129</f>
        <v>1182.9655172413793</v>
      </c>
      <c r="E129" s="79">
        <f>+E128*$C129</f>
        <v>1330.8362068965519</v>
      </c>
      <c r="F129" s="79">
        <f>+F128*$C129</f>
        <v>1478.706896551724</v>
      </c>
      <c r="G129" s="79">
        <f>+G128*$C129</f>
        <v>1626.5775862068967</v>
      </c>
      <c r="H129" s="79">
        <f>+H128*$C129</f>
        <v>1774.4482758620688</v>
      </c>
      <c r="J129" s="167">
        <f>+J128*C129</f>
        <v>1426.952155172414</v>
      </c>
      <c r="K129" s="167"/>
      <c r="L129" s="26"/>
      <c r="N129" s="164"/>
    </row>
    <row r="130" spans="1:14">
      <c r="A130" s="20"/>
      <c r="B130" s="14" t="str">
        <f>+B116</f>
        <v>Adjusted Pro-Forma Senior Debt</v>
      </c>
      <c r="C130" s="168"/>
      <c r="D130" s="79">
        <f>+D116</f>
        <v>1400</v>
      </c>
      <c r="E130" s="79">
        <f>+E116</f>
        <v>1575</v>
      </c>
      <c r="F130" s="79">
        <f>+F116</f>
        <v>1750</v>
      </c>
      <c r="G130" s="79">
        <f>+G116</f>
        <v>1925</v>
      </c>
      <c r="H130" s="79">
        <f>+H116</f>
        <v>2100</v>
      </c>
      <c r="J130" s="79">
        <f>(D130*D$122)+(E130*E$122)+(F130*F$122)+(G130*G$122)+(H130*H$122)</f>
        <v>1688.75</v>
      </c>
      <c r="K130" s="79"/>
      <c r="L130" s="26"/>
      <c r="N130" s="164"/>
    </row>
    <row r="131" spans="1:14">
      <c r="A131" s="20"/>
      <c r="B131" s="14" t="s">
        <v>667</v>
      </c>
      <c r="C131" s="168"/>
      <c r="D131" s="79">
        <f>SUM(D129:D130)</f>
        <v>2582.9655172413795</v>
      </c>
      <c r="E131" s="79">
        <f>SUM(E129:E130)</f>
        <v>2905.8362068965516</v>
      </c>
      <c r="F131" s="79">
        <f>SUM(F129:F130)</f>
        <v>3228.7068965517237</v>
      </c>
      <c r="G131" s="79">
        <f>SUM(G129:G130)</f>
        <v>3551.5775862068967</v>
      </c>
      <c r="H131" s="79">
        <f>SUM(H129:H130)</f>
        <v>3874.4482758620688</v>
      </c>
      <c r="J131" s="167">
        <f>+J130+J129</f>
        <v>3115.7021551724138</v>
      </c>
      <c r="K131" s="167"/>
      <c r="L131" s="26"/>
      <c r="N131" s="164"/>
    </row>
    <row r="132" spans="1:14">
      <c r="A132" s="20"/>
      <c r="B132" s="14" t="s">
        <v>668</v>
      </c>
      <c r="D132" s="169">
        <f>SUM(D5:D9)</f>
        <v>0</v>
      </c>
      <c r="E132" s="79">
        <f>+D132</f>
        <v>0</v>
      </c>
      <c r="F132" s="79">
        <f>+E132</f>
        <v>0</v>
      </c>
      <c r="G132" s="79">
        <f>+F132</f>
        <v>0</v>
      </c>
      <c r="H132" s="79">
        <f>+G132</f>
        <v>0</v>
      </c>
      <c r="J132" s="167">
        <f>+H132</f>
        <v>0</v>
      </c>
      <c r="K132" s="167"/>
      <c r="L132" s="26"/>
      <c r="N132" s="164"/>
    </row>
    <row r="133" spans="1:14">
      <c r="A133" s="20"/>
      <c r="B133" s="14" t="s">
        <v>669</v>
      </c>
      <c r="D133" s="170" t="e">
        <f>+D130/D132</f>
        <v>#DIV/0!</v>
      </c>
      <c r="E133" s="170" t="e">
        <f>+E130/E132</f>
        <v>#DIV/0!</v>
      </c>
      <c r="F133" s="170" t="e">
        <f>+F130/F132</f>
        <v>#DIV/0!</v>
      </c>
      <c r="G133" s="170" t="e">
        <f>+G130/G132</f>
        <v>#DIV/0!</v>
      </c>
      <c r="H133" s="170" t="e">
        <f>+H130/H132</f>
        <v>#DIV/0!</v>
      </c>
      <c r="J133" s="170" t="e">
        <f>+J130/J132</f>
        <v>#DIV/0!</v>
      </c>
      <c r="K133" s="170"/>
      <c r="L133" s="26"/>
      <c r="N133" s="164"/>
    </row>
    <row r="134" spans="1:14">
      <c r="A134" s="20"/>
      <c r="B134" s="14" t="s">
        <v>670</v>
      </c>
      <c r="D134" s="170" t="e">
        <f>+D131/D132</f>
        <v>#DIV/0!</v>
      </c>
      <c r="E134" s="170" t="e">
        <f>+E131/E132</f>
        <v>#DIV/0!</v>
      </c>
      <c r="F134" s="170" t="e">
        <f>+F131/F132</f>
        <v>#DIV/0!</v>
      </c>
      <c r="G134" s="170" t="e">
        <f>+G131/G132</f>
        <v>#DIV/0!</v>
      </c>
      <c r="H134" s="170" t="e">
        <f>+H131/H132</f>
        <v>#DIV/0!</v>
      </c>
      <c r="J134" s="170" t="e">
        <f>+J131/J132</f>
        <v>#DIV/0!</v>
      </c>
      <c r="K134" s="170"/>
      <c r="L134" s="26"/>
      <c r="N134" s="164"/>
    </row>
    <row r="135" spans="1:14" ht="13.5" thickBot="1">
      <c r="A135" s="20"/>
      <c r="L135" s="26"/>
    </row>
    <row r="136" spans="1:14" ht="13.5" thickBot="1">
      <c r="A136" s="20"/>
      <c r="B136" s="14" t="s">
        <v>671</v>
      </c>
      <c r="C136" s="115">
        <f>F5/100</f>
        <v>0</v>
      </c>
      <c r="L136" s="26"/>
    </row>
    <row r="137" spans="1:14">
      <c r="A137" s="20"/>
      <c r="B137" s="14" t="s">
        <v>672</v>
      </c>
      <c r="D137" s="45" t="e">
        <f t="shared" ref="D137:H138" si="14">D133/$C$136</f>
        <v>#DIV/0!</v>
      </c>
      <c r="E137" s="45" t="e">
        <f t="shared" si="14"/>
        <v>#DIV/0!</v>
      </c>
      <c r="F137" s="45" t="e">
        <f t="shared" si="14"/>
        <v>#DIV/0!</v>
      </c>
      <c r="G137" s="45" t="e">
        <f t="shared" si="14"/>
        <v>#DIV/0!</v>
      </c>
      <c r="H137" s="45" t="e">
        <f t="shared" si="14"/>
        <v>#DIV/0!</v>
      </c>
      <c r="J137" s="45" t="e">
        <f>J133/$C$136</f>
        <v>#DIV/0!</v>
      </c>
      <c r="L137" s="26"/>
    </row>
    <row r="138" spans="1:14">
      <c r="A138" s="20"/>
      <c r="B138" s="14" t="s">
        <v>673</v>
      </c>
      <c r="D138" s="45" t="e">
        <f t="shared" si="14"/>
        <v>#DIV/0!</v>
      </c>
      <c r="E138" s="45" t="e">
        <f t="shared" si="14"/>
        <v>#DIV/0!</v>
      </c>
      <c r="F138" s="45" t="e">
        <f t="shared" si="14"/>
        <v>#DIV/0!</v>
      </c>
      <c r="G138" s="45" t="e">
        <f t="shared" si="14"/>
        <v>#DIV/0!</v>
      </c>
      <c r="H138" s="45" t="e">
        <f t="shared" si="14"/>
        <v>#DIV/0!</v>
      </c>
      <c r="J138" s="45" t="e">
        <f>J134/$C$136</f>
        <v>#DIV/0!</v>
      </c>
      <c r="L138" s="26"/>
    </row>
    <row r="139" spans="1:14">
      <c r="A139" s="20"/>
      <c r="L139" s="26"/>
    </row>
    <row r="140" spans="1:14" ht="13.5" thickBot="1">
      <c r="A140" s="20"/>
      <c r="B140" s="15" t="s">
        <v>674</v>
      </c>
      <c r="L140" s="26"/>
    </row>
    <row r="141" spans="1:14" ht="13.5" thickBot="1">
      <c r="A141" s="20"/>
      <c r="B141" s="14" t="s">
        <v>671</v>
      </c>
      <c r="C141" s="115">
        <v>0</v>
      </c>
      <c r="L141" s="26"/>
    </row>
    <row r="142" spans="1:14">
      <c r="A142" s="20"/>
      <c r="B142" s="14" t="s">
        <v>675</v>
      </c>
      <c r="D142" s="119">
        <f>D131-D132</f>
        <v>2582.9655172413795</v>
      </c>
      <c r="E142" s="119">
        <f>E131-E132</f>
        <v>2905.8362068965516</v>
      </c>
      <c r="F142" s="119">
        <f>F131-F132</f>
        <v>3228.7068965517237</v>
      </c>
      <c r="G142" s="119">
        <f>G131-G132</f>
        <v>3551.5775862068967</v>
      </c>
      <c r="H142" s="119">
        <f>H131-H132</f>
        <v>3874.4482758620688</v>
      </c>
      <c r="J142" s="119">
        <f>J131-J132</f>
        <v>3115.7021551724138</v>
      </c>
      <c r="L142" s="26"/>
    </row>
    <row r="143" spans="1:14">
      <c r="A143" s="20"/>
      <c r="B143" s="14" t="s">
        <v>676</v>
      </c>
      <c r="D143" s="169">
        <v>0</v>
      </c>
      <c r="E143" s="119">
        <f>D143</f>
        <v>0</v>
      </c>
      <c r="F143" s="119">
        <f>E143</f>
        <v>0</v>
      </c>
      <c r="G143" s="119">
        <f>F143</f>
        <v>0</v>
      </c>
      <c r="H143" s="119">
        <f>G143</f>
        <v>0</v>
      </c>
      <c r="J143" s="119">
        <f>H143</f>
        <v>0</v>
      </c>
      <c r="L143" s="26"/>
    </row>
    <row r="144" spans="1:14">
      <c r="A144" s="20"/>
      <c r="B144" s="14" t="s">
        <v>674</v>
      </c>
      <c r="D144" s="45" t="e">
        <f>D142/D143</f>
        <v>#DIV/0!</v>
      </c>
      <c r="E144" s="45" t="e">
        <f>E142/E143</f>
        <v>#DIV/0!</v>
      </c>
      <c r="F144" s="45" t="e">
        <f>F142/F143</f>
        <v>#DIV/0!</v>
      </c>
      <c r="G144" s="45" t="e">
        <f>G142/G143</f>
        <v>#DIV/0!</v>
      </c>
      <c r="H144" s="45" t="e">
        <f>H142/H143</f>
        <v>#DIV/0!</v>
      </c>
      <c r="J144" s="45" t="e">
        <f>J142/J143</f>
        <v>#DIV/0!</v>
      </c>
      <c r="L144" s="26"/>
    </row>
    <row r="145" spans="1:12">
      <c r="A145" s="20"/>
      <c r="B145" s="14" t="s">
        <v>677</v>
      </c>
      <c r="D145" s="45" t="e">
        <f>D144/$C$141</f>
        <v>#DIV/0!</v>
      </c>
      <c r="E145" s="45" t="e">
        <f>E144/$C$141</f>
        <v>#DIV/0!</v>
      </c>
      <c r="F145" s="45" t="e">
        <f>F144/$C$141</f>
        <v>#DIV/0!</v>
      </c>
      <c r="G145" s="45" t="e">
        <f>G144/$C$141</f>
        <v>#DIV/0!</v>
      </c>
      <c r="H145" s="45" t="e">
        <f>H144/$C$141</f>
        <v>#DIV/0!</v>
      </c>
      <c r="J145" s="45" t="e">
        <f>J144/$C$141</f>
        <v>#DIV/0!</v>
      </c>
      <c r="L145" s="26"/>
    </row>
    <row r="146" spans="1:12" ht="13.5" thickBot="1">
      <c r="A146" s="38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39"/>
    </row>
  </sheetData>
  <customSheetViews>
    <customSheetView guid="{9E03B340-36A7-4E6D-8D58-A21713C869F6}" scale="70" showPageBreaks="1" state="hidden" view="pageBreakPreview" showRuler="0" topLeftCell="A13">
      <pageMargins left="0" right="0" top="0" bottom="0" header="0" footer="0"/>
      <pageSetup orientation="portrait" horizontalDpi="4294967292" verticalDpi="0" r:id="rId1"/>
      <headerFooter alignWithMargins="0"/>
    </customSheetView>
    <customSheetView guid="{1B2504A4-7288-49BA-A9D5-232D32B8BF61}" scale="70" showPageBreaks="1" printArea="1" state="hidden" view="pageBreakPreview" showRuler="0" topLeftCell="A13">
      <selection activeCell="D109" sqref="D109"/>
      <rowBreaks count="1" manualBreakCount="1">
        <brk id="89" max="12" man="1"/>
      </rowBreaks>
      <pageMargins left="0" right="0" top="0" bottom="0" header="0" footer="0"/>
      <pageSetup scale="52" orientation="portrait" horizontalDpi="300" verticalDpi="300" r:id="rId2"/>
      <headerFooter alignWithMargins="0"/>
    </customSheetView>
    <customSheetView guid="{60A5D7D3-597C-4544-9487-00DE81AA14D0}" scale="70" showPageBreaks="1" printArea="1" state="hidden" view="pageBreakPreview" topLeftCell="A13">
      <pageMargins left="0" right="0" top="0" bottom="0" header="0" footer="0"/>
      <pageSetup orientation="portrait" horizontalDpi="4294967292" r:id="rId3"/>
      <headerFooter alignWithMargins="0"/>
    </customSheetView>
  </customSheetViews>
  <phoneticPr fontId="0" type="noConversion"/>
  <pageMargins left="0.75" right="0.75" top="1" bottom="1" header="0.5" footer="0.5"/>
  <pageSetup orientation="portrait" horizontalDpi="4294967292" r:id="rId4"/>
  <headerFooter alignWithMargins="0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A119"/>
  <sheetViews>
    <sheetView showGridLines="0" zoomScaleNormal="100" workbookViewId="0">
      <pane xSplit="2" ySplit="6" topLeftCell="C7" activePane="bottomRight" state="frozen"/>
      <selection pane="bottomRight" activeCell="BB2" sqref="BB2"/>
      <selection pane="bottomLeft" activeCell="K2" sqref="K2"/>
      <selection pane="topRight" activeCell="K2" sqref="K2"/>
    </sheetView>
  </sheetViews>
  <sheetFormatPr defaultColWidth="9.140625" defaultRowHeight="12.75" outlineLevelCol="1"/>
  <cols>
    <col min="1" max="1" width="2.7109375" style="422" customWidth="1"/>
    <col min="2" max="2" width="50.7109375" style="422" customWidth="1"/>
    <col min="3" max="6" width="12.7109375" style="422" hidden="1" customWidth="1" outlineLevel="1"/>
    <col min="7" max="8" width="12.7109375" style="422" hidden="1" customWidth="1" outlineLevel="1" collapsed="1"/>
    <col min="9" max="9" width="12.7109375" style="422" hidden="1" customWidth="1" outlineLevel="1"/>
    <col min="10" max="10" width="12.7109375" style="422" customWidth="1" collapsed="1"/>
    <col min="11" max="14" width="12.7109375" style="422" customWidth="1"/>
    <col min="15" max="27" width="12.7109375" style="422" hidden="1" customWidth="1" outlineLevel="1"/>
    <col min="28" max="28" width="12.7109375" style="422" hidden="1" customWidth="1" outlineLevel="1" collapsed="1"/>
    <col min="29" max="35" width="12.7109375" style="422" hidden="1" customWidth="1" outlineLevel="1"/>
    <col min="36" max="37" width="12.7109375" style="422" hidden="1" customWidth="1" outlineLevel="1" collapsed="1"/>
    <col min="38" max="41" width="12.7109375" style="422" hidden="1" customWidth="1" outlineLevel="1"/>
    <col min="42" max="42" width="12.7109375" style="422" hidden="1" customWidth="1" outlineLevel="1" collapsed="1"/>
    <col min="43" max="43" width="12.7109375" style="422" hidden="1" customWidth="1" outlineLevel="1"/>
    <col min="44" max="44" width="12.7109375" style="422" customWidth="1" collapsed="1"/>
    <col min="45" max="47" width="12.7109375" style="422" customWidth="1"/>
    <col min="48" max="48" width="12.7109375" style="422" customWidth="1" collapsed="1"/>
    <col min="49" max="51" width="12.7109375" style="422" customWidth="1"/>
    <col min="52" max="52" width="12.7109375" style="422" customWidth="1" collapsed="1"/>
    <col min="53" max="54" width="12.7109375" style="422" customWidth="1"/>
    <col min="55" max="58" width="12.28515625" style="422" customWidth="1"/>
    <col min="59" max="16384" width="9.140625" style="422"/>
  </cols>
  <sheetData>
    <row r="1" spans="2:53" ht="12" customHeight="1"/>
    <row r="2" spans="2:53" ht="21">
      <c r="B2" s="504" t="s">
        <v>461</v>
      </c>
      <c r="C2" s="709" t="s">
        <v>462</v>
      </c>
      <c r="D2" s="709" t="s">
        <v>462</v>
      </c>
      <c r="E2" s="719" t="s">
        <v>462</v>
      </c>
      <c r="F2" s="719" t="s">
        <v>462</v>
      </c>
      <c r="G2" s="719" t="s">
        <v>462</v>
      </c>
      <c r="H2" s="719" t="s">
        <v>462</v>
      </c>
      <c r="I2" s="719" t="s">
        <v>462</v>
      </c>
      <c r="J2" s="719" t="s">
        <v>462</v>
      </c>
      <c r="K2" s="719" t="s">
        <v>462</v>
      </c>
      <c r="L2" s="719" t="s">
        <v>462</v>
      </c>
      <c r="M2" s="719" t="s">
        <v>463</v>
      </c>
      <c r="N2" s="747"/>
      <c r="O2" s="719" t="s">
        <v>463</v>
      </c>
      <c r="P2" s="709" t="s">
        <v>464</v>
      </c>
      <c r="Q2" s="709" t="s">
        <v>464</v>
      </c>
      <c r="R2" s="709" t="s">
        <v>464</v>
      </c>
      <c r="S2" s="709" t="s">
        <v>464</v>
      </c>
      <c r="T2" s="709" t="s">
        <v>464</v>
      </c>
      <c r="U2" s="709" t="s">
        <v>464</v>
      </c>
      <c r="V2" s="709" t="s">
        <v>464</v>
      </c>
      <c r="W2" s="709" t="s">
        <v>464</v>
      </c>
      <c r="X2" s="709" t="s">
        <v>464</v>
      </c>
      <c r="Y2" s="709" t="s">
        <v>464</v>
      </c>
      <c r="Z2" s="709" t="s">
        <v>464</v>
      </c>
      <c r="AA2" s="709" t="s">
        <v>464</v>
      </c>
      <c r="AB2" s="709" t="s">
        <v>464</v>
      </c>
      <c r="AC2" s="709" t="s">
        <v>464</v>
      </c>
      <c r="AD2" s="709" t="s">
        <v>464</v>
      </c>
      <c r="AE2" s="719" t="s">
        <v>464</v>
      </c>
      <c r="AF2" s="709" t="s">
        <v>464</v>
      </c>
      <c r="AG2" s="709" t="s">
        <v>464</v>
      </c>
      <c r="AH2" s="709" t="s">
        <v>464</v>
      </c>
      <c r="AI2" s="719" t="s">
        <v>464</v>
      </c>
      <c r="AJ2" s="709" t="s">
        <v>464</v>
      </c>
      <c r="AK2" s="709" t="s">
        <v>464</v>
      </c>
      <c r="AL2" s="709" t="s">
        <v>464</v>
      </c>
      <c r="AM2" s="719" t="s">
        <v>464</v>
      </c>
      <c r="AN2" s="709" t="s">
        <v>464</v>
      </c>
      <c r="AO2" s="709" t="s">
        <v>464</v>
      </c>
      <c r="AP2" s="709" t="s">
        <v>464</v>
      </c>
      <c r="AQ2" s="719" t="s">
        <v>464</v>
      </c>
      <c r="AR2" s="709" t="s">
        <v>464</v>
      </c>
      <c r="AS2" s="709" t="s">
        <v>464</v>
      </c>
      <c r="AT2" s="709" t="s">
        <v>464</v>
      </c>
      <c r="AU2" s="719" t="s">
        <v>464</v>
      </c>
      <c r="AV2" s="709" t="s">
        <v>464</v>
      </c>
      <c r="AW2" s="709" t="s">
        <v>464</v>
      </c>
      <c r="AX2" s="709" t="s">
        <v>464</v>
      </c>
      <c r="AY2" s="719" t="s">
        <v>464</v>
      </c>
      <c r="AZ2" s="709" t="s">
        <v>464</v>
      </c>
    </row>
    <row r="3" spans="2:53">
      <c r="B3" s="720" t="s">
        <v>678</v>
      </c>
      <c r="C3" s="501">
        <v>42735</v>
      </c>
      <c r="D3" s="501">
        <v>43100</v>
      </c>
      <c r="E3" s="458">
        <v>43465</v>
      </c>
      <c r="F3" s="458">
        <v>43830</v>
      </c>
      <c r="G3" s="458">
        <v>44196</v>
      </c>
      <c r="H3" s="458">
        <v>44561</v>
      </c>
      <c r="I3" s="458">
        <v>44926</v>
      </c>
      <c r="J3" s="458">
        <v>45291</v>
      </c>
      <c r="K3" s="458">
        <v>45657</v>
      </c>
      <c r="L3" s="458">
        <v>46022</v>
      </c>
      <c r="M3" s="458">
        <f>AZ3</f>
        <v>46111</v>
      </c>
      <c r="N3" s="740"/>
      <c r="O3" s="458">
        <f>AJ3</f>
        <v>44650</v>
      </c>
      <c r="P3" s="501">
        <v>42825</v>
      </c>
      <c r="Q3" s="501">
        <f t="shared" ref="Q3:AZ3" si="0">+EDATE(P3,3)</f>
        <v>42916</v>
      </c>
      <c r="R3" s="501">
        <f t="shared" si="0"/>
        <v>43008</v>
      </c>
      <c r="S3" s="501">
        <f t="shared" si="0"/>
        <v>43099</v>
      </c>
      <c r="T3" s="501">
        <f>+EDATE(S3,3)</f>
        <v>43189</v>
      </c>
      <c r="U3" s="501">
        <f t="shared" si="0"/>
        <v>43281</v>
      </c>
      <c r="V3" s="501">
        <f t="shared" si="0"/>
        <v>43373</v>
      </c>
      <c r="W3" s="501">
        <f t="shared" si="0"/>
        <v>43464</v>
      </c>
      <c r="X3" s="501">
        <f t="shared" si="0"/>
        <v>43554</v>
      </c>
      <c r="Y3" s="501">
        <f t="shared" si="0"/>
        <v>43646</v>
      </c>
      <c r="Z3" s="501">
        <f t="shared" si="0"/>
        <v>43738</v>
      </c>
      <c r="AA3" s="501">
        <f t="shared" si="0"/>
        <v>43829</v>
      </c>
      <c r="AB3" s="501">
        <f t="shared" si="0"/>
        <v>43920</v>
      </c>
      <c r="AC3" s="501">
        <f t="shared" si="0"/>
        <v>44012</v>
      </c>
      <c r="AD3" s="501">
        <f t="shared" si="0"/>
        <v>44104</v>
      </c>
      <c r="AE3" s="458">
        <f t="shared" si="0"/>
        <v>44195</v>
      </c>
      <c r="AF3" s="501">
        <f t="shared" si="0"/>
        <v>44285</v>
      </c>
      <c r="AG3" s="501">
        <f t="shared" si="0"/>
        <v>44377</v>
      </c>
      <c r="AH3" s="501">
        <f t="shared" si="0"/>
        <v>44469</v>
      </c>
      <c r="AI3" s="458">
        <f>+EDATE(AH3,3)</f>
        <v>44560</v>
      </c>
      <c r="AJ3" s="501">
        <f t="shared" si="0"/>
        <v>44650</v>
      </c>
      <c r="AK3" s="501">
        <f t="shared" si="0"/>
        <v>44742</v>
      </c>
      <c r="AL3" s="501">
        <f t="shared" si="0"/>
        <v>44834</v>
      </c>
      <c r="AM3" s="458">
        <f>+EDATE(AL3,3)</f>
        <v>44925</v>
      </c>
      <c r="AN3" s="501">
        <f t="shared" si="0"/>
        <v>45015</v>
      </c>
      <c r="AO3" s="501">
        <f t="shared" si="0"/>
        <v>45107</v>
      </c>
      <c r="AP3" s="501">
        <f t="shared" si="0"/>
        <v>45199</v>
      </c>
      <c r="AQ3" s="458">
        <f>+EDATE(AP3,3)</f>
        <v>45290</v>
      </c>
      <c r="AR3" s="501">
        <f t="shared" si="0"/>
        <v>45381</v>
      </c>
      <c r="AS3" s="501">
        <f t="shared" si="0"/>
        <v>45473</v>
      </c>
      <c r="AT3" s="501">
        <f t="shared" si="0"/>
        <v>45565</v>
      </c>
      <c r="AU3" s="458">
        <f>+EDATE(AT3,3)</f>
        <v>45656</v>
      </c>
      <c r="AV3" s="501">
        <f t="shared" si="0"/>
        <v>45746</v>
      </c>
      <c r="AW3" s="501">
        <f t="shared" si="0"/>
        <v>45838</v>
      </c>
      <c r="AX3" s="501">
        <f t="shared" si="0"/>
        <v>45930</v>
      </c>
      <c r="AY3" s="458">
        <f>+EDATE(AX3,3)</f>
        <v>46021</v>
      </c>
      <c r="AZ3" s="501">
        <f t="shared" si="0"/>
        <v>46111</v>
      </c>
    </row>
    <row r="4" spans="2:53">
      <c r="B4" s="720"/>
      <c r="C4" s="710" t="s">
        <v>465</v>
      </c>
      <c r="D4" s="710" t="s">
        <v>465</v>
      </c>
      <c r="E4" s="710" t="s">
        <v>465</v>
      </c>
      <c r="F4" s="710" t="s">
        <v>465</v>
      </c>
      <c r="G4" s="710" t="s">
        <v>465</v>
      </c>
      <c r="H4" s="710" t="s">
        <v>465</v>
      </c>
      <c r="I4" s="710" t="s">
        <v>465</v>
      </c>
      <c r="J4" s="710" t="s">
        <v>465</v>
      </c>
      <c r="K4" s="710" t="s">
        <v>465</v>
      </c>
      <c r="L4" s="710" t="s">
        <v>465</v>
      </c>
      <c r="M4" s="710" t="s">
        <v>465</v>
      </c>
      <c r="N4" s="740"/>
      <c r="O4" s="710" t="s">
        <v>465</v>
      </c>
      <c r="P4" s="710" t="s">
        <v>465</v>
      </c>
      <c r="Q4" s="710" t="s">
        <v>465</v>
      </c>
      <c r="R4" s="710" t="s">
        <v>465</v>
      </c>
      <c r="S4" s="710" t="s">
        <v>465</v>
      </c>
      <c r="T4" s="710" t="s">
        <v>465</v>
      </c>
      <c r="U4" s="710" t="s">
        <v>465</v>
      </c>
      <c r="V4" s="710" t="s">
        <v>465</v>
      </c>
      <c r="W4" s="710" t="s">
        <v>465</v>
      </c>
      <c r="X4" s="710" t="s">
        <v>465</v>
      </c>
      <c r="Y4" s="710" t="s">
        <v>465</v>
      </c>
      <c r="Z4" s="710" t="s">
        <v>465</v>
      </c>
      <c r="AA4" s="710" t="s">
        <v>465</v>
      </c>
      <c r="AB4" s="710" t="s">
        <v>465</v>
      </c>
      <c r="AC4" s="710" t="s">
        <v>465</v>
      </c>
      <c r="AD4" s="710" t="s">
        <v>465</v>
      </c>
      <c r="AE4" s="710" t="s">
        <v>465</v>
      </c>
      <c r="AF4" s="710" t="s">
        <v>465</v>
      </c>
      <c r="AG4" s="710" t="s">
        <v>465</v>
      </c>
      <c r="AH4" s="710" t="s">
        <v>465</v>
      </c>
      <c r="AI4" s="710" t="s">
        <v>465</v>
      </c>
      <c r="AJ4" s="710" t="s">
        <v>465</v>
      </c>
      <c r="AK4" s="710" t="s">
        <v>465</v>
      </c>
      <c r="AL4" s="710" t="s">
        <v>465</v>
      </c>
      <c r="AM4" s="710" t="s">
        <v>465</v>
      </c>
      <c r="AN4" s="710" t="s">
        <v>465</v>
      </c>
      <c r="AO4" s="710" t="s">
        <v>465</v>
      </c>
      <c r="AP4" s="710" t="s">
        <v>465</v>
      </c>
      <c r="AQ4" s="710" t="s">
        <v>465</v>
      </c>
      <c r="AR4" s="710" t="s">
        <v>465</v>
      </c>
      <c r="AS4" s="710" t="s">
        <v>465</v>
      </c>
      <c r="AT4" s="710" t="s">
        <v>465</v>
      </c>
      <c r="AU4" s="710" t="s">
        <v>465</v>
      </c>
      <c r="AV4" s="710" t="s">
        <v>465</v>
      </c>
      <c r="AW4" s="710" t="s">
        <v>465</v>
      </c>
      <c r="AX4" s="710" t="s">
        <v>465</v>
      </c>
      <c r="AY4" s="710" t="s">
        <v>465</v>
      </c>
      <c r="AZ4" s="710" t="s">
        <v>465</v>
      </c>
    </row>
    <row r="5" spans="2:53">
      <c r="B5" s="721"/>
      <c r="C5" s="722" t="s">
        <v>467</v>
      </c>
      <c r="D5" s="722" t="s">
        <v>467</v>
      </c>
      <c r="E5" s="722" t="s">
        <v>467</v>
      </c>
      <c r="F5" s="722" t="s">
        <v>467</v>
      </c>
      <c r="G5" s="722" t="s">
        <v>467</v>
      </c>
      <c r="H5" s="722" t="s">
        <v>467</v>
      </c>
      <c r="I5" s="722" t="s">
        <v>467</v>
      </c>
      <c r="J5" s="722" t="s">
        <v>467</v>
      </c>
      <c r="K5" s="722" t="s">
        <v>467</v>
      </c>
      <c r="L5" s="722" t="s">
        <v>467</v>
      </c>
      <c r="M5" s="740" t="s">
        <v>463</v>
      </c>
      <c r="N5" s="740"/>
      <c r="O5" s="456" t="s">
        <v>468</v>
      </c>
      <c r="P5" s="456" t="s">
        <v>468</v>
      </c>
      <c r="Q5" s="456" t="s">
        <v>469</v>
      </c>
      <c r="R5" s="456" t="s">
        <v>470</v>
      </c>
      <c r="S5" s="456" t="s">
        <v>471</v>
      </c>
      <c r="T5" s="456" t="s">
        <v>468</v>
      </c>
      <c r="U5" s="456" t="s">
        <v>469</v>
      </c>
      <c r="V5" s="456" t="s">
        <v>470</v>
      </c>
      <c r="W5" s="456" t="s">
        <v>471</v>
      </c>
      <c r="X5" s="456" t="s">
        <v>468</v>
      </c>
      <c r="Y5" s="456" t="s">
        <v>469</v>
      </c>
      <c r="Z5" s="456" t="s">
        <v>470</v>
      </c>
      <c r="AA5" s="456" t="s">
        <v>471</v>
      </c>
      <c r="AB5" s="456" t="s">
        <v>468</v>
      </c>
      <c r="AC5" s="456" t="s">
        <v>469</v>
      </c>
      <c r="AD5" s="456" t="s">
        <v>470</v>
      </c>
      <c r="AE5" s="456" t="s">
        <v>471</v>
      </c>
      <c r="AF5" s="456" t="s">
        <v>468</v>
      </c>
      <c r="AG5" s="456" t="s">
        <v>469</v>
      </c>
      <c r="AH5" s="456" t="s">
        <v>470</v>
      </c>
      <c r="AI5" s="456" t="s">
        <v>471</v>
      </c>
      <c r="AJ5" s="456" t="s">
        <v>468</v>
      </c>
      <c r="AK5" s="456" t="s">
        <v>469</v>
      </c>
      <c r="AL5" s="456" t="s">
        <v>470</v>
      </c>
      <c r="AM5" s="456" t="s">
        <v>471</v>
      </c>
      <c r="AN5" s="456" t="s">
        <v>468</v>
      </c>
      <c r="AO5" s="456" t="s">
        <v>469</v>
      </c>
      <c r="AP5" s="456" t="s">
        <v>470</v>
      </c>
      <c r="AQ5" s="456" t="s">
        <v>471</v>
      </c>
      <c r="AR5" s="456" t="s">
        <v>468</v>
      </c>
      <c r="AS5" s="456" t="s">
        <v>469</v>
      </c>
      <c r="AT5" s="456" t="s">
        <v>470</v>
      </c>
      <c r="AU5" s="456" t="s">
        <v>471</v>
      </c>
      <c r="AV5" s="456" t="s">
        <v>468</v>
      </c>
      <c r="AW5" s="456" t="s">
        <v>469</v>
      </c>
      <c r="AX5" s="456" t="s">
        <v>470</v>
      </c>
      <c r="AY5" s="456" t="s">
        <v>471</v>
      </c>
      <c r="AZ5" s="456" t="s">
        <v>468</v>
      </c>
      <c r="BA5" s="456"/>
    </row>
    <row r="6" spans="2:53">
      <c r="B6" s="718"/>
      <c r="C6" s="718"/>
      <c r="D6" s="718"/>
      <c r="E6" s="718"/>
      <c r="F6" s="718"/>
      <c r="G6" s="718"/>
      <c r="H6" s="718"/>
      <c r="I6" s="718"/>
      <c r="J6" s="718"/>
      <c r="K6" s="718"/>
      <c r="L6" s="718"/>
      <c r="M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  <c r="AF6" s="718"/>
      <c r="AG6" s="718"/>
      <c r="AH6" s="718"/>
      <c r="AI6" s="718"/>
      <c r="AJ6" s="718"/>
      <c r="AK6" s="718"/>
      <c r="AL6" s="718"/>
      <c r="AM6" s="718"/>
      <c r="AN6" s="718"/>
      <c r="AO6" s="718"/>
      <c r="AP6" s="718"/>
      <c r="AQ6" s="718"/>
      <c r="AR6" s="718"/>
      <c r="AS6" s="718"/>
      <c r="AT6" s="718"/>
      <c r="AU6" s="718"/>
      <c r="AV6" s="718"/>
      <c r="AW6" s="718"/>
      <c r="AX6" s="718"/>
      <c r="AY6" s="718"/>
      <c r="AZ6" s="718"/>
    </row>
    <row r="8" spans="2:53">
      <c r="B8" s="750" t="s">
        <v>679</v>
      </c>
      <c r="C8" s="751"/>
      <c r="D8" s="751"/>
      <c r="E8" s="751"/>
      <c r="F8" s="751"/>
      <c r="G8" s="751"/>
      <c r="H8" s="751"/>
      <c r="I8" s="751"/>
      <c r="J8" s="751"/>
      <c r="K8" s="751"/>
      <c r="L8" s="751"/>
      <c r="M8" s="751"/>
      <c r="O8" s="751"/>
      <c r="P8" s="751"/>
      <c r="Q8" s="751"/>
      <c r="R8" s="751"/>
      <c r="S8" s="751"/>
      <c r="T8" s="751"/>
      <c r="U8" s="751"/>
      <c r="V8" s="751"/>
      <c r="W8" s="751"/>
      <c r="X8" s="751"/>
      <c r="Y8" s="751"/>
      <c r="Z8" s="751"/>
      <c r="AA8" s="751"/>
      <c r="AB8" s="751"/>
      <c r="AC8" s="751"/>
      <c r="AD8" s="751"/>
      <c r="AE8" s="751"/>
      <c r="AF8" s="751"/>
      <c r="AG8" s="751"/>
      <c r="AH8" s="751"/>
      <c r="AI8" s="751"/>
      <c r="AJ8" s="751"/>
      <c r="AK8" s="751"/>
      <c r="AL8" s="751"/>
      <c r="AM8" s="751"/>
      <c r="AN8" s="751"/>
      <c r="AO8" s="751"/>
      <c r="AP8" s="751"/>
      <c r="AQ8" s="751"/>
      <c r="AR8" s="751"/>
      <c r="AS8" s="751"/>
      <c r="AT8" s="751"/>
      <c r="AU8" s="751"/>
      <c r="AV8" s="751"/>
      <c r="AW8" s="751"/>
      <c r="AX8" s="751"/>
      <c r="AY8" s="751"/>
      <c r="AZ8" s="751"/>
    </row>
    <row r="10" spans="2:53">
      <c r="B10" s="422" t="s">
        <v>680</v>
      </c>
      <c r="C10" s="487">
        <v>13252.8</v>
      </c>
      <c r="D10" s="423">
        <f>+P10+Q10+R10+S10</f>
        <v>14621.199999999999</v>
      </c>
      <c r="E10" s="423">
        <f>+T10+U10+V10+W10</f>
        <v>17205.099999999999</v>
      </c>
      <c r="F10" s="423">
        <f>+AA10+Z10+Y10+X10</f>
        <v>19189.099999999999</v>
      </c>
      <c r="G10" s="423">
        <f>+AE10+AD10+AC10+AB10</f>
        <v>20979.3</v>
      </c>
      <c r="H10" s="423">
        <f>+AF10+AG10+AH10+AI10</f>
        <v>21851.4</v>
      </c>
      <c r="I10" s="423">
        <f>+AJ10+AK10+AL10+AM10</f>
        <v>23873.799999999996</v>
      </c>
      <c r="J10" s="423">
        <f>+AN10+AO10+AP10+AQ10</f>
        <v>25981.601999999999</v>
      </c>
      <c r="K10" s="423">
        <f>SUM(AR10:AU10)</f>
        <v>28250.260000000002</v>
      </c>
      <c r="L10" s="423">
        <f>SUM(AV10:AY10)</f>
        <v>30508.9</v>
      </c>
      <c r="M10" s="423">
        <f>SUM(AW10:AZ10)</f>
        <v>30911.3</v>
      </c>
      <c r="N10" s="423"/>
      <c r="O10" s="423">
        <f>SUM(AG10:AJ10)</f>
        <v>22298.400000000001</v>
      </c>
      <c r="P10" s="487">
        <v>3564</v>
      </c>
      <c r="Q10" s="487">
        <v>3580.1</v>
      </c>
      <c r="R10" s="487">
        <v>3573.2</v>
      </c>
      <c r="S10" s="487">
        <v>3903.9</v>
      </c>
      <c r="T10" s="487">
        <v>4129.8</v>
      </c>
      <c r="U10" s="487">
        <v>4215.2</v>
      </c>
      <c r="V10" s="487">
        <v>4345.3</v>
      </c>
      <c r="W10" s="487">
        <v>4514.8</v>
      </c>
      <c r="X10" s="487">
        <v>4603.2</v>
      </c>
      <c r="Y10" s="487">
        <v>4736.8999999999996</v>
      </c>
      <c r="Z10" s="487">
        <v>4755.8999999999996</v>
      </c>
      <c r="AA10" s="487">
        <v>5093.1000000000004</v>
      </c>
      <c r="AB10" s="487">
        <v>5169.2</v>
      </c>
      <c r="AC10" s="487">
        <v>5248.2</v>
      </c>
      <c r="AD10" s="487">
        <v>5197.7</v>
      </c>
      <c r="AE10" s="487">
        <v>5364.2</v>
      </c>
      <c r="AF10" s="487">
        <v>5375.5</v>
      </c>
      <c r="AG10" s="487">
        <v>5215.5</v>
      </c>
      <c r="AH10" s="487">
        <v>5381.4</v>
      </c>
      <c r="AI10" s="487">
        <v>5879</v>
      </c>
      <c r="AJ10" s="487">
        <v>5822.5</v>
      </c>
      <c r="AK10" s="487">
        <v>5801.3</v>
      </c>
      <c r="AL10" s="487">
        <v>6018.4</v>
      </c>
      <c r="AM10" s="487">
        <v>6231.6</v>
      </c>
      <c r="AN10" s="487">
        <v>6301.9</v>
      </c>
      <c r="AO10" s="487">
        <v>6448.6</v>
      </c>
      <c r="AP10" s="487">
        <v>6448.1</v>
      </c>
      <c r="AQ10" s="487">
        <v>6783.0020000000004</v>
      </c>
      <c r="AR10" s="487">
        <v>6749.4</v>
      </c>
      <c r="AS10" s="487">
        <v>6811.9709999999995</v>
      </c>
      <c r="AT10" s="487">
        <v>7160.4</v>
      </c>
      <c r="AU10" s="487">
        <v>7528.4889999999996</v>
      </c>
      <c r="AV10" s="487">
        <v>7604.8</v>
      </c>
      <c r="AW10" s="487">
        <v>7505.3</v>
      </c>
      <c r="AX10" s="487">
        <v>7525.3</v>
      </c>
      <c r="AY10" s="487">
        <v>7873.5</v>
      </c>
      <c r="AZ10" s="487">
        <v>8007.2</v>
      </c>
    </row>
    <row r="11" spans="2:53">
      <c r="B11" s="422" t="s">
        <v>507</v>
      </c>
      <c r="C11" s="420">
        <v>11914.4</v>
      </c>
      <c r="D11" s="423">
        <f>+P11+Q11+R11+S11</f>
        <v>12925</v>
      </c>
      <c r="E11" s="423">
        <f>+T11+U11+V11+W11</f>
        <v>15514.9</v>
      </c>
      <c r="F11" s="423">
        <f>+AA11+Z11+Y11+X11</f>
        <v>17194.599999999999</v>
      </c>
      <c r="G11" s="423">
        <f>+AE11+AD11+AC11+AB11</f>
        <v>17616.800000000003</v>
      </c>
      <c r="H11" s="423">
        <f>+AF11+AG11+AH11+AI11</f>
        <v>19869.600000000002</v>
      </c>
      <c r="I11" s="423">
        <f>+AJ11+AK11+AL11+AM11</f>
        <v>21474.800000000003</v>
      </c>
      <c r="J11" s="423">
        <f>+AN11+AO11+AP11+AQ11</f>
        <v>23531.399999999998</v>
      </c>
      <c r="K11" s="423">
        <f t="shared" ref="K11" si="1">SUM(AR11:AU11)</f>
        <v>25704.9</v>
      </c>
      <c r="L11" s="423">
        <f t="shared" ref="L11:L12" si="2">SUM(AV11:AY11)</f>
        <v>27609.399999999998</v>
      </c>
      <c r="M11" s="423">
        <f t="shared" ref="M11:M12" si="3">SUM(AW11:AZ11)</f>
        <v>27985.5</v>
      </c>
      <c r="N11" s="423"/>
      <c r="O11" s="423">
        <f>SUM(AG11:AJ11)</f>
        <v>20182.3</v>
      </c>
      <c r="P11" s="420">
        <v>3202.6</v>
      </c>
      <c r="Q11" s="420">
        <v>3197.7</v>
      </c>
      <c r="R11" s="420">
        <v>3201.2</v>
      </c>
      <c r="S11" s="420">
        <v>3323.5</v>
      </c>
      <c r="T11" s="420">
        <v>3740.2</v>
      </c>
      <c r="U11" s="420">
        <v>3790.2</v>
      </c>
      <c r="V11" s="420">
        <v>3910</v>
      </c>
      <c r="W11" s="420">
        <v>4074.5</v>
      </c>
      <c r="X11" s="420">
        <v>4129.5</v>
      </c>
      <c r="Y11" s="420">
        <v>4227.6000000000004</v>
      </c>
      <c r="Z11" s="420">
        <v>4269.8</v>
      </c>
      <c r="AA11" s="420">
        <v>4567.7</v>
      </c>
      <c r="AB11" s="420">
        <v>4637.8999999999996</v>
      </c>
      <c r="AC11" s="420">
        <v>3886.2</v>
      </c>
      <c r="AD11" s="420">
        <v>4389.7</v>
      </c>
      <c r="AE11" s="420">
        <v>4703</v>
      </c>
      <c r="AF11" s="420">
        <v>4901.8</v>
      </c>
      <c r="AG11" s="420">
        <v>4802.1000000000004</v>
      </c>
      <c r="AH11" s="420">
        <v>4894.3999999999996</v>
      </c>
      <c r="AI11" s="420">
        <v>5271.3</v>
      </c>
      <c r="AJ11" s="420">
        <v>5214.5</v>
      </c>
      <c r="AK11" s="420">
        <v>5215.5</v>
      </c>
      <c r="AL11" s="420">
        <v>5419.7</v>
      </c>
      <c r="AM11" s="420">
        <v>5625.1</v>
      </c>
      <c r="AN11" s="420">
        <v>5781.7</v>
      </c>
      <c r="AO11" s="420">
        <v>5827</v>
      </c>
      <c r="AP11" s="420">
        <v>5807.9</v>
      </c>
      <c r="AQ11" s="420">
        <v>6114.8</v>
      </c>
      <c r="AR11" s="420">
        <v>6158</v>
      </c>
      <c r="AS11" s="420">
        <v>6232.7</v>
      </c>
      <c r="AT11" s="420">
        <v>6468.2</v>
      </c>
      <c r="AU11" s="420">
        <v>6846</v>
      </c>
      <c r="AV11" s="420">
        <v>6890.9</v>
      </c>
      <c r="AW11" s="420">
        <v>6782.7</v>
      </c>
      <c r="AX11" s="420">
        <v>6793.6</v>
      </c>
      <c r="AY11" s="420">
        <v>7142.2</v>
      </c>
      <c r="AZ11" s="420">
        <v>7267</v>
      </c>
    </row>
    <row r="12" spans="2:53">
      <c r="B12" s="422" t="s">
        <v>681</v>
      </c>
      <c r="C12" s="420">
        <v>10667.1</v>
      </c>
      <c r="D12" s="423">
        <f>+P12+Q12+R12+S12</f>
        <v>11741.399999999998</v>
      </c>
      <c r="E12" s="423">
        <f>+T12+U12+V12+W12</f>
        <v>13646.4</v>
      </c>
      <c r="F12" s="423">
        <f>+AA12+Z12+Y12+X12</f>
        <v>15213.600000000002</v>
      </c>
      <c r="G12" s="423">
        <f>+AE12+AD12+AC12+AB12</f>
        <v>14925.9</v>
      </c>
      <c r="H12" s="423">
        <f>+AF12+AG12+AH12+AI12</f>
        <v>17421.7</v>
      </c>
      <c r="I12" s="423">
        <f>+AJ12+AK12+AL12+AM12</f>
        <v>18819.800000000003</v>
      </c>
      <c r="J12" s="423">
        <f>+AN12+AO12+AP12+AQ12</f>
        <v>20165.100000000002</v>
      </c>
      <c r="K12" s="423">
        <f>SUM(AR12:AU12)</f>
        <v>21296.1</v>
      </c>
      <c r="L12" s="423">
        <f t="shared" si="2"/>
        <v>22889.399999999998</v>
      </c>
      <c r="M12" s="423">
        <f t="shared" si="3"/>
        <v>23165.399999999998</v>
      </c>
      <c r="N12" s="423"/>
      <c r="O12" s="423">
        <f>SUM(AG12:AJ12)</f>
        <v>17817.599999999999</v>
      </c>
      <c r="P12" s="420">
        <v>2877.2</v>
      </c>
      <c r="Q12" s="420">
        <v>2876.7</v>
      </c>
      <c r="R12" s="420">
        <v>2871.7</v>
      </c>
      <c r="S12" s="420">
        <v>3115.8</v>
      </c>
      <c r="T12" s="420">
        <v>3279.8</v>
      </c>
      <c r="U12" s="420">
        <v>3349.5</v>
      </c>
      <c r="V12" s="420">
        <v>3439.5</v>
      </c>
      <c r="W12" s="420">
        <v>3577.6</v>
      </c>
      <c r="X12" s="420">
        <v>3667.7</v>
      </c>
      <c r="Y12" s="420">
        <v>3747.3</v>
      </c>
      <c r="Z12" s="420">
        <v>3774.6</v>
      </c>
      <c r="AA12" s="420">
        <v>4024</v>
      </c>
      <c r="AB12" s="420">
        <v>4160.1000000000004</v>
      </c>
      <c r="AC12" s="420">
        <v>3245</v>
      </c>
      <c r="AD12" s="420">
        <v>3408.3</v>
      </c>
      <c r="AE12" s="420">
        <v>4112.5</v>
      </c>
      <c r="AF12" s="420">
        <v>4220.1000000000004</v>
      </c>
      <c r="AG12" s="420">
        <v>4241.1000000000004</v>
      </c>
      <c r="AH12" s="420">
        <v>4356.1000000000004</v>
      </c>
      <c r="AI12" s="420">
        <v>4604.3999999999996</v>
      </c>
      <c r="AJ12" s="420">
        <v>4616</v>
      </c>
      <c r="AK12" s="420">
        <v>4546.7</v>
      </c>
      <c r="AL12" s="420">
        <v>4785</v>
      </c>
      <c r="AM12" s="420">
        <v>4872.1000000000004</v>
      </c>
      <c r="AN12" s="420">
        <v>5000.1000000000004</v>
      </c>
      <c r="AO12" s="420">
        <v>5023.6000000000004</v>
      </c>
      <c r="AP12" s="420">
        <v>5030.2</v>
      </c>
      <c r="AQ12" s="420">
        <v>5111.2</v>
      </c>
      <c r="AR12" s="420">
        <v>5186.7</v>
      </c>
      <c r="AS12" s="420">
        <v>5119.8</v>
      </c>
      <c r="AT12" s="420">
        <v>5412.5</v>
      </c>
      <c r="AU12" s="420">
        <v>5577.1</v>
      </c>
      <c r="AV12" s="420">
        <v>5649.8</v>
      </c>
      <c r="AW12" s="420">
        <v>5578.5</v>
      </c>
      <c r="AX12" s="420">
        <v>5581.4</v>
      </c>
      <c r="AY12" s="420">
        <v>6079.7</v>
      </c>
      <c r="AZ12" s="420">
        <v>5925.8</v>
      </c>
    </row>
    <row r="13" spans="2:53">
      <c r="B13" s="422" t="s">
        <v>682</v>
      </c>
      <c r="C13" s="419">
        <v>0.80500000000000005</v>
      </c>
      <c r="D13" s="562">
        <f t="shared" ref="D13:O13" si="4">D12/D10</f>
        <v>0.80303942220884739</v>
      </c>
      <c r="E13" s="562">
        <f t="shared" si="4"/>
        <v>0.79316016762471597</v>
      </c>
      <c r="F13" s="562">
        <f t="shared" si="4"/>
        <v>0.79282509341240615</v>
      </c>
      <c r="G13" s="562">
        <f t="shared" si="4"/>
        <v>0.71145843760277994</v>
      </c>
      <c r="H13" s="562">
        <f t="shared" si="4"/>
        <v>0.79728072343190826</v>
      </c>
      <c r="I13" s="562">
        <f t="shared" ref="I13:J13" si="5">I12/I10</f>
        <v>0.7883034958825158</v>
      </c>
      <c r="J13" s="562">
        <f t="shared" si="5"/>
        <v>0.77612997073852497</v>
      </c>
      <c r="K13" s="562">
        <f t="shared" ref="K13:L13" si="6">K12/K10</f>
        <v>0.75383730981590957</v>
      </c>
      <c r="L13" s="562">
        <f t="shared" si="6"/>
        <v>0.75025320480253288</v>
      </c>
      <c r="M13" s="562">
        <f>M12/M10</f>
        <v>0.74941526237977696</v>
      </c>
      <c r="N13" s="738"/>
      <c r="O13" s="562">
        <f t="shared" si="4"/>
        <v>0.79905284684102884</v>
      </c>
      <c r="P13" s="419">
        <v>0.80700000000000005</v>
      </c>
      <c r="Q13" s="419">
        <v>0.80400000000000005</v>
      </c>
      <c r="R13" s="419">
        <v>0.80400000000000005</v>
      </c>
      <c r="S13" s="419">
        <v>0.79800000000000004</v>
      </c>
      <c r="T13" s="419">
        <v>0.79400000000000004</v>
      </c>
      <c r="U13" s="419">
        <v>0.79500000000000004</v>
      </c>
      <c r="V13" s="419">
        <v>0.79200000000000004</v>
      </c>
      <c r="W13" s="419">
        <v>0.79200000000000004</v>
      </c>
      <c r="X13" s="419">
        <v>0.79700000000000004</v>
      </c>
      <c r="Y13" s="419">
        <v>0.79100000000000004</v>
      </c>
      <c r="Z13" s="419">
        <v>0.79400000000000004</v>
      </c>
      <c r="AA13" s="419">
        <v>0.79</v>
      </c>
      <c r="AB13" s="419">
        <v>0.80500000000000005</v>
      </c>
      <c r="AC13" s="419">
        <v>0.755</v>
      </c>
      <c r="AD13" s="419">
        <v>0.752</v>
      </c>
      <c r="AE13" s="419">
        <v>0.79200000000000004</v>
      </c>
      <c r="AF13" s="419">
        <v>0.78600000000000003</v>
      </c>
      <c r="AG13" s="419">
        <v>0.80200000000000005</v>
      </c>
      <c r="AH13" s="419">
        <v>0.80700000000000005</v>
      </c>
      <c r="AI13" s="419">
        <v>0.79100000000000004</v>
      </c>
      <c r="AJ13" s="419">
        <v>0.78900000000000003</v>
      </c>
      <c r="AK13" s="419">
        <v>0.78400000000000003</v>
      </c>
      <c r="AL13" s="419">
        <v>0.79500000000000004</v>
      </c>
      <c r="AM13" s="419">
        <v>0.78200000000000003</v>
      </c>
      <c r="AN13" s="419">
        <v>0.78400000000000003</v>
      </c>
      <c r="AO13" s="419">
        <v>0.77900000000000003</v>
      </c>
      <c r="AP13" s="419">
        <v>0.78</v>
      </c>
      <c r="AQ13" s="419">
        <v>0.754</v>
      </c>
      <c r="AR13" s="419">
        <v>0.76</v>
      </c>
      <c r="AS13" s="419">
        <v>0.752</v>
      </c>
      <c r="AT13" s="419">
        <v>0.75600000000000001</v>
      </c>
      <c r="AU13" s="419">
        <v>0.74099999999999999</v>
      </c>
      <c r="AV13" s="419">
        <v>0.74299999999999999</v>
      </c>
      <c r="AW13" s="419">
        <v>0.74299999999999999</v>
      </c>
      <c r="AX13" s="419">
        <v>0.74199999999999999</v>
      </c>
      <c r="AY13" s="419">
        <v>0.77200000000000002</v>
      </c>
      <c r="AZ13" s="419">
        <v>0.74</v>
      </c>
    </row>
    <row r="14" spans="2:53">
      <c r="B14" s="422" t="s">
        <v>683</v>
      </c>
      <c r="C14" s="563"/>
      <c r="D14" s="562">
        <f t="shared" ref="D14:O14" si="7">D12/D11</f>
        <v>0.9084255319148935</v>
      </c>
      <c r="E14" s="562">
        <f t="shared" si="7"/>
        <v>0.8795673836118828</v>
      </c>
      <c r="F14" s="562">
        <f t="shared" si="7"/>
        <v>0.88478941062891858</v>
      </c>
      <c r="G14" s="562">
        <f t="shared" si="7"/>
        <v>0.84725375777666756</v>
      </c>
      <c r="H14" s="562">
        <f t="shared" si="7"/>
        <v>0.87680174739300232</v>
      </c>
      <c r="I14" s="562">
        <f t="shared" ref="I14:J14" si="8">I12/I11</f>
        <v>0.87636671819993672</v>
      </c>
      <c r="J14" s="562">
        <f t="shared" si="8"/>
        <v>0.85694433820342197</v>
      </c>
      <c r="K14" s="562">
        <f t="shared" ref="K14:L14" si="9">K12/K11</f>
        <v>0.82848406334978919</v>
      </c>
      <c r="L14" s="562">
        <f t="shared" si="9"/>
        <v>0.8290437314827559</v>
      </c>
      <c r="M14" s="562">
        <f t="shared" ref="M14" si="10">M12/M11</f>
        <v>0.82776437798145464</v>
      </c>
      <c r="N14" s="738"/>
      <c r="O14" s="562">
        <f t="shared" si="7"/>
        <v>0.88283297741089961</v>
      </c>
      <c r="P14" s="563"/>
      <c r="Q14" s="563"/>
      <c r="R14" s="419">
        <v>0.89500000000000002</v>
      </c>
      <c r="S14" s="419">
        <v>0.94</v>
      </c>
      <c r="T14" s="419">
        <v>0.877</v>
      </c>
      <c r="U14" s="419">
        <v>0.88400000000000001</v>
      </c>
      <c r="V14" s="419">
        <v>0.88</v>
      </c>
      <c r="W14" s="419">
        <v>0.878</v>
      </c>
      <c r="X14" s="419">
        <v>0.88800000000000001</v>
      </c>
      <c r="Y14" s="419">
        <v>0.88600000000000001</v>
      </c>
      <c r="Z14" s="419">
        <v>0.88400000000000001</v>
      </c>
      <c r="AA14" s="419">
        <v>0.88100000000000001</v>
      </c>
      <c r="AB14" s="419">
        <v>0.89700000000000002</v>
      </c>
      <c r="AC14" s="419">
        <v>0.83499999999999996</v>
      </c>
      <c r="AD14" s="419">
        <v>0.83599999999999997</v>
      </c>
      <c r="AE14" s="419">
        <v>0.874</v>
      </c>
      <c r="AF14" s="419">
        <v>0.86099999999999999</v>
      </c>
      <c r="AG14" s="419">
        <v>0.88300000000000001</v>
      </c>
      <c r="AH14" s="419">
        <v>0.89</v>
      </c>
      <c r="AI14" s="419">
        <v>0.873</v>
      </c>
      <c r="AJ14" s="419">
        <v>0.88500000000000001</v>
      </c>
      <c r="AK14" s="419">
        <v>0.872</v>
      </c>
      <c r="AL14" s="419">
        <v>0.88300000000000001</v>
      </c>
      <c r="AM14" s="419">
        <v>0.86599999999999999</v>
      </c>
      <c r="AN14" s="419">
        <v>0.86499999999999999</v>
      </c>
      <c r="AO14" s="419">
        <v>0.86199999999999999</v>
      </c>
      <c r="AP14" s="419">
        <v>0.86599999999999999</v>
      </c>
      <c r="AQ14" s="419">
        <v>0.83599999999999997</v>
      </c>
      <c r="AR14" s="419">
        <v>0.84199999999999997</v>
      </c>
      <c r="AS14" s="419">
        <v>0.83599999999999997</v>
      </c>
      <c r="AT14" s="419">
        <v>0.83599999999999997</v>
      </c>
      <c r="AU14" s="419">
        <v>0.81499999999999995</v>
      </c>
      <c r="AV14" s="419">
        <v>0.82</v>
      </c>
      <c r="AW14" s="419">
        <v>0.82199999999999995</v>
      </c>
      <c r="AX14" s="419">
        <v>0.82199999999999995</v>
      </c>
      <c r="AY14" s="419">
        <v>0.85099999999999998</v>
      </c>
      <c r="AZ14" s="419">
        <v>0.81499999999999995</v>
      </c>
    </row>
    <row r="15" spans="2:53">
      <c r="B15" s="422" t="s">
        <v>684</v>
      </c>
      <c r="C15" s="487">
        <v>6411.3</v>
      </c>
      <c r="D15" s="423">
        <f>+P15+Q15+R15+S15</f>
        <v>6670.3</v>
      </c>
      <c r="E15" s="423">
        <f>+T15+U15+V15+W15</f>
        <v>8504.5</v>
      </c>
      <c r="F15" s="423">
        <f>+AA15+Z15+Y15+X15</f>
        <v>9120.9</v>
      </c>
      <c r="G15" s="423">
        <f>+AE15+AD15+AC15+AB15</f>
        <v>6260</v>
      </c>
      <c r="H15" s="423">
        <f>+AF15+AG15+AH15+AI15</f>
        <v>8999.4</v>
      </c>
      <c r="I15" s="423">
        <f>+AJ15+AK15+AL15+AM15</f>
        <v>9251.4</v>
      </c>
      <c r="J15" s="423">
        <f>+AN15+AO15+AP15+AQ15</f>
        <v>8918.1999999999989</v>
      </c>
      <c r="K15" s="423">
        <f>SUM(AR15:AU15)</f>
        <v>9204.7999999999993</v>
      </c>
      <c r="L15" s="423">
        <f>SUM(AV15:AY15)</f>
        <v>9669.9000000000015</v>
      </c>
      <c r="M15" s="423">
        <f>SUM(AW15:AZ15)</f>
        <v>9763.4000000000015</v>
      </c>
      <c r="N15" s="423"/>
      <c r="O15" s="423">
        <f>SUM(AG15:AJ15)</f>
        <v>9325.2999999999993</v>
      </c>
      <c r="P15" s="487">
        <v>1691.3</v>
      </c>
      <c r="Q15" s="487">
        <v>1597.3</v>
      </c>
      <c r="R15" s="487">
        <v>1562.5</v>
      </c>
      <c r="S15" s="487">
        <v>1819.2</v>
      </c>
      <c r="T15" s="487">
        <v>1991.4</v>
      </c>
      <c r="U15" s="487">
        <v>1957</v>
      </c>
      <c r="V15" s="487">
        <v>2202.9</v>
      </c>
      <c r="W15" s="487">
        <v>2353.1999999999998</v>
      </c>
      <c r="X15" s="487">
        <v>2218.4</v>
      </c>
      <c r="Y15" s="487">
        <v>2206.1999999999998</v>
      </c>
      <c r="Z15" s="487">
        <v>2220.6999999999998</v>
      </c>
      <c r="AA15" s="487">
        <v>2475.6</v>
      </c>
      <c r="AB15" s="487">
        <v>2281.8000000000002</v>
      </c>
      <c r="AC15" s="487">
        <v>1003.4</v>
      </c>
      <c r="AD15" s="487">
        <v>1146.3</v>
      </c>
      <c r="AE15" s="487">
        <v>1828.5</v>
      </c>
      <c r="AF15" s="487">
        <v>2059</v>
      </c>
      <c r="AG15" s="487">
        <v>2179.6999999999998</v>
      </c>
      <c r="AH15" s="487">
        <v>2221.8000000000002</v>
      </c>
      <c r="AI15" s="487">
        <v>2538.9</v>
      </c>
      <c r="AJ15" s="487">
        <v>2384.9</v>
      </c>
      <c r="AK15" s="487">
        <v>2341.6999999999998</v>
      </c>
      <c r="AL15" s="487">
        <v>2275.4</v>
      </c>
      <c r="AM15" s="487">
        <v>2249.4</v>
      </c>
      <c r="AN15" s="487">
        <v>2219.6999999999998</v>
      </c>
      <c r="AO15" s="487">
        <v>2175.1999999999998</v>
      </c>
      <c r="AP15" s="487">
        <v>2216.9</v>
      </c>
      <c r="AQ15" s="487">
        <v>2306.4</v>
      </c>
      <c r="AR15" s="487">
        <v>2230.3000000000002</v>
      </c>
      <c r="AS15" s="487">
        <v>2185.5</v>
      </c>
      <c r="AT15" s="487">
        <v>2279.1</v>
      </c>
      <c r="AU15" s="487">
        <v>2509.9</v>
      </c>
      <c r="AV15" s="487">
        <v>2384.8000000000002</v>
      </c>
      <c r="AW15" s="487">
        <v>2344.8000000000002</v>
      </c>
      <c r="AX15" s="487">
        <v>2391.5</v>
      </c>
      <c r="AY15" s="487">
        <v>2548.8000000000002</v>
      </c>
      <c r="AZ15" s="487">
        <v>2478.3000000000002</v>
      </c>
    </row>
    <row r="16" spans="2:53">
      <c r="B16" s="422" t="s">
        <v>685</v>
      </c>
      <c r="C16" s="419">
        <v>0.53800000000000003</v>
      </c>
      <c r="D16" s="562">
        <f t="shared" ref="D16:O16" si="11">D15/D11</f>
        <v>0.51607736943907156</v>
      </c>
      <c r="E16" s="562">
        <f t="shared" si="11"/>
        <v>0.54815048759579499</v>
      </c>
      <c r="F16" s="562">
        <f t="shared" si="11"/>
        <v>0.53045142079490071</v>
      </c>
      <c r="G16" s="562">
        <f t="shared" si="11"/>
        <v>0.35534262749193946</v>
      </c>
      <c r="H16" s="562">
        <f t="shared" si="11"/>
        <v>0.45292305834037921</v>
      </c>
      <c r="I16" s="562">
        <f t="shared" ref="I16:J16" si="12">I15/I11</f>
        <v>0.43080261515823187</v>
      </c>
      <c r="J16" s="562">
        <f t="shared" si="12"/>
        <v>0.37899147522034388</v>
      </c>
      <c r="K16" s="562">
        <f t="shared" ref="K16:L16" si="13">K15/K11</f>
        <v>0.35809514917389285</v>
      </c>
      <c r="L16" s="562">
        <f t="shared" si="13"/>
        <v>0.35023941121502106</v>
      </c>
      <c r="M16" s="562">
        <f t="shared" ref="M16" si="14">M15/M11</f>
        <v>0.34887352378910513</v>
      </c>
      <c r="N16" s="738"/>
      <c r="O16" s="562">
        <f t="shared" si="11"/>
        <v>0.46205338341021585</v>
      </c>
      <c r="P16" s="419">
        <v>0.52800000000000002</v>
      </c>
      <c r="Q16" s="419">
        <v>0.5</v>
      </c>
      <c r="R16" s="419">
        <v>0.48799999999999999</v>
      </c>
      <c r="S16" s="419">
        <v>0.54700000000000004</v>
      </c>
      <c r="T16" s="419">
        <v>0.53200000000000003</v>
      </c>
      <c r="U16" s="419">
        <v>0.51600000000000001</v>
      </c>
      <c r="V16" s="419">
        <v>0.56299999999999994</v>
      </c>
      <c r="W16" s="419">
        <v>0.57799999999999996</v>
      </c>
      <c r="X16" s="419">
        <v>0.53700000000000003</v>
      </c>
      <c r="Y16" s="419">
        <v>0.52200000000000002</v>
      </c>
      <c r="Z16" s="419">
        <v>0.52</v>
      </c>
      <c r="AA16" s="419">
        <v>0.54200000000000004</v>
      </c>
      <c r="AB16" s="419">
        <v>0.49199999999999999</v>
      </c>
      <c r="AC16" s="419">
        <v>0.25800000000000001</v>
      </c>
      <c r="AD16" s="419">
        <v>0.26100000000000001</v>
      </c>
      <c r="AE16" s="419">
        <v>0.38900000000000001</v>
      </c>
      <c r="AF16" s="419">
        <v>0.42</v>
      </c>
      <c r="AG16" s="419">
        <v>0.45400000000000001</v>
      </c>
      <c r="AH16" s="419">
        <v>0.45400000000000001</v>
      </c>
      <c r="AI16" s="419">
        <v>0.48199999999999998</v>
      </c>
      <c r="AJ16" s="419">
        <v>0.45700000000000002</v>
      </c>
      <c r="AK16" s="419">
        <v>0.44900000000000001</v>
      </c>
      <c r="AL16" s="419">
        <v>0.42</v>
      </c>
      <c r="AM16" s="419">
        <v>0.42299999999999999</v>
      </c>
      <c r="AN16" s="419">
        <v>0.38400000000000001</v>
      </c>
      <c r="AO16" s="419">
        <v>0.373</v>
      </c>
      <c r="AP16" s="419">
        <v>0.38200000000000001</v>
      </c>
      <c r="AQ16" s="419">
        <v>0.377</v>
      </c>
      <c r="AR16" s="419">
        <v>0.36199999999999999</v>
      </c>
      <c r="AS16" s="419">
        <v>0.35699999999999998</v>
      </c>
      <c r="AT16" s="419">
        <v>0.35199999999999998</v>
      </c>
      <c r="AU16" s="419">
        <v>0.36699999999999999</v>
      </c>
      <c r="AV16" s="419">
        <v>0.34599999999999997</v>
      </c>
      <c r="AW16" s="419">
        <v>0.34599999999999997</v>
      </c>
      <c r="AX16" s="419">
        <v>0.35199999999999998</v>
      </c>
      <c r="AY16" s="419">
        <v>0.35699999999999998</v>
      </c>
      <c r="AZ16" s="419">
        <v>0.34100000000000003</v>
      </c>
    </row>
    <row r="17" spans="2:52"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748"/>
      <c r="O17" s="419"/>
      <c r="P17" s="419"/>
      <c r="Q17" s="419"/>
      <c r="R17" s="419"/>
      <c r="S17" s="419"/>
      <c r="T17" s="419"/>
      <c r="U17" s="419"/>
      <c r="V17" s="419"/>
      <c r="W17" s="419"/>
      <c r="X17" s="419"/>
      <c r="Y17" s="419"/>
      <c r="Z17" s="419"/>
      <c r="AA17" s="419"/>
      <c r="AB17" s="419"/>
      <c r="AC17" s="419"/>
      <c r="AD17" s="419"/>
      <c r="AE17" s="419"/>
      <c r="AF17" s="419"/>
      <c r="AG17" s="419"/>
      <c r="AH17" s="419"/>
      <c r="AI17" s="419"/>
      <c r="AJ17" s="419"/>
      <c r="AK17" s="419"/>
      <c r="AL17" s="419"/>
      <c r="AM17" s="419"/>
      <c r="AN17" s="419"/>
      <c r="AO17" s="419"/>
      <c r="AP17" s="419"/>
      <c r="AQ17" s="419"/>
      <c r="AR17" s="419"/>
      <c r="AS17" s="419"/>
      <c r="AT17" s="419"/>
      <c r="AU17" s="419"/>
      <c r="AV17" s="419"/>
      <c r="AW17" s="419"/>
      <c r="AX17" s="419"/>
      <c r="AY17" s="419"/>
      <c r="AZ17" s="419"/>
    </row>
    <row r="18" spans="2:52">
      <c r="B18" s="424" t="s">
        <v>686</v>
      </c>
    </row>
    <row r="19" spans="2:52">
      <c r="B19" s="422" t="s">
        <v>687</v>
      </c>
      <c r="C19" s="581">
        <v>3.3148</v>
      </c>
      <c r="D19" s="582">
        <f>+P19+Q19+R19+S19</f>
        <v>3.4603000000000002</v>
      </c>
      <c r="E19" s="582">
        <f>+T19+U19+V19+W19</f>
        <v>3.468</v>
      </c>
      <c r="F19" s="582">
        <f>+AA19+Z19+Y19+X19</f>
        <v>3.8947000000000003</v>
      </c>
      <c r="G19" s="582">
        <f>+AE19+AD19+AC19+AB19</f>
        <v>3.8191999999999995</v>
      </c>
      <c r="H19" s="582">
        <f>+AF19+AG19+AH19+AI19</f>
        <v>4.5709</v>
      </c>
      <c r="I19" s="582">
        <f>+AJ19+AK19+AL19+AM19</f>
        <v>4.9756999999999998</v>
      </c>
      <c r="J19" s="582">
        <f>+AN19+AO19+AP19+AQ19</f>
        <v>5.3120000000000003</v>
      </c>
      <c r="K19" s="582">
        <f t="shared" ref="K19:K22" si="15">SUM(AR19:AU19)</f>
        <v>5.5869999999999997</v>
      </c>
      <c r="L19" s="582">
        <f>SUM(AV19:AY19)</f>
        <v>6.0119000000000007</v>
      </c>
      <c r="M19" s="582">
        <f>SUM(AW19:AZ19)</f>
        <v>6.0835999999999988</v>
      </c>
      <c r="N19" s="582"/>
      <c r="O19" s="582">
        <f>SUM(AG19:AJ19)</f>
        <v>4.6927000000000003</v>
      </c>
      <c r="P19" s="581">
        <v>0.88549999999999995</v>
      </c>
      <c r="Q19" s="581">
        <v>0.87919999999999998</v>
      </c>
      <c r="R19" s="581">
        <v>0.86370000000000002</v>
      </c>
      <c r="S19" s="581">
        <v>0.83189999999999997</v>
      </c>
      <c r="T19" s="581">
        <v>0.82820000000000005</v>
      </c>
      <c r="U19" s="581">
        <v>0.84830000000000005</v>
      </c>
      <c r="V19" s="581">
        <v>0.87390000000000001</v>
      </c>
      <c r="W19" s="581">
        <v>0.91759999999999997</v>
      </c>
      <c r="X19" s="581">
        <v>0.94279999999999997</v>
      </c>
      <c r="Y19" s="581">
        <v>0.96330000000000005</v>
      </c>
      <c r="Z19" s="581">
        <v>0.96419999999999995</v>
      </c>
      <c r="AA19" s="581">
        <v>1.0244</v>
      </c>
      <c r="AB19" s="581">
        <v>1.0589999999999999</v>
      </c>
      <c r="AC19" s="581">
        <v>0.82609999999999995</v>
      </c>
      <c r="AD19" s="581">
        <v>0.87129999999999996</v>
      </c>
      <c r="AE19" s="581">
        <v>1.0628</v>
      </c>
      <c r="AF19" s="581">
        <v>1.0982000000000001</v>
      </c>
      <c r="AG19" s="581">
        <v>1.1149</v>
      </c>
      <c r="AH19" s="581">
        <v>1.1460999999999999</v>
      </c>
      <c r="AI19" s="581">
        <v>1.2117</v>
      </c>
      <c r="AJ19" s="581">
        <v>1.22</v>
      </c>
      <c r="AK19" s="581">
        <v>1.2016</v>
      </c>
      <c r="AL19" s="581">
        <v>1.2648999999999999</v>
      </c>
      <c r="AM19" s="581">
        <v>1.2891999999999999</v>
      </c>
      <c r="AN19" s="581">
        <v>1.3230999999999999</v>
      </c>
      <c r="AO19" s="581">
        <v>1.3251999999999999</v>
      </c>
      <c r="AP19" s="581">
        <v>1.3211999999999999</v>
      </c>
      <c r="AQ19" s="581">
        <v>1.3425</v>
      </c>
      <c r="AR19" s="581">
        <v>1.3623000000000001</v>
      </c>
      <c r="AS19" s="581">
        <v>1.3436999999999999</v>
      </c>
      <c r="AT19" s="581">
        <v>1.4189000000000001</v>
      </c>
      <c r="AU19" s="581">
        <v>1.4621</v>
      </c>
      <c r="AV19" s="581">
        <v>1.4834000000000001</v>
      </c>
      <c r="AW19" s="581">
        <v>1.466</v>
      </c>
      <c r="AX19" s="581">
        <v>1.4666999999999999</v>
      </c>
      <c r="AY19" s="581">
        <v>1.5958000000000001</v>
      </c>
      <c r="AZ19" s="581">
        <v>1.5550999999999999</v>
      </c>
    </row>
    <row r="20" spans="2:52">
      <c r="B20" s="422" t="s">
        <v>688</v>
      </c>
      <c r="C20" s="581">
        <v>1.9924999999999999</v>
      </c>
      <c r="D20" s="582">
        <f>+P20+Q20+R20+S20</f>
        <v>1.9643999999999999</v>
      </c>
      <c r="E20" s="582">
        <f>+T20+U20+V20+W20</f>
        <v>2.1621000000000001</v>
      </c>
      <c r="F20" s="582">
        <f>+AA20+Z20+Y20+X20</f>
        <v>2.3348</v>
      </c>
      <c r="G20" s="582">
        <f>+AE20+AD20+AC20+AB20</f>
        <v>1.6019000000000001</v>
      </c>
      <c r="H20" s="582">
        <f>+AF20+AG20+AH20+AI20</f>
        <v>2.3614999999999999</v>
      </c>
      <c r="I20" s="582">
        <f>+AJ20+AK20+AL20+AM20</f>
        <v>2.4458000000000002</v>
      </c>
      <c r="J20" s="582">
        <f>+AN20+AO20+AP20+AQ20</f>
        <v>2.3492999999999999</v>
      </c>
      <c r="K20" s="582">
        <f t="shared" si="15"/>
        <v>2.4148999999999998</v>
      </c>
      <c r="L20" s="582">
        <f t="shared" ref="L20:L22" si="16">SUM(AV20:AY20)</f>
        <v>2.5398000000000001</v>
      </c>
      <c r="M20" s="582">
        <f t="shared" ref="M20:M22" si="17">SUM(AW20:AZ20)</f>
        <v>2.5640999999999998</v>
      </c>
      <c r="N20" s="582"/>
      <c r="O20" s="582">
        <f>SUM(AG20:AJ20)</f>
        <v>2.456</v>
      </c>
      <c r="P20" s="581">
        <v>0.52049999999999996</v>
      </c>
      <c r="Q20" s="581">
        <v>0.48820000000000002</v>
      </c>
      <c r="R20" s="581">
        <v>0.46989999999999998</v>
      </c>
      <c r="S20" s="581">
        <v>0.48580000000000001</v>
      </c>
      <c r="T20" s="581">
        <v>0.50290000000000001</v>
      </c>
      <c r="U20" s="581">
        <v>0.49590000000000001</v>
      </c>
      <c r="V20" s="581">
        <v>0.55969999999999998</v>
      </c>
      <c r="W20" s="581">
        <v>0.60360000000000003</v>
      </c>
      <c r="X20" s="581">
        <v>0.57030000000000003</v>
      </c>
      <c r="Y20" s="581">
        <v>0.56710000000000005</v>
      </c>
      <c r="Z20" s="581">
        <v>0.56720000000000004</v>
      </c>
      <c r="AA20" s="581">
        <v>0.63019999999999998</v>
      </c>
      <c r="AB20" s="581">
        <v>0.58089999999999997</v>
      </c>
      <c r="AC20" s="581">
        <v>0.25540000000000002</v>
      </c>
      <c r="AD20" s="581">
        <v>0.29299999999999998</v>
      </c>
      <c r="AE20" s="581">
        <v>0.47260000000000002</v>
      </c>
      <c r="AF20" s="581">
        <v>0.53580000000000005</v>
      </c>
      <c r="AG20" s="581">
        <v>0.57299999999999995</v>
      </c>
      <c r="AH20" s="581">
        <v>0.58460000000000001</v>
      </c>
      <c r="AI20" s="581">
        <v>0.66810000000000003</v>
      </c>
      <c r="AJ20" s="581">
        <v>0.63029999999999997</v>
      </c>
      <c r="AK20" s="581">
        <v>0.61880000000000002</v>
      </c>
      <c r="AL20" s="581">
        <v>0.60150000000000003</v>
      </c>
      <c r="AM20" s="581">
        <v>0.59519999999999995</v>
      </c>
      <c r="AN20" s="581">
        <v>0.58740000000000003</v>
      </c>
      <c r="AO20" s="581">
        <v>0.57379999999999998</v>
      </c>
      <c r="AP20" s="581">
        <v>0.58230000000000004</v>
      </c>
      <c r="AQ20" s="581">
        <v>0.60580000000000001</v>
      </c>
      <c r="AR20" s="581">
        <v>0.58579999999999999</v>
      </c>
      <c r="AS20" s="581">
        <v>0.5736</v>
      </c>
      <c r="AT20" s="581">
        <v>0.59750000000000003</v>
      </c>
      <c r="AU20" s="581">
        <v>0.65800000000000003</v>
      </c>
      <c r="AV20" s="581">
        <v>0.62609999999999999</v>
      </c>
      <c r="AW20" s="581">
        <v>0.61619999999999997</v>
      </c>
      <c r="AX20" s="581">
        <v>0.62849999999999995</v>
      </c>
      <c r="AY20" s="581">
        <v>0.66900000000000004</v>
      </c>
      <c r="AZ20" s="581">
        <v>0.65039999999999998</v>
      </c>
    </row>
    <row r="21" spans="2:52">
      <c r="B21" s="422" t="s">
        <v>689</v>
      </c>
      <c r="C21" s="581">
        <v>1.9838</v>
      </c>
      <c r="D21" s="582">
        <f>+P21+Q21+R21+S21</f>
        <v>1.9802999999999999</v>
      </c>
      <c r="E21" s="582">
        <f>+T21+U21+V21+W21</f>
        <v>2.2186000000000003</v>
      </c>
      <c r="F21" s="582">
        <f>+AA21+Z21+Y21+X21</f>
        <v>2.3477999999999999</v>
      </c>
      <c r="G21" s="582">
        <f>+AE21+AD21+AC21+AB21</f>
        <v>1.7278</v>
      </c>
      <c r="H21" s="582">
        <f>+AF21+AG21+AH21+AI21</f>
        <v>2.3992</v>
      </c>
      <c r="I21" s="582">
        <f>+AJ21+AK21+AL21+AM21</f>
        <v>2.5442999999999998</v>
      </c>
      <c r="J21" s="582">
        <f>+AN21+AO21+AP21+AQ21</f>
        <v>2.3492999999999999</v>
      </c>
      <c r="K21" s="582">
        <f t="shared" si="15"/>
        <v>2.4148999999999998</v>
      </c>
      <c r="L21" s="582">
        <f t="shared" si="16"/>
        <v>2.5534999999999997</v>
      </c>
      <c r="M21" s="582">
        <f t="shared" si="17"/>
        <v>2.5994000000000002</v>
      </c>
      <c r="N21" s="582"/>
      <c r="O21" s="582">
        <f>SUM(AG21:AJ21)</f>
        <v>2.4813999999999998</v>
      </c>
      <c r="P21" s="581">
        <v>0.51829999999999998</v>
      </c>
      <c r="Q21" s="581">
        <v>0.48609999999999998</v>
      </c>
      <c r="R21" s="581">
        <v>0.46779999999999999</v>
      </c>
      <c r="S21" s="581">
        <v>0.5081</v>
      </c>
      <c r="T21" s="581">
        <v>0.50870000000000004</v>
      </c>
      <c r="U21" s="581">
        <v>0.51770000000000005</v>
      </c>
      <c r="V21" s="581">
        <v>0.57599999999999996</v>
      </c>
      <c r="W21" s="581">
        <v>0.61619999999999997</v>
      </c>
      <c r="X21" s="581">
        <v>0.5806</v>
      </c>
      <c r="Y21" s="581">
        <v>0.56710000000000005</v>
      </c>
      <c r="Z21" s="581">
        <v>0.56989999999999996</v>
      </c>
      <c r="AA21" s="581">
        <v>0.63019999999999998</v>
      </c>
      <c r="AB21" s="581">
        <v>0.58089999999999997</v>
      </c>
      <c r="AC21" s="581">
        <v>0.25540000000000002</v>
      </c>
      <c r="AD21" s="581">
        <v>0.34410000000000002</v>
      </c>
      <c r="AE21" s="581">
        <v>0.5474</v>
      </c>
      <c r="AF21" s="581">
        <v>0.54810000000000003</v>
      </c>
      <c r="AG21" s="581">
        <v>0.57299999999999995</v>
      </c>
      <c r="AH21" s="581">
        <v>0.58460000000000001</v>
      </c>
      <c r="AI21" s="581">
        <v>0.69350000000000001</v>
      </c>
      <c r="AJ21" s="581">
        <v>0.63029999999999997</v>
      </c>
      <c r="AK21" s="581">
        <v>0.65369999999999995</v>
      </c>
      <c r="AL21" s="581">
        <v>0.66510000000000002</v>
      </c>
      <c r="AM21" s="581">
        <v>0.59519999999999995</v>
      </c>
      <c r="AN21" s="581">
        <v>0.58740000000000003</v>
      </c>
      <c r="AO21" s="581">
        <v>0.57379999999999998</v>
      </c>
      <c r="AP21" s="581">
        <v>0.58230000000000004</v>
      </c>
      <c r="AQ21" s="581">
        <v>0.60580000000000001</v>
      </c>
      <c r="AR21" s="581">
        <v>0.58579999999999999</v>
      </c>
      <c r="AS21" s="581">
        <v>0.5736</v>
      </c>
      <c r="AT21" s="581">
        <v>0.59750000000000003</v>
      </c>
      <c r="AU21" s="581">
        <v>0.65800000000000003</v>
      </c>
      <c r="AV21" s="581">
        <v>0.62609999999999999</v>
      </c>
      <c r="AW21" s="581">
        <v>0.61619999999999997</v>
      </c>
      <c r="AX21" s="581">
        <v>0.64</v>
      </c>
      <c r="AY21" s="581">
        <v>0.67120000000000002</v>
      </c>
      <c r="AZ21" s="581">
        <v>0.67200000000000004</v>
      </c>
    </row>
    <row r="22" spans="2:52">
      <c r="B22" s="422" t="s">
        <v>690</v>
      </c>
      <c r="C22" s="581">
        <v>1.9832000000000001</v>
      </c>
      <c r="D22" s="582">
        <f>+P22+Q22+R22+S22</f>
        <v>2.0541999999999998</v>
      </c>
      <c r="E22" s="582">
        <f>+T22+U22+V22+W22</f>
        <v>2.2002999999999999</v>
      </c>
      <c r="F22" s="582">
        <f>+AA22+Z22+Y22+X22</f>
        <v>2.3391000000000002</v>
      </c>
      <c r="G22" s="582">
        <f>+AE22+AD22+AC22+AB22</f>
        <v>1.2002999999999999</v>
      </c>
      <c r="H22" s="582">
        <f>+AF22+AG22+AH22+AI22</f>
        <v>1.7122999999999999</v>
      </c>
      <c r="I22" s="582">
        <f>+AJ22+AK22+AL22+AM22</f>
        <v>2.7012</v>
      </c>
      <c r="J22" s="582">
        <f>+AN22+AO22+AP22+AQ22</f>
        <v>2.2454999999999998</v>
      </c>
      <c r="K22" s="582">
        <f t="shared" si="15"/>
        <v>1.9983</v>
      </c>
      <c r="L22" s="582">
        <f t="shared" si="16"/>
        <v>2.2812999999999999</v>
      </c>
      <c r="M22" s="582">
        <f t="shared" si="17"/>
        <v>2.3462999999999998</v>
      </c>
      <c r="N22" s="582"/>
      <c r="O22" s="582">
        <f>SUM(AG22:AJ22)</f>
        <v>1.8889</v>
      </c>
      <c r="P22" s="581">
        <v>0.51539999999999997</v>
      </c>
      <c r="Q22" s="581">
        <v>0.51149999999999995</v>
      </c>
      <c r="R22" s="581">
        <v>0.51659999999999995</v>
      </c>
      <c r="S22" s="581">
        <v>0.51070000000000004</v>
      </c>
      <c r="T22" s="581">
        <v>0.52969999999999995</v>
      </c>
      <c r="U22" s="581">
        <v>0.54010000000000002</v>
      </c>
      <c r="V22" s="581">
        <v>0.55500000000000005</v>
      </c>
      <c r="W22" s="581">
        <v>0.57550000000000001</v>
      </c>
      <c r="X22" s="581">
        <v>0.5806</v>
      </c>
      <c r="Y22" s="581">
        <v>0.58360000000000001</v>
      </c>
      <c r="Z22" s="581">
        <v>0.58499999999999996</v>
      </c>
      <c r="AA22" s="581">
        <v>0.58989999999999998</v>
      </c>
      <c r="AB22" s="581">
        <v>0.29039999999999999</v>
      </c>
      <c r="AC22" s="581">
        <v>0.28100000000000003</v>
      </c>
      <c r="AD22" s="581">
        <v>0.317</v>
      </c>
      <c r="AE22" s="581">
        <v>0.31190000000000001</v>
      </c>
      <c r="AF22" s="581">
        <v>0.32829999999999998</v>
      </c>
      <c r="AG22" s="581">
        <v>0.33110000000000001</v>
      </c>
      <c r="AH22" s="581">
        <v>0.37</v>
      </c>
      <c r="AI22" s="581">
        <v>0.68289999999999995</v>
      </c>
      <c r="AJ22" s="581">
        <v>0.50490000000000002</v>
      </c>
      <c r="AK22" s="581">
        <v>0.52359999999999995</v>
      </c>
      <c r="AL22" s="581">
        <v>0.56589999999999996</v>
      </c>
      <c r="AM22" s="581">
        <v>1.1068</v>
      </c>
      <c r="AN22" s="581">
        <v>0.3891</v>
      </c>
      <c r="AO22" s="581">
        <v>0.57130000000000003</v>
      </c>
      <c r="AP22" s="581">
        <v>0.58230000000000004</v>
      </c>
      <c r="AQ22" s="581">
        <v>0.70279999999999998</v>
      </c>
      <c r="AR22" s="581">
        <v>0.40300000000000002</v>
      </c>
      <c r="AS22" s="581">
        <v>0.51900000000000002</v>
      </c>
      <c r="AT22" s="581">
        <v>0.52500000000000002</v>
      </c>
      <c r="AU22" s="581">
        <v>0.55130000000000001</v>
      </c>
      <c r="AV22" s="581">
        <v>0.55500000000000005</v>
      </c>
      <c r="AW22" s="581">
        <v>0.56999999999999995</v>
      </c>
      <c r="AX22" s="581">
        <v>0.60499999999999998</v>
      </c>
      <c r="AY22" s="581">
        <v>0.55130000000000001</v>
      </c>
      <c r="AZ22" s="581">
        <v>0.62</v>
      </c>
    </row>
    <row r="24" spans="2:52" s="424" customFormat="1">
      <c r="B24" s="424" t="s">
        <v>691</v>
      </c>
    </row>
    <row r="25" spans="2:52">
      <c r="B25" s="422" t="s">
        <v>692</v>
      </c>
      <c r="C25" s="420">
        <v>3217.5</v>
      </c>
      <c r="D25" s="423">
        <f>AVERAGE(P25:S25)</f>
        <v>3397.8249999999998</v>
      </c>
      <c r="E25" s="423">
        <f>AVERAGE(T25:W25)</f>
        <v>3935.75</v>
      </c>
      <c r="F25" s="423">
        <f>AVERAGE(X25:AA25)</f>
        <v>3905.8249999999998</v>
      </c>
      <c r="G25" s="423">
        <f>AVERAGE(AB25:AE25)</f>
        <v>3909.4</v>
      </c>
      <c r="H25" s="423">
        <f>AVERAGE(AF25:AI25)</f>
        <v>3811.8249999999998</v>
      </c>
      <c r="I25" s="423">
        <f>AVERAGE(AJ25:AM25)</f>
        <v>3782.375</v>
      </c>
      <c r="J25" s="423">
        <f>AVERAGE(AN25:AQ25)</f>
        <v>3796.1000000000004</v>
      </c>
      <c r="K25" s="423">
        <f>AVERAGE(AR25:AU25)</f>
        <v>3811.625</v>
      </c>
      <c r="L25" s="423">
        <f>AVERAGE(AV25:AY25)</f>
        <v>3807.2250000000004</v>
      </c>
      <c r="M25" s="423">
        <f>AVERAGE(AW25:AZ25)</f>
        <v>3807.7249999999999</v>
      </c>
      <c r="N25" s="423"/>
      <c r="O25" s="423">
        <f>AVERAGE(AG25:AJ25)</f>
        <v>3797.05</v>
      </c>
      <c r="P25" s="420">
        <v>3249.3</v>
      </c>
      <c r="Q25" s="420">
        <v>3271.8</v>
      </c>
      <c r="R25" s="420">
        <v>3325</v>
      </c>
      <c r="S25" s="420">
        <v>3745.2</v>
      </c>
      <c r="T25" s="420">
        <v>3960</v>
      </c>
      <c r="U25" s="420">
        <v>3948.5</v>
      </c>
      <c r="V25" s="420">
        <v>3935.7</v>
      </c>
      <c r="W25" s="420">
        <v>3898.8</v>
      </c>
      <c r="X25" s="420">
        <v>3890.1</v>
      </c>
      <c r="Y25" s="420">
        <v>3890.1</v>
      </c>
      <c r="Z25" s="420">
        <v>3914.9</v>
      </c>
      <c r="AA25" s="420">
        <v>3928.2</v>
      </c>
      <c r="AB25" s="420">
        <v>3928.2</v>
      </c>
      <c r="AC25" s="420">
        <v>3928.2</v>
      </c>
      <c r="AD25" s="420">
        <v>3911.8</v>
      </c>
      <c r="AE25" s="420">
        <v>3869.4</v>
      </c>
      <c r="AF25" s="420">
        <v>3842.7</v>
      </c>
      <c r="AG25" s="420">
        <v>3803.9</v>
      </c>
      <c r="AH25" s="420">
        <v>3800.7</v>
      </c>
      <c r="AI25" s="420">
        <v>3800</v>
      </c>
      <c r="AJ25" s="420">
        <v>3783.6</v>
      </c>
      <c r="AK25" s="420">
        <v>3784</v>
      </c>
      <c r="AL25" s="420">
        <v>3782.9</v>
      </c>
      <c r="AM25" s="420">
        <v>3779</v>
      </c>
      <c r="AN25" s="420">
        <v>3779</v>
      </c>
      <c r="AO25" s="420">
        <v>3790.8</v>
      </c>
      <c r="AP25" s="420">
        <v>3807.3</v>
      </c>
      <c r="AQ25" s="420">
        <v>3807.3</v>
      </c>
      <c r="AR25" s="420">
        <v>3807.3</v>
      </c>
      <c r="AS25" s="420">
        <v>3810.2</v>
      </c>
      <c r="AT25" s="420">
        <v>3814.5</v>
      </c>
      <c r="AU25" s="420">
        <v>3814.5</v>
      </c>
      <c r="AV25" s="420">
        <v>3808.6</v>
      </c>
      <c r="AW25" s="420">
        <v>3805.3</v>
      </c>
      <c r="AX25" s="420">
        <v>3805.3</v>
      </c>
      <c r="AY25" s="420">
        <v>3809.7</v>
      </c>
      <c r="AZ25" s="420">
        <v>3810.6</v>
      </c>
    </row>
    <row r="26" spans="2:52">
      <c r="B26" s="422" t="s">
        <v>693</v>
      </c>
      <c r="C26" s="420">
        <v>3249.3</v>
      </c>
      <c r="D26" s="423">
        <f>S26</f>
        <v>3956.8</v>
      </c>
      <c r="E26" s="423">
        <f>W26</f>
        <v>3890.1</v>
      </c>
      <c r="F26" s="423">
        <f>AA26</f>
        <v>3928.2</v>
      </c>
      <c r="G26" s="423">
        <f>AE26</f>
        <v>3872.4</v>
      </c>
      <c r="H26" s="423">
        <f>AI26</f>
        <v>3800</v>
      </c>
      <c r="I26" s="423">
        <f>AM26</f>
        <v>3779</v>
      </c>
      <c r="J26" s="423">
        <f>AQ26</f>
        <v>3807.3</v>
      </c>
      <c r="K26" s="423">
        <f>AU26</f>
        <v>3809</v>
      </c>
      <c r="L26" s="423">
        <f>AVERAGE(AV26:AY26)</f>
        <v>3806.6250000000005</v>
      </c>
      <c r="M26" s="423">
        <f>AVERAGE(AW26:AZ26)</f>
        <v>3807.9500000000003</v>
      </c>
      <c r="N26" s="423"/>
      <c r="O26" s="423">
        <f>AVERAGE(AG26:AJ26)</f>
        <v>3794.75</v>
      </c>
      <c r="P26" s="420">
        <v>3249.3</v>
      </c>
      <c r="Q26" s="420">
        <v>3289.5</v>
      </c>
      <c r="R26" s="420">
        <v>3327</v>
      </c>
      <c r="S26" s="420">
        <v>3956.8</v>
      </c>
      <c r="T26" s="420">
        <v>3964.3</v>
      </c>
      <c r="U26" s="420">
        <v>3938.3</v>
      </c>
      <c r="V26" s="420">
        <v>3925.3</v>
      </c>
      <c r="W26" s="420">
        <v>3890.1</v>
      </c>
      <c r="X26" s="420">
        <v>3890.1</v>
      </c>
      <c r="Y26" s="420">
        <v>3890.1</v>
      </c>
      <c r="Z26" s="420">
        <v>3928.2</v>
      </c>
      <c r="AA26" s="420">
        <v>3928.2</v>
      </c>
      <c r="AB26" s="420">
        <v>3928.2</v>
      </c>
      <c r="AC26" s="420">
        <v>3928.2</v>
      </c>
      <c r="AD26" s="420">
        <v>3874.5</v>
      </c>
      <c r="AE26" s="420">
        <v>3872.4</v>
      </c>
      <c r="AF26" s="420">
        <v>3818.1</v>
      </c>
      <c r="AG26" s="420">
        <v>3800</v>
      </c>
      <c r="AH26" s="420">
        <v>3800</v>
      </c>
      <c r="AI26" s="420">
        <v>3800</v>
      </c>
      <c r="AJ26" s="420">
        <v>3779</v>
      </c>
      <c r="AK26" s="420">
        <v>3801.4</v>
      </c>
      <c r="AL26" s="420">
        <v>3779</v>
      </c>
      <c r="AM26" s="420">
        <v>3779</v>
      </c>
      <c r="AN26" s="420">
        <v>3779</v>
      </c>
      <c r="AO26" s="420">
        <v>3807.3</v>
      </c>
      <c r="AP26" s="420">
        <v>3807.3</v>
      </c>
      <c r="AQ26" s="420">
        <v>3807.3</v>
      </c>
      <c r="AR26" s="420">
        <v>3807.3</v>
      </c>
      <c r="AS26" s="420">
        <v>3814.4</v>
      </c>
      <c r="AT26" s="420">
        <v>3814.5</v>
      </c>
      <c r="AU26" s="420">
        <v>3809</v>
      </c>
      <c r="AV26" s="420">
        <v>3805.3</v>
      </c>
      <c r="AW26" s="420">
        <v>3805.3</v>
      </c>
      <c r="AX26" s="420">
        <v>3805.3</v>
      </c>
      <c r="AY26" s="420">
        <v>3810.6</v>
      </c>
      <c r="AZ26" s="420">
        <v>3810.6</v>
      </c>
    </row>
    <row r="28" spans="2:52">
      <c r="B28" s="750" t="s">
        <v>694</v>
      </c>
      <c r="C28" s="751"/>
      <c r="D28" s="751"/>
      <c r="E28" s="751"/>
      <c r="F28" s="751"/>
      <c r="G28" s="751"/>
      <c r="H28" s="751"/>
      <c r="I28" s="751"/>
      <c r="J28" s="751"/>
      <c r="K28" s="751"/>
      <c r="L28" s="751"/>
      <c r="M28" s="751"/>
      <c r="O28" s="751"/>
      <c r="P28" s="751"/>
      <c r="Q28" s="751"/>
      <c r="R28" s="751"/>
      <c r="S28" s="751"/>
      <c r="T28" s="751"/>
      <c r="U28" s="751"/>
      <c r="V28" s="751"/>
      <c r="W28" s="751"/>
      <c r="X28" s="751"/>
      <c r="Y28" s="751"/>
      <c r="Z28" s="751"/>
      <c r="AA28" s="751"/>
      <c r="AB28" s="751"/>
      <c r="AC28" s="751"/>
      <c r="AD28" s="751"/>
      <c r="AE28" s="751"/>
      <c r="AF28" s="751"/>
      <c r="AG28" s="751"/>
      <c r="AH28" s="751"/>
      <c r="AI28" s="751"/>
      <c r="AJ28" s="751"/>
      <c r="AK28" s="751"/>
      <c r="AL28" s="751"/>
      <c r="AM28" s="751"/>
      <c r="AN28" s="751"/>
      <c r="AO28" s="751"/>
      <c r="AP28" s="751"/>
      <c r="AQ28" s="751"/>
      <c r="AR28" s="751"/>
      <c r="AS28" s="751"/>
      <c r="AT28" s="751"/>
      <c r="AU28" s="751"/>
      <c r="AV28" s="751"/>
      <c r="AW28" s="751"/>
      <c r="AX28" s="751"/>
      <c r="AY28" s="751"/>
      <c r="AZ28" s="751"/>
    </row>
    <row r="29" spans="2:52">
      <c r="B29" s="424"/>
    </row>
    <row r="30" spans="2:52" ht="15">
      <c r="B30" s="422" t="s">
        <v>695</v>
      </c>
      <c r="C30" s="487">
        <v>7369.9</v>
      </c>
      <c r="D30" s="423">
        <f t="shared" ref="D30:D35" si="18">S30</f>
        <v>8447.7999999999993</v>
      </c>
      <c r="E30" s="423">
        <f t="shared" ref="E30:E35" si="19">W30</f>
        <v>8614.7000000000007</v>
      </c>
      <c r="F30" s="423">
        <f t="shared" ref="F30:F35" si="20">AA30</f>
        <v>10130.4</v>
      </c>
      <c r="G30" s="423">
        <f t="shared" ref="G30:G35" si="21">AE30</f>
        <v>10721</v>
      </c>
      <c r="H30" s="423">
        <f t="shared" ref="H30:H35" si="22">AI30</f>
        <v>10881.05</v>
      </c>
      <c r="I30" s="423">
        <f t="shared" ref="I30:I35" si="23">AM30</f>
        <v>10987.3</v>
      </c>
      <c r="J30" s="423">
        <f t="shared" ref="J30:J35" si="24">AQ30</f>
        <v>11063.6</v>
      </c>
      <c r="K30" s="423">
        <f>AU30</f>
        <v>11136.5</v>
      </c>
      <c r="L30" s="423">
        <f t="shared" ref="L30:L35" si="25">AY30</f>
        <v>12558.5493345</v>
      </c>
      <c r="M30" s="423">
        <f>AZ30</f>
        <v>12353.911808299999</v>
      </c>
      <c r="N30" s="423"/>
      <c r="O30" s="423">
        <f t="shared" ref="O30:O35" si="26">AJ30</f>
        <v>10919.256613055717</v>
      </c>
      <c r="P30" s="487">
        <v>7611.8</v>
      </c>
      <c r="Q30" s="487">
        <v>7665.3</v>
      </c>
      <c r="R30" s="487">
        <v>7734.6</v>
      </c>
      <c r="S30" s="487">
        <v>8447.7999999999993</v>
      </c>
      <c r="T30" s="487">
        <v>8270.9</v>
      </c>
      <c r="U30" s="487">
        <v>8418.7999999999993</v>
      </c>
      <c r="V30" s="487">
        <v>8454.2999999999993</v>
      </c>
      <c r="W30" s="487">
        <v>8614.7000000000007</v>
      </c>
      <c r="X30" s="487">
        <v>8681.1</v>
      </c>
      <c r="Y30" s="487">
        <v>8730</v>
      </c>
      <c r="Z30" s="487">
        <v>8744.6</v>
      </c>
      <c r="AA30" s="487">
        <v>10130.4</v>
      </c>
      <c r="AB30" s="487">
        <v>10242.9</v>
      </c>
      <c r="AC30" s="487">
        <v>10354.4</v>
      </c>
      <c r="AD30" s="487">
        <v>10512</v>
      </c>
      <c r="AE30" s="487">
        <v>10721</v>
      </c>
      <c r="AF30" s="487">
        <v>10804</v>
      </c>
      <c r="AG30" s="487">
        <v>10793.6</v>
      </c>
      <c r="AH30" s="487">
        <v>10802.7</v>
      </c>
      <c r="AI30" s="487">
        <v>10881.05</v>
      </c>
      <c r="AJ30" s="487">
        <f>117533.9/10.76391041671</f>
        <v>10919.256613055717</v>
      </c>
      <c r="AK30" s="487">
        <f>118824.7/10.76391041671</f>
        <v>11039.175857087714</v>
      </c>
      <c r="AL30" s="487">
        <v>11211.4</v>
      </c>
      <c r="AM30" s="487">
        <v>10987.3</v>
      </c>
      <c r="AN30" s="487">
        <v>10989.3</v>
      </c>
      <c r="AO30" s="487">
        <v>11024.2</v>
      </c>
      <c r="AP30" s="487">
        <v>11033.713</v>
      </c>
      <c r="AQ30" s="487">
        <v>11063.6</v>
      </c>
      <c r="AR30" s="487">
        <v>11067.66</v>
      </c>
      <c r="AS30" s="487">
        <v>11075.6</v>
      </c>
      <c r="AT30" s="487">
        <v>11093.941999999999</v>
      </c>
      <c r="AU30" s="487">
        <v>11136.5</v>
      </c>
      <c r="AV30" s="487">
        <v>11148.59</v>
      </c>
      <c r="AW30" s="487">
        <v>120058.1</v>
      </c>
      <c r="AX30" s="487">
        <v>11156.373041999999</v>
      </c>
      <c r="AY30" s="487">
        <v>12558.5493345</v>
      </c>
      <c r="AZ30" s="487">
        <v>12353.911808299999</v>
      </c>
    </row>
    <row r="31" spans="2:52">
      <c r="B31" s="422" t="s">
        <v>696</v>
      </c>
      <c r="C31" s="420">
        <v>519</v>
      </c>
      <c r="D31" s="423">
        <f t="shared" si="18"/>
        <v>552</v>
      </c>
      <c r="E31" s="423">
        <f t="shared" si="19"/>
        <v>559</v>
      </c>
      <c r="F31" s="423">
        <f t="shared" si="20"/>
        <v>641</v>
      </c>
      <c r="G31" s="423">
        <f t="shared" si="21"/>
        <v>646</v>
      </c>
      <c r="H31" s="423">
        <f t="shared" si="22"/>
        <v>661</v>
      </c>
      <c r="I31" s="423">
        <f t="shared" si="23"/>
        <v>623</v>
      </c>
      <c r="J31" s="423">
        <f t="shared" si="24"/>
        <v>613</v>
      </c>
      <c r="K31" s="423">
        <f t="shared" ref="K31:K35" si="27">AU31</f>
        <v>613</v>
      </c>
      <c r="L31" s="423">
        <f t="shared" si="25"/>
        <v>630</v>
      </c>
      <c r="M31" s="423">
        <f>AZ31</f>
        <v>617</v>
      </c>
      <c r="N31" s="423"/>
      <c r="O31" s="423">
        <f t="shared" si="26"/>
        <v>662</v>
      </c>
      <c r="P31" s="420">
        <v>520</v>
      </c>
      <c r="Q31" s="420">
        <v>521</v>
      </c>
      <c r="R31" s="420">
        <v>521</v>
      </c>
      <c r="S31" s="420">
        <v>552</v>
      </c>
      <c r="T31" s="420">
        <v>552</v>
      </c>
      <c r="U31" s="420">
        <v>557</v>
      </c>
      <c r="V31" s="420">
        <v>557</v>
      </c>
      <c r="W31" s="420">
        <v>559</v>
      </c>
      <c r="X31" s="420">
        <v>559</v>
      </c>
      <c r="Y31" s="420">
        <v>560</v>
      </c>
      <c r="Z31" s="420">
        <v>560</v>
      </c>
      <c r="AA31" s="420">
        <v>641</v>
      </c>
      <c r="AB31" s="420">
        <v>643</v>
      </c>
      <c r="AC31" s="420">
        <v>647</v>
      </c>
      <c r="AD31" s="420">
        <v>647</v>
      </c>
      <c r="AE31" s="420">
        <v>646</v>
      </c>
      <c r="AF31" s="420">
        <v>661</v>
      </c>
      <c r="AG31" s="420">
        <v>661</v>
      </c>
      <c r="AH31" s="420">
        <v>662</v>
      </c>
      <c r="AI31" s="420">
        <v>661</v>
      </c>
      <c r="AJ31" s="420">
        <v>662</v>
      </c>
      <c r="AK31" s="420">
        <v>659</v>
      </c>
      <c r="AL31" s="420">
        <v>638</v>
      </c>
      <c r="AM31" s="420">
        <v>623</v>
      </c>
      <c r="AN31" s="420">
        <v>612</v>
      </c>
      <c r="AO31" s="420">
        <v>613</v>
      </c>
      <c r="AP31" s="420">
        <v>613</v>
      </c>
      <c r="AQ31" s="420">
        <v>613</v>
      </c>
      <c r="AR31" s="420">
        <v>613</v>
      </c>
      <c r="AS31" s="420">
        <v>613</v>
      </c>
      <c r="AT31" s="420">
        <v>613</v>
      </c>
      <c r="AU31" s="420">
        <v>613</v>
      </c>
      <c r="AV31" s="420">
        <v>614</v>
      </c>
      <c r="AW31" s="420">
        <v>614</v>
      </c>
      <c r="AX31" s="420">
        <v>615</v>
      </c>
      <c r="AY31" s="420">
        <v>630</v>
      </c>
      <c r="AZ31" s="420">
        <v>617</v>
      </c>
    </row>
    <row r="32" spans="2:52">
      <c r="B32" s="422" t="s">
        <v>697</v>
      </c>
      <c r="C32" s="420">
        <v>4.4000000000000004</v>
      </c>
      <c r="D32" s="423">
        <f t="shared" si="18"/>
        <v>4.5</v>
      </c>
      <c r="E32" s="423">
        <f t="shared" si="19"/>
        <v>4.3</v>
      </c>
      <c r="F32" s="423">
        <f t="shared" si="20"/>
        <v>4.2</v>
      </c>
      <c r="G32" s="423">
        <f t="shared" si="21"/>
        <v>4.3</v>
      </c>
      <c r="H32" s="423">
        <f t="shared" si="22"/>
        <v>4.3</v>
      </c>
      <c r="I32" s="423">
        <f t="shared" si="23"/>
        <v>4.3</v>
      </c>
      <c r="J32" s="423">
        <f t="shared" si="24"/>
        <v>4.0999999999999996</v>
      </c>
      <c r="K32" s="423">
        <f t="shared" si="27"/>
        <v>3.9</v>
      </c>
      <c r="L32" s="423">
        <f t="shared" si="25"/>
        <v>4</v>
      </c>
      <c r="M32" s="423">
        <f>AZ32</f>
        <v>3.8</v>
      </c>
      <c r="N32" s="423"/>
      <c r="O32" s="423">
        <f t="shared" si="26"/>
        <v>4.3</v>
      </c>
      <c r="P32" s="420">
        <v>4.3</v>
      </c>
      <c r="Q32" s="420">
        <v>4.4000000000000004</v>
      </c>
      <c r="R32" s="420">
        <v>4.5999999999999996</v>
      </c>
      <c r="S32" s="420">
        <v>4.5</v>
      </c>
      <c r="T32" s="420">
        <v>4.4000000000000004</v>
      </c>
      <c r="U32" s="420">
        <v>4.5</v>
      </c>
      <c r="V32" s="420">
        <v>4.5</v>
      </c>
      <c r="W32" s="420">
        <v>4.3</v>
      </c>
      <c r="X32" s="420">
        <v>4.3</v>
      </c>
      <c r="Y32" s="420">
        <v>4.2</v>
      </c>
      <c r="Z32" s="420">
        <v>4.2</v>
      </c>
      <c r="AA32" s="420">
        <v>4.2</v>
      </c>
      <c r="AB32" s="420">
        <v>4.2</v>
      </c>
      <c r="AC32" s="420">
        <v>4.2</v>
      </c>
      <c r="AD32" s="420">
        <v>4.0999999999999996</v>
      </c>
      <c r="AE32" s="420">
        <v>4.3</v>
      </c>
      <c r="AF32" s="420">
        <v>4.4000000000000004</v>
      </c>
      <c r="AG32" s="420">
        <v>4.3</v>
      </c>
      <c r="AH32" s="420">
        <v>4.4000000000000004</v>
      </c>
      <c r="AI32" s="420">
        <v>4.3</v>
      </c>
      <c r="AJ32" s="420">
        <v>4.3</v>
      </c>
      <c r="AK32" s="420">
        <v>4.4000000000000004</v>
      </c>
      <c r="AL32" s="420">
        <v>4.4000000000000004</v>
      </c>
      <c r="AM32" s="420">
        <v>4.3</v>
      </c>
      <c r="AN32" s="420">
        <v>4.2</v>
      </c>
      <c r="AO32" s="420">
        <v>4.2</v>
      </c>
      <c r="AP32" s="420">
        <v>4.0999999999999996</v>
      </c>
      <c r="AQ32" s="420">
        <v>4.0999999999999996</v>
      </c>
      <c r="AR32" s="420">
        <v>4.0999999999999996</v>
      </c>
      <c r="AS32" s="420">
        <v>4</v>
      </c>
      <c r="AT32" s="420">
        <v>3.9</v>
      </c>
      <c r="AU32" s="420">
        <v>3.9</v>
      </c>
      <c r="AV32" s="420">
        <v>3.9</v>
      </c>
      <c r="AW32" s="420">
        <v>3.9</v>
      </c>
      <c r="AX32" s="420">
        <v>3.9</v>
      </c>
      <c r="AY32" s="420">
        <v>4</v>
      </c>
      <c r="AZ32" s="420">
        <v>3.8</v>
      </c>
    </row>
    <row r="33" spans="2:52">
      <c r="B33" s="422" t="s">
        <v>698</v>
      </c>
      <c r="C33" s="419">
        <v>0.94399999999999995</v>
      </c>
      <c r="D33" s="562">
        <f t="shared" si="18"/>
        <v>0.94299999999999995</v>
      </c>
      <c r="E33" s="562">
        <f t="shared" si="19"/>
        <v>0.95299999999999996</v>
      </c>
      <c r="F33" s="562">
        <f t="shared" si="20"/>
        <v>0.94499999999999995</v>
      </c>
      <c r="G33" s="562">
        <f t="shared" si="21"/>
        <v>0.93100000000000005</v>
      </c>
      <c r="H33" s="562">
        <f t="shared" si="22"/>
        <v>0.92200000000000004</v>
      </c>
      <c r="I33" s="562">
        <f t="shared" si="23"/>
        <v>0.93700000000000006</v>
      </c>
      <c r="J33" s="562">
        <f t="shared" si="24"/>
        <v>0.95</v>
      </c>
      <c r="K33" s="562">
        <f t="shared" si="27"/>
        <v>0.95599999999999996</v>
      </c>
      <c r="L33" s="562">
        <f t="shared" si="25"/>
        <v>0.95499999999999996</v>
      </c>
      <c r="M33" s="562">
        <f>AZ33</f>
        <v>0.95699999999999996</v>
      </c>
      <c r="N33" s="738"/>
      <c r="O33" s="562">
        <f t="shared" si="26"/>
        <v>0.92600000000000005</v>
      </c>
      <c r="P33" s="419">
        <v>0.93400000000000005</v>
      </c>
      <c r="Q33" s="419">
        <v>0.93700000000000006</v>
      </c>
      <c r="R33" s="419">
        <v>0.93600000000000005</v>
      </c>
      <c r="S33" s="419">
        <v>0.94299999999999995</v>
      </c>
      <c r="T33" s="419">
        <v>0.94799999999999995</v>
      </c>
      <c r="U33" s="419">
        <v>0.94599999999999995</v>
      </c>
      <c r="V33" s="419">
        <v>0.95399999999999996</v>
      </c>
      <c r="W33" s="419">
        <v>0.95299999999999996</v>
      </c>
      <c r="X33" s="419">
        <v>0.95399999999999996</v>
      </c>
      <c r="Y33" s="419">
        <v>0.95199999999999996</v>
      </c>
      <c r="Z33" s="419">
        <v>0.94299999999999995</v>
      </c>
      <c r="AA33" s="419">
        <v>0.94499999999999995</v>
      </c>
      <c r="AB33" s="419">
        <v>0.94499999999999995</v>
      </c>
      <c r="AC33" s="419">
        <v>0.93799999999999994</v>
      </c>
      <c r="AD33" s="419">
        <v>0.93300000000000005</v>
      </c>
      <c r="AE33" s="419">
        <v>0.93100000000000005</v>
      </c>
      <c r="AF33" s="419">
        <v>0.92500000000000004</v>
      </c>
      <c r="AG33" s="419">
        <v>0.91800000000000004</v>
      </c>
      <c r="AH33" s="419">
        <v>0.92</v>
      </c>
      <c r="AI33" s="419">
        <v>0.92200000000000004</v>
      </c>
      <c r="AJ33" s="419">
        <v>0.92600000000000005</v>
      </c>
      <c r="AK33" s="419">
        <v>0.93200000000000005</v>
      </c>
      <c r="AL33" s="419">
        <v>0.93200000000000005</v>
      </c>
      <c r="AM33" s="419">
        <v>0.93700000000000006</v>
      </c>
      <c r="AN33" s="419">
        <v>0.93799999999999994</v>
      </c>
      <c r="AO33" s="419">
        <v>0.93799999999999994</v>
      </c>
      <c r="AP33" s="419">
        <v>0.94</v>
      </c>
      <c r="AQ33" s="419">
        <v>0.95</v>
      </c>
      <c r="AR33" s="419">
        <v>0.95</v>
      </c>
      <c r="AS33" s="419">
        <v>0.95199999999999996</v>
      </c>
      <c r="AT33" s="419">
        <v>0.95299999999999996</v>
      </c>
      <c r="AU33" s="419">
        <v>0.95599999999999996</v>
      </c>
      <c r="AV33" s="419">
        <v>0.95399999999999996</v>
      </c>
      <c r="AW33" s="419">
        <v>0.95</v>
      </c>
      <c r="AX33" s="419">
        <v>0.95</v>
      </c>
      <c r="AY33" s="419">
        <v>0.95499999999999996</v>
      </c>
      <c r="AZ33" s="419">
        <v>0.95699999999999996</v>
      </c>
    </row>
    <row r="34" spans="2:52">
      <c r="B34" s="422" t="s">
        <v>699</v>
      </c>
      <c r="C34" s="420">
        <v>466.7</v>
      </c>
      <c r="D34" s="423">
        <f t="shared" si="18"/>
        <v>697.5</v>
      </c>
      <c r="E34" s="423">
        <f t="shared" si="19"/>
        <v>538.79999999999995</v>
      </c>
      <c r="F34" s="423">
        <f t="shared" si="20"/>
        <v>508.5</v>
      </c>
      <c r="G34" s="423">
        <f t="shared" si="21"/>
        <v>402.9</v>
      </c>
      <c r="H34" s="423">
        <f t="shared" si="22"/>
        <v>314.89999999999998</v>
      </c>
      <c r="I34" s="423">
        <f t="shared" si="23"/>
        <v>32.200000000000003</v>
      </c>
      <c r="J34" s="423">
        <f t="shared" si="24"/>
        <v>0</v>
      </c>
      <c r="K34" s="423">
        <f t="shared" si="27"/>
        <v>0</v>
      </c>
      <c r="L34" s="423">
        <f t="shared" si="25"/>
        <v>0</v>
      </c>
      <c r="M34" s="423">
        <f>AZ34</f>
        <v>0</v>
      </c>
      <c r="N34" s="423"/>
      <c r="O34" s="423">
        <f t="shared" si="26"/>
        <v>304.54545542399211</v>
      </c>
      <c r="P34" s="420">
        <v>466.7</v>
      </c>
      <c r="Q34" s="420">
        <v>452.9</v>
      </c>
      <c r="R34" s="420">
        <v>452.9</v>
      </c>
      <c r="S34" s="420">
        <v>697.5</v>
      </c>
      <c r="T34" s="420">
        <v>739.9</v>
      </c>
      <c r="U34" s="420">
        <v>739.9</v>
      </c>
      <c r="V34" s="420">
        <v>643.79999999999995</v>
      </c>
      <c r="W34" s="420">
        <v>538.79999999999995</v>
      </c>
      <c r="X34" s="420">
        <v>538.79999999999995</v>
      </c>
      <c r="Y34" s="420">
        <v>508.5</v>
      </c>
      <c r="Z34" s="420">
        <v>508.5</v>
      </c>
      <c r="AA34" s="420">
        <v>508.5</v>
      </c>
      <c r="AB34" s="420">
        <v>499.7</v>
      </c>
      <c r="AC34" s="420">
        <v>499.7</v>
      </c>
      <c r="AD34" s="420">
        <v>499.7</v>
      </c>
      <c r="AE34" s="420">
        <v>402.9</v>
      </c>
      <c r="AF34" s="420">
        <v>402.9</v>
      </c>
      <c r="AG34" s="420">
        <v>402.9</v>
      </c>
      <c r="AH34" s="420">
        <v>402.9</v>
      </c>
      <c r="AI34" s="420">
        <v>314.89999999999998</v>
      </c>
      <c r="AJ34" s="420">
        <f>3278.1/10.76391041671</f>
        <v>304.54545542399211</v>
      </c>
      <c r="AK34" s="420">
        <f>1443.7/10.76391041671</f>
        <v>134.12411884799653</v>
      </c>
      <c r="AL34" s="420">
        <v>134.1</v>
      </c>
      <c r="AM34" s="420">
        <v>32.200000000000003</v>
      </c>
      <c r="AN34" s="420">
        <v>32.200000000000003</v>
      </c>
      <c r="AO34" s="420">
        <v>0</v>
      </c>
      <c r="AP34" s="420">
        <v>0</v>
      </c>
      <c r="AQ34" s="420">
        <v>0</v>
      </c>
      <c r="AR34" s="420">
        <v>0</v>
      </c>
      <c r="AS34" s="420">
        <v>0</v>
      </c>
      <c r="AT34" s="420">
        <v>0</v>
      </c>
      <c r="AU34" s="420">
        <v>0</v>
      </c>
      <c r="AV34" s="420">
        <v>0</v>
      </c>
      <c r="AW34" s="420">
        <v>0</v>
      </c>
      <c r="AX34" s="420">
        <v>0</v>
      </c>
      <c r="AY34" s="420">
        <v>0</v>
      </c>
      <c r="AZ34" s="420">
        <v>0</v>
      </c>
    </row>
    <row r="35" spans="2:52">
      <c r="B35" s="422" t="s">
        <v>700</v>
      </c>
      <c r="C35" s="420">
        <v>326.10000000000002</v>
      </c>
      <c r="D35" s="423">
        <f t="shared" si="18"/>
        <v>263.39999999999998</v>
      </c>
      <c r="E35" s="423">
        <f t="shared" si="19"/>
        <v>263.39999999999998</v>
      </c>
      <c r="F35" s="423">
        <f t="shared" si="20"/>
        <v>201.1</v>
      </c>
      <c r="G35" s="423">
        <f t="shared" si="21"/>
        <v>191.1</v>
      </c>
      <c r="H35" s="423">
        <f t="shared" si="22"/>
        <v>191.1</v>
      </c>
      <c r="I35" s="423">
        <f t="shared" si="23"/>
        <v>66.599999999999994</v>
      </c>
      <c r="J35" s="423">
        <f t="shared" si="24"/>
        <v>66.599999999999994</v>
      </c>
      <c r="K35" s="423">
        <f t="shared" si="27"/>
        <v>0</v>
      </c>
      <c r="L35" s="423">
        <f t="shared" si="25"/>
        <v>0</v>
      </c>
      <c r="M35" s="423">
        <f>AZ35</f>
        <v>0</v>
      </c>
      <c r="N35" s="423"/>
      <c r="O35" s="423">
        <f t="shared" si="26"/>
        <v>191.10155327999504</v>
      </c>
      <c r="P35" s="420">
        <v>326.10000000000002</v>
      </c>
      <c r="Q35" s="420">
        <v>326.10000000000002</v>
      </c>
      <c r="R35" s="420">
        <v>326.10000000000002</v>
      </c>
      <c r="S35" s="420">
        <v>263.39999999999998</v>
      </c>
      <c r="T35" s="420">
        <v>263.39999999999998</v>
      </c>
      <c r="U35" s="420">
        <v>263.39999999999998</v>
      </c>
      <c r="V35" s="420">
        <v>263.39999999999998</v>
      </c>
      <c r="W35" s="420">
        <v>263.39999999999998</v>
      </c>
      <c r="X35" s="420">
        <v>263.39999999999998</v>
      </c>
      <c r="Y35" s="420">
        <v>263.39999999999998</v>
      </c>
      <c r="Z35" s="420">
        <v>263.39999999999998</v>
      </c>
      <c r="AA35" s="420">
        <v>201.1</v>
      </c>
      <c r="AB35" s="420">
        <v>201.1</v>
      </c>
      <c r="AC35" s="420">
        <v>191.1</v>
      </c>
      <c r="AD35" s="420">
        <v>191.1</v>
      </c>
      <c r="AE35" s="420">
        <v>191.1</v>
      </c>
      <c r="AF35" s="420">
        <v>191.1</v>
      </c>
      <c r="AG35" s="420">
        <v>191.1</v>
      </c>
      <c r="AH35" s="420">
        <v>191.1</v>
      </c>
      <c r="AI35" s="420">
        <v>191.1</v>
      </c>
      <c r="AJ35" s="420">
        <f>2057/10.76391041671</f>
        <v>191.10155327999504</v>
      </c>
      <c r="AK35" s="420">
        <f>2057/10.76391041671</f>
        <v>191.10155327999504</v>
      </c>
      <c r="AL35" s="420">
        <v>87.1</v>
      </c>
      <c r="AM35" s="420">
        <v>66.599999999999994</v>
      </c>
      <c r="AN35" s="420">
        <v>66.599999999999994</v>
      </c>
      <c r="AO35" s="420">
        <v>66.599999999999994</v>
      </c>
      <c r="AP35" s="420">
        <v>66.599999999999994</v>
      </c>
      <c r="AQ35" s="420">
        <v>66.599999999999994</v>
      </c>
      <c r="AR35" s="420">
        <v>66.56</v>
      </c>
      <c r="AS35" s="420">
        <v>66.599999999999994</v>
      </c>
      <c r="AT35" s="420">
        <v>66.599999999999994</v>
      </c>
      <c r="AU35" s="420">
        <v>0</v>
      </c>
      <c r="AV35" s="420">
        <v>0</v>
      </c>
      <c r="AW35" s="420">
        <v>0</v>
      </c>
      <c r="AX35" s="420">
        <v>0</v>
      </c>
      <c r="AY35" s="420">
        <v>0</v>
      </c>
      <c r="AZ35" s="420">
        <v>0</v>
      </c>
    </row>
    <row r="37" spans="2:52">
      <c r="B37" s="750" t="s">
        <v>701</v>
      </c>
      <c r="C37" s="751"/>
      <c r="D37" s="751"/>
      <c r="E37" s="751"/>
      <c r="F37" s="751"/>
      <c r="G37" s="751"/>
      <c r="H37" s="751"/>
      <c r="I37" s="751"/>
      <c r="J37" s="751"/>
      <c r="K37" s="751"/>
      <c r="L37" s="751"/>
      <c r="M37" s="751"/>
      <c r="O37" s="751"/>
      <c r="P37" s="751"/>
      <c r="Q37" s="751"/>
      <c r="R37" s="751"/>
      <c r="S37" s="751"/>
      <c r="T37" s="751"/>
      <c r="U37" s="751"/>
      <c r="V37" s="751"/>
      <c r="W37" s="751"/>
      <c r="X37" s="751"/>
      <c r="Y37" s="751"/>
      <c r="Z37" s="751"/>
      <c r="AA37" s="751"/>
      <c r="AB37" s="751"/>
      <c r="AC37" s="751"/>
      <c r="AD37" s="751"/>
      <c r="AE37" s="751"/>
      <c r="AF37" s="751"/>
      <c r="AG37" s="751"/>
      <c r="AH37" s="751"/>
      <c r="AI37" s="751"/>
      <c r="AJ37" s="751"/>
      <c r="AK37" s="751"/>
      <c r="AL37" s="751"/>
      <c r="AM37" s="751"/>
      <c r="AN37" s="751"/>
      <c r="AO37" s="751"/>
      <c r="AP37" s="751"/>
      <c r="AQ37" s="751"/>
      <c r="AR37" s="751"/>
      <c r="AS37" s="751"/>
      <c r="AT37" s="751"/>
      <c r="AU37" s="751"/>
      <c r="AV37" s="751"/>
      <c r="AW37" s="751"/>
      <c r="AX37" s="751"/>
      <c r="AY37" s="751"/>
      <c r="AZ37" s="751"/>
    </row>
    <row r="39" spans="2:52">
      <c r="B39" s="424" t="s">
        <v>702</v>
      </c>
    </row>
    <row r="40" spans="2:52" ht="15">
      <c r="B40" s="422" t="s">
        <v>695</v>
      </c>
      <c r="C40" s="487">
        <v>2954.3</v>
      </c>
      <c r="D40" s="423">
        <f>S40</f>
        <v>3321.8</v>
      </c>
      <c r="E40" s="423">
        <f>W40</f>
        <v>3294.7</v>
      </c>
      <c r="F40" s="423">
        <f>AA40</f>
        <v>2751.3</v>
      </c>
      <c r="G40" s="423">
        <f>AE40</f>
        <v>2853</v>
      </c>
      <c r="H40" s="423">
        <f>AI40</f>
        <v>2861.8452000000002</v>
      </c>
      <c r="I40" s="423">
        <f>AM40</f>
        <v>2998.4</v>
      </c>
      <c r="J40" s="423">
        <f>AQ40</f>
        <v>3019.4</v>
      </c>
      <c r="K40" s="423">
        <f>AU40</f>
        <v>3041.7</v>
      </c>
      <c r="L40" s="423">
        <f>AY40</f>
        <v>2984.2593218000002</v>
      </c>
      <c r="M40" s="423">
        <f>AZ40</f>
        <v>2904.7529002000001</v>
      </c>
      <c r="N40" s="423"/>
      <c r="O40" s="423">
        <f t="shared" ref="O40:O43" si="28">AJ40</f>
        <v>2867.1922010879257</v>
      </c>
      <c r="P40" s="487">
        <v>2962.2</v>
      </c>
      <c r="Q40" s="487">
        <v>2970.5</v>
      </c>
      <c r="R40" s="487">
        <v>2975</v>
      </c>
      <c r="S40" s="487">
        <v>3321.8</v>
      </c>
      <c r="T40" s="487">
        <v>3147.5</v>
      </c>
      <c r="U40" s="487">
        <v>3200.2</v>
      </c>
      <c r="V40" s="487">
        <v>3205.6</v>
      </c>
      <c r="W40" s="487">
        <v>3294.7</v>
      </c>
      <c r="X40" s="487">
        <v>3361.1</v>
      </c>
      <c r="Y40" s="487">
        <v>3398.6</v>
      </c>
      <c r="Z40" s="487">
        <v>3402.5</v>
      </c>
      <c r="AA40" s="487">
        <v>2751.3</v>
      </c>
      <c r="AB40" s="487">
        <v>2790.7</v>
      </c>
      <c r="AC40" s="487">
        <v>2792.8</v>
      </c>
      <c r="AD40" s="487">
        <v>2786.6</v>
      </c>
      <c r="AE40" s="487">
        <v>2853</v>
      </c>
      <c r="AF40" s="487">
        <v>2860.2</v>
      </c>
      <c r="AG40" s="487">
        <v>2852.7</v>
      </c>
      <c r="AH40" s="487">
        <v>2865.3</v>
      </c>
      <c r="AI40" s="487">
        <v>2861.8452000000002</v>
      </c>
      <c r="AJ40" s="420">
        <f>30862.2/10.76391041671</f>
        <v>2867.1922010879257</v>
      </c>
      <c r="AK40" s="420">
        <f>30911.1/10.76391041671</f>
        <v>2871.7351597439256</v>
      </c>
      <c r="AL40" s="420">
        <v>2979.8</v>
      </c>
      <c r="AM40" s="487">
        <v>2998.4</v>
      </c>
      <c r="AN40" s="420">
        <v>2998</v>
      </c>
      <c r="AO40" s="420">
        <v>3020.4</v>
      </c>
      <c r="AP40" s="420">
        <v>3018.3829999999998</v>
      </c>
      <c r="AQ40" s="487">
        <v>3019.4</v>
      </c>
      <c r="AR40" s="420">
        <v>3024.6</v>
      </c>
      <c r="AS40" s="420">
        <v>3033.7</v>
      </c>
      <c r="AT40" s="420">
        <v>3035.56</v>
      </c>
      <c r="AU40" s="487">
        <v>3041.7</v>
      </c>
      <c r="AV40" s="420">
        <v>3039.09</v>
      </c>
      <c r="AW40" s="420">
        <v>3040.6</v>
      </c>
      <c r="AX40" s="420">
        <v>3042.5838503</v>
      </c>
      <c r="AY40" s="487">
        <v>2984.2593218000002</v>
      </c>
      <c r="AZ40" s="420">
        <v>2904.7529002000001</v>
      </c>
    </row>
    <row r="41" spans="2:52">
      <c r="B41" s="422" t="s">
        <v>696</v>
      </c>
      <c r="C41" s="420">
        <v>325</v>
      </c>
      <c r="D41" s="423">
        <f>S41</f>
        <v>344</v>
      </c>
      <c r="E41" s="423">
        <f>W41</f>
        <v>346</v>
      </c>
      <c r="F41" s="423">
        <f>AA41</f>
        <v>146</v>
      </c>
      <c r="G41" s="423">
        <f>AE41</f>
        <v>148</v>
      </c>
      <c r="H41" s="423">
        <f>AI41</f>
        <v>149</v>
      </c>
      <c r="I41" s="423">
        <f>AM41</f>
        <v>146</v>
      </c>
      <c r="J41" s="423">
        <f>AQ41</f>
        <v>147</v>
      </c>
      <c r="K41" s="423">
        <f t="shared" ref="K41:K43" si="29">AU41</f>
        <v>147</v>
      </c>
      <c r="L41" s="423">
        <f>AY41</f>
        <v>143</v>
      </c>
      <c r="M41" s="423">
        <f>AZ41</f>
        <v>141</v>
      </c>
      <c r="N41" s="423"/>
      <c r="O41" s="423">
        <f t="shared" si="28"/>
        <v>149</v>
      </c>
      <c r="P41" s="420">
        <v>325</v>
      </c>
      <c r="Q41" s="420">
        <v>325</v>
      </c>
      <c r="R41" s="420">
        <v>324</v>
      </c>
      <c r="S41" s="420">
        <v>344</v>
      </c>
      <c r="T41" s="420">
        <v>343</v>
      </c>
      <c r="U41" s="420">
        <v>345</v>
      </c>
      <c r="V41" s="420">
        <v>345</v>
      </c>
      <c r="W41" s="420">
        <v>346</v>
      </c>
      <c r="X41" s="420">
        <v>347</v>
      </c>
      <c r="Y41" s="420">
        <v>348</v>
      </c>
      <c r="Z41" s="420">
        <v>348</v>
      </c>
      <c r="AA41" s="420">
        <v>146</v>
      </c>
      <c r="AB41" s="420">
        <v>147</v>
      </c>
      <c r="AC41" s="420">
        <v>147</v>
      </c>
      <c r="AD41" s="420">
        <v>147</v>
      </c>
      <c r="AE41" s="420">
        <v>148</v>
      </c>
      <c r="AF41" s="420">
        <v>148</v>
      </c>
      <c r="AG41" s="420">
        <v>148</v>
      </c>
      <c r="AH41" s="420">
        <v>149</v>
      </c>
      <c r="AI41" s="420">
        <v>149</v>
      </c>
      <c r="AJ41" s="420">
        <v>149</v>
      </c>
      <c r="AK41" s="420">
        <v>149</v>
      </c>
      <c r="AL41" s="420">
        <v>146</v>
      </c>
      <c r="AM41" s="420">
        <v>146</v>
      </c>
      <c r="AN41" s="420">
        <v>146</v>
      </c>
      <c r="AO41" s="420">
        <v>147</v>
      </c>
      <c r="AP41" s="420">
        <v>147</v>
      </c>
      <c r="AQ41" s="420">
        <v>147</v>
      </c>
      <c r="AR41" s="420">
        <v>147</v>
      </c>
      <c r="AS41" s="420">
        <v>147</v>
      </c>
      <c r="AT41" s="420">
        <v>147</v>
      </c>
      <c r="AU41" s="420">
        <v>147</v>
      </c>
      <c r="AV41" s="420">
        <v>147</v>
      </c>
      <c r="AW41" s="420">
        <v>147</v>
      </c>
      <c r="AX41" s="420">
        <v>147</v>
      </c>
      <c r="AY41" s="420">
        <v>143</v>
      </c>
      <c r="AZ41" s="420">
        <v>141</v>
      </c>
    </row>
    <row r="42" spans="2:52">
      <c r="B42" s="422" t="s">
        <v>697</v>
      </c>
      <c r="C42" s="420">
        <v>5.8</v>
      </c>
      <c r="D42" s="423">
        <f>S42</f>
        <v>6</v>
      </c>
      <c r="E42" s="423">
        <f>W42</f>
        <v>5.5</v>
      </c>
      <c r="F42" s="423">
        <f>AA42</f>
        <v>4.5</v>
      </c>
      <c r="G42" s="423">
        <f>AE42</f>
        <v>4.0999999999999996</v>
      </c>
      <c r="H42" s="423">
        <f>AI42</f>
        <v>4</v>
      </c>
      <c r="I42" s="423">
        <f>AM42</f>
        <v>4.2</v>
      </c>
      <c r="J42" s="423">
        <f>AQ42</f>
        <v>3.9</v>
      </c>
      <c r="K42" s="423">
        <f t="shared" si="29"/>
        <v>3.6</v>
      </c>
      <c r="L42" s="423">
        <f>AY42</f>
        <v>3.9</v>
      </c>
      <c r="M42" s="423">
        <f>AZ42</f>
        <v>3.9</v>
      </c>
      <c r="N42" s="423"/>
      <c r="O42" s="423">
        <f t="shared" si="28"/>
        <v>3.9</v>
      </c>
      <c r="P42" s="420">
        <v>5.8</v>
      </c>
      <c r="Q42" s="420">
        <v>5.6</v>
      </c>
      <c r="R42" s="420">
        <v>5.9</v>
      </c>
      <c r="S42" s="420">
        <v>6</v>
      </c>
      <c r="T42" s="420">
        <v>5.9</v>
      </c>
      <c r="U42" s="420">
        <v>5.8</v>
      </c>
      <c r="V42" s="420">
        <v>5.7</v>
      </c>
      <c r="W42" s="420">
        <v>5.5</v>
      </c>
      <c r="X42" s="420">
        <v>5.5</v>
      </c>
      <c r="Y42" s="420">
        <v>5.3</v>
      </c>
      <c r="Z42" s="420">
        <v>5.4</v>
      </c>
      <c r="AA42" s="420">
        <v>4.5</v>
      </c>
      <c r="AB42" s="420">
        <v>4.4000000000000004</v>
      </c>
      <c r="AC42" s="420">
        <v>4.3</v>
      </c>
      <c r="AD42" s="420">
        <v>4.2</v>
      </c>
      <c r="AE42" s="420">
        <v>4.0999999999999996</v>
      </c>
      <c r="AF42" s="420">
        <v>4.2</v>
      </c>
      <c r="AG42" s="420">
        <v>4</v>
      </c>
      <c r="AH42" s="420">
        <v>4</v>
      </c>
      <c r="AI42" s="420">
        <v>4</v>
      </c>
      <c r="AJ42" s="420">
        <v>3.9</v>
      </c>
      <c r="AK42" s="420">
        <v>4</v>
      </c>
      <c r="AL42" s="420">
        <v>4.4000000000000004</v>
      </c>
      <c r="AM42" s="420">
        <v>4.2</v>
      </c>
      <c r="AN42" s="420">
        <v>4.0999999999999996</v>
      </c>
      <c r="AO42" s="420">
        <v>4</v>
      </c>
      <c r="AP42" s="420">
        <v>3.9</v>
      </c>
      <c r="AQ42" s="420">
        <v>3.9</v>
      </c>
      <c r="AR42" s="420">
        <v>3.8</v>
      </c>
      <c r="AS42" s="420">
        <v>3.7</v>
      </c>
      <c r="AT42" s="420">
        <v>3.7</v>
      </c>
      <c r="AU42" s="420">
        <v>3.6</v>
      </c>
      <c r="AV42" s="420">
        <v>3.7</v>
      </c>
      <c r="AW42" s="420">
        <v>3.6</v>
      </c>
      <c r="AX42" s="420">
        <v>3.8</v>
      </c>
      <c r="AY42" s="420">
        <v>3.9</v>
      </c>
      <c r="AZ42" s="420">
        <v>3.9</v>
      </c>
    </row>
    <row r="43" spans="2:52">
      <c r="B43" s="422" t="s">
        <v>698</v>
      </c>
      <c r="C43" s="419">
        <v>0.93600000000000005</v>
      </c>
      <c r="D43" s="562">
        <f>S43</f>
        <v>0.94599999999999995</v>
      </c>
      <c r="E43" s="562">
        <f>W43</f>
        <v>0.94799999999999995</v>
      </c>
      <c r="F43" s="562">
        <f>AA43</f>
        <v>0.93300000000000005</v>
      </c>
      <c r="G43" s="562">
        <f>AE43</f>
        <v>0.90900000000000003</v>
      </c>
      <c r="H43" s="562">
        <f>AI43</f>
        <v>0.89400000000000002</v>
      </c>
      <c r="I43" s="562">
        <f>AM43</f>
        <v>0.9</v>
      </c>
      <c r="J43" s="562">
        <f>AQ43</f>
        <v>0.91800000000000004</v>
      </c>
      <c r="K43" s="562">
        <f t="shared" si="29"/>
        <v>0.93700000000000006</v>
      </c>
      <c r="L43" s="562">
        <f>AY43</f>
        <v>0.93700000000000006</v>
      </c>
      <c r="M43" s="562">
        <f>AZ43</f>
        <v>0.94099999999999995</v>
      </c>
      <c r="N43" s="738"/>
      <c r="O43" s="562">
        <f t="shared" si="28"/>
        <v>0.89500000000000002</v>
      </c>
      <c r="P43" s="419">
        <v>0.93400000000000005</v>
      </c>
      <c r="Q43" s="419">
        <v>0.93300000000000005</v>
      </c>
      <c r="R43" s="419">
        <v>0.93799999999999994</v>
      </c>
      <c r="S43" s="419">
        <v>0.94599999999999995</v>
      </c>
      <c r="T43" s="419">
        <v>0.94799999999999995</v>
      </c>
      <c r="U43" s="419">
        <v>0.94799999999999995</v>
      </c>
      <c r="V43" s="419">
        <v>0.94799999999999995</v>
      </c>
      <c r="W43" s="419">
        <v>0.94799999999999995</v>
      </c>
      <c r="X43" s="419">
        <v>0.94499999999999995</v>
      </c>
      <c r="Y43" s="419">
        <v>0.94399999999999995</v>
      </c>
      <c r="Z43" s="419">
        <v>0.94299999999999995</v>
      </c>
      <c r="AA43" s="419">
        <v>0.93300000000000005</v>
      </c>
      <c r="AB43" s="419">
        <v>0.93</v>
      </c>
      <c r="AC43" s="419">
        <v>0.92200000000000004</v>
      </c>
      <c r="AD43" s="419">
        <v>0.91600000000000004</v>
      </c>
      <c r="AE43" s="419">
        <v>0.90900000000000003</v>
      </c>
      <c r="AF43" s="419">
        <v>0.90200000000000002</v>
      </c>
      <c r="AG43" s="419">
        <v>0.89800000000000002</v>
      </c>
      <c r="AH43" s="419">
        <v>0.89600000000000002</v>
      </c>
      <c r="AI43" s="419">
        <v>0.89400000000000002</v>
      </c>
      <c r="AJ43" s="419">
        <v>0.89500000000000002</v>
      </c>
      <c r="AK43" s="419">
        <v>0.89400000000000002</v>
      </c>
      <c r="AL43" s="419">
        <v>0.89300000000000002</v>
      </c>
      <c r="AM43" s="419">
        <v>0.9</v>
      </c>
      <c r="AN43" s="419">
        <v>0.90300000000000002</v>
      </c>
      <c r="AO43" s="419">
        <v>0.90600000000000003</v>
      </c>
      <c r="AP43" s="419">
        <v>0.90700000000000003</v>
      </c>
      <c r="AQ43" s="419">
        <v>0.91800000000000004</v>
      </c>
      <c r="AR43" s="419">
        <v>0.92200000000000004</v>
      </c>
      <c r="AS43" s="419">
        <v>0.92600000000000005</v>
      </c>
      <c r="AT43" s="419">
        <v>0.92700000000000005</v>
      </c>
      <c r="AU43" s="419">
        <v>0.93700000000000006</v>
      </c>
      <c r="AV43" s="419">
        <v>0.93799999999999994</v>
      </c>
      <c r="AW43" s="419">
        <v>0.93700000000000006</v>
      </c>
      <c r="AX43" s="419">
        <v>0.93600000000000005</v>
      </c>
      <c r="AY43" s="419">
        <v>0.93700000000000006</v>
      </c>
      <c r="AZ43" s="419">
        <v>0.94099999999999995</v>
      </c>
    </row>
    <row r="45" spans="2:52">
      <c r="B45" s="424" t="s">
        <v>703</v>
      </c>
    </row>
    <row r="46" spans="2:52" ht="15">
      <c r="B46" s="422" t="s">
        <v>695</v>
      </c>
      <c r="C46" s="487">
        <v>3570.3</v>
      </c>
      <c r="D46" s="423">
        <f>S46</f>
        <v>4002.9</v>
      </c>
      <c r="E46" s="423">
        <f>W46</f>
        <v>4117.7</v>
      </c>
      <c r="F46" s="423">
        <f>AA46</f>
        <v>5423.8</v>
      </c>
      <c r="G46" s="423">
        <f>AE46</f>
        <v>5788.7</v>
      </c>
      <c r="H46" s="423">
        <f>AI46</f>
        <v>6029.8650299999999</v>
      </c>
      <c r="I46" s="423">
        <f>AM46</f>
        <v>6000.3</v>
      </c>
      <c r="J46" s="423">
        <f>AQ46</f>
        <v>6045.3</v>
      </c>
      <c r="K46" s="423">
        <f t="shared" ref="K46:K49" si="30">AU46</f>
        <v>6053</v>
      </c>
      <c r="L46" s="423">
        <f>AY46</f>
        <v>7542.9743334000004</v>
      </c>
      <c r="M46" s="423">
        <f>AZ46</f>
        <v>7605.6095629000001</v>
      </c>
      <c r="N46" s="423"/>
      <c r="O46" s="423">
        <f t="shared" ref="O46:O49" si="31">AJ46</f>
        <v>6062.6758746238429</v>
      </c>
      <c r="P46" s="487">
        <v>3793.9</v>
      </c>
      <c r="Q46" s="487">
        <v>3802.9</v>
      </c>
      <c r="R46" s="487">
        <v>3866.3</v>
      </c>
      <c r="S46" s="487">
        <v>4002.9</v>
      </c>
      <c r="T46" s="487">
        <v>4005.7</v>
      </c>
      <c r="U46" s="487">
        <v>4087</v>
      </c>
      <c r="V46" s="487">
        <v>4072.3</v>
      </c>
      <c r="W46" s="487">
        <v>4117.7</v>
      </c>
      <c r="X46" s="487">
        <v>4118.8999999999996</v>
      </c>
      <c r="Y46" s="487">
        <v>4118.8999999999996</v>
      </c>
      <c r="Z46" s="487">
        <v>4130.5</v>
      </c>
      <c r="AA46" s="487">
        <v>5423.8</v>
      </c>
      <c r="AB46" s="487">
        <v>5459.5</v>
      </c>
      <c r="AC46" s="487">
        <v>5558.8</v>
      </c>
      <c r="AD46" s="487">
        <v>5723.5</v>
      </c>
      <c r="AE46" s="487">
        <v>5788.7</v>
      </c>
      <c r="AF46" s="487">
        <v>5792</v>
      </c>
      <c r="AG46" s="487">
        <v>5789.1</v>
      </c>
      <c r="AH46" s="487">
        <v>5780.2</v>
      </c>
      <c r="AI46" s="487">
        <v>6029.8650299999999</v>
      </c>
      <c r="AJ46" s="420">
        <f>65258.1/10.76391041671</f>
        <v>6062.6758746238429</v>
      </c>
      <c r="AK46" s="420">
        <f>66508.9/10.76391041671</f>
        <v>6178.8789970558391</v>
      </c>
      <c r="AL46" s="420">
        <v>6260.5</v>
      </c>
      <c r="AM46" s="487">
        <v>6000.3</v>
      </c>
      <c r="AN46" s="420">
        <v>6003</v>
      </c>
      <c r="AO46" s="420">
        <v>6012.5</v>
      </c>
      <c r="AP46" s="420">
        <v>6021.65</v>
      </c>
      <c r="AQ46" s="487">
        <v>6045.3</v>
      </c>
      <c r="AR46" s="420">
        <v>6044.3</v>
      </c>
      <c r="AS46" s="420">
        <v>6045.2</v>
      </c>
      <c r="AT46" s="420">
        <v>6061.21</v>
      </c>
      <c r="AU46" s="487">
        <v>6053</v>
      </c>
      <c r="AV46" s="420">
        <v>6067.58</v>
      </c>
      <c r="AW46" s="420">
        <v>6071.14</v>
      </c>
      <c r="AX46" s="420">
        <v>6071.1950833999999</v>
      </c>
      <c r="AY46" s="487">
        <v>7542.9743334000004</v>
      </c>
      <c r="AZ46" s="420">
        <v>7605.6095629000001</v>
      </c>
    </row>
    <row r="47" spans="2:52">
      <c r="B47" s="422" t="s">
        <v>696</v>
      </c>
      <c r="C47" s="420">
        <v>105</v>
      </c>
      <c r="D47" s="423">
        <f>S47</f>
        <v>114</v>
      </c>
      <c r="E47" s="423">
        <f>W47</f>
        <v>116</v>
      </c>
      <c r="F47" s="423">
        <f>AA47</f>
        <v>191</v>
      </c>
      <c r="G47" s="423">
        <f>AE47</f>
        <v>192</v>
      </c>
      <c r="H47" s="423">
        <f>AI47</f>
        <v>197</v>
      </c>
      <c r="I47" s="423">
        <f>AM47</f>
        <v>180</v>
      </c>
      <c r="J47" s="423">
        <f>AQ47</f>
        <v>180</v>
      </c>
      <c r="K47" s="423">
        <f t="shared" si="30"/>
        <v>180</v>
      </c>
      <c r="L47" s="423">
        <f>AY47</f>
        <v>201</v>
      </c>
      <c r="M47" s="423">
        <f>AZ47</f>
        <v>202</v>
      </c>
      <c r="N47" s="423"/>
      <c r="O47" s="423">
        <f t="shared" si="31"/>
        <v>198</v>
      </c>
      <c r="P47" s="420">
        <v>106</v>
      </c>
      <c r="Q47" s="420">
        <v>106</v>
      </c>
      <c r="R47" s="420">
        <v>107</v>
      </c>
      <c r="S47" s="420">
        <v>114</v>
      </c>
      <c r="T47" s="420">
        <v>114</v>
      </c>
      <c r="U47" s="420">
        <v>116</v>
      </c>
      <c r="V47" s="420">
        <v>116</v>
      </c>
      <c r="W47" s="420">
        <v>116</v>
      </c>
      <c r="X47" s="420">
        <v>116</v>
      </c>
      <c r="Y47" s="420">
        <v>116</v>
      </c>
      <c r="Z47" s="420">
        <v>116</v>
      </c>
      <c r="AA47" s="420">
        <v>191</v>
      </c>
      <c r="AB47" s="420">
        <v>191</v>
      </c>
      <c r="AC47" s="420">
        <v>194</v>
      </c>
      <c r="AD47" s="420">
        <v>194</v>
      </c>
      <c r="AE47" s="420">
        <v>192</v>
      </c>
      <c r="AF47" s="420">
        <v>192</v>
      </c>
      <c r="AG47" s="420">
        <v>192</v>
      </c>
      <c r="AH47" s="420">
        <v>192</v>
      </c>
      <c r="AI47" s="420">
        <v>197</v>
      </c>
      <c r="AJ47" s="420">
        <v>198</v>
      </c>
      <c r="AK47" s="420">
        <v>195</v>
      </c>
      <c r="AL47" s="420">
        <v>196</v>
      </c>
      <c r="AM47" s="420">
        <v>180</v>
      </c>
      <c r="AN47" s="420">
        <v>180</v>
      </c>
      <c r="AO47" s="420">
        <v>180</v>
      </c>
      <c r="AP47" s="420">
        <v>180</v>
      </c>
      <c r="AQ47" s="420">
        <v>180</v>
      </c>
      <c r="AR47" s="420">
        <v>181</v>
      </c>
      <c r="AS47" s="420">
        <v>181</v>
      </c>
      <c r="AT47" s="420">
        <v>181</v>
      </c>
      <c r="AU47" s="420">
        <v>180</v>
      </c>
      <c r="AV47" s="420">
        <v>181</v>
      </c>
      <c r="AW47" s="420">
        <v>181</v>
      </c>
      <c r="AX47" s="420">
        <v>181</v>
      </c>
      <c r="AY47" s="420">
        <v>201</v>
      </c>
      <c r="AZ47" s="420">
        <v>202</v>
      </c>
    </row>
    <row r="48" spans="2:52">
      <c r="B48" s="422" t="s">
        <v>697</v>
      </c>
      <c r="C48" s="420">
        <v>3.4</v>
      </c>
      <c r="D48" s="423">
        <f>S48</f>
        <v>3.5</v>
      </c>
      <c r="E48" s="423">
        <f>W48</f>
        <v>3.6</v>
      </c>
      <c r="F48" s="423">
        <f>AA48</f>
        <v>3.7</v>
      </c>
      <c r="G48" s="423">
        <f>AE48</f>
        <v>3.7</v>
      </c>
      <c r="H48" s="423">
        <f>AI48</f>
        <v>3.7</v>
      </c>
      <c r="I48" s="423">
        <f>AM48</f>
        <v>3.7</v>
      </c>
      <c r="J48" s="423">
        <f>AQ48</f>
        <v>3.7</v>
      </c>
      <c r="K48" s="423">
        <f t="shared" si="30"/>
        <v>3.5</v>
      </c>
      <c r="L48" s="423">
        <f>AY48</f>
        <v>3.7</v>
      </c>
      <c r="M48" s="423">
        <f>AZ48</f>
        <v>3.7</v>
      </c>
      <c r="N48" s="423"/>
      <c r="O48" s="423">
        <f t="shared" si="31"/>
        <v>3.7</v>
      </c>
      <c r="P48" s="420">
        <v>3.3</v>
      </c>
      <c r="Q48" s="420">
        <v>3.7</v>
      </c>
      <c r="R48" s="420">
        <v>3.7</v>
      </c>
      <c r="S48" s="420">
        <v>3.5</v>
      </c>
      <c r="T48" s="420">
        <v>3.6</v>
      </c>
      <c r="U48" s="420">
        <v>3.8</v>
      </c>
      <c r="V48" s="420">
        <v>3.9</v>
      </c>
      <c r="W48" s="420">
        <v>3.6</v>
      </c>
      <c r="X48" s="420">
        <v>3.6</v>
      </c>
      <c r="Y48" s="420">
        <v>3.5</v>
      </c>
      <c r="Z48" s="420">
        <v>3.5</v>
      </c>
      <c r="AA48" s="420">
        <v>3.7</v>
      </c>
      <c r="AB48" s="420">
        <v>3.7</v>
      </c>
      <c r="AC48" s="420">
        <v>3.7</v>
      </c>
      <c r="AD48" s="420">
        <v>3.7</v>
      </c>
      <c r="AE48" s="420">
        <v>3.7</v>
      </c>
      <c r="AF48" s="420">
        <v>3.9</v>
      </c>
      <c r="AG48" s="420">
        <v>3.8</v>
      </c>
      <c r="AH48" s="420">
        <v>3.8</v>
      </c>
      <c r="AI48" s="420">
        <v>3.7</v>
      </c>
      <c r="AJ48" s="420">
        <v>3.7</v>
      </c>
      <c r="AK48" s="420">
        <v>3.8</v>
      </c>
      <c r="AL48" s="420">
        <v>4.8</v>
      </c>
      <c r="AM48" s="420">
        <v>3.7</v>
      </c>
      <c r="AN48" s="420">
        <v>3.6</v>
      </c>
      <c r="AO48" s="420">
        <v>3.6</v>
      </c>
      <c r="AP48" s="420">
        <v>3.6</v>
      </c>
      <c r="AQ48" s="420">
        <v>3.7</v>
      </c>
      <c r="AR48" s="420">
        <v>3.7</v>
      </c>
      <c r="AS48" s="420">
        <v>3.7</v>
      </c>
      <c r="AT48" s="420">
        <v>3.6</v>
      </c>
      <c r="AU48" s="420">
        <v>3.5</v>
      </c>
      <c r="AV48" s="420">
        <v>3.5</v>
      </c>
      <c r="AW48" s="420">
        <v>3.5</v>
      </c>
      <c r="AX48" s="420">
        <v>3.5</v>
      </c>
      <c r="AY48" s="420">
        <v>3.7</v>
      </c>
      <c r="AZ48" s="420">
        <v>3.7</v>
      </c>
    </row>
    <row r="49" spans="2:52">
      <c r="B49" s="422" t="s">
        <v>698</v>
      </c>
      <c r="C49" s="419">
        <v>0.96499999999999997</v>
      </c>
      <c r="D49" s="562">
        <f>S49</f>
        <v>0.96399999999999997</v>
      </c>
      <c r="E49" s="562">
        <f>W49</f>
        <v>0.97199999999999998</v>
      </c>
      <c r="F49" s="562">
        <f>AA49</f>
        <v>0.96599999999999997</v>
      </c>
      <c r="G49" s="562">
        <f>AE49</f>
        <v>0.96299999999999997</v>
      </c>
      <c r="H49" s="562">
        <f>AI49</f>
        <v>0.95699999999999996</v>
      </c>
      <c r="I49" s="562">
        <f>AM49</f>
        <v>0.98</v>
      </c>
      <c r="J49" s="562">
        <f>AQ49</f>
        <v>0.98499999999999999</v>
      </c>
      <c r="K49" s="562">
        <f t="shared" si="30"/>
        <v>0.98199999999999998</v>
      </c>
      <c r="L49" s="562">
        <f>AY49</f>
        <v>0.97699999999999998</v>
      </c>
      <c r="M49" s="562">
        <f>AZ49</f>
        <v>0.97799999999999998</v>
      </c>
      <c r="N49" s="738"/>
      <c r="O49" s="562">
        <f t="shared" si="31"/>
        <v>0.96499999999999997</v>
      </c>
      <c r="P49" s="419">
        <v>0.94899999999999995</v>
      </c>
      <c r="Q49" s="419">
        <v>0.95299999999999996</v>
      </c>
      <c r="R49" s="419">
        <v>0.94899999999999995</v>
      </c>
      <c r="S49" s="419">
        <v>0.96399999999999997</v>
      </c>
      <c r="T49" s="419">
        <v>0.96899999999999997</v>
      </c>
      <c r="U49" s="419">
        <v>0.97299999999999998</v>
      </c>
      <c r="V49" s="419">
        <v>0.97399999999999998</v>
      </c>
      <c r="W49" s="419">
        <v>0.97199999999999998</v>
      </c>
      <c r="X49" s="419">
        <v>0.97599999999999998</v>
      </c>
      <c r="Y49" s="419">
        <v>0.97299999999999998</v>
      </c>
      <c r="Z49" s="419">
        <v>0.97099999999999997</v>
      </c>
      <c r="AA49" s="419">
        <v>0.96599999999999997</v>
      </c>
      <c r="AB49" s="419">
        <v>0.96899999999999997</v>
      </c>
      <c r="AC49" s="419">
        <v>0.96199999999999997</v>
      </c>
      <c r="AD49" s="419">
        <v>0.96</v>
      </c>
      <c r="AE49" s="419">
        <v>0.96299999999999997</v>
      </c>
      <c r="AF49" s="419">
        <v>0.96</v>
      </c>
      <c r="AG49" s="419">
        <v>0.95499999999999996</v>
      </c>
      <c r="AH49" s="419">
        <v>0.96</v>
      </c>
      <c r="AI49" s="419">
        <v>0.95699999999999996</v>
      </c>
      <c r="AJ49" s="419">
        <v>0.96499999999999997</v>
      </c>
      <c r="AK49" s="419">
        <v>0.97499999999999998</v>
      </c>
      <c r="AL49" s="419">
        <v>0.97599999999999998</v>
      </c>
      <c r="AM49" s="419">
        <v>0.98</v>
      </c>
      <c r="AN49" s="419">
        <v>0.97899999999999998</v>
      </c>
      <c r="AO49" s="419">
        <v>0.97599999999999998</v>
      </c>
      <c r="AP49" s="419">
        <v>0.97599999999999998</v>
      </c>
      <c r="AQ49" s="419">
        <v>0.98499999999999999</v>
      </c>
      <c r="AR49" s="419">
        <v>0.98399999999999999</v>
      </c>
      <c r="AS49" s="419">
        <v>0.98299999999999998</v>
      </c>
      <c r="AT49" s="419">
        <v>0.98399999999999999</v>
      </c>
      <c r="AU49" s="419">
        <v>0.98199999999999998</v>
      </c>
      <c r="AV49" s="419">
        <v>0.98199999999999998</v>
      </c>
      <c r="AW49" s="419">
        <v>0.97399999999999998</v>
      </c>
      <c r="AX49" s="419">
        <v>0.97399999999999998</v>
      </c>
      <c r="AY49" s="419">
        <v>0.97699999999999998</v>
      </c>
      <c r="AZ49" s="419">
        <v>0.97799999999999998</v>
      </c>
    </row>
    <row r="51" spans="2:52">
      <c r="B51" s="424" t="s">
        <v>704</v>
      </c>
    </row>
    <row r="52" spans="2:52" ht="15">
      <c r="B52" s="422" t="s">
        <v>695</v>
      </c>
      <c r="C52" s="487">
        <v>845.3</v>
      </c>
      <c r="D52" s="423">
        <f>S52</f>
        <v>1123.5</v>
      </c>
      <c r="E52" s="423">
        <f>W52</f>
        <v>1202.4000000000001</v>
      </c>
      <c r="F52" s="423">
        <f>AA52</f>
        <v>1274.9000000000001</v>
      </c>
      <c r="G52" s="423">
        <f>AE52</f>
        <v>1312</v>
      </c>
      <c r="H52" s="423">
        <f>AI52</f>
        <v>1143.4183</v>
      </c>
      <c r="I52" s="423">
        <f t="shared" ref="I52:I55" si="32">AM52</f>
        <v>1134.2</v>
      </c>
      <c r="J52" s="423">
        <f t="shared" ref="J52:J55" si="33">AQ52</f>
        <v>1144.5999999999999</v>
      </c>
      <c r="K52" s="423">
        <f t="shared" ref="K52:K55" si="34">AU52</f>
        <v>1187.7</v>
      </c>
      <c r="L52" s="423">
        <f>AY52</f>
        <v>1161.6503219000001</v>
      </c>
      <c r="M52" s="423">
        <f>AZ52</f>
        <v>1034.9399000000001</v>
      </c>
      <c r="N52" s="423"/>
      <c r="O52" s="423">
        <f t="shared" ref="O52:O55" si="35">AJ52</f>
        <v>1143.4691969279704</v>
      </c>
      <c r="P52" s="487">
        <v>855.7</v>
      </c>
      <c r="Q52" s="487">
        <v>891.9</v>
      </c>
      <c r="R52" s="487">
        <v>893.2</v>
      </c>
      <c r="S52" s="487">
        <v>1123.5</v>
      </c>
      <c r="T52" s="487">
        <v>1117.7</v>
      </c>
      <c r="U52" s="487">
        <v>997.4</v>
      </c>
      <c r="V52" s="487">
        <v>1176.3</v>
      </c>
      <c r="W52" s="487">
        <v>1202.4000000000001</v>
      </c>
      <c r="X52" s="487">
        <v>1201.0999999999999</v>
      </c>
      <c r="Y52" s="487">
        <v>1212.5</v>
      </c>
      <c r="Z52" s="487">
        <v>1211.5999999999999</v>
      </c>
      <c r="AA52" s="487">
        <v>1274.9000000000001</v>
      </c>
      <c r="AB52" s="487">
        <v>1299.9000000000001</v>
      </c>
      <c r="AC52" s="487">
        <v>1309.9000000000001</v>
      </c>
      <c r="AD52" s="487">
        <v>1309</v>
      </c>
      <c r="AE52" s="487">
        <v>1312</v>
      </c>
      <c r="AF52" s="487">
        <v>1305.0999999999999</v>
      </c>
      <c r="AG52" s="487">
        <v>1305.0999999999999</v>
      </c>
      <c r="AH52" s="487">
        <v>1310.5</v>
      </c>
      <c r="AI52" s="487">
        <v>1143.4183</v>
      </c>
      <c r="AJ52" s="420">
        <f>12308.2/10.76391041671</f>
        <v>1143.4691969279704</v>
      </c>
      <c r="AK52" s="420">
        <f>12299.2/10.76391041671</f>
        <v>1142.6330695679706</v>
      </c>
      <c r="AL52" s="420">
        <v>1138.9000000000001</v>
      </c>
      <c r="AM52" s="487">
        <v>1134.2</v>
      </c>
      <c r="AN52" s="420">
        <v>1134.5</v>
      </c>
      <c r="AO52" s="420">
        <v>1137</v>
      </c>
      <c r="AP52" s="420">
        <v>1139.316</v>
      </c>
      <c r="AQ52" s="487">
        <v>1144.5999999999999</v>
      </c>
      <c r="AR52" s="420">
        <v>1144.7</v>
      </c>
      <c r="AS52" s="420">
        <v>1142.5999999999999</v>
      </c>
      <c r="AT52" s="420">
        <v>1143.0999999999999</v>
      </c>
      <c r="AU52" s="487">
        <v>1187.7</v>
      </c>
      <c r="AV52" s="420">
        <v>1188.23</v>
      </c>
      <c r="AW52" s="420">
        <v>1162.3599999999999</v>
      </c>
      <c r="AX52" s="420">
        <v>1162.9416741</v>
      </c>
      <c r="AY52" s="487">
        <v>1161.6503219000001</v>
      </c>
      <c r="AZ52" s="420">
        <v>1034.9399000000001</v>
      </c>
    </row>
    <row r="53" spans="2:52">
      <c r="B53" s="422" t="s">
        <v>696</v>
      </c>
      <c r="C53" s="420">
        <v>89</v>
      </c>
      <c r="D53" s="423">
        <f>S53</f>
        <v>94</v>
      </c>
      <c r="E53" s="423">
        <f>W53</f>
        <v>97</v>
      </c>
      <c r="F53" s="423">
        <f>AA53</f>
        <v>99</v>
      </c>
      <c r="G53" s="423">
        <f>AE53</f>
        <v>100</v>
      </c>
      <c r="H53" s="423">
        <f>AI53</f>
        <v>93</v>
      </c>
      <c r="I53" s="423">
        <f t="shared" si="32"/>
        <v>90</v>
      </c>
      <c r="J53" s="423">
        <f t="shared" si="33"/>
        <v>80</v>
      </c>
      <c r="K53" s="423">
        <f t="shared" si="34"/>
        <v>80</v>
      </c>
      <c r="L53" s="423">
        <f>AY53</f>
        <v>79</v>
      </c>
      <c r="M53" s="423">
        <f t="shared" ref="M53:M54" si="36">AZ53</f>
        <v>76</v>
      </c>
      <c r="N53" s="423"/>
      <c r="O53" s="423">
        <f t="shared" si="35"/>
        <v>93</v>
      </c>
      <c r="P53" s="420">
        <v>89</v>
      </c>
      <c r="Q53" s="420">
        <v>90</v>
      </c>
      <c r="R53" s="420">
        <v>90</v>
      </c>
      <c r="S53" s="420">
        <v>94</v>
      </c>
      <c r="T53" s="420">
        <v>95</v>
      </c>
      <c r="U53" s="420">
        <v>93</v>
      </c>
      <c r="V53" s="420">
        <v>96</v>
      </c>
      <c r="W53" s="420">
        <v>97</v>
      </c>
      <c r="X53" s="420">
        <v>96</v>
      </c>
      <c r="Y53" s="420">
        <v>96</v>
      </c>
      <c r="Z53" s="420">
        <v>96</v>
      </c>
      <c r="AA53" s="420">
        <v>99</v>
      </c>
      <c r="AB53" s="420">
        <v>99</v>
      </c>
      <c r="AC53" s="420">
        <v>100</v>
      </c>
      <c r="AD53" s="420">
        <v>100</v>
      </c>
      <c r="AE53" s="420">
        <v>100</v>
      </c>
      <c r="AF53" s="420">
        <v>99</v>
      </c>
      <c r="AG53" s="420">
        <v>99</v>
      </c>
      <c r="AH53" s="420">
        <v>99</v>
      </c>
      <c r="AI53" s="420">
        <v>93</v>
      </c>
      <c r="AJ53" s="420">
        <v>93</v>
      </c>
      <c r="AK53" s="420">
        <v>93</v>
      </c>
      <c r="AL53" s="420">
        <v>90</v>
      </c>
      <c r="AM53" s="420">
        <v>90</v>
      </c>
      <c r="AN53" s="420">
        <v>80</v>
      </c>
      <c r="AO53" s="420">
        <v>80</v>
      </c>
      <c r="AP53" s="420">
        <v>80</v>
      </c>
      <c r="AQ53" s="420">
        <v>80</v>
      </c>
      <c r="AR53" s="420">
        <v>79</v>
      </c>
      <c r="AS53" s="420">
        <v>79</v>
      </c>
      <c r="AT53" s="420">
        <v>79</v>
      </c>
      <c r="AU53" s="420">
        <v>80</v>
      </c>
      <c r="AV53" s="420">
        <v>80</v>
      </c>
      <c r="AW53" s="420">
        <v>80</v>
      </c>
      <c r="AX53" s="420">
        <v>80</v>
      </c>
      <c r="AY53" s="420">
        <v>79</v>
      </c>
      <c r="AZ53" s="420">
        <v>76</v>
      </c>
    </row>
    <row r="54" spans="2:52">
      <c r="B54" s="422" t="s">
        <v>697</v>
      </c>
      <c r="C54" s="420">
        <v>3.5</v>
      </c>
      <c r="D54" s="423">
        <f>S54</f>
        <v>3.1</v>
      </c>
      <c r="E54" s="423">
        <f>W54</f>
        <v>3.4</v>
      </c>
      <c r="F54" s="423">
        <f>AA54</f>
        <v>4.3</v>
      </c>
      <c r="G54" s="423">
        <f>AE54</f>
        <v>4</v>
      </c>
      <c r="H54" s="423">
        <f>AI54</f>
        <v>4.4000000000000004</v>
      </c>
      <c r="I54" s="423">
        <f t="shared" si="32"/>
        <v>4.5999999999999996</v>
      </c>
      <c r="J54" s="423">
        <f t="shared" si="33"/>
        <v>4.4000000000000004</v>
      </c>
      <c r="K54" s="423">
        <f t="shared" si="34"/>
        <v>4</v>
      </c>
      <c r="L54" s="423">
        <f>AY54</f>
        <v>3.6</v>
      </c>
      <c r="M54" s="423">
        <f t="shared" si="36"/>
        <v>3.7</v>
      </c>
      <c r="N54" s="423"/>
      <c r="O54" s="423">
        <f t="shared" si="35"/>
        <v>4.2</v>
      </c>
      <c r="P54" s="420">
        <v>3.7</v>
      </c>
      <c r="Q54" s="420">
        <v>3.5</v>
      </c>
      <c r="R54" s="420">
        <v>3.9</v>
      </c>
      <c r="S54" s="420">
        <v>3.1</v>
      </c>
      <c r="T54" s="420">
        <v>2.9</v>
      </c>
      <c r="U54" s="420">
        <v>2.9</v>
      </c>
      <c r="V54" s="420">
        <v>3</v>
      </c>
      <c r="W54" s="420">
        <v>3.4</v>
      </c>
      <c r="X54" s="420">
        <v>3.7</v>
      </c>
      <c r="Y54" s="420">
        <v>3.4</v>
      </c>
      <c r="Z54" s="420">
        <v>3.5</v>
      </c>
      <c r="AA54" s="420">
        <v>4.3</v>
      </c>
      <c r="AB54" s="420">
        <v>4.4000000000000004</v>
      </c>
      <c r="AC54" s="420">
        <v>4.0999999999999996</v>
      </c>
      <c r="AD54" s="420">
        <v>3.9</v>
      </c>
      <c r="AE54" s="420">
        <v>4</v>
      </c>
      <c r="AF54" s="420">
        <v>4.0999999999999996</v>
      </c>
      <c r="AG54" s="420">
        <v>4.0999999999999996</v>
      </c>
      <c r="AH54" s="420">
        <v>3.8</v>
      </c>
      <c r="AI54" s="420">
        <v>4.4000000000000004</v>
      </c>
      <c r="AJ54" s="420">
        <v>4.2</v>
      </c>
      <c r="AK54" s="420">
        <v>5</v>
      </c>
      <c r="AL54" s="420">
        <v>4.8</v>
      </c>
      <c r="AM54" s="420">
        <v>4.5999999999999996</v>
      </c>
      <c r="AN54" s="420">
        <v>4.7</v>
      </c>
      <c r="AO54" s="420">
        <v>4.5</v>
      </c>
      <c r="AP54" s="420">
        <v>4.3</v>
      </c>
      <c r="AQ54" s="420">
        <v>4.4000000000000004</v>
      </c>
      <c r="AR54" s="420">
        <v>4.3</v>
      </c>
      <c r="AS54" s="420">
        <v>4.2</v>
      </c>
      <c r="AT54" s="420">
        <v>4</v>
      </c>
      <c r="AU54" s="420">
        <v>4</v>
      </c>
      <c r="AV54" s="420">
        <v>3.7</v>
      </c>
      <c r="AW54" s="420">
        <v>3.8</v>
      </c>
      <c r="AX54" s="420">
        <v>3.6</v>
      </c>
      <c r="AY54" s="420">
        <v>3.6</v>
      </c>
      <c r="AZ54" s="420">
        <v>3.7</v>
      </c>
    </row>
    <row r="55" spans="2:52">
      <c r="B55" s="422" t="s">
        <v>698</v>
      </c>
      <c r="C55" s="419">
        <v>0.88200000000000001</v>
      </c>
      <c r="D55" s="562">
        <f>S55</f>
        <v>0.86</v>
      </c>
      <c r="E55" s="562">
        <f>W55</f>
        <v>0.89300000000000002</v>
      </c>
      <c r="F55" s="562">
        <f>AA55</f>
        <v>0.83599999999999997</v>
      </c>
      <c r="G55" s="562">
        <f>AE55</f>
        <v>0.78600000000000003</v>
      </c>
      <c r="H55" s="562">
        <f>AI55</f>
        <v>0.754</v>
      </c>
      <c r="I55" s="562">
        <f t="shared" si="32"/>
        <v>0.76800000000000002</v>
      </c>
      <c r="J55" s="562">
        <f t="shared" si="33"/>
        <v>0.81699999999999995</v>
      </c>
      <c r="K55" s="562">
        <f t="shared" si="34"/>
        <v>0.83699999999999997</v>
      </c>
      <c r="L55" s="562">
        <f>AY55</f>
        <v>0.82899999999999996</v>
      </c>
      <c r="M55" s="562">
        <f>AZ55</f>
        <v>0.82099999999999995</v>
      </c>
      <c r="N55" s="738"/>
      <c r="O55" s="562">
        <f t="shared" si="35"/>
        <v>0.748</v>
      </c>
      <c r="P55" s="419">
        <v>0.872</v>
      </c>
      <c r="Q55" s="419">
        <v>0.88300000000000001</v>
      </c>
      <c r="R55" s="419">
        <v>0.878</v>
      </c>
      <c r="S55" s="419">
        <v>0.86</v>
      </c>
      <c r="T55" s="419">
        <v>0.86799999999999999</v>
      </c>
      <c r="U55" s="419">
        <v>0.90700000000000003</v>
      </c>
      <c r="V55" s="419">
        <v>0.89100000000000001</v>
      </c>
      <c r="W55" s="419">
        <v>0.89300000000000002</v>
      </c>
      <c r="X55" s="419">
        <v>0.89</v>
      </c>
      <c r="Y55" s="419">
        <v>0.89</v>
      </c>
      <c r="Z55" s="419">
        <v>0.83799999999999997</v>
      </c>
      <c r="AA55" s="419">
        <v>0.83599999999999997</v>
      </c>
      <c r="AB55" s="419">
        <v>0.83</v>
      </c>
      <c r="AC55" s="419">
        <v>0.81799999999999995</v>
      </c>
      <c r="AD55" s="419">
        <v>0.80600000000000005</v>
      </c>
      <c r="AE55" s="419">
        <v>0.78600000000000003</v>
      </c>
      <c r="AF55" s="419">
        <v>0.76400000000000001</v>
      </c>
      <c r="AG55" s="419">
        <v>0.74399999999999999</v>
      </c>
      <c r="AH55" s="419">
        <v>0.74</v>
      </c>
      <c r="AI55" s="419">
        <v>0.754</v>
      </c>
      <c r="AJ55" s="419">
        <v>0.748</v>
      </c>
      <c r="AK55" s="419">
        <v>0.749</v>
      </c>
      <c r="AL55" s="419">
        <v>0.75</v>
      </c>
      <c r="AM55" s="419">
        <v>0.76800000000000002</v>
      </c>
      <c r="AN55" s="419">
        <v>0.77700000000000002</v>
      </c>
      <c r="AO55" s="419">
        <v>0.78</v>
      </c>
      <c r="AP55" s="419">
        <v>0.79700000000000004</v>
      </c>
      <c r="AQ55" s="419">
        <v>0.81699999999999995</v>
      </c>
      <c r="AR55" s="419">
        <v>0.81599999999999995</v>
      </c>
      <c r="AS55" s="419">
        <v>0.82799999999999996</v>
      </c>
      <c r="AT55" s="419">
        <v>0.83499999999999996</v>
      </c>
      <c r="AU55" s="419">
        <v>0.83699999999999997</v>
      </c>
      <c r="AV55" s="419">
        <v>0.82399999999999995</v>
      </c>
      <c r="AW55" s="419">
        <v>0.82199999999999995</v>
      </c>
      <c r="AX55" s="419">
        <v>0.83</v>
      </c>
      <c r="AY55" s="419">
        <v>0.82899999999999996</v>
      </c>
      <c r="AZ55" s="419">
        <v>0.82099999999999995</v>
      </c>
    </row>
    <row r="57" spans="2:52">
      <c r="B57" s="424" t="s">
        <v>3</v>
      </c>
    </row>
    <row r="58" spans="2:52" ht="15">
      <c r="B58" s="422" t="s">
        <v>695</v>
      </c>
      <c r="C58" s="487"/>
      <c r="D58" s="423"/>
      <c r="E58" s="423"/>
      <c r="F58" s="423">
        <f>AA58</f>
        <v>680.4</v>
      </c>
      <c r="G58" s="423">
        <f>AE58</f>
        <v>767.2</v>
      </c>
      <c r="H58" s="423">
        <f>AI58</f>
        <v>845.92280000000005</v>
      </c>
      <c r="I58" s="423">
        <f t="shared" ref="I58:I61" si="37">AM58</f>
        <v>854.4</v>
      </c>
      <c r="J58" s="423">
        <f t="shared" ref="J58:J61" si="38">AQ58</f>
        <v>854.4</v>
      </c>
      <c r="K58" s="423">
        <f>AU58</f>
        <v>854.1</v>
      </c>
      <c r="L58" s="423">
        <f>AY58</f>
        <v>869.67464770000004</v>
      </c>
      <c r="M58" s="423">
        <f t="shared" ref="M58:M60" si="39">AZ58</f>
        <v>808.60947959999999</v>
      </c>
      <c r="N58" s="423"/>
      <c r="O58" s="423">
        <f t="shared" ref="O58:O61" si="40">AJ58</f>
        <v>845.91934041597813</v>
      </c>
      <c r="P58" s="487"/>
      <c r="Q58" s="487"/>
      <c r="R58" s="487"/>
      <c r="S58" s="487"/>
      <c r="T58" s="487"/>
      <c r="U58" s="487"/>
      <c r="V58" s="487"/>
      <c r="W58" s="487"/>
      <c r="X58" s="487"/>
      <c r="Y58" s="487"/>
      <c r="Z58" s="487"/>
      <c r="AA58" s="487">
        <v>680.4</v>
      </c>
      <c r="AB58" s="487">
        <v>692.9</v>
      </c>
      <c r="AC58" s="487">
        <v>692.9</v>
      </c>
      <c r="AD58" s="487">
        <v>692.9</v>
      </c>
      <c r="AE58" s="487">
        <v>767.2</v>
      </c>
      <c r="AF58" s="487">
        <v>846.6</v>
      </c>
      <c r="AG58" s="487">
        <v>846.6</v>
      </c>
      <c r="AH58" s="487">
        <v>846.6</v>
      </c>
      <c r="AI58" s="487">
        <v>845.92280000000005</v>
      </c>
      <c r="AJ58" s="420">
        <f>9105.4/10.76391041671</f>
        <v>845.91934041597813</v>
      </c>
      <c r="AK58" s="420">
        <f>9105.4/10.76391041671</f>
        <v>845.91934041597813</v>
      </c>
      <c r="AL58" s="420">
        <v>832.3</v>
      </c>
      <c r="AM58" s="487">
        <v>854.4</v>
      </c>
      <c r="AN58" s="420">
        <v>854.4</v>
      </c>
      <c r="AO58" s="420">
        <v>854.4</v>
      </c>
      <c r="AP58" s="420">
        <v>854.36400000000003</v>
      </c>
      <c r="AQ58" s="487">
        <v>854.4</v>
      </c>
      <c r="AR58" s="420">
        <v>854.1</v>
      </c>
      <c r="AS58" s="420">
        <v>854.1</v>
      </c>
      <c r="AT58" s="420">
        <v>854.1</v>
      </c>
      <c r="AU58" s="487">
        <v>854.1</v>
      </c>
      <c r="AV58" s="420">
        <v>853.7</v>
      </c>
      <c r="AW58" s="420">
        <v>879.67</v>
      </c>
      <c r="AX58" s="420">
        <v>879.66172449999999</v>
      </c>
      <c r="AY58" s="487">
        <v>869.67464770000004</v>
      </c>
      <c r="AZ58" s="420">
        <v>808.60947959999999</v>
      </c>
    </row>
    <row r="59" spans="2:52">
      <c r="B59" s="422" t="s">
        <v>696</v>
      </c>
      <c r="C59" s="420"/>
      <c r="D59" s="423"/>
      <c r="E59" s="423"/>
      <c r="F59" s="423">
        <f>AA59</f>
        <v>205</v>
      </c>
      <c r="G59" s="423">
        <f>AE59</f>
        <v>206</v>
      </c>
      <c r="H59" s="423">
        <f>AI59</f>
        <v>222</v>
      </c>
      <c r="I59" s="423">
        <f t="shared" si="37"/>
        <v>207</v>
      </c>
      <c r="J59" s="423">
        <f t="shared" si="38"/>
        <v>206</v>
      </c>
      <c r="K59" s="423">
        <f>AU59</f>
        <v>206</v>
      </c>
      <c r="L59" s="423">
        <f>AY59</f>
        <v>207</v>
      </c>
      <c r="M59" s="423">
        <f t="shared" si="39"/>
        <v>198</v>
      </c>
      <c r="N59" s="423"/>
      <c r="O59" s="423">
        <f t="shared" si="40"/>
        <v>222</v>
      </c>
      <c r="P59" s="420"/>
      <c r="Q59" s="420"/>
      <c r="R59" s="420"/>
      <c r="S59" s="420"/>
      <c r="T59" s="420"/>
      <c r="U59" s="420"/>
      <c r="V59" s="420"/>
      <c r="W59" s="420"/>
      <c r="X59" s="420"/>
      <c r="Y59" s="420"/>
      <c r="Z59" s="420"/>
      <c r="AA59" s="420">
        <v>205</v>
      </c>
      <c r="AB59" s="420">
        <v>206</v>
      </c>
      <c r="AC59" s="420">
        <v>206</v>
      </c>
      <c r="AD59" s="420">
        <v>206</v>
      </c>
      <c r="AE59" s="420">
        <v>206</v>
      </c>
      <c r="AF59" s="420">
        <v>222</v>
      </c>
      <c r="AG59" s="420">
        <v>222</v>
      </c>
      <c r="AH59" s="420">
        <v>222</v>
      </c>
      <c r="AI59" s="420">
        <v>222</v>
      </c>
      <c r="AJ59" s="420">
        <v>222</v>
      </c>
      <c r="AK59" s="420">
        <v>222</v>
      </c>
      <c r="AL59" s="420">
        <v>206</v>
      </c>
      <c r="AM59" s="420">
        <v>207</v>
      </c>
      <c r="AN59" s="420">
        <v>206</v>
      </c>
      <c r="AO59" s="420">
        <v>206</v>
      </c>
      <c r="AP59" s="420">
        <v>206</v>
      </c>
      <c r="AQ59" s="420">
        <v>206</v>
      </c>
      <c r="AR59" s="420">
        <v>206</v>
      </c>
      <c r="AS59" s="420">
        <v>206</v>
      </c>
      <c r="AT59" s="420">
        <v>206</v>
      </c>
      <c r="AU59" s="420">
        <v>206</v>
      </c>
      <c r="AV59" s="420">
        <v>206</v>
      </c>
      <c r="AW59" s="420">
        <v>206</v>
      </c>
      <c r="AX59" s="420">
        <v>207</v>
      </c>
      <c r="AY59" s="420">
        <v>207</v>
      </c>
      <c r="AZ59" s="420">
        <v>198</v>
      </c>
    </row>
    <row r="60" spans="2:52">
      <c r="B60" s="422" t="s">
        <v>697</v>
      </c>
      <c r="C60" s="420"/>
      <c r="D60" s="423"/>
      <c r="E60" s="423"/>
      <c r="F60" s="423">
        <f>AA60</f>
        <v>6.8</v>
      </c>
      <c r="G60" s="423">
        <f>AE60</f>
        <v>9</v>
      </c>
      <c r="H60" s="423">
        <f>AI60</f>
        <v>9.4</v>
      </c>
      <c r="I60" s="423">
        <f t="shared" si="37"/>
        <v>8.6</v>
      </c>
      <c r="J60" s="423">
        <f t="shared" si="38"/>
        <v>8</v>
      </c>
      <c r="K60" s="423">
        <f>AU60</f>
        <v>7</v>
      </c>
      <c r="L60" s="423">
        <f>AY60</f>
        <v>7.1</v>
      </c>
      <c r="M60" s="423">
        <f t="shared" si="39"/>
        <v>4.5</v>
      </c>
      <c r="N60" s="423"/>
      <c r="O60" s="423">
        <f t="shared" si="40"/>
        <v>9.1</v>
      </c>
      <c r="P60" s="420"/>
      <c r="Q60" s="420"/>
      <c r="R60" s="420"/>
      <c r="S60" s="420"/>
      <c r="T60" s="420"/>
      <c r="U60" s="420"/>
      <c r="V60" s="420"/>
      <c r="W60" s="420"/>
      <c r="X60" s="420"/>
      <c r="Y60" s="420"/>
      <c r="Z60" s="420"/>
      <c r="AA60" s="420">
        <v>6.8</v>
      </c>
      <c r="AB60" s="420">
        <v>6.7</v>
      </c>
      <c r="AC60" s="420">
        <v>7.9</v>
      </c>
      <c r="AD60" s="420">
        <v>7.3</v>
      </c>
      <c r="AE60" s="420">
        <v>9</v>
      </c>
      <c r="AF60" s="420">
        <v>9.5</v>
      </c>
      <c r="AG60" s="420">
        <v>9.1999999999999993</v>
      </c>
      <c r="AH60" s="420">
        <v>9.6999999999999993</v>
      </c>
      <c r="AI60" s="420">
        <v>9.4</v>
      </c>
      <c r="AJ60" s="420">
        <v>9.1</v>
      </c>
      <c r="AK60" s="420">
        <v>9</v>
      </c>
      <c r="AL60" s="420">
        <v>8.8000000000000007</v>
      </c>
      <c r="AM60" s="420">
        <v>8.6</v>
      </c>
      <c r="AN60" s="420">
        <v>8.3000000000000007</v>
      </c>
      <c r="AO60" s="420">
        <v>8.1</v>
      </c>
      <c r="AP60" s="420">
        <v>7.9</v>
      </c>
      <c r="AQ60" s="420">
        <v>8</v>
      </c>
      <c r="AR60" s="420">
        <v>7.8</v>
      </c>
      <c r="AS60" s="420">
        <v>7.5</v>
      </c>
      <c r="AT60" s="420">
        <v>7.3</v>
      </c>
      <c r="AU60" s="420">
        <v>7</v>
      </c>
      <c r="AV60" s="420">
        <v>7.8</v>
      </c>
      <c r="AW60" s="420">
        <v>7.6</v>
      </c>
      <c r="AX60" s="420">
        <v>7.2</v>
      </c>
      <c r="AY60" s="420">
        <v>7.1</v>
      </c>
      <c r="AZ60" s="420">
        <v>4.5</v>
      </c>
    </row>
    <row r="61" spans="2:52">
      <c r="B61" s="422" t="s">
        <v>698</v>
      </c>
      <c r="C61" s="419"/>
      <c r="D61" s="562"/>
      <c r="E61" s="562"/>
      <c r="F61" s="562">
        <f>AA61</f>
        <v>0.997</v>
      </c>
      <c r="G61" s="562">
        <f>AE61</f>
        <v>0.997</v>
      </c>
      <c r="H61" s="562">
        <f>AI61</f>
        <v>0.99399999999999999</v>
      </c>
      <c r="I61" s="562">
        <f t="shared" si="37"/>
        <v>0.99099999999999999</v>
      </c>
      <c r="J61" s="562">
        <f t="shared" si="38"/>
        <v>0.99199999999999999</v>
      </c>
      <c r="K61" s="562">
        <f>AU61</f>
        <v>0.99199999999999999</v>
      </c>
      <c r="L61" s="562">
        <f>AY61</f>
        <v>0.99299999999999999</v>
      </c>
      <c r="M61" s="562">
        <f>AZ61</f>
        <v>0.99199999999999999</v>
      </c>
      <c r="N61" s="738"/>
      <c r="O61" s="562">
        <f t="shared" si="40"/>
        <v>0.99099999999999999</v>
      </c>
      <c r="P61" s="419"/>
      <c r="Q61" s="419"/>
      <c r="R61" s="419"/>
      <c r="S61" s="419"/>
      <c r="T61" s="419"/>
      <c r="U61" s="419"/>
      <c r="V61" s="419"/>
      <c r="W61" s="419"/>
      <c r="X61" s="419"/>
      <c r="Y61" s="419"/>
      <c r="Z61" s="419"/>
      <c r="AA61" s="419">
        <v>0.997</v>
      </c>
      <c r="AB61" s="419">
        <v>0.997</v>
      </c>
      <c r="AC61" s="419">
        <v>0.997</v>
      </c>
      <c r="AD61" s="419">
        <v>0.997</v>
      </c>
      <c r="AE61" s="419">
        <v>0.997</v>
      </c>
      <c r="AF61" s="419">
        <v>0.99299999999999999</v>
      </c>
      <c r="AG61" s="419">
        <v>0.99299999999999999</v>
      </c>
      <c r="AH61" s="419">
        <v>0.99299999999999999</v>
      </c>
      <c r="AI61" s="419">
        <v>0.99399999999999999</v>
      </c>
      <c r="AJ61" s="419">
        <v>0.99099999999999999</v>
      </c>
      <c r="AK61" s="419">
        <v>0.99099999999999999</v>
      </c>
      <c r="AL61" s="419">
        <v>0.99199999999999999</v>
      </c>
      <c r="AM61" s="419">
        <v>0.99099999999999999</v>
      </c>
      <c r="AN61" s="419">
        <v>0.99099999999999999</v>
      </c>
      <c r="AO61" s="419">
        <v>0.99099999999999999</v>
      </c>
      <c r="AP61" s="419">
        <v>0.99099999999999999</v>
      </c>
      <c r="AQ61" s="419">
        <v>0.99199999999999999</v>
      </c>
      <c r="AR61" s="419">
        <v>0.99199999999999999</v>
      </c>
      <c r="AS61" s="419">
        <v>0.99199999999999999</v>
      </c>
      <c r="AT61" s="419">
        <v>0.99199999999999999</v>
      </c>
      <c r="AU61" s="419">
        <v>0.99199999999999999</v>
      </c>
      <c r="AV61" s="419">
        <v>0.99299999999999999</v>
      </c>
      <c r="AW61" s="419">
        <v>0.99299999999999999</v>
      </c>
      <c r="AX61" s="419">
        <v>0.99299999999999999</v>
      </c>
      <c r="AY61" s="419">
        <v>0.99299999999999999</v>
      </c>
      <c r="AZ61" s="419">
        <v>0.99199999999999999</v>
      </c>
    </row>
    <row r="63" spans="2:52">
      <c r="B63" s="750" t="s">
        <v>705</v>
      </c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751"/>
      <c r="O63" s="751"/>
      <c r="P63" s="751"/>
      <c r="Q63" s="751"/>
      <c r="R63" s="751"/>
      <c r="S63" s="751"/>
      <c r="T63" s="751"/>
      <c r="U63" s="751"/>
      <c r="V63" s="751"/>
      <c r="W63" s="751"/>
      <c r="X63" s="751"/>
      <c r="Y63" s="751"/>
      <c r="Z63" s="751"/>
      <c r="AA63" s="751"/>
      <c r="AB63" s="751"/>
      <c r="AC63" s="751"/>
      <c r="AD63" s="751"/>
      <c r="AE63" s="751"/>
      <c r="AF63" s="751"/>
      <c r="AG63" s="751"/>
      <c r="AH63" s="751"/>
      <c r="AI63" s="751"/>
      <c r="AJ63" s="751"/>
      <c r="AK63" s="751"/>
      <c r="AL63" s="751"/>
      <c r="AM63" s="751"/>
      <c r="AN63" s="751"/>
      <c r="AO63" s="751"/>
      <c r="AP63" s="751"/>
      <c r="AQ63" s="751"/>
      <c r="AR63" s="751"/>
      <c r="AS63" s="751"/>
      <c r="AT63" s="751"/>
      <c r="AU63" s="751"/>
      <c r="AV63" s="751"/>
      <c r="AW63" s="751"/>
      <c r="AX63" s="751"/>
      <c r="AY63" s="751"/>
      <c r="AZ63" s="751"/>
    </row>
    <row r="65" spans="1:52">
      <c r="B65" s="422" t="s">
        <v>702</v>
      </c>
      <c r="C65" s="494"/>
      <c r="D65" s="494"/>
      <c r="E65" s="494"/>
      <c r="F65" s="423">
        <f>+Y65+Z65+AA65+X65</f>
        <v>9462.08</v>
      </c>
      <c r="G65" s="423">
        <f>+AC65+AD65+AE65+AB65</f>
        <v>8380.7520000000004</v>
      </c>
      <c r="H65" s="423">
        <f>+AH65+AG65+AF65+AI65</f>
        <v>9450.5580000000009</v>
      </c>
      <c r="I65" s="423">
        <f>+AL65+AK65+AJ65+AM65</f>
        <v>8900.469000000001</v>
      </c>
      <c r="J65" s="423">
        <f>+AP65+AO65+AN65+AQ65</f>
        <v>9869.375</v>
      </c>
      <c r="K65" s="423">
        <f>SUM(AR65:AU65)</f>
        <v>10840.273000000001</v>
      </c>
      <c r="L65" s="423">
        <f>SUM(AV65:AY65)</f>
        <v>11649.706</v>
      </c>
      <c r="M65" s="423">
        <f>SUM(AW65:AZ65)</f>
        <v>11682.77</v>
      </c>
      <c r="N65" s="423"/>
      <c r="O65" s="423">
        <f>SUM(AG65:AJ65)</f>
        <v>9746.6749999999993</v>
      </c>
      <c r="P65" s="494"/>
      <c r="Q65" s="494"/>
      <c r="R65" s="494"/>
      <c r="S65" s="494"/>
      <c r="T65" s="494"/>
      <c r="U65" s="487">
        <v>2094.2080000000001</v>
      </c>
      <c r="V65" s="487">
        <v>2164.0529999999999</v>
      </c>
      <c r="W65" s="487">
        <v>2279.424</v>
      </c>
      <c r="X65" s="487">
        <v>2323.0920000000001</v>
      </c>
      <c r="Y65" s="487">
        <v>2367.8969999999999</v>
      </c>
      <c r="Z65" s="487">
        <v>2352.817</v>
      </c>
      <c r="AA65" s="487">
        <v>2418.2739999999999</v>
      </c>
      <c r="AB65" s="487">
        <v>2402.1289999999999</v>
      </c>
      <c r="AC65" s="487">
        <v>1962.9390000000001</v>
      </c>
      <c r="AD65" s="487">
        <v>1919.163</v>
      </c>
      <c r="AE65" s="487">
        <v>2096.5210000000002</v>
      </c>
      <c r="AF65" s="487">
        <v>2317.6840000000002</v>
      </c>
      <c r="AG65" s="487">
        <v>2093.087</v>
      </c>
      <c r="AH65" s="487">
        <v>2268.4389999999999</v>
      </c>
      <c r="AI65" s="487">
        <v>2771.348</v>
      </c>
      <c r="AJ65" s="487">
        <v>2613.8009999999999</v>
      </c>
      <c r="AK65" s="487">
        <v>2012.7349999999999</v>
      </c>
      <c r="AL65" s="487">
        <v>2091.1010000000001</v>
      </c>
      <c r="AM65" s="487">
        <v>2182.8319999999999</v>
      </c>
      <c r="AN65" s="487">
        <v>2423.8679999999999</v>
      </c>
      <c r="AO65" s="487">
        <v>2445.4499999999998</v>
      </c>
      <c r="AP65" s="487">
        <v>2471.2620000000002</v>
      </c>
      <c r="AQ65" s="487">
        <v>2528.7950000000001</v>
      </c>
      <c r="AR65" s="487">
        <v>2656.7170000000001</v>
      </c>
      <c r="AS65" s="487">
        <v>2626.8739999999998</v>
      </c>
      <c r="AT65" s="487">
        <v>2770.7890000000002</v>
      </c>
      <c r="AU65" s="487">
        <v>2785.893</v>
      </c>
      <c r="AV65" s="487">
        <v>2931.931</v>
      </c>
      <c r="AW65" s="487">
        <v>2841.2820000000002</v>
      </c>
      <c r="AX65" s="487">
        <v>2978.4479999999999</v>
      </c>
      <c r="AY65" s="487">
        <v>2898.0450000000001</v>
      </c>
      <c r="AZ65" s="487">
        <v>2964.9949999999999</v>
      </c>
    </row>
    <row r="66" spans="1:52">
      <c r="B66" s="422" t="s">
        <v>703</v>
      </c>
      <c r="C66" s="494"/>
      <c r="D66" s="494"/>
      <c r="E66" s="494"/>
      <c r="F66" s="423">
        <f>+Y66+Z66+AA66+X66</f>
        <v>4251.2359999999999</v>
      </c>
      <c r="G66" s="423">
        <f>+AC66+AD66+AE66+AB66</f>
        <v>5952.5259999999998</v>
      </c>
      <c r="H66" s="423">
        <f>+AH66+AG66+AF66+AI66</f>
        <v>6229.3469999999998</v>
      </c>
      <c r="I66" s="423">
        <f>+AL66+AK66+AJ66+AM66</f>
        <v>7220.41</v>
      </c>
      <c r="J66" s="423">
        <f t="shared" ref="J66:J69" si="41">+AP66+AO66+AN66+AQ66</f>
        <v>7414.2979999999989</v>
      </c>
      <c r="K66" s="423">
        <f t="shared" ref="K66:K69" si="42">SUM(AR66:AU66)</f>
        <v>7937.155999999999</v>
      </c>
      <c r="L66" s="423">
        <f t="shared" ref="L66:L69" si="43">SUM(AV66:AY66)</f>
        <v>8822.5929999999989</v>
      </c>
      <c r="M66" s="423">
        <f t="shared" ref="M66:M69" si="44">SUM(AW66:AZ66)</f>
        <v>9258.7749999999996</v>
      </c>
      <c r="N66" s="423"/>
      <c r="O66" s="423">
        <f>SUM(AG66:AJ66)</f>
        <v>6446.79</v>
      </c>
      <c r="P66" s="494"/>
      <c r="Q66" s="494"/>
      <c r="R66" s="494"/>
      <c r="S66" s="494"/>
      <c r="T66" s="494"/>
      <c r="U66" s="487">
        <v>931.74199999999996</v>
      </c>
      <c r="V66" s="487">
        <v>937.46799999999996</v>
      </c>
      <c r="W66" s="487">
        <v>977.56500000000005</v>
      </c>
      <c r="X66" s="487">
        <v>975.87</v>
      </c>
      <c r="Y66" s="487">
        <v>1004.297</v>
      </c>
      <c r="Z66" s="487">
        <v>1025.0530000000001</v>
      </c>
      <c r="AA66" s="487">
        <v>1246.0160000000001</v>
      </c>
      <c r="AB66" s="487">
        <v>1342.998</v>
      </c>
      <c r="AC66" s="487">
        <v>1560.7919999999999</v>
      </c>
      <c r="AD66" s="487">
        <v>1489.0329999999999</v>
      </c>
      <c r="AE66" s="487">
        <v>1559.703</v>
      </c>
      <c r="AF66" s="487">
        <v>1495.383</v>
      </c>
      <c r="AG66" s="487">
        <v>1494.6479999999999</v>
      </c>
      <c r="AH66" s="487">
        <v>1517.028</v>
      </c>
      <c r="AI66" s="487">
        <v>1722.288</v>
      </c>
      <c r="AJ66" s="487">
        <v>1712.826</v>
      </c>
      <c r="AK66" s="487">
        <v>1773.3869999999999</v>
      </c>
      <c r="AL66" s="487">
        <v>1884.4490000000001</v>
      </c>
      <c r="AM66" s="487">
        <v>1849.748</v>
      </c>
      <c r="AN66" s="487">
        <v>1854.5129999999999</v>
      </c>
      <c r="AO66" s="487">
        <v>1891.796</v>
      </c>
      <c r="AP66" s="487">
        <v>1789.7149999999999</v>
      </c>
      <c r="AQ66" s="487">
        <v>1878.2739999999999</v>
      </c>
      <c r="AR66" s="487">
        <v>1894.61</v>
      </c>
      <c r="AS66" s="487">
        <v>1915.43</v>
      </c>
      <c r="AT66" s="487">
        <v>2017.663</v>
      </c>
      <c r="AU66" s="487">
        <v>2109.453</v>
      </c>
      <c r="AV66" s="487">
        <v>2201.1759999999999</v>
      </c>
      <c r="AW66" s="487">
        <v>2188.9090000000001</v>
      </c>
      <c r="AX66" s="487">
        <v>2111.386</v>
      </c>
      <c r="AY66" s="487">
        <v>2321.1219999999998</v>
      </c>
      <c r="AZ66" s="487">
        <v>2637.3580000000002</v>
      </c>
    </row>
    <row r="67" spans="1:52">
      <c r="B67" s="422" t="s">
        <v>704</v>
      </c>
      <c r="C67" s="494"/>
      <c r="D67" s="494"/>
      <c r="E67" s="494"/>
      <c r="F67" s="423">
        <f>+Y67+Z67+AA67+X67</f>
        <v>3129.819</v>
      </c>
      <c r="G67" s="423">
        <f>+AC67+AD67+AE67+AB67</f>
        <v>3483.5919999999996</v>
      </c>
      <c r="H67" s="423">
        <f>+AH67+AG67+AF67+AI67</f>
        <v>3021.7430000000004</v>
      </c>
      <c r="I67" s="423">
        <f>+AL67+AK67+AJ67+AM67</f>
        <v>3064.2809999999999</v>
      </c>
      <c r="J67" s="423">
        <f t="shared" si="41"/>
        <v>3196.6280000000002</v>
      </c>
      <c r="K67" s="423">
        <f t="shared" si="42"/>
        <v>3466.5540000000001</v>
      </c>
      <c r="L67" s="423">
        <f t="shared" si="43"/>
        <v>3647.99</v>
      </c>
      <c r="M67" s="423">
        <f t="shared" si="44"/>
        <v>3572.19</v>
      </c>
      <c r="N67" s="423"/>
      <c r="O67" s="423">
        <f>SUM(AG67:AJ67)</f>
        <v>3038.5160000000001</v>
      </c>
      <c r="P67" s="494"/>
      <c r="Q67" s="494"/>
      <c r="R67" s="494"/>
      <c r="S67" s="494"/>
      <c r="T67" s="494"/>
      <c r="U67" s="487">
        <v>702.61500000000001</v>
      </c>
      <c r="V67" s="487">
        <v>737.024</v>
      </c>
      <c r="W67" s="487">
        <v>738.57500000000005</v>
      </c>
      <c r="X67" s="487">
        <v>752.06</v>
      </c>
      <c r="Y67" s="487">
        <v>766.50699999999995</v>
      </c>
      <c r="Z67" s="487">
        <v>799.31399999999996</v>
      </c>
      <c r="AA67" s="487">
        <v>811.93799999999999</v>
      </c>
      <c r="AB67" s="487">
        <v>802.35199999999998</v>
      </c>
      <c r="AC67" s="487">
        <v>900.947</v>
      </c>
      <c r="AD67" s="487">
        <v>896.55100000000004</v>
      </c>
      <c r="AE67" s="487">
        <v>883.74199999999996</v>
      </c>
      <c r="AF67" s="487">
        <v>809.649</v>
      </c>
      <c r="AG67" s="487">
        <v>770.42200000000003</v>
      </c>
      <c r="AH67" s="487">
        <v>723.03700000000003</v>
      </c>
      <c r="AI67" s="487">
        <v>718.63499999999999</v>
      </c>
      <c r="AJ67" s="487">
        <v>826.42200000000003</v>
      </c>
      <c r="AK67" s="487">
        <v>725.17100000000005</v>
      </c>
      <c r="AL67" s="487">
        <v>759.31700000000001</v>
      </c>
      <c r="AM67" s="487">
        <v>753.37099999999998</v>
      </c>
      <c r="AN67" s="487">
        <v>776.13400000000001</v>
      </c>
      <c r="AO67" s="487">
        <v>787.40499999999997</v>
      </c>
      <c r="AP67" s="487">
        <v>794.029</v>
      </c>
      <c r="AQ67" s="487">
        <v>839.06</v>
      </c>
      <c r="AR67" s="487">
        <v>849.99</v>
      </c>
      <c r="AS67" s="487">
        <v>895.31299999999999</v>
      </c>
      <c r="AT67" s="487">
        <v>888.33600000000001</v>
      </c>
      <c r="AU67" s="487">
        <v>832.91499999999996</v>
      </c>
      <c r="AV67" s="487">
        <v>897.77700000000004</v>
      </c>
      <c r="AW67" s="487">
        <v>933.39200000000005</v>
      </c>
      <c r="AX67" s="487">
        <v>892.29899999999998</v>
      </c>
      <c r="AY67" s="487">
        <v>924.52200000000005</v>
      </c>
      <c r="AZ67" s="487">
        <v>821.97699999999998</v>
      </c>
    </row>
    <row r="68" spans="1:52">
      <c r="B68" s="422" t="s">
        <v>3</v>
      </c>
      <c r="C68" s="494"/>
      <c r="D68" s="494"/>
      <c r="E68" s="494"/>
      <c r="F68" s="423"/>
      <c r="G68" s="423"/>
      <c r="H68" s="423"/>
      <c r="I68" s="423">
        <f>+AL68+AK68+AJ68+AM68</f>
        <v>2018.1109999999999</v>
      </c>
      <c r="J68" s="423">
        <f t="shared" si="41"/>
        <v>2786.2140000000004</v>
      </c>
      <c r="K68" s="423">
        <f t="shared" si="42"/>
        <v>3083.3149999999996</v>
      </c>
      <c r="L68" s="423">
        <f t="shared" si="43"/>
        <v>3216.8940000000002</v>
      </c>
      <c r="M68" s="423">
        <f t="shared" si="44"/>
        <v>3181.0740000000005</v>
      </c>
      <c r="N68" s="423"/>
      <c r="O68" s="423"/>
      <c r="P68" s="494"/>
      <c r="Q68" s="494"/>
      <c r="R68" s="494"/>
      <c r="S68" s="494"/>
      <c r="T68" s="494"/>
      <c r="U68" s="487"/>
      <c r="V68" s="487"/>
      <c r="W68" s="487"/>
      <c r="X68" s="487"/>
      <c r="Y68" s="487"/>
      <c r="Z68" s="487"/>
      <c r="AA68" s="487"/>
      <c r="AB68" s="487"/>
      <c r="AC68" s="487"/>
      <c r="AD68" s="487"/>
      <c r="AE68" s="487"/>
      <c r="AF68" s="487"/>
      <c r="AG68" s="487"/>
      <c r="AH68" s="487"/>
      <c r="AI68" s="487"/>
      <c r="AJ68" s="487"/>
      <c r="AK68" s="487">
        <v>612.62300000000005</v>
      </c>
      <c r="AL68" s="487">
        <v>641.96400000000006</v>
      </c>
      <c r="AM68" s="487">
        <v>763.524</v>
      </c>
      <c r="AN68" s="487">
        <v>672.17899999999997</v>
      </c>
      <c r="AO68" s="487">
        <v>645.86300000000006</v>
      </c>
      <c r="AP68" s="487">
        <v>673.58199999999999</v>
      </c>
      <c r="AQ68" s="487">
        <v>794.59</v>
      </c>
      <c r="AR68" s="487">
        <v>703.27599999999995</v>
      </c>
      <c r="AS68" s="487">
        <v>706.125</v>
      </c>
      <c r="AT68" s="487">
        <v>721.13800000000003</v>
      </c>
      <c r="AU68" s="487">
        <v>952.77599999999995</v>
      </c>
      <c r="AV68" s="487">
        <v>800.07799999999997</v>
      </c>
      <c r="AW68" s="487">
        <v>756.22199999999998</v>
      </c>
      <c r="AX68" s="487">
        <v>739.04200000000003</v>
      </c>
      <c r="AY68" s="487">
        <v>921.55200000000002</v>
      </c>
      <c r="AZ68" s="487">
        <v>764.25800000000004</v>
      </c>
    </row>
    <row r="69" spans="1:52">
      <c r="B69" s="422" t="s">
        <v>706</v>
      </c>
      <c r="C69" s="494"/>
      <c r="D69" s="494"/>
      <c r="E69" s="494"/>
      <c r="F69" s="423"/>
      <c r="G69" s="423"/>
      <c r="H69" s="423">
        <f>+AH69+AG69+AF69+AI69</f>
        <v>809.62300000000005</v>
      </c>
      <c r="I69" s="423">
        <f>+AL69+AK69+AJ69+AM69</f>
        <v>0</v>
      </c>
      <c r="J69" s="423">
        <f t="shared" si="41"/>
        <v>0</v>
      </c>
      <c r="K69" s="423">
        <f t="shared" si="42"/>
        <v>9.9999999999766942E-4</v>
      </c>
      <c r="L69" s="423">
        <f t="shared" si="43"/>
        <v>-74</v>
      </c>
      <c r="M69" s="423">
        <f t="shared" si="44"/>
        <v>-74</v>
      </c>
      <c r="N69" s="423"/>
      <c r="O69" s="423">
        <f>SUM(AG69:AJ69)</f>
        <v>658.51900000000001</v>
      </c>
      <c r="P69" s="494"/>
      <c r="Q69" s="494"/>
      <c r="R69" s="494"/>
      <c r="S69" s="494"/>
      <c r="T69" s="494"/>
      <c r="U69" s="487"/>
      <c r="V69" s="487"/>
      <c r="W69" s="487"/>
      <c r="X69" s="487"/>
      <c r="Y69" s="487"/>
      <c r="Z69" s="487"/>
      <c r="AA69" s="487"/>
      <c r="AB69" s="487"/>
      <c r="AC69" s="487"/>
      <c r="AD69" s="487"/>
      <c r="AE69" s="487"/>
      <c r="AF69" s="487">
        <v>151.10400000000001</v>
      </c>
      <c r="AG69" s="487">
        <v>382.72</v>
      </c>
      <c r="AH69" s="487">
        <v>282.72500000000002</v>
      </c>
      <c r="AI69" s="487">
        <v>-6.9260000000000002</v>
      </c>
      <c r="AJ69" s="487">
        <v>0</v>
      </c>
      <c r="AK69" s="487">
        <v>0</v>
      </c>
      <c r="AL69" s="487">
        <v>0</v>
      </c>
      <c r="AM69" s="487">
        <v>0</v>
      </c>
      <c r="AN69" s="487">
        <v>0</v>
      </c>
      <c r="AO69" s="487">
        <v>0</v>
      </c>
      <c r="AP69" s="487">
        <v>0</v>
      </c>
      <c r="AQ69" s="487">
        <v>0</v>
      </c>
      <c r="AR69" s="487">
        <v>0</v>
      </c>
      <c r="AS69" s="487">
        <v>-74</v>
      </c>
      <c r="AT69" s="487">
        <v>16.058</v>
      </c>
      <c r="AU69" s="487">
        <v>57.942999999999998</v>
      </c>
      <c r="AV69" s="487">
        <v>0</v>
      </c>
      <c r="AW69" s="487">
        <v>-74</v>
      </c>
      <c r="AX69" s="487">
        <v>0</v>
      </c>
      <c r="AY69" s="487">
        <v>0</v>
      </c>
      <c r="AZ69" s="487">
        <v>0</v>
      </c>
    </row>
    <row r="70" spans="1:52" s="424" customFormat="1">
      <c r="B70" s="424" t="s">
        <v>707</v>
      </c>
      <c r="C70" s="584"/>
      <c r="D70" s="584"/>
      <c r="E70" s="584"/>
      <c r="F70" s="479">
        <f>+F65+F66+F67</f>
        <v>16843.134999999998</v>
      </c>
      <c r="G70" s="479">
        <f>+G65+G66+G67+G69</f>
        <v>17816.87</v>
      </c>
      <c r="H70" s="479">
        <f>+H65+H66+H67+H69</f>
        <v>19511.271000000001</v>
      </c>
      <c r="I70" s="479">
        <f>+I65+I66+I67+I69+I68</f>
        <v>21203.271000000001</v>
      </c>
      <c r="J70" s="479">
        <f>+J65+J66+J67+J69+J68</f>
        <v>23266.514999999999</v>
      </c>
      <c r="K70" s="479">
        <f>+K65+K66+K67+K69+K68</f>
        <v>25327.298999999999</v>
      </c>
      <c r="L70" s="479">
        <f>+L65+L66+L67+L69+L68</f>
        <v>27263.182999999997</v>
      </c>
      <c r="M70" s="479">
        <f>+M65+M66+M67+M69+M68</f>
        <v>27620.808999999997</v>
      </c>
      <c r="N70" s="479"/>
      <c r="O70" s="479">
        <f>+O65+O66+O67+O69</f>
        <v>19890.5</v>
      </c>
      <c r="P70" s="584"/>
      <c r="Q70" s="584"/>
      <c r="R70" s="584"/>
      <c r="S70" s="584"/>
      <c r="T70" s="584"/>
      <c r="U70" s="479">
        <f t="shared" ref="U70:Z70" si="45">+U65+U66+U67</f>
        <v>3728.5649999999996</v>
      </c>
      <c r="V70" s="479">
        <f t="shared" si="45"/>
        <v>3838.5449999999996</v>
      </c>
      <c r="W70" s="479">
        <f t="shared" si="45"/>
        <v>3995.5640000000003</v>
      </c>
      <c r="X70" s="479">
        <f t="shared" si="45"/>
        <v>4051.0219999999999</v>
      </c>
      <c r="Y70" s="479">
        <f t="shared" si="45"/>
        <v>4138.701</v>
      </c>
      <c r="Z70" s="479">
        <f t="shared" si="45"/>
        <v>4177.1840000000002</v>
      </c>
      <c r="AA70" s="479">
        <f>+AA65+AA66+AA67</f>
        <v>4476.2280000000001</v>
      </c>
      <c r="AB70" s="479">
        <f>+AB65+AB66+AB67</f>
        <v>4547.4790000000003</v>
      </c>
      <c r="AC70" s="479">
        <f>+AC65+AC66+AC67</f>
        <v>4424.6779999999999</v>
      </c>
      <c r="AD70" s="479">
        <f>+AD65+AD66+AD67</f>
        <v>4304.7470000000003</v>
      </c>
      <c r="AE70" s="479">
        <f>+AE65+AE66+AE67</f>
        <v>4539.9660000000003</v>
      </c>
      <c r="AF70" s="588">
        <f>+AF65+AF66+AF67+AF69</f>
        <v>4773.8200000000006</v>
      </c>
      <c r="AG70" s="588">
        <f>+AG65+AG66+AG67+AG69</f>
        <v>4740.8769999999995</v>
      </c>
      <c r="AH70" s="588">
        <f>+AH65+AH66+AH67+AH69</f>
        <v>4791.2290000000003</v>
      </c>
      <c r="AI70" s="588">
        <f>+AI65+AI66+AI67+AI69</f>
        <v>5205.3450000000003</v>
      </c>
      <c r="AJ70" s="588">
        <f>+AJ65+AJ66+AJ67+AJ69</f>
        <v>5153.0490000000009</v>
      </c>
      <c r="AK70" s="588">
        <f>+AK65+AK66+AK67+AK68+AK69</f>
        <v>5123.9159999999993</v>
      </c>
      <c r="AL70" s="588">
        <f>+AL65+AL66+AL67+AL69+AL68</f>
        <v>5376.8310000000001</v>
      </c>
      <c r="AM70" s="588">
        <f>+AM65+AM66+AM67+AM69+AM68</f>
        <v>5549.4750000000004</v>
      </c>
      <c r="AN70" s="588">
        <f>+AN65+AN66+AN67+AN69+AN68</f>
        <v>5726.6939999999995</v>
      </c>
      <c r="AO70" s="588">
        <f>+AO65+AO66+AO67+AO68+AO69</f>
        <v>5770.5140000000001</v>
      </c>
      <c r="AP70" s="588">
        <f>+AP65+AP66+AP67+AP69+AP68</f>
        <v>5728.5879999999997</v>
      </c>
      <c r="AQ70" s="588">
        <f>+AQ65+AQ66+AQ67+AQ69+AQ68</f>
        <v>6040.7189999999991</v>
      </c>
      <c r="AR70" s="588">
        <f>+AR65+AR66+AR67+AR69+AR68</f>
        <v>6104.5929999999998</v>
      </c>
      <c r="AS70" s="588">
        <f>+AS65+AS66+AS67+AS68+AS69</f>
        <v>6069.7420000000002</v>
      </c>
      <c r="AT70" s="588">
        <f>+AT65+AT66+AT67+AT69+AT68</f>
        <v>6413.9840000000004</v>
      </c>
      <c r="AU70" s="588">
        <f>+AU65+AU66+AU67+AU69+AU68</f>
        <v>6738.98</v>
      </c>
      <c r="AV70" s="588">
        <f>+AV65+AV66+AV67+AV69+AV68</f>
        <v>6830.9619999999995</v>
      </c>
      <c r="AW70" s="588">
        <f>+AW65+AW66+AW67+AW68+AW69</f>
        <v>6645.8050000000003</v>
      </c>
      <c r="AX70" s="588">
        <f>+AX65+AX66+AX67+AX69+AX68</f>
        <v>6721.1750000000002</v>
      </c>
      <c r="AY70" s="588">
        <f>+AY65+AY66+AY67+AY69+AY68</f>
        <v>7065.2409999999991</v>
      </c>
      <c r="AZ70" s="588">
        <f>+AZ65+AZ66+AZ67+AZ69+AZ68</f>
        <v>7188.5879999999997</v>
      </c>
    </row>
    <row r="71" spans="1:52">
      <c r="B71" s="435"/>
      <c r="C71" s="487"/>
      <c r="D71" s="487"/>
      <c r="E71" s="487"/>
      <c r="F71" s="487"/>
      <c r="G71" s="487"/>
      <c r="H71" s="487"/>
      <c r="I71" s="487"/>
      <c r="J71" s="487"/>
      <c r="K71" s="487"/>
      <c r="L71" s="487"/>
      <c r="M71" s="487"/>
      <c r="N71" s="423"/>
      <c r="O71" s="423"/>
      <c r="P71" s="487"/>
      <c r="Q71" s="487"/>
      <c r="R71" s="487"/>
      <c r="S71" s="423"/>
      <c r="T71" s="487"/>
      <c r="U71" s="487"/>
      <c r="V71" s="487"/>
      <c r="W71" s="423"/>
      <c r="X71" s="487"/>
      <c r="Y71" s="487"/>
      <c r="Z71" s="487"/>
      <c r="AA71" s="487"/>
      <c r="AB71" s="487"/>
      <c r="AC71" s="487"/>
      <c r="AD71" s="487"/>
      <c r="AE71" s="487"/>
      <c r="AF71" s="487"/>
      <c r="AG71" s="487"/>
      <c r="AH71" s="487"/>
      <c r="AI71" s="487"/>
      <c r="AJ71" s="487"/>
      <c r="AK71" s="487"/>
      <c r="AL71" s="487"/>
      <c r="AM71" s="487"/>
      <c r="AN71" s="487"/>
      <c r="AO71" s="487"/>
      <c r="AP71" s="487"/>
      <c r="AQ71" s="487"/>
      <c r="AR71" s="487"/>
      <c r="AS71" s="487"/>
      <c r="AT71" s="487"/>
      <c r="AU71" s="487"/>
      <c r="AV71" s="487"/>
      <c r="AW71" s="487"/>
      <c r="AX71" s="487"/>
      <c r="AY71" s="487"/>
      <c r="AZ71" s="487"/>
    </row>
    <row r="72" spans="1:52">
      <c r="B72" s="485" t="s">
        <v>708</v>
      </c>
      <c r="C72" s="487"/>
      <c r="D72" s="487"/>
      <c r="E72" s="487"/>
      <c r="F72" s="487"/>
      <c r="G72" s="487"/>
      <c r="H72" s="487"/>
      <c r="I72" s="487"/>
      <c r="J72" s="487"/>
      <c r="K72" s="487"/>
      <c r="L72" s="487"/>
      <c r="M72" s="487"/>
      <c r="N72" s="423"/>
      <c r="O72" s="423"/>
      <c r="P72" s="487"/>
      <c r="Q72" s="487"/>
      <c r="R72" s="487"/>
      <c r="S72" s="423"/>
      <c r="T72" s="487"/>
      <c r="U72" s="487"/>
      <c r="V72" s="487"/>
      <c r="W72" s="423"/>
      <c r="X72" s="487"/>
      <c r="Y72" s="487"/>
      <c r="Z72" s="487"/>
      <c r="AA72" s="487"/>
      <c r="AB72" s="487"/>
      <c r="AC72" s="487"/>
      <c r="AD72" s="487"/>
      <c r="AE72" s="487"/>
      <c r="AF72" s="487"/>
      <c r="AG72" s="487"/>
      <c r="AH72" s="487"/>
      <c r="AI72" s="487"/>
      <c r="AJ72" s="487"/>
      <c r="AK72" s="487"/>
      <c r="AL72" s="487"/>
      <c r="AM72" s="487"/>
      <c r="AN72" s="487"/>
      <c r="AO72" s="487"/>
      <c r="AP72" s="487"/>
      <c r="AQ72" s="487"/>
      <c r="AR72" s="487"/>
      <c r="AS72" s="487"/>
      <c r="AT72" s="487"/>
      <c r="AU72" s="487"/>
      <c r="AV72" s="487"/>
      <c r="AW72" s="487"/>
      <c r="AX72" s="487"/>
      <c r="AY72" s="487"/>
      <c r="AZ72" s="487"/>
    </row>
    <row r="73" spans="1:52">
      <c r="B73" s="422" t="s">
        <v>702</v>
      </c>
      <c r="C73" s="494"/>
      <c r="D73" s="494"/>
      <c r="E73" s="494"/>
      <c r="F73" s="562">
        <f t="shared" ref="F73:M75" si="46">F65/F$70</f>
        <v>0.56177665262434817</v>
      </c>
      <c r="G73" s="562">
        <f t="shared" si="46"/>
        <v>0.47038295727588519</v>
      </c>
      <c r="H73" s="562">
        <f t="shared" si="46"/>
        <v>0.48436403758627516</v>
      </c>
      <c r="I73" s="562">
        <f t="shared" si="46"/>
        <v>0.41976867625754538</v>
      </c>
      <c r="J73" s="562">
        <f t="shared" si="46"/>
        <v>0.42418793704170993</v>
      </c>
      <c r="K73" s="562">
        <f t="shared" si="46"/>
        <v>0.42800746340934348</v>
      </c>
      <c r="L73" s="562">
        <f>L65/L$70</f>
        <v>0.42730542504886537</v>
      </c>
      <c r="M73" s="562">
        <f t="shared" si="46"/>
        <v>0.42296987028873778</v>
      </c>
      <c r="N73" s="738"/>
      <c r="O73" s="562">
        <f>O65/O$70</f>
        <v>0.49001659083482063</v>
      </c>
      <c r="P73" s="494"/>
      <c r="Q73" s="494"/>
      <c r="R73" s="494"/>
      <c r="S73" s="495"/>
      <c r="T73" s="494"/>
      <c r="U73" s="562">
        <f t="shared" ref="U73:AX73" si="47">U65/U$70</f>
        <v>0.56166594923247959</v>
      </c>
      <c r="V73" s="562">
        <f t="shared" si="47"/>
        <v>0.56376908437962825</v>
      </c>
      <c r="W73" s="562">
        <f t="shared" si="47"/>
        <v>0.57048867193717823</v>
      </c>
      <c r="X73" s="562">
        <f t="shared" si="47"/>
        <v>0.57345825325066124</v>
      </c>
      <c r="Y73" s="562">
        <f t="shared" si="47"/>
        <v>0.57213531492127601</v>
      </c>
      <c r="Z73" s="562">
        <f t="shared" si="47"/>
        <v>0.5632543359354053</v>
      </c>
      <c r="AA73" s="562">
        <f t="shared" si="47"/>
        <v>0.54024817323871788</v>
      </c>
      <c r="AB73" s="562">
        <f t="shared" si="47"/>
        <v>0.52823311553500296</v>
      </c>
      <c r="AC73" s="562">
        <f t="shared" si="47"/>
        <v>0.44363431644065404</v>
      </c>
      <c r="AD73" s="562">
        <f t="shared" si="47"/>
        <v>0.44582480689341319</v>
      </c>
      <c r="AE73" s="562">
        <f t="shared" si="47"/>
        <v>0.46179222487569288</v>
      </c>
      <c r="AF73" s="562">
        <f t="shared" si="47"/>
        <v>0.48549882484048412</v>
      </c>
      <c r="AG73" s="562">
        <f t="shared" si="47"/>
        <v>0.44149784944853032</v>
      </c>
      <c r="AH73" s="562">
        <f t="shared" si="47"/>
        <v>0.47345660163603109</v>
      </c>
      <c r="AI73" s="562">
        <f t="shared" si="47"/>
        <v>0.53240428828444608</v>
      </c>
      <c r="AJ73" s="562">
        <f t="shared" si="47"/>
        <v>0.50723387260629571</v>
      </c>
      <c r="AK73" s="562">
        <f t="shared" si="47"/>
        <v>0.39281186498763843</v>
      </c>
      <c r="AL73" s="562">
        <f t="shared" si="47"/>
        <v>0.38890956401642529</v>
      </c>
      <c r="AM73" s="562">
        <f t="shared" si="47"/>
        <v>0.39334027092652901</v>
      </c>
      <c r="AN73" s="562">
        <f t="shared" si="47"/>
        <v>0.42325781681367997</v>
      </c>
      <c r="AO73" s="562">
        <f t="shared" si="47"/>
        <v>0.42378373919550316</v>
      </c>
      <c r="AP73" s="562">
        <f t="shared" si="47"/>
        <v>0.43139112116284156</v>
      </c>
      <c r="AQ73" s="562">
        <f t="shared" si="47"/>
        <v>0.41862483588460253</v>
      </c>
      <c r="AR73" s="562">
        <f t="shared" si="47"/>
        <v>0.43519969308355205</v>
      </c>
      <c r="AS73" s="562">
        <f t="shared" si="47"/>
        <v>0.43278182169851698</v>
      </c>
      <c r="AT73" s="562">
        <f t="shared" si="47"/>
        <v>0.43199187899439723</v>
      </c>
      <c r="AU73" s="562">
        <f t="shared" si="47"/>
        <v>0.41339980234397494</v>
      </c>
      <c r="AV73" s="562">
        <f t="shared" si="47"/>
        <v>0.42921202021033056</v>
      </c>
      <c r="AW73" s="562">
        <f t="shared" si="47"/>
        <v>0.42753014871787542</v>
      </c>
      <c r="AX73" s="562">
        <f t="shared" si="47"/>
        <v>0.44314394432521098</v>
      </c>
      <c r="AY73" s="562">
        <f t="shared" ref="AY73:AZ73" si="48">AY65/AY$70</f>
        <v>0.41018346012542256</v>
      </c>
      <c r="AZ73" s="562">
        <f t="shared" si="48"/>
        <v>0.41245860800479872</v>
      </c>
    </row>
    <row r="74" spans="1:52">
      <c r="B74" s="422" t="s">
        <v>703</v>
      </c>
      <c r="C74" s="494"/>
      <c r="D74" s="494"/>
      <c r="E74" s="494"/>
      <c r="F74" s="562">
        <f t="shared" si="46"/>
        <v>0.25240170550197455</v>
      </c>
      <c r="G74" s="562">
        <f t="shared" si="46"/>
        <v>0.33409493362189879</v>
      </c>
      <c r="H74" s="562">
        <f t="shared" si="46"/>
        <v>0.31926915473625472</v>
      </c>
      <c r="I74" s="562">
        <f t="shared" si="46"/>
        <v>0.34053283571199933</v>
      </c>
      <c r="J74" s="562">
        <f t="shared" si="46"/>
        <v>0.31866818043011597</v>
      </c>
      <c r="K74" s="562">
        <f t="shared" si="46"/>
        <v>0.31338343658358514</v>
      </c>
      <c r="L74" s="562">
        <f t="shared" ref="L74" si="49">L66/L$70</f>
        <v>0.3236083255575844</v>
      </c>
      <c r="M74" s="562">
        <f t="shared" si="46"/>
        <v>0.33521013088356683</v>
      </c>
      <c r="N74" s="738"/>
      <c r="O74" s="562">
        <f>O66/O$70</f>
        <v>0.32411402428294916</v>
      </c>
      <c r="P74" s="494"/>
      <c r="Q74" s="494"/>
      <c r="R74" s="494"/>
      <c r="S74" s="495"/>
      <c r="T74" s="494"/>
      <c r="U74" s="562">
        <f t="shared" ref="U74:AX74" si="50">U66/U$70</f>
        <v>0.24989292127132021</v>
      </c>
      <c r="V74" s="562">
        <f t="shared" si="50"/>
        <v>0.24422482998115172</v>
      </c>
      <c r="W74" s="562">
        <f t="shared" si="50"/>
        <v>0.24466258080210954</v>
      </c>
      <c r="X74" s="562">
        <f t="shared" si="50"/>
        <v>0.24089476680205638</v>
      </c>
      <c r="Y74" s="562">
        <f t="shared" si="50"/>
        <v>0.24265995538213561</v>
      </c>
      <c r="Z74" s="562">
        <f t="shared" si="50"/>
        <v>0.24539330802760906</v>
      </c>
      <c r="AA74" s="562">
        <f t="shared" si="50"/>
        <v>0.27836294308511544</v>
      </c>
      <c r="AB74" s="562">
        <f t="shared" si="50"/>
        <v>0.29532802680342229</v>
      </c>
      <c r="AC74" s="562">
        <f t="shared" si="50"/>
        <v>0.35274702475524772</v>
      </c>
      <c r="AD74" s="562">
        <f t="shared" si="50"/>
        <v>0.34590488128570618</v>
      </c>
      <c r="AE74" s="562">
        <f t="shared" si="50"/>
        <v>0.34354948913714328</v>
      </c>
      <c r="AF74" s="562">
        <f t="shared" si="50"/>
        <v>0.31324662429668482</v>
      </c>
      <c r="AG74" s="562">
        <f t="shared" si="50"/>
        <v>0.31526825100081696</v>
      </c>
      <c r="AH74" s="562">
        <f t="shared" si="50"/>
        <v>0.31662606817582711</v>
      </c>
      <c r="AI74" s="562">
        <f t="shared" si="50"/>
        <v>0.33086913547517022</v>
      </c>
      <c r="AJ74" s="562">
        <f t="shared" si="50"/>
        <v>0.33239078456269283</v>
      </c>
      <c r="AK74" s="562">
        <f t="shared" si="50"/>
        <v>0.34609993606452566</v>
      </c>
      <c r="AL74" s="562">
        <f t="shared" si="50"/>
        <v>0.3504757728111596</v>
      </c>
      <c r="AM74" s="562">
        <f t="shared" si="50"/>
        <v>0.3333194581469418</v>
      </c>
      <c r="AN74" s="562">
        <f t="shared" si="50"/>
        <v>0.32383658005823257</v>
      </c>
      <c r="AO74" s="562">
        <f t="shared" si="50"/>
        <v>0.3278383866671149</v>
      </c>
      <c r="AP74" s="562">
        <f t="shared" si="50"/>
        <v>0.31241817355341317</v>
      </c>
      <c r="AQ74" s="562">
        <f t="shared" si="50"/>
        <v>0.31093550287639604</v>
      </c>
      <c r="AR74" s="562">
        <f t="shared" si="50"/>
        <v>0.31035811887868692</v>
      </c>
      <c r="AS74" s="562">
        <f t="shared" si="50"/>
        <v>0.31557024993813576</v>
      </c>
      <c r="AT74" s="562">
        <f t="shared" si="50"/>
        <v>0.31457250283131355</v>
      </c>
      <c r="AU74" s="562">
        <f t="shared" si="50"/>
        <v>0.31302259392370951</v>
      </c>
      <c r="AV74" s="562">
        <f t="shared" si="50"/>
        <v>0.32223514052632707</v>
      </c>
      <c r="AW74" s="562">
        <f t="shared" si="50"/>
        <v>0.32936702175282001</v>
      </c>
      <c r="AX74" s="562">
        <f t="shared" si="50"/>
        <v>0.31413941758695463</v>
      </c>
      <c r="AY74" s="562">
        <f t="shared" ref="AY74:AZ74" si="51">AY66/AY$70</f>
        <v>0.32852693913767417</v>
      </c>
      <c r="AZ74" s="562">
        <f t="shared" si="51"/>
        <v>0.36688122897013992</v>
      </c>
    </row>
    <row r="75" spans="1:52">
      <c r="B75" s="422" t="s">
        <v>704</v>
      </c>
      <c r="C75" s="494"/>
      <c r="D75" s="494"/>
      <c r="E75" s="494"/>
      <c r="F75" s="562">
        <f t="shared" si="46"/>
        <v>0.18582164187367733</v>
      </c>
      <c r="G75" s="562">
        <f t="shared" si="46"/>
        <v>0.19552210910221604</v>
      </c>
      <c r="H75" s="562">
        <f t="shared" si="46"/>
        <v>0.15487166366558081</v>
      </c>
      <c r="I75" s="562">
        <f t="shared" si="46"/>
        <v>0.14451925837291801</v>
      </c>
      <c r="J75" s="562">
        <f t="shared" si="46"/>
        <v>0.13739178385761686</v>
      </c>
      <c r="K75" s="562">
        <f t="shared" si="46"/>
        <v>0.13687026003049121</v>
      </c>
      <c r="L75" s="562">
        <f t="shared" ref="L75" si="52">L67/L$70</f>
        <v>0.13380645979598202</v>
      </c>
      <c r="M75" s="562">
        <f t="shared" si="46"/>
        <v>0.12932966590515146</v>
      </c>
      <c r="N75" s="738"/>
      <c r="O75" s="562">
        <f>O67/O$70</f>
        <v>0.15276217289660893</v>
      </c>
      <c r="P75" s="494"/>
      <c r="Q75" s="494"/>
      <c r="R75" s="494"/>
      <c r="S75" s="495"/>
      <c r="T75" s="494"/>
      <c r="U75" s="562">
        <f t="shared" ref="U75:AX75" si="53">U67/U$70</f>
        <v>0.18844112949620032</v>
      </c>
      <c r="V75" s="562">
        <f t="shared" si="53"/>
        <v>0.19200608563922009</v>
      </c>
      <c r="W75" s="562">
        <f t="shared" si="53"/>
        <v>0.18484874726071213</v>
      </c>
      <c r="X75" s="562">
        <f t="shared" si="53"/>
        <v>0.18564697994728244</v>
      </c>
      <c r="Y75" s="562">
        <f t="shared" si="53"/>
        <v>0.18520472969658835</v>
      </c>
      <c r="Z75" s="562">
        <f t="shared" si="53"/>
        <v>0.19135235603698567</v>
      </c>
      <c r="AA75" s="562">
        <f t="shared" si="53"/>
        <v>0.18138888367616662</v>
      </c>
      <c r="AB75" s="562">
        <f t="shared" si="53"/>
        <v>0.17643885766157466</v>
      </c>
      <c r="AC75" s="562">
        <f t="shared" si="53"/>
        <v>0.2036186588040983</v>
      </c>
      <c r="AD75" s="562">
        <f t="shared" si="53"/>
        <v>0.20827031182088052</v>
      </c>
      <c r="AE75" s="562">
        <f t="shared" si="53"/>
        <v>0.19465828598716375</v>
      </c>
      <c r="AF75" s="562">
        <f t="shared" si="53"/>
        <v>0.16960191209555447</v>
      </c>
      <c r="AG75" s="562">
        <f t="shared" si="53"/>
        <v>0.16250621984075944</v>
      </c>
      <c r="AH75" s="562">
        <f t="shared" si="53"/>
        <v>0.15090846210857381</v>
      </c>
      <c r="AI75" s="562">
        <f t="shared" si="53"/>
        <v>0.13805713165986117</v>
      </c>
      <c r="AJ75" s="562">
        <f t="shared" si="53"/>
        <v>0.16037534283101129</v>
      </c>
      <c r="AK75" s="562">
        <f t="shared" si="53"/>
        <v>0.14152671511398707</v>
      </c>
      <c r="AL75" s="562">
        <f t="shared" si="53"/>
        <v>0.14122017225387964</v>
      </c>
      <c r="AM75" s="562">
        <f t="shared" si="53"/>
        <v>0.13575536424616741</v>
      </c>
      <c r="AN75" s="562">
        <f t="shared" si="53"/>
        <v>0.13552915521590644</v>
      </c>
      <c r="AO75" s="562">
        <f t="shared" si="53"/>
        <v>0.13645318250679228</v>
      </c>
      <c r="AP75" s="562">
        <f t="shared" si="53"/>
        <v>0.13860815265472051</v>
      </c>
      <c r="AQ75" s="562">
        <f t="shared" si="53"/>
        <v>0.13890068384243665</v>
      </c>
      <c r="AR75" s="562">
        <f t="shared" si="53"/>
        <v>0.13923778374741771</v>
      </c>
      <c r="AS75" s="562">
        <f t="shared" si="53"/>
        <v>0.14750429260419964</v>
      </c>
      <c r="AT75" s="562">
        <f t="shared" si="53"/>
        <v>0.13849987776707892</v>
      </c>
      <c r="AU75" s="562">
        <f t="shared" si="53"/>
        <v>0.12359659770469715</v>
      </c>
      <c r="AV75" s="562">
        <f t="shared" si="53"/>
        <v>0.13142760858573069</v>
      </c>
      <c r="AW75" s="562">
        <f t="shared" si="53"/>
        <v>0.14044829783600332</v>
      </c>
      <c r="AX75" s="562">
        <f t="shared" si="53"/>
        <v>0.13275937615074745</v>
      </c>
      <c r="AY75" s="562">
        <f t="shared" ref="AY75:AZ75" si="54">AY67/AY$70</f>
        <v>0.13085498428149869</v>
      </c>
      <c r="AZ75" s="562">
        <f t="shared" si="54"/>
        <v>0.11434470858532997</v>
      </c>
    </row>
    <row r="76" spans="1:52">
      <c r="B76" s="422" t="s">
        <v>3</v>
      </c>
      <c r="C76" s="494"/>
      <c r="D76" s="494"/>
      <c r="E76" s="494"/>
      <c r="F76" s="562">
        <f t="shared" ref="F76:G77" si="55">F68/F$70</f>
        <v>0</v>
      </c>
      <c r="G76" s="562">
        <f t="shared" si="55"/>
        <v>0</v>
      </c>
      <c r="H76" s="562">
        <f t="shared" ref="H76:M76" si="56">H68/H$70</f>
        <v>0</v>
      </c>
      <c r="I76" s="562">
        <f t="shared" si="56"/>
        <v>9.5179229657537265E-2</v>
      </c>
      <c r="J76" s="562">
        <f t="shared" si="56"/>
        <v>0.11975209867055725</v>
      </c>
      <c r="K76" s="562">
        <f t="shared" si="56"/>
        <v>0.12173880049349121</v>
      </c>
      <c r="L76" s="562">
        <f t="shared" ref="L76" si="57">L68/L$70</f>
        <v>0.11799407281240787</v>
      </c>
      <c r="M76" s="562">
        <f t="shared" si="56"/>
        <v>0.11516947240756058</v>
      </c>
      <c r="N76" s="738"/>
      <c r="O76" s="562"/>
      <c r="P76" s="494"/>
      <c r="Q76" s="494"/>
      <c r="R76" s="494"/>
      <c r="S76" s="495"/>
      <c r="T76" s="494"/>
      <c r="U76" s="562">
        <f t="shared" ref="U76:AV76" si="58">U68/U$70</f>
        <v>0</v>
      </c>
      <c r="V76" s="562">
        <f t="shared" si="58"/>
        <v>0</v>
      </c>
      <c r="W76" s="562">
        <f t="shared" si="58"/>
        <v>0</v>
      </c>
      <c r="X76" s="562">
        <f t="shared" si="58"/>
        <v>0</v>
      </c>
      <c r="Y76" s="562">
        <f t="shared" si="58"/>
        <v>0</v>
      </c>
      <c r="Z76" s="562">
        <f t="shared" si="58"/>
        <v>0</v>
      </c>
      <c r="AA76" s="562">
        <f t="shared" si="58"/>
        <v>0</v>
      </c>
      <c r="AB76" s="562">
        <f t="shared" si="58"/>
        <v>0</v>
      </c>
      <c r="AC76" s="562">
        <f t="shared" si="58"/>
        <v>0</v>
      </c>
      <c r="AD76" s="562">
        <f t="shared" si="58"/>
        <v>0</v>
      </c>
      <c r="AE76" s="562">
        <f t="shared" si="58"/>
        <v>0</v>
      </c>
      <c r="AF76" s="562">
        <f t="shared" si="58"/>
        <v>0</v>
      </c>
      <c r="AG76" s="562">
        <f t="shared" si="58"/>
        <v>0</v>
      </c>
      <c r="AH76" s="562">
        <f t="shared" si="58"/>
        <v>0</v>
      </c>
      <c r="AI76" s="562">
        <f t="shared" si="58"/>
        <v>0</v>
      </c>
      <c r="AJ76" s="562">
        <f t="shared" si="58"/>
        <v>0</v>
      </c>
      <c r="AK76" s="562">
        <f t="shared" si="58"/>
        <v>0.11956148383384899</v>
      </c>
      <c r="AL76" s="562">
        <f t="shared" si="58"/>
        <v>0.11939449091853548</v>
      </c>
      <c r="AM76" s="562">
        <f t="shared" si="58"/>
        <v>0.13758490668036163</v>
      </c>
      <c r="AN76" s="562">
        <f t="shared" si="58"/>
        <v>0.1173764479121811</v>
      </c>
      <c r="AO76" s="562">
        <f t="shared" si="58"/>
        <v>0.11192469163058959</v>
      </c>
      <c r="AP76" s="562">
        <f t="shared" si="58"/>
        <v>0.11758255262902481</v>
      </c>
      <c r="AQ76" s="562">
        <f t="shared" si="58"/>
        <v>0.13153897739656489</v>
      </c>
      <c r="AR76" s="562">
        <f t="shared" si="58"/>
        <v>0.11520440429034334</v>
      </c>
      <c r="AS76" s="562">
        <f t="shared" si="58"/>
        <v>0.11633525774242134</v>
      </c>
      <c r="AT76" s="562">
        <f t="shared" si="58"/>
        <v>0.1124321482560605</v>
      </c>
      <c r="AU76" s="562">
        <f t="shared" si="58"/>
        <v>0.14138282054554249</v>
      </c>
      <c r="AV76" s="562">
        <f t="shared" si="58"/>
        <v>0.11712523067761174</v>
      </c>
      <c r="AW76" s="562">
        <f>AW68/AW$70</f>
        <v>0.11378937540297977</v>
      </c>
      <c r="AX76" s="562">
        <f>AX68/AX$70</f>
        <v>0.10995726193708689</v>
      </c>
      <c r="AY76" s="562">
        <f t="shared" ref="AY76:AZ76" si="59">AY68/AY$70</f>
        <v>0.13043461645540472</v>
      </c>
      <c r="AZ76" s="562">
        <f t="shared" si="59"/>
        <v>0.10631545443973142</v>
      </c>
    </row>
    <row r="77" spans="1:52">
      <c r="A77" s="422" t="s">
        <v>709</v>
      </c>
      <c r="B77" s="422" t="s">
        <v>706</v>
      </c>
      <c r="C77" s="494"/>
      <c r="D77" s="494"/>
      <c r="E77" s="494"/>
      <c r="F77" s="562">
        <f t="shared" si="55"/>
        <v>0</v>
      </c>
      <c r="G77" s="562">
        <f t="shared" si="55"/>
        <v>0</v>
      </c>
      <c r="H77" s="562">
        <f t="shared" ref="H77:M77" si="60">H69/H$70</f>
        <v>4.1495144011889334E-2</v>
      </c>
      <c r="I77" s="562">
        <f t="shared" si="60"/>
        <v>0</v>
      </c>
      <c r="J77" s="562">
        <f t="shared" si="60"/>
        <v>0</v>
      </c>
      <c r="K77" s="562">
        <f t="shared" si="60"/>
        <v>3.948308897832609E-8</v>
      </c>
      <c r="L77" s="562">
        <f t="shared" ref="L77" si="61">L69/L$70</f>
        <v>-2.714283214839588E-3</v>
      </c>
      <c r="M77" s="562">
        <f t="shared" si="60"/>
        <v>-2.6791394850165327E-3</v>
      </c>
      <c r="N77" s="738"/>
      <c r="O77" s="562">
        <f>O69/O$70</f>
        <v>3.3107211985621277E-2</v>
      </c>
      <c r="P77" s="494"/>
      <c r="Q77" s="494"/>
      <c r="R77" s="494"/>
      <c r="S77" s="495"/>
      <c r="T77" s="494"/>
      <c r="U77" s="562">
        <f t="shared" ref="U77:AW77" si="62">U69/U$70</f>
        <v>0</v>
      </c>
      <c r="V77" s="562">
        <f t="shared" si="62"/>
        <v>0</v>
      </c>
      <c r="W77" s="562">
        <f t="shared" si="62"/>
        <v>0</v>
      </c>
      <c r="X77" s="562">
        <f t="shared" si="62"/>
        <v>0</v>
      </c>
      <c r="Y77" s="562">
        <f t="shared" si="62"/>
        <v>0</v>
      </c>
      <c r="Z77" s="562">
        <f t="shared" si="62"/>
        <v>0</v>
      </c>
      <c r="AA77" s="562">
        <f t="shared" si="62"/>
        <v>0</v>
      </c>
      <c r="AB77" s="562">
        <f t="shared" si="62"/>
        <v>0</v>
      </c>
      <c r="AC77" s="562">
        <f t="shared" si="62"/>
        <v>0</v>
      </c>
      <c r="AD77" s="562">
        <f t="shared" si="62"/>
        <v>0</v>
      </c>
      <c r="AE77" s="562">
        <f t="shared" si="62"/>
        <v>0</v>
      </c>
      <c r="AF77" s="562">
        <f t="shared" si="62"/>
        <v>3.1652638767276517E-2</v>
      </c>
      <c r="AG77" s="562">
        <f t="shared" si="62"/>
        <v>8.0727679709893349E-2</v>
      </c>
      <c r="AH77" s="562">
        <f t="shared" si="62"/>
        <v>5.9008868079567893E-2</v>
      </c>
      <c r="AI77" s="562">
        <f t="shared" si="62"/>
        <v>-1.3305554194774794E-3</v>
      </c>
      <c r="AJ77" s="562">
        <f t="shared" si="62"/>
        <v>0</v>
      </c>
      <c r="AK77" s="562">
        <f t="shared" si="62"/>
        <v>0</v>
      </c>
      <c r="AL77" s="562">
        <f t="shared" si="62"/>
        <v>0</v>
      </c>
      <c r="AM77" s="562">
        <f t="shared" si="62"/>
        <v>0</v>
      </c>
      <c r="AN77" s="562">
        <f t="shared" si="62"/>
        <v>0</v>
      </c>
      <c r="AO77" s="562">
        <f t="shared" si="62"/>
        <v>0</v>
      </c>
      <c r="AP77" s="562">
        <f t="shared" si="62"/>
        <v>0</v>
      </c>
      <c r="AQ77" s="562">
        <f t="shared" si="62"/>
        <v>0</v>
      </c>
      <c r="AR77" s="562">
        <f t="shared" si="62"/>
        <v>0</v>
      </c>
      <c r="AS77" s="562">
        <f t="shared" si="62"/>
        <v>-1.2191621983273754E-2</v>
      </c>
      <c r="AT77" s="562">
        <f t="shared" si="62"/>
        <v>2.5035921511497375E-3</v>
      </c>
      <c r="AU77" s="562">
        <f t="shared" si="62"/>
        <v>8.5981854820759221E-3</v>
      </c>
      <c r="AV77" s="562">
        <f t="shared" si="62"/>
        <v>0</v>
      </c>
      <c r="AW77" s="562">
        <f t="shared" si="62"/>
        <v>-1.1134843709678511E-2</v>
      </c>
      <c r="AX77" s="562">
        <f>AX69/AX$70</f>
        <v>0</v>
      </c>
      <c r="AY77" s="562">
        <f t="shared" ref="AY77:AZ77" si="63">AY69/AY$70</f>
        <v>0</v>
      </c>
      <c r="AZ77" s="562">
        <f t="shared" si="63"/>
        <v>0</v>
      </c>
    </row>
    <row r="78" spans="1:52">
      <c r="B78" s="424" t="s">
        <v>707</v>
      </c>
      <c r="C78" s="494"/>
      <c r="D78" s="494"/>
      <c r="E78" s="494"/>
      <c r="F78" s="562">
        <f t="shared" ref="F78:M78" si="64">F70/F$70</f>
        <v>1</v>
      </c>
      <c r="G78" s="562">
        <f t="shared" si="64"/>
        <v>1</v>
      </c>
      <c r="H78" s="562">
        <f t="shared" si="64"/>
        <v>1</v>
      </c>
      <c r="I78" s="562">
        <f t="shared" si="64"/>
        <v>1</v>
      </c>
      <c r="J78" s="562">
        <f t="shared" si="64"/>
        <v>1</v>
      </c>
      <c r="K78" s="562">
        <f t="shared" si="64"/>
        <v>1</v>
      </c>
      <c r="L78" s="562">
        <f t="shared" ref="L78" si="65">L70/L$70</f>
        <v>1</v>
      </c>
      <c r="M78" s="562">
        <f t="shared" si="64"/>
        <v>1</v>
      </c>
      <c r="N78" s="738"/>
      <c r="O78" s="562">
        <f>O70/O$70</f>
        <v>1</v>
      </c>
      <c r="P78" s="494"/>
      <c r="Q78" s="494"/>
      <c r="R78" s="494"/>
      <c r="S78" s="495"/>
      <c r="T78" s="494"/>
      <c r="U78" s="562">
        <f t="shared" ref="U78:AW78" si="66">U70/U$70</f>
        <v>1</v>
      </c>
      <c r="V78" s="562">
        <f t="shared" si="66"/>
        <v>1</v>
      </c>
      <c r="W78" s="562">
        <f t="shared" si="66"/>
        <v>1</v>
      </c>
      <c r="X78" s="562">
        <f t="shared" si="66"/>
        <v>1</v>
      </c>
      <c r="Y78" s="562">
        <f t="shared" si="66"/>
        <v>1</v>
      </c>
      <c r="Z78" s="562">
        <f t="shared" si="66"/>
        <v>1</v>
      </c>
      <c r="AA78" s="562">
        <f t="shared" si="66"/>
        <v>1</v>
      </c>
      <c r="AB78" s="562">
        <f t="shared" si="66"/>
        <v>1</v>
      </c>
      <c r="AC78" s="562">
        <f t="shared" si="66"/>
        <v>1</v>
      </c>
      <c r="AD78" s="562">
        <f t="shared" si="66"/>
        <v>1</v>
      </c>
      <c r="AE78" s="562">
        <f t="shared" si="66"/>
        <v>1</v>
      </c>
      <c r="AF78" s="562">
        <f t="shared" si="66"/>
        <v>1</v>
      </c>
      <c r="AG78" s="562">
        <f t="shared" si="66"/>
        <v>1</v>
      </c>
      <c r="AH78" s="562">
        <f t="shared" si="66"/>
        <v>1</v>
      </c>
      <c r="AI78" s="562">
        <f t="shared" si="66"/>
        <v>1</v>
      </c>
      <c r="AJ78" s="562">
        <f t="shared" si="66"/>
        <v>1</v>
      </c>
      <c r="AK78" s="562">
        <f t="shared" si="66"/>
        <v>1</v>
      </c>
      <c r="AL78" s="562">
        <f t="shared" si="66"/>
        <v>1</v>
      </c>
      <c r="AM78" s="562">
        <f t="shared" si="66"/>
        <v>1</v>
      </c>
      <c r="AN78" s="562">
        <f t="shared" si="66"/>
        <v>1</v>
      </c>
      <c r="AO78" s="562">
        <f t="shared" si="66"/>
        <v>1</v>
      </c>
      <c r="AP78" s="562">
        <f t="shared" si="66"/>
        <v>1</v>
      </c>
      <c r="AQ78" s="562">
        <f t="shared" si="66"/>
        <v>1</v>
      </c>
      <c r="AR78" s="562">
        <f t="shared" si="66"/>
        <v>1</v>
      </c>
      <c r="AS78" s="562">
        <f t="shared" si="66"/>
        <v>1</v>
      </c>
      <c r="AT78" s="562">
        <f t="shared" si="66"/>
        <v>1</v>
      </c>
      <c r="AU78" s="562">
        <f t="shared" si="66"/>
        <v>1</v>
      </c>
      <c r="AV78" s="562">
        <f t="shared" si="66"/>
        <v>1</v>
      </c>
      <c r="AW78" s="562">
        <f t="shared" si="66"/>
        <v>1</v>
      </c>
      <c r="AX78" s="562">
        <f>AX70/AX$70</f>
        <v>1</v>
      </c>
      <c r="AY78" s="562">
        <f t="shared" ref="AY78:AZ78" si="67">AY70/AY$70</f>
        <v>1</v>
      </c>
      <c r="AZ78" s="562">
        <f t="shared" si="67"/>
        <v>1</v>
      </c>
    </row>
    <row r="79" spans="1:52">
      <c r="B79" s="435"/>
      <c r="C79" s="487"/>
      <c r="D79" s="487"/>
      <c r="E79" s="487"/>
      <c r="F79" s="487"/>
      <c r="G79" s="487"/>
      <c r="H79" s="487"/>
      <c r="I79" s="487"/>
      <c r="J79" s="487"/>
      <c r="K79" s="487"/>
      <c r="L79" s="487"/>
      <c r="M79" s="487"/>
      <c r="N79" s="423"/>
      <c r="O79" s="423"/>
      <c r="P79" s="487"/>
      <c r="Q79" s="487"/>
      <c r="R79" s="487"/>
      <c r="S79" s="423"/>
      <c r="T79" s="487"/>
      <c r="U79" s="487"/>
      <c r="V79" s="487"/>
      <c r="W79" s="423"/>
      <c r="X79" s="487"/>
      <c r="Y79" s="487"/>
      <c r="Z79" s="487"/>
      <c r="AA79" s="487"/>
      <c r="AB79" s="487"/>
      <c r="AC79" s="487"/>
      <c r="AD79" s="487"/>
      <c r="AE79" s="487"/>
      <c r="AF79" s="487"/>
      <c r="AG79" s="487"/>
      <c r="AH79" s="487"/>
      <c r="AI79" s="487"/>
      <c r="AJ79" s="487"/>
      <c r="AK79" s="487"/>
      <c r="AL79" s="487"/>
      <c r="AM79" s="487"/>
      <c r="AN79" s="487"/>
      <c r="AO79" s="487"/>
      <c r="AP79" s="487"/>
      <c r="AQ79" s="487"/>
      <c r="AR79" s="487"/>
      <c r="AS79" s="487"/>
      <c r="AT79" s="487"/>
      <c r="AU79" s="487"/>
      <c r="AV79" s="487"/>
      <c r="AW79" s="487"/>
      <c r="AX79" s="487"/>
      <c r="AY79" s="487"/>
      <c r="AZ79" s="487"/>
    </row>
    <row r="80" spans="1:52">
      <c r="B80" s="750" t="s">
        <v>710</v>
      </c>
      <c r="C80" s="751"/>
      <c r="D80" s="751"/>
      <c r="E80" s="751"/>
      <c r="F80" s="751"/>
      <c r="G80" s="751"/>
      <c r="H80" s="751"/>
      <c r="I80" s="751"/>
      <c r="J80" s="751"/>
      <c r="K80" s="751"/>
      <c r="L80" s="751"/>
      <c r="M80" s="751"/>
      <c r="O80" s="751"/>
      <c r="P80" s="751"/>
      <c r="Q80" s="751"/>
      <c r="R80" s="751"/>
      <c r="S80" s="751"/>
      <c r="T80" s="751"/>
      <c r="U80" s="751"/>
      <c r="V80" s="751"/>
      <c r="W80" s="751"/>
      <c r="X80" s="751"/>
      <c r="Y80" s="751"/>
      <c r="Z80" s="751"/>
      <c r="AA80" s="751"/>
      <c r="AB80" s="751"/>
      <c r="AC80" s="751"/>
      <c r="AD80" s="751"/>
      <c r="AE80" s="751"/>
      <c r="AF80" s="751"/>
      <c r="AG80" s="751"/>
      <c r="AH80" s="751"/>
      <c r="AI80" s="751"/>
      <c r="AJ80" s="751"/>
      <c r="AK80" s="751"/>
      <c r="AL80" s="751"/>
      <c r="AM80" s="751"/>
      <c r="AN80" s="751"/>
      <c r="AO80" s="751"/>
      <c r="AP80" s="751"/>
      <c r="AQ80" s="751"/>
      <c r="AR80" s="751"/>
      <c r="AS80" s="751"/>
      <c r="AT80" s="751"/>
      <c r="AU80" s="751"/>
      <c r="AV80" s="751"/>
      <c r="AW80" s="751"/>
      <c r="AX80" s="751"/>
      <c r="AY80" s="751"/>
      <c r="AZ80" s="751"/>
    </row>
    <row r="81" spans="2:52">
      <c r="B81" s="435"/>
      <c r="C81" s="487"/>
      <c r="D81" s="487"/>
      <c r="E81" s="487"/>
      <c r="F81" s="487"/>
      <c r="G81" s="487"/>
      <c r="H81" s="487"/>
      <c r="I81" s="487"/>
      <c r="J81" s="487"/>
      <c r="K81" s="487"/>
      <c r="L81" s="487"/>
    </row>
    <row r="82" spans="2:52">
      <c r="B82" s="435" t="s">
        <v>711</v>
      </c>
      <c r="C82" s="583">
        <v>0.97</v>
      </c>
      <c r="D82" s="562">
        <f>S82</f>
        <v>0.97</v>
      </c>
      <c r="E82" s="562">
        <f t="shared" ref="E82:E92" si="68">W82</f>
        <v>0.97799999999999998</v>
      </c>
      <c r="F82" s="562">
        <f t="shared" ref="F82:F92" si="69">AA82</f>
        <v>0.96599999999999997</v>
      </c>
      <c r="G82" s="562">
        <f t="shared" ref="G82:G92" si="70">AE82</f>
        <v>0.96199999999999997</v>
      </c>
      <c r="H82" s="562">
        <f>AI82</f>
        <v>0.96499999999999997</v>
      </c>
      <c r="I82" s="562">
        <f>AM82</f>
        <v>0.99099999999999999</v>
      </c>
      <c r="J82" s="562">
        <f>AQ82</f>
        <v>0.995</v>
      </c>
      <c r="K82" s="562">
        <f>AU82</f>
        <v>0.99299999999999999</v>
      </c>
      <c r="L82" s="562">
        <f>AY82</f>
        <v>0</v>
      </c>
      <c r="M82" s="753"/>
      <c r="N82" s="738"/>
      <c r="O82" s="562">
        <f t="shared" ref="O82:O92" si="71">AJ82</f>
        <v>0.97499999999999998</v>
      </c>
      <c r="P82" s="583">
        <v>0.95</v>
      </c>
      <c r="Q82" s="583">
        <v>0.95799999999999996</v>
      </c>
      <c r="R82" s="583">
        <v>0.95199999999999996</v>
      </c>
      <c r="S82" s="583">
        <v>0.97</v>
      </c>
      <c r="T82" s="583">
        <v>0.97699999999999998</v>
      </c>
      <c r="U82" s="583">
        <v>0.98099999999999998</v>
      </c>
      <c r="V82" s="583">
        <v>0.98</v>
      </c>
      <c r="W82" s="583">
        <v>0.97799999999999998</v>
      </c>
      <c r="X82" s="583">
        <v>0.98099999999999998</v>
      </c>
      <c r="Y82" s="583">
        <v>0.97699999999999998</v>
      </c>
      <c r="Z82" s="583">
        <v>0.97299999999999998</v>
      </c>
      <c r="AA82" s="583">
        <v>0.96599999999999997</v>
      </c>
      <c r="AB82" s="583">
        <v>0.97</v>
      </c>
      <c r="AC82" s="583">
        <v>0.96099999999999997</v>
      </c>
      <c r="AD82" s="583">
        <v>0.95399999999999996</v>
      </c>
      <c r="AE82" s="583">
        <v>0.96199999999999997</v>
      </c>
      <c r="AF82" s="583">
        <v>0.95799999999999996</v>
      </c>
      <c r="AG82" s="583">
        <v>0.94899999999999995</v>
      </c>
      <c r="AH82" s="583">
        <v>0.95599999999999996</v>
      </c>
      <c r="AI82" s="583">
        <v>0.96499999999999997</v>
      </c>
      <c r="AJ82" s="583">
        <v>0.97499999999999998</v>
      </c>
      <c r="AK82" s="583">
        <v>0.98499999999999999</v>
      </c>
      <c r="AL82" s="583">
        <v>0.98799999999999999</v>
      </c>
      <c r="AM82" s="583">
        <v>0.99099999999999999</v>
      </c>
      <c r="AN82" s="583">
        <v>0.99</v>
      </c>
      <c r="AO82" s="583">
        <v>0.98599999999999999</v>
      </c>
      <c r="AP82" s="583">
        <v>0.98499999999999999</v>
      </c>
      <c r="AQ82" s="583">
        <v>0.995</v>
      </c>
      <c r="AR82" s="583">
        <v>0.995</v>
      </c>
      <c r="AS82" s="583">
        <v>0.99199999999999999</v>
      </c>
      <c r="AT82" s="583">
        <v>0.99399999999999999</v>
      </c>
      <c r="AU82" s="583">
        <v>0.99299999999999999</v>
      </c>
      <c r="AV82" s="583">
        <v>0.99399999999999999</v>
      </c>
      <c r="AW82" s="583">
        <v>0.98599999999999999</v>
      </c>
      <c r="AX82" s="583">
        <v>0.98499999999999999</v>
      </c>
      <c r="AY82" s="752"/>
      <c r="AZ82" s="752"/>
    </row>
    <row r="83" spans="2:52">
      <c r="B83" s="435" t="s">
        <v>712</v>
      </c>
      <c r="C83" s="583">
        <v>0.93</v>
      </c>
      <c r="D83" s="562">
        <f t="shared" ref="D83:D92" si="72">S83</f>
        <v>0.93</v>
      </c>
      <c r="E83" s="562">
        <f t="shared" si="68"/>
        <v>0.93700000000000006</v>
      </c>
      <c r="F83" s="562">
        <f t="shared" si="69"/>
        <v>0.96699999999999997</v>
      </c>
      <c r="G83" s="562">
        <f t="shared" si="70"/>
        <v>0.96699999999999997</v>
      </c>
      <c r="H83" s="562">
        <f>AI83</f>
        <v>0.97499999999999998</v>
      </c>
      <c r="I83" s="562">
        <f>AM83</f>
        <v>0.98599999999999999</v>
      </c>
      <c r="J83" s="562">
        <f>AQ83</f>
        <v>0.995</v>
      </c>
      <c r="K83" s="562">
        <f>AU83</f>
        <v>0.998</v>
      </c>
      <c r="L83" s="562">
        <f t="shared" ref="L83:L87" si="73">AY83</f>
        <v>0</v>
      </c>
      <c r="M83" s="753"/>
      <c r="N83" s="738"/>
      <c r="O83" s="562">
        <f t="shared" si="71"/>
        <v>0.97799999999999998</v>
      </c>
      <c r="P83" s="583">
        <v>0.93</v>
      </c>
      <c r="Q83" s="583">
        <v>0.93</v>
      </c>
      <c r="R83" s="583">
        <v>0.93</v>
      </c>
      <c r="S83" s="583">
        <v>0.93</v>
      </c>
      <c r="T83" s="583">
        <v>0.93</v>
      </c>
      <c r="U83" s="583">
        <v>0.93</v>
      </c>
      <c r="V83" s="583">
        <v>0.93700000000000006</v>
      </c>
      <c r="W83" s="583">
        <v>0.93700000000000006</v>
      </c>
      <c r="X83" s="583">
        <v>0.94799999999999995</v>
      </c>
      <c r="Y83" s="583">
        <v>0.95499999999999996</v>
      </c>
      <c r="Z83" s="583">
        <v>0.95499999999999996</v>
      </c>
      <c r="AA83" s="583">
        <v>0.96699999999999997</v>
      </c>
      <c r="AB83" s="583">
        <v>0.96699999999999997</v>
      </c>
      <c r="AC83" s="583">
        <v>0.96499999999999997</v>
      </c>
      <c r="AD83" s="583">
        <v>0.97399999999999998</v>
      </c>
      <c r="AE83" s="583">
        <v>0.96699999999999997</v>
      </c>
      <c r="AF83" s="583">
        <v>0.96699999999999997</v>
      </c>
      <c r="AG83" s="583">
        <v>0.97099999999999997</v>
      </c>
      <c r="AH83" s="583">
        <v>0.97199999999999998</v>
      </c>
      <c r="AI83" s="583">
        <v>0.97499999999999998</v>
      </c>
      <c r="AJ83" s="583">
        <v>0.97799999999999998</v>
      </c>
      <c r="AK83" s="583">
        <v>0.98799999999999999</v>
      </c>
      <c r="AL83" s="583">
        <v>0.98299999999999998</v>
      </c>
      <c r="AM83" s="583">
        <v>0.98599999999999999</v>
      </c>
      <c r="AN83" s="583">
        <v>0.98599999999999999</v>
      </c>
      <c r="AO83" s="583">
        <v>0.98599999999999999</v>
      </c>
      <c r="AP83" s="583">
        <v>0.98599999999999999</v>
      </c>
      <c r="AQ83" s="583">
        <v>0.995</v>
      </c>
      <c r="AR83" s="583">
        <v>0.99</v>
      </c>
      <c r="AS83" s="583">
        <v>0.99199999999999999</v>
      </c>
      <c r="AT83" s="583">
        <v>0.98899999999999999</v>
      </c>
      <c r="AU83" s="583">
        <v>0.998</v>
      </c>
      <c r="AV83" s="583">
        <v>0.98299999999999998</v>
      </c>
      <c r="AW83" s="583">
        <v>0.98299999999999998</v>
      </c>
      <c r="AX83" s="583">
        <v>0.98399999999999999</v>
      </c>
      <c r="AY83" s="752"/>
      <c r="AZ83" s="752"/>
    </row>
    <row r="84" spans="2:52">
      <c r="B84" s="435" t="s">
        <v>713</v>
      </c>
      <c r="C84" s="583"/>
      <c r="D84" s="562"/>
      <c r="E84" s="562"/>
      <c r="F84" s="562"/>
      <c r="G84" s="562"/>
      <c r="H84" s="562"/>
      <c r="I84" s="753"/>
      <c r="J84" s="753"/>
      <c r="K84" s="562">
        <f>AU84</f>
        <v>0.68300000000000005</v>
      </c>
      <c r="L84" s="562">
        <f t="shared" si="73"/>
        <v>0</v>
      </c>
      <c r="M84" s="753"/>
      <c r="N84" s="738"/>
      <c r="O84" s="562"/>
      <c r="P84" s="583"/>
      <c r="Q84" s="583"/>
      <c r="R84" s="583"/>
      <c r="S84" s="583"/>
      <c r="T84" s="583"/>
      <c r="U84" s="583"/>
      <c r="V84" s="583"/>
      <c r="W84" s="583"/>
      <c r="X84" s="583"/>
      <c r="Y84" s="583"/>
      <c r="Z84" s="583"/>
      <c r="AA84" s="583"/>
      <c r="AB84" s="583"/>
      <c r="AC84" s="583"/>
      <c r="AD84" s="583"/>
      <c r="AE84" s="583"/>
      <c r="AF84" s="583"/>
      <c r="AG84" s="583"/>
      <c r="AH84" s="583"/>
      <c r="AI84" s="583">
        <v>0.61499999999999999</v>
      </c>
      <c r="AJ84" s="583">
        <v>0.621</v>
      </c>
      <c r="AK84" s="583">
        <v>0.621</v>
      </c>
      <c r="AL84" s="583">
        <v>0.64</v>
      </c>
      <c r="AM84" s="583">
        <v>0.67</v>
      </c>
      <c r="AN84" s="583">
        <v>0.67100000000000004</v>
      </c>
      <c r="AO84" s="583">
        <v>0.66700000000000004</v>
      </c>
      <c r="AP84" s="583">
        <v>0.68200000000000005</v>
      </c>
      <c r="AQ84" s="583">
        <v>0.67400000000000004</v>
      </c>
      <c r="AR84" s="583">
        <v>0.67900000000000005</v>
      </c>
      <c r="AS84" s="583">
        <v>0.67900000000000005</v>
      </c>
      <c r="AT84" s="583">
        <v>0.68700000000000006</v>
      </c>
      <c r="AU84" s="583">
        <v>0.68300000000000005</v>
      </c>
      <c r="AV84" s="583">
        <v>0.68500000000000005</v>
      </c>
      <c r="AW84" s="583">
        <v>0.61899999999999999</v>
      </c>
      <c r="AX84" s="583">
        <v>0.622</v>
      </c>
      <c r="AY84" s="752"/>
      <c r="AZ84" s="752"/>
    </row>
    <row r="85" spans="2:52">
      <c r="B85" s="435" t="s">
        <v>703</v>
      </c>
      <c r="C85" s="583"/>
      <c r="D85" s="562"/>
      <c r="E85" s="562"/>
      <c r="F85" s="562"/>
      <c r="G85" s="562"/>
      <c r="H85" s="562"/>
      <c r="I85" s="753"/>
      <c r="J85" s="753"/>
      <c r="K85" s="753"/>
      <c r="L85" s="562">
        <f t="shared" ref="L85" si="74">AY85</f>
        <v>0.97699999999999998</v>
      </c>
      <c r="M85" s="562">
        <f>AZ85</f>
        <v>0.97799999999999998</v>
      </c>
      <c r="N85" s="738"/>
      <c r="O85" s="562"/>
      <c r="P85" s="583"/>
      <c r="Q85" s="583"/>
      <c r="R85" s="583"/>
      <c r="S85" s="583"/>
      <c r="T85" s="583"/>
      <c r="U85" s="583"/>
      <c r="V85" s="583"/>
      <c r="W85" s="583"/>
      <c r="X85" s="583"/>
      <c r="Y85" s="583"/>
      <c r="Z85" s="583"/>
      <c r="AA85" s="583"/>
      <c r="AB85" s="583"/>
      <c r="AC85" s="583"/>
      <c r="AD85" s="583"/>
      <c r="AE85" s="583"/>
      <c r="AF85" s="583"/>
      <c r="AG85" s="583"/>
      <c r="AH85" s="583"/>
      <c r="AI85" s="583"/>
      <c r="AJ85" s="583"/>
      <c r="AK85" s="583"/>
      <c r="AL85" s="583"/>
      <c r="AM85" s="583"/>
      <c r="AN85" s="583"/>
      <c r="AO85" s="583"/>
      <c r="AP85" s="583"/>
      <c r="AQ85" s="583"/>
      <c r="AR85" s="752"/>
      <c r="AS85" s="752"/>
      <c r="AT85" s="752"/>
      <c r="AU85" s="752"/>
      <c r="AV85" s="752"/>
      <c r="AW85" s="752"/>
      <c r="AX85" s="752"/>
      <c r="AY85" s="583">
        <v>0.97699999999999998</v>
      </c>
      <c r="AZ85" s="583">
        <v>0.97799999999999998</v>
      </c>
    </row>
    <row r="86" spans="2:52">
      <c r="B86" s="435" t="s">
        <v>714</v>
      </c>
      <c r="C86" s="583">
        <v>0.95</v>
      </c>
      <c r="D86" s="562">
        <f t="shared" si="72"/>
        <v>0.93200000000000005</v>
      </c>
      <c r="E86" s="562">
        <f t="shared" si="68"/>
        <v>0.93899999999999995</v>
      </c>
      <c r="F86" s="562">
        <f t="shared" si="69"/>
        <v>0.95199999999999996</v>
      </c>
      <c r="G86" s="562">
        <f t="shared" si="70"/>
        <v>0.89900000000000002</v>
      </c>
      <c r="H86" s="562">
        <f t="shared" ref="H86:H87" si="75">AI86</f>
        <v>0.86599999999999999</v>
      </c>
      <c r="I86" s="562">
        <f>AM86</f>
        <v>0.90100000000000002</v>
      </c>
      <c r="J86" s="562">
        <f t="shared" ref="J86:J92" si="76">AQ86</f>
        <v>0.91300000000000003</v>
      </c>
      <c r="K86" s="562">
        <f t="shared" ref="K86:K92" si="77">AU86</f>
        <v>0.91200000000000003</v>
      </c>
      <c r="L86" s="562">
        <f t="shared" si="73"/>
        <v>0.99199999999999999</v>
      </c>
      <c r="M86" s="562">
        <f t="shared" ref="M86:M87" si="78">AZ86</f>
        <v>0.93600000000000005</v>
      </c>
      <c r="N86" s="738"/>
      <c r="O86" s="562">
        <f t="shared" si="71"/>
        <v>0.86899999999999999</v>
      </c>
      <c r="P86" s="583">
        <v>0.95</v>
      </c>
      <c r="Q86" s="583">
        <v>0.94399999999999995</v>
      </c>
      <c r="R86" s="583">
        <v>0.94299999999999995</v>
      </c>
      <c r="S86" s="583">
        <v>0.93200000000000005</v>
      </c>
      <c r="T86" s="583">
        <v>0.94199999999999995</v>
      </c>
      <c r="U86" s="583">
        <v>0.94499999999999995</v>
      </c>
      <c r="V86" s="583">
        <v>0.93700000000000006</v>
      </c>
      <c r="W86" s="583">
        <v>0.93899999999999995</v>
      </c>
      <c r="X86" s="583">
        <v>0.94499999999999995</v>
      </c>
      <c r="Y86" s="583">
        <v>0.94499999999999995</v>
      </c>
      <c r="Z86" s="583">
        <v>0.94799999999999995</v>
      </c>
      <c r="AA86" s="583">
        <v>0.95199999999999996</v>
      </c>
      <c r="AB86" s="583">
        <v>0.94699999999999995</v>
      </c>
      <c r="AC86" s="583">
        <v>0.92200000000000004</v>
      </c>
      <c r="AD86" s="583">
        <v>0.91300000000000003</v>
      </c>
      <c r="AE86" s="583">
        <v>0.89900000000000002</v>
      </c>
      <c r="AF86" s="583">
        <v>0.88400000000000001</v>
      </c>
      <c r="AG86" s="583">
        <v>0.86199999999999999</v>
      </c>
      <c r="AH86" s="583">
        <v>0.86599999999999999</v>
      </c>
      <c r="AI86" s="583">
        <v>0.86599999999999999</v>
      </c>
      <c r="AJ86" s="583">
        <v>0.86899999999999999</v>
      </c>
      <c r="AK86" s="583">
        <v>0.86399999999999999</v>
      </c>
      <c r="AL86" s="583">
        <v>0.877</v>
      </c>
      <c r="AM86" s="583">
        <v>0.90100000000000002</v>
      </c>
      <c r="AN86" s="583">
        <v>0.90700000000000003</v>
      </c>
      <c r="AO86" s="583">
        <v>0.90900000000000003</v>
      </c>
      <c r="AP86" s="583">
        <v>0.90500000000000003</v>
      </c>
      <c r="AQ86" s="583">
        <v>0.91300000000000003</v>
      </c>
      <c r="AR86" s="583">
        <v>0.91300000000000003</v>
      </c>
      <c r="AS86" s="583">
        <v>0.91200000000000003</v>
      </c>
      <c r="AT86" s="583">
        <v>0.91</v>
      </c>
      <c r="AU86" s="583">
        <v>0.91200000000000003</v>
      </c>
      <c r="AV86" s="583">
        <v>0.91600000000000004</v>
      </c>
      <c r="AW86" s="583">
        <v>0.91400000000000003</v>
      </c>
      <c r="AX86" s="583">
        <v>0.91400000000000003</v>
      </c>
      <c r="AY86" s="583">
        <v>0.99199999999999999</v>
      </c>
      <c r="AZ86" s="583">
        <v>0.93600000000000005</v>
      </c>
    </row>
    <row r="87" spans="2:52">
      <c r="B87" s="435" t="s">
        <v>715</v>
      </c>
      <c r="C87" s="583">
        <v>0.9</v>
      </c>
      <c r="D87" s="562">
        <f t="shared" si="72"/>
        <v>0.92100000000000004</v>
      </c>
      <c r="E87" s="562">
        <f t="shared" si="68"/>
        <v>0.93700000000000006</v>
      </c>
      <c r="F87" s="562">
        <f t="shared" si="69"/>
        <v>0.92800000000000005</v>
      </c>
      <c r="G87" s="562">
        <f t="shared" si="70"/>
        <v>0.91200000000000003</v>
      </c>
      <c r="H87" s="562">
        <f t="shared" si="75"/>
        <v>0.89500000000000002</v>
      </c>
      <c r="I87" s="562">
        <f>AM87</f>
        <v>0.89300000000000002</v>
      </c>
      <c r="J87" s="562">
        <f t="shared" si="76"/>
        <v>0.91500000000000004</v>
      </c>
      <c r="K87" s="562">
        <f t="shared" si="77"/>
        <v>0.94199999999999995</v>
      </c>
      <c r="L87" s="562">
        <f t="shared" si="73"/>
        <v>0.94</v>
      </c>
      <c r="M87" s="562">
        <f t="shared" si="78"/>
        <v>0.94099999999999995</v>
      </c>
      <c r="N87" s="738"/>
      <c r="O87" s="562">
        <f t="shared" si="71"/>
        <v>0.89600000000000002</v>
      </c>
      <c r="P87" s="583">
        <v>0.9</v>
      </c>
      <c r="Q87" s="583">
        <v>0.89100000000000001</v>
      </c>
      <c r="R87" s="583">
        <v>0.90400000000000003</v>
      </c>
      <c r="S87" s="583">
        <v>0.92100000000000004</v>
      </c>
      <c r="T87" s="583">
        <v>0.92800000000000005</v>
      </c>
      <c r="U87" s="583">
        <v>0.93500000000000005</v>
      </c>
      <c r="V87" s="583">
        <v>0.93799999999999994</v>
      </c>
      <c r="W87" s="583">
        <v>0.93700000000000006</v>
      </c>
      <c r="X87" s="583">
        <v>0.93</v>
      </c>
      <c r="Y87" s="583">
        <v>0.92500000000000004</v>
      </c>
      <c r="Z87" s="583">
        <v>0.92300000000000004</v>
      </c>
      <c r="AA87" s="583">
        <v>0.92800000000000005</v>
      </c>
      <c r="AB87" s="583">
        <v>0.92600000000000005</v>
      </c>
      <c r="AC87" s="583">
        <v>0.92200000000000004</v>
      </c>
      <c r="AD87" s="583">
        <v>0.91600000000000004</v>
      </c>
      <c r="AE87" s="583">
        <v>0.91200000000000003</v>
      </c>
      <c r="AF87" s="583">
        <v>0.90700000000000003</v>
      </c>
      <c r="AG87" s="583">
        <v>0.90100000000000002</v>
      </c>
      <c r="AH87" s="583">
        <v>0.89700000000000002</v>
      </c>
      <c r="AI87" s="583">
        <v>0.89500000000000002</v>
      </c>
      <c r="AJ87" s="583">
        <v>0.89600000000000002</v>
      </c>
      <c r="AK87" s="583">
        <v>0.89500000000000002</v>
      </c>
      <c r="AL87" s="583">
        <v>0.89100000000000001</v>
      </c>
      <c r="AM87" s="583">
        <v>0.89300000000000002</v>
      </c>
      <c r="AN87" s="583">
        <v>0.89400000000000002</v>
      </c>
      <c r="AO87" s="583">
        <v>0.89800000000000002</v>
      </c>
      <c r="AP87" s="583">
        <v>0.90200000000000002</v>
      </c>
      <c r="AQ87" s="583">
        <v>0.91500000000000004</v>
      </c>
      <c r="AR87" s="583">
        <v>0.92</v>
      </c>
      <c r="AS87" s="583">
        <v>0.92600000000000005</v>
      </c>
      <c r="AT87" s="583">
        <v>0.92800000000000005</v>
      </c>
      <c r="AU87" s="583">
        <v>0.94199999999999995</v>
      </c>
      <c r="AV87" s="583">
        <v>0.94399999999999995</v>
      </c>
      <c r="AW87" s="583">
        <v>0.94299999999999995</v>
      </c>
      <c r="AX87" s="583">
        <v>0.94099999999999995</v>
      </c>
      <c r="AY87" s="583">
        <v>0.94</v>
      </c>
      <c r="AZ87" s="583">
        <v>0.94099999999999995</v>
      </c>
    </row>
    <row r="88" spans="2:52">
      <c r="B88" s="435" t="s">
        <v>716</v>
      </c>
      <c r="C88" s="583">
        <v>0.93</v>
      </c>
      <c r="D88" s="562">
        <f t="shared" si="72"/>
        <v>0.94199999999999995</v>
      </c>
      <c r="E88" s="562">
        <f t="shared" si="68"/>
        <v>0.94</v>
      </c>
      <c r="F88" s="469" t="str">
        <f t="shared" si="69"/>
        <v>NA</v>
      </c>
      <c r="G88" s="469" t="str">
        <f t="shared" si="70"/>
        <v>NA</v>
      </c>
      <c r="H88" s="469" t="str">
        <f>AF88</f>
        <v>NA</v>
      </c>
      <c r="I88" s="755"/>
      <c r="J88" s="755"/>
      <c r="K88" s="469">
        <f t="shared" si="77"/>
        <v>0</v>
      </c>
      <c r="L88" s="469">
        <f>AY88</f>
        <v>0</v>
      </c>
      <c r="M88" s="754"/>
      <c r="N88" s="738"/>
      <c r="O88" s="562" t="str">
        <f t="shared" si="71"/>
        <v>NA</v>
      </c>
      <c r="P88" s="583">
        <v>0.93</v>
      </c>
      <c r="Q88" s="583">
        <v>0.92600000000000005</v>
      </c>
      <c r="R88" s="583">
        <v>0.92400000000000004</v>
      </c>
      <c r="S88" s="583">
        <v>0.94199999999999995</v>
      </c>
      <c r="T88" s="583">
        <v>0.94099999999999995</v>
      </c>
      <c r="U88" s="583">
        <v>0.94</v>
      </c>
      <c r="V88" s="583">
        <v>0.94199999999999995</v>
      </c>
      <c r="W88" s="583">
        <v>0.94</v>
      </c>
      <c r="X88" s="583">
        <v>0.94099999999999995</v>
      </c>
      <c r="Y88" s="583">
        <v>0.94399999999999995</v>
      </c>
      <c r="Z88" s="583">
        <v>0.94699999999999995</v>
      </c>
      <c r="AA88" s="602" t="s">
        <v>717</v>
      </c>
      <c r="AB88" s="602" t="s">
        <v>717</v>
      </c>
      <c r="AC88" s="602" t="s">
        <v>717</v>
      </c>
      <c r="AD88" s="602" t="s">
        <v>717</v>
      </c>
      <c r="AE88" s="602" t="s">
        <v>717</v>
      </c>
      <c r="AF88" s="602" t="s">
        <v>717</v>
      </c>
      <c r="AG88" s="602" t="s">
        <v>717</v>
      </c>
      <c r="AH88" s="602" t="s">
        <v>717</v>
      </c>
      <c r="AI88" s="602" t="s">
        <v>717</v>
      </c>
      <c r="AJ88" s="602" t="s">
        <v>717</v>
      </c>
      <c r="AK88" s="602" t="s">
        <v>717</v>
      </c>
      <c r="AL88" s="602" t="s">
        <v>717</v>
      </c>
      <c r="AM88" s="602" t="s">
        <v>717</v>
      </c>
      <c r="AN88" s="602" t="s">
        <v>717</v>
      </c>
      <c r="AO88" s="602" t="s">
        <v>717</v>
      </c>
      <c r="AP88" s="602" t="s">
        <v>717</v>
      </c>
      <c r="AQ88" s="602" t="s">
        <v>717</v>
      </c>
      <c r="AR88" s="754"/>
      <c r="AS88" s="754"/>
      <c r="AT88" s="754"/>
      <c r="AU88" s="754"/>
      <c r="AV88" s="754"/>
      <c r="AW88" s="754"/>
      <c r="AX88" s="754"/>
      <c r="AY88" s="754"/>
      <c r="AZ88" s="754"/>
    </row>
    <row r="89" spans="2:52">
      <c r="B89" s="435" t="s">
        <v>718</v>
      </c>
      <c r="C89" s="583">
        <v>0.99</v>
      </c>
      <c r="D89" s="562">
        <f t="shared" si="72"/>
        <v>0.99399999999999999</v>
      </c>
      <c r="E89" s="562">
        <f t="shared" si="68"/>
        <v>0.96399999999999997</v>
      </c>
      <c r="F89" s="562">
        <f t="shared" si="69"/>
        <v>0.92500000000000004</v>
      </c>
      <c r="G89" s="562">
        <f t="shared" si="70"/>
        <v>0.92200000000000004</v>
      </c>
      <c r="H89" s="562">
        <f t="shared" ref="H89:H92" si="79">AI89</f>
        <v>0.997</v>
      </c>
      <c r="I89" s="562">
        <f t="shared" ref="I89:I92" si="80">AM89</f>
        <v>0.997</v>
      </c>
      <c r="J89" s="562">
        <f t="shared" si="76"/>
        <v>0.997</v>
      </c>
      <c r="K89" s="562">
        <f t="shared" si="77"/>
        <v>0.995</v>
      </c>
      <c r="L89" s="562">
        <f t="shared" ref="L89:L92" si="81">AY89</f>
        <v>0.995</v>
      </c>
      <c r="M89" s="562">
        <f t="shared" ref="M89:M92" si="82">AZ89</f>
        <v>0.995</v>
      </c>
      <c r="N89" s="738"/>
      <c r="O89" s="562">
        <f t="shared" si="71"/>
        <v>0.997</v>
      </c>
      <c r="P89" s="583">
        <v>0.99</v>
      </c>
      <c r="Q89" s="583">
        <v>0.99099999999999999</v>
      </c>
      <c r="R89" s="583">
        <v>0.99099999999999999</v>
      </c>
      <c r="S89" s="583">
        <v>0.99399999999999999</v>
      </c>
      <c r="T89" s="583">
        <v>0.99199999999999999</v>
      </c>
      <c r="U89" s="583">
        <v>0.96399999999999997</v>
      </c>
      <c r="V89" s="583">
        <v>0.96399999999999997</v>
      </c>
      <c r="W89" s="583">
        <v>0.96399999999999997</v>
      </c>
      <c r="X89" s="583">
        <v>0.95299999999999996</v>
      </c>
      <c r="Y89" s="583">
        <v>0.95199999999999996</v>
      </c>
      <c r="Z89" s="583">
        <v>0.94499999999999995</v>
      </c>
      <c r="AA89" s="583">
        <v>0.92500000000000004</v>
      </c>
      <c r="AB89" s="583">
        <v>0.92500000000000004</v>
      </c>
      <c r="AC89" s="583">
        <v>0.92200000000000004</v>
      </c>
      <c r="AD89" s="583">
        <v>0.92200000000000004</v>
      </c>
      <c r="AE89" s="583">
        <v>0.92200000000000004</v>
      </c>
      <c r="AF89" s="583">
        <v>0.92200000000000004</v>
      </c>
      <c r="AG89" s="583">
        <v>0.997</v>
      </c>
      <c r="AH89" s="583">
        <v>0.997</v>
      </c>
      <c r="AI89" s="583">
        <v>0.997</v>
      </c>
      <c r="AJ89" s="583">
        <v>0.997</v>
      </c>
      <c r="AK89" s="583">
        <v>0.997</v>
      </c>
      <c r="AL89" s="583">
        <v>0.997</v>
      </c>
      <c r="AM89" s="583">
        <v>0.997</v>
      </c>
      <c r="AN89" s="583">
        <v>0.997</v>
      </c>
      <c r="AO89" s="583">
        <v>0.997</v>
      </c>
      <c r="AP89" s="583">
        <v>0.997</v>
      </c>
      <c r="AQ89" s="583">
        <v>0.997</v>
      </c>
      <c r="AR89" s="583">
        <v>0.995</v>
      </c>
      <c r="AS89" s="583">
        <v>0.995</v>
      </c>
      <c r="AT89" s="583">
        <v>0.995</v>
      </c>
      <c r="AU89" s="583">
        <v>0.995</v>
      </c>
      <c r="AV89" s="583">
        <v>0.995</v>
      </c>
      <c r="AW89" s="583">
        <v>0.995</v>
      </c>
      <c r="AX89" s="583">
        <v>0.995</v>
      </c>
      <c r="AY89" s="583">
        <v>0.995</v>
      </c>
      <c r="AZ89" s="583">
        <v>0.995</v>
      </c>
    </row>
    <row r="90" spans="2:52">
      <c r="B90" s="435" t="s">
        <v>704</v>
      </c>
      <c r="C90" s="583">
        <v>0.88</v>
      </c>
      <c r="D90" s="562">
        <f t="shared" si="72"/>
        <v>0.85799999999999998</v>
      </c>
      <c r="E90" s="562">
        <f t="shared" si="68"/>
        <v>0.90200000000000002</v>
      </c>
      <c r="F90" s="562">
        <f t="shared" si="69"/>
        <v>0.83799999999999997</v>
      </c>
      <c r="G90" s="562">
        <f t="shared" si="70"/>
        <v>0.78700000000000003</v>
      </c>
      <c r="H90" s="562">
        <f t="shared" si="79"/>
        <v>0.75800000000000001</v>
      </c>
      <c r="I90" s="562">
        <f t="shared" si="80"/>
        <v>0.77100000000000002</v>
      </c>
      <c r="J90" s="562">
        <f t="shared" si="76"/>
        <v>0.81899999999999995</v>
      </c>
      <c r="K90" s="562">
        <f t="shared" si="77"/>
        <v>0.84</v>
      </c>
      <c r="L90" s="562">
        <f t="shared" si="81"/>
        <v>0.82699999999999996</v>
      </c>
      <c r="M90" s="562">
        <f t="shared" si="82"/>
        <v>0.81799999999999995</v>
      </c>
      <c r="N90" s="738"/>
      <c r="O90" s="562">
        <f t="shared" si="71"/>
        <v>0.752</v>
      </c>
      <c r="P90" s="583">
        <v>0.87</v>
      </c>
      <c r="Q90" s="583">
        <v>0.88100000000000001</v>
      </c>
      <c r="R90" s="583">
        <v>0.876</v>
      </c>
      <c r="S90" s="583">
        <v>0.85799999999999998</v>
      </c>
      <c r="T90" s="583">
        <v>0.86699999999999999</v>
      </c>
      <c r="U90" s="583">
        <v>0.84799999999999998</v>
      </c>
      <c r="V90" s="583">
        <v>0.9</v>
      </c>
      <c r="W90" s="583">
        <v>0.90200000000000002</v>
      </c>
      <c r="X90" s="583">
        <v>0.90800000000000003</v>
      </c>
      <c r="Y90" s="583">
        <v>0.90800000000000003</v>
      </c>
      <c r="Z90" s="583">
        <v>0.85699999999999998</v>
      </c>
      <c r="AA90" s="583">
        <v>0.83799999999999997</v>
      </c>
      <c r="AB90" s="583">
        <v>0.83199999999999996</v>
      </c>
      <c r="AC90" s="583">
        <v>0.82</v>
      </c>
      <c r="AD90" s="583">
        <v>0.80900000000000005</v>
      </c>
      <c r="AE90" s="583">
        <v>0.78700000000000003</v>
      </c>
      <c r="AF90" s="583">
        <v>0.76700000000000002</v>
      </c>
      <c r="AG90" s="583">
        <v>0.747</v>
      </c>
      <c r="AH90" s="583">
        <v>0.74299999999999999</v>
      </c>
      <c r="AI90" s="583">
        <v>0.75800000000000001</v>
      </c>
      <c r="AJ90" s="583">
        <v>0.752</v>
      </c>
      <c r="AK90" s="583">
        <v>0.752</v>
      </c>
      <c r="AL90" s="583">
        <v>0.754</v>
      </c>
      <c r="AM90" s="583">
        <v>0.77100000000000002</v>
      </c>
      <c r="AN90" s="583">
        <v>0.78</v>
      </c>
      <c r="AO90" s="583">
        <v>0.78200000000000003</v>
      </c>
      <c r="AP90" s="583">
        <v>0.79800000000000004</v>
      </c>
      <c r="AQ90" s="583">
        <v>0.81899999999999995</v>
      </c>
      <c r="AR90" s="583">
        <v>0.81799999999999995</v>
      </c>
      <c r="AS90" s="583">
        <v>0.83099999999999996</v>
      </c>
      <c r="AT90" s="583">
        <v>0.83799999999999997</v>
      </c>
      <c r="AU90" s="583">
        <v>0.84</v>
      </c>
      <c r="AV90" s="583">
        <v>0.82399999999999995</v>
      </c>
      <c r="AW90" s="583">
        <v>0.82399999999999995</v>
      </c>
      <c r="AX90" s="583">
        <v>0.83199999999999996</v>
      </c>
      <c r="AY90" s="583">
        <v>0.82699999999999996</v>
      </c>
      <c r="AZ90" s="583">
        <v>0.81799999999999995</v>
      </c>
    </row>
    <row r="91" spans="2:52">
      <c r="B91" s="435" t="s">
        <v>719</v>
      </c>
      <c r="C91" s="583">
        <v>0</v>
      </c>
      <c r="D91" s="562">
        <f t="shared" si="72"/>
        <v>0</v>
      </c>
      <c r="E91" s="562">
        <f t="shared" si="68"/>
        <v>0</v>
      </c>
      <c r="F91" s="562">
        <f t="shared" si="69"/>
        <v>0.997</v>
      </c>
      <c r="G91" s="562">
        <f t="shared" si="70"/>
        <v>0.997</v>
      </c>
      <c r="H91" s="562">
        <f t="shared" si="79"/>
        <v>0.99399999999999999</v>
      </c>
      <c r="I91" s="562">
        <f t="shared" si="80"/>
        <v>0.99099999999999999</v>
      </c>
      <c r="J91" s="562">
        <f t="shared" si="76"/>
        <v>0.99199999999999999</v>
      </c>
      <c r="K91" s="562">
        <f t="shared" si="77"/>
        <v>0.99199999999999999</v>
      </c>
      <c r="L91" s="562">
        <f t="shared" si="81"/>
        <v>0.99299999999999999</v>
      </c>
      <c r="M91" s="562">
        <f t="shared" si="82"/>
        <v>0.99199999999999999</v>
      </c>
      <c r="N91" s="738"/>
      <c r="O91" s="562">
        <f t="shared" si="71"/>
        <v>0.99099999999999999</v>
      </c>
      <c r="P91" s="583">
        <v>0</v>
      </c>
      <c r="Q91" s="583">
        <v>0</v>
      </c>
      <c r="R91" s="583">
        <v>0</v>
      </c>
      <c r="S91" s="583">
        <v>0</v>
      </c>
      <c r="T91" s="583">
        <v>0</v>
      </c>
      <c r="U91" s="583">
        <v>0</v>
      </c>
      <c r="V91" s="583">
        <v>0</v>
      </c>
      <c r="W91" s="583">
        <v>0</v>
      </c>
      <c r="X91" s="583">
        <v>0</v>
      </c>
      <c r="Y91" s="583">
        <v>0</v>
      </c>
      <c r="Z91" s="583">
        <v>0</v>
      </c>
      <c r="AA91" s="583">
        <v>0.997</v>
      </c>
      <c r="AB91" s="583">
        <v>0.997</v>
      </c>
      <c r="AC91" s="583">
        <v>0.997</v>
      </c>
      <c r="AD91" s="583">
        <v>0.997</v>
      </c>
      <c r="AE91" s="583">
        <v>0.997</v>
      </c>
      <c r="AF91" s="583">
        <v>0.99299999999999999</v>
      </c>
      <c r="AG91" s="583">
        <v>0.99299999999999999</v>
      </c>
      <c r="AH91" s="583">
        <v>0.99299999999999999</v>
      </c>
      <c r="AI91" s="583">
        <v>0.99399999999999999</v>
      </c>
      <c r="AJ91" s="583">
        <v>0.99099999999999999</v>
      </c>
      <c r="AK91" s="583">
        <v>0.99099999999999999</v>
      </c>
      <c r="AL91" s="583">
        <v>0.99099999999999999</v>
      </c>
      <c r="AM91" s="583">
        <v>0.99099999999999999</v>
      </c>
      <c r="AN91" s="583">
        <v>0.99099999999999999</v>
      </c>
      <c r="AO91" s="583">
        <v>0.99099999999999999</v>
      </c>
      <c r="AP91" s="583">
        <v>0.99099999999999999</v>
      </c>
      <c r="AQ91" s="583">
        <v>0.99199999999999999</v>
      </c>
      <c r="AR91" s="583">
        <v>0.99199999999999999</v>
      </c>
      <c r="AS91" s="583">
        <v>0.99199999999999999</v>
      </c>
      <c r="AT91" s="583">
        <v>0.99199999999999999</v>
      </c>
      <c r="AU91" s="583">
        <v>0.99199999999999999</v>
      </c>
      <c r="AV91" s="583">
        <v>0.99299999999999999</v>
      </c>
      <c r="AW91" s="583">
        <v>0.99299999999999999</v>
      </c>
      <c r="AX91" s="583">
        <v>0.99299999999999999</v>
      </c>
      <c r="AY91" s="583">
        <v>0.99299999999999999</v>
      </c>
      <c r="AZ91" s="583">
        <v>0.99199999999999999</v>
      </c>
    </row>
    <row r="92" spans="2:52" s="424" customFormat="1">
      <c r="B92" s="485" t="s">
        <v>707</v>
      </c>
      <c r="C92" s="585">
        <v>0.94</v>
      </c>
      <c r="D92" s="590">
        <f t="shared" si="72"/>
        <v>0.94299999999999995</v>
      </c>
      <c r="E92" s="590">
        <f t="shared" si="68"/>
        <v>0.95299999999999996</v>
      </c>
      <c r="F92" s="590">
        <f t="shared" si="69"/>
        <v>0.94499999999999995</v>
      </c>
      <c r="G92" s="590">
        <f t="shared" si="70"/>
        <v>0.93100000000000005</v>
      </c>
      <c r="H92" s="590">
        <f t="shared" si="79"/>
        <v>0.92200000000000004</v>
      </c>
      <c r="I92" s="590">
        <f t="shared" si="80"/>
        <v>0.93700000000000006</v>
      </c>
      <c r="J92" s="590">
        <f t="shared" si="76"/>
        <v>0.95</v>
      </c>
      <c r="K92" s="590">
        <f t="shared" si="77"/>
        <v>0.95599999999999996</v>
      </c>
      <c r="L92" s="590">
        <f t="shared" si="81"/>
        <v>0.95499999999999996</v>
      </c>
      <c r="M92" s="590">
        <f t="shared" si="82"/>
        <v>0.95699999999999996</v>
      </c>
      <c r="N92" s="749"/>
      <c r="O92" s="590">
        <f t="shared" si="71"/>
        <v>0.92600000000000005</v>
      </c>
      <c r="P92" s="585">
        <v>0.93</v>
      </c>
      <c r="Q92" s="585">
        <v>0.93700000000000006</v>
      </c>
      <c r="R92" s="585">
        <v>0.93600000000000005</v>
      </c>
      <c r="S92" s="585">
        <v>0.94299999999999995</v>
      </c>
      <c r="T92" s="585">
        <v>0.94799999999999995</v>
      </c>
      <c r="U92" s="585">
        <v>0.94599999999999995</v>
      </c>
      <c r="V92" s="585">
        <v>0.95399999999999996</v>
      </c>
      <c r="W92" s="585">
        <v>0.95299999999999996</v>
      </c>
      <c r="X92" s="585">
        <v>0.95399999999999996</v>
      </c>
      <c r="Y92" s="585">
        <v>0.95199999999999996</v>
      </c>
      <c r="Z92" s="585">
        <v>0.94299999999999995</v>
      </c>
      <c r="AA92" s="585">
        <v>0.94499999999999995</v>
      </c>
      <c r="AB92" s="585">
        <v>0.94499999999999995</v>
      </c>
      <c r="AC92" s="585">
        <v>0.93799999999999994</v>
      </c>
      <c r="AD92" s="585">
        <v>0.93300000000000005</v>
      </c>
      <c r="AE92" s="585">
        <v>0.93100000000000005</v>
      </c>
      <c r="AF92" s="585">
        <v>0.92500000000000004</v>
      </c>
      <c r="AG92" s="585">
        <v>0.91800000000000004</v>
      </c>
      <c r="AH92" s="585">
        <v>0.92</v>
      </c>
      <c r="AI92" s="585">
        <v>0.92200000000000004</v>
      </c>
      <c r="AJ92" s="585">
        <v>0.92600000000000005</v>
      </c>
      <c r="AK92" s="585">
        <v>0.92600000000000005</v>
      </c>
      <c r="AL92" s="585">
        <v>0.93200000000000005</v>
      </c>
      <c r="AM92" s="585">
        <v>0.93700000000000006</v>
      </c>
      <c r="AN92" s="585">
        <v>0.93799999999999994</v>
      </c>
      <c r="AO92" s="585">
        <v>0.93799999999999994</v>
      </c>
      <c r="AP92" s="585">
        <v>0.94</v>
      </c>
      <c r="AQ92" s="585">
        <v>0.95</v>
      </c>
      <c r="AR92" s="585">
        <v>0.95</v>
      </c>
      <c r="AS92" s="585">
        <v>0.95199999999999996</v>
      </c>
      <c r="AT92" s="585">
        <v>0.95299999999999996</v>
      </c>
      <c r="AU92" s="585">
        <v>0.95599999999999996</v>
      </c>
      <c r="AV92" s="585">
        <v>0.95399999999999996</v>
      </c>
      <c r="AW92" s="585">
        <v>0.95</v>
      </c>
      <c r="AX92" s="585">
        <v>0.95</v>
      </c>
      <c r="AY92" s="585">
        <v>0.95499999999999996</v>
      </c>
      <c r="AZ92" s="585">
        <v>0.95699999999999996</v>
      </c>
    </row>
    <row r="93" spans="2:52">
      <c r="B93" s="435"/>
      <c r="C93" s="487"/>
      <c r="D93" s="487"/>
      <c r="E93" s="487"/>
      <c r="F93" s="487"/>
      <c r="G93" s="487"/>
      <c r="H93" s="487"/>
      <c r="I93" s="487"/>
      <c r="J93" s="487"/>
      <c r="K93" s="487"/>
      <c r="L93" s="487"/>
      <c r="M93" s="487"/>
      <c r="N93" s="423"/>
      <c r="O93" s="423"/>
      <c r="P93" s="487"/>
      <c r="Q93" s="487"/>
      <c r="R93" s="487"/>
      <c r="S93" s="423"/>
      <c r="T93" s="487"/>
      <c r="U93" s="487"/>
      <c r="V93" s="487"/>
      <c r="W93" s="423"/>
      <c r="X93" s="487"/>
      <c r="Y93" s="487"/>
      <c r="Z93" s="487"/>
      <c r="AA93" s="487"/>
      <c r="AB93" s="487"/>
      <c r="AC93" s="487"/>
      <c r="AD93" s="487"/>
      <c r="AE93" s="487"/>
      <c r="AF93" s="487"/>
      <c r="AG93" s="487"/>
      <c r="AH93" s="487"/>
      <c r="AI93" s="487"/>
      <c r="AJ93" s="487"/>
      <c r="AK93" s="487"/>
      <c r="AL93" s="487"/>
      <c r="AM93" s="487"/>
      <c r="AN93" s="487"/>
      <c r="AO93" s="487"/>
      <c r="AP93" s="487"/>
      <c r="AQ93" s="487"/>
      <c r="AR93" s="487"/>
      <c r="AS93" s="487"/>
      <c r="AT93" s="487"/>
      <c r="AU93" s="487"/>
      <c r="AV93" s="487"/>
      <c r="AW93" s="487"/>
      <c r="AX93" s="487"/>
      <c r="AY93" s="487"/>
      <c r="AZ93" s="487"/>
    </row>
    <row r="94" spans="2:52" ht="15">
      <c r="B94" s="750" t="s">
        <v>720</v>
      </c>
      <c r="C94" s="751"/>
      <c r="D94" s="751"/>
      <c r="E94" s="751"/>
      <c r="F94" s="751"/>
      <c r="G94" s="751"/>
      <c r="H94" s="751"/>
      <c r="I94" s="751"/>
      <c r="J94" s="751"/>
      <c r="K94" s="751"/>
      <c r="L94" s="751"/>
      <c r="M94" s="751"/>
      <c r="O94" s="751"/>
      <c r="P94" s="751"/>
      <c r="Q94" s="751"/>
      <c r="R94" s="751"/>
      <c r="S94" s="751"/>
      <c r="T94" s="751"/>
      <c r="U94" s="751"/>
      <c r="V94" s="751"/>
      <c r="W94" s="751"/>
      <c r="X94" s="751"/>
      <c r="Y94" s="751"/>
      <c r="Z94" s="751"/>
      <c r="AA94" s="751"/>
      <c r="AB94" s="751"/>
      <c r="AC94" s="751"/>
      <c r="AD94" s="751"/>
      <c r="AE94" s="751"/>
      <c r="AF94" s="751"/>
      <c r="AG94" s="751"/>
      <c r="AH94" s="751"/>
      <c r="AI94" s="751"/>
      <c r="AJ94" s="751"/>
      <c r="AK94" s="751"/>
      <c r="AL94" s="751"/>
      <c r="AM94" s="751"/>
      <c r="AN94" s="751"/>
      <c r="AO94" s="751"/>
      <c r="AP94" s="751"/>
      <c r="AQ94" s="751"/>
      <c r="AR94" s="751"/>
      <c r="AS94" s="751"/>
      <c r="AT94" s="751"/>
      <c r="AU94" s="751"/>
      <c r="AV94" s="751"/>
      <c r="AW94" s="751"/>
      <c r="AX94" s="751"/>
      <c r="AY94" s="751"/>
      <c r="AZ94" s="751"/>
    </row>
    <row r="95" spans="2:52">
      <c r="B95" s="435"/>
      <c r="C95" s="487"/>
      <c r="D95" s="487"/>
      <c r="E95" s="487"/>
      <c r="F95" s="487"/>
      <c r="G95" s="487"/>
      <c r="H95" s="487"/>
      <c r="I95" s="487"/>
      <c r="J95" s="487"/>
      <c r="K95" s="487"/>
      <c r="L95" s="487"/>
    </row>
    <row r="96" spans="2:52">
      <c r="B96" s="435" t="s">
        <v>711</v>
      </c>
      <c r="C96" s="494"/>
      <c r="D96" s="423">
        <f>+P96+Q96+R96+S96</f>
        <v>2476726.4</v>
      </c>
      <c r="E96" s="423">
        <f t="shared" ref="E96:E105" si="83">+T96+U96+V96+W96</f>
        <v>2713194.6</v>
      </c>
      <c r="F96" s="423">
        <f>+AA96+Z96+Y96+X96</f>
        <v>3008504.3</v>
      </c>
      <c r="G96" s="423">
        <f t="shared" ref="G96:G105" si="84">+AE96+AD96+AC96+AB96</f>
        <v>3658873.1</v>
      </c>
      <c r="H96" s="423">
        <f>+AG96+AF96+AI96+AH96</f>
        <v>4034421.4</v>
      </c>
      <c r="I96" s="423">
        <f>+AK96+AJ96+AM96+AL96</f>
        <v>4780053.2</v>
      </c>
      <c r="J96" s="423">
        <f t="shared" ref="J96:J98" si="85">+AP96+AO96+AN96+AQ96</f>
        <v>5118100</v>
      </c>
      <c r="K96" s="423">
        <f>SUM(AR96:AU96)</f>
        <v>5619358.3130000001</v>
      </c>
      <c r="L96" s="423">
        <f>SUM(AV96:AY96)</f>
        <v>4497104.5488</v>
      </c>
      <c r="M96" s="726"/>
      <c r="N96" s="423"/>
      <c r="O96" s="423">
        <f>+AH96+AG96+AJ96+AI96</f>
        <v>4153904.9</v>
      </c>
      <c r="P96" s="487">
        <v>626406.19999999995</v>
      </c>
      <c r="Q96" s="487">
        <v>591542</v>
      </c>
      <c r="R96" s="487">
        <v>642527</v>
      </c>
      <c r="S96" s="487">
        <v>616251.19999999995</v>
      </c>
      <c r="T96" s="487">
        <v>663241.69999999995</v>
      </c>
      <c r="U96" s="487">
        <v>655168.80000000005</v>
      </c>
      <c r="V96" s="487">
        <v>671848.6</v>
      </c>
      <c r="W96" s="487">
        <v>722935.5</v>
      </c>
      <c r="X96" s="487">
        <v>721848.8</v>
      </c>
      <c r="Y96" s="487">
        <v>740911.8</v>
      </c>
      <c r="Z96" s="487">
        <v>746111.9</v>
      </c>
      <c r="AA96" s="487">
        <v>799631.8</v>
      </c>
      <c r="AB96" s="487">
        <v>836050</v>
      </c>
      <c r="AC96" s="487">
        <v>951221.3</v>
      </c>
      <c r="AD96" s="487">
        <v>914488.5</v>
      </c>
      <c r="AE96" s="487">
        <v>957113.3</v>
      </c>
      <c r="AF96" s="487">
        <v>958512.5</v>
      </c>
      <c r="AG96" s="487">
        <v>981233.4</v>
      </c>
      <c r="AH96" s="487">
        <v>1006446.5</v>
      </c>
      <c r="AI96" s="487">
        <v>1088229</v>
      </c>
      <c r="AJ96" s="487">
        <v>1077996</v>
      </c>
      <c r="AK96" s="487">
        <v>1147157.2</v>
      </c>
      <c r="AL96" s="487">
        <f>1296.9*1000</f>
        <v>1296900</v>
      </c>
      <c r="AM96" s="487">
        <v>1258000</v>
      </c>
      <c r="AN96" s="487">
        <v>1245600</v>
      </c>
      <c r="AO96" s="487">
        <v>1295000</v>
      </c>
      <c r="AP96" s="487">
        <v>1259200</v>
      </c>
      <c r="AQ96" s="487">
        <v>1318300</v>
      </c>
      <c r="AR96" s="487">
        <f>82369.2*16.49</f>
        <v>1358268.1079999998</v>
      </c>
      <c r="AS96" s="487">
        <v>1344800</v>
      </c>
      <c r="AT96" s="487">
        <f>72710.7*19.51</f>
        <v>1418585.757</v>
      </c>
      <c r="AU96" s="487">
        <f>73130.1*20.48</f>
        <v>1497704.4480000001</v>
      </c>
      <c r="AV96" s="487">
        <f>71230.9*20.3182</f>
        <v>1447283.6723799999</v>
      </c>
      <c r="AW96" s="487">
        <f>18.8928*81382.4</f>
        <v>1537541.4067200001</v>
      </c>
      <c r="AX96" s="487">
        <f>81176.6*18.6295</f>
        <v>1512279.4697</v>
      </c>
      <c r="AY96" s="752"/>
      <c r="AZ96" s="752"/>
    </row>
    <row r="97" spans="2:52">
      <c r="B97" s="435" t="s">
        <v>712</v>
      </c>
      <c r="C97" s="494"/>
      <c r="D97" s="423">
        <f t="shared" ref="D97:D104" si="86">+P97+Q97+R97+S97</f>
        <v>625184.4</v>
      </c>
      <c r="E97" s="423">
        <f t="shared" si="83"/>
        <v>665695.19999999995</v>
      </c>
      <c r="F97" s="423">
        <f t="shared" ref="F97:F105" si="87">+AA97+Z97+Y97+X97</f>
        <v>833083.3</v>
      </c>
      <c r="G97" s="423">
        <f t="shared" si="84"/>
        <v>1647488.7000000002</v>
      </c>
      <c r="H97" s="423">
        <f>+AG97+AF97+AI97+AH97</f>
        <v>1505796.7</v>
      </c>
      <c r="I97" s="423">
        <f>+AK97+AJ97+AM97+AL97</f>
        <v>1539230.1</v>
      </c>
      <c r="J97" s="423">
        <f t="shared" si="85"/>
        <v>1354100</v>
      </c>
      <c r="K97" s="423">
        <f t="shared" ref="K97:K105" si="88">SUM(AR97:AU97)</f>
        <v>1366968.5870000001</v>
      </c>
      <c r="L97" s="423">
        <f t="shared" ref="L97:L105" si="89">SUM(AV97:AY97)</f>
        <v>1210714.7049400001</v>
      </c>
      <c r="M97" s="726"/>
      <c r="N97" s="423"/>
      <c r="O97" s="423">
        <f t="shared" ref="O97:O105" si="90">+AH97+AG97+AJ97+AI97</f>
        <v>1492159.9</v>
      </c>
      <c r="P97" s="487">
        <v>169814.39999999999</v>
      </c>
      <c r="Q97" s="487">
        <v>156775</v>
      </c>
      <c r="R97" s="487">
        <v>149690.70000000001</v>
      </c>
      <c r="S97" s="487">
        <v>148904.29999999999</v>
      </c>
      <c r="T97" s="487">
        <v>162092.6</v>
      </c>
      <c r="U97" s="487">
        <v>164574.29999999999</v>
      </c>
      <c r="V97" s="487">
        <v>168862.1</v>
      </c>
      <c r="W97" s="487">
        <v>170166.2</v>
      </c>
      <c r="X97" s="487">
        <v>175697.2</v>
      </c>
      <c r="Y97" s="487">
        <v>172333.7</v>
      </c>
      <c r="Z97" s="487">
        <v>178064.3</v>
      </c>
      <c r="AA97" s="487">
        <v>306988.09999999998</v>
      </c>
      <c r="AB97" s="487">
        <v>382167.9</v>
      </c>
      <c r="AC97" s="487">
        <v>447150</v>
      </c>
      <c r="AD97" s="487">
        <v>424196.8</v>
      </c>
      <c r="AE97" s="487">
        <v>393974</v>
      </c>
      <c r="AF97" s="487">
        <v>383356.8</v>
      </c>
      <c r="AG97" s="487">
        <v>357423.4</v>
      </c>
      <c r="AH97" s="487">
        <v>357028.5</v>
      </c>
      <c r="AI97" s="487">
        <v>407988</v>
      </c>
      <c r="AJ97" s="487">
        <v>369720</v>
      </c>
      <c r="AK97" s="487">
        <v>390510.1</v>
      </c>
      <c r="AL97" s="487">
        <f>392.9*1000</f>
        <v>392900</v>
      </c>
      <c r="AM97" s="487">
        <v>386100</v>
      </c>
      <c r="AN97" s="487">
        <v>363100</v>
      </c>
      <c r="AO97" s="487">
        <v>362500</v>
      </c>
      <c r="AP97" s="487">
        <v>301000</v>
      </c>
      <c r="AQ97" s="487">
        <v>327500</v>
      </c>
      <c r="AR97" s="487">
        <f>18997.1*16.49</f>
        <v>313262.17899999995</v>
      </c>
      <c r="AS97" s="487">
        <v>327700</v>
      </c>
      <c r="AT97" s="487">
        <f>18239.2*19.51</f>
        <v>355846.79200000002</v>
      </c>
      <c r="AU97" s="487">
        <f>18074.2*20.48</f>
        <v>370159.61600000004</v>
      </c>
      <c r="AV97" s="487">
        <f>20945.3*20.3182</f>
        <v>425570.79446</v>
      </c>
      <c r="AW97" s="487">
        <f>18.8928*21862.6</f>
        <v>413045.72927999997</v>
      </c>
      <c r="AX97" s="487">
        <f>19973.6*18.6295</f>
        <v>372098.18119999999</v>
      </c>
      <c r="AY97" s="752"/>
      <c r="AZ97" s="752"/>
    </row>
    <row r="98" spans="2:52">
      <c r="B98" s="435" t="s">
        <v>713</v>
      </c>
      <c r="C98" s="494"/>
      <c r="D98" s="423"/>
      <c r="E98" s="423"/>
      <c r="F98" s="423"/>
      <c r="G98" s="423"/>
      <c r="H98" s="423"/>
      <c r="I98" s="423"/>
      <c r="J98" s="423">
        <f t="shared" si="85"/>
        <v>405900</v>
      </c>
      <c r="K98" s="423">
        <f t="shared" si="88"/>
        <v>444714.05299999996</v>
      </c>
      <c r="L98" s="423">
        <f t="shared" si="89"/>
        <v>350170.37315000006</v>
      </c>
      <c r="M98" s="726"/>
      <c r="N98" s="423"/>
      <c r="O98" s="423"/>
      <c r="P98" s="487"/>
      <c r="Q98" s="487"/>
      <c r="R98" s="487"/>
      <c r="S98" s="487"/>
      <c r="T98" s="487"/>
      <c r="U98" s="487"/>
      <c r="V98" s="487"/>
      <c r="W98" s="487"/>
      <c r="X98" s="487"/>
      <c r="Y98" s="487"/>
      <c r="Z98" s="487"/>
      <c r="AA98" s="487"/>
      <c r="AB98" s="487"/>
      <c r="AC98" s="487"/>
      <c r="AD98" s="487"/>
      <c r="AE98" s="487"/>
      <c r="AF98" s="487"/>
      <c r="AG98" s="487"/>
      <c r="AH98" s="487"/>
      <c r="AI98" s="487">
        <v>93606</v>
      </c>
      <c r="AJ98" s="487">
        <v>84614</v>
      </c>
      <c r="AK98" s="487">
        <v>90883.4</v>
      </c>
      <c r="AL98" s="487">
        <f>98.9 *1000</f>
        <v>98900</v>
      </c>
      <c r="AM98" s="487">
        <v>102800</v>
      </c>
      <c r="AN98" s="487">
        <v>103400</v>
      </c>
      <c r="AO98" s="487">
        <v>101700</v>
      </c>
      <c r="AP98" s="487">
        <v>100800</v>
      </c>
      <c r="AQ98" s="487">
        <v>100000</v>
      </c>
      <c r="AR98" s="487">
        <f>6206.4*16.49</f>
        <v>102343.53599999998</v>
      </c>
      <c r="AS98" s="487">
        <v>111200</v>
      </c>
      <c r="AT98" s="487">
        <f>5786.7*19.51</f>
        <v>112898.51700000001</v>
      </c>
      <c r="AU98" s="487">
        <f>5775*20.48</f>
        <v>118272</v>
      </c>
      <c r="AV98" s="487">
        <f>5808.6*20.3182</f>
        <v>118020.29652000002</v>
      </c>
      <c r="AW98" s="487">
        <f>18.8928*6992.1</f>
        <v>132100.34688000003</v>
      </c>
      <c r="AX98" s="487">
        <f>5370.5*18.6295</f>
        <v>100049.72975</v>
      </c>
      <c r="AY98" s="752"/>
      <c r="AZ98" s="752"/>
    </row>
    <row r="99" spans="2:52">
      <c r="B99" s="435" t="s">
        <v>703</v>
      </c>
      <c r="C99" s="494"/>
      <c r="D99" s="423"/>
      <c r="E99" s="423"/>
      <c r="F99" s="423"/>
      <c r="G99" s="423"/>
      <c r="H99" s="423"/>
      <c r="I99" s="726"/>
      <c r="J99" s="726"/>
      <c r="K99" s="726"/>
      <c r="L99" s="423">
        <f t="shared" ref="L99" si="91">SUM(AV99:AY99)</f>
        <v>2239639.06464</v>
      </c>
      <c r="M99" s="726"/>
      <c r="N99" s="423"/>
      <c r="O99" s="423"/>
      <c r="P99" s="487"/>
      <c r="Q99" s="487"/>
      <c r="R99" s="487"/>
      <c r="S99" s="487"/>
      <c r="T99" s="487"/>
      <c r="U99" s="487"/>
      <c r="V99" s="487"/>
      <c r="W99" s="487"/>
      <c r="X99" s="487"/>
      <c r="Y99" s="487"/>
      <c r="Z99" s="487"/>
      <c r="AA99" s="487"/>
      <c r="AB99" s="487"/>
      <c r="AC99" s="487"/>
      <c r="AD99" s="487"/>
      <c r="AE99" s="487"/>
      <c r="AF99" s="487"/>
      <c r="AG99" s="487"/>
      <c r="AH99" s="487"/>
      <c r="AI99" s="487"/>
      <c r="AJ99" s="487"/>
      <c r="AK99" s="487"/>
      <c r="AL99" s="487"/>
      <c r="AM99" s="487"/>
      <c r="AN99" s="487"/>
      <c r="AO99" s="487"/>
      <c r="AP99" s="487"/>
      <c r="AQ99" s="487"/>
      <c r="AR99" s="725"/>
      <c r="AS99" s="725"/>
      <c r="AT99" s="725"/>
      <c r="AU99" s="725"/>
      <c r="AV99" s="725"/>
      <c r="AW99" s="725"/>
      <c r="AX99" s="725"/>
      <c r="AY99" s="487">
        <f>122368.6*18.3024</f>
        <v>2239639.06464</v>
      </c>
      <c r="AZ99" s="487">
        <f>144080.2*1/Model!$AZ$203</f>
        <v>2603053.7493400006</v>
      </c>
    </row>
    <row r="100" spans="2:52">
      <c r="B100" s="435" t="s">
        <v>714</v>
      </c>
      <c r="C100" s="494"/>
      <c r="D100" s="423">
        <f t="shared" si="86"/>
        <v>1727766.8000000003</v>
      </c>
      <c r="E100" s="423">
        <f t="shared" si="83"/>
        <v>1856056.2</v>
      </c>
      <c r="F100" s="423">
        <f t="shared" si="87"/>
        <v>2107152.2000000002</v>
      </c>
      <c r="G100" s="423">
        <f t="shared" si="84"/>
        <v>1873801.6</v>
      </c>
      <c r="H100" s="423">
        <f t="shared" ref="H100:H105" si="92">+AG100+AF100+AI100+AH100</f>
        <v>1926400</v>
      </c>
      <c r="I100" s="423">
        <f t="shared" ref="I100:I105" si="93">+AK100+AJ100+AM100+AL100</f>
        <v>2228394.2999999998</v>
      </c>
      <c r="J100" s="423">
        <f t="shared" ref="J100:J105" si="94">+AP100+AO100+AN100+AQ100</f>
        <v>3057100</v>
      </c>
      <c r="K100" s="423">
        <f t="shared" si="88"/>
        <v>3309725.3269999996</v>
      </c>
      <c r="L100" s="423">
        <f t="shared" si="89"/>
        <v>3661659.2308800002</v>
      </c>
      <c r="M100" s="423">
        <f>SUM(AW100:AZ100)</f>
        <v>3746464.40631</v>
      </c>
      <c r="N100" s="423"/>
      <c r="O100" s="423">
        <f t="shared" si="90"/>
        <v>1974034.4</v>
      </c>
      <c r="P100" s="487">
        <v>485096.7</v>
      </c>
      <c r="Q100" s="487">
        <v>443559.9</v>
      </c>
      <c r="R100" s="487">
        <v>446946.8</v>
      </c>
      <c r="S100" s="487">
        <v>352163.4</v>
      </c>
      <c r="T100" s="487">
        <v>441209</v>
      </c>
      <c r="U100" s="487">
        <v>455755.7</v>
      </c>
      <c r="V100" s="487">
        <v>512108.2</v>
      </c>
      <c r="W100" s="487">
        <v>446983.3</v>
      </c>
      <c r="X100" s="487">
        <v>464529.7</v>
      </c>
      <c r="Y100" s="487">
        <v>577235.80000000005</v>
      </c>
      <c r="Z100" s="487">
        <v>539519.69999999995</v>
      </c>
      <c r="AA100" s="487">
        <v>525867</v>
      </c>
      <c r="AB100" s="487">
        <v>532900</v>
      </c>
      <c r="AC100" s="487">
        <v>460118.9</v>
      </c>
      <c r="AD100" s="487">
        <v>452892.1</v>
      </c>
      <c r="AE100" s="487">
        <v>427890.6</v>
      </c>
      <c r="AF100" s="487">
        <v>484886.6</v>
      </c>
      <c r="AG100" s="487">
        <v>423090.6</v>
      </c>
      <c r="AH100" s="487">
        <v>482857.8</v>
      </c>
      <c r="AI100" s="487">
        <v>535565</v>
      </c>
      <c r="AJ100" s="487">
        <v>532521</v>
      </c>
      <c r="AK100" s="487">
        <v>579773.30000000005</v>
      </c>
      <c r="AL100" s="487">
        <f>530*1000</f>
        <v>530000</v>
      </c>
      <c r="AM100" s="487">
        <v>586100</v>
      </c>
      <c r="AN100" s="487">
        <v>751100</v>
      </c>
      <c r="AO100" s="487">
        <v>734600</v>
      </c>
      <c r="AP100" s="487">
        <v>741200</v>
      </c>
      <c r="AQ100" s="487">
        <v>830200</v>
      </c>
      <c r="AR100" s="487">
        <f>49543.9*16.49</f>
        <v>816978.91099999996</v>
      </c>
      <c r="AS100" s="487">
        <v>740000</v>
      </c>
      <c r="AT100" s="487">
        <f>44244.8*19.51</f>
        <v>863216.04800000007</v>
      </c>
      <c r="AU100" s="487">
        <f>43434.1*20.48</f>
        <v>889530.36800000002</v>
      </c>
      <c r="AV100" s="487">
        <f>44634.3*20.3182</f>
        <v>906888.63426000008</v>
      </c>
      <c r="AW100" s="487">
        <f>18.8928*45344</f>
        <v>856675.12320000003</v>
      </c>
      <c r="AX100" s="487">
        <f>51217.8*18.6295</f>
        <v>954162.00510000007</v>
      </c>
      <c r="AY100" s="487">
        <f>51574.3*18.3024</f>
        <v>943933.46831999999</v>
      </c>
      <c r="AZ100" s="487">
        <f>54890.7*1/Model!$AZ$203</f>
        <v>991693.80969000002</v>
      </c>
    </row>
    <row r="101" spans="2:52">
      <c r="B101" s="435" t="s">
        <v>715</v>
      </c>
      <c r="C101" s="494"/>
      <c r="D101" s="423">
        <f t="shared" si="86"/>
        <v>2567200.5999999996</v>
      </c>
      <c r="E101" s="423">
        <f t="shared" si="83"/>
        <v>3499363.4</v>
      </c>
      <c r="F101" s="423">
        <f t="shared" si="87"/>
        <v>3834534.5</v>
      </c>
      <c r="G101" s="423">
        <f t="shared" si="84"/>
        <v>4100625.1</v>
      </c>
      <c r="H101" s="423">
        <f t="shared" si="92"/>
        <v>4380259.1999999993</v>
      </c>
      <c r="I101" s="423">
        <f t="shared" si="93"/>
        <v>4961894.3</v>
      </c>
      <c r="J101" s="423">
        <f t="shared" si="94"/>
        <v>5565000</v>
      </c>
      <c r="K101" s="423">
        <f t="shared" si="88"/>
        <v>6118203.3650000002</v>
      </c>
      <c r="L101" s="423">
        <f t="shared" si="89"/>
        <v>6486640.7880600002</v>
      </c>
      <c r="M101" s="423">
        <f>SUM(AW101:AZ101)</f>
        <v>6682678.34822</v>
      </c>
      <c r="N101" s="423"/>
      <c r="O101" s="423">
        <f t="shared" si="90"/>
        <v>4478319.5</v>
      </c>
      <c r="P101" s="487">
        <v>623045.80000000005</v>
      </c>
      <c r="Q101" s="487">
        <v>629280.1</v>
      </c>
      <c r="R101" s="487">
        <v>652867.5</v>
      </c>
      <c r="S101" s="487">
        <v>662007.19999999995</v>
      </c>
      <c r="T101" s="487">
        <v>791258.5</v>
      </c>
      <c r="U101" s="487">
        <v>909006.5</v>
      </c>
      <c r="V101" s="487">
        <v>919980.9</v>
      </c>
      <c r="W101" s="487">
        <v>879117.5</v>
      </c>
      <c r="X101" s="487">
        <v>975340.8</v>
      </c>
      <c r="Y101" s="487">
        <v>872316.9</v>
      </c>
      <c r="Z101" s="487">
        <v>895013.9</v>
      </c>
      <c r="AA101" s="487">
        <v>1091862.8999999999</v>
      </c>
      <c r="AB101" s="487">
        <v>1216853</v>
      </c>
      <c r="AC101" s="487">
        <v>1011698.4</v>
      </c>
      <c r="AD101" s="487">
        <v>940722.5</v>
      </c>
      <c r="AE101" s="487">
        <v>931351.2</v>
      </c>
      <c r="AF101" s="487">
        <v>1110001.7</v>
      </c>
      <c r="AG101" s="487">
        <v>937778.1</v>
      </c>
      <c r="AH101" s="487">
        <v>1067150.3999999999</v>
      </c>
      <c r="AI101" s="487">
        <v>1265329</v>
      </c>
      <c r="AJ101" s="487">
        <v>1208062</v>
      </c>
      <c r="AK101" s="487">
        <v>1190232.3</v>
      </c>
      <c r="AL101" s="487">
        <f>1248.5*1000</f>
        <v>1248500</v>
      </c>
      <c r="AM101" s="487">
        <v>1315100</v>
      </c>
      <c r="AN101" s="487">
        <v>1367200</v>
      </c>
      <c r="AO101" s="487">
        <v>1330900</v>
      </c>
      <c r="AP101" s="487">
        <v>1424300</v>
      </c>
      <c r="AQ101" s="487">
        <v>1442600</v>
      </c>
      <c r="AR101" s="487">
        <f>89356.2*16.49</f>
        <v>1473483.7379999999</v>
      </c>
      <c r="AS101" s="487">
        <v>1551200</v>
      </c>
      <c r="AT101" s="487">
        <f>79541.3*19.51</f>
        <v>1551850.7630000003</v>
      </c>
      <c r="AU101" s="487">
        <f>75276.8*20.48</f>
        <v>1541668.8640000001</v>
      </c>
      <c r="AV101" s="487">
        <f>78654.4*20.3182</f>
        <v>1598115.83008</v>
      </c>
      <c r="AW101" s="487">
        <f>18.8928*87406</f>
        <v>1651344.0768000002</v>
      </c>
      <c r="AX101" s="487">
        <f>87770.6*18.6295</f>
        <v>1635122.3927000002</v>
      </c>
      <c r="AY101" s="487">
        <f>87532.7*18.3024</f>
        <v>1602058.4884799998</v>
      </c>
      <c r="AZ101" s="487">
        <f>99307.2*1/Model!$AZ$203</f>
        <v>1794153.3902400001</v>
      </c>
    </row>
    <row r="102" spans="2:52">
      <c r="B102" s="435" t="s">
        <v>716</v>
      </c>
      <c r="C102" s="494"/>
      <c r="D102" s="423">
        <f t="shared" si="86"/>
        <v>772718.4</v>
      </c>
      <c r="E102" s="423">
        <f t="shared" si="83"/>
        <v>974460.1</v>
      </c>
      <c r="F102" s="423">
        <f t="shared" si="87"/>
        <v>741059.6</v>
      </c>
      <c r="G102" s="423">
        <f t="shared" si="84"/>
        <v>0</v>
      </c>
      <c r="H102" s="423">
        <f t="shared" si="92"/>
        <v>0</v>
      </c>
      <c r="I102" s="725"/>
      <c r="J102" s="725"/>
      <c r="K102" s="725"/>
      <c r="L102" s="725"/>
      <c r="M102" s="725"/>
      <c r="N102" s="423"/>
      <c r="O102" s="423">
        <f t="shared" si="90"/>
        <v>0</v>
      </c>
      <c r="P102" s="487">
        <v>189402.5</v>
      </c>
      <c r="Q102" s="487">
        <v>190020.7</v>
      </c>
      <c r="R102" s="487">
        <v>186808.8</v>
      </c>
      <c r="S102" s="487">
        <v>206486.39999999999</v>
      </c>
      <c r="T102" s="487">
        <v>253193.1</v>
      </c>
      <c r="U102" s="487">
        <v>230052.3</v>
      </c>
      <c r="V102" s="487">
        <v>247971.6</v>
      </c>
      <c r="W102" s="487">
        <v>243243.1</v>
      </c>
      <c r="X102" s="487">
        <v>245978.4</v>
      </c>
      <c r="Y102" s="487">
        <v>248347.2</v>
      </c>
      <c r="Z102" s="487">
        <v>246734</v>
      </c>
      <c r="AA102" s="603">
        <v>0</v>
      </c>
      <c r="AB102" s="603">
        <v>0</v>
      </c>
      <c r="AC102" s="487">
        <v>0</v>
      </c>
      <c r="AD102" s="603">
        <v>0</v>
      </c>
      <c r="AE102" s="603">
        <v>0</v>
      </c>
      <c r="AF102" s="603">
        <v>0</v>
      </c>
      <c r="AG102" s="487">
        <v>0</v>
      </c>
      <c r="AH102" s="487">
        <v>0</v>
      </c>
      <c r="AI102" s="603">
        <f>0/Model!$AI$202</f>
        <v>0</v>
      </c>
      <c r="AJ102" s="603">
        <f>0/Model!$AJ$202</f>
        <v>0</v>
      </c>
      <c r="AK102" s="603">
        <f>0/Model!$AK$202</f>
        <v>0</v>
      </c>
      <c r="AL102" s="603">
        <v>0</v>
      </c>
      <c r="AM102" s="603">
        <f>0/Model!$AI$202</f>
        <v>0</v>
      </c>
      <c r="AN102" s="603">
        <f>0/Model!$AJ$202</f>
        <v>0</v>
      </c>
      <c r="AO102" s="603">
        <f>(0/Model!$AK$202)*1000</f>
        <v>0</v>
      </c>
      <c r="AP102" s="603">
        <v>0</v>
      </c>
      <c r="AQ102" s="603">
        <f>0/Model!$AI$202</f>
        <v>0</v>
      </c>
      <c r="AR102" s="725"/>
      <c r="AS102" s="725"/>
      <c r="AT102" s="725"/>
      <c r="AU102" s="725"/>
      <c r="AV102" s="725"/>
      <c r="AW102" s="725"/>
      <c r="AX102" s="725"/>
      <c r="AY102" s="725"/>
      <c r="AZ102" s="725"/>
    </row>
    <row r="103" spans="2:52">
      <c r="B103" s="435" t="s">
        <v>718</v>
      </c>
      <c r="C103" s="494"/>
      <c r="D103" s="423">
        <f t="shared" si="86"/>
        <v>1361225.7</v>
      </c>
      <c r="E103" s="423">
        <f t="shared" si="83"/>
        <v>1553931.2000000002</v>
      </c>
      <c r="F103" s="423">
        <f t="shared" si="87"/>
        <v>1171796.1000000001</v>
      </c>
      <c r="G103" s="423">
        <f t="shared" si="84"/>
        <v>194061.3</v>
      </c>
      <c r="H103" s="423">
        <f t="shared" si="92"/>
        <v>202653.7</v>
      </c>
      <c r="I103" s="423">
        <f t="shared" si="93"/>
        <v>227962.5</v>
      </c>
      <c r="J103" s="423">
        <f t="shared" si="94"/>
        <v>241300</v>
      </c>
      <c r="K103" s="423">
        <f t="shared" si="88"/>
        <v>253513.43700000001</v>
      </c>
      <c r="L103" s="423">
        <f t="shared" si="89"/>
        <v>268038.28286000004</v>
      </c>
      <c r="M103" s="423">
        <f t="shared" ref="M103:M105" si="95">SUM(AW103:AZ103)</f>
        <v>278071.75893000001</v>
      </c>
      <c r="N103" s="423"/>
      <c r="O103" s="423">
        <f t="shared" si="90"/>
        <v>207964.5</v>
      </c>
      <c r="P103" s="487">
        <v>323794.5</v>
      </c>
      <c r="Q103" s="487">
        <v>333804.09999999998</v>
      </c>
      <c r="R103" s="487">
        <v>369831</v>
      </c>
      <c r="S103" s="487">
        <v>333796.09999999998</v>
      </c>
      <c r="T103" s="487">
        <v>363471.4</v>
      </c>
      <c r="U103" s="487">
        <v>355728.7</v>
      </c>
      <c r="V103" s="487">
        <v>359176.6</v>
      </c>
      <c r="W103" s="487">
        <v>475554.5</v>
      </c>
      <c r="X103" s="487">
        <v>362232.5</v>
      </c>
      <c r="Y103" s="487">
        <v>378894.5</v>
      </c>
      <c r="Z103" s="487">
        <v>383007.8</v>
      </c>
      <c r="AA103" s="487">
        <v>47661.3</v>
      </c>
      <c r="AB103" s="487">
        <v>47739.5</v>
      </c>
      <c r="AC103" s="487">
        <v>47870.5</v>
      </c>
      <c r="AD103" s="487">
        <v>49221.599999999999</v>
      </c>
      <c r="AE103" s="487">
        <v>49229.7</v>
      </c>
      <c r="AF103" s="487">
        <v>49304.2</v>
      </c>
      <c r="AG103" s="487">
        <v>49373.5</v>
      </c>
      <c r="AH103" s="487">
        <v>51299</v>
      </c>
      <c r="AI103" s="487">
        <v>52677</v>
      </c>
      <c r="AJ103" s="487">
        <v>54615</v>
      </c>
      <c r="AK103" s="487">
        <v>55647.5</v>
      </c>
      <c r="AL103" s="487">
        <f>57.3*1000</f>
        <v>57300</v>
      </c>
      <c r="AM103" s="487">
        <v>60400</v>
      </c>
      <c r="AN103" s="487">
        <v>59600</v>
      </c>
      <c r="AO103" s="487">
        <v>60800</v>
      </c>
      <c r="AP103" s="487">
        <v>60700</v>
      </c>
      <c r="AQ103" s="487">
        <v>60200</v>
      </c>
      <c r="AR103" s="487">
        <f>3836.6*16.49</f>
        <v>63265.533999999992</v>
      </c>
      <c r="AS103" s="487">
        <v>63600</v>
      </c>
      <c r="AT103" s="487">
        <f>3308.9*19.51</f>
        <v>64556.63900000001</v>
      </c>
      <c r="AU103" s="487">
        <f>3031.8*20.48</f>
        <v>62091.264000000003</v>
      </c>
      <c r="AV103" s="487">
        <f>3091.3*20.3182</f>
        <v>62809.651660000003</v>
      </c>
      <c r="AW103" s="487">
        <f>18.8928*3714.6</f>
        <v>70179.194879999995</v>
      </c>
      <c r="AX103" s="487">
        <f>3664*18.6295</f>
        <v>68258.487999999998</v>
      </c>
      <c r="AY103" s="487">
        <f>3649.3*18.3024</f>
        <v>66790.948319999996</v>
      </c>
      <c r="AZ103" s="487">
        <f>4031.9*1/Model!$AZ$203</f>
        <v>72843.127730000007</v>
      </c>
    </row>
    <row r="104" spans="2:52">
      <c r="B104" s="435" t="s">
        <v>704</v>
      </c>
      <c r="C104" s="494"/>
      <c r="D104" s="423">
        <f t="shared" si="86"/>
        <v>2054812.5999999999</v>
      </c>
      <c r="E104" s="423">
        <f t="shared" si="83"/>
        <v>2409653.4</v>
      </c>
      <c r="F104" s="423">
        <f t="shared" si="87"/>
        <v>3052295</v>
      </c>
      <c r="G104" s="423">
        <f t="shared" si="84"/>
        <v>3444302.8</v>
      </c>
      <c r="H104" s="423">
        <f t="shared" si="92"/>
        <v>2968361.9</v>
      </c>
      <c r="I104" s="423">
        <f t="shared" si="93"/>
        <v>2901020.7</v>
      </c>
      <c r="J104" s="423">
        <f t="shared" si="94"/>
        <v>2955100</v>
      </c>
      <c r="K104" s="423">
        <f t="shared" si="88"/>
        <v>3232200.446</v>
      </c>
      <c r="L104" s="423">
        <f t="shared" si="89"/>
        <v>3368292.94294</v>
      </c>
      <c r="M104" s="423">
        <f t="shared" si="95"/>
        <v>3432795.8304699999</v>
      </c>
      <c r="N104" s="423"/>
      <c r="O104" s="423">
        <f t="shared" si="90"/>
        <v>2913585.3</v>
      </c>
      <c r="P104" s="487">
        <v>482414.3</v>
      </c>
      <c r="Q104" s="487">
        <v>515073.3</v>
      </c>
      <c r="R104" s="487">
        <v>458936.8</v>
      </c>
      <c r="S104" s="487">
        <v>598388.19999999995</v>
      </c>
      <c r="T104" s="487">
        <v>570051.80000000005</v>
      </c>
      <c r="U104" s="487">
        <v>605071.69999999995</v>
      </c>
      <c r="V104" s="487">
        <v>567738.4</v>
      </c>
      <c r="W104" s="487">
        <v>666791.5</v>
      </c>
      <c r="X104" s="487">
        <v>719054.1</v>
      </c>
      <c r="Y104" s="487">
        <v>721449.6</v>
      </c>
      <c r="Z104" s="487">
        <v>786590.1</v>
      </c>
      <c r="AA104" s="487">
        <v>825201.2</v>
      </c>
      <c r="AB104" s="487">
        <v>805224</v>
      </c>
      <c r="AC104" s="487">
        <v>899248.5</v>
      </c>
      <c r="AD104" s="487">
        <v>887190.8</v>
      </c>
      <c r="AE104" s="487">
        <v>852639.5</v>
      </c>
      <c r="AF104" s="487">
        <v>825996.6</v>
      </c>
      <c r="AG104" s="487">
        <v>736938.4</v>
      </c>
      <c r="AH104" s="487">
        <v>739756.9</v>
      </c>
      <c r="AI104" s="487">
        <v>665670</v>
      </c>
      <c r="AJ104" s="487">
        <v>771220</v>
      </c>
      <c r="AK104" s="487">
        <v>664200.69999999995</v>
      </c>
      <c r="AL104" s="487">
        <f>720.6*1000</f>
        <v>720600</v>
      </c>
      <c r="AM104" s="487">
        <v>745000</v>
      </c>
      <c r="AN104" s="487">
        <v>723500</v>
      </c>
      <c r="AO104" s="487">
        <v>703500</v>
      </c>
      <c r="AP104" s="487">
        <v>756600</v>
      </c>
      <c r="AQ104" s="487">
        <v>771500</v>
      </c>
      <c r="AR104" s="487">
        <f>46095.8*16.49</f>
        <v>760119.74199999997</v>
      </c>
      <c r="AS104" s="487">
        <v>804100</v>
      </c>
      <c r="AT104" s="487">
        <f>41532.8*19.51</f>
        <v>810304.92800000007</v>
      </c>
      <c r="AU104" s="487">
        <f>41878.7*20.48</f>
        <v>857675.77599999995</v>
      </c>
      <c r="AV104" s="487">
        <f>38317.1*20.3182</f>
        <v>778534.50121999998</v>
      </c>
      <c r="AW104" s="487">
        <f>18.8928*46128.9</f>
        <v>871504.08192000003</v>
      </c>
      <c r="AX104" s="487">
        <f>44598.8*18.6295</f>
        <v>830853.34460000007</v>
      </c>
      <c r="AY104" s="487">
        <f>48485.5*18.3024</f>
        <v>887401.01519999991</v>
      </c>
      <c r="AZ104" s="487">
        <f>46662.5*1/Model!$AZ$203</f>
        <v>843037.38875000004</v>
      </c>
    </row>
    <row r="105" spans="2:52">
      <c r="B105" s="435" t="s">
        <v>719</v>
      </c>
      <c r="C105" s="494"/>
      <c r="D105" s="423">
        <f>+P105+Q105+R105+S105</f>
        <v>0</v>
      </c>
      <c r="E105" s="423">
        <f t="shared" si="83"/>
        <v>0</v>
      </c>
      <c r="F105" s="423">
        <f t="shared" si="87"/>
        <v>442706.4</v>
      </c>
      <c r="G105" s="423">
        <f t="shared" si="84"/>
        <v>1388926.2999999998</v>
      </c>
      <c r="H105" s="423">
        <f t="shared" si="92"/>
        <v>1824829.2999999998</v>
      </c>
      <c r="I105" s="423">
        <f t="shared" si="93"/>
        <v>1951997.1</v>
      </c>
      <c r="J105" s="423">
        <f t="shared" si="94"/>
        <v>2035400</v>
      </c>
      <c r="K105" s="423">
        <f t="shared" si="88"/>
        <v>2318522.0630000001</v>
      </c>
      <c r="L105" s="423">
        <f t="shared" si="89"/>
        <v>2309509.7674200004</v>
      </c>
      <c r="M105" s="423">
        <f t="shared" si="95"/>
        <v>2343661.27501</v>
      </c>
      <c r="N105" s="423"/>
      <c r="O105" s="423">
        <f t="shared" si="90"/>
        <v>1790155.5</v>
      </c>
      <c r="P105" s="487">
        <v>0</v>
      </c>
      <c r="Q105" s="487">
        <v>0</v>
      </c>
      <c r="R105" s="487">
        <v>0</v>
      </c>
      <c r="S105" s="487">
        <v>0</v>
      </c>
      <c r="T105" s="487">
        <v>0</v>
      </c>
      <c r="U105" s="487">
        <v>0</v>
      </c>
      <c r="V105" s="487">
        <v>0</v>
      </c>
      <c r="W105" s="487">
        <v>0</v>
      </c>
      <c r="X105" s="487">
        <v>0</v>
      </c>
      <c r="Y105" s="487">
        <v>0</v>
      </c>
      <c r="Z105" s="487">
        <v>0</v>
      </c>
      <c r="AA105" s="487">
        <v>442706.4</v>
      </c>
      <c r="AB105" s="487">
        <v>368733.6</v>
      </c>
      <c r="AC105" s="487">
        <v>309042.5</v>
      </c>
      <c r="AD105" s="487">
        <v>359343.1</v>
      </c>
      <c r="AE105" s="487">
        <v>351807.1</v>
      </c>
      <c r="AF105" s="487">
        <v>459351.8</v>
      </c>
      <c r="AG105" s="487">
        <v>419182.6</v>
      </c>
      <c r="AH105" s="487">
        <v>362661.9</v>
      </c>
      <c r="AI105" s="487">
        <v>583633</v>
      </c>
      <c r="AJ105" s="487">
        <v>424678</v>
      </c>
      <c r="AK105" s="487">
        <v>441919.1</v>
      </c>
      <c r="AL105" s="487">
        <f>506.6*1000</f>
        <v>506600</v>
      </c>
      <c r="AM105" s="487">
        <v>578800</v>
      </c>
      <c r="AN105" s="487">
        <v>492600</v>
      </c>
      <c r="AO105" s="487">
        <v>497600</v>
      </c>
      <c r="AP105" s="487">
        <v>503500</v>
      </c>
      <c r="AQ105" s="487">
        <v>541700</v>
      </c>
      <c r="AR105" s="487">
        <f>32415.4*16.49</f>
        <v>534529.946</v>
      </c>
      <c r="AS105" s="487">
        <v>529600</v>
      </c>
      <c r="AT105" s="487">
        <f>27818.7*19.51</f>
        <v>542742.83700000006</v>
      </c>
      <c r="AU105" s="487">
        <f>34748.5*20.48</f>
        <v>711649.28000000003</v>
      </c>
      <c r="AV105" s="487">
        <f>26591.7*20.3182</f>
        <v>540295.47894000006</v>
      </c>
      <c r="AW105" s="487">
        <f>18.8928*29046.1</f>
        <v>548762.15807999996</v>
      </c>
      <c r="AX105" s="487">
        <f>32712*18.6295</f>
        <v>609408.20400000003</v>
      </c>
      <c r="AY105" s="487">
        <f>33386*18.3024</f>
        <v>611043.9264</v>
      </c>
      <c r="AZ105" s="487">
        <f>31795.9*1/Model!$AZ$203</f>
        <v>574446.98653000011</v>
      </c>
    </row>
    <row r="106" spans="2:52">
      <c r="B106" s="485" t="s">
        <v>707</v>
      </c>
      <c r="C106" s="584"/>
      <c r="D106" s="479">
        <f t="shared" ref="D106:O106" si="96">SUM(D96:D105)</f>
        <v>11585634.899999999</v>
      </c>
      <c r="E106" s="479">
        <f t="shared" si="96"/>
        <v>13672354.1</v>
      </c>
      <c r="F106" s="479">
        <f t="shared" si="96"/>
        <v>15191131.4</v>
      </c>
      <c r="G106" s="479">
        <f t="shared" si="96"/>
        <v>16308078.900000002</v>
      </c>
      <c r="H106" s="479">
        <f t="shared" si="96"/>
        <v>16842722.199999999</v>
      </c>
      <c r="I106" s="479">
        <f t="shared" ref="I106:J106" si="97">SUM(I96:I105)</f>
        <v>18590552.200000003</v>
      </c>
      <c r="J106" s="479">
        <f t="shared" si="97"/>
        <v>20732000</v>
      </c>
      <c r="K106" s="479">
        <f t="shared" ref="K106:L106" si="98">SUM(K96:K105)</f>
        <v>22663205.591000002</v>
      </c>
      <c r="L106" s="479">
        <f t="shared" si="98"/>
        <v>24391769.70369</v>
      </c>
      <c r="M106" s="479">
        <f>SUM(M96:M105)</f>
        <v>16483671.618939999</v>
      </c>
      <c r="N106" s="479"/>
      <c r="O106" s="479">
        <f t="shared" si="96"/>
        <v>17010124</v>
      </c>
      <c r="P106" s="479">
        <v>2899974.6</v>
      </c>
      <c r="Q106" s="479">
        <f t="shared" ref="Q106:AA106" si="99">SUM(Q96:Q105)</f>
        <v>2860055.0999999996</v>
      </c>
      <c r="R106" s="479">
        <f t="shared" si="99"/>
        <v>2907608.5999999996</v>
      </c>
      <c r="S106" s="479">
        <f t="shared" si="99"/>
        <v>2917996.8</v>
      </c>
      <c r="T106" s="479">
        <f t="shared" si="99"/>
        <v>3244518.0999999996</v>
      </c>
      <c r="U106" s="479">
        <f t="shared" si="99"/>
        <v>3375358</v>
      </c>
      <c r="V106" s="479">
        <f t="shared" si="99"/>
        <v>3447686.4</v>
      </c>
      <c r="W106" s="479">
        <f t="shared" si="99"/>
        <v>3604791.6</v>
      </c>
      <c r="X106" s="479">
        <f t="shared" si="99"/>
        <v>3664681.5</v>
      </c>
      <c r="Y106" s="479">
        <f t="shared" si="99"/>
        <v>3711489.5000000005</v>
      </c>
      <c r="Z106" s="479">
        <f t="shared" si="99"/>
        <v>3775041.6999999997</v>
      </c>
      <c r="AA106" s="479">
        <f t="shared" si="99"/>
        <v>4039918.6999999997</v>
      </c>
      <c r="AB106" s="479">
        <f t="shared" ref="AB106:AG106" si="100">SUM(AB96:AB105)</f>
        <v>4189668</v>
      </c>
      <c r="AC106" s="479">
        <f t="shared" si="100"/>
        <v>4126350.1</v>
      </c>
      <c r="AD106" s="479">
        <f t="shared" si="100"/>
        <v>4028055.4</v>
      </c>
      <c r="AE106" s="479">
        <f t="shared" si="100"/>
        <v>3964005.4</v>
      </c>
      <c r="AF106" s="479">
        <f t="shared" si="100"/>
        <v>4271410.2</v>
      </c>
      <c r="AG106" s="479">
        <f t="shared" si="100"/>
        <v>3905020</v>
      </c>
      <c r="AH106" s="479">
        <f t="shared" ref="AH106:AM106" si="101">SUM(AH96:AH105)</f>
        <v>4067201</v>
      </c>
      <c r="AI106" s="479">
        <f t="shared" si="101"/>
        <v>4692697</v>
      </c>
      <c r="AJ106" s="479">
        <f t="shared" si="101"/>
        <v>4523426</v>
      </c>
      <c r="AK106" s="479">
        <f t="shared" si="101"/>
        <v>4560323.5999999996</v>
      </c>
      <c r="AL106" s="479">
        <f t="shared" si="101"/>
        <v>4851700</v>
      </c>
      <c r="AM106" s="479">
        <f t="shared" si="101"/>
        <v>5032300</v>
      </c>
      <c r="AN106" s="479">
        <f t="shared" ref="AN106" si="102">SUM(AN96:AN105)</f>
        <v>5106100</v>
      </c>
      <c r="AO106" s="479">
        <f>SUM(AO96:AO105)</f>
        <v>5086600</v>
      </c>
      <c r="AP106" s="479">
        <f t="shared" ref="AP106:AR106" si="103">SUM(AP96:AP105)</f>
        <v>5147300</v>
      </c>
      <c r="AQ106" s="479">
        <f t="shared" si="103"/>
        <v>5392000</v>
      </c>
      <c r="AR106" s="479">
        <f t="shared" si="103"/>
        <v>5422251.6940000001</v>
      </c>
      <c r="AS106" s="479">
        <f>SUM(AS96:AS105)</f>
        <v>5472200</v>
      </c>
      <c r="AT106" s="479">
        <f t="shared" ref="AT106" si="104">SUM(AT96:AT105)</f>
        <v>5720002.2810000014</v>
      </c>
      <c r="AU106" s="479">
        <f t="shared" ref="AU106:AV106" si="105">SUM(AU96:AU105)</f>
        <v>6048751.6160000004</v>
      </c>
      <c r="AV106" s="479">
        <f t="shared" si="105"/>
        <v>5877518.8595199995</v>
      </c>
      <c r="AW106" s="479">
        <f>SUM(AW96:AW105)</f>
        <v>6081152.1177600008</v>
      </c>
      <c r="AX106" s="479">
        <f t="shared" ref="AX106:AZ106" si="106">SUM(AX96:AX105)</f>
        <v>6082231.8150500003</v>
      </c>
      <c r="AY106" s="479">
        <f t="shared" si="106"/>
        <v>6350866.9113600003</v>
      </c>
      <c r="AZ106" s="479">
        <f t="shared" si="106"/>
        <v>6879228.4522800008</v>
      </c>
    </row>
    <row r="107" spans="2:52">
      <c r="B107" s="435"/>
      <c r="C107" s="487"/>
      <c r="D107" s="487"/>
      <c r="E107" s="487"/>
      <c r="F107" s="487"/>
      <c r="G107" s="487"/>
      <c r="H107" s="487"/>
      <c r="I107" s="487"/>
      <c r="J107" s="487"/>
      <c r="K107" s="487"/>
      <c r="L107" s="487"/>
      <c r="M107" s="487"/>
      <c r="N107" s="423"/>
      <c r="O107" s="423"/>
      <c r="P107" s="487"/>
      <c r="Q107" s="487"/>
      <c r="R107" s="487"/>
      <c r="S107" s="423"/>
      <c r="T107" s="487"/>
      <c r="U107" s="487"/>
      <c r="V107" s="487"/>
      <c r="W107" s="423"/>
      <c r="X107" s="487"/>
      <c r="Y107" s="487"/>
      <c r="Z107" s="487"/>
      <c r="AA107" s="487"/>
      <c r="AB107" s="487"/>
      <c r="AC107" s="487"/>
      <c r="AD107" s="487"/>
      <c r="AE107" s="487"/>
      <c r="AF107" s="487"/>
      <c r="AG107" s="487"/>
      <c r="AH107" s="487"/>
      <c r="AI107" s="487"/>
      <c r="AJ107" s="487"/>
      <c r="AK107" s="487"/>
      <c r="AL107" s="487"/>
      <c r="AM107" s="487"/>
      <c r="AN107" s="487"/>
      <c r="AO107" s="487"/>
      <c r="AP107" s="487"/>
      <c r="AQ107" s="487"/>
      <c r="AR107" s="487"/>
      <c r="AS107" s="487"/>
      <c r="AT107" s="487"/>
      <c r="AU107" s="487"/>
      <c r="AV107" s="487"/>
      <c r="AW107" s="487"/>
      <c r="AX107" s="487"/>
      <c r="AY107" s="487"/>
      <c r="AZ107" s="487"/>
    </row>
    <row r="108" spans="2:52">
      <c r="B108" s="485" t="s">
        <v>721</v>
      </c>
      <c r="C108" s="487"/>
      <c r="D108" s="487"/>
      <c r="E108" s="487"/>
      <c r="F108" s="487"/>
      <c r="G108" s="487"/>
      <c r="H108" s="487"/>
      <c r="I108" s="487"/>
      <c r="J108" s="487"/>
      <c r="K108" s="487"/>
      <c r="L108" s="487"/>
      <c r="M108" s="487"/>
      <c r="N108" s="423"/>
      <c r="O108" s="423"/>
      <c r="P108" s="487"/>
      <c r="Q108" s="487"/>
      <c r="R108" s="487"/>
      <c r="S108" s="423"/>
      <c r="T108" s="487"/>
      <c r="U108" s="487"/>
      <c r="V108" s="487"/>
      <c r="W108" s="423"/>
      <c r="X108" s="487"/>
      <c r="Y108" s="487"/>
      <c r="Z108" s="487"/>
      <c r="AA108" s="487"/>
      <c r="AB108" s="487"/>
      <c r="AC108" s="487"/>
      <c r="AD108" s="487"/>
      <c r="AE108" s="487"/>
      <c r="AF108" s="487"/>
      <c r="AG108" s="487"/>
      <c r="AH108" s="487"/>
      <c r="AI108" s="487"/>
      <c r="AJ108" s="487"/>
      <c r="AK108" s="487"/>
      <c r="AL108" s="487"/>
      <c r="AM108" s="487"/>
      <c r="AN108" s="487"/>
      <c r="AO108" s="487"/>
      <c r="AP108" s="487"/>
      <c r="AQ108" s="487"/>
      <c r="AR108" s="487"/>
      <c r="AS108" s="487"/>
      <c r="AT108" s="487"/>
      <c r="AU108" s="487"/>
      <c r="AV108" s="487"/>
      <c r="AW108" s="487"/>
      <c r="AX108" s="487"/>
      <c r="AY108" s="487"/>
      <c r="AZ108" s="487"/>
    </row>
    <row r="109" spans="2:52">
      <c r="B109" s="435"/>
      <c r="C109" s="487"/>
      <c r="D109" s="487"/>
      <c r="E109" s="487"/>
      <c r="F109" s="487"/>
      <c r="G109" s="487"/>
      <c r="H109" s="487"/>
      <c r="I109" s="487"/>
      <c r="J109" s="487"/>
      <c r="K109" s="487"/>
      <c r="L109" s="487"/>
      <c r="M109" s="487"/>
      <c r="N109" s="423"/>
      <c r="O109" s="423"/>
      <c r="P109" s="487"/>
      <c r="Q109" s="487"/>
      <c r="R109" s="487"/>
      <c r="S109" s="423"/>
      <c r="T109" s="487"/>
      <c r="U109" s="487"/>
      <c r="V109" s="487"/>
      <c r="W109" s="423"/>
      <c r="X109" s="487"/>
      <c r="Y109" s="487"/>
      <c r="Z109" s="487"/>
      <c r="AA109" s="487"/>
      <c r="AB109" s="487"/>
      <c r="AC109" s="487"/>
      <c r="AD109" s="487"/>
      <c r="AE109" s="487"/>
      <c r="AF109" s="487"/>
      <c r="AG109" s="487"/>
      <c r="AH109" s="487"/>
      <c r="AI109" s="487"/>
      <c r="AJ109" s="487"/>
      <c r="AK109" s="487"/>
      <c r="AL109" s="487"/>
      <c r="AM109" s="487"/>
      <c r="AN109" s="487"/>
      <c r="AO109" s="487"/>
      <c r="AP109" s="487"/>
      <c r="AQ109" s="487"/>
      <c r="AR109" s="487"/>
      <c r="AS109" s="487"/>
      <c r="AT109" s="487"/>
      <c r="AU109" s="487"/>
      <c r="AV109" s="487"/>
      <c r="AW109" s="487"/>
      <c r="AX109" s="487"/>
      <c r="AY109" s="487"/>
      <c r="AZ109" s="487"/>
    </row>
    <row r="110" spans="2:52">
      <c r="B110" s="435" t="s">
        <v>711</v>
      </c>
      <c r="C110" s="494"/>
      <c r="D110" s="562">
        <f t="shared" ref="D110:H111" si="107">D96/D$106</f>
        <v>0.21377563002611105</v>
      </c>
      <c r="E110" s="562">
        <f t="shared" si="107"/>
        <v>0.19844385101172884</v>
      </c>
      <c r="F110" s="562">
        <f t="shared" si="107"/>
        <v>0.19804346501801701</v>
      </c>
      <c r="G110" s="562">
        <f t="shared" si="107"/>
        <v>0.22435954120874407</v>
      </c>
      <c r="H110" s="562">
        <f t="shared" si="107"/>
        <v>0.23953499630837585</v>
      </c>
      <c r="I110" s="562">
        <f t="shared" ref="I110:J110" si="108">I96/I$106</f>
        <v>0.25712271204079667</v>
      </c>
      <c r="J110" s="562">
        <f t="shared" si="108"/>
        <v>0.24686957360601969</v>
      </c>
      <c r="K110" s="562">
        <f t="shared" ref="K110:L110" si="109">K96/K$106</f>
        <v>0.24795072746600139</v>
      </c>
      <c r="L110" s="562">
        <f t="shared" si="109"/>
        <v>0.18436975272522665</v>
      </c>
      <c r="M110" s="562">
        <f>M96/M$106</f>
        <v>0</v>
      </c>
      <c r="N110" s="738"/>
      <c r="O110" s="562">
        <f>O96/O$106</f>
        <v>0.24420191763446286</v>
      </c>
      <c r="P110" s="562">
        <f t="shared" ref="P110:X110" si="110">P96/P$106</f>
        <v>0.21600402982839917</v>
      </c>
      <c r="Q110" s="562">
        <f t="shared" si="110"/>
        <v>0.20682888242257993</v>
      </c>
      <c r="R110" s="562">
        <f t="shared" si="110"/>
        <v>0.2209812558677946</v>
      </c>
      <c r="S110" s="562">
        <f t="shared" si="110"/>
        <v>0.21118981350493599</v>
      </c>
      <c r="T110" s="562">
        <f t="shared" si="110"/>
        <v>0.20441917090861661</v>
      </c>
      <c r="U110" s="562">
        <f t="shared" si="110"/>
        <v>0.19410349953990066</v>
      </c>
      <c r="V110" s="562">
        <f t="shared" si="110"/>
        <v>0.1948694057556975</v>
      </c>
      <c r="W110" s="562">
        <f t="shared" si="110"/>
        <v>0.20054848663096086</v>
      </c>
      <c r="X110" s="562">
        <f t="shared" si="110"/>
        <v>0.19697449832952743</v>
      </c>
      <c r="Y110" s="562">
        <f t="shared" ref="Y110:AJ110" si="111">Y96/Y$106</f>
        <v>0.19962653807858002</v>
      </c>
      <c r="Z110" s="562">
        <f t="shared" si="111"/>
        <v>0.1976433531846814</v>
      </c>
      <c r="AA110" s="562">
        <f t="shared" si="111"/>
        <v>0.19793264651588163</v>
      </c>
      <c r="AB110" s="562">
        <f t="shared" si="111"/>
        <v>0.19955041783740382</v>
      </c>
      <c r="AC110" s="562">
        <f t="shared" si="111"/>
        <v>0.23052365333712233</v>
      </c>
      <c r="AD110" s="562">
        <f t="shared" si="111"/>
        <v>0.22702977223203039</v>
      </c>
      <c r="AE110" s="562">
        <f t="shared" si="111"/>
        <v>0.24145105856818461</v>
      </c>
      <c r="AF110" s="562">
        <f t="shared" si="111"/>
        <v>0.22440188488569887</v>
      </c>
      <c r="AG110" s="562">
        <f t="shared" si="111"/>
        <v>0.25127487183164238</v>
      </c>
      <c r="AH110" s="562">
        <f t="shared" si="111"/>
        <v>0.24745433038593373</v>
      </c>
      <c r="AI110" s="562">
        <f t="shared" si="111"/>
        <v>0.23189841577242257</v>
      </c>
      <c r="AJ110" s="562">
        <f t="shared" si="111"/>
        <v>0.23831405664644453</v>
      </c>
      <c r="AK110" s="562">
        <f t="shared" ref="AK110:AN110" si="112">AK96/AK$106</f>
        <v>0.25155171005847043</v>
      </c>
      <c r="AL110" s="562">
        <f t="shared" si="112"/>
        <v>0.2673083661397036</v>
      </c>
      <c r="AM110" s="562">
        <f t="shared" si="112"/>
        <v>0.24998509627804383</v>
      </c>
      <c r="AN110" s="562">
        <f t="shared" si="112"/>
        <v>0.24394351853665225</v>
      </c>
      <c r="AO110" s="562">
        <f t="shared" ref="AO110:AR110" si="113">AO96/AO$106</f>
        <v>0.25459049266700745</v>
      </c>
      <c r="AP110" s="562">
        <f t="shared" si="113"/>
        <v>0.24463310862005322</v>
      </c>
      <c r="AQ110" s="562">
        <f t="shared" si="113"/>
        <v>0.24449183976261127</v>
      </c>
      <c r="AR110" s="562">
        <f t="shared" si="113"/>
        <v>0.25049890426573024</v>
      </c>
      <c r="AS110" s="562">
        <f t="shared" ref="AS110:AV110" si="114">AS96/AS$106</f>
        <v>0.24575125178173313</v>
      </c>
      <c r="AT110" s="562">
        <f t="shared" si="114"/>
        <v>0.24800440407376817</v>
      </c>
      <c r="AU110" s="562">
        <f t="shared" si="114"/>
        <v>0.24760554624830539</v>
      </c>
      <c r="AV110" s="562">
        <f t="shared" si="114"/>
        <v>0.24624058330936524</v>
      </c>
      <c r="AW110" s="562">
        <f t="shared" ref="AW110:AZ110" si="115">AW96/AW$106</f>
        <v>0.25283718889873047</v>
      </c>
      <c r="AX110" s="562">
        <f t="shared" si="115"/>
        <v>0.24863890684961801</v>
      </c>
      <c r="AY110" s="562">
        <f t="shared" si="115"/>
        <v>0</v>
      </c>
      <c r="AZ110" s="562">
        <f t="shared" si="115"/>
        <v>0</v>
      </c>
    </row>
    <row r="111" spans="2:52">
      <c r="B111" s="435" t="s">
        <v>712</v>
      </c>
      <c r="C111" s="494"/>
      <c r="D111" s="562">
        <f t="shared" si="107"/>
        <v>5.3962031895204994E-2</v>
      </c>
      <c r="E111" s="562">
        <f t="shared" si="107"/>
        <v>4.8689142713177681E-2</v>
      </c>
      <c r="F111" s="562">
        <f t="shared" si="107"/>
        <v>5.4840108880896125E-2</v>
      </c>
      <c r="G111" s="562">
        <f t="shared" si="107"/>
        <v>0.10102285561054036</v>
      </c>
      <c r="H111" s="562">
        <f t="shared" si="107"/>
        <v>8.9403404159928493E-2</v>
      </c>
      <c r="I111" s="562">
        <f t="shared" ref="I111:J111" si="116">I97/I$106</f>
        <v>8.279636255237216E-2</v>
      </c>
      <c r="J111" s="562">
        <f t="shared" si="116"/>
        <v>6.5314489677792784E-2</v>
      </c>
      <c r="K111" s="562">
        <f>K97/K$106</f>
        <v>6.031664768301135E-2</v>
      </c>
      <c r="L111" s="562">
        <f>L97/L$106</f>
        <v>4.9636197768661391E-2</v>
      </c>
      <c r="M111" s="562">
        <f>M97/M$106</f>
        <v>0</v>
      </c>
      <c r="N111" s="738"/>
      <c r="O111" s="562">
        <f>O97/O$106</f>
        <v>8.772187081058315E-2</v>
      </c>
      <c r="P111" s="562">
        <f t="shared" ref="P111:X111" si="117">P97/P$106</f>
        <v>5.8557202535498065E-2</v>
      </c>
      <c r="Q111" s="562">
        <f t="shared" si="117"/>
        <v>5.481537750793683E-2</v>
      </c>
      <c r="R111" s="562">
        <f t="shared" si="117"/>
        <v>5.1482410665589597E-2</v>
      </c>
      <c r="S111" s="562">
        <f t="shared" si="117"/>
        <v>5.1029631012617968E-2</v>
      </c>
      <c r="T111" s="562">
        <f t="shared" si="117"/>
        <v>4.9958913775207489E-2</v>
      </c>
      <c r="U111" s="562">
        <f t="shared" si="117"/>
        <v>4.8757583640016845E-2</v>
      </c>
      <c r="V111" s="562">
        <f t="shared" si="117"/>
        <v>4.8978381560457473E-2</v>
      </c>
      <c r="W111" s="562">
        <f t="shared" si="117"/>
        <v>4.7205558290803834E-2</v>
      </c>
      <c r="X111" s="562">
        <f t="shared" si="117"/>
        <v>4.7943375160979206E-2</v>
      </c>
      <c r="Y111" s="562">
        <f t="shared" ref="Y111:AJ111" si="118">Y97/Y$106</f>
        <v>4.6432490244145912E-2</v>
      </c>
      <c r="Z111" s="562">
        <f t="shared" si="118"/>
        <v>4.7168829949613536E-2</v>
      </c>
      <c r="AA111" s="562">
        <f t="shared" si="118"/>
        <v>7.5988682643539335E-2</v>
      </c>
      <c r="AB111" s="562">
        <f t="shared" si="118"/>
        <v>9.1216750348714987E-2</v>
      </c>
      <c r="AC111" s="562">
        <f t="shared" si="118"/>
        <v>0.10836453261685187</v>
      </c>
      <c r="AD111" s="562">
        <f t="shared" si="118"/>
        <v>0.10531056747630631</v>
      </c>
      <c r="AE111" s="562">
        <f t="shared" si="118"/>
        <v>9.9387856535210581E-2</v>
      </c>
      <c r="AF111" s="562">
        <f t="shared" si="118"/>
        <v>8.9749469624809147E-2</v>
      </c>
      <c r="AG111" s="562">
        <f t="shared" si="118"/>
        <v>9.1529211117996848E-2</v>
      </c>
      <c r="AH111" s="562">
        <f t="shared" si="118"/>
        <v>8.778235941621769E-2</v>
      </c>
      <c r="AI111" s="562">
        <f t="shared" si="118"/>
        <v>8.6941049038537971E-2</v>
      </c>
      <c r="AJ111" s="562">
        <f t="shared" si="118"/>
        <v>8.1734508312946874E-2</v>
      </c>
      <c r="AK111" s="562">
        <f t="shared" ref="AK111:AN111" si="119">AK97/AK$106</f>
        <v>8.5632102949887157E-2</v>
      </c>
      <c r="AL111" s="562">
        <f t="shared" si="119"/>
        <v>8.0981923861739177E-2</v>
      </c>
      <c r="AM111" s="562">
        <f t="shared" si="119"/>
        <v>7.6724360630328087E-2</v>
      </c>
      <c r="AN111" s="562">
        <f t="shared" si="119"/>
        <v>7.1111024069250503E-2</v>
      </c>
      <c r="AO111" s="562">
        <f t="shared" ref="AO111:AR112" si="120">AO97/AO$106</f>
        <v>7.1265678449258837E-2</v>
      </c>
      <c r="AP111" s="562">
        <f t="shared" si="120"/>
        <v>5.847725992267791E-2</v>
      </c>
      <c r="AQ111" s="562">
        <f t="shared" si="120"/>
        <v>6.0738130563798218E-2</v>
      </c>
      <c r="AR111" s="562">
        <f t="shared" si="120"/>
        <v>5.7773448500489315E-2</v>
      </c>
      <c r="AS111" s="562">
        <f t="shared" ref="AS111:AV111" si="121">AS97/AS$106</f>
        <v>5.9884507145206683E-2</v>
      </c>
      <c r="AT111" s="562">
        <f t="shared" si="121"/>
        <v>6.2210952814128771E-2</v>
      </c>
      <c r="AU111" s="562">
        <f t="shared" si="121"/>
        <v>6.1196035066287638E-2</v>
      </c>
      <c r="AV111" s="562">
        <f t="shared" si="121"/>
        <v>7.2406538308369656E-2</v>
      </c>
      <c r="AW111" s="562">
        <f t="shared" ref="AW111:AZ111" si="122">AW97/AW$106</f>
        <v>6.7922282041539495E-2</v>
      </c>
      <c r="AX111" s="562">
        <f t="shared" si="122"/>
        <v>6.1177901881225995E-2</v>
      </c>
      <c r="AY111" s="562">
        <f t="shared" si="122"/>
        <v>0</v>
      </c>
      <c r="AZ111" s="562">
        <f t="shared" si="122"/>
        <v>0</v>
      </c>
    </row>
    <row r="112" spans="2:52">
      <c r="B112" s="435" t="s">
        <v>713</v>
      </c>
      <c r="C112" s="494"/>
      <c r="D112" s="562"/>
      <c r="E112" s="562"/>
      <c r="F112" s="562"/>
      <c r="G112" s="562"/>
      <c r="H112" s="562"/>
      <c r="I112" s="562"/>
      <c r="J112" s="562"/>
      <c r="K112" s="562">
        <f>K98/K$106</f>
        <v>1.9622733916185471E-2</v>
      </c>
      <c r="L112" s="562">
        <f>L98/L$106</f>
        <v>1.4356087213181015E-2</v>
      </c>
      <c r="M112" s="562">
        <f>M98/M$106</f>
        <v>0</v>
      </c>
      <c r="N112" s="738"/>
      <c r="O112" s="562"/>
      <c r="P112" s="562"/>
      <c r="Q112" s="562"/>
      <c r="R112" s="562"/>
      <c r="S112" s="562"/>
      <c r="T112" s="562"/>
      <c r="U112" s="562"/>
      <c r="V112" s="562"/>
      <c r="W112" s="562"/>
      <c r="X112" s="562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I112" s="562">
        <f>AI98/AI$106</f>
        <v>1.9947164711465497E-2</v>
      </c>
      <c r="AJ112" s="562">
        <f>AJ98/AJ$106</f>
        <v>1.8705733220793264E-2</v>
      </c>
      <c r="AK112" s="562">
        <f t="shared" ref="AK112" si="123">AK98/AK$106</f>
        <v>1.9929155904637997E-2</v>
      </c>
      <c r="AL112" s="562"/>
      <c r="AM112" s="562">
        <f t="shared" ref="AM112:AN112" si="124">AM98/AM$106</f>
        <v>2.0428034894581008E-2</v>
      </c>
      <c r="AN112" s="562">
        <f t="shared" si="124"/>
        <v>2.0250288870174889E-2</v>
      </c>
      <c r="AO112" s="562">
        <f t="shared" si="120"/>
        <v>1.9993708960798964E-2</v>
      </c>
      <c r="AP112" s="562">
        <f t="shared" si="120"/>
        <v>1.9583082392710741E-2</v>
      </c>
      <c r="AQ112" s="562">
        <f t="shared" si="120"/>
        <v>1.8545994065281898E-2</v>
      </c>
      <c r="AR112" s="562">
        <f t="shared" si="120"/>
        <v>1.8874729867897566E-2</v>
      </c>
      <c r="AS112" s="562">
        <f t="shared" ref="AS112:AV112" si="125">AS98/AS$106</f>
        <v>2.0320894704140932E-2</v>
      </c>
      <c r="AT112" s="562">
        <f t="shared" si="125"/>
        <v>1.9737495101184204E-2</v>
      </c>
      <c r="AU112" s="562">
        <f t="shared" si="125"/>
        <v>1.9553125588286677E-2</v>
      </c>
      <c r="AV112" s="562">
        <f t="shared" si="125"/>
        <v>2.0079951990088281E-2</v>
      </c>
      <c r="AW112" s="562">
        <f t="shared" ref="AW112:AZ112" si="126">AW98/AW$106</f>
        <v>2.1722914395481251E-2</v>
      </c>
      <c r="AX112" s="562">
        <f t="shared" si="126"/>
        <v>1.6449509455136992E-2</v>
      </c>
      <c r="AY112" s="562">
        <f t="shared" si="126"/>
        <v>0</v>
      </c>
      <c r="AZ112" s="562">
        <f t="shared" si="126"/>
        <v>0</v>
      </c>
    </row>
    <row r="113" spans="2:52">
      <c r="B113" s="435" t="s">
        <v>714</v>
      </c>
      <c r="C113" s="494"/>
      <c r="D113" s="562">
        <f t="shared" ref="D113:O114" si="127">D100/D$106</f>
        <v>0.14913009212814055</v>
      </c>
      <c r="E113" s="562">
        <f t="shared" si="127"/>
        <v>0.13575249634589262</v>
      </c>
      <c r="F113" s="562">
        <f t="shared" si="127"/>
        <v>0.13870936565001341</v>
      </c>
      <c r="G113" s="562">
        <f t="shared" si="127"/>
        <v>0.11490020446246429</v>
      </c>
      <c r="H113" s="562">
        <f t="shared" si="127"/>
        <v>0.11437581034258228</v>
      </c>
      <c r="I113" s="562">
        <f t="shared" ref="I113:J113" si="128">I100/I$106</f>
        <v>0.11986703116865993</v>
      </c>
      <c r="J113" s="562">
        <f t="shared" si="128"/>
        <v>0.14745803588655218</v>
      </c>
      <c r="K113" s="562">
        <f t="shared" ref="K113:L113" si="129">K100/K$106</f>
        <v>0.14603959328305946</v>
      </c>
      <c r="L113" s="562">
        <f t="shared" si="129"/>
        <v>0.15011863736668776</v>
      </c>
      <c r="M113" s="562">
        <f t="shared" ref="M113:M119" si="130">M100/M$106</f>
        <v>0.227283368227577</v>
      </c>
      <c r="N113" s="738"/>
      <c r="O113" s="562">
        <f t="shared" si="127"/>
        <v>0.11605055906705912</v>
      </c>
      <c r="P113" s="562">
        <f t="shared" ref="P113:X113" si="131">P100/P$106</f>
        <v>0.16727618924662305</v>
      </c>
      <c r="Q113" s="562">
        <f t="shared" si="131"/>
        <v>0.15508788624386993</v>
      </c>
      <c r="R113" s="562">
        <f t="shared" si="131"/>
        <v>0.15371628767365733</v>
      </c>
      <c r="S113" s="562">
        <f t="shared" si="131"/>
        <v>0.12068669849123893</v>
      </c>
      <c r="T113" s="562">
        <f t="shared" si="131"/>
        <v>0.1359859881811108</v>
      </c>
      <c r="U113" s="562">
        <f t="shared" si="131"/>
        <v>0.13502440333736451</v>
      </c>
      <c r="V113" s="562">
        <f t="shared" si="131"/>
        <v>0.14853676946952021</v>
      </c>
      <c r="W113" s="562">
        <f t="shared" si="131"/>
        <v>0.12399698778703323</v>
      </c>
      <c r="X113" s="562">
        <f t="shared" si="131"/>
        <v>0.12675854641119563</v>
      </c>
      <c r="Y113" s="562">
        <f t="shared" ref="Y113:AH113" si="132">Y100/Y$106</f>
        <v>0.15552672316599575</v>
      </c>
      <c r="Z113" s="562">
        <f t="shared" si="132"/>
        <v>0.1429175471094796</v>
      </c>
      <c r="AA113" s="562">
        <f t="shared" si="132"/>
        <v>0.13016771847413663</v>
      </c>
      <c r="AB113" s="562">
        <f t="shared" si="132"/>
        <v>0.12719384925010765</v>
      </c>
      <c r="AC113" s="562">
        <f t="shared" si="132"/>
        <v>0.11150747969737226</v>
      </c>
      <c r="AD113" s="562">
        <f t="shared" si="132"/>
        <v>0.11243442679561955</v>
      </c>
      <c r="AE113" s="562">
        <f t="shared" si="132"/>
        <v>0.10794400027810254</v>
      </c>
      <c r="AF113" s="562">
        <f t="shared" si="132"/>
        <v>0.11351909025267579</v>
      </c>
      <c r="AG113" s="562">
        <f t="shared" si="132"/>
        <v>0.10834530937101473</v>
      </c>
      <c r="AH113" s="562">
        <f t="shared" si="132"/>
        <v>0.11871992557043529</v>
      </c>
      <c r="AI113" s="562">
        <f t="shared" ref="AI113:AJ116" si="133">AI100/AI$106</f>
        <v>0.11412733445180884</v>
      </c>
      <c r="AJ113" s="562">
        <f t="shared" si="133"/>
        <v>0.11772514903526664</v>
      </c>
      <c r="AK113" s="562">
        <f t="shared" ref="AK113:AN113" si="134">AK100/AK$106</f>
        <v>0.12713424547328178</v>
      </c>
      <c r="AL113" s="562">
        <f t="shared" si="134"/>
        <v>0.10924006018508976</v>
      </c>
      <c r="AM113" s="562">
        <f t="shared" si="134"/>
        <v>0.11646761918009657</v>
      </c>
      <c r="AN113" s="562">
        <f t="shared" si="134"/>
        <v>0.14709856837899768</v>
      </c>
      <c r="AO113" s="562">
        <f t="shared" ref="AO113:AR113" si="135">AO100/AO$106</f>
        <v>0.14441866865882907</v>
      </c>
      <c r="AP113" s="562">
        <f t="shared" si="135"/>
        <v>0.14399782410195636</v>
      </c>
      <c r="AQ113" s="562">
        <f t="shared" si="135"/>
        <v>0.15396884272997033</v>
      </c>
      <c r="AR113" s="562">
        <f t="shared" si="135"/>
        <v>0.15067152118814939</v>
      </c>
      <c r="AS113" s="562">
        <f t="shared" ref="AS113:AV113" si="136">AS100/AS$106</f>
        <v>0.13522897554913929</v>
      </c>
      <c r="AT113" s="562">
        <f t="shared" si="136"/>
        <v>0.15091183632344427</v>
      </c>
      <c r="AU113" s="562">
        <f t="shared" si="136"/>
        <v>0.14706015794185323</v>
      </c>
      <c r="AV113" s="562">
        <f t="shared" si="136"/>
        <v>0.1542978688687803</v>
      </c>
      <c r="AW113" s="562">
        <f t="shared" ref="AW113:AZ113" si="137">AW100/AW$106</f>
        <v>0.14087381907419827</v>
      </c>
      <c r="AX113" s="562">
        <f t="shared" si="137"/>
        <v>0.15687695472885493</v>
      </c>
      <c r="AY113" s="562">
        <f t="shared" si="137"/>
        <v>0.14863064861768019</v>
      </c>
      <c r="AZ113" s="562">
        <f t="shared" si="137"/>
        <v>0.14415770846530329</v>
      </c>
    </row>
    <row r="114" spans="2:52">
      <c r="B114" s="435" t="s">
        <v>715</v>
      </c>
      <c r="C114" s="494"/>
      <c r="D114" s="562">
        <f t="shared" si="127"/>
        <v>0.22158480067415209</v>
      </c>
      <c r="E114" s="562">
        <f t="shared" si="127"/>
        <v>0.2559444682609559</v>
      </c>
      <c r="F114" s="562">
        <f t="shared" si="127"/>
        <v>0.25241928326681445</v>
      </c>
      <c r="G114" s="562">
        <f t="shared" si="127"/>
        <v>0.25144746509657856</v>
      </c>
      <c r="H114" s="562">
        <f t="shared" si="127"/>
        <v>0.26006836353330104</v>
      </c>
      <c r="I114" s="562">
        <f t="shared" ref="I114:J114" si="138">I101/I$106</f>
        <v>0.26690408367751439</v>
      </c>
      <c r="J114" s="562">
        <f t="shared" si="138"/>
        <v>0.26842562222650973</v>
      </c>
      <c r="K114" s="562">
        <f t="shared" ref="K114:L114" si="139">K101/K$106</f>
        <v>0.26996195840140363</v>
      </c>
      <c r="L114" s="562">
        <f t="shared" si="139"/>
        <v>0.26593563594849362</v>
      </c>
      <c r="M114" s="562">
        <f t="shared" si="130"/>
        <v>0.40541200423705948</v>
      </c>
      <c r="N114" s="738"/>
      <c r="O114" s="562">
        <f t="shared" si="127"/>
        <v>0.2632737715492256</v>
      </c>
      <c r="P114" s="562">
        <f t="shared" ref="P114:X114" si="140">P101/P$106</f>
        <v>0.21484526105849341</v>
      </c>
      <c r="Q114" s="562">
        <f t="shared" si="140"/>
        <v>0.22002376807355917</v>
      </c>
      <c r="R114" s="562">
        <f t="shared" si="140"/>
        <v>0.22453761486329352</v>
      </c>
      <c r="S114" s="562">
        <f t="shared" si="140"/>
        <v>0.22687043385379999</v>
      </c>
      <c r="T114" s="562">
        <f t="shared" si="140"/>
        <v>0.24387550804540128</v>
      </c>
      <c r="U114" s="562">
        <f t="shared" si="140"/>
        <v>0.26930669280117842</v>
      </c>
      <c r="V114" s="562">
        <f t="shared" si="140"/>
        <v>0.26684007570990215</v>
      </c>
      <c r="W114" s="562">
        <f t="shared" si="140"/>
        <v>0.24387470831878325</v>
      </c>
      <c r="X114" s="562">
        <f t="shared" si="140"/>
        <v>0.26614613029809003</v>
      </c>
      <c r="Y114" s="562">
        <f t="shared" ref="Y114:AH114" si="141">Y101/Y$106</f>
        <v>0.23503148803196128</v>
      </c>
      <c r="Z114" s="562">
        <f t="shared" si="141"/>
        <v>0.23708715588492707</v>
      </c>
      <c r="AA114" s="562">
        <f t="shared" si="141"/>
        <v>0.27026853287913938</v>
      </c>
      <c r="AB114" s="562">
        <f t="shared" si="141"/>
        <v>0.29044139058273832</v>
      </c>
      <c r="AC114" s="562">
        <f t="shared" si="141"/>
        <v>0.24517997152010926</v>
      </c>
      <c r="AD114" s="562">
        <f t="shared" si="141"/>
        <v>0.23354259228907329</v>
      </c>
      <c r="AE114" s="562">
        <f t="shared" si="141"/>
        <v>0.23495205127621671</v>
      </c>
      <c r="AF114" s="562">
        <f t="shared" si="141"/>
        <v>0.25986773642110045</v>
      </c>
      <c r="AG114" s="562">
        <f t="shared" si="141"/>
        <v>0.24014681102785645</v>
      </c>
      <c r="AH114" s="562">
        <f t="shared" si="141"/>
        <v>0.26237955783350758</v>
      </c>
      <c r="AI114" s="562">
        <f t="shared" si="133"/>
        <v>0.26963790758278233</v>
      </c>
      <c r="AJ114" s="562">
        <f t="shared" si="133"/>
        <v>0.26706792594816409</v>
      </c>
      <c r="AK114" s="562">
        <f t="shared" ref="AK114:AN114" si="142">AK101/AK$106</f>
        <v>0.26099733361027277</v>
      </c>
      <c r="AL114" s="562">
        <f t="shared" si="142"/>
        <v>0.25733248139827275</v>
      </c>
      <c r="AM114" s="562">
        <f t="shared" si="142"/>
        <v>0.26133179659400274</v>
      </c>
      <c r="AN114" s="562">
        <f t="shared" si="142"/>
        <v>0.2677581715986761</v>
      </c>
      <c r="AO114" s="562">
        <f t="shared" ref="AO114:AR114" si="143">AO101/AO$106</f>
        <v>0.26164825227067195</v>
      </c>
      <c r="AP114" s="562">
        <f t="shared" si="143"/>
        <v>0.27670817710255863</v>
      </c>
      <c r="AQ114" s="562">
        <f t="shared" si="143"/>
        <v>0.26754451038575666</v>
      </c>
      <c r="AR114" s="562">
        <f t="shared" si="143"/>
        <v>0.27174757299268959</v>
      </c>
      <c r="AS114" s="562">
        <f t="shared" ref="AS114:AV114" si="144">AS101/AS$106</f>
        <v>0.28346917144841199</v>
      </c>
      <c r="AT114" s="562">
        <f t="shared" si="144"/>
        <v>0.27130247275508035</v>
      </c>
      <c r="AU114" s="562">
        <f t="shared" si="144"/>
        <v>0.25487389165096774</v>
      </c>
      <c r="AV114" s="562">
        <f t="shared" si="144"/>
        <v>0.27190313944998784</v>
      </c>
      <c r="AW114" s="562">
        <f t="shared" ref="AW114:AZ114" si="145">AW101/AW$106</f>
        <v>0.27155118714712806</v>
      </c>
      <c r="AX114" s="562">
        <f t="shared" si="145"/>
        <v>0.26883592115874627</v>
      </c>
      <c r="AY114" s="562">
        <f t="shared" si="145"/>
        <v>0.25225823668487624</v>
      </c>
      <c r="AZ114" s="562">
        <f t="shared" si="145"/>
        <v>0.26080735691302115</v>
      </c>
    </row>
    <row r="115" spans="2:52">
      <c r="B115" s="435" t="s">
        <v>716</v>
      </c>
      <c r="C115" s="494"/>
      <c r="D115" s="562">
        <f t="shared" ref="D115:E119" si="146">D102/D$106</f>
        <v>6.6696249853342104E-2</v>
      </c>
      <c r="E115" s="562">
        <f t="shared" si="146"/>
        <v>7.1272298308891813E-2</v>
      </c>
      <c r="F115" s="562">
        <f t="shared" ref="F115:O119" si="147">F102/F$106</f>
        <v>4.8782383647869701E-2</v>
      </c>
      <c r="G115" s="562">
        <f t="shared" si="147"/>
        <v>0</v>
      </c>
      <c r="H115" s="562">
        <f t="shared" si="147"/>
        <v>0</v>
      </c>
      <c r="I115" s="562">
        <f t="shared" ref="I115:J115" si="148">I102/I$106</f>
        <v>0</v>
      </c>
      <c r="J115" s="562">
        <f t="shared" si="148"/>
        <v>0</v>
      </c>
      <c r="K115" s="562">
        <f t="shared" ref="K115:L115" si="149">K102/K$106</f>
        <v>0</v>
      </c>
      <c r="L115" s="562">
        <f t="shared" si="149"/>
        <v>0</v>
      </c>
      <c r="M115" s="562">
        <f t="shared" si="130"/>
        <v>0</v>
      </c>
      <c r="N115" s="738"/>
      <c r="O115" s="562">
        <f t="shared" si="147"/>
        <v>0</v>
      </c>
      <c r="P115" s="562">
        <f t="shared" ref="P115:X115" si="150">P102/P$106</f>
        <v>6.531177893765E-2</v>
      </c>
      <c r="Q115" s="562">
        <f t="shared" si="150"/>
        <v>6.643952418958643E-2</v>
      </c>
      <c r="R115" s="562">
        <f t="shared" si="150"/>
        <v>6.4248262300503581E-2</v>
      </c>
      <c r="S115" s="562">
        <f t="shared" si="150"/>
        <v>7.0763065949900977E-2</v>
      </c>
      <c r="T115" s="562">
        <f t="shared" si="150"/>
        <v>7.8037197573346886E-2</v>
      </c>
      <c r="U115" s="562">
        <f t="shared" si="150"/>
        <v>6.8156414815850636E-2</v>
      </c>
      <c r="V115" s="562">
        <f t="shared" si="150"/>
        <v>7.192405898633937E-2</v>
      </c>
      <c r="W115" s="562">
        <f t="shared" si="150"/>
        <v>6.7477714939193717E-2</v>
      </c>
      <c r="X115" s="562">
        <f t="shared" si="150"/>
        <v>6.7121358295393466E-2</v>
      </c>
      <c r="Y115" s="562">
        <f t="shared" ref="Y115:Z117" si="151">Y102/Y$106</f>
        <v>6.6913081661688648E-2</v>
      </c>
      <c r="Z115" s="562">
        <f t="shared" si="151"/>
        <v>6.5359278018041506E-2</v>
      </c>
      <c r="AA115" s="469" t="s">
        <v>717</v>
      </c>
      <c r="AB115" s="562">
        <f t="shared" ref="AB115:AH116" si="152">AB102/AB$106</f>
        <v>0</v>
      </c>
      <c r="AC115" s="562">
        <f t="shared" si="152"/>
        <v>0</v>
      </c>
      <c r="AD115" s="562">
        <f t="shared" si="152"/>
        <v>0</v>
      </c>
      <c r="AE115" s="562">
        <f t="shared" si="152"/>
        <v>0</v>
      </c>
      <c r="AF115" s="562">
        <f t="shared" si="152"/>
        <v>0</v>
      </c>
      <c r="AG115" s="562">
        <f t="shared" si="152"/>
        <v>0</v>
      </c>
      <c r="AH115" s="562">
        <f t="shared" si="152"/>
        <v>0</v>
      </c>
      <c r="AI115" s="562">
        <f t="shared" si="133"/>
        <v>0</v>
      </c>
      <c r="AJ115" s="562">
        <f t="shared" si="133"/>
        <v>0</v>
      </c>
      <c r="AK115" s="562">
        <f t="shared" ref="AK115:AN115" si="153">AK102/AK$106</f>
        <v>0</v>
      </c>
      <c r="AL115" s="562">
        <f t="shared" si="153"/>
        <v>0</v>
      </c>
      <c r="AM115" s="562">
        <f t="shared" si="153"/>
        <v>0</v>
      </c>
      <c r="AN115" s="562">
        <f t="shared" si="153"/>
        <v>0</v>
      </c>
      <c r="AO115" s="562">
        <f t="shared" ref="AO115:AR115" si="154">AO102/AO$106</f>
        <v>0</v>
      </c>
      <c r="AP115" s="562">
        <f t="shared" si="154"/>
        <v>0</v>
      </c>
      <c r="AQ115" s="562">
        <f t="shared" si="154"/>
        <v>0</v>
      </c>
      <c r="AR115" s="562">
        <f t="shared" si="154"/>
        <v>0</v>
      </c>
      <c r="AS115" s="562">
        <f t="shared" ref="AS115:AV115" si="155">AS102/AS$106</f>
        <v>0</v>
      </c>
      <c r="AT115" s="562">
        <f t="shared" si="155"/>
        <v>0</v>
      </c>
      <c r="AU115" s="562">
        <f t="shared" si="155"/>
        <v>0</v>
      </c>
      <c r="AV115" s="562">
        <f t="shared" si="155"/>
        <v>0</v>
      </c>
      <c r="AW115" s="562">
        <f t="shared" ref="AW115:AZ115" si="156">AW102/AW$106</f>
        <v>0</v>
      </c>
      <c r="AX115" s="562">
        <f t="shared" si="156"/>
        <v>0</v>
      </c>
      <c r="AY115" s="562">
        <f t="shared" si="156"/>
        <v>0</v>
      </c>
      <c r="AZ115" s="562">
        <f t="shared" si="156"/>
        <v>0</v>
      </c>
    </row>
    <row r="116" spans="2:52">
      <c r="B116" s="435" t="s">
        <v>718</v>
      </c>
      <c r="C116" s="494"/>
      <c r="D116" s="562">
        <f t="shared" si="146"/>
        <v>0.11749254242423954</v>
      </c>
      <c r="E116" s="562">
        <f t="shared" si="146"/>
        <v>0.11365498498901519</v>
      </c>
      <c r="F116" s="562">
        <f t="shared" si="147"/>
        <v>7.7136854994223805E-2</v>
      </c>
      <c r="G116" s="562">
        <f t="shared" si="147"/>
        <v>1.1899703281420839E-2</v>
      </c>
      <c r="H116" s="562">
        <f t="shared" si="147"/>
        <v>1.2032122693325669E-2</v>
      </c>
      <c r="I116" s="562">
        <f t="shared" ref="I116:J116" si="157">I103/I$106</f>
        <v>1.2262276964532552E-2</v>
      </c>
      <c r="J116" s="562">
        <f t="shared" si="157"/>
        <v>1.1639012155122516E-2</v>
      </c>
      <c r="K116" s="562">
        <f t="shared" ref="K116:L116" si="158">K103/K$106</f>
        <v>1.1186124398071696E-2</v>
      </c>
      <c r="L116" s="562">
        <f t="shared" si="158"/>
        <v>1.0988882156404218E-2</v>
      </c>
      <c r="M116" s="562">
        <f t="shared" si="130"/>
        <v>1.6869527940030736E-2</v>
      </c>
      <c r="N116" s="738"/>
      <c r="O116" s="562">
        <f t="shared" si="147"/>
        <v>1.2225924984438679E-2</v>
      </c>
      <c r="P116" s="562">
        <f t="shared" ref="P116:X116" si="159">P103/P$106</f>
        <v>0.11165425379932638</v>
      </c>
      <c r="Q116" s="562">
        <f t="shared" si="159"/>
        <v>0.11671247172825447</v>
      </c>
      <c r="R116" s="562">
        <f t="shared" si="159"/>
        <v>0.12719421726844529</v>
      </c>
      <c r="S116" s="562">
        <f t="shared" si="159"/>
        <v>0.11439220906616485</v>
      </c>
      <c r="T116" s="562">
        <f t="shared" si="159"/>
        <v>0.11202631293688886</v>
      </c>
      <c r="U116" s="562">
        <f t="shared" si="159"/>
        <v>0.10538991715841697</v>
      </c>
      <c r="V116" s="562">
        <f t="shared" si="159"/>
        <v>0.10417902277886991</v>
      </c>
      <c r="W116" s="562">
        <f t="shared" si="159"/>
        <v>0.13192288286512874</v>
      </c>
      <c r="X116" s="562">
        <f t="shared" si="159"/>
        <v>9.8844196965002282E-2</v>
      </c>
      <c r="Y116" s="562">
        <f t="shared" si="151"/>
        <v>0.10208691146775438</v>
      </c>
      <c r="Z116" s="562">
        <f t="shared" si="151"/>
        <v>0.10145789912731296</v>
      </c>
      <c r="AA116" s="562">
        <f>AA103/AA$106</f>
        <v>1.1797588897024093E-2</v>
      </c>
      <c r="AB116" s="562">
        <f t="shared" si="152"/>
        <v>1.1394578281620405E-2</v>
      </c>
      <c r="AC116" s="562">
        <f t="shared" si="152"/>
        <v>1.1601172668310428E-2</v>
      </c>
      <c r="AD116" s="562">
        <f t="shared" si="152"/>
        <v>1.2219692906904904E-2</v>
      </c>
      <c r="AE116" s="562">
        <f t="shared" si="152"/>
        <v>1.2419180861862599E-2</v>
      </c>
      <c r="AF116" s="562">
        <f t="shared" si="152"/>
        <v>1.1542838943447762E-2</v>
      </c>
      <c r="AG116" s="562">
        <f t="shared" si="152"/>
        <v>1.2643597215891339E-2</v>
      </c>
      <c r="AH116" s="562">
        <f t="shared" si="152"/>
        <v>1.2612850950813595E-2</v>
      </c>
      <c r="AI116" s="562">
        <f t="shared" si="133"/>
        <v>1.1225314568573253E-2</v>
      </c>
      <c r="AJ116" s="562">
        <f t="shared" si="133"/>
        <v>1.2073813078847759E-2</v>
      </c>
      <c r="AK116" s="562">
        <f t="shared" ref="AK116:AN116" si="160">AK103/AK$106</f>
        <v>1.2202533171110929E-2</v>
      </c>
      <c r="AL116" s="562">
        <f t="shared" si="160"/>
        <v>1.181029329925593E-2</v>
      </c>
      <c r="AM116" s="562">
        <f t="shared" si="160"/>
        <v>1.2002464082030085E-2</v>
      </c>
      <c r="AN116" s="562">
        <f t="shared" si="160"/>
        <v>1.1672313507373534E-2</v>
      </c>
      <c r="AO116" s="562">
        <f t="shared" ref="AO116:AR116" si="161">AO103/AO$106</f>
        <v>1.1952974481972242E-2</v>
      </c>
      <c r="AP116" s="562">
        <f t="shared" si="161"/>
        <v>1.179259029005498E-2</v>
      </c>
      <c r="AQ116" s="562">
        <f t="shared" si="161"/>
        <v>1.1164688427299703E-2</v>
      </c>
      <c r="AR116" s="562">
        <f t="shared" si="161"/>
        <v>1.1667760474860758E-2</v>
      </c>
      <c r="AS116" s="562">
        <f t="shared" ref="AS116:AV116" si="162">AS103/AS$106</f>
        <v>1.1622382222871971E-2</v>
      </c>
      <c r="AT116" s="562">
        <f t="shared" si="162"/>
        <v>1.1286121198663906E-2</v>
      </c>
      <c r="AU116" s="562">
        <f t="shared" si="162"/>
        <v>1.0265136997154554E-2</v>
      </c>
      <c r="AV116" s="562">
        <f t="shared" si="162"/>
        <v>1.0686422819088919E-2</v>
      </c>
      <c r="AW116" s="562">
        <f t="shared" ref="AW116:AZ116" si="163">AW103/AW$106</f>
        <v>1.1540443902898219E-2</v>
      </c>
      <c r="AX116" s="562">
        <f t="shared" si="163"/>
        <v>1.1222605463852887E-2</v>
      </c>
      <c r="AY116" s="562">
        <f t="shared" si="163"/>
        <v>1.0516823805664842E-2</v>
      </c>
      <c r="AZ116" s="562">
        <f t="shared" si="163"/>
        <v>1.0588851385776761E-2</v>
      </c>
    </row>
    <row r="117" spans="2:52">
      <c r="B117" s="435" t="s">
        <v>704</v>
      </c>
      <c r="C117" s="494"/>
      <c r="D117" s="562">
        <f t="shared" si="146"/>
        <v>0.17735865299880976</v>
      </c>
      <c r="E117" s="562">
        <f t="shared" si="146"/>
        <v>0.17624275837033798</v>
      </c>
      <c r="F117" s="562">
        <f t="shared" si="147"/>
        <v>0.20092611403519292</v>
      </c>
      <c r="G117" s="562">
        <f t="shared" si="147"/>
        <v>0.21120224038160615</v>
      </c>
      <c r="H117" s="562">
        <f t="shared" si="147"/>
        <v>0.17624003202997673</v>
      </c>
      <c r="I117" s="562">
        <f t="shared" ref="I117:J117" si="164">I104/I$106</f>
        <v>0.15604811889342371</v>
      </c>
      <c r="J117" s="562">
        <f t="shared" si="164"/>
        <v>0.14253810534439515</v>
      </c>
      <c r="K117" s="562">
        <f t="shared" ref="K117:L117" si="165">K104/K$106</f>
        <v>0.14261885561694632</v>
      </c>
      <c r="L117" s="562">
        <f t="shared" si="165"/>
        <v>0.13809137196102844</v>
      </c>
      <c r="M117" s="562">
        <f t="shared" si="130"/>
        <v>0.20825432038610034</v>
      </c>
      <c r="N117" s="738"/>
      <c r="O117" s="562">
        <f t="shared" si="147"/>
        <v>0.17128536511550416</v>
      </c>
      <c r="P117" s="562">
        <f t="shared" ref="P117:X117" si="166">P104/P$106</f>
        <v>0.1663512156278886</v>
      </c>
      <c r="Q117" s="562">
        <f t="shared" si="166"/>
        <v>0.18009208983421335</v>
      </c>
      <c r="R117" s="562">
        <f t="shared" si="166"/>
        <v>0.15783995136071619</v>
      </c>
      <c r="S117" s="562">
        <f t="shared" si="166"/>
        <v>0.20506814812134133</v>
      </c>
      <c r="T117" s="562">
        <f t="shared" si="166"/>
        <v>0.17569690857942821</v>
      </c>
      <c r="U117" s="562">
        <f t="shared" si="166"/>
        <v>0.17926148870727193</v>
      </c>
      <c r="V117" s="562">
        <f t="shared" si="166"/>
        <v>0.16467228573921341</v>
      </c>
      <c r="W117" s="562">
        <f t="shared" si="166"/>
        <v>0.18497366116809638</v>
      </c>
      <c r="X117" s="562">
        <f t="shared" si="166"/>
        <v>0.19621189453981197</v>
      </c>
      <c r="Y117" s="562">
        <f t="shared" si="151"/>
        <v>0.19438276734987392</v>
      </c>
      <c r="Z117" s="562">
        <f t="shared" si="151"/>
        <v>0.208365936725944</v>
      </c>
      <c r="AA117" s="562">
        <f>AA104/AA$106</f>
        <v>0.20426183328887287</v>
      </c>
      <c r="AB117" s="562">
        <f t="shared" ref="AB117:AF119" si="167">AB104/AB$106</f>
        <v>0.19219279427391384</v>
      </c>
      <c r="AC117" s="562">
        <f t="shared" si="167"/>
        <v>0.21792830908846053</v>
      </c>
      <c r="AD117" s="562">
        <f t="shared" si="167"/>
        <v>0.22025287934222554</v>
      </c>
      <c r="AE117" s="562">
        <f t="shared" si="167"/>
        <v>0.21509544361367419</v>
      </c>
      <c r="AF117" s="562">
        <f t="shared" si="167"/>
        <v>0.19337796215404457</v>
      </c>
      <c r="AG117" s="562">
        <f t="shared" ref="AG117:AJ119" si="168">AG104/AG$106</f>
        <v>0.18871565318487485</v>
      </c>
      <c r="AH117" s="562">
        <f t="shared" si="168"/>
        <v>0.18188353612226196</v>
      </c>
      <c r="AI117" s="562">
        <f t="shared" si="168"/>
        <v>0.14185232926822253</v>
      </c>
      <c r="AJ117" s="562">
        <f t="shared" si="168"/>
        <v>0.17049466488453663</v>
      </c>
      <c r="AK117" s="562">
        <f t="shared" ref="AK117:AN117" si="169">AK104/AK$106</f>
        <v>0.14564771236848192</v>
      </c>
      <c r="AL117" s="562">
        <f t="shared" si="169"/>
        <v>0.14852525918750129</v>
      </c>
      <c r="AM117" s="562">
        <f t="shared" si="169"/>
        <v>0.14804363809788765</v>
      </c>
      <c r="AN117" s="562">
        <f t="shared" si="169"/>
        <v>0.14169326883531463</v>
      </c>
      <c r="AO117" s="562">
        <f t="shared" ref="AO117:AR117" si="170">AO104/AO$106</f>
        <v>0.13830456493532026</v>
      </c>
      <c r="AP117" s="562">
        <f t="shared" si="170"/>
        <v>0.14698968391195383</v>
      </c>
      <c r="AQ117" s="562">
        <f t="shared" si="170"/>
        <v>0.14308234421364985</v>
      </c>
      <c r="AR117" s="562">
        <f t="shared" si="170"/>
        <v>0.14018525603322904</v>
      </c>
      <c r="AS117" s="562">
        <f t="shared" ref="AS117:AV117" si="171">AS104/AS$106</f>
        <v>0.14694272870143635</v>
      </c>
      <c r="AT117" s="562">
        <f t="shared" si="171"/>
        <v>0.14166164420800514</v>
      </c>
      <c r="AU117" s="562">
        <f t="shared" si="171"/>
        <v>0.14179384945007467</v>
      </c>
      <c r="AV117" s="562">
        <f t="shared" si="171"/>
        <v>0.13245971979468574</v>
      </c>
      <c r="AW117" s="562">
        <f t="shared" ref="AW117:AZ117" si="172">AW104/AW$106</f>
        <v>0.1433123304669148</v>
      </c>
      <c r="AX117" s="562">
        <f t="shared" si="172"/>
        <v>0.13660336696541545</v>
      </c>
      <c r="AY117" s="562">
        <f t="shared" si="172"/>
        <v>0.13972911534528887</v>
      </c>
      <c r="AZ117" s="562">
        <f t="shared" si="172"/>
        <v>0.12254824717597362</v>
      </c>
    </row>
    <row r="118" spans="2:52">
      <c r="B118" s="435" t="s">
        <v>719</v>
      </c>
      <c r="C118" s="494"/>
      <c r="D118" s="562">
        <f t="shared" si="146"/>
        <v>0</v>
      </c>
      <c r="E118" s="562">
        <f t="shared" si="146"/>
        <v>0</v>
      </c>
      <c r="F118" s="562">
        <f t="shared" si="147"/>
        <v>2.9142424506972537E-2</v>
      </c>
      <c r="G118" s="562">
        <f t="shared" si="147"/>
        <v>8.5167989958645565E-2</v>
      </c>
      <c r="H118" s="562">
        <f t="shared" si="147"/>
        <v>0.10834527093250994</v>
      </c>
      <c r="I118" s="562">
        <f t="shared" ref="I118:J118" si="173">I105/I$106</f>
        <v>0.10499941470270042</v>
      </c>
      <c r="J118" s="562">
        <f t="shared" si="173"/>
        <v>9.8176731622612382E-2</v>
      </c>
      <c r="K118" s="562">
        <f t="shared" ref="K118:L118" si="174">K105/K$106</f>
        <v>0.10230335923532062</v>
      </c>
      <c r="L118" s="562">
        <f t="shared" si="174"/>
        <v>9.4683977238052414E-2</v>
      </c>
      <c r="M118" s="562">
        <f t="shared" si="130"/>
        <v>0.1421807792092325</v>
      </c>
      <c r="N118" s="738"/>
      <c r="O118" s="562">
        <f t="shared" si="147"/>
        <v>0.1052405908387264</v>
      </c>
      <c r="P118" s="562">
        <f t="shared" ref="P118:Z118" si="175">P105/P$106</f>
        <v>0</v>
      </c>
      <c r="Q118" s="562">
        <f t="shared" si="175"/>
        <v>0</v>
      </c>
      <c r="R118" s="562">
        <f t="shared" si="175"/>
        <v>0</v>
      </c>
      <c r="S118" s="562">
        <f t="shared" si="175"/>
        <v>0</v>
      </c>
      <c r="T118" s="562">
        <f t="shared" si="175"/>
        <v>0</v>
      </c>
      <c r="U118" s="562">
        <f t="shared" si="175"/>
        <v>0</v>
      </c>
      <c r="V118" s="562">
        <f t="shared" si="175"/>
        <v>0</v>
      </c>
      <c r="W118" s="562">
        <f t="shared" si="175"/>
        <v>0</v>
      </c>
      <c r="X118" s="562">
        <f t="shared" si="175"/>
        <v>0</v>
      </c>
      <c r="Y118" s="562">
        <f t="shared" si="175"/>
        <v>0</v>
      </c>
      <c r="Z118" s="562">
        <f t="shared" si="175"/>
        <v>0</v>
      </c>
      <c r="AA118" s="562">
        <f>AA105/AA$106</f>
        <v>0.10958299730140611</v>
      </c>
      <c r="AB118" s="562">
        <f t="shared" si="167"/>
        <v>8.801021942550101E-2</v>
      </c>
      <c r="AC118" s="562">
        <f t="shared" si="167"/>
        <v>7.4894881071773334E-2</v>
      </c>
      <c r="AD118" s="562">
        <f t="shared" si="167"/>
        <v>8.9210068957840047E-2</v>
      </c>
      <c r="AE118" s="562">
        <f t="shared" si="167"/>
        <v>8.8750408866748759E-2</v>
      </c>
      <c r="AF118" s="562">
        <f t="shared" si="167"/>
        <v>0.10754101771822336</v>
      </c>
      <c r="AG118" s="562">
        <f t="shared" si="168"/>
        <v>0.10734454625072343</v>
      </c>
      <c r="AH118" s="562">
        <f t="shared" si="168"/>
        <v>8.9167439720830133E-2</v>
      </c>
      <c r="AI118" s="562">
        <f t="shared" si="168"/>
        <v>0.12437048460618702</v>
      </c>
      <c r="AJ118" s="562">
        <f t="shared" si="168"/>
        <v>9.3884148873000242E-2</v>
      </c>
      <c r="AK118" s="562">
        <f t="shared" ref="AK118:AN118" si="176">AK105/AK$106</f>
        <v>9.6905206463857085E-2</v>
      </c>
      <c r="AL118" s="562">
        <f t="shared" si="176"/>
        <v>0.1044170084712575</v>
      </c>
      <c r="AM118" s="562">
        <f t="shared" si="176"/>
        <v>0.11501699024303003</v>
      </c>
      <c r="AN118" s="562">
        <f t="shared" si="176"/>
        <v>9.6472846203560447E-2</v>
      </c>
      <c r="AO118" s="562">
        <f t="shared" ref="AO118:AR118" si="177">AO105/AO$106</f>
        <v>9.7825659576141227E-2</v>
      </c>
      <c r="AP118" s="562">
        <f t="shared" si="177"/>
        <v>9.7818273658034305E-2</v>
      </c>
      <c r="AQ118" s="562">
        <f t="shared" si="177"/>
        <v>0.10046364985163204</v>
      </c>
      <c r="AR118" s="562">
        <f t="shared" si="177"/>
        <v>9.858080667695393E-2</v>
      </c>
      <c r="AS118" s="562">
        <f t="shared" ref="AS118:AV118" si="178">AS105/AS$106</f>
        <v>9.6780088447059681E-2</v>
      </c>
      <c r="AT118" s="562">
        <f t="shared" si="178"/>
        <v>9.4885073525725033E-2</v>
      </c>
      <c r="AU118" s="562">
        <f t="shared" si="178"/>
        <v>0.11765225705707007</v>
      </c>
      <c r="AV118" s="562">
        <f t="shared" si="178"/>
        <v>9.1925775459634082E-2</v>
      </c>
      <c r="AW118" s="562">
        <f t="shared" ref="AW118:AZ118" si="179">AW105/AW$106</f>
        <v>9.0239834073109343E-2</v>
      </c>
      <c r="AX118" s="562">
        <f t="shared" si="179"/>
        <v>0.10019483349714947</v>
      </c>
      <c r="AY118" s="562">
        <f t="shared" si="179"/>
        <v>9.621425467238276E-2</v>
      </c>
      <c r="AZ118" s="562">
        <f t="shared" si="179"/>
        <v>8.3504566030164276E-2</v>
      </c>
    </row>
    <row r="119" spans="2:52" s="424" customFormat="1">
      <c r="B119" s="485" t="s">
        <v>707</v>
      </c>
      <c r="C119" s="584"/>
      <c r="D119" s="590">
        <f t="shared" si="146"/>
        <v>1</v>
      </c>
      <c r="E119" s="590">
        <f t="shared" si="146"/>
        <v>1</v>
      </c>
      <c r="F119" s="590">
        <f t="shared" si="147"/>
        <v>1</v>
      </c>
      <c r="G119" s="590">
        <f t="shared" si="147"/>
        <v>1</v>
      </c>
      <c r="H119" s="590">
        <f t="shared" si="147"/>
        <v>1</v>
      </c>
      <c r="I119" s="590">
        <f t="shared" ref="I119:J119" si="180">I106/I$106</f>
        <v>1</v>
      </c>
      <c r="J119" s="590">
        <f t="shared" si="180"/>
        <v>1</v>
      </c>
      <c r="K119" s="590">
        <f t="shared" ref="K119:L119" si="181">K106/K$106</f>
        <v>1</v>
      </c>
      <c r="L119" s="590">
        <f t="shared" si="181"/>
        <v>1</v>
      </c>
      <c r="M119" s="590">
        <f t="shared" si="130"/>
        <v>1</v>
      </c>
      <c r="N119" s="749"/>
      <c r="O119" s="590">
        <f t="shared" si="147"/>
        <v>1</v>
      </c>
      <c r="P119" s="590">
        <f t="shared" ref="P119:X119" si="182">P106/P$106</f>
        <v>1</v>
      </c>
      <c r="Q119" s="590">
        <f t="shared" si="182"/>
        <v>1</v>
      </c>
      <c r="R119" s="590">
        <f t="shared" si="182"/>
        <v>1</v>
      </c>
      <c r="S119" s="590">
        <f t="shared" si="182"/>
        <v>1</v>
      </c>
      <c r="T119" s="590">
        <f t="shared" si="182"/>
        <v>1</v>
      </c>
      <c r="U119" s="590">
        <f t="shared" si="182"/>
        <v>1</v>
      </c>
      <c r="V119" s="590">
        <f t="shared" si="182"/>
        <v>1</v>
      </c>
      <c r="W119" s="590">
        <f t="shared" si="182"/>
        <v>1</v>
      </c>
      <c r="X119" s="590">
        <f t="shared" si="182"/>
        <v>1</v>
      </c>
      <c r="Y119" s="590">
        <f>Y106/Y$106</f>
        <v>1</v>
      </c>
      <c r="Z119" s="590">
        <f>Z106/Z$106</f>
        <v>1</v>
      </c>
      <c r="AA119" s="590">
        <f>AA106/AA$106</f>
        <v>1</v>
      </c>
      <c r="AB119" s="590">
        <f t="shared" si="167"/>
        <v>1</v>
      </c>
      <c r="AC119" s="590">
        <f t="shared" si="167"/>
        <v>1</v>
      </c>
      <c r="AD119" s="590">
        <f t="shared" si="167"/>
        <v>1</v>
      </c>
      <c r="AE119" s="590">
        <f t="shared" si="167"/>
        <v>1</v>
      </c>
      <c r="AF119" s="590">
        <f t="shared" si="167"/>
        <v>1</v>
      </c>
      <c r="AG119" s="590">
        <f t="shared" si="168"/>
        <v>1</v>
      </c>
      <c r="AH119" s="590">
        <f t="shared" si="168"/>
        <v>1</v>
      </c>
      <c r="AI119" s="590">
        <f t="shared" si="168"/>
        <v>1</v>
      </c>
      <c r="AJ119" s="590">
        <f t="shared" si="168"/>
        <v>1</v>
      </c>
      <c r="AK119" s="590">
        <f t="shared" ref="AK119:AN119" si="183">AK106/AK$106</f>
        <v>1</v>
      </c>
      <c r="AL119" s="590">
        <f t="shared" si="183"/>
        <v>1</v>
      </c>
      <c r="AM119" s="590">
        <f t="shared" si="183"/>
        <v>1</v>
      </c>
      <c r="AN119" s="590">
        <f t="shared" si="183"/>
        <v>1</v>
      </c>
      <c r="AO119" s="590">
        <f t="shared" ref="AO119:AR119" si="184">AO106/AO$106</f>
        <v>1</v>
      </c>
      <c r="AP119" s="590">
        <f t="shared" si="184"/>
        <v>1</v>
      </c>
      <c r="AQ119" s="590">
        <f t="shared" si="184"/>
        <v>1</v>
      </c>
      <c r="AR119" s="590">
        <f t="shared" si="184"/>
        <v>1</v>
      </c>
      <c r="AS119" s="590">
        <f t="shared" ref="AS119:AV119" si="185">AS106/AS$106</f>
        <v>1</v>
      </c>
      <c r="AT119" s="590">
        <f t="shared" si="185"/>
        <v>1</v>
      </c>
      <c r="AU119" s="590">
        <f t="shared" si="185"/>
        <v>1</v>
      </c>
      <c r="AV119" s="590">
        <f t="shared" si="185"/>
        <v>1</v>
      </c>
      <c r="AW119" s="590">
        <f t="shared" ref="AW119:AZ119" si="186">AW106/AW$106</f>
        <v>1</v>
      </c>
      <c r="AX119" s="590">
        <f t="shared" si="186"/>
        <v>1</v>
      </c>
      <c r="AY119" s="590">
        <f t="shared" si="186"/>
        <v>1</v>
      </c>
      <c r="AZ119" s="590">
        <f t="shared" si="186"/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D8:S26"/>
  <sheetViews>
    <sheetView zoomScale="85" zoomScaleNormal="85" workbookViewId="0">
      <selection activeCell="C1" sqref="C1"/>
    </sheetView>
  </sheetViews>
  <sheetFormatPr defaultColWidth="9.140625" defaultRowHeight="12.75"/>
  <cols>
    <col min="1" max="16384" width="9.140625" style="566"/>
  </cols>
  <sheetData>
    <row r="8" spans="4:19">
      <c r="D8" s="567"/>
      <c r="E8" s="568"/>
      <c r="F8" s="568"/>
      <c r="G8" s="568"/>
      <c r="H8" s="568"/>
      <c r="I8" s="568"/>
      <c r="J8" s="568"/>
      <c r="K8" s="568"/>
      <c r="L8" s="568"/>
      <c r="M8" s="568"/>
      <c r="N8" s="568"/>
      <c r="O8" s="568"/>
      <c r="P8" s="568"/>
      <c r="Q8" s="568"/>
      <c r="R8" s="568"/>
      <c r="S8" s="569"/>
    </row>
    <row r="9" spans="4:19">
      <c r="D9" s="570"/>
      <c r="S9" s="571"/>
    </row>
    <row r="10" spans="4:19">
      <c r="D10" s="570"/>
      <c r="S10" s="571"/>
    </row>
    <row r="11" spans="4:19">
      <c r="D11" s="570"/>
      <c r="S11" s="571"/>
    </row>
    <row r="12" spans="4:19">
      <c r="D12" s="570"/>
      <c r="S12" s="571"/>
    </row>
    <row r="13" spans="4:19">
      <c r="D13" s="570"/>
      <c r="S13" s="571"/>
    </row>
    <row r="14" spans="4:19">
      <c r="D14" s="570"/>
      <c r="S14" s="571"/>
    </row>
    <row r="15" spans="4:19">
      <c r="D15" s="570"/>
      <c r="S15" s="571"/>
    </row>
    <row r="16" spans="4:19">
      <c r="D16" s="570"/>
      <c r="S16" s="571"/>
    </row>
    <row r="17" spans="4:19">
      <c r="D17" s="570"/>
      <c r="S17" s="571"/>
    </row>
    <row r="18" spans="4:19">
      <c r="D18" s="570"/>
      <c r="S18" s="571"/>
    </row>
    <row r="19" spans="4:19">
      <c r="D19" s="570"/>
      <c r="S19" s="571"/>
    </row>
    <row r="20" spans="4:19">
      <c r="D20" s="570"/>
      <c r="S20" s="571"/>
    </row>
    <row r="21" spans="4:19">
      <c r="D21" s="570"/>
      <c r="S21" s="571"/>
    </row>
    <row r="22" spans="4:19">
      <c r="D22" s="570"/>
      <c r="S22" s="571"/>
    </row>
    <row r="23" spans="4:19">
      <c r="D23" s="570"/>
      <c r="S23" s="571"/>
    </row>
    <row r="24" spans="4:19">
      <c r="D24" s="570"/>
      <c r="S24" s="571"/>
    </row>
    <row r="25" spans="4:19">
      <c r="D25" s="570"/>
      <c r="S25" s="571"/>
    </row>
    <row r="26" spans="4:19">
      <c r="D26" s="572"/>
      <c r="E26" s="573"/>
      <c r="F26" s="573"/>
      <c r="G26" s="573"/>
      <c r="H26" s="573"/>
      <c r="I26" s="573"/>
      <c r="J26" s="573"/>
      <c r="K26" s="573"/>
      <c r="L26" s="573"/>
      <c r="M26" s="573"/>
      <c r="N26" s="573"/>
      <c r="O26" s="573"/>
      <c r="P26" s="573"/>
      <c r="Q26" s="573"/>
      <c r="R26" s="573"/>
      <c r="S26" s="57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AB188"/>
  <sheetViews>
    <sheetView zoomScaleNormal="100" workbookViewId="0">
      <pane xSplit="1" ySplit="3" topLeftCell="Z4" activePane="bottomRight" state="frozen"/>
      <selection pane="bottomRight" activeCell="C1" sqref="C1"/>
      <selection pane="bottomLeft" activeCell="C1" sqref="C1"/>
      <selection pane="topRight" activeCell="C1" sqref="C1"/>
    </sheetView>
  </sheetViews>
  <sheetFormatPr defaultColWidth="13.140625" defaultRowHeight="15" outlineLevelCol="1"/>
  <cols>
    <col min="1" max="1" width="55.85546875" style="228" bestFit="1" customWidth="1"/>
    <col min="2" max="3" width="13.140625" style="228" customWidth="1"/>
    <col min="4" max="6" width="13.140625" style="359" customWidth="1"/>
    <col min="7" max="8" width="2.85546875" style="227" customWidth="1"/>
    <col min="9" max="9" width="13.140625" style="227" hidden="1" customWidth="1" outlineLevel="1"/>
    <col min="10" max="12" width="13.140625" style="228" hidden="1" customWidth="1" outlineLevel="1"/>
    <col min="13" max="13" width="13.140625" style="227" hidden="1" customWidth="1" outlineLevel="1"/>
    <col min="14" max="15" width="13.140625" style="228" hidden="1" customWidth="1" outlineLevel="1"/>
    <col min="16" max="16" width="13.140625" style="359" hidden="1" customWidth="1" outlineLevel="1"/>
    <col min="17" max="17" width="13.140625" style="227" customWidth="1" collapsed="1"/>
    <col min="18" max="19" width="13.140625" style="228" customWidth="1"/>
    <col min="20" max="20" width="13.140625" style="359" customWidth="1"/>
    <col min="21" max="21" width="13.140625" style="227" customWidth="1" collapsed="1"/>
    <col min="22" max="23" width="13.140625" style="228" customWidth="1"/>
    <col min="24" max="24" width="13.140625" style="359" customWidth="1"/>
    <col min="25" max="25" width="13.140625" style="227" customWidth="1" collapsed="1"/>
    <col min="26" max="27" width="13.140625" style="228" customWidth="1"/>
    <col min="28" max="28" width="13.140625" style="359" customWidth="1"/>
    <col min="29" max="16384" width="13.140625" style="228"/>
  </cols>
  <sheetData>
    <row r="1" spans="1:28">
      <c r="A1" s="224" t="s">
        <v>722</v>
      </c>
      <c r="B1" s="226"/>
      <c r="C1" s="226"/>
      <c r="D1" s="343"/>
      <c r="E1" s="343"/>
      <c r="F1" s="343"/>
      <c r="I1" s="225"/>
      <c r="J1" s="226"/>
      <c r="K1" s="226"/>
      <c r="L1" s="226"/>
      <c r="M1" s="225"/>
      <c r="N1" s="226"/>
      <c r="O1" s="226"/>
      <c r="P1" s="343"/>
      <c r="Q1" s="225"/>
      <c r="R1" s="226"/>
      <c r="S1" s="226"/>
      <c r="T1" s="343"/>
      <c r="U1" s="225"/>
      <c r="V1" s="226"/>
      <c r="W1" s="226"/>
      <c r="X1" s="343"/>
      <c r="Y1" s="225"/>
      <c r="Z1" s="226"/>
      <c r="AA1" s="226"/>
      <c r="AB1" s="343"/>
    </row>
    <row r="2" spans="1:28" s="232" customFormat="1">
      <c r="A2" s="229"/>
      <c r="B2" s="230" t="s">
        <v>462</v>
      </c>
      <c r="C2" s="230" t="s">
        <v>462</v>
      </c>
      <c r="D2" s="417" t="s">
        <v>462</v>
      </c>
      <c r="E2" s="230" t="s">
        <v>462</v>
      </c>
      <c r="F2" s="230" t="s">
        <v>541</v>
      </c>
      <c r="G2" s="231"/>
      <c r="H2" s="231"/>
      <c r="I2" s="338" t="s">
        <v>464</v>
      </c>
      <c r="J2" s="338" t="s">
        <v>464</v>
      </c>
      <c r="K2" s="338" t="s">
        <v>464</v>
      </c>
      <c r="L2" s="338" t="s">
        <v>464</v>
      </c>
      <c r="M2" s="338" t="s">
        <v>464</v>
      </c>
      <c r="N2" s="338" t="s">
        <v>464</v>
      </c>
      <c r="O2" s="338" t="s">
        <v>464</v>
      </c>
      <c r="P2" s="344" t="s">
        <v>464</v>
      </c>
      <c r="Q2" s="338" t="s">
        <v>464</v>
      </c>
      <c r="R2" s="338" t="s">
        <v>464</v>
      </c>
      <c r="S2" s="338" t="s">
        <v>464</v>
      </c>
      <c r="T2" s="344" t="s">
        <v>464</v>
      </c>
      <c r="U2" s="338" t="s">
        <v>464</v>
      </c>
      <c r="V2" s="338" t="s">
        <v>464</v>
      </c>
      <c r="W2" s="338" t="s">
        <v>464</v>
      </c>
      <c r="X2" s="344" t="s">
        <v>464</v>
      </c>
      <c r="Y2" s="338" t="s">
        <v>464</v>
      </c>
      <c r="Z2" s="338" t="s">
        <v>464</v>
      </c>
      <c r="AA2" s="338" t="s">
        <v>464</v>
      </c>
      <c r="AB2" s="344" t="s">
        <v>464</v>
      </c>
    </row>
    <row r="3" spans="1:28" s="232" customFormat="1">
      <c r="A3" s="229" t="s">
        <v>723</v>
      </c>
      <c r="B3" s="234">
        <v>41634</v>
      </c>
      <c r="C3" s="234">
        <f>B3+360</f>
        <v>41994</v>
      </c>
      <c r="D3" s="350">
        <f>C3+360</f>
        <v>42354</v>
      </c>
      <c r="E3" s="234">
        <f>D3+360</f>
        <v>42714</v>
      </c>
      <c r="F3" s="234">
        <v>42887</v>
      </c>
      <c r="G3" s="231"/>
      <c r="H3" s="231"/>
      <c r="I3" s="336">
        <v>41364</v>
      </c>
      <c r="J3" s="336">
        <f t="shared" ref="J3:R3" si="0">I3+90</f>
        <v>41454</v>
      </c>
      <c r="K3" s="336">
        <f t="shared" si="0"/>
        <v>41544</v>
      </c>
      <c r="L3" s="336">
        <f t="shared" si="0"/>
        <v>41634</v>
      </c>
      <c r="M3" s="336">
        <f t="shared" si="0"/>
        <v>41724</v>
      </c>
      <c r="N3" s="336">
        <f t="shared" si="0"/>
        <v>41814</v>
      </c>
      <c r="O3" s="336">
        <f t="shared" si="0"/>
        <v>41904</v>
      </c>
      <c r="P3" s="345">
        <f t="shared" si="0"/>
        <v>41994</v>
      </c>
      <c r="Q3" s="336">
        <f t="shared" si="0"/>
        <v>42084</v>
      </c>
      <c r="R3" s="336">
        <f t="shared" si="0"/>
        <v>42174</v>
      </c>
      <c r="S3" s="336">
        <f t="shared" ref="S3:AB3" si="1">R3+90</f>
        <v>42264</v>
      </c>
      <c r="T3" s="345">
        <f t="shared" si="1"/>
        <v>42354</v>
      </c>
      <c r="U3" s="336">
        <f t="shared" si="1"/>
        <v>42444</v>
      </c>
      <c r="V3" s="336">
        <f t="shared" si="1"/>
        <v>42534</v>
      </c>
      <c r="W3" s="336">
        <f t="shared" si="1"/>
        <v>42624</v>
      </c>
      <c r="X3" s="345">
        <f t="shared" si="1"/>
        <v>42714</v>
      </c>
      <c r="Y3" s="336">
        <f t="shared" si="1"/>
        <v>42804</v>
      </c>
      <c r="Z3" s="336">
        <f t="shared" si="1"/>
        <v>42894</v>
      </c>
      <c r="AA3" s="336">
        <f t="shared" si="1"/>
        <v>42984</v>
      </c>
      <c r="AB3" s="345">
        <f t="shared" si="1"/>
        <v>43074</v>
      </c>
    </row>
    <row r="4" spans="1:28" s="235" customFormat="1">
      <c r="A4" s="235" t="s">
        <v>724</v>
      </c>
      <c r="D4" s="346"/>
      <c r="E4" s="346"/>
      <c r="F4" s="346"/>
      <c r="G4" s="236"/>
      <c r="H4" s="236"/>
      <c r="I4" s="236"/>
      <c r="M4" s="236"/>
      <c r="P4" s="346"/>
      <c r="Q4" s="236"/>
      <c r="T4" s="346"/>
      <c r="U4" s="236"/>
      <c r="X4" s="346"/>
      <c r="Y4" s="236"/>
      <c r="AB4" s="346"/>
    </row>
    <row r="5" spans="1:28" s="238" customFormat="1">
      <c r="A5" s="237" t="s">
        <v>725</v>
      </c>
      <c r="B5" s="380">
        <v>3566.3110000000001</v>
      </c>
      <c r="C5" s="380">
        <v>6989.7510000000002</v>
      </c>
      <c r="D5" s="382">
        <f>9574.616+38.333</f>
        <v>9612.9490000000005</v>
      </c>
      <c r="E5" s="382">
        <v>11756.607</v>
      </c>
      <c r="F5" s="382">
        <f>E5-V5+Z5</f>
        <v>12061.982999999998</v>
      </c>
      <c r="G5" s="381"/>
      <c r="H5" s="381"/>
      <c r="I5" s="381"/>
      <c r="J5" s="380"/>
      <c r="K5" s="380"/>
      <c r="L5" s="380"/>
      <c r="M5" s="381">
        <v>1456.088</v>
      </c>
      <c r="N5" s="380">
        <v>1824.2270000000001</v>
      </c>
      <c r="O5" s="380"/>
      <c r="P5" s="382"/>
      <c r="Q5" s="381">
        <v>1998.7139999999999</v>
      </c>
      <c r="R5" s="380">
        <v>2240.7730000000001</v>
      </c>
      <c r="S5" s="380">
        <f>2550.052+19.583</f>
        <v>2569.6350000000002</v>
      </c>
      <c r="T5" s="382">
        <f>2785.077+18.75</f>
        <v>2803.8270000000002</v>
      </c>
      <c r="U5" s="381"/>
      <c r="V5" s="380">
        <v>2830.7370000000001</v>
      </c>
      <c r="W5" s="380"/>
      <c r="X5" s="382"/>
      <c r="Y5" s="381">
        <v>3139.0140000000001</v>
      </c>
      <c r="Z5" s="380">
        <v>3136.1129999999998</v>
      </c>
      <c r="AA5" s="380"/>
      <c r="AB5" s="382"/>
    </row>
    <row r="6" spans="1:28" s="238" customFormat="1">
      <c r="A6" s="237" t="s">
        <v>726</v>
      </c>
      <c r="B6" s="380">
        <v>237.47900000000001</v>
      </c>
      <c r="C6" s="380">
        <v>707.84199999999998</v>
      </c>
      <c r="D6" s="382">
        <v>963.37599999999998</v>
      </c>
      <c r="E6" s="382">
        <v>1230.42</v>
      </c>
      <c r="F6" s="382">
        <f>E6-V6+Z6</f>
        <v>1265.7809999999999</v>
      </c>
      <c r="G6" s="381"/>
      <c r="H6" s="381"/>
      <c r="I6" s="381"/>
      <c r="J6" s="380"/>
      <c r="K6" s="380"/>
      <c r="L6" s="380"/>
      <c r="M6" s="381">
        <v>212.63300000000001</v>
      </c>
      <c r="N6" s="380">
        <v>128.57400000000001</v>
      </c>
      <c r="O6" s="380"/>
      <c r="P6" s="382"/>
      <c r="Q6" s="381">
        <v>193.459</v>
      </c>
      <c r="R6" s="380">
        <v>233.95500000000001</v>
      </c>
      <c r="S6" s="380">
        <v>264.60199999999998</v>
      </c>
      <c r="T6" s="382">
        <v>271.36</v>
      </c>
      <c r="U6" s="381"/>
      <c r="V6" s="380">
        <v>299.738</v>
      </c>
      <c r="W6" s="380"/>
      <c r="X6" s="382"/>
      <c r="Y6" s="381">
        <v>312.64800000000002</v>
      </c>
      <c r="Z6" s="380">
        <v>335.09899999999999</v>
      </c>
      <c r="AA6" s="380"/>
      <c r="AB6" s="382"/>
    </row>
    <row r="7" spans="1:28" s="238" customFormat="1">
      <c r="A7" s="237" t="s">
        <v>727</v>
      </c>
      <c r="B7" s="380">
        <v>0</v>
      </c>
      <c r="C7" s="380">
        <v>0</v>
      </c>
      <c r="D7" s="382">
        <v>0</v>
      </c>
      <c r="E7" s="382">
        <v>108</v>
      </c>
      <c r="F7" s="382">
        <f>E7-V7+Z7</f>
        <v>116.90600000000001</v>
      </c>
      <c r="G7" s="381"/>
      <c r="H7" s="381"/>
      <c r="I7" s="381"/>
      <c r="J7" s="380"/>
      <c r="K7" s="380"/>
      <c r="L7" s="380"/>
      <c r="M7" s="381"/>
      <c r="N7" s="380"/>
      <c r="O7" s="380"/>
      <c r="P7" s="382"/>
      <c r="Q7" s="381">
        <v>0</v>
      </c>
      <c r="R7" s="380">
        <v>0</v>
      </c>
      <c r="S7" s="380">
        <v>0</v>
      </c>
      <c r="T7" s="382">
        <v>0</v>
      </c>
      <c r="U7" s="381"/>
      <c r="V7" s="380">
        <v>38.332000000000001</v>
      </c>
      <c r="W7" s="380"/>
      <c r="X7" s="382"/>
      <c r="Y7" s="381">
        <v>48.75</v>
      </c>
      <c r="Z7" s="380">
        <v>47.238</v>
      </c>
      <c r="AA7" s="380"/>
      <c r="AB7" s="382"/>
    </row>
    <row r="8" spans="1:28" s="238" customFormat="1">
      <c r="A8" s="237" t="s">
        <v>728</v>
      </c>
      <c r="B8" s="383">
        <v>100.312</v>
      </c>
      <c r="C8" s="383">
        <v>124.387</v>
      </c>
      <c r="D8" s="384">
        <v>148.57300000000001</v>
      </c>
      <c r="E8" s="384">
        <v>157.821</v>
      </c>
      <c r="F8" s="384">
        <f>E8-V8+Z8</f>
        <v>200.67699999999999</v>
      </c>
      <c r="G8" s="381"/>
      <c r="H8" s="381"/>
      <c r="I8" s="385"/>
      <c r="J8" s="383"/>
      <c r="K8" s="383"/>
      <c r="L8" s="383"/>
      <c r="M8" s="385">
        <v>29.222000000000001</v>
      </c>
      <c r="N8" s="383">
        <v>29.297999999999998</v>
      </c>
      <c r="O8" s="383"/>
      <c r="P8" s="384"/>
      <c r="Q8" s="385">
        <v>33.329000000000001</v>
      </c>
      <c r="R8" s="383">
        <v>34.473999999999997</v>
      </c>
      <c r="S8" s="383">
        <v>37.408000000000001</v>
      </c>
      <c r="T8" s="384">
        <v>43.362000000000002</v>
      </c>
      <c r="U8" s="385"/>
      <c r="V8" s="383">
        <v>18.75</v>
      </c>
      <c r="W8" s="383"/>
      <c r="X8" s="384"/>
      <c r="Y8" s="385">
        <v>63.55</v>
      </c>
      <c r="Z8" s="383">
        <v>61.606000000000002</v>
      </c>
      <c r="AA8" s="383"/>
      <c r="AB8" s="384"/>
    </row>
    <row r="9" spans="1:28" s="240" customFormat="1">
      <c r="A9" s="239" t="s">
        <v>729</v>
      </c>
      <c r="B9" s="386">
        <f>SUM(B5:B8)</f>
        <v>3904.1019999999999</v>
      </c>
      <c r="C9" s="386">
        <f>SUM(C5:C8)</f>
        <v>7821.98</v>
      </c>
      <c r="D9" s="388">
        <f>SUM(D5:D8)</f>
        <v>10724.898000000001</v>
      </c>
      <c r="E9" s="388">
        <f>SUM(E5:E8)</f>
        <v>13252.848</v>
      </c>
      <c r="F9" s="388">
        <f>SUM(F5:F8)</f>
        <v>13645.347</v>
      </c>
      <c r="G9" s="387"/>
      <c r="H9" s="387"/>
      <c r="I9" s="387">
        <f t="shared" ref="I9:T9" si="2">SUM(I5:I8)</f>
        <v>0</v>
      </c>
      <c r="J9" s="386">
        <f t="shared" si="2"/>
        <v>0</v>
      </c>
      <c r="K9" s="386">
        <f t="shared" si="2"/>
        <v>0</v>
      </c>
      <c r="L9" s="386">
        <f t="shared" si="2"/>
        <v>0</v>
      </c>
      <c r="M9" s="387">
        <f t="shared" si="2"/>
        <v>1697.943</v>
      </c>
      <c r="N9" s="386">
        <f t="shared" si="2"/>
        <v>1982.0990000000002</v>
      </c>
      <c r="O9" s="386">
        <f t="shared" si="2"/>
        <v>0</v>
      </c>
      <c r="P9" s="388">
        <f t="shared" si="2"/>
        <v>0</v>
      </c>
      <c r="Q9" s="387">
        <f t="shared" si="2"/>
        <v>2225.502</v>
      </c>
      <c r="R9" s="386">
        <f t="shared" si="2"/>
        <v>2509.2020000000002</v>
      </c>
      <c r="S9" s="386">
        <f t="shared" si="2"/>
        <v>2871.645</v>
      </c>
      <c r="T9" s="388">
        <f t="shared" si="2"/>
        <v>3118.5490000000004</v>
      </c>
      <c r="U9" s="387"/>
      <c r="V9" s="386">
        <f>SUM(V5:V8)</f>
        <v>3187.5569999999998</v>
      </c>
      <c r="W9" s="386"/>
      <c r="X9" s="388"/>
      <c r="Y9" s="387">
        <f>SUM(Y5:Y8)</f>
        <v>3563.9620000000004</v>
      </c>
      <c r="Z9" s="386">
        <f>SUM(Z5:Z8)</f>
        <v>3580.056</v>
      </c>
      <c r="AA9" s="386"/>
      <c r="AB9" s="388"/>
    </row>
    <row r="10" spans="1:28" s="240" customFormat="1">
      <c r="A10" s="239"/>
      <c r="B10" s="386"/>
      <c r="C10" s="386"/>
      <c r="D10" s="388"/>
      <c r="E10" s="388"/>
      <c r="F10" s="388"/>
      <c r="G10" s="387"/>
      <c r="H10" s="387"/>
      <c r="I10" s="387"/>
      <c r="J10" s="386"/>
      <c r="K10" s="386"/>
      <c r="L10" s="386"/>
      <c r="M10" s="387"/>
      <c r="N10" s="386"/>
      <c r="O10" s="386"/>
      <c r="P10" s="388"/>
      <c r="Q10" s="387"/>
      <c r="R10" s="386"/>
      <c r="S10" s="386"/>
      <c r="T10" s="388"/>
      <c r="U10" s="387"/>
      <c r="V10" s="386"/>
      <c r="W10" s="386"/>
      <c r="X10" s="388"/>
      <c r="Y10" s="387"/>
      <c r="Z10" s="386"/>
      <c r="AA10" s="386"/>
      <c r="AB10" s="388"/>
    </row>
    <row r="11" spans="1:28" s="246" customFormat="1">
      <c r="A11" s="241" t="s">
        <v>730</v>
      </c>
      <c r="B11" s="389">
        <v>-328.18700000000001</v>
      </c>
      <c r="C11" s="389">
        <v>-490.83199999999999</v>
      </c>
      <c r="D11" s="392">
        <v>-612.928</v>
      </c>
      <c r="E11" s="392">
        <v>-678.68600000000004</v>
      </c>
      <c r="F11" s="392">
        <f t="shared" ref="F11:F17" si="3">E11-V11+Z11</f>
        <v>-692.41499999999996</v>
      </c>
      <c r="G11" s="390"/>
      <c r="H11" s="390"/>
      <c r="I11" s="390"/>
      <c r="J11" s="391"/>
      <c r="K11" s="391"/>
      <c r="L11" s="391"/>
      <c r="M11" s="390">
        <v>-93.507000000000005</v>
      </c>
      <c r="N11" s="391">
        <v>-103.47199999999999</v>
      </c>
      <c r="O11" s="391"/>
      <c r="P11" s="392"/>
      <c r="Q11" s="390">
        <v>-150.94499999999999</v>
      </c>
      <c r="R11" s="391">
        <v>-152.24</v>
      </c>
      <c r="S11" s="391">
        <v>-152.648</v>
      </c>
      <c r="T11" s="392">
        <v>-157.095</v>
      </c>
      <c r="U11" s="390"/>
      <c r="V11" s="391">
        <v>-169.55600000000001</v>
      </c>
      <c r="W11" s="391"/>
      <c r="X11" s="392"/>
      <c r="Y11" s="390">
        <v>-178.72800000000001</v>
      </c>
      <c r="Z11" s="391">
        <v>-183.285</v>
      </c>
      <c r="AA11" s="391"/>
      <c r="AB11" s="392"/>
    </row>
    <row r="12" spans="1:28" s="246" customFormat="1">
      <c r="A12" s="241" t="s">
        <v>484</v>
      </c>
      <c r="B12" s="389">
        <v>-312.108</v>
      </c>
      <c r="C12" s="389">
        <v>-697.16800000000001</v>
      </c>
      <c r="D12" s="392">
        <v>-668.23699999999997</v>
      </c>
      <c r="E12" s="392">
        <v>-824.96699999999998</v>
      </c>
      <c r="F12" s="392">
        <f t="shared" si="3"/>
        <v>-865.15899999999988</v>
      </c>
      <c r="G12" s="390"/>
      <c r="H12" s="390"/>
      <c r="I12" s="390"/>
      <c r="J12" s="391"/>
      <c r="K12" s="391"/>
      <c r="L12" s="391"/>
      <c r="M12" s="390">
        <v>-67.515000000000001</v>
      </c>
      <c r="N12" s="391">
        <v>-425.988</v>
      </c>
      <c r="O12" s="391"/>
      <c r="P12" s="392"/>
      <c r="Q12" s="390">
        <v>-164.07900000000001</v>
      </c>
      <c r="R12" s="391">
        <v>-149.9</v>
      </c>
      <c r="S12" s="391">
        <v>-174.399</v>
      </c>
      <c r="T12" s="392">
        <v>-179.81700000000001</v>
      </c>
      <c r="U12" s="390"/>
      <c r="V12" s="391">
        <v>-193.84800000000001</v>
      </c>
      <c r="W12" s="391"/>
      <c r="X12" s="392"/>
      <c r="Y12" s="390">
        <v>-235.24199999999999</v>
      </c>
      <c r="Z12" s="391">
        <v>-234.04</v>
      </c>
      <c r="AA12" s="391"/>
      <c r="AB12" s="392"/>
    </row>
    <row r="13" spans="1:28" s="246" customFormat="1">
      <c r="A13" s="241" t="s">
        <v>731</v>
      </c>
      <c r="B13" s="389">
        <v>-240.042</v>
      </c>
      <c r="C13" s="389">
        <v>-807.39400000000001</v>
      </c>
      <c r="D13" s="392">
        <v>-1065.23</v>
      </c>
      <c r="E13" s="392">
        <v>-1293.7719999999999</v>
      </c>
      <c r="F13" s="392">
        <f t="shared" si="3"/>
        <v>-1319.905</v>
      </c>
      <c r="G13" s="390"/>
      <c r="H13" s="390"/>
      <c r="I13" s="390"/>
      <c r="J13" s="391"/>
      <c r="K13" s="391"/>
      <c r="L13" s="391"/>
      <c r="M13" s="390">
        <v>-248.87799999999999</v>
      </c>
      <c r="N13" s="391">
        <v>-145.06200000000001</v>
      </c>
      <c r="O13" s="391"/>
      <c r="P13" s="392"/>
      <c r="Q13" s="390">
        <v>-202.50200000000001</v>
      </c>
      <c r="R13" s="391">
        <v>-252.1</v>
      </c>
      <c r="S13" s="391">
        <v>-299.92700000000002</v>
      </c>
      <c r="T13" s="392">
        <v>-310.74200000000002</v>
      </c>
      <c r="U13" s="390"/>
      <c r="V13" s="391">
        <v>-321.57600000000002</v>
      </c>
      <c r="W13" s="391"/>
      <c r="X13" s="392"/>
      <c r="Y13" s="390">
        <v>-328.82900000000001</v>
      </c>
      <c r="Z13" s="391">
        <v>-347.709</v>
      </c>
      <c r="AA13" s="391"/>
      <c r="AB13" s="392"/>
    </row>
    <row r="14" spans="1:28" s="246" customFormat="1">
      <c r="A14" s="375" t="s">
        <v>732</v>
      </c>
      <c r="B14" s="389">
        <v>0</v>
      </c>
      <c r="C14" s="389">
        <v>-194.98400000000001</v>
      </c>
      <c r="D14" s="392">
        <v>0</v>
      </c>
      <c r="E14" s="392">
        <v>-194.98400000000001</v>
      </c>
      <c r="F14" s="392">
        <f t="shared" si="3"/>
        <v>-194.98400000000001</v>
      </c>
      <c r="G14" s="390"/>
      <c r="H14" s="390"/>
      <c r="I14" s="390"/>
      <c r="J14" s="391"/>
      <c r="K14" s="391"/>
      <c r="L14" s="391"/>
      <c r="M14" s="390">
        <v>-48.746000000000002</v>
      </c>
      <c r="N14" s="391">
        <v>-86.844999999999999</v>
      </c>
      <c r="O14" s="391"/>
      <c r="P14" s="392"/>
      <c r="Q14" s="390">
        <v>-14.391</v>
      </c>
      <c r="R14" s="391">
        <v>-15.725</v>
      </c>
      <c r="S14" s="391">
        <v>0</v>
      </c>
      <c r="T14" s="392">
        <v>0</v>
      </c>
      <c r="U14" s="390"/>
      <c r="V14" s="391">
        <v>-48.746000000000002</v>
      </c>
      <c r="W14" s="391"/>
      <c r="X14" s="392"/>
      <c r="Y14" s="390">
        <v>-48.746000000000002</v>
      </c>
      <c r="Z14" s="391">
        <v>-48.746000000000002</v>
      </c>
      <c r="AA14" s="391"/>
      <c r="AB14" s="392"/>
    </row>
    <row r="15" spans="1:28" s="246" customFormat="1">
      <c r="A15" s="418"/>
      <c r="B15" s="389">
        <v>0</v>
      </c>
      <c r="C15" s="389">
        <v>-530.28</v>
      </c>
      <c r="D15" s="392">
        <v>0</v>
      </c>
      <c r="E15" s="392">
        <v>-169.99700000000001</v>
      </c>
      <c r="F15" s="392">
        <f t="shared" si="3"/>
        <v>-93.402000000000015</v>
      </c>
      <c r="G15" s="390"/>
      <c r="H15" s="390"/>
      <c r="I15" s="390"/>
      <c r="J15" s="391"/>
      <c r="K15" s="391"/>
      <c r="L15" s="391"/>
      <c r="M15" s="390">
        <v>0</v>
      </c>
      <c r="N15" s="391">
        <v>0</v>
      </c>
      <c r="O15" s="391"/>
      <c r="P15" s="392"/>
      <c r="Q15" s="390">
        <v>-164.62100000000001</v>
      </c>
      <c r="R15" s="391">
        <v>-27.497</v>
      </c>
      <c r="S15" s="391">
        <v>0</v>
      </c>
      <c r="T15" s="392">
        <v>0</v>
      </c>
      <c r="U15" s="390"/>
      <c r="V15" s="391">
        <v>-116.288</v>
      </c>
      <c r="W15" s="391"/>
      <c r="X15" s="392"/>
      <c r="Y15" s="390">
        <v>-50</v>
      </c>
      <c r="Z15" s="391">
        <v>-39.692999999999998</v>
      </c>
      <c r="AA15" s="391"/>
      <c r="AB15" s="392"/>
    </row>
    <row r="16" spans="1:28" s="246" customFormat="1">
      <c r="A16" s="241" t="s">
        <v>733</v>
      </c>
      <c r="B16" s="389">
        <v>-57.308</v>
      </c>
      <c r="C16" s="389">
        <v>-155.10400000000001</v>
      </c>
      <c r="D16" s="392">
        <v>-258.80099999999999</v>
      </c>
      <c r="E16" s="392">
        <v>-323.07400000000001</v>
      </c>
      <c r="F16" s="392">
        <f t="shared" si="3"/>
        <v>-329.726</v>
      </c>
      <c r="G16" s="390"/>
      <c r="H16" s="390"/>
      <c r="I16" s="390"/>
      <c r="J16" s="391"/>
      <c r="K16" s="391"/>
      <c r="L16" s="391"/>
      <c r="M16" s="390">
        <v>-13.17</v>
      </c>
      <c r="N16" s="391">
        <v>-43.448</v>
      </c>
      <c r="O16" s="391"/>
      <c r="P16" s="392"/>
      <c r="Q16" s="390">
        <v>-54.421999999999997</v>
      </c>
      <c r="R16" s="391">
        <v>-61.5</v>
      </c>
      <c r="S16" s="391">
        <v>-65.375</v>
      </c>
      <c r="T16" s="392">
        <v>-77.507999999999996</v>
      </c>
      <c r="U16" s="390"/>
      <c r="V16" s="391">
        <v>-76.626000000000005</v>
      </c>
      <c r="W16" s="391"/>
      <c r="X16" s="392"/>
      <c r="Y16" s="390">
        <v>-85.14</v>
      </c>
      <c r="Z16" s="391">
        <v>-83.278000000000006</v>
      </c>
      <c r="AA16" s="391"/>
      <c r="AB16" s="392"/>
    </row>
    <row r="17" spans="1:28" s="246" customFormat="1">
      <c r="A17" s="241" t="s">
        <v>486</v>
      </c>
      <c r="B17" s="391">
        <v>-26.762</v>
      </c>
      <c r="C17" s="389">
        <v>-84.179000000000002</v>
      </c>
      <c r="D17" s="392">
        <v>-87.012</v>
      </c>
      <c r="E17" s="392">
        <v>-143.91800000000001</v>
      </c>
      <c r="F17" s="392">
        <f t="shared" si="3"/>
        <v>-150.196</v>
      </c>
      <c r="G17" s="390"/>
      <c r="H17" s="390"/>
      <c r="I17" s="390"/>
      <c r="J17" s="391"/>
      <c r="K17" s="391"/>
      <c r="L17" s="391"/>
      <c r="M17" s="390">
        <v>-5.5679999999999996</v>
      </c>
      <c r="N17" s="391">
        <v>-19.024999999999999</v>
      </c>
      <c r="O17" s="391"/>
      <c r="P17" s="392"/>
      <c r="Q17" s="390">
        <v>-17.425000000000001</v>
      </c>
      <c r="R17" s="391">
        <v>-17.7</v>
      </c>
      <c r="S17" s="391">
        <v>-20.247</v>
      </c>
      <c r="T17" s="392">
        <v>-31.602</v>
      </c>
      <c r="U17" s="390"/>
      <c r="V17" s="391">
        <v>-32.08</v>
      </c>
      <c r="W17" s="391"/>
      <c r="X17" s="392"/>
      <c r="Y17" s="390">
        <v>-37.546999999999997</v>
      </c>
      <c r="Z17" s="391">
        <v>-38.357999999999997</v>
      </c>
      <c r="AA17" s="391"/>
      <c r="AB17" s="392"/>
    </row>
    <row r="18" spans="1:28" s="247" customFormat="1">
      <c r="A18" s="247" t="s">
        <v>487</v>
      </c>
      <c r="B18" s="393">
        <f>SUM(B9:B17)</f>
        <v>2939.6949999999997</v>
      </c>
      <c r="C18" s="393">
        <f>SUM(C9:C17)</f>
        <v>4862.0389999999989</v>
      </c>
      <c r="D18" s="395">
        <f>SUM(D9:D17)</f>
        <v>8032.6900000000023</v>
      </c>
      <c r="E18" s="395">
        <f>SUM(E9:E17)</f>
        <v>9623.4499999999989</v>
      </c>
      <c r="F18" s="395">
        <f>SUM(F9:F17)</f>
        <v>9999.56</v>
      </c>
      <c r="G18" s="387"/>
      <c r="H18" s="387"/>
      <c r="I18" s="394">
        <f t="shared" ref="I18:T18" si="4">SUM(I9:I17)</f>
        <v>0</v>
      </c>
      <c r="J18" s="393">
        <f t="shared" si="4"/>
        <v>0</v>
      </c>
      <c r="K18" s="393">
        <f t="shared" si="4"/>
        <v>0</v>
      </c>
      <c r="L18" s="393">
        <f t="shared" si="4"/>
        <v>0</v>
      </c>
      <c r="M18" s="394">
        <f t="shared" si="4"/>
        <v>1220.5589999999997</v>
      </c>
      <c r="N18" s="393">
        <f t="shared" si="4"/>
        <v>1158.259</v>
      </c>
      <c r="O18" s="393">
        <f t="shared" si="4"/>
        <v>0</v>
      </c>
      <c r="P18" s="395">
        <f t="shared" si="4"/>
        <v>0</v>
      </c>
      <c r="Q18" s="394">
        <f t="shared" si="4"/>
        <v>1457.1169999999997</v>
      </c>
      <c r="R18" s="393">
        <f t="shared" si="4"/>
        <v>1832.5400000000004</v>
      </c>
      <c r="S18" s="393">
        <f t="shared" si="4"/>
        <v>2159.049</v>
      </c>
      <c r="T18" s="395">
        <f t="shared" si="4"/>
        <v>2361.7850000000008</v>
      </c>
      <c r="U18" s="394"/>
      <c r="V18" s="393">
        <f>SUM(V9:V17)</f>
        <v>2228.8369999999995</v>
      </c>
      <c r="W18" s="393"/>
      <c r="X18" s="395"/>
      <c r="Y18" s="394">
        <f>SUM(Y9:Y17)</f>
        <v>2599.73</v>
      </c>
      <c r="Z18" s="393">
        <f>SUM(Z9:Z17)</f>
        <v>2604.9470000000001</v>
      </c>
      <c r="AA18" s="393"/>
      <c r="AB18" s="395"/>
    </row>
    <row r="19" spans="1:28" s="247" customFormat="1">
      <c r="B19" s="386"/>
      <c r="C19" s="386"/>
      <c r="D19" s="388"/>
      <c r="E19" s="388"/>
      <c r="F19" s="388"/>
      <c r="G19" s="387"/>
      <c r="H19" s="387"/>
      <c r="I19" s="387"/>
      <c r="J19" s="386"/>
      <c r="K19" s="386"/>
      <c r="L19" s="386"/>
      <c r="M19" s="387"/>
      <c r="N19" s="386"/>
      <c r="O19" s="386"/>
      <c r="P19" s="388"/>
      <c r="Q19" s="387"/>
      <c r="R19" s="386"/>
      <c r="S19" s="386"/>
      <c r="T19" s="388"/>
      <c r="U19" s="387"/>
      <c r="V19" s="386"/>
      <c r="W19" s="386"/>
      <c r="X19" s="388"/>
      <c r="Y19" s="387"/>
      <c r="Z19" s="386"/>
      <c r="AA19" s="386"/>
      <c r="AB19" s="388"/>
    </row>
    <row r="20" spans="1:28" s="248" customFormat="1">
      <c r="A20" s="241" t="s">
        <v>734</v>
      </c>
      <c r="B20" s="380">
        <v>-757.58799999999997</v>
      </c>
      <c r="C20" s="380">
        <v>-2019.1110000000001</v>
      </c>
      <c r="D20" s="382">
        <v>-2681.54</v>
      </c>
      <c r="E20" s="382">
        <v>-3826.8359999999998</v>
      </c>
      <c r="F20" s="382">
        <f t="shared" ref="F20:F26" si="5">E20-V20+Z20</f>
        <v>-4181.6389999999992</v>
      </c>
      <c r="G20" s="381"/>
      <c r="H20" s="381"/>
      <c r="I20" s="381"/>
      <c r="J20" s="380"/>
      <c r="K20" s="380"/>
      <c r="L20" s="380"/>
      <c r="M20" s="381">
        <v>-510.78800000000001</v>
      </c>
      <c r="N20" s="380">
        <v>-563.197</v>
      </c>
      <c r="O20" s="380"/>
      <c r="P20" s="382"/>
      <c r="Q20" s="381">
        <v>-595.35799999999995</v>
      </c>
      <c r="R20" s="380">
        <v>-671.33100000000002</v>
      </c>
      <c r="S20" s="380">
        <v>-685.10799999999995</v>
      </c>
      <c r="T20" s="382">
        <v>-729.74300000000005</v>
      </c>
      <c r="U20" s="381"/>
      <c r="V20" s="380">
        <v>-880.25900000000001</v>
      </c>
      <c r="W20" s="380"/>
      <c r="X20" s="382"/>
      <c r="Y20" s="381">
        <v>-1121.902</v>
      </c>
      <c r="Z20" s="380">
        <v>-1235.0619999999999</v>
      </c>
      <c r="AA20" s="380"/>
      <c r="AB20" s="382"/>
    </row>
    <row r="21" spans="1:28" s="248" customFormat="1">
      <c r="A21" s="241" t="s">
        <v>735</v>
      </c>
      <c r="B21" s="380">
        <v>680.57299999999998</v>
      </c>
      <c r="C21" s="380">
        <v>430.49400000000003</v>
      </c>
      <c r="D21" s="382">
        <v>412.08300000000003</v>
      </c>
      <c r="E21" s="382">
        <v>263.83300000000003</v>
      </c>
      <c r="F21" s="382">
        <f t="shared" si="5"/>
        <v>381.08000000000004</v>
      </c>
      <c r="G21" s="381"/>
      <c r="H21" s="381"/>
      <c r="I21" s="381"/>
      <c r="J21" s="380"/>
      <c r="K21" s="380"/>
      <c r="L21" s="380"/>
      <c r="M21" s="381">
        <v>3.6970000000000001</v>
      </c>
      <c r="N21" s="380">
        <v>65.028999999999996</v>
      </c>
      <c r="O21" s="380"/>
      <c r="P21" s="382"/>
      <c r="Q21" s="381">
        <v>199.346</v>
      </c>
      <c r="R21" s="380">
        <v>128.291</v>
      </c>
      <c r="S21" s="380">
        <v>43.533000000000001</v>
      </c>
      <c r="T21" s="382">
        <v>40.912999999999997</v>
      </c>
      <c r="U21" s="381"/>
      <c r="V21" s="380">
        <v>26.32</v>
      </c>
      <c r="W21" s="380"/>
      <c r="X21" s="382"/>
      <c r="Y21" s="381">
        <v>118.65300000000001</v>
      </c>
      <c r="Z21" s="380">
        <v>143.56700000000001</v>
      </c>
      <c r="AA21" s="380"/>
      <c r="AB21" s="382"/>
    </row>
    <row r="22" spans="1:28" s="246" customFormat="1">
      <c r="A22" s="241" t="s">
        <v>736</v>
      </c>
      <c r="B22" s="389">
        <v>-16.425999999999998</v>
      </c>
      <c r="C22" s="389">
        <v>-2222.0970000000002</v>
      </c>
      <c r="D22" s="392">
        <v>-3878.1419999999998</v>
      </c>
      <c r="E22" s="392">
        <v>-4752.607</v>
      </c>
      <c r="F22" s="392">
        <f t="shared" si="5"/>
        <v>-2405.3850000000002</v>
      </c>
      <c r="G22" s="390"/>
      <c r="H22" s="390"/>
      <c r="I22" s="390"/>
      <c r="J22" s="391"/>
      <c r="K22" s="391"/>
      <c r="L22" s="391"/>
      <c r="M22" s="390">
        <v>101.818</v>
      </c>
      <c r="N22" s="391">
        <v>333.18700000000001</v>
      </c>
      <c r="O22" s="391"/>
      <c r="P22" s="392"/>
      <c r="Q22" s="390">
        <v>-784.34699999999998</v>
      </c>
      <c r="R22" s="391">
        <v>-610.31100000000004</v>
      </c>
      <c r="S22" s="391">
        <v>-2094.7979999999998</v>
      </c>
      <c r="T22" s="392">
        <v>-388.68599999999998</v>
      </c>
      <c r="U22" s="390"/>
      <c r="V22" s="380">
        <v>-1694.0709999999999</v>
      </c>
      <c r="W22" s="391"/>
      <c r="X22" s="392"/>
      <c r="Y22" s="390">
        <v>2481.181</v>
      </c>
      <c r="Z22" s="391">
        <v>653.15099999999995</v>
      </c>
      <c r="AA22" s="391"/>
      <c r="AB22" s="392"/>
    </row>
    <row r="23" spans="1:28" s="246" customFormat="1">
      <c r="A23" s="241" t="s">
        <v>494</v>
      </c>
      <c r="B23" s="389">
        <v>0</v>
      </c>
      <c r="C23" s="389">
        <v>0</v>
      </c>
      <c r="D23" s="392">
        <v>0</v>
      </c>
      <c r="E23" s="392">
        <v>-46.624000000000002</v>
      </c>
      <c r="F23" s="392">
        <f t="shared" si="5"/>
        <v>242.71199999999999</v>
      </c>
      <c r="G23" s="390"/>
      <c r="H23" s="390"/>
      <c r="I23" s="390"/>
      <c r="J23" s="391"/>
      <c r="K23" s="391"/>
      <c r="L23" s="391"/>
      <c r="M23" s="390"/>
      <c r="N23" s="391"/>
      <c r="O23" s="391"/>
      <c r="P23" s="392"/>
      <c r="Q23" s="390"/>
      <c r="R23" s="391"/>
      <c r="S23" s="391"/>
      <c r="T23" s="392"/>
      <c r="U23" s="390"/>
      <c r="V23" s="380">
        <v>-193.352</v>
      </c>
      <c r="W23" s="391"/>
      <c r="X23" s="392"/>
      <c r="Y23" s="390">
        <v>-145.923</v>
      </c>
      <c r="Z23" s="391">
        <v>95.983999999999995</v>
      </c>
      <c r="AA23" s="391"/>
      <c r="AB23" s="392"/>
    </row>
    <row r="24" spans="1:28" s="246" customFormat="1">
      <c r="A24" s="241" t="s">
        <v>737</v>
      </c>
      <c r="B24" s="389">
        <v>-1491.3230000000001</v>
      </c>
      <c r="C24" s="389">
        <v>0</v>
      </c>
      <c r="D24" s="392">
        <f>-194.984-81.867-587.792</f>
        <v>-864.64300000000003</v>
      </c>
      <c r="E24" s="392">
        <v>-133.57900000000001</v>
      </c>
      <c r="F24" s="392">
        <f t="shared" si="5"/>
        <v>-126.739</v>
      </c>
      <c r="G24" s="390"/>
      <c r="H24" s="390"/>
      <c r="I24" s="390"/>
      <c r="J24" s="391"/>
      <c r="K24" s="391"/>
      <c r="L24" s="391"/>
      <c r="M24" s="390">
        <v>-55.649000000000001</v>
      </c>
      <c r="N24" s="391">
        <v>777.92499999999995</v>
      </c>
      <c r="O24" s="391"/>
      <c r="P24" s="392"/>
      <c r="Q24" s="390">
        <v>1164.94</v>
      </c>
      <c r="R24" s="391">
        <v>713.08799999999997</v>
      </c>
      <c r="S24" s="391">
        <f>-48.746-19.682-77.522</f>
        <v>-145.94999999999999</v>
      </c>
      <c r="T24" s="392">
        <f>-48.746-32.069-318.152</f>
        <v>-398.96699999999998</v>
      </c>
      <c r="U24" s="390"/>
      <c r="V24" s="391">
        <v>-39.356999999999999</v>
      </c>
      <c r="W24" s="391"/>
      <c r="X24" s="392"/>
      <c r="Y24" s="390">
        <v>-32.457999999999998</v>
      </c>
      <c r="Z24" s="391">
        <v>-32.517000000000003</v>
      </c>
      <c r="AA24" s="391"/>
      <c r="AB24" s="392"/>
    </row>
    <row r="25" spans="1:28" s="246" customFormat="1">
      <c r="A25" s="241" t="s">
        <v>738</v>
      </c>
      <c r="B25" s="389">
        <v>0</v>
      </c>
      <c r="C25" s="389">
        <v>0</v>
      </c>
      <c r="D25" s="392">
        <v>0</v>
      </c>
      <c r="E25" s="392">
        <v>0</v>
      </c>
      <c r="F25" s="392">
        <f t="shared" si="5"/>
        <v>0</v>
      </c>
      <c r="G25" s="390"/>
      <c r="H25" s="390"/>
      <c r="I25" s="390"/>
      <c r="J25" s="391"/>
      <c r="K25" s="391"/>
      <c r="L25" s="391"/>
      <c r="M25" s="390"/>
      <c r="N25" s="391"/>
      <c r="O25" s="391"/>
      <c r="P25" s="392"/>
      <c r="Q25" s="390"/>
      <c r="R25" s="391"/>
      <c r="S25" s="391"/>
      <c r="T25" s="392"/>
      <c r="U25" s="390"/>
      <c r="V25" s="391">
        <v>0</v>
      </c>
      <c r="W25" s="391"/>
      <c r="X25" s="392"/>
      <c r="Y25" s="390">
        <v>-6.3040000000000003</v>
      </c>
      <c r="Z25" s="391">
        <v>0</v>
      </c>
      <c r="AA25" s="391"/>
      <c r="AB25" s="392"/>
    </row>
    <row r="26" spans="1:28" s="246" customFormat="1">
      <c r="A26" s="241" t="s">
        <v>739</v>
      </c>
      <c r="B26" s="389">
        <v>7720.4620000000004</v>
      </c>
      <c r="C26" s="389">
        <v>4659.76</v>
      </c>
      <c r="D26" s="392">
        <v>4714.0420000000004</v>
      </c>
      <c r="E26" s="392">
        <v>11266.275</v>
      </c>
      <c r="F26" s="392">
        <f t="shared" si="5"/>
        <v>9656.7659999999996</v>
      </c>
      <c r="G26" s="390"/>
      <c r="H26" s="390"/>
      <c r="I26" s="390"/>
      <c r="J26" s="391"/>
      <c r="K26" s="391"/>
      <c r="L26" s="391"/>
      <c r="M26" s="390">
        <v>294.90699999999998</v>
      </c>
      <c r="N26" s="391">
        <v>-48.746000000000002</v>
      </c>
      <c r="O26" s="391"/>
      <c r="P26" s="392"/>
      <c r="Q26" s="390">
        <v>-48.746000000000002</v>
      </c>
      <c r="R26" s="391">
        <v>-48.746000000000002</v>
      </c>
      <c r="S26" s="391">
        <v>959.68399999999997</v>
      </c>
      <c r="T26" s="392">
        <v>1876.33</v>
      </c>
      <c r="U26" s="390"/>
      <c r="V26" s="391">
        <v>2897.1469999999999</v>
      </c>
      <c r="W26" s="391"/>
      <c r="X26" s="392"/>
      <c r="Y26" s="390">
        <v>1144.2070000000001</v>
      </c>
      <c r="Z26" s="391">
        <v>1287.6379999999999</v>
      </c>
      <c r="AA26" s="391"/>
      <c r="AB26" s="392"/>
    </row>
    <row r="27" spans="1:28" s="249" customFormat="1">
      <c r="A27" s="249" t="s">
        <v>740</v>
      </c>
      <c r="B27" s="393">
        <f>SUM(B18:B26)</f>
        <v>9075.393</v>
      </c>
      <c r="C27" s="393">
        <f>SUM(C18:C26)</f>
        <v>5711.0849999999991</v>
      </c>
      <c r="D27" s="395">
        <f>SUM(D18:D26)</f>
        <v>5734.4900000000025</v>
      </c>
      <c r="E27" s="395">
        <f>SUM(E18:E26)</f>
        <v>12393.911999999998</v>
      </c>
      <c r="F27" s="395">
        <f>SUM(F18:F26)</f>
        <v>13566.355</v>
      </c>
      <c r="G27" s="387"/>
      <c r="H27" s="387"/>
      <c r="I27" s="394">
        <f t="shared" ref="I27:T27" si="6">SUM(I18:I26)</f>
        <v>0</v>
      </c>
      <c r="J27" s="393">
        <f t="shared" si="6"/>
        <v>0</v>
      </c>
      <c r="K27" s="393">
        <f t="shared" si="6"/>
        <v>0</v>
      </c>
      <c r="L27" s="393">
        <f t="shared" si="6"/>
        <v>0</v>
      </c>
      <c r="M27" s="394">
        <f t="shared" si="6"/>
        <v>1054.5439999999996</v>
      </c>
      <c r="N27" s="393">
        <f t="shared" si="6"/>
        <v>1722.4569999999999</v>
      </c>
      <c r="O27" s="393">
        <f t="shared" si="6"/>
        <v>0</v>
      </c>
      <c r="P27" s="395">
        <f t="shared" si="6"/>
        <v>0</v>
      </c>
      <c r="Q27" s="394">
        <f t="shared" si="6"/>
        <v>1392.9519999999998</v>
      </c>
      <c r="R27" s="393">
        <f t="shared" si="6"/>
        <v>1343.5309999999999</v>
      </c>
      <c r="S27" s="393">
        <f t="shared" si="6"/>
        <v>236.41000000000008</v>
      </c>
      <c r="T27" s="395">
        <f t="shared" si="6"/>
        <v>2761.632000000001</v>
      </c>
      <c r="U27" s="394"/>
      <c r="V27" s="393">
        <f>SUM(V18:V26)</f>
        <v>2345.2649999999994</v>
      </c>
      <c r="W27" s="393"/>
      <c r="X27" s="395"/>
      <c r="Y27" s="394">
        <f>SUM(Y18:Y26)</f>
        <v>5037.1840000000002</v>
      </c>
      <c r="Z27" s="393">
        <f>SUM(Z18:Z26)</f>
        <v>3517.7080000000001</v>
      </c>
      <c r="AA27" s="393"/>
      <c r="AB27" s="395"/>
    </row>
    <row r="28" spans="1:28">
      <c r="A28" s="228" t="s">
        <v>741</v>
      </c>
      <c r="B28" s="389">
        <v>0</v>
      </c>
      <c r="C28" s="389">
        <v>0</v>
      </c>
      <c r="D28" s="392">
        <v>0</v>
      </c>
      <c r="E28" s="392">
        <v>0</v>
      </c>
      <c r="F28" s="392">
        <v>0</v>
      </c>
      <c r="G28" s="390"/>
      <c r="H28" s="390"/>
      <c r="I28" s="390"/>
      <c r="J28" s="391"/>
      <c r="K28" s="391"/>
      <c r="L28" s="391"/>
      <c r="M28" s="390">
        <v>0</v>
      </c>
      <c r="N28" s="391">
        <v>0</v>
      </c>
      <c r="O28" s="391"/>
      <c r="P28" s="392"/>
      <c r="Q28" s="390">
        <v>0</v>
      </c>
      <c r="R28" s="391">
        <v>0</v>
      </c>
      <c r="S28" s="391"/>
      <c r="T28" s="392"/>
      <c r="U28" s="390"/>
      <c r="V28" s="391"/>
      <c r="W28" s="391"/>
      <c r="X28" s="392"/>
      <c r="Y28" s="390"/>
      <c r="Z28" s="391"/>
      <c r="AA28" s="391"/>
      <c r="AB28" s="392"/>
    </row>
    <row r="29" spans="1:28" s="249" customFormat="1" ht="15.75" thickBot="1">
      <c r="A29" s="250" t="s">
        <v>742</v>
      </c>
      <c r="B29" s="396">
        <f>SUM(B27:B28)</f>
        <v>9075.393</v>
      </c>
      <c r="C29" s="396">
        <f>SUM(C27:C28)</f>
        <v>5711.0849999999991</v>
      </c>
      <c r="D29" s="399">
        <f>SUM(D27:D28)</f>
        <v>5734.4900000000025</v>
      </c>
      <c r="E29" s="399">
        <f>SUM(E27:E28)</f>
        <v>12393.911999999998</v>
      </c>
      <c r="F29" s="399">
        <f>SUM(F27:F28)</f>
        <v>13566.355</v>
      </c>
      <c r="G29" s="397"/>
      <c r="H29" s="397"/>
      <c r="I29" s="398">
        <f t="shared" ref="I29:R29" si="7">SUM(I27:I28)</f>
        <v>0</v>
      </c>
      <c r="J29" s="396"/>
      <c r="K29" s="396"/>
      <c r="L29" s="396">
        <f t="shared" si="7"/>
        <v>0</v>
      </c>
      <c r="M29" s="398">
        <f t="shared" si="7"/>
        <v>1054.5439999999996</v>
      </c>
      <c r="N29" s="396">
        <f t="shared" si="7"/>
        <v>1722.4569999999999</v>
      </c>
      <c r="O29" s="396"/>
      <c r="P29" s="399">
        <f t="shared" si="7"/>
        <v>0</v>
      </c>
      <c r="Q29" s="398">
        <f>SUM(Q27:Q28)</f>
        <v>1392.9519999999998</v>
      </c>
      <c r="R29" s="396">
        <f t="shared" si="7"/>
        <v>1343.5309999999999</v>
      </c>
      <c r="S29" s="396">
        <f>SUM(S27:S28)</f>
        <v>236.41000000000008</v>
      </c>
      <c r="T29" s="399">
        <f>SUM(T27:T28)</f>
        <v>2761.632000000001</v>
      </c>
      <c r="U29" s="398"/>
      <c r="V29" s="396">
        <f>SUM(V27:V28)</f>
        <v>2345.2649999999994</v>
      </c>
      <c r="W29" s="396"/>
      <c r="X29" s="399"/>
      <c r="Y29" s="398">
        <f>SUM(Y27:Y28)</f>
        <v>5037.1840000000002</v>
      </c>
      <c r="Z29" s="396">
        <f>SUM(Z27:Z28)</f>
        <v>3517.7080000000001</v>
      </c>
      <c r="AA29" s="396"/>
      <c r="AB29" s="399"/>
    </row>
    <row r="30" spans="1:28" ht="15.75" thickTop="1">
      <c r="B30" s="243"/>
      <c r="C30" s="243"/>
      <c r="D30" s="347"/>
      <c r="E30" s="347"/>
      <c r="F30" s="347"/>
      <c r="G30" s="242"/>
      <c r="H30" s="242"/>
      <c r="I30" s="242"/>
      <c r="J30" s="244"/>
      <c r="K30" s="244"/>
      <c r="L30" s="244"/>
      <c r="M30" s="242"/>
      <c r="N30" s="244"/>
      <c r="O30" s="244"/>
      <c r="P30" s="347"/>
      <c r="Q30" s="242"/>
      <c r="R30" s="244"/>
      <c r="S30" s="244"/>
      <c r="T30" s="347"/>
      <c r="U30" s="242"/>
      <c r="V30" s="244"/>
      <c r="W30" s="244"/>
      <c r="X30" s="347"/>
      <c r="Y30" s="242"/>
      <c r="Z30" s="244"/>
      <c r="AA30" s="244"/>
      <c r="AB30" s="347"/>
    </row>
    <row r="31" spans="1:28" s="235" customFormat="1">
      <c r="A31" s="255" t="s">
        <v>542</v>
      </c>
      <c r="B31" s="376">
        <f>B18-B14-B15</f>
        <v>2939.6949999999997</v>
      </c>
      <c r="C31" s="376">
        <f>C18-C14-C15</f>
        <v>5587.302999999999</v>
      </c>
      <c r="D31" s="379">
        <f>D18-D14-D15</f>
        <v>8032.6900000000023</v>
      </c>
      <c r="E31" s="379">
        <f>E18-E14-E15</f>
        <v>9988.4309999999987</v>
      </c>
      <c r="F31" s="379">
        <f>F18-F14-F15</f>
        <v>10287.946</v>
      </c>
      <c r="G31" s="377"/>
      <c r="H31" s="377"/>
      <c r="I31" s="378">
        <f t="shared" ref="I31:T31" si="8">I18-I14-I15</f>
        <v>0</v>
      </c>
      <c r="J31" s="376">
        <f t="shared" si="8"/>
        <v>0</v>
      </c>
      <c r="K31" s="376">
        <f t="shared" si="8"/>
        <v>0</v>
      </c>
      <c r="L31" s="376">
        <f t="shared" si="8"/>
        <v>0</v>
      </c>
      <c r="M31" s="378">
        <f t="shared" si="8"/>
        <v>1269.3049999999998</v>
      </c>
      <c r="N31" s="376">
        <f t="shared" si="8"/>
        <v>1245.104</v>
      </c>
      <c r="O31" s="376">
        <f t="shared" si="8"/>
        <v>0</v>
      </c>
      <c r="P31" s="379">
        <f t="shared" si="8"/>
        <v>0</v>
      </c>
      <c r="Q31" s="378">
        <f t="shared" si="8"/>
        <v>1636.1289999999999</v>
      </c>
      <c r="R31" s="376">
        <f t="shared" si="8"/>
        <v>1875.7620000000004</v>
      </c>
      <c r="S31" s="376">
        <f t="shared" si="8"/>
        <v>2159.049</v>
      </c>
      <c r="T31" s="379">
        <f t="shared" si="8"/>
        <v>2361.7850000000008</v>
      </c>
      <c r="U31" s="378"/>
      <c r="V31" s="376">
        <f>V18-V14-V15</f>
        <v>2393.8709999999996</v>
      </c>
      <c r="W31" s="376"/>
      <c r="X31" s="379"/>
      <c r="Y31" s="378">
        <f>Y18-Y14-Y15</f>
        <v>2698.4760000000001</v>
      </c>
      <c r="Z31" s="376">
        <f>Z18-Z14-Z15</f>
        <v>2693.3860000000004</v>
      </c>
      <c r="AA31" s="376"/>
      <c r="AB31" s="379"/>
    </row>
    <row r="32" spans="1:28" s="251" customFormat="1">
      <c r="A32" s="251" t="s">
        <v>743</v>
      </c>
      <c r="B32" s="253">
        <f>B31/B9</f>
        <v>0.75297597245153935</v>
      </c>
      <c r="C32" s="253">
        <f>C31/C9</f>
        <v>0.71430801408339051</v>
      </c>
      <c r="D32" s="348">
        <f>D31/D9</f>
        <v>0.74897588769608825</v>
      </c>
      <c r="E32" s="348">
        <f>E31/E9</f>
        <v>0.75368185012006461</v>
      </c>
      <c r="F32" s="348">
        <f>F31/F9</f>
        <v>0.75395268438391494</v>
      </c>
      <c r="G32" s="254"/>
      <c r="H32" s="254"/>
      <c r="I32" s="252" t="e">
        <f t="shared" ref="I32:T32" si="9">I31/I9</f>
        <v>#DIV/0!</v>
      </c>
      <c r="J32" s="253" t="e">
        <f t="shared" si="9"/>
        <v>#DIV/0!</v>
      </c>
      <c r="K32" s="253" t="e">
        <f t="shared" si="9"/>
        <v>#DIV/0!</v>
      </c>
      <c r="L32" s="253" t="e">
        <f t="shared" si="9"/>
        <v>#DIV/0!</v>
      </c>
      <c r="M32" s="252">
        <f t="shared" si="9"/>
        <v>0.74755454099460339</v>
      </c>
      <c r="N32" s="253">
        <f t="shared" si="9"/>
        <v>0.62817447564425388</v>
      </c>
      <c r="O32" s="253" t="e">
        <f t="shared" si="9"/>
        <v>#DIV/0!</v>
      </c>
      <c r="P32" s="348" t="e">
        <f t="shared" si="9"/>
        <v>#DIV/0!</v>
      </c>
      <c r="Q32" s="252">
        <f t="shared" si="9"/>
        <v>0.73517300815726072</v>
      </c>
      <c r="R32" s="253">
        <f t="shared" si="9"/>
        <v>0.74755320615877086</v>
      </c>
      <c r="S32" s="253">
        <f t="shared" si="9"/>
        <v>0.75185094257820861</v>
      </c>
      <c r="T32" s="348">
        <f t="shared" si="9"/>
        <v>0.75733458092208927</v>
      </c>
      <c r="U32" s="252"/>
      <c r="V32" s="253">
        <f>V31/V9</f>
        <v>0.75100492320607903</v>
      </c>
      <c r="W32" s="253"/>
      <c r="X32" s="348"/>
      <c r="Y32" s="252">
        <f>Y31/Y9</f>
        <v>0.75715622108204295</v>
      </c>
      <c r="Z32" s="253">
        <f>Z31/Z9</f>
        <v>0.75233068979926587</v>
      </c>
      <c r="AA32" s="253"/>
      <c r="AB32" s="348"/>
    </row>
    <row r="33" spans="1:28" s="251" customFormat="1">
      <c r="B33" s="253"/>
      <c r="C33" s="253"/>
      <c r="D33" s="348"/>
      <c r="E33" s="348"/>
      <c r="F33" s="348"/>
      <c r="G33" s="254"/>
      <c r="H33" s="254"/>
      <c r="I33" s="252"/>
      <c r="J33" s="253"/>
      <c r="K33" s="253"/>
      <c r="L33" s="253"/>
      <c r="M33" s="252"/>
      <c r="N33" s="253"/>
      <c r="O33" s="253"/>
      <c r="P33" s="348"/>
      <c r="Q33" s="252"/>
      <c r="R33" s="253"/>
      <c r="S33" s="253"/>
      <c r="T33" s="348"/>
      <c r="U33" s="252"/>
      <c r="V33" s="253"/>
      <c r="W33" s="253"/>
      <c r="X33" s="348"/>
      <c r="Y33" s="252"/>
      <c r="Z33" s="253"/>
      <c r="AA33" s="253"/>
      <c r="AB33" s="348"/>
    </row>
    <row r="34" spans="1:28" s="251" customFormat="1">
      <c r="B34" s="253"/>
      <c r="C34" s="253"/>
      <c r="D34" s="348"/>
      <c r="E34" s="348"/>
      <c r="F34" s="348"/>
      <c r="G34" s="254"/>
      <c r="H34" s="254"/>
      <c r="I34" s="252"/>
      <c r="J34" s="253"/>
      <c r="K34" s="253"/>
      <c r="L34" s="253"/>
      <c r="M34" s="252"/>
      <c r="N34" s="253"/>
      <c r="O34" s="253"/>
      <c r="P34" s="348"/>
      <c r="Q34" s="252"/>
      <c r="R34" s="253"/>
      <c r="S34" s="253"/>
      <c r="T34" s="348"/>
      <c r="U34" s="252"/>
      <c r="V34" s="253"/>
      <c r="W34" s="253"/>
      <c r="X34" s="348"/>
      <c r="Y34" s="252"/>
      <c r="Z34" s="253"/>
      <c r="AA34" s="253"/>
      <c r="AB34" s="348"/>
    </row>
    <row r="35" spans="1:28" s="232" customFormat="1">
      <c r="A35" s="229" t="s">
        <v>744</v>
      </c>
      <c r="B35" s="234">
        <f>B3</f>
        <v>41634</v>
      </c>
      <c r="C35" s="234">
        <f>C3</f>
        <v>41994</v>
      </c>
      <c r="D35" s="350">
        <f>D3</f>
        <v>42354</v>
      </c>
      <c r="E35" s="350">
        <f>E3</f>
        <v>42714</v>
      </c>
      <c r="F35" s="350">
        <f>F3</f>
        <v>42887</v>
      </c>
      <c r="G35" s="231"/>
      <c r="H35" s="231"/>
      <c r="I35" s="233">
        <f t="shared" ref="I35:T35" si="10">I3</f>
        <v>41364</v>
      </c>
      <c r="J35" s="233">
        <f t="shared" si="10"/>
        <v>41454</v>
      </c>
      <c r="K35" s="233">
        <f t="shared" si="10"/>
        <v>41544</v>
      </c>
      <c r="L35" s="233">
        <f t="shared" si="10"/>
        <v>41634</v>
      </c>
      <c r="M35" s="233">
        <f t="shared" si="10"/>
        <v>41724</v>
      </c>
      <c r="N35" s="233">
        <f t="shared" si="10"/>
        <v>41814</v>
      </c>
      <c r="O35" s="233">
        <f t="shared" si="10"/>
        <v>41904</v>
      </c>
      <c r="P35" s="233">
        <f t="shared" si="10"/>
        <v>41994</v>
      </c>
      <c r="Q35" s="337">
        <f t="shared" si="10"/>
        <v>42084</v>
      </c>
      <c r="R35" s="337">
        <f t="shared" si="10"/>
        <v>42174</v>
      </c>
      <c r="S35" s="337">
        <f t="shared" si="10"/>
        <v>42264</v>
      </c>
      <c r="T35" s="373">
        <f t="shared" si="10"/>
        <v>42354</v>
      </c>
      <c r="U35" s="337"/>
      <c r="V35" s="337"/>
      <c r="W35" s="337"/>
      <c r="X35" s="373"/>
      <c r="Y35" s="337"/>
      <c r="Z35" s="337"/>
      <c r="AA35" s="337"/>
      <c r="AB35" s="373"/>
    </row>
    <row r="36" spans="1:28" s="259" customFormat="1">
      <c r="A36" s="259" t="s">
        <v>745</v>
      </c>
      <c r="B36" s="243">
        <f>B27</f>
        <v>9075.393</v>
      </c>
      <c r="C36" s="243">
        <f>C27</f>
        <v>5711.0849999999991</v>
      </c>
      <c r="D36" s="347"/>
      <c r="E36" s="347"/>
      <c r="F36" s="347"/>
      <c r="G36" s="242"/>
      <c r="H36" s="242"/>
      <c r="I36" s="242">
        <f>I27</f>
        <v>0</v>
      </c>
      <c r="J36" s="244"/>
      <c r="K36" s="244"/>
      <c r="L36" s="244"/>
      <c r="M36" s="242">
        <f>M27</f>
        <v>1054.5439999999996</v>
      </c>
      <c r="N36" s="244">
        <f>N27</f>
        <v>1722.4569999999999</v>
      </c>
      <c r="O36" s="244"/>
      <c r="P36" s="347"/>
      <c r="Q36" s="242">
        <f>Q27</f>
        <v>1392.9519999999998</v>
      </c>
      <c r="R36" s="244">
        <f>R27</f>
        <v>1343.5309999999999</v>
      </c>
      <c r="S36" s="244"/>
      <c r="T36" s="347"/>
      <c r="U36" s="242"/>
      <c r="V36" s="244"/>
      <c r="W36" s="244"/>
      <c r="X36" s="347"/>
      <c r="Y36" s="242"/>
      <c r="Z36" s="244"/>
      <c r="AA36" s="244"/>
      <c r="AB36" s="347"/>
    </row>
    <row r="37" spans="1:28" s="259" customFormat="1">
      <c r="A37" s="261" t="s">
        <v>746</v>
      </c>
      <c r="B37" s="243">
        <v>-7720.4620000000004</v>
      </c>
      <c r="C37" s="243">
        <v>-4659.76</v>
      </c>
      <c r="D37" s="347"/>
      <c r="E37" s="347"/>
      <c r="F37" s="347"/>
      <c r="G37" s="242"/>
      <c r="H37" s="242"/>
      <c r="I37" s="242"/>
      <c r="J37" s="244"/>
      <c r="K37" s="244"/>
      <c r="L37" s="244"/>
      <c r="M37" s="242">
        <v>-294.90699999999998</v>
      </c>
      <c r="N37" s="244">
        <v>-777.92500000000018</v>
      </c>
      <c r="O37" s="244"/>
      <c r="P37" s="347"/>
      <c r="Q37" s="242">
        <v>-1164.94</v>
      </c>
      <c r="R37" s="244">
        <v>-713.08799999999997</v>
      </c>
      <c r="S37" s="244"/>
      <c r="T37" s="347"/>
      <c r="U37" s="242"/>
      <c r="V37" s="244"/>
      <c r="W37" s="244"/>
      <c r="X37" s="347"/>
      <c r="Y37" s="242"/>
      <c r="Z37" s="244"/>
      <c r="AA37" s="244"/>
      <c r="AB37" s="347"/>
    </row>
    <row r="38" spans="1:28" s="259" customFormat="1">
      <c r="A38" s="259" t="s">
        <v>747</v>
      </c>
      <c r="B38" s="243">
        <v>-78.14</v>
      </c>
      <c r="C38" s="243">
        <v>-940.59699999999998</v>
      </c>
      <c r="D38" s="347"/>
      <c r="E38" s="347"/>
      <c r="F38" s="347"/>
      <c r="G38" s="242"/>
      <c r="H38" s="242"/>
      <c r="I38" s="242"/>
      <c r="J38" s="244"/>
      <c r="K38" s="244"/>
      <c r="L38" s="244"/>
      <c r="M38" s="242">
        <v>432.59699999999998</v>
      </c>
      <c r="N38" s="244">
        <v>-661.38900000000001</v>
      </c>
      <c r="O38" s="244"/>
      <c r="P38" s="347"/>
      <c r="Q38" s="242">
        <v>552.30899999999997</v>
      </c>
      <c r="R38" s="244">
        <v>376.25400000000002</v>
      </c>
      <c r="S38" s="244"/>
      <c r="T38" s="347"/>
      <c r="U38" s="242"/>
      <c r="V38" s="244"/>
      <c r="W38" s="244"/>
      <c r="X38" s="347"/>
      <c r="Y38" s="242"/>
      <c r="Z38" s="244"/>
      <c r="AA38" s="244"/>
      <c r="AB38" s="347"/>
    </row>
    <row r="39" spans="1:28" s="259" customFormat="1">
      <c r="A39" s="259" t="s">
        <v>732</v>
      </c>
      <c r="B39" s="243">
        <v>0</v>
      </c>
      <c r="C39" s="243">
        <v>194.98400000000001</v>
      </c>
      <c r="D39" s="347"/>
      <c r="E39" s="347"/>
      <c r="F39" s="347"/>
      <c r="G39" s="242"/>
      <c r="H39" s="242"/>
      <c r="I39" s="242"/>
      <c r="J39" s="244"/>
      <c r="K39" s="244"/>
      <c r="L39" s="244"/>
      <c r="M39" s="242">
        <v>48.746000000000002</v>
      </c>
      <c r="N39" s="244">
        <v>272.45100000000002</v>
      </c>
      <c r="O39" s="244"/>
      <c r="P39" s="347"/>
      <c r="Q39" s="242">
        <v>134.98400000000001</v>
      </c>
      <c r="R39" s="244">
        <v>143.70500000000001</v>
      </c>
      <c r="S39" s="244"/>
      <c r="T39" s="347"/>
      <c r="U39" s="242"/>
      <c r="V39" s="244"/>
      <c r="W39" s="244"/>
      <c r="X39" s="347"/>
      <c r="Y39" s="242"/>
      <c r="Z39" s="244"/>
      <c r="AA39" s="244"/>
      <c r="AB39" s="347"/>
    </row>
    <row r="40" spans="1:28" s="259" customFormat="1">
      <c r="A40" s="259" t="s">
        <v>504</v>
      </c>
      <c r="B40" s="243">
        <v>0</v>
      </c>
      <c r="C40" s="243">
        <v>530.28</v>
      </c>
      <c r="D40" s="347"/>
      <c r="E40" s="347"/>
      <c r="F40" s="347"/>
      <c r="G40" s="242"/>
      <c r="H40" s="242"/>
      <c r="I40" s="242"/>
      <c r="J40" s="244"/>
      <c r="K40" s="244"/>
      <c r="L40" s="244"/>
      <c r="M40" s="242">
        <v>0</v>
      </c>
      <c r="N40" s="244">
        <v>368.839</v>
      </c>
      <c r="O40" s="244"/>
      <c r="P40" s="347"/>
      <c r="Q40" s="242">
        <v>164.62100000000001</v>
      </c>
      <c r="R40" s="244">
        <v>27.496999999999986</v>
      </c>
      <c r="S40" s="244"/>
      <c r="T40" s="347"/>
      <c r="U40" s="242"/>
      <c r="V40" s="244"/>
      <c r="W40" s="244"/>
      <c r="X40" s="347"/>
      <c r="Y40" s="242"/>
      <c r="Z40" s="244"/>
      <c r="AA40" s="244"/>
      <c r="AB40" s="347"/>
    </row>
    <row r="41" spans="1:28" s="259" customFormat="1">
      <c r="A41" s="259" t="s">
        <v>748</v>
      </c>
      <c r="B41" s="243">
        <v>-680.57299999999998</v>
      </c>
      <c r="C41" s="243">
        <v>-430.49400000000003</v>
      </c>
      <c r="D41" s="347"/>
      <c r="E41" s="347"/>
      <c r="F41" s="347"/>
      <c r="G41" s="242"/>
      <c r="H41" s="242"/>
      <c r="I41" s="242"/>
      <c r="J41" s="244"/>
      <c r="K41" s="244"/>
      <c r="L41" s="244"/>
      <c r="M41" s="242">
        <v>-3.6970000000000001</v>
      </c>
      <c r="N41" s="244">
        <v>-65.028999999999996</v>
      </c>
      <c r="O41" s="244"/>
      <c r="P41" s="347"/>
      <c r="Q41" s="242">
        <v>-199.346</v>
      </c>
      <c r="R41" s="244">
        <v>-128.291</v>
      </c>
      <c r="S41" s="244"/>
      <c r="T41" s="347"/>
      <c r="U41" s="242"/>
      <c r="V41" s="244"/>
      <c r="W41" s="244"/>
      <c r="X41" s="347"/>
      <c r="Y41" s="242"/>
      <c r="Z41" s="244"/>
      <c r="AA41" s="244"/>
      <c r="AB41" s="347"/>
    </row>
    <row r="42" spans="1:28" s="259" customFormat="1">
      <c r="A42" s="259" t="s">
        <v>734</v>
      </c>
      <c r="B42" s="243">
        <v>757.58799999999997</v>
      </c>
      <c r="C42" s="243">
        <v>2019.1110000000001</v>
      </c>
      <c r="D42" s="347"/>
      <c r="E42" s="347"/>
      <c r="F42" s="347"/>
      <c r="G42" s="242"/>
      <c r="H42" s="242"/>
      <c r="I42" s="242"/>
      <c r="J42" s="244"/>
      <c r="K42" s="244"/>
      <c r="L42" s="244"/>
      <c r="M42" s="242">
        <v>510.78800000000001</v>
      </c>
      <c r="N42" s="244">
        <v>563.19699999999989</v>
      </c>
      <c r="O42" s="244"/>
      <c r="P42" s="347"/>
      <c r="Q42" s="242">
        <v>595.35799999999995</v>
      </c>
      <c r="R42" s="244">
        <v>671.33100000000013</v>
      </c>
      <c r="S42" s="244"/>
      <c r="T42" s="347"/>
      <c r="U42" s="242"/>
      <c r="V42" s="244"/>
      <c r="W42" s="244"/>
      <c r="X42" s="347"/>
      <c r="Y42" s="242"/>
      <c r="Z42" s="244"/>
      <c r="AA42" s="244"/>
      <c r="AB42" s="347"/>
    </row>
    <row r="43" spans="1:28" s="259" customFormat="1">
      <c r="B43" s="243"/>
      <c r="C43" s="243"/>
      <c r="D43" s="347"/>
      <c r="E43" s="347"/>
      <c r="F43" s="347"/>
      <c r="G43" s="242"/>
      <c r="H43" s="242"/>
      <c r="I43" s="242"/>
      <c r="J43" s="244"/>
      <c r="K43" s="244"/>
      <c r="L43" s="244"/>
      <c r="M43" s="242"/>
      <c r="N43" s="244">
        <v>0</v>
      </c>
      <c r="O43" s="244"/>
      <c r="P43" s="347"/>
      <c r="Q43" s="242"/>
      <c r="R43" s="244">
        <v>0</v>
      </c>
      <c r="S43" s="244"/>
      <c r="T43" s="347"/>
      <c r="U43" s="242"/>
      <c r="V43" s="244"/>
      <c r="W43" s="244"/>
      <c r="X43" s="347"/>
      <c r="Y43" s="242"/>
      <c r="Z43" s="244"/>
      <c r="AA43" s="244"/>
      <c r="AB43" s="347"/>
    </row>
    <row r="44" spans="1:28" s="259" customFormat="1">
      <c r="A44" s="339" t="s">
        <v>749</v>
      </c>
      <c r="B44" s="243"/>
      <c r="C44" s="243"/>
      <c r="D44" s="347"/>
      <c r="E44" s="347"/>
      <c r="F44" s="347"/>
      <c r="G44" s="242"/>
      <c r="H44" s="242"/>
      <c r="I44" s="242"/>
      <c r="J44" s="244"/>
      <c r="K44" s="244"/>
      <c r="L44" s="244"/>
      <c r="M44" s="242"/>
      <c r="N44" s="244">
        <v>0</v>
      </c>
      <c r="O44" s="244"/>
      <c r="P44" s="347"/>
      <c r="Q44" s="242"/>
      <c r="R44" s="244">
        <v>0</v>
      </c>
      <c r="S44" s="244"/>
      <c r="T44" s="347"/>
      <c r="U44" s="242"/>
      <c r="V44" s="244"/>
      <c r="W44" s="244"/>
      <c r="X44" s="347"/>
      <c r="Y44" s="242"/>
      <c r="Z44" s="244"/>
      <c r="AA44" s="244"/>
      <c r="AB44" s="347"/>
    </row>
    <row r="45" spans="1:28" s="259" customFormat="1">
      <c r="A45" s="262" t="s">
        <v>750</v>
      </c>
      <c r="B45" s="243">
        <v>-573.67700000000002</v>
      </c>
      <c r="C45" s="243">
        <v>-31.274999999999999</v>
      </c>
      <c r="D45" s="347"/>
      <c r="E45" s="347"/>
      <c r="F45" s="347"/>
      <c r="G45" s="242"/>
      <c r="H45" s="242"/>
      <c r="I45" s="242"/>
      <c r="J45" s="244"/>
      <c r="K45" s="244"/>
      <c r="L45" s="244"/>
      <c r="M45" s="242">
        <v>12.242000000000001</v>
      </c>
      <c r="N45" s="244">
        <v>-549.06099999999992</v>
      </c>
      <c r="O45" s="244"/>
      <c r="P45" s="347"/>
      <c r="Q45" s="242">
        <f>-150.626+7.089</f>
        <v>-143.53700000000001</v>
      </c>
      <c r="R45" s="244">
        <v>45.859000000000009</v>
      </c>
      <c r="S45" s="244"/>
      <c r="T45" s="347"/>
      <c r="U45" s="242"/>
      <c r="V45" s="244"/>
      <c r="W45" s="244"/>
      <c r="X45" s="347"/>
      <c r="Y45" s="242"/>
      <c r="Z45" s="244"/>
      <c r="AA45" s="244"/>
      <c r="AB45" s="347"/>
    </row>
    <row r="46" spans="1:28" s="259" customFormat="1">
      <c r="A46" s="262" t="s">
        <v>751</v>
      </c>
      <c r="B46" s="243">
        <v>-114.331</v>
      </c>
      <c r="C46" s="243">
        <v>125.60899999999999</v>
      </c>
      <c r="D46" s="347"/>
      <c r="E46" s="347"/>
      <c r="F46" s="347"/>
      <c r="G46" s="242"/>
      <c r="H46" s="242"/>
      <c r="I46" s="242"/>
      <c r="J46" s="244"/>
      <c r="K46" s="244"/>
      <c r="L46" s="244"/>
      <c r="M46" s="242">
        <v>37.908999999999999</v>
      </c>
      <c r="N46" s="244">
        <v>373.07</v>
      </c>
      <c r="O46" s="244"/>
      <c r="P46" s="347"/>
      <c r="Q46" s="242">
        <v>92.22</v>
      </c>
      <c r="R46" s="244">
        <v>6.2519999999999953</v>
      </c>
      <c r="S46" s="244"/>
      <c r="T46" s="347"/>
      <c r="U46" s="242"/>
      <c r="V46" s="244"/>
      <c r="W46" s="244"/>
      <c r="X46" s="347"/>
      <c r="Y46" s="242"/>
      <c r="Z46" s="244"/>
      <c r="AA46" s="244"/>
      <c r="AB46" s="347"/>
    </row>
    <row r="47" spans="1:28" s="259" customFormat="1">
      <c r="A47" s="262" t="s">
        <v>752</v>
      </c>
      <c r="B47" s="243">
        <v>-388.34</v>
      </c>
      <c r="C47" s="243">
        <v>653.48900000000003</v>
      </c>
      <c r="D47" s="347"/>
      <c r="E47" s="347"/>
      <c r="F47" s="347"/>
      <c r="G47" s="242"/>
      <c r="H47" s="242"/>
      <c r="I47" s="242"/>
      <c r="J47" s="244"/>
      <c r="K47" s="244"/>
      <c r="L47" s="244"/>
      <c r="M47" s="242">
        <v>-249.05600000000001</v>
      </c>
      <c r="N47" s="244">
        <v>2287.2350000000001</v>
      </c>
      <c r="O47" s="244"/>
      <c r="P47" s="347"/>
      <c r="Q47" s="242">
        <v>541.57000000000005</v>
      </c>
      <c r="R47" s="244">
        <v>-1536.8760000000002</v>
      </c>
      <c r="S47" s="244"/>
      <c r="T47" s="347"/>
      <c r="U47" s="242"/>
      <c r="V47" s="244"/>
      <c r="W47" s="244"/>
      <c r="X47" s="347"/>
      <c r="Y47" s="242"/>
      <c r="Z47" s="244"/>
      <c r="AA47" s="244"/>
      <c r="AB47" s="347"/>
    </row>
    <row r="48" spans="1:28" s="259" customFormat="1">
      <c r="A48" s="262" t="s">
        <v>753</v>
      </c>
      <c r="B48" s="243">
        <v>1.3680000000000001</v>
      </c>
      <c r="C48" s="243">
        <v>-153.97300000000001</v>
      </c>
      <c r="D48" s="347"/>
      <c r="E48" s="347"/>
      <c r="F48" s="347"/>
      <c r="G48" s="242"/>
      <c r="H48" s="242"/>
      <c r="I48" s="242"/>
      <c r="J48" s="244"/>
      <c r="K48" s="244"/>
      <c r="L48" s="244"/>
      <c r="M48" s="242">
        <v>-142.91999999999999</v>
      </c>
      <c r="N48" s="244">
        <v>61.340999999999994</v>
      </c>
      <c r="O48" s="244"/>
      <c r="P48" s="347"/>
      <c r="Q48" s="242">
        <v>-310.20499999999998</v>
      </c>
      <c r="R48" s="244">
        <v>24.427999999999997</v>
      </c>
      <c r="S48" s="244"/>
      <c r="T48" s="347"/>
      <c r="U48" s="242"/>
      <c r="V48" s="244"/>
      <c r="W48" s="244"/>
      <c r="X48" s="347"/>
      <c r="Y48" s="242"/>
      <c r="Z48" s="244"/>
      <c r="AA48" s="244"/>
      <c r="AB48" s="347"/>
    </row>
    <row r="49" spans="1:28" s="259" customFormat="1">
      <c r="A49" s="262" t="s">
        <v>754</v>
      </c>
      <c r="B49" s="243">
        <v>698.36900000000003</v>
      </c>
      <c r="C49" s="243">
        <v>-3432.7919999999999</v>
      </c>
      <c r="D49" s="347"/>
      <c r="E49" s="347"/>
      <c r="F49" s="347"/>
      <c r="G49" s="242"/>
      <c r="H49" s="242"/>
      <c r="I49" s="242"/>
      <c r="J49" s="244"/>
      <c r="K49" s="244"/>
      <c r="L49" s="244"/>
      <c r="M49" s="242">
        <v>-1672.806</v>
      </c>
      <c r="N49" s="244">
        <v>1368.126</v>
      </c>
      <c r="O49" s="244"/>
      <c r="P49" s="347"/>
      <c r="Q49" s="242">
        <v>483.245</v>
      </c>
      <c r="R49" s="244">
        <v>12.427999999999997</v>
      </c>
      <c r="S49" s="244"/>
      <c r="T49" s="347"/>
      <c r="U49" s="242"/>
      <c r="V49" s="244"/>
      <c r="W49" s="244"/>
      <c r="X49" s="347"/>
      <c r="Y49" s="242"/>
      <c r="Z49" s="244"/>
      <c r="AA49" s="244"/>
      <c r="AB49" s="347"/>
    </row>
    <row r="50" spans="1:28" s="259" customFormat="1">
      <c r="A50" s="262" t="s">
        <v>755</v>
      </c>
      <c r="B50" s="243">
        <v>83.608000000000004</v>
      </c>
      <c r="C50" s="243">
        <v>40.667000000000002</v>
      </c>
      <c r="D50" s="347"/>
      <c r="E50" s="347"/>
      <c r="F50" s="347"/>
      <c r="G50" s="242"/>
      <c r="H50" s="242"/>
      <c r="I50" s="242"/>
      <c r="J50" s="244"/>
      <c r="K50" s="244"/>
      <c r="L50" s="244"/>
      <c r="M50" s="242">
        <v>-75.727000000000004</v>
      </c>
      <c r="N50" s="244">
        <v>9.8290000000000077</v>
      </c>
      <c r="O50" s="244"/>
      <c r="P50" s="347"/>
      <c r="Q50" s="242">
        <v>23.605</v>
      </c>
      <c r="R50" s="244">
        <v>63.73899999999999</v>
      </c>
      <c r="S50" s="244"/>
      <c r="T50" s="347"/>
      <c r="U50" s="242"/>
      <c r="V50" s="244"/>
      <c r="W50" s="244"/>
      <c r="X50" s="347"/>
      <c r="Y50" s="242"/>
      <c r="Z50" s="244"/>
      <c r="AA50" s="244"/>
      <c r="AB50" s="347"/>
    </row>
    <row r="51" spans="1:28" s="259" customFormat="1">
      <c r="A51" s="259" t="s">
        <v>756</v>
      </c>
      <c r="B51" s="243">
        <v>223.154</v>
      </c>
      <c r="C51" s="243">
        <v>85.230999999999995</v>
      </c>
      <c r="D51" s="347"/>
      <c r="E51" s="347"/>
      <c r="F51" s="347"/>
      <c r="G51" s="242"/>
      <c r="H51" s="242"/>
      <c r="I51" s="242"/>
      <c r="J51" s="244"/>
      <c r="K51" s="244"/>
      <c r="L51" s="244"/>
      <c r="M51" s="242">
        <v>1.4139999999999999</v>
      </c>
      <c r="N51" s="244">
        <v>53.411000000000001</v>
      </c>
      <c r="O51" s="244"/>
      <c r="P51" s="347"/>
      <c r="Q51" s="242">
        <v>40.786999999999999</v>
      </c>
      <c r="R51" s="244">
        <v>110.72199999999998</v>
      </c>
      <c r="S51" s="244"/>
      <c r="T51" s="347"/>
      <c r="U51" s="242"/>
      <c r="V51" s="244"/>
      <c r="W51" s="244"/>
      <c r="X51" s="347"/>
      <c r="Y51" s="242"/>
      <c r="Z51" s="244"/>
      <c r="AA51" s="244"/>
      <c r="AB51" s="347"/>
    </row>
    <row r="52" spans="1:28" s="259" customFormat="1">
      <c r="A52" s="259" t="s">
        <v>757</v>
      </c>
      <c r="B52" s="243">
        <v>-32.027999999999999</v>
      </c>
      <c r="C52" s="243">
        <v>-60.767000000000003</v>
      </c>
      <c r="D52" s="347"/>
      <c r="E52" s="347"/>
      <c r="F52" s="347"/>
      <c r="G52" s="242"/>
      <c r="H52" s="242"/>
      <c r="I52" s="242"/>
      <c r="J52" s="244"/>
      <c r="K52" s="244"/>
      <c r="L52" s="244"/>
      <c r="M52" s="242">
        <v>68.665999999999997</v>
      </c>
      <c r="N52" s="244">
        <v>-68.665999999999997</v>
      </c>
      <c r="O52" s="244"/>
      <c r="P52" s="347"/>
      <c r="Q52" s="242">
        <v>0</v>
      </c>
      <c r="R52" s="244">
        <v>0</v>
      </c>
      <c r="S52" s="244"/>
      <c r="T52" s="347"/>
      <c r="U52" s="242"/>
      <c r="V52" s="244"/>
      <c r="W52" s="244"/>
      <c r="X52" s="347"/>
      <c r="Y52" s="242"/>
      <c r="Z52" s="244"/>
      <c r="AA52" s="244"/>
      <c r="AB52" s="347"/>
    </row>
    <row r="53" spans="1:28" s="263" customFormat="1">
      <c r="A53" s="274" t="s">
        <v>758</v>
      </c>
      <c r="B53" s="257">
        <f>SUM(B36:B52)</f>
        <v>1251.9289999999996</v>
      </c>
      <c r="C53" s="257">
        <f>SUM(C36:C52)</f>
        <v>-349.20200000000096</v>
      </c>
      <c r="D53" s="349">
        <f>SUM(D36:D52)</f>
        <v>0</v>
      </c>
      <c r="E53" s="349"/>
      <c r="F53" s="349"/>
      <c r="G53" s="258"/>
      <c r="H53" s="258"/>
      <c r="I53" s="256"/>
      <c r="J53" s="257"/>
      <c r="K53" s="257"/>
      <c r="L53" s="257"/>
      <c r="M53" s="256">
        <f>SUM(M36:M52)</f>
        <v>-272.20700000000016</v>
      </c>
      <c r="N53" s="257">
        <f t="shared" ref="N53:T53" si="11">SUM(N36:N52)</f>
        <v>4957.8859999999995</v>
      </c>
      <c r="O53" s="257">
        <f t="shared" si="11"/>
        <v>0</v>
      </c>
      <c r="P53" s="349">
        <f t="shared" si="11"/>
        <v>0</v>
      </c>
      <c r="Q53" s="256">
        <f t="shared" si="11"/>
        <v>2203.6229999999996</v>
      </c>
      <c r="R53" s="257">
        <f t="shared" si="11"/>
        <v>447.49099999999993</v>
      </c>
      <c r="S53" s="257">
        <f t="shared" si="11"/>
        <v>0</v>
      </c>
      <c r="T53" s="349">
        <f t="shared" si="11"/>
        <v>0</v>
      </c>
      <c r="U53" s="256"/>
      <c r="V53" s="257"/>
      <c r="W53" s="257"/>
      <c r="X53" s="349"/>
      <c r="Y53" s="256"/>
      <c r="Z53" s="257"/>
      <c r="AA53" s="257"/>
      <c r="AB53" s="349"/>
    </row>
    <row r="54" spans="1:28" s="259" customFormat="1">
      <c r="B54" s="244"/>
      <c r="C54" s="244"/>
      <c r="D54" s="347"/>
      <c r="E54" s="347"/>
      <c r="F54" s="347"/>
      <c r="G54" s="242"/>
      <c r="H54" s="242"/>
      <c r="I54" s="242"/>
      <c r="J54" s="244"/>
      <c r="K54" s="244"/>
      <c r="L54" s="244"/>
      <c r="M54" s="242"/>
      <c r="N54" s="244"/>
      <c r="O54" s="244"/>
      <c r="P54" s="347"/>
      <c r="Q54" s="242"/>
      <c r="R54" s="244"/>
      <c r="S54" s="244"/>
      <c r="T54" s="347"/>
      <c r="U54" s="242"/>
      <c r="V54" s="244"/>
      <c r="W54" s="244"/>
      <c r="X54" s="347"/>
      <c r="Y54" s="242"/>
      <c r="Z54" s="244"/>
      <c r="AA54" s="244"/>
      <c r="AB54" s="347"/>
    </row>
    <row r="55" spans="1:28" s="259" customFormat="1">
      <c r="A55" s="259" t="s">
        <v>759</v>
      </c>
      <c r="B55" s="244">
        <v>-3857.7890000000002</v>
      </c>
      <c r="C55" s="244">
        <v>-5922.6840000000002</v>
      </c>
      <c r="D55" s="347"/>
      <c r="E55" s="347"/>
      <c r="F55" s="347"/>
      <c r="G55" s="242"/>
      <c r="H55" s="242"/>
      <c r="I55" s="242"/>
      <c r="J55" s="244"/>
      <c r="K55" s="244"/>
      <c r="L55" s="244"/>
      <c r="M55" s="242">
        <v>-607.44200000000001</v>
      </c>
      <c r="N55" s="244">
        <v>-1949.2190000000001</v>
      </c>
      <c r="O55" s="244"/>
      <c r="P55" s="347"/>
      <c r="Q55" s="242">
        <v>-1504.145</v>
      </c>
      <c r="R55" s="244">
        <v>-1595.88</v>
      </c>
      <c r="S55" s="244"/>
      <c r="T55" s="347"/>
      <c r="U55" s="242"/>
      <c r="V55" s="244"/>
      <c r="W55" s="244"/>
      <c r="X55" s="347"/>
      <c r="Y55" s="242"/>
      <c r="Z55" s="244"/>
      <c r="AA55" s="244"/>
      <c r="AB55" s="347"/>
    </row>
    <row r="56" spans="1:28" s="259" customFormat="1">
      <c r="A56" s="259" t="s">
        <v>760</v>
      </c>
      <c r="B56" s="244">
        <v>-1049.3579999999999</v>
      </c>
      <c r="C56" s="244">
        <v>-223.06</v>
      </c>
      <c r="D56" s="347"/>
      <c r="E56" s="347"/>
      <c r="F56" s="347"/>
      <c r="G56" s="242"/>
      <c r="H56" s="242"/>
      <c r="I56" s="242"/>
      <c r="J56" s="244"/>
      <c r="K56" s="244"/>
      <c r="L56" s="244"/>
      <c r="M56" s="242">
        <v>311</v>
      </c>
      <c r="N56" s="244">
        <v>-4640.5370000000003</v>
      </c>
      <c r="O56" s="244"/>
      <c r="P56" s="347"/>
      <c r="Q56" s="242">
        <v>0</v>
      </c>
      <c r="R56" s="244">
        <v>-16992.212</v>
      </c>
      <c r="S56" s="244"/>
      <c r="T56" s="347"/>
      <c r="U56" s="242"/>
      <c r="V56" s="244"/>
      <c r="W56" s="244"/>
      <c r="X56" s="347"/>
      <c r="Y56" s="242"/>
      <c r="Z56" s="244"/>
      <c r="AA56" s="244"/>
      <c r="AB56" s="347"/>
    </row>
    <row r="57" spans="1:28" s="259" customFormat="1">
      <c r="A57" s="259" t="s">
        <v>526</v>
      </c>
      <c r="B57" s="244">
        <v>-5876.31</v>
      </c>
      <c r="C57" s="244">
        <v>-2840.6089999999999</v>
      </c>
      <c r="D57" s="347"/>
      <c r="E57" s="347"/>
      <c r="F57" s="347"/>
      <c r="G57" s="242"/>
      <c r="H57" s="242"/>
      <c r="I57" s="242"/>
      <c r="J57" s="244"/>
      <c r="K57" s="244"/>
      <c r="L57" s="244"/>
      <c r="M57" s="242">
        <v>-2951.7730000000001</v>
      </c>
      <c r="N57" s="244">
        <v>2951.7730000000001</v>
      </c>
      <c r="O57" s="244"/>
      <c r="P57" s="347"/>
      <c r="Q57" s="242">
        <v>-1650.7619999999999</v>
      </c>
      <c r="R57" s="244">
        <v>1650.7619999999999</v>
      </c>
      <c r="S57" s="244"/>
      <c r="T57" s="347"/>
      <c r="U57" s="242"/>
      <c r="V57" s="244"/>
      <c r="W57" s="244"/>
      <c r="X57" s="347"/>
      <c r="Y57" s="242"/>
      <c r="Z57" s="244"/>
      <c r="AA57" s="244"/>
      <c r="AB57" s="347"/>
    </row>
    <row r="58" spans="1:28" s="259" customFormat="1">
      <c r="A58" s="259" t="s">
        <v>761</v>
      </c>
      <c r="B58" s="244">
        <v>-20684.026000000002</v>
      </c>
      <c r="C58" s="244">
        <v>0</v>
      </c>
      <c r="D58" s="347"/>
      <c r="E58" s="347"/>
      <c r="F58" s="347"/>
      <c r="G58" s="242"/>
      <c r="H58" s="242"/>
      <c r="I58" s="242"/>
      <c r="J58" s="244"/>
      <c r="K58" s="244"/>
      <c r="L58" s="244"/>
      <c r="M58" s="242">
        <v>0</v>
      </c>
      <c r="N58" s="244">
        <v>0</v>
      </c>
      <c r="O58" s="244"/>
      <c r="P58" s="347"/>
      <c r="Q58" s="242">
        <v>0</v>
      </c>
      <c r="R58" s="244">
        <v>0</v>
      </c>
      <c r="S58" s="244"/>
      <c r="T58" s="347"/>
      <c r="U58" s="242"/>
      <c r="V58" s="244"/>
      <c r="W58" s="244"/>
      <c r="X58" s="347"/>
      <c r="Y58" s="242"/>
      <c r="Z58" s="244"/>
      <c r="AA58" s="244"/>
      <c r="AB58" s="347"/>
    </row>
    <row r="59" spans="1:28" s="259" customFormat="1">
      <c r="A59" s="259" t="s">
        <v>762</v>
      </c>
      <c r="B59" s="243">
        <v>963.12099999999998</v>
      </c>
      <c r="C59" s="243">
        <v>-18804.47</v>
      </c>
      <c r="D59" s="347"/>
      <c r="E59" s="347"/>
      <c r="F59" s="347"/>
      <c r="G59" s="242"/>
      <c r="H59" s="242"/>
      <c r="I59" s="242"/>
      <c r="J59" s="244"/>
      <c r="K59" s="244"/>
      <c r="L59" s="244"/>
      <c r="M59" s="242">
        <v>399.14800000000002</v>
      </c>
      <c r="N59" s="244">
        <v>-29188.838</v>
      </c>
      <c r="O59" s="244"/>
      <c r="P59" s="347"/>
      <c r="Q59" s="242">
        <v>-6774.2650000000003</v>
      </c>
      <c r="R59" s="244">
        <v>19384.689000000002</v>
      </c>
      <c r="S59" s="244"/>
      <c r="T59" s="347"/>
      <c r="U59" s="242"/>
      <c r="V59" s="244"/>
      <c r="W59" s="244"/>
      <c r="X59" s="347"/>
      <c r="Y59" s="242"/>
      <c r="Z59" s="244"/>
      <c r="AA59" s="244"/>
      <c r="AB59" s="347"/>
    </row>
    <row r="60" spans="1:28" s="259" customFormat="1">
      <c r="A60" s="259" t="s">
        <v>763</v>
      </c>
      <c r="B60" s="243">
        <v>-1469.9760000000001</v>
      </c>
      <c r="C60" s="243">
        <v>0</v>
      </c>
      <c r="D60" s="347"/>
      <c r="E60" s="347"/>
      <c r="F60" s="347"/>
      <c r="G60" s="242"/>
      <c r="H60" s="242"/>
      <c r="I60" s="242"/>
      <c r="J60" s="244"/>
      <c r="K60" s="244"/>
      <c r="L60" s="244"/>
      <c r="M60" s="242">
        <v>0</v>
      </c>
      <c r="N60" s="244">
        <v>-131.09899999999999</v>
      </c>
      <c r="O60" s="244"/>
      <c r="P60" s="347"/>
      <c r="Q60" s="242">
        <v>-158.75200000000001</v>
      </c>
      <c r="R60" s="244">
        <v>-148.53399999999999</v>
      </c>
      <c r="S60" s="244"/>
      <c r="T60" s="347"/>
      <c r="U60" s="242"/>
      <c r="V60" s="244"/>
      <c r="W60" s="244"/>
      <c r="X60" s="347"/>
      <c r="Y60" s="242"/>
      <c r="Z60" s="244"/>
      <c r="AA60" s="244"/>
      <c r="AB60" s="347"/>
    </row>
    <row r="61" spans="1:28" s="259" customFormat="1">
      <c r="A61" s="259" t="s">
        <v>764</v>
      </c>
      <c r="B61" s="243">
        <v>680.57299999999998</v>
      </c>
      <c r="C61" s="243">
        <v>430.49400000000003</v>
      </c>
      <c r="D61" s="347"/>
      <c r="E61" s="347"/>
      <c r="F61" s="347"/>
      <c r="G61" s="242"/>
      <c r="H61" s="242"/>
      <c r="I61" s="242"/>
      <c r="J61" s="244"/>
      <c r="K61" s="244"/>
      <c r="L61" s="244"/>
      <c r="M61" s="242">
        <v>3.6970000000000001</v>
      </c>
      <c r="N61" s="244">
        <v>65.028999999999996</v>
      </c>
      <c r="O61" s="244"/>
      <c r="P61" s="347"/>
      <c r="Q61" s="242">
        <v>199.346</v>
      </c>
      <c r="R61" s="244">
        <v>128.291</v>
      </c>
      <c r="S61" s="244"/>
      <c r="T61" s="347"/>
      <c r="U61" s="242"/>
      <c r="V61" s="244"/>
      <c r="W61" s="244"/>
      <c r="X61" s="347"/>
      <c r="Y61" s="242"/>
      <c r="Z61" s="244"/>
      <c r="AA61" s="244"/>
      <c r="AB61" s="347"/>
    </row>
    <row r="62" spans="1:28" s="263" customFormat="1">
      <c r="A62" s="274" t="s">
        <v>765</v>
      </c>
      <c r="B62" s="257">
        <f>SUM(B55:B61)</f>
        <v>-31293.764999999999</v>
      </c>
      <c r="C62" s="257">
        <f>SUM(C55:C61)</f>
        <v>-27360.329000000005</v>
      </c>
      <c r="D62" s="349">
        <f>SUM(D55:D61)</f>
        <v>0</v>
      </c>
      <c r="E62" s="349"/>
      <c r="F62" s="349"/>
      <c r="G62" s="258"/>
      <c r="H62" s="258"/>
      <c r="I62" s="256">
        <f>SUM(I55:I61)</f>
        <v>0</v>
      </c>
      <c r="J62" s="257"/>
      <c r="K62" s="257"/>
      <c r="L62" s="257">
        <f>SUM(L55:L61)</f>
        <v>0</v>
      </c>
      <c r="M62" s="256">
        <f>SUM(M55:M61)</f>
        <v>-2845.37</v>
      </c>
      <c r="N62" s="257">
        <f t="shared" ref="N62:T62" si="12">SUM(N55:N61)</f>
        <v>-32892.890999999996</v>
      </c>
      <c r="O62" s="257">
        <f t="shared" si="12"/>
        <v>0</v>
      </c>
      <c r="P62" s="349">
        <f t="shared" si="12"/>
        <v>0</v>
      </c>
      <c r="Q62" s="256">
        <f t="shared" si="12"/>
        <v>-9888.5780000000013</v>
      </c>
      <c r="R62" s="257">
        <f t="shared" si="12"/>
        <v>2427.1160000000004</v>
      </c>
      <c r="S62" s="257">
        <f t="shared" si="12"/>
        <v>0</v>
      </c>
      <c r="T62" s="349">
        <f t="shared" si="12"/>
        <v>0</v>
      </c>
      <c r="U62" s="256"/>
      <c r="V62" s="257"/>
      <c r="W62" s="257"/>
      <c r="X62" s="349"/>
      <c r="Y62" s="256"/>
      <c r="Z62" s="257"/>
      <c r="AA62" s="257"/>
      <c r="AB62" s="349"/>
    </row>
    <row r="63" spans="1:28" s="259" customFormat="1">
      <c r="B63" s="243"/>
      <c r="C63" s="243"/>
      <c r="D63" s="347"/>
      <c r="E63" s="347"/>
      <c r="F63" s="347"/>
      <c r="G63" s="242"/>
      <c r="H63" s="242"/>
      <c r="I63" s="242"/>
      <c r="J63" s="244"/>
      <c r="K63" s="244"/>
      <c r="L63" s="244"/>
      <c r="M63" s="242"/>
      <c r="N63" s="244"/>
      <c r="O63" s="244"/>
      <c r="P63" s="347"/>
      <c r="Q63" s="242"/>
      <c r="R63" s="244"/>
      <c r="S63" s="244"/>
      <c r="T63" s="347"/>
      <c r="U63" s="242"/>
      <c r="V63" s="244"/>
      <c r="W63" s="244"/>
      <c r="X63" s="347"/>
      <c r="Y63" s="242"/>
      <c r="Z63" s="244"/>
      <c r="AA63" s="244"/>
      <c r="AB63" s="347"/>
    </row>
    <row r="64" spans="1:28" s="259" customFormat="1">
      <c r="A64" s="259" t="s">
        <v>766</v>
      </c>
      <c r="B64" s="243">
        <v>-7391.45</v>
      </c>
      <c r="C64" s="243">
        <v>-15320.277</v>
      </c>
      <c r="D64" s="347"/>
      <c r="E64" s="347"/>
      <c r="F64" s="347"/>
      <c r="G64" s="242"/>
      <c r="H64" s="242"/>
      <c r="I64" s="242"/>
      <c r="J64" s="244"/>
      <c r="K64" s="244"/>
      <c r="L64" s="244"/>
      <c r="M64" s="242">
        <v>-9448.6589999999997</v>
      </c>
      <c r="N64" s="244">
        <v>-4346.2290000000012</v>
      </c>
      <c r="O64" s="244"/>
      <c r="P64" s="347"/>
      <c r="Q64" s="242">
        <v>-137.01599999999999</v>
      </c>
      <c r="R64" s="244">
        <v>-624.83500000000004</v>
      </c>
      <c r="S64" s="244"/>
      <c r="T64" s="347"/>
      <c r="U64" s="242"/>
      <c r="V64" s="244"/>
      <c r="W64" s="244"/>
      <c r="X64" s="347"/>
      <c r="Y64" s="242"/>
      <c r="Z64" s="244"/>
      <c r="AA64" s="244"/>
      <c r="AB64" s="347"/>
    </row>
    <row r="65" spans="1:28" s="259" customFormat="1">
      <c r="A65" s="259" t="s">
        <v>767</v>
      </c>
      <c r="B65" s="243">
        <v>20686.289000000001</v>
      </c>
      <c r="C65" s="243">
        <v>15957.9</v>
      </c>
      <c r="D65" s="347"/>
      <c r="E65" s="347"/>
      <c r="F65" s="347"/>
      <c r="G65" s="242"/>
      <c r="H65" s="242"/>
      <c r="I65" s="242"/>
      <c r="J65" s="244"/>
      <c r="K65" s="244"/>
      <c r="L65" s="244"/>
      <c r="M65" s="242">
        <v>13367.1</v>
      </c>
      <c r="N65" s="244">
        <v>2005.7049999999999</v>
      </c>
      <c r="O65" s="244"/>
      <c r="P65" s="347"/>
      <c r="Q65" s="242">
        <v>10000</v>
      </c>
      <c r="R65" s="244">
        <v>0</v>
      </c>
      <c r="S65" s="244"/>
      <c r="T65" s="347"/>
      <c r="U65" s="242"/>
      <c r="V65" s="244"/>
      <c r="W65" s="244"/>
      <c r="X65" s="347"/>
      <c r="Y65" s="242"/>
      <c r="Z65" s="244"/>
      <c r="AA65" s="244"/>
      <c r="AB65" s="347"/>
    </row>
    <row r="66" spans="1:28" s="259" customFormat="1">
      <c r="A66" s="259" t="s">
        <v>768</v>
      </c>
      <c r="B66" s="243">
        <v>-2489.9279999999999</v>
      </c>
      <c r="C66" s="243">
        <v>-4282.5619999999999</v>
      </c>
      <c r="D66" s="347"/>
      <c r="E66" s="347"/>
      <c r="F66" s="347"/>
      <c r="G66" s="242"/>
      <c r="H66" s="242"/>
      <c r="I66" s="242"/>
      <c r="J66" s="244"/>
      <c r="K66" s="244"/>
      <c r="L66" s="244"/>
      <c r="M66" s="242">
        <v>-868.327</v>
      </c>
      <c r="N66" s="244">
        <v>-826.8130000000001</v>
      </c>
      <c r="O66" s="244"/>
      <c r="P66" s="347"/>
      <c r="Q66" s="242">
        <v>-1407.521</v>
      </c>
      <c r="R66" s="244">
        <v>-1470.9620000000002</v>
      </c>
      <c r="S66" s="244"/>
      <c r="T66" s="347"/>
      <c r="U66" s="242"/>
      <c r="V66" s="244"/>
      <c r="W66" s="244"/>
      <c r="X66" s="347"/>
      <c r="Y66" s="242"/>
      <c r="Z66" s="244"/>
      <c r="AA66" s="244"/>
      <c r="AB66" s="347"/>
    </row>
    <row r="67" spans="1:28" s="259" customFormat="1">
      <c r="A67" s="259" t="s">
        <v>769</v>
      </c>
      <c r="B67" s="243">
        <v>-714.71100000000001</v>
      </c>
      <c r="C67" s="243">
        <v>-1991.085</v>
      </c>
      <c r="D67" s="347"/>
      <c r="E67" s="347"/>
      <c r="F67" s="347"/>
      <c r="G67" s="242"/>
      <c r="H67" s="242"/>
      <c r="I67" s="242"/>
      <c r="J67" s="244"/>
      <c r="K67" s="244"/>
      <c r="L67" s="244"/>
      <c r="M67" s="242">
        <v>-300.12</v>
      </c>
      <c r="N67" s="244">
        <v>-558.91099999999994</v>
      </c>
      <c r="O67" s="244"/>
      <c r="P67" s="347"/>
      <c r="Q67" s="242">
        <v>-407.91899999999998</v>
      </c>
      <c r="R67" s="244">
        <v>-630.29399999999998</v>
      </c>
      <c r="S67" s="244"/>
      <c r="T67" s="347"/>
      <c r="U67" s="242"/>
      <c r="V67" s="244"/>
      <c r="W67" s="244"/>
      <c r="X67" s="347"/>
      <c r="Y67" s="242"/>
      <c r="Z67" s="244"/>
      <c r="AA67" s="244"/>
      <c r="AB67" s="347"/>
    </row>
    <row r="68" spans="1:28" s="259" customFormat="1">
      <c r="A68" s="259" t="s">
        <v>770</v>
      </c>
      <c r="B68" s="243">
        <v>20955.478999999999</v>
      </c>
      <c r="C68" s="243">
        <v>32481.946</v>
      </c>
      <c r="D68" s="347"/>
      <c r="E68" s="347"/>
      <c r="F68" s="347"/>
      <c r="G68" s="242"/>
      <c r="H68" s="242"/>
      <c r="I68" s="242"/>
      <c r="J68" s="244"/>
      <c r="K68" s="244"/>
      <c r="L68" s="244"/>
      <c r="M68" s="242">
        <v>0</v>
      </c>
      <c r="N68" s="244">
        <v>31601.224999999999</v>
      </c>
      <c r="O68" s="244"/>
      <c r="P68" s="347"/>
      <c r="Q68" s="242">
        <v>0</v>
      </c>
      <c r="R68" s="244">
        <v>0</v>
      </c>
      <c r="S68" s="244"/>
      <c r="T68" s="347"/>
      <c r="U68" s="242"/>
      <c r="V68" s="244"/>
      <c r="W68" s="244"/>
      <c r="X68" s="347"/>
      <c r="Y68" s="242"/>
      <c r="Z68" s="244"/>
      <c r="AA68" s="244"/>
      <c r="AB68" s="347"/>
    </row>
    <row r="69" spans="1:28" s="263" customFormat="1">
      <c r="A69" s="274" t="s">
        <v>771</v>
      </c>
      <c r="B69" s="257">
        <f t="shared" ref="B69:T69" si="13">SUM(B64:B68)</f>
        <v>31045.679</v>
      </c>
      <c r="C69" s="257">
        <f t="shared" si="13"/>
        <v>26845.921999999999</v>
      </c>
      <c r="D69" s="349">
        <f>SUM(D64:D68)</f>
        <v>0</v>
      </c>
      <c r="E69" s="349"/>
      <c r="F69" s="349"/>
      <c r="G69" s="258"/>
      <c r="H69" s="258"/>
      <c r="I69" s="256">
        <f t="shared" si="13"/>
        <v>0</v>
      </c>
      <c r="J69" s="257"/>
      <c r="K69" s="257"/>
      <c r="L69" s="257">
        <f t="shared" si="13"/>
        <v>0</v>
      </c>
      <c r="M69" s="256">
        <f t="shared" si="13"/>
        <v>2749.9940000000006</v>
      </c>
      <c r="N69" s="257">
        <f t="shared" si="13"/>
        <v>27874.976999999999</v>
      </c>
      <c r="O69" s="257">
        <f t="shared" si="13"/>
        <v>0</v>
      </c>
      <c r="P69" s="349">
        <f t="shared" si="13"/>
        <v>0</v>
      </c>
      <c r="Q69" s="256">
        <f t="shared" si="13"/>
        <v>8047.5439999999999</v>
      </c>
      <c r="R69" s="257">
        <f t="shared" si="13"/>
        <v>-2726.0910000000003</v>
      </c>
      <c r="S69" s="257">
        <f t="shared" si="13"/>
        <v>0</v>
      </c>
      <c r="T69" s="349">
        <f t="shared" si="13"/>
        <v>0</v>
      </c>
      <c r="U69" s="256"/>
      <c r="V69" s="257"/>
      <c r="W69" s="257"/>
      <c r="X69" s="349"/>
      <c r="Y69" s="256"/>
      <c r="Z69" s="257"/>
      <c r="AA69" s="257"/>
      <c r="AB69" s="349"/>
    </row>
    <row r="70" spans="1:28" s="259" customFormat="1">
      <c r="A70" s="259" t="s">
        <v>772</v>
      </c>
      <c r="B70" s="243"/>
      <c r="C70" s="243"/>
      <c r="D70" s="347"/>
      <c r="E70" s="347"/>
      <c r="F70" s="347"/>
      <c r="G70" s="242"/>
      <c r="H70" s="242"/>
      <c r="I70" s="242"/>
      <c r="J70" s="244"/>
      <c r="K70" s="244"/>
      <c r="L70" s="244"/>
      <c r="M70" s="242"/>
      <c r="N70" s="244"/>
      <c r="O70" s="244"/>
      <c r="P70" s="347"/>
      <c r="Q70" s="242"/>
      <c r="R70" s="244"/>
      <c r="S70" s="244"/>
      <c r="T70" s="347"/>
      <c r="U70" s="242"/>
      <c r="V70" s="244"/>
      <c r="W70" s="244"/>
      <c r="X70" s="347"/>
      <c r="Y70" s="242"/>
      <c r="Z70" s="244"/>
      <c r="AA70" s="244"/>
      <c r="AB70" s="347"/>
    </row>
    <row r="71" spans="1:28" s="263" customFormat="1" ht="15.75" thickBot="1">
      <c r="A71" s="266" t="s">
        <v>773</v>
      </c>
      <c r="B71" s="268">
        <f>B53+B62+B69</f>
        <v>1003.8430000000008</v>
      </c>
      <c r="C71" s="268">
        <f>C53+C62+C69</f>
        <v>-863.60900000000765</v>
      </c>
      <c r="D71" s="351">
        <f>D53+D62+D69</f>
        <v>0</v>
      </c>
      <c r="E71" s="351"/>
      <c r="F71" s="351"/>
      <c r="G71" s="258"/>
      <c r="H71" s="258"/>
      <c r="I71" s="267">
        <f>I53+I62+I69</f>
        <v>0</v>
      </c>
      <c r="J71" s="268"/>
      <c r="K71" s="268"/>
      <c r="L71" s="268">
        <f>L53+L62+L69</f>
        <v>0</v>
      </c>
      <c r="M71" s="267">
        <f>M53+M62+M69</f>
        <v>-367.58299999999963</v>
      </c>
      <c r="N71" s="268">
        <f t="shared" ref="N71:T71" si="14">N53+N62+N69</f>
        <v>-60.027999999998428</v>
      </c>
      <c r="O71" s="268">
        <f t="shared" si="14"/>
        <v>0</v>
      </c>
      <c r="P71" s="351">
        <f t="shared" si="14"/>
        <v>0</v>
      </c>
      <c r="Q71" s="267">
        <f t="shared" si="14"/>
        <v>362.58899999999812</v>
      </c>
      <c r="R71" s="268">
        <f t="shared" si="14"/>
        <v>148.51600000000008</v>
      </c>
      <c r="S71" s="268">
        <f t="shared" si="14"/>
        <v>0</v>
      </c>
      <c r="T71" s="351">
        <f t="shared" si="14"/>
        <v>0</v>
      </c>
      <c r="U71" s="267"/>
      <c r="V71" s="268"/>
      <c r="W71" s="268"/>
      <c r="X71" s="351"/>
      <c r="Y71" s="267"/>
      <c r="Z71" s="268"/>
      <c r="AA71" s="268"/>
      <c r="AB71" s="351"/>
    </row>
    <row r="72" spans="1:28" s="259" customFormat="1" ht="15.75" thickTop="1">
      <c r="A72" s="259" t="s">
        <v>772</v>
      </c>
      <c r="B72" s="243"/>
      <c r="C72" s="243"/>
      <c r="D72" s="347"/>
      <c r="E72" s="347"/>
      <c r="F72" s="347"/>
      <c r="G72" s="242"/>
      <c r="H72" s="242"/>
      <c r="I72" s="242"/>
      <c r="J72" s="244"/>
      <c r="K72" s="244"/>
      <c r="L72" s="244"/>
      <c r="M72" s="242"/>
      <c r="N72" s="244"/>
      <c r="O72" s="244"/>
      <c r="P72" s="347"/>
      <c r="Q72" s="242"/>
      <c r="R72" s="244"/>
      <c r="S72" s="244"/>
      <c r="T72" s="347"/>
      <c r="U72" s="242"/>
      <c r="V72" s="244"/>
      <c r="W72" s="244"/>
      <c r="X72" s="347"/>
      <c r="Y72" s="242"/>
      <c r="Z72" s="244"/>
      <c r="AA72" s="244"/>
      <c r="AB72" s="347"/>
    </row>
    <row r="73" spans="1:28" s="259" customFormat="1">
      <c r="A73" s="259" t="s">
        <v>774</v>
      </c>
      <c r="B73" s="243">
        <v>360.61500000000001</v>
      </c>
      <c r="C73" s="243">
        <f>B74</f>
        <v>1364.4580000000008</v>
      </c>
      <c r="D73" s="347"/>
      <c r="E73" s="347"/>
      <c r="F73" s="347"/>
      <c r="G73" s="242"/>
      <c r="H73" s="242"/>
      <c r="I73" s="242"/>
      <c r="J73" s="244"/>
      <c r="K73" s="244"/>
      <c r="L73" s="244"/>
      <c r="M73" s="242">
        <v>1364.4580000000001</v>
      </c>
      <c r="N73" s="244">
        <f>M74</f>
        <v>996.87500000000045</v>
      </c>
      <c r="O73" s="244"/>
      <c r="P73" s="347"/>
      <c r="Q73" s="242">
        <v>500.84899999999311</v>
      </c>
      <c r="R73" s="244">
        <f>Q74</f>
        <v>863.43799999999123</v>
      </c>
      <c r="S73" s="244"/>
      <c r="T73" s="347"/>
      <c r="U73" s="242"/>
      <c r="V73" s="244"/>
      <c r="W73" s="244"/>
      <c r="X73" s="347"/>
      <c r="Y73" s="242"/>
      <c r="Z73" s="244"/>
      <c r="AA73" s="244"/>
      <c r="AB73" s="347"/>
    </row>
    <row r="74" spans="1:28" s="263" customFormat="1" ht="15.75" thickBot="1">
      <c r="A74" s="266" t="s">
        <v>775</v>
      </c>
      <c r="B74" s="268">
        <f>SUM(B71:B73)</f>
        <v>1364.4580000000008</v>
      </c>
      <c r="C74" s="268">
        <f>SUM(C71:C73)</f>
        <v>500.84899999999311</v>
      </c>
      <c r="D74" s="351">
        <f>SUM(D71:D73)</f>
        <v>0</v>
      </c>
      <c r="E74" s="351"/>
      <c r="F74" s="351"/>
      <c r="G74" s="258"/>
      <c r="H74" s="258"/>
      <c r="I74" s="267">
        <f t="shared" ref="I74:T74" si="15">SUM(I71:I73)</f>
        <v>0</v>
      </c>
      <c r="J74" s="268"/>
      <c r="K74" s="268"/>
      <c r="L74" s="268">
        <f t="shared" si="15"/>
        <v>0</v>
      </c>
      <c r="M74" s="267">
        <f t="shared" si="15"/>
        <v>996.87500000000045</v>
      </c>
      <c r="N74" s="268">
        <f t="shared" si="15"/>
        <v>936.84700000000203</v>
      </c>
      <c r="O74" s="268">
        <f t="shared" si="15"/>
        <v>0</v>
      </c>
      <c r="P74" s="351">
        <f t="shared" si="15"/>
        <v>0</v>
      </c>
      <c r="Q74" s="267">
        <f t="shared" si="15"/>
        <v>863.43799999999123</v>
      </c>
      <c r="R74" s="268">
        <f t="shared" si="15"/>
        <v>1011.9539999999913</v>
      </c>
      <c r="S74" s="268">
        <f t="shared" si="15"/>
        <v>0</v>
      </c>
      <c r="T74" s="351">
        <f t="shared" si="15"/>
        <v>0</v>
      </c>
      <c r="U74" s="267"/>
      <c r="V74" s="268"/>
      <c r="W74" s="268"/>
      <c r="X74" s="351"/>
      <c r="Y74" s="267"/>
      <c r="Z74" s="268"/>
      <c r="AA74" s="268"/>
      <c r="AB74" s="351"/>
    </row>
    <row r="75" spans="1:28" s="251" customFormat="1" ht="15.75" thickTop="1">
      <c r="A75" s="251" t="s">
        <v>776</v>
      </c>
      <c r="B75" s="270">
        <f t="shared" ref="B75:R75" si="16">B74-B79</f>
        <v>0</v>
      </c>
      <c r="C75" s="270">
        <f t="shared" si="16"/>
        <v>9.9999999309829946E-4</v>
      </c>
      <c r="D75" s="352">
        <f t="shared" si="16"/>
        <v>-5995.9179999999997</v>
      </c>
      <c r="E75" s="352"/>
      <c r="F75" s="352"/>
      <c r="G75" s="269"/>
      <c r="H75" s="269"/>
      <c r="I75" s="269">
        <f t="shared" si="16"/>
        <v>0</v>
      </c>
      <c r="J75" s="270">
        <f t="shared" si="16"/>
        <v>0</v>
      </c>
      <c r="K75" s="270">
        <f t="shared" si="16"/>
        <v>0</v>
      </c>
      <c r="L75" s="270">
        <f t="shared" si="16"/>
        <v>0</v>
      </c>
      <c r="M75" s="269">
        <f t="shared" si="16"/>
        <v>996.87500000000045</v>
      </c>
      <c r="N75" s="270">
        <f t="shared" si="16"/>
        <v>936.84700000000203</v>
      </c>
      <c r="O75" s="270">
        <f t="shared" si="16"/>
        <v>0</v>
      </c>
      <c r="P75" s="352">
        <f t="shared" si="16"/>
        <v>-500.84800000000001</v>
      </c>
      <c r="Q75" s="269">
        <f t="shared" si="16"/>
        <v>9.9999999122246663E-4</v>
      </c>
      <c r="R75" s="270">
        <f t="shared" si="16"/>
        <v>3.5999999991304321E-2</v>
      </c>
      <c r="S75" s="270"/>
      <c r="T75" s="352"/>
      <c r="U75" s="269"/>
      <c r="V75" s="270"/>
      <c r="W75" s="270"/>
      <c r="X75" s="352"/>
      <c r="Y75" s="269"/>
      <c r="Z75" s="270"/>
      <c r="AA75" s="270"/>
      <c r="AB75" s="352"/>
    </row>
    <row r="76" spans="1:28" s="251" customFormat="1">
      <c r="B76" s="270"/>
      <c r="C76" s="270"/>
      <c r="D76" s="352"/>
      <c r="E76" s="352"/>
      <c r="F76" s="352"/>
      <c r="G76" s="269"/>
      <c r="H76" s="269"/>
      <c r="I76" s="269"/>
      <c r="J76" s="270"/>
      <c r="K76" s="270"/>
      <c r="L76" s="270"/>
      <c r="M76" s="269"/>
      <c r="N76" s="270"/>
      <c r="O76" s="270"/>
      <c r="P76" s="352"/>
      <c r="Q76" s="269"/>
      <c r="R76" s="270"/>
      <c r="S76" s="270"/>
      <c r="T76" s="352"/>
      <c r="U76" s="269"/>
      <c r="V76" s="270"/>
      <c r="W76" s="270"/>
      <c r="X76" s="352"/>
      <c r="Y76" s="269"/>
      <c r="Z76" s="270"/>
      <c r="AA76" s="270"/>
      <c r="AB76" s="352"/>
    </row>
    <row r="77" spans="1:28" s="232" customFormat="1">
      <c r="A77" s="229" t="s">
        <v>777</v>
      </c>
      <c r="B77" s="234">
        <f>B3</f>
        <v>41634</v>
      </c>
      <c r="C77" s="234">
        <f>C3</f>
        <v>41994</v>
      </c>
      <c r="D77" s="350">
        <f>D3</f>
        <v>42354</v>
      </c>
      <c r="E77" s="350">
        <f>E3</f>
        <v>42714</v>
      </c>
      <c r="F77" s="350">
        <f>F3</f>
        <v>42887</v>
      </c>
      <c r="G77" s="231"/>
      <c r="H77" s="231"/>
      <c r="I77" s="233">
        <f t="shared" ref="I77:T77" si="17">I3</f>
        <v>41364</v>
      </c>
      <c r="J77" s="233">
        <f t="shared" si="17"/>
        <v>41454</v>
      </c>
      <c r="K77" s="233">
        <f t="shared" si="17"/>
        <v>41544</v>
      </c>
      <c r="L77" s="233">
        <f t="shared" si="17"/>
        <v>41634</v>
      </c>
      <c r="M77" s="233">
        <f t="shared" si="17"/>
        <v>41724</v>
      </c>
      <c r="N77" s="233">
        <f t="shared" si="17"/>
        <v>41814</v>
      </c>
      <c r="O77" s="233">
        <f t="shared" si="17"/>
        <v>41904</v>
      </c>
      <c r="P77" s="233">
        <f t="shared" si="17"/>
        <v>41994</v>
      </c>
      <c r="Q77" s="337">
        <f t="shared" si="17"/>
        <v>42084</v>
      </c>
      <c r="R77" s="337">
        <f t="shared" si="17"/>
        <v>42174</v>
      </c>
      <c r="S77" s="337">
        <f t="shared" si="17"/>
        <v>42264</v>
      </c>
      <c r="T77" s="373">
        <f t="shared" si="17"/>
        <v>42354</v>
      </c>
      <c r="U77" s="337"/>
      <c r="V77" s="337"/>
      <c r="W77" s="337"/>
      <c r="X77" s="373"/>
      <c r="Y77" s="337"/>
      <c r="Z77" s="337"/>
      <c r="AA77" s="337"/>
      <c r="AB77" s="373"/>
    </row>
    <row r="78" spans="1:28" s="259" customFormat="1">
      <c r="A78" s="263" t="s">
        <v>778</v>
      </c>
      <c r="B78" s="243"/>
      <c r="C78" s="243"/>
      <c r="D78" s="347"/>
      <c r="E78" s="347"/>
      <c r="F78" s="347"/>
      <c r="G78" s="242"/>
      <c r="H78" s="242"/>
      <c r="I78" s="242"/>
      <c r="J78" s="244"/>
      <c r="K78" s="244"/>
      <c r="L78" s="243"/>
      <c r="M78" s="242"/>
      <c r="N78" s="244"/>
      <c r="O78" s="244"/>
      <c r="P78" s="347"/>
      <c r="Q78" s="242"/>
      <c r="R78" s="244"/>
      <c r="S78" s="244"/>
      <c r="T78" s="347"/>
      <c r="U78" s="242"/>
      <c r="V78" s="244"/>
      <c r="W78" s="244"/>
      <c r="X78" s="347"/>
      <c r="Y78" s="242"/>
      <c r="Z78" s="244"/>
      <c r="AA78" s="244"/>
      <c r="AB78" s="347"/>
    </row>
    <row r="79" spans="1:28" s="259" customFormat="1">
      <c r="A79" s="259" t="s">
        <v>779</v>
      </c>
      <c r="B79" s="243">
        <v>1364.4580000000001</v>
      </c>
      <c r="C79" s="243">
        <v>500.84800000000001</v>
      </c>
      <c r="D79" s="347">
        <v>5995.9179999999997</v>
      </c>
      <c r="E79" s="347">
        <v>5554.12</v>
      </c>
      <c r="F79" s="347">
        <v>1870.94</v>
      </c>
      <c r="G79" s="242"/>
      <c r="H79" s="242"/>
      <c r="I79" s="242"/>
      <c r="J79" s="244"/>
      <c r="K79" s="244"/>
      <c r="L79" s="243"/>
      <c r="M79" s="242"/>
      <c r="N79" s="244"/>
      <c r="O79" s="244"/>
      <c r="P79" s="347">
        <v>500.84800000000001</v>
      </c>
      <c r="Q79" s="242">
        <v>863.43700000000001</v>
      </c>
      <c r="R79" s="244">
        <v>1011.918</v>
      </c>
      <c r="S79" s="244"/>
      <c r="T79" s="347"/>
      <c r="U79" s="242"/>
      <c r="V79" s="244"/>
      <c r="W79" s="244"/>
      <c r="X79" s="347"/>
      <c r="Y79" s="242"/>
      <c r="Z79" s="244"/>
      <c r="AA79" s="244"/>
      <c r="AB79" s="347"/>
    </row>
    <row r="80" spans="1:28" s="259" customFormat="1">
      <c r="A80" s="259" t="s">
        <v>762</v>
      </c>
      <c r="B80" s="243">
        <v>723.976</v>
      </c>
      <c r="C80" s="243">
        <v>19528.446</v>
      </c>
      <c r="D80" s="347">
        <v>2300.596</v>
      </c>
      <c r="E80" s="347">
        <v>1956.1010000000001</v>
      </c>
      <c r="F80" s="347">
        <v>2122.509</v>
      </c>
      <c r="G80" s="242"/>
      <c r="H80" s="242"/>
      <c r="I80" s="242"/>
      <c r="J80" s="244"/>
      <c r="K80" s="244"/>
      <c r="L80" s="243"/>
      <c r="M80" s="242"/>
      <c r="N80" s="244"/>
      <c r="O80" s="244"/>
      <c r="P80" s="347">
        <v>19528.446</v>
      </c>
      <c r="Q80" s="242">
        <v>26302.710999999999</v>
      </c>
      <c r="R80" s="244">
        <v>6918.0219999999999</v>
      </c>
      <c r="S80" s="244"/>
      <c r="T80" s="347"/>
      <c r="U80" s="242"/>
      <c r="V80" s="244"/>
      <c r="W80" s="244"/>
      <c r="X80" s="347"/>
      <c r="Y80" s="242"/>
      <c r="Z80" s="244"/>
      <c r="AA80" s="244"/>
      <c r="AB80" s="347"/>
    </row>
    <row r="81" spans="1:28" s="259" customFormat="1">
      <c r="A81" s="259" t="s">
        <v>752</v>
      </c>
      <c r="B81" s="243">
        <v>3736.002</v>
      </c>
      <c r="C81" s="243">
        <v>3082.5129999999999</v>
      </c>
      <c r="D81" s="347">
        <v>4161.7619999999997</v>
      </c>
      <c r="E81" s="347">
        <v>2141.6959999999999</v>
      </c>
      <c r="F81" s="347">
        <v>1808.0889999999999</v>
      </c>
      <c r="G81" s="242"/>
      <c r="H81" s="242"/>
      <c r="I81" s="242"/>
      <c r="J81" s="244"/>
      <c r="K81" s="244"/>
      <c r="L81" s="243"/>
      <c r="M81" s="242"/>
      <c r="N81" s="244"/>
      <c r="O81" s="244"/>
      <c r="P81" s="347">
        <v>3082.5129999999999</v>
      </c>
      <c r="Q81" s="242">
        <v>2540.9430000000002</v>
      </c>
      <c r="R81" s="244">
        <v>4077.819</v>
      </c>
      <c r="S81" s="244"/>
      <c r="T81" s="347"/>
      <c r="U81" s="242"/>
      <c r="V81" s="244"/>
      <c r="W81" s="244"/>
      <c r="X81" s="347"/>
      <c r="Y81" s="242"/>
      <c r="Z81" s="244"/>
      <c r="AA81" s="244"/>
      <c r="AB81" s="347"/>
    </row>
    <row r="82" spans="1:28" s="259" customFormat="1">
      <c r="A82" s="259" t="s">
        <v>750</v>
      </c>
      <c r="B82" s="243">
        <v>732.44799999999998</v>
      </c>
      <c r="C82" s="243">
        <v>763.72299999999996</v>
      </c>
      <c r="D82" s="347">
        <f>751.346+46.523</f>
        <v>797.86900000000003</v>
      </c>
      <c r="E82" s="347">
        <f>990.594+519.7</f>
        <v>1510.2940000000001</v>
      </c>
      <c r="F82" s="347">
        <f>1221.79+833.632</f>
        <v>2055.422</v>
      </c>
      <c r="G82" s="242"/>
      <c r="H82" s="242"/>
      <c r="I82" s="242"/>
      <c r="J82" s="244"/>
      <c r="K82" s="244"/>
      <c r="L82" s="243"/>
      <c r="M82" s="242"/>
      <c r="N82" s="244"/>
      <c r="O82" s="244"/>
      <c r="P82" s="347">
        <v>763.72299999999996</v>
      </c>
      <c r="Q82" s="242">
        <f>814.129+93.131</f>
        <v>907.26</v>
      </c>
      <c r="R82" s="244">
        <f>817.251+44.15</f>
        <v>861.40099999999995</v>
      </c>
      <c r="S82" s="244"/>
      <c r="T82" s="347"/>
      <c r="U82" s="242"/>
      <c r="V82" s="244"/>
      <c r="W82" s="244"/>
      <c r="X82" s="347"/>
      <c r="Y82" s="242"/>
      <c r="Z82" s="244"/>
      <c r="AA82" s="244"/>
      <c r="AB82" s="347"/>
    </row>
    <row r="83" spans="1:28" s="259" customFormat="1">
      <c r="A83" s="259" t="s">
        <v>757</v>
      </c>
      <c r="B83" s="243">
        <v>125.60899999999999</v>
      </c>
      <c r="C83" s="243">
        <v>0</v>
      </c>
      <c r="D83" s="347">
        <v>0</v>
      </c>
      <c r="E83" s="347">
        <v>80.293000000000006</v>
      </c>
      <c r="F83" s="347">
        <v>147.95699999999999</v>
      </c>
      <c r="G83" s="242"/>
      <c r="H83" s="242"/>
      <c r="I83" s="242"/>
      <c r="J83" s="244"/>
      <c r="K83" s="244"/>
      <c r="L83" s="243"/>
      <c r="M83" s="242"/>
      <c r="N83" s="244"/>
      <c r="O83" s="244"/>
      <c r="P83" s="347">
        <v>0</v>
      </c>
      <c r="Q83" s="242">
        <v>0</v>
      </c>
      <c r="R83" s="244">
        <v>0</v>
      </c>
      <c r="S83" s="244"/>
      <c r="T83" s="347"/>
      <c r="U83" s="242"/>
      <c r="V83" s="244"/>
      <c r="W83" s="244"/>
      <c r="X83" s="347"/>
      <c r="Y83" s="242"/>
      <c r="Z83" s="244"/>
      <c r="AA83" s="244"/>
      <c r="AB83" s="347"/>
    </row>
    <row r="84" spans="1:28" s="259" customFormat="1">
      <c r="A84" s="262" t="s">
        <v>753</v>
      </c>
      <c r="B84" s="243">
        <v>17.684999999999999</v>
      </c>
      <c r="C84" s="243">
        <v>171.65799999999999</v>
      </c>
      <c r="D84" s="347">
        <v>459.66</v>
      </c>
      <c r="E84" s="347">
        <v>430.71699999999998</v>
      </c>
      <c r="F84" s="347">
        <v>972.58900000000006</v>
      </c>
      <c r="G84" s="242"/>
      <c r="H84" s="242"/>
      <c r="I84" s="242"/>
      <c r="J84" s="244"/>
      <c r="K84" s="244"/>
      <c r="L84" s="243"/>
      <c r="M84" s="242"/>
      <c r="N84" s="244"/>
      <c r="O84" s="244"/>
      <c r="P84" s="347">
        <v>171.65799999999999</v>
      </c>
      <c r="Q84" s="242">
        <v>481.863</v>
      </c>
      <c r="R84" s="244">
        <v>457.435</v>
      </c>
      <c r="S84" s="244"/>
      <c r="T84" s="347"/>
      <c r="U84" s="242"/>
      <c r="V84" s="244"/>
      <c r="W84" s="244"/>
      <c r="X84" s="347"/>
      <c r="Y84" s="242"/>
      <c r="Z84" s="244"/>
      <c r="AA84" s="244"/>
      <c r="AB84" s="347"/>
    </row>
    <row r="85" spans="1:28" s="263" customFormat="1">
      <c r="A85" s="274" t="s">
        <v>780</v>
      </c>
      <c r="B85" s="257">
        <f>SUM(B79:B84)</f>
        <v>6700.1780000000008</v>
      </c>
      <c r="C85" s="257">
        <f>SUM(C79:C84)</f>
        <v>24047.187999999998</v>
      </c>
      <c r="D85" s="349">
        <f>SUM(D79:D84)</f>
        <v>13715.804999999998</v>
      </c>
      <c r="E85" s="349">
        <f>SUM(E79:E84)</f>
        <v>11673.221</v>
      </c>
      <c r="F85" s="349">
        <f>SUM(F79:F84)</f>
        <v>8977.5060000000012</v>
      </c>
      <c r="G85" s="258"/>
      <c r="H85" s="258"/>
      <c r="I85" s="256">
        <f>SUM(I79:I84)</f>
        <v>0</v>
      </c>
      <c r="J85" s="257"/>
      <c r="K85" s="257"/>
      <c r="L85" s="257">
        <f>SUM(L79:L84)</f>
        <v>0</v>
      </c>
      <c r="M85" s="256">
        <f>SUM(M79:M84)</f>
        <v>0</v>
      </c>
      <c r="N85" s="257"/>
      <c r="O85" s="257"/>
      <c r="P85" s="349">
        <f>SUM(P79:P84)</f>
        <v>24047.187999999998</v>
      </c>
      <c r="Q85" s="256">
        <f>SUM(Q79:Q84)</f>
        <v>31096.214</v>
      </c>
      <c r="R85" s="257">
        <f>SUM(R79:R84)</f>
        <v>13326.594999999999</v>
      </c>
      <c r="S85" s="257"/>
      <c r="T85" s="349"/>
      <c r="U85" s="256"/>
      <c r="V85" s="257"/>
      <c r="W85" s="257"/>
      <c r="X85" s="349"/>
      <c r="Y85" s="256"/>
      <c r="Z85" s="257"/>
      <c r="AA85" s="257"/>
      <c r="AB85" s="349"/>
    </row>
    <row r="86" spans="1:28" s="259" customFormat="1">
      <c r="A86" s="259" t="s">
        <v>772</v>
      </c>
      <c r="B86" s="243"/>
      <c r="C86" s="243"/>
      <c r="D86" s="347"/>
      <c r="E86" s="347"/>
      <c r="F86" s="347"/>
      <c r="G86" s="242"/>
      <c r="H86" s="242"/>
      <c r="I86" s="242"/>
      <c r="J86" s="244"/>
      <c r="K86" s="244"/>
      <c r="L86" s="243"/>
      <c r="M86" s="242"/>
      <c r="N86" s="244"/>
      <c r="O86" s="244"/>
      <c r="P86" s="347"/>
      <c r="Q86" s="242"/>
      <c r="R86" s="244"/>
      <c r="S86" s="244"/>
      <c r="T86" s="347"/>
      <c r="U86" s="242"/>
      <c r="V86" s="244"/>
      <c r="W86" s="244"/>
      <c r="X86" s="347"/>
      <c r="Y86" s="242"/>
      <c r="Z86" s="244"/>
      <c r="AA86" s="244"/>
      <c r="AB86" s="347"/>
    </row>
    <row r="87" spans="1:28">
      <c r="A87" s="235" t="s">
        <v>781</v>
      </c>
      <c r="B87" s="272"/>
      <c r="C87" s="272"/>
      <c r="D87" s="353"/>
      <c r="E87" s="353"/>
      <c r="F87" s="353"/>
      <c r="I87" s="271"/>
      <c r="J87" s="273"/>
      <c r="K87" s="273"/>
      <c r="L87" s="272"/>
      <c r="M87" s="271"/>
      <c r="N87" s="273"/>
      <c r="O87" s="273"/>
      <c r="P87" s="353"/>
      <c r="Q87" s="271"/>
      <c r="R87" s="273"/>
      <c r="S87" s="273"/>
      <c r="T87" s="353"/>
      <c r="U87" s="271"/>
      <c r="V87" s="273"/>
      <c r="W87" s="273"/>
      <c r="X87" s="353"/>
      <c r="Y87" s="271"/>
      <c r="Z87" s="273"/>
      <c r="AA87" s="273"/>
      <c r="AB87" s="353"/>
    </row>
    <row r="88" spans="1:28" s="259" customFormat="1">
      <c r="A88" s="259" t="s">
        <v>782</v>
      </c>
      <c r="B88" s="244">
        <v>88905.717999999993</v>
      </c>
      <c r="C88" s="243">
        <v>113831.162</v>
      </c>
      <c r="D88" s="347">
        <v>152349.93400000001</v>
      </c>
      <c r="E88" s="347">
        <v>172739.27799999999</v>
      </c>
      <c r="F88" s="347">
        <v>183897.09299999999</v>
      </c>
      <c r="G88" s="242"/>
      <c r="H88" s="242"/>
      <c r="I88" s="242"/>
      <c r="J88" s="244"/>
      <c r="K88" s="244"/>
      <c r="L88" s="244"/>
      <c r="M88" s="242"/>
      <c r="N88" s="244"/>
      <c r="O88" s="244"/>
      <c r="P88" s="347">
        <v>113831.162</v>
      </c>
      <c r="Q88" s="242">
        <v>118085.121</v>
      </c>
      <c r="R88" s="244">
        <v>138379.80100000001</v>
      </c>
      <c r="S88" s="244"/>
      <c r="T88" s="347"/>
      <c r="U88" s="242"/>
      <c r="V88" s="244"/>
      <c r="W88" s="244"/>
      <c r="X88" s="347"/>
      <c r="Y88" s="242"/>
      <c r="Z88" s="244"/>
      <c r="AA88" s="244"/>
      <c r="AB88" s="347"/>
    </row>
    <row r="89" spans="1:28" s="259" customFormat="1">
      <c r="A89" s="259" t="s">
        <v>783</v>
      </c>
      <c r="B89" s="244">
        <v>898.03499999999997</v>
      </c>
      <c r="C89" s="243">
        <v>1121.095</v>
      </c>
      <c r="D89" s="347">
        <v>0</v>
      </c>
      <c r="E89" s="347">
        <v>0</v>
      </c>
      <c r="F89" s="347">
        <v>0</v>
      </c>
      <c r="G89" s="242"/>
      <c r="H89" s="242"/>
      <c r="I89" s="242"/>
      <c r="J89" s="244"/>
      <c r="K89" s="244"/>
      <c r="L89" s="244"/>
      <c r="M89" s="242"/>
      <c r="N89" s="244"/>
      <c r="O89" s="244"/>
      <c r="P89" s="347">
        <v>1121.095</v>
      </c>
      <c r="Q89" s="242">
        <v>906.73599999999999</v>
      </c>
      <c r="R89" s="244">
        <v>0</v>
      </c>
      <c r="S89" s="244"/>
      <c r="T89" s="347"/>
      <c r="U89" s="242"/>
      <c r="V89" s="244"/>
      <c r="W89" s="244"/>
      <c r="X89" s="347"/>
      <c r="Y89" s="242"/>
      <c r="Z89" s="244"/>
      <c r="AA89" s="244"/>
      <c r="AB89" s="347"/>
    </row>
    <row r="90" spans="1:28" s="259" customFormat="1">
      <c r="A90" s="259" t="s">
        <v>784</v>
      </c>
      <c r="B90" s="244">
        <v>2341.4899999999998</v>
      </c>
      <c r="C90" s="243">
        <v>2854.011</v>
      </c>
      <c r="D90" s="347">
        <v>3113.8890000000001</v>
      </c>
      <c r="E90" s="347">
        <v>5178.8999999999996</v>
      </c>
      <c r="F90" s="347">
        <v>4195.509</v>
      </c>
      <c r="G90" s="242"/>
      <c r="H90" s="242"/>
      <c r="I90" s="242"/>
      <c r="J90" s="244"/>
      <c r="K90" s="244"/>
      <c r="L90" s="244"/>
      <c r="M90" s="242"/>
      <c r="N90" s="244"/>
      <c r="O90" s="244"/>
      <c r="P90" s="347">
        <v>2854.011</v>
      </c>
      <c r="Q90" s="242">
        <v>3012.7620000000002</v>
      </c>
      <c r="R90" s="244">
        <v>3161.2959999999998</v>
      </c>
      <c r="S90" s="244"/>
      <c r="T90" s="347"/>
      <c r="U90" s="242"/>
      <c r="V90" s="244"/>
      <c r="W90" s="244"/>
      <c r="X90" s="347"/>
      <c r="Y90" s="242"/>
      <c r="Z90" s="244"/>
      <c r="AA90" s="244"/>
      <c r="AB90" s="347"/>
    </row>
    <row r="91" spans="1:28" s="259" customFormat="1">
      <c r="A91" s="259" t="s">
        <v>785</v>
      </c>
      <c r="B91" s="244">
        <v>0</v>
      </c>
      <c r="C91" s="243">
        <v>0</v>
      </c>
      <c r="D91" s="347">
        <v>0</v>
      </c>
      <c r="E91" s="347">
        <v>515.05499999999995</v>
      </c>
      <c r="F91" s="347">
        <v>0.36799999999999999</v>
      </c>
      <c r="G91" s="242"/>
      <c r="H91" s="242"/>
      <c r="I91" s="242"/>
      <c r="J91" s="244"/>
      <c r="K91" s="244"/>
      <c r="L91" s="244"/>
      <c r="M91" s="242"/>
      <c r="N91" s="244"/>
      <c r="O91" s="244"/>
      <c r="P91" s="347"/>
      <c r="Q91" s="242"/>
      <c r="R91" s="244"/>
      <c r="S91" s="244"/>
      <c r="T91" s="347"/>
      <c r="U91" s="242"/>
      <c r="V91" s="244"/>
      <c r="W91" s="244"/>
      <c r="X91" s="347"/>
      <c r="Y91" s="242"/>
      <c r="Z91" s="244"/>
      <c r="AA91" s="244"/>
      <c r="AB91" s="347"/>
    </row>
    <row r="92" spans="1:28" s="259" customFormat="1">
      <c r="A92" s="259" t="s">
        <v>786</v>
      </c>
      <c r="B92" s="244">
        <v>2484.4740000000002</v>
      </c>
      <c r="C92" s="243">
        <v>2289.4899999999998</v>
      </c>
      <c r="D92" s="347">
        <v>2121.5250000000001</v>
      </c>
      <c r="E92" s="347">
        <v>1920.5229999999999</v>
      </c>
      <c r="F92" s="347">
        <v>1809.193</v>
      </c>
      <c r="G92" s="242"/>
      <c r="H92" s="242"/>
      <c r="I92" s="242"/>
      <c r="J92" s="244"/>
      <c r="K92" s="244"/>
      <c r="L92" s="244"/>
      <c r="M92" s="242"/>
      <c r="N92" s="244"/>
      <c r="O92" s="244"/>
      <c r="P92" s="347">
        <v>2289.4899999999998</v>
      </c>
      <c r="Q92" s="242">
        <v>2263.944</v>
      </c>
      <c r="R92" s="244">
        <v>2245.1979999999999</v>
      </c>
      <c r="S92" s="244"/>
      <c r="T92" s="347"/>
      <c r="U92" s="242"/>
      <c r="V92" s="244"/>
      <c r="W92" s="244"/>
      <c r="X92" s="347"/>
      <c r="Y92" s="242"/>
      <c r="Z92" s="244"/>
      <c r="AA92" s="244"/>
      <c r="AB92" s="347"/>
    </row>
    <row r="93" spans="1:28" s="263" customFormat="1">
      <c r="A93" s="274" t="s">
        <v>787</v>
      </c>
      <c r="B93" s="257">
        <f>SUM(B88:B92)</f>
        <v>94629.717000000004</v>
      </c>
      <c r="C93" s="257">
        <f>SUM(C88:C92)</f>
        <v>120095.758</v>
      </c>
      <c r="D93" s="349">
        <f>SUM(D88:D92)</f>
        <v>157585.348</v>
      </c>
      <c r="E93" s="349">
        <f>SUM(E88:E92)</f>
        <v>180353.75599999996</v>
      </c>
      <c r="F93" s="349">
        <f>SUM(F88:F92)</f>
        <v>189902.16299999997</v>
      </c>
      <c r="G93" s="258"/>
      <c r="H93" s="258"/>
      <c r="I93" s="256">
        <f>SUM(I88:I92)</f>
        <v>0</v>
      </c>
      <c r="J93" s="257"/>
      <c r="K93" s="257"/>
      <c r="L93" s="257">
        <f>SUM(L88:L92)</f>
        <v>0</v>
      </c>
      <c r="M93" s="256">
        <f>SUM(M88:M92)</f>
        <v>0</v>
      </c>
      <c r="N93" s="257"/>
      <c r="O93" s="257"/>
      <c r="P93" s="349">
        <f>SUM(P88:P92)</f>
        <v>120095.758</v>
      </c>
      <c r="Q93" s="256">
        <f>SUM(Q88:Q92)</f>
        <v>124268.56300000001</v>
      </c>
      <c r="R93" s="257">
        <f>SUM(R88:R92)</f>
        <v>143786.29500000001</v>
      </c>
      <c r="S93" s="257"/>
      <c r="T93" s="349"/>
      <c r="U93" s="256"/>
      <c r="V93" s="257"/>
      <c r="W93" s="257"/>
      <c r="X93" s="349"/>
      <c r="Y93" s="256"/>
      <c r="Z93" s="257"/>
      <c r="AA93" s="257"/>
      <c r="AB93" s="349"/>
    </row>
    <row r="94" spans="1:28" s="259" customFormat="1">
      <c r="A94" s="259" t="s">
        <v>772</v>
      </c>
      <c r="B94" s="243"/>
      <c r="C94" s="243"/>
      <c r="D94" s="347"/>
      <c r="E94" s="347"/>
      <c r="F94" s="347"/>
      <c r="G94" s="242"/>
      <c r="H94" s="242"/>
      <c r="I94" s="242"/>
      <c r="J94" s="244"/>
      <c r="K94" s="244"/>
      <c r="L94" s="243"/>
      <c r="M94" s="242"/>
      <c r="N94" s="244"/>
      <c r="O94" s="244"/>
      <c r="P94" s="347"/>
      <c r="Q94" s="242"/>
      <c r="R94" s="244"/>
      <c r="S94" s="244"/>
      <c r="T94" s="347"/>
      <c r="U94" s="242"/>
      <c r="V94" s="244"/>
      <c r="W94" s="244"/>
      <c r="X94" s="347"/>
      <c r="Y94" s="242"/>
      <c r="Z94" s="244"/>
      <c r="AA94" s="244"/>
      <c r="AB94" s="347"/>
    </row>
    <row r="95" spans="1:28" s="263" customFormat="1" ht="15.75" thickBot="1">
      <c r="A95" s="266" t="s">
        <v>788</v>
      </c>
      <c r="B95" s="268">
        <f>B93+B85</f>
        <v>101329.895</v>
      </c>
      <c r="C95" s="268">
        <f>C93+C85</f>
        <v>144142.946</v>
      </c>
      <c r="D95" s="351">
        <f>D93+D85</f>
        <v>171301.15299999999</v>
      </c>
      <c r="E95" s="351">
        <f>E93+E85</f>
        <v>192026.97699999996</v>
      </c>
      <c r="F95" s="351">
        <f>F93+F85</f>
        <v>198879.66899999997</v>
      </c>
      <c r="G95" s="258"/>
      <c r="H95" s="258"/>
      <c r="I95" s="267">
        <f>I93+I85</f>
        <v>0</v>
      </c>
      <c r="J95" s="268"/>
      <c r="K95" s="268"/>
      <c r="L95" s="268">
        <f>L93+L85</f>
        <v>0</v>
      </c>
      <c r="M95" s="267">
        <f>M93+M85</f>
        <v>0</v>
      </c>
      <c r="N95" s="268"/>
      <c r="O95" s="268"/>
      <c r="P95" s="351">
        <f>P93+P85</f>
        <v>144142.946</v>
      </c>
      <c r="Q95" s="267">
        <f>Q93+Q85</f>
        <v>155364.777</v>
      </c>
      <c r="R95" s="268">
        <f>R93+R85</f>
        <v>157112.89000000001</v>
      </c>
      <c r="S95" s="268"/>
      <c r="T95" s="351"/>
      <c r="U95" s="267"/>
      <c r="V95" s="268"/>
      <c r="W95" s="268"/>
      <c r="X95" s="351"/>
      <c r="Y95" s="267"/>
      <c r="Z95" s="268"/>
      <c r="AA95" s="268"/>
      <c r="AB95" s="351"/>
    </row>
    <row r="96" spans="1:28" s="259" customFormat="1" ht="15.75" thickTop="1">
      <c r="A96" s="259" t="s">
        <v>772</v>
      </c>
      <c r="B96" s="243"/>
      <c r="C96" s="243"/>
      <c r="D96" s="347"/>
      <c r="E96" s="347"/>
      <c r="F96" s="347"/>
      <c r="G96" s="242"/>
      <c r="H96" s="242"/>
      <c r="I96" s="242"/>
      <c r="J96" s="244"/>
      <c r="K96" s="244"/>
      <c r="L96" s="243"/>
      <c r="M96" s="242"/>
      <c r="N96" s="244"/>
      <c r="O96" s="244"/>
      <c r="P96" s="347"/>
      <c r="Q96" s="242"/>
      <c r="R96" s="244"/>
      <c r="S96" s="244"/>
      <c r="T96" s="347"/>
      <c r="U96" s="242"/>
      <c r="V96" s="244"/>
      <c r="W96" s="244"/>
      <c r="X96" s="347"/>
      <c r="Y96" s="242"/>
      <c r="Z96" s="244"/>
      <c r="AA96" s="244"/>
      <c r="AB96" s="347"/>
    </row>
    <row r="97" spans="1:28" s="263" customFormat="1">
      <c r="A97" s="263" t="s">
        <v>789</v>
      </c>
      <c r="B97" s="264">
        <v>58214.213000000003</v>
      </c>
      <c r="C97" s="264">
        <v>105075.47100000001</v>
      </c>
      <c r="D97" s="354">
        <v>113358.378</v>
      </c>
      <c r="E97" s="354">
        <v>120805.238</v>
      </c>
      <c r="F97" s="354">
        <v>127167.93700000001</v>
      </c>
      <c r="G97" s="258"/>
      <c r="H97" s="258"/>
      <c r="I97" s="258"/>
      <c r="J97" s="265"/>
      <c r="K97" s="265"/>
      <c r="L97" s="264"/>
      <c r="M97" s="258"/>
      <c r="N97" s="265"/>
      <c r="O97" s="265"/>
      <c r="P97" s="354">
        <v>105075.47100000001</v>
      </c>
      <c r="Q97" s="258">
        <v>105060.902</v>
      </c>
      <c r="R97" s="265">
        <v>106559.436</v>
      </c>
      <c r="S97" s="265"/>
      <c r="T97" s="354"/>
      <c r="U97" s="258"/>
      <c r="V97" s="265"/>
      <c r="W97" s="265"/>
      <c r="X97" s="354"/>
      <c r="Y97" s="258"/>
      <c r="Z97" s="265"/>
      <c r="AA97" s="265"/>
      <c r="AB97" s="354"/>
    </row>
    <row r="98" spans="1:28" s="263" customFormat="1">
      <c r="A98" s="263" t="s">
        <v>790</v>
      </c>
      <c r="B98" s="264">
        <v>0</v>
      </c>
      <c r="C98" s="264">
        <v>0</v>
      </c>
      <c r="D98" s="354">
        <v>0</v>
      </c>
      <c r="E98" s="354">
        <v>1838.097</v>
      </c>
      <c r="F98" s="354">
        <v>2434.3879999999999</v>
      </c>
      <c r="G98" s="258"/>
      <c r="H98" s="258"/>
      <c r="I98" s="258"/>
      <c r="J98" s="265"/>
      <c r="K98" s="265"/>
      <c r="L98" s="264"/>
      <c r="M98" s="258"/>
      <c r="N98" s="265"/>
      <c r="O98" s="265"/>
      <c r="P98" s="354"/>
      <c r="Q98" s="258"/>
      <c r="R98" s="265"/>
      <c r="S98" s="265"/>
      <c r="T98" s="354"/>
      <c r="U98" s="258"/>
      <c r="V98" s="265"/>
      <c r="W98" s="265"/>
      <c r="X98" s="354"/>
      <c r="Y98" s="258"/>
      <c r="Z98" s="265"/>
      <c r="AA98" s="265"/>
      <c r="AB98" s="354"/>
    </row>
    <row r="99" spans="1:28" s="259" customFormat="1">
      <c r="A99" s="259" t="s">
        <v>772</v>
      </c>
      <c r="B99" s="243"/>
      <c r="C99" s="243"/>
      <c r="D99" s="347"/>
      <c r="E99" s="347"/>
      <c r="F99" s="347"/>
      <c r="G99" s="242"/>
      <c r="H99" s="242"/>
      <c r="I99" s="242"/>
      <c r="J99" s="244"/>
      <c r="K99" s="244"/>
      <c r="L99" s="243"/>
      <c r="M99" s="242"/>
      <c r="N99" s="244"/>
      <c r="O99" s="244"/>
      <c r="P99" s="347"/>
      <c r="Q99" s="242"/>
      <c r="R99" s="244"/>
      <c r="S99" s="244"/>
      <c r="T99" s="347"/>
      <c r="U99" s="242"/>
      <c r="V99" s="244"/>
      <c r="W99" s="244"/>
      <c r="X99" s="347"/>
      <c r="Y99" s="242"/>
      <c r="Z99" s="244"/>
      <c r="AA99" s="244"/>
      <c r="AB99" s="347"/>
    </row>
    <row r="100" spans="1:28" s="259" customFormat="1">
      <c r="A100" s="263" t="s">
        <v>791</v>
      </c>
      <c r="B100" s="243"/>
      <c r="C100" s="243"/>
      <c r="D100" s="347"/>
      <c r="E100" s="347"/>
      <c r="F100" s="347"/>
      <c r="G100" s="242"/>
      <c r="H100" s="242"/>
      <c r="I100" s="242"/>
      <c r="J100" s="244"/>
      <c r="K100" s="244"/>
      <c r="L100" s="243"/>
      <c r="M100" s="242"/>
      <c r="N100" s="244"/>
      <c r="O100" s="244"/>
      <c r="P100" s="347"/>
      <c r="Q100" s="242"/>
      <c r="R100" s="244"/>
      <c r="S100" s="244"/>
      <c r="T100" s="347"/>
      <c r="U100" s="242"/>
      <c r="V100" s="244"/>
      <c r="W100" s="244"/>
      <c r="X100" s="347"/>
      <c r="Y100" s="242"/>
      <c r="Z100" s="244"/>
      <c r="AA100" s="244"/>
      <c r="AB100" s="347"/>
    </row>
    <row r="101" spans="1:28" s="259" customFormat="1">
      <c r="A101" s="259" t="s">
        <v>792</v>
      </c>
      <c r="B101" s="243">
        <v>7032.0360000000001</v>
      </c>
      <c r="C101" s="243">
        <v>1791.924</v>
      </c>
      <c r="D101" s="347">
        <v>10123.627</v>
      </c>
      <c r="E101" s="347">
        <v>633.91099999999994</v>
      </c>
      <c r="F101" s="347">
        <v>1631.569</v>
      </c>
      <c r="G101" s="242"/>
      <c r="H101" s="242"/>
      <c r="I101" s="242"/>
      <c r="J101" s="244"/>
      <c r="K101" s="244"/>
      <c r="L101" s="243"/>
      <c r="M101" s="242"/>
      <c r="N101" s="244"/>
      <c r="O101" s="244"/>
      <c r="P101" s="347">
        <v>1791.924</v>
      </c>
      <c r="Q101" s="242">
        <v>2224.9299999999998</v>
      </c>
      <c r="R101" s="244">
        <v>1788.345</v>
      </c>
      <c r="S101" s="244"/>
      <c r="T101" s="347"/>
      <c r="U101" s="242"/>
      <c r="V101" s="244"/>
      <c r="W101" s="244"/>
      <c r="X101" s="347"/>
      <c r="Y101" s="242"/>
      <c r="Z101" s="244"/>
      <c r="AA101" s="244"/>
      <c r="AB101" s="347"/>
    </row>
    <row r="102" spans="1:28" s="259" customFormat="1">
      <c r="A102" s="259" t="s">
        <v>793</v>
      </c>
      <c r="B102" s="243">
        <v>8187.4809999999998</v>
      </c>
      <c r="C102" s="243">
        <v>2455.835</v>
      </c>
      <c r="D102" s="347">
        <v>2440.971</v>
      </c>
      <c r="E102" s="347">
        <v>3232.3969999999999</v>
      </c>
      <c r="F102" s="347">
        <v>5311.518</v>
      </c>
      <c r="G102" s="242"/>
      <c r="H102" s="242"/>
      <c r="I102" s="242"/>
      <c r="J102" s="244"/>
      <c r="K102" s="244"/>
      <c r="L102" s="243"/>
      <c r="M102" s="242"/>
      <c r="N102" s="244"/>
      <c r="O102" s="244"/>
      <c r="P102" s="347">
        <v>2455.835</v>
      </c>
      <c r="Q102" s="242">
        <v>2939.08</v>
      </c>
      <c r="R102" s="244">
        <v>2981.5079999999998</v>
      </c>
      <c r="S102" s="244"/>
      <c r="T102" s="347"/>
      <c r="U102" s="242"/>
      <c r="V102" s="244"/>
      <c r="W102" s="244"/>
      <c r="X102" s="347"/>
      <c r="Y102" s="242"/>
      <c r="Z102" s="244"/>
      <c r="AA102" s="244"/>
      <c r="AB102" s="347"/>
    </row>
    <row r="103" spans="1:28" s="259" customFormat="1">
      <c r="A103" s="259" t="s">
        <v>755</v>
      </c>
      <c r="B103" s="243">
        <v>72.084999999999994</v>
      </c>
      <c r="C103" s="243">
        <v>57.023000000000003</v>
      </c>
      <c r="D103" s="347">
        <v>100.01</v>
      </c>
      <c r="E103" s="347">
        <v>165.36199999999999</v>
      </c>
      <c r="F103" s="347">
        <v>159.88900000000001</v>
      </c>
      <c r="G103" s="242"/>
      <c r="H103" s="242"/>
      <c r="I103" s="242"/>
      <c r="J103" s="244"/>
      <c r="K103" s="244"/>
      <c r="L103" s="243"/>
      <c r="M103" s="242"/>
      <c r="N103" s="244"/>
      <c r="O103" s="244"/>
      <c r="P103" s="347">
        <v>57.023000000000003</v>
      </c>
      <c r="Q103" s="242">
        <v>68.694000000000003</v>
      </c>
      <c r="R103" s="244">
        <v>76.778000000000006</v>
      </c>
      <c r="S103" s="244"/>
      <c r="T103" s="347"/>
      <c r="U103" s="242"/>
      <c r="V103" s="244"/>
      <c r="W103" s="244"/>
      <c r="X103" s="347"/>
      <c r="Y103" s="242"/>
      <c r="Z103" s="244"/>
      <c r="AA103" s="244"/>
      <c r="AB103" s="347"/>
    </row>
    <row r="104" spans="1:28" s="259" customFormat="1">
      <c r="A104" s="259" t="s">
        <v>751</v>
      </c>
      <c r="B104" s="243">
        <v>60.767000000000003</v>
      </c>
      <c r="C104" s="243">
        <v>0</v>
      </c>
      <c r="D104" s="347">
        <v>104.488</v>
      </c>
      <c r="E104" s="347">
        <v>93.266000000000005</v>
      </c>
      <c r="F104" s="347">
        <v>122.28700000000001</v>
      </c>
      <c r="G104" s="242"/>
      <c r="H104" s="242"/>
      <c r="I104" s="242"/>
      <c r="J104" s="244"/>
      <c r="K104" s="244"/>
      <c r="L104" s="243"/>
      <c r="M104" s="242"/>
      <c r="N104" s="244"/>
      <c r="O104" s="244"/>
      <c r="P104" s="347">
        <v>0</v>
      </c>
      <c r="Q104" s="242">
        <v>92.22</v>
      </c>
      <c r="R104" s="244">
        <v>98.471999999999994</v>
      </c>
      <c r="S104" s="244"/>
      <c r="T104" s="347"/>
      <c r="U104" s="242"/>
      <c r="V104" s="244"/>
      <c r="W104" s="244"/>
      <c r="X104" s="347"/>
      <c r="Y104" s="242"/>
      <c r="Z104" s="244"/>
      <c r="AA104" s="244"/>
      <c r="AB104" s="347"/>
    </row>
    <row r="105" spans="1:28" s="263" customFormat="1">
      <c r="A105" s="274" t="s">
        <v>794</v>
      </c>
      <c r="B105" s="257">
        <f>SUM(B101:B104)</f>
        <v>15352.368999999999</v>
      </c>
      <c r="C105" s="257">
        <f>SUM(C101:C104)</f>
        <v>4304.7820000000002</v>
      </c>
      <c r="D105" s="349">
        <f>SUM(D101:D104)</f>
        <v>12769.096</v>
      </c>
      <c r="E105" s="349">
        <f>SUM(E101:E104)</f>
        <v>4124.9359999999997</v>
      </c>
      <c r="F105" s="349">
        <f>SUM(F101:F104)</f>
        <v>7225.2629999999999</v>
      </c>
      <c r="G105" s="258"/>
      <c r="H105" s="258"/>
      <c r="I105" s="256">
        <f>SUM(I101:I104)</f>
        <v>0</v>
      </c>
      <c r="J105" s="257"/>
      <c r="K105" s="257"/>
      <c r="L105" s="257">
        <f>SUM(L101:L104)</f>
        <v>0</v>
      </c>
      <c r="M105" s="256">
        <f>SUM(M101:M104)</f>
        <v>0</v>
      </c>
      <c r="N105" s="257"/>
      <c r="O105" s="257"/>
      <c r="P105" s="349">
        <f>SUM(P101:P104)</f>
        <v>4304.7820000000002</v>
      </c>
      <c r="Q105" s="256">
        <f>SUM(Q101:Q104)</f>
        <v>5324.9240000000009</v>
      </c>
      <c r="R105" s="257">
        <f>SUM(R101:R104)</f>
        <v>4945.1030000000001</v>
      </c>
      <c r="S105" s="257"/>
      <c r="T105" s="349"/>
      <c r="U105" s="256"/>
      <c r="V105" s="257"/>
      <c r="W105" s="257"/>
      <c r="X105" s="349"/>
      <c r="Y105" s="256"/>
      <c r="Z105" s="257"/>
      <c r="AA105" s="257"/>
      <c r="AB105" s="349"/>
    </row>
    <row r="106" spans="1:28" s="263" customFormat="1">
      <c r="B106" s="264"/>
      <c r="C106" s="264"/>
      <c r="D106" s="354"/>
      <c r="E106" s="354"/>
      <c r="F106" s="354"/>
      <c r="G106" s="258"/>
      <c r="H106" s="258"/>
      <c r="I106" s="258"/>
      <c r="J106" s="265"/>
      <c r="K106" s="265"/>
      <c r="L106" s="264"/>
      <c r="M106" s="258"/>
      <c r="N106" s="265"/>
      <c r="O106" s="265"/>
      <c r="P106" s="354"/>
      <c r="Q106" s="258"/>
      <c r="R106" s="265"/>
      <c r="S106" s="265"/>
      <c r="T106" s="354"/>
      <c r="U106" s="258"/>
      <c r="V106" s="265"/>
      <c r="W106" s="265"/>
      <c r="X106" s="354"/>
      <c r="Y106" s="258"/>
      <c r="Z106" s="265"/>
      <c r="AA106" s="265"/>
      <c r="AB106" s="354"/>
    </row>
    <row r="107" spans="1:28" s="259" customFormat="1">
      <c r="A107" s="263" t="s">
        <v>795</v>
      </c>
      <c r="B107" s="243"/>
      <c r="C107" s="243"/>
      <c r="D107" s="347"/>
      <c r="E107" s="347"/>
      <c r="F107" s="347"/>
      <c r="G107" s="242"/>
      <c r="H107" s="242"/>
      <c r="I107" s="242"/>
      <c r="J107" s="244"/>
      <c r="K107" s="244"/>
      <c r="L107" s="243"/>
      <c r="M107" s="242"/>
      <c r="N107" s="244"/>
      <c r="O107" s="244"/>
      <c r="P107" s="347"/>
      <c r="Q107" s="242"/>
      <c r="R107" s="244"/>
      <c r="S107" s="244"/>
      <c r="T107" s="347"/>
      <c r="U107" s="242"/>
      <c r="V107" s="244"/>
      <c r="W107" s="244"/>
      <c r="X107" s="347"/>
      <c r="Y107" s="242"/>
      <c r="Z107" s="244"/>
      <c r="AA107" s="244"/>
      <c r="AB107" s="347"/>
    </row>
    <row r="108" spans="1:28" s="259" customFormat="1">
      <c r="A108" s="259" t="s">
        <v>792</v>
      </c>
      <c r="B108" s="243">
        <v>27270.39</v>
      </c>
      <c r="C108" s="243">
        <v>34128.71</v>
      </c>
      <c r="D108" s="347">
        <v>44209.408000000003</v>
      </c>
      <c r="E108" s="347">
        <v>64172.642</v>
      </c>
      <c r="F108" s="347">
        <v>60239.108</v>
      </c>
      <c r="G108" s="242"/>
      <c r="H108" s="242"/>
      <c r="I108" s="242"/>
      <c r="J108" s="244"/>
      <c r="K108" s="244"/>
      <c r="L108" s="243"/>
      <c r="M108" s="242"/>
      <c r="N108" s="244"/>
      <c r="O108" s="244"/>
      <c r="P108" s="347">
        <v>34128.71</v>
      </c>
      <c r="Q108" s="242">
        <v>44292.248</v>
      </c>
      <c r="R108" s="244">
        <v>44755.271000000001</v>
      </c>
      <c r="S108" s="244"/>
      <c r="T108" s="347"/>
      <c r="U108" s="242"/>
      <c r="V108" s="244"/>
      <c r="W108" s="244"/>
      <c r="X108" s="347"/>
      <c r="Y108" s="242"/>
      <c r="Z108" s="244"/>
      <c r="AA108" s="244"/>
      <c r="AB108" s="347"/>
    </row>
    <row r="109" spans="1:28" s="259" customFormat="1">
      <c r="A109" s="259" t="s">
        <v>796</v>
      </c>
      <c r="B109" s="243">
        <v>0</v>
      </c>
      <c r="C109" s="243">
        <v>0</v>
      </c>
      <c r="D109" s="347">
        <v>0</v>
      </c>
      <c r="E109" s="347">
        <v>125.53</v>
      </c>
      <c r="F109" s="347">
        <v>107.169</v>
      </c>
      <c r="G109" s="242"/>
      <c r="H109" s="242"/>
      <c r="I109" s="242"/>
      <c r="J109" s="244"/>
      <c r="K109" s="244"/>
      <c r="L109" s="243"/>
      <c r="M109" s="242"/>
      <c r="N109" s="244"/>
      <c r="O109" s="244"/>
      <c r="P109" s="347"/>
      <c r="Q109" s="242"/>
      <c r="R109" s="244"/>
      <c r="S109" s="244"/>
      <c r="T109" s="347"/>
      <c r="U109" s="242"/>
      <c r="V109" s="244"/>
      <c r="W109" s="244"/>
      <c r="X109" s="347"/>
      <c r="Y109" s="242"/>
      <c r="Z109" s="244"/>
      <c r="AA109" s="244"/>
      <c r="AB109" s="347"/>
    </row>
    <row r="110" spans="1:28" s="259" customFormat="1">
      <c r="A110" s="259" t="s">
        <v>785</v>
      </c>
      <c r="B110" s="243">
        <v>0</v>
      </c>
      <c r="C110" s="243">
        <v>0</v>
      </c>
      <c r="D110" s="347">
        <v>0</v>
      </c>
      <c r="E110" s="347">
        <v>0</v>
      </c>
      <c r="F110" s="347">
        <v>702.51499999999999</v>
      </c>
      <c r="G110" s="242"/>
      <c r="H110" s="242"/>
      <c r="I110" s="242"/>
      <c r="J110" s="244"/>
      <c r="K110" s="244"/>
      <c r="L110" s="243"/>
      <c r="M110" s="242"/>
      <c r="N110" s="244"/>
      <c r="O110" s="244"/>
      <c r="P110" s="347"/>
      <c r="Q110" s="242"/>
      <c r="R110" s="244"/>
      <c r="S110" s="244"/>
      <c r="T110" s="347"/>
      <c r="U110" s="242"/>
      <c r="V110" s="244"/>
      <c r="W110" s="244"/>
      <c r="X110" s="347"/>
      <c r="Y110" s="242"/>
      <c r="Z110" s="244"/>
      <c r="AA110" s="244"/>
      <c r="AB110" s="347"/>
    </row>
    <row r="111" spans="1:28" s="259" customFormat="1">
      <c r="A111" s="259" t="s">
        <v>797</v>
      </c>
      <c r="B111" s="243">
        <v>389.57799999999997</v>
      </c>
      <c r="C111" s="243">
        <v>474.80900000000003</v>
      </c>
      <c r="D111" s="347">
        <v>702.303</v>
      </c>
      <c r="E111" s="347">
        <v>825.06700000000001</v>
      </c>
      <c r="F111" s="347">
        <v>837.125</v>
      </c>
      <c r="G111" s="242"/>
      <c r="H111" s="242"/>
      <c r="I111" s="242"/>
      <c r="J111" s="244"/>
      <c r="K111" s="244"/>
      <c r="L111" s="243"/>
      <c r="M111" s="242"/>
      <c r="N111" s="244"/>
      <c r="O111" s="244"/>
      <c r="P111" s="347">
        <v>474.80900000000003</v>
      </c>
      <c r="Q111" s="242">
        <v>515.596</v>
      </c>
      <c r="R111" s="244">
        <v>626.31799999999998</v>
      </c>
      <c r="S111" s="244"/>
      <c r="T111" s="347"/>
      <c r="U111" s="242"/>
      <c r="V111" s="244"/>
      <c r="W111" s="244"/>
      <c r="X111" s="347"/>
      <c r="Y111" s="242"/>
      <c r="Z111" s="244"/>
      <c r="AA111" s="244"/>
      <c r="AB111" s="347"/>
    </row>
    <row r="112" spans="1:28" s="259" customFormat="1">
      <c r="A112" s="259" t="s">
        <v>798</v>
      </c>
      <c r="B112" s="243">
        <v>103.44499999999999</v>
      </c>
      <c r="C112" s="243">
        <v>159.17400000000001</v>
      </c>
      <c r="D112" s="347">
        <v>261.96800000000002</v>
      </c>
      <c r="E112" s="347">
        <v>135.46700000000001</v>
      </c>
      <c r="F112" s="347">
        <v>166.16399999999999</v>
      </c>
      <c r="G112" s="242"/>
      <c r="H112" s="242"/>
      <c r="I112" s="242"/>
      <c r="J112" s="244"/>
      <c r="K112" s="244"/>
      <c r="L112" s="243"/>
      <c r="M112" s="242"/>
      <c r="N112" s="244"/>
      <c r="O112" s="244"/>
      <c r="P112" s="347">
        <v>159.17400000000001</v>
      </c>
      <c r="Q112" s="242">
        <v>171.107</v>
      </c>
      <c r="R112" s="244">
        <v>226.762</v>
      </c>
      <c r="S112" s="244"/>
      <c r="T112" s="347"/>
      <c r="U112" s="242"/>
      <c r="V112" s="244"/>
      <c r="W112" s="244"/>
      <c r="X112" s="347"/>
      <c r="Y112" s="242"/>
      <c r="Z112" s="244"/>
      <c r="AA112" s="244"/>
      <c r="AB112" s="347"/>
    </row>
    <row r="113" spans="1:28" s="263" customFormat="1">
      <c r="A113" s="274" t="s">
        <v>799</v>
      </c>
      <c r="B113" s="257">
        <f>SUM(B108:B112)</f>
        <v>27763.413</v>
      </c>
      <c r="C113" s="257">
        <f>SUM(C108:C112)</f>
        <v>34762.692999999999</v>
      </c>
      <c r="D113" s="349">
        <f>SUM(D108:D112)</f>
        <v>45173.679000000004</v>
      </c>
      <c r="E113" s="349">
        <f>SUM(E108:E112)</f>
        <v>65258.705999999998</v>
      </c>
      <c r="F113" s="349">
        <f>SUM(F108:F112)</f>
        <v>62052.080999999998</v>
      </c>
      <c r="G113" s="258"/>
      <c r="H113" s="258"/>
      <c r="I113" s="256">
        <f>SUM(I108:I112)</f>
        <v>0</v>
      </c>
      <c r="J113" s="257"/>
      <c r="K113" s="257"/>
      <c r="L113" s="257">
        <f>SUM(L108:L112)</f>
        <v>0</v>
      </c>
      <c r="M113" s="256">
        <f>SUM(M108:M112)</f>
        <v>0</v>
      </c>
      <c r="N113" s="257"/>
      <c r="O113" s="257"/>
      <c r="P113" s="349">
        <f>SUM(P108:P112)</f>
        <v>34762.692999999999</v>
      </c>
      <c r="Q113" s="256">
        <f>SUM(Q108:Q112)</f>
        <v>44978.951000000001</v>
      </c>
      <c r="R113" s="257">
        <f>SUM(R108:R112)</f>
        <v>45608.351000000002</v>
      </c>
      <c r="S113" s="257"/>
      <c r="T113" s="349"/>
      <c r="U113" s="256"/>
      <c r="V113" s="257"/>
      <c r="W113" s="257"/>
      <c r="X113" s="349"/>
      <c r="Y113" s="256"/>
      <c r="Z113" s="257"/>
      <c r="AA113" s="257"/>
      <c r="AB113" s="349"/>
    </row>
    <row r="114" spans="1:28" s="259" customFormat="1">
      <c r="A114" s="259" t="s">
        <v>772</v>
      </c>
      <c r="B114" s="243"/>
      <c r="C114" s="243"/>
      <c r="D114" s="347"/>
      <c r="E114" s="347"/>
      <c r="F114" s="347"/>
      <c r="G114" s="242"/>
      <c r="H114" s="242"/>
      <c r="I114" s="242"/>
      <c r="J114" s="244"/>
      <c r="K114" s="244"/>
      <c r="L114" s="243"/>
      <c r="M114" s="242"/>
      <c r="N114" s="244"/>
      <c r="O114" s="244"/>
      <c r="P114" s="347"/>
      <c r="Q114" s="242"/>
      <c r="R114" s="244"/>
      <c r="S114" s="244"/>
      <c r="T114" s="347"/>
      <c r="U114" s="242"/>
      <c r="V114" s="244"/>
      <c r="W114" s="244"/>
      <c r="X114" s="347"/>
      <c r="Y114" s="242"/>
      <c r="Z114" s="244"/>
      <c r="AA114" s="244"/>
      <c r="AB114" s="347"/>
    </row>
    <row r="115" spans="1:28" s="263" customFormat="1" ht="15.75" thickBot="1">
      <c r="A115" s="266" t="s">
        <v>800</v>
      </c>
      <c r="B115" s="351">
        <f>B97+B113+B105+B98</f>
        <v>101329.995</v>
      </c>
      <c r="C115" s="351">
        <f>C97+C113+C105+C98</f>
        <v>144142.946</v>
      </c>
      <c r="D115" s="351">
        <f>D97+D113+D105+D98</f>
        <v>171301.15299999999</v>
      </c>
      <c r="E115" s="351">
        <f>E97+E113+E105+E98</f>
        <v>192026.97699999998</v>
      </c>
      <c r="F115" s="351">
        <f>F97+F113+F105+F98</f>
        <v>198879.66900000002</v>
      </c>
      <c r="G115" s="258"/>
      <c r="H115" s="258"/>
      <c r="I115" s="267">
        <f>I97+I113+I105</f>
        <v>0</v>
      </c>
      <c r="J115" s="268"/>
      <c r="K115" s="268"/>
      <c r="L115" s="268">
        <f>L97+L113+L105</f>
        <v>0</v>
      </c>
      <c r="M115" s="267">
        <f>M97+M113+M105</f>
        <v>0</v>
      </c>
      <c r="N115" s="268"/>
      <c r="O115" s="268"/>
      <c r="P115" s="351">
        <f>P97+P113+P105</f>
        <v>144142.946</v>
      </c>
      <c r="Q115" s="267">
        <f>Q97+Q113+Q105</f>
        <v>155364.777</v>
      </c>
      <c r="R115" s="268">
        <f>R97+R113+R105</f>
        <v>157112.89000000001</v>
      </c>
      <c r="S115" s="268"/>
      <c r="T115" s="351"/>
      <c r="U115" s="267"/>
      <c r="V115" s="268"/>
      <c r="W115" s="268"/>
      <c r="X115" s="351"/>
      <c r="Y115" s="267"/>
      <c r="Z115" s="268"/>
      <c r="AA115" s="268"/>
      <c r="AB115" s="351"/>
    </row>
    <row r="116" spans="1:28" s="259" customFormat="1" ht="15.75" thickTop="1">
      <c r="A116" s="275" t="s">
        <v>776</v>
      </c>
      <c r="B116" s="277">
        <f>B95-B115</f>
        <v>-9.9999999991268851E-2</v>
      </c>
      <c r="C116" s="277">
        <f>C95-C115</f>
        <v>0</v>
      </c>
      <c r="D116" s="355">
        <f>D95-D115</f>
        <v>0</v>
      </c>
      <c r="E116" s="355">
        <f>E95-E115</f>
        <v>0</v>
      </c>
      <c r="F116" s="355">
        <f>F95-F115</f>
        <v>0</v>
      </c>
      <c r="G116" s="260"/>
      <c r="H116" s="260"/>
      <c r="I116" s="276">
        <f>I95-I115</f>
        <v>0</v>
      </c>
      <c r="J116" s="278"/>
      <c r="K116" s="278"/>
      <c r="L116" s="277">
        <f>L95-L115</f>
        <v>0</v>
      </c>
      <c r="M116" s="276">
        <f>M95-M115</f>
        <v>0</v>
      </c>
      <c r="N116" s="278"/>
      <c r="O116" s="278"/>
      <c r="P116" s="355">
        <f>P95-P115</f>
        <v>0</v>
      </c>
      <c r="Q116" s="276">
        <f>Q95-Q115</f>
        <v>0</v>
      </c>
      <c r="R116" s="278">
        <f>R95-R115</f>
        <v>0</v>
      </c>
      <c r="S116" s="278"/>
      <c r="T116" s="355"/>
      <c r="U116" s="276"/>
      <c r="V116" s="278"/>
      <c r="W116" s="278"/>
      <c r="X116" s="355"/>
      <c r="Y116" s="276"/>
      <c r="Z116" s="278"/>
      <c r="AA116" s="278"/>
      <c r="AB116" s="355"/>
    </row>
    <row r="117" spans="1:28" s="259" customFormat="1">
      <c r="A117" s="275"/>
      <c r="B117" s="277"/>
      <c r="C117" s="277"/>
      <c r="D117" s="355"/>
      <c r="E117" s="355"/>
      <c r="F117" s="355"/>
      <c r="G117" s="260"/>
      <c r="H117" s="260"/>
      <c r="I117" s="276"/>
      <c r="J117" s="278"/>
      <c r="K117" s="278"/>
      <c r="L117" s="277"/>
      <c r="M117" s="276"/>
      <c r="N117" s="278"/>
      <c r="O117" s="278"/>
      <c r="P117" s="355"/>
      <c r="Q117" s="276"/>
      <c r="R117" s="278"/>
      <c r="S117" s="278"/>
      <c r="T117" s="355"/>
      <c r="U117" s="276"/>
      <c r="V117" s="278"/>
      <c r="W117" s="278"/>
      <c r="X117" s="355"/>
      <c r="Y117" s="276"/>
      <c r="Z117" s="278"/>
      <c r="AA117" s="278"/>
      <c r="AB117" s="355"/>
    </row>
    <row r="118" spans="1:28" s="281" customFormat="1">
      <c r="A118" s="279" t="s">
        <v>801</v>
      </c>
      <c r="B118" s="233">
        <f>B3</f>
        <v>41634</v>
      </c>
      <c r="C118" s="233">
        <f>C3</f>
        <v>41994</v>
      </c>
      <c r="D118" s="374">
        <f>D3</f>
        <v>42354</v>
      </c>
      <c r="E118" s="350">
        <f>E3</f>
        <v>42714</v>
      </c>
      <c r="F118" s="374">
        <f>F3</f>
        <v>42887</v>
      </c>
      <c r="G118" s="280"/>
      <c r="H118" s="280"/>
      <c r="I118" s="337">
        <f t="shared" ref="I118:AB118" si="18">I3</f>
        <v>41364</v>
      </c>
      <c r="J118" s="337">
        <f t="shared" si="18"/>
        <v>41454</v>
      </c>
      <c r="K118" s="337">
        <f t="shared" si="18"/>
        <v>41544</v>
      </c>
      <c r="L118" s="337">
        <f t="shared" si="18"/>
        <v>41634</v>
      </c>
      <c r="M118" s="337">
        <f t="shared" si="18"/>
        <v>41724</v>
      </c>
      <c r="N118" s="337">
        <f t="shared" si="18"/>
        <v>41814</v>
      </c>
      <c r="O118" s="337">
        <f t="shared" si="18"/>
        <v>41904</v>
      </c>
      <c r="P118" s="373">
        <f t="shared" si="18"/>
        <v>41994</v>
      </c>
      <c r="Q118" s="337">
        <f t="shared" si="18"/>
        <v>42084</v>
      </c>
      <c r="R118" s="337">
        <f t="shared" si="18"/>
        <v>42174</v>
      </c>
      <c r="S118" s="337">
        <f t="shared" si="18"/>
        <v>42264</v>
      </c>
      <c r="T118" s="373">
        <f t="shared" si="18"/>
        <v>42354</v>
      </c>
      <c r="U118" s="337">
        <f t="shared" si="18"/>
        <v>42444</v>
      </c>
      <c r="V118" s="337">
        <f t="shared" si="18"/>
        <v>42534</v>
      </c>
      <c r="W118" s="337">
        <f t="shared" si="18"/>
        <v>42624</v>
      </c>
      <c r="X118" s="373">
        <f t="shared" si="18"/>
        <v>42714</v>
      </c>
      <c r="Y118" s="337">
        <f t="shared" si="18"/>
        <v>42804</v>
      </c>
      <c r="Z118" s="337">
        <f t="shared" si="18"/>
        <v>42894</v>
      </c>
      <c r="AA118" s="337">
        <f t="shared" si="18"/>
        <v>42984</v>
      </c>
      <c r="AB118" s="373">
        <f t="shared" si="18"/>
        <v>43074</v>
      </c>
    </row>
    <row r="119" spans="1:28" s="259" customFormat="1">
      <c r="A119" s="259" t="s">
        <v>703</v>
      </c>
      <c r="B119" s="243">
        <v>1109.367</v>
      </c>
      <c r="C119" s="243">
        <v>2096.9250000000002</v>
      </c>
      <c r="D119" s="347">
        <f>SUM(Q119:T119)</f>
        <v>2586.5070000000001</v>
      </c>
      <c r="E119" s="347"/>
      <c r="F119" s="347"/>
      <c r="G119" s="242"/>
      <c r="H119" s="242"/>
      <c r="I119" s="242"/>
      <c r="J119" s="244"/>
      <c r="K119" s="244"/>
      <c r="L119" s="244"/>
      <c r="M119" s="242">
        <v>378.45</v>
      </c>
      <c r="N119" s="244">
        <v>551.5</v>
      </c>
      <c r="O119" s="244"/>
      <c r="P119" s="347">
        <v>516.11300000000006</v>
      </c>
      <c r="Q119" s="242">
        <v>590.30700000000002</v>
      </c>
      <c r="R119" s="244">
        <v>637.4</v>
      </c>
      <c r="S119" s="244">
        <v>670.7</v>
      </c>
      <c r="T119" s="347">
        <v>688.1</v>
      </c>
      <c r="U119" s="242"/>
      <c r="V119" s="244"/>
      <c r="W119" s="244"/>
      <c r="X119" s="347"/>
      <c r="Y119" s="242"/>
      <c r="Z119" s="244">
        <v>806.32</v>
      </c>
      <c r="AA119" s="244"/>
      <c r="AB119" s="347"/>
    </row>
    <row r="120" spans="1:28" s="259" customFormat="1">
      <c r="A120" s="259" t="s">
        <v>702</v>
      </c>
      <c r="B120" s="243">
        <v>1547.962</v>
      </c>
      <c r="C120" s="243">
        <v>3355.08</v>
      </c>
      <c r="D120" s="347">
        <f>SUM(Q120:T120)</f>
        <v>4265.6570000000002</v>
      </c>
      <c r="E120" s="347"/>
      <c r="F120" s="347"/>
      <c r="G120" s="242"/>
      <c r="H120" s="242"/>
      <c r="I120" s="242"/>
      <c r="J120" s="244"/>
      <c r="K120" s="244"/>
      <c r="L120" s="244"/>
      <c r="M120" s="242">
        <v>859.59799999999996</v>
      </c>
      <c r="N120" s="244">
        <v>872.4</v>
      </c>
      <c r="O120" s="244"/>
      <c r="P120" s="347">
        <v>1184.796</v>
      </c>
      <c r="Q120" s="242">
        <v>1129.057</v>
      </c>
      <c r="R120" s="244">
        <v>1009</v>
      </c>
      <c r="S120" s="244">
        <v>1030.8</v>
      </c>
      <c r="T120" s="347">
        <v>1096.8</v>
      </c>
      <c r="U120" s="242"/>
      <c r="V120" s="244"/>
      <c r="W120" s="244"/>
      <c r="X120" s="347"/>
      <c r="Y120" s="242"/>
      <c r="Z120" s="244">
        <v>1794.5930000000001</v>
      </c>
      <c r="AA120" s="244"/>
      <c r="AB120" s="347"/>
    </row>
    <row r="121" spans="1:28" s="259" customFormat="1">
      <c r="A121" s="259" t="s">
        <v>704</v>
      </c>
      <c r="B121" s="243">
        <v>908.98199999999997</v>
      </c>
      <c r="C121" s="243">
        <v>1537.7460000000001</v>
      </c>
      <c r="D121" s="347">
        <f>SUM(Q121:T121)</f>
        <v>1916.8789999999999</v>
      </c>
      <c r="E121" s="347"/>
      <c r="F121" s="347"/>
      <c r="G121" s="242"/>
      <c r="H121" s="242"/>
      <c r="I121" s="242"/>
      <c r="J121" s="244"/>
      <c r="K121" s="244"/>
      <c r="L121" s="244"/>
      <c r="M121" s="242">
        <v>247.262</v>
      </c>
      <c r="N121" s="244">
        <v>414.7</v>
      </c>
      <c r="O121" s="244"/>
      <c r="P121" s="347">
        <v>261.52199999999999</v>
      </c>
      <c r="Q121" s="242">
        <v>312.67899999999997</v>
      </c>
      <c r="R121" s="244">
        <v>482</v>
      </c>
      <c r="S121" s="244">
        <v>518.6</v>
      </c>
      <c r="T121" s="347">
        <v>603.6</v>
      </c>
      <c r="U121" s="242"/>
      <c r="V121" s="244"/>
      <c r="W121" s="244"/>
      <c r="X121" s="347"/>
      <c r="Y121" s="242"/>
      <c r="Z121" s="244">
        <v>596.80600000000004</v>
      </c>
      <c r="AA121" s="244"/>
      <c r="AB121" s="347"/>
    </row>
    <row r="122" spans="1:28" s="263" customFormat="1" ht="15.75" thickBot="1">
      <c r="A122" s="266" t="s">
        <v>4</v>
      </c>
      <c r="B122" s="268">
        <f>SUM(B119:B121)</f>
        <v>3566.3109999999997</v>
      </c>
      <c r="C122" s="268">
        <f>SUM(C119:C121)</f>
        <v>6989.7510000000002</v>
      </c>
      <c r="D122" s="351">
        <f>SUM(D119:D121)</f>
        <v>8769.0430000000015</v>
      </c>
      <c r="E122" s="351">
        <f>SUM(E119:E121)</f>
        <v>0</v>
      </c>
      <c r="F122" s="351">
        <f>SUM(F119:F121)</f>
        <v>0</v>
      </c>
      <c r="G122" s="258"/>
      <c r="H122" s="258"/>
      <c r="I122" s="267">
        <f>SUM(I119:I121)</f>
        <v>0</v>
      </c>
      <c r="J122" s="268"/>
      <c r="K122" s="268"/>
      <c r="L122" s="268">
        <f>SUM(L119:L121)</f>
        <v>0</v>
      </c>
      <c r="M122" s="267">
        <f>SUM(M119:M121)</f>
        <v>1485.31</v>
      </c>
      <c r="N122" s="268"/>
      <c r="O122" s="268"/>
      <c r="P122" s="351">
        <f>SUM(P119:P121)</f>
        <v>1962.431</v>
      </c>
      <c r="Q122" s="267">
        <f>SUM(Q119:Q121)</f>
        <v>2032.0430000000001</v>
      </c>
      <c r="R122" s="268">
        <f>SUM(R119:R121)</f>
        <v>2128.4</v>
      </c>
      <c r="S122" s="268">
        <f>SUM(S119:S121)</f>
        <v>2220.1</v>
      </c>
      <c r="T122" s="351">
        <f>SUM(T119:T121)</f>
        <v>2388.5</v>
      </c>
      <c r="U122" s="267"/>
      <c r="V122" s="268">
        <f>SUM(V119:V121)</f>
        <v>0</v>
      </c>
      <c r="W122" s="268"/>
      <c r="X122" s="351"/>
      <c r="Y122" s="267">
        <f>SUM(Y119:Y121)</f>
        <v>0</v>
      </c>
      <c r="Z122" s="268">
        <f>SUM(Z119:Z121)</f>
        <v>3197.7190000000001</v>
      </c>
      <c r="AA122" s="268"/>
      <c r="AB122" s="351"/>
    </row>
    <row r="123" spans="1:28" ht="15.75" thickTop="1">
      <c r="B123" s="282">
        <f>SUM(B5:B8)-B122</f>
        <v>337.79100000000017</v>
      </c>
      <c r="C123" s="282">
        <f>SUM(C5:C8)-C122</f>
        <v>832.22899999999936</v>
      </c>
      <c r="D123" s="356">
        <f>SUM(D5:D8)-D122</f>
        <v>1955.8549999999996</v>
      </c>
      <c r="E123" s="356"/>
      <c r="F123" s="356"/>
      <c r="I123" s="245">
        <f t="shared" ref="I123:R123" si="19">SUM(I5:I8)-I122</f>
        <v>0</v>
      </c>
      <c r="J123" s="246">
        <f t="shared" si="19"/>
        <v>0</v>
      </c>
      <c r="K123" s="246">
        <f t="shared" si="19"/>
        <v>0</v>
      </c>
      <c r="L123" s="246">
        <f t="shared" si="19"/>
        <v>0</v>
      </c>
      <c r="M123" s="245">
        <f t="shared" si="19"/>
        <v>212.63300000000004</v>
      </c>
      <c r="N123" s="246">
        <f t="shared" si="19"/>
        <v>1982.0990000000002</v>
      </c>
      <c r="O123" s="246">
        <f t="shared" si="19"/>
        <v>0</v>
      </c>
      <c r="P123" s="356">
        <f t="shared" si="19"/>
        <v>-1962.431</v>
      </c>
      <c r="Q123" s="245">
        <f t="shared" si="19"/>
        <v>193.45899999999983</v>
      </c>
      <c r="R123" s="245">
        <f t="shared" si="19"/>
        <v>380.80200000000013</v>
      </c>
      <c r="S123" s="246"/>
      <c r="T123" s="356"/>
      <c r="U123" s="245"/>
      <c r="V123" s="245"/>
      <c r="W123" s="246"/>
      <c r="X123" s="356"/>
      <c r="Y123" s="245"/>
      <c r="Z123" s="245"/>
      <c r="AA123" s="246"/>
      <c r="AB123" s="356"/>
    </row>
    <row r="124" spans="1:28" s="281" customFormat="1">
      <c r="A124" s="279" t="s">
        <v>802</v>
      </c>
      <c r="B124" s="233">
        <f>B118</f>
        <v>41634</v>
      </c>
      <c r="C124" s="233">
        <f>C118</f>
        <v>41994</v>
      </c>
      <c r="D124" s="374">
        <f>D118</f>
        <v>42354</v>
      </c>
      <c r="E124" s="350">
        <f>E118</f>
        <v>42714</v>
      </c>
      <c r="F124" s="374">
        <f>F118</f>
        <v>42887</v>
      </c>
      <c r="G124" s="280"/>
      <c r="H124" s="280"/>
      <c r="I124" s="233">
        <f>I118</f>
        <v>41364</v>
      </c>
      <c r="J124" s="233">
        <f t="shared" ref="J124:AB124" si="20">J118</f>
        <v>41454</v>
      </c>
      <c r="K124" s="233">
        <f t="shared" si="20"/>
        <v>41544</v>
      </c>
      <c r="L124" s="233">
        <f t="shared" si="20"/>
        <v>41634</v>
      </c>
      <c r="M124" s="233">
        <f t="shared" si="20"/>
        <v>41724</v>
      </c>
      <c r="N124" s="233">
        <f t="shared" si="20"/>
        <v>41814</v>
      </c>
      <c r="O124" s="233">
        <f t="shared" si="20"/>
        <v>41904</v>
      </c>
      <c r="P124" s="374">
        <f t="shared" si="20"/>
        <v>41994</v>
      </c>
      <c r="Q124" s="233">
        <f t="shared" si="20"/>
        <v>42084</v>
      </c>
      <c r="R124" s="233">
        <f t="shared" si="20"/>
        <v>42174</v>
      </c>
      <c r="S124" s="233">
        <f t="shared" si="20"/>
        <v>42264</v>
      </c>
      <c r="T124" s="374">
        <f t="shared" si="20"/>
        <v>42354</v>
      </c>
      <c r="U124" s="233">
        <f t="shared" si="20"/>
        <v>42444</v>
      </c>
      <c r="V124" s="233">
        <f t="shared" si="20"/>
        <v>42534</v>
      </c>
      <c r="W124" s="233">
        <f t="shared" si="20"/>
        <v>42624</v>
      </c>
      <c r="X124" s="374">
        <f t="shared" si="20"/>
        <v>42714</v>
      </c>
      <c r="Y124" s="233">
        <f t="shared" si="20"/>
        <v>42804</v>
      </c>
      <c r="Z124" s="233">
        <f t="shared" si="20"/>
        <v>42894</v>
      </c>
      <c r="AA124" s="233">
        <f t="shared" si="20"/>
        <v>42984</v>
      </c>
      <c r="AB124" s="374">
        <f t="shared" si="20"/>
        <v>43074</v>
      </c>
    </row>
    <row r="125" spans="1:28" s="251" customFormat="1">
      <c r="A125" s="259" t="s">
        <v>703</v>
      </c>
      <c r="B125" s="314">
        <f t="shared" ref="B125:D127" si="21">B119/B$122</f>
        <v>0.31106849626967475</v>
      </c>
      <c r="C125" s="314">
        <f t="shared" si="21"/>
        <v>0.2999999570800162</v>
      </c>
      <c r="D125" s="357">
        <f t="shared" si="21"/>
        <v>0.29495886837366397</v>
      </c>
      <c r="E125" s="357" t="e">
        <f t="shared" ref="E125:F127" si="22">E119/E$122</f>
        <v>#DIV/0!</v>
      </c>
      <c r="F125" s="357" t="e">
        <f t="shared" si="22"/>
        <v>#DIV/0!</v>
      </c>
      <c r="G125" s="315"/>
      <c r="H125" s="315"/>
      <c r="I125" s="313" t="e">
        <f>I119/I$122</f>
        <v>#DIV/0!</v>
      </c>
      <c r="J125" s="314"/>
      <c r="K125" s="314"/>
      <c r="L125" s="314" t="e">
        <f t="shared" ref="L125:M127" si="23">L119/L$122</f>
        <v>#DIV/0!</v>
      </c>
      <c r="M125" s="313">
        <f t="shared" si="23"/>
        <v>0.25479529525822892</v>
      </c>
      <c r="N125" s="314" t="e">
        <f t="shared" ref="N125:O127" si="24">N119/N$122</f>
        <v>#DIV/0!</v>
      </c>
      <c r="O125" s="314" t="e">
        <f t="shared" si="24"/>
        <v>#DIV/0!</v>
      </c>
      <c r="P125" s="357">
        <f t="shared" ref="P125:R127" si="25">P119/P$122</f>
        <v>0.2629967626887264</v>
      </c>
      <c r="Q125" s="313">
        <f t="shared" si="25"/>
        <v>0.29049926600962678</v>
      </c>
      <c r="R125" s="314">
        <f t="shared" si="25"/>
        <v>0.299473783123473</v>
      </c>
      <c r="S125" s="314">
        <f t="shared" ref="S125:T127" si="26">S119/S$122</f>
        <v>0.30210350885095272</v>
      </c>
      <c r="T125" s="357">
        <f t="shared" si="26"/>
        <v>0.28808875863512667</v>
      </c>
      <c r="U125" s="313"/>
      <c r="V125" s="314" t="e">
        <f>V119/V$122</f>
        <v>#DIV/0!</v>
      </c>
      <c r="W125" s="314"/>
      <c r="X125" s="357"/>
      <c r="Y125" s="313"/>
      <c r="Z125" s="314">
        <f>Z119/Z$122</f>
        <v>0.25215473904992902</v>
      </c>
      <c r="AA125" s="314"/>
      <c r="AB125" s="357"/>
    </row>
    <row r="126" spans="1:28" s="251" customFormat="1">
      <c r="A126" s="259" t="s">
        <v>702</v>
      </c>
      <c r="B126" s="314">
        <f t="shared" si="21"/>
        <v>0.43405132081862746</v>
      </c>
      <c r="C126" s="314">
        <f t="shared" si="21"/>
        <v>0.47999993132802582</v>
      </c>
      <c r="D126" s="357">
        <f t="shared" si="21"/>
        <v>0.48644498607202624</v>
      </c>
      <c r="E126" s="357" t="e">
        <f t="shared" si="22"/>
        <v>#DIV/0!</v>
      </c>
      <c r="F126" s="357" t="e">
        <f t="shared" si="22"/>
        <v>#DIV/0!</v>
      </c>
      <c r="G126" s="315"/>
      <c r="H126" s="315"/>
      <c r="I126" s="313" t="e">
        <f>I120/I$122</f>
        <v>#DIV/0!</v>
      </c>
      <c r="J126" s="314"/>
      <c r="K126" s="314"/>
      <c r="L126" s="314" t="e">
        <f t="shared" si="23"/>
        <v>#DIV/0!</v>
      </c>
      <c r="M126" s="313">
        <f t="shared" si="23"/>
        <v>0.57873305909204142</v>
      </c>
      <c r="N126" s="314" t="e">
        <f t="shared" si="24"/>
        <v>#DIV/0!</v>
      </c>
      <c r="O126" s="314" t="e">
        <f t="shared" si="24"/>
        <v>#DIV/0!</v>
      </c>
      <c r="P126" s="357">
        <f t="shared" si="25"/>
        <v>0.60373893400583256</v>
      </c>
      <c r="Q126" s="313">
        <f t="shared" si="25"/>
        <v>0.55562652955670722</v>
      </c>
      <c r="R126" s="314">
        <f t="shared" si="25"/>
        <v>0.47406502537117079</v>
      </c>
      <c r="S126" s="314">
        <f t="shared" si="26"/>
        <v>0.46430340975631729</v>
      </c>
      <c r="T126" s="357">
        <f t="shared" si="26"/>
        <v>0.45920033493824575</v>
      </c>
      <c r="U126" s="313"/>
      <c r="V126" s="314" t="e">
        <f>V120/V$122</f>
        <v>#DIV/0!</v>
      </c>
      <c r="W126" s="314"/>
      <c r="X126" s="357"/>
      <c r="Y126" s="313"/>
      <c r="Z126" s="314">
        <f>Z120/Z$122</f>
        <v>0.56121035025278954</v>
      </c>
      <c r="AA126" s="314"/>
      <c r="AB126" s="357"/>
    </row>
    <row r="127" spans="1:28" s="251" customFormat="1">
      <c r="A127" s="259" t="s">
        <v>704</v>
      </c>
      <c r="B127" s="314">
        <f t="shared" si="21"/>
        <v>0.25488018291169784</v>
      </c>
      <c r="C127" s="314">
        <f t="shared" si="21"/>
        <v>0.22000011159195801</v>
      </c>
      <c r="D127" s="357">
        <f t="shared" si="21"/>
        <v>0.21859614555430959</v>
      </c>
      <c r="E127" s="357" t="e">
        <f t="shared" si="22"/>
        <v>#DIV/0!</v>
      </c>
      <c r="F127" s="357" t="e">
        <f t="shared" si="22"/>
        <v>#DIV/0!</v>
      </c>
      <c r="G127" s="315"/>
      <c r="H127" s="315"/>
      <c r="I127" s="313" t="e">
        <f>I121/I$122</f>
        <v>#DIV/0!</v>
      </c>
      <c r="J127" s="314"/>
      <c r="K127" s="314"/>
      <c r="L127" s="314" t="e">
        <f t="shared" si="23"/>
        <v>#DIV/0!</v>
      </c>
      <c r="M127" s="313">
        <f t="shared" si="23"/>
        <v>0.16647164564972969</v>
      </c>
      <c r="N127" s="314" t="e">
        <f t="shared" si="24"/>
        <v>#DIV/0!</v>
      </c>
      <c r="O127" s="314" t="e">
        <f t="shared" si="24"/>
        <v>#DIV/0!</v>
      </c>
      <c r="P127" s="357">
        <f t="shared" si="25"/>
        <v>0.13326430330544106</v>
      </c>
      <c r="Q127" s="313">
        <f t="shared" si="25"/>
        <v>0.15387420443366601</v>
      </c>
      <c r="R127" s="314">
        <f t="shared" si="25"/>
        <v>0.22646119150535612</v>
      </c>
      <c r="S127" s="314">
        <f t="shared" si="26"/>
        <v>0.23359308139273008</v>
      </c>
      <c r="T127" s="357">
        <f t="shared" si="26"/>
        <v>0.25271090642662758</v>
      </c>
      <c r="U127" s="313"/>
      <c r="V127" s="314" t="e">
        <f>V121/V$122</f>
        <v>#DIV/0!</v>
      </c>
      <c r="W127" s="314"/>
      <c r="X127" s="357"/>
      <c r="Y127" s="313"/>
      <c r="Z127" s="314">
        <f>Z121/Z$122</f>
        <v>0.18663491069728141</v>
      </c>
      <c r="AA127" s="314"/>
      <c r="AB127" s="357"/>
    </row>
    <row r="128" spans="1:28" s="235" customFormat="1">
      <c r="A128" s="283" t="s">
        <v>707</v>
      </c>
      <c r="B128" s="317">
        <f>SUM(B125:B127)</f>
        <v>1</v>
      </c>
      <c r="C128" s="317">
        <f>SUM(C125:C127)</f>
        <v>1</v>
      </c>
      <c r="D128" s="358">
        <f>SUM(D125:D127)</f>
        <v>0.99999999999999989</v>
      </c>
      <c r="E128" s="358" t="e">
        <f>SUM(E125:E127)</f>
        <v>#DIV/0!</v>
      </c>
      <c r="F128" s="358" t="e">
        <f>SUM(F125:F127)</f>
        <v>#DIV/0!</v>
      </c>
      <c r="G128" s="318"/>
      <c r="H128" s="318"/>
      <c r="I128" s="316" t="e">
        <f>SUM(I125:I127)</f>
        <v>#DIV/0!</v>
      </c>
      <c r="J128" s="317"/>
      <c r="K128" s="317"/>
      <c r="L128" s="317" t="e">
        <f t="shared" ref="L128:R128" si="27">SUM(L125:L127)</f>
        <v>#DIV/0!</v>
      </c>
      <c r="M128" s="316">
        <f t="shared" si="27"/>
        <v>1</v>
      </c>
      <c r="N128" s="317" t="e">
        <f t="shared" si="27"/>
        <v>#DIV/0!</v>
      </c>
      <c r="O128" s="317" t="e">
        <f t="shared" si="27"/>
        <v>#DIV/0!</v>
      </c>
      <c r="P128" s="358">
        <f t="shared" si="27"/>
        <v>1</v>
      </c>
      <c r="Q128" s="316">
        <f t="shared" si="27"/>
        <v>1</v>
      </c>
      <c r="R128" s="317">
        <f t="shared" si="27"/>
        <v>0.99999999999999989</v>
      </c>
      <c r="S128" s="317">
        <f>SUM(S125:S127)</f>
        <v>1</v>
      </c>
      <c r="T128" s="358">
        <f>SUM(T125:T127)</f>
        <v>1</v>
      </c>
      <c r="U128" s="316"/>
      <c r="V128" s="317" t="e">
        <f>SUM(V125:V127)</f>
        <v>#DIV/0!</v>
      </c>
      <c r="W128" s="317"/>
      <c r="X128" s="358"/>
      <c r="Y128" s="316"/>
      <c r="Z128" s="317">
        <f>SUM(Z125:Z127)</f>
        <v>1</v>
      </c>
      <c r="AA128" s="317"/>
      <c r="AB128" s="358"/>
    </row>
    <row r="131" spans="1:6">
      <c r="A131" s="284" t="s">
        <v>803</v>
      </c>
      <c r="B131" s="285">
        <f>B124</f>
        <v>41634</v>
      </c>
      <c r="C131" s="285">
        <f>C124</f>
        <v>41994</v>
      </c>
      <c r="D131" s="299">
        <f>D124</f>
        <v>42354</v>
      </c>
      <c r="E131" s="299">
        <f>E124</f>
        <v>42714</v>
      </c>
      <c r="F131" s="299">
        <f>F124</f>
        <v>42887</v>
      </c>
    </row>
    <row r="132" spans="1:6">
      <c r="A132" s="286" t="s">
        <v>4</v>
      </c>
      <c r="B132" s="222">
        <f>B9</f>
        <v>3904.1019999999999</v>
      </c>
      <c r="C132" s="222">
        <f>C9</f>
        <v>7821.98</v>
      </c>
      <c r="D132" s="300">
        <f>D9</f>
        <v>10724.898000000001</v>
      </c>
      <c r="E132" s="300">
        <f>E9</f>
        <v>13252.848</v>
      </c>
      <c r="F132" s="300">
        <f>F9</f>
        <v>13645.347</v>
      </c>
    </row>
    <row r="133" spans="1:6">
      <c r="A133" s="286" t="s">
        <v>804</v>
      </c>
      <c r="B133" s="222">
        <f>B5+B8</f>
        <v>3666.623</v>
      </c>
      <c r="C133" s="222">
        <f>C5+C8</f>
        <v>7114.1379999999999</v>
      </c>
      <c r="D133" s="300">
        <f>D5+D8</f>
        <v>9761.5220000000008</v>
      </c>
      <c r="E133" s="300">
        <f>E5+E8</f>
        <v>11914.428</v>
      </c>
      <c r="F133" s="300">
        <f>F5+F8</f>
        <v>12262.659999999998</v>
      </c>
    </row>
    <row r="134" spans="1:6">
      <c r="A134" s="286" t="s">
        <v>542</v>
      </c>
      <c r="B134" s="289">
        <f t="shared" ref="B134:F135" si="28">B31</f>
        <v>2939.6949999999997</v>
      </c>
      <c r="C134" s="289">
        <f t="shared" si="28"/>
        <v>5587.302999999999</v>
      </c>
      <c r="D134" s="302">
        <f t="shared" si="28"/>
        <v>8032.6900000000023</v>
      </c>
      <c r="E134" s="302">
        <f t="shared" si="28"/>
        <v>9988.4309999999987</v>
      </c>
      <c r="F134" s="302">
        <f t="shared" si="28"/>
        <v>10287.946</v>
      </c>
    </row>
    <row r="135" spans="1:6">
      <c r="A135" s="286" t="s">
        <v>805</v>
      </c>
      <c r="B135" s="288">
        <f t="shared" si="28"/>
        <v>0.75297597245153935</v>
      </c>
      <c r="C135" s="288">
        <f t="shared" si="28"/>
        <v>0.71430801408339051</v>
      </c>
      <c r="D135" s="301">
        <f t="shared" si="28"/>
        <v>0.74897588769608825</v>
      </c>
      <c r="E135" s="301">
        <f t="shared" si="28"/>
        <v>0.75368185012006461</v>
      </c>
      <c r="F135" s="301">
        <f t="shared" si="28"/>
        <v>0.75395268438391494</v>
      </c>
    </row>
    <row r="136" spans="1:6">
      <c r="A136" s="286" t="s">
        <v>806</v>
      </c>
      <c r="B136" s="223">
        <f>B101+B108</f>
        <v>34302.425999999999</v>
      </c>
      <c r="C136" s="223">
        <f>C101+C108</f>
        <v>35920.633999999998</v>
      </c>
      <c r="D136" s="303">
        <f>D101+D108</f>
        <v>54333.035000000003</v>
      </c>
      <c r="E136" s="303">
        <f>E101+E108</f>
        <v>64806.553</v>
      </c>
      <c r="F136" s="303">
        <f>F101+F108</f>
        <v>61870.677000000003</v>
      </c>
    </row>
    <row r="137" spans="1:6">
      <c r="A137" s="286" t="s">
        <v>558</v>
      </c>
      <c r="B137" s="287">
        <f>B136-B79-B80-B81</f>
        <v>28477.99</v>
      </c>
      <c r="C137" s="287">
        <f>C136-C79-C80-C81</f>
        <v>12808.827000000001</v>
      </c>
      <c r="D137" s="304">
        <f>D136-D79-D80-D81</f>
        <v>41874.759000000005</v>
      </c>
      <c r="E137" s="304">
        <f>E136-E79-E80-E81</f>
        <v>55154.635999999999</v>
      </c>
      <c r="F137" s="304">
        <f>F136-F79-F80-F81</f>
        <v>56069.139000000003</v>
      </c>
    </row>
    <row r="138" spans="1:6">
      <c r="A138" s="286" t="s">
        <v>807</v>
      </c>
      <c r="B138" s="290">
        <f>B137/B134</f>
        <v>9.6873961414364427</v>
      </c>
      <c r="C138" s="290">
        <f>C137/C134</f>
        <v>2.2924883436606183</v>
      </c>
      <c r="D138" s="305">
        <f>D137/D134</f>
        <v>5.2130430777236505</v>
      </c>
      <c r="E138" s="305">
        <f>E137/E134</f>
        <v>5.5218518303825705</v>
      </c>
      <c r="F138" s="305">
        <f>F137/F134</f>
        <v>5.4499837965712494</v>
      </c>
    </row>
    <row r="139" spans="1:6">
      <c r="A139" s="286" t="s">
        <v>808</v>
      </c>
      <c r="B139" s="291">
        <f>B137/B97</f>
        <v>0.48919307729883765</v>
      </c>
      <c r="C139" s="291">
        <f>C137/C97</f>
        <v>0.12190120946495686</v>
      </c>
      <c r="D139" s="306">
        <f>D137/D97</f>
        <v>0.36940153642635931</v>
      </c>
      <c r="E139" s="306">
        <f>E137/E97</f>
        <v>0.45655831579090966</v>
      </c>
      <c r="F139" s="306">
        <f>F137/F97</f>
        <v>0.44090625611076795</v>
      </c>
    </row>
    <row r="140" spans="1:6">
      <c r="A140" s="286" t="s">
        <v>809</v>
      </c>
      <c r="B140" s="291">
        <f>(B101+B108)/B95</f>
        <v>0.33852226926712986</v>
      </c>
      <c r="C140" s="291">
        <f>(C101+C108)/C95</f>
        <v>0.24920146976876689</v>
      </c>
      <c r="D140" s="306">
        <f>(D101+D108)/D95</f>
        <v>0.31717845471828204</v>
      </c>
      <c r="E140" s="306">
        <f>(E101+E108)/E95</f>
        <v>0.33748671156761489</v>
      </c>
      <c r="F140" s="306">
        <f>(F101+F108)/F95</f>
        <v>0.311096037674922</v>
      </c>
    </row>
    <row r="141" spans="1:6">
      <c r="A141" s="286" t="s">
        <v>810</v>
      </c>
      <c r="B141" s="289">
        <f>-B20</f>
        <v>757.58799999999997</v>
      </c>
      <c r="C141" s="289">
        <f>-C20</f>
        <v>2019.1110000000001</v>
      </c>
      <c r="D141" s="302">
        <f>-D20</f>
        <v>2681.54</v>
      </c>
      <c r="E141" s="302">
        <f>-E20</f>
        <v>3826.8359999999998</v>
      </c>
      <c r="F141" s="302">
        <f>-F20</f>
        <v>4181.6389999999992</v>
      </c>
    </row>
    <row r="142" spans="1:6">
      <c r="A142" s="286" t="s">
        <v>811</v>
      </c>
      <c r="B142" s="290">
        <f>B133/B141</f>
        <v>4.8398641477953719</v>
      </c>
      <c r="C142" s="290">
        <f>C133/C141</f>
        <v>3.5234011404028802</v>
      </c>
      <c r="D142" s="305">
        <f>D133/D141</f>
        <v>3.6402671599155711</v>
      </c>
      <c r="E142" s="305">
        <f>E133/E141</f>
        <v>3.1133887106737785</v>
      </c>
      <c r="F142" s="305">
        <f>F133/F141</f>
        <v>2.9325008686785252</v>
      </c>
    </row>
    <row r="143" spans="1:6">
      <c r="A143" s="286" t="s">
        <v>812</v>
      </c>
      <c r="B143" s="290">
        <f>B134/B141</f>
        <v>3.8803346937913483</v>
      </c>
      <c r="C143" s="290">
        <f>C134/C141</f>
        <v>2.7672094302888741</v>
      </c>
      <c r="D143" s="305">
        <f>D134/D141</f>
        <v>2.9955510639408707</v>
      </c>
      <c r="E143" s="305">
        <f>E134/E141</f>
        <v>2.6101016610066381</v>
      </c>
      <c r="F143" s="305">
        <f>F134/F141</f>
        <v>2.4602664170675665</v>
      </c>
    </row>
    <row r="144" spans="1:6">
      <c r="A144" s="292" t="s">
        <v>813</v>
      </c>
      <c r="B144" s="298">
        <f>(B79+B80+B81)/B101</f>
        <v>0.82827164138522613</v>
      </c>
      <c r="C144" s="298">
        <f>(C79+C80+C81)/C101</f>
        <v>12.897760730923856</v>
      </c>
      <c r="D144" s="307">
        <f>(D79+D80+D81)/D101</f>
        <v>1.2306138896662231</v>
      </c>
      <c r="E144" s="307">
        <f>(E79+E80+E81)/E101</f>
        <v>15.225981249733795</v>
      </c>
      <c r="F144" s="307">
        <f>(F79+F80+F81)/F101</f>
        <v>3.5558030337668836</v>
      </c>
    </row>
    <row r="145" spans="1:6">
      <c r="B145" s="335"/>
      <c r="C145" s="335"/>
      <c r="D145" s="411"/>
      <c r="E145" s="416"/>
      <c r="F145" s="411"/>
    </row>
    <row r="147" spans="1:6">
      <c r="A147" s="322" t="s">
        <v>814</v>
      </c>
      <c r="B147" s="323" t="s">
        <v>815</v>
      </c>
      <c r="C147" s="323" t="s">
        <v>816</v>
      </c>
      <c r="D147" s="412" t="s">
        <v>817</v>
      </c>
      <c r="E147" s="412"/>
      <c r="F147" s="412"/>
    </row>
    <row r="148" spans="1:6">
      <c r="A148" s="324" t="s">
        <v>4</v>
      </c>
      <c r="B148" s="300">
        <v>1099.8699999999999</v>
      </c>
      <c r="C148" s="300">
        <v>7492</v>
      </c>
      <c r="D148" s="300">
        <v>3224</v>
      </c>
      <c r="E148" s="300"/>
      <c r="F148" s="300"/>
    </row>
    <row r="149" spans="1:6">
      <c r="A149" s="324" t="s">
        <v>804</v>
      </c>
      <c r="B149" s="300">
        <v>1099.8699999999999</v>
      </c>
      <c r="C149" s="300">
        <v>7145</v>
      </c>
      <c r="D149" s="300">
        <v>3224</v>
      </c>
      <c r="E149" s="300"/>
      <c r="F149" s="300"/>
    </row>
    <row r="150" spans="1:6">
      <c r="A150" s="324" t="s">
        <v>818</v>
      </c>
      <c r="B150" s="325">
        <v>0.91578095593115549</v>
      </c>
      <c r="C150" s="325">
        <v>0.72984516817939138</v>
      </c>
      <c r="D150" s="325">
        <v>0.87468982630272951</v>
      </c>
      <c r="E150" s="325"/>
      <c r="F150" s="325"/>
    </row>
    <row r="151" spans="1:6">
      <c r="A151" s="324" t="s">
        <v>542</v>
      </c>
      <c r="B151" s="303">
        <v>968.69999999999993</v>
      </c>
      <c r="C151" s="303">
        <v>5086</v>
      </c>
      <c r="D151" s="303">
        <v>2621</v>
      </c>
      <c r="E151" s="303"/>
      <c r="F151" s="303"/>
    </row>
    <row r="152" spans="1:6">
      <c r="A152" s="324" t="s">
        <v>805</v>
      </c>
      <c r="B152" s="325">
        <v>0.88074045114422617</v>
      </c>
      <c r="C152" s="325">
        <v>0.67885744794447411</v>
      </c>
      <c r="D152" s="325">
        <v>0.81296526054590568</v>
      </c>
      <c r="E152" s="325"/>
      <c r="F152" s="325"/>
    </row>
    <row r="153" spans="1:6">
      <c r="A153" s="324" t="s">
        <v>806</v>
      </c>
      <c r="B153" s="303">
        <v>10243.986000000001</v>
      </c>
      <c r="C153" s="303">
        <v>14293</v>
      </c>
      <c r="D153" s="303">
        <v>6447</v>
      </c>
      <c r="E153" s="303"/>
      <c r="F153" s="303"/>
    </row>
    <row r="154" spans="1:6">
      <c r="A154" s="324" t="s">
        <v>819</v>
      </c>
      <c r="B154" s="303">
        <v>4366.4860000000008</v>
      </c>
      <c r="C154" s="303">
        <f>C153</f>
        <v>14293</v>
      </c>
      <c r="D154" s="303">
        <f>D153</f>
        <v>6447</v>
      </c>
      <c r="E154" s="303"/>
      <c r="F154" s="303"/>
    </row>
    <row r="155" spans="1:6">
      <c r="A155" s="324" t="s">
        <v>820</v>
      </c>
      <c r="B155" s="300">
        <v>4353.3600000000006</v>
      </c>
      <c r="C155" s="300">
        <v>10712</v>
      </c>
      <c r="D155" s="300">
        <v>2807</v>
      </c>
      <c r="E155" s="300"/>
      <c r="F155" s="300"/>
    </row>
    <row r="156" spans="1:6">
      <c r="A156" s="324" t="s">
        <v>821</v>
      </c>
      <c r="B156" s="326">
        <v>4.4940229173118622</v>
      </c>
      <c r="C156" s="326">
        <v>2.1061738104600867</v>
      </c>
      <c r="D156" s="326">
        <v>1.0709652804273178</v>
      </c>
      <c r="E156" s="326"/>
      <c r="F156" s="326"/>
    </row>
    <row r="157" spans="1:6">
      <c r="A157" s="324" t="s">
        <v>822</v>
      </c>
      <c r="B157" s="327">
        <v>0.27245862591945624</v>
      </c>
      <c r="C157" s="327">
        <v>9.6844769912304493E-2</v>
      </c>
      <c r="D157" s="327">
        <v>4.0026237362574685E-2</v>
      </c>
      <c r="E157" s="327"/>
      <c r="F157" s="327"/>
    </row>
    <row r="158" spans="1:6">
      <c r="A158" s="324" t="s">
        <v>810</v>
      </c>
      <c r="B158" s="303">
        <v>466.19000000000005</v>
      </c>
      <c r="C158" s="303">
        <v>387</v>
      </c>
      <c r="D158" s="303">
        <v>228</v>
      </c>
      <c r="E158" s="303"/>
      <c r="F158" s="303"/>
    </row>
    <row r="159" spans="1:6">
      <c r="A159" s="324" t="s">
        <v>812</v>
      </c>
      <c r="B159" s="328">
        <v>2.0779081490379454</v>
      </c>
      <c r="C159" s="328">
        <v>13.1</v>
      </c>
      <c r="D159" s="328">
        <v>11.495614035087719</v>
      </c>
      <c r="E159" s="328"/>
      <c r="F159" s="328"/>
    </row>
    <row r="160" spans="1:6">
      <c r="A160" s="329" t="s">
        <v>811</v>
      </c>
      <c r="B160" s="330">
        <v>2.3592741157038972</v>
      </c>
      <c r="C160" s="330">
        <v>18.462532299741603</v>
      </c>
      <c r="D160" s="330">
        <v>14.140350877192983</v>
      </c>
      <c r="E160" s="330"/>
      <c r="F160" s="330"/>
    </row>
    <row r="161" spans="1:28">
      <c r="A161" s="331"/>
      <c r="B161" s="331"/>
      <c r="C161" s="331"/>
      <c r="D161" s="413"/>
      <c r="E161" s="413"/>
      <c r="F161" s="413"/>
    </row>
    <row r="162" spans="1:28">
      <c r="A162" s="331" t="s">
        <v>823</v>
      </c>
      <c r="B162" s="331" t="s">
        <v>824</v>
      </c>
      <c r="C162" s="331" t="s">
        <v>825</v>
      </c>
      <c r="D162" s="413" t="s">
        <v>826</v>
      </c>
      <c r="E162" s="413"/>
      <c r="F162" s="413"/>
    </row>
    <row r="163" spans="1:28">
      <c r="A163" s="331" t="s">
        <v>827</v>
      </c>
      <c r="B163" s="332">
        <v>7.5368388491467719</v>
      </c>
      <c r="C163" s="332">
        <v>7.9813861397926438</v>
      </c>
      <c r="D163" s="326">
        <v>6.7746425525525895</v>
      </c>
      <c r="E163" s="326"/>
      <c r="F163" s="326"/>
    </row>
    <row r="164" spans="1:28">
      <c r="A164" s="331" t="s">
        <v>828</v>
      </c>
      <c r="B164" s="333" t="s">
        <v>829</v>
      </c>
      <c r="C164" s="333" t="s">
        <v>830</v>
      </c>
      <c r="D164" s="414" t="s">
        <v>831</v>
      </c>
      <c r="E164" s="414"/>
      <c r="F164" s="414"/>
    </row>
    <row r="165" spans="1:28">
      <c r="A165" s="331" t="s">
        <v>832</v>
      </c>
      <c r="B165" s="334">
        <v>164.47220813328619</v>
      </c>
      <c r="C165" s="334">
        <v>117.20956541535243</v>
      </c>
      <c r="D165" s="415">
        <v>133.55098676418785</v>
      </c>
      <c r="E165" s="415"/>
      <c r="F165" s="415"/>
    </row>
    <row r="169" spans="1:28">
      <c r="A169" s="229" t="s">
        <v>833</v>
      </c>
      <c r="B169" s="234">
        <f>B3</f>
        <v>41634</v>
      </c>
      <c r="C169" s="234">
        <f>C3</f>
        <v>41994</v>
      </c>
      <c r="D169" s="350">
        <f>D3</f>
        <v>42354</v>
      </c>
      <c r="E169" s="350">
        <f>E3</f>
        <v>42714</v>
      </c>
      <c r="F169" s="350">
        <f>F3</f>
        <v>42887</v>
      </c>
      <c r="I169" s="234"/>
      <c r="J169" s="234"/>
      <c r="K169" s="234"/>
      <c r="L169" s="234"/>
      <c r="M169" s="234"/>
      <c r="N169" s="234"/>
      <c r="O169" s="234"/>
      <c r="P169" s="350"/>
      <c r="Q169" s="336">
        <f>Q3</f>
        <v>42084</v>
      </c>
      <c r="R169" s="336">
        <f>R3</f>
        <v>42174</v>
      </c>
      <c r="S169" s="336">
        <f>S3</f>
        <v>42264</v>
      </c>
      <c r="T169" s="336">
        <f>T3</f>
        <v>42354</v>
      </c>
      <c r="U169" s="336">
        <f>U3</f>
        <v>42444</v>
      </c>
      <c r="V169" s="336">
        <f t="shared" ref="V169:AB169" si="29">V3</f>
        <v>42534</v>
      </c>
      <c r="W169" s="336">
        <f t="shared" si="29"/>
        <v>42624</v>
      </c>
      <c r="X169" s="336">
        <f t="shared" si="29"/>
        <v>42714</v>
      </c>
      <c r="Y169" s="336">
        <f>Y3</f>
        <v>42804</v>
      </c>
      <c r="Z169" s="336">
        <f t="shared" si="29"/>
        <v>42894</v>
      </c>
      <c r="AA169" s="336">
        <f t="shared" si="29"/>
        <v>42984</v>
      </c>
      <c r="AB169" s="336">
        <f t="shared" si="29"/>
        <v>43074</v>
      </c>
    </row>
    <row r="170" spans="1:28">
      <c r="A170" s="235" t="s">
        <v>702</v>
      </c>
    </row>
    <row r="171" spans="1:28">
      <c r="A171" s="228" t="s">
        <v>834</v>
      </c>
      <c r="B171" s="259">
        <v>2026.2950000000001</v>
      </c>
      <c r="C171" s="228">
        <v>2149</v>
      </c>
      <c r="D171" s="359">
        <v>2155.6999999999998</v>
      </c>
      <c r="E171" s="359">
        <v>2954.3</v>
      </c>
      <c r="F171" s="228">
        <v>2970.5</v>
      </c>
      <c r="M171" s="227">
        <v>2037.6</v>
      </c>
      <c r="N171" s="228">
        <v>2086.5</v>
      </c>
      <c r="O171" s="228">
        <v>2104.4</v>
      </c>
      <c r="P171" s="359">
        <v>2164.8000000000002</v>
      </c>
      <c r="Q171" s="227">
        <v>2148.6</v>
      </c>
      <c r="V171" s="228">
        <v>2939.9</v>
      </c>
      <c r="W171" s="228">
        <v>2947.4</v>
      </c>
      <c r="X171" s="359">
        <v>2954.3</v>
      </c>
      <c r="Y171" s="227">
        <v>2962.2</v>
      </c>
      <c r="Z171" s="228">
        <v>2970.5</v>
      </c>
    </row>
    <row r="172" spans="1:28">
      <c r="A172" s="228" t="s">
        <v>835</v>
      </c>
      <c r="B172" s="228">
        <v>274</v>
      </c>
      <c r="C172" s="228">
        <v>277</v>
      </c>
      <c r="D172" s="359">
        <v>321</v>
      </c>
      <c r="E172" s="359">
        <v>325</v>
      </c>
      <c r="F172" s="228">
        <v>325</v>
      </c>
      <c r="M172" s="227">
        <v>275</v>
      </c>
      <c r="N172" s="228">
        <v>274</v>
      </c>
      <c r="O172" s="228">
        <v>275</v>
      </c>
      <c r="P172" s="359">
        <v>277</v>
      </c>
      <c r="Q172" s="227">
        <v>278</v>
      </c>
      <c r="V172" s="228">
        <v>323</v>
      </c>
      <c r="W172" s="228">
        <v>323</v>
      </c>
      <c r="X172" s="359">
        <v>325</v>
      </c>
      <c r="Y172" s="227">
        <v>325</v>
      </c>
      <c r="Z172" s="228">
        <v>325</v>
      </c>
    </row>
    <row r="173" spans="1:28">
      <c r="A173" s="228" t="s">
        <v>697</v>
      </c>
      <c r="C173" s="228">
        <v>6.8</v>
      </c>
      <c r="D173" s="359">
        <v>6.5</v>
      </c>
      <c r="E173" s="359">
        <v>5.8</v>
      </c>
      <c r="F173" s="228">
        <v>5.6</v>
      </c>
      <c r="M173" s="227">
        <v>7.4</v>
      </c>
      <c r="N173" s="228">
        <v>7</v>
      </c>
      <c r="O173" s="228">
        <v>6.9</v>
      </c>
      <c r="P173" s="359">
        <v>6.8</v>
      </c>
      <c r="Q173" s="227">
        <v>6.6</v>
      </c>
      <c r="V173" s="228">
        <v>6.3</v>
      </c>
      <c r="W173" s="228">
        <v>6.3</v>
      </c>
      <c r="X173" s="359">
        <v>5.8</v>
      </c>
      <c r="Y173" s="227">
        <v>5.8</v>
      </c>
      <c r="Z173" s="228">
        <v>5.6</v>
      </c>
    </row>
    <row r="174" spans="1:28" s="342" customFormat="1">
      <c r="A174" s="340" t="s">
        <v>836</v>
      </c>
      <c r="B174" s="342">
        <v>0.93200000000000005</v>
      </c>
      <c r="C174" s="342">
        <v>0.94879999999999998</v>
      </c>
      <c r="D174" s="360">
        <v>0.95</v>
      </c>
      <c r="E174" s="360">
        <v>0.93600000000000005</v>
      </c>
      <c r="F174" s="342">
        <v>0.93300000000000005</v>
      </c>
      <c r="G174" s="341"/>
      <c r="H174" s="341"/>
      <c r="I174" s="341"/>
      <c r="M174" s="341">
        <v>0.93910000000000005</v>
      </c>
      <c r="N174" s="342">
        <v>0.94710000000000005</v>
      </c>
      <c r="O174" s="342">
        <v>0.94830000000000003</v>
      </c>
      <c r="P174" s="360">
        <v>0.94879999999999998</v>
      </c>
      <c r="Q174" s="341">
        <v>0.94650000000000001</v>
      </c>
      <c r="T174" s="360"/>
      <c r="U174" s="341"/>
      <c r="V174" s="342">
        <v>0.93600000000000005</v>
      </c>
      <c r="W174" s="342">
        <v>0.93799999999999994</v>
      </c>
      <c r="X174" s="360">
        <v>0.93600000000000005</v>
      </c>
      <c r="Y174" s="341">
        <v>0.93400000000000005</v>
      </c>
      <c r="Z174" s="342">
        <v>0.93300000000000005</v>
      </c>
      <c r="AB174" s="360"/>
    </row>
    <row r="175" spans="1:28">
      <c r="F175" s="228"/>
    </row>
    <row r="176" spans="1:28">
      <c r="A176" s="235" t="s">
        <v>703</v>
      </c>
      <c r="F176" s="228"/>
    </row>
    <row r="177" spans="1:28">
      <c r="A177" s="228" t="s">
        <v>834</v>
      </c>
      <c r="B177" s="259">
        <v>2584.6260000000002</v>
      </c>
      <c r="C177" s="228">
        <v>3136</v>
      </c>
      <c r="D177" s="359">
        <v>3305.4</v>
      </c>
      <c r="E177" s="359">
        <v>3570.3</v>
      </c>
      <c r="F177" s="228">
        <v>3802.9</v>
      </c>
      <c r="M177" s="227">
        <v>2710.6</v>
      </c>
      <c r="N177" s="228">
        <v>3109.7</v>
      </c>
      <c r="O177" s="228">
        <v>3118.4</v>
      </c>
      <c r="P177" s="359">
        <v>3136</v>
      </c>
      <c r="Q177" s="227">
        <v>3208.8</v>
      </c>
      <c r="V177" s="228">
        <v>3458.7</v>
      </c>
      <c r="W177" s="228">
        <v>3566.4</v>
      </c>
      <c r="X177" s="359">
        <v>3570.3</v>
      </c>
      <c r="Y177" s="227">
        <v>3793.9</v>
      </c>
      <c r="Z177" s="228">
        <v>3802.9</v>
      </c>
    </row>
    <row r="178" spans="1:28">
      <c r="A178" s="228" t="s">
        <v>835</v>
      </c>
      <c r="B178" s="228">
        <v>68</v>
      </c>
      <c r="C178" s="228">
        <v>102</v>
      </c>
      <c r="D178" s="359">
        <v>102</v>
      </c>
      <c r="E178" s="359">
        <v>105</v>
      </c>
      <c r="F178" s="228">
        <v>106</v>
      </c>
      <c r="M178" s="227">
        <v>72</v>
      </c>
      <c r="N178" s="228">
        <v>102</v>
      </c>
      <c r="O178" s="228">
        <v>102</v>
      </c>
      <c r="P178" s="359">
        <v>102</v>
      </c>
      <c r="Q178" s="227">
        <v>102</v>
      </c>
      <c r="V178" s="228">
        <v>104</v>
      </c>
      <c r="W178" s="228">
        <v>105</v>
      </c>
      <c r="X178" s="359">
        <v>105</v>
      </c>
      <c r="Y178" s="227">
        <v>106</v>
      </c>
      <c r="Z178" s="228">
        <v>106</v>
      </c>
    </row>
    <row r="179" spans="1:28">
      <c r="A179" s="228" t="s">
        <v>697</v>
      </c>
      <c r="C179" s="228">
        <v>3.3</v>
      </c>
      <c r="D179" s="359">
        <v>3.4</v>
      </c>
      <c r="E179" s="359">
        <v>3.4</v>
      </c>
      <c r="F179" s="228">
        <v>3.7</v>
      </c>
      <c r="M179" s="227">
        <v>3.5</v>
      </c>
      <c r="N179" s="228">
        <v>3.4</v>
      </c>
      <c r="O179" s="228">
        <v>3.4</v>
      </c>
      <c r="P179" s="359">
        <v>3.3</v>
      </c>
      <c r="Q179" s="227">
        <v>3.6</v>
      </c>
      <c r="V179" s="228">
        <v>3.2</v>
      </c>
      <c r="W179" s="228">
        <v>3.6</v>
      </c>
      <c r="X179" s="359">
        <v>3.4</v>
      </c>
      <c r="Y179" s="227">
        <v>3.3</v>
      </c>
      <c r="Z179" s="228">
        <v>3.7</v>
      </c>
    </row>
    <row r="180" spans="1:28" s="342" customFormat="1">
      <c r="A180" s="340" t="s">
        <v>836</v>
      </c>
      <c r="B180" s="342">
        <v>0.97599999999999998</v>
      </c>
      <c r="C180" s="342">
        <v>0.95699999999999996</v>
      </c>
      <c r="D180" s="360">
        <v>0.97099999999999997</v>
      </c>
      <c r="E180" s="360">
        <v>0.96499999999999997</v>
      </c>
      <c r="F180" s="342">
        <v>0.95299999999999996</v>
      </c>
      <c r="G180" s="341"/>
      <c r="H180" s="341"/>
      <c r="I180" s="341"/>
      <c r="M180" s="341">
        <v>0.97170000000000001</v>
      </c>
      <c r="N180" s="342">
        <v>0.95689999999999997</v>
      </c>
      <c r="O180" s="342">
        <v>0.95799999999999996</v>
      </c>
      <c r="P180" s="360">
        <v>0.96350000000000002</v>
      </c>
      <c r="Q180" s="341">
        <v>0.95689999999999997</v>
      </c>
      <c r="T180" s="360"/>
      <c r="U180" s="341"/>
      <c r="V180" s="342">
        <v>0.94699999999999995</v>
      </c>
      <c r="W180" s="342">
        <v>0.96299999999999997</v>
      </c>
      <c r="X180" s="360">
        <v>0.96499999999999997</v>
      </c>
      <c r="Y180" s="341">
        <v>0.94899999999999995</v>
      </c>
      <c r="Z180" s="342">
        <v>0.95299999999999996</v>
      </c>
      <c r="AB180" s="360"/>
    </row>
    <row r="181" spans="1:28">
      <c r="F181" s="228"/>
    </row>
    <row r="182" spans="1:28">
      <c r="A182" s="235" t="s">
        <v>704</v>
      </c>
      <c r="F182" s="228"/>
    </row>
    <row r="183" spans="1:28">
      <c r="A183" s="228" t="s">
        <v>834</v>
      </c>
      <c r="B183" s="259">
        <v>374.48200000000003</v>
      </c>
      <c r="C183" s="228">
        <v>650.4</v>
      </c>
      <c r="D183" s="359">
        <v>650.79999999999995</v>
      </c>
      <c r="E183" s="359">
        <v>845.3</v>
      </c>
      <c r="F183" s="228">
        <v>891.9</v>
      </c>
      <c r="M183" s="227">
        <v>498.5</v>
      </c>
      <c r="N183" s="228">
        <v>541.29999999999995</v>
      </c>
      <c r="O183" s="228">
        <v>555.9</v>
      </c>
      <c r="P183" s="359">
        <v>650.4</v>
      </c>
      <c r="Q183" s="227">
        <v>684.3</v>
      </c>
      <c r="V183" s="228">
        <v>792.9</v>
      </c>
      <c r="W183" s="228">
        <v>806.9</v>
      </c>
      <c r="X183" s="359">
        <v>845.3</v>
      </c>
      <c r="Y183" s="227">
        <v>855.7</v>
      </c>
      <c r="Z183" s="228">
        <v>891.9</v>
      </c>
    </row>
    <row r="184" spans="1:28">
      <c r="A184" s="228" t="s">
        <v>835</v>
      </c>
      <c r="B184" s="228">
        <v>68</v>
      </c>
      <c r="C184" s="228">
        <v>76</v>
      </c>
      <c r="D184" s="359">
        <v>86</v>
      </c>
      <c r="E184" s="359">
        <v>89</v>
      </c>
      <c r="F184" s="228">
        <v>90</v>
      </c>
      <c r="M184" s="227">
        <v>70</v>
      </c>
      <c r="N184" s="228">
        <v>74</v>
      </c>
      <c r="O184" s="228">
        <v>73</v>
      </c>
      <c r="P184" s="359">
        <v>76</v>
      </c>
      <c r="Q184" s="227">
        <v>79</v>
      </c>
      <c r="V184" s="228">
        <v>88</v>
      </c>
      <c r="W184" s="228">
        <v>88</v>
      </c>
      <c r="X184" s="359">
        <v>89</v>
      </c>
      <c r="Y184" s="227">
        <v>89</v>
      </c>
      <c r="Z184" s="228">
        <v>90</v>
      </c>
    </row>
    <row r="185" spans="1:28">
      <c r="A185" s="228" t="s">
        <v>697</v>
      </c>
      <c r="C185" s="228">
        <v>4.5999999999999996</v>
      </c>
      <c r="D185" s="359">
        <v>3.4</v>
      </c>
      <c r="E185" s="359">
        <v>3.5</v>
      </c>
      <c r="F185" s="228">
        <v>3.5</v>
      </c>
      <c r="M185" s="227">
        <v>5.4</v>
      </c>
      <c r="N185" s="228">
        <v>4.9000000000000004</v>
      </c>
      <c r="O185" s="228">
        <v>4.8</v>
      </c>
      <c r="P185" s="359">
        <v>4.5999999999999996</v>
      </c>
      <c r="Q185" s="227">
        <v>6.3</v>
      </c>
      <c r="V185" s="228">
        <v>4</v>
      </c>
      <c r="W185" s="228">
        <v>3.8</v>
      </c>
      <c r="X185" s="359">
        <v>3.5</v>
      </c>
      <c r="Y185" s="227">
        <v>3.7</v>
      </c>
      <c r="Z185" s="228">
        <v>3.5</v>
      </c>
    </row>
    <row r="186" spans="1:28" s="342" customFormat="1">
      <c r="A186" s="340" t="s">
        <v>836</v>
      </c>
      <c r="B186" s="342">
        <v>0.876</v>
      </c>
      <c r="C186" s="342">
        <v>0.91300000000000003</v>
      </c>
      <c r="D186" s="360">
        <v>0.91200000000000003</v>
      </c>
      <c r="E186" s="360">
        <v>0.88200000000000001</v>
      </c>
      <c r="F186" s="342">
        <v>0.88300000000000001</v>
      </c>
      <c r="G186" s="341"/>
      <c r="H186" s="341"/>
      <c r="I186" s="341"/>
      <c r="M186" s="341">
        <v>0.89459999999999995</v>
      </c>
      <c r="N186" s="342">
        <v>0.87919999999999998</v>
      </c>
      <c r="O186" s="342">
        <v>0.87239999999999995</v>
      </c>
      <c r="P186" s="360">
        <v>0.91300000000000003</v>
      </c>
      <c r="Q186" s="341">
        <v>0.92079999999999995</v>
      </c>
      <c r="T186" s="360"/>
      <c r="U186" s="341"/>
      <c r="V186" s="342">
        <v>0.90200000000000002</v>
      </c>
      <c r="W186" s="342">
        <v>0.90600000000000003</v>
      </c>
      <c r="X186" s="360">
        <v>0.88200000000000001</v>
      </c>
      <c r="Y186" s="341">
        <v>0.872</v>
      </c>
      <c r="Z186" s="342">
        <v>0.88300000000000001</v>
      </c>
      <c r="AB186" s="360"/>
    </row>
    <row r="187" spans="1:28" ht="9" customHeight="1"/>
    <row r="188" spans="1:28">
      <c r="A188" s="361" t="s">
        <v>834</v>
      </c>
      <c r="B188" s="361">
        <f>B171+B177+B183</f>
        <v>4985.4030000000002</v>
      </c>
      <c r="C188" s="361">
        <f>C171+C177+C183</f>
        <v>5935.4</v>
      </c>
      <c r="D188" s="362">
        <f>D171+D177+D183</f>
        <v>6111.9000000000005</v>
      </c>
      <c r="E188" s="362">
        <f>E171+E177+E183</f>
        <v>7369.9000000000005</v>
      </c>
      <c r="F188" s="362">
        <f>F171+F177+F183</f>
        <v>7665.2999999999993</v>
      </c>
      <c r="I188" s="361">
        <f t="shared" ref="I188:O188" si="30">I171+I177+I183</f>
        <v>0</v>
      </c>
      <c r="J188" s="361">
        <f t="shared" si="30"/>
        <v>0</v>
      </c>
      <c r="K188" s="361">
        <f t="shared" si="30"/>
        <v>0</v>
      </c>
      <c r="L188" s="361">
        <f t="shared" si="30"/>
        <v>0</v>
      </c>
      <c r="M188" s="361">
        <f t="shared" si="30"/>
        <v>5246.7</v>
      </c>
      <c r="N188" s="361">
        <f t="shared" si="30"/>
        <v>5737.5</v>
      </c>
      <c r="O188" s="361">
        <f t="shared" si="30"/>
        <v>5778.7</v>
      </c>
      <c r="P188" s="362">
        <f>P171+P177+P183</f>
        <v>5951.2</v>
      </c>
      <c r="Q188" s="361">
        <f>Q171+Q177+Q183</f>
        <v>6041.7</v>
      </c>
      <c r="R188" s="361"/>
      <c r="S188" s="361"/>
      <c r="T188" s="362"/>
      <c r="U188" s="361"/>
      <c r="V188" s="361"/>
      <c r="W188" s="361"/>
      <c r="X188" s="362"/>
      <c r="Y188" s="361"/>
      <c r="Z188" s="361"/>
      <c r="AA188" s="361"/>
      <c r="AB188" s="362"/>
    </row>
  </sheetData>
  <customSheetViews>
    <customSheetView guid="{9E03B340-36A7-4E6D-8D58-A21713C869F6}" showPageBreaks="1" printArea="1" showRuler="0">
      <pane xSplit="1" ySplit="3" topLeftCell="B4" activePane="bottomRight" state="frozen"/>
      <selection pane="bottomRight" activeCell="B4" sqref="B4"/>
      <pageMargins left="0" right="0" top="0" bottom="0" header="0" footer="0"/>
      <pageSetup orientation="portrait" horizontalDpi="4294967292" verticalDpi="0" r:id="rId1"/>
      <headerFooter alignWithMargins="0"/>
    </customSheetView>
    <customSheetView guid="{1B2504A4-7288-49BA-A9D5-232D32B8BF61}" showRuler="0">
      <pane xSplit="1" ySplit="1" topLeftCell="B2" activePane="bottomRight" state="frozen"/>
      <selection pane="bottomRight" activeCell="A25" sqref="A25"/>
      <pageMargins left="0" right="0" top="0" bottom="0" header="0" footer="0"/>
      <headerFooter alignWithMargins="0"/>
    </customSheetView>
    <customSheetView guid="{60A5D7D3-597C-4544-9487-00DE81AA14D0}">
      <pane xSplit="1" ySplit="1" topLeftCell="E107" activePane="bottomRight" state="frozen"/>
      <selection pane="bottomRight" activeCell="N155" sqref="N146:N155"/>
      <pageMargins left="0" right="0" top="0" bottom="0" header="0" footer="0"/>
      <pageSetup paperSize="9" orientation="portrait" r:id="rId2"/>
    </customSheetView>
  </customSheetViews>
  <phoneticPr fontId="111" type="noConversion"/>
  <pageMargins left="0.75" right="0.75" top="1" bottom="1" header="0.5" footer="0.5"/>
  <pageSetup orientation="portrait" horizontalDpi="4294967292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38"/>
  <sheetViews>
    <sheetView zoomScale="90" zoomScaleNormal="90" workbookViewId="0">
      <selection activeCell="C1" sqref="C1"/>
    </sheetView>
  </sheetViews>
  <sheetFormatPr defaultColWidth="9.140625" defaultRowHeight="11.25"/>
  <cols>
    <col min="1" max="1" width="29.85546875" style="3" bestFit="1" customWidth="1"/>
    <col min="2" max="2" width="9.7109375" style="3" bestFit="1" customWidth="1"/>
    <col min="3" max="3" width="10.140625" style="3" bestFit="1" customWidth="1"/>
    <col min="4" max="4" width="9.140625" style="3"/>
    <col min="5" max="5" width="13.5703125" style="3" customWidth="1"/>
    <col min="6" max="6" width="15.7109375" style="3" customWidth="1"/>
    <col min="7" max="7" width="14.5703125" style="3" customWidth="1"/>
    <col min="8" max="12" width="9.140625" style="3"/>
    <col min="13" max="13" width="10.140625" style="3" bestFit="1" customWidth="1"/>
    <col min="14" max="16384" width="9.140625" style="3"/>
  </cols>
  <sheetData>
    <row r="1" spans="1:9" s="171" customFormat="1" ht="21">
      <c r="A1" s="221" t="str">
        <f>+'Old model'!A1</f>
        <v>FUNO Mexico REIT</v>
      </c>
      <c r="B1" s="175"/>
      <c r="I1" s="171">
        <v>15.569254185692541</v>
      </c>
    </row>
    <row r="2" spans="1:9" s="172" customFormat="1" ht="12.75">
      <c r="A2" s="177" t="s">
        <v>837</v>
      </c>
      <c r="B2" s="176">
        <v>42185</v>
      </c>
    </row>
    <row r="3" spans="1:9" ht="12.75">
      <c r="A3" s="309" t="s">
        <v>838</v>
      </c>
      <c r="B3" s="320">
        <f>600*$I$1</f>
        <v>9341.5525114155244</v>
      </c>
    </row>
    <row r="4" spans="1:9" ht="12.75">
      <c r="A4" s="309" t="s">
        <v>839</v>
      </c>
      <c r="B4" s="320">
        <f>400*$I$1</f>
        <v>6227.7016742770165</v>
      </c>
    </row>
    <row r="5" spans="1:9" ht="12.75">
      <c r="A5" s="309" t="s">
        <v>840</v>
      </c>
      <c r="B5" s="320">
        <v>6850.058</v>
      </c>
    </row>
    <row r="6" spans="1:9" ht="12.75">
      <c r="A6" s="309" t="s">
        <v>841</v>
      </c>
      <c r="B6" s="320">
        <v>2000</v>
      </c>
    </row>
    <row r="7" spans="1:9" ht="12.75">
      <c r="A7" s="309" t="s">
        <v>842</v>
      </c>
      <c r="B7" s="320">
        <v>7500</v>
      </c>
    </row>
    <row r="8" spans="1:9" ht="12.75">
      <c r="A8" s="309" t="s">
        <v>843</v>
      </c>
      <c r="B8" s="320">
        <v>2246.3220000000001</v>
      </c>
    </row>
    <row r="9" spans="1:9" s="174" customFormat="1">
      <c r="A9" s="310" t="s">
        <v>844</v>
      </c>
      <c r="B9" s="319">
        <f>SUM(B3:B8)</f>
        <v>34165.634185692543</v>
      </c>
    </row>
    <row r="10" spans="1:9">
      <c r="A10" s="308"/>
      <c r="B10" s="320"/>
    </row>
    <row r="11" spans="1:9" ht="12.75">
      <c r="A11" s="309" t="s">
        <v>845</v>
      </c>
      <c r="B11" s="320">
        <v>12814.456814307458</v>
      </c>
    </row>
    <row r="12" spans="1:9" s="174" customFormat="1">
      <c r="A12" s="310" t="s">
        <v>846</v>
      </c>
      <c r="B12" s="319">
        <f>B11</f>
        <v>12814.456814307458</v>
      </c>
    </row>
    <row r="13" spans="1:9">
      <c r="A13" s="308"/>
      <c r="B13" s="320"/>
    </row>
    <row r="14" spans="1:9" s="173" customFormat="1" ht="12" thickBot="1">
      <c r="A14" s="311" t="s">
        <v>23</v>
      </c>
      <c r="B14" s="321">
        <f>B9+B12</f>
        <v>46980.091</v>
      </c>
    </row>
    <row r="15" spans="1:9" ht="13.5" thickTop="1">
      <c r="A15" s="420">
        <v>-576.44000000000005</v>
      </c>
    </row>
    <row r="17" spans="2:13">
      <c r="B17" s="372"/>
    </row>
    <row r="18" spans="2:13">
      <c r="B18" s="372"/>
    </row>
    <row r="19" spans="2:13" ht="12" thickBot="1"/>
    <row r="20" spans="2:13" ht="13.5" thickBot="1">
      <c r="D20" s="792" t="s">
        <v>847</v>
      </c>
      <c r="E20" s="793"/>
      <c r="F20" s="793"/>
      <c r="G20" s="794"/>
      <c r="I20" s="312" t="s">
        <v>848</v>
      </c>
      <c r="J20" s="183"/>
      <c r="K20" s="183"/>
      <c r="L20" s="183"/>
      <c r="M20" s="184"/>
    </row>
    <row r="21" spans="2:13" ht="13.5" thickBot="1">
      <c r="D21" s="404"/>
      <c r="E21" s="405"/>
      <c r="F21" s="407" t="s">
        <v>849</v>
      </c>
      <c r="G21" s="406"/>
      <c r="I21" s="408"/>
      <c r="J21" s="409"/>
      <c r="K21" s="409"/>
      <c r="L21" s="410"/>
      <c r="M21" s="407" t="s">
        <v>849</v>
      </c>
    </row>
    <row r="22" spans="2:13">
      <c r="D22" s="363">
        <v>2015</v>
      </c>
      <c r="E22" s="364"/>
      <c r="F22" s="400">
        <v>1788.345</v>
      </c>
      <c r="G22" s="403">
        <f>F22/$F$29</f>
        <v>3.8066018220356365E-2</v>
      </c>
      <c r="I22" s="365" t="s">
        <v>850</v>
      </c>
      <c r="J22" s="364"/>
      <c r="K22" s="364"/>
      <c r="L22" s="364"/>
      <c r="M22" s="366"/>
    </row>
    <row r="23" spans="2:13">
      <c r="D23" s="363">
        <v>2016</v>
      </c>
      <c r="E23" s="364"/>
      <c r="F23" s="400">
        <v>7748.5680000000002</v>
      </c>
      <c r="G23" s="403">
        <f t="shared" ref="G23:G28" si="0">F23/$F$29</f>
        <v>0.16493301385899828</v>
      </c>
      <c r="I23" s="368" t="s">
        <v>851</v>
      </c>
      <c r="J23" s="369"/>
      <c r="K23" s="369"/>
      <c r="L23" s="369"/>
      <c r="M23" s="366">
        <v>7155</v>
      </c>
    </row>
    <row r="24" spans="2:13">
      <c r="D24" s="367">
        <v>2017</v>
      </c>
      <c r="E24" s="364"/>
      <c r="F24" s="400">
        <v>172.66300000000001</v>
      </c>
      <c r="G24" s="403">
        <f t="shared" si="0"/>
        <v>3.6752376660998806E-3</v>
      </c>
      <c r="I24" s="365"/>
      <c r="J24" s="369"/>
      <c r="K24" s="369"/>
      <c r="L24" s="369"/>
      <c r="M24" s="366"/>
    </row>
    <row r="25" spans="2:13">
      <c r="D25" s="363">
        <v>2018</v>
      </c>
      <c r="E25" s="364"/>
      <c r="F25" s="400">
        <v>7733.5640000000003</v>
      </c>
      <c r="G25" s="403">
        <f t="shared" si="0"/>
        <v>0.1646136445329576</v>
      </c>
      <c r="I25" s="365" t="s">
        <v>570</v>
      </c>
      <c r="J25" s="369"/>
      <c r="K25" s="369"/>
      <c r="L25" s="369"/>
      <c r="M25" s="366">
        <v>1011.918</v>
      </c>
    </row>
    <row r="26" spans="2:13" ht="12" thickBot="1">
      <c r="D26" s="363">
        <v>2019</v>
      </c>
      <c r="E26" s="364"/>
      <c r="F26" s="400">
        <v>144.21199999999999</v>
      </c>
      <c r="G26" s="403">
        <f t="shared" si="0"/>
        <v>3.0696407122753335E-3</v>
      </c>
      <c r="I26" s="370"/>
      <c r="J26" s="369"/>
      <c r="K26" s="369"/>
      <c r="L26" s="369"/>
      <c r="M26" s="371"/>
    </row>
    <row r="27" spans="2:13" ht="13.5" thickBot="1">
      <c r="D27" s="363">
        <v>2020</v>
      </c>
      <c r="E27" s="364"/>
      <c r="F27" s="400">
        <v>1117.172</v>
      </c>
      <c r="G27" s="403">
        <f t="shared" si="0"/>
        <v>2.3779689996769056E-2</v>
      </c>
      <c r="I27" s="178" t="s">
        <v>75</v>
      </c>
      <c r="J27" s="179"/>
      <c r="K27" s="179"/>
      <c r="L27" s="179"/>
      <c r="M27" s="180">
        <f>M23+M24+M25</f>
        <v>8166.9179999999997</v>
      </c>
    </row>
    <row r="28" spans="2:13" ht="12" thickBot="1">
      <c r="D28" s="363" t="s">
        <v>852</v>
      </c>
      <c r="E28" s="364"/>
      <c r="F28" s="400">
        <v>28275.566999999999</v>
      </c>
      <c r="G28" s="403">
        <f t="shared" si="0"/>
        <v>0.60186275501254349</v>
      </c>
    </row>
    <row r="29" spans="2:13" ht="13.5" thickBot="1">
      <c r="D29" s="178" t="s">
        <v>707</v>
      </c>
      <c r="E29" s="181"/>
      <c r="F29" s="401">
        <f>SUM(F22:F28)</f>
        <v>46980.091</v>
      </c>
      <c r="G29" s="402">
        <f>SUM(G22:G28)</f>
        <v>1</v>
      </c>
      <c r="I29" s="182"/>
    </row>
    <row r="30" spans="2:13" ht="12" thickBot="1"/>
    <row r="31" spans="2:13" ht="13.5" thickBot="1">
      <c r="I31" s="312" t="s">
        <v>853</v>
      </c>
      <c r="J31" s="183"/>
      <c r="K31" s="183"/>
      <c r="L31" s="183"/>
      <c r="M31" s="184"/>
    </row>
    <row r="32" spans="2:13" ht="13.5" thickBot="1">
      <c r="I32" s="408"/>
      <c r="J32" s="409"/>
      <c r="K32" s="409"/>
      <c r="L32" s="410"/>
      <c r="M32" s="407" t="s">
        <v>849</v>
      </c>
    </row>
    <row r="33" spans="9:13">
      <c r="I33" s="365" t="s">
        <v>850</v>
      </c>
      <c r="J33" s="364"/>
      <c r="K33" s="364"/>
      <c r="L33" s="364"/>
      <c r="M33" s="366"/>
    </row>
    <row r="34" spans="9:13">
      <c r="I34" s="368" t="s">
        <v>851</v>
      </c>
      <c r="J34" s="369"/>
      <c r="K34" s="369"/>
      <c r="L34" s="369"/>
      <c r="M34" s="366">
        <v>14891.2</v>
      </c>
    </row>
    <row r="35" spans="9:13">
      <c r="I35" s="365"/>
      <c r="J35" s="369"/>
      <c r="K35" s="369"/>
      <c r="L35" s="369"/>
      <c r="M35" s="366"/>
    </row>
    <row r="36" spans="9:13">
      <c r="I36" s="365" t="s">
        <v>570</v>
      </c>
      <c r="J36" s="369"/>
      <c r="K36" s="369"/>
      <c r="L36" s="369"/>
      <c r="M36" s="366">
        <v>5793.4</v>
      </c>
    </row>
    <row r="37" spans="9:13" ht="12" thickBot="1">
      <c r="I37" s="370"/>
      <c r="J37" s="369"/>
      <c r="K37" s="369"/>
      <c r="L37" s="369"/>
      <c r="M37" s="371"/>
    </row>
    <row r="38" spans="9:13" ht="13.5" thickBot="1">
      <c r="I38" s="178" t="s">
        <v>75</v>
      </c>
      <c r="J38" s="179"/>
      <c r="K38" s="179"/>
      <c r="L38" s="179"/>
      <c r="M38" s="180">
        <f>M34+M35+M36</f>
        <v>20684.599999999999</v>
      </c>
    </row>
  </sheetData>
  <customSheetViews>
    <customSheetView guid="{9E03B340-36A7-4E6D-8D58-A21713C869F6}" scale="115" showRuler="0">
      <selection activeCell="E24" sqref="E24"/>
      <pageMargins left="0" right="0" top="0" bottom="0" header="0" footer="0"/>
      <headerFooter alignWithMargins="0"/>
    </customSheetView>
    <customSheetView guid="{1B2504A4-7288-49BA-A9D5-232D32B8BF61}" scale="115" showRuler="0">
      <selection activeCell="B37" sqref="B37"/>
      <pageMargins left="0" right="0" top="0" bottom="0" header="0" footer="0"/>
      <pageSetup paperSize="9" orientation="portrait" r:id="rId1"/>
      <headerFooter alignWithMargins="0"/>
    </customSheetView>
    <customSheetView guid="{60A5D7D3-597C-4544-9487-00DE81AA14D0}" scale="115">
      <pageMargins left="0" right="0" top="0" bottom="0" header="0" footer="0"/>
      <headerFooter alignWithMargins="0"/>
    </customSheetView>
  </customSheetViews>
  <mergeCells count="1">
    <mergeCell ref="D20:G20"/>
  </mergeCells>
  <phoneticPr fontId="3" type="noConversion"/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29"/>
  <sheetViews>
    <sheetView workbookViewId="0">
      <selection activeCell="C1" sqref="C1"/>
    </sheetView>
  </sheetViews>
  <sheetFormatPr defaultColWidth="9.140625" defaultRowHeight="12.75"/>
  <cols>
    <col min="1" max="1" width="30.85546875" style="188" bestFit="1" customWidth="1"/>
    <col min="2" max="2" width="32.5703125" style="186" bestFit="1" customWidth="1"/>
    <col min="3" max="4" width="19.28515625" style="186" bestFit="1" customWidth="1"/>
    <col min="5" max="16384" width="9.140625" style="186"/>
  </cols>
  <sheetData>
    <row r="1" spans="1:4">
      <c r="A1" s="185" t="s">
        <v>854</v>
      </c>
    </row>
    <row r="2" spans="1:4">
      <c r="C2" s="293" t="s">
        <v>855</v>
      </c>
      <c r="D2" s="293" t="s">
        <v>856</v>
      </c>
    </row>
    <row r="3" spans="1:4">
      <c r="B3" s="186" t="s">
        <v>857</v>
      </c>
      <c r="C3" s="189" t="str">
        <f>C2&amp; " corp"</f>
        <v>USP9406GAA69 corp</v>
      </c>
      <c r="D3" s="189" t="str">
        <f>D2&amp; " corp"</f>
        <v>USP9406GAB43 corp</v>
      </c>
    </row>
    <row r="4" spans="1:4">
      <c r="C4" s="187"/>
      <c r="D4" s="187"/>
    </row>
    <row r="5" spans="1:4">
      <c r="A5" s="188" t="s">
        <v>858</v>
      </c>
      <c r="B5" s="190" t="s">
        <v>859</v>
      </c>
      <c r="C5" s="190" t="e">
        <f ca="1">_xll.BDP(C$3,$A5)</f>
        <v>#NAME?</v>
      </c>
      <c r="D5" s="190" t="e">
        <f ca="1">_xll.BDP(D$3,$A5)</f>
        <v>#NAME?</v>
      </c>
    </row>
    <row r="6" spans="1:4">
      <c r="A6" s="188" t="s">
        <v>860</v>
      </c>
      <c r="B6" s="186" t="s">
        <v>861</v>
      </c>
      <c r="C6" s="187" t="e">
        <f ca="1">_xll.BDP(C$3,$A6)</f>
        <v>#NAME?</v>
      </c>
      <c r="D6" s="187" t="e">
        <f ca="1">_xll.BDP(D$3,$A6)</f>
        <v>#NAME?</v>
      </c>
    </row>
    <row r="7" spans="1:4">
      <c r="A7" s="188" t="s">
        <v>862</v>
      </c>
      <c r="B7" s="186" t="s">
        <v>863</v>
      </c>
      <c r="C7" s="187" t="e">
        <f ca="1">_xll.BDP(C$3,$A7)</f>
        <v>#NAME?</v>
      </c>
      <c r="D7" s="187" t="e">
        <f ca="1">_xll.BDP(D$3,$A7)</f>
        <v>#NAME?</v>
      </c>
    </row>
    <row r="8" spans="1:4">
      <c r="A8" s="188" t="s">
        <v>864</v>
      </c>
      <c r="B8" s="186" t="s">
        <v>865</v>
      </c>
      <c r="C8" s="191" t="e">
        <f ca="1">_xll.BDP(C$3,$A8)/1000000</f>
        <v>#NAME?</v>
      </c>
      <c r="D8" s="191" t="e">
        <f ca="1">_xll.BDP(D$3,$A8)/1000000</f>
        <v>#NAME?</v>
      </c>
    </row>
    <row r="9" spans="1:4">
      <c r="A9" s="192"/>
      <c r="B9" s="186" t="s">
        <v>828</v>
      </c>
      <c r="C9" s="189" t="e">
        <v>#NAME?</v>
      </c>
      <c r="D9" s="189" t="e">
        <v>#NAME?</v>
      </c>
    </row>
    <row r="10" spans="1:4">
      <c r="A10" s="188" t="s">
        <v>866</v>
      </c>
      <c r="B10" s="186" t="s">
        <v>867</v>
      </c>
      <c r="C10" s="193" t="e">
        <f ca="1">(_xll.BDP(C$3,$A10))/100</f>
        <v>#NAME?</v>
      </c>
      <c r="D10" s="193" t="e">
        <f ca="1">(_xll.BDP(D$3,$A10))/100</f>
        <v>#NAME?</v>
      </c>
    </row>
    <row r="11" spans="1:4">
      <c r="A11" s="188" t="s">
        <v>868</v>
      </c>
      <c r="B11" t="s">
        <v>869</v>
      </c>
      <c r="C11" s="187" t="e">
        <f ca="1">_xll.BDP(C$3,$A11)</f>
        <v>#NAME?</v>
      </c>
      <c r="D11" s="187" t="e">
        <f ca="1">_xll.BDP(D$3,$A11)</f>
        <v>#NAME?</v>
      </c>
    </row>
    <row r="12" spans="1:4">
      <c r="A12" s="188" t="s">
        <v>870</v>
      </c>
      <c r="B12" s="186" t="s">
        <v>871</v>
      </c>
      <c r="C12" s="187" t="e">
        <f ca="1">_xll.BDP(C$3,$A12)</f>
        <v>#NAME?</v>
      </c>
      <c r="D12" s="187" t="e">
        <f ca="1">_xll.BDP(D$3,$A12)</f>
        <v>#NAME?</v>
      </c>
    </row>
    <row r="13" spans="1:4">
      <c r="A13" s="188" t="s">
        <v>872</v>
      </c>
      <c r="B13" s="186" t="s">
        <v>873</v>
      </c>
      <c r="C13" s="187" t="e">
        <f ca="1">_xll.BDP(C$3,$A13)</f>
        <v>#NAME?</v>
      </c>
      <c r="D13" s="187" t="e">
        <f ca="1">_xll.BDP(D$3,$A13)</f>
        <v>#NAME?</v>
      </c>
    </row>
    <row r="14" spans="1:4">
      <c r="A14" s="188" t="s">
        <v>874</v>
      </c>
      <c r="B14" s="186" t="s">
        <v>875</v>
      </c>
      <c r="C14" s="187" t="s">
        <v>876</v>
      </c>
      <c r="D14" s="187" t="s">
        <v>876</v>
      </c>
    </row>
    <row r="15" spans="1:4">
      <c r="A15" s="419">
        <v>0.95499999999999996</v>
      </c>
      <c r="B15" s="186" t="s">
        <v>877</v>
      </c>
      <c r="C15" s="187" t="e">
        <f>_xll.BDP(C$3,#REF!)</f>
        <v>#REF!</v>
      </c>
      <c r="D15" s="187" t="e">
        <f>_xll.BDP(D$3,#REF!)</f>
        <v>#REF!</v>
      </c>
    </row>
    <row r="16" spans="1:4">
      <c r="A16" s="192"/>
      <c r="B16" s="186" t="s">
        <v>878</v>
      </c>
      <c r="C16" s="189" t="s">
        <v>879</v>
      </c>
      <c r="D16" s="189" t="s">
        <v>879</v>
      </c>
    </row>
    <row r="17" spans="1:4">
      <c r="A17" s="192"/>
      <c r="B17" t="s">
        <v>880</v>
      </c>
      <c r="C17" s="189" t="s">
        <v>881</v>
      </c>
      <c r="D17" s="189" t="s">
        <v>881</v>
      </c>
    </row>
    <row r="18" spans="1:4">
      <c r="A18" s="188" t="s">
        <v>882</v>
      </c>
      <c r="B18" s="186" t="s">
        <v>883</v>
      </c>
      <c r="C18" s="194" t="e">
        <f ca="1">_xll.BDP(C$3,$A18)</f>
        <v>#NAME?</v>
      </c>
      <c r="D18" s="194" t="e">
        <f ca="1">_xll.BDP(D$3,$A18)</f>
        <v>#NAME?</v>
      </c>
    </row>
    <row r="19" spans="1:4">
      <c r="A19" s="188" t="s">
        <v>884</v>
      </c>
      <c r="B19" s="186" t="s">
        <v>885</v>
      </c>
      <c r="C19" s="195" t="e">
        <f ca="1">_xll.BDP(C$3,$A19)</f>
        <v>#NAME?</v>
      </c>
      <c r="D19" s="195" t="e">
        <f ca="1">_xll.BDP(D$3,$A19)</f>
        <v>#NAME?</v>
      </c>
    </row>
    <row r="20" spans="1:4">
      <c r="A20" s="188" t="s">
        <v>886</v>
      </c>
      <c r="B20" s="186" t="s">
        <v>887</v>
      </c>
      <c r="C20" s="195" t="e">
        <f ca="1">_xll.BDP(C$3,$A20)</f>
        <v>#NAME?</v>
      </c>
      <c r="D20" s="195" t="e">
        <f ca="1">_xll.BDP(D$3,$A20)</f>
        <v>#NAME?</v>
      </c>
    </row>
    <row r="21" spans="1:4">
      <c r="A21" s="188" t="s">
        <v>888</v>
      </c>
      <c r="B21" s="186" t="s">
        <v>889</v>
      </c>
      <c r="C21" s="195" t="e">
        <f ca="1">_xll.BDP(C$3,$A21)</f>
        <v>#NAME?</v>
      </c>
      <c r="D21" s="195" t="e">
        <f ca="1">_xll.BDP(D$3,$A21)</f>
        <v>#NAME?</v>
      </c>
    </row>
    <row r="22" spans="1:4">
      <c r="A22" s="188" t="s">
        <v>890</v>
      </c>
      <c r="B22" s="186" t="s">
        <v>891</v>
      </c>
      <c r="C22" s="196" t="e">
        <f ca="1">_xll.BDP(C$3,$A22)</f>
        <v>#NAME?</v>
      </c>
      <c r="D22" s="196" t="e">
        <f ca="1">_xll.BDP(D$3,$A22)</f>
        <v>#NAME?</v>
      </c>
    </row>
    <row r="23" spans="1:4">
      <c r="A23" s="188" t="s">
        <v>892</v>
      </c>
      <c r="B23" s="186" t="s">
        <v>591</v>
      </c>
      <c r="C23" s="196" t="e">
        <f ca="1">_xll.BDP(C$3,$A23)</f>
        <v>#NAME?</v>
      </c>
      <c r="D23" s="196" t="e">
        <f ca="1">_xll.BDP(D$3,$A23)</f>
        <v>#NAME?</v>
      </c>
    </row>
    <row r="24" spans="1:4">
      <c r="A24" s="188" t="s">
        <v>893</v>
      </c>
      <c r="B24" s="186" t="s">
        <v>894</v>
      </c>
      <c r="C24" s="196" t="e">
        <f ca="1">_xll.BDP(C$3,$A24)</f>
        <v>#NAME?</v>
      </c>
      <c r="D24" s="196" t="e">
        <f ca="1">_xll.BDP(D$3,$A24)</f>
        <v>#NAME?</v>
      </c>
    </row>
    <row r="25" spans="1:4">
      <c r="A25" s="192"/>
      <c r="B25" s="186" t="s">
        <v>895</v>
      </c>
      <c r="C25" s="189" t="s">
        <v>876</v>
      </c>
      <c r="D25" s="189" t="s">
        <v>876</v>
      </c>
    </row>
    <row r="26" spans="1:4">
      <c r="A26" s="188" t="s">
        <v>896</v>
      </c>
      <c r="B26" s="186" t="s">
        <v>897</v>
      </c>
      <c r="C26" s="196" t="e">
        <f ca="1">_xll.BDP(C$3,$A26)</f>
        <v>#NAME?</v>
      </c>
      <c r="D26" s="196" t="e">
        <f ca="1">_xll.BDP(D$3,$A26)</f>
        <v>#NAME?</v>
      </c>
    </row>
    <row r="27" spans="1:4">
      <c r="A27" s="192"/>
      <c r="B27" s="186" t="s">
        <v>898</v>
      </c>
      <c r="C27" s="189" t="s">
        <v>899</v>
      </c>
      <c r="D27" s="189" t="s">
        <v>899</v>
      </c>
    </row>
    <row r="28" spans="1:4">
      <c r="A28" s="188" t="s">
        <v>900</v>
      </c>
      <c r="B28" s="186" t="s">
        <v>901</v>
      </c>
      <c r="C28" s="196" t="e">
        <v>#NAME?</v>
      </c>
      <c r="D28" s="196" t="e">
        <v>#NAME?</v>
      </c>
    </row>
    <row r="29" spans="1:4">
      <c r="A29" s="188" t="s">
        <v>902</v>
      </c>
      <c r="B29" s="186" t="s">
        <v>903</v>
      </c>
      <c r="C29" s="196" t="e">
        <f ca="1">_xll.BDP(C$3,$A29)</f>
        <v>#NAME?</v>
      </c>
      <c r="D29" s="196" t="e">
        <f ca="1">_xll.BDP(D$3,$A29)</f>
        <v>#NAME?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53"/>
  <sheetViews>
    <sheetView zoomScale="85" zoomScaleNormal="85" workbookViewId="0">
      <selection activeCell="C1" sqref="C1"/>
    </sheetView>
  </sheetViews>
  <sheetFormatPr defaultRowHeight="12.75"/>
  <cols>
    <col min="1" max="1" width="28.42578125" bestFit="1" customWidth="1"/>
    <col min="2" max="2" width="21.5703125" customWidth="1"/>
    <col min="3" max="3" width="16.5703125" bestFit="1" customWidth="1"/>
    <col min="4" max="4" width="10.42578125" bestFit="1" customWidth="1"/>
    <col min="5" max="5" width="8" bestFit="1" customWidth="1"/>
    <col min="6" max="6" width="15.140625" bestFit="1" customWidth="1"/>
    <col min="7" max="7" width="8.28515625" customWidth="1"/>
    <col min="8" max="8" width="10.28515625" customWidth="1"/>
    <col min="9" max="9" width="16.5703125" bestFit="1" customWidth="1"/>
    <col min="10" max="10" width="19.7109375" bestFit="1" customWidth="1"/>
  </cols>
  <sheetData>
    <row r="1" spans="1:10" s="186" customFormat="1" ht="15">
      <c r="A1" s="295" t="s">
        <v>904</v>
      </c>
      <c r="B1" s="295" t="s">
        <v>905</v>
      </c>
      <c r="C1" s="295" t="s">
        <v>906</v>
      </c>
      <c r="D1" s="295" t="s">
        <v>870</v>
      </c>
      <c r="E1" s="296" t="s">
        <v>907</v>
      </c>
      <c r="F1" s="296" t="s">
        <v>908</v>
      </c>
      <c r="G1" s="296" t="s">
        <v>909</v>
      </c>
      <c r="H1" s="296" t="s">
        <v>827</v>
      </c>
      <c r="I1" s="2" t="s">
        <v>910</v>
      </c>
      <c r="J1" s="297"/>
    </row>
    <row r="2" spans="1:10">
      <c r="A2" s="186" t="s">
        <v>911</v>
      </c>
      <c r="B2" s="186"/>
      <c r="C2" s="186"/>
      <c r="D2" s="186"/>
      <c r="E2" s="186"/>
      <c r="F2" s="186"/>
      <c r="G2" s="197">
        <v>118</v>
      </c>
      <c r="H2" s="294"/>
      <c r="I2" s="186"/>
    </row>
    <row r="3" spans="1:10">
      <c r="A3" s="186" t="s">
        <v>912</v>
      </c>
      <c r="B3" s="186"/>
      <c r="C3" s="186"/>
      <c r="D3" s="186"/>
      <c r="E3" s="186"/>
      <c r="F3" s="186"/>
      <c r="G3" s="197">
        <v>169</v>
      </c>
      <c r="H3" s="294"/>
      <c r="I3" s="186"/>
    </row>
    <row r="4" spans="1:10">
      <c r="A4" s="186"/>
      <c r="B4" s="186"/>
      <c r="C4" s="186"/>
      <c r="D4" s="186"/>
      <c r="E4" s="186"/>
      <c r="F4" s="186"/>
      <c r="H4" s="186"/>
      <c r="I4" s="186"/>
    </row>
    <row r="5" spans="1:10">
      <c r="A5" s="186" t="s">
        <v>913</v>
      </c>
      <c r="B5" s="186"/>
      <c r="C5" s="186" t="s">
        <v>914</v>
      </c>
      <c r="D5" s="186"/>
      <c r="E5" s="186"/>
      <c r="F5" s="186"/>
      <c r="G5" s="197" t="e">
        <f ca="1">_xll.BDP(C5,"PX_LAST")</f>
        <v>#NAME?</v>
      </c>
      <c r="H5" s="294"/>
      <c r="I5" s="186"/>
    </row>
    <row r="6" spans="1:10">
      <c r="A6" s="186" t="s">
        <v>915</v>
      </c>
      <c r="B6" s="186"/>
      <c r="C6" s="186" t="s">
        <v>916</v>
      </c>
      <c r="D6" s="186"/>
      <c r="E6" s="186"/>
      <c r="F6" s="186"/>
      <c r="G6" s="197" t="e">
        <f ca="1">_xll.BDP(C6,"PX_LAST")</f>
        <v>#NAME?</v>
      </c>
      <c r="H6" s="294"/>
      <c r="I6" s="186" t="s">
        <v>830</v>
      </c>
    </row>
    <row r="7" spans="1:10">
      <c r="A7" s="186" t="s">
        <v>917</v>
      </c>
      <c r="B7" s="186"/>
      <c r="C7" s="186" t="s">
        <v>918</v>
      </c>
      <c r="D7" s="186"/>
      <c r="E7" s="186"/>
      <c r="F7" s="186"/>
      <c r="G7" s="197" t="e">
        <f ca="1">_xll.BDP(C7,"PX_LAST")</f>
        <v>#NAME?</v>
      </c>
      <c r="H7" s="294"/>
      <c r="I7" s="186" t="s">
        <v>919</v>
      </c>
    </row>
    <row r="8" spans="1:10">
      <c r="A8" s="186" t="s">
        <v>920</v>
      </c>
      <c r="B8" s="186"/>
      <c r="C8" s="186" t="s">
        <v>921</v>
      </c>
      <c r="D8" s="186"/>
      <c r="E8" s="186"/>
      <c r="F8" s="186"/>
      <c r="G8" s="197" t="e">
        <f ca="1">_xll.BDP(C8,"PX_LAST")</f>
        <v>#NAME?</v>
      </c>
      <c r="H8" s="294"/>
      <c r="I8" s="186" t="s">
        <v>922</v>
      </c>
    </row>
    <row r="9" spans="1:10">
      <c r="A9" s="186"/>
      <c r="B9" s="186"/>
      <c r="C9" s="186"/>
      <c r="D9" s="186"/>
      <c r="E9" s="186"/>
      <c r="F9" s="186"/>
      <c r="G9" s="186"/>
      <c r="H9" s="186"/>
      <c r="I9" s="186"/>
    </row>
    <row r="12" spans="1:10">
      <c r="A12" s="200" t="s">
        <v>923</v>
      </c>
      <c r="B12" s="200" t="s">
        <v>924</v>
      </c>
      <c r="C12" s="200" t="s">
        <v>24</v>
      </c>
      <c r="D12" s="200" t="s">
        <v>925</v>
      </c>
      <c r="E12" s="201">
        <v>400</v>
      </c>
      <c r="F12" s="202">
        <v>5.9332691000000007E-2</v>
      </c>
      <c r="G12" s="201">
        <v>343.03373013395503</v>
      </c>
      <c r="H12" s="203">
        <v>13.029846099810781</v>
      </c>
      <c r="I12" s="200" t="s">
        <v>926</v>
      </c>
    </row>
    <row r="13" spans="1:10">
      <c r="A13" s="200" t="s">
        <v>923</v>
      </c>
      <c r="B13" s="200" t="s">
        <v>927</v>
      </c>
      <c r="C13" s="200" t="s">
        <v>24</v>
      </c>
      <c r="D13" s="200" t="s">
        <v>928</v>
      </c>
      <c r="E13" s="201">
        <v>600</v>
      </c>
      <c r="F13" s="202">
        <v>4.3429485000000004E-2</v>
      </c>
      <c r="G13" s="201">
        <v>222.05757645265066</v>
      </c>
      <c r="H13" s="203">
        <v>7.3614634994330812</v>
      </c>
      <c r="I13" s="200" t="s">
        <v>926</v>
      </c>
    </row>
    <row r="14" spans="1:10">
      <c r="A14" t="s">
        <v>929</v>
      </c>
      <c r="B14" t="s">
        <v>930</v>
      </c>
      <c r="C14" t="s">
        <v>931</v>
      </c>
      <c r="D14" t="s">
        <v>932</v>
      </c>
      <c r="E14" s="198">
        <v>400</v>
      </c>
      <c r="F14" s="12">
        <v>4.1243949000000002E-2</v>
      </c>
      <c r="G14" s="198">
        <v>215.51751961132859</v>
      </c>
      <c r="H14" s="199">
        <v>6.4581287195059502</v>
      </c>
      <c r="I14" t="s">
        <v>933</v>
      </c>
    </row>
    <row r="15" spans="1:10">
      <c r="A15" t="s">
        <v>934</v>
      </c>
      <c r="B15" t="s">
        <v>824</v>
      </c>
      <c r="C15" t="s">
        <v>935</v>
      </c>
      <c r="D15" t="s">
        <v>936</v>
      </c>
      <c r="E15" s="198">
        <v>400</v>
      </c>
      <c r="F15" s="12">
        <v>3.8805012E-2</v>
      </c>
      <c r="G15" s="198">
        <v>179.33268685894635</v>
      </c>
      <c r="H15" s="199">
        <v>7.313416590898588</v>
      </c>
      <c r="I15" t="s">
        <v>937</v>
      </c>
    </row>
    <row r="16" spans="1:10">
      <c r="A16" t="s">
        <v>938</v>
      </c>
      <c r="B16" t="s">
        <v>825</v>
      </c>
      <c r="C16" t="s">
        <v>939</v>
      </c>
      <c r="D16" t="s">
        <v>940</v>
      </c>
      <c r="E16" s="198">
        <v>500</v>
      </c>
      <c r="F16" s="12">
        <v>3.3898407999999998E-2</v>
      </c>
      <c r="G16" s="198">
        <v>126.96122256276341</v>
      </c>
      <c r="H16" s="199">
        <v>7.7619403399441582</v>
      </c>
      <c r="I16" t="s">
        <v>941</v>
      </c>
    </row>
    <row r="19" spans="1:9">
      <c r="A19" t="s">
        <v>942</v>
      </c>
      <c r="B19" t="s">
        <v>943</v>
      </c>
      <c r="C19" t="s">
        <v>944</v>
      </c>
      <c r="D19" t="s">
        <v>945</v>
      </c>
      <c r="E19" s="198">
        <v>700</v>
      </c>
      <c r="F19" s="12">
        <v>4.0735949E-2</v>
      </c>
      <c r="G19" s="198">
        <v>195.01412292678566</v>
      </c>
      <c r="H19" s="199">
        <v>7.6937238749708792</v>
      </c>
      <c r="I19" t="s">
        <v>946</v>
      </c>
    </row>
    <row r="20" spans="1:9">
      <c r="A20" t="s">
        <v>947</v>
      </c>
      <c r="B20" t="s">
        <v>948</v>
      </c>
      <c r="C20" t="s">
        <v>949</v>
      </c>
      <c r="D20" t="s">
        <v>950</v>
      </c>
      <c r="E20" s="198">
        <v>500</v>
      </c>
      <c r="F20" s="12">
        <v>3.914948E-2</v>
      </c>
      <c r="G20" s="198">
        <v>184.43041570098899</v>
      </c>
      <c r="H20" s="199">
        <v>7.2688019667294084</v>
      </c>
      <c r="I20" t="s">
        <v>951</v>
      </c>
    </row>
    <row r="21" spans="1:9">
      <c r="A21" t="s">
        <v>952</v>
      </c>
      <c r="B21" t="s">
        <v>953</v>
      </c>
      <c r="C21" t="s">
        <v>954</v>
      </c>
      <c r="D21" t="s">
        <v>955</v>
      </c>
      <c r="E21" s="198">
        <v>300</v>
      </c>
      <c r="F21" s="12">
        <v>3.5117751999999995E-2</v>
      </c>
      <c r="G21" s="198">
        <v>179.03292501549009</v>
      </c>
      <c r="H21" s="199">
        <v>4.9560302460326966</v>
      </c>
      <c r="I21" t="s">
        <v>946</v>
      </c>
    </row>
    <row r="22" spans="1:9">
      <c r="A22" t="s">
        <v>934</v>
      </c>
      <c r="B22" t="s">
        <v>824</v>
      </c>
      <c r="C22" t="s">
        <v>935</v>
      </c>
      <c r="D22" t="s">
        <v>936</v>
      </c>
      <c r="E22" s="198">
        <v>400</v>
      </c>
      <c r="F22" s="12">
        <v>3.8805012E-2</v>
      </c>
      <c r="G22" s="198">
        <v>179.33268685894635</v>
      </c>
      <c r="H22" s="199">
        <v>7.313416590898588</v>
      </c>
      <c r="I22" t="s">
        <v>937</v>
      </c>
    </row>
    <row r="23" spans="1:9">
      <c r="A23" t="s">
        <v>956</v>
      </c>
      <c r="B23" t="s">
        <v>957</v>
      </c>
      <c r="C23" t="s">
        <v>958</v>
      </c>
      <c r="D23" t="s">
        <v>959</v>
      </c>
      <c r="E23" s="198">
        <v>350</v>
      </c>
      <c r="F23" s="12">
        <v>2.9245271999999999E-2</v>
      </c>
      <c r="G23" s="198">
        <v>177.22485705383824</v>
      </c>
      <c r="H23" s="199">
        <v>2.7945221127226532</v>
      </c>
      <c r="I23" t="s">
        <v>960</v>
      </c>
    </row>
    <row r="24" spans="1:9">
      <c r="A24" t="s">
        <v>961</v>
      </c>
      <c r="B24" t="s">
        <v>962</v>
      </c>
      <c r="C24" t="s">
        <v>963</v>
      </c>
      <c r="D24" t="s">
        <v>964</v>
      </c>
      <c r="E24" s="198">
        <v>600</v>
      </c>
      <c r="F24" s="12">
        <v>3.8904446000000002E-2</v>
      </c>
      <c r="G24" s="198">
        <v>163.76453653345527</v>
      </c>
      <c r="H24" s="199">
        <v>3.843230569221046</v>
      </c>
      <c r="I24" t="s">
        <v>965</v>
      </c>
    </row>
    <row r="25" spans="1:9">
      <c r="A25" t="s">
        <v>966</v>
      </c>
      <c r="B25" t="s">
        <v>826</v>
      </c>
      <c r="C25" t="s">
        <v>967</v>
      </c>
      <c r="D25" t="s">
        <v>968</v>
      </c>
      <c r="E25" s="198">
        <v>300</v>
      </c>
      <c r="F25" s="12">
        <v>3.2774866999999999E-2</v>
      </c>
      <c r="G25" s="198">
        <v>130.33486288844242</v>
      </c>
      <c r="H25" s="199">
        <v>6.5672498678390259</v>
      </c>
      <c r="I25" t="s">
        <v>831</v>
      </c>
    </row>
    <row r="26" spans="1:9">
      <c r="A26" t="s">
        <v>969</v>
      </c>
      <c r="B26" t="s">
        <v>970</v>
      </c>
      <c r="C26" t="s">
        <v>954</v>
      </c>
      <c r="D26" t="s">
        <v>971</v>
      </c>
      <c r="E26" s="198">
        <v>420</v>
      </c>
      <c r="F26" s="12">
        <v>2.0575658E-2</v>
      </c>
      <c r="G26" s="198">
        <v>128.52948860218598</v>
      </c>
      <c r="H26" s="199">
        <v>1.1713760151978965</v>
      </c>
      <c r="I26" t="s">
        <v>946</v>
      </c>
    </row>
    <row r="27" spans="1:9">
      <c r="A27" t="s">
        <v>947</v>
      </c>
      <c r="B27" t="s">
        <v>972</v>
      </c>
      <c r="C27" t="s">
        <v>949</v>
      </c>
      <c r="D27" t="s">
        <v>973</v>
      </c>
      <c r="E27" s="198">
        <v>500</v>
      </c>
      <c r="F27" s="12">
        <v>2.6471036E-2</v>
      </c>
      <c r="G27" s="198">
        <v>122.14478966162675</v>
      </c>
      <c r="H27" s="199">
        <v>3.6331491769562794</v>
      </c>
      <c r="I27" t="s">
        <v>951</v>
      </c>
    </row>
    <row r="28" spans="1:9">
      <c r="A28" t="s">
        <v>952</v>
      </c>
      <c r="B28" t="s">
        <v>974</v>
      </c>
      <c r="C28" t="s">
        <v>954</v>
      </c>
      <c r="D28" t="s">
        <v>975</v>
      </c>
      <c r="E28" s="198">
        <v>600</v>
      </c>
      <c r="F28" s="12">
        <v>2.0097758E-2</v>
      </c>
      <c r="G28" s="198">
        <v>117.92213878674042</v>
      </c>
      <c r="H28" s="199">
        <v>1.6140832748455518</v>
      </c>
      <c r="I28" t="s">
        <v>946</v>
      </c>
    </row>
    <row r="29" spans="1:9">
      <c r="A29" t="s">
        <v>976</v>
      </c>
      <c r="B29" t="s">
        <v>977</v>
      </c>
      <c r="C29" t="s">
        <v>978</v>
      </c>
      <c r="D29" t="s">
        <v>979</v>
      </c>
      <c r="E29" s="198">
        <v>750</v>
      </c>
      <c r="F29" s="12">
        <v>2.4723044E-2</v>
      </c>
      <c r="G29" s="198">
        <v>118.01478641738784</v>
      </c>
      <c r="H29" s="199">
        <v>3.2518536554731665</v>
      </c>
      <c r="I29" t="s">
        <v>980</v>
      </c>
    </row>
    <row r="30" spans="1:9">
      <c r="A30" t="s">
        <v>981</v>
      </c>
      <c r="B30" t="s">
        <v>982</v>
      </c>
      <c r="C30" t="s">
        <v>983</v>
      </c>
      <c r="D30" t="s">
        <v>984</v>
      </c>
      <c r="E30" s="198">
        <v>600</v>
      </c>
      <c r="F30" s="12">
        <v>1.8989250999999999E-2</v>
      </c>
      <c r="G30" s="198">
        <v>107.83955098712514</v>
      </c>
      <c r="H30" s="199">
        <v>1.5431454363402934</v>
      </c>
      <c r="I30" t="s">
        <v>985</v>
      </c>
    </row>
    <row r="31" spans="1:9">
      <c r="A31" t="s">
        <v>986</v>
      </c>
      <c r="B31" t="s">
        <v>987</v>
      </c>
      <c r="C31" t="s">
        <v>949</v>
      </c>
      <c r="D31" t="s">
        <v>988</v>
      </c>
      <c r="E31" s="198">
        <v>400</v>
      </c>
      <c r="F31" s="12">
        <v>1.544651E-2</v>
      </c>
      <c r="G31" s="198">
        <v>71.840940958666977</v>
      </c>
      <c r="H31" s="199">
        <v>1.5856459348447001</v>
      </c>
      <c r="I31" t="s">
        <v>951</v>
      </c>
    </row>
    <row r="32" spans="1:9">
      <c r="E32" s="198"/>
      <c r="F32" s="12"/>
      <c r="G32" s="198"/>
      <c r="H32" s="199"/>
    </row>
    <row r="33" spans="1:9">
      <c r="E33" s="198"/>
      <c r="F33" s="12"/>
      <c r="G33" s="198"/>
      <c r="H33" s="199"/>
    </row>
    <row r="34" spans="1:9">
      <c r="A34" t="s">
        <v>989</v>
      </c>
      <c r="B34" t="s">
        <v>990</v>
      </c>
      <c r="C34" t="s">
        <v>991</v>
      </c>
      <c r="D34" t="s">
        <v>992</v>
      </c>
      <c r="E34" s="198">
        <v>500</v>
      </c>
      <c r="F34" s="12">
        <v>5.5715237999999993E-2</v>
      </c>
      <c r="G34" s="198">
        <v>305.8068851636653</v>
      </c>
      <c r="H34" s="199">
        <v>13.742431320405828</v>
      </c>
      <c r="I34" t="s">
        <v>993</v>
      </c>
    </row>
    <row r="35" spans="1:9">
      <c r="A35" t="s">
        <v>994</v>
      </c>
      <c r="B35" t="s">
        <v>995</v>
      </c>
      <c r="C35" t="s">
        <v>991</v>
      </c>
      <c r="D35" t="s">
        <v>996</v>
      </c>
      <c r="E35" s="198">
        <v>300</v>
      </c>
      <c r="F35" s="12">
        <v>5.4975851999999999E-2</v>
      </c>
      <c r="G35" s="198">
        <v>297.3462848507387</v>
      </c>
      <c r="H35" s="199">
        <v>14.12569077117543</v>
      </c>
      <c r="I35" t="s">
        <v>997</v>
      </c>
    </row>
    <row r="36" spans="1:9">
      <c r="A36" t="s">
        <v>998</v>
      </c>
      <c r="B36" t="s">
        <v>999</v>
      </c>
      <c r="C36" t="s">
        <v>1000</v>
      </c>
      <c r="D36" t="s">
        <v>1001</v>
      </c>
      <c r="E36" s="198">
        <v>600</v>
      </c>
      <c r="F36" s="12">
        <v>5.4973701000000007E-2</v>
      </c>
      <c r="G36" s="198">
        <v>349.03585357307776</v>
      </c>
      <c r="H36" s="199">
        <v>6.3878089392123458</v>
      </c>
      <c r="I36" t="s">
        <v>1002</v>
      </c>
    </row>
    <row r="37" spans="1:9">
      <c r="A37" t="s">
        <v>1003</v>
      </c>
      <c r="B37" t="s">
        <v>1004</v>
      </c>
      <c r="C37" t="s">
        <v>991</v>
      </c>
      <c r="D37" t="s">
        <v>1005</v>
      </c>
      <c r="E37" s="198">
        <v>500</v>
      </c>
      <c r="F37" s="12">
        <v>5.4138488000000005E-2</v>
      </c>
      <c r="G37" s="198">
        <v>299.51462061080059</v>
      </c>
      <c r="H37" s="199">
        <v>11.065498816882828</v>
      </c>
      <c r="I37" t="s">
        <v>993</v>
      </c>
    </row>
    <row r="38" spans="1:9">
      <c r="A38" t="s">
        <v>1003</v>
      </c>
      <c r="B38" t="s">
        <v>1006</v>
      </c>
      <c r="C38" t="s">
        <v>991</v>
      </c>
      <c r="D38" t="s">
        <v>1007</v>
      </c>
      <c r="E38" s="198">
        <v>700</v>
      </c>
      <c r="F38" s="12">
        <v>4.1948257000000003E-2</v>
      </c>
      <c r="G38" s="198">
        <v>214.18983870515555</v>
      </c>
      <c r="H38" s="199">
        <v>7.0119170376584457</v>
      </c>
      <c r="I38" t="s">
        <v>993</v>
      </c>
    </row>
    <row r="39" spans="1:9">
      <c r="A39" t="s">
        <v>989</v>
      </c>
      <c r="B39" t="s">
        <v>1008</v>
      </c>
      <c r="C39" t="s">
        <v>991</v>
      </c>
      <c r="D39" t="s">
        <v>1009</v>
      </c>
      <c r="E39" s="198">
        <v>500</v>
      </c>
      <c r="F39" s="12">
        <v>4.1746466000000003E-2</v>
      </c>
      <c r="G39" s="198">
        <v>216.01674198885956</v>
      </c>
      <c r="H39" s="199">
        <v>6.7717443537327986</v>
      </c>
      <c r="I39" t="s">
        <v>993</v>
      </c>
    </row>
    <row r="40" spans="1:9">
      <c r="A40" t="s">
        <v>1010</v>
      </c>
      <c r="B40" t="s">
        <v>1011</v>
      </c>
      <c r="C40" t="s">
        <v>1012</v>
      </c>
      <c r="D40" t="s">
        <v>1013</v>
      </c>
      <c r="E40" s="198">
        <v>700</v>
      </c>
      <c r="F40" s="12">
        <v>4.1489424000000004E-2</v>
      </c>
      <c r="G40" s="198">
        <v>211.22909770843546</v>
      </c>
      <c r="H40" s="199">
        <v>6.8147376713051591</v>
      </c>
      <c r="I40" t="s">
        <v>993</v>
      </c>
    </row>
    <row r="41" spans="1:9">
      <c r="A41" t="s">
        <v>1014</v>
      </c>
      <c r="B41" t="s">
        <v>1015</v>
      </c>
      <c r="C41" t="s">
        <v>1016</v>
      </c>
      <c r="D41" t="s">
        <v>1017</v>
      </c>
      <c r="E41" s="198">
        <v>500</v>
      </c>
      <c r="F41" s="12">
        <v>4.0937216000000005E-2</v>
      </c>
      <c r="G41" s="198">
        <v>237.83547796329802</v>
      </c>
      <c r="H41" s="199">
        <v>4.8681209928698177</v>
      </c>
      <c r="I41" t="s">
        <v>1018</v>
      </c>
    </row>
    <row r="42" spans="1:9">
      <c r="A42" t="s">
        <v>994</v>
      </c>
      <c r="B42" t="s">
        <v>1019</v>
      </c>
      <c r="C42" t="s">
        <v>991</v>
      </c>
      <c r="D42" t="s">
        <v>1020</v>
      </c>
      <c r="E42" s="198">
        <v>700</v>
      </c>
      <c r="F42" s="12">
        <v>3.9428562E-2</v>
      </c>
      <c r="G42" s="198">
        <v>199.15964012410754</v>
      </c>
      <c r="H42" s="199">
        <v>6.3881146827217474</v>
      </c>
      <c r="I42" t="s">
        <v>997</v>
      </c>
    </row>
    <row r="43" spans="1:9">
      <c r="A43" t="s">
        <v>1021</v>
      </c>
      <c r="B43" t="s">
        <v>1022</v>
      </c>
      <c r="C43" t="s">
        <v>1000</v>
      </c>
      <c r="D43" t="s">
        <v>1023</v>
      </c>
      <c r="E43" s="198">
        <v>600</v>
      </c>
      <c r="F43" s="12">
        <v>3.7069046000000001E-2</v>
      </c>
      <c r="G43" s="198">
        <v>242.54276082910985</v>
      </c>
      <c r="H43" s="199">
        <v>3.1729887430645292</v>
      </c>
      <c r="I43" t="s">
        <v>1002</v>
      </c>
    </row>
    <row r="44" spans="1:9">
      <c r="A44" t="s">
        <v>1024</v>
      </c>
      <c r="B44" t="s">
        <v>1025</v>
      </c>
      <c r="C44" t="s">
        <v>1016</v>
      </c>
      <c r="D44" t="s">
        <v>1026</v>
      </c>
      <c r="E44" s="198">
        <v>500</v>
      </c>
      <c r="F44" s="12">
        <v>3.6694405999999999E-2</v>
      </c>
      <c r="G44" s="198">
        <v>231.73653482858705</v>
      </c>
      <c r="H44" s="199">
        <v>3.3783202688033356</v>
      </c>
      <c r="I44" t="s">
        <v>1018</v>
      </c>
    </row>
    <row r="45" spans="1:9">
      <c r="A45" t="s">
        <v>1027</v>
      </c>
      <c r="B45" t="s">
        <v>1028</v>
      </c>
      <c r="C45" t="s">
        <v>991</v>
      </c>
      <c r="D45" t="s">
        <v>1029</v>
      </c>
      <c r="E45" s="198">
        <v>1000</v>
      </c>
      <c r="F45" s="12">
        <v>3.4682501000000004E-2</v>
      </c>
      <c r="G45" s="198">
        <v>179.94514062087919</v>
      </c>
      <c r="H45" s="199">
        <v>4.71256544303154</v>
      </c>
      <c r="I45" t="s">
        <v>997</v>
      </c>
    </row>
    <row r="46" spans="1:9">
      <c r="A46" t="s">
        <v>1024</v>
      </c>
      <c r="B46" t="s">
        <v>1030</v>
      </c>
      <c r="C46" t="s">
        <v>1016</v>
      </c>
      <c r="D46" t="s">
        <v>1031</v>
      </c>
      <c r="E46" s="198">
        <v>300</v>
      </c>
      <c r="F46" s="12">
        <v>3.4037423000000004E-2</v>
      </c>
      <c r="G46" s="198">
        <v>214.93553620466636</v>
      </c>
      <c r="H46" s="199">
        <v>3.0665361836135947</v>
      </c>
      <c r="I46" t="s">
        <v>1018</v>
      </c>
    </row>
    <row r="47" spans="1:9">
      <c r="A47" t="s">
        <v>1003</v>
      </c>
      <c r="B47" t="s">
        <v>1032</v>
      </c>
      <c r="C47" t="s">
        <v>991</v>
      </c>
      <c r="D47" t="s">
        <v>1033</v>
      </c>
      <c r="E47" s="198">
        <v>800</v>
      </c>
      <c r="F47" s="12">
        <v>3.0668088E-2</v>
      </c>
      <c r="G47" s="198">
        <v>167.16442152204505</v>
      </c>
      <c r="H47" s="199">
        <v>3.6030257083152248</v>
      </c>
      <c r="I47" t="s">
        <v>993</v>
      </c>
    </row>
    <row r="48" spans="1:9">
      <c r="A48" t="s">
        <v>1010</v>
      </c>
      <c r="B48" t="s">
        <v>1034</v>
      </c>
      <c r="C48" t="s">
        <v>1012</v>
      </c>
      <c r="D48" t="s">
        <v>1035</v>
      </c>
      <c r="E48" s="198">
        <v>800</v>
      </c>
      <c r="F48" s="12">
        <v>3.0247277000000003E-2</v>
      </c>
      <c r="G48" s="198">
        <v>167.29556529691536</v>
      </c>
      <c r="H48" s="199">
        <v>3.4030849524839684</v>
      </c>
      <c r="I48" t="s">
        <v>993</v>
      </c>
    </row>
    <row r="49" spans="1:9">
      <c r="A49" t="s">
        <v>956</v>
      </c>
      <c r="B49" t="s">
        <v>957</v>
      </c>
      <c r="C49" t="s">
        <v>958</v>
      </c>
      <c r="D49" t="s">
        <v>959</v>
      </c>
      <c r="E49" s="198">
        <v>350</v>
      </c>
      <c r="F49" s="12">
        <v>2.9245271999999999E-2</v>
      </c>
      <c r="G49" s="198">
        <v>177.22485705383824</v>
      </c>
      <c r="H49" s="199">
        <v>2.7945221127226532</v>
      </c>
      <c r="I49" t="s">
        <v>960</v>
      </c>
    </row>
    <row r="50" spans="1:9">
      <c r="A50" t="s">
        <v>1036</v>
      </c>
      <c r="B50" t="s">
        <v>1037</v>
      </c>
      <c r="C50" t="s">
        <v>1016</v>
      </c>
      <c r="D50" t="s">
        <v>1038</v>
      </c>
      <c r="E50" s="198">
        <v>500</v>
      </c>
      <c r="F50" s="12">
        <v>2.8676987000000001E-2</v>
      </c>
      <c r="G50" s="198">
        <v>188.69438477110182</v>
      </c>
      <c r="H50" s="199">
        <v>2.2554723008737039</v>
      </c>
      <c r="I50" t="s">
        <v>1018</v>
      </c>
    </row>
    <row r="51" spans="1:9">
      <c r="A51" t="s">
        <v>989</v>
      </c>
      <c r="B51" t="s">
        <v>1039</v>
      </c>
      <c r="C51" t="s">
        <v>991</v>
      </c>
      <c r="D51" t="s">
        <v>1040</v>
      </c>
      <c r="E51" s="198">
        <v>500</v>
      </c>
      <c r="F51" s="12">
        <v>2.7413965999999998E-2</v>
      </c>
      <c r="G51" s="198">
        <v>146.98943199642653</v>
      </c>
      <c r="H51" s="199">
        <v>3.1943815597900045</v>
      </c>
      <c r="I51" t="s">
        <v>993</v>
      </c>
    </row>
    <row r="52" spans="1:9">
      <c r="A52" t="s">
        <v>1041</v>
      </c>
      <c r="B52" t="s">
        <v>1042</v>
      </c>
      <c r="C52" t="s">
        <v>991</v>
      </c>
      <c r="D52" t="s">
        <v>975</v>
      </c>
      <c r="E52" s="198">
        <v>750</v>
      </c>
      <c r="F52" s="12">
        <v>2.1616298999999999E-2</v>
      </c>
      <c r="G52" s="198">
        <v>133.04511656750807</v>
      </c>
      <c r="H52" s="199">
        <v>1.614327767552354</v>
      </c>
      <c r="I52" t="s">
        <v>997</v>
      </c>
    </row>
    <row r="53" spans="1:9">
      <c r="A53" t="s">
        <v>1010</v>
      </c>
      <c r="B53" t="s">
        <v>1043</v>
      </c>
      <c r="C53" t="s">
        <v>1012</v>
      </c>
      <c r="D53" t="s">
        <v>1044</v>
      </c>
      <c r="E53" s="198">
        <v>1000</v>
      </c>
      <c r="F53" s="12">
        <v>1.8532307000000001E-2</v>
      </c>
      <c r="G53" s="198">
        <v>113.33854292481453</v>
      </c>
      <c r="H53" s="199">
        <v>0.93848569148632854</v>
      </c>
      <c r="I53" t="s">
        <v>993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R61"/>
  <sheetViews>
    <sheetView zoomScale="85" zoomScaleNormal="85" workbookViewId="0">
      <selection activeCell="C1" sqref="C1"/>
    </sheetView>
  </sheetViews>
  <sheetFormatPr defaultColWidth="9" defaultRowHeight="12.75"/>
  <cols>
    <col min="1" max="1" width="29.85546875" bestFit="1" customWidth="1"/>
    <col min="2" max="2" width="16.7109375" bestFit="1" customWidth="1"/>
    <col min="3" max="3" width="14.28515625" bestFit="1" customWidth="1"/>
    <col min="4" max="4" width="13.5703125" bestFit="1" customWidth="1"/>
    <col min="5" max="5" width="9.85546875" bestFit="1" customWidth="1"/>
    <col min="6" max="6" width="13.85546875" bestFit="1" customWidth="1"/>
    <col min="7" max="7" width="20" bestFit="1" customWidth="1"/>
    <col min="8" max="8" width="12.140625" bestFit="1" customWidth="1"/>
    <col min="9" max="10" width="9.85546875" bestFit="1" customWidth="1"/>
    <col min="11" max="11" width="11.140625" bestFit="1" customWidth="1"/>
    <col min="12" max="12" width="14.140625" bestFit="1" customWidth="1"/>
    <col min="13" max="13" width="14.28515625" bestFit="1" customWidth="1"/>
    <col min="14" max="14" width="10.5703125" bestFit="1" customWidth="1"/>
    <col min="15" max="15" width="14.85546875" bestFit="1" customWidth="1"/>
    <col min="16" max="17" width="12.42578125" bestFit="1" customWidth="1"/>
    <col min="18" max="18" width="10.5703125" bestFit="1" customWidth="1"/>
  </cols>
  <sheetData>
    <row r="1" spans="1:18">
      <c r="A1" s="204" t="s">
        <v>1045</v>
      </c>
      <c r="B1" s="205" t="s">
        <v>1046</v>
      </c>
      <c r="C1" s="205" t="s">
        <v>1047</v>
      </c>
      <c r="D1" s="205" t="s">
        <v>1048</v>
      </c>
      <c r="E1" s="205" t="s">
        <v>1049</v>
      </c>
      <c r="F1" s="205" t="s">
        <v>1050</v>
      </c>
      <c r="G1" s="205" t="s">
        <v>1051</v>
      </c>
      <c r="H1" s="205" t="s">
        <v>1052</v>
      </c>
      <c r="I1" s="205" t="s">
        <v>1053</v>
      </c>
      <c r="J1" s="205" t="s">
        <v>1054</v>
      </c>
      <c r="K1" s="205" t="s">
        <v>1055</v>
      </c>
      <c r="L1" s="205" t="s">
        <v>1056</v>
      </c>
      <c r="M1" s="205" t="s">
        <v>1057</v>
      </c>
      <c r="N1" s="205" t="s">
        <v>1058</v>
      </c>
      <c r="O1" s="205" t="s">
        <v>1059</v>
      </c>
      <c r="P1" s="205" t="s">
        <v>1060</v>
      </c>
      <c r="Q1" s="205" t="s">
        <v>1061</v>
      </c>
      <c r="R1" s="205" t="s">
        <v>1062</v>
      </c>
    </row>
    <row r="2" spans="1:18">
      <c r="A2" s="206" t="s">
        <v>906</v>
      </c>
      <c r="B2" s="206" t="s">
        <v>1063</v>
      </c>
      <c r="C2" s="206" t="s">
        <v>1064</v>
      </c>
      <c r="D2" s="206" t="s">
        <v>1065</v>
      </c>
      <c r="E2" s="206" t="s">
        <v>1066</v>
      </c>
      <c r="F2" s="206" t="s">
        <v>1067</v>
      </c>
      <c r="G2" s="206" t="s">
        <v>1068</v>
      </c>
      <c r="H2" s="206" t="s">
        <v>1069</v>
      </c>
      <c r="I2" s="206" t="s">
        <v>1070</v>
      </c>
      <c r="J2" s="206" t="s">
        <v>1071</v>
      </c>
      <c r="K2" s="206" t="s">
        <v>1072</v>
      </c>
      <c r="L2" s="206" t="s">
        <v>1073</v>
      </c>
      <c r="M2" s="206" t="s">
        <v>1074</v>
      </c>
      <c r="N2" s="206" t="s">
        <v>1075</v>
      </c>
      <c r="O2" s="206" t="s">
        <v>1076</v>
      </c>
      <c r="P2" s="206"/>
      <c r="Q2" s="206" t="s">
        <v>1077</v>
      </c>
      <c r="R2" s="206" t="s">
        <v>1078</v>
      </c>
    </row>
    <row r="3" spans="1:18">
      <c r="A3" s="204" t="s">
        <v>906</v>
      </c>
      <c r="B3" s="204" t="s">
        <v>967</v>
      </c>
      <c r="C3" s="204" t="s">
        <v>1079</v>
      </c>
      <c r="D3" s="204" t="s">
        <v>1080</v>
      </c>
      <c r="E3" s="204" t="s">
        <v>1081</v>
      </c>
      <c r="F3" s="204" t="s">
        <v>1082</v>
      </c>
      <c r="G3" s="204" t="s">
        <v>1083</v>
      </c>
      <c r="H3" s="204" t="s">
        <v>1084</v>
      </c>
      <c r="I3" s="204" t="s">
        <v>1085</v>
      </c>
      <c r="J3" s="204" t="s">
        <v>1086</v>
      </c>
      <c r="K3" s="204" t="s">
        <v>1087</v>
      </c>
      <c r="L3" s="204" t="s">
        <v>954</v>
      </c>
      <c r="M3" s="204" t="s">
        <v>1088</v>
      </c>
      <c r="N3" s="204" t="s">
        <v>1089</v>
      </c>
      <c r="O3" s="204" t="s">
        <v>983</v>
      </c>
      <c r="P3" s="204" t="s">
        <v>931</v>
      </c>
      <c r="Q3" s="204" t="s">
        <v>1090</v>
      </c>
      <c r="R3" s="204" t="s">
        <v>1091</v>
      </c>
    </row>
    <row r="4" spans="1:18">
      <c r="A4" s="206" t="s">
        <v>910</v>
      </c>
      <c r="B4" s="206" t="s">
        <v>1092</v>
      </c>
      <c r="C4" s="187" t="s">
        <v>1093</v>
      </c>
      <c r="D4" s="206" t="s">
        <v>1094</v>
      </c>
      <c r="E4" s="187" t="s">
        <v>1095</v>
      </c>
      <c r="F4" s="187" t="s">
        <v>1095</v>
      </c>
      <c r="G4" s="187" t="s">
        <v>1096</v>
      </c>
      <c r="H4" s="187" t="s">
        <v>1097</v>
      </c>
      <c r="I4" s="187" t="s">
        <v>1095</v>
      </c>
      <c r="J4" s="187" t="s">
        <v>1095</v>
      </c>
      <c r="K4" s="187" t="s">
        <v>1095</v>
      </c>
      <c r="L4" s="206" t="s">
        <v>1098</v>
      </c>
      <c r="M4" s="187" t="s">
        <v>1095</v>
      </c>
      <c r="N4" s="187" t="s">
        <v>1099</v>
      </c>
      <c r="O4" s="187" t="s">
        <v>1100</v>
      </c>
      <c r="P4" s="187" t="s">
        <v>1095</v>
      </c>
      <c r="Q4" s="187" t="s">
        <v>1095</v>
      </c>
      <c r="R4" s="187" t="s">
        <v>1095</v>
      </c>
    </row>
    <row r="5" spans="1:18">
      <c r="A5" s="206" t="s">
        <v>1101</v>
      </c>
      <c r="B5" s="207"/>
      <c r="C5" s="208">
        <v>0.02</v>
      </c>
      <c r="D5" s="207">
        <v>0.01</v>
      </c>
      <c r="E5" s="208">
        <v>0.03</v>
      </c>
      <c r="F5" s="208">
        <v>0.15</v>
      </c>
      <c r="G5" s="208">
        <v>0.18</v>
      </c>
      <c r="H5" s="208"/>
      <c r="I5" s="208">
        <v>0.1</v>
      </c>
      <c r="J5" s="208">
        <v>7.0000000000000007E-2</v>
      </c>
      <c r="K5" s="208">
        <v>0.05</v>
      </c>
      <c r="L5" s="207">
        <v>0.06</v>
      </c>
      <c r="M5" s="208">
        <v>0.13</v>
      </c>
      <c r="N5" s="208"/>
      <c r="O5" s="208"/>
      <c r="P5" s="208"/>
      <c r="Q5" s="208"/>
      <c r="R5" s="208"/>
    </row>
    <row r="6" spans="1:18">
      <c r="A6" s="206"/>
      <c r="B6" s="206"/>
      <c r="C6" s="187"/>
      <c r="D6" s="206"/>
      <c r="E6" s="187"/>
      <c r="F6" s="187"/>
      <c r="G6" s="187"/>
      <c r="H6" s="187"/>
      <c r="I6" s="187"/>
      <c r="J6" s="187"/>
      <c r="K6" s="187"/>
      <c r="L6" s="206"/>
      <c r="M6" s="187"/>
      <c r="N6" s="187"/>
      <c r="O6" s="206"/>
      <c r="P6" s="187"/>
      <c r="Q6" s="187"/>
      <c r="R6" s="187"/>
    </row>
    <row r="7" spans="1:18">
      <c r="A7" s="204" t="s">
        <v>802</v>
      </c>
      <c r="B7" s="205" t="s">
        <v>1046</v>
      </c>
      <c r="C7" s="205" t="s">
        <v>1047</v>
      </c>
      <c r="D7" s="205" t="s">
        <v>1048</v>
      </c>
      <c r="E7" s="205" t="s">
        <v>1049</v>
      </c>
      <c r="F7" s="205" t="s">
        <v>1050</v>
      </c>
      <c r="G7" s="205" t="s">
        <v>1051</v>
      </c>
      <c r="H7" s="205" t="s">
        <v>1052</v>
      </c>
      <c r="I7" s="205" t="s">
        <v>1053</v>
      </c>
      <c r="J7" s="205" t="s">
        <v>1054</v>
      </c>
      <c r="K7" s="205" t="s">
        <v>1055</v>
      </c>
      <c r="L7" s="205" t="s">
        <v>1056</v>
      </c>
      <c r="M7" s="205" t="s">
        <v>1057</v>
      </c>
      <c r="N7" s="205" t="s">
        <v>1058</v>
      </c>
      <c r="O7" s="205" t="s">
        <v>1059</v>
      </c>
      <c r="P7" s="205" t="s">
        <v>1060</v>
      </c>
      <c r="Q7" s="205" t="s">
        <v>1061</v>
      </c>
      <c r="R7" s="205" t="s">
        <v>1062</v>
      </c>
    </row>
    <row r="8" spans="1:18">
      <c r="A8" s="209" t="s">
        <v>704</v>
      </c>
      <c r="B8" s="210">
        <v>1085</v>
      </c>
      <c r="C8" s="210">
        <v>5386</v>
      </c>
      <c r="D8" s="211">
        <f>0.81*(811.35*7.75)</f>
        <v>5093.2496250000004</v>
      </c>
      <c r="E8" s="210">
        <f>983+786</f>
        <v>1769</v>
      </c>
      <c r="F8" s="210">
        <v>4994</v>
      </c>
      <c r="G8" s="210">
        <f>0.36*13901</f>
        <v>5004.3599999999997</v>
      </c>
      <c r="H8" s="210">
        <v>2489</v>
      </c>
      <c r="I8" s="210">
        <v>11767</v>
      </c>
      <c r="J8" s="210">
        <f>0.24*2679.2</f>
        <v>643.00799999999992</v>
      </c>
      <c r="K8" s="210">
        <v>1960</v>
      </c>
      <c r="L8" s="210">
        <f>0.5*2147</f>
        <v>1073.5</v>
      </c>
      <c r="M8" s="210">
        <v>2310.6000000000004</v>
      </c>
      <c r="N8" s="210">
        <v>9606</v>
      </c>
      <c r="O8" s="210">
        <f>387+48</f>
        <v>435</v>
      </c>
      <c r="P8" s="210">
        <v>1961</v>
      </c>
      <c r="Q8" s="210">
        <v>548</v>
      </c>
      <c r="R8" s="210"/>
    </row>
    <row r="9" spans="1:18">
      <c r="A9" s="209" t="s">
        <v>702</v>
      </c>
      <c r="B9" s="210">
        <v>1678</v>
      </c>
      <c r="C9" s="210">
        <v>3961</v>
      </c>
      <c r="D9" s="211">
        <f>0.12*(811.35*7.75)</f>
        <v>754.55550000000005</v>
      </c>
      <c r="E9" s="210">
        <f>1726+2696</f>
        <v>4422</v>
      </c>
      <c r="F9" s="210">
        <v>399</v>
      </c>
      <c r="G9" s="210">
        <f>0.512*13901</f>
        <v>7117.3119999999999</v>
      </c>
      <c r="H9" s="210">
        <v>6876</v>
      </c>
      <c r="I9" s="210"/>
      <c r="J9" s="210">
        <f>0.59*2679.2</f>
        <v>1580.7279999999998</v>
      </c>
      <c r="K9" s="210"/>
      <c r="L9" s="210">
        <f>0.5*2147</f>
        <v>1073.5</v>
      </c>
      <c r="M9" s="210">
        <v>3955.2</v>
      </c>
      <c r="N9" s="210"/>
      <c r="O9" s="210">
        <v>0</v>
      </c>
      <c r="P9" s="210"/>
      <c r="Q9" s="210">
        <v>0</v>
      </c>
      <c r="R9" s="210"/>
    </row>
    <row r="10" spans="1:18">
      <c r="A10" s="209" t="s">
        <v>1102</v>
      </c>
      <c r="B10" s="210">
        <v>300</v>
      </c>
      <c r="C10" s="210">
        <f>329+110+942</f>
        <v>1381</v>
      </c>
      <c r="D10" s="210">
        <f>0.07*(811.35*7.75)</f>
        <v>440.15737500000006</v>
      </c>
      <c r="E10" s="210">
        <f>118+285+44</f>
        <v>447</v>
      </c>
      <c r="F10" s="210">
        <v>194</v>
      </c>
      <c r="G10" s="210">
        <f>3659+(0.128*13901)</f>
        <v>5438.3279999999995</v>
      </c>
      <c r="H10" s="210">
        <f>1498+507</f>
        <v>2005</v>
      </c>
      <c r="I10" s="210">
        <v>1498</v>
      </c>
      <c r="J10" s="210">
        <f>(0.17*2679.2)+832.8</f>
        <v>1288.2639999999999</v>
      </c>
      <c r="K10" s="210">
        <f>2368+397</f>
        <v>2765</v>
      </c>
      <c r="L10" s="210">
        <v>558</v>
      </c>
      <c r="M10" s="210">
        <v>3482.7000000000003</v>
      </c>
      <c r="N10" s="210">
        <v>942</v>
      </c>
      <c r="O10" s="210"/>
      <c r="P10" s="210">
        <v>218</v>
      </c>
      <c r="Q10" s="210">
        <v>15594</v>
      </c>
      <c r="R10" s="210">
        <v>2003</v>
      </c>
    </row>
    <row r="11" spans="1:18">
      <c r="A11" s="206" t="s">
        <v>1103</v>
      </c>
      <c r="B11" s="212">
        <f t="shared" ref="B11:L11" si="0">SUM(B8:B10)</f>
        <v>3063</v>
      </c>
      <c r="C11" s="212">
        <f t="shared" si="0"/>
        <v>10728</v>
      </c>
      <c r="D11" s="212">
        <f t="shared" si="0"/>
        <v>6287.9625000000005</v>
      </c>
      <c r="E11" s="212">
        <f>SUM(E8:E10)</f>
        <v>6638</v>
      </c>
      <c r="F11" s="212">
        <f>SUM(F8:F10)</f>
        <v>5587</v>
      </c>
      <c r="G11" s="212">
        <f>SUM(G8:G10)</f>
        <v>17560</v>
      </c>
      <c r="H11" s="212">
        <f t="shared" si="0"/>
        <v>11370</v>
      </c>
      <c r="I11" s="212">
        <f t="shared" si="0"/>
        <v>13265</v>
      </c>
      <c r="J11" s="212">
        <f t="shared" si="0"/>
        <v>3512</v>
      </c>
      <c r="K11" s="212">
        <f>SUM(K8:K10)</f>
        <v>4725</v>
      </c>
      <c r="L11" s="212">
        <f t="shared" si="0"/>
        <v>2705</v>
      </c>
      <c r="M11" s="212">
        <f t="shared" ref="M11:R11" si="1">SUM(M8:M10)</f>
        <v>9748.5</v>
      </c>
      <c r="N11" s="212">
        <f>SUM(N8:N10)</f>
        <v>10548</v>
      </c>
      <c r="O11" s="212">
        <f>SUM(O8:O10)</f>
        <v>435</v>
      </c>
      <c r="P11" s="212">
        <f t="shared" si="1"/>
        <v>2179</v>
      </c>
      <c r="Q11" s="212">
        <f>SUM(Q8:Q10)</f>
        <v>16142</v>
      </c>
      <c r="R11" s="212">
        <f t="shared" si="1"/>
        <v>2003</v>
      </c>
    </row>
    <row r="12" spans="1:18">
      <c r="A12" s="209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</row>
    <row r="13" spans="1:18">
      <c r="A13" s="206" t="s">
        <v>1104</v>
      </c>
      <c r="B13" s="210">
        <v>0</v>
      </c>
      <c r="C13" s="210">
        <v>2207</v>
      </c>
      <c r="D13" s="210">
        <v>7177</v>
      </c>
      <c r="E13" s="210">
        <v>2500</v>
      </c>
      <c r="F13" s="210">
        <v>15743</v>
      </c>
      <c r="G13" s="210">
        <v>14593</v>
      </c>
      <c r="H13" s="210">
        <v>11514</v>
      </c>
      <c r="I13" s="210">
        <v>13430</v>
      </c>
      <c r="J13" s="210">
        <v>244.03233300000011</v>
      </c>
      <c r="K13" s="210">
        <f>12288</f>
        <v>12288</v>
      </c>
      <c r="L13" s="210">
        <v>11265</v>
      </c>
      <c r="M13" s="210">
        <v>25524.9</v>
      </c>
      <c r="N13" s="210">
        <v>2308</v>
      </c>
      <c r="O13" s="210">
        <v>1244.82</v>
      </c>
      <c r="P13" s="210">
        <v>0</v>
      </c>
      <c r="Q13" s="210">
        <v>0</v>
      </c>
      <c r="R13" s="210">
        <v>1470</v>
      </c>
    </row>
    <row r="14" spans="1:18">
      <c r="A14" s="206" t="s">
        <v>1105</v>
      </c>
      <c r="B14" s="210">
        <v>0</v>
      </c>
      <c r="C14" s="210">
        <v>0</v>
      </c>
      <c r="D14" s="210">
        <v>928</v>
      </c>
      <c r="E14" s="210">
        <v>0</v>
      </c>
      <c r="F14" s="210">
        <v>1959</v>
      </c>
      <c r="G14" s="210">
        <v>22369</v>
      </c>
      <c r="H14" s="210">
        <v>9003</v>
      </c>
      <c r="I14" s="210">
        <v>8376</v>
      </c>
      <c r="J14" s="210">
        <v>1056.9000000000001</v>
      </c>
      <c r="K14" s="210"/>
      <c r="L14" s="210">
        <v>0</v>
      </c>
      <c r="M14" s="210">
        <v>14231.7</v>
      </c>
      <c r="N14" s="210">
        <v>38581</v>
      </c>
      <c r="O14" s="210">
        <v>1924.5719999999999</v>
      </c>
      <c r="P14" s="210">
        <v>0</v>
      </c>
      <c r="Q14" s="210">
        <v>0</v>
      </c>
      <c r="R14" s="210">
        <v>97</v>
      </c>
    </row>
    <row r="15" spans="1:18">
      <c r="A15" s="204" t="s">
        <v>4</v>
      </c>
      <c r="B15" s="213">
        <f t="shared" ref="B15:R15" si="2">SUM(B11:B14)</f>
        <v>3063</v>
      </c>
      <c r="C15" s="213">
        <f t="shared" si="2"/>
        <v>12935</v>
      </c>
      <c r="D15" s="213">
        <f t="shared" si="2"/>
        <v>14392.962500000001</v>
      </c>
      <c r="E15" s="213">
        <f>SUM(E11:E14)</f>
        <v>9138</v>
      </c>
      <c r="F15" s="213">
        <f>SUM(F11:F14)</f>
        <v>23289</v>
      </c>
      <c r="G15" s="213">
        <f>SUM(G11:G14)</f>
        <v>54522</v>
      </c>
      <c r="H15" s="213">
        <f t="shared" si="2"/>
        <v>31887</v>
      </c>
      <c r="I15" s="213">
        <f t="shared" si="2"/>
        <v>35071</v>
      </c>
      <c r="J15" s="213">
        <f t="shared" si="2"/>
        <v>4812.9323330000007</v>
      </c>
      <c r="K15" s="213">
        <f>SUM(K11:K14)</f>
        <v>17013</v>
      </c>
      <c r="L15" s="213">
        <f t="shared" si="2"/>
        <v>13970</v>
      </c>
      <c r="M15" s="213">
        <f t="shared" si="2"/>
        <v>49505.100000000006</v>
      </c>
      <c r="N15" s="213">
        <f>SUM(N11:N14)</f>
        <v>51437</v>
      </c>
      <c r="O15" s="213">
        <f>SUM(O11:O14)</f>
        <v>3604.3919999999998</v>
      </c>
      <c r="P15" s="213">
        <f t="shared" si="2"/>
        <v>2179</v>
      </c>
      <c r="Q15" s="213">
        <f>SUM(Q11:Q14)</f>
        <v>16142</v>
      </c>
      <c r="R15" s="213">
        <f t="shared" si="2"/>
        <v>3570</v>
      </c>
    </row>
    <row r="16" spans="1:18">
      <c r="A16" s="206"/>
      <c r="B16" s="210"/>
      <c r="C16" s="210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</row>
    <row r="17" spans="1:18">
      <c r="A17" s="206" t="s">
        <v>1106</v>
      </c>
      <c r="B17" s="214">
        <f t="shared" ref="B17:R17" si="3">B11/B15</f>
        <v>1</v>
      </c>
      <c r="C17" s="214">
        <f t="shared" si="3"/>
        <v>0.82937765751836101</v>
      </c>
      <c r="D17" s="214">
        <f t="shared" si="3"/>
        <v>0.43687757124358517</v>
      </c>
      <c r="E17" s="214">
        <f>E11/E15</f>
        <v>0.72641715911578031</v>
      </c>
      <c r="F17" s="214">
        <f>F11/F15</f>
        <v>0.2398986646056078</v>
      </c>
      <c r="G17" s="214">
        <f>G11/G15</f>
        <v>0.32207182421774694</v>
      </c>
      <c r="H17" s="214">
        <f t="shared" si="3"/>
        <v>0.35657164361652083</v>
      </c>
      <c r="I17" s="214">
        <f t="shared" si="3"/>
        <v>0.37823272789484191</v>
      </c>
      <c r="J17" s="215">
        <v>0.56999999999999995</v>
      </c>
      <c r="K17" s="214">
        <f>K11/K15</f>
        <v>0.27772879562687358</v>
      </c>
      <c r="L17" s="214">
        <f t="shared" si="3"/>
        <v>0.19362920544022907</v>
      </c>
      <c r="M17" s="214">
        <f t="shared" si="3"/>
        <v>0.19691910530430196</v>
      </c>
      <c r="N17" s="214">
        <f t="shared" si="3"/>
        <v>0.20506639189688355</v>
      </c>
      <c r="O17" s="214">
        <f t="shared" si="3"/>
        <v>0.1206860962958524</v>
      </c>
      <c r="P17" s="214">
        <f t="shared" si="3"/>
        <v>1</v>
      </c>
      <c r="Q17" s="214">
        <f t="shared" si="3"/>
        <v>1</v>
      </c>
      <c r="R17" s="214">
        <f t="shared" si="3"/>
        <v>0.56106442577030813</v>
      </c>
    </row>
    <row r="18" spans="1:18">
      <c r="A18" s="206" t="s">
        <v>1107</v>
      </c>
      <c r="B18" s="214">
        <f t="shared" ref="B18:R18" si="4">B13/B15</f>
        <v>0</v>
      </c>
      <c r="C18" s="214">
        <f t="shared" si="4"/>
        <v>0.17062234248163896</v>
      </c>
      <c r="D18" s="214">
        <f t="shared" si="4"/>
        <v>0.49864647392779626</v>
      </c>
      <c r="E18" s="214">
        <f>E13/E15</f>
        <v>0.27358284088421975</v>
      </c>
      <c r="F18" s="214">
        <f>F13/F15</f>
        <v>0.67598437030357683</v>
      </c>
      <c r="G18" s="214">
        <f>G13/G15</f>
        <v>0.26765342430578482</v>
      </c>
      <c r="H18" s="214">
        <f t="shared" si="4"/>
        <v>0.3610875905541443</v>
      </c>
      <c r="I18" s="214">
        <f t="shared" si="4"/>
        <v>0.38293746970431408</v>
      </c>
      <c r="J18" s="215">
        <v>0.42</v>
      </c>
      <c r="K18" s="214">
        <f>K13/K15</f>
        <v>0.72227120437312642</v>
      </c>
      <c r="L18" s="214">
        <f t="shared" si="4"/>
        <v>0.8063707945597709</v>
      </c>
      <c r="M18" s="214">
        <f t="shared" si="4"/>
        <v>0.51560142288370281</v>
      </c>
      <c r="N18" s="214">
        <f t="shared" si="4"/>
        <v>4.4870424013842176E-2</v>
      </c>
      <c r="O18" s="214">
        <f t="shared" si="4"/>
        <v>0.34536199170345511</v>
      </c>
      <c r="P18" s="214">
        <f t="shared" si="4"/>
        <v>0</v>
      </c>
      <c r="Q18" s="214">
        <f t="shared" si="4"/>
        <v>0</v>
      </c>
      <c r="R18" s="214">
        <f t="shared" si="4"/>
        <v>0.41176470588235292</v>
      </c>
    </row>
    <row r="19" spans="1:18">
      <c r="A19" s="206" t="s">
        <v>1108</v>
      </c>
      <c r="B19" s="214">
        <f>B14/B15</f>
        <v>0</v>
      </c>
      <c r="C19" s="214">
        <f t="shared" ref="C19:R19" si="5">C14/C15</f>
        <v>0</v>
      </c>
      <c r="D19" s="214">
        <f t="shared" si="5"/>
        <v>6.4475954828618495E-2</v>
      </c>
      <c r="E19" s="214">
        <f>E14/E15</f>
        <v>0</v>
      </c>
      <c r="F19" s="214">
        <f>F14/F15</f>
        <v>8.4116965090815413E-2</v>
      </c>
      <c r="G19" s="214">
        <f>G14/G15</f>
        <v>0.41027475147646819</v>
      </c>
      <c r="H19" s="214">
        <f t="shared" si="5"/>
        <v>0.28234076582933482</v>
      </c>
      <c r="I19" s="214">
        <f t="shared" si="5"/>
        <v>0.238829802400844</v>
      </c>
      <c r="J19" s="215">
        <v>0.01</v>
      </c>
      <c r="K19" s="214">
        <f>K14/K15</f>
        <v>0</v>
      </c>
      <c r="L19" s="214">
        <f t="shared" si="5"/>
        <v>0</v>
      </c>
      <c r="M19" s="214">
        <f t="shared" si="5"/>
        <v>0.28747947181199512</v>
      </c>
      <c r="N19" s="214">
        <f t="shared" si="5"/>
        <v>0.7500631840892743</v>
      </c>
      <c r="O19" s="214">
        <f t="shared" si="5"/>
        <v>0.53395191200069247</v>
      </c>
      <c r="P19" s="214">
        <f t="shared" si="5"/>
        <v>0</v>
      </c>
      <c r="Q19" s="214">
        <f t="shared" si="5"/>
        <v>0</v>
      </c>
      <c r="R19" s="214">
        <f t="shared" si="5"/>
        <v>2.7170868347338936E-2</v>
      </c>
    </row>
    <row r="20" spans="1:18">
      <c r="A20" s="206"/>
      <c r="B20" s="214"/>
      <c r="C20" s="214"/>
      <c r="D20" s="214"/>
      <c r="E20" s="214"/>
      <c r="F20" s="214"/>
      <c r="G20" s="214"/>
      <c r="H20" s="214"/>
      <c r="I20" s="214"/>
      <c r="J20" s="216"/>
      <c r="K20" s="214"/>
      <c r="L20" s="214"/>
      <c r="M20" s="214"/>
      <c r="N20" s="214"/>
      <c r="O20" s="214"/>
      <c r="P20" s="214"/>
      <c r="Q20" s="214"/>
      <c r="R20" s="214"/>
    </row>
    <row r="21" spans="1:18">
      <c r="A21" s="206" t="s">
        <v>1109</v>
      </c>
      <c r="B21" s="214">
        <f t="shared" ref="B21:R21" si="6">B8/B15</f>
        <v>0.35422788116225923</v>
      </c>
      <c r="C21" s="214">
        <f t="shared" si="6"/>
        <v>0.41638964051024352</v>
      </c>
      <c r="D21" s="214">
        <f t="shared" si="6"/>
        <v>0.35387083270730402</v>
      </c>
      <c r="E21" s="214">
        <f>E8/E15</f>
        <v>0.19358721820967389</v>
      </c>
      <c r="F21" s="214">
        <f>F8/F15</f>
        <v>0.2144359998282451</v>
      </c>
      <c r="G21" s="214">
        <f>G8/G15</f>
        <v>9.1786068009243965E-2</v>
      </c>
      <c r="H21" s="214">
        <f t="shared" si="6"/>
        <v>7.805688838711701E-2</v>
      </c>
      <c r="I21" s="214">
        <f t="shared" si="6"/>
        <v>0.33551937498217899</v>
      </c>
      <c r="J21" s="216">
        <f t="shared" si="6"/>
        <v>0.13360004993030927</v>
      </c>
      <c r="K21" s="214">
        <f>K8/K15</f>
        <v>0.11520601892670311</v>
      </c>
      <c r="L21" s="214">
        <f t="shared" si="6"/>
        <v>7.6843235504652829E-2</v>
      </c>
      <c r="M21" s="214">
        <f t="shared" si="6"/>
        <v>4.6673979044583286E-2</v>
      </c>
      <c r="N21" s="214">
        <f t="shared" si="6"/>
        <v>0.18675272663646791</v>
      </c>
      <c r="O21" s="214">
        <f t="shared" si="6"/>
        <v>0.1206860962958524</v>
      </c>
      <c r="P21" s="214">
        <f t="shared" si="6"/>
        <v>0.8999541073887104</v>
      </c>
      <c r="Q21" s="214">
        <f t="shared" si="6"/>
        <v>3.3948705240986247E-2</v>
      </c>
      <c r="R21" s="214">
        <f t="shared" si="6"/>
        <v>0</v>
      </c>
    </row>
    <row r="22" spans="1:18">
      <c r="A22" s="206" t="s">
        <v>1110</v>
      </c>
      <c r="B22" s="214">
        <f t="shared" ref="B22:R22" si="7">B9/B15</f>
        <v>0.54782892588965071</v>
      </c>
      <c r="C22" s="214">
        <f t="shared" si="7"/>
        <v>0.30622342481638964</v>
      </c>
      <c r="D22" s="214">
        <f t="shared" si="7"/>
        <v>5.2425308549230221E-2</v>
      </c>
      <c r="E22" s="214">
        <f>E9/E15</f>
        <v>0.48391332895600786</v>
      </c>
      <c r="F22" s="214">
        <f>F9/F15</f>
        <v>1.7132551848512173E-2</v>
      </c>
      <c r="G22" s="214">
        <f>G9/G15</f>
        <v>0.13054018561314698</v>
      </c>
      <c r="H22" s="214">
        <f t="shared" si="7"/>
        <v>0.2156364662715213</v>
      </c>
      <c r="I22" s="214">
        <f t="shared" si="7"/>
        <v>0</v>
      </c>
      <c r="J22" s="216">
        <f t="shared" si="7"/>
        <v>0.32843345607867691</v>
      </c>
      <c r="K22" s="214">
        <f>K9/K15</f>
        <v>0</v>
      </c>
      <c r="L22" s="214">
        <f t="shared" si="7"/>
        <v>7.6843235504652829E-2</v>
      </c>
      <c r="M22" s="214">
        <f t="shared" si="7"/>
        <v>7.9894798717707854E-2</v>
      </c>
      <c r="N22" s="214">
        <f t="shared" si="7"/>
        <v>0</v>
      </c>
      <c r="O22" s="214">
        <f t="shared" si="7"/>
        <v>0</v>
      </c>
      <c r="P22" s="214">
        <f t="shared" si="7"/>
        <v>0</v>
      </c>
      <c r="Q22" s="214">
        <f t="shared" si="7"/>
        <v>0</v>
      </c>
      <c r="R22" s="214">
        <f t="shared" si="7"/>
        <v>0</v>
      </c>
    </row>
    <row r="23" spans="1:18">
      <c r="A23" s="206"/>
      <c r="B23" s="214"/>
      <c r="C23" s="214"/>
      <c r="D23" s="214"/>
      <c r="E23" s="214"/>
      <c r="F23" s="214"/>
      <c r="G23" s="214"/>
      <c r="H23" s="214"/>
      <c r="I23" s="214"/>
      <c r="J23" s="216"/>
      <c r="K23" s="214"/>
      <c r="L23" s="214"/>
      <c r="M23" s="214"/>
      <c r="N23" s="214"/>
      <c r="O23" s="214"/>
      <c r="P23" s="214"/>
      <c r="Q23" s="214"/>
      <c r="R23" s="214"/>
    </row>
    <row r="24" spans="1:18">
      <c r="A24" s="206" t="s">
        <v>1111</v>
      </c>
      <c r="B24" s="214">
        <v>0</v>
      </c>
      <c r="C24" s="214">
        <f>1854/C15</f>
        <v>0.14333204483958253</v>
      </c>
      <c r="D24" s="214">
        <f>1583/D15</f>
        <v>0.10998430656649039</v>
      </c>
      <c r="E24" s="214">
        <f>3526/E15</f>
        <v>0.38586123878310352</v>
      </c>
      <c r="F24" s="214">
        <f>6510/F15</f>
        <v>0.27953110910730389</v>
      </c>
      <c r="G24" s="207">
        <f>((0.2*13901)+(0.46*G13)+(0.41*3659))/G15</f>
        <v>0.20162815010454499</v>
      </c>
      <c r="H24" s="214">
        <f>(1261+11442+1526)/H15</f>
        <v>0.44623200677392039</v>
      </c>
      <c r="I24" s="214">
        <f>14229/I15</f>
        <v>0.40571982549684926</v>
      </c>
      <c r="J24" s="215">
        <v>0.1</v>
      </c>
      <c r="K24" s="214">
        <f>16454/32314</f>
        <v>0.50919106269728287</v>
      </c>
      <c r="L24" s="214">
        <f>5839.6/L15</f>
        <v>0.41801002147458843</v>
      </c>
      <c r="M24" s="214">
        <f>27573/M15</f>
        <v>0.55697291794178772</v>
      </c>
      <c r="N24" s="214">
        <v>0.18</v>
      </c>
      <c r="O24" s="214">
        <f>787/O15</f>
        <v>0.21834473053985251</v>
      </c>
      <c r="P24" s="214">
        <v>0</v>
      </c>
      <c r="Q24" s="214">
        <f>6198/Q15</f>
        <v>0.38396729029859994</v>
      </c>
      <c r="R24" s="214">
        <f>1506/R15</f>
        <v>0.42184873949579832</v>
      </c>
    </row>
    <row r="25" spans="1:18">
      <c r="A25" s="206"/>
      <c r="B25" s="207"/>
      <c r="C25" s="207"/>
      <c r="D25" s="207"/>
      <c r="E25" s="207"/>
      <c r="F25" s="207"/>
      <c r="G25" s="207"/>
      <c r="H25" s="207"/>
      <c r="I25" s="207"/>
      <c r="J25" s="207"/>
      <c r="K25" s="207"/>
      <c r="L25" s="207"/>
      <c r="M25" s="207"/>
      <c r="N25" s="207"/>
      <c r="O25" s="207"/>
      <c r="P25" s="207"/>
      <c r="Q25" s="207"/>
      <c r="R25" s="207"/>
    </row>
    <row r="26" spans="1:18">
      <c r="A26" s="206" t="s">
        <v>1112</v>
      </c>
      <c r="B26" s="210">
        <v>2658</v>
      </c>
      <c r="C26" s="210">
        <v>9404</v>
      </c>
      <c r="D26" s="210">
        <v>7749</v>
      </c>
      <c r="E26" s="210">
        <v>6837</v>
      </c>
      <c r="F26" s="210">
        <v>8781</v>
      </c>
      <c r="G26" s="210">
        <v>24149</v>
      </c>
      <c r="H26" s="210">
        <v>17746</v>
      </c>
      <c r="I26" s="210">
        <v>19621</v>
      </c>
      <c r="J26" s="210">
        <v>3385</v>
      </c>
      <c r="K26" s="210">
        <v>9030</v>
      </c>
      <c r="L26" s="210">
        <v>6057</v>
      </c>
      <c r="M26" s="210">
        <v>19481</v>
      </c>
      <c r="N26" s="210">
        <v>20674</v>
      </c>
      <c r="O26" s="210">
        <v>1995</v>
      </c>
      <c r="P26" s="210">
        <v>1748</v>
      </c>
      <c r="Q26" s="210">
        <v>9109</v>
      </c>
      <c r="R26" s="210">
        <v>1182</v>
      </c>
    </row>
    <row r="27" spans="1:18">
      <c r="A27" s="206" t="s">
        <v>818</v>
      </c>
      <c r="B27" s="214">
        <f t="shared" ref="B27:R27" si="8">B26/B15</f>
        <v>0.86777668952007836</v>
      </c>
      <c r="C27" s="214">
        <f t="shared" si="8"/>
        <v>0.72701971395438736</v>
      </c>
      <c r="D27" s="214">
        <f t="shared" si="8"/>
        <v>0.53838811849888435</v>
      </c>
      <c r="E27" s="214">
        <f>E26/E15</f>
        <v>0.74819435325016415</v>
      </c>
      <c r="F27" s="214">
        <f>F26/F15</f>
        <v>0.3770449568465799</v>
      </c>
      <c r="G27" s="214">
        <f>G26/G15</f>
        <v>0.44292212317963392</v>
      </c>
      <c r="H27" s="214">
        <f t="shared" si="8"/>
        <v>0.55652773857684945</v>
      </c>
      <c r="I27" s="214">
        <f t="shared" si="8"/>
        <v>0.55946508511305637</v>
      </c>
      <c r="J27" s="214">
        <f t="shared" si="8"/>
        <v>0.70331344091223891</v>
      </c>
      <c r="K27" s="214">
        <f>K26/K15</f>
        <v>0.53077058719802506</v>
      </c>
      <c r="L27" s="214">
        <f t="shared" si="8"/>
        <v>0.43357193987115245</v>
      </c>
      <c r="M27" s="214">
        <f t="shared" si="8"/>
        <v>0.39351501158466495</v>
      </c>
      <c r="N27" s="214">
        <f t="shared" si="8"/>
        <v>0.40192857281723271</v>
      </c>
      <c r="O27" s="214">
        <f t="shared" si="8"/>
        <v>0.55349140714994371</v>
      </c>
      <c r="P27" s="214">
        <f t="shared" si="8"/>
        <v>0.80220284534190001</v>
      </c>
      <c r="Q27" s="214">
        <f t="shared" si="8"/>
        <v>0.56430429934332793</v>
      </c>
      <c r="R27" s="214">
        <f t="shared" si="8"/>
        <v>0.33109243697478991</v>
      </c>
    </row>
    <row r="28" spans="1:18">
      <c r="A28" s="206"/>
      <c r="B28" s="214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</row>
    <row r="29" spans="1:18">
      <c r="A29" s="206" t="s">
        <v>542</v>
      </c>
      <c r="B29" s="210">
        <v>2466</v>
      </c>
      <c r="C29" s="210">
        <v>8821</v>
      </c>
      <c r="D29" s="210">
        <v>7041</v>
      </c>
      <c r="E29" s="210">
        <v>6232</v>
      </c>
      <c r="F29" s="210">
        <v>8653</v>
      </c>
      <c r="G29" s="210">
        <v>20932</v>
      </c>
      <c r="H29" s="210">
        <v>14725</v>
      </c>
      <c r="I29" s="210">
        <v>16390</v>
      </c>
      <c r="J29" s="210">
        <v>1853</v>
      </c>
      <c r="K29" s="210">
        <v>6948</v>
      </c>
      <c r="L29" s="210">
        <v>4895</v>
      </c>
      <c r="M29" s="210">
        <v>20952</v>
      </c>
      <c r="N29" s="210">
        <v>12993</v>
      </c>
      <c r="O29" s="210">
        <v>1530</v>
      </c>
      <c r="P29" s="210">
        <v>1517</v>
      </c>
      <c r="Q29" s="210">
        <v>4083</v>
      </c>
      <c r="R29" s="210">
        <v>1387</v>
      </c>
    </row>
    <row r="30" spans="1:18">
      <c r="A30" s="206" t="s">
        <v>805</v>
      </c>
      <c r="B30" s="214">
        <f t="shared" ref="B30:R30" si="9">B29/B15</f>
        <v>0.80509304603330067</v>
      </c>
      <c r="C30" s="214">
        <f t="shared" si="9"/>
        <v>0.68194820255121757</v>
      </c>
      <c r="D30" s="214">
        <f t="shared" si="9"/>
        <v>0.48919741158222285</v>
      </c>
      <c r="E30" s="214">
        <f>E29/E15</f>
        <v>0.68198730575618294</v>
      </c>
      <c r="F30" s="214">
        <f>F29/F15</f>
        <v>0.37154879986259609</v>
      </c>
      <c r="G30" s="214">
        <f>G29/G15</f>
        <v>0.38391841825318218</v>
      </c>
      <c r="H30" s="214">
        <f t="shared" si="9"/>
        <v>0.46178693511462349</v>
      </c>
      <c r="I30" s="214">
        <f t="shared" si="9"/>
        <v>0.46733768640757323</v>
      </c>
      <c r="J30" s="214">
        <f t="shared" si="9"/>
        <v>0.38500437400602028</v>
      </c>
      <c r="K30" s="214">
        <f>K29/K15</f>
        <v>0.40839358137894549</v>
      </c>
      <c r="L30" s="214">
        <f t="shared" si="9"/>
        <v>0.35039370078740156</v>
      </c>
      <c r="M30" s="214">
        <f t="shared" si="9"/>
        <v>0.42322912184805195</v>
      </c>
      <c r="N30" s="214">
        <f t="shared" si="9"/>
        <v>0.25260026828936366</v>
      </c>
      <c r="O30" s="214">
        <f t="shared" si="9"/>
        <v>0.42448213179920496</v>
      </c>
      <c r="P30" s="214">
        <f t="shared" si="9"/>
        <v>0.69619091326296467</v>
      </c>
      <c r="Q30" s="214">
        <f t="shared" si="9"/>
        <v>0.25294263412216578</v>
      </c>
      <c r="R30" s="214">
        <f t="shared" si="9"/>
        <v>0.38851540616246499</v>
      </c>
    </row>
    <row r="31" spans="1:18">
      <c r="A31" s="206" t="s">
        <v>1113</v>
      </c>
      <c r="B31" s="210"/>
      <c r="C31" s="210">
        <v>216</v>
      </c>
      <c r="D31" s="210">
        <v>1176</v>
      </c>
      <c r="E31" s="210">
        <v>18</v>
      </c>
      <c r="F31" s="210">
        <v>2535</v>
      </c>
      <c r="G31" s="210">
        <v>1822</v>
      </c>
      <c r="H31" s="210">
        <v>1085</v>
      </c>
      <c r="I31" s="210">
        <v>1264</v>
      </c>
      <c r="J31" s="210">
        <v>27</v>
      </c>
      <c r="K31" s="210"/>
      <c r="L31" s="210">
        <v>224</v>
      </c>
      <c r="M31" s="210">
        <v>1659</v>
      </c>
      <c r="N31" s="210">
        <v>1356</v>
      </c>
      <c r="O31" s="210"/>
      <c r="P31" s="210"/>
      <c r="Q31" s="210">
        <v>563</v>
      </c>
      <c r="R31" s="210"/>
    </row>
    <row r="32" spans="1:18">
      <c r="A32" s="206"/>
      <c r="B32" s="210"/>
      <c r="C32" s="210"/>
      <c r="D32" s="210"/>
      <c r="E32" s="210"/>
      <c r="F32" s="210"/>
      <c r="G32" s="210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210"/>
    </row>
    <row r="33" spans="1:18">
      <c r="A33" s="206" t="s">
        <v>1114</v>
      </c>
      <c r="B33" s="210">
        <v>244</v>
      </c>
      <c r="C33" s="210">
        <v>1852</v>
      </c>
      <c r="D33" s="210">
        <v>822</v>
      </c>
      <c r="E33" s="210">
        <v>1114</v>
      </c>
      <c r="F33" s="210">
        <v>2179</v>
      </c>
      <c r="G33" s="210">
        <v>2496</v>
      </c>
      <c r="H33" s="210">
        <v>2555</v>
      </c>
      <c r="I33" s="210">
        <v>2104</v>
      </c>
      <c r="J33" s="210">
        <v>277</v>
      </c>
      <c r="K33" s="210">
        <v>836</v>
      </c>
      <c r="L33" s="210">
        <v>1269</v>
      </c>
      <c r="M33" s="210">
        <v>3848</v>
      </c>
      <c r="N33" s="210">
        <v>2613</v>
      </c>
      <c r="O33" s="210">
        <v>520</v>
      </c>
      <c r="P33" s="210">
        <v>343</v>
      </c>
      <c r="Q33" s="210">
        <v>1243</v>
      </c>
      <c r="R33" s="210">
        <v>267</v>
      </c>
    </row>
    <row r="34" spans="1:18">
      <c r="A34" s="206" t="s">
        <v>1115</v>
      </c>
      <c r="B34" s="217">
        <f t="shared" ref="B34:R34" si="10">B11/B33</f>
        <v>12.553278688524591</v>
      </c>
      <c r="C34" s="217">
        <f t="shared" si="10"/>
        <v>5.7926565874730018</v>
      </c>
      <c r="D34" s="217">
        <f t="shared" si="10"/>
        <v>7.6495894160583946</v>
      </c>
      <c r="E34" s="217">
        <f>E11/E33</f>
        <v>5.9587073608617596</v>
      </c>
      <c r="F34" s="217">
        <f>F11/F33</f>
        <v>2.5640201927489672</v>
      </c>
      <c r="G34" s="217">
        <f>G11/G33</f>
        <v>7.0352564102564106</v>
      </c>
      <c r="H34" s="217">
        <f t="shared" si="10"/>
        <v>4.450097847358121</v>
      </c>
      <c r="I34" s="217">
        <f t="shared" si="10"/>
        <v>6.3046577946768059</v>
      </c>
      <c r="J34" s="218">
        <f>(0.57*J15)/J33</f>
        <v>9.9038679776534302</v>
      </c>
      <c r="K34" s="217">
        <f>K11/K33</f>
        <v>5.651913875598086</v>
      </c>
      <c r="L34" s="217">
        <f t="shared" si="10"/>
        <v>2.131599684791174</v>
      </c>
      <c r="M34" s="217">
        <f t="shared" si="10"/>
        <v>2.5333939708939708</v>
      </c>
      <c r="N34" s="217">
        <f t="shared" si="10"/>
        <v>4.0367393800229623</v>
      </c>
      <c r="O34" s="217">
        <f t="shared" si="10"/>
        <v>0.83653846153846156</v>
      </c>
      <c r="P34" s="217">
        <f t="shared" si="10"/>
        <v>6.3527696793002919</v>
      </c>
      <c r="Q34" s="217">
        <f t="shared" si="10"/>
        <v>12.986323411102171</v>
      </c>
      <c r="R34" s="217">
        <f t="shared" si="10"/>
        <v>7.5018726591760299</v>
      </c>
    </row>
    <row r="35" spans="1:18">
      <c r="A35" s="206"/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</row>
    <row r="36" spans="1:18">
      <c r="A36" s="214" t="s">
        <v>1116</v>
      </c>
      <c r="B36" s="214">
        <f t="shared" ref="B36:R36" si="11">B33/B37</f>
        <v>3.2515991471215352E-2</v>
      </c>
      <c r="C36" s="214">
        <f t="shared" si="11"/>
        <v>5.3626755465469814E-2</v>
      </c>
      <c r="D36" s="214">
        <f t="shared" si="11"/>
        <v>2.3934311670160725E-2</v>
      </c>
      <c r="E36" s="214">
        <f>E33/E37</f>
        <v>3.1847680036593384E-2</v>
      </c>
      <c r="F36" s="214">
        <f>F33/F37</f>
        <v>4.1696167167377868E-2</v>
      </c>
      <c r="G36" s="214">
        <f>G33/G37</f>
        <v>3.5602721554195728E-2</v>
      </c>
      <c r="H36" s="214">
        <f t="shared" si="11"/>
        <v>3.0937072420598885E-2</v>
      </c>
      <c r="I36" s="214">
        <f t="shared" si="11"/>
        <v>1.7017146554513102E-2</v>
      </c>
      <c r="J36" s="214">
        <f t="shared" si="11"/>
        <v>2.8384055743416334E-2</v>
      </c>
      <c r="K36" s="214">
        <f>K33/K37</f>
        <v>1.9957030317498209E-2</v>
      </c>
      <c r="L36" s="214">
        <f t="shared" si="11"/>
        <v>3.6282021957913996E-2</v>
      </c>
      <c r="M36" s="214">
        <f t="shared" si="11"/>
        <v>3.3552482430287918E-2</v>
      </c>
      <c r="N36" s="214">
        <f>N33/N37</f>
        <v>4.2251471444279154E-2</v>
      </c>
      <c r="O36" s="214">
        <f>O33/O37</f>
        <v>3.6650690724555963E-2</v>
      </c>
      <c r="P36" s="214">
        <f t="shared" si="11"/>
        <v>2.34578033100807E-2</v>
      </c>
      <c r="Q36" s="214">
        <f>Q33/Q37</f>
        <v>3.3031277404267756E-2</v>
      </c>
      <c r="R36" s="214">
        <f t="shared" si="11"/>
        <v>2.7443724946037619E-2</v>
      </c>
    </row>
    <row r="37" spans="1:18">
      <c r="A37" s="206" t="s">
        <v>806</v>
      </c>
      <c r="B37" s="210">
        <v>7504</v>
      </c>
      <c r="C37" s="210">
        <v>34535</v>
      </c>
      <c r="D37" s="210">
        <v>34344</v>
      </c>
      <c r="E37" s="210">
        <v>34979</v>
      </c>
      <c r="F37" s="210">
        <v>52259</v>
      </c>
      <c r="G37" s="210">
        <v>70107</v>
      </c>
      <c r="H37" s="210">
        <v>82587</v>
      </c>
      <c r="I37" s="210">
        <v>123640</v>
      </c>
      <c r="J37" s="210">
        <f>6969+2790</f>
        <v>9759</v>
      </c>
      <c r="K37" s="210">
        <f>39452+2438</f>
        <v>41890</v>
      </c>
      <c r="L37" s="210">
        <v>34976</v>
      </c>
      <c r="M37" s="210">
        <v>114686</v>
      </c>
      <c r="N37" s="210">
        <v>61844</v>
      </c>
      <c r="O37" s="210">
        <v>14188</v>
      </c>
      <c r="P37" s="210">
        <v>14622</v>
      </c>
      <c r="Q37" s="210">
        <v>37631</v>
      </c>
      <c r="R37" s="210">
        <v>9729</v>
      </c>
    </row>
    <row r="38" spans="1:18">
      <c r="A38" s="206" t="s">
        <v>1117</v>
      </c>
      <c r="B38" s="210">
        <v>4123</v>
      </c>
      <c r="C38" s="210">
        <v>2521</v>
      </c>
      <c r="D38" s="210">
        <v>10899</v>
      </c>
      <c r="E38" s="210">
        <v>34321</v>
      </c>
      <c r="F38" s="210">
        <v>13915</v>
      </c>
      <c r="G38" s="210">
        <v>18121</v>
      </c>
      <c r="H38" s="210">
        <v>24515</v>
      </c>
      <c r="I38" s="210">
        <v>29345</v>
      </c>
      <c r="J38" s="210">
        <v>10470</v>
      </c>
      <c r="K38" s="210">
        <v>33197</v>
      </c>
      <c r="L38" s="210">
        <v>11480</v>
      </c>
      <c r="M38" s="210">
        <v>46144</v>
      </c>
      <c r="N38" s="210">
        <v>11288</v>
      </c>
      <c r="O38" s="210">
        <v>13718</v>
      </c>
      <c r="P38" s="210">
        <v>1066</v>
      </c>
      <c r="Q38" s="210">
        <v>8801</v>
      </c>
      <c r="R38" s="210">
        <v>446</v>
      </c>
    </row>
    <row r="39" spans="1:18">
      <c r="A39" s="206" t="s">
        <v>558</v>
      </c>
      <c r="B39" s="210">
        <f>B37-B38</f>
        <v>3381</v>
      </c>
      <c r="C39" s="210">
        <f>C37-C38</f>
        <v>32014</v>
      </c>
      <c r="D39" s="210">
        <f t="shared" ref="D39:R39" si="12">D37-D38</f>
        <v>23445</v>
      </c>
      <c r="E39" s="210">
        <f>E37-E38</f>
        <v>658</v>
      </c>
      <c r="F39" s="210">
        <f>F37-F38</f>
        <v>38344</v>
      </c>
      <c r="G39" s="210">
        <f>G37-G38</f>
        <v>51986</v>
      </c>
      <c r="H39" s="210">
        <f t="shared" si="12"/>
        <v>58072</v>
      </c>
      <c r="I39" s="210">
        <f t="shared" si="12"/>
        <v>94295</v>
      </c>
      <c r="J39" s="210">
        <f t="shared" si="12"/>
        <v>-711</v>
      </c>
      <c r="K39" s="210">
        <f>K37-K38</f>
        <v>8693</v>
      </c>
      <c r="L39" s="210">
        <f t="shared" si="12"/>
        <v>23496</v>
      </c>
      <c r="M39" s="210">
        <f t="shared" si="12"/>
        <v>68542</v>
      </c>
      <c r="N39" s="210">
        <f t="shared" si="12"/>
        <v>50556</v>
      </c>
      <c r="O39" s="210">
        <f t="shared" si="12"/>
        <v>470</v>
      </c>
      <c r="P39" s="210">
        <f t="shared" si="12"/>
        <v>13556</v>
      </c>
      <c r="Q39" s="210">
        <f t="shared" si="12"/>
        <v>28830</v>
      </c>
      <c r="R39" s="210">
        <f t="shared" si="12"/>
        <v>9283</v>
      </c>
    </row>
    <row r="40" spans="1:18">
      <c r="A40" s="206" t="s">
        <v>807</v>
      </c>
      <c r="B40" s="217">
        <f t="shared" ref="B40:R40" si="13">B39/B29</f>
        <v>1.3710462287104623</v>
      </c>
      <c r="C40" s="217">
        <f t="shared" si="13"/>
        <v>3.6292937308695161</v>
      </c>
      <c r="D40" s="217">
        <f t="shared" si="13"/>
        <v>3.329782701320835</v>
      </c>
      <c r="E40" s="217">
        <f>E39/E29</f>
        <v>0.10558408215661104</v>
      </c>
      <c r="F40" s="217">
        <f>F39/F29</f>
        <v>4.4312955044493236</v>
      </c>
      <c r="G40" s="217">
        <f>G39/G29</f>
        <v>2.4835658322186127</v>
      </c>
      <c r="H40" s="217">
        <f t="shared" si="13"/>
        <v>3.9437691001697792</v>
      </c>
      <c r="I40" s="217">
        <f t="shared" si="13"/>
        <v>5.75320317266626</v>
      </c>
      <c r="J40" s="217">
        <f t="shared" si="13"/>
        <v>-0.38370210469508903</v>
      </c>
      <c r="K40" s="217">
        <f>K39/K29</f>
        <v>1.2511514104778354</v>
      </c>
      <c r="L40" s="217">
        <f t="shared" si="13"/>
        <v>4.8</v>
      </c>
      <c r="M40" s="217">
        <f t="shared" si="13"/>
        <v>3.2713822069492173</v>
      </c>
      <c r="N40" s="217">
        <f>N39/N29</f>
        <v>3.8910182405910874</v>
      </c>
      <c r="O40" s="217">
        <f>O39/O29</f>
        <v>0.30718954248366015</v>
      </c>
      <c r="P40" s="217">
        <f t="shared" si="13"/>
        <v>8.9360580092287414</v>
      </c>
      <c r="Q40" s="217">
        <f>Q39/Q29</f>
        <v>7.0609845701689933</v>
      </c>
      <c r="R40" s="217">
        <f t="shared" si="13"/>
        <v>6.6928622927180967</v>
      </c>
    </row>
    <row r="41" spans="1:18">
      <c r="A41" s="206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</row>
    <row r="42" spans="1:18">
      <c r="A42" s="206" t="s">
        <v>1118</v>
      </c>
      <c r="B42" s="210">
        <v>1055</v>
      </c>
      <c r="C42" s="210">
        <v>7589</v>
      </c>
      <c r="D42" s="210">
        <v>5521.5</v>
      </c>
      <c r="E42" s="210">
        <v>1657</v>
      </c>
      <c r="F42" s="210">
        <v>7418</v>
      </c>
      <c r="G42" s="210">
        <v>8985</v>
      </c>
      <c r="H42" s="210">
        <v>9502</v>
      </c>
      <c r="I42" s="210">
        <v>11964</v>
      </c>
      <c r="J42" s="210">
        <v>2791</v>
      </c>
      <c r="K42" s="210">
        <v>2438</v>
      </c>
      <c r="L42" s="210">
        <v>3965</v>
      </c>
      <c r="M42" s="210">
        <v>26922</v>
      </c>
      <c r="N42" s="210">
        <v>8677</v>
      </c>
      <c r="O42" s="210">
        <v>505</v>
      </c>
      <c r="P42" s="210">
        <v>7000</v>
      </c>
      <c r="Q42" s="210">
        <v>3141</v>
      </c>
      <c r="R42" s="210">
        <v>334</v>
      </c>
    </row>
    <row r="43" spans="1:18">
      <c r="A43" s="206" t="s">
        <v>1119</v>
      </c>
      <c r="B43" s="217">
        <f t="shared" ref="B43:R43" si="14">B38/B42</f>
        <v>3.9080568720379145</v>
      </c>
      <c r="C43" s="217">
        <f t="shared" si="14"/>
        <v>0.33219132955593622</v>
      </c>
      <c r="D43" s="217">
        <f t="shared" si="14"/>
        <v>1.9739201303993481</v>
      </c>
      <c r="E43" s="217">
        <f>E38/E42</f>
        <v>20.712733856366928</v>
      </c>
      <c r="F43" s="217">
        <f>F38/F42</f>
        <v>1.8758425451604206</v>
      </c>
      <c r="G43" s="217">
        <f>G38/G42</f>
        <v>2.0168057874234835</v>
      </c>
      <c r="H43" s="217">
        <f t="shared" si="14"/>
        <v>2.5799831614396971</v>
      </c>
      <c r="I43" s="217">
        <f t="shared" si="14"/>
        <v>2.4527749916415913</v>
      </c>
      <c r="J43" s="217">
        <f t="shared" si="14"/>
        <v>3.7513436044428521</v>
      </c>
      <c r="K43" s="217">
        <f>K38/K42</f>
        <v>13.616488925348646</v>
      </c>
      <c r="L43" s="217">
        <f t="shared" si="14"/>
        <v>2.8953341740226985</v>
      </c>
      <c r="M43" s="217">
        <f t="shared" si="14"/>
        <v>1.7139885595423816</v>
      </c>
      <c r="N43" s="217">
        <f t="shared" si="14"/>
        <v>1.3009104529215167</v>
      </c>
      <c r="O43" s="217">
        <f t="shared" si="14"/>
        <v>27.164356435643565</v>
      </c>
      <c r="P43" s="217">
        <f t="shared" si="14"/>
        <v>0.15228571428571427</v>
      </c>
      <c r="Q43" s="217">
        <f t="shared" si="14"/>
        <v>2.8019738936644383</v>
      </c>
      <c r="R43" s="217">
        <f t="shared" si="14"/>
        <v>1.3353293413173652</v>
      </c>
    </row>
    <row r="44" spans="1:18">
      <c r="A44" s="206" t="s">
        <v>1120</v>
      </c>
      <c r="B44" s="207">
        <f t="shared" ref="B44:R44" si="15">B38/B37</f>
        <v>0.54944029850746268</v>
      </c>
      <c r="C44" s="207">
        <f t="shared" si="15"/>
        <v>7.2998407412769653E-2</v>
      </c>
      <c r="D44" s="207">
        <f t="shared" si="15"/>
        <v>0.31734800838574423</v>
      </c>
      <c r="E44" s="207">
        <f>E38/E37</f>
        <v>0.98118871322793677</v>
      </c>
      <c r="F44" s="207">
        <f>F38/F37</f>
        <v>0.2662699247976425</v>
      </c>
      <c r="G44" s="207">
        <f>G38/G37</f>
        <v>0.25847632903989615</v>
      </c>
      <c r="H44" s="207">
        <f t="shared" si="15"/>
        <v>0.29683848547592234</v>
      </c>
      <c r="I44" s="207">
        <f t="shared" si="15"/>
        <v>0.23734228405046912</v>
      </c>
      <c r="J44" s="207">
        <f t="shared" si="15"/>
        <v>1.0728558253919458</v>
      </c>
      <c r="K44" s="207">
        <f>K38/K37</f>
        <v>0.79248030556218663</v>
      </c>
      <c r="L44" s="207">
        <f t="shared" si="15"/>
        <v>0.32822506861848122</v>
      </c>
      <c r="M44" s="207">
        <f t="shared" si="15"/>
        <v>0.40235076644054202</v>
      </c>
      <c r="N44" s="207">
        <f t="shared" si="15"/>
        <v>0.18252376948450941</v>
      </c>
      <c r="O44" s="207">
        <f t="shared" si="15"/>
        <v>0.96687341415280514</v>
      </c>
      <c r="P44" s="207">
        <f t="shared" si="15"/>
        <v>7.2903843523457801E-2</v>
      </c>
      <c r="Q44" s="207">
        <f t="shared" si="15"/>
        <v>0.23387632537004066</v>
      </c>
      <c r="R44" s="207">
        <f t="shared" si="15"/>
        <v>4.5842327063418647E-2</v>
      </c>
    </row>
    <row r="45" spans="1:18">
      <c r="A45" s="206" t="s">
        <v>1121</v>
      </c>
      <c r="B45" s="210">
        <v>900</v>
      </c>
      <c r="C45" s="210">
        <v>8637</v>
      </c>
      <c r="D45" s="210">
        <v>20925</v>
      </c>
      <c r="E45" s="210">
        <v>7981</v>
      </c>
      <c r="F45" s="210"/>
      <c r="G45" s="219" t="s">
        <v>1122</v>
      </c>
      <c r="H45" s="210">
        <v>17400</v>
      </c>
      <c r="I45" s="210">
        <v>33800</v>
      </c>
      <c r="J45" s="210">
        <v>5929</v>
      </c>
      <c r="K45" s="210"/>
      <c r="L45" s="210">
        <v>11181</v>
      </c>
      <c r="M45" s="210"/>
      <c r="N45" s="210">
        <v>30806</v>
      </c>
      <c r="O45" s="210"/>
      <c r="P45" s="210">
        <v>300</v>
      </c>
      <c r="Q45" s="210">
        <v>6384</v>
      </c>
      <c r="R45" s="210"/>
    </row>
    <row r="46" spans="1:18">
      <c r="A46" s="206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</row>
    <row r="47" spans="1:18">
      <c r="A47" s="206" t="s">
        <v>1123</v>
      </c>
      <c r="B47" s="217">
        <v>0</v>
      </c>
      <c r="C47" s="217">
        <v>0</v>
      </c>
      <c r="D47" s="217">
        <v>1782</v>
      </c>
      <c r="E47" s="217">
        <v>0</v>
      </c>
      <c r="F47" s="217">
        <v>0</v>
      </c>
      <c r="G47" s="217">
        <v>1247</v>
      </c>
      <c r="H47" s="217">
        <v>18204</v>
      </c>
      <c r="I47" s="217">
        <v>24300</v>
      </c>
      <c r="J47" s="217">
        <v>9227</v>
      </c>
      <c r="K47" s="217"/>
      <c r="L47" s="217">
        <v>5524</v>
      </c>
      <c r="M47" s="217">
        <v>32110</v>
      </c>
      <c r="N47" s="217">
        <v>535</v>
      </c>
      <c r="O47" s="217"/>
      <c r="P47" s="217">
        <v>11566</v>
      </c>
      <c r="Q47" s="217">
        <v>2413</v>
      </c>
      <c r="R47" s="217"/>
    </row>
    <row r="48" spans="1:18">
      <c r="A48" s="206" t="s">
        <v>1124</v>
      </c>
      <c r="B48" s="207">
        <f t="shared" ref="B48:R48" si="16">B47/B37</f>
        <v>0</v>
      </c>
      <c r="C48" s="207">
        <f t="shared" si="16"/>
        <v>0</v>
      </c>
      <c r="D48" s="207">
        <f t="shared" si="16"/>
        <v>5.1886792452830191E-2</v>
      </c>
      <c r="E48" s="207">
        <f>E47/E37</f>
        <v>0</v>
      </c>
      <c r="F48" s="207">
        <f>F47/F37</f>
        <v>0</v>
      </c>
      <c r="G48" s="207">
        <f>G47/G37</f>
        <v>1.778709686621878E-2</v>
      </c>
      <c r="H48" s="207">
        <f t="shared" si="16"/>
        <v>0.22042210033056051</v>
      </c>
      <c r="I48" s="207">
        <f t="shared" si="16"/>
        <v>0.19653833710773214</v>
      </c>
      <c r="J48" s="207">
        <f t="shared" si="16"/>
        <v>0.9454862178501896</v>
      </c>
      <c r="K48" s="207">
        <f>K47/K37</f>
        <v>0</v>
      </c>
      <c r="L48" s="207">
        <f t="shared" si="16"/>
        <v>0.15793687099725526</v>
      </c>
      <c r="M48" s="207">
        <f t="shared" si="16"/>
        <v>0.27998186352301063</v>
      </c>
      <c r="N48" s="207">
        <f t="shared" si="16"/>
        <v>8.6507987840372547E-3</v>
      </c>
      <c r="O48" s="207">
        <f t="shared" si="16"/>
        <v>0</v>
      </c>
      <c r="P48" s="207">
        <f t="shared" si="16"/>
        <v>0.79099986321980575</v>
      </c>
      <c r="Q48" s="207">
        <f t="shared" si="16"/>
        <v>6.4122664824214082E-2</v>
      </c>
      <c r="R48" s="207">
        <f t="shared" si="16"/>
        <v>0</v>
      </c>
    </row>
    <row r="49" spans="1:18">
      <c r="A49" s="206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</row>
    <row r="50" spans="1:18">
      <c r="A50" s="206" t="s">
        <v>1125</v>
      </c>
      <c r="B50" s="210">
        <v>0</v>
      </c>
      <c r="C50" s="210">
        <v>0</v>
      </c>
      <c r="D50" s="210">
        <v>5978</v>
      </c>
      <c r="E50" s="210"/>
      <c r="F50" s="210"/>
      <c r="G50" s="210">
        <v>7739</v>
      </c>
      <c r="H50" s="210">
        <v>44016</v>
      </c>
      <c r="I50" s="210">
        <v>57900</v>
      </c>
      <c r="J50" s="210">
        <v>28623</v>
      </c>
      <c r="K50" s="210"/>
      <c r="L50" s="210">
        <v>21467</v>
      </c>
      <c r="M50" s="210">
        <v>68808</v>
      </c>
      <c r="N50" s="210">
        <v>706</v>
      </c>
      <c r="O50" s="210"/>
      <c r="P50" s="210">
        <v>43778</v>
      </c>
      <c r="Q50" s="210">
        <v>5722</v>
      </c>
      <c r="R50" s="210"/>
    </row>
    <row r="51" spans="1:18">
      <c r="A51" s="206" t="s">
        <v>1126</v>
      </c>
      <c r="B51" s="207">
        <f t="shared" ref="B51:R51" si="17">B50/B58</f>
        <v>0</v>
      </c>
      <c r="C51" s="207">
        <f t="shared" si="17"/>
        <v>0</v>
      </c>
      <c r="D51" s="207">
        <f t="shared" si="17"/>
        <v>2.3365253077975375E-2</v>
      </c>
      <c r="E51" s="207">
        <f t="shared" si="17"/>
        <v>0</v>
      </c>
      <c r="F51" s="207">
        <f t="shared" si="17"/>
        <v>0</v>
      </c>
      <c r="G51" s="207">
        <f t="shared" si="17"/>
        <v>1.4368733754177496E-2</v>
      </c>
      <c r="H51" s="207">
        <f t="shared" si="17"/>
        <v>0.10604936248951939</v>
      </c>
      <c r="I51" s="207">
        <f t="shared" si="17"/>
        <v>0.11893659590726643</v>
      </c>
      <c r="J51" s="207">
        <f t="shared" si="17"/>
        <v>0.21387581259807217</v>
      </c>
      <c r="K51" s="207">
        <f t="shared" si="17"/>
        <v>0</v>
      </c>
      <c r="L51" s="207">
        <f t="shared" si="17"/>
        <v>0.15076305051654271</v>
      </c>
      <c r="M51" s="207">
        <f t="shared" si="17"/>
        <v>0.19397725542819447</v>
      </c>
      <c r="N51" s="207">
        <f t="shared" si="17"/>
        <v>2.0227777379843849E-3</v>
      </c>
      <c r="O51" s="207">
        <f t="shared" si="17"/>
        <v>0</v>
      </c>
      <c r="P51" s="207">
        <f t="shared" si="17"/>
        <v>0.69683560422768365</v>
      </c>
      <c r="Q51" s="207">
        <f t="shared" si="17"/>
        <v>5.7212562366892303E-2</v>
      </c>
      <c r="R51" s="207">
        <f t="shared" si="17"/>
        <v>0</v>
      </c>
    </row>
    <row r="52" spans="1:18">
      <c r="A52" s="206"/>
      <c r="B52" s="207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</row>
    <row r="53" spans="1:18">
      <c r="A53" s="206" t="s">
        <v>1127</v>
      </c>
      <c r="B53" s="210">
        <v>66181</v>
      </c>
      <c r="C53" s="210">
        <v>203150</v>
      </c>
      <c r="D53" s="210">
        <v>208142</v>
      </c>
      <c r="E53" s="210">
        <v>131167</v>
      </c>
      <c r="F53" s="210">
        <v>228000</v>
      </c>
      <c r="G53" s="210">
        <v>407435</v>
      </c>
      <c r="H53" s="210">
        <v>284255</v>
      </c>
      <c r="I53" s="210">
        <v>311572</v>
      </c>
      <c r="J53" s="210">
        <v>109464</v>
      </c>
      <c r="K53" s="210">
        <v>372821</v>
      </c>
      <c r="L53" s="210">
        <v>88875</v>
      </c>
      <c r="M53" s="210">
        <v>184360</v>
      </c>
      <c r="N53" s="210">
        <v>262508</v>
      </c>
      <c r="O53" s="210">
        <v>71233</v>
      </c>
      <c r="P53" s="210">
        <v>45364</v>
      </c>
      <c r="Q53" s="210">
        <v>53249</v>
      </c>
      <c r="R53" s="210">
        <v>13112</v>
      </c>
    </row>
    <row r="54" spans="1:18">
      <c r="A54" s="206" t="s">
        <v>808</v>
      </c>
      <c r="B54" s="207">
        <f t="shared" ref="B54:R54" si="18">B39/B53</f>
        <v>5.1087170033695471E-2</v>
      </c>
      <c r="C54" s="207">
        <f t="shared" si="18"/>
        <v>0.15758798917056363</v>
      </c>
      <c r="D54" s="207">
        <f t="shared" si="18"/>
        <v>0.11263944806910667</v>
      </c>
      <c r="E54" s="207">
        <f>E39/E53</f>
        <v>5.0165056759703276E-3</v>
      </c>
      <c r="F54" s="207">
        <f>F39/F53</f>
        <v>0.16817543859649123</v>
      </c>
      <c r="G54" s="207">
        <f>G39/G53</f>
        <v>0.12759335844981409</v>
      </c>
      <c r="H54" s="207">
        <f t="shared" si="18"/>
        <v>0.2042954389544599</v>
      </c>
      <c r="I54" s="207">
        <f t="shared" si="18"/>
        <v>0.30264272784460733</v>
      </c>
      <c r="J54" s="207">
        <f t="shared" si="18"/>
        <v>-6.4952861214645913E-3</v>
      </c>
      <c r="K54" s="207">
        <f>K39/K53</f>
        <v>2.3316819599754304E-2</v>
      </c>
      <c r="L54" s="207">
        <f t="shared" si="18"/>
        <v>0.26437130801687764</v>
      </c>
      <c r="M54" s="207">
        <f t="shared" si="18"/>
        <v>0.3717834671295292</v>
      </c>
      <c r="N54" s="207">
        <f t="shared" si="18"/>
        <v>0.19258841635302543</v>
      </c>
      <c r="O54" s="207">
        <f t="shared" si="18"/>
        <v>6.5980655033481671E-3</v>
      </c>
      <c r="P54" s="207">
        <f t="shared" si="18"/>
        <v>0.29882726390970815</v>
      </c>
      <c r="Q54" s="207">
        <f t="shared" si="18"/>
        <v>0.54141861819001291</v>
      </c>
      <c r="R54" s="207">
        <f t="shared" si="18"/>
        <v>0.7079774252593044</v>
      </c>
    </row>
    <row r="55" spans="1:18">
      <c r="A55" s="206" t="s">
        <v>1128</v>
      </c>
      <c r="B55" s="207">
        <f t="shared" ref="B55:R55" si="19">B37/B58</f>
        <v>9.8614871080505692E-2</v>
      </c>
      <c r="C55" s="207">
        <f t="shared" si="19"/>
        <v>0.13706703921700925</v>
      </c>
      <c r="D55" s="207">
        <f t="shared" si="19"/>
        <v>0.13423490326363102</v>
      </c>
      <c r="E55" s="207">
        <f>E37/E58</f>
        <v>0.19189708141321044</v>
      </c>
      <c r="F55" s="207">
        <f>F37/F58</f>
        <v>0.17184016520120743</v>
      </c>
      <c r="G55" s="207">
        <f>G37/G58</f>
        <v>0.13016524322317119</v>
      </c>
      <c r="H55" s="207">
        <f t="shared" si="19"/>
        <v>0.19897988685755039</v>
      </c>
      <c r="I55" s="207">
        <f t="shared" si="19"/>
        <v>0.25397790531907466</v>
      </c>
      <c r="J55" s="207">
        <f t="shared" si="19"/>
        <v>7.2920869760143461E-2</v>
      </c>
      <c r="K55" s="207">
        <f>K37/K58</f>
        <v>9.768280255668238E-2</v>
      </c>
      <c r="L55" s="207">
        <f t="shared" si="19"/>
        <v>0.24563695229266305</v>
      </c>
      <c r="M55" s="207">
        <f t="shared" si="19"/>
        <v>0.32331234036795009</v>
      </c>
      <c r="N55" s="207">
        <f t="shared" si="19"/>
        <v>0.1771907456485925</v>
      </c>
      <c r="O55" s="207">
        <f t="shared" si="19"/>
        <v>0.15030616352734283</v>
      </c>
      <c r="P55" s="207">
        <f t="shared" si="19"/>
        <v>0.23274544759964344</v>
      </c>
      <c r="Q55" s="207">
        <f t="shared" si="19"/>
        <v>0.37626108605881237</v>
      </c>
      <c r="R55" s="207">
        <f t="shared" si="19"/>
        <v>0.39981096408317579</v>
      </c>
    </row>
    <row r="56" spans="1:18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</row>
    <row r="57" spans="1:18">
      <c r="A57" s="206" t="s">
        <v>1129</v>
      </c>
      <c r="B57" s="210">
        <v>65322</v>
      </c>
      <c r="C57" s="210">
        <v>213708</v>
      </c>
      <c r="D57" s="210">
        <v>182863</v>
      </c>
      <c r="E57" s="210">
        <v>138065</v>
      </c>
      <c r="F57" s="210">
        <v>108872</v>
      </c>
      <c r="G57" s="210">
        <v>268854</v>
      </c>
      <c r="H57" s="210">
        <v>261097</v>
      </c>
      <c r="I57" s="210">
        <v>282015</v>
      </c>
      <c r="J57" s="211">
        <f>55329+1737</f>
        <v>57066</v>
      </c>
      <c r="K57" s="210">
        <v>28777</v>
      </c>
      <c r="L57" s="210">
        <v>53671</v>
      </c>
      <c r="M57" s="210">
        <v>75712</v>
      </c>
      <c r="N57" s="210">
        <v>216524</v>
      </c>
      <c r="O57" s="210">
        <v>21086</v>
      </c>
      <c r="P57" s="210">
        <v>61509</v>
      </c>
      <c r="Q57" s="210">
        <v>60499</v>
      </c>
      <c r="R57" s="210">
        <v>14651</v>
      </c>
    </row>
    <row r="58" spans="1:18">
      <c r="A58" s="206" t="s">
        <v>1130</v>
      </c>
      <c r="B58" s="210">
        <v>76094</v>
      </c>
      <c r="C58" s="210">
        <v>251957</v>
      </c>
      <c r="D58" s="210">
        <v>255850</v>
      </c>
      <c r="E58" s="210">
        <v>182280</v>
      </c>
      <c r="F58" s="210">
        <v>304114</v>
      </c>
      <c r="G58" s="210">
        <v>538600</v>
      </c>
      <c r="H58" s="210">
        <v>415052</v>
      </c>
      <c r="I58" s="210">
        <v>486814</v>
      </c>
      <c r="J58" s="210">
        <v>133830</v>
      </c>
      <c r="K58" s="210">
        <v>428837</v>
      </c>
      <c r="L58" s="210">
        <v>142389</v>
      </c>
      <c r="M58" s="210">
        <v>354722</v>
      </c>
      <c r="N58" s="210">
        <v>349025</v>
      </c>
      <c r="O58" s="210">
        <v>94394</v>
      </c>
      <c r="P58" s="210">
        <v>62824</v>
      </c>
      <c r="Q58" s="210">
        <v>100013</v>
      </c>
      <c r="R58" s="210">
        <v>24334</v>
      </c>
    </row>
    <row r="59" spans="1:18">
      <c r="A59" s="206" t="s">
        <v>1131</v>
      </c>
      <c r="B59" s="207">
        <f t="shared" ref="B59:I59" si="20">B57/B58</f>
        <v>0.85843824743080921</v>
      </c>
      <c r="C59" s="207">
        <f t="shared" si="20"/>
        <v>0.84819235028199258</v>
      </c>
      <c r="D59" s="207">
        <f t="shared" si="20"/>
        <v>0.71472737932382258</v>
      </c>
      <c r="E59" s="207">
        <f>E57/E58</f>
        <v>0.75743361860873382</v>
      </c>
      <c r="F59" s="207">
        <f>F57/F58</f>
        <v>0.3579973299486377</v>
      </c>
      <c r="G59" s="207">
        <f>G57/G58</f>
        <v>0.49917192721871517</v>
      </c>
      <c r="H59" s="207">
        <f t="shared" si="20"/>
        <v>0.62907057428948665</v>
      </c>
      <c r="I59" s="207">
        <f t="shared" si="20"/>
        <v>0.57930749731930475</v>
      </c>
      <c r="J59" s="207">
        <f>J57/J58</f>
        <v>0.4264066352835687</v>
      </c>
      <c r="K59" s="207">
        <f>K57/K58</f>
        <v>6.71047507561148E-2</v>
      </c>
      <c r="L59" s="207">
        <f>L57/L58</f>
        <v>0.37693220684182066</v>
      </c>
      <c r="M59" s="207">
        <f t="shared" ref="M59:R59" si="21">M57/M58</f>
        <v>0.21344038430094553</v>
      </c>
      <c r="N59" s="207">
        <f>N57/N58</f>
        <v>0.62036816846930731</v>
      </c>
      <c r="O59" s="207">
        <f>O57/O58</f>
        <v>0.22338284212979639</v>
      </c>
      <c r="P59" s="207">
        <f t="shared" si="21"/>
        <v>0.97906850885012098</v>
      </c>
      <c r="Q59" s="207">
        <f>Q57/Q58</f>
        <v>0.60491136152300196</v>
      </c>
      <c r="R59" s="207">
        <f t="shared" si="21"/>
        <v>0.60207939508506614</v>
      </c>
    </row>
    <row r="60" spans="1:18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</row>
    <row r="61" spans="1:18">
      <c r="A61" s="220" t="s">
        <v>1132</v>
      </c>
      <c r="B61" s="220">
        <v>1</v>
      </c>
      <c r="C61" s="220">
        <v>2</v>
      </c>
      <c r="D61" s="220">
        <v>3</v>
      </c>
      <c r="E61" s="220">
        <v>4</v>
      </c>
      <c r="F61" s="220">
        <v>5</v>
      </c>
      <c r="G61" s="220">
        <v>6</v>
      </c>
      <c r="H61" s="220">
        <v>7</v>
      </c>
      <c r="I61" s="220">
        <v>8</v>
      </c>
      <c r="J61" s="220">
        <v>9</v>
      </c>
      <c r="K61" s="220">
        <v>10</v>
      </c>
      <c r="L61" s="220">
        <v>11</v>
      </c>
      <c r="M61" s="220">
        <v>12</v>
      </c>
      <c r="N61" s="220">
        <v>13</v>
      </c>
      <c r="O61" s="220">
        <v>14</v>
      </c>
      <c r="P61" s="220">
        <v>15</v>
      </c>
      <c r="Q61" s="220">
        <v>16</v>
      </c>
      <c r="R61" s="220">
        <v>17</v>
      </c>
    </row>
  </sheetData>
  <conditionalFormatting sqref="A34">
    <cfRule type="cellIs" dxfId="15" priority="11" operator="greaterThan">
      <formula>0.15</formula>
    </cfRule>
  </conditionalFormatting>
  <conditionalFormatting sqref="A42:A46">
    <cfRule type="cellIs" dxfId="14" priority="1" operator="greaterThan">
      <formula>3.6</formula>
    </cfRule>
  </conditionalFormatting>
  <conditionalFormatting sqref="A17:I17 K17:R17 A21:R21">
    <cfRule type="cellIs" dxfId="13" priority="16" operator="greaterThan">
      <formula>0.4</formula>
    </cfRule>
  </conditionalFormatting>
  <conditionalFormatting sqref="A15:R15">
    <cfRule type="cellIs" dxfId="12" priority="8" operator="lessThan">
      <formula>5000</formula>
    </cfRule>
  </conditionalFormatting>
  <conditionalFormatting sqref="A19:R20 A24:R24">
    <cfRule type="cellIs" dxfId="11" priority="15" operator="greaterThan">
      <formula>0.4</formula>
    </cfRule>
  </conditionalFormatting>
  <conditionalFormatting sqref="A27:R27">
    <cfRule type="cellIs" dxfId="10" priority="2" operator="greaterThan">
      <formula>0.5</formula>
    </cfRule>
  </conditionalFormatting>
  <conditionalFormatting sqref="A34:R34">
    <cfRule type="cellIs" dxfId="9" priority="9" operator="greaterThan">
      <formula>6</formula>
    </cfRule>
  </conditionalFormatting>
  <conditionalFormatting sqref="A40:R40">
    <cfRule type="cellIs" dxfId="8" priority="7" operator="greaterThan">
      <formula>3.6</formula>
    </cfRule>
  </conditionalFormatting>
  <conditionalFormatting sqref="A48:R48">
    <cfRule type="cellIs" dxfId="7" priority="13" operator="greaterThan">
      <formula>0.15</formula>
    </cfRule>
  </conditionalFormatting>
  <conditionalFormatting sqref="A51:R52">
    <cfRule type="cellIs" dxfId="6" priority="6" operator="greaterThan">
      <formula>0.5</formula>
    </cfRule>
  </conditionalFormatting>
  <conditionalFormatting sqref="A54:R54">
    <cfRule type="cellIs" dxfId="5" priority="10" operator="greaterThan">
      <formula>0.35</formula>
    </cfRule>
  </conditionalFormatting>
  <conditionalFormatting sqref="A55:R55">
    <cfRule type="cellIs" dxfId="4" priority="5" operator="greaterThan">
      <formula>0.25</formula>
    </cfRule>
  </conditionalFormatting>
  <conditionalFormatting sqref="A59:R59">
    <cfRule type="cellIs" dxfId="3" priority="14" operator="greaterThan">
      <formula>0.4</formula>
    </cfRule>
  </conditionalFormatting>
  <conditionalFormatting sqref="B34:R34">
    <cfRule type="cellIs" dxfId="2" priority="12" operator="lessThan">
      <formula>3</formula>
    </cfRule>
  </conditionalFormatting>
  <conditionalFormatting sqref="B43:R43">
    <cfRule type="cellIs" dxfId="1" priority="4" operator="lessThan">
      <formula>1</formula>
    </cfRule>
  </conditionalFormatting>
  <conditionalFormatting sqref="B44:R44">
    <cfRule type="cellIs" dxfId="0" priority="3" operator="lessThan">
      <formula>0.2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14"/>
  <sheetViews>
    <sheetView workbookViewId="0">
      <selection activeCell="C1" sqref="C1"/>
    </sheetView>
  </sheetViews>
  <sheetFormatPr defaultRowHeight="12.75"/>
  <cols>
    <col min="1" max="1" width="26.42578125" bestFit="1" customWidth="1"/>
    <col min="2" max="2" width="16.5703125" bestFit="1" customWidth="1"/>
    <col min="3" max="3" width="8.7109375" bestFit="1" customWidth="1"/>
    <col min="4" max="4" width="10.140625" bestFit="1" customWidth="1"/>
    <col min="5" max="5" width="4.85546875" bestFit="1" customWidth="1"/>
    <col min="6" max="6" width="4" bestFit="1" customWidth="1"/>
    <col min="7" max="9" width="12" bestFit="1" customWidth="1"/>
    <col min="10" max="10" width="12.5703125" bestFit="1" customWidth="1"/>
  </cols>
  <sheetData>
    <row r="1" spans="1:10">
      <c r="A1" t="s">
        <v>929</v>
      </c>
      <c r="B1" t="s">
        <v>930</v>
      </c>
      <c r="C1" t="s">
        <v>931</v>
      </c>
      <c r="D1" t="s">
        <v>932</v>
      </c>
      <c r="E1" t="s">
        <v>1133</v>
      </c>
      <c r="F1">
        <v>400</v>
      </c>
      <c r="G1">
        <v>4.8329842999999997</v>
      </c>
      <c r="H1">
        <v>247.42424885515064</v>
      </c>
      <c r="I1">
        <v>7.1123494330131338</v>
      </c>
      <c r="J1" t="s">
        <v>933</v>
      </c>
    </row>
    <row r="2" spans="1:10">
      <c r="A2" t="s">
        <v>1134</v>
      </c>
      <c r="B2" t="s">
        <v>1135</v>
      </c>
      <c r="C2" t="s">
        <v>1081</v>
      </c>
      <c r="D2" t="s">
        <v>1136</v>
      </c>
      <c r="E2" t="s">
        <v>1133</v>
      </c>
      <c r="F2">
        <v>500</v>
      </c>
      <c r="G2">
        <v>4.1762578000000001</v>
      </c>
      <c r="H2">
        <v>191.25921090936822</v>
      </c>
      <c r="I2">
        <v>6.5614911297324765</v>
      </c>
      <c r="J2" t="s">
        <v>933</v>
      </c>
    </row>
    <row r="3" spans="1:10">
      <c r="A3" t="s">
        <v>1134</v>
      </c>
      <c r="B3" t="s">
        <v>1137</v>
      </c>
      <c r="C3" t="s">
        <v>1081</v>
      </c>
      <c r="D3" t="s">
        <v>1138</v>
      </c>
      <c r="E3" t="s">
        <v>1133</v>
      </c>
      <c r="F3">
        <v>500</v>
      </c>
      <c r="G3">
        <v>3.9066961999999998</v>
      </c>
      <c r="H3">
        <v>181.50915217389044</v>
      </c>
      <c r="I3">
        <v>5.727350484957312</v>
      </c>
      <c r="J3" t="s">
        <v>933</v>
      </c>
    </row>
    <row r="4" spans="1:10">
      <c r="A4" t="s">
        <v>1139</v>
      </c>
      <c r="B4" t="s">
        <v>1140</v>
      </c>
      <c r="C4" t="s">
        <v>1083</v>
      </c>
      <c r="D4" t="s">
        <v>1141</v>
      </c>
      <c r="E4" t="s">
        <v>1133</v>
      </c>
      <c r="F4">
        <v>400</v>
      </c>
      <c r="G4">
        <v>3.3101424190291473</v>
      </c>
      <c r="H4">
        <v>167.7752743372466</v>
      </c>
      <c r="I4">
        <v>4.1632990384440625</v>
      </c>
      <c r="J4" t="s">
        <v>1142</v>
      </c>
    </row>
    <row r="5" spans="1:10">
      <c r="A5" t="s">
        <v>1143</v>
      </c>
      <c r="B5" t="s">
        <v>1144</v>
      </c>
      <c r="C5" t="s">
        <v>1080</v>
      </c>
      <c r="D5" t="s">
        <v>1145</v>
      </c>
      <c r="E5" t="s">
        <v>1133</v>
      </c>
      <c r="F5">
        <v>600</v>
      </c>
      <c r="G5">
        <v>3.9959438</v>
      </c>
      <c r="H5">
        <v>138.30963181724516</v>
      </c>
      <c r="I5">
        <v>8.6967607502512934</v>
      </c>
      <c r="J5" t="s">
        <v>1146</v>
      </c>
    </row>
    <row r="6" spans="1:10">
      <c r="A6" t="s">
        <v>1139</v>
      </c>
      <c r="B6" t="s">
        <v>1147</v>
      </c>
      <c r="C6" t="s">
        <v>1083</v>
      </c>
      <c r="D6" t="s">
        <v>1148</v>
      </c>
      <c r="E6" t="s">
        <v>1133</v>
      </c>
      <c r="F6">
        <v>300</v>
      </c>
      <c r="G6">
        <v>3.2365849999999998</v>
      </c>
      <c r="H6">
        <v>122.76296828244594</v>
      </c>
      <c r="I6">
        <v>5.4924430190326783</v>
      </c>
      <c r="J6" t="s">
        <v>1149</v>
      </c>
    </row>
    <row r="7" spans="1:10">
      <c r="A7" t="s">
        <v>1150</v>
      </c>
      <c r="B7" t="s">
        <v>1151</v>
      </c>
      <c r="C7" t="s">
        <v>1089</v>
      </c>
      <c r="D7" t="s">
        <v>1152</v>
      </c>
      <c r="E7" t="s">
        <v>1133</v>
      </c>
      <c r="F7">
        <v>500</v>
      </c>
      <c r="G7">
        <v>3.5747730999999998</v>
      </c>
      <c r="H7">
        <v>134.46340154690873</v>
      </c>
      <c r="I7">
        <v>6.3339243318169522</v>
      </c>
      <c r="J7" t="s">
        <v>1153</v>
      </c>
    </row>
    <row r="8" spans="1:10">
      <c r="A8" t="s">
        <v>1154</v>
      </c>
      <c r="B8" t="s">
        <v>1155</v>
      </c>
      <c r="C8" t="s">
        <v>1079</v>
      </c>
      <c r="D8" t="s">
        <v>1156</v>
      </c>
      <c r="E8" t="s">
        <v>1133</v>
      </c>
      <c r="F8">
        <v>500</v>
      </c>
      <c r="G8">
        <v>3.5953667</v>
      </c>
      <c r="H8">
        <v>132.45482595850743</v>
      </c>
      <c r="I8">
        <v>6.654911409415269</v>
      </c>
      <c r="J8" t="s">
        <v>1157</v>
      </c>
    </row>
    <row r="9" spans="1:10">
      <c r="A9" t="s">
        <v>1139</v>
      </c>
      <c r="B9" t="s">
        <v>1158</v>
      </c>
      <c r="C9" t="s">
        <v>1083</v>
      </c>
      <c r="D9" t="s">
        <v>1159</v>
      </c>
      <c r="E9" t="s">
        <v>1133</v>
      </c>
      <c r="F9">
        <v>900</v>
      </c>
      <c r="G9">
        <v>3.4729820999999998</v>
      </c>
      <c r="H9">
        <v>124.72575587796229</v>
      </c>
      <c r="I9">
        <v>6.3035309378762348</v>
      </c>
      <c r="J9" t="s">
        <v>1142</v>
      </c>
    </row>
    <row r="10" spans="1:10">
      <c r="A10" t="s">
        <v>1139</v>
      </c>
      <c r="B10" t="s">
        <v>1160</v>
      </c>
      <c r="C10" t="s">
        <v>1083</v>
      </c>
      <c r="D10" t="s">
        <v>968</v>
      </c>
      <c r="E10" t="s">
        <v>1133</v>
      </c>
      <c r="F10">
        <v>500</v>
      </c>
      <c r="G10">
        <v>3.5743697000000001</v>
      </c>
      <c r="H10">
        <v>120.8618027756508</v>
      </c>
      <c r="I10">
        <v>7.2443601331650864</v>
      </c>
      <c r="J10" t="s">
        <v>1142</v>
      </c>
    </row>
    <row r="11" spans="1:10">
      <c r="A11" t="s">
        <v>966</v>
      </c>
      <c r="B11" t="s">
        <v>826</v>
      </c>
      <c r="C11" t="s">
        <v>967</v>
      </c>
      <c r="D11" t="s">
        <v>968</v>
      </c>
      <c r="E11" t="s">
        <v>1133</v>
      </c>
      <c r="F11">
        <v>300</v>
      </c>
      <c r="G11">
        <v>3.5294783000000001</v>
      </c>
      <c r="H11">
        <v>116.08017522220054</v>
      </c>
      <c r="I11">
        <v>7.2759843547897738</v>
      </c>
      <c r="J11" t="s">
        <v>1161</v>
      </c>
    </row>
    <row r="12" spans="1:10">
      <c r="A12" t="s">
        <v>1143</v>
      </c>
      <c r="B12" t="s">
        <v>1162</v>
      </c>
      <c r="C12" t="s">
        <v>1080</v>
      </c>
      <c r="D12" t="s">
        <v>1163</v>
      </c>
      <c r="E12" t="s">
        <v>1133</v>
      </c>
      <c r="F12">
        <v>500</v>
      </c>
      <c r="G12">
        <v>3.4092191000000001</v>
      </c>
      <c r="H12">
        <v>114.61142794453055</v>
      </c>
      <c r="I12">
        <v>6.6006618324442963</v>
      </c>
      <c r="J12" t="s">
        <v>941</v>
      </c>
    </row>
    <row r="13" spans="1:10">
      <c r="A13" t="s">
        <v>1143</v>
      </c>
      <c r="B13" t="s">
        <v>1164</v>
      </c>
      <c r="C13" t="s">
        <v>1080</v>
      </c>
      <c r="D13" t="s">
        <v>1165</v>
      </c>
      <c r="E13" t="s">
        <v>1133</v>
      </c>
      <c r="F13">
        <v>400</v>
      </c>
      <c r="G13">
        <v>3.5692192</v>
      </c>
      <c r="H13">
        <v>109.22676658998554</v>
      </c>
      <c r="I13">
        <v>7.7176693847747755</v>
      </c>
      <c r="J13" t="s">
        <v>941</v>
      </c>
    </row>
    <row r="14" spans="1:10">
      <c r="A14" t="s">
        <v>1150</v>
      </c>
      <c r="B14" t="s">
        <v>1166</v>
      </c>
      <c r="C14" t="s">
        <v>1089</v>
      </c>
      <c r="D14" t="s">
        <v>1167</v>
      </c>
      <c r="E14" t="s">
        <v>1133</v>
      </c>
      <c r="F14">
        <v>700</v>
      </c>
      <c r="G14">
        <v>3.4527725999999999</v>
      </c>
      <c r="H14">
        <v>100.92967936849233</v>
      </c>
      <c r="I14">
        <v>7.4944099296017477</v>
      </c>
      <c r="J14" t="s">
        <v>1168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00EECCAA3DB94895FACE15614ECBE0" ma:contentTypeVersion="3" ma:contentTypeDescription="Create a new document." ma:contentTypeScope="" ma:versionID="df48d4251bee182ecc7fb5dcb95088a2">
  <xsd:schema xmlns:xsd="http://www.w3.org/2001/XMLSchema" xmlns:xs="http://www.w3.org/2001/XMLSchema" xmlns:p="http://schemas.microsoft.com/office/2006/metadata/properties" xmlns:ns2="aa33d72f-12a9-4590-815a-2b1f92f4a722" targetNamespace="http://schemas.microsoft.com/office/2006/metadata/properties" ma:root="true" ma:fieldsID="e53bcbeb5cc26077ba81130311515115" ns2:_="">
    <xsd:import namespace="aa33d72f-12a9-4590-815a-2b1f92f4a7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3d72f-12a9-4590-815a-2b1f92f4a7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F8B4094-C14D-41C6-97E1-61215E379EA7}"/>
</file>

<file path=customXml/itemProps2.xml><?xml version="1.0" encoding="utf-8"?>
<ds:datastoreItem xmlns:ds="http://schemas.openxmlformats.org/officeDocument/2006/customXml" ds:itemID="{1E7D5AA9-BD6D-47D2-BA89-EC73CFAD89F7}"/>
</file>

<file path=customXml/itemProps3.xml><?xml version="1.0" encoding="utf-8"?>
<ds:datastoreItem xmlns:ds="http://schemas.openxmlformats.org/officeDocument/2006/customXml" ds:itemID="{9FD27DE4-1B14-4E07-9946-4795FC14B71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MassMutual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MAB</dc:creator>
  <cp:keywords/>
  <dc:description/>
  <cp:lastModifiedBy/>
  <cp:revision/>
  <dcterms:created xsi:type="dcterms:W3CDTF">2008-03-12T15:44:19Z</dcterms:created>
  <dcterms:modified xsi:type="dcterms:W3CDTF">2026-08-03T09:57:49Z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{7309E1DA-D046-46D2-BCDE-AB47C8D1A005}</vt:lpwstr>
  </property>
  <property fmtid="{D5CDD505-2E9C-101B-9397-08002B2CF9AE}" pid="3" name="WorkbookGuid">
    <vt:lpwstr>2ab6f4fe-9840-4ff1-a9de-fa56affaa6c8</vt:lpwstr>
  </property>
  <property fmtid="{D5CDD505-2E9C-101B-9397-08002B2CF9AE}" pid="4" name="MSIP_Label_8c63c790-1b4f-473b-b88f-a693ca173b52_Enabled">
    <vt:lpwstr>true</vt:lpwstr>
  </property>
  <property fmtid="{D5CDD505-2E9C-101B-9397-08002B2CF9AE}" pid="5" name="MSIP_Label_8c63c790-1b4f-473b-b88f-a693ca173b52_SetDate">
    <vt:lpwstr>2022-02-28T08:54:28Z</vt:lpwstr>
  </property>
  <property fmtid="{D5CDD505-2E9C-101B-9397-08002B2CF9AE}" pid="6" name="MSIP_Label_8c63c790-1b4f-473b-b88f-a693ca173b52_Method">
    <vt:lpwstr>Privileged</vt:lpwstr>
  </property>
  <property fmtid="{D5CDD505-2E9C-101B-9397-08002B2CF9AE}" pid="7" name="MSIP_Label_8c63c790-1b4f-473b-b88f-a693ca173b52_Name">
    <vt:lpwstr>Internal</vt:lpwstr>
  </property>
  <property fmtid="{D5CDD505-2E9C-101B-9397-08002B2CF9AE}" pid="8" name="MSIP_Label_8c63c790-1b4f-473b-b88f-a693ca173b52_SiteId">
    <vt:lpwstr>4d8b04bf-7a7c-48a0-b6e3-38da5008297e</vt:lpwstr>
  </property>
  <property fmtid="{D5CDD505-2E9C-101B-9397-08002B2CF9AE}" pid="9" name="MSIP_Label_8c63c790-1b4f-473b-b88f-a693ca173b52_ActionId">
    <vt:lpwstr>dc8727df-ba32-48b9-b8a8-d581129c281f</vt:lpwstr>
  </property>
  <property fmtid="{D5CDD505-2E9C-101B-9397-08002B2CF9AE}" pid="10" name="MSIP_Label_8c63c790-1b4f-473b-b88f-a693ca173b52_ContentBits">
    <vt:lpwstr>0</vt:lpwstr>
  </property>
  <property fmtid="{D5CDD505-2E9C-101B-9397-08002B2CF9AE}" pid="11" name="ContentTypeId">
    <vt:lpwstr>0x0101003A00EECCAA3DB94895FACE15614ECBE0</vt:lpwstr>
  </property>
</Properties>
</file>