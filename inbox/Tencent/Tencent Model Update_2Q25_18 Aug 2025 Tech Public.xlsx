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bhuR\Desktop\Barracuda\Jul - Sep 2025\Tencent - Done and Sent\"/>
    </mc:Choice>
  </mc:AlternateContent>
  <xr:revisionPtr revIDLastSave="1" documentId="13_ncr:1_{B56E7FC1-0E59-448C-8DA8-4946EF4DA999}" xr6:coauthVersionLast="47" xr6:coauthVersionMax="47" xr10:uidLastSave="{C75D517E-58B0-4E82-B97B-D8A6F76A2F89}"/>
  <bookViews>
    <workbookView xWindow="-110" yWindow="-110" windowWidth="19420" windowHeight="10300" firstSheet="1" activeTab="1" xr2:uid="{00000000-000D-0000-FFFF-FFFF00000000}"/>
  </bookViews>
  <sheets>
    <sheet name="Capitalisation" sheetId="22" r:id="rId1"/>
    <sheet name="Model" sheetId="23" r:id="rId2"/>
    <sheet name="PB_CACHE" sheetId="26" state="veryHidden" r:id="rId3"/>
    <sheet name="KPIs" sheetId="2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3">MonthlyOpStats</definedName>
    <definedName name="_01_30_04">MonthlyOpStats</definedName>
    <definedName name="_1_30_01" localSheetId="3">MonthlyOpStats</definedName>
    <definedName name="_1_30_01">MonthlyOpStats</definedName>
    <definedName name="_1_30_02" localSheetId="3">MonthlyOpStats</definedName>
    <definedName name="_1_30_02">MonthlyOpStats</definedName>
    <definedName name="_1_31_01" localSheetId="3">MonthlyOpStats</definedName>
    <definedName name="_1_31_01">MonthlyOpStats</definedName>
    <definedName name="_1_31_02" localSheetId="3">MonthlyOpStats</definedName>
    <definedName name="_1_31_02">MonthlyOpStats</definedName>
    <definedName name="_12_31_05" localSheetId="3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#REF!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#REF!</definedName>
    <definedName name="CIQWBGuid" hidden="1">"acecd336-aa64-4d56-8359-0dd63828d514"</definedName>
    <definedName name="CIQWBInfo" hidden="1">"{ ""CIQVersion"":""9.45.614.5792"" }"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3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3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#REF!</definedName>
    <definedName name="CSHO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3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44297.3725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 localSheetId="3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#REF!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localSheetId="3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3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3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3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3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3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3" hidden="1">{#N/A,#N/A,FALSE,"Integration Systems"}</definedName>
    <definedName name="wrn.Sales._.Activity." hidden="1">{#N/A,#N/A,FALSE,"Integration Systems"}</definedName>
    <definedName name="wrn.Summary." localSheetId="3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3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3" hidden="1">{#N/A,#N/A,FALSE,"Combo"}</definedName>
    <definedName name="wrn.Weekly._.Inventory._.Report." hidden="1">{#N/A,#N/A,FALSE,"Combo"}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2" l="1"/>
  <c r="C18" i="22"/>
  <c r="C16" i="22"/>
  <c r="C14" i="22"/>
  <c r="C13" i="22"/>
  <c r="C24" i="22" s="1"/>
  <c r="I4" i="22"/>
  <c r="E18" i="22" s="1"/>
  <c r="I3" i="22"/>
  <c r="D29" i="22" s="1"/>
  <c r="C33" i="22"/>
  <c r="B31" i="22"/>
  <c r="E16" i="22"/>
  <c r="E14" i="22"/>
  <c r="C12" i="22"/>
  <c r="D12" i="22" s="1"/>
  <c r="H7" i="22"/>
  <c r="E7" i="22"/>
  <c r="E6" i="22"/>
  <c r="J47" i="25"/>
  <c r="J45" i="25"/>
  <c r="J44" i="25"/>
  <c r="J43" i="25"/>
  <c r="J40" i="25"/>
  <c r="J39" i="25"/>
  <c r="J35" i="25"/>
  <c r="J34" i="25"/>
  <c r="J33" i="25"/>
  <c r="J29" i="25"/>
  <c r="J28" i="25"/>
  <c r="J16" i="25"/>
  <c r="J15" i="25"/>
  <c r="J14" i="25"/>
  <c r="J9" i="25"/>
  <c r="J8" i="25"/>
  <c r="J7" i="25"/>
  <c r="J6" i="25"/>
  <c r="J2" i="25"/>
  <c r="AG30" i="25"/>
  <c r="AG17" i="25"/>
  <c r="AG10" i="25"/>
  <c r="AG11" i="25" s="1"/>
  <c r="J199" i="23"/>
  <c r="J198" i="23"/>
  <c r="J118" i="23"/>
  <c r="J114" i="23"/>
  <c r="J113" i="23"/>
  <c r="J111" i="23"/>
  <c r="J110" i="23"/>
  <c r="J106" i="23"/>
  <c r="J105" i="23"/>
  <c r="J101" i="23"/>
  <c r="J100" i="23"/>
  <c r="J91" i="23"/>
  <c r="J90" i="23"/>
  <c r="J89" i="23"/>
  <c r="J88" i="23"/>
  <c r="J45" i="23"/>
  <c r="J39" i="23"/>
  <c r="J23" i="23"/>
  <c r="J20" i="23"/>
  <c r="J18" i="23"/>
  <c r="J17" i="23"/>
  <c r="J15" i="23"/>
  <c r="J14" i="23"/>
  <c r="J13" i="23"/>
  <c r="J12" i="23"/>
  <c r="J8" i="23"/>
  <c r="J6" i="23"/>
  <c r="J2" i="23"/>
  <c r="AG224" i="23"/>
  <c r="AG114" i="23"/>
  <c r="AG142" i="23" s="1"/>
  <c r="AG206" i="23" s="1"/>
  <c r="AG101" i="23"/>
  <c r="AG100" i="23"/>
  <c r="AG111" i="23"/>
  <c r="AG110" i="23"/>
  <c r="AG107" i="23"/>
  <c r="AG246" i="23" s="1"/>
  <c r="AG102" i="23"/>
  <c r="AG88" i="23"/>
  <c r="AG39" i="23"/>
  <c r="AG13" i="23"/>
  <c r="AG248" i="23"/>
  <c r="AG238" i="23"/>
  <c r="AG228" i="23"/>
  <c r="AG227" i="23"/>
  <c r="AG225" i="23"/>
  <c r="AG215" i="23"/>
  <c r="AG212" i="23"/>
  <c r="AG201" i="23"/>
  <c r="AG178" i="23"/>
  <c r="AG174" i="23"/>
  <c r="AG165" i="23"/>
  <c r="AG164" i="23"/>
  <c r="AG163" i="23"/>
  <c r="AG161" i="23"/>
  <c r="AG160" i="23"/>
  <c r="AG159" i="23"/>
  <c r="AG154" i="23"/>
  <c r="AG151" i="23"/>
  <c r="AG148" i="23"/>
  <c r="AG137" i="23"/>
  <c r="AG121" i="23"/>
  <c r="AG97" i="23"/>
  <c r="AG96" i="23"/>
  <c r="AG95" i="23"/>
  <c r="AG92" i="23"/>
  <c r="AG86" i="23"/>
  <c r="AG77" i="23"/>
  <c r="AG138" i="23" s="1"/>
  <c r="AG76" i="23"/>
  <c r="AG65" i="23"/>
  <c r="AG170" i="23" s="1"/>
  <c r="AG64" i="23"/>
  <c r="AG233" i="23" s="1"/>
  <c r="AG63" i="23"/>
  <c r="AG168" i="23" s="1"/>
  <c r="AG62" i="23"/>
  <c r="AG58" i="23"/>
  <c r="AG35" i="23" s="1"/>
  <c r="AG53" i="23"/>
  <c r="AG57" i="23" s="1"/>
  <c r="AG52" i="23"/>
  <c r="AG50" i="23"/>
  <c r="AG49" i="23"/>
  <c r="AG47" i="23"/>
  <c r="AG156" i="23" s="1"/>
  <c r="AG46" i="23"/>
  <c r="AG155" i="23" s="1"/>
  <c r="AG37" i="23"/>
  <c r="AG34" i="23"/>
  <c r="AG32" i="23"/>
  <c r="AG31" i="23"/>
  <c r="AG30" i="23"/>
  <c r="AG29" i="23"/>
  <c r="AG28" i="23"/>
  <c r="AG27" i="23"/>
  <c r="AG16" i="23"/>
  <c r="AG10" i="23"/>
  <c r="AG9" i="23"/>
  <c r="AG7" i="23"/>
  <c r="AF248" i="23"/>
  <c r="AC248" i="23"/>
  <c r="AB248" i="23"/>
  <c r="Z248" i="23"/>
  <c r="Y248" i="23"/>
  <c r="X248" i="23"/>
  <c r="V248" i="23"/>
  <c r="U248" i="23"/>
  <c r="I248" i="23"/>
  <c r="H248" i="23"/>
  <c r="G248" i="23"/>
  <c r="B248" i="23"/>
  <c r="B246" i="23"/>
  <c r="C67" i="22"/>
  <c r="C68" i="22" s="1"/>
  <c r="AF114" i="23"/>
  <c r="C51" i="22"/>
  <c r="C48" i="22"/>
  <c r="C59" i="22" s="1"/>
  <c r="I38" i="22"/>
  <c r="E41" i="22" s="1"/>
  <c r="B66" i="22"/>
  <c r="D64" i="22"/>
  <c r="C47" i="22"/>
  <c r="E46" i="22"/>
  <c r="H42" i="22"/>
  <c r="E42" i="22"/>
  <c r="AF30" i="25"/>
  <c r="AF17" i="25"/>
  <c r="AF10" i="25"/>
  <c r="AF11" i="25" s="1"/>
  <c r="AE35" i="25"/>
  <c r="AE34" i="25"/>
  <c r="AE33" i="25"/>
  <c r="AE29" i="25"/>
  <c r="AE28" i="25"/>
  <c r="AE16" i="25"/>
  <c r="AE15" i="25"/>
  <c r="AE14" i="25"/>
  <c r="AE9" i="25"/>
  <c r="AE8" i="25"/>
  <c r="AE7" i="25"/>
  <c r="AE6" i="25"/>
  <c r="I30" i="25"/>
  <c r="I17" i="25"/>
  <c r="I10" i="25"/>
  <c r="I25" i="25" s="1"/>
  <c r="J248" i="23"/>
  <c r="AF101" i="23"/>
  <c r="AF111" i="23" s="1"/>
  <c r="AF100" i="23"/>
  <c r="AF110" i="23" s="1"/>
  <c r="AF88" i="23"/>
  <c r="AF107" i="23"/>
  <c r="AF246" i="23" s="1"/>
  <c r="AF39" i="23"/>
  <c r="AF13" i="23"/>
  <c r="AF28" i="23" s="1"/>
  <c r="AF212" i="23"/>
  <c r="AF201" i="23"/>
  <c r="AF197" i="23"/>
  <c r="AF218" i="23" s="1"/>
  <c r="AF178" i="23"/>
  <c r="AF154" i="23"/>
  <c r="AF151" i="23"/>
  <c r="AF148" i="23"/>
  <c r="AF137" i="23"/>
  <c r="AF121" i="23"/>
  <c r="AF97" i="23"/>
  <c r="AF96" i="23"/>
  <c r="AF95" i="23"/>
  <c r="AF92" i="23"/>
  <c r="AF86" i="23"/>
  <c r="AF76" i="23"/>
  <c r="AF52" i="23"/>
  <c r="AF50" i="23"/>
  <c r="AF49" i="23"/>
  <c r="AF47" i="23"/>
  <c r="AF156" i="23" s="1"/>
  <c r="AF46" i="23"/>
  <c r="AF155" i="23" s="1"/>
  <c r="AF37" i="23"/>
  <c r="AF35" i="23"/>
  <c r="AF34" i="23"/>
  <c r="AF32" i="23"/>
  <c r="AF31" i="23"/>
  <c r="AF30" i="23"/>
  <c r="AF29" i="23"/>
  <c r="AF27" i="23"/>
  <c r="AF9" i="23"/>
  <c r="AF10" i="23" s="1"/>
  <c r="AF7" i="23"/>
  <c r="AE118" i="23"/>
  <c r="AE248" i="23" s="1"/>
  <c r="AE113" i="23"/>
  <c r="AE178" i="23" s="1"/>
  <c r="AE106" i="23"/>
  <c r="AE105" i="23"/>
  <c r="AE91" i="23"/>
  <c r="AE90" i="23"/>
  <c r="AE89" i="23"/>
  <c r="AE69" i="23"/>
  <c r="AE174" i="23" s="1"/>
  <c r="AE59" i="23"/>
  <c r="AE164" i="23" s="1"/>
  <c r="AE56" i="23"/>
  <c r="AE161" i="23" s="1"/>
  <c r="AE55" i="23"/>
  <c r="AE160" i="23" s="1"/>
  <c r="AE45" i="23"/>
  <c r="AF80" i="23" s="1"/>
  <c r="AE23" i="23"/>
  <c r="AE20" i="23"/>
  <c r="AE18" i="23"/>
  <c r="AE17" i="23"/>
  <c r="AE15" i="23"/>
  <c r="AE14" i="23"/>
  <c r="AE12" i="23"/>
  <c r="AE8" i="23"/>
  <c r="AE6" i="23"/>
  <c r="AE151" i="23" s="1"/>
  <c r="AE212" i="23"/>
  <c r="AE201" i="23"/>
  <c r="AE148" i="23"/>
  <c r="AE137" i="23"/>
  <c r="AE121" i="23"/>
  <c r="AE86" i="23"/>
  <c r="AE76" i="23"/>
  <c r="AE52" i="23"/>
  <c r="AE37" i="23"/>
  <c r="I197" i="23"/>
  <c r="I228" i="23" s="1"/>
  <c r="I114" i="23"/>
  <c r="I242" i="23" s="1"/>
  <c r="I101" i="23"/>
  <c r="I111" i="23" s="1"/>
  <c r="I100" i="23"/>
  <c r="I110" i="23" s="1"/>
  <c r="I88" i="23"/>
  <c r="AE88" i="23" s="1"/>
  <c r="I65" i="23"/>
  <c r="I170" i="23" s="1"/>
  <c r="I66" i="23"/>
  <c r="I64" i="23"/>
  <c r="I169" i="23" s="1"/>
  <c r="I63" i="23"/>
  <c r="I60" i="23"/>
  <c r="AE60" i="23" s="1"/>
  <c r="I58" i="23"/>
  <c r="I163" i="23" s="1"/>
  <c r="I54" i="23"/>
  <c r="I34" i="23" s="1"/>
  <c r="I39" i="23"/>
  <c r="I13" i="23"/>
  <c r="I212" i="23"/>
  <c r="I201" i="23"/>
  <c r="I178" i="23"/>
  <c r="I174" i="23"/>
  <c r="I164" i="23"/>
  <c r="I161" i="23"/>
  <c r="I160" i="23"/>
  <c r="I154" i="23"/>
  <c r="I151" i="23"/>
  <c r="I148" i="23"/>
  <c r="I137" i="23"/>
  <c r="I121" i="23"/>
  <c r="I107" i="23"/>
  <c r="I246" i="23" s="1"/>
  <c r="I97" i="23"/>
  <c r="I96" i="23"/>
  <c r="I95" i="23"/>
  <c r="I92" i="23"/>
  <c r="I86" i="23"/>
  <c r="I81" i="23"/>
  <c r="I80" i="23"/>
  <c r="I139" i="23" s="1"/>
  <c r="I77" i="23"/>
  <c r="I138" i="23" s="1"/>
  <c r="I76" i="23"/>
  <c r="I53" i="23"/>
  <c r="I52" i="23"/>
  <c r="I47" i="23"/>
  <c r="I156" i="23" s="1"/>
  <c r="I46" i="23"/>
  <c r="I155" i="23" s="1"/>
  <c r="I37" i="23"/>
  <c r="I32" i="23"/>
  <c r="I31" i="23"/>
  <c r="I30" i="23"/>
  <c r="I29" i="23"/>
  <c r="I28" i="23"/>
  <c r="I27" i="23"/>
  <c r="I9" i="23"/>
  <c r="I10" i="23" s="1"/>
  <c r="I7" i="23"/>
  <c r="C102" i="22"/>
  <c r="C86" i="22"/>
  <c r="C83" i="22"/>
  <c r="I77" i="22" s="1"/>
  <c r="I82" i="22" s="1"/>
  <c r="B101" i="22"/>
  <c r="C82" i="22"/>
  <c r="H77" i="22"/>
  <c r="AD30" i="25"/>
  <c r="AD17" i="25"/>
  <c r="AD10" i="25"/>
  <c r="AD21" i="25" s="1"/>
  <c r="AD198" i="23"/>
  <c r="AD248" i="23" s="1"/>
  <c r="C19" i="22" l="1"/>
  <c r="C15" i="22"/>
  <c r="C17" i="22" s="1"/>
  <c r="E8" i="22"/>
  <c r="E12" i="22" s="1"/>
  <c r="E9" i="22"/>
  <c r="E11" i="22"/>
  <c r="I7" i="22"/>
  <c r="I12" i="22" s="1"/>
  <c r="D30" i="22"/>
  <c r="D24" i="22"/>
  <c r="D31" i="22"/>
  <c r="E10" i="22"/>
  <c r="E13" i="22"/>
  <c r="C25" i="22"/>
  <c r="D25" i="22" s="1"/>
  <c r="D32" i="22"/>
  <c r="AG20" i="25"/>
  <c r="AG21" i="25"/>
  <c r="AG22" i="25"/>
  <c r="AG23" i="25"/>
  <c r="AG24" i="25"/>
  <c r="AG25" i="25"/>
  <c r="AG229" i="23"/>
  <c r="AG218" i="23"/>
  <c r="AG223" i="23"/>
  <c r="AG242" i="23"/>
  <c r="AG112" i="23"/>
  <c r="AG119" i="23" s="1"/>
  <c r="AG115" i="23"/>
  <c r="AG117" i="23" s="1"/>
  <c r="AG222" i="23"/>
  <c r="AG93" i="23"/>
  <c r="AG167" i="23"/>
  <c r="AG231" i="23"/>
  <c r="AG220" i="23"/>
  <c r="AG162" i="23"/>
  <c r="AG226" i="23"/>
  <c r="AG61" i="23"/>
  <c r="AG169" i="23"/>
  <c r="AG38" i="23"/>
  <c r="AG40" i="23" s="1"/>
  <c r="AG19" i="23"/>
  <c r="AG158" i="23"/>
  <c r="AG232" i="23"/>
  <c r="AG80" i="23"/>
  <c r="AG66" i="23"/>
  <c r="E44" i="22"/>
  <c r="AG81" i="23"/>
  <c r="AG234" i="23"/>
  <c r="AE107" i="23"/>
  <c r="AE246" i="23" s="1"/>
  <c r="D66" i="22"/>
  <c r="AE92" i="23"/>
  <c r="E43" i="22"/>
  <c r="AF139" i="23"/>
  <c r="C53" i="22"/>
  <c r="I57" i="23"/>
  <c r="E45" i="22"/>
  <c r="E48" i="22"/>
  <c r="AF142" i="23"/>
  <c r="AF206" i="23" s="1"/>
  <c r="D59" i="22"/>
  <c r="E51" i="22"/>
  <c r="D67" i="22"/>
  <c r="C49" i="22"/>
  <c r="C60" i="22" s="1"/>
  <c r="D60" i="22" s="1"/>
  <c r="I42" i="22"/>
  <c r="I47" i="22" s="1"/>
  <c r="D65" i="22"/>
  <c r="AF24" i="25"/>
  <c r="AF20" i="25"/>
  <c r="AE17" i="25"/>
  <c r="AF21" i="25"/>
  <c r="AF22" i="25"/>
  <c r="AF23" i="25"/>
  <c r="AF25" i="25"/>
  <c r="AE30" i="25"/>
  <c r="I11" i="25"/>
  <c r="I22" i="25"/>
  <c r="I23" i="25"/>
  <c r="I24" i="25"/>
  <c r="I20" i="25"/>
  <c r="I21" i="25"/>
  <c r="AE10" i="25"/>
  <c r="AE21" i="25" s="1"/>
  <c r="AF215" i="23"/>
  <c r="AF220" i="23" s="1"/>
  <c r="AF242" i="23"/>
  <c r="AF112" i="23"/>
  <c r="AF115" i="23" s="1"/>
  <c r="AF117" i="23" s="1"/>
  <c r="AF102" i="23"/>
  <c r="AE165" i="23"/>
  <c r="AE114" i="23"/>
  <c r="AE100" i="23"/>
  <c r="AE110" i="23" s="1"/>
  <c r="AF16" i="23"/>
  <c r="I168" i="23"/>
  <c r="AE101" i="23"/>
  <c r="AE111" i="23" s="1"/>
  <c r="AE197" i="23"/>
  <c r="AE228" i="23" s="1"/>
  <c r="AF77" i="23"/>
  <c r="AF138" i="23" s="1"/>
  <c r="AE54" i="23"/>
  <c r="AE159" i="23" s="1"/>
  <c r="AE97" i="23"/>
  <c r="AE27" i="23"/>
  <c r="AE30" i="23"/>
  <c r="AE29" i="23"/>
  <c r="AE31" i="23"/>
  <c r="AE95" i="23"/>
  <c r="AE32" i="23"/>
  <c r="AE9" i="23"/>
  <c r="AE10" i="23" s="1"/>
  <c r="AE154" i="23"/>
  <c r="AE47" i="23"/>
  <c r="AE156" i="23" s="1"/>
  <c r="I225" i="23"/>
  <c r="AE77" i="23"/>
  <c r="AE138" i="23" s="1"/>
  <c r="AE96" i="23"/>
  <c r="I62" i="23"/>
  <c r="I167" i="23" s="1"/>
  <c r="I83" i="23"/>
  <c r="I131" i="23" s="1"/>
  <c r="I191" i="23" s="1"/>
  <c r="C94" i="22"/>
  <c r="AE53" i="23"/>
  <c r="AE80" i="23"/>
  <c r="AE81" i="23"/>
  <c r="I215" i="23"/>
  <c r="I222" i="23"/>
  <c r="I218" i="23"/>
  <c r="I199" i="23"/>
  <c r="I238" i="23"/>
  <c r="I202" i="23"/>
  <c r="I235" i="23"/>
  <c r="I227" i="23"/>
  <c r="I224" i="23"/>
  <c r="I234" i="23"/>
  <c r="I102" i="23"/>
  <c r="I112" i="23"/>
  <c r="I177" i="23" s="1"/>
  <c r="I49" i="23"/>
  <c r="I35" i="23"/>
  <c r="I50" i="23"/>
  <c r="I159" i="23"/>
  <c r="I158" i="23"/>
  <c r="I16" i="23"/>
  <c r="I38" i="23" s="1"/>
  <c r="I40" i="23" s="1"/>
  <c r="I93" i="23"/>
  <c r="I203" i="23"/>
  <c r="I140" i="23"/>
  <c r="I73" i="22"/>
  <c r="D99" i="22" s="1"/>
  <c r="I171" i="23"/>
  <c r="I229" i="23"/>
  <c r="I142" i="23"/>
  <c r="I206" i="23" s="1"/>
  <c r="I132" i="23"/>
  <c r="I192" i="23" s="1"/>
  <c r="I165" i="23"/>
  <c r="I223" i="23"/>
  <c r="I232" i="23"/>
  <c r="I233" i="23"/>
  <c r="C103" i="22"/>
  <c r="AD22" i="25"/>
  <c r="AD23" i="25"/>
  <c r="AD24" i="25"/>
  <c r="AD25" i="25"/>
  <c r="AD20" i="25"/>
  <c r="AD11" i="25"/>
  <c r="AD114" i="23"/>
  <c r="AD101" i="23"/>
  <c r="AD100" i="23"/>
  <c r="AD88" i="23"/>
  <c r="D15" i="22" l="1"/>
  <c r="D26" i="22"/>
  <c r="D33" i="22"/>
  <c r="E15" i="22"/>
  <c r="F12" i="22"/>
  <c r="C26" i="22"/>
  <c r="AG127" i="23"/>
  <c r="AG177" i="23"/>
  <c r="AG124" i="23"/>
  <c r="AG184" i="23" s="1"/>
  <c r="AG241" i="23"/>
  <c r="AG141" i="23"/>
  <c r="AG21" i="23"/>
  <c r="AG33" i="23"/>
  <c r="AG44" i="23"/>
  <c r="AG42" i="23"/>
  <c r="AG132" i="23"/>
  <c r="AG192" i="23" s="1"/>
  <c r="AG139" i="23"/>
  <c r="I259" i="23"/>
  <c r="I258" i="23"/>
  <c r="AG171" i="23"/>
  <c r="AG235" i="23"/>
  <c r="C61" i="22"/>
  <c r="AG166" i="23"/>
  <c r="AG67" i="23"/>
  <c r="AG230" i="23"/>
  <c r="AE218" i="23"/>
  <c r="AE225" i="23"/>
  <c r="E47" i="22"/>
  <c r="I204" i="23"/>
  <c r="C54" i="22"/>
  <c r="AF119" i="23"/>
  <c r="D61" i="22"/>
  <c r="I231" i="23"/>
  <c r="D68" i="22"/>
  <c r="I220" i="23"/>
  <c r="AE215" i="23"/>
  <c r="AF140" i="23"/>
  <c r="D47" i="22"/>
  <c r="E49" i="22"/>
  <c r="C50" i="22"/>
  <c r="E79" i="22"/>
  <c r="E80" i="22"/>
  <c r="AE25" i="25"/>
  <c r="AE20" i="25"/>
  <c r="AE11" i="25"/>
  <c r="AE24" i="25"/>
  <c r="AE23" i="25"/>
  <c r="AE22" i="25"/>
  <c r="AF93" i="23"/>
  <c r="AF19" i="23"/>
  <c r="AF38" i="23"/>
  <c r="AF40" i="23" s="1"/>
  <c r="AF124" i="23"/>
  <c r="AF184" i="23" s="1"/>
  <c r="AF141" i="23"/>
  <c r="AF241" i="23"/>
  <c r="AF177" i="23"/>
  <c r="AF127" i="23"/>
  <c r="AE34" i="23"/>
  <c r="AE50" i="23"/>
  <c r="AE238" i="23"/>
  <c r="AE93" i="23"/>
  <c r="AE229" i="23"/>
  <c r="AE224" i="23"/>
  <c r="AE223" i="23"/>
  <c r="E86" i="22"/>
  <c r="E78" i="22"/>
  <c r="E83" i="22"/>
  <c r="AE139" i="23"/>
  <c r="AE132" i="23"/>
  <c r="AE192" i="23" s="1"/>
  <c r="D100" i="22"/>
  <c r="E81" i="22"/>
  <c r="AE158" i="23"/>
  <c r="AE222" i="23"/>
  <c r="AE57" i="23"/>
  <c r="E76" i="22"/>
  <c r="D101" i="22"/>
  <c r="I115" i="23"/>
  <c r="I179" i="23" s="1"/>
  <c r="I141" i="23"/>
  <c r="I205" i="23" s="1"/>
  <c r="I208" i="23" s="1"/>
  <c r="I119" i="23"/>
  <c r="I241" i="23"/>
  <c r="I127" i="23"/>
  <c r="I187" i="23" s="1"/>
  <c r="I124" i="23"/>
  <c r="I184" i="23" s="1"/>
  <c r="I78" i="23"/>
  <c r="I19" i="23"/>
  <c r="I21" i="23" s="1"/>
  <c r="I134" i="23"/>
  <c r="I194" i="23" s="1"/>
  <c r="I61" i="23"/>
  <c r="I226" i="23"/>
  <c r="I162" i="23"/>
  <c r="I44" i="23"/>
  <c r="I79" i="23"/>
  <c r="I42" i="23"/>
  <c r="C84" i="22"/>
  <c r="E77" i="22"/>
  <c r="D94" i="22"/>
  <c r="D102" i="22"/>
  <c r="AD39" i="23"/>
  <c r="AD13" i="23"/>
  <c r="AD28" i="23" s="1"/>
  <c r="AD212" i="23"/>
  <c r="AD201" i="23"/>
  <c r="AD197" i="23"/>
  <c r="AG199" i="23" s="1"/>
  <c r="AG202" i="23" s="1"/>
  <c r="AD178" i="23"/>
  <c r="AD154" i="23"/>
  <c r="AD151" i="23"/>
  <c r="AD148" i="23"/>
  <c r="AD137" i="23"/>
  <c r="AD121" i="23"/>
  <c r="AD242" i="23"/>
  <c r="AD110" i="23"/>
  <c r="AD107" i="23"/>
  <c r="AD246" i="23" s="1"/>
  <c r="AD102" i="23"/>
  <c r="AD111" i="23"/>
  <c r="AD97" i="23"/>
  <c r="AD96" i="23"/>
  <c r="AD95" i="23"/>
  <c r="AD92" i="23"/>
  <c r="AD86" i="23"/>
  <c r="AD76" i="23"/>
  <c r="AD52" i="23"/>
  <c r="AD50" i="23"/>
  <c r="AD49" i="23"/>
  <c r="AD47" i="23"/>
  <c r="AD156" i="23" s="1"/>
  <c r="AD46" i="23"/>
  <c r="AD155" i="23" s="1"/>
  <c r="AD37" i="23"/>
  <c r="AD35" i="23"/>
  <c r="AD34" i="23"/>
  <c r="AD32" i="23"/>
  <c r="AD31" i="23"/>
  <c r="AD30" i="23"/>
  <c r="AD29" i="23"/>
  <c r="AD27" i="23"/>
  <c r="AD9" i="23"/>
  <c r="AD7" i="23"/>
  <c r="E17" i="22" l="1"/>
  <c r="F15" i="22"/>
  <c r="AG140" i="23"/>
  <c r="AG203" i="23"/>
  <c r="AG204" i="23" s="1"/>
  <c r="I254" i="23"/>
  <c r="I251" i="23"/>
  <c r="AG243" i="23"/>
  <c r="AG22" i="23"/>
  <c r="AG24" i="23"/>
  <c r="AG143" i="23"/>
  <c r="AG207" i="23" s="1"/>
  <c r="AG209" i="23" s="1"/>
  <c r="AG205" i="23"/>
  <c r="AG259" i="23"/>
  <c r="AG236" i="23"/>
  <c r="AG68" i="23"/>
  <c r="AG172" i="23"/>
  <c r="AG179" i="23"/>
  <c r="AG123" i="23"/>
  <c r="AG183" i="23" s="1"/>
  <c r="AG134" i="23"/>
  <c r="AG194" i="23" s="1"/>
  <c r="AG126" i="23"/>
  <c r="AG187" i="23"/>
  <c r="AG144" i="23"/>
  <c r="E50" i="22"/>
  <c r="E52" i="22" s="1"/>
  <c r="AE220" i="23"/>
  <c r="E82" i="22"/>
  <c r="AF199" i="23"/>
  <c r="AF202" i="23" s="1"/>
  <c r="C52" i="22"/>
  <c r="D50" i="22"/>
  <c r="AF243" i="23"/>
  <c r="D103" i="22"/>
  <c r="AF205" i="23"/>
  <c r="AF143" i="23"/>
  <c r="AF207" i="23" s="1"/>
  <c r="AF123" i="23"/>
  <c r="AF183" i="23" s="1"/>
  <c r="AF179" i="23"/>
  <c r="AF126" i="23"/>
  <c r="AF134" i="23"/>
  <c r="AF194" i="23" s="1"/>
  <c r="AF44" i="23"/>
  <c r="AF42" i="23"/>
  <c r="AD16" i="23"/>
  <c r="AF144" i="23"/>
  <c r="AF187" i="23"/>
  <c r="AF33" i="23"/>
  <c r="AF21" i="23"/>
  <c r="AF24" i="23" s="1"/>
  <c r="AE226" i="23"/>
  <c r="AE162" i="23"/>
  <c r="AE140" i="23"/>
  <c r="I117" i="23"/>
  <c r="I123" i="23"/>
  <c r="I183" i="23" s="1"/>
  <c r="I143" i="23"/>
  <c r="I207" i="23" s="1"/>
  <c r="I209" i="23" s="1"/>
  <c r="I126" i="23"/>
  <c r="I145" i="23" s="1"/>
  <c r="I243" i="23"/>
  <c r="I144" i="23"/>
  <c r="I33" i="23"/>
  <c r="I166" i="23"/>
  <c r="I67" i="23"/>
  <c r="I68" i="23" s="1"/>
  <c r="I74" i="23" s="1"/>
  <c r="I230" i="23"/>
  <c r="I84" i="23"/>
  <c r="C95" i="22"/>
  <c r="C85" i="22"/>
  <c r="E84" i="22"/>
  <c r="I82" i="23"/>
  <c r="I24" i="23"/>
  <c r="I22" i="23"/>
  <c r="AD215" i="23"/>
  <c r="AD112" i="23"/>
  <c r="AD10" i="23"/>
  <c r="AD218" i="23"/>
  <c r="AG254" i="23" s="1"/>
  <c r="AD142" i="23"/>
  <c r="AD206" i="23" s="1"/>
  <c r="AG208" i="23" l="1"/>
  <c r="I261" i="23"/>
  <c r="I250" i="23"/>
  <c r="I253" i="23"/>
  <c r="AG145" i="23"/>
  <c r="AG186" i="23"/>
  <c r="AG245" i="23"/>
  <c r="AG256" i="23" s="1"/>
  <c r="AG129" i="23"/>
  <c r="AG189" i="23" s="1"/>
  <c r="AG181" i="23"/>
  <c r="AG251" i="23"/>
  <c r="AG261" i="23"/>
  <c r="AG250" i="23"/>
  <c r="AG253" i="23"/>
  <c r="AD19" i="23"/>
  <c r="AD21" i="23" s="1"/>
  <c r="AG173" i="23"/>
  <c r="AG237" i="23"/>
  <c r="AF261" i="23"/>
  <c r="AG70" i="23"/>
  <c r="E85" i="22"/>
  <c r="AD38" i="23"/>
  <c r="AD40" i="23" s="1"/>
  <c r="I39" i="22"/>
  <c r="E53" i="22" s="1"/>
  <c r="J197" i="23"/>
  <c r="AF203" i="23"/>
  <c r="AF22" i="23"/>
  <c r="AF181" i="23"/>
  <c r="AF129" i="23"/>
  <c r="AF189" i="23" s="1"/>
  <c r="AF245" i="23"/>
  <c r="AF186" i="23"/>
  <c r="AF145" i="23"/>
  <c r="I129" i="23"/>
  <c r="I189" i="23" s="1"/>
  <c r="AE117" i="23"/>
  <c r="I181" i="23"/>
  <c r="I245" i="23"/>
  <c r="I256" i="23" s="1"/>
  <c r="I186" i="23"/>
  <c r="C89" i="22"/>
  <c r="D95" i="22"/>
  <c r="D96" i="22" s="1"/>
  <c r="C96" i="22"/>
  <c r="E87" i="22"/>
  <c r="C87" i="22"/>
  <c r="I172" i="23"/>
  <c r="I236" i="23"/>
  <c r="AD177" i="23"/>
  <c r="AD115" i="23"/>
  <c r="AD179" i="23" s="1"/>
  <c r="AD141" i="23"/>
  <c r="AD143" i="23" s="1"/>
  <c r="AD207" i="23" s="1"/>
  <c r="AD119" i="23"/>
  <c r="AD241" i="23"/>
  <c r="AD220" i="23"/>
  <c r="AD44" i="23" l="1"/>
  <c r="AD33" i="23"/>
  <c r="AG239" i="23"/>
  <c r="AG175" i="23"/>
  <c r="AD205" i="23"/>
  <c r="AD42" i="23"/>
  <c r="F47" i="22"/>
  <c r="F50" i="22"/>
  <c r="AF208" i="23"/>
  <c r="AF209" i="23"/>
  <c r="AF204" i="23"/>
  <c r="I173" i="23"/>
  <c r="I237" i="23"/>
  <c r="I70" i="23"/>
  <c r="AD126" i="23"/>
  <c r="AD186" i="23" s="1"/>
  <c r="AD117" i="23"/>
  <c r="AD181" i="23" s="1"/>
  <c r="AD134" i="23"/>
  <c r="AD194" i="23" s="1"/>
  <c r="AD123" i="23"/>
  <c r="AD183" i="23" s="1"/>
  <c r="AD243" i="23"/>
  <c r="AD24" i="23"/>
  <c r="AD22" i="23"/>
  <c r="AD261" i="23" l="1"/>
  <c r="AD245" i="23"/>
  <c r="I175" i="23"/>
  <c r="I239" i="23"/>
  <c r="AD145" i="23"/>
  <c r="AC65" i="23" l="1"/>
  <c r="AE65" i="23" s="1"/>
  <c r="AC64" i="23"/>
  <c r="AE64" i="23" s="1"/>
  <c r="AC63" i="23"/>
  <c r="AE63" i="23" s="1"/>
  <c r="AC58" i="23"/>
  <c r="AE58" i="23" s="1"/>
  <c r="AG83" i="23" s="1"/>
  <c r="AG131" i="23" s="1"/>
  <c r="AG191" i="23" s="1"/>
  <c r="C121" i="22"/>
  <c r="C118" i="22"/>
  <c r="I108" i="22"/>
  <c r="E114" i="22" s="1"/>
  <c r="B135" i="22"/>
  <c r="B136" i="22" s="1"/>
  <c r="C117" i="22"/>
  <c r="H112" i="22"/>
  <c r="AC30" i="25"/>
  <c r="AC17" i="25"/>
  <c r="AC10" i="25"/>
  <c r="AC22" i="25" s="1"/>
  <c r="J212" i="23"/>
  <c r="J201" i="23"/>
  <c r="J148" i="23"/>
  <c r="J137" i="23"/>
  <c r="J121" i="23"/>
  <c r="J107" i="23"/>
  <c r="J246" i="23" s="1"/>
  <c r="J86" i="23"/>
  <c r="J76" i="23"/>
  <c r="J52" i="23"/>
  <c r="J37" i="23"/>
  <c r="AC114" i="23"/>
  <c r="AC242" i="23" s="1"/>
  <c r="AC101" i="23"/>
  <c r="AC111" i="23" s="1"/>
  <c r="AC100" i="23"/>
  <c r="AC110" i="23" s="1"/>
  <c r="AC88" i="23"/>
  <c r="AC39" i="23"/>
  <c r="AC13" i="23"/>
  <c r="AC238" i="23"/>
  <c r="AC228" i="23"/>
  <c r="AC225" i="23"/>
  <c r="AC224" i="23"/>
  <c r="AC223" i="23"/>
  <c r="AC218" i="23"/>
  <c r="AC215" i="23"/>
  <c r="AG216" i="23" s="1"/>
  <c r="AC212" i="23"/>
  <c r="AC201" i="23"/>
  <c r="AC178" i="23"/>
  <c r="AC174" i="23"/>
  <c r="AC164" i="23"/>
  <c r="AC161" i="23"/>
  <c r="AC160" i="23"/>
  <c r="AC159" i="23"/>
  <c r="AC154" i="23"/>
  <c r="AC151" i="23"/>
  <c r="AG152" i="23" s="1"/>
  <c r="AC148" i="23"/>
  <c r="AC137" i="23"/>
  <c r="AC121" i="23"/>
  <c r="AC107" i="23"/>
  <c r="AC246" i="23" s="1"/>
  <c r="AC97" i="23"/>
  <c r="AC96" i="23"/>
  <c r="AC95" i="23"/>
  <c r="AC92" i="23"/>
  <c r="AC86" i="23"/>
  <c r="AC76" i="23"/>
  <c r="AC234" i="23"/>
  <c r="AC165" i="23"/>
  <c r="AC53" i="23"/>
  <c r="AC222" i="23" s="1"/>
  <c r="AC52" i="23"/>
  <c r="AC50" i="23"/>
  <c r="AC47" i="23"/>
  <c r="AC156" i="23" s="1"/>
  <c r="AC46" i="23"/>
  <c r="AC155" i="23" s="1"/>
  <c r="AC37" i="23"/>
  <c r="AC34" i="23"/>
  <c r="AC32" i="23"/>
  <c r="AC31" i="23"/>
  <c r="AC30" i="23"/>
  <c r="AC29" i="23"/>
  <c r="AC27" i="23"/>
  <c r="AC9" i="23"/>
  <c r="AC10" i="23" s="1"/>
  <c r="AC7" i="23"/>
  <c r="AE259" i="23" l="1"/>
  <c r="AG219" i="23"/>
  <c r="AF251" i="23"/>
  <c r="AF254" i="23"/>
  <c r="AF253" i="23"/>
  <c r="AF250" i="23"/>
  <c r="AF256" i="23"/>
  <c r="AC28" i="23"/>
  <c r="AC168" i="23"/>
  <c r="AC49" i="23"/>
  <c r="AE83" i="23"/>
  <c r="AE131" i="23" s="1"/>
  <c r="AE191" i="23" s="1"/>
  <c r="AE168" i="23"/>
  <c r="AE232" i="23"/>
  <c r="AE169" i="23"/>
  <c r="AE233" i="23"/>
  <c r="AE234" i="23"/>
  <c r="AE170" i="23"/>
  <c r="AC57" i="23"/>
  <c r="AC61" i="23" s="1"/>
  <c r="C119" i="22"/>
  <c r="E119" i="22" s="1"/>
  <c r="J142" i="23"/>
  <c r="J206" i="23" s="1"/>
  <c r="AC62" i="23"/>
  <c r="AE62" i="23" s="1"/>
  <c r="J92" i="23"/>
  <c r="AC35" i="23"/>
  <c r="E116" i="22"/>
  <c r="E112" i="22"/>
  <c r="E118" i="22"/>
  <c r="D134" i="22"/>
  <c r="E121" i="22"/>
  <c r="I112" i="22"/>
  <c r="I116" i="22" s="1"/>
  <c r="E113" i="22"/>
  <c r="C129" i="22"/>
  <c r="D135" i="22"/>
  <c r="E115" i="22"/>
  <c r="D136" i="22"/>
  <c r="C137" i="22"/>
  <c r="C138" i="22" s="1"/>
  <c r="E111" i="22"/>
  <c r="AC23" i="25"/>
  <c r="AC24" i="25"/>
  <c r="AC25" i="25"/>
  <c r="AC20" i="25"/>
  <c r="AC11" i="25"/>
  <c r="AC21" i="25"/>
  <c r="J242" i="23"/>
  <c r="AC170" i="23"/>
  <c r="J112" i="23"/>
  <c r="AC227" i="23"/>
  <c r="AC163" i="23"/>
  <c r="AC229" i="23"/>
  <c r="J178" i="23"/>
  <c r="AC169" i="23"/>
  <c r="AC112" i="23"/>
  <c r="AC141" i="23" s="1"/>
  <c r="AC158" i="23"/>
  <c r="AC16" i="23"/>
  <c r="AC220" i="23"/>
  <c r="AC142" i="23"/>
  <c r="AC206" i="23" s="1"/>
  <c r="AC102" i="23"/>
  <c r="AC232" i="23"/>
  <c r="AC233" i="23"/>
  <c r="C156" i="22"/>
  <c r="C153" i="22"/>
  <c r="I143" i="22"/>
  <c r="E149" i="22" s="1"/>
  <c r="B170" i="22"/>
  <c r="B171" i="22" s="1"/>
  <c r="C152" i="22"/>
  <c r="H147" i="22"/>
  <c r="AB197" i="23"/>
  <c r="AE199" i="23" s="1"/>
  <c r="AB114" i="23"/>
  <c r="AB101" i="23"/>
  <c r="AB100" i="23"/>
  <c r="AB88" i="23"/>
  <c r="AB39" i="23"/>
  <c r="AE39" i="23" s="1"/>
  <c r="AC167" i="23" l="1"/>
  <c r="C120" i="22"/>
  <c r="C130" i="22"/>
  <c r="D130" i="22" s="1"/>
  <c r="AD199" i="23"/>
  <c r="AC66" i="23"/>
  <c r="AE66" i="23" s="1"/>
  <c r="AE84" i="23"/>
  <c r="AE227" i="23"/>
  <c r="AG258" i="23" s="1"/>
  <c r="AE163" i="23"/>
  <c r="AE49" i="23"/>
  <c r="AE35" i="23"/>
  <c r="AE61" i="23"/>
  <c r="AG84" i="23" s="1"/>
  <c r="AC231" i="23"/>
  <c r="AC115" i="23"/>
  <c r="AC134" i="23" s="1"/>
  <c r="AC194" i="23" s="1"/>
  <c r="C124" i="22"/>
  <c r="AC241" i="23"/>
  <c r="E117" i="22"/>
  <c r="D129" i="22"/>
  <c r="C122" i="22"/>
  <c r="D137" i="22"/>
  <c r="D138" i="22" s="1"/>
  <c r="E153" i="22"/>
  <c r="E156" i="22"/>
  <c r="E146" i="22"/>
  <c r="J102" i="23"/>
  <c r="J115" i="23"/>
  <c r="J141" i="23"/>
  <c r="J241" i="23"/>
  <c r="J177" i="23"/>
  <c r="J119" i="23"/>
  <c r="AC119" i="23"/>
  <c r="AC177" i="23"/>
  <c r="AC226" i="23"/>
  <c r="AC162" i="23"/>
  <c r="AC19" i="23"/>
  <c r="AC38" i="23"/>
  <c r="AC40" i="23" s="1"/>
  <c r="AG41" i="23" s="1"/>
  <c r="E151" i="22"/>
  <c r="C154" i="22"/>
  <c r="E154" i="22" s="1"/>
  <c r="AC166" i="23"/>
  <c r="AC230" i="23"/>
  <c r="D169" i="22"/>
  <c r="AC143" i="23"/>
  <c r="AC207" i="23" s="1"/>
  <c r="AC205" i="23"/>
  <c r="C172" i="22"/>
  <c r="C173" i="22" s="1"/>
  <c r="E147" i="22"/>
  <c r="I147" i="22"/>
  <c r="I151" i="22" s="1"/>
  <c r="E148" i="22"/>
  <c r="C164" i="22"/>
  <c r="D170" i="22"/>
  <c r="E150" i="22"/>
  <c r="D171" i="22"/>
  <c r="X13" i="23"/>
  <c r="AB13" i="23"/>
  <c r="AE13" i="23" s="1"/>
  <c r="AB218" i="23"/>
  <c r="AF219" i="23" s="1"/>
  <c r="AB215" i="23"/>
  <c r="AF216" i="23" s="1"/>
  <c r="AB212" i="23"/>
  <c r="AB201" i="23"/>
  <c r="AB178" i="23"/>
  <c r="AB154" i="23"/>
  <c r="AB151" i="23"/>
  <c r="AF152" i="23" s="1"/>
  <c r="AB148" i="23"/>
  <c r="AB137" i="23"/>
  <c r="AB121" i="23"/>
  <c r="AB242" i="23"/>
  <c r="AB111" i="23"/>
  <c r="AB110" i="23"/>
  <c r="AB107" i="23"/>
  <c r="AB246" i="23" s="1"/>
  <c r="AB102" i="23"/>
  <c r="AB97" i="23"/>
  <c r="AB96" i="23"/>
  <c r="AB95" i="23"/>
  <c r="AB92" i="23"/>
  <c r="AB86" i="23"/>
  <c r="AB76" i="23"/>
  <c r="AB52" i="23"/>
  <c r="AB50" i="23"/>
  <c r="AB49" i="23"/>
  <c r="AB47" i="23"/>
  <c r="AB156" i="23" s="1"/>
  <c r="AB46" i="23"/>
  <c r="AB155" i="23" s="1"/>
  <c r="AB37" i="23"/>
  <c r="AB35" i="23"/>
  <c r="AB34" i="23"/>
  <c r="AB32" i="23"/>
  <c r="AB31" i="23"/>
  <c r="AB30" i="23"/>
  <c r="AB29" i="23"/>
  <c r="AB27" i="23"/>
  <c r="AB9" i="23"/>
  <c r="AB7" i="23"/>
  <c r="AB30" i="25"/>
  <c r="AB17" i="25"/>
  <c r="AB10" i="25"/>
  <c r="H81" i="23"/>
  <c r="H66" i="23"/>
  <c r="G66" i="23"/>
  <c r="H63" i="23"/>
  <c r="H65" i="23"/>
  <c r="H64" i="23"/>
  <c r="H60" i="23"/>
  <c r="H58" i="23"/>
  <c r="H174" i="23"/>
  <c r="H164" i="23"/>
  <c r="H161" i="23"/>
  <c r="H160" i="23"/>
  <c r="H54" i="23"/>
  <c r="B205" i="22"/>
  <c r="B206" i="22" s="1"/>
  <c r="I178" i="22"/>
  <c r="E186" i="22" s="1"/>
  <c r="C187" i="22"/>
  <c r="C207" i="22" s="1"/>
  <c r="H182" i="22"/>
  <c r="AA35" i="25"/>
  <c r="AA34" i="25"/>
  <c r="AA33" i="25"/>
  <c r="AA29" i="25"/>
  <c r="AA16" i="25"/>
  <c r="AA15" i="25"/>
  <c r="AA14" i="25"/>
  <c r="AA9" i="25"/>
  <c r="AA8" i="25"/>
  <c r="AA7" i="25"/>
  <c r="AA6" i="25"/>
  <c r="AA28" i="25"/>
  <c r="H10" i="25"/>
  <c r="H11" i="25" s="1"/>
  <c r="H17" i="25"/>
  <c r="H30" i="25"/>
  <c r="AA118" i="23"/>
  <c r="AA248" i="23" s="1"/>
  <c r="AA113" i="23"/>
  <c r="AA178" i="23" s="1"/>
  <c r="AA106" i="23"/>
  <c r="AA105" i="23"/>
  <c r="AA91" i="23"/>
  <c r="AA90" i="23"/>
  <c r="AA89" i="23"/>
  <c r="AA69" i="23"/>
  <c r="AA174" i="23" s="1"/>
  <c r="AA59" i="23"/>
  <c r="AA164" i="23" s="1"/>
  <c r="AA56" i="23"/>
  <c r="AA45" i="23"/>
  <c r="AE46" i="23" s="1"/>
  <c r="AE155" i="23" s="1"/>
  <c r="AA23" i="23"/>
  <c r="AA20" i="23"/>
  <c r="AA18" i="23"/>
  <c r="AA17" i="23"/>
  <c r="AA15" i="23"/>
  <c r="AA14" i="23"/>
  <c r="AA12" i="23"/>
  <c r="AA8" i="23"/>
  <c r="AA6" i="23"/>
  <c r="AE7" i="23" s="1"/>
  <c r="AA212" i="23"/>
  <c r="AA201" i="23"/>
  <c r="AA148" i="23"/>
  <c r="AA137" i="23"/>
  <c r="AA121" i="23"/>
  <c r="AA86" i="23"/>
  <c r="AA76" i="23"/>
  <c r="AA52" i="23"/>
  <c r="AA37" i="23"/>
  <c r="W6" i="23"/>
  <c r="W215" i="23" s="1"/>
  <c r="W8" i="23"/>
  <c r="W12" i="23"/>
  <c r="W13" i="23"/>
  <c r="W14" i="23"/>
  <c r="W15" i="23"/>
  <c r="W17" i="23"/>
  <c r="W18" i="23"/>
  <c r="W20" i="23"/>
  <c r="W23" i="23"/>
  <c r="W37" i="23"/>
  <c r="W45" i="23"/>
  <c r="W53" i="23" s="1"/>
  <c r="W52" i="23"/>
  <c r="W56" i="23"/>
  <c r="W81" i="23" s="1"/>
  <c r="W59" i="23"/>
  <c r="W228" i="23" s="1"/>
  <c r="W69" i="23"/>
  <c r="W238" i="23" s="1"/>
  <c r="W76" i="23"/>
  <c r="W86" i="23"/>
  <c r="W89" i="23"/>
  <c r="W90" i="23"/>
  <c r="W91" i="23"/>
  <c r="W105" i="23"/>
  <c r="W106" i="23"/>
  <c r="W113" i="23"/>
  <c r="W178" i="23" s="1"/>
  <c r="W118" i="23"/>
  <c r="W248" i="23" s="1"/>
  <c r="W121" i="23"/>
  <c r="W137" i="23"/>
  <c r="W148" i="23"/>
  <c r="W201" i="23"/>
  <c r="W212" i="23"/>
  <c r="H114" i="23"/>
  <c r="H142" i="23" s="1"/>
  <c r="H206" i="23" s="1"/>
  <c r="H100" i="23"/>
  <c r="AA100" i="23" s="1"/>
  <c r="H101" i="23"/>
  <c r="H111" i="23" s="1"/>
  <c r="H88" i="23"/>
  <c r="AA88" i="23" s="1"/>
  <c r="H39" i="23"/>
  <c r="H13" i="23"/>
  <c r="H28" i="23" s="1"/>
  <c r="H7" i="23"/>
  <c r="H9" i="23"/>
  <c r="H10" i="23" s="1"/>
  <c r="H27" i="23"/>
  <c r="H29" i="23"/>
  <c r="H30" i="23"/>
  <c r="H31" i="23"/>
  <c r="H32" i="23"/>
  <c r="H37" i="23"/>
  <c r="H46" i="23"/>
  <c r="H155" i="23" s="1"/>
  <c r="H47" i="23"/>
  <c r="H156" i="23" s="1"/>
  <c r="H52" i="23"/>
  <c r="H53" i="23"/>
  <c r="H224" i="23"/>
  <c r="H76" i="23"/>
  <c r="H77" i="23"/>
  <c r="H138" i="23" s="1"/>
  <c r="H202" i="23" s="1"/>
  <c r="H80" i="23"/>
  <c r="H139" i="23" s="1"/>
  <c r="H203" i="23" s="1"/>
  <c r="H86" i="23"/>
  <c r="H92" i="23"/>
  <c r="H95" i="23"/>
  <c r="H96" i="23"/>
  <c r="H97" i="23"/>
  <c r="H107" i="23"/>
  <c r="H246" i="23" s="1"/>
  <c r="H121" i="23"/>
  <c r="H137" i="23"/>
  <c r="H148" i="23"/>
  <c r="H151" i="23"/>
  <c r="I152" i="23" s="1"/>
  <c r="H154" i="23"/>
  <c r="H178" i="23"/>
  <c r="H199" i="23"/>
  <c r="H201" i="23"/>
  <c r="H212" i="23"/>
  <c r="H215" i="23"/>
  <c r="I216" i="23" s="1"/>
  <c r="H218" i="23"/>
  <c r="I219" i="23" s="1"/>
  <c r="H225" i="23"/>
  <c r="H228" i="23"/>
  <c r="H238" i="23"/>
  <c r="Z30" i="25"/>
  <c r="AC243" i="23" l="1"/>
  <c r="AE258" i="23"/>
  <c r="AC117" i="23"/>
  <c r="AC181" i="23" s="1"/>
  <c r="AC171" i="23"/>
  <c r="D131" i="22"/>
  <c r="C131" i="22"/>
  <c r="I74" i="22"/>
  <c r="AC179" i="23"/>
  <c r="AC235" i="23"/>
  <c r="AC67" i="23"/>
  <c r="AE167" i="23"/>
  <c r="AE231" i="23"/>
  <c r="AE166" i="23"/>
  <c r="AE230" i="23"/>
  <c r="AE202" i="23"/>
  <c r="AE203" i="23"/>
  <c r="AB28" i="23"/>
  <c r="J34" i="23"/>
  <c r="AD77" i="23"/>
  <c r="AD80" i="23"/>
  <c r="W154" i="23"/>
  <c r="H50" i="23"/>
  <c r="AA107" i="23"/>
  <c r="AA246" i="23" s="1"/>
  <c r="H232" i="23"/>
  <c r="H235" i="23"/>
  <c r="E120" i="22"/>
  <c r="E122" i="22" s="1"/>
  <c r="H35" i="23"/>
  <c r="H234" i="23"/>
  <c r="H165" i="23"/>
  <c r="C155" i="22"/>
  <c r="C157" i="22" s="1"/>
  <c r="H233" i="23"/>
  <c r="H24" i="25"/>
  <c r="H23" i="25"/>
  <c r="AA30" i="25"/>
  <c r="AB25" i="25"/>
  <c r="AB11" i="25"/>
  <c r="J97" i="23"/>
  <c r="J179" i="23"/>
  <c r="J134" i="23"/>
  <c r="J194" i="23" s="1"/>
  <c r="J117" i="23"/>
  <c r="J245" i="23" s="1"/>
  <c r="C165" i="22"/>
  <c r="D165" i="22" s="1"/>
  <c r="AB80" i="23"/>
  <c r="AB139" i="23" s="1"/>
  <c r="W80" i="23"/>
  <c r="W139" i="23" s="1"/>
  <c r="J205" i="23"/>
  <c r="J143" i="23"/>
  <c r="J207" i="23" s="1"/>
  <c r="W218" i="23"/>
  <c r="W220" i="23" s="1"/>
  <c r="AA27" i="23"/>
  <c r="H93" i="23"/>
  <c r="J243" i="23"/>
  <c r="J261" i="23" s="1"/>
  <c r="AC44" i="23"/>
  <c r="AC42" i="23"/>
  <c r="AC33" i="23"/>
  <c r="AC21" i="23"/>
  <c r="E181" i="22"/>
  <c r="H62" i="23"/>
  <c r="AB16" i="23"/>
  <c r="W97" i="23"/>
  <c r="AC172" i="23"/>
  <c r="AA30" i="23"/>
  <c r="AC77" i="23"/>
  <c r="AC80" i="23"/>
  <c r="H57" i="23"/>
  <c r="H61" i="23" s="1"/>
  <c r="H84" i="23" s="1"/>
  <c r="AA161" i="23"/>
  <c r="AC81" i="23"/>
  <c r="H171" i="23"/>
  <c r="D172" i="22"/>
  <c r="D173" i="22" s="1"/>
  <c r="E152" i="22"/>
  <c r="D164" i="22"/>
  <c r="AB112" i="23"/>
  <c r="AB220" i="23"/>
  <c r="AA29" i="23"/>
  <c r="W107" i="23"/>
  <c r="W246" i="23" s="1"/>
  <c r="W32" i="23"/>
  <c r="AA151" i="23"/>
  <c r="AE152" i="23" s="1"/>
  <c r="C188" i="22"/>
  <c r="C199" i="22" s="1"/>
  <c r="C191" i="22"/>
  <c r="E191" i="22" s="1"/>
  <c r="H132" i="23"/>
  <c r="H192" i="23" s="1"/>
  <c r="H83" i="23"/>
  <c r="H131" i="23" s="1"/>
  <c r="H191" i="23" s="1"/>
  <c r="AB10" i="23"/>
  <c r="H159" i="23"/>
  <c r="AA81" i="23"/>
  <c r="H168" i="23"/>
  <c r="W225" i="23"/>
  <c r="AB142" i="23"/>
  <c r="AB206" i="23" s="1"/>
  <c r="AA31" i="23"/>
  <c r="D205" i="22"/>
  <c r="AB77" i="23"/>
  <c r="AB138" i="23" s="1"/>
  <c r="AB20" i="25"/>
  <c r="AB21" i="25"/>
  <c r="AB22" i="25"/>
  <c r="AB23" i="25"/>
  <c r="AB24" i="25"/>
  <c r="H170" i="23"/>
  <c r="H169" i="23"/>
  <c r="H229" i="23"/>
  <c r="H163" i="23"/>
  <c r="H227" i="23"/>
  <c r="AA43" i="25"/>
  <c r="AA10" i="25"/>
  <c r="AA11" i="25" s="1"/>
  <c r="E182" i="22"/>
  <c r="E184" i="22"/>
  <c r="C208" i="22"/>
  <c r="D207" i="22"/>
  <c r="D204" i="22"/>
  <c r="E183" i="22"/>
  <c r="D206" i="22"/>
  <c r="E185" i="22"/>
  <c r="AA17" i="25"/>
  <c r="H21" i="25"/>
  <c r="H20" i="25"/>
  <c r="H22" i="25"/>
  <c r="H25" i="25"/>
  <c r="AA97" i="23"/>
  <c r="AA95" i="23"/>
  <c r="AA114" i="23"/>
  <c r="C189" i="22" s="1"/>
  <c r="AA13" i="23"/>
  <c r="W30" i="23"/>
  <c r="AA54" i="23"/>
  <c r="AA159" i="23" s="1"/>
  <c r="W96" i="23"/>
  <c r="W29" i="23"/>
  <c r="AA55" i="23"/>
  <c r="AA160" i="23" s="1"/>
  <c r="AA215" i="23"/>
  <c r="W92" i="23"/>
  <c r="AA101" i="23"/>
  <c r="AA32" i="23"/>
  <c r="AA228" i="23"/>
  <c r="AA218" i="23"/>
  <c r="AA225" i="23"/>
  <c r="AA96" i="23"/>
  <c r="AA92" i="23"/>
  <c r="AA9" i="23"/>
  <c r="AA46" i="23"/>
  <c r="AA155" i="23" s="1"/>
  <c r="AA154" i="23"/>
  <c r="AA47" i="23"/>
  <c r="AA156" i="23" s="1"/>
  <c r="AA238" i="23"/>
  <c r="AA77" i="23"/>
  <c r="AA138" i="23" s="1"/>
  <c r="AA110" i="23"/>
  <c r="AA53" i="23"/>
  <c r="AA80" i="23"/>
  <c r="C193" i="22" s="1"/>
  <c r="D187" i="22" s="1"/>
  <c r="AA7" i="23"/>
  <c r="W158" i="23"/>
  <c r="W77" i="23"/>
  <c r="W138" i="23" s="1"/>
  <c r="W174" i="23"/>
  <c r="W31" i="23"/>
  <c r="W222" i="23"/>
  <c r="W164" i="23"/>
  <c r="W95" i="23"/>
  <c r="W47" i="23"/>
  <c r="W156" i="23" s="1"/>
  <c r="W9" i="23"/>
  <c r="W28" i="23"/>
  <c r="W27" i="23"/>
  <c r="W161" i="23"/>
  <c r="W151" i="23"/>
  <c r="AA152" i="23" s="1"/>
  <c r="H102" i="23"/>
  <c r="H223" i="23"/>
  <c r="H34" i="23"/>
  <c r="H242" i="23"/>
  <c r="H220" i="23"/>
  <c r="H204" i="23"/>
  <c r="H140" i="23"/>
  <c r="H110" i="23"/>
  <c r="H112" i="23" s="1"/>
  <c r="H16" i="23"/>
  <c r="H158" i="23"/>
  <c r="H49" i="23"/>
  <c r="H222" i="23"/>
  <c r="AE219" i="23" l="1"/>
  <c r="AD251" i="23"/>
  <c r="AD254" i="23"/>
  <c r="AD253" i="23"/>
  <c r="AD250" i="23"/>
  <c r="AD256" i="23"/>
  <c r="W132" i="23"/>
  <c r="W192" i="23" s="1"/>
  <c r="AC261" i="23"/>
  <c r="AC245" i="23"/>
  <c r="AC68" i="23"/>
  <c r="AC70" i="23" s="1"/>
  <c r="J151" i="23"/>
  <c r="AC236" i="23"/>
  <c r="AA216" i="23"/>
  <c r="AE216" i="23"/>
  <c r="J7" i="23"/>
  <c r="AE28" i="23"/>
  <c r="AE16" i="23"/>
  <c r="J29" i="23"/>
  <c r="AB19" i="23"/>
  <c r="AB33" i="23" s="1"/>
  <c r="J32" i="23"/>
  <c r="J95" i="23"/>
  <c r="J50" i="23"/>
  <c r="AE204" i="23"/>
  <c r="AE235" i="23"/>
  <c r="AE171" i="23"/>
  <c r="J31" i="23"/>
  <c r="J77" i="23"/>
  <c r="J93" i="23" s="1"/>
  <c r="J27" i="23"/>
  <c r="J96" i="23"/>
  <c r="AB38" i="23"/>
  <c r="AB40" i="23" s="1"/>
  <c r="AF41" i="23" s="1"/>
  <c r="J30" i="23"/>
  <c r="AE67" i="23"/>
  <c r="AE68" i="23" s="1"/>
  <c r="C166" i="22"/>
  <c r="AD139" i="23"/>
  <c r="C88" i="22"/>
  <c r="AD124" i="23"/>
  <c r="AD184" i="23" s="1"/>
  <c r="AD127" i="23"/>
  <c r="AD129" i="23"/>
  <c r="AD189" i="23" s="1"/>
  <c r="AD93" i="23"/>
  <c r="AD138" i="23"/>
  <c r="AD202" i="23" s="1"/>
  <c r="D166" i="22"/>
  <c r="C190" i="22"/>
  <c r="C192" i="22" s="1"/>
  <c r="H231" i="23"/>
  <c r="AC129" i="23"/>
  <c r="AC189" i="23" s="1"/>
  <c r="C123" i="22"/>
  <c r="C158" i="22"/>
  <c r="D152" i="22" s="1"/>
  <c r="J9" i="23"/>
  <c r="J10" i="23" s="1"/>
  <c r="J30" i="25"/>
  <c r="AA21" i="25"/>
  <c r="J17" i="25"/>
  <c r="J10" i="25"/>
  <c r="J11" i="25" s="1"/>
  <c r="AA20" i="25"/>
  <c r="H167" i="23"/>
  <c r="J80" i="23"/>
  <c r="J47" i="23"/>
  <c r="J156" i="23" s="1"/>
  <c r="J154" i="23"/>
  <c r="H226" i="23"/>
  <c r="H162" i="23"/>
  <c r="AA242" i="23"/>
  <c r="C200" i="22"/>
  <c r="D200" i="22" s="1"/>
  <c r="J28" i="23"/>
  <c r="J181" i="23"/>
  <c r="AC24" i="23"/>
  <c r="AC22" i="23"/>
  <c r="AC138" i="23"/>
  <c r="AC93" i="23"/>
  <c r="AB177" i="23"/>
  <c r="C159" i="22"/>
  <c r="AC173" i="23"/>
  <c r="AC237" i="23"/>
  <c r="AC132" i="23"/>
  <c r="AC192" i="23" s="1"/>
  <c r="AC139" i="23"/>
  <c r="AC127" i="23"/>
  <c r="AC124" i="23"/>
  <c r="AC184" i="23" s="1"/>
  <c r="AC126" i="23"/>
  <c r="AC123" i="23"/>
  <c r="AC183" i="23" s="1"/>
  <c r="E155" i="22"/>
  <c r="E157" i="22" s="1"/>
  <c r="AB127" i="23"/>
  <c r="AB144" i="23" s="1"/>
  <c r="AB241" i="23"/>
  <c r="AB124" i="23"/>
  <c r="AB184" i="23" s="1"/>
  <c r="AB119" i="23"/>
  <c r="AB141" i="23"/>
  <c r="AB205" i="23" s="1"/>
  <c r="AB115" i="23"/>
  <c r="AB134" i="23" s="1"/>
  <c r="AB194" i="23" s="1"/>
  <c r="E189" i="22"/>
  <c r="AA132" i="23"/>
  <c r="AA192" i="23" s="1"/>
  <c r="AB140" i="23"/>
  <c r="AB93" i="23"/>
  <c r="E188" i="22"/>
  <c r="I182" i="22"/>
  <c r="I186" i="22" s="1"/>
  <c r="H67" i="23"/>
  <c r="H68" i="23" s="1"/>
  <c r="H166" i="23"/>
  <c r="AA22" i="25"/>
  <c r="AA23" i="25"/>
  <c r="AA25" i="25"/>
  <c r="AA24" i="25"/>
  <c r="AA220" i="23"/>
  <c r="AA219" i="23"/>
  <c r="AA50" i="23"/>
  <c r="AA34" i="23"/>
  <c r="AA223" i="23"/>
  <c r="E187" i="22"/>
  <c r="D208" i="22"/>
  <c r="D199" i="22"/>
  <c r="AA28" i="23"/>
  <c r="AA142" i="23"/>
  <c r="AA206" i="23" s="1"/>
  <c r="AA111" i="23"/>
  <c r="AA102" i="23"/>
  <c r="AA224" i="23"/>
  <c r="AA93" i="23"/>
  <c r="AA16" i="23"/>
  <c r="AD78" i="23" s="1"/>
  <c r="AA10" i="23"/>
  <c r="AA158" i="23"/>
  <c r="AA222" i="23"/>
  <c r="AA57" i="23"/>
  <c r="AA139" i="23"/>
  <c r="W140" i="23"/>
  <c r="W16" i="23"/>
  <c r="W10" i="23"/>
  <c r="W93" i="23"/>
  <c r="H258" i="23"/>
  <c r="H259" i="23"/>
  <c r="H78" i="23"/>
  <c r="H38" i="23"/>
  <c r="H40" i="23" s="1"/>
  <c r="I41" i="23" s="1"/>
  <c r="H19" i="23"/>
  <c r="H119" i="23"/>
  <c r="H141" i="23"/>
  <c r="H241" i="23"/>
  <c r="H115" i="23"/>
  <c r="H124" i="23"/>
  <c r="H184" i="23" s="1"/>
  <c r="H177" i="23"/>
  <c r="H127" i="23"/>
  <c r="H230" i="23"/>
  <c r="C226" i="22"/>
  <c r="C223" i="22"/>
  <c r="I217" i="22" s="1"/>
  <c r="I221" i="22" s="1"/>
  <c r="I213" i="22"/>
  <c r="D241" i="22" s="1"/>
  <c r="C222" i="22"/>
  <c r="C242" i="22" s="1"/>
  <c r="C243" i="22" s="1"/>
  <c r="H217" i="22"/>
  <c r="Z17" i="25"/>
  <c r="Z10" i="25"/>
  <c r="Z24" i="25" s="1"/>
  <c r="H254" i="23" l="1"/>
  <c r="H251" i="23"/>
  <c r="AC259" i="23"/>
  <c r="AF78" i="23"/>
  <c r="AG78" i="23"/>
  <c r="AB243" i="23"/>
  <c r="AB42" i="23"/>
  <c r="D201" i="22"/>
  <c r="J138" i="23"/>
  <c r="AE78" i="23"/>
  <c r="J126" i="23"/>
  <c r="J123" i="23"/>
  <c r="J183" i="23" s="1"/>
  <c r="AC239" i="23"/>
  <c r="AC175" i="23"/>
  <c r="AB44" i="23"/>
  <c r="AE70" i="23"/>
  <c r="AE236" i="23"/>
  <c r="AE172" i="23"/>
  <c r="AE38" i="23"/>
  <c r="AE40" i="23" s="1"/>
  <c r="AE19" i="23"/>
  <c r="AB21" i="23"/>
  <c r="D190" i="22"/>
  <c r="AD144" i="23"/>
  <c r="AD187" i="23"/>
  <c r="E88" i="22"/>
  <c r="D82" i="22"/>
  <c r="D85" i="22"/>
  <c r="AD140" i="23"/>
  <c r="AD203" i="23"/>
  <c r="D117" i="22"/>
  <c r="D120" i="22"/>
  <c r="D155" i="22"/>
  <c r="J25" i="25"/>
  <c r="J23" i="25"/>
  <c r="J24" i="25"/>
  <c r="J21" i="25"/>
  <c r="J22" i="25"/>
  <c r="J20" i="25"/>
  <c r="C201" i="22"/>
  <c r="J139" i="23"/>
  <c r="J127" i="23"/>
  <c r="J124" i="23"/>
  <c r="J184" i="23" s="1"/>
  <c r="J129" i="23"/>
  <c r="J189" i="23" s="1"/>
  <c r="J16" i="23"/>
  <c r="J38" i="23" s="1"/>
  <c r="J40" i="23" s="1"/>
  <c r="J44" i="23" s="1"/>
  <c r="AC145" i="23"/>
  <c r="AC186" i="23"/>
  <c r="AC187" i="23"/>
  <c r="AC144" i="23"/>
  <c r="AC140" i="23"/>
  <c r="E190" i="22"/>
  <c r="E192" i="22" s="1"/>
  <c r="AB187" i="23"/>
  <c r="AB126" i="23"/>
  <c r="AB145" i="23" s="1"/>
  <c r="AB117" i="23"/>
  <c r="AB181" i="23" s="1"/>
  <c r="AB143" i="23"/>
  <c r="AB207" i="23" s="1"/>
  <c r="AB179" i="23"/>
  <c r="AB123" i="23"/>
  <c r="AB183" i="23" s="1"/>
  <c r="H172" i="23"/>
  <c r="AA112" i="23"/>
  <c r="C194" i="22" s="1"/>
  <c r="AA226" i="23"/>
  <c r="AA162" i="23"/>
  <c r="AA140" i="23"/>
  <c r="AA38" i="23"/>
  <c r="AA19" i="23"/>
  <c r="W19" i="23"/>
  <c r="W38" i="23"/>
  <c r="H21" i="23"/>
  <c r="H33" i="23"/>
  <c r="H143" i="23"/>
  <c r="H207" i="23" s="1"/>
  <c r="H209" i="23" s="1"/>
  <c r="H205" i="23"/>
  <c r="H208" i="23" s="1"/>
  <c r="H144" i="23"/>
  <c r="H187" i="23"/>
  <c r="H79" i="23"/>
  <c r="H42" i="23"/>
  <c r="H44" i="23"/>
  <c r="H236" i="23"/>
  <c r="H243" i="23"/>
  <c r="H117" i="23"/>
  <c r="AA117" i="23" s="1"/>
  <c r="H126" i="23"/>
  <c r="H134" i="23"/>
  <c r="H194" i="23" s="1"/>
  <c r="H123" i="23"/>
  <c r="H183" i="23" s="1"/>
  <c r="H179" i="23"/>
  <c r="C234" i="22"/>
  <c r="D240" i="22"/>
  <c r="E226" i="22"/>
  <c r="E218" i="22"/>
  <c r="E219" i="22"/>
  <c r="E220" i="22"/>
  <c r="D239" i="22"/>
  <c r="E223" i="22"/>
  <c r="D242" i="22"/>
  <c r="E221" i="22"/>
  <c r="E216" i="22"/>
  <c r="E217" i="22"/>
  <c r="Z25" i="25"/>
  <c r="Z20" i="25"/>
  <c r="Z11" i="25"/>
  <c r="Z21" i="25"/>
  <c r="Z22" i="25"/>
  <c r="Z23" i="25"/>
  <c r="Z114" i="23"/>
  <c r="Z242" i="23" s="1"/>
  <c r="Z101" i="23"/>
  <c r="Z111" i="23" s="1"/>
  <c r="Z100" i="23"/>
  <c r="Z88" i="23"/>
  <c r="Z39" i="23"/>
  <c r="Z212" i="23"/>
  <c r="Z201" i="23"/>
  <c r="Z197" i="23"/>
  <c r="Z178" i="23"/>
  <c r="Z154" i="23"/>
  <c r="Z151" i="23"/>
  <c r="AD152" i="23" s="1"/>
  <c r="Z148" i="23"/>
  <c r="Z137" i="23"/>
  <c r="Z121" i="23"/>
  <c r="Z107" i="23"/>
  <c r="Z246" i="23" s="1"/>
  <c r="Z97" i="23"/>
  <c r="Z96" i="23"/>
  <c r="Z95" i="23"/>
  <c r="Z92" i="23"/>
  <c r="Z86" i="23"/>
  <c r="Z76" i="23"/>
  <c r="Z52" i="23"/>
  <c r="Z50" i="23"/>
  <c r="Z49" i="23"/>
  <c r="Z47" i="23"/>
  <c r="Z156" i="23" s="1"/>
  <c r="Z46" i="23"/>
  <c r="Z155" i="23" s="1"/>
  <c r="Z37" i="23"/>
  <c r="Z35" i="23"/>
  <c r="Z34" i="23"/>
  <c r="Z32" i="23"/>
  <c r="Z31" i="23"/>
  <c r="Z30" i="23"/>
  <c r="Z29" i="23"/>
  <c r="Z28" i="23"/>
  <c r="Z27" i="23"/>
  <c r="Z9" i="23"/>
  <c r="Z16" i="23" s="1"/>
  <c r="AC78" i="23" s="1"/>
  <c r="Z7" i="23"/>
  <c r="Y238" i="23"/>
  <c r="Y228" i="23"/>
  <c r="Y225" i="23"/>
  <c r="Y224" i="23"/>
  <c r="Y223" i="23"/>
  <c r="Y174" i="23"/>
  <c r="Y164" i="23"/>
  <c r="Y161" i="23"/>
  <c r="Y160" i="23"/>
  <c r="Y159" i="23"/>
  <c r="Q53" i="23"/>
  <c r="Q158" i="23" s="1"/>
  <c r="U53" i="23"/>
  <c r="Y53" i="23"/>
  <c r="Y57" i="23" s="1"/>
  <c r="Y162" i="23" s="1"/>
  <c r="Y65" i="23"/>
  <c r="Y64" i="23"/>
  <c r="Y63" i="23"/>
  <c r="U60" i="23"/>
  <c r="Y60" i="23"/>
  <c r="Y58" i="23"/>
  <c r="C277" i="22"/>
  <c r="C278" i="22" s="1"/>
  <c r="Y114" i="23"/>
  <c r="C259" i="22" s="1"/>
  <c r="C270" i="22" s="1"/>
  <c r="X114" i="23"/>
  <c r="G114" i="23"/>
  <c r="W114" i="23" s="1"/>
  <c r="I248" i="22"/>
  <c r="E252" i="22" s="1"/>
  <c r="C261" i="22"/>
  <c r="C258" i="22"/>
  <c r="C257" i="22"/>
  <c r="H252" i="22"/>
  <c r="Y30" i="25"/>
  <c r="Y17" i="25"/>
  <c r="Y10" i="25"/>
  <c r="Y24" i="25" s="1"/>
  <c r="AB261" i="23" l="1"/>
  <c r="AF79" i="23"/>
  <c r="AG79" i="23"/>
  <c r="H253" i="23"/>
  <c r="H261" i="23"/>
  <c r="H250" i="23"/>
  <c r="J186" i="23"/>
  <c r="J145" i="23"/>
  <c r="AE33" i="23"/>
  <c r="AE21" i="23"/>
  <c r="AE42" i="23"/>
  <c r="AE44" i="23"/>
  <c r="AB24" i="23"/>
  <c r="AE237" i="23"/>
  <c r="AE173" i="23"/>
  <c r="AB22" i="23"/>
  <c r="AE79" i="23"/>
  <c r="AE175" i="23"/>
  <c r="AE239" i="23"/>
  <c r="AD204" i="23"/>
  <c r="AD208" i="23"/>
  <c r="AD209" i="23"/>
  <c r="F82" i="22"/>
  <c r="F85" i="22"/>
  <c r="H70" i="23"/>
  <c r="H175" i="23" s="1"/>
  <c r="J35" i="23"/>
  <c r="J49" i="23"/>
  <c r="Y62" i="23"/>
  <c r="J78" i="23"/>
  <c r="J19" i="23"/>
  <c r="J187" i="23"/>
  <c r="J144" i="23"/>
  <c r="J140" i="23"/>
  <c r="AC199" i="23"/>
  <c r="AB199" i="23"/>
  <c r="AB203" i="23" s="1"/>
  <c r="AB186" i="23"/>
  <c r="AB245" i="23"/>
  <c r="AB129" i="23"/>
  <c r="AB189" i="23" s="1"/>
  <c r="H74" i="23"/>
  <c r="H173" i="23"/>
  <c r="W242" i="23"/>
  <c r="W142" i="23"/>
  <c r="W206" i="23" s="1"/>
  <c r="AA245" i="23"/>
  <c r="AA181" i="23"/>
  <c r="AA129" i="23"/>
  <c r="AA189" i="23" s="1"/>
  <c r="Y163" i="23"/>
  <c r="AA58" i="23"/>
  <c r="AC83" i="23" s="1"/>
  <c r="AC131" i="23" s="1"/>
  <c r="AC191" i="23" s="1"/>
  <c r="Y169" i="23"/>
  <c r="AA64" i="23"/>
  <c r="Y170" i="23"/>
  <c r="AA65" i="23"/>
  <c r="Y229" i="23"/>
  <c r="AA60" i="23"/>
  <c r="Z218" i="23"/>
  <c r="AA199" i="23"/>
  <c r="I179" i="22" s="1"/>
  <c r="E193" i="22" s="1"/>
  <c r="Y168" i="23"/>
  <c r="AA63" i="23"/>
  <c r="AA177" i="23"/>
  <c r="AA127" i="23"/>
  <c r="AA141" i="23"/>
  <c r="AA124" i="23"/>
  <c r="AA184" i="23" s="1"/>
  <c r="AA119" i="23"/>
  <c r="AA241" i="23"/>
  <c r="AA115" i="23"/>
  <c r="AA21" i="23"/>
  <c r="AD82" i="23" s="1"/>
  <c r="AA33" i="23"/>
  <c r="W33" i="23"/>
  <c r="W21" i="23"/>
  <c r="H237" i="23"/>
  <c r="H186" i="23"/>
  <c r="H145" i="23"/>
  <c r="H181" i="23"/>
  <c r="H245" i="23"/>
  <c r="H256" i="23" s="1"/>
  <c r="H129" i="23"/>
  <c r="H189" i="23" s="1"/>
  <c r="H82" i="23"/>
  <c r="H22" i="23"/>
  <c r="H24" i="23"/>
  <c r="Y232" i="23"/>
  <c r="C224" i="22"/>
  <c r="Z102" i="23"/>
  <c r="D276" i="22"/>
  <c r="D275" i="22"/>
  <c r="D234" i="22"/>
  <c r="D243" i="22"/>
  <c r="D277" i="22"/>
  <c r="E222" i="22"/>
  <c r="Z199" i="23"/>
  <c r="I214" i="22" s="1"/>
  <c r="Z110" i="23"/>
  <c r="Z19" i="23"/>
  <c r="Z38" i="23"/>
  <c r="Z40" i="23" s="1"/>
  <c r="AD41" i="23" s="1"/>
  <c r="Y165" i="23"/>
  <c r="Z142" i="23"/>
  <c r="Z206" i="23" s="1"/>
  <c r="Z215" i="23"/>
  <c r="AD216" i="23" s="1"/>
  <c r="Y158" i="23"/>
  <c r="Y233" i="23"/>
  <c r="Z10" i="23"/>
  <c r="Y226" i="23"/>
  <c r="Y234" i="23"/>
  <c r="Y227" i="23"/>
  <c r="Y222" i="23"/>
  <c r="D274" i="22"/>
  <c r="Y61" i="23"/>
  <c r="E254" i="22"/>
  <c r="E256" i="22"/>
  <c r="E255" i="22"/>
  <c r="E261" i="22"/>
  <c r="E258" i="22"/>
  <c r="E251" i="22"/>
  <c r="D270" i="22"/>
  <c r="C260" i="22"/>
  <c r="C262" i="22" s="1"/>
  <c r="E259" i="22"/>
  <c r="I252" i="22"/>
  <c r="I256" i="22" s="1"/>
  <c r="E253" i="22"/>
  <c r="C269" i="22"/>
  <c r="Y22" i="25"/>
  <c r="Y23" i="25"/>
  <c r="Y25" i="25"/>
  <c r="Y20" i="25"/>
  <c r="Y11" i="25"/>
  <c r="Y21" i="25"/>
  <c r="Y101" i="23"/>
  <c r="Y100" i="23"/>
  <c r="Y88" i="23"/>
  <c r="Y39" i="23"/>
  <c r="Y218" i="23"/>
  <c r="Y215" i="23"/>
  <c r="AC216" i="23" s="1"/>
  <c r="Y212" i="23"/>
  <c r="Y201" i="23"/>
  <c r="Y178" i="23"/>
  <c r="Y154" i="23"/>
  <c r="Y151" i="23"/>
  <c r="AC152" i="23" s="1"/>
  <c r="Y148" i="23"/>
  <c r="Y137" i="23"/>
  <c r="Y121" i="23"/>
  <c r="Y242" i="23"/>
  <c r="Y107" i="23"/>
  <c r="Y246" i="23" s="1"/>
  <c r="Y97" i="23"/>
  <c r="Y96" i="23"/>
  <c r="Y95" i="23"/>
  <c r="Y92" i="23"/>
  <c r="Y86" i="23"/>
  <c r="Y76" i="23"/>
  <c r="Y52" i="23"/>
  <c r="Y50" i="23"/>
  <c r="Y49" i="23"/>
  <c r="Y47" i="23"/>
  <c r="Y156" i="23" s="1"/>
  <c r="Y46" i="23"/>
  <c r="Y155" i="23" s="1"/>
  <c r="Y37" i="23"/>
  <c r="Y35" i="23"/>
  <c r="Y34" i="23"/>
  <c r="Y32" i="23"/>
  <c r="Y31" i="23"/>
  <c r="Y30" i="23"/>
  <c r="Y29" i="23"/>
  <c r="Y28" i="23"/>
  <c r="Y27" i="23"/>
  <c r="Y9" i="23"/>
  <c r="Y16" i="23" s="1"/>
  <c r="AB78" i="23" s="1"/>
  <c r="Y7" i="23"/>
  <c r="C311" i="22"/>
  <c r="C312" i="22" s="1"/>
  <c r="AF82" i="23" l="1"/>
  <c r="AG82" i="23"/>
  <c r="AD219" i="23"/>
  <c r="AC254" i="23"/>
  <c r="AC251" i="23"/>
  <c r="AC253" i="23"/>
  <c r="AC250" i="23"/>
  <c r="AC256" i="23"/>
  <c r="AC219" i="23"/>
  <c r="AB254" i="23"/>
  <c r="AB251" i="23"/>
  <c r="AB256" i="23"/>
  <c r="AB253" i="23"/>
  <c r="AA243" i="23"/>
  <c r="AA254" i="23"/>
  <c r="AA259" i="23"/>
  <c r="AA258" i="23"/>
  <c r="Y259" i="23"/>
  <c r="AB250" i="23"/>
  <c r="H239" i="23"/>
  <c r="AE24" i="23"/>
  <c r="AE22" i="23"/>
  <c r="AE82" i="23"/>
  <c r="AA62" i="23"/>
  <c r="AA167" i="23" s="1"/>
  <c r="J203" i="23"/>
  <c r="J208" i="23" s="1"/>
  <c r="I109" i="22"/>
  <c r="E123" i="22" s="1"/>
  <c r="J21" i="23"/>
  <c r="J33" i="23"/>
  <c r="AB202" i="23"/>
  <c r="AB204" i="23" s="1"/>
  <c r="I144" i="22"/>
  <c r="E158" i="22" s="1"/>
  <c r="AC203" i="23"/>
  <c r="AC202" i="23"/>
  <c r="AA83" i="23"/>
  <c r="AA131" i="23" s="1"/>
  <c r="AA191" i="23" s="1"/>
  <c r="AB209" i="23"/>
  <c r="AB208" i="23"/>
  <c r="F187" i="22"/>
  <c r="F190" i="22"/>
  <c r="AA205" i="23"/>
  <c r="AA143" i="23"/>
  <c r="AA207" i="23" s="1"/>
  <c r="AA165" i="23"/>
  <c r="AA229" i="23"/>
  <c r="AA144" i="23"/>
  <c r="AA187" i="23"/>
  <c r="AA170" i="23"/>
  <c r="AA234" i="23"/>
  <c r="AA168" i="23"/>
  <c r="AA232" i="23"/>
  <c r="AA126" i="23"/>
  <c r="AA123" i="23"/>
  <c r="AA183" i="23" s="1"/>
  <c r="AA134" i="23"/>
  <c r="AA194" i="23" s="1"/>
  <c r="AA179" i="23"/>
  <c r="AA169" i="23"/>
  <c r="AA233" i="23"/>
  <c r="AA202" i="23"/>
  <c r="AA203" i="23"/>
  <c r="AA35" i="23"/>
  <c r="AA163" i="23"/>
  <c r="AA227" i="23"/>
  <c r="AC258" i="23" s="1"/>
  <c r="AA49" i="23"/>
  <c r="AA61" i="23"/>
  <c r="AC84" i="23" s="1"/>
  <c r="AA24" i="23"/>
  <c r="AA22" i="23"/>
  <c r="W24" i="23"/>
  <c r="W22" i="23"/>
  <c r="C235" i="22"/>
  <c r="E224" i="22"/>
  <c r="E225" i="22" s="1"/>
  <c r="C225" i="22"/>
  <c r="Z112" i="23"/>
  <c r="Z115" i="23" s="1"/>
  <c r="Z179" i="23" s="1"/>
  <c r="Z33" i="23"/>
  <c r="Z21" i="23"/>
  <c r="AC82" i="23" s="1"/>
  <c r="Y230" i="23"/>
  <c r="Y166" i="23"/>
  <c r="Y110" i="23"/>
  <c r="Z220" i="23"/>
  <c r="Y66" i="23"/>
  <c r="Y167" i="23"/>
  <c r="Y231" i="23"/>
  <c r="Y111" i="23"/>
  <c r="Z44" i="23"/>
  <c r="Z42" i="23"/>
  <c r="D278" i="22"/>
  <c r="E257" i="22"/>
  <c r="D269" i="22"/>
  <c r="D271" i="22" s="1"/>
  <c r="C271" i="22"/>
  <c r="Y38" i="23"/>
  <c r="Y40" i="23" s="1"/>
  <c r="AC41" i="23" s="1"/>
  <c r="Y220" i="23"/>
  <c r="Y10" i="23"/>
  <c r="Y19" i="23"/>
  <c r="Y142" i="23"/>
  <c r="Y206" i="23" s="1"/>
  <c r="Y102" i="23"/>
  <c r="C296" i="22"/>
  <c r="C294" i="22"/>
  <c r="C293" i="22"/>
  <c r="I283" i="22"/>
  <c r="X101" i="23"/>
  <c r="X100" i="23"/>
  <c r="X110" i="23" s="1"/>
  <c r="X88" i="23"/>
  <c r="X39" i="23"/>
  <c r="C292" i="22"/>
  <c r="H287" i="22"/>
  <c r="I316" i="22"/>
  <c r="E323" i="22" s="1"/>
  <c r="X30" i="25"/>
  <c r="X17" i="25"/>
  <c r="X10" i="25"/>
  <c r="X25" i="25" s="1"/>
  <c r="X218" i="23"/>
  <c r="AB219" i="23" s="1"/>
  <c r="X212" i="23"/>
  <c r="X201" i="23"/>
  <c r="X215" i="23"/>
  <c r="AB216" i="23" s="1"/>
  <c r="X178" i="23"/>
  <c r="X154" i="23"/>
  <c r="X151" i="23"/>
  <c r="AB152" i="23" s="1"/>
  <c r="X148" i="23"/>
  <c r="X137" i="23"/>
  <c r="X121" i="23"/>
  <c r="X242" i="23"/>
  <c r="X107" i="23"/>
  <c r="X246" i="23" s="1"/>
  <c r="X97" i="23"/>
  <c r="X96" i="23"/>
  <c r="X95" i="23"/>
  <c r="X92" i="23"/>
  <c r="X86" i="23"/>
  <c r="X76" i="23"/>
  <c r="X52" i="23"/>
  <c r="X50" i="23"/>
  <c r="X49" i="23"/>
  <c r="X47" i="23"/>
  <c r="X156" i="23" s="1"/>
  <c r="X46" i="23"/>
  <c r="X155" i="23" s="1"/>
  <c r="X37" i="23"/>
  <c r="X35" i="23"/>
  <c r="X34" i="23"/>
  <c r="X32" i="23"/>
  <c r="X31" i="23"/>
  <c r="X30" i="23"/>
  <c r="X29" i="23"/>
  <c r="X28" i="23"/>
  <c r="X27" i="23"/>
  <c r="X9" i="23"/>
  <c r="X16" i="23" s="1"/>
  <c r="AA78" i="23" s="1"/>
  <c r="X7" i="23"/>
  <c r="W35" i="25"/>
  <c r="S35" i="25"/>
  <c r="O35" i="25"/>
  <c r="W34" i="25"/>
  <c r="S34" i="25"/>
  <c r="O34" i="25"/>
  <c r="W33" i="25"/>
  <c r="S33" i="25"/>
  <c r="O33" i="25"/>
  <c r="V30" i="25"/>
  <c r="U30" i="25"/>
  <c r="T30" i="25"/>
  <c r="R30" i="25"/>
  <c r="Q30" i="25"/>
  <c r="P30" i="25"/>
  <c r="N30" i="25"/>
  <c r="M30" i="25"/>
  <c r="L30" i="25"/>
  <c r="G30" i="25"/>
  <c r="F30" i="25"/>
  <c r="E30" i="25"/>
  <c r="D30" i="25"/>
  <c r="C30" i="25"/>
  <c r="W29" i="25"/>
  <c r="S29" i="25"/>
  <c r="O29" i="25"/>
  <c r="W28" i="25"/>
  <c r="S28" i="25"/>
  <c r="O28" i="25"/>
  <c r="V17" i="25"/>
  <c r="U17" i="25"/>
  <c r="T17" i="25"/>
  <c r="R17" i="25"/>
  <c r="Q17" i="25"/>
  <c r="P17" i="25"/>
  <c r="N17" i="25"/>
  <c r="M17" i="25"/>
  <c r="L17" i="25"/>
  <c r="E17" i="25"/>
  <c r="D17" i="25"/>
  <c r="C17" i="25"/>
  <c r="W16" i="25"/>
  <c r="S16" i="25"/>
  <c r="O16" i="25"/>
  <c r="O15" i="25"/>
  <c r="G15" i="25"/>
  <c r="F15" i="25"/>
  <c r="W14" i="25"/>
  <c r="S14" i="25"/>
  <c r="O14" i="25"/>
  <c r="V10" i="25"/>
  <c r="V23" i="25" s="1"/>
  <c r="U10" i="25"/>
  <c r="U24" i="25" s="1"/>
  <c r="T10" i="25"/>
  <c r="T24" i="25" s="1"/>
  <c r="R10" i="25"/>
  <c r="R25" i="25" s="1"/>
  <c r="Q10" i="25"/>
  <c r="Q22" i="25" s="1"/>
  <c r="P10" i="25"/>
  <c r="P22" i="25" s="1"/>
  <c r="N10" i="25"/>
  <c r="N23" i="25" s="1"/>
  <c r="M10" i="25"/>
  <c r="M24" i="25" s="1"/>
  <c r="L10" i="25"/>
  <c r="L24" i="25" s="1"/>
  <c r="G10" i="25"/>
  <c r="G25" i="25" s="1"/>
  <c r="F10" i="25"/>
  <c r="F22" i="25" s="1"/>
  <c r="E10" i="25"/>
  <c r="E22" i="25" s="1"/>
  <c r="D10" i="25"/>
  <c r="D23" i="25" s="1"/>
  <c r="C10" i="25"/>
  <c r="C23" i="25" s="1"/>
  <c r="W9" i="25"/>
  <c r="S9" i="25"/>
  <c r="O9" i="25"/>
  <c r="W8" i="25"/>
  <c r="S8" i="25"/>
  <c r="O8" i="25"/>
  <c r="W7" i="25"/>
  <c r="S7" i="25"/>
  <c r="O7" i="25"/>
  <c r="W6" i="25"/>
  <c r="S6" i="25"/>
  <c r="O6" i="25"/>
  <c r="B2" i="25"/>
  <c r="B1" i="25"/>
  <c r="B261" i="23"/>
  <c r="B259" i="23"/>
  <c r="B258" i="23"/>
  <c r="B256" i="23"/>
  <c r="B254" i="23"/>
  <c r="B253" i="23"/>
  <c r="B251" i="23"/>
  <c r="B250" i="23"/>
  <c r="B245" i="23"/>
  <c r="B243" i="23"/>
  <c r="B242" i="23"/>
  <c r="B241" i="23"/>
  <c r="B239" i="23"/>
  <c r="U238" i="23"/>
  <c r="G238" i="23"/>
  <c r="B238" i="23"/>
  <c r="B237" i="23"/>
  <c r="B236" i="23"/>
  <c r="B235" i="23"/>
  <c r="B234" i="23"/>
  <c r="B233" i="23"/>
  <c r="B232" i="23"/>
  <c r="B231" i="23"/>
  <c r="B230" i="23"/>
  <c r="U229" i="23"/>
  <c r="B229" i="23"/>
  <c r="U228" i="23"/>
  <c r="G228" i="23"/>
  <c r="B228" i="23"/>
  <c r="B227" i="23"/>
  <c r="B226" i="23"/>
  <c r="U225" i="23"/>
  <c r="G225" i="23"/>
  <c r="B225" i="23"/>
  <c r="U224" i="23"/>
  <c r="B224" i="23"/>
  <c r="U223" i="23"/>
  <c r="B223" i="23"/>
  <c r="B222" i="23"/>
  <c r="B220" i="23"/>
  <c r="B219" i="23"/>
  <c r="U218" i="23"/>
  <c r="G218" i="23"/>
  <c r="H219" i="23" s="1"/>
  <c r="B218" i="23"/>
  <c r="U215" i="23"/>
  <c r="Y216" i="23" s="1"/>
  <c r="G215" i="23"/>
  <c r="H216" i="23" s="1"/>
  <c r="B215" i="23"/>
  <c r="V212" i="23"/>
  <c r="U212" i="23"/>
  <c r="T212" i="23"/>
  <c r="S212" i="23"/>
  <c r="R212" i="23"/>
  <c r="Q212" i="23"/>
  <c r="P212" i="23"/>
  <c r="O212" i="23"/>
  <c r="N212" i="23"/>
  <c r="M212" i="23"/>
  <c r="L212" i="23"/>
  <c r="G212" i="23"/>
  <c r="F212" i="23"/>
  <c r="E212" i="23"/>
  <c r="D212" i="23"/>
  <c r="C212" i="23"/>
  <c r="V201" i="23"/>
  <c r="U201" i="23"/>
  <c r="T201" i="23"/>
  <c r="S201" i="23"/>
  <c r="R201" i="23"/>
  <c r="Q201" i="23"/>
  <c r="P201" i="23"/>
  <c r="O201" i="23"/>
  <c r="N201" i="23"/>
  <c r="M201" i="23"/>
  <c r="L201" i="23"/>
  <c r="G201" i="23"/>
  <c r="F201" i="23"/>
  <c r="E201" i="23"/>
  <c r="D201" i="23"/>
  <c r="C201" i="23"/>
  <c r="G199" i="23"/>
  <c r="T198" i="23"/>
  <c r="S198" i="23"/>
  <c r="I433" i="22" s="1"/>
  <c r="E440" i="22" s="1"/>
  <c r="R198" i="23"/>
  <c r="Q198" i="23"/>
  <c r="Q248" i="23" s="1"/>
  <c r="P198" i="23"/>
  <c r="P248" i="23" s="1"/>
  <c r="O198" i="23"/>
  <c r="N198" i="23"/>
  <c r="N248" i="23" s="1"/>
  <c r="M198" i="23"/>
  <c r="M248" i="23" s="1"/>
  <c r="L198" i="23"/>
  <c r="L248" i="23" s="1"/>
  <c r="F198" i="23"/>
  <c r="F248" i="23" s="1"/>
  <c r="E198" i="23"/>
  <c r="E248" i="23" s="1"/>
  <c r="D198" i="23"/>
  <c r="C198" i="23"/>
  <c r="C248" i="23" s="1"/>
  <c r="V197" i="23"/>
  <c r="Y199" i="23" s="1"/>
  <c r="T197" i="23"/>
  <c r="Q197" i="23"/>
  <c r="P197" i="23"/>
  <c r="O197" i="23"/>
  <c r="N197" i="23"/>
  <c r="M197" i="23"/>
  <c r="L197" i="23"/>
  <c r="L199" i="23" s="1"/>
  <c r="E197" i="23"/>
  <c r="D197" i="23"/>
  <c r="D199" i="23" s="1"/>
  <c r="C197" i="23"/>
  <c r="B194" i="23"/>
  <c r="B192" i="23"/>
  <c r="B191" i="23"/>
  <c r="B189" i="23"/>
  <c r="B187" i="23"/>
  <c r="B186" i="23"/>
  <c r="B184" i="23"/>
  <c r="B183" i="23"/>
  <c r="B181" i="23"/>
  <c r="B179" i="23"/>
  <c r="V178" i="23"/>
  <c r="U178" i="23"/>
  <c r="T178" i="23"/>
  <c r="R178" i="23"/>
  <c r="Q178" i="23"/>
  <c r="P178" i="23"/>
  <c r="N178" i="23"/>
  <c r="M178" i="23"/>
  <c r="L178" i="23"/>
  <c r="G178" i="23"/>
  <c r="F178" i="23"/>
  <c r="E178" i="23"/>
  <c r="D178" i="23"/>
  <c r="C178" i="23"/>
  <c r="B178" i="23"/>
  <c r="B177" i="23"/>
  <c r="B175" i="23"/>
  <c r="U174" i="23"/>
  <c r="Q174" i="23"/>
  <c r="M174" i="23"/>
  <c r="G174" i="23"/>
  <c r="F174" i="23"/>
  <c r="E174" i="23"/>
  <c r="D174" i="23"/>
  <c r="C174" i="23"/>
  <c r="B174" i="23"/>
  <c r="B173" i="23"/>
  <c r="B172" i="23"/>
  <c r="B171" i="23"/>
  <c r="B170" i="23"/>
  <c r="B169" i="23"/>
  <c r="B168" i="23"/>
  <c r="B167" i="23"/>
  <c r="B166" i="23"/>
  <c r="U165" i="23"/>
  <c r="Q165" i="23"/>
  <c r="M165" i="23"/>
  <c r="D165" i="23"/>
  <c r="B165" i="23"/>
  <c r="U164" i="23"/>
  <c r="Q164" i="23"/>
  <c r="M164" i="23"/>
  <c r="G164" i="23"/>
  <c r="E164" i="23"/>
  <c r="D164" i="23"/>
  <c r="C164" i="23"/>
  <c r="B164" i="23"/>
  <c r="E163" i="23"/>
  <c r="B163" i="23"/>
  <c r="B162" i="23"/>
  <c r="U161" i="23"/>
  <c r="Q161" i="23"/>
  <c r="M161" i="23"/>
  <c r="G161" i="23"/>
  <c r="E161" i="23"/>
  <c r="D161" i="23"/>
  <c r="C161" i="23"/>
  <c r="B161" i="23"/>
  <c r="U160" i="23"/>
  <c r="Q160" i="23"/>
  <c r="M160" i="23"/>
  <c r="E160" i="23"/>
  <c r="D160" i="23"/>
  <c r="C160" i="23"/>
  <c r="B160" i="23"/>
  <c r="U159" i="23"/>
  <c r="Q159" i="23"/>
  <c r="M159" i="23"/>
  <c r="B159" i="23"/>
  <c r="B158" i="23"/>
  <c r="B156" i="23"/>
  <c r="C155" i="23"/>
  <c r="B155" i="23"/>
  <c r="V154" i="23"/>
  <c r="U154" i="23"/>
  <c r="T154" i="23"/>
  <c r="R154" i="23"/>
  <c r="Q154" i="23"/>
  <c r="P154" i="23"/>
  <c r="N154" i="23"/>
  <c r="M154" i="23"/>
  <c r="L154" i="23"/>
  <c r="G154" i="23"/>
  <c r="F154" i="23"/>
  <c r="E154" i="23"/>
  <c r="D154" i="23"/>
  <c r="C154" i="23"/>
  <c r="B154" i="23"/>
  <c r="V151" i="23"/>
  <c r="Z152" i="23" s="1"/>
  <c r="U151" i="23"/>
  <c r="Y152" i="23" s="1"/>
  <c r="T151" i="23"/>
  <c r="R151" i="23"/>
  <c r="Q151" i="23"/>
  <c r="P151" i="23"/>
  <c r="N151" i="23"/>
  <c r="M151" i="23"/>
  <c r="L151" i="23"/>
  <c r="G151" i="23"/>
  <c r="H152" i="23" s="1"/>
  <c r="F151" i="23"/>
  <c r="E151" i="23"/>
  <c r="D151" i="23"/>
  <c r="C151" i="23"/>
  <c r="B151" i="23"/>
  <c r="V148" i="23"/>
  <c r="U148" i="23"/>
  <c r="T148" i="23"/>
  <c r="S148" i="23"/>
  <c r="R148" i="23"/>
  <c r="Q148" i="23"/>
  <c r="P148" i="23"/>
  <c r="O148" i="23"/>
  <c r="N148" i="23"/>
  <c r="M148" i="23"/>
  <c r="L148" i="23"/>
  <c r="G148" i="23"/>
  <c r="F148" i="23"/>
  <c r="E148" i="23"/>
  <c r="D148" i="23"/>
  <c r="C148" i="23"/>
  <c r="V137" i="23"/>
  <c r="U137" i="23"/>
  <c r="T137" i="23"/>
  <c r="S137" i="23"/>
  <c r="R137" i="23"/>
  <c r="Q137" i="23"/>
  <c r="P137" i="23"/>
  <c r="O137" i="23"/>
  <c r="N137" i="23"/>
  <c r="M137" i="23"/>
  <c r="L137" i="23"/>
  <c r="G137" i="23"/>
  <c r="F137" i="23"/>
  <c r="E137" i="23"/>
  <c r="D137" i="23"/>
  <c r="C137" i="23"/>
  <c r="V121" i="23"/>
  <c r="U121" i="23"/>
  <c r="T121" i="23"/>
  <c r="S121" i="23"/>
  <c r="R121" i="23"/>
  <c r="Q121" i="23"/>
  <c r="P121" i="23"/>
  <c r="O121" i="23"/>
  <c r="N121" i="23"/>
  <c r="M121" i="23"/>
  <c r="L121" i="23"/>
  <c r="G121" i="23"/>
  <c r="F121" i="23"/>
  <c r="E121" i="23"/>
  <c r="D121" i="23"/>
  <c r="C121" i="23"/>
  <c r="C329" i="22"/>
  <c r="S118" i="23"/>
  <c r="O118" i="23"/>
  <c r="D118" i="23"/>
  <c r="D248" i="23" s="1"/>
  <c r="V114" i="23"/>
  <c r="V242" i="23" s="1"/>
  <c r="U114" i="23"/>
  <c r="U242" i="23" s="1"/>
  <c r="T114" i="23"/>
  <c r="C416" i="22" s="1"/>
  <c r="C427" i="22" s="1"/>
  <c r="R114" i="23"/>
  <c r="Q114" i="23"/>
  <c r="P114" i="23"/>
  <c r="N114" i="23"/>
  <c r="M114" i="23"/>
  <c r="L114" i="23"/>
  <c r="F114" i="23"/>
  <c r="S114" i="23" s="1"/>
  <c r="C443" i="22" s="1"/>
  <c r="E114" i="23"/>
  <c r="D114" i="23"/>
  <c r="C114" i="23"/>
  <c r="C326" i="22"/>
  <c r="I320" i="22" s="1"/>
  <c r="I324" i="22" s="1"/>
  <c r="S113" i="23"/>
  <c r="C442" i="22" s="1"/>
  <c r="O113" i="23"/>
  <c r="O73" i="23" s="1"/>
  <c r="R110" i="23"/>
  <c r="Q110" i="23"/>
  <c r="P110" i="23"/>
  <c r="N110" i="23"/>
  <c r="M110" i="23"/>
  <c r="L110" i="23"/>
  <c r="F110" i="23"/>
  <c r="V107" i="23"/>
  <c r="V246" i="23" s="1"/>
  <c r="U107" i="23"/>
  <c r="U246" i="23" s="1"/>
  <c r="T107" i="23"/>
  <c r="T246" i="23" s="1"/>
  <c r="R107" i="23"/>
  <c r="R246" i="23" s="1"/>
  <c r="Q107" i="23"/>
  <c r="P107" i="23"/>
  <c r="N107" i="23"/>
  <c r="M107" i="23"/>
  <c r="L107" i="23"/>
  <c r="G107" i="23"/>
  <c r="G246" i="23" s="1"/>
  <c r="F107" i="23"/>
  <c r="F246" i="23" s="1"/>
  <c r="S106" i="23"/>
  <c r="O106" i="23"/>
  <c r="S105" i="23"/>
  <c r="E105" i="23"/>
  <c r="D105" i="23"/>
  <c r="D107" i="23" s="1"/>
  <c r="D246" i="23" s="1"/>
  <c r="C105" i="23"/>
  <c r="C107" i="23" s="1"/>
  <c r="C246" i="23" s="1"/>
  <c r="V101" i="23"/>
  <c r="V111" i="23" s="1"/>
  <c r="U101" i="23"/>
  <c r="U111" i="23" s="1"/>
  <c r="T101" i="23"/>
  <c r="T111" i="23" s="1"/>
  <c r="R101" i="23"/>
  <c r="R111" i="23" s="1"/>
  <c r="Q101" i="23"/>
  <c r="Q111" i="23" s="1"/>
  <c r="P101" i="23"/>
  <c r="P102" i="23" s="1"/>
  <c r="N101" i="23"/>
  <c r="M101" i="23"/>
  <c r="M111" i="23" s="1"/>
  <c r="L101" i="23"/>
  <c r="G101" i="23"/>
  <c r="W101" i="23" s="1"/>
  <c r="W111" i="23" s="1"/>
  <c r="F101" i="23"/>
  <c r="F102" i="23" s="1"/>
  <c r="E101" i="23"/>
  <c r="O101" i="23" s="1"/>
  <c r="O111" i="23" s="1"/>
  <c r="D101" i="23"/>
  <c r="D111" i="23" s="1"/>
  <c r="C101" i="23"/>
  <c r="C111" i="23" s="1"/>
  <c r="V100" i="23"/>
  <c r="U100" i="23"/>
  <c r="T100" i="23"/>
  <c r="T110" i="23" s="1"/>
  <c r="S100" i="23"/>
  <c r="G100" i="23"/>
  <c r="W100" i="23" s="1"/>
  <c r="E100" i="23"/>
  <c r="D100" i="23"/>
  <c r="C100" i="23"/>
  <c r="C102" i="23" s="1"/>
  <c r="V97" i="23"/>
  <c r="U97" i="23"/>
  <c r="T97" i="23"/>
  <c r="R97" i="23"/>
  <c r="Q97" i="23"/>
  <c r="P97" i="23"/>
  <c r="N97" i="23"/>
  <c r="M97" i="23"/>
  <c r="L97" i="23"/>
  <c r="G97" i="23"/>
  <c r="F97" i="23"/>
  <c r="E97" i="23"/>
  <c r="D97" i="23"/>
  <c r="C97" i="23"/>
  <c r="V96" i="23"/>
  <c r="U96" i="23"/>
  <c r="T96" i="23"/>
  <c r="R96" i="23"/>
  <c r="Q96" i="23"/>
  <c r="P96" i="23"/>
  <c r="N96" i="23"/>
  <c r="M96" i="23"/>
  <c r="L96" i="23"/>
  <c r="G96" i="23"/>
  <c r="F96" i="23"/>
  <c r="E96" i="23"/>
  <c r="D96" i="23"/>
  <c r="C96" i="23"/>
  <c r="V95" i="23"/>
  <c r="U95" i="23"/>
  <c r="T95" i="23"/>
  <c r="R95" i="23"/>
  <c r="Q95" i="23"/>
  <c r="P95" i="23"/>
  <c r="N95" i="23"/>
  <c r="M95" i="23"/>
  <c r="L95" i="23"/>
  <c r="G95" i="23"/>
  <c r="F95" i="23"/>
  <c r="E95" i="23"/>
  <c r="D95" i="23"/>
  <c r="C95" i="23"/>
  <c r="V92" i="23"/>
  <c r="U92" i="23"/>
  <c r="T92" i="23"/>
  <c r="R92" i="23"/>
  <c r="Q92" i="23"/>
  <c r="P92" i="23"/>
  <c r="N92" i="23"/>
  <c r="M92" i="23"/>
  <c r="L92" i="23"/>
  <c r="G92" i="23"/>
  <c r="F92" i="23"/>
  <c r="E92" i="23"/>
  <c r="D92" i="23"/>
  <c r="C92" i="23"/>
  <c r="S91" i="23"/>
  <c r="O91" i="23"/>
  <c r="S90" i="23"/>
  <c r="O90" i="23"/>
  <c r="S89" i="23"/>
  <c r="O89" i="23"/>
  <c r="V88" i="23"/>
  <c r="U88" i="23"/>
  <c r="T88" i="23"/>
  <c r="R88" i="23"/>
  <c r="Q88" i="23"/>
  <c r="P88" i="23"/>
  <c r="N88" i="23"/>
  <c r="M88" i="23"/>
  <c r="L88" i="23"/>
  <c r="G88" i="23"/>
  <c r="W88" i="23" s="1"/>
  <c r="F88" i="23"/>
  <c r="S88" i="23" s="1"/>
  <c r="E88" i="23"/>
  <c r="O88" i="23" s="1"/>
  <c r="D88" i="23"/>
  <c r="V86" i="23"/>
  <c r="U86" i="23"/>
  <c r="T86" i="23"/>
  <c r="S86" i="23"/>
  <c r="R86" i="23"/>
  <c r="Q86" i="23"/>
  <c r="P86" i="23"/>
  <c r="O86" i="23"/>
  <c r="N86" i="23"/>
  <c r="M86" i="23"/>
  <c r="L86" i="23"/>
  <c r="G86" i="23"/>
  <c r="F86" i="23"/>
  <c r="E86" i="23"/>
  <c r="D86" i="23"/>
  <c r="C86" i="23"/>
  <c r="E83" i="23"/>
  <c r="G81" i="23"/>
  <c r="E81" i="23"/>
  <c r="D81" i="23"/>
  <c r="C81" i="23"/>
  <c r="G80" i="23"/>
  <c r="G139" i="23" s="1"/>
  <c r="F80" i="23"/>
  <c r="E80" i="23"/>
  <c r="D80" i="23"/>
  <c r="D139" i="23" s="1"/>
  <c r="C80" i="23"/>
  <c r="G77" i="23"/>
  <c r="G138" i="23" s="1"/>
  <c r="G202" i="23" s="1"/>
  <c r="F77" i="23"/>
  <c r="F138" i="23" s="1"/>
  <c r="E77" i="23"/>
  <c r="E138" i="23" s="1"/>
  <c r="D77" i="23"/>
  <c r="D138" i="23" s="1"/>
  <c r="C77" i="23"/>
  <c r="C138" i="23" s="1"/>
  <c r="B77" i="23"/>
  <c r="V76" i="23"/>
  <c r="U76" i="23"/>
  <c r="T76" i="23"/>
  <c r="S76" i="23"/>
  <c r="R76" i="23"/>
  <c r="Q76" i="23"/>
  <c r="P76" i="23"/>
  <c r="O76" i="23"/>
  <c r="N76" i="23"/>
  <c r="M76" i="23"/>
  <c r="L76" i="23"/>
  <c r="G76" i="23"/>
  <c r="F76" i="23"/>
  <c r="E76" i="23"/>
  <c r="D76" i="23"/>
  <c r="C76" i="23"/>
  <c r="S69" i="23"/>
  <c r="O69" i="23"/>
  <c r="Q66" i="23"/>
  <c r="M66" i="23"/>
  <c r="F66" i="23"/>
  <c r="E66" i="23"/>
  <c r="D66" i="23"/>
  <c r="C66" i="23"/>
  <c r="U65" i="23"/>
  <c r="Q65" i="23"/>
  <c r="M65" i="23"/>
  <c r="G65" i="23"/>
  <c r="F65" i="23"/>
  <c r="E65" i="23"/>
  <c r="D65" i="23"/>
  <c r="C65" i="23"/>
  <c r="U64" i="23"/>
  <c r="Q64" i="23"/>
  <c r="M64" i="23"/>
  <c r="G64" i="23"/>
  <c r="F64" i="23"/>
  <c r="E64" i="23"/>
  <c r="D64" i="23"/>
  <c r="C64" i="23"/>
  <c r="U63" i="23"/>
  <c r="Q63" i="23"/>
  <c r="M63" i="23"/>
  <c r="G63" i="23"/>
  <c r="F63" i="23"/>
  <c r="E63" i="23"/>
  <c r="D63" i="23"/>
  <c r="C63" i="23"/>
  <c r="Q62" i="23"/>
  <c r="M62" i="23"/>
  <c r="G62" i="23"/>
  <c r="F62" i="23"/>
  <c r="E62" i="23"/>
  <c r="D62" i="23"/>
  <c r="C62" i="23"/>
  <c r="G60" i="23"/>
  <c r="W60" i="23" s="1"/>
  <c r="F60" i="23"/>
  <c r="E60" i="23"/>
  <c r="C60" i="23"/>
  <c r="O59" i="23"/>
  <c r="F59" i="23"/>
  <c r="S59" i="23" s="1"/>
  <c r="U58" i="23"/>
  <c r="Q58" i="23"/>
  <c r="Q35" i="23" s="1"/>
  <c r="M58" i="23"/>
  <c r="M49" i="23" s="1"/>
  <c r="G58" i="23"/>
  <c r="G35" i="23" s="1"/>
  <c r="F58" i="23"/>
  <c r="F49" i="23" s="1"/>
  <c r="D58" i="23"/>
  <c r="C58" i="23"/>
  <c r="C49" i="23" s="1"/>
  <c r="U57" i="23"/>
  <c r="Q57" i="23"/>
  <c r="Y81" i="23"/>
  <c r="O56" i="23"/>
  <c r="O81" i="23" s="1"/>
  <c r="F56" i="23"/>
  <c r="F81" i="23" s="1"/>
  <c r="O55" i="23"/>
  <c r="G55" i="23"/>
  <c r="W55" i="23" s="1"/>
  <c r="F55" i="23"/>
  <c r="S55" i="23" s="1"/>
  <c r="G54" i="23"/>
  <c r="F54" i="23"/>
  <c r="E54" i="23"/>
  <c r="E50" i="23" s="1"/>
  <c r="D54" i="23"/>
  <c r="C54" i="23"/>
  <c r="C34" i="23" s="1"/>
  <c r="M53" i="23"/>
  <c r="M57" i="23" s="1"/>
  <c r="G53" i="23"/>
  <c r="F53" i="23"/>
  <c r="E53" i="23"/>
  <c r="D53" i="23"/>
  <c r="C53" i="23"/>
  <c r="V52" i="23"/>
  <c r="U52" i="23"/>
  <c r="T52" i="23"/>
  <c r="S52" i="23"/>
  <c r="R52" i="23"/>
  <c r="Q52" i="23"/>
  <c r="P52" i="23"/>
  <c r="O52" i="23"/>
  <c r="N52" i="23"/>
  <c r="M52" i="23"/>
  <c r="L52" i="23"/>
  <c r="G52" i="23"/>
  <c r="F52" i="23"/>
  <c r="E52" i="23"/>
  <c r="D52" i="23"/>
  <c r="C52" i="23"/>
  <c r="V50" i="23"/>
  <c r="U50" i="23"/>
  <c r="T50" i="23"/>
  <c r="R50" i="23"/>
  <c r="Q50" i="23"/>
  <c r="P50" i="23"/>
  <c r="N50" i="23"/>
  <c r="M50" i="23"/>
  <c r="L50" i="23"/>
  <c r="V49" i="23"/>
  <c r="T49" i="23"/>
  <c r="R49" i="23"/>
  <c r="P49" i="23"/>
  <c r="N49" i="23"/>
  <c r="L49" i="23"/>
  <c r="E49" i="23"/>
  <c r="V47" i="23"/>
  <c r="V156" i="23" s="1"/>
  <c r="U47" i="23"/>
  <c r="U156" i="23" s="1"/>
  <c r="T47" i="23"/>
  <c r="T156" i="23" s="1"/>
  <c r="R47" i="23"/>
  <c r="R156" i="23" s="1"/>
  <c r="Q47" i="23"/>
  <c r="Q156" i="23" s="1"/>
  <c r="P47" i="23"/>
  <c r="P156" i="23" s="1"/>
  <c r="N47" i="23"/>
  <c r="N156" i="23" s="1"/>
  <c r="M47" i="23"/>
  <c r="M156" i="23" s="1"/>
  <c r="L47" i="23"/>
  <c r="L156" i="23" s="1"/>
  <c r="G47" i="23"/>
  <c r="G156" i="23" s="1"/>
  <c r="F47" i="23"/>
  <c r="F156" i="23" s="1"/>
  <c r="E47" i="23"/>
  <c r="E156" i="23" s="1"/>
  <c r="D47" i="23"/>
  <c r="D156" i="23" s="1"/>
  <c r="C47" i="23"/>
  <c r="C156" i="23" s="1"/>
  <c r="V46" i="23"/>
  <c r="V155" i="23" s="1"/>
  <c r="U46" i="23"/>
  <c r="U155" i="23" s="1"/>
  <c r="T46" i="23"/>
  <c r="T155" i="23" s="1"/>
  <c r="R46" i="23"/>
  <c r="R155" i="23" s="1"/>
  <c r="Q46" i="23"/>
  <c r="Q155" i="23" s="1"/>
  <c r="P46" i="23"/>
  <c r="P155" i="23" s="1"/>
  <c r="G46" i="23"/>
  <c r="G155" i="23" s="1"/>
  <c r="F46" i="23"/>
  <c r="F155" i="23" s="1"/>
  <c r="E46" i="23"/>
  <c r="E155" i="23" s="1"/>
  <c r="D46" i="23"/>
  <c r="D155" i="23" s="1"/>
  <c r="S45" i="23"/>
  <c r="W46" i="23" s="1"/>
  <c r="W155" i="23" s="1"/>
  <c r="O45" i="23"/>
  <c r="O80" i="23" s="1"/>
  <c r="V39" i="23"/>
  <c r="U39" i="23"/>
  <c r="T39" i="23"/>
  <c r="R39" i="23"/>
  <c r="Q39" i="23"/>
  <c r="P39" i="23"/>
  <c r="M39" i="23"/>
  <c r="G39" i="23"/>
  <c r="F39" i="23"/>
  <c r="E39" i="23"/>
  <c r="D39" i="23"/>
  <c r="C39" i="23"/>
  <c r="V37" i="23"/>
  <c r="U37" i="23"/>
  <c r="T37" i="23"/>
  <c r="S37" i="23"/>
  <c r="R37" i="23"/>
  <c r="Q37" i="23"/>
  <c r="P37" i="23"/>
  <c r="O37" i="23"/>
  <c r="N37" i="23"/>
  <c r="M37" i="23"/>
  <c r="L37" i="23"/>
  <c r="G37" i="23"/>
  <c r="F37" i="23"/>
  <c r="E37" i="23"/>
  <c r="D37" i="23"/>
  <c r="C37" i="23"/>
  <c r="V35" i="23"/>
  <c r="T35" i="23"/>
  <c r="R35" i="23"/>
  <c r="P35" i="23"/>
  <c r="N35" i="23"/>
  <c r="L35" i="23"/>
  <c r="E35" i="23"/>
  <c r="V34" i="23"/>
  <c r="U34" i="23"/>
  <c r="T34" i="23"/>
  <c r="R34" i="23"/>
  <c r="Q34" i="23"/>
  <c r="P34" i="23"/>
  <c r="N34" i="23"/>
  <c r="M34" i="23"/>
  <c r="L34" i="23"/>
  <c r="V32" i="23"/>
  <c r="U32" i="23"/>
  <c r="T32" i="23"/>
  <c r="R32" i="23"/>
  <c r="Q32" i="23"/>
  <c r="P32" i="23"/>
  <c r="N32" i="23"/>
  <c r="M32" i="23"/>
  <c r="L32" i="23"/>
  <c r="G32" i="23"/>
  <c r="F32" i="23"/>
  <c r="E32" i="23"/>
  <c r="D32" i="23"/>
  <c r="C32" i="23"/>
  <c r="B32" i="23"/>
  <c r="V31" i="23"/>
  <c r="U31" i="23"/>
  <c r="T31" i="23"/>
  <c r="R31" i="23"/>
  <c r="Q31" i="23"/>
  <c r="P31" i="23"/>
  <c r="N31" i="23"/>
  <c r="M31" i="23"/>
  <c r="L31" i="23"/>
  <c r="G31" i="23"/>
  <c r="F31" i="23"/>
  <c r="E31" i="23"/>
  <c r="D31" i="23"/>
  <c r="C31" i="23"/>
  <c r="B31" i="23"/>
  <c r="V30" i="23"/>
  <c r="U30" i="23"/>
  <c r="T30" i="23"/>
  <c r="R30" i="23"/>
  <c r="Q30" i="23"/>
  <c r="P30" i="23"/>
  <c r="N30" i="23"/>
  <c r="M30" i="23"/>
  <c r="L30" i="23"/>
  <c r="G30" i="23"/>
  <c r="F30" i="23"/>
  <c r="E30" i="23"/>
  <c r="D30" i="23"/>
  <c r="C30" i="23"/>
  <c r="B30" i="23"/>
  <c r="V29" i="23"/>
  <c r="U29" i="23"/>
  <c r="T29" i="23"/>
  <c r="R29" i="23"/>
  <c r="Q29" i="23"/>
  <c r="P29" i="23"/>
  <c r="N29" i="23"/>
  <c r="M29" i="23"/>
  <c r="L29" i="23"/>
  <c r="G29" i="23"/>
  <c r="F29" i="23"/>
  <c r="E29" i="23"/>
  <c r="D29" i="23"/>
  <c r="C29" i="23"/>
  <c r="B29" i="23"/>
  <c r="V28" i="23"/>
  <c r="U28" i="23"/>
  <c r="T28" i="23"/>
  <c r="R28" i="23"/>
  <c r="Q28" i="23"/>
  <c r="P28" i="23"/>
  <c r="N28" i="23"/>
  <c r="M28" i="23"/>
  <c r="L28" i="23"/>
  <c r="G28" i="23"/>
  <c r="F28" i="23"/>
  <c r="E28" i="23"/>
  <c r="D28" i="23"/>
  <c r="C28" i="23"/>
  <c r="B28" i="23"/>
  <c r="V27" i="23"/>
  <c r="U27" i="23"/>
  <c r="T27" i="23"/>
  <c r="R27" i="23"/>
  <c r="Q27" i="23"/>
  <c r="P27" i="23"/>
  <c r="N27" i="23"/>
  <c r="M27" i="23"/>
  <c r="L27" i="23"/>
  <c r="G27" i="23"/>
  <c r="F27" i="23"/>
  <c r="E27" i="23"/>
  <c r="D27" i="23"/>
  <c r="C27" i="23"/>
  <c r="B27" i="23"/>
  <c r="S23" i="23"/>
  <c r="O23" i="23"/>
  <c r="S20" i="23"/>
  <c r="O20" i="23"/>
  <c r="S18" i="23"/>
  <c r="O18" i="23"/>
  <c r="S17" i="23"/>
  <c r="O17" i="23"/>
  <c r="S15" i="23"/>
  <c r="O15" i="23"/>
  <c r="S14" i="23"/>
  <c r="O14" i="23"/>
  <c r="S13" i="23"/>
  <c r="O13" i="23"/>
  <c r="S12" i="23"/>
  <c r="O12" i="23"/>
  <c r="V9" i="23"/>
  <c r="V16" i="23" s="1"/>
  <c r="U9" i="23"/>
  <c r="U10" i="23" s="1"/>
  <c r="T9" i="23"/>
  <c r="T10" i="23" s="1"/>
  <c r="R9" i="23"/>
  <c r="R16" i="23" s="1"/>
  <c r="Q9" i="23"/>
  <c r="Q16" i="23" s="1"/>
  <c r="P9" i="23"/>
  <c r="P10" i="23" s="1"/>
  <c r="N9" i="23"/>
  <c r="N16" i="23" s="1"/>
  <c r="M9" i="23"/>
  <c r="M10" i="23" s="1"/>
  <c r="L9" i="23"/>
  <c r="L10" i="23" s="1"/>
  <c r="G9" i="23"/>
  <c r="G16" i="23" s="1"/>
  <c r="F9" i="23"/>
  <c r="F16" i="23" s="1"/>
  <c r="E9" i="23"/>
  <c r="E10" i="23" s="1"/>
  <c r="D9" i="23"/>
  <c r="D16" i="23" s="1"/>
  <c r="D38" i="23" s="1"/>
  <c r="C9" i="23"/>
  <c r="C16" i="23" s="1"/>
  <c r="S8" i="23"/>
  <c r="O8" i="23"/>
  <c r="V7" i="23"/>
  <c r="U7" i="23"/>
  <c r="T7" i="23"/>
  <c r="R7" i="23"/>
  <c r="Q7" i="23"/>
  <c r="P7" i="23"/>
  <c r="G7" i="23"/>
  <c r="F7" i="23"/>
  <c r="E7" i="23"/>
  <c r="D7" i="23"/>
  <c r="S6" i="23"/>
  <c r="O6" i="23"/>
  <c r="C470" i="22"/>
  <c r="C467" i="22"/>
  <c r="C466" i="22"/>
  <c r="C441" i="22"/>
  <c r="H437" i="22"/>
  <c r="C418" i="22"/>
  <c r="C415" i="22"/>
  <c r="C426" i="22" s="1"/>
  <c r="C414" i="22"/>
  <c r="H409" i="22"/>
  <c r="C387" i="22"/>
  <c r="C384" i="22"/>
  <c r="C383" i="22"/>
  <c r="H378" i="22"/>
  <c r="I374" i="22"/>
  <c r="E382" i="22" s="1"/>
  <c r="C357" i="22"/>
  <c r="C354" i="22"/>
  <c r="C353" i="22"/>
  <c r="H348" i="22"/>
  <c r="I344" i="22"/>
  <c r="E351" i="22" s="1"/>
  <c r="C325" i="22"/>
  <c r="H320" i="22"/>
  <c r="AA261" i="23" l="1"/>
  <c r="AA253" i="23"/>
  <c r="AA250" i="23"/>
  <c r="O248" i="23"/>
  <c r="C445" i="22"/>
  <c r="S248" i="23"/>
  <c r="I458" i="22"/>
  <c r="E465" i="22" s="1"/>
  <c r="R248" i="23"/>
  <c r="I405" i="22"/>
  <c r="E412" i="22" s="1"/>
  <c r="T248" i="23"/>
  <c r="AA251" i="23"/>
  <c r="AA256" i="23"/>
  <c r="M246" i="23"/>
  <c r="P246" i="23"/>
  <c r="Q246" i="23"/>
  <c r="L246" i="23"/>
  <c r="N246" i="23"/>
  <c r="AA231" i="23"/>
  <c r="J202" i="23"/>
  <c r="J204" i="23" s="1"/>
  <c r="AE112" i="23"/>
  <c r="AE102" i="23"/>
  <c r="AE142" i="23"/>
  <c r="AE206" i="23" s="1"/>
  <c r="AE242" i="23"/>
  <c r="J218" i="23"/>
  <c r="J215" i="23"/>
  <c r="J209" i="23"/>
  <c r="C355" i="22"/>
  <c r="C366" i="22" s="1"/>
  <c r="D366" i="22" s="1"/>
  <c r="Q242" i="23"/>
  <c r="D242" i="23"/>
  <c r="F117" i="22"/>
  <c r="F120" i="22"/>
  <c r="C385" i="22"/>
  <c r="C396" i="22" s="1"/>
  <c r="D396" i="22" s="1"/>
  <c r="G49" i="23"/>
  <c r="N242" i="23"/>
  <c r="C242" i="23"/>
  <c r="J24" i="23"/>
  <c r="J82" i="23"/>
  <c r="J22" i="23"/>
  <c r="C35" i="23"/>
  <c r="S65" i="23"/>
  <c r="S170" i="23" s="1"/>
  <c r="Q112" i="23"/>
  <c r="Q241" i="23" s="1"/>
  <c r="E223" i="23"/>
  <c r="E235" i="23"/>
  <c r="E231" i="23"/>
  <c r="E202" i="23"/>
  <c r="M35" i="23"/>
  <c r="AC204" i="23"/>
  <c r="AC208" i="23"/>
  <c r="AC209" i="23"/>
  <c r="F152" i="22"/>
  <c r="F155" i="22"/>
  <c r="R152" i="23"/>
  <c r="W58" i="23"/>
  <c r="Y83" i="23" s="1"/>
  <c r="R242" i="23"/>
  <c r="F35" i="23"/>
  <c r="C50" i="23"/>
  <c r="Z241" i="23"/>
  <c r="Y112" i="23"/>
  <c r="Y241" i="23" s="1"/>
  <c r="Z177" i="23"/>
  <c r="Y42" i="23"/>
  <c r="D40" i="23"/>
  <c r="D79" i="23" s="1"/>
  <c r="W63" i="23"/>
  <c r="W168" i="23" s="1"/>
  <c r="W64" i="23"/>
  <c r="W169" i="23" s="1"/>
  <c r="W65" i="23"/>
  <c r="W234" i="23" s="1"/>
  <c r="E11" i="25"/>
  <c r="O17" i="25"/>
  <c r="S30" i="25"/>
  <c r="O30" i="25"/>
  <c r="D152" i="23"/>
  <c r="W224" i="23"/>
  <c r="W160" i="23"/>
  <c r="W199" i="23"/>
  <c r="I317" i="22" s="1"/>
  <c r="AA39" i="23"/>
  <c r="Y67" i="23"/>
  <c r="Y68" i="23" s="1"/>
  <c r="AA66" i="23"/>
  <c r="AA186" i="23"/>
  <c r="AA145" i="23"/>
  <c r="AA204" i="23"/>
  <c r="C57" i="23"/>
  <c r="C162" i="23" s="1"/>
  <c r="W165" i="23"/>
  <c r="W229" i="23"/>
  <c r="W102" i="23"/>
  <c r="W110" i="23"/>
  <c r="W112" i="23" s="1"/>
  <c r="AA209" i="23"/>
  <c r="O27" i="23"/>
  <c r="W39" i="23"/>
  <c r="W40" i="23" s="1"/>
  <c r="E57" i="23"/>
  <c r="E61" i="23" s="1"/>
  <c r="E84" i="23" s="1"/>
  <c r="G50" i="23"/>
  <c r="W54" i="23"/>
  <c r="U62" i="23"/>
  <c r="U66" i="23" s="1"/>
  <c r="AA166" i="23"/>
  <c r="AA230" i="23"/>
  <c r="AA208" i="23"/>
  <c r="S9" i="23"/>
  <c r="S10" i="23" s="1"/>
  <c r="W7" i="23"/>
  <c r="O54" i="23"/>
  <c r="AA84" i="23"/>
  <c r="G34" i="23"/>
  <c r="U102" i="23"/>
  <c r="S92" i="23"/>
  <c r="U110" i="23"/>
  <c r="U112" i="23" s="1"/>
  <c r="U119" i="23" s="1"/>
  <c r="V10" i="23"/>
  <c r="X152" i="23"/>
  <c r="X102" i="23"/>
  <c r="X77" i="23"/>
  <c r="X138" i="23" s="1"/>
  <c r="S30" i="23"/>
  <c r="U35" i="23"/>
  <c r="E111" i="23"/>
  <c r="E152" i="23"/>
  <c r="Z119" i="23"/>
  <c r="C229" i="22"/>
  <c r="S27" i="23"/>
  <c r="Q49" i="23"/>
  <c r="O64" i="23"/>
  <c r="O233" i="23" s="1"/>
  <c r="O65" i="23"/>
  <c r="O170" i="23" s="1"/>
  <c r="G102" i="23"/>
  <c r="P111" i="23"/>
  <c r="P112" i="23" s="1"/>
  <c r="P177" i="23" s="1"/>
  <c r="U220" i="23"/>
  <c r="C227" i="22"/>
  <c r="M16" i="23"/>
  <c r="M19" i="23" s="1"/>
  <c r="M21" i="23" s="1"/>
  <c r="E34" i="23"/>
  <c r="X80" i="23"/>
  <c r="X139" i="23" s="1"/>
  <c r="S63" i="23"/>
  <c r="S168" i="23" s="1"/>
  <c r="M242" i="23"/>
  <c r="U142" i="23"/>
  <c r="U206" i="23" s="1"/>
  <c r="D235" i="22"/>
  <c r="D236" i="22" s="1"/>
  <c r="C236" i="22"/>
  <c r="C468" i="22"/>
  <c r="C478" i="22" s="1"/>
  <c r="C202" i="23"/>
  <c r="Q102" i="23"/>
  <c r="Z141" i="23"/>
  <c r="Z205" i="23" s="1"/>
  <c r="S58" i="23"/>
  <c r="S163" i="23" s="1"/>
  <c r="S29" i="23"/>
  <c r="D202" i="23"/>
  <c r="O92" i="23"/>
  <c r="E227" i="22"/>
  <c r="F21" i="25"/>
  <c r="O10" i="25"/>
  <c r="O11" i="25" s="1"/>
  <c r="G21" i="25"/>
  <c r="S10" i="25"/>
  <c r="S23" i="25" s="1"/>
  <c r="W10" i="25"/>
  <c r="W23" i="25" s="1"/>
  <c r="S15" i="25"/>
  <c r="S17" i="25" s="1"/>
  <c r="P11" i="25"/>
  <c r="W30" i="25"/>
  <c r="Z117" i="23"/>
  <c r="Z181" i="23" s="1"/>
  <c r="Z134" i="23"/>
  <c r="Z194" i="23" s="1"/>
  <c r="N38" i="23"/>
  <c r="N40" i="23" s="1"/>
  <c r="N42" i="23" s="1"/>
  <c r="N19" i="23"/>
  <c r="C78" i="23"/>
  <c r="C38" i="23"/>
  <c r="C40" i="23" s="1"/>
  <c r="C79" i="23" s="1"/>
  <c r="V38" i="23"/>
  <c r="V19" i="23"/>
  <c r="V21" i="23" s="1"/>
  <c r="V22" i="23" s="1"/>
  <c r="R102" i="23"/>
  <c r="O53" i="23"/>
  <c r="O222" i="23" s="1"/>
  <c r="C93" i="23"/>
  <c r="M112" i="23"/>
  <c r="M119" i="23" s="1"/>
  <c r="F111" i="23"/>
  <c r="F112" i="23" s="1"/>
  <c r="V80" i="23"/>
  <c r="S53" i="23"/>
  <c r="S158" i="23" s="1"/>
  <c r="U16" i="23"/>
  <c r="U38" i="23" s="1"/>
  <c r="U40" i="23" s="1"/>
  <c r="Y41" i="23" s="1"/>
  <c r="D132" i="23"/>
  <c r="D192" i="23" s="1"/>
  <c r="S97" i="23"/>
  <c r="C10" i="23"/>
  <c r="S28" i="23"/>
  <c r="O31" i="23"/>
  <c r="D93" i="23"/>
  <c r="G111" i="23"/>
  <c r="U152" i="23"/>
  <c r="Y219" i="23"/>
  <c r="Z24" i="23"/>
  <c r="Z22" i="23"/>
  <c r="S46" i="23"/>
  <c r="S155" i="23" s="1"/>
  <c r="D10" i="23"/>
  <c r="S31" i="23"/>
  <c r="P152" i="23"/>
  <c r="V152" i="23"/>
  <c r="I249" i="22"/>
  <c r="X111" i="23"/>
  <c r="X112" i="23" s="1"/>
  <c r="X141" i="23" s="1"/>
  <c r="X205" i="23" s="1"/>
  <c r="T16" i="23"/>
  <c r="S101" i="23"/>
  <c r="S102" i="23" s="1"/>
  <c r="N10" i="23"/>
  <c r="L16" i="23"/>
  <c r="L38" i="23" s="1"/>
  <c r="L40" i="23" s="1"/>
  <c r="L42" i="23" s="1"/>
  <c r="O39" i="23"/>
  <c r="S96" i="23"/>
  <c r="C142" i="23"/>
  <c r="C206" i="23" s="1"/>
  <c r="Q152" i="23"/>
  <c r="G220" i="23"/>
  <c r="Z77" i="23"/>
  <c r="Y77" i="23"/>
  <c r="O32" i="23"/>
  <c r="S39" i="23"/>
  <c r="T77" i="23"/>
  <c r="T138" i="23" s="1"/>
  <c r="S80" i="23"/>
  <c r="C447" i="22" s="1"/>
  <c r="D441" i="22" s="1"/>
  <c r="R112" i="23"/>
  <c r="R241" i="23" s="1"/>
  <c r="D142" i="23"/>
  <c r="D206" i="23" s="1"/>
  <c r="E167" i="23"/>
  <c r="X199" i="23"/>
  <c r="I284" i="22" s="1"/>
  <c r="Y171" i="23"/>
  <c r="Y235" i="23"/>
  <c r="C331" i="22"/>
  <c r="Z80" i="23"/>
  <c r="C228" i="22" s="1"/>
  <c r="Y80" i="23"/>
  <c r="O58" i="23"/>
  <c r="O35" i="23" s="1"/>
  <c r="F57" i="23"/>
  <c r="F162" i="23" s="1"/>
  <c r="V77" i="23"/>
  <c r="V138" i="23" s="1"/>
  <c r="U80" i="23"/>
  <c r="M102" i="23"/>
  <c r="S110" i="23"/>
  <c r="N142" i="23"/>
  <c r="N206" i="23" s="1"/>
  <c r="F152" i="23"/>
  <c r="E260" i="22"/>
  <c r="Y44" i="23"/>
  <c r="Y33" i="23"/>
  <c r="Y21" i="23"/>
  <c r="AB82" i="23" s="1"/>
  <c r="D310" i="22"/>
  <c r="D309" i="22"/>
  <c r="D308" i="22"/>
  <c r="D311" i="22"/>
  <c r="E377" i="22"/>
  <c r="E293" i="22"/>
  <c r="E320" i="22"/>
  <c r="C444" i="22"/>
  <c r="E354" i="22"/>
  <c r="E380" i="22"/>
  <c r="C428" i="22"/>
  <c r="E350" i="22"/>
  <c r="E378" i="22"/>
  <c r="E319" i="22"/>
  <c r="E296" i="22"/>
  <c r="E384" i="22"/>
  <c r="E287" i="22"/>
  <c r="E326" i="22"/>
  <c r="E329" i="22"/>
  <c r="X11" i="25"/>
  <c r="X20" i="25"/>
  <c r="X21" i="25"/>
  <c r="X24" i="25"/>
  <c r="X220" i="23"/>
  <c r="I287" i="22"/>
  <c r="I291" i="22" s="1"/>
  <c r="E385" i="22"/>
  <c r="E410" i="22"/>
  <c r="E442" i="22"/>
  <c r="E288" i="22"/>
  <c r="C303" i="22"/>
  <c r="D303" i="22" s="1"/>
  <c r="E357" i="22"/>
  <c r="I378" i="22"/>
  <c r="I382" i="22" s="1"/>
  <c r="E387" i="22"/>
  <c r="E411" i="22"/>
  <c r="E436" i="22"/>
  <c r="E443" i="22"/>
  <c r="E289" i="22"/>
  <c r="E379" i="22"/>
  <c r="E437" i="22"/>
  <c r="E290" i="22"/>
  <c r="E445" i="22"/>
  <c r="E291" i="22"/>
  <c r="C365" i="22"/>
  <c r="D365" i="22" s="1"/>
  <c r="C395" i="22"/>
  <c r="E415" i="22"/>
  <c r="E349" i="22"/>
  <c r="E438" i="22"/>
  <c r="E324" i="22"/>
  <c r="E286" i="22"/>
  <c r="E418" i="22"/>
  <c r="E439" i="22"/>
  <c r="C453" i="22"/>
  <c r="D453" i="22" s="1"/>
  <c r="E321" i="22"/>
  <c r="E322" i="22"/>
  <c r="X22" i="25"/>
  <c r="X23" i="25"/>
  <c r="X19" i="23"/>
  <c r="X38" i="23"/>
  <c r="X40" i="23" s="1"/>
  <c r="X142" i="23"/>
  <c r="X206" i="23" s="1"/>
  <c r="X10" i="23"/>
  <c r="F78" i="23"/>
  <c r="F38" i="23"/>
  <c r="F40" i="23" s="1"/>
  <c r="F19" i="23"/>
  <c r="M33" i="23"/>
  <c r="Q38" i="23"/>
  <c r="Q40" i="23" s="1"/>
  <c r="Q19" i="23"/>
  <c r="G78" i="23"/>
  <c r="G38" i="23"/>
  <c r="G40" i="23" s="1"/>
  <c r="H41" i="23" s="1"/>
  <c r="G19" i="23"/>
  <c r="R19" i="23"/>
  <c r="R38" i="23"/>
  <c r="R40" i="23" s="1"/>
  <c r="Q115" i="23"/>
  <c r="D426" i="22"/>
  <c r="E352" i="22"/>
  <c r="E413" i="22"/>
  <c r="I437" i="22"/>
  <c r="I441" i="22" s="1"/>
  <c r="C452" i="22"/>
  <c r="C477" i="22"/>
  <c r="O215" i="23"/>
  <c r="O151" i="23"/>
  <c r="R77" i="23"/>
  <c r="Q77" i="23"/>
  <c r="Q138" i="23" s="1"/>
  <c r="O77" i="23"/>
  <c r="O138" i="23" s="1"/>
  <c r="F10" i="23"/>
  <c r="Q10" i="23"/>
  <c r="O29" i="23"/>
  <c r="O28" i="23"/>
  <c r="G224" i="23"/>
  <c r="G160" i="23"/>
  <c r="G57" i="23"/>
  <c r="G232" i="23"/>
  <c r="G168" i="23"/>
  <c r="E232" i="23"/>
  <c r="E168" i="23"/>
  <c r="C337" i="22"/>
  <c r="E347" i="22"/>
  <c r="E408" i="22"/>
  <c r="E416" i="22"/>
  <c r="S151" i="23"/>
  <c r="W152" i="23" s="1"/>
  <c r="U77" i="23"/>
  <c r="U138" i="23" s="1"/>
  <c r="S47" i="23"/>
  <c r="S156" i="23" s="1"/>
  <c r="S77" i="23"/>
  <c r="S138" i="23" s="1"/>
  <c r="G10" i="23"/>
  <c r="R10" i="23"/>
  <c r="E16" i="23"/>
  <c r="P16" i="23"/>
  <c r="C19" i="23"/>
  <c r="M231" i="23"/>
  <c r="M167" i="23"/>
  <c r="O62" i="23"/>
  <c r="F169" i="23"/>
  <c r="S64" i="23"/>
  <c r="O238" i="23"/>
  <c r="O174" i="23"/>
  <c r="E139" i="23"/>
  <c r="E132" i="23"/>
  <c r="E192" i="23" s="1"/>
  <c r="E131" i="23"/>
  <c r="E191" i="23" s="1"/>
  <c r="O97" i="23"/>
  <c r="Q233" i="23"/>
  <c r="Q169" i="23"/>
  <c r="L111" i="23"/>
  <c r="L112" i="23" s="1"/>
  <c r="L102" i="23"/>
  <c r="G242" i="23"/>
  <c r="G142" i="23"/>
  <c r="G206" i="23" s="1"/>
  <c r="D227" i="23"/>
  <c r="D163" i="23"/>
  <c r="D83" i="23"/>
  <c r="D131" i="23" s="1"/>
  <c r="D191" i="23" s="1"/>
  <c r="D49" i="23"/>
  <c r="D35" i="23"/>
  <c r="E348" i="22"/>
  <c r="E409" i="22"/>
  <c r="C417" i="22"/>
  <c r="S7" i="23"/>
  <c r="D19" i="23"/>
  <c r="D223" i="23"/>
  <c r="D159" i="23"/>
  <c r="D57" i="23"/>
  <c r="D50" i="23"/>
  <c r="D34" i="23"/>
  <c r="S160" i="23"/>
  <c r="Q231" i="23"/>
  <c r="Q167" i="23"/>
  <c r="S62" i="23"/>
  <c r="O63" i="23"/>
  <c r="D235" i="23"/>
  <c r="D171" i="23"/>
  <c r="O95" i="23"/>
  <c r="D231" i="23"/>
  <c r="D167" i="23"/>
  <c r="G229" i="23"/>
  <c r="G165" i="23"/>
  <c r="E381" i="22"/>
  <c r="G222" i="23"/>
  <c r="G158" i="23"/>
  <c r="F161" i="23"/>
  <c r="S56" i="23"/>
  <c r="G234" i="23"/>
  <c r="G170" i="23"/>
  <c r="E107" i="23"/>
  <c r="E246" i="23" s="1"/>
  <c r="O105" i="23"/>
  <c r="O107" i="23" s="1"/>
  <c r="O246" i="23" s="1"/>
  <c r="U233" i="23"/>
  <c r="U169" i="23"/>
  <c r="I348" i="22"/>
  <c r="I352" i="22" s="1"/>
  <c r="I409" i="22"/>
  <c r="I413" i="22" s="1"/>
  <c r="O9" i="23"/>
  <c r="O30" i="23"/>
  <c r="M226" i="23"/>
  <c r="M162" i="23"/>
  <c r="M61" i="23"/>
  <c r="F159" i="23"/>
  <c r="S54" i="23"/>
  <c r="F34" i="23"/>
  <c r="F50" i="23"/>
  <c r="E229" i="23"/>
  <c r="E165" i="23"/>
  <c r="O60" i="23"/>
  <c r="F171" i="23"/>
  <c r="S66" i="23"/>
  <c r="P77" i="23"/>
  <c r="P138" i="23" s="1"/>
  <c r="O132" i="23"/>
  <c r="O192" i="23" s="1"/>
  <c r="O139" i="23"/>
  <c r="M235" i="23"/>
  <c r="M171" i="23"/>
  <c r="L242" i="23"/>
  <c r="L142" i="23"/>
  <c r="L206" i="23" s="1"/>
  <c r="S32" i="23"/>
  <c r="C222" i="23"/>
  <c r="C158" i="23"/>
  <c r="D233" i="23"/>
  <c r="D169" i="23"/>
  <c r="C234" i="23"/>
  <c r="C170" i="23"/>
  <c r="D78" i="23"/>
  <c r="C139" i="23"/>
  <c r="C132" i="23"/>
  <c r="C192" i="23" s="1"/>
  <c r="F93" i="23"/>
  <c r="V102" i="23"/>
  <c r="V110" i="23"/>
  <c r="V112" i="23" s="1"/>
  <c r="T102" i="23"/>
  <c r="C110" i="23"/>
  <c r="C112" i="23" s="1"/>
  <c r="S242" i="23"/>
  <c r="S178" i="23"/>
  <c r="S142" i="23"/>
  <c r="S206" i="23" s="1"/>
  <c r="Q222" i="23"/>
  <c r="G223" i="23"/>
  <c r="G159" i="23"/>
  <c r="C227" i="23"/>
  <c r="C163" i="23"/>
  <c r="U227" i="23"/>
  <c r="U163" i="23"/>
  <c r="F165" i="23"/>
  <c r="C231" i="23"/>
  <c r="C167" i="23"/>
  <c r="M232" i="23"/>
  <c r="M168" i="23"/>
  <c r="E233" i="23"/>
  <c r="E169" i="23"/>
  <c r="Q234" i="23"/>
  <c r="Q170" i="23"/>
  <c r="G235" i="23"/>
  <c r="G171" i="23"/>
  <c r="T80" i="23"/>
  <c r="C83" i="23"/>
  <c r="C131" i="23" s="1"/>
  <c r="C191" i="23" s="1"/>
  <c r="G93" i="23"/>
  <c r="S154" i="23"/>
  <c r="E171" i="23"/>
  <c r="O218" i="23"/>
  <c r="R80" i="23"/>
  <c r="O154" i="23"/>
  <c r="P80" i="23"/>
  <c r="O47" i="23"/>
  <c r="O156" i="23" s="1"/>
  <c r="U49" i="23"/>
  <c r="D222" i="23"/>
  <c r="D158" i="23"/>
  <c r="U222" i="23"/>
  <c r="U158" i="23"/>
  <c r="O225" i="23"/>
  <c r="O161" i="23"/>
  <c r="F163" i="23"/>
  <c r="F164" i="23"/>
  <c r="Q232" i="23"/>
  <c r="Q168" i="23"/>
  <c r="G233" i="23"/>
  <c r="G169" i="23"/>
  <c r="D234" i="23"/>
  <c r="D170" i="23"/>
  <c r="U234" i="23"/>
  <c r="U170" i="23"/>
  <c r="O66" i="23"/>
  <c r="F132" i="23"/>
  <c r="F192" i="23" s="1"/>
  <c r="Q81" i="23"/>
  <c r="F83" i="23"/>
  <c r="F131" i="23" s="1"/>
  <c r="F191" i="23" s="1"/>
  <c r="D102" i="23"/>
  <c r="D110" i="23"/>
  <c r="D112" i="23" s="1"/>
  <c r="P242" i="23"/>
  <c r="P142" i="23"/>
  <c r="P206" i="23" s="1"/>
  <c r="E222" i="23"/>
  <c r="E158" i="23"/>
  <c r="G227" i="23"/>
  <c r="G163" i="23"/>
  <c r="O228" i="23"/>
  <c r="O164" i="23"/>
  <c r="S60" i="23"/>
  <c r="F167" i="23"/>
  <c r="C232" i="23"/>
  <c r="C168" i="23"/>
  <c r="M233" i="23"/>
  <c r="M169" i="23"/>
  <c r="E234" i="23"/>
  <c r="E170" i="23"/>
  <c r="Q235" i="23"/>
  <c r="Q171" i="23"/>
  <c r="G132" i="23"/>
  <c r="G192" i="23" s="1"/>
  <c r="G83" i="23"/>
  <c r="G131" i="23" s="1"/>
  <c r="G191" i="23" s="1"/>
  <c r="S95" i="23"/>
  <c r="E102" i="23"/>
  <c r="E110" i="23"/>
  <c r="O100" i="23"/>
  <c r="N111" i="23"/>
  <c r="N112" i="23" s="1"/>
  <c r="N102" i="23"/>
  <c r="G110" i="23"/>
  <c r="E242" i="23"/>
  <c r="E142" i="23"/>
  <c r="E206" i="23" s="1"/>
  <c r="O114" i="23"/>
  <c r="O142" i="23" s="1"/>
  <c r="O206" i="23" s="1"/>
  <c r="Q142" i="23"/>
  <c r="Q206" i="23" s="1"/>
  <c r="F158" i="23"/>
  <c r="C223" i="23"/>
  <c r="C159" i="23"/>
  <c r="F160" i="23"/>
  <c r="Q226" i="23"/>
  <c r="Q162" i="23"/>
  <c r="M227" i="23"/>
  <c r="M163" i="23"/>
  <c r="S164" i="23"/>
  <c r="Q61" i="23"/>
  <c r="G231" i="23"/>
  <c r="G167" i="23"/>
  <c r="D232" i="23"/>
  <c r="D168" i="23"/>
  <c r="U232" i="23"/>
  <c r="U168" i="23"/>
  <c r="F170" i="23"/>
  <c r="C235" i="23"/>
  <c r="C171" i="23"/>
  <c r="S107" i="23"/>
  <c r="S246" i="23" s="1"/>
  <c r="T112" i="23"/>
  <c r="F242" i="23"/>
  <c r="F142" i="23"/>
  <c r="F206" i="23" s="1"/>
  <c r="R142" i="23"/>
  <c r="R206" i="23" s="1"/>
  <c r="T152" i="23"/>
  <c r="D203" i="23"/>
  <c r="D140" i="23"/>
  <c r="M222" i="23"/>
  <c r="M158" i="23"/>
  <c r="O224" i="23"/>
  <c r="O160" i="23"/>
  <c r="U226" i="23"/>
  <c r="U162" i="23"/>
  <c r="Q227" i="23"/>
  <c r="Q163" i="23"/>
  <c r="C229" i="23"/>
  <c r="C165" i="23"/>
  <c r="U61" i="23"/>
  <c r="F168" i="23"/>
  <c r="C233" i="23"/>
  <c r="C169" i="23"/>
  <c r="M234" i="23"/>
  <c r="M170" i="23"/>
  <c r="S174" i="23"/>
  <c r="Q80" i="23"/>
  <c r="O96" i="23"/>
  <c r="E93" i="23"/>
  <c r="O178" i="23"/>
  <c r="T242" i="23"/>
  <c r="T142" i="23"/>
  <c r="T206" i="23" s="1"/>
  <c r="F139" i="23"/>
  <c r="G203" i="23"/>
  <c r="G204" i="23" s="1"/>
  <c r="G140" i="23"/>
  <c r="E159" i="23"/>
  <c r="Q238" i="23"/>
  <c r="Q225" i="23"/>
  <c r="Q228" i="23"/>
  <c r="Q223" i="23"/>
  <c r="Q215" i="23"/>
  <c r="Q229" i="23"/>
  <c r="Q224" i="23"/>
  <c r="Q218" i="23"/>
  <c r="G152" i="23"/>
  <c r="E225" i="23"/>
  <c r="E218" i="23"/>
  <c r="E228" i="23"/>
  <c r="E224" i="23"/>
  <c r="E215" i="23"/>
  <c r="E227" i="23"/>
  <c r="E238" i="23"/>
  <c r="V218" i="23"/>
  <c r="Z219" i="23" s="1"/>
  <c r="V215" i="23"/>
  <c r="Z216" i="23" s="1"/>
  <c r="E199" i="23"/>
  <c r="V142" i="23"/>
  <c r="V206" i="23" s="1"/>
  <c r="M229" i="23"/>
  <c r="M215" i="23"/>
  <c r="M224" i="23"/>
  <c r="M238" i="23"/>
  <c r="M218" i="23"/>
  <c r="M225" i="23"/>
  <c r="M228" i="23"/>
  <c r="M223" i="23"/>
  <c r="M199" i="23"/>
  <c r="M142" i="23"/>
  <c r="M206" i="23" s="1"/>
  <c r="N218" i="23"/>
  <c r="N215" i="23"/>
  <c r="N199" i="23"/>
  <c r="Q199" i="23"/>
  <c r="O199" i="23"/>
  <c r="S197" i="23"/>
  <c r="V199" i="23" s="1"/>
  <c r="I345" i="22" s="1"/>
  <c r="R197" i="23"/>
  <c r="R199" i="23" s="1"/>
  <c r="I459" i="22" s="1"/>
  <c r="P199" i="23"/>
  <c r="C238" i="23"/>
  <c r="C225" i="23"/>
  <c r="C218" i="23"/>
  <c r="C228" i="23"/>
  <c r="C224" i="23"/>
  <c r="C215" i="23"/>
  <c r="D238" i="23"/>
  <c r="D225" i="23"/>
  <c r="D218" i="23"/>
  <c r="D228" i="23"/>
  <c r="D229" i="23"/>
  <c r="D224" i="23"/>
  <c r="D215" i="23"/>
  <c r="P218" i="23"/>
  <c r="P215" i="23"/>
  <c r="L215" i="23"/>
  <c r="L218" i="23"/>
  <c r="T215" i="23"/>
  <c r="T218" i="23"/>
  <c r="X219" i="23" s="1"/>
  <c r="C199" i="23"/>
  <c r="C20" i="25"/>
  <c r="N20" i="25"/>
  <c r="V20" i="25"/>
  <c r="L21" i="25"/>
  <c r="T21" i="25"/>
  <c r="G22" i="25"/>
  <c r="R22" i="25"/>
  <c r="E23" i="25"/>
  <c r="P23" i="25"/>
  <c r="C24" i="25"/>
  <c r="N24" i="25"/>
  <c r="V24" i="25"/>
  <c r="L25" i="25"/>
  <c r="T25" i="25"/>
  <c r="F11" i="25"/>
  <c r="Q11" i="25"/>
  <c r="W15" i="25"/>
  <c r="F17" i="25"/>
  <c r="D20" i="25"/>
  <c r="M21" i="25"/>
  <c r="U21" i="25"/>
  <c r="F23" i="25"/>
  <c r="Q23" i="25"/>
  <c r="D24" i="25"/>
  <c r="M25" i="25"/>
  <c r="U25" i="25"/>
  <c r="G11" i="25"/>
  <c r="R11" i="25"/>
  <c r="G17" i="25"/>
  <c r="E20" i="25"/>
  <c r="P20" i="25"/>
  <c r="C21" i="25"/>
  <c r="N21" i="25"/>
  <c r="V21" i="25"/>
  <c r="L22" i="25"/>
  <c r="T22" i="25"/>
  <c r="G23" i="25"/>
  <c r="R23" i="25"/>
  <c r="E24" i="25"/>
  <c r="P24" i="25"/>
  <c r="C25" i="25"/>
  <c r="N25" i="25"/>
  <c r="V25" i="25"/>
  <c r="F20" i="25"/>
  <c r="Q20" i="25"/>
  <c r="D21" i="25"/>
  <c r="M22" i="25"/>
  <c r="U22" i="25"/>
  <c r="F24" i="25"/>
  <c r="Q24" i="25"/>
  <c r="D25" i="25"/>
  <c r="L11" i="25"/>
  <c r="T11" i="25"/>
  <c r="G20" i="25"/>
  <c r="R20" i="25"/>
  <c r="E21" i="25"/>
  <c r="P21" i="25"/>
  <c r="C22" i="25"/>
  <c r="N22" i="25"/>
  <c r="V22" i="25"/>
  <c r="L23" i="25"/>
  <c r="T23" i="25"/>
  <c r="G24" i="25"/>
  <c r="R24" i="25"/>
  <c r="E25" i="25"/>
  <c r="P25" i="25"/>
  <c r="M11" i="25"/>
  <c r="U11" i="25"/>
  <c r="Q21" i="25"/>
  <c r="D22" i="25"/>
  <c r="M23" i="25"/>
  <c r="U23" i="25"/>
  <c r="F25" i="25"/>
  <c r="Q25" i="25"/>
  <c r="C11" i="25"/>
  <c r="N11" i="25"/>
  <c r="V11" i="25"/>
  <c r="L20" i="25"/>
  <c r="T20" i="25"/>
  <c r="R21" i="25"/>
  <c r="D11" i="25"/>
  <c r="M20" i="25"/>
  <c r="U20" i="25"/>
  <c r="E467" i="22" l="1"/>
  <c r="E462" i="22"/>
  <c r="E464" i="22"/>
  <c r="Q259" i="23"/>
  <c r="Q258" i="23"/>
  <c r="Y243" i="23"/>
  <c r="Y254" i="23"/>
  <c r="Y251" i="23"/>
  <c r="Z243" i="23"/>
  <c r="Z254" i="23"/>
  <c r="Z251" i="23"/>
  <c r="Q254" i="23"/>
  <c r="Q251" i="23"/>
  <c r="E461" i="22"/>
  <c r="S258" i="23"/>
  <c r="D478" i="22"/>
  <c r="W259" i="23"/>
  <c r="E463" i="22"/>
  <c r="E470" i="22"/>
  <c r="O258" i="23"/>
  <c r="O259" i="23"/>
  <c r="C356" i="22"/>
  <c r="C358" i="22" s="1"/>
  <c r="Y127" i="23"/>
  <c r="Y187" i="23" s="1"/>
  <c r="O234" i="23"/>
  <c r="S35" i="23"/>
  <c r="J254" i="23"/>
  <c r="J251" i="23"/>
  <c r="J256" i="23"/>
  <c r="J253" i="23"/>
  <c r="J250" i="23"/>
  <c r="E355" i="22"/>
  <c r="Y119" i="23"/>
  <c r="E67" i="23"/>
  <c r="E236" i="23" s="1"/>
  <c r="Q119" i="23"/>
  <c r="Q124" i="23"/>
  <c r="Q184" i="23" s="1"/>
  <c r="E162" i="23"/>
  <c r="Q141" i="23"/>
  <c r="Q205" i="23" s="1"/>
  <c r="Q177" i="23"/>
  <c r="L44" i="23"/>
  <c r="C386" i="22"/>
  <c r="C388" i="22" s="1"/>
  <c r="J220" i="23"/>
  <c r="C61" i="23"/>
  <c r="C84" i="23" s="1"/>
  <c r="C264" i="22"/>
  <c r="Y115" i="23"/>
  <c r="Y134" i="23" s="1"/>
  <c r="Y194" i="23" s="1"/>
  <c r="U127" i="23"/>
  <c r="U187" i="23" s="1"/>
  <c r="Y141" i="23"/>
  <c r="Y205" i="23" s="1"/>
  <c r="Y177" i="23"/>
  <c r="D204" i="23"/>
  <c r="W233" i="23"/>
  <c r="C298" i="22"/>
  <c r="D292" i="22" s="1"/>
  <c r="L19" i="23"/>
  <c r="L33" i="23" s="1"/>
  <c r="U231" i="23"/>
  <c r="AE141" i="23"/>
  <c r="AE177" i="23"/>
  <c r="AE124" i="23"/>
  <c r="AE184" i="23" s="1"/>
  <c r="AE115" i="23"/>
  <c r="AE241" i="23"/>
  <c r="AE119" i="23"/>
  <c r="AE127" i="23"/>
  <c r="O169" i="23"/>
  <c r="W232" i="23"/>
  <c r="E230" i="23"/>
  <c r="Y70" i="23"/>
  <c r="Y239" i="23" s="1"/>
  <c r="W20" i="25"/>
  <c r="W22" i="25"/>
  <c r="W24" i="25"/>
  <c r="W25" i="25"/>
  <c r="W11" i="25"/>
  <c r="S11" i="25"/>
  <c r="R119" i="23"/>
  <c r="C44" i="23"/>
  <c r="O57" i="23"/>
  <c r="O61" i="23" s="1"/>
  <c r="O84" i="23" s="1"/>
  <c r="C42" i="23"/>
  <c r="O34" i="23"/>
  <c r="W163" i="23"/>
  <c r="O50" i="23"/>
  <c r="W227" i="23"/>
  <c r="Y258" i="23" s="1"/>
  <c r="W49" i="23"/>
  <c r="O159" i="23"/>
  <c r="W35" i="23"/>
  <c r="O223" i="23"/>
  <c r="D44" i="23"/>
  <c r="V93" i="23"/>
  <c r="D42" i="23"/>
  <c r="W83" i="23"/>
  <c r="W131" i="23" s="1"/>
  <c r="W191" i="23" s="1"/>
  <c r="C226" i="23"/>
  <c r="U167" i="23"/>
  <c r="E166" i="23"/>
  <c r="AA40" i="23"/>
  <c r="AA41" i="23" s="1"/>
  <c r="Y236" i="23"/>
  <c r="O158" i="23"/>
  <c r="T93" i="23"/>
  <c r="O220" i="23"/>
  <c r="S16" i="23"/>
  <c r="T78" i="23" s="1"/>
  <c r="W170" i="23"/>
  <c r="S83" i="23"/>
  <c r="U124" i="23"/>
  <c r="U184" i="23" s="1"/>
  <c r="E226" i="23"/>
  <c r="T199" i="23"/>
  <c r="I406" i="22" s="1"/>
  <c r="D427" i="22" s="1"/>
  <c r="D428" i="22" s="1"/>
  <c r="O242" i="23"/>
  <c r="AB41" i="23"/>
  <c r="S24" i="25"/>
  <c r="C469" i="22"/>
  <c r="C471" i="22" s="1"/>
  <c r="E468" i="22"/>
  <c r="O23" i="25"/>
  <c r="O22" i="25"/>
  <c r="O21" i="25"/>
  <c r="O24" i="25"/>
  <c r="O25" i="25"/>
  <c r="O20" i="25"/>
  <c r="U171" i="23"/>
  <c r="W66" i="23"/>
  <c r="U235" i="23"/>
  <c r="R115" i="23"/>
  <c r="R123" i="23" s="1"/>
  <c r="R183" i="23" s="1"/>
  <c r="Y172" i="23"/>
  <c r="W119" i="23"/>
  <c r="W141" i="23"/>
  <c r="W177" i="23"/>
  <c r="W124" i="23"/>
  <c r="W184" i="23" s="1"/>
  <c r="W115" i="23"/>
  <c r="W127" i="23"/>
  <c r="W241" i="23"/>
  <c r="AA235" i="23"/>
  <c r="AA171" i="23"/>
  <c r="T38" i="23"/>
  <c r="T40" i="23" s="1"/>
  <c r="W78" i="23"/>
  <c r="U115" i="23"/>
  <c r="U126" i="23" s="1"/>
  <c r="R141" i="23"/>
  <c r="R205" i="23" s="1"/>
  <c r="C473" i="22"/>
  <c r="W34" i="23"/>
  <c r="W223" i="23"/>
  <c r="W159" i="23"/>
  <c r="W50" i="23"/>
  <c r="W57" i="23"/>
  <c r="L220" i="23"/>
  <c r="U141" i="23"/>
  <c r="U205" i="23" s="1"/>
  <c r="R177" i="23"/>
  <c r="U177" i="23"/>
  <c r="W203" i="23"/>
  <c r="W202" i="23"/>
  <c r="E112" i="23"/>
  <c r="E177" i="23" s="1"/>
  <c r="U241" i="23"/>
  <c r="W42" i="23"/>
  <c r="W44" i="23"/>
  <c r="W62" i="23"/>
  <c r="C390" i="22"/>
  <c r="AA67" i="23"/>
  <c r="Q93" i="23"/>
  <c r="D41" i="23"/>
  <c r="S139" i="23"/>
  <c r="S140" i="23" s="1"/>
  <c r="X140" i="23"/>
  <c r="U19" i="23"/>
  <c r="U21" i="23" s="1"/>
  <c r="X93" i="23"/>
  <c r="S49" i="23"/>
  <c r="S152" i="23"/>
  <c r="U42" i="23"/>
  <c r="M38" i="23"/>
  <c r="M40" i="23" s="1"/>
  <c r="Q41" i="23" s="1"/>
  <c r="U44" i="23"/>
  <c r="U41" i="23"/>
  <c r="E331" i="22"/>
  <c r="U83" i="23"/>
  <c r="O49" i="23"/>
  <c r="D216" i="23"/>
  <c r="T216" i="23"/>
  <c r="P141" i="23"/>
  <c r="P205" i="23" s="1"/>
  <c r="O163" i="23"/>
  <c r="S93" i="23"/>
  <c r="V33" i="23"/>
  <c r="S111" i="23"/>
  <c r="S112" i="23" s="1"/>
  <c r="S127" i="23" s="1"/>
  <c r="O202" i="23"/>
  <c r="D222" i="22"/>
  <c r="E228" i="22"/>
  <c r="M115" i="23"/>
  <c r="M117" i="23" s="1"/>
  <c r="N44" i="23"/>
  <c r="X203" i="23"/>
  <c r="X208" i="23" s="1"/>
  <c r="Z143" i="23"/>
  <c r="Z207" i="23" s="1"/>
  <c r="M141" i="23"/>
  <c r="M205" i="23" s="1"/>
  <c r="G112" i="23"/>
  <c r="G177" i="23" s="1"/>
  <c r="M177" i="23"/>
  <c r="O83" i="23"/>
  <c r="O131" i="23" s="1"/>
  <c r="O191" i="23" s="1"/>
  <c r="Q83" i="23"/>
  <c r="Q131" i="23" s="1"/>
  <c r="Q191" i="23" s="1"/>
  <c r="V24" i="23"/>
  <c r="M241" i="23"/>
  <c r="M243" i="23" s="1"/>
  <c r="O227" i="23"/>
  <c r="D225" i="22"/>
  <c r="D444" i="22"/>
  <c r="D325" i="22"/>
  <c r="S22" i="25"/>
  <c r="S20" i="25"/>
  <c r="S21" i="25"/>
  <c r="S25" i="25"/>
  <c r="Z245" i="23"/>
  <c r="Z256" i="23" s="1"/>
  <c r="F119" i="23"/>
  <c r="F141" i="23"/>
  <c r="F205" i="23" s="1"/>
  <c r="F115" i="23"/>
  <c r="F117" i="23" s="1"/>
  <c r="F127" i="23"/>
  <c r="F187" i="23" s="1"/>
  <c r="F241" i="23"/>
  <c r="F177" i="23"/>
  <c r="F124" i="23"/>
  <c r="F184" i="23" s="1"/>
  <c r="X216" i="23"/>
  <c r="E216" i="23"/>
  <c r="T19" i="23"/>
  <c r="T33" i="23" s="1"/>
  <c r="Y139" i="23"/>
  <c r="C263" i="22"/>
  <c r="Y132" i="23"/>
  <c r="Y192" i="23" s="1"/>
  <c r="Y131" i="23"/>
  <c r="Y191" i="23" s="1"/>
  <c r="Z93" i="23"/>
  <c r="Z138" i="23"/>
  <c r="Z202" i="23" s="1"/>
  <c r="P241" i="23"/>
  <c r="P115" i="23"/>
  <c r="P179" i="23" s="1"/>
  <c r="P202" i="23"/>
  <c r="X119" i="23"/>
  <c r="U139" i="23"/>
  <c r="U140" i="23" s="1"/>
  <c r="C389" i="22"/>
  <c r="D383" i="22" s="1"/>
  <c r="Z139" i="23"/>
  <c r="Z124" i="23"/>
  <c r="Z184" i="23" s="1"/>
  <c r="Z127" i="23"/>
  <c r="Z123" i="23"/>
  <c r="Z183" i="23" s="1"/>
  <c r="Z126" i="23"/>
  <c r="N21" i="23"/>
  <c r="N33" i="23"/>
  <c r="P124" i="23"/>
  <c r="P184" i="23" s="1"/>
  <c r="F61" i="23"/>
  <c r="F166" i="23" s="1"/>
  <c r="C299" i="22"/>
  <c r="Y138" i="23"/>
  <c r="Y202" i="23" s="1"/>
  <c r="Y93" i="23"/>
  <c r="S234" i="23"/>
  <c r="P119" i="23"/>
  <c r="Y124" i="23"/>
  <c r="Y184" i="23" s="1"/>
  <c r="Z129" i="23"/>
  <c r="Z189" i="23" s="1"/>
  <c r="V40" i="23"/>
  <c r="X202" i="23"/>
  <c r="V139" i="23"/>
  <c r="C359" i="22"/>
  <c r="D353" i="22" s="1"/>
  <c r="Y237" i="23"/>
  <c r="Y173" i="23"/>
  <c r="E262" i="22"/>
  <c r="D367" i="22"/>
  <c r="X177" i="23"/>
  <c r="X127" i="23"/>
  <c r="X187" i="23" s="1"/>
  <c r="X241" i="23"/>
  <c r="X115" i="23"/>
  <c r="X123" i="23" s="1"/>
  <c r="X183" i="23" s="1"/>
  <c r="X124" i="23"/>
  <c r="X184" i="23" s="1"/>
  <c r="Y24" i="23"/>
  <c r="Y22" i="23"/>
  <c r="D312" i="22"/>
  <c r="C446" i="22"/>
  <c r="E441" i="22"/>
  <c r="E444" i="22" s="1"/>
  <c r="E325" i="22"/>
  <c r="E383" i="22"/>
  <c r="E386" i="22" s="1"/>
  <c r="C327" i="22"/>
  <c r="E327" i="22" s="1"/>
  <c r="D395" i="22"/>
  <c r="D397" i="22" s="1"/>
  <c r="C397" i="22"/>
  <c r="C367" i="22"/>
  <c r="E292" i="22"/>
  <c r="E353" i="22"/>
  <c r="X143" i="23"/>
  <c r="X207" i="23" s="1"/>
  <c r="X33" i="23"/>
  <c r="X21" i="23"/>
  <c r="AA82" i="23" s="1"/>
  <c r="X44" i="23"/>
  <c r="X42" i="23"/>
  <c r="N241" i="23"/>
  <c r="N243" i="23" s="1"/>
  <c r="N177" i="23"/>
  <c r="N141" i="23"/>
  <c r="N115" i="23"/>
  <c r="N119" i="23"/>
  <c r="L241" i="23"/>
  <c r="L243" i="23" s="1"/>
  <c r="L177" i="23"/>
  <c r="L119" i="23"/>
  <c r="L115" i="23"/>
  <c r="L141" i="23"/>
  <c r="T241" i="23"/>
  <c r="T177" i="23"/>
  <c r="T124" i="23"/>
  <c r="T184" i="23" s="1"/>
  <c r="T119" i="23"/>
  <c r="T115" i="23"/>
  <c r="T127" i="23"/>
  <c r="T141" i="23"/>
  <c r="R139" i="23"/>
  <c r="C472" i="22"/>
  <c r="R215" i="23"/>
  <c r="R216" i="23" s="1"/>
  <c r="R218" i="23"/>
  <c r="V219" i="23" s="1"/>
  <c r="U199" i="23"/>
  <c r="U202" i="23" s="1"/>
  <c r="S199" i="23"/>
  <c r="I434" i="22" s="1"/>
  <c r="E447" i="22" s="1"/>
  <c r="E220" i="23"/>
  <c r="E219" i="23"/>
  <c r="S228" i="23"/>
  <c r="D241" i="23"/>
  <c r="D177" i="23"/>
  <c r="D141" i="23"/>
  <c r="D124" i="23"/>
  <c r="D184" i="23" s="1"/>
  <c r="D127" i="23"/>
  <c r="D119" i="23"/>
  <c r="D115" i="23"/>
  <c r="O232" i="23"/>
  <c r="O168" i="23"/>
  <c r="V202" i="23"/>
  <c r="P19" i="23"/>
  <c r="P38" i="23"/>
  <c r="P40" i="23" s="1"/>
  <c r="S215" i="23"/>
  <c r="R138" i="23"/>
  <c r="R202" i="23" s="1"/>
  <c r="R93" i="23"/>
  <c r="O102" i="23"/>
  <c r="O110" i="23"/>
  <c r="O112" i="23" s="1"/>
  <c r="W21" i="25"/>
  <c r="Q216" i="23"/>
  <c r="U216" i="23"/>
  <c r="F140" i="23"/>
  <c r="U93" i="23"/>
  <c r="S222" i="23"/>
  <c r="S227" i="23"/>
  <c r="S231" i="23"/>
  <c r="S167" i="23"/>
  <c r="E78" i="23"/>
  <c r="E19" i="23"/>
  <c r="E38" i="23"/>
  <c r="E40" i="23" s="1"/>
  <c r="F41" i="23" s="1"/>
  <c r="R243" i="23"/>
  <c r="Q33" i="23"/>
  <c r="Q21" i="23"/>
  <c r="P220" i="23"/>
  <c r="P219" i="23"/>
  <c r="U230" i="23"/>
  <c r="U166" i="23"/>
  <c r="U67" i="23"/>
  <c r="Q230" i="23"/>
  <c r="Q166" i="23"/>
  <c r="Q67" i="23"/>
  <c r="W17" i="25"/>
  <c r="D220" i="23"/>
  <c r="D219" i="23"/>
  <c r="V220" i="23"/>
  <c r="S229" i="23"/>
  <c r="S165" i="23"/>
  <c r="E258" i="23"/>
  <c r="E259" i="23"/>
  <c r="C241" i="23"/>
  <c r="C177" i="23"/>
  <c r="C141" i="23"/>
  <c r="C127" i="23"/>
  <c r="C124" i="23"/>
  <c r="C184" i="23" s="1"/>
  <c r="C119" i="23"/>
  <c r="C115" i="23"/>
  <c r="C203" i="23"/>
  <c r="C204" i="23" s="1"/>
  <c r="C140" i="23"/>
  <c r="O229" i="23"/>
  <c r="O165" i="23"/>
  <c r="Q123" i="23"/>
  <c r="Q183" i="23" s="1"/>
  <c r="Q117" i="23"/>
  <c r="Q134" i="23"/>
  <c r="Q194" i="23" s="1"/>
  <c r="Q179" i="23"/>
  <c r="Q126" i="23"/>
  <c r="Q44" i="23"/>
  <c r="Q42" i="23"/>
  <c r="O235" i="23"/>
  <c r="O171" i="23"/>
  <c r="Q220" i="23"/>
  <c r="Q219" i="23"/>
  <c r="U219" i="23"/>
  <c r="T219" i="23"/>
  <c r="T220" i="23"/>
  <c r="S218" i="23"/>
  <c r="W219" i="23" s="1"/>
  <c r="P139" i="23"/>
  <c r="P127" i="23"/>
  <c r="S232" i="23"/>
  <c r="C259" i="23"/>
  <c r="C258" i="23"/>
  <c r="O140" i="23"/>
  <c r="O203" i="23"/>
  <c r="P93" i="23"/>
  <c r="G259" i="23"/>
  <c r="G258" i="23"/>
  <c r="S224" i="23"/>
  <c r="O93" i="23"/>
  <c r="S233" i="23"/>
  <c r="S169" i="23"/>
  <c r="E414" i="22"/>
  <c r="C480" i="22"/>
  <c r="D477" i="22"/>
  <c r="G21" i="23"/>
  <c r="G33" i="23"/>
  <c r="M22" i="23"/>
  <c r="M24" i="23"/>
  <c r="P216" i="23"/>
  <c r="C220" i="23"/>
  <c r="F197" i="23"/>
  <c r="Q139" i="23"/>
  <c r="Q132" i="23"/>
  <c r="Q192" i="23" s="1"/>
  <c r="V241" i="23"/>
  <c r="V177" i="23"/>
  <c r="V141" i="23"/>
  <c r="V127" i="23"/>
  <c r="V119" i="23"/>
  <c r="V124" i="23"/>
  <c r="V184" i="23" s="1"/>
  <c r="V115" i="23"/>
  <c r="C230" i="23"/>
  <c r="C166" i="23"/>
  <c r="S223" i="23"/>
  <c r="S159" i="23"/>
  <c r="S34" i="23"/>
  <c r="S50" i="23"/>
  <c r="S57" i="23"/>
  <c r="C419" i="22"/>
  <c r="E466" i="22"/>
  <c r="R127" i="23"/>
  <c r="Q127" i="23"/>
  <c r="R44" i="23"/>
  <c r="R41" i="23"/>
  <c r="R42" i="23"/>
  <c r="G41" i="23"/>
  <c r="G44" i="23"/>
  <c r="G79" i="23"/>
  <c r="G42" i="23"/>
  <c r="E172" i="23"/>
  <c r="E68" i="23"/>
  <c r="D33" i="23"/>
  <c r="D21" i="23"/>
  <c r="C454" i="22"/>
  <c r="D452" i="22"/>
  <c r="D454" i="22" s="1"/>
  <c r="R21" i="23"/>
  <c r="R33" i="23"/>
  <c r="F33" i="23"/>
  <c r="F21" i="23"/>
  <c r="O231" i="23"/>
  <c r="O167" i="23"/>
  <c r="R124" i="23"/>
  <c r="R184" i="23" s="1"/>
  <c r="O226" i="23"/>
  <c r="F79" i="23"/>
  <c r="F44" i="23"/>
  <c r="F42" i="23"/>
  <c r="D226" i="23"/>
  <c r="D162" i="23"/>
  <c r="D61" i="23"/>
  <c r="N220" i="23"/>
  <c r="M220" i="23"/>
  <c r="S238" i="23"/>
  <c r="C332" i="22"/>
  <c r="D258" i="23"/>
  <c r="D259" i="23"/>
  <c r="T139" i="23"/>
  <c r="C420" i="22"/>
  <c r="D417" i="22" s="1"/>
  <c r="S235" i="23"/>
  <c r="S171" i="23"/>
  <c r="M230" i="23"/>
  <c r="M166" i="23"/>
  <c r="M67" i="23"/>
  <c r="O10" i="23"/>
  <c r="O16" i="23"/>
  <c r="S225" i="23"/>
  <c r="S259" i="23" s="1"/>
  <c r="S161" i="23"/>
  <c r="U81" i="23"/>
  <c r="S81" i="23"/>
  <c r="S132" i="23" s="1"/>
  <c r="S192" i="23" s="1"/>
  <c r="E140" i="23"/>
  <c r="E203" i="23"/>
  <c r="E204" i="23" s="1"/>
  <c r="C21" i="23"/>
  <c r="C33" i="23"/>
  <c r="D337" i="22"/>
  <c r="G226" i="23"/>
  <c r="G162" i="23"/>
  <c r="G61" i="23"/>
  <c r="Q202" i="23"/>
  <c r="Q243" i="23"/>
  <c r="C421" i="22"/>
  <c r="C360" i="22"/>
  <c r="Z253" i="23" l="1"/>
  <c r="Z261" i="23"/>
  <c r="Z250" i="23"/>
  <c r="D251" i="23"/>
  <c r="D254" i="23"/>
  <c r="T251" i="23"/>
  <c r="T254" i="23"/>
  <c r="Y144" i="23"/>
  <c r="X254" i="23"/>
  <c r="X251" i="23"/>
  <c r="P243" i="23"/>
  <c r="P251" i="23"/>
  <c r="P254" i="23"/>
  <c r="W251" i="23"/>
  <c r="W254" i="23"/>
  <c r="Y261" i="23"/>
  <c r="Y250" i="23"/>
  <c r="Y253" i="23"/>
  <c r="U259" i="23"/>
  <c r="U258" i="23"/>
  <c r="Y126" i="23"/>
  <c r="Y145" i="23" s="1"/>
  <c r="Q143" i="23"/>
  <c r="Q207" i="23" s="1"/>
  <c r="V251" i="23"/>
  <c r="V254" i="23"/>
  <c r="R261" i="23"/>
  <c r="R253" i="23"/>
  <c r="R250" i="23"/>
  <c r="Q261" i="23"/>
  <c r="Q250" i="23"/>
  <c r="Q253" i="23"/>
  <c r="C251" i="23"/>
  <c r="C254" i="23"/>
  <c r="AE251" i="23"/>
  <c r="AE254" i="23"/>
  <c r="W258" i="23"/>
  <c r="R251" i="23"/>
  <c r="D480" i="22"/>
  <c r="M44" i="23"/>
  <c r="Y123" i="23"/>
  <c r="Y183" i="23" s="1"/>
  <c r="F243" i="23"/>
  <c r="U243" i="23"/>
  <c r="U254" i="23"/>
  <c r="U251" i="23"/>
  <c r="R254" i="23"/>
  <c r="Y117" i="23"/>
  <c r="Y181" i="23" s="1"/>
  <c r="AA42" i="23"/>
  <c r="U143" i="23"/>
  <c r="U207" i="23" s="1"/>
  <c r="Y179" i="23"/>
  <c r="AA79" i="23"/>
  <c r="E298" i="22"/>
  <c r="Y175" i="23"/>
  <c r="C67" i="23"/>
  <c r="C236" i="23" s="1"/>
  <c r="U144" i="23"/>
  <c r="O162" i="23"/>
  <c r="U134" i="23"/>
  <c r="U194" i="23" s="1"/>
  <c r="M42" i="23"/>
  <c r="Y143" i="23"/>
  <c r="Y207" i="23" s="1"/>
  <c r="G241" i="23"/>
  <c r="S115" i="23"/>
  <c r="S126" i="23" s="1"/>
  <c r="M143" i="23"/>
  <c r="M207" i="23" s="1"/>
  <c r="S177" i="23"/>
  <c r="F126" i="23"/>
  <c r="F145" i="23" s="1"/>
  <c r="AE205" i="23"/>
  <c r="AE208" i="23" s="1"/>
  <c r="AE143" i="23"/>
  <c r="AE207" i="23" s="1"/>
  <c r="AE209" i="23" s="1"/>
  <c r="AD79" i="23"/>
  <c r="AE41" i="23"/>
  <c r="AE187" i="23"/>
  <c r="AE144" i="23"/>
  <c r="L21" i="23"/>
  <c r="AE243" i="23"/>
  <c r="AE126" i="23"/>
  <c r="AE179" i="23"/>
  <c r="AE123" i="23"/>
  <c r="AE183" i="23" s="1"/>
  <c r="AE134" i="23"/>
  <c r="AE194" i="23" s="1"/>
  <c r="J79" i="23"/>
  <c r="J42" i="23"/>
  <c r="AA44" i="23"/>
  <c r="O204" i="23"/>
  <c r="G115" i="23"/>
  <c r="G179" i="23" s="1"/>
  <c r="G124" i="23"/>
  <c r="G184" i="23" s="1"/>
  <c r="G119" i="23"/>
  <c r="G127" i="23"/>
  <c r="G187" i="23" s="1"/>
  <c r="G141" i="23"/>
  <c r="G205" i="23" s="1"/>
  <c r="G208" i="23" s="1"/>
  <c r="R143" i="23"/>
  <c r="R207" i="23" s="1"/>
  <c r="T21" i="23"/>
  <c r="T22" i="23" s="1"/>
  <c r="S19" i="23"/>
  <c r="S21" i="23" s="1"/>
  <c r="R126" i="23"/>
  <c r="R186" i="23" s="1"/>
  <c r="S78" i="23"/>
  <c r="S38" i="23"/>
  <c r="S40" i="23" s="1"/>
  <c r="W41" i="23" s="1"/>
  <c r="R179" i="23"/>
  <c r="F179" i="23"/>
  <c r="E141" i="23"/>
  <c r="E205" i="23" s="1"/>
  <c r="E208" i="23" s="1"/>
  <c r="V78" i="23"/>
  <c r="R134" i="23"/>
  <c r="R194" i="23" s="1"/>
  <c r="S119" i="23"/>
  <c r="E119" i="23"/>
  <c r="R117" i="23"/>
  <c r="R129" i="23" s="1"/>
  <c r="R189" i="23" s="1"/>
  <c r="F123" i="23"/>
  <c r="F183" i="23" s="1"/>
  <c r="U78" i="23"/>
  <c r="F134" i="23"/>
  <c r="F194" i="23" s="1"/>
  <c r="E241" i="23"/>
  <c r="T202" i="23"/>
  <c r="W204" i="23"/>
  <c r="E115" i="23"/>
  <c r="E126" i="23" s="1"/>
  <c r="S203" i="23"/>
  <c r="U117" i="23"/>
  <c r="U245" i="23" s="1"/>
  <c r="U256" i="23" s="1"/>
  <c r="F230" i="23"/>
  <c r="F67" i="23"/>
  <c r="F172" i="23" s="1"/>
  <c r="S202" i="23"/>
  <c r="E127" i="23"/>
  <c r="E144" i="23" s="1"/>
  <c r="F84" i="23"/>
  <c r="E124" i="23"/>
  <c r="E184" i="23" s="1"/>
  <c r="AC79" i="23"/>
  <c r="AB79" i="23"/>
  <c r="M179" i="23"/>
  <c r="U123" i="23"/>
  <c r="U183" i="23" s="1"/>
  <c r="U179" i="23"/>
  <c r="U33" i="23"/>
  <c r="P143" i="23"/>
  <c r="P207" i="23" s="1"/>
  <c r="D469" i="22"/>
  <c r="W162" i="23"/>
  <c r="W226" i="23"/>
  <c r="W61" i="23"/>
  <c r="Y84" i="23" s="1"/>
  <c r="X41" i="23"/>
  <c r="W79" i="23"/>
  <c r="W205" i="23"/>
  <c r="W208" i="23" s="1"/>
  <c r="W143" i="23"/>
  <c r="W207" i="23" s="1"/>
  <c r="W209" i="23" s="1"/>
  <c r="AA68" i="23"/>
  <c r="AA70" i="23" s="1"/>
  <c r="AA172" i="23"/>
  <c r="AA236" i="23"/>
  <c r="W243" i="23"/>
  <c r="W144" i="23"/>
  <c r="W187" i="23"/>
  <c r="S216" i="23"/>
  <c r="W216" i="23"/>
  <c r="D386" i="22"/>
  <c r="F144" i="23"/>
  <c r="W167" i="23"/>
  <c r="W231" i="23"/>
  <c r="W126" i="23"/>
  <c r="W179" i="23"/>
  <c r="W134" i="23"/>
  <c r="W194" i="23" s="1"/>
  <c r="W123" i="23"/>
  <c r="W183" i="23" s="1"/>
  <c r="W171" i="23"/>
  <c r="W235" i="23"/>
  <c r="F325" i="22"/>
  <c r="P126" i="23"/>
  <c r="P145" i="23" s="1"/>
  <c r="X209" i="23"/>
  <c r="X243" i="23"/>
  <c r="X144" i="23"/>
  <c r="D356" i="22"/>
  <c r="P134" i="23"/>
  <c r="P194" i="23" s="1"/>
  <c r="S124" i="23"/>
  <c r="S184" i="23" s="1"/>
  <c r="P117" i="23"/>
  <c r="P245" i="23" s="1"/>
  <c r="P256" i="23" s="1"/>
  <c r="S241" i="23"/>
  <c r="V216" i="23"/>
  <c r="C448" i="22"/>
  <c r="F143" i="23"/>
  <c r="F207" i="23" s="1"/>
  <c r="X204" i="23"/>
  <c r="F222" i="22"/>
  <c r="F225" i="22"/>
  <c r="P123" i="23"/>
  <c r="P183" i="23" s="1"/>
  <c r="S141" i="23"/>
  <c r="S205" i="23" s="1"/>
  <c r="Z41" i="23"/>
  <c r="V44" i="23"/>
  <c r="V42" i="23"/>
  <c r="Z145" i="23"/>
  <c r="Z186" i="23"/>
  <c r="V140" i="23"/>
  <c r="V203" i="23"/>
  <c r="V204" i="23" s="1"/>
  <c r="Z144" i="23"/>
  <c r="Z187" i="23"/>
  <c r="S220" i="23"/>
  <c r="S219" i="23"/>
  <c r="E359" i="22"/>
  <c r="F353" i="22" s="1"/>
  <c r="D257" i="22"/>
  <c r="E263" i="22"/>
  <c r="D260" i="22"/>
  <c r="Z78" i="23"/>
  <c r="Y78" i="23"/>
  <c r="X78" i="23"/>
  <c r="Z140" i="23"/>
  <c r="Z203" i="23"/>
  <c r="Y140" i="23"/>
  <c r="Y203" i="23"/>
  <c r="N22" i="23"/>
  <c r="N24" i="23"/>
  <c r="V41" i="23"/>
  <c r="X126" i="23"/>
  <c r="X145" i="23" s="1"/>
  <c r="X117" i="23"/>
  <c r="X181" i="23" s="1"/>
  <c r="X134" i="23"/>
  <c r="X194" i="23" s="1"/>
  <c r="X179" i="23"/>
  <c r="Y129" i="23"/>
  <c r="Y189" i="23" s="1"/>
  <c r="F441" i="22"/>
  <c r="E294" i="22"/>
  <c r="E295" i="22" s="1"/>
  <c r="C295" i="22"/>
  <c r="C304" i="22"/>
  <c r="F292" i="22"/>
  <c r="E356" i="22"/>
  <c r="X24" i="23"/>
  <c r="X22" i="23"/>
  <c r="U22" i="23"/>
  <c r="U24" i="23"/>
  <c r="S144" i="23"/>
  <c r="S187" i="23"/>
  <c r="U186" i="23"/>
  <c r="U145" i="23"/>
  <c r="E446" i="22"/>
  <c r="F444" i="22"/>
  <c r="P187" i="23"/>
  <c r="P144" i="23"/>
  <c r="C187" i="23"/>
  <c r="C144" i="23"/>
  <c r="D243" i="23"/>
  <c r="I375" i="22"/>
  <c r="E389" i="22" s="1"/>
  <c r="F383" i="22" s="1"/>
  <c r="U203" i="23"/>
  <c r="U208" i="23" s="1"/>
  <c r="E472" i="22"/>
  <c r="F466" i="22" s="1"/>
  <c r="D466" i="22"/>
  <c r="T243" i="23"/>
  <c r="C82" i="23"/>
  <c r="C24" i="23"/>
  <c r="C22" i="23"/>
  <c r="Q187" i="23"/>
  <c r="Q144" i="23"/>
  <c r="P203" i="23"/>
  <c r="P140" i="23"/>
  <c r="C143" i="23"/>
  <c r="C207" i="23" s="1"/>
  <c r="C209" i="23" s="1"/>
  <c r="C205" i="23"/>
  <c r="C208" i="23" s="1"/>
  <c r="U236" i="23"/>
  <c r="U172" i="23"/>
  <c r="U68" i="23"/>
  <c r="R220" i="23"/>
  <c r="R219" i="23"/>
  <c r="R203" i="23"/>
  <c r="R140" i="23"/>
  <c r="N179" i="23"/>
  <c r="N117" i="23"/>
  <c r="E237" i="23"/>
  <c r="E173" i="23"/>
  <c r="E74" i="23"/>
  <c r="O38" i="23"/>
  <c r="O40" i="23" s="1"/>
  <c r="O19" i="23"/>
  <c r="R78" i="23"/>
  <c r="P78" i="23"/>
  <c r="Q78" i="23"/>
  <c r="O78" i="23"/>
  <c r="L22" i="23"/>
  <c r="L24" i="23"/>
  <c r="F82" i="23"/>
  <c r="F22" i="23"/>
  <c r="F24" i="23"/>
  <c r="D24" i="23"/>
  <c r="D22" i="23"/>
  <c r="D82" i="23"/>
  <c r="R144" i="23"/>
  <c r="R187" i="23"/>
  <c r="V187" i="23"/>
  <c r="V144" i="23"/>
  <c r="G82" i="23"/>
  <c r="G24" i="23"/>
  <c r="G22" i="23"/>
  <c r="Q245" i="23"/>
  <c r="Q256" i="23" s="1"/>
  <c r="Q181" i="23"/>
  <c r="Q129" i="23"/>
  <c r="Q189" i="23" s="1"/>
  <c r="D179" i="23"/>
  <c r="D123" i="23"/>
  <c r="D183" i="23" s="1"/>
  <c r="D134" i="23"/>
  <c r="D194" i="23" s="1"/>
  <c r="D126" i="23"/>
  <c r="D117" i="23"/>
  <c r="T205" i="23"/>
  <c r="T143" i="23"/>
  <c r="T207" i="23" s="1"/>
  <c r="N143" i="23"/>
  <c r="N207" i="23" s="1"/>
  <c r="N205" i="23"/>
  <c r="O230" i="23"/>
  <c r="O166" i="23"/>
  <c r="Q84" i="23"/>
  <c r="O67" i="23"/>
  <c r="E469" i="22"/>
  <c r="V143" i="23"/>
  <c r="V207" i="23" s="1"/>
  <c r="V205" i="23"/>
  <c r="C243" i="23"/>
  <c r="P42" i="23"/>
  <c r="P44" i="23"/>
  <c r="P41" i="23"/>
  <c r="T187" i="23"/>
  <c r="T144" i="23"/>
  <c r="L205" i="23"/>
  <c r="L143" i="23"/>
  <c r="L207" i="23" s="1"/>
  <c r="F215" i="23"/>
  <c r="F238" i="23"/>
  <c r="F218" i="23"/>
  <c r="F254" i="23" s="1"/>
  <c r="F199" i="23"/>
  <c r="F228" i="23"/>
  <c r="F233" i="23"/>
  <c r="F226" i="23"/>
  <c r="F222" i="23"/>
  <c r="F229" i="23"/>
  <c r="F232" i="23"/>
  <c r="F225" i="23"/>
  <c r="F235" i="23"/>
  <c r="F227" i="23"/>
  <c r="F231" i="23"/>
  <c r="F223" i="23"/>
  <c r="F234" i="23"/>
  <c r="F202" i="23"/>
  <c r="F224" i="23"/>
  <c r="C338" i="22"/>
  <c r="E328" i="22"/>
  <c r="C328" i="22"/>
  <c r="M236" i="23"/>
  <c r="M172" i="23"/>
  <c r="M68" i="23"/>
  <c r="M70" i="23" s="1"/>
  <c r="E420" i="22"/>
  <c r="F414" i="22" s="1"/>
  <c r="D414" i="22"/>
  <c r="D230" i="23"/>
  <c r="D166" i="23"/>
  <c r="D84" i="23"/>
  <c r="D67" i="23"/>
  <c r="T42" i="23"/>
  <c r="T44" i="23"/>
  <c r="T41" i="23"/>
  <c r="E70" i="23"/>
  <c r="O241" i="23"/>
  <c r="O141" i="23"/>
  <c r="O177" i="23"/>
  <c r="O124" i="23"/>
  <c r="O184" i="23" s="1"/>
  <c r="O119" i="23"/>
  <c r="O127" i="23"/>
  <c r="O115" i="23"/>
  <c r="P33" i="23"/>
  <c r="P21" i="23"/>
  <c r="D144" i="23"/>
  <c r="D187" i="23"/>
  <c r="F245" i="23"/>
  <c r="F256" i="23" s="1"/>
  <c r="F181" i="23"/>
  <c r="S117" i="23"/>
  <c r="F129" i="23"/>
  <c r="F189" i="23" s="1"/>
  <c r="T179" i="23"/>
  <c r="T134" i="23"/>
  <c r="T194" i="23" s="1"/>
  <c r="T126" i="23"/>
  <c r="T123" i="23"/>
  <c r="T183" i="23" s="1"/>
  <c r="T117" i="23"/>
  <c r="L179" i="23"/>
  <c r="L117" i="23"/>
  <c r="T203" i="23"/>
  <c r="T140" i="23"/>
  <c r="V243" i="23"/>
  <c r="Q203" i="23"/>
  <c r="Q140" i="23"/>
  <c r="E417" i="22"/>
  <c r="C179" i="23"/>
  <c r="C123" i="23"/>
  <c r="C183" i="23" s="1"/>
  <c r="C134" i="23"/>
  <c r="C194" i="23" s="1"/>
  <c r="C126" i="23"/>
  <c r="C117" i="23"/>
  <c r="Q236" i="23"/>
  <c r="Q172" i="23"/>
  <c r="Q68" i="23"/>
  <c r="Q70" i="23" s="1"/>
  <c r="E41" i="23"/>
  <c r="E42" i="23"/>
  <c r="E79" i="23"/>
  <c r="E44" i="23"/>
  <c r="S131" i="23"/>
  <c r="S191" i="23" s="1"/>
  <c r="S226" i="23"/>
  <c r="S162" i="23"/>
  <c r="S61" i="23"/>
  <c r="E33" i="23"/>
  <c r="E21" i="23"/>
  <c r="F203" i="23"/>
  <c r="M245" i="23"/>
  <c r="M181" i="23"/>
  <c r="D143" i="23"/>
  <c r="D207" i="23" s="1"/>
  <c r="D209" i="23" s="1"/>
  <c r="D205" i="23"/>
  <c r="D208" i="23" s="1"/>
  <c r="E388" i="22"/>
  <c r="R22" i="23"/>
  <c r="R24" i="23"/>
  <c r="G230" i="23"/>
  <c r="G166" i="23"/>
  <c r="G84" i="23"/>
  <c r="G67" i="23"/>
  <c r="U132" i="23"/>
  <c r="U192" i="23" s="1"/>
  <c r="U131" i="23"/>
  <c r="U191" i="23" s="1"/>
  <c r="V134" i="23"/>
  <c r="V194" i="23" s="1"/>
  <c r="V179" i="23"/>
  <c r="V117" i="23"/>
  <c r="V126" i="23"/>
  <c r="V123" i="23"/>
  <c r="V183" i="23" s="1"/>
  <c r="G143" i="23"/>
  <c r="G207" i="23" s="1"/>
  <c r="G209" i="23" s="1"/>
  <c r="Q186" i="23"/>
  <c r="Q145" i="23"/>
  <c r="Q22" i="23"/>
  <c r="Q24" i="23"/>
  <c r="U250" i="23" l="1"/>
  <c r="U253" i="23"/>
  <c r="U261" i="23"/>
  <c r="P250" i="23"/>
  <c r="P261" i="23"/>
  <c r="P253" i="23"/>
  <c r="S254" i="23"/>
  <c r="S251" i="23"/>
  <c r="W261" i="23"/>
  <c r="W250" i="23"/>
  <c r="W253" i="23"/>
  <c r="F251" i="23"/>
  <c r="AE261" i="23"/>
  <c r="AE250" i="23"/>
  <c r="AE253" i="23"/>
  <c r="F250" i="23"/>
  <c r="F253" i="23"/>
  <c r="F261" i="23"/>
  <c r="D250" i="23"/>
  <c r="D253" i="23"/>
  <c r="D261" i="23"/>
  <c r="V253" i="23"/>
  <c r="V250" i="23"/>
  <c r="V261" i="23"/>
  <c r="O251" i="23"/>
  <c r="O254" i="23"/>
  <c r="X250" i="23"/>
  <c r="X261" i="23"/>
  <c r="X253" i="23"/>
  <c r="E254" i="23"/>
  <c r="E251" i="23"/>
  <c r="G251" i="23"/>
  <c r="G254" i="23"/>
  <c r="R145" i="23"/>
  <c r="T253" i="23"/>
  <c r="T250" i="23"/>
  <c r="T261" i="23"/>
  <c r="C261" i="23"/>
  <c r="C250" i="23"/>
  <c r="C253" i="23"/>
  <c r="Y245" i="23"/>
  <c r="Y256" i="23" s="1"/>
  <c r="Y186" i="23"/>
  <c r="E243" i="23"/>
  <c r="C68" i="23"/>
  <c r="C70" i="23" s="1"/>
  <c r="C71" i="23" s="1"/>
  <c r="S134" i="23"/>
  <c r="S194" i="23" s="1"/>
  <c r="G144" i="23"/>
  <c r="C172" i="23"/>
  <c r="G243" i="23"/>
  <c r="S33" i="23"/>
  <c r="S123" i="23"/>
  <c r="S183" i="23" s="1"/>
  <c r="G126" i="23"/>
  <c r="G186" i="23" s="1"/>
  <c r="S179" i="23"/>
  <c r="F186" i="23"/>
  <c r="S208" i="23"/>
  <c r="G134" i="23"/>
  <c r="G194" i="23" s="1"/>
  <c r="G123" i="23"/>
  <c r="G183" i="23" s="1"/>
  <c r="G117" i="23"/>
  <c r="W117" i="23" s="1"/>
  <c r="W245" i="23" s="1"/>
  <c r="W256" i="23" s="1"/>
  <c r="T204" i="23"/>
  <c r="AE245" i="23"/>
  <c r="AE256" i="23" s="1"/>
  <c r="AE181" i="23"/>
  <c r="AE129" i="23"/>
  <c r="AE189" i="23" s="1"/>
  <c r="F236" i="23"/>
  <c r="AE145" i="23"/>
  <c r="AE186" i="23"/>
  <c r="W82" i="23"/>
  <c r="T24" i="23"/>
  <c r="T82" i="23"/>
  <c r="U79" i="23"/>
  <c r="F68" i="23"/>
  <c r="F70" i="23" s="1"/>
  <c r="F175" i="23" s="1"/>
  <c r="E134" i="23"/>
  <c r="E194" i="23" s="1"/>
  <c r="E123" i="23"/>
  <c r="E183" i="23" s="1"/>
  <c r="E179" i="23"/>
  <c r="R181" i="23"/>
  <c r="P129" i="23"/>
  <c r="P189" i="23" s="1"/>
  <c r="S44" i="23"/>
  <c r="R245" i="23"/>
  <c r="R256" i="23" s="1"/>
  <c r="S79" i="23"/>
  <c r="P181" i="23"/>
  <c r="S41" i="23"/>
  <c r="P186" i="23"/>
  <c r="S42" i="23"/>
  <c r="V209" i="23"/>
  <c r="E117" i="23"/>
  <c r="E129" i="23" s="1"/>
  <c r="E189" i="23" s="1"/>
  <c r="V79" i="23"/>
  <c r="T79" i="23"/>
  <c r="S204" i="23"/>
  <c r="U129" i="23"/>
  <c r="U189" i="23" s="1"/>
  <c r="U181" i="23"/>
  <c r="E143" i="23"/>
  <c r="E207" i="23" s="1"/>
  <c r="E209" i="23" s="1"/>
  <c r="E187" i="23"/>
  <c r="S143" i="23"/>
  <c r="S207" i="23" s="1"/>
  <c r="S209" i="23" s="1"/>
  <c r="S243" i="23"/>
  <c r="AA239" i="23"/>
  <c r="AA175" i="23"/>
  <c r="W67" i="23"/>
  <c r="W166" i="23"/>
  <c r="W230" i="23"/>
  <c r="W84" i="23"/>
  <c r="P209" i="23"/>
  <c r="V208" i="23"/>
  <c r="AA173" i="23"/>
  <c r="AA237" i="23"/>
  <c r="W186" i="23"/>
  <c r="W145" i="23"/>
  <c r="R208" i="23"/>
  <c r="T208" i="23"/>
  <c r="U82" i="23"/>
  <c r="F209" i="23"/>
  <c r="F356" i="22"/>
  <c r="Z204" i="23"/>
  <c r="Z208" i="23"/>
  <c r="Z209" i="23"/>
  <c r="F257" i="22"/>
  <c r="F260" i="22"/>
  <c r="R209" i="23"/>
  <c r="Y204" i="23"/>
  <c r="Y209" i="23"/>
  <c r="Y208" i="23"/>
  <c r="U70" i="23"/>
  <c r="U239" i="23" s="1"/>
  <c r="X186" i="23"/>
  <c r="X129" i="23"/>
  <c r="X189" i="23" s="1"/>
  <c r="X245" i="23"/>
  <c r="X256" i="23" s="1"/>
  <c r="E358" i="22"/>
  <c r="F386" i="22"/>
  <c r="D304" i="22"/>
  <c r="D305" i="22" s="1"/>
  <c r="C305" i="22"/>
  <c r="C297" i="22"/>
  <c r="D295" i="22"/>
  <c r="E297" i="22"/>
  <c r="F295" i="22"/>
  <c r="M239" i="23"/>
  <c r="M175" i="23"/>
  <c r="S230" i="23"/>
  <c r="S166" i="23"/>
  <c r="S67" i="23"/>
  <c r="U84" i="23"/>
  <c r="S84" i="23"/>
  <c r="C245" i="23"/>
  <c r="C256" i="23" s="1"/>
  <c r="C181" i="23"/>
  <c r="C129" i="23"/>
  <c r="C189" i="23" s="1"/>
  <c r="S82" i="23"/>
  <c r="P24" i="23"/>
  <c r="P22" i="23"/>
  <c r="O243" i="23"/>
  <c r="D236" i="23"/>
  <c r="D172" i="23"/>
  <c r="D68" i="23"/>
  <c r="D70" i="23" s="1"/>
  <c r="F258" i="23"/>
  <c r="F259" i="23"/>
  <c r="Q208" i="23"/>
  <c r="D245" i="23"/>
  <c r="D256" i="23" s="1"/>
  <c r="D181" i="23"/>
  <c r="D129" i="23"/>
  <c r="D189" i="23" s="1"/>
  <c r="F204" i="23"/>
  <c r="F208" i="23"/>
  <c r="Q204" i="23"/>
  <c r="O179" i="23"/>
  <c r="O123" i="23"/>
  <c r="O183" i="23" s="1"/>
  <c r="O134" i="23"/>
  <c r="O194" i="23" s="1"/>
  <c r="O126" i="23"/>
  <c r="C330" i="22"/>
  <c r="D328" i="22"/>
  <c r="E471" i="22"/>
  <c r="F469" i="22"/>
  <c r="S145" i="23"/>
  <c r="S186" i="23"/>
  <c r="C186" i="23"/>
  <c r="C145" i="23"/>
  <c r="N245" i="23"/>
  <c r="N181" i="23"/>
  <c r="E82" i="23"/>
  <c r="E24" i="23"/>
  <c r="E22" i="23"/>
  <c r="L245" i="23"/>
  <c r="L181" i="23"/>
  <c r="S245" i="23"/>
  <c r="S256" i="23" s="1"/>
  <c r="S181" i="23"/>
  <c r="S129" i="23"/>
  <c r="S189" i="23" s="1"/>
  <c r="O144" i="23"/>
  <c r="O187" i="23"/>
  <c r="E239" i="23"/>
  <c r="E175" i="23"/>
  <c r="E330" i="22"/>
  <c r="F328" i="22"/>
  <c r="S24" i="23"/>
  <c r="S22" i="23"/>
  <c r="V82" i="23"/>
  <c r="E245" i="23"/>
  <c r="E256" i="23" s="1"/>
  <c r="E181" i="23"/>
  <c r="O117" i="23"/>
  <c r="D186" i="23"/>
  <c r="D145" i="23"/>
  <c r="U204" i="23"/>
  <c r="G236" i="23"/>
  <c r="G172" i="23"/>
  <c r="G68" i="23"/>
  <c r="G74" i="23" s="1"/>
  <c r="Q237" i="23"/>
  <c r="Q173" i="23"/>
  <c r="Q74" i="23"/>
  <c r="D338" i="22"/>
  <c r="D339" i="22" s="1"/>
  <c r="C339" i="22"/>
  <c r="O21" i="23"/>
  <c r="O33" i="23"/>
  <c r="R204" i="23"/>
  <c r="E145" i="23"/>
  <c r="E186" i="23"/>
  <c r="Q239" i="23"/>
  <c r="Q175" i="23"/>
  <c r="Q71" i="23"/>
  <c r="Q73" i="23" s="1"/>
  <c r="T245" i="23"/>
  <c r="T256" i="23" s="1"/>
  <c r="T181" i="23"/>
  <c r="T129" i="23"/>
  <c r="T189" i="23" s="1"/>
  <c r="F220" i="23"/>
  <c r="G219" i="23"/>
  <c r="F219" i="23"/>
  <c r="C239" i="23"/>
  <c r="C175" i="23"/>
  <c r="O42" i="23"/>
  <c r="R79" i="23"/>
  <c r="O44" i="23"/>
  <c r="Q79" i="23"/>
  <c r="P79" i="23"/>
  <c r="O79" i="23"/>
  <c r="U237" i="23"/>
  <c r="U173" i="23"/>
  <c r="U209" i="23"/>
  <c r="F417" i="22"/>
  <c r="E419" i="22"/>
  <c r="V186" i="23"/>
  <c r="V145" i="23"/>
  <c r="Q209" i="23"/>
  <c r="G145" i="23"/>
  <c r="C74" i="23"/>
  <c r="O236" i="23"/>
  <c r="O172" i="23"/>
  <c r="O68" i="23"/>
  <c r="T209" i="23"/>
  <c r="P204" i="23"/>
  <c r="P208" i="23"/>
  <c r="V245" i="23"/>
  <c r="V256" i="23" s="1"/>
  <c r="V129" i="23"/>
  <c r="V189" i="23" s="1"/>
  <c r="V181" i="23"/>
  <c r="T145" i="23"/>
  <c r="T186" i="23"/>
  <c r="O143" i="23"/>
  <c r="O207" i="23" s="1"/>
  <c r="O209" i="23" s="1"/>
  <c r="O205" i="23"/>
  <c r="O208" i="23" s="1"/>
  <c r="M237" i="23"/>
  <c r="M173" i="23"/>
  <c r="M74" i="23"/>
  <c r="F216" i="23"/>
  <c r="G216" i="23"/>
  <c r="O250" i="23" l="1"/>
  <c r="O261" i="23"/>
  <c r="O253" i="23"/>
  <c r="G253" i="23"/>
  <c r="G261" i="23"/>
  <c r="G250" i="23"/>
  <c r="C173" i="23"/>
  <c r="E250" i="23"/>
  <c r="E253" i="23"/>
  <c r="E261" i="23"/>
  <c r="S261" i="23"/>
  <c r="S253" i="23"/>
  <c r="S250" i="23"/>
  <c r="C237" i="23"/>
  <c r="G245" i="23"/>
  <c r="G256" i="23" s="1"/>
  <c r="G129" i="23"/>
  <c r="G189" i="23" s="1"/>
  <c r="W181" i="23"/>
  <c r="G181" i="23"/>
  <c r="W129" i="23"/>
  <c r="W189" i="23" s="1"/>
  <c r="F74" i="23"/>
  <c r="F239" i="23"/>
  <c r="F173" i="23"/>
  <c r="F237" i="23"/>
  <c r="G70" i="23"/>
  <c r="G175" i="23" s="1"/>
  <c r="W236" i="23"/>
  <c r="W172" i="23"/>
  <c r="W68" i="23"/>
  <c r="W70" i="23" s="1"/>
  <c r="X82" i="23"/>
  <c r="Z82" i="23"/>
  <c r="Y82" i="23"/>
  <c r="Z79" i="23"/>
  <c r="X79" i="23"/>
  <c r="Y79" i="23"/>
  <c r="U175" i="23"/>
  <c r="D239" i="23"/>
  <c r="D175" i="23"/>
  <c r="D71" i="23"/>
  <c r="C73" i="23"/>
  <c r="D237" i="23"/>
  <c r="D173" i="23"/>
  <c r="D74" i="23"/>
  <c r="O237" i="23"/>
  <c r="O173" i="23"/>
  <c r="O70" i="23"/>
  <c r="G237" i="23"/>
  <c r="G173" i="23"/>
  <c r="O245" i="23"/>
  <c r="O256" i="23" s="1"/>
  <c r="O129" i="23"/>
  <c r="O189" i="23" s="1"/>
  <c r="O181" i="23"/>
  <c r="R82" i="23"/>
  <c r="O24" i="23"/>
  <c r="O22" i="23"/>
  <c r="Q82" i="23"/>
  <c r="P82" i="23"/>
  <c r="O82" i="23"/>
  <c r="O145" i="23"/>
  <c r="O186" i="23"/>
  <c r="S236" i="23"/>
  <c r="S172" i="23"/>
  <c r="S68" i="23"/>
  <c r="S70" i="23" s="1"/>
  <c r="G239" i="23" l="1"/>
  <c r="W175" i="23"/>
  <c r="W239" i="23"/>
  <c r="W173" i="23"/>
  <c r="W237" i="23"/>
  <c r="S239" i="23"/>
  <c r="S175" i="23"/>
  <c r="S237" i="23"/>
  <c r="S173" i="23"/>
  <c r="D73" i="23"/>
  <c r="M71" i="23"/>
  <c r="M73" i="23" s="1"/>
  <c r="E71" i="23"/>
  <c r="O239" i="23"/>
  <c r="O175" i="23"/>
  <c r="F71" i="23" l="1"/>
  <c r="E73" i="23"/>
  <c r="S71" i="23" l="1"/>
  <c r="F73" i="23"/>
  <c r="G71" i="23"/>
  <c r="H71" i="23" l="1"/>
  <c r="W71" i="23"/>
  <c r="W73" i="23" s="1"/>
  <c r="G73" i="23"/>
  <c r="U71" i="23"/>
  <c r="S73" i="23"/>
  <c r="H73" i="23" l="1"/>
  <c r="I71" i="23"/>
  <c r="AA71" i="23"/>
  <c r="AC71" i="23" s="1"/>
  <c r="AC73" i="23" s="1"/>
  <c r="Y71" i="23"/>
  <c r="U73" i="23"/>
  <c r="I73" i="23" l="1"/>
  <c r="AE71" i="23"/>
  <c r="Y73" i="23"/>
  <c r="AA73" i="23"/>
  <c r="AE73" i="23" l="1"/>
  <c r="AG71" i="23"/>
  <c r="AG73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CRISL GR&amp;RS</author>
  </authors>
  <commentList>
    <comment ref="B28" authorId="0" shapeId="0" xr:uid="{08E68AB5-D2A2-4586-BFDB-38B5EC6456F7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63" authorId="0" shapeId="0" xr:uid="{AA84AC39-19CA-4EA3-ACC8-A06F3DF1D3D5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98" authorId="0" shapeId="0" xr:uid="{241DDFE7-2334-4EA7-ABDF-CEA620068F7C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133" authorId="0" shapeId="0" xr:uid="{1ED50298-2976-4622-9AB7-7E2DBD33CF1E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168" authorId="0" shapeId="0" xr:uid="{CAE99F70-E0D0-4DCB-A4F8-539BDE27A53D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203" authorId="0" shapeId="0" xr:uid="{56035E86-E0D1-49B2-9F82-56F67687527E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238" authorId="0" shapeId="0" xr:uid="{7AABCAD5-5625-4E19-B76D-F0061CA8AE8E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273" authorId="0" shapeId="0" xr:uid="{91EDC2DF-41A5-491F-A793-428A9F15A991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Bloomberg</t>
        </r>
      </text>
    </comment>
    <comment ref="B307" authorId="0" shapeId="0" xr:uid="{2FE619CF-A2BF-41C9-9BDF-0CB153E2E626}">
      <text>
        <r>
          <rPr>
            <b/>
            <sz val="9"/>
            <color indexed="81"/>
            <rFont val="Tahoma"/>
            <family val="2"/>
          </rPr>
          <t>CRISL GR&amp;RS:</t>
        </r>
        <r>
          <rPr>
            <sz val="9"/>
            <color indexed="81"/>
            <rFont val="Tahoma"/>
            <family val="2"/>
          </rPr>
          <t xml:space="preserve">
Taken from BBG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GR&amp;A</author>
    <author>CRISIL</author>
    <author>CRISIL GR&amp;RS</author>
  </authors>
  <commentList>
    <comment ref="B5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Captured half yearly cash flow as quarterly cash flow is not available in company filings</t>
        </r>
      </text>
    </comment>
    <comment ref="M5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Captured half yearly cash flow as quarterly cash flow is not available in company filings</t>
        </r>
      </text>
    </comment>
    <comment ref="Q5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Captured half yearly cash flow as quarterly cash flow is not available in company filings</t>
        </r>
      </text>
    </comment>
    <comment ref="AG55" authorId="1" shapeId="0" xr:uid="{CEC3720B-5012-4986-ACF9-5A88E7F1042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To be updated once 2Q25 Interim report is published</t>
        </r>
      </text>
    </comment>
    <comment ref="C114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D114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E114" authorId="2" shapeId="0" xr:uid="{00000000-0006-0000-0100-000006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F114" authorId="2" shapeId="0" xr:uid="{00000000-0006-0000-0100-000007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G114" authorId="2" shapeId="0" xr:uid="{6B768CC5-12A5-46DA-9F46-0442A3DA6F7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L114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M114" authorId="2" shapeId="0" xr:uid="{00000000-0006-0000-0100-000009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N114" authorId="2" shapeId="0" xr:uid="{00000000-0006-0000-0100-00000A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P114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Q114" authorId="2" shapeId="0" xr:uid="{00000000-0006-0000-0100-00000C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R114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T114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U114" authorId="2" shapeId="0" xr:uid="{78897B13-9402-42FD-81C6-A6FB2BB313A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V114" authorId="2" shapeId="0" xr:uid="{F53D813F-400E-4284-9DD5-DDD806B2933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X114" authorId="2" shapeId="0" xr:uid="{A9147C56-3EE1-4666-8A80-307757DBD9E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Y114" authorId="2" shapeId="0" xr:uid="{C8ACC543-EB11-4621-8143-509E2F319FA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Z114" authorId="2" shapeId="0" xr:uid="{97427296-9322-4C31-B6FB-605616BC0D4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AB114" authorId="2" shapeId="0" xr:uid="{3D9A3077-D5D1-4396-B10F-57693847919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AC114" authorId="2" shapeId="0" xr:uid="{71A16BE4-F3AB-4136-B60C-DDC19134437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  <comment ref="AD114" authorId="2" shapeId="0" xr:uid="{0935F01D-5139-485D-A406-242C51CC80E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including Financial assets at fair value through profit or loss, Other financial assets and Term deposits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GR&amp;A</author>
    <author>Vivek Panchal</author>
    <author>CRISIL GR&amp;A</author>
  </authors>
  <commentList>
    <comment ref="C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Segregation of Domestic and International Games not available. </t>
        </r>
      </text>
    </comment>
    <comment ref="D1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Segregation of Domestic and International Games not available. </t>
        </r>
      </text>
    </comment>
    <comment ref="E1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Segregation of Domestic and International Games not available. </t>
        </r>
      </text>
    </comment>
    <comment ref="L1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Segregation of Domestic and International Games not available. </t>
        </r>
      </text>
    </comment>
    <comment ref="M1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Segregation of Domestic and International Games not available. </t>
        </r>
      </text>
    </comment>
    <comment ref="G16" authorId="1" shapeId="0" xr:uid="{68171551-389E-4BE8-877A-65187D797D9E}">
      <text>
        <r>
          <rPr>
            <b/>
            <sz val="9"/>
            <color indexed="81"/>
            <rFont val="Tahoma"/>
            <family val="2"/>
          </rPr>
          <t>Presentation</t>
        </r>
      </text>
    </comment>
    <comment ref="F28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presentation</t>
        </r>
      </text>
    </comment>
    <comment ref="G28" authorId="2" shapeId="0" xr:uid="{0F9EDC24-EB78-4153-A92C-9F53F9EBB26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presentation</t>
        </r>
      </text>
    </comment>
    <comment ref="F29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presentation</t>
        </r>
      </text>
    </comment>
    <comment ref="G29" authorId="2" shapeId="0" xr:uid="{CD1337A6-A66B-4244-B375-812E0B06010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presentation</t>
        </r>
      </text>
    </comment>
    <comment ref="S39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T39" authorId="2" shapeId="0" xr:uid="{AE6661FA-A28B-4F7A-9C13-8D3C699B297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U39" authorId="2" shapeId="0" xr:uid="{DA87253B-A349-4613-9C63-74F91B8D8B7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V39" authorId="2" shapeId="0" xr:uid="{EE97DD9F-21F5-4EC8-A0D1-D451925124C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W39" authorId="2" shapeId="0" xr:uid="{D1329811-2A96-40B3-94A4-E4D7AE4CAE0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X39" authorId="2" shapeId="0" xr:uid="{83785C9C-C68B-46A3-BE3B-7A4B38DA544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Y39" authorId="2" shapeId="0" xr:uid="{8E29C3A2-569F-4A36-987A-EC5FCB61332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Z39" authorId="2" shapeId="0" xr:uid="{FAB37944-2F4C-4BED-B506-FA0905CD7AB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A39" authorId="2" shapeId="0" xr:uid="{86FAFF2D-60CB-4F1D-B251-984C2DFAE9B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B39" authorId="2" shapeId="0" xr:uid="{BFE700B6-BA2F-41B0-B808-B5C4950AFE1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C39" authorId="2" shapeId="0" xr:uid="{97CC3A0E-CCCA-4FFF-A4D2-C46F7508190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D39" authorId="2" shapeId="0" xr:uid="{4BC0B331-4128-44A6-9497-402B1DFEF09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E39" authorId="2" shapeId="0" xr:uid="{908FA1D5-AD87-49FF-BDB6-0F1E79801EF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F39" authorId="2" shapeId="0" xr:uid="{C4F32011-312F-46C1-8F54-C490E5C6C52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G39" authorId="2" shapeId="0" xr:uid="{1A8DEB76-86C2-4D6F-AE58-C27944494F9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T40" authorId="2" shapeId="0" xr:uid="{52144E20-1EB4-4619-9C1D-971CC1D0259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U40" authorId="2" shapeId="0" xr:uid="{D5F005C4-F4E3-4847-AC61-A1D6ADCE176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V40" authorId="2" shapeId="0" xr:uid="{26B442B6-47B5-49EB-BDF8-FFC76B95268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W40" authorId="2" shapeId="0" xr:uid="{DEFDB95E-749E-4A22-BE08-F289354C11D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X40" authorId="2" shapeId="0" xr:uid="{18CA0426-37BA-41ED-8AF9-BF47CE7114A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Y40" authorId="2" shapeId="0" xr:uid="{6211BE5D-FCEE-4DBD-AAFC-8517E27AE48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Z40" authorId="2" shapeId="0" xr:uid="{C3B8B9D9-907C-4726-A2FE-B7ED40C559C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A40" authorId="2" shapeId="0" xr:uid="{73D1D76A-EA43-4983-9AED-5768F423A02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B40" authorId="2" shapeId="0" xr:uid="{CEFE7D47-177B-48FC-BA35-242B232FB32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C40" authorId="2" shapeId="0" xr:uid="{ED5379E5-39D5-4E27-B576-2299F0A1BFE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D40" authorId="2" shapeId="0" xr:uid="{03A3171F-A781-47EC-8F23-6FDC05A48E6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E40" authorId="2" shapeId="0" xr:uid="{E1B295AD-F862-4FC4-B5FF-C8515559CFE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F40" authorId="2" shapeId="0" xr:uid="{BA907873-0945-4141-91D9-6F0C845DFEC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  <comment ref="AG40" authorId="2" shapeId="0" xr:uid="{9CE72919-F491-43CE-8820-D232859E651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From supplement : excel , downloaded from website</t>
        </r>
      </text>
    </comment>
  </commentList>
</comments>
</file>

<file path=xl/sharedStrings.xml><?xml version="1.0" encoding="utf-8"?>
<sst xmlns="http://schemas.openxmlformats.org/spreadsheetml/2006/main" count="1036" uniqueCount="301">
  <si>
    <t>2Q25</t>
  </si>
  <si>
    <t>Exchange rate as at end 2Q25</t>
  </si>
  <si>
    <t>LTM Average exchange rate 2Q25</t>
  </si>
  <si>
    <t>Debt Breakdown as on 30-Jun-2025</t>
  </si>
  <si>
    <t>RMB mn</t>
  </si>
  <si>
    <t xml:space="preserve">Leverage </t>
  </si>
  <si>
    <t>USD mn</t>
  </si>
  <si>
    <t>Long-term borrowings</t>
  </si>
  <si>
    <t>Cash and Short term investments breakdown as on 30 Jun 2025</t>
  </si>
  <si>
    <t>Long-term notes payable</t>
  </si>
  <si>
    <t>Long-term lease liability</t>
  </si>
  <si>
    <t>Term Deposits</t>
  </si>
  <si>
    <t>Short-term borrowings</t>
  </si>
  <si>
    <t>Financial assets at fair value through profit or loss</t>
  </si>
  <si>
    <t>Short-term notes payable</t>
  </si>
  <si>
    <t>Financial assets at fair value through other comprehensive income</t>
  </si>
  <si>
    <t>Short-term lease liability</t>
  </si>
  <si>
    <t>Other financial assets</t>
  </si>
  <si>
    <t>Total Loans &amp; Borrowings</t>
  </si>
  <si>
    <t>Total</t>
  </si>
  <si>
    <t>Cash and Cash Equivalents</t>
  </si>
  <si>
    <t>Investments</t>
  </si>
  <si>
    <t>Net debt</t>
  </si>
  <si>
    <t>Equity</t>
  </si>
  <si>
    <t xml:space="preserve">Total Capitalisation </t>
  </si>
  <si>
    <t>LTM Adjusted EBITDA</t>
  </si>
  <si>
    <t>check</t>
  </si>
  <si>
    <t>Liquidity at end 2Q25</t>
  </si>
  <si>
    <t>Total liquidity</t>
  </si>
  <si>
    <t>Debt maturity at end-2Q25</t>
  </si>
  <si>
    <t>2028 and later</t>
  </si>
  <si>
    <t>1Q25</t>
  </si>
  <si>
    <t>Exchange rate as at end 1Q25</t>
  </si>
  <si>
    <t>LTM Average exchange rate 1Q25</t>
  </si>
  <si>
    <t>Debt Breakdown as on 30-Mar-2025</t>
  </si>
  <si>
    <t>Cash and Short term investments breakdown as on 30 Mar 2025</t>
  </si>
  <si>
    <t>Liquidity at end 1Q25</t>
  </si>
  <si>
    <t>Debt maturity at end-1Q25</t>
  </si>
  <si>
    <t>3Q24</t>
  </si>
  <si>
    <t>Exchange rate as at end 3Q24</t>
  </si>
  <si>
    <t>LTM Average exchange rate 3Q24</t>
  </si>
  <si>
    <t>Debt Breakdown as on 30-Sept-2024</t>
  </si>
  <si>
    <t>Cash and Short term investments breakdown as on 30 Sept 2024</t>
  </si>
  <si>
    <t>Liquidity at end 3Q24</t>
  </si>
  <si>
    <t>Debt maturity at end-2Q24</t>
  </si>
  <si>
    <t>2Q24</t>
  </si>
  <si>
    <t>Exchange rate as at end 2Q24</t>
  </si>
  <si>
    <t>LTM Average exchange rate 2Q24</t>
  </si>
  <si>
    <t>Debt Breakdown as on 30-Jun-2024</t>
  </si>
  <si>
    <t>Cash and Short term investments breakdown as on 30 Jun 2024</t>
  </si>
  <si>
    <t>Liquidity at end 2Q24</t>
  </si>
  <si>
    <t>2027 and later</t>
  </si>
  <si>
    <t>1Q24</t>
  </si>
  <si>
    <t>Exchange rate as at end 1Q24</t>
  </si>
  <si>
    <t>LTM Average exchange rate 1Q24</t>
  </si>
  <si>
    <t>Debt Breakdown as on 30-Mar-2024</t>
  </si>
  <si>
    <t>Cash and Short term investments breakdown as on 30 Mar 2024</t>
  </si>
  <si>
    <t>Liquidity at end 1Q24</t>
  </si>
  <si>
    <t>Debt maturity at end-1Q24</t>
  </si>
  <si>
    <t>FY23</t>
  </si>
  <si>
    <t>Exchange rate as at end FY23</t>
  </si>
  <si>
    <t>LTM Average exchange rate FY23</t>
  </si>
  <si>
    <t>Debt Breakdown as on 31-Dec-2023</t>
  </si>
  <si>
    <t>Cash and Short term investments breakdown as on 31 Dec 2023</t>
  </si>
  <si>
    <t>Liquidity at end FY23</t>
  </si>
  <si>
    <t>Debt maturity at end-FY23</t>
  </si>
  <si>
    <t>Q3 FY23</t>
  </si>
  <si>
    <t>Exchange rate as at end 3Q23</t>
  </si>
  <si>
    <t>LTM Average exchange rate 3Q23</t>
  </si>
  <si>
    <t>Debt Breakdown as on 30-Sep-2023</t>
  </si>
  <si>
    <t>Cash and Short term investments breakdown as on 30 Sep 2023</t>
  </si>
  <si>
    <t>Liquidity at end 3Q23</t>
  </si>
  <si>
    <t>Debt maturity at end-3Q23</t>
  </si>
  <si>
    <t>2026 and later</t>
  </si>
  <si>
    <t>Q2 FY23</t>
  </si>
  <si>
    <t>Exchange rate as at end 2Q23</t>
  </si>
  <si>
    <t>LTM Average exchange rate 2Q23</t>
  </si>
  <si>
    <t>Debt Breakdown as on 30-Jun-2023</t>
  </si>
  <si>
    <t>Cash and Short term investments breakdown as on 30 Jun 2023</t>
  </si>
  <si>
    <t>Liquidity at end 2Q23</t>
  </si>
  <si>
    <t>Debt maturity at end-2Q23</t>
  </si>
  <si>
    <t>Q1 FY23</t>
  </si>
  <si>
    <t>Exchange rate as at end 1Q FY2023</t>
  </si>
  <si>
    <t>LTM Average exchange rate 1Q FY2023</t>
  </si>
  <si>
    <t>Debt Breakdown as on 31-Mar-2023</t>
  </si>
  <si>
    <t>Cash and Short term investments breakdown as on 31 Mar 2023</t>
  </si>
  <si>
    <t>Liquidity at end 1Q FY2023</t>
  </si>
  <si>
    <t>Debt maturity at end-1Q23</t>
  </si>
  <si>
    <t>Q4 FY2022</t>
  </si>
  <si>
    <t>Exchange rate as at end 4Q FY2022</t>
  </si>
  <si>
    <t>LTM Average exchange rate 4Q FY2022</t>
  </si>
  <si>
    <t>Debt Breakdown as on 31-Dec-2022</t>
  </si>
  <si>
    <t>Cash and Short term investments breakdown as on 31 Dec 2022</t>
  </si>
  <si>
    <t>Liquidity at end 4Q FY2022</t>
  </si>
  <si>
    <t>Q3 FY2022</t>
  </si>
  <si>
    <t>Exchange rate as at end 3Q FY2022</t>
  </si>
  <si>
    <t>LTM Average exchange rate 3Q FY2022</t>
  </si>
  <si>
    <t>Debt Breakdown as on 30-Sept-2022</t>
  </si>
  <si>
    <t>Cash and Short term investments breakdown as on 30 Sept 2022</t>
  </si>
  <si>
    <t>Liquidity at end 3Q FY2022</t>
  </si>
  <si>
    <t>Q2 FY2022</t>
  </si>
  <si>
    <t>Exchange rate as at end 2Q FY2022</t>
  </si>
  <si>
    <t>LTM Average exchange rate 2Q FY2022</t>
  </si>
  <si>
    <t>Debt Breakdown as on 30-Jun-2022</t>
  </si>
  <si>
    <t>Cash and Short term investments breakdown as on 30 Jun 2022</t>
  </si>
  <si>
    <t>Liquidity at end 2Q FY2022</t>
  </si>
  <si>
    <t>Q1 FY2022</t>
  </si>
  <si>
    <t>Exchange rate as at end 1Q FY2022</t>
  </si>
  <si>
    <t>LTM Average exchange rate 1Q FY2022</t>
  </si>
  <si>
    <t>Debt Breakdown as on 31-Mar-2022</t>
  </si>
  <si>
    <t>Cash and Short term investments breakdown as on 31 Mar 2022</t>
  </si>
  <si>
    <t>Liquidity at end 1Q FY2022</t>
  </si>
  <si>
    <t>FY2021</t>
  </si>
  <si>
    <t>Exchange rate as at end FY2021</t>
  </si>
  <si>
    <t>LTM Average exchange rate FY2021</t>
  </si>
  <si>
    <t>Debt Breakdown as on 31-Dec-2021</t>
  </si>
  <si>
    <t>Cash and Short term investments breakdown as on 31 Dec 2021</t>
  </si>
  <si>
    <t>Liquidity at end FY2021</t>
  </si>
  <si>
    <t>Q3 FY2021</t>
  </si>
  <si>
    <t>Exchange rate as at end 3Q FY2021</t>
  </si>
  <si>
    <t>LTM Average exchange rate 3Q FY2021</t>
  </si>
  <si>
    <t>Debt Breakdown as on 30-Sep-2021</t>
  </si>
  <si>
    <t>Liquidity at end-Q3 FY2021</t>
  </si>
  <si>
    <t>Tencent</t>
  </si>
  <si>
    <t>Annual</t>
  </si>
  <si>
    <t>LTM</t>
  </si>
  <si>
    <t xml:space="preserve">Quarters </t>
  </si>
  <si>
    <t>(RMB million)</t>
  </si>
  <si>
    <t>Act</t>
  </si>
  <si>
    <t>FY</t>
  </si>
  <si>
    <t>1Q</t>
  </si>
  <si>
    <t>2Q</t>
  </si>
  <si>
    <t>3Q</t>
  </si>
  <si>
    <t>4Q</t>
  </si>
  <si>
    <t>INCOME STATEMENT</t>
  </si>
  <si>
    <t>Revenue</t>
  </si>
  <si>
    <t xml:space="preserve">% of growth </t>
  </si>
  <si>
    <t>Cost of revenues</t>
  </si>
  <si>
    <t>Gross Profit</t>
  </si>
  <si>
    <t>Gross Profit margin</t>
  </si>
  <si>
    <t>Operating expenses:</t>
  </si>
  <si>
    <t>Interest income</t>
  </si>
  <si>
    <t>Other gains, net</t>
  </si>
  <si>
    <t>Selling and marketing expenses</t>
  </si>
  <si>
    <t>General and administrative expenses</t>
  </si>
  <si>
    <t>Operating profit</t>
  </si>
  <si>
    <t>Finance costs, net</t>
  </si>
  <si>
    <t>Share of (loss)/profit of associates and joint ventures</t>
  </si>
  <si>
    <t>Profit before income tax</t>
  </si>
  <si>
    <t>Income tax expenses</t>
  </si>
  <si>
    <t>Net profit/loss</t>
  </si>
  <si>
    <t>% margin</t>
  </si>
  <si>
    <t>Non-controlling interest</t>
  </si>
  <si>
    <t>Net profit/loss attributable to equity holders of the Company</t>
  </si>
  <si>
    <t>% of sales or stated otherwise</t>
  </si>
  <si>
    <t>Tax %  of PBT</t>
  </si>
  <si>
    <t>Working capital /sales</t>
  </si>
  <si>
    <t>Capex/sales</t>
  </si>
  <si>
    <t xml:space="preserve">EBITDA </t>
  </si>
  <si>
    <t xml:space="preserve">Operating profit </t>
  </si>
  <si>
    <t>Depreciation, depletion &amp; amortization</t>
  </si>
  <si>
    <t xml:space="preserve">% growth </t>
  </si>
  <si>
    <t>Adjustment</t>
  </si>
  <si>
    <t xml:space="preserve">Adj. EBITDA </t>
  </si>
  <si>
    <t>Capex sales</t>
  </si>
  <si>
    <t xml:space="preserve">WC SALES </t>
  </si>
  <si>
    <t>CASH FLOW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</si>
  <si>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</si>
  <si>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</si>
  <si>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</si>
  <si>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</si>
  <si>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</si>
  <si>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</si>
  <si>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</si>
  <si>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</si>
  <si>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>.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</si>
  <si>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</si>
  <si>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</si>
  <si>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</si>
  <si>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</si>
  <si>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</si>
  <si>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</si>
  <si>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</si>
  <si>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</si>
  <si>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</si>
  <si>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</si>
  <si>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</si>
  <si>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</si>
  <si>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</si>
  <si>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</si>
  <si>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</si>
  <si>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</si>
  <si>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</si>
  <si>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</si>
  <si>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accounts receivable</t>
  </si>
  <si>
    <t>Trade accounts payable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</si>
  <si>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</si>
  <si>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</si>
  <si>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</si>
  <si>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</si>
  <si>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</si>
  <si>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</si>
  <si>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Short-term debt</t>
  </si>
  <si>
    <t>Long-term debt</t>
  </si>
  <si>
    <t>Total Debt</t>
  </si>
  <si>
    <t>Lease Obligations</t>
  </si>
  <si>
    <t>Short-term</t>
  </si>
  <si>
    <t>Long-term</t>
  </si>
  <si>
    <t>Total Lease</t>
  </si>
  <si>
    <t>Debt  Including Lease obligations</t>
  </si>
  <si>
    <t>Total debt</t>
  </si>
  <si>
    <t xml:space="preserve">Net debt </t>
  </si>
  <si>
    <t>Company reported net debt</t>
  </si>
  <si>
    <t>Equity (as reported on balance sheet)</t>
  </si>
  <si>
    <t>Total debt + Equity</t>
  </si>
  <si>
    <t>CREDIT RATIOS</t>
  </si>
  <si>
    <t>Net Leverage excluding lease obligations</t>
  </si>
  <si>
    <t>Gross Leverage  excluding lease obligations</t>
  </si>
  <si>
    <t>Net Leverage including lease obligations</t>
  </si>
  <si>
    <t>Gross Leverage  including lease obligations</t>
  </si>
  <si>
    <t>Company reported net leverage</t>
  </si>
  <si>
    <t>EBITDA - Capex / Interest</t>
  </si>
  <si>
    <t>EBITDA/Interest</t>
  </si>
  <si>
    <t xml:space="preserve">Gearing (Net debt / Equity) </t>
  </si>
  <si>
    <t>Key Credit Metrics (RMB million)</t>
  </si>
  <si>
    <t xml:space="preserve">Revenues </t>
  </si>
  <si>
    <t>Adj. EBITDA</t>
  </si>
  <si>
    <t>Adj. EBITDA Margin</t>
  </si>
  <si>
    <t>Cash</t>
  </si>
  <si>
    <t>Net Debt</t>
  </si>
  <si>
    <t>Gross Leverage</t>
  </si>
  <si>
    <t xml:space="preserve">Net Leverage </t>
  </si>
  <si>
    <t>Summary Financials</t>
  </si>
  <si>
    <t>% growth</t>
  </si>
  <si>
    <t>FX rate average - RMB/USD</t>
  </si>
  <si>
    <t>FX rate  - RMB/USD (as at end of period)</t>
  </si>
  <si>
    <t>LTM - RMB/USD</t>
  </si>
  <si>
    <t>Key Credit Metrics (USD Mn where applicable)</t>
  </si>
  <si>
    <t>(USD millions)</t>
  </si>
  <si>
    <t>H4sIAAAAAAAEAM2Q30rDMBTGu1Wxog+Re0toZ+fcRW+souAuJh3ejDHTcLBhaVLzR+gewxfWpHR64YW3nkDOSeD7nY8vGAVB8OnKd1/nY3c9LZmh9Y2UO7TqWtBowSpFVBejZ1CaSZFPkkmKM5ziJEaF5cYqyAVYowiP0dJWnNFH6FZyByIXlvNjzy+/sdseux2wuATFCGd7UnEoCK3h98/FSrYLeAfev24ZNc6G04aOezK4igrZtESBih6Irku2hyAMoo9R2WkDDS4k59DrNL4H4TbQQ797s26b6Q6Al3S9HlSlUUy8xqjRVCrOqp8MMpz483cA1WxGpnR6lc4vM0iu55tNNB7iPg2H4cgP/9GqN3f2BRsfF+InAgAA</t>
  </si>
  <si>
    <t>VAS</t>
  </si>
  <si>
    <t>Online Advertising</t>
  </si>
  <si>
    <t>FinTech and Business Services</t>
  </si>
  <si>
    <t>Others</t>
  </si>
  <si>
    <t>Total Revenue</t>
  </si>
  <si>
    <t>Check</t>
  </si>
  <si>
    <t>Value Added Services Revenue</t>
  </si>
  <si>
    <t>Social Networks</t>
  </si>
  <si>
    <t>Domestic Games</t>
  </si>
  <si>
    <t>International Games</t>
  </si>
  <si>
    <t>Total VAS Revenue</t>
  </si>
  <si>
    <t>Revenue by segment (%)</t>
  </si>
  <si>
    <t>FBS</t>
  </si>
  <si>
    <t>Capital Expenditure</t>
  </si>
  <si>
    <t>Operating CAPEX</t>
  </si>
  <si>
    <t>Non-operating CAPEX</t>
  </si>
  <si>
    <t>Total CAPEX</t>
  </si>
  <si>
    <t>Operating Metrics</t>
  </si>
  <si>
    <t>Combined MAU of Weixin and WeChat</t>
  </si>
  <si>
    <t>Mobile device MAU of QQ</t>
  </si>
  <si>
    <t>Fee-based VAS registered subscriptions</t>
  </si>
  <si>
    <t>ARPU</t>
  </si>
  <si>
    <t>PC Client Games - ARPU range</t>
  </si>
  <si>
    <t>-</t>
  </si>
  <si>
    <t>410-420</t>
    <phoneticPr fontId="11" type="noConversion"/>
  </si>
  <si>
    <t>410-420</t>
  </si>
  <si>
    <t>445-455</t>
  </si>
  <si>
    <t>435-445</t>
    <phoneticPr fontId="11" type="noConversion"/>
  </si>
  <si>
    <t>390-400</t>
  </si>
  <si>
    <t>425-435</t>
  </si>
  <si>
    <t>465-575</t>
  </si>
  <si>
    <t>505-515</t>
  </si>
  <si>
    <t>495-505</t>
  </si>
  <si>
    <t>475-485</t>
  </si>
  <si>
    <t>455-465</t>
  </si>
  <si>
    <t>530-540</t>
  </si>
  <si>
    <t>555-565</t>
  </si>
  <si>
    <t>485-495</t>
  </si>
  <si>
    <t>430-440</t>
  </si>
  <si>
    <t>450-460</t>
  </si>
  <si>
    <t>465-475</t>
  </si>
  <si>
    <t>Mobile Games - ARPU range</t>
  </si>
  <si>
    <t>190-200</t>
    <phoneticPr fontId="11" type="noConversion"/>
  </si>
  <si>
    <t>220-230</t>
  </si>
  <si>
    <t>230-240</t>
  </si>
  <si>
    <t>220-230</t>
    <phoneticPr fontId="11" type="noConversion"/>
  </si>
  <si>
    <t>215-225</t>
    <phoneticPr fontId="11" type="noConversion"/>
  </si>
  <si>
    <t>255-265</t>
  </si>
  <si>
    <t>240-250</t>
  </si>
  <si>
    <t>245-255</t>
  </si>
  <si>
    <t>275-285</t>
  </si>
  <si>
    <t>225-235</t>
  </si>
  <si>
    <t>285-295</t>
  </si>
  <si>
    <t>235-245</t>
  </si>
  <si>
    <t>295-305</t>
  </si>
  <si>
    <t>270-280</t>
  </si>
  <si>
    <t>280-290</t>
  </si>
  <si>
    <t>Registered monthly subscriptions</t>
  </si>
  <si>
    <t>Online video subscriptions</t>
  </si>
  <si>
    <t xml:space="preserve">Online music subscriptions 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</si>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</sst>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_);\(#,##0.0\)"/>
    <numFmt numFmtId="166" formatCode="#0.0%_);\(#0.0%\)"/>
    <numFmt numFmtId="167" formatCode="#0.00\x"/>
    <numFmt numFmtId="168" formatCode="mmm\ yyyy"/>
    <numFmt numFmtId="169" formatCode="0.0%"/>
    <numFmt numFmtId="170" formatCode="_(* #,##0.0_);_(* \(#,##0.0\);_(* &quot;-&quot;??_);_(@_)"/>
    <numFmt numFmtId="171" formatCode="_(* #,##0.000_);_(* \(#,##0.000\);_(* &quot;-&quot;??_);_(@_)"/>
    <numFmt numFmtId="172" formatCode="_(* #,##0_);_(* \(#,##0\);_(* &quot;-&quot;??_);_(@_)"/>
    <numFmt numFmtId="173" formatCode="#,##0.0\ ;\(#,##0.0\)"/>
    <numFmt numFmtId="174" formatCode="&quot;$&quot;#,##0.00_)&quot;per share&quot;;\(&quot;$&quot;#,##0.00\)&quot; per share&quot;"/>
    <numFmt numFmtId="175" formatCode="0.0_)\%;\(0.0\)\%;0.0_)\%;@_)_%"/>
    <numFmt numFmtId="176" formatCode="#,##0.0_)_%;\(#,##0.0\)_%;0.0_)_%;@_)_%"/>
    <numFmt numFmtId="177" formatCode="#,##0.0_);\(#,##0.0\);#,##0.0_);@_)"/>
    <numFmt numFmtId="178" formatCode="&quot;$&quot;_(#,##0.00_);&quot;$&quot;\(#,##0.00\);&quot;$&quot;_(0.00_);@_)"/>
    <numFmt numFmtId="179" formatCode="&quot;$&quot;_(#,##0.00_);&quot;$&quot;\(#,##0.00\)"/>
    <numFmt numFmtId="180" formatCode="#,##0.00_);\(#,##0.00\);0.00_);@_)"/>
    <numFmt numFmtId="181" formatCode="\€_(#,##0.00_);\€\(#,##0.00\);\€_(0.00_);@_)"/>
    <numFmt numFmtId="182" formatCode="#,##0_)\x;\(#,##0\)\x;0_)\x;@_)_x"/>
    <numFmt numFmtId="183" formatCode="#,##0.0_)\x;\(#,##0.0\)\x"/>
    <numFmt numFmtId="184" formatCode="#,##0_)_x;\(#,##0\)_x;0_)_x;@_)_x"/>
    <numFmt numFmtId="185" formatCode="#,##0.0_)_x;\(#,##0.0\)_x"/>
    <numFmt numFmtId="186" formatCode="0.0_)\%;\(0.0\)\%"/>
    <numFmt numFmtId="187" formatCode="#,##0.0_)_%;\(#,##0.0\)_%"/>
    <numFmt numFmtId="188" formatCode="_(\£* #,##0_);_(\£* \(#,##0\);_(\£* &quot;-&quot;_);_(@_)"/>
    <numFmt numFmtId="189" formatCode="_(\£* #,##0.0_);_(\£* \(#,##0.0\);_(\£* &quot;-&quot;_);_(@_)"/>
    <numFmt numFmtId="190" formatCode="_(\£* #,##0.00_);_(\£* \(#,##0.00\);_(\£* &quot;-&quot;_);_(@_)"/>
    <numFmt numFmtId="191" formatCode="_(* #,##0\p_);_(* \(#,##0\p\);_(* &quot;-&quot;\ \p_);_(@_)"/>
    <numFmt numFmtId="192" formatCode="_(* #,##0.00\p_);_(* \(#,##0.00\p\);_(* &quot;-&quot;\ \p_);_(@_)"/>
    <numFmt numFmtId="193" formatCode="\£#,##0.00"/>
    <numFmt numFmtId="194" formatCode="&quot;$&quot;&quot; &quot;#,##0_);\(&quot;$&quot;&quot; &quot;#,##0\);\-_)"/>
    <numFmt numFmtId="195" formatCode="#,##0_);\(#,##0\);\-_)"/>
    <numFmt numFmtId="196" formatCode="&quot;$&quot;#,##0_);[Red]\(&quot;$&quot;#,##0\);&quot;-&quot;"/>
    <numFmt numFmtId="197" formatCode="[Blue]0.0%;[Blue]\-0.0%"/>
    <numFmt numFmtId="198" formatCode="\£#,##0_);\(\£#,##0\)"/>
    <numFmt numFmtId="199" formatCode="&quot;fl&quot;#,##0_);\(&quot;fl&quot;#,##0\)"/>
    <numFmt numFmtId="200" formatCode="&quot;$&quot;\ #,##0_);\(&quot;$&quot;\ #,##0\)"/>
    <numFmt numFmtId="201" formatCode="_(&quot;R$&quot;* #,##0.00_);_(&quot;R$&quot;* \(#,##0.00\);_(&quot;R$&quot;* &quot;-&quot;??_);_(@_)"/>
    <numFmt numFmtId="202" formatCode="0.0\x;[Red]\(0.0\x\)"/>
    <numFmt numFmtId="203" formatCode="#,##0.0_);\(#,##0.0\);&quot;—&quot;_)"/>
    <numFmt numFmtId="204" formatCode="&quot;$&quot;#,##0.0_);\(&quot;$&quot;#,##0.0\);&quot;—&quot;_)"/>
    <numFmt numFmtId="205" formatCode="0.000000000%"/>
    <numFmt numFmtId="206" formatCode="#,##0.0000"/>
    <numFmt numFmtId="207" formatCode="mm/dd/yy"/>
    <numFmt numFmtId="208" formatCode="&quot;$&quot;#,##0.00"/>
    <numFmt numFmtId="209" formatCode="_([$€-2]* #,##0.00_);_([$€-2]* \(#,##0.00\);_([$€-2]* &quot;-&quot;??_)"/>
    <numFmt numFmtId="210" formatCode="#&quot; mon&quot;"/>
    <numFmt numFmtId="211" formatCode="#,##0\ &quot;F&quot;;[Red]\-#,##0\ &quot;F&quot;"/>
    <numFmt numFmtId="212" formatCode="#,##0.00\ &quot;F&quot;;[Red]\-#,##0.00\ &quot;F&quot;"/>
    <numFmt numFmtId="213" formatCode="#,##0.0\x_)_);\(#,##0.0\x\)_);#,##0.0\x_)_);@_%_)"/>
    <numFmt numFmtId="214" formatCode="_(* #,##0.00\ ___);_(* \(#,##0.00\ __\);_(* &quot;-&quot;??_);_(@_)"/>
    <numFmt numFmtId="215" formatCode="0%\);[Red]\(0%"/>
    <numFmt numFmtId="216" formatCode="_(* #,##0\ ___);_(* \(#,##0\ __\);_(* &quot;-&quot;??_);_(@_)"/>
    <numFmt numFmtId="217" formatCode="_(* #,##0\ \x_);_(* \(#,##0\ \x\);_(* &quot;-&quot;??_);_(@_)"/>
    <numFmt numFmtId="218" formatCode="0%_);[Red]\(0%\)"/>
    <numFmt numFmtId="219" formatCode="_(* #,##0.0\ ___);_(* \(#,##0.0\ __\);_(* &quot;-&quot;??_);_(@_)"/>
    <numFmt numFmtId="220" formatCode="_(* #,##0.0\ \x_);_(* \(#,##0.0\ \x\);_(* &quot;-&quot;??_);_(@_)"/>
    <numFmt numFmtId="221" formatCode="#,##0&quot; F&quot;_);\(#,##0&quot; F&quot;\)"/>
    <numFmt numFmtId="222" formatCode="_(* #,##0.00_);_(* \(\ #,##0.00\ \);_(* &quot;&quot;??_);_(\ @_ \)"/>
    <numFmt numFmtId="223" formatCode="0.00_)"/>
    <numFmt numFmtId="224" formatCode="_(* #,##0.0_);_(* \(#,##0.0\);_(* &quot;-&quot;?_);_(@_)"/>
    <numFmt numFmtId="225" formatCode="0.00%\ &quot;Ramped&quot;\ "/>
    <numFmt numFmtId="226" formatCode="0.00%\ &quot;Ramped&quot;"/>
    <numFmt numFmtId="227" formatCode="0.0000"/>
    <numFmt numFmtId="228" formatCode="0.000"/>
    <numFmt numFmtId="229" formatCode="&quot;Diversity =&quot;\ #.0"/>
    <numFmt numFmtId="230" formatCode="&quot;Ratings Factor =&quot;\ #"/>
    <numFmt numFmtId="231" formatCode="&quot;Page &quot;0"/>
    <numFmt numFmtId="232" formatCode="&quot;\&quot;#,##0.00;[Red]\-&quot;\&quot;#,##0.00"/>
    <numFmt numFmtId="233" formatCode="0.0_%"/>
    <numFmt numFmtId="234" formatCode="_(0.0%;_(* \(0.0\)%"/>
    <numFmt numFmtId="235" formatCode="_(* #,##0.0000_);_(* \(#,##0.0000\);_(* &quot;-&quot;??_);_(@_)"/>
    <numFmt numFmtId="236" formatCode="0&quot; bps&quot;"/>
    <numFmt numFmtId="237" formatCode="&quot;WAS =&quot;\ #.00"/>
    <numFmt numFmtId="238" formatCode="&quot;Avg. Px.=&quot;#.00"/>
    <numFmt numFmtId="239" formatCode="&quot;WAL=&quot;#.00"/>
    <numFmt numFmtId="240" formatCode="#.00\ &quot;years&quot;"/>
    <numFmt numFmtId="241" formatCode="&quot;2nd Lien=&quot;#"/>
    <numFmt numFmtId="242" formatCode="&quot;WAPP=&quot;#.00"/>
    <numFmt numFmtId="243" formatCode="&quot;WAS=&quot;#.00"/>
    <numFmt numFmtId="244" formatCode="&quot;WAC=&quot;#.00"/>
    <numFmt numFmtId="245" formatCode="&quot;$&quot;#,##0.0_);\(&quot;$&quot;#,##0.0\)"/>
    <numFmt numFmtId="246" formatCode="#,###,;\(#,###,\)"/>
    <numFmt numFmtId="247" formatCode="000\-00\-0000"/>
    <numFmt numFmtId="248" formatCode="&quot;$&quot;#,##0.0000"/>
    <numFmt numFmtId="249" formatCode="&quot;$&quot;#,##0.000000"/>
    <numFmt numFmtId="250" formatCode="&quot;$&quot;#,##0.000"/>
    <numFmt numFmtId="251" formatCode="000000000"/>
    <numFmt numFmtId="252" formatCode="000"/>
    <numFmt numFmtId="253" formatCode="hh:mm\ AM/PM_)"/>
    <numFmt numFmtId="254" formatCode="#.0&quot;x&quot;"/>
    <numFmt numFmtId="255" formatCode="yyyy"/>
    <numFmt numFmtId="256" formatCode="\¥#,##0_);\(\¥#,##0\)"/>
    <numFmt numFmtId="257" formatCode="#0.0\x"/>
    <numFmt numFmtId="258" formatCode="0.0\x"/>
    <numFmt numFmtId="259" formatCode="0.0"/>
    <numFmt numFmtId="260" formatCode="#,##0.000_);\(#,##0.000\)"/>
    <numFmt numFmtId="261" formatCode="#,##0.0"/>
    <numFmt numFmtId="262" formatCode="_ * #,##0.00_ ;_ * \-#,##0.00_ ;_ * &quot;-&quot;??_ ;_ @_ "/>
    <numFmt numFmtId="263" formatCode="[$-409]d/mmm/yy;@"/>
  </numFmts>
  <fonts count="13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u/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05">
    <xf numFmtId="0" fontId="0" fillId="0" borderId="0"/>
    <xf numFmtId="173" fontId="29" fillId="0" borderId="0"/>
    <xf numFmtId="0" fontId="30" fillId="0" borderId="0">
      <alignment horizontal="right"/>
    </xf>
    <xf numFmtId="0" fontId="9" fillId="0" borderId="0"/>
    <xf numFmtId="174" fontId="25" fillId="0" borderId="0" applyFont="0" applyFill="0" applyBorder="0" applyAlignment="0"/>
    <xf numFmtId="175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 applyNumberFormat="0" applyFill="0" applyBorder="0" applyAlignment="0" applyProtection="0">
      <alignment horizontal="left" wrapText="1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vertical="top"/>
    </xf>
    <xf numFmtId="0" fontId="9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17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39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" fillId="2" borderId="0" applyNumberFormat="0" applyFont="0" applyAlignment="0" applyProtection="0"/>
    <xf numFmtId="0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Protection="0">
      <alignment horizontal="right"/>
    </xf>
    <xf numFmtId="185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186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32" fillId="0" borderId="0" applyNumberFormat="0" applyFill="0" applyBorder="0" applyProtection="0">
      <alignment vertical="top"/>
    </xf>
    <xf numFmtId="0" fontId="32" fillId="0" borderId="0" applyNumberFormat="0" applyFill="0" applyBorder="0" applyProtection="0">
      <alignment vertical="top"/>
    </xf>
    <xf numFmtId="0" fontId="33" fillId="0" borderId="1" applyNumberFormat="0" applyFill="0" applyAlignment="0" applyProtection="0"/>
    <xf numFmtId="0" fontId="34" fillId="0" borderId="2" applyNumberFormat="0" applyFill="0" applyProtection="0">
      <alignment horizontal="center"/>
    </xf>
    <xf numFmtId="0" fontId="34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centerContinuous"/>
    </xf>
    <xf numFmtId="188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1" fontId="36" fillId="0" borderId="0" applyFont="0" applyFill="0" applyBorder="0" applyAlignment="0" applyProtection="0"/>
    <xf numFmtId="192" fontId="36" fillId="0" borderId="0" applyFont="0" applyFill="0" applyBorder="0" applyAlignment="0" applyProtection="0"/>
    <xf numFmtId="193" fontId="37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8" fillId="0" borderId="0" applyNumberFormat="0" applyFont="0" applyFill="0" applyBorder="0" applyProtection="0">
      <alignment horizontal="centerContinuous"/>
    </xf>
    <xf numFmtId="0" fontId="6" fillId="0" borderId="0" applyNumberFormat="0" applyFill="0" applyBorder="0" applyAlignment="0">
      <protection locked="0"/>
    </xf>
    <xf numFmtId="0" fontId="39" fillId="0" borderId="0"/>
    <xf numFmtId="0" fontId="40" fillId="0" borderId="0"/>
    <xf numFmtId="0" fontId="30" fillId="0" borderId="0">
      <alignment horizontal="center" wrapText="1"/>
      <protection locked="0"/>
    </xf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5" fillId="3" borderId="0" applyNumberFormat="0" applyBorder="0" applyAlignment="0">
      <protection locked="0"/>
    </xf>
    <xf numFmtId="194" fontId="25" fillId="0" borderId="0" applyFont="0" applyFill="0" applyBorder="0" applyAlignment="0" applyProtection="0"/>
    <xf numFmtId="195" fontId="42" fillId="0" borderId="0" applyFont="0" applyFill="0" applyBorder="0" applyAlignment="0" applyProtection="0"/>
    <xf numFmtId="196" fontId="25" fillId="0" borderId="0" applyFont="0" applyFill="0" applyBorder="0" applyAlignment="0" applyProtection="0"/>
    <xf numFmtId="0" fontId="107" fillId="25" borderId="0"/>
    <xf numFmtId="0" fontId="43" fillId="0" borderId="0" applyNumberFormat="0" applyFill="0" applyBorder="0" applyAlignment="0" applyProtection="0"/>
    <xf numFmtId="197" fontId="44" fillId="0" borderId="0"/>
    <xf numFmtId="0" fontId="45" fillId="0" borderId="0" applyNumberFormat="0" applyFill="0" applyBorder="0" applyAlignment="0" applyProtection="0"/>
    <xf numFmtId="0" fontId="8" fillId="0" borderId="0"/>
    <xf numFmtId="0" fontId="46" fillId="0" borderId="0"/>
    <xf numFmtId="0" fontId="38" fillId="0" borderId="3" applyNumberFormat="0" applyFont="0" applyFill="0" applyAlignment="0" applyProtection="0"/>
    <xf numFmtId="0" fontId="47" fillId="0" borderId="4" applyFill="0" applyProtection="0">
      <alignment horizontal="right"/>
    </xf>
    <xf numFmtId="198" fontId="2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8" fillId="0" borderId="0"/>
    <xf numFmtId="0" fontId="29" fillId="0" borderId="0" applyFill="0" applyBorder="0" applyAlignment="0"/>
    <xf numFmtId="0" fontId="29" fillId="0" borderId="0" applyFill="0" applyBorder="0" applyAlignment="0"/>
    <xf numFmtId="199" fontId="29" fillId="0" borderId="0" applyFill="0" applyBorder="0" applyAlignment="0"/>
    <xf numFmtId="200" fontId="29" fillId="0" borderId="0" applyFill="0" applyBorder="0" applyAlignment="0"/>
    <xf numFmtId="201" fontId="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39" fontId="30" fillId="4" borderId="0" applyNumberFormat="0" applyFont="0" applyBorder="0" applyAlignment="0"/>
    <xf numFmtId="0" fontId="49" fillId="0" borderId="0"/>
    <xf numFmtId="0" fontId="38" fillId="0" borderId="0" applyNumberFormat="0" applyFont="0" applyFill="0" applyBorder="0" applyProtection="0">
      <alignment horizontal="center"/>
    </xf>
    <xf numFmtId="49" fontId="23" fillId="0" borderId="0" applyFill="0" applyBorder="0" applyProtection="0">
      <alignment horizontal="center"/>
    </xf>
    <xf numFmtId="49" fontId="50" fillId="0" borderId="0" applyFill="0" applyBorder="0" applyProtection="0">
      <alignment horizontal="center"/>
    </xf>
    <xf numFmtId="8" fontId="9" fillId="0" borderId="5" applyFont="0" applyFill="0" applyBorder="0" applyProtection="0">
      <alignment horizontal="right"/>
    </xf>
    <xf numFmtId="0" fontId="7" fillId="0" borderId="0"/>
    <xf numFmtId="0" fontId="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2" fillId="0" borderId="3" applyNumberFormat="0" applyFill="0" applyBorder="0" applyAlignment="0" applyProtection="0">
      <alignment horizontal="center"/>
    </xf>
    <xf numFmtId="0" fontId="11" fillId="5" borderId="0"/>
    <xf numFmtId="202" fontId="9" fillId="0" borderId="0"/>
    <xf numFmtId="202" fontId="9" fillId="0" borderId="0"/>
    <xf numFmtId="202" fontId="9" fillId="0" borderId="0"/>
    <xf numFmtId="202" fontId="9" fillId="0" borderId="0"/>
    <xf numFmtId="202" fontId="9" fillId="0" borderId="0"/>
    <xf numFmtId="202" fontId="9" fillId="0" borderId="0"/>
    <xf numFmtId="202" fontId="9" fillId="0" borderId="0"/>
    <xf numFmtId="202" fontId="9" fillId="0" borderId="0"/>
    <xf numFmtId="203" fontId="53" fillId="0" borderId="0"/>
    <xf numFmtId="0" fontId="29" fillId="0" borderId="0" applyFont="0" applyFill="0" applyBorder="0" applyAlignment="0" applyProtection="0"/>
    <xf numFmtId="170" fontId="54" fillId="0" borderId="0" applyFont="0" applyFill="0" applyBorder="0" applyAlignment="0" applyProtection="0"/>
    <xf numFmtId="40" fontId="9" fillId="0" borderId="0" applyFont="0" applyFill="0" applyBorder="0" applyProtection="0">
      <alignment horizontal="right"/>
    </xf>
    <xf numFmtId="3" fontId="9" fillId="0" borderId="0" applyFill="0" applyBorder="0" applyAlignment="0" applyProtection="0"/>
    <xf numFmtId="3" fontId="5" fillId="0" borderId="0" applyFont="0" applyFill="0" applyBorder="0" applyAlignment="0" applyProtection="0"/>
    <xf numFmtId="3" fontId="23" fillId="0" borderId="0" applyFill="0" applyBorder="0" applyAlignment="0" applyProtection="0"/>
    <xf numFmtId="38" fontId="55" fillId="0" borderId="0" applyNumberFormat="0" applyFill="0" applyBorder="0">
      <alignment vertical="center"/>
    </xf>
    <xf numFmtId="0" fontId="56" fillId="0" borderId="0" applyNumberFormat="0" applyAlignment="0">
      <alignment horizontal="left"/>
    </xf>
    <xf numFmtId="7" fontId="9" fillId="0" borderId="0" applyFont="0" applyFill="0" applyBorder="0" applyAlignment="0" applyProtection="0"/>
    <xf numFmtId="204" fontId="53" fillId="0" borderId="0"/>
    <xf numFmtId="0" fontId="29" fillId="0" borderId="0" applyFont="0" applyFill="0" applyBorder="0" applyAlignment="0" applyProtection="0"/>
    <xf numFmtId="205" fontId="25" fillId="0" borderId="0" applyFont="0" applyFill="0" applyBorder="0" applyAlignment="0" applyProtection="0"/>
    <xf numFmtId="8" fontId="38" fillId="0" borderId="0" applyBorder="0"/>
    <xf numFmtId="206" fontId="9" fillId="0" borderId="0" applyNumberFormat="0">
      <alignment horizontal="right"/>
    </xf>
    <xf numFmtId="15" fontId="9" fillId="0" borderId="0" applyFont="0" applyFill="0" applyBorder="0" applyProtection="0">
      <alignment horizontal="right"/>
    </xf>
    <xf numFmtId="14" fontId="7" fillId="0" borderId="0" applyFill="0" applyBorder="0" applyAlignment="0"/>
    <xf numFmtId="15" fontId="9" fillId="0" borderId="0" applyFont="0" applyFill="0" applyBorder="0" applyProtection="0">
      <alignment horizontal="right"/>
    </xf>
    <xf numFmtId="207" fontId="23" fillId="0" borderId="0" applyFill="0" applyBorder="0" applyProtection="0">
      <alignment horizontal="left"/>
    </xf>
    <xf numFmtId="0" fontId="9" fillId="0" borderId="0">
      <alignment horizontal="left"/>
    </xf>
    <xf numFmtId="38" fontId="57" fillId="0" borderId="6">
      <alignment vertical="center"/>
    </xf>
    <xf numFmtId="208" fontId="37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7" applyNumberFormat="0" applyFont="0" applyFill="0" applyAlignment="0" applyProtection="0"/>
    <xf numFmtId="42" fontId="59" fillId="0" borderId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60" fillId="0" borderId="0" applyNumberFormat="0" applyAlignment="0">
      <alignment horizontal="left"/>
    </xf>
    <xf numFmtId="209" fontId="9" fillId="0" borderId="0" applyFont="0" applyFill="0" applyBorder="0" applyAlignment="0" applyProtection="0"/>
    <xf numFmtId="169" fontId="38" fillId="0" borderId="0" applyNumberFormat="0" applyFont="0" applyAlignment="0">
      <alignment vertical="center"/>
    </xf>
    <xf numFmtId="0" fontId="61" fillId="0" borderId="0">
      <alignment horizontal="center"/>
    </xf>
    <xf numFmtId="0" fontId="62" fillId="0" borderId="0" applyNumberFormat="0" applyFill="0" applyBorder="0" applyAlignment="0" applyProtection="0"/>
    <xf numFmtId="38" fontId="5" fillId="6" borderId="0" applyNumberFormat="0" applyBorder="0" applyAlignment="0" applyProtection="0"/>
    <xf numFmtId="0" fontId="8" fillId="7" borderId="8" applyAlignment="0" applyProtection="0"/>
    <xf numFmtId="0" fontId="63" fillId="0" borderId="3" applyFill="0" applyProtection="0">
      <alignment horizontal="centerContinuous"/>
    </xf>
    <xf numFmtId="41" fontId="64" fillId="0" borderId="0">
      <alignment horizontal="center"/>
    </xf>
    <xf numFmtId="0" fontId="9" fillId="0" borderId="0">
      <alignment horizontal="center"/>
    </xf>
    <xf numFmtId="0" fontId="9" fillId="0" borderId="0">
      <alignment horizontal="left"/>
    </xf>
    <xf numFmtId="0" fontId="9" fillId="0" borderId="0">
      <alignment horizontal="right"/>
    </xf>
    <xf numFmtId="0" fontId="65" fillId="8" borderId="0"/>
    <xf numFmtId="0" fontId="66" fillId="0" borderId="0">
      <alignment horizontal="center" vertical="center"/>
    </xf>
    <xf numFmtId="0" fontId="67" fillId="0" borderId="9" applyNumberFormat="0" applyAlignment="0" applyProtection="0">
      <alignment horizontal="left" vertical="center"/>
    </xf>
    <xf numFmtId="0" fontId="67" fillId="0" borderId="8">
      <alignment horizontal="left" vertical="center"/>
    </xf>
    <xf numFmtId="0" fontId="68" fillId="0" borderId="0">
      <alignment horizontal="center"/>
    </xf>
    <xf numFmtId="0" fontId="69" fillId="0" borderId="0" applyFill="0" applyBorder="0" applyProtection="0">
      <alignment horizontal="right"/>
    </xf>
    <xf numFmtId="0" fontId="70" fillId="0" borderId="10">
      <alignment horizontal="center"/>
    </xf>
    <xf numFmtId="0" fontId="70" fillId="0" borderId="0">
      <alignment horizontal="center"/>
    </xf>
    <xf numFmtId="10" fontId="43" fillId="0" borderId="0" applyNumberFormat="0" applyFill="0" applyBorder="0" applyAlignment="0" applyProtection="0">
      <alignment horizontal="right"/>
    </xf>
    <xf numFmtId="10" fontId="5" fillId="9" borderId="11" applyNumberFormat="0" applyBorder="0" applyAlignment="0" applyProtection="0"/>
    <xf numFmtId="0" fontId="12" fillId="0" borderId="0"/>
    <xf numFmtId="0" fontId="71" fillId="0" borderId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5" fillId="0" borderId="0" applyFont="0" applyFill="0" applyBorder="0" applyProtection="0">
      <alignment horizontal="left"/>
    </xf>
    <xf numFmtId="49" fontId="23" fillId="0" borderId="0" applyFill="0" applyBorder="0" applyProtection="0">
      <alignment horizontal="left"/>
    </xf>
    <xf numFmtId="49" fontId="23" fillId="0" borderId="3" applyFill="0" applyProtection="0">
      <alignment horizontal="left"/>
    </xf>
    <xf numFmtId="49" fontId="23" fillId="0" borderId="12" applyFill="0" applyProtection="0">
      <alignment horizontal="left"/>
    </xf>
    <xf numFmtId="0" fontId="72" fillId="0" borderId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65" fontId="9" fillId="0" borderId="0" applyNumberFormat="0" applyFont="0" applyFill="0" applyBorder="0" applyAlignment="0"/>
    <xf numFmtId="17" fontId="25" fillId="0" borderId="0"/>
    <xf numFmtId="0" fontId="30" fillId="0" borderId="0" applyNumberFormat="0" applyFill="0" applyBorder="0" applyProtection="0"/>
    <xf numFmtId="0" fontId="25" fillId="0" borderId="0" applyNumberFormat="0" applyFill="0" applyBorder="0" applyProtection="0"/>
    <xf numFmtId="38" fontId="73" fillId="0" borderId="0" applyNumberFormat="0" applyFill="0" applyBorder="0">
      <alignment horizontal="left" vertical="center"/>
    </xf>
    <xf numFmtId="164" fontId="9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169" fontId="75" fillId="0" borderId="0" applyFill="0" applyBorder="0">
      <alignment vertical="center"/>
    </xf>
    <xf numFmtId="210" fontId="30" fillId="0" borderId="0">
      <alignment horizontal="center"/>
    </xf>
    <xf numFmtId="211" fontId="74" fillId="0" borderId="0" applyFont="0" applyFill="0" applyBorder="0" applyAlignment="0" applyProtection="0"/>
    <xf numFmtId="212" fontId="74" fillId="0" borderId="0" applyFont="0" applyFill="0" applyBorder="0" applyAlignment="0" applyProtection="0"/>
    <xf numFmtId="7" fontId="9" fillId="0" borderId="0"/>
    <xf numFmtId="213" fontId="76" fillId="0" borderId="0" applyFont="0" applyFill="0" applyBorder="0" applyProtection="0">
      <alignment horizontal="right"/>
    </xf>
    <xf numFmtId="214" fontId="58" fillId="0" borderId="0" applyFont="0" applyFill="0" applyBorder="0" applyAlignment="0" applyProtection="0"/>
    <xf numFmtId="215" fontId="25" fillId="0" borderId="0" applyFont="0" applyFill="0" applyBorder="0" applyAlignment="0" applyProtection="0"/>
    <xf numFmtId="216" fontId="58" fillId="0" borderId="0" applyFont="0" applyFill="0" applyBorder="0" applyAlignment="0" applyProtection="0"/>
    <xf numFmtId="217" fontId="30" fillId="0" borderId="0" applyFont="0" applyFill="0" applyBorder="0" applyAlignment="0" applyProtection="0"/>
    <xf numFmtId="218" fontId="25" fillId="0" borderId="0" applyFont="0" applyFill="0" applyBorder="0" applyAlignment="0" applyProtection="0"/>
    <xf numFmtId="219" fontId="58" fillId="0" borderId="0" applyFont="0" applyFill="0" applyBorder="0" applyAlignment="0" applyProtection="0"/>
    <xf numFmtId="220" fontId="58" fillId="0" borderId="0" applyFont="0" applyFill="0" applyBorder="0" applyAlignment="0" applyProtection="0"/>
    <xf numFmtId="221" fontId="25" fillId="0" borderId="0" applyFont="0" applyFill="0" applyBorder="0" applyAlignment="0" applyProtection="0"/>
    <xf numFmtId="222" fontId="9" fillId="0" borderId="0"/>
    <xf numFmtId="0" fontId="13" fillId="10" borderId="0"/>
    <xf numFmtId="0" fontId="14" fillId="11" borderId="0"/>
    <xf numFmtId="0" fontId="15" fillId="0" borderId="0"/>
    <xf numFmtId="223" fontId="77" fillId="0" borderId="0"/>
    <xf numFmtId="0" fontId="9" fillId="0" borderId="0"/>
    <xf numFmtId="0" fontId="9" fillId="0" borderId="0"/>
    <xf numFmtId="0" fontId="78" fillId="0" borderId="0">
      <alignment horizontal="center"/>
    </xf>
    <xf numFmtId="0" fontId="26" fillId="0" borderId="0">
      <alignment horizontal="center" vertical="center"/>
    </xf>
    <xf numFmtId="0" fontId="25" fillId="0" borderId="13"/>
    <xf numFmtId="0" fontId="25" fillId="0" borderId="14"/>
    <xf numFmtId="49" fontId="25" fillId="0" borderId="14">
      <alignment horizontal="left"/>
    </xf>
    <xf numFmtId="0" fontId="25" fillId="0" borderId="15"/>
    <xf numFmtId="0" fontId="25" fillId="0" borderId="3"/>
    <xf numFmtId="0" fontId="25" fillId="0" borderId="16"/>
    <xf numFmtId="0" fontId="25" fillId="6" borderId="17"/>
    <xf numFmtId="0" fontId="26" fillId="6" borderId="12">
      <alignment horizontal="left"/>
    </xf>
    <xf numFmtId="0" fontId="26" fillId="6" borderId="18">
      <alignment horizontal="left"/>
    </xf>
    <xf numFmtId="0" fontId="25" fillId="6" borderId="12"/>
    <xf numFmtId="0" fontId="25" fillId="0" borderId="0">
      <alignment horizontal="left"/>
    </xf>
    <xf numFmtId="0" fontId="26" fillId="6" borderId="12">
      <alignment horizontal="left"/>
    </xf>
    <xf numFmtId="0" fontId="42" fillId="6" borderId="12">
      <alignment horizontal="left"/>
    </xf>
    <xf numFmtId="0" fontId="25" fillId="6" borderId="18"/>
    <xf numFmtId="0" fontId="25" fillId="0" borderId="13">
      <alignment horizontal="left"/>
    </xf>
    <xf numFmtId="0" fontId="25" fillId="0" borderId="0">
      <alignment horizontal="left"/>
    </xf>
    <xf numFmtId="0" fontId="25" fillId="0" borderId="14">
      <alignment horizontal="center"/>
    </xf>
    <xf numFmtId="0" fontId="25" fillId="0" borderId="0">
      <alignment horizontal="left"/>
    </xf>
    <xf numFmtId="0" fontId="26" fillId="6" borderId="17">
      <alignment horizontal="left"/>
    </xf>
    <xf numFmtId="0" fontId="25" fillId="0" borderId="13">
      <alignment horizontal="left"/>
    </xf>
    <xf numFmtId="0" fontId="25" fillId="0" borderId="13">
      <alignment horizontal="right"/>
    </xf>
    <xf numFmtId="172" fontId="26" fillId="0" borderId="0"/>
    <xf numFmtId="0" fontId="25" fillId="0" borderId="13"/>
    <xf numFmtId="169" fontId="25" fillId="0" borderId="14"/>
    <xf numFmtId="0" fontId="25" fillId="0" borderId="13"/>
    <xf numFmtId="0" fontId="25" fillId="0" borderId="13">
      <alignment horizontal="left"/>
    </xf>
    <xf numFmtId="0" fontId="26" fillId="6" borderId="17"/>
    <xf numFmtId="0" fontId="79" fillId="6" borderId="13">
      <alignment horizontal="left"/>
    </xf>
    <xf numFmtId="0" fontId="25" fillId="6" borderId="14"/>
    <xf numFmtId="0" fontId="26" fillId="6" borderId="13">
      <alignment horizontal="left"/>
    </xf>
    <xf numFmtId="0" fontId="25" fillId="0" borderId="13">
      <alignment horizontal="left"/>
    </xf>
    <xf numFmtId="0" fontId="25" fillId="0" borderId="13">
      <alignment horizontal="left"/>
    </xf>
    <xf numFmtId="14" fontId="78" fillId="0" borderId="0">
      <alignment horizontal="center"/>
    </xf>
    <xf numFmtId="49" fontId="80" fillId="0" borderId="13">
      <alignment horizontal="left"/>
    </xf>
    <xf numFmtId="0" fontId="80" fillId="0" borderId="13"/>
    <xf numFmtId="0" fontId="26" fillId="6" borderId="13">
      <alignment horizontal="left"/>
    </xf>
    <xf numFmtId="0" fontId="26" fillId="6" borderId="13"/>
    <xf numFmtId="49" fontId="25" fillId="0" borderId="14">
      <alignment horizontal="left"/>
    </xf>
    <xf numFmtId="0" fontId="78" fillId="0" borderId="13"/>
    <xf numFmtId="0" fontId="78" fillId="0" borderId="0">
      <alignment horizontal="center"/>
    </xf>
    <xf numFmtId="14" fontId="78" fillId="0" borderId="0">
      <alignment horizontal="center"/>
    </xf>
    <xf numFmtId="0" fontId="78" fillId="0" borderId="15"/>
    <xf numFmtId="0" fontId="25" fillId="0" borderId="3">
      <alignment horizontal="center"/>
    </xf>
    <xf numFmtId="0" fontId="25" fillId="0" borderId="0"/>
    <xf numFmtId="0" fontId="78" fillId="0" borderId="3">
      <alignment horizontal="center"/>
    </xf>
    <xf numFmtId="14" fontId="78" fillId="0" borderId="3">
      <alignment horizontal="center"/>
    </xf>
    <xf numFmtId="0" fontId="26" fillId="0" borderId="0">
      <alignment horizontal="left" vertical="center" wrapText="1"/>
    </xf>
    <xf numFmtId="0" fontId="26" fillId="6" borderId="9">
      <alignment horizontal="left" wrapText="1"/>
    </xf>
    <xf numFmtId="0" fontId="26" fillId="0" borderId="0">
      <alignment horizontal="right" vertical="center"/>
    </xf>
    <xf numFmtId="172" fontId="26" fillId="0" borderId="0">
      <alignment horizontal="right"/>
    </xf>
    <xf numFmtId="14" fontId="81" fillId="0" borderId="0">
      <alignment horizontal="center"/>
    </xf>
    <xf numFmtId="0" fontId="26" fillId="6" borderId="19">
      <alignment horizontal="center" wrapText="1"/>
    </xf>
    <xf numFmtId="0" fontId="58" fillId="0" borderId="0">
      <alignment horizontal="center" vertical="center"/>
    </xf>
    <xf numFmtId="1" fontId="82" fillId="0" borderId="0">
      <alignment horizontal="center" wrapText="1"/>
    </xf>
    <xf numFmtId="0" fontId="26" fillId="6" borderId="9">
      <alignment horizontal="center" wrapText="1"/>
    </xf>
    <xf numFmtId="0" fontId="82" fillId="6" borderId="20">
      <alignment horizontal="center" wrapText="1"/>
    </xf>
    <xf numFmtId="0" fontId="82" fillId="6" borderId="19">
      <alignment horizontal="left" wrapText="1"/>
    </xf>
    <xf numFmtId="0" fontId="25" fillId="0" borderId="14">
      <alignment horizontal="left"/>
    </xf>
    <xf numFmtId="0" fontId="58" fillId="0" borderId="0">
      <alignment horizontal="center"/>
    </xf>
    <xf numFmtId="2" fontId="58" fillId="12" borderId="0">
      <alignment horizontal="center"/>
    </xf>
    <xf numFmtId="0" fontId="25" fillId="0" borderId="0">
      <alignment horizontal="left" vertical="top"/>
    </xf>
    <xf numFmtId="16" fontId="25" fillId="0" borderId="0"/>
    <xf numFmtId="0" fontId="25" fillId="12" borderId="0"/>
    <xf numFmtId="14" fontId="25" fillId="0" borderId="0">
      <alignment horizontal="center"/>
    </xf>
    <xf numFmtId="2" fontId="58" fillId="0" borderId="12">
      <alignment horizontal="center" vertical="center"/>
    </xf>
    <xf numFmtId="0" fontId="26" fillId="6" borderId="0">
      <alignment horizontal="center"/>
    </xf>
    <xf numFmtId="2" fontId="58" fillId="0" borderId="0">
      <alignment horizontal="center"/>
    </xf>
    <xf numFmtId="2" fontId="58" fillId="0" borderId="0">
      <alignment horizontal="center"/>
    </xf>
    <xf numFmtId="0" fontId="25" fillId="0" borderId="0">
      <alignment horizontal="left" vertical="top"/>
    </xf>
    <xf numFmtId="15" fontId="25" fillId="0" borderId="0">
      <alignment horizontal="left" vertical="top"/>
    </xf>
    <xf numFmtId="0" fontId="25" fillId="0" borderId="0">
      <alignment horizontal="left" vertical="top"/>
    </xf>
    <xf numFmtId="14" fontId="25" fillId="0" borderId="0">
      <alignment horizontal="center" vertical="top"/>
    </xf>
    <xf numFmtId="0" fontId="58" fillId="0" borderId="0"/>
    <xf numFmtId="0" fontId="82" fillId="0" borderId="3"/>
    <xf numFmtId="14" fontId="82" fillId="0" borderId="3"/>
    <xf numFmtId="2" fontId="58" fillId="0" borderId="3">
      <alignment horizontal="center"/>
    </xf>
    <xf numFmtId="0" fontId="25" fillId="0" borderId="0">
      <alignment horizontal="center"/>
    </xf>
    <xf numFmtId="2" fontId="58" fillId="0" borderId="3">
      <alignment horizontal="center"/>
    </xf>
    <xf numFmtId="0" fontId="58" fillId="0" borderId="3"/>
    <xf numFmtId="0" fontId="58" fillId="0" borderId="3">
      <alignment horizontal="center"/>
    </xf>
    <xf numFmtId="0" fontId="58" fillId="0" borderId="3">
      <alignment horizontal="center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5" fillId="0" borderId="0">
      <alignment horizontal="center" vertical="top"/>
    </xf>
    <xf numFmtId="43" fontId="58" fillId="0" borderId="0">
      <alignment horizontal="left"/>
    </xf>
    <xf numFmtId="172" fontId="25" fillId="0" borderId="0"/>
    <xf numFmtId="0" fontId="25" fillId="0" borderId="0">
      <alignment horizontal="center"/>
    </xf>
    <xf numFmtId="0" fontId="78" fillId="0" borderId="0"/>
    <xf numFmtId="43" fontId="25" fillId="0" borderId="0"/>
    <xf numFmtId="1" fontId="25" fillId="0" borderId="0"/>
    <xf numFmtId="0" fontId="26" fillId="0" borderId="0"/>
    <xf numFmtId="43" fontId="25" fillId="0" borderId="0">
      <alignment horizontal="center"/>
    </xf>
    <xf numFmtId="43" fontId="25" fillId="0" borderId="21"/>
    <xf numFmtId="43" fontId="25" fillId="0" borderId="22"/>
    <xf numFmtId="0" fontId="25" fillId="0" borderId="10"/>
    <xf numFmtId="43" fontId="25" fillId="0" borderId="0"/>
    <xf numFmtId="1" fontId="82" fillId="0" borderId="16">
      <alignment horizontal="center" wrapText="1"/>
    </xf>
    <xf numFmtId="0" fontId="58" fillId="0" borderId="0">
      <alignment horizontal="center"/>
    </xf>
    <xf numFmtId="0" fontId="25" fillId="0" borderId="0">
      <alignment horizontal="left"/>
    </xf>
    <xf numFmtId="0" fontId="58" fillId="0" borderId="0"/>
    <xf numFmtId="43" fontId="25" fillId="0" borderId="0">
      <alignment horizontal="center"/>
    </xf>
    <xf numFmtId="0" fontId="26" fillId="0" borderId="3">
      <alignment horizontal="left" vertical="top"/>
    </xf>
    <xf numFmtId="0" fontId="25" fillId="0" borderId="3">
      <alignment horizontal="center" vertical="top"/>
    </xf>
    <xf numFmtId="14" fontId="25" fillId="0" borderId="3">
      <alignment horizontal="center" vertical="top"/>
    </xf>
    <xf numFmtId="15" fontId="25" fillId="0" borderId="3">
      <alignment horizontal="left" vertical="top"/>
    </xf>
    <xf numFmtId="0" fontId="28" fillId="0" borderId="0"/>
    <xf numFmtId="224" fontId="25" fillId="0" borderId="0">
      <alignment vertical="top"/>
    </xf>
    <xf numFmtId="0" fontId="25" fillId="0" borderId="3">
      <alignment horizontal="left" vertical="top"/>
    </xf>
    <xf numFmtId="0" fontId="25" fillId="0" borderId="0">
      <alignment horizontal="center" wrapText="1"/>
    </xf>
    <xf numFmtId="0" fontId="25" fillId="0" borderId="0">
      <alignment horizontal="center"/>
    </xf>
    <xf numFmtId="0" fontId="25" fillId="0" borderId="0">
      <alignment horizontal="center" vertical="top"/>
    </xf>
    <xf numFmtId="0" fontId="26" fillId="0" borderId="0"/>
    <xf numFmtId="14" fontId="25" fillId="0" borderId="0">
      <alignment horizontal="center"/>
    </xf>
    <xf numFmtId="14" fontId="25" fillId="0" borderId="0">
      <alignment horizontal="left" vertical="top"/>
    </xf>
    <xf numFmtId="41" fontId="25" fillId="0" borderId="0"/>
    <xf numFmtId="3" fontId="26" fillId="0" borderId="23">
      <alignment horizontal="right" vertical="center"/>
    </xf>
    <xf numFmtId="172" fontId="26" fillId="0" borderId="22">
      <alignment horizontal="right"/>
    </xf>
    <xf numFmtId="225" fontId="82" fillId="0" borderId="0">
      <alignment wrapText="1"/>
    </xf>
    <xf numFmtId="0" fontId="25" fillId="0" borderId="0">
      <alignment horizontal="center"/>
    </xf>
    <xf numFmtId="226" fontId="26" fillId="0" borderId="10"/>
    <xf numFmtId="226" fontId="26" fillId="0" borderId="0"/>
    <xf numFmtId="0" fontId="25" fillId="0" borderId="0">
      <alignment vertical="top"/>
    </xf>
    <xf numFmtId="3" fontId="26" fillId="0" borderId="21">
      <alignment horizontal="right" vertical="center"/>
    </xf>
    <xf numFmtId="0" fontId="82" fillId="0" borderId="15">
      <alignment horizontal="center" wrapText="1"/>
    </xf>
    <xf numFmtId="3" fontId="26" fillId="0" borderId="24">
      <alignment horizontal="right" vertical="center"/>
    </xf>
    <xf numFmtId="3" fontId="26" fillId="0" borderId="0">
      <alignment horizontal="right" vertical="center"/>
    </xf>
    <xf numFmtId="172" fontId="26" fillId="0" borderId="10">
      <alignment horizontal="right"/>
    </xf>
    <xf numFmtId="0" fontId="7" fillId="0" borderId="25">
      <alignment wrapText="1"/>
    </xf>
    <xf numFmtId="227" fontId="7" fillId="0" borderId="25">
      <alignment horizontal="right" wrapText="1"/>
    </xf>
    <xf numFmtId="4" fontId="25" fillId="0" borderId="0">
      <alignment horizontal="center"/>
    </xf>
    <xf numFmtId="0" fontId="26" fillId="6" borderId="9">
      <alignment horizontal="center"/>
    </xf>
    <xf numFmtId="0" fontId="26" fillId="6" borderId="20">
      <alignment horizontal="center"/>
    </xf>
    <xf numFmtId="14" fontId="25" fillId="0" borderId="0">
      <alignment horizontal="center" vertical="top"/>
    </xf>
    <xf numFmtId="0" fontId="25" fillId="13" borderId="0">
      <alignment vertical="top"/>
    </xf>
    <xf numFmtId="0" fontId="25" fillId="13" borderId="0"/>
    <xf numFmtId="0" fontId="7" fillId="0" borderId="25">
      <alignment wrapText="1"/>
    </xf>
    <xf numFmtId="228" fontId="29" fillId="0" borderId="0">
      <alignment horizontal="right" vertical="center" wrapText="1"/>
    </xf>
    <xf numFmtId="0" fontId="29" fillId="0" borderId="0">
      <alignment horizontal="right" vertical="center" wrapText="1"/>
    </xf>
    <xf numFmtId="0" fontId="7" fillId="0" borderId="0">
      <alignment wrapText="1"/>
    </xf>
    <xf numFmtId="172" fontId="25" fillId="0" borderId="0"/>
    <xf numFmtId="0" fontId="25" fillId="13" borderId="0">
      <alignment horizontal="center"/>
    </xf>
    <xf numFmtId="0" fontId="26" fillId="13" borderId="0"/>
    <xf numFmtId="0" fontId="25" fillId="13" borderId="0">
      <alignment horizontal="center" vertical="top"/>
    </xf>
    <xf numFmtId="0" fontId="25" fillId="0" borderId="0">
      <alignment vertical="top"/>
    </xf>
    <xf numFmtId="14" fontId="25" fillId="13" borderId="0">
      <alignment horizontal="center" vertical="top"/>
    </xf>
    <xf numFmtId="15" fontId="25" fillId="13" borderId="0">
      <alignment horizontal="left" vertical="top"/>
    </xf>
    <xf numFmtId="0" fontId="25" fillId="13" borderId="0">
      <alignment horizontal="left" vertical="top"/>
    </xf>
    <xf numFmtId="14" fontId="25" fillId="13" borderId="0">
      <alignment horizontal="left" vertical="top"/>
    </xf>
    <xf numFmtId="0" fontId="25" fillId="14" borderId="0">
      <alignment horizontal="center"/>
    </xf>
    <xf numFmtId="0" fontId="26" fillId="14" borderId="0"/>
    <xf numFmtId="0" fontId="25" fillId="14" borderId="0">
      <alignment horizontal="center" vertical="top"/>
    </xf>
    <xf numFmtId="14" fontId="25" fillId="14" borderId="0">
      <alignment horizontal="center" vertical="top"/>
    </xf>
    <xf numFmtId="0" fontId="25" fillId="14" borderId="0">
      <alignment vertical="top"/>
    </xf>
    <xf numFmtId="15" fontId="25" fillId="14" borderId="0">
      <alignment horizontal="left" vertical="top"/>
    </xf>
    <xf numFmtId="15" fontId="78" fillId="0" borderId="0">
      <alignment horizontal="left"/>
    </xf>
    <xf numFmtId="0" fontId="25" fillId="14" borderId="0">
      <alignment horizontal="left" vertical="top"/>
    </xf>
    <xf numFmtId="172" fontId="25" fillId="14" borderId="0">
      <alignment vertical="top"/>
    </xf>
    <xf numFmtId="14" fontId="25" fillId="14" borderId="0">
      <alignment horizontal="left" vertical="top"/>
    </xf>
    <xf numFmtId="0" fontId="25" fillId="14" borderId="0">
      <alignment horizontal="center"/>
    </xf>
    <xf numFmtId="0" fontId="25" fillId="14" borderId="0"/>
    <xf numFmtId="0" fontId="26" fillId="14" borderId="0">
      <alignment horizontal="left" vertical="top"/>
    </xf>
    <xf numFmtId="14" fontId="25" fillId="14" borderId="0">
      <alignment horizontal="center" vertical="top"/>
    </xf>
    <xf numFmtId="0" fontId="58" fillId="14" borderId="0">
      <alignment horizontal="center"/>
    </xf>
    <xf numFmtId="0" fontId="78" fillId="14" borderId="0">
      <alignment horizontal="center"/>
    </xf>
    <xf numFmtId="0" fontId="25" fillId="14" borderId="0"/>
    <xf numFmtId="0" fontId="58" fillId="0" borderId="0"/>
    <xf numFmtId="0" fontId="26" fillId="0" borderId="0">
      <alignment horizontal="center"/>
    </xf>
    <xf numFmtId="0" fontId="26" fillId="0" borderId="0">
      <alignment horizontal="center"/>
    </xf>
    <xf numFmtId="172" fontId="26" fillId="6" borderId="23">
      <alignment horizontal="center"/>
    </xf>
    <xf numFmtId="172" fontId="26" fillId="6" borderId="24">
      <alignment horizontal="center"/>
    </xf>
    <xf numFmtId="2" fontId="58" fillId="0" borderId="0"/>
    <xf numFmtId="0" fontId="58" fillId="0" borderId="0"/>
    <xf numFmtId="2" fontId="58" fillId="0" borderId="0">
      <alignment horizontal="center"/>
    </xf>
    <xf numFmtId="0" fontId="58" fillId="0" borderId="0">
      <alignment horizontal="center"/>
    </xf>
    <xf numFmtId="0" fontId="78" fillId="0" borderId="0">
      <alignment wrapText="1"/>
    </xf>
    <xf numFmtId="0" fontId="58" fillId="0" borderId="0">
      <alignment horizontal="center"/>
    </xf>
    <xf numFmtId="0" fontId="82" fillId="0" borderId="0">
      <alignment horizontal="left" vertical="center"/>
    </xf>
    <xf numFmtId="2" fontId="58" fillId="0" borderId="12">
      <alignment horizontal="center" vertical="center"/>
    </xf>
    <xf numFmtId="0" fontId="58" fillId="0" borderId="12">
      <alignment horizontal="center" vertical="center"/>
    </xf>
    <xf numFmtId="0" fontId="58" fillId="0" borderId="18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left" vertical="center"/>
    </xf>
    <xf numFmtId="0" fontId="82" fillId="0" borderId="0">
      <alignment horizontal="left"/>
    </xf>
    <xf numFmtId="0" fontId="82" fillId="0" borderId="0">
      <alignment horizontal="left"/>
    </xf>
    <xf numFmtId="0" fontId="82" fillId="0" borderId="0">
      <alignment horizontal="center"/>
    </xf>
    <xf numFmtId="0" fontId="25" fillId="0" borderId="0">
      <alignment horizontal="center" vertical="center" wrapText="1"/>
    </xf>
    <xf numFmtId="0" fontId="82" fillId="0" borderId="0">
      <alignment horizontal="center" wrapText="1"/>
    </xf>
    <xf numFmtId="0" fontId="82" fillId="0" borderId="13">
      <alignment horizontal="center" wrapText="1"/>
    </xf>
    <xf numFmtId="1" fontId="82" fillId="0" borderId="14">
      <alignment horizontal="center" wrapText="1"/>
    </xf>
    <xf numFmtId="0" fontId="82" fillId="0" borderId="0">
      <alignment horizontal="center"/>
    </xf>
    <xf numFmtId="229" fontId="82" fillId="0" borderId="0">
      <alignment horizontal="center" wrapText="1"/>
    </xf>
    <xf numFmtId="43" fontId="82" fillId="0" borderId="0"/>
    <xf numFmtId="0" fontId="82" fillId="0" borderId="0"/>
    <xf numFmtId="0" fontId="58" fillId="0" borderId="0">
      <alignment wrapText="1"/>
    </xf>
    <xf numFmtId="0" fontId="82" fillId="0" borderId="0">
      <alignment horizontal="center" wrapText="1"/>
    </xf>
    <xf numFmtId="0" fontId="82" fillId="0" borderId="0">
      <alignment horizontal="center" wrapText="1"/>
    </xf>
    <xf numFmtId="43" fontId="25" fillId="0" borderId="0">
      <alignment horizontal="center" vertical="center" wrapText="1"/>
    </xf>
    <xf numFmtId="0" fontId="82" fillId="0" borderId="0">
      <alignment horizontal="center" wrapText="1"/>
    </xf>
    <xf numFmtId="230" fontId="82" fillId="0" borderId="0">
      <alignment horizontal="center" wrapText="1"/>
    </xf>
    <xf numFmtId="0" fontId="82" fillId="6" borderId="9">
      <alignment horizontal="center" wrapText="1"/>
    </xf>
    <xf numFmtId="2" fontId="82" fillId="6" borderId="9">
      <alignment horizontal="center" wrapText="1"/>
    </xf>
    <xf numFmtId="0" fontId="82" fillId="6" borderId="9">
      <alignment horizontal="center" wrapText="1"/>
    </xf>
    <xf numFmtId="0" fontId="82" fillId="0" borderId="0">
      <alignment horizontal="center" wrapText="1"/>
    </xf>
    <xf numFmtId="0" fontId="25" fillId="0" borderId="0"/>
    <xf numFmtId="0" fontId="25" fillId="0" borderId="0"/>
    <xf numFmtId="0" fontId="83" fillId="0" borderId="0">
      <alignment horizontal="left" vertical="center"/>
    </xf>
    <xf numFmtId="172" fontId="83" fillId="0" borderId="0">
      <alignment horizontal="left" vertical="center"/>
    </xf>
    <xf numFmtId="0" fontId="26" fillId="0" borderId="0">
      <alignment horizontal="center" vertical="center" wrapText="1"/>
    </xf>
    <xf numFmtId="0" fontId="83" fillId="0" borderId="0">
      <alignment horizontal="center" vertical="center"/>
    </xf>
    <xf numFmtId="0" fontId="26" fillId="0" borderId="23">
      <alignment horizontal="left"/>
    </xf>
    <xf numFmtId="41" fontId="26" fillId="0" borderId="26"/>
    <xf numFmtId="0" fontId="26" fillId="0" borderId="23"/>
    <xf numFmtId="41" fontId="26" fillId="0" borderId="0"/>
    <xf numFmtId="0" fontId="26" fillId="0" borderId="21"/>
    <xf numFmtId="172" fontId="26" fillId="0" borderId="27"/>
    <xf numFmtId="172" fontId="26" fillId="0" borderId="0"/>
    <xf numFmtId="43" fontId="26" fillId="0" borderId="27"/>
    <xf numFmtId="43" fontId="26" fillId="0" borderId="0"/>
    <xf numFmtId="0" fontId="25" fillId="0" borderId="0">
      <alignment wrapText="1"/>
    </xf>
    <xf numFmtId="0" fontId="26" fillId="0" borderId="22"/>
    <xf numFmtId="43" fontId="26" fillId="0" borderId="28"/>
    <xf numFmtId="0" fontId="26" fillId="0" borderId="0">
      <alignment horizontal="center"/>
    </xf>
    <xf numFmtId="0" fontId="26" fillId="6" borderId="23">
      <alignment horizontal="center"/>
    </xf>
    <xf numFmtId="172" fontId="26" fillId="6" borderId="24">
      <alignment horizontal="center"/>
    </xf>
    <xf numFmtId="0" fontId="26" fillId="6" borderId="24">
      <alignment horizontal="center"/>
    </xf>
    <xf numFmtId="0" fontId="26" fillId="6" borderId="26">
      <alignment horizontal="center"/>
    </xf>
    <xf numFmtId="0" fontId="26" fillId="6" borderId="22">
      <alignment horizontal="center"/>
    </xf>
    <xf numFmtId="172" fontId="26" fillId="6" borderId="10">
      <alignment horizontal="right"/>
    </xf>
    <xf numFmtId="0" fontId="26" fillId="6" borderId="10">
      <alignment horizontal="center"/>
    </xf>
    <xf numFmtId="0" fontId="25" fillId="0" borderId="0">
      <alignment horizontal="left" vertical="center" wrapText="1"/>
    </xf>
    <xf numFmtId="0" fontId="26" fillId="6" borderId="28">
      <alignment horizontal="center"/>
    </xf>
    <xf numFmtId="0" fontId="26" fillId="15" borderId="0">
      <alignment horizontal="center"/>
    </xf>
    <xf numFmtId="172" fontId="26" fillId="6" borderId="22">
      <alignment horizontal="center"/>
    </xf>
    <xf numFmtId="172" fontId="26" fillId="6" borderId="10">
      <alignment horizontal="center"/>
    </xf>
    <xf numFmtId="0" fontId="26" fillId="6" borderId="10">
      <alignment horizontal="center"/>
    </xf>
    <xf numFmtId="172" fontId="26" fillId="6" borderId="28">
      <alignment horizontal="center"/>
    </xf>
    <xf numFmtId="0" fontId="26" fillId="6" borderId="29">
      <alignment horizontal="center"/>
    </xf>
    <xf numFmtId="0" fontId="26" fillId="6" borderId="3">
      <alignment horizontal="center"/>
    </xf>
    <xf numFmtId="0" fontId="26" fillId="6" borderId="3">
      <alignment horizontal="center"/>
    </xf>
    <xf numFmtId="0" fontId="26" fillId="6" borderId="30">
      <alignment horizontal="center"/>
    </xf>
    <xf numFmtId="0" fontId="25" fillId="0" borderId="0"/>
    <xf numFmtId="0" fontId="26" fillId="6" borderId="21">
      <alignment horizontal="center"/>
    </xf>
    <xf numFmtId="0" fontId="26" fillId="6" borderId="0">
      <alignment horizontal="center"/>
    </xf>
    <xf numFmtId="0" fontId="26" fillId="6" borderId="27">
      <alignment horizontal="center"/>
    </xf>
    <xf numFmtId="0" fontId="42" fillId="0" borderId="0">
      <alignment horizontal="left"/>
    </xf>
    <xf numFmtId="49" fontId="25" fillId="0" borderId="0">
      <alignment horizontal="left"/>
    </xf>
    <xf numFmtId="0" fontId="42" fillId="0" borderId="0">
      <alignment horizontal="left"/>
    </xf>
    <xf numFmtId="15" fontId="78" fillId="15" borderId="0">
      <alignment horizontal="left"/>
    </xf>
    <xf numFmtId="0" fontId="25" fillId="0" borderId="0">
      <alignment horizontal="right"/>
    </xf>
    <xf numFmtId="49" fontId="25" fillId="0" borderId="0">
      <alignment horizontal="left"/>
    </xf>
    <xf numFmtId="49" fontId="25" fillId="0" borderId="0">
      <alignment horizontal="left"/>
    </xf>
    <xf numFmtId="10" fontId="78" fillId="0" borderId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4" fillId="0" borderId="0">
      <alignment horizontal="left" vertical="top"/>
      <protection locked="0"/>
    </xf>
    <xf numFmtId="0" fontId="38" fillId="0" borderId="11" applyNumberFormat="0" applyFont="0" applyFill="0" applyAlignment="0" applyProtection="0"/>
    <xf numFmtId="40" fontId="85" fillId="15" borderId="0">
      <alignment horizontal="right"/>
    </xf>
    <xf numFmtId="0" fontId="86" fillId="15" borderId="0">
      <alignment horizontal="right"/>
    </xf>
    <xf numFmtId="0" fontId="87" fillId="15" borderId="14"/>
    <xf numFmtId="0" fontId="87" fillId="0" borderId="0" applyBorder="0">
      <alignment horizontal="centerContinuous"/>
    </xf>
    <xf numFmtId="231" fontId="88" fillId="0" borderId="0" applyFill="0">
      <alignment horizontal="center" vertical="center"/>
    </xf>
    <xf numFmtId="0" fontId="26" fillId="0" borderId="31" applyNumberFormat="0" applyAlignment="0" applyProtection="0"/>
    <xf numFmtId="0" fontId="25" fillId="16" borderId="0" applyNumberFormat="0" applyFont="0" applyBorder="0" applyAlignment="0" applyProtection="0"/>
    <xf numFmtId="0" fontId="5" fillId="17" borderId="32" applyNumberFormat="0" applyFont="0" applyBorder="0" applyAlignment="0" applyProtection="0">
      <alignment horizontal="center"/>
    </xf>
    <xf numFmtId="0" fontId="5" fillId="18" borderId="32" applyNumberFormat="0" applyFont="0" applyBorder="0" applyAlignment="0" applyProtection="0">
      <alignment horizontal="center"/>
    </xf>
    <xf numFmtId="0" fontId="25" fillId="0" borderId="33" applyNumberFormat="0" applyAlignment="0" applyProtection="0"/>
    <xf numFmtId="0" fontId="25" fillId="0" borderId="34" applyNumberFormat="0" applyAlignment="0" applyProtection="0"/>
    <xf numFmtId="0" fontId="26" fillId="0" borderId="35" applyNumberFormat="0" applyAlignment="0" applyProtection="0"/>
    <xf numFmtId="14" fontId="30" fillId="0" borderId="0">
      <alignment horizontal="center" wrapText="1"/>
      <protection locked="0"/>
    </xf>
    <xf numFmtId="9" fontId="58" fillId="0" borderId="0" applyFont="0" applyFill="0" applyBorder="0" applyAlignment="0" applyProtection="0"/>
    <xf numFmtId="232" fontId="89" fillId="0" borderId="0" applyFont="0" applyFill="0" applyBorder="0" applyAlignment="0" applyProtection="0"/>
    <xf numFmtId="169" fontId="58" fillId="0" borderId="0" applyFont="0" applyFill="0" applyBorder="0" applyAlignment="0" applyProtection="0"/>
    <xf numFmtId="233" fontId="58" fillId="0" borderId="0" applyFont="0" applyFill="0" applyBorder="0" applyAlignment="0" applyProtection="0"/>
    <xf numFmtId="234" fontId="58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9" fillId="0" borderId="0" applyFont="0" applyFill="0" applyBorder="0" applyProtection="0">
      <alignment horizontal="right"/>
    </xf>
    <xf numFmtId="172" fontId="78" fillId="0" borderId="0">
      <alignment horizontal="right"/>
    </xf>
    <xf numFmtId="172" fontId="26" fillId="0" borderId="0">
      <alignment horizontal="left" vertical="center"/>
    </xf>
    <xf numFmtId="171" fontId="5" fillId="0" borderId="0"/>
    <xf numFmtId="172" fontId="78" fillId="0" borderId="0">
      <alignment horizontal="right"/>
    </xf>
    <xf numFmtId="172" fontId="78" fillId="0" borderId="0">
      <alignment horizontal="center"/>
    </xf>
    <xf numFmtId="170" fontId="78" fillId="0" borderId="0">
      <alignment horizontal="right"/>
    </xf>
    <xf numFmtId="172" fontId="78" fillId="0" borderId="3">
      <alignment horizontal="right"/>
    </xf>
    <xf numFmtId="172" fontId="78" fillId="0" borderId="3">
      <alignment horizontal="center"/>
    </xf>
    <xf numFmtId="170" fontId="78" fillId="0" borderId="3">
      <alignment horizontal="right"/>
    </xf>
    <xf numFmtId="43" fontId="78" fillId="0" borderId="3">
      <alignment horizontal="center"/>
    </xf>
    <xf numFmtId="235" fontId="78" fillId="0" borderId="12"/>
    <xf numFmtId="236" fontId="78" fillId="0" borderId="12">
      <alignment horizontal="center"/>
    </xf>
    <xf numFmtId="172" fontId="26" fillId="0" borderId="0">
      <alignment horizontal="right" vertical="center"/>
    </xf>
    <xf numFmtId="236" fontId="78" fillId="0" borderId="18">
      <alignment horizontal="center" wrapText="1"/>
    </xf>
    <xf numFmtId="236" fontId="78" fillId="0" borderId="0">
      <alignment horizontal="center"/>
    </xf>
    <xf numFmtId="236" fontId="78" fillId="0" borderId="14">
      <alignment horizontal="center" wrapText="1"/>
    </xf>
    <xf numFmtId="235" fontId="78" fillId="0" borderId="14">
      <alignment wrapText="1"/>
    </xf>
    <xf numFmtId="235" fontId="78" fillId="0" borderId="3"/>
    <xf numFmtId="235" fontId="78" fillId="0" borderId="16">
      <alignment wrapText="1"/>
    </xf>
    <xf numFmtId="237" fontId="26" fillId="0" borderId="0">
      <alignment horizontal="left"/>
    </xf>
    <xf numFmtId="238" fontId="26" fillId="0" borderId="0">
      <alignment horizontal="left"/>
    </xf>
    <xf numFmtId="239" fontId="26" fillId="0" borderId="0">
      <alignment horizontal="left"/>
    </xf>
    <xf numFmtId="172" fontId="25" fillId="0" borderId="0">
      <alignment vertical="top"/>
    </xf>
    <xf numFmtId="240" fontId="26" fillId="0" borderId="0">
      <alignment horizontal="center"/>
    </xf>
    <xf numFmtId="235" fontId="81" fillId="0" borderId="0"/>
    <xf numFmtId="172" fontId="58" fillId="0" borderId="0">
      <alignment horizontal="right"/>
    </xf>
    <xf numFmtId="172" fontId="58" fillId="0" borderId="0">
      <alignment horizontal="center"/>
    </xf>
    <xf numFmtId="236" fontId="25" fillId="0" borderId="0">
      <alignment horizontal="center" vertical="top"/>
    </xf>
    <xf numFmtId="172" fontId="23" fillId="0" borderId="3">
      <alignment horizontal="centerContinuous"/>
    </xf>
    <xf numFmtId="172" fontId="5" fillId="0" borderId="3">
      <alignment horizontal="center"/>
    </xf>
    <xf numFmtId="172" fontId="5" fillId="0" borderId="0"/>
    <xf numFmtId="172" fontId="5" fillId="0" borderId="3"/>
    <xf numFmtId="43" fontId="5" fillId="0" borderId="3"/>
    <xf numFmtId="43" fontId="23" fillId="0" borderId="0">
      <alignment horizontal="right"/>
    </xf>
    <xf numFmtId="170" fontId="26" fillId="0" borderId="0">
      <alignment horizontal="right" vertical="center"/>
    </xf>
    <xf numFmtId="165" fontId="82" fillId="0" borderId="0">
      <alignment horizontal="center" wrapText="1"/>
    </xf>
    <xf numFmtId="2" fontId="82" fillId="0" borderId="0">
      <alignment horizontal="center"/>
    </xf>
    <xf numFmtId="43" fontId="58" fillId="0" borderId="0"/>
    <xf numFmtId="0" fontId="5" fillId="0" borderId="0">
      <alignment horizontal="center"/>
    </xf>
    <xf numFmtId="43" fontId="25" fillId="0" borderId="0">
      <alignment horizontal="center" vertical="top"/>
    </xf>
    <xf numFmtId="235" fontId="25" fillId="0" borderId="0">
      <alignment horizontal="center" vertical="top"/>
    </xf>
    <xf numFmtId="236" fontId="25" fillId="0" borderId="0">
      <alignment horizontal="center" vertical="top" wrapText="1"/>
    </xf>
    <xf numFmtId="43" fontId="25" fillId="0" borderId="0">
      <alignment horizontal="left" vertical="top"/>
    </xf>
    <xf numFmtId="172" fontId="25" fillId="0" borderId="0">
      <alignment horizontal="right" vertical="top"/>
    </xf>
    <xf numFmtId="43" fontId="25" fillId="0" borderId="0">
      <alignment horizontal="center" vertical="top"/>
    </xf>
    <xf numFmtId="43" fontId="26" fillId="0" borderId="0">
      <alignment horizontal="center"/>
    </xf>
    <xf numFmtId="235" fontId="25" fillId="0" borderId="0">
      <alignment horizontal="center" vertical="top"/>
    </xf>
    <xf numFmtId="236" fontId="25" fillId="0" borderId="0">
      <alignment horizontal="center" vertical="top" wrapText="1"/>
    </xf>
    <xf numFmtId="172" fontId="25" fillId="0" borderId="0">
      <alignment horizontal="left" vertical="top"/>
    </xf>
    <xf numFmtId="43" fontId="25" fillId="0" borderId="0">
      <alignment horizontal="left" vertical="top"/>
    </xf>
    <xf numFmtId="172" fontId="5" fillId="0" borderId="0">
      <alignment horizontal="left"/>
    </xf>
    <xf numFmtId="172" fontId="23" fillId="0" borderId="0">
      <alignment horizontal="centerContinuous"/>
    </xf>
    <xf numFmtId="172" fontId="23" fillId="0" borderId="0">
      <alignment horizontal="left"/>
    </xf>
    <xf numFmtId="172" fontId="23" fillId="0" borderId="3">
      <alignment horizontal="left"/>
    </xf>
    <xf numFmtId="43" fontId="58" fillId="0" borderId="0"/>
    <xf numFmtId="43" fontId="58" fillId="0" borderId="3">
      <alignment horizontal="center"/>
    </xf>
    <xf numFmtId="235" fontId="26" fillId="0" borderId="0">
      <alignment horizontal="center"/>
    </xf>
    <xf numFmtId="43" fontId="58" fillId="0" borderId="3"/>
    <xf numFmtId="43" fontId="23" fillId="0" borderId="0"/>
    <xf numFmtId="172" fontId="5" fillId="14" borderId="0">
      <alignment horizontal="center"/>
    </xf>
    <xf numFmtId="172" fontId="5" fillId="14" borderId="0">
      <alignment horizontal="center"/>
    </xf>
    <xf numFmtId="172" fontId="23" fillId="14" borderId="0">
      <alignment horizontal="centerContinuous"/>
    </xf>
    <xf numFmtId="172" fontId="23" fillId="14" borderId="3">
      <alignment horizontal="center" wrapText="1"/>
    </xf>
    <xf numFmtId="172" fontId="5" fillId="19" borderId="0">
      <alignment horizontal="center"/>
    </xf>
    <xf numFmtId="172" fontId="5" fillId="19" borderId="0">
      <alignment horizontal="center"/>
    </xf>
    <xf numFmtId="172" fontId="23" fillId="19" borderId="0">
      <alignment horizontal="centerContinuous"/>
    </xf>
    <xf numFmtId="172" fontId="23" fillId="19" borderId="3">
      <alignment horizontal="centerContinuous"/>
    </xf>
    <xf numFmtId="235" fontId="26" fillId="0" borderId="0">
      <alignment horizontal="center" wrapText="1"/>
    </xf>
    <xf numFmtId="172" fontId="25" fillId="0" borderId="0"/>
    <xf numFmtId="43" fontId="25" fillId="0" borderId="0"/>
    <xf numFmtId="43" fontId="25" fillId="0" borderId="0">
      <alignment horizontal="center"/>
    </xf>
    <xf numFmtId="172" fontId="25" fillId="0" borderId="0"/>
    <xf numFmtId="171" fontId="25" fillId="0" borderId="0"/>
    <xf numFmtId="43" fontId="25" fillId="0" borderId="27"/>
    <xf numFmtId="172" fontId="25" fillId="0" borderId="3"/>
    <xf numFmtId="43" fontId="25" fillId="0" borderId="28"/>
    <xf numFmtId="171" fontId="25" fillId="0" borderId="10"/>
    <xf numFmtId="10" fontId="25" fillId="0" borderId="0"/>
    <xf numFmtId="237" fontId="26" fillId="0" borderId="0">
      <alignment horizontal="center"/>
    </xf>
    <xf numFmtId="43" fontId="25" fillId="0" borderId="0"/>
    <xf numFmtId="241" fontId="26" fillId="0" borderId="0">
      <alignment horizontal="center" vertical="top"/>
    </xf>
    <xf numFmtId="14" fontId="23" fillId="0" borderId="0">
      <alignment horizontal="center"/>
    </xf>
    <xf numFmtId="4" fontId="58" fillId="0" borderId="0">
      <alignment horizontal="right" vertical="top"/>
    </xf>
    <xf numFmtId="172" fontId="58" fillId="0" borderId="0">
      <alignment horizontal="center" vertical="top"/>
    </xf>
    <xf numFmtId="172" fontId="25" fillId="0" borderId="3">
      <alignment horizontal="right" vertical="top"/>
    </xf>
    <xf numFmtId="170" fontId="25" fillId="0" borderId="3">
      <alignment horizontal="center" vertical="top"/>
    </xf>
    <xf numFmtId="43" fontId="25" fillId="0" borderId="3">
      <alignment horizontal="center" vertical="top"/>
    </xf>
    <xf numFmtId="235" fontId="25" fillId="0" borderId="3">
      <alignment horizontal="center" vertical="top"/>
    </xf>
    <xf numFmtId="236" fontId="25" fillId="0" borderId="3">
      <alignment horizontal="center" vertical="top" wrapText="1"/>
    </xf>
    <xf numFmtId="237" fontId="26" fillId="0" borderId="0">
      <alignment horizontal="center" wrapText="1"/>
    </xf>
    <xf numFmtId="172" fontId="25" fillId="0" borderId="3">
      <alignment horizontal="center" vertical="top"/>
    </xf>
    <xf numFmtId="172" fontId="25" fillId="0" borderId="3">
      <alignment horizontal="left" vertical="top"/>
    </xf>
    <xf numFmtId="172" fontId="25" fillId="0" borderId="3">
      <alignment vertical="top"/>
    </xf>
    <xf numFmtId="43" fontId="25" fillId="0" borderId="3">
      <alignment horizontal="left" vertical="top"/>
    </xf>
    <xf numFmtId="236" fontId="25" fillId="0" borderId="3">
      <alignment horizontal="center" vertical="top"/>
    </xf>
    <xf numFmtId="43" fontId="5" fillId="0" borderId="0">
      <alignment horizontal="center"/>
    </xf>
    <xf numFmtId="172" fontId="26" fillId="0" borderId="24">
      <alignment horizontal="right" vertical="center"/>
    </xf>
    <xf numFmtId="239" fontId="26" fillId="0" borderId="24">
      <alignment horizontal="left"/>
    </xf>
    <xf numFmtId="242" fontId="26" fillId="0" borderId="24">
      <alignment horizontal="left"/>
    </xf>
    <xf numFmtId="170" fontId="26" fillId="0" borderId="24">
      <alignment horizontal="right" vertical="center"/>
    </xf>
    <xf numFmtId="172" fontId="26" fillId="0" borderId="0">
      <alignment horizontal="left"/>
    </xf>
    <xf numFmtId="172" fontId="26" fillId="0" borderId="10">
      <alignment horizontal="right" vertical="center"/>
    </xf>
    <xf numFmtId="239" fontId="26" fillId="0" borderId="10">
      <alignment horizontal="left"/>
    </xf>
    <xf numFmtId="242" fontId="26" fillId="0" borderId="10">
      <alignment horizontal="left"/>
    </xf>
    <xf numFmtId="170" fontId="26" fillId="0" borderId="10">
      <alignment horizontal="right"/>
    </xf>
    <xf numFmtId="243" fontId="26" fillId="0" borderId="28">
      <alignment horizontal="left"/>
    </xf>
    <xf numFmtId="172" fontId="26" fillId="0" borderId="10">
      <alignment horizontal="left" vertical="center"/>
    </xf>
    <xf numFmtId="171" fontId="5" fillId="0" borderId="0">
      <alignment horizontal="center"/>
    </xf>
    <xf numFmtId="43" fontId="5" fillId="14" borderId="0">
      <alignment horizontal="center"/>
    </xf>
    <xf numFmtId="43" fontId="5" fillId="19" borderId="0">
      <alignment horizontal="center"/>
    </xf>
    <xf numFmtId="242" fontId="26" fillId="0" borderId="0">
      <alignment horizontal="left"/>
    </xf>
    <xf numFmtId="169" fontId="23" fillId="0" borderId="0" applyFill="0" applyBorder="0" applyAlignment="0" applyProtection="0"/>
    <xf numFmtId="172" fontId="78" fillId="0" borderId="0">
      <alignment horizontal="center"/>
    </xf>
    <xf numFmtId="172" fontId="26" fillId="0" borderId="0">
      <alignment horizontal="right"/>
    </xf>
    <xf numFmtId="243" fontId="26" fillId="0" borderId="27">
      <alignment horizontal="left"/>
    </xf>
    <xf numFmtId="43" fontId="25" fillId="0" borderId="26">
      <alignment horizontal="center"/>
    </xf>
    <xf numFmtId="172" fontId="26" fillId="0" borderId="3">
      <alignment horizontal="right" vertical="center"/>
    </xf>
    <xf numFmtId="244" fontId="26" fillId="0" borderId="27">
      <alignment horizontal="left"/>
    </xf>
    <xf numFmtId="172" fontId="25" fillId="13" borderId="0"/>
    <xf numFmtId="172" fontId="25" fillId="13" borderId="0">
      <alignment horizontal="center" vertical="top"/>
    </xf>
    <xf numFmtId="172" fontId="25" fillId="0" borderId="10"/>
    <xf numFmtId="172" fontId="25" fillId="13" borderId="0">
      <alignment horizontal="center" vertical="top"/>
    </xf>
    <xf numFmtId="172" fontId="25" fillId="13" borderId="0">
      <alignment horizontal="right" vertical="top"/>
    </xf>
    <xf numFmtId="170" fontId="25" fillId="13" borderId="0">
      <alignment horizontal="center" vertical="top"/>
    </xf>
    <xf numFmtId="170" fontId="26" fillId="0" borderId="0">
      <alignment horizontal="right"/>
    </xf>
    <xf numFmtId="43" fontId="25" fillId="13" borderId="0">
      <alignment horizontal="center" vertical="top"/>
    </xf>
    <xf numFmtId="235" fontId="25" fillId="13" borderId="0">
      <alignment horizontal="center" vertical="top"/>
    </xf>
    <xf numFmtId="236" fontId="25" fillId="13" borderId="0">
      <alignment horizontal="center" vertical="top"/>
    </xf>
    <xf numFmtId="236" fontId="25" fillId="13" borderId="0">
      <alignment horizontal="center" vertical="top" wrapText="1"/>
    </xf>
    <xf numFmtId="172" fontId="25" fillId="13" borderId="0">
      <alignment horizontal="left" vertical="top"/>
    </xf>
    <xf numFmtId="43" fontId="25" fillId="13" borderId="0">
      <alignment horizontal="left" vertical="top"/>
    </xf>
    <xf numFmtId="43" fontId="25" fillId="13" borderId="0"/>
    <xf numFmtId="172" fontId="25" fillId="14" borderId="0">
      <alignment horizontal="center" vertical="top"/>
    </xf>
    <xf numFmtId="172" fontId="25" fillId="14" borderId="0">
      <alignment horizontal="right" vertical="top"/>
    </xf>
    <xf numFmtId="170" fontId="25" fillId="14" borderId="0">
      <alignment horizontal="center" vertical="top"/>
    </xf>
    <xf numFmtId="172" fontId="25" fillId="0" borderId="0">
      <alignment horizontal="right"/>
    </xf>
    <xf numFmtId="43" fontId="25" fillId="14" borderId="0">
      <alignment horizontal="center" vertical="top"/>
    </xf>
    <xf numFmtId="235" fontId="25" fillId="14" borderId="0">
      <alignment horizontal="center" vertical="top"/>
    </xf>
    <xf numFmtId="236" fontId="25" fillId="14" borderId="0">
      <alignment horizontal="center" vertical="top"/>
    </xf>
    <xf numFmtId="236" fontId="25" fillId="14" borderId="0">
      <alignment horizontal="center" vertical="top" wrapText="1"/>
    </xf>
    <xf numFmtId="172" fontId="25" fillId="14" borderId="0">
      <alignment horizontal="center" vertical="top"/>
    </xf>
    <xf numFmtId="172" fontId="25" fillId="14" borderId="0">
      <alignment horizontal="left" vertical="top"/>
    </xf>
    <xf numFmtId="172" fontId="25" fillId="14" borderId="0"/>
    <xf numFmtId="43" fontId="25" fillId="14" borderId="0">
      <alignment horizontal="left" vertical="top"/>
    </xf>
    <xf numFmtId="235" fontId="25" fillId="14" borderId="0">
      <alignment horizontal="center" vertical="top"/>
    </xf>
    <xf numFmtId="236" fontId="78" fillId="14" borderId="0">
      <alignment horizontal="center" wrapText="1"/>
    </xf>
    <xf numFmtId="172" fontId="25" fillId="0" borderId="0"/>
    <xf numFmtId="172" fontId="25" fillId="14" borderId="0">
      <alignment horizontal="left" vertical="top"/>
    </xf>
    <xf numFmtId="172" fontId="25" fillId="14" borderId="0">
      <alignment horizontal="right"/>
    </xf>
    <xf numFmtId="172" fontId="25" fillId="14" borderId="0">
      <alignment horizontal="right"/>
    </xf>
    <xf numFmtId="4" fontId="58" fillId="14" borderId="0">
      <alignment horizontal="right" vertical="top"/>
    </xf>
    <xf numFmtId="43" fontId="25" fillId="14" borderId="0">
      <alignment horizontal="center" vertical="top"/>
    </xf>
    <xf numFmtId="236" fontId="25" fillId="14" borderId="0">
      <alignment horizontal="center" vertical="top" wrapText="1"/>
    </xf>
    <xf numFmtId="43" fontId="25" fillId="14" borderId="0">
      <alignment horizontal="left" vertical="top"/>
    </xf>
    <xf numFmtId="172" fontId="26" fillId="6" borderId="9">
      <alignment horizontal="right" wrapText="1"/>
    </xf>
    <xf numFmtId="172" fontId="26" fillId="6" borderId="9">
      <alignment horizontal="center" wrapText="1"/>
    </xf>
    <xf numFmtId="170" fontId="26" fillId="6" borderId="9">
      <alignment horizontal="right" wrapText="1"/>
    </xf>
    <xf numFmtId="43" fontId="26" fillId="6" borderId="9">
      <alignment horizontal="center" wrapText="1"/>
    </xf>
    <xf numFmtId="235" fontId="26" fillId="6" borderId="9">
      <alignment horizontal="center" wrapText="1"/>
    </xf>
    <xf numFmtId="235" fontId="26" fillId="6" borderId="9">
      <alignment horizontal="center" wrapText="1"/>
    </xf>
    <xf numFmtId="207" fontId="27" fillId="0" borderId="0">
      <alignment horizontal="left" vertical="center" wrapText="1"/>
    </xf>
    <xf numFmtId="172" fontId="25" fillId="0" borderId="0">
      <alignment horizontal="right"/>
    </xf>
    <xf numFmtId="172" fontId="25" fillId="0" borderId="0"/>
    <xf numFmtId="170" fontId="25" fillId="0" borderId="0">
      <alignment horizontal="right"/>
    </xf>
    <xf numFmtId="43" fontId="25" fillId="0" borderId="0">
      <alignment horizontal="center"/>
    </xf>
    <xf numFmtId="235" fontId="25" fillId="0" borderId="0"/>
    <xf numFmtId="235" fontId="25" fillId="0" borderId="0">
      <alignment wrapText="1"/>
    </xf>
    <xf numFmtId="170" fontId="25" fillId="0" borderId="0">
      <alignment horizontal="center" vertical="top"/>
    </xf>
    <xf numFmtId="172" fontId="25" fillId="0" borderId="0">
      <alignment horizontal="center" vertical="top"/>
    </xf>
    <xf numFmtId="172" fontId="25" fillId="0" borderId="0">
      <alignment horizontal="center" vertical="top"/>
    </xf>
    <xf numFmtId="172" fontId="25" fillId="0" borderId="0">
      <alignment horizontal="left" vertical="top"/>
    </xf>
    <xf numFmtId="172" fontId="25" fillId="0" borderId="0">
      <alignment horizontal="right" vertical="center" wrapText="1"/>
    </xf>
    <xf numFmtId="172" fontId="25" fillId="0" borderId="0">
      <alignment horizontal="right" vertical="top"/>
    </xf>
    <xf numFmtId="170" fontId="25" fillId="0" borderId="0">
      <alignment horizontal="center" vertical="top"/>
    </xf>
    <xf numFmtId="170" fontId="78" fillId="0" borderId="0">
      <alignment horizontal="right"/>
    </xf>
    <xf numFmtId="43" fontId="78" fillId="0" borderId="0">
      <alignment horizontal="center"/>
    </xf>
    <xf numFmtId="235" fontId="78" fillId="0" borderId="0"/>
    <xf numFmtId="236" fontId="78" fillId="0" borderId="0">
      <alignment horizontal="center"/>
    </xf>
    <xf numFmtId="236" fontId="78" fillId="0" borderId="0">
      <alignment horizontal="center" wrapText="1"/>
    </xf>
    <xf numFmtId="235" fontId="78" fillId="0" borderId="0">
      <alignment wrapText="1"/>
    </xf>
    <xf numFmtId="43" fontId="58" fillId="0" borderId="0">
      <alignment horizontal="center"/>
    </xf>
    <xf numFmtId="43" fontId="58" fillId="0" borderId="0"/>
    <xf numFmtId="172" fontId="25" fillId="0" borderId="0">
      <alignment horizontal="center" vertical="center" wrapText="1"/>
    </xf>
    <xf numFmtId="43" fontId="58" fillId="0" borderId="17">
      <alignment horizontal="center" vertical="center"/>
    </xf>
    <xf numFmtId="43" fontId="58" fillId="0" borderId="12">
      <alignment horizontal="center" vertical="center"/>
    </xf>
    <xf numFmtId="43" fontId="82" fillId="0" borderId="12">
      <alignment horizontal="center" vertical="center"/>
    </xf>
    <xf numFmtId="43" fontId="82" fillId="0" borderId="13">
      <alignment horizontal="center"/>
    </xf>
    <xf numFmtId="43" fontId="82" fillId="0" borderId="0">
      <alignment horizontal="center"/>
    </xf>
    <xf numFmtId="2" fontId="82" fillId="0" borderId="0">
      <alignment horizontal="center"/>
    </xf>
    <xf numFmtId="43" fontId="82" fillId="0" borderId="14">
      <alignment horizontal="center"/>
    </xf>
    <xf numFmtId="43" fontId="82" fillId="0" borderId="0">
      <alignment horizontal="center"/>
    </xf>
    <xf numFmtId="172" fontId="82" fillId="0" borderId="0">
      <alignment horizontal="center" wrapText="1"/>
    </xf>
    <xf numFmtId="172" fontId="82" fillId="0" borderId="3">
      <alignment horizontal="center" wrapText="1"/>
    </xf>
    <xf numFmtId="170" fontId="25" fillId="0" borderId="0">
      <alignment horizontal="right" vertical="center" wrapText="1"/>
    </xf>
    <xf numFmtId="165" fontId="82" fillId="0" borderId="3">
      <alignment horizontal="center" wrapText="1"/>
    </xf>
    <xf numFmtId="43" fontId="90" fillId="0" borderId="0">
      <alignment horizontal="left"/>
    </xf>
    <xf numFmtId="43" fontId="82" fillId="0" borderId="0">
      <alignment horizontal="center" wrapText="1"/>
    </xf>
    <xf numFmtId="43" fontId="82" fillId="0" borderId="0">
      <alignment wrapText="1"/>
    </xf>
    <xf numFmtId="43" fontId="82" fillId="6" borderId="9">
      <alignment horizontal="right" wrapText="1"/>
    </xf>
    <xf numFmtId="43" fontId="82" fillId="6" borderId="9">
      <alignment horizontal="center" wrapText="1"/>
    </xf>
    <xf numFmtId="172" fontId="5" fillId="0" borderId="0"/>
    <xf numFmtId="172" fontId="5" fillId="0" borderId="0">
      <alignment horizontal="center"/>
    </xf>
    <xf numFmtId="172" fontId="5" fillId="0" borderId="0">
      <alignment horizontal="left"/>
    </xf>
    <xf numFmtId="172" fontId="5" fillId="0" borderId="0">
      <alignment horizontal="center"/>
    </xf>
    <xf numFmtId="43" fontId="26" fillId="0" borderId="0">
      <alignment horizontal="center" vertical="center" wrapText="1"/>
    </xf>
    <xf numFmtId="172" fontId="23" fillId="0" borderId="0">
      <alignment horizontal="center"/>
    </xf>
    <xf numFmtId="172" fontId="5" fillId="0" borderId="0"/>
    <xf numFmtId="172" fontId="83" fillId="0" borderId="0">
      <alignment horizontal="left" vertical="center"/>
    </xf>
    <xf numFmtId="172" fontId="26" fillId="0" borderId="27"/>
    <xf numFmtId="172" fontId="26" fillId="0" borderId="0"/>
    <xf numFmtId="43" fontId="26" fillId="0" borderId="0"/>
    <xf numFmtId="43" fontId="26" fillId="0" borderId="0">
      <alignment horizontal="center"/>
    </xf>
    <xf numFmtId="172" fontId="26" fillId="0" borderId="0">
      <alignment horizontal="center"/>
    </xf>
    <xf numFmtId="172" fontId="26" fillId="6" borderId="24">
      <alignment horizontal="center"/>
    </xf>
    <xf numFmtId="49" fontId="25" fillId="0" borderId="0">
      <alignment horizontal="left"/>
    </xf>
    <xf numFmtId="235" fontId="26" fillId="0" borderId="0">
      <alignment horizontal="center" vertical="center" wrapText="1"/>
    </xf>
    <xf numFmtId="49" fontId="25" fillId="0" borderId="13">
      <alignment horizontal="left"/>
    </xf>
    <xf numFmtId="49" fontId="25" fillId="0" borderId="15">
      <alignment horizontal="left"/>
    </xf>
    <xf numFmtId="172" fontId="80" fillId="0" borderId="14"/>
    <xf numFmtId="49" fontId="25" fillId="0" borderId="14">
      <alignment horizontal="left"/>
    </xf>
    <xf numFmtId="172" fontId="5" fillId="0" borderId="0">
      <alignment horizontal="center"/>
    </xf>
    <xf numFmtId="172" fontId="5" fillId="0" borderId="0"/>
    <xf numFmtId="172" fontId="5" fillId="0" borderId="0"/>
    <xf numFmtId="172" fontId="23" fillId="0" borderId="0">
      <alignment horizontal="right"/>
    </xf>
    <xf numFmtId="172" fontId="23" fillId="0" borderId="0">
      <alignment horizontal="center"/>
    </xf>
    <xf numFmtId="172" fontId="23" fillId="0" borderId="3"/>
    <xf numFmtId="172" fontId="26" fillId="0" borderId="0">
      <alignment horizontal="left" vertical="center" wrapText="1"/>
    </xf>
    <xf numFmtId="172" fontId="23" fillId="0" borderId="3">
      <alignment horizontal="center"/>
    </xf>
    <xf numFmtId="172" fontId="23" fillId="0" borderId="3">
      <alignment horizontal="center" wrapText="1"/>
    </xf>
    <xf numFmtId="172" fontId="23" fillId="0" borderId="0"/>
    <xf numFmtId="172" fontId="23" fillId="0" borderId="3">
      <alignment horizontal="center" wrapText="1"/>
    </xf>
    <xf numFmtId="172" fontId="23" fillId="0" borderId="0">
      <alignment horizontal="center"/>
    </xf>
    <xf numFmtId="172" fontId="23" fillId="0" borderId="3">
      <alignment horizontal="center"/>
    </xf>
    <xf numFmtId="172" fontId="23" fillId="0" borderId="0"/>
    <xf numFmtId="172" fontId="23" fillId="0" borderId="3">
      <alignment horizontal="left" wrapText="1"/>
    </xf>
    <xf numFmtId="236" fontId="5" fillId="0" borderId="0">
      <alignment horizontal="center"/>
    </xf>
    <xf numFmtId="236" fontId="5" fillId="0" borderId="0">
      <alignment horizontal="left"/>
    </xf>
    <xf numFmtId="0" fontId="91" fillId="0" borderId="0"/>
    <xf numFmtId="10" fontId="9" fillId="0" borderId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227" fontId="9" fillId="0" borderId="0"/>
    <xf numFmtId="0" fontId="92" fillId="6" borderId="0"/>
    <xf numFmtId="0" fontId="57" fillId="0" borderId="0" applyNumberFormat="0" applyFont="0" applyFill="0" applyBorder="0" applyAlignment="0" applyProtection="0">
      <alignment horizontal="left"/>
    </xf>
    <xf numFmtId="15" fontId="57" fillId="0" borderId="0" applyFont="0" applyFill="0" applyBorder="0" applyAlignment="0" applyProtection="0"/>
    <xf numFmtId="4" fontId="57" fillId="0" borderId="0" applyFont="0" applyFill="0" applyBorder="0" applyAlignment="0" applyProtection="0"/>
    <xf numFmtId="0" fontId="93" fillId="0" borderId="10">
      <alignment horizontal="center"/>
    </xf>
    <xf numFmtId="3" fontId="57" fillId="0" borderId="0" applyFont="0" applyFill="0" applyBorder="0" applyAlignment="0" applyProtection="0"/>
    <xf numFmtId="0" fontId="57" fillId="20" borderId="0" applyNumberFormat="0" applyFont="0" applyBorder="0" applyAlignment="0" applyProtection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245" fontId="94" fillId="0" borderId="0"/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5" fillId="21" borderId="0" applyNumberFormat="0" applyFont="0" applyBorder="0" applyAlignment="0">
      <alignment horizontal="center"/>
    </xf>
    <xf numFmtId="14" fontId="44" fillId="0" borderId="0" applyNumberFormat="0" applyFill="0" applyBorder="0" applyAlignment="0" applyProtection="0">
      <alignment horizontal="left"/>
    </xf>
    <xf numFmtId="49" fontId="5" fillId="0" borderId="0" applyFont="0" applyFill="0" applyBorder="0" applyProtection="0">
      <alignment horizontal="right"/>
    </xf>
    <xf numFmtId="49" fontId="23" fillId="0" borderId="0" applyFill="0" applyBorder="0" applyProtection="0">
      <alignment horizontal="right"/>
    </xf>
    <xf numFmtId="49" fontId="23" fillId="0" borderId="3" applyFill="0" applyProtection="0">
      <alignment horizontal="right"/>
    </xf>
    <xf numFmtId="49" fontId="23" fillId="0" borderId="12" applyFill="0" applyProtection="0">
      <alignment horizontal="right"/>
    </xf>
    <xf numFmtId="0" fontId="67" fillId="0" borderId="0" applyFill="0" applyBorder="0" applyProtection="0">
      <alignment horizontal="left"/>
    </xf>
    <xf numFmtId="0" fontId="16" fillId="22" borderId="0"/>
    <xf numFmtId="0" fontId="95" fillId="1" borderId="8" applyNumberFormat="0" applyFont="0" applyAlignment="0">
      <alignment horizontal="center"/>
    </xf>
    <xf numFmtId="246" fontId="96" fillId="0" borderId="0" applyFont="0" applyFill="0" applyBorder="0" applyAlignment="0" applyProtection="0"/>
    <xf numFmtId="1" fontId="9" fillId="0" borderId="0"/>
    <xf numFmtId="0" fontId="5" fillId="0" borderId="0" applyFont="0" applyFill="0" applyBorder="0" applyAlignment="0" applyProtection="0"/>
    <xf numFmtId="0" fontId="23" fillId="0" borderId="0" applyFill="0" applyBorder="0" applyAlignment="0" applyProtection="0"/>
    <xf numFmtId="42" fontId="24" fillId="0" borderId="0" applyFill="0" applyBorder="0" applyAlignment="0" applyProtection="0"/>
    <xf numFmtId="0" fontId="97" fillId="0" borderId="0" applyNumberFormat="0" applyFill="0" applyBorder="0" applyAlignment="0">
      <alignment horizontal="center"/>
    </xf>
    <xf numFmtId="12" fontId="9" fillId="0" borderId="0" applyFont="0" applyFill="0" applyBorder="0" applyProtection="0">
      <alignment horizontal="right"/>
    </xf>
    <xf numFmtId="0" fontId="9" fillId="23" borderId="0" applyFont="0" applyFill="0" applyBorder="0" applyProtection="0">
      <alignment horizontal="right"/>
    </xf>
    <xf numFmtId="0" fontId="7" fillId="0" borderId="0">
      <alignment vertical="top"/>
    </xf>
    <xf numFmtId="0" fontId="82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Fill="0" applyBorder="0" applyProtection="0">
      <alignment horizontal="left" wrapText="1"/>
    </xf>
    <xf numFmtId="0" fontId="26" fillId="0" borderId="0" applyNumberFormat="0" applyFill="0" applyBorder="0" applyProtection="0">
      <alignment horizontal="right" wrapText="1"/>
    </xf>
    <xf numFmtId="1" fontId="25" fillId="0" borderId="0" applyFill="0" applyBorder="0" applyProtection="0">
      <alignment horizontal="left"/>
    </xf>
    <xf numFmtId="49" fontId="25" fillId="0" borderId="0" applyFill="0" applyBorder="0" applyProtection="0">
      <alignment horizontal="left"/>
    </xf>
    <xf numFmtId="1" fontId="25" fillId="0" borderId="0" applyFill="0" applyBorder="0" applyProtection="0">
      <alignment horizontal="center"/>
    </xf>
    <xf numFmtId="37" fontId="25" fillId="0" borderId="0" applyFill="0" applyBorder="0" applyProtection="0">
      <alignment horizontal="right"/>
    </xf>
    <xf numFmtId="7" fontId="25" fillId="0" borderId="0" applyFill="0" applyBorder="0" applyProtection="0">
      <alignment horizontal="right"/>
    </xf>
    <xf numFmtId="247" fontId="25" fillId="0" borderId="0" applyFill="0" applyBorder="0" applyProtection="0">
      <alignment horizontal="left"/>
    </xf>
    <xf numFmtId="37" fontId="26" fillId="0" borderId="0" applyFill="0" applyBorder="0" applyProtection="0">
      <alignment horizontal="right"/>
    </xf>
    <xf numFmtId="7" fontId="26" fillId="0" borderId="0" applyFill="0" applyBorder="0" applyProtection="0">
      <alignment horizontal="right"/>
    </xf>
    <xf numFmtId="248" fontId="25" fillId="0" borderId="0" applyFill="0" applyBorder="0" applyProtection="0">
      <alignment horizontal="right"/>
    </xf>
    <xf numFmtId="249" fontId="25" fillId="0" borderId="0" applyFill="0" applyBorder="0" applyProtection="0">
      <alignment horizontal="right"/>
    </xf>
    <xf numFmtId="250" fontId="25" fillId="0" borderId="0" applyFill="0" applyBorder="0" applyProtection="0">
      <alignment horizontal="right"/>
    </xf>
    <xf numFmtId="14" fontId="25" fillId="0" borderId="0" applyFill="0" applyBorder="0" applyProtection="0">
      <alignment horizontal="right"/>
    </xf>
    <xf numFmtId="14" fontId="25" fillId="0" borderId="0" applyFill="0" applyBorder="0" applyProtection="0">
      <alignment horizontal="right"/>
    </xf>
    <xf numFmtId="251" fontId="25" fillId="0" borderId="0" applyFill="0" applyBorder="0" applyProtection="0">
      <alignment horizontal="left"/>
    </xf>
    <xf numFmtId="252" fontId="25" fillId="0" borderId="0" applyFill="0" applyBorder="0" applyProtection="0">
      <alignment horizontal="left"/>
    </xf>
    <xf numFmtId="248" fontId="26" fillId="0" borderId="0" applyFill="0" applyBorder="0" applyProtection="0">
      <alignment horizontal="right"/>
    </xf>
    <xf numFmtId="1" fontId="26" fillId="0" borderId="0" applyFill="0" applyBorder="0" applyProtection="0">
      <alignment horizontal="left"/>
    </xf>
    <xf numFmtId="247" fontId="26" fillId="0" borderId="0" applyFill="0" applyBorder="0" applyProtection="0">
      <alignment horizontal="left"/>
    </xf>
    <xf numFmtId="37" fontId="26" fillId="0" borderId="0" applyFill="0" applyBorder="0" applyProtection="0">
      <alignment horizontal="right"/>
    </xf>
    <xf numFmtId="1" fontId="98" fillId="0" borderId="0" applyFill="0" applyBorder="0" applyProtection="0">
      <alignment horizontal="left"/>
    </xf>
    <xf numFmtId="49" fontId="25" fillId="0" borderId="0" applyFill="0" applyBorder="0" applyProtection="0">
      <alignment horizontal="left"/>
    </xf>
    <xf numFmtId="252" fontId="25" fillId="0" borderId="0" applyFill="0" applyBorder="0" applyProtection="0">
      <alignment horizontal="left"/>
    </xf>
    <xf numFmtId="0" fontId="7" fillId="0" borderId="0" applyNumberFormat="0" applyBorder="0" applyAlignment="0"/>
    <xf numFmtId="0" fontId="17" fillId="0" borderId="0"/>
    <xf numFmtId="40" fontId="99" fillId="0" borderId="0" applyBorder="0">
      <alignment horizontal="right"/>
    </xf>
    <xf numFmtId="6" fontId="73" fillId="0" borderId="36" applyFill="0">
      <alignment vertical="center"/>
    </xf>
    <xf numFmtId="0" fontId="18" fillId="0" borderId="0"/>
    <xf numFmtId="0" fontId="100" fillId="0" borderId="0"/>
    <xf numFmtId="0" fontId="5" fillId="0" borderId="0"/>
    <xf numFmtId="49" fontId="7" fillId="0" borderId="0" applyFill="0" applyBorder="0" applyAlignment="0"/>
    <xf numFmtId="0" fontId="29" fillId="0" borderId="0" applyFill="0" applyBorder="0" applyAlignment="0"/>
    <xf numFmtId="201" fontId="9" fillId="0" borderId="0" applyFill="0" applyBorder="0" applyAlignment="0"/>
    <xf numFmtId="0" fontId="19" fillId="0" borderId="0"/>
    <xf numFmtId="0" fontId="20" fillId="0" borderId="0"/>
    <xf numFmtId="0" fontId="21" fillId="0" borderId="0">
      <alignment vertical="top"/>
    </xf>
    <xf numFmtId="253" fontId="73" fillId="0" borderId="0" applyFill="0" applyBorder="0">
      <alignment vertical="center"/>
    </xf>
    <xf numFmtId="0" fontId="2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8" fontId="101" fillId="0" borderId="0" applyNumberFormat="0" applyFill="0" applyBorder="0">
      <alignment horizontal="left" vertical="center"/>
    </xf>
    <xf numFmtId="38" fontId="102" fillId="0" borderId="0" applyNumberFormat="0" applyFill="0" applyBorder="0">
      <alignment horizontal="centerContinuous" vertical="center"/>
    </xf>
    <xf numFmtId="0" fontId="22" fillId="0" borderId="0">
      <alignment vertical="top"/>
    </xf>
    <xf numFmtId="0" fontId="10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8" fillId="0" borderId="0" applyFill="0" applyBorder="0" applyAlignment="0" applyProtection="0"/>
    <xf numFmtId="0" fontId="19" fillId="0" borderId="0">
      <alignment wrapText="1"/>
    </xf>
    <xf numFmtId="0" fontId="104" fillId="0" borderId="0">
      <alignment horizontal="left"/>
      <protection locked="0"/>
    </xf>
    <xf numFmtId="5" fontId="89" fillId="0" borderId="0">
      <alignment vertical="center"/>
    </xf>
    <xf numFmtId="223" fontId="29" fillId="0" borderId="0"/>
    <xf numFmtId="254" fontId="30" fillId="0" borderId="0" applyFill="0" applyBorder="0" applyAlignment="0" applyProtection="0"/>
    <xf numFmtId="14" fontId="25" fillId="0" borderId="0" applyFont="0" applyFill="0" applyBorder="0" applyProtection="0"/>
    <xf numFmtId="255" fontId="105" fillId="0" borderId="0" applyFill="0" applyBorder="0">
      <alignment vertical="center"/>
    </xf>
    <xf numFmtId="0" fontId="73" fillId="24" borderId="37" applyNumberFormat="0" applyFont="0" applyBorder="0" applyAlignment="0" applyProtection="0">
      <alignment horizontal="right"/>
    </xf>
    <xf numFmtId="256" fontId="24" fillId="0" borderId="0" applyFont="0" applyFill="0" applyBorder="0" applyAlignment="0" applyProtection="0"/>
    <xf numFmtId="255" fontId="106" fillId="0" borderId="0">
      <alignment horizontal="center"/>
    </xf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8" fillId="0" borderId="0">
      <alignment vertical="center"/>
    </xf>
    <xf numFmtId="263" fontId="129" fillId="0" borderId="0">
      <alignment vertical="center"/>
    </xf>
    <xf numFmtId="262" fontId="128" fillId="0" borderId="0" applyFont="0" applyFill="0" applyBorder="0" applyAlignment="0" applyProtection="0">
      <alignment vertical="center"/>
    </xf>
  </cellStyleXfs>
  <cellXfs count="218">
    <xf numFmtId="0" fontId="0" fillId="0" borderId="0" xfId="0"/>
    <xf numFmtId="0" fontId="3" fillId="0" borderId="0" xfId="894"/>
    <xf numFmtId="170" fontId="112" fillId="0" borderId="43" xfId="895" applyNumberFormat="1" applyFont="1" applyFill="1" applyBorder="1" applyAlignment="1">
      <alignment horizontal="right" wrapText="1"/>
    </xf>
    <xf numFmtId="0" fontId="112" fillId="0" borderId="42" xfId="896" applyFont="1" applyBorder="1"/>
    <xf numFmtId="170" fontId="118" fillId="0" borderId="27" xfId="895" applyNumberFormat="1" applyFont="1" applyFill="1" applyBorder="1" applyAlignment="1">
      <alignment horizontal="left" wrapText="1"/>
    </xf>
    <xf numFmtId="0" fontId="112" fillId="0" borderId="40" xfId="896" applyFont="1" applyBorder="1" applyAlignment="1">
      <alignment horizontal="left" wrapText="1"/>
    </xf>
    <xf numFmtId="170" fontId="112" fillId="0" borderId="0" xfId="895" applyNumberFormat="1" applyFont="1" applyFill="1" applyBorder="1" applyAlignment="1">
      <alignment horizontal="right" wrapText="1"/>
    </xf>
    <xf numFmtId="0" fontId="112" fillId="0" borderId="0" xfId="896" applyFont="1"/>
    <xf numFmtId="0" fontId="112" fillId="0" borderId="41" xfId="896" applyFont="1" applyBorder="1" applyAlignment="1">
      <alignment horizontal="right" wrapText="1"/>
    </xf>
    <xf numFmtId="0" fontId="115" fillId="0" borderId="0" xfId="896" applyFont="1"/>
    <xf numFmtId="172" fontId="119" fillId="0" borderId="0" xfId="895" applyNumberFormat="1" applyFont="1" applyFill="1"/>
    <xf numFmtId="0" fontId="119" fillId="0" borderId="0" xfId="896" applyFont="1"/>
    <xf numFmtId="0" fontId="108" fillId="0" borderId="0" xfId="896" applyFont="1"/>
    <xf numFmtId="165" fontId="108" fillId="0" borderId="0" xfId="894" applyNumberFormat="1" applyFont="1"/>
    <xf numFmtId="258" fontId="112" fillId="0" borderId="0" xfId="896" applyNumberFormat="1" applyFont="1"/>
    <xf numFmtId="170" fontId="112" fillId="0" borderId="0" xfId="895" applyNumberFormat="1" applyFont="1" applyFill="1" applyBorder="1"/>
    <xf numFmtId="258" fontId="112" fillId="0" borderId="8" xfId="896" applyNumberFormat="1" applyFont="1" applyBorder="1"/>
    <xf numFmtId="170" fontId="112" fillId="0" borderId="8" xfId="895" applyNumberFormat="1" applyFont="1" applyFill="1" applyBorder="1"/>
    <xf numFmtId="0" fontId="112" fillId="0" borderId="8" xfId="896" applyFont="1" applyBorder="1"/>
    <xf numFmtId="258" fontId="108" fillId="0" borderId="0" xfId="896" applyNumberFormat="1" applyFont="1"/>
    <xf numFmtId="170" fontId="108" fillId="0" borderId="0" xfId="895" applyNumberFormat="1" applyFont="1" applyFill="1"/>
    <xf numFmtId="170" fontId="118" fillId="0" borderId="0" xfId="895" applyNumberFormat="1" applyFont="1" applyFill="1" applyBorder="1" applyAlignment="1">
      <alignment horizontal="center" wrapText="1"/>
    </xf>
    <xf numFmtId="0" fontId="108" fillId="0" borderId="0" xfId="896" applyFont="1" applyAlignment="1">
      <alignment horizontal="left" wrapText="1"/>
    </xf>
    <xf numFmtId="0" fontId="112" fillId="0" borderId="0" xfId="896" applyFont="1" applyAlignment="1">
      <alignment horizontal="right" wrapText="1"/>
    </xf>
    <xf numFmtId="0" fontId="112" fillId="0" borderId="8" xfId="896" applyFont="1" applyBorder="1" applyAlignment="1">
      <alignment horizontal="right" wrapText="1"/>
    </xf>
    <xf numFmtId="17" fontId="112" fillId="0" borderId="8" xfId="896" applyNumberFormat="1" applyFont="1" applyBorder="1" applyAlignment="1">
      <alignment horizontal="left" vertical="center" wrapText="1"/>
    </xf>
    <xf numFmtId="0" fontId="108" fillId="0" borderId="0" xfId="894" applyFont="1"/>
    <xf numFmtId="169" fontId="108" fillId="0" borderId="0" xfId="897" applyNumberFormat="1" applyFont="1" applyFill="1" applyBorder="1"/>
    <xf numFmtId="169" fontId="108" fillId="0" borderId="3" xfId="897" applyNumberFormat="1" applyFont="1" applyFill="1" applyBorder="1"/>
    <xf numFmtId="169" fontId="108" fillId="28" borderId="3" xfId="897" applyNumberFormat="1" applyFont="1" applyFill="1" applyBorder="1"/>
    <xf numFmtId="0" fontId="108" fillId="0" borderId="3" xfId="894" applyFont="1" applyBorder="1"/>
    <xf numFmtId="0" fontId="108" fillId="0" borderId="0" xfId="894" applyFont="1" applyAlignment="1">
      <alignment horizontal="right"/>
    </xf>
    <xf numFmtId="258" fontId="112" fillId="28" borderId="0" xfId="894" applyNumberFormat="1" applyFont="1" applyFill="1" applyAlignment="1">
      <alignment horizontal="right"/>
    </xf>
    <xf numFmtId="0" fontId="112" fillId="0" borderId="0" xfId="894" applyFont="1"/>
    <xf numFmtId="259" fontId="112" fillId="0" borderId="0" xfId="894" applyNumberFormat="1" applyFont="1" applyAlignment="1">
      <alignment horizontal="right"/>
    </xf>
    <xf numFmtId="258" fontId="112" fillId="0" borderId="0" xfId="894" applyNumberFormat="1" applyFont="1" applyAlignment="1">
      <alignment horizontal="right"/>
    </xf>
    <xf numFmtId="258" fontId="108" fillId="0" borderId="0" xfId="894" applyNumberFormat="1" applyFont="1" applyAlignment="1">
      <alignment horizontal="right"/>
    </xf>
    <xf numFmtId="170" fontId="108" fillId="0" borderId="0" xfId="895" applyNumberFormat="1" applyFont="1" applyFill="1" applyBorder="1" applyAlignment="1">
      <alignment horizontal="right"/>
    </xf>
    <xf numFmtId="170" fontId="112" fillId="0" borderId="39" xfId="895" applyNumberFormat="1" applyFont="1" applyFill="1" applyBorder="1" applyAlignment="1">
      <alignment horizontal="right"/>
    </xf>
    <xf numFmtId="0" fontId="112" fillId="0" borderId="39" xfId="894" applyFont="1" applyBorder="1"/>
    <xf numFmtId="170" fontId="112" fillId="0" borderId="0" xfId="895" applyNumberFormat="1" applyFont="1" applyFill="1" applyBorder="1" applyAlignment="1">
      <alignment horizontal="right"/>
    </xf>
    <xf numFmtId="170" fontId="108" fillId="0" borderId="0" xfId="895" applyNumberFormat="1" applyFont="1"/>
    <xf numFmtId="170" fontId="112" fillId="0" borderId="0" xfId="895" applyNumberFormat="1" applyFont="1" applyFill="1"/>
    <xf numFmtId="37" fontId="108" fillId="0" borderId="0" xfId="894" applyNumberFormat="1" applyFont="1" applyAlignment="1">
      <alignment horizontal="right"/>
    </xf>
    <xf numFmtId="0" fontId="113" fillId="0" borderId="0" xfId="894" applyFont="1"/>
    <xf numFmtId="9" fontId="113" fillId="27" borderId="0" xfId="897" applyFont="1" applyFill="1" applyAlignment="1">
      <alignment horizontal="right"/>
    </xf>
    <xf numFmtId="0" fontId="113" fillId="27" borderId="0" xfId="894" applyFont="1" applyFill="1"/>
    <xf numFmtId="165" fontId="112" fillId="0" borderId="39" xfId="894" applyNumberFormat="1" applyFont="1" applyBorder="1"/>
    <xf numFmtId="165" fontId="112" fillId="0" borderId="0" xfId="894" applyNumberFormat="1" applyFont="1" applyAlignment="1">
      <alignment horizontal="right"/>
    </xf>
    <xf numFmtId="0" fontId="113" fillId="27" borderId="0" xfId="894" applyFont="1" applyFill="1" applyAlignment="1">
      <alignment horizontal="left" indent="1"/>
    </xf>
    <xf numFmtId="168" fontId="112" fillId="26" borderId="0" xfId="894" applyNumberFormat="1" applyFont="1" applyFill="1" applyAlignment="1">
      <alignment horizontal="center"/>
    </xf>
    <xf numFmtId="0" fontId="112" fillId="26" borderId="0" xfId="894" applyFont="1" applyFill="1"/>
    <xf numFmtId="0" fontId="109" fillId="0" borderId="0" xfId="894" applyFont="1"/>
    <xf numFmtId="168" fontId="112" fillId="26" borderId="3" xfId="894" applyNumberFormat="1" applyFont="1" applyFill="1" applyBorder="1" applyAlignment="1">
      <alignment horizontal="centerContinuous"/>
    </xf>
    <xf numFmtId="0" fontId="112" fillId="26" borderId="3" xfId="894" applyFont="1" applyFill="1" applyBorder="1"/>
    <xf numFmtId="258" fontId="108" fillId="28" borderId="0" xfId="894" applyNumberFormat="1" applyFont="1" applyFill="1"/>
    <xf numFmtId="169" fontId="108" fillId="28" borderId="0" xfId="897" applyNumberFormat="1" applyFont="1" applyFill="1" applyBorder="1"/>
    <xf numFmtId="165" fontId="108" fillId="28" borderId="0" xfId="894" applyNumberFormat="1" applyFont="1" applyFill="1"/>
    <xf numFmtId="39" fontId="118" fillId="29" borderId="0" xfId="894" applyNumberFormat="1" applyFont="1" applyFill="1" applyAlignment="1">
      <alignment horizontal="right"/>
    </xf>
    <xf numFmtId="260" fontId="115" fillId="29" borderId="0" xfId="894" applyNumberFormat="1" applyFont="1" applyFill="1" applyAlignment="1">
      <alignment horizontal="right"/>
    </xf>
    <xf numFmtId="0" fontId="112" fillId="29" borderId="0" xfId="894" applyFont="1" applyFill="1"/>
    <xf numFmtId="170" fontId="112" fillId="0" borderId="0" xfId="895" applyNumberFormat="1" applyFont="1" applyAlignment="1">
      <alignment horizontal="right"/>
    </xf>
    <xf numFmtId="170" fontId="108" fillId="0" borderId="0" xfId="895" applyNumberFormat="1" applyFont="1" applyAlignment="1">
      <alignment horizontal="right"/>
    </xf>
    <xf numFmtId="169" fontId="113" fillId="27" borderId="0" xfId="897" applyNumberFormat="1" applyFont="1" applyFill="1" applyAlignment="1">
      <alignment horizontal="right"/>
    </xf>
    <xf numFmtId="165" fontId="112" fillId="0" borderId="0" xfId="894" applyNumberFormat="1" applyFont="1"/>
    <xf numFmtId="258" fontId="108" fillId="28" borderId="0" xfId="894" applyNumberFormat="1" applyFont="1" applyFill="1" applyAlignment="1">
      <alignment horizontal="right"/>
    </xf>
    <xf numFmtId="168" fontId="112" fillId="26" borderId="3" xfId="894" applyNumberFormat="1" applyFont="1" applyFill="1" applyBorder="1" applyAlignment="1">
      <alignment horizontal="center"/>
    </xf>
    <xf numFmtId="166" fontId="112" fillId="0" borderId="0" xfId="894" applyNumberFormat="1" applyFont="1"/>
    <xf numFmtId="166" fontId="112" fillId="0" borderId="3" xfId="894" applyNumberFormat="1" applyFont="1" applyBorder="1" applyAlignment="1">
      <alignment horizontal="right"/>
    </xf>
    <xf numFmtId="166" fontId="112" fillId="28" borderId="3" xfId="894" applyNumberFormat="1" applyFont="1" applyFill="1" applyBorder="1" applyAlignment="1">
      <alignment horizontal="right"/>
    </xf>
    <xf numFmtId="0" fontId="112" fillId="0" borderId="3" xfId="894" applyFont="1" applyBorder="1"/>
    <xf numFmtId="167" fontId="108" fillId="0" borderId="0" xfId="894" applyNumberFormat="1" applyFont="1"/>
    <xf numFmtId="257" fontId="112" fillId="28" borderId="0" xfId="896" applyNumberFormat="1" applyFont="1" applyFill="1"/>
    <xf numFmtId="257" fontId="108" fillId="0" borderId="0" xfId="894" applyNumberFormat="1" applyFont="1"/>
    <xf numFmtId="257" fontId="112" fillId="0" borderId="0" xfId="894" applyNumberFormat="1" applyFont="1"/>
    <xf numFmtId="165" fontId="111" fillId="0" borderId="0" xfId="894" applyNumberFormat="1" applyFont="1"/>
    <xf numFmtId="37" fontId="111" fillId="0" borderId="0" xfId="897" applyNumberFormat="1" applyFont="1" applyFill="1" applyBorder="1"/>
    <xf numFmtId="37" fontId="108" fillId="0" borderId="0" xfId="897" applyNumberFormat="1" applyFont="1" applyFill="1" applyBorder="1"/>
    <xf numFmtId="0" fontId="108" fillId="0" borderId="0" xfId="894" applyFont="1" applyAlignment="1">
      <alignment horizontal="left"/>
    </xf>
    <xf numFmtId="165" fontId="115" fillId="0" borderId="0" xfId="894" applyNumberFormat="1" applyFont="1"/>
    <xf numFmtId="169" fontId="114" fillId="0" borderId="0" xfId="897" applyNumberFormat="1" applyFont="1" applyFill="1"/>
    <xf numFmtId="169" fontId="114" fillId="0" borderId="0" xfId="897" applyNumberFormat="1" applyFont="1" applyFill="1" applyBorder="1"/>
    <xf numFmtId="0" fontId="113" fillId="27" borderId="0" xfId="894" applyFont="1" applyFill="1" applyAlignment="1">
      <alignment horizontal="left"/>
    </xf>
    <xf numFmtId="9" fontId="108" fillId="0" borderId="0" xfId="897" applyFont="1" applyFill="1" applyBorder="1"/>
    <xf numFmtId="9" fontId="108" fillId="0" borderId="0" xfId="897" applyFont="1" applyFill="1"/>
    <xf numFmtId="0" fontId="112" fillId="0" borderId="0" xfId="894" applyFont="1" applyAlignment="1">
      <alignment horizontal="left"/>
    </xf>
    <xf numFmtId="170" fontId="115" fillId="0" borderId="0" xfId="895" applyNumberFormat="1" applyFont="1" applyFill="1" applyBorder="1"/>
    <xf numFmtId="172" fontId="115" fillId="0" borderId="0" xfId="895" applyNumberFormat="1" applyFont="1" applyFill="1"/>
    <xf numFmtId="0" fontId="119" fillId="0" borderId="0" xfId="894" applyFont="1"/>
    <xf numFmtId="260" fontId="108" fillId="0" borderId="0" xfId="894" applyNumberFormat="1" applyFont="1"/>
    <xf numFmtId="165" fontId="116" fillId="0" borderId="0" xfId="894" applyNumberFormat="1" applyFont="1"/>
    <xf numFmtId="169" fontId="114" fillId="27" borderId="0" xfId="897" applyNumberFormat="1" applyFont="1" applyFill="1"/>
    <xf numFmtId="9" fontId="108" fillId="0" borderId="0" xfId="897" applyFont="1"/>
    <xf numFmtId="165" fontId="108" fillId="30" borderId="0" xfId="894" applyNumberFormat="1" applyFont="1" applyFill="1"/>
    <xf numFmtId="169" fontId="113" fillId="0" borderId="0" xfId="897" applyNumberFormat="1" applyFont="1" applyFill="1"/>
    <xf numFmtId="0" fontId="113" fillId="0" borderId="0" xfId="894" applyFont="1" applyAlignment="1">
      <alignment horizontal="left" indent="1"/>
    </xf>
    <xf numFmtId="169" fontId="113" fillId="27" borderId="0" xfId="897" applyNumberFormat="1" applyFont="1" applyFill="1"/>
    <xf numFmtId="169" fontId="117" fillId="27" borderId="0" xfId="897" applyNumberFormat="1" applyFont="1" applyFill="1"/>
    <xf numFmtId="169" fontId="108" fillId="0" borderId="0" xfId="897" applyNumberFormat="1" applyFont="1" applyFill="1" applyBorder="1" applyAlignment="1">
      <alignment horizontal="right"/>
    </xf>
    <xf numFmtId="169" fontId="115" fillId="0" borderId="0" xfId="894" applyNumberFormat="1" applyFont="1"/>
    <xf numFmtId="37" fontId="108" fillId="30" borderId="0" xfId="894" applyNumberFormat="1" applyFont="1" applyFill="1"/>
    <xf numFmtId="165" fontId="111" fillId="30" borderId="0" xfId="894" applyNumberFormat="1" applyFont="1" applyFill="1"/>
    <xf numFmtId="0" fontId="108" fillId="30" borderId="0" xfId="894" applyFont="1" applyFill="1" applyAlignment="1">
      <alignment horizontal="left"/>
    </xf>
    <xf numFmtId="37" fontId="108" fillId="0" borderId="0" xfId="894" applyNumberFormat="1" applyFont="1"/>
    <xf numFmtId="261" fontId="108" fillId="0" borderId="0" xfId="894" applyNumberFormat="1" applyFont="1"/>
    <xf numFmtId="169" fontId="114" fillId="27" borderId="0" xfId="897" applyNumberFormat="1" applyFont="1" applyFill="1" applyBorder="1"/>
    <xf numFmtId="0" fontId="108" fillId="0" borderId="0" xfId="894" applyFont="1" applyAlignment="1">
      <alignment horizontal="left" indent="1"/>
    </xf>
    <xf numFmtId="0" fontId="108" fillId="26" borderId="0" xfId="894" applyFont="1" applyFill="1"/>
    <xf numFmtId="0" fontId="108" fillId="26" borderId="3" xfId="894" applyFont="1" applyFill="1" applyBorder="1"/>
    <xf numFmtId="0" fontId="110" fillId="0" borderId="0" xfId="894" applyFont="1"/>
    <xf numFmtId="43" fontId="112" fillId="0" borderId="0" xfId="895" applyFont="1" applyFill="1" applyBorder="1" applyAlignment="1">
      <alignment horizontal="center"/>
    </xf>
    <xf numFmtId="43" fontId="110" fillId="0" borderId="0" xfId="895" applyFont="1" applyFill="1" applyBorder="1" applyAlignment="1">
      <alignment horizontal="center"/>
    </xf>
    <xf numFmtId="0" fontId="112" fillId="26" borderId="38" xfId="894" applyFont="1" applyFill="1" applyBorder="1" applyAlignment="1">
      <alignment horizontal="center"/>
    </xf>
    <xf numFmtId="43" fontId="111" fillId="0" borderId="0" xfId="895" applyFont="1" applyFill="1" applyBorder="1" applyAlignment="1">
      <alignment horizontal="center"/>
    </xf>
    <xf numFmtId="39" fontId="108" fillId="29" borderId="0" xfId="894" applyNumberFormat="1" applyFont="1" applyFill="1" applyAlignment="1">
      <alignment horizontal="right"/>
    </xf>
    <xf numFmtId="260" fontId="108" fillId="29" borderId="0" xfId="894" applyNumberFormat="1" applyFont="1" applyFill="1" applyAlignment="1">
      <alignment horizontal="right"/>
    </xf>
    <xf numFmtId="165" fontId="121" fillId="0" borderId="0" xfId="894" applyNumberFormat="1" applyFont="1"/>
    <xf numFmtId="0" fontId="108" fillId="0" borderId="0" xfId="898" applyFont="1"/>
    <xf numFmtId="261" fontId="118" fillId="0" borderId="0" xfId="898" applyNumberFormat="1" applyFont="1" applyAlignment="1">
      <alignment horizontal="right"/>
    </xf>
    <xf numFmtId="172" fontId="108" fillId="0" borderId="0" xfId="899" applyNumberFormat="1" applyFont="1" applyFill="1" applyBorder="1"/>
    <xf numFmtId="261" fontId="108" fillId="0" borderId="0" xfId="898" applyNumberFormat="1" applyFont="1" applyAlignment="1">
      <alignment horizontal="right"/>
    </xf>
    <xf numFmtId="0" fontId="110" fillId="0" borderId="0" xfId="898" applyFont="1"/>
    <xf numFmtId="43" fontId="110" fillId="0" borderId="0" xfId="899" applyFont="1" applyFill="1" applyBorder="1" applyAlignment="1">
      <alignment horizontal="center"/>
    </xf>
    <xf numFmtId="43" fontId="112" fillId="0" borderId="0" xfId="899" applyFont="1" applyFill="1" applyBorder="1" applyAlignment="1">
      <alignment horizontal="center"/>
    </xf>
    <xf numFmtId="261" fontId="112" fillId="0" borderId="0" xfId="899" applyNumberFormat="1" applyFont="1" applyFill="1" applyBorder="1" applyAlignment="1">
      <alignment horizontal="right"/>
    </xf>
    <xf numFmtId="0" fontId="120" fillId="0" borderId="0" xfId="898" applyFont="1" applyAlignment="1">
      <alignment horizontal="center"/>
    </xf>
    <xf numFmtId="0" fontId="117" fillId="0" borderId="0" xfId="898" applyFont="1"/>
    <xf numFmtId="261" fontId="117" fillId="0" borderId="0" xfId="898" applyNumberFormat="1" applyFont="1"/>
    <xf numFmtId="43" fontId="117" fillId="0" borderId="0" xfId="899" applyFont="1" applyFill="1" applyBorder="1" applyAlignment="1">
      <alignment horizontal="left"/>
    </xf>
    <xf numFmtId="172" fontId="112" fillId="0" borderId="0" xfId="899" applyNumberFormat="1" applyFont="1" applyFill="1" applyBorder="1" applyAlignment="1">
      <alignment horizontal="left"/>
    </xf>
    <xf numFmtId="43" fontId="121" fillId="0" borderId="0" xfId="899" applyFont="1" applyFill="1" applyBorder="1" applyAlignment="1">
      <alignment horizontal="left"/>
    </xf>
    <xf numFmtId="0" fontId="112" fillId="0" borderId="0" xfId="898" applyFont="1"/>
    <xf numFmtId="168" fontId="112" fillId="26" borderId="0" xfId="898" applyNumberFormat="1" applyFont="1" applyFill="1" applyAlignment="1">
      <alignment horizontal="center"/>
    </xf>
    <xf numFmtId="0" fontId="112" fillId="26" borderId="0" xfId="898" applyFont="1" applyFill="1"/>
    <xf numFmtId="0" fontId="109" fillId="0" borderId="0" xfId="898" applyFont="1"/>
    <xf numFmtId="0" fontId="112" fillId="26" borderId="38" xfId="898" applyFont="1" applyFill="1" applyBorder="1" applyAlignment="1">
      <alignment horizontal="center"/>
    </xf>
    <xf numFmtId="17" fontId="112" fillId="0" borderId="8" xfId="896" applyNumberFormat="1" applyFont="1" applyBorder="1" applyAlignment="1">
      <alignment horizontal="right" vertical="center" wrapText="1"/>
    </xf>
    <xf numFmtId="16" fontId="108" fillId="0" borderId="21" xfId="896" applyNumberFormat="1" applyFont="1" applyBorder="1" applyAlignment="1">
      <alignment horizontal="left" wrapText="1"/>
    </xf>
    <xf numFmtId="257" fontId="112" fillId="0" borderId="0" xfId="894" applyNumberFormat="1" applyFont="1" applyAlignment="1">
      <alignment horizontal="center"/>
    </xf>
    <xf numFmtId="43" fontId="122" fillId="0" borderId="0" xfId="899" applyFont="1" applyFill="1" applyBorder="1" applyAlignment="1">
      <alignment horizontal="left" indent="1"/>
    </xf>
    <xf numFmtId="0" fontId="108" fillId="0" borderId="0" xfId="898" applyFont="1" applyAlignment="1">
      <alignment horizontal="left" indent="1"/>
    </xf>
    <xf numFmtId="0" fontId="112" fillId="0" borderId="0" xfId="898" applyFont="1" applyAlignment="1">
      <alignment horizontal="left" indent="1"/>
    </xf>
    <xf numFmtId="261" fontId="112" fillId="0" borderId="0" xfId="898" applyNumberFormat="1" applyFont="1"/>
    <xf numFmtId="0" fontId="123" fillId="0" borderId="0" xfId="898" applyFont="1"/>
    <xf numFmtId="170" fontId="112" fillId="28" borderId="0" xfId="895" applyNumberFormat="1" applyFont="1" applyFill="1"/>
    <xf numFmtId="170" fontId="108" fillId="28" borderId="0" xfId="895" applyNumberFormat="1" applyFont="1" applyFill="1"/>
    <xf numFmtId="170" fontId="112" fillId="28" borderId="39" xfId="895" applyNumberFormat="1" applyFont="1" applyFill="1" applyBorder="1" applyAlignment="1">
      <alignment horizontal="right"/>
    </xf>
    <xf numFmtId="0" fontId="124" fillId="26" borderId="0" xfId="894" applyFont="1" applyFill="1" applyAlignment="1">
      <alignment horizontal="left"/>
    </xf>
    <xf numFmtId="169" fontId="108" fillId="0" borderId="0" xfId="900" applyNumberFormat="1" applyFont="1" applyFill="1" applyBorder="1" applyAlignment="1">
      <alignment horizontal="right"/>
    </xf>
    <xf numFmtId="170" fontId="108" fillId="0" borderId="27" xfId="895" applyNumberFormat="1" applyFont="1" applyFill="1" applyBorder="1" applyAlignment="1">
      <alignment horizontal="left" wrapText="1"/>
    </xf>
    <xf numFmtId="170" fontId="108" fillId="0" borderId="0" xfId="895" applyNumberFormat="1" applyFont="1" applyFill="1" applyBorder="1" applyAlignment="1">
      <alignment horizontal="center" wrapText="1"/>
    </xf>
    <xf numFmtId="165" fontId="111" fillId="28" borderId="0" xfId="894" applyNumberFormat="1" applyFont="1" applyFill="1"/>
    <xf numFmtId="165" fontId="116" fillId="28" borderId="0" xfId="894" applyNumberFormat="1" applyFont="1" applyFill="1"/>
    <xf numFmtId="165" fontId="112" fillId="28" borderId="0" xfId="894" applyNumberFormat="1" applyFont="1" applyFill="1"/>
    <xf numFmtId="0" fontId="112" fillId="0" borderId="0" xfId="898" applyFont="1" applyAlignment="1">
      <alignment horizontal="left"/>
    </xf>
    <xf numFmtId="9" fontId="108" fillId="0" borderId="0" xfId="900" applyFont="1" applyFill="1" applyBorder="1"/>
    <xf numFmtId="43" fontId="122" fillId="0" borderId="0" xfId="899" applyFont="1" applyFill="1" applyBorder="1" applyAlignment="1">
      <alignment horizontal="left"/>
    </xf>
    <xf numFmtId="259" fontId="108" fillId="0" borderId="0" xfId="898" applyNumberFormat="1" applyFont="1"/>
    <xf numFmtId="165" fontId="108" fillId="0" borderId="0" xfId="898" applyNumberFormat="1" applyFont="1"/>
    <xf numFmtId="165" fontId="122" fillId="0" borderId="0" xfId="894" applyNumberFormat="1" applyFont="1"/>
    <xf numFmtId="165" fontId="111" fillId="0" borderId="0" xfId="894" applyNumberFormat="1" applyFont="1" applyAlignment="1">
      <alignment horizontal="right"/>
    </xf>
    <xf numFmtId="165" fontId="111" fillId="0" borderId="0" xfId="894" applyNumberFormat="1" applyFont="1" applyAlignment="1">
      <alignment horizontal="center"/>
    </xf>
    <xf numFmtId="37" fontId="115" fillId="0" borderId="0" xfId="894" applyNumberFormat="1" applyFont="1"/>
    <xf numFmtId="170" fontId="115" fillId="0" borderId="0" xfId="901" applyNumberFormat="1" applyFont="1" applyFill="1" applyBorder="1"/>
    <xf numFmtId="172" fontId="115" fillId="0" borderId="0" xfId="901" applyNumberFormat="1" applyFont="1" applyFill="1" applyBorder="1"/>
    <xf numFmtId="2" fontId="108" fillId="0" borderId="0" xfId="900" applyNumberFormat="1" applyFont="1" applyFill="1" applyBorder="1"/>
    <xf numFmtId="165" fontId="108" fillId="0" borderId="0" xfId="898" applyNumberFormat="1" applyFont="1" applyAlignment="1">
      <alignment horizontal="right"/>
    </xf>
    <xf numFmtId="39" fontId="121" fillId="0" borderId="0" xfId="894" applyNumberFormat="1" applyFont="1"/>
    <xf numFmtId="0" fontId="122" fillId="0" borderId="47" xfId="894" applyFont="1" applyBorder="1"/>
    <xf numFmtId="170" fontId="122" fillId="0" borderId="48" xfId="894" applyNumberFormat="1" applyFont="1" applyBorder="1"/>
    <xf numFmtId="0" fontId="122" fillId="0" borderId="44" xfId="894" applyFont="1" applyBorder="1"/>
    <xf numFmtId="170" fontId="118" fillId="0" borderId="27" xfId="895" applyNumberFormat="1" applyFont="1" applyFill="1" applyBorder="1" applyAlignment="1">
      <alignment horizontal="center" wrapText="1"/>
    </xf>
    <xf numFmtId="170" fontId="121" fillId="0" borderId="46" xfId="894" applyNumberFormat="1" applyFont="1" applyBorder="1"/>
    <xf numFmtId="0" fontId="121" fillId="0" borderId="45" xfId="894" applyFont="1" applyBorder="1"/>
    <xf numFmtId="0" fontId="121" fillId="0" borderId="23" xfId="894" applyFont="1" applyBorder="1"/>
    <xf numFmtId="0" fontId="121" fillId="0" borderId="26" xfId="894" applyFont="1" applyBorder="1" applyAlignment="1">
      <alignment horizontal="center" vertical="center"/>
    </xf>
    <xf numFmtId="0" fontId="127" fillId="0" borderId="0" xfId="894" applyFont="1"/>
    <xf numFmtId="0" fontId="121" fillId="0" borderId="49" xfId="894" applyFont="1" applyBorder="1"/>
    <xf numFmtId="170" fontId="3" fillId="0" borderId="0" xfId="894" applyNumberFormat="1"/>
    <xf numFmtId="224" fontId="127" fillId="0" borderId="0" xfId="894" applyNumberFormat="1" applyFont="1"/>
    <xf numFmtId="170" fontId="127" fillId="0" borderId="0" xfId="901" applyNumberFormat="1" applyFont="1"/>
    <xf numFmtId="39" fontId="3" fillId="0" borderId="0" xfId="894" applyNumberFormat="1"/>
    <xf numFmtId="43" fontId="3" fillId="0" borderId="0" xfId="894" applyNumberFormat="1"/>
    <xf numFmtId="43" fontId="127" fillId="0" borderId="0" xfId="894" applyNumberFormat="1" applyFont="1"/>
    <xf numFmtId="43" fontId="3" fillId="0" borderId="27" xfId="894" applyNumberFormat="1" applyBorder="1"/>
    <xf numFmtId="0" fontId="112" fillId="0" borderId="50" xfId="896" applyFont="1" applyBorder="1" applyAlignment="1">
      <alignment horizontal="right" wrapText="1"/>
    </xf>
    <xf numFmtId="170" fontId="3" fillId="0" borderId="51" xfId="894" applyNumberFormat="1" applyBorder="1"/>
    <xf numFmtId="170" fontId="3" fillId="0" borderId="27" xfId="894" applyNumberFormat="1" applyBorder="1"/>
    <xf numFmtId="170" fontId="127" fillId="0" borderId="46" xfId="894" applyNumberFormat="1" applyFont="1" applyBorder="1"/>
    <xf numFmtId="170" fontId="127" fillId="0" borderId="8" xfId="894" applyNumberFormat="1" applyFont="1" applyBorder="1"/>
    <xf numFmtId="257" fontId="127" fillId="0" borderId="8" xfId="894" applyNumberFormat="1" applyFont="1" applyBorder="1"/>
    <xf numFmtId="224" fontId="127" fillId="0" borderId="8" xfId="894" applyNumberFormat="1" applyFont="1" applyBorder="1"/>
    <xf numFmtId="170" fontId="127" fillId="0" borderId="52" xfId="894" applyNumberFormat="1" applyFont="1" applyBorder="1"/>
    <xf numFmtId="170" fontId="127" fillId="0" borderId="43" xfId="894" applyNumberFormat="1" applyFont="1" applyBorder="1"/>
    <xf numFmtId="170" fontId="121" fillId="0" borderId="30" xfId="895" applyNumberFormat="1" applyFont="1" applyFill="1" applyBorder="1" applyAlignment="1">
      <alignment horizontal="left" wrapText="1"/>
    </xf>
    <xf numFmtId="0" fontId="121" fillId="0" borderId="49" xfId="894" applyFont="1" applyBorder="1" applyAlignment="1">
      <alignment horizontal="center" vertical="center"/>
    </xf>
    <xf numFmtId="170" fontId="3" fillId="0" borderId="53" xfId="894" applyNumberFormat="1" applyBorder="1"/>
    <xf numFmtId="170" fontId="118" fillId="0" borderId="54" xfId="895" applyNumberFormat="1" applyFont="1" applyFill="1" applyBorder="1" applyAlignment="1">
      <alignment horizontal="center" wrapText="1"/>
    </xf>
    <xf numFmtId="172" fontId="108" fillId="0" borderId="0" xfId="901" applyNumberFormat="1" applyFont="1" applyFill="1"/>
    <xf numFmtId="170" fontId="112" fillId="0" borderId="49" xfId="895" applyNumberFormat="1" applyFont="1" applyFill="1" applyBorder="1" applyAlignment="1">
      <alignment horizontal="right" wrapText="1"/>
    </xf>
    <xf numFmtId="0" fontId="112" fillId="0" borderId="49" xfId="896" applyFont="1" applyBorder="1" applyAlignment="1">
      <alignment horizontal="right" wrapText="1"/>
    </xf>
    <xf numFmtId="0" fontId="112" fillId="0" borderId="19" xfId="896" applyFont="1" applyBorder="1" applyAlignment="1">
      <alignment horizontal="left" wrapText="1"/>
    </xf>
    <xf numFmtId="0" fontId="127" fillId="0" borderId="19" xfId="894" applyFont="1" applyBorder="1"/>
    <xf numFmtId="0" fontId="112" fillId="0" borderId="20" xfId="896" applyFont="1" applyBorder="1" applyAlignment="1">
      <alignment horizontal="right" wrapText="1"/>
    </xf>
    <xf numFmtId="170" fontId="112" fillId="0" borderId="20" xfId="895" applyNumberFormat="1" applyFont="1" applyFill="1" applyBorder="1" applyAlignment="1">
      <alignment horizontal="right" wrapText="1"/>
    </xf>
    <xf numFmtId="170" fontId="118" fillId="0" borderId="51" xfId="895" applyNumberFormat="1" applyFont="1" applyFill="1" applyBorder="1" applyAlignment="1">
      <alignment horizontal="center" wrapText="1"/>
    </xf>
    <xf numFmtId="0" fontId="121" fillId="0" borderId="55" xfId="894" applyFont="1" applyBorder="1"/>
    <xf numFmtId="0" fontId="121" fillId="0" borderId="20" xfId="894" applyFont="1" applyBorder="1" applyAlignment="1">
      <alignment horizontal="center" vertical="center"/>
    </xf>
    <xf numFmtId="0" fontId="122" fillId="0" borderId="37" xfId="894" applyFont="1" applyBorder="1"/>
    <xf numFmtId="0" fontId="122" fillId="0" borderId="56" xfId="894" applyFont="1" applyBorder="1"/>
    <xf numFmtId="0" fontId="121" fillId="0" borderId="57" xfId="894" applyFont="1" applyBorder="1"/>
    <xf numFmtId="170" fontId="108" fillId="0" borderId="27" xfId="895" applyNumberFormat="1" applyFont="1" applyFill="1" applyBorder="1" applyAlignment="1">
      <alignment horizontal="right" wrapText="1"/>
    </xf>
    <xf numFmtId="0" fontId="1" fillId="0" borderId="21" xfId="894" applyFont="1" applyBorder="1"/>
    <xf numFmtId="165" fontId="111" fillId="31" borderId="0" xfId="894" applyNumberFormat="1" applyFont="1" applyFill="1"/>
    <xf numFmtId="165" fontId="108" fillId="31" borderId="0" xfId="894" applyNumberFormat="1" applyFont="1" applyFill="1"/>
    <xf numFmtId="170" fontId="1" fillId="0" borderId="0" xfId="901" applyNumberFormat="1" applyFont="1" applyBorder="1"/>
    <xf numFmtId="170" fontId="1" fillId="0" borderId="0" xfId="901" applyNumberFormat="1" applyFont="1"/>
    <xf numFmtId="0" fontId="1" fillId="0" borderId="21" xfId="894" applyFont="1" applyBorder="1" applyAlignment="1">
      <alignment horizontal="left"/>
    </xf>
  </cellXfs>
  <cellStyles count="905">
    <cellStyle name="$" xfId="1" xr:uid="{00000000-0005-0000-0000-000000000000}"/>
    <cellStyle name="$_TSA Model - 1 8 06 - v2" xfId="2" xr:uid="{00000000-0005-0000-0000-000001000000}"/>
    <cellStyle name="%" xfId="3" xr:uid="{00000000-0005-0000-0000-000002000000}"/>
    <cellStyle name=";;;" xfId="4" xr:uid="{00000000-0005-0000-0000-000003000000}"/>
    <cellStyle name="_%(SignOnly)" xfId="5" xr:uid="{00000000-0005-0000-0000-000004000000}"/>
    <cellStyle name="_%(SignSpaceOnly)" xfId="6" xr:uid="{00000000-0005-0000-0000-000005000000}"/>
    <cellStyle name="_0% CADR" xfId="7" xr:uid="{00000000-0005-0000-0000-000006000000}"/>
    <cellStyle name="_0% IRR" xfId="8" xr:uid="{00000000-0005-0000-0000-000007000000}"/>
    <cellStyle name="_1% CADR" xfId="9" xr:uid="{00000000-0005-0000-0000-000008000000}"/>
    <cellStyle name="_10% CADR" xfId="10" xr:uid="{00000000-0005-0000-0000-000009000000}"/>
    <cellStyle name="_10% CDR" xfId="11" xr:uid="{00000000-0005-0000-0000-00000A000000}"/>
    <cellStyle name="_11% CADR" xfId="12" xr:uid="{00000000-0005-0000-0000-00000B000000}"/>
    <cellStyle name="_12% CADR" xfId="13" xr:uid="{00000000-0005-0000-0000-00000C000000}"/>
    <cellStyle name="_12% CDR" xfId="14" xr:uid="{00000000-0005-0000-0000-00000D000000}"/>
    <cellStyle name="_13% CADR" xfId="15" xr:uid="{00000000-0005-0000-0000-00000E000000}"/>
    <cellStyle name="_14% CADR" xfId="16" xr:uid="{00000000-0005-0000-0000-00000F000000}"/>
    <cellStyle name="_14% CDR" xfId="17" xr:uid="{00000000-0005-0000-0000-000010000000}"/>
    <cellStyle name="_16% CDR" xfId="18" xr:uid="{00000000-0005-0000-0000-000011000000}"/>
    <cellStyle name="_18% CDR" xfId="19" xr:uid="{00000000-0005-0000-0000-000012000000}"/>
    <cellStyle name="_19.6% CDR BBB Break In Yield" xfId="20" xr:uid="{00000000-0005-0000-0000-000013000000}"/>
    <cellStyle name="_2% CADR" xfId="21" xr:uid="{00000000-0005-0000-0000-000014000000}"/>
    <cellStyle name="_20% CDR" xfId="22" xr:uid="{00000000-0005-0000-0000-000015000000}"/>
    <cellStyle name="_21.5% CDR BBB Break In Yield" xfId="23" xr:uid="{00000000-0005-0000-0000-000016000000}"/>
    <cellStyle name="_3% CADR" xfId="24" xr:uid="{00000000-0005-0000-0000-000017000000}"/>
    <cellStyle name="_3% CDR" xfId="25" xr:uid="{00000000-0005-0000-0000-000018000000}"/>
    <cellStyle name="_4% CADR" xfId="26" xr:uid="{00000000-0005-0000-0000-000019000000}"/>
    <cellStyle name="_5% CADR" xfId="27" xr:uid="{00000000-0005-0000-0000-00001A000000}"/>
    <cellStyle name="_5% CDR" xfId="28" xr:uid="{00000000-0005-0000-0000-00001B000000}"/>
    <cellStyle name="_6% CADR" xfId="29" xr:uid="{00000000-0005-0000-0000-00001C000000}"/>
    <cellStyle name="_7% CADR" xfId="30" xr:uid="{00000000-0005-0000-0000-00001D000000}"/>
    <cellStyle name="_7% CDR" xfId="31" xr:uid="{00000000-0005-0000-0000-00001E000000}"/>
    <cellStyle name="_8% CADR" xfId="32" xr:uid="{00000000-0005-0000-0000-00001F000000}"/>
    <cellStyle name="_8.0% CDR BB Break In Yield" xfId="33" xr:uid="{00000000-0005-0000-0000-000020000000}"/>
    <cellStyle name="_8.1% CDR BB Break In Yield" xfId="34" xr:uid="{00000000-0005-0000-0000-000021000000}"/>
    <cellStyle name="_9% CADR" xfId="35" xr:uid="{00000000-0005-0000-0000-000022000000}"/>
    <cellStyle name="_Assets" xfId="36" xr:uid="{00000000-0005-0000-0000-000023000000}"/>
    <cellStyle name="_Assets_1" xfId="37" xr:uid="{00000000-0005-0000-0000-000024000000}"/>
    <cellStyle name="_Assets_1_COMPS - B2B Publishers" xfId="38" xr:uid="{00000000-0005-0000-0000-000025000000}"/>
    <cellStyle name="_Assets_1_COMPS - Directories" xfId="39" xr:uid="{00000000-0005-0000-0000-000026000000}"/>
    <cellStyle name="_Assets_1_F&amp;W Servicing Model" xfId="40" xr:uid="{00000000-0005-0000-0000-000027000000}"/>
    <cellStyle name="_Assets_1_F&amp;W Servicing Model v2" xfId="41" xr:uid="{00000000-0005-0000-0000-000028000000}"/>
    <cellStyle name="_Assets_1_S&amp;P Analysis" xfId="42" xr:uid="{00000000-0005-0000-0000-000029000000}"/>
    <cellStyle name="_Assets_1_Univision Annual Model" xfId="43" xr:uid="{00000000-0005-0000-0000-00002A000000}"/>
    <cellStyle name="_Assets_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00000000-0005-0000-0000-00002D000000}"/>
    <cellStyle name="_Assets_S&amp;P Analysis_COMPS - Directories" xfId="47" xr:uid="{00000000-0005-0000-0000-00002E000000}"/>
    <cellStyle name="_Assets_S&amp;P Analysis_F&amp;W Servicing Model" xfId="48" xr:uid="{00000000-0005-0000-0000-00002F000000}"/>
    <cellStyle name="_Assets_S&amp;P Analysis_F&amp;W Servicing Model v2" xfId="49" xr:uid="{00000000-0005-0000-0000-000030000000}"/>
    <cellStyle name="_Assets_S&amp;P Analysis_Univision Annual Model" xfId="50" xr:uid="{00000000-0005-0000-0000-000031000000}"/>
    <cellStyle name="_Assets_S&amp;P Analysis_Yell Servicing Model" xfId="51" xr:uid="{00000000-0005-0000-0000-000032000000}"/>
    <cellStyle name="_Assumptions" xfId="52" xr:uid="{00000000-0005-0000-0000-000033000000}"/>
    <cellStyle name="_Assumptions_1" xfId="53" xr:uid="{00000000-0005-0000-0000-000034000000}"/>
    <cellStyle name="_Assumptions_1_COMPS - B2B Publishers" xfId="54" xr:uid="{00000000-0005-0000-0000-000035000000}"/>
    <cellStyle name="_Assumptions_1_COMPS - Directories" xfId="55" xr:uid="{00000000-0005-0000-0000-000036000000}"/>
    <cellStyle name="_Assumptions_1_F&amp;W Servicing Model" xfId="56" xr:uid="{00000000-0005-0000-0000-000037000000}"/>
    <cellStyle name="_Assumptions_1_F&amp;W Servicing Model v2" xfId="57" xr:uid="{00000000-0005-0000-0000-000038000000}"/>
    <cellStyle name="_Assumptions_1_Univision Annual Model" xfId="58" xr:uid="{00000000-0005-0000-0000-000039000000}"/>
    <cellStyle name="_Assumptions_1_Yell Servicing Model" xfId="59" xr:uid="{00000000-0005-0000-0000-00003A000000}"/>
    <cellStyle name="_Blue Mountain TRS (7-5-05)" xfId="60" xr:uid="{00000000-0005-0000-0000-00003B000000}"/>
    <cellStyle name="_Book2" xfId="61" xr:uid="{00000000-0005-0000-0000-00003C000000}"/>
    <cellStyle name="_CDO of CDO" xfId="62" xr:uid="{00000000-0005-0000-0000-00003D000000}"/>
    <cellStyle name="_CLO Portfolio 10_07_2005" xfId="63" xr:uid="{00000000-0005-0000-0000-00003E000000}"/>
    <cellStyle name="_Comma" xfId="64" xr:uid="{00000000-0005-0000-0000-00003F000000}"/>
    <cellStyle name="_Comma_dcf" xfId="65" xr:uid="{00000000-0005-0000-0000-000040000000}"/>
    <cellStyle name="_Currency" xfId="66" xr:uid="{00000000-0005-0000-0000-000041000000}"/>
    <cellStyle name="_Currency_dcf" xfId="67" xr:uid="{00000000-0005-0000-0000-000042000000}"/>
    <cellStyle name="_CurrencySpace" xfId="68" xr:uid="{00000000-0005-0000-0000-000043000000}"/>
    <cellStyle name="_CurrencySpace_dcf" xfId="69" xr:uid="{00000000-0005-0000-0000-000044000000}"/>
    <cellStyle name="_Euro" xfId="70" xr:uid="{00000000-0005-0000-0000-000045000000}"/>
    <cellStyle name="_EV8 Assumption List" xfId="71" xr:uid="{00000000-0005-0000-0000-000046000000}"/>
    <cellStyle name="_Exhibit I Babson Warehouse 2006-II CLO 8 18 06" xfId="72" xr:uid="{00000000-0005-0000-0000-000047000000}"/>
    <cellStyle name="_First PIK" xfId="73" xr:uid="{00000000-0005-0000-0000-000048000000}"/>
    <cellStyle name="_Galaxy VI CLO - WestLB Request" xfId="74" xr:uid="{00000000-0005-0000-0000-000049000000}"/>
    <cellStyle name="_Heading" xfId="75" xr:uid="{00000000-0005-0000-0000-00004A000000}"/>
    <cellStyle name="_Heading_prestemp" xfId="76" xr:uid="{00000000-0005-0000-0000-00004B000000}"/>
    <cellStyle name="_Highlight" xfId="77" xr:uid="{00000000-0005-0000-0000-00004C000000}"/>
    <cellStyle name="_Model FINAL (2)" xfId="78" xr:uid="{00000000-0005-0000-0000-00004D000000}"/>
    <cellStyle name="_Multiple" xfId="79" xr:uid="{00000000-0005-0000-0000-00004E000000}"/>
    <cellStyle name="_Multiple_dcf" xfId="80" xr:uid="{00000000-0005-0000-0000-00004F000000}"/>
    <cellStyle name="_MultipleSpace" xfId="81" xr:uid="{00000000-0005-0000-0000-000050000000}"/>
    <cellStyle name="_MultipleSpace_dcf" xfId="82" xr:uid="{00000000-0005-0000-0000-000051000000}"/>
    <cellStyle name="_Other Defafult Scenario 1" xfId="83" xr:uid="{00000000-0005-0000-0000-000052000000}"/>
    <cellStyle name="_Other Default Scenario 2" xfId="84" xr:uid="{00000000-0005-0000-0000-000053000000}"/>
    <cellStyle name="_Percent" xfId="85" xr:uid="{00000000-0005-0000-0000-000054000000}"/>
    <cellStyle name="_PercentSpace" xfId="86" xr:uid="{00000000-0005-0000-0000-000055000000}"/>
    <cellStyle name="_Port" xfId="87" xr:uid="{00000000-0005-0000-0000-000056000000}"/>
    <cellStyle name="_Port For S&amp;P" xfId="88" xr:uid="{00000000-0005-0000-0000-000057000000}"/>
    <cellStyle name="_Port_COMPS - B2B Publishers" xfId="89" xr:uid="{00000000-0005-0000-0000-000058000000}"/>
    <cellStyle name="_Port_COMPS - Directories" xfId="90" xr:uid="{00000000-0005-0000-0000-000059000000}"/>
    <cellStyle name="_Port_F&amp;W Servicing Model" xfId="91" xr:uid="{00000000-0005-0000-0000-00005A000000}"/>
    <cellStyle name="_Port_F&amp;W Servicing Model v2" xfId="92" xr:uid="{00000000-0005-0000-0000-00005B000000}"/>
    <cellStyle name="_Port_Univision Annual Model" xfId="93" xr:uid="{00000000-0005-0000-0000-00005C000000}"/>
    <cellStyle name="_Port_Yell Servicing Model" xfId="94" xr:uid="{00000000-0005-0000-0000-00005D000000}"/>
    <cellStyle name="_Pro Forma TTM 9.30.07 (CW NEIRB Acquisition)" xfId="95" xr:uid="{00000000-0005-0000-0000-00005E000000}"/>
    <cellStyle name="_S&amp;P Analysis" xfId="96" xr:uid="{00000000-0005-0000-0000-00005F000000}"/>
    <cellStyle name="_S&amp;P Analysis_COMPS - B2B Publishers" xfId="97" xr:uid="{00000000-0005-0000-0000-000060000000}"/>
    <cellStyle name="_S&amp;P Analysis_COMPS - Directories" xfId="98" xr:uid="{00000000-0005-0000-0000-000061000000}"/>
    <cellStyle name="_S&amp;P Analysis_F&amp;W Servicing Model" xfId="99" xr:uid="{00000000-0005-0000-0000-000062000000}"/>
    <cellStyle name="_S&amp;P Analysis_F&amp;W Servicing Model v2" xfId="100" xr:uid="{00000000-0005-0000-0000-000063000000}"/>
    <cellStyle name="_S&amp;P Analysis_Univision Annual Model" xfId="101" xr:uid="{00000000-0005-0000-0000-000064000000}"/>
    <cellStyle name="_S&amp;P Analysis_Yell Servicing Model" xfId="102" xr:uid="{00000000-0005-0000-0000-000065000000}"/>
    <cellStyle name="_S&amp;P Hypothetical Port Summary" xfId="103" xr:uid="{00000000-0005-0000-0000-000066000000}"/>
    <cellStyle name="_S&amp;P Port 80Div_2099WARF" xfId="104" xr:uid="{00000000-0005-0000-0000-000067000000}"/>
    <cellStyle name="_S&amp;P Stress Scenarios" xfId="105" xr:uid="{00000000-0005-0000-0000-000068000000}"/>
    <cellStyle name="_Sources and Uses" xfId="106" xr:uid="{00000000-0005-0000-0000-000069000000}"/>
    <cellStyle name="_SubHeading" xfId="107" xr:uid="{00000000-0005-0000-0000-00006A000000}"/>
    <cellStyle name="_SubHeading_prestemp" xfId="108" xr:uid="{00000000-0005-0000-0000-00006B000000}"/>
    <cellStyle name="_Table" xfId="109" xr:uid="{00000000-0005-0000-0000-00006C000000}"/>
    <cellStyle name="_TableHead" xfId="110" xr:uid="{00000000-0005-0000-0000-00006D000000}"/>
    <cellStyle name="_TableRowHead" xfId="111" xr:uid="{00000000-0005-0000-0000-00006E000000}"/>
    <cellStyle name="_TableSuperHead" xfId="112" xr:uid="{00000000-0005-0000-0000-00006F000000}"/>
    <cellStyle name="£Currency [0]" xfId="113" xr:uid="{00000000-0005-0000-0000-000070000000}"/>
    <cellStyle name="£Currency [1]" xfId="114" xr:uid="{00000000-0005-0000-0000-000071000000}"/>
    <cellStyle name="£Currency [2]" xfId="115" xr:uid="{00000000-0005-0000-0000-000072000000}"/>
    <cellStyle name="£Currency [p]" xfId="116" xr:uid="{00000000-0005-0000-0000-000073000000}"/>
    <cellStyle name="£Currency [p2]" xfId="117" xr:uid="{00000000-0005-0000-0000-000074000000}"/>
    <cellStyle name="£Pounds" xfId="118" xr:uid="{00000000-0005-0000-0000-000075000000}"/>
    <cellStyle name="Accounting $" xfId="119" xr:uid="{00000000-0005-0000-0000-000076000000}"/>
    <cellStyle name="Across" xfId="120" xr:uid="{00000000-0005-0000-0000-000077000000}"/>
    <cellStyle name="Adjustable" xfId="121" xr:uid="{00000000-0005-0000-0000-000078000000}"/>
    <cellStyle name="AFE" xfId="122" xr:uid="{00000000-0005-0000-0000-000079000000}"/>
    <cellStyle name="Andre's Title" xfId="123" xr:uid="{00000000-0005-0000-0000-00007A000000}"/>
    <cellStyle name="args.style" xfId="124" xr:uid="{00000000-0005-0000-0000-00007B000000}"/>
    <cellStyle name="Arial 10" xfId="125" xr:uid="{00000000-0005-0000-0000-00007C000000}"/>
    <cellStyle name="Arial 12" xfId="126" xr:uid="{00000000-0005-0000-0000-00007D000000}"/>
    <cellStyle name="Best" xfId="127" xr:uid="{00000000-0005-0000-0000-00007E000000}"/>
    <cellStyle name="Blank [$]" xfId="128" xr:uid="{00000000-0005-0000-0000-00007F000000}"/>
    <cellStyle name="Blank [,]" xfId="129" xr:uid="{00000000-0005-0000-0000-000080000000}"/>
    <cellStyle name="BlankedZeros" xfId="130" xr:uid="{00000000-0005-0000-0000-000081000000}"/>
    <cellStyle name="blp_column_header" xfId="131" xr:uid="{00000000-0005-0000-0000-000082000000}"/>
    <cellStyle name="Blue" xfId="132" xr:uid="{00000000-0005-0000-0000-000083000000}"/>
    <cellStyle name="bluepercent" xfId="133" xr:uid="{00000000-0005-0000-0000-000084000000}"/>
    <cellStyle name="Body" xfId="134" xr:uid="{00000000-0005-0000-0000-000085000000}"/>
    <cellStyle name="Bold" xfId="135" xr:uid="{00000000-0005-0000-0000-000086000000}"/>
    <cellStyle name="BoldItalic" xfId="136" xr:uid="{00000000-0005-0000-0000-000087000000}"/>
    <cellStyle name="Bottom" xfId="137" xr:uid="{00000000-0005-0000-0000-000088000000}"/>
    <cellStyle name="Bottom Edge" xfId="138" xr:uid="{00000000-0005-0000-0000-000089000000}"/>
    <cellStyle name="British Pound" xfId="139" xr:uid="{00000000-0005-0000-0000-00008A000000}"/>
    <cellStyle name="Business Description" xfId="140" xr:uid="{00000000-0005-0000-0000-00008B000000}"/>
    <cellStyle name="c" xfId="141" xr:uid="{00000000-0005-0000-0000-00008C000000}"/>
    <cellStyle name="Calc Currency (0)" xfId="142" xr:uid="{00000000-0005-0000-0000-00008D000000}"/>
    <cellStyle name="Calc Currency (2)" xfId="143" xr:uid="{00000000-0005-0000-0000-00008E000000}"/>
    <cellStyle name="Calc Percent (0)" xfId="144" xr:uid="{00000000-0005-0000-0000-00008F000000}"/>
    <cellStyle name="Calc Percent (1)" xfId="145" xr:uid="{00000000-0005-0000-0000-000090000000}"/>
    <cellStyle name="Calc Percent (2)" xfId="146" xr:uid="{00000000-0005-0000-0000-000091000000}"/>
    <cellStyle name="Calc Units (0)" xfId="147" xr:uid="{00000000-0005-0000-0000-000092000000}"/>
    <cellStyle name="Calc Units (1)" xfId="148" xr:uid="{00000000-0005-0000-0000-000093000000}"/>
    <cellStyle name="Calc Units (2)" xfId="149" xr:uid="{00000000-0005-0000-0000-000094000000}"/>
    <cellStyle name="Case" xfId="150" xr:uid="{00000000-0005-0000-0000-000095000000}"/>
    <cellStyle name="cc" xfId="151" xr:uid="{00000000-0005-0000-0000-000096000000}"/>
    <cellStyle name="Center" xfId="152" xr:uid="{00000000-0005-0000-0000-000097000000}"/>
    <cellStyle name="CenterBold" xfId="153" xr:uid="{00000000-0005-0000-0000-000098000000}"/>
    <cellStyle name="CenterItalic" xfId="154" xr:uid="{00000000-0005-0000-0000-000099000000}"/>
    <cellStyle name="Cents" xfId="155" xr:uid="{00000000-0005-0000-0000-00009A000000}"/>
    <cellStyle name="ChartingText" xfId="156" xr:uid="{00000000-0005-0000-0000-00009B000000}"/>
    <cellStyle name="Co. Names" xfId="157" xr:uid="{00000000-0005-0000-0000-00009C000000}"/>
    <cellStyle name="Co. Names - Bold" xfId="158" xr:uid="{00000000-0005-0000-0000-00009D000000}"/>
    <cellStyle name="Co. Names_Break-Up" xfId="159" xr:uid="{00000000-0005-0000-0000-00009E000000}"/>
    <cellStyle name="COL HEADINGS" xfId="160" xr:uid="{00000000-0005-0000-0000-00009F000000}"/>
    <cellStyle name="ColumnHeaderNormal" xfId="161" xr:uid="{00000000-0005-0000-0000-0000A0000000}"/>
    <cellStyle name="Comma" xfId="901" builtinId="3"/>
    <cellStyle name="Comma  - Style1" xfId="162" xr:uid="{00000000-0005-0000-0000-0000A2000000}"/>
    <cellStyle name="Comma  - Style2" xfId="163" xr:uid="{00000000-0005-0000-0000-0000A3000000}"/>
    <cellStyle name="Comma  - Style3" xfId="164" xr:uid="{00000000-0005-0000-0000-0000A4000000}"/>
    <cellStyle name="Comma  - Style4" xfId="165" xr:uid="{00000000-0005-0000-0000-0000A5000000}"/>
    <cellStyle name="Comma  - Style5" xfId="166" xr:uid="{00000000-0005-0000-0000-0000A6000000}"/>
    <cellStyle name="Comma  - Style6" xfId="167" xr:uid="{00000000-0005-0000-0000-0000A7000000}"/>
    <cellStyle name="Comma  - Style7" xfId="168" xr:uid="{00000000-0005-0000-0000-0000A8000000}"/>
    <cellStyle name="Comma  - Style8" xfId="169" xr:uid="{00000000-0005-0000-0000-0000A9000000}"/>
    <cellStyle name="Comma [0]; --" xfId="170" xr:uid="{00000000-0005-0000-0000-0000AA000000}"/>
    <cellStyle name="Comma [00]" xfId="171" xr:uid="{00000000-0005-0000-0000-0000AB000000}"/>
    <cellStyle name="Comma [1]" xfId="172" xr:uid="{00000000-0005-0000-0000-0000AC000000}"/>
    <cellStyle name="Comma 2" xfId="895" xr:uid="{00000000-0005-0000-0000-0000AD000000}"/>
    <cellStyle name="Comma 2 2" xfId="899" xr:uid="{00000000-0005-0000-0000-0000AE000000}"/>
    <cellStyle name="Comma 3" xfId="904" xr:uid="{A60078C1-4764-4AAB-A497-6F735CE8E47D}"/>
    <cellStyle name="Comma Cents" xfId="173" xr:uid="{00000000-0005-0000-0000-0000AF000000}"/>
    <cellStyle name="Comma0" xfId="174" xr:uid="{00000000-0005-0000-0000-0000B0000000}"/>
    <cellStyle name="Commas" xfId="175" xr:uid="{00000000-0005-0000-0000-0000B1000000}"/>
    <cellStyle name="CommasBold" xfId="176" xr:uid="{00000000-0005-0000-0000-0000B2000000}"/>
    <cellStyle name="CompanyTitle" xfId="177" xr:uid="{00000000-0005-0000-0000-0000B3000000}"/>
    <cellStyle name="Copied" xfId="178" xr:uid="{00000000-0005-0000-0000-0000B4000000}"/>
    <cellStyle name="Currency $" xfId="179" xr:uid="{00000000-0005-0000-0000-0000B5000000}"/>
    <cellStyle name="Currency [0]; --" xfId="180" xr:uid="{00000000-0005-0000-0000-0000B6000000}"/>
    <cellStyle name="Currency [00]" xfId="181" xr:uid="{00000000-0005-0000-0000-0000B7000000}"/>
    <cellStyle name="Currency [1]" xfId="182" xr:uid="{00000000-0005-0000-0000-0000B8000000}"/>
    <cellStyle name="Currency [2]" xfId="183" xr:uid="{00000000-0005-0000-0000-0000B9000000}"/>
    <cellStyle name="data" xfId="184" xr:uid="{00000000-0005-0000-0000-0000BA000000}"/>
    <cellStyle name="Date" xfId="185" xr:uid="{00000000-0005-0000-0000-0000BB000000}"/>
    <cellStyle name="Date Short" xfId="186" xr:uid="{00000000-0005-0000-0000-0000BC000000}"/>
    <cellStyle name="Date_COMPS - Directories" xfId="187" xr:uid="{00000000-0005-0000-0000-0000BD000000}"/>
    <cellStyle name="DateLeftBold" xfId="188" xr:uid="{00000000-0005-0000-0000-0000BE000000}"/>
    <cellStyle name="Default" xfId="189" xr:uid="{00000000-0005-0000-0000-0000BF000000}"/>
    <cellStyle name="DELTA" xfId="190" xr:uid="{00000000-0005-0000-0000-0000C0000000}"/>
    <cellStyle name="Dollars" xfId="191" xr:uid="{00000000-0005-0000-0000-0000C1000000}"/>
    <cellStyle name="Dollars []" xfId="192" xr:uid="{00000000-0005-0000-0000-0000C2000000}"/>
    <cellStyle name="Dollars_Pro Forma TTM 9.30.07 (CW NEIRB Acquisition)" xfId="193" xr:uid="{00000000-0005-0000-0000-0000C3000000}"/>
    <cellStyle name="Double" xfId="194" xr:uid="{00000000-0005-0000-0000-0000C4000000}"/>
    <cellStyle name="Double Accounting" xfId="195" xr:uid="{00000000-0005-0000-0000-0000C5000000}"/>
    <cellStyle name="Enter Currency (0)" xfId="196" xr:uid="{00000000-0005-0000-0000-0000C6000000}"/>
    <cellStyle name="Enter Currency (2)" xfId="197" xr:uid="{00000000-0005-0000-0000-0000C7000000}"/>
    <cellStyle name="Enter Units (0)" xfId="198" xr:uid="{00000000-0005-0000-0000-0000C8000000}"/>
    <cellStyle name="Enter Units (1)" xfId="199" xr:uid="{00000000-0005-0000-0000-0000C9000000}"/>
    <cellStyle name="Enter Units (2)" xfId="200" xr:uid="{00000000-0005-0000-0000-0000CA000000}"/>
    <cellStyle name="Entered" xfId="201" xr:uid="{00000000-0005-0000-0000-0000CB000000}"/>
    <cellStyle name="Euro" xfId="202" xr:uid="{00000000-0005-0000-0000-0000CC000000}"/>
    <cellStyle name="Fit" xfId="203" xr:uid="{00000000-0005-0000-0000-0000CD000000}"/>
    <cellStyle name="Footer" xfId="204" xr:uid="{00000000-0005-0000-0000-0000CE000000}"/>
    <cellStyle name="Footnotes" xfId="205" xr:uid="{00000000-0005-0000-0000-0000CF000000}"/>
    <cellStyle name="Grey" xfId="206" xr:uid="{00000000-0005-0000-0000-0000D0000000}"/>
    <cellStyle name="GreybarHeader" xfId="207" xr:uid="{00000000-0005-0000-0000-0000D1000000}"/>
    <cellStyle name="Grouped Head" xfId="208" xr:uid="{00000000-0005-0000-0000-0000D2000000}"/>
    <cellStyle name="h" xfId="209" xr:uid="{00000000-0005-0000-0000-0000D3000000}"/>
    <cellStyle name="HAlignCenter" xfId="210" xr:uid="{00000000-0005-0000-0000-0000D4000000}"/>
    <cellStyle name="HAlignLeft" xfId="211" xr:uid="{00000000-0005-0000-0000-0000D5000000}"/>
    <cellStyle name="HAlignRight" xfId="212" xr:uid="{00000000-0005-0000-0000-0000D6000000}"/>
    <cellStyle name="Head 1" xfId="213" xr:uid="{00000000-0005-0000-0000-0000D7000000}"/>
    <cellStyle name="Header" xfId="214" xr:uid="{00000000-0005-0000-0000-0000D8000000}"/>
    <cellStyle name="Header1" xfId="215" xr:uid="{00000000-0005-0000-0000-0000D9000000}"/>
    <cellStyle name="Header2" xfId="216" xr:uid="{00000000-0005-0000-0000-0000DA000000}"/>
    <cellStyle name="headers" xfId="217" xr:uid="{00000000-0005-0000-0000-0000DB000000}"/>
    <cellStyle name="Heading" xfId="218" xr:uid="{00000000-0005-0000-0000-0000DC000000}"/>
    <cellStyle name="HEADINGS" xfId="219" xr:uid="{00000000-0005-0000-0000-0000DD000000}"/>
    <cellStyle name="HEADINGSTOP" xfId="220" xr:uid="{00000000-0005-0000-0000-0000DE000000}"/>
    <cellStyle name="imput" xfId="221" xr:uid="{00000000-0005-0000-0000-0000DF000000}"/>
    <cellStyle name="Input [yellow]" xfId="222" xr:uid="{00000000-0005-0000-0000-0000E0000000}"/>
    <cellStyle name="Invisible" xfId="223" xr:uid="{00000000-0005-0000-0000-0000E1000000}"/>
    <cellStyle name="ItalicHeader" xfId="224" xr:uid="{00000000-0005-0000-0000-0000E2000000}"/>
    <cellStyle name="Item Descriptions" xfId="225" xr:uid="{00000000-0005-0000-0000-0000E3000000}"/>
    <cellStyle name="Item Descriptions - Bold" xfId="226" xr:uid="{00000000-0005-0000-0000-0000E4000000}"/>
    <cellStyle name="Item Descriptions_6079BX" xfId="227" xr:uid="{00000000-0005-0000-0000-0000E5000000}"/>
    <cellStyle name="Left" xfId="228" xr:uid="{00000000-0005-0000-0000-0000E6000000}"/>
    <cellStyle name="LeftBold" xfId="229" xr:uid="{00000000-0005-0000-0000-0000E7000000}"/>
    <cellStyle name="LeftBoldBottomRule" xfId="230" xr:uid="{00000000-0005-0000-0000-0000E8000000}"/>
    <cellStyle name="LeftBoldCenterRule" xfId="231" xr:uid="{00000000-0005-0000-0000-0000E9000000}"/>
    <cellStyle name="Line" xfId="232" xr:uid="{00000000-0005-0000-0000-0000EA000000}"/>
    <cellStyle name="Link Currency (0)" xfId="233" xr:uid="{00000000-0005-0000-0000-0000EB000000}"/>
    <cellStyle name="Link Currency (2)" xfId="234" xr:uid="{00000000-0005-0000-0000-0000EC000000}"/>
    <cellStyle name="Link Units (0)" xfId="235" xr:uid="{00000000-0005-0000-0000-0000ED000000}"/>
    <cellStyle name="Link Units (1)" xfId="236" xr:uid="{00000000-0005-0000-0000-0000EE000000}"/>
    <cellStyle name="Link Units (2)" xfId="237" xr:uid="{00000000-0005-0000-0000-0000EF000000}"/>
    <cellStyle name="locked" xfId="238" xr:uid="{00000000-0005-0000-0000-0000F0000000}"/>
    <cellStyle name="m&amp;a" xfId="239" xr:uid="{00000000-0005-0000-0000-0000F1000000}"/>
    <cellStyle name="Map Labels" xfId="240" xr:uid="{00000000-0005-0000-0000-0000F2000000}"/>
    <cellStyle name="Map Legend" xfId="241" xr:uid="{00000000-0005-0000-0000-0000F3000000}"/>
    <cellStyle name="Merrill" xfId="242" xr:uid="{00000000-0005-0000-0000-0000F4000000}"/>
    <cellStyle name="Millares_Inv Detail A7" xfId="243" xr:uid="{00000000-0005-0000-0000-0000F5000000}"/>
    <cellStyle name="Milliers [0]_r00SC" xfId="244" xr:uid="{00000000-0005-0000-0000-0000F6000000}"/>
    <cellStyle name="Milliers_r00SC" xfId="245" xr:uid="{00000000-0005-0000-0000-0000F7000000}"/>
    <cellStyle name="Mix" xfId="246" xr:uid="{00000000-0005-0000-0000-0000F8000000}"/>
    <cellStyle name="mon" xfId="247" xr:uid="{00000000-0005-0000-0000-0000F9000000}"/>
    <cellStyle name="Monétaire [0]_r00SC" xfId="248" xr:uid="{00000000-0005-0000-0000-0000FA000000}"/>
    <cellStyle name="Monétaire_r00SC" xfId="249" xr:uid="{00000000-0005-0000-0000-0000FB000000}"/>
    <cellStyle name="Money" xfId="250" xr:uid="{00000000-0005-0000-0000-0000FC000000}"/>
    <cellStyle name="Multiple" xfId="251" xr:uid="{00000000-0005-0000-0000-0000FD000000}"/>
    <cellStyle name="Multiple []" xfId="252" xr:uid="{00000000-0005-0000-0000-0000FE000000}"/>
    <cellStyle name="Multiple [0]" xfId="253" xr:uid="{00000000-0005-0000-0000-0000FF000000}"/>
    <cellStyle name="Multiple [0] []" xfId="254" xr:uid="{00000000-0005-0000-0000-000000010000}"/>
    <cellStyle name="Multiple [0]_New MA Public Comps and WACC Model" xfId="255" xr:uid="{00000000-0005-0000-0000-000001010000}"/>
    <cellStyle name="Multiple [1]" xfId="256" xr:uid="{00000000-0005-0000-0000-000002010000}"/>
    <cellStyle name="Multiple [1] []" xfId="257" xr:uid="{00000000-0005-0000-0000-000003010000}"/>
    <cellStyle name="Multiple [1]_New MA Public Comps and WACC Model" xfId="258" xr:uid="{00000000-0005-0000-0000-000004010000}"/>
    <cellStyle name="Multiple_CapitalSum" xfId="259" xr:uid="{00000000-0005-0000-0000-000005010000}"/>
    <cellStyle name="N2Style" xfId="260" xr:uid="{00000000-0005-0000-0000-000006010000}"/>
    <cellStyle name="NewColumnHeaderNormal" xfId="261" xr:uid="{00000000-0005-0000-0000-000007010000}"/>
    <cellStyle name="NewSectionHeaderNormal" xfId="262" xr:uid="{00000000-0005-0000-0000-000008010000}"/>
    <cellStyle name="NewTitleNormal" xfId="263" xr:uid="{00000000-0005-0000-0000-000009010000}"/>
    <cellStyle name="Normal" xfId="0" builtinId="0"/>
    <cellStyle name="Normal - Style1" xfId="264" xr:uid="{00000000-0005-0000-0000-00000B010000}"/>
    <cellStyle name="Normal 2" xfId="265" xr:uid="{00000000-0005-0000-0000-00000C010000}"/>
    <cellStyle name="Normal 2 2" xfId="266" xr:uid="{00000000-0005-0000-0000-00000D010000}"/>
    <cellStyle name="Normal 2 2 2" xfId="896" xr:uid="{00000000-0005-0000-0000-00000E010000}"/>
    <cellStyle name="Normal 3" xfId="894" xr:uid="{00000000-0005-0000-0000-00000F010000}"/>
    <cellStyle name="Normal 3 2" xfId="898" xr:uid="{00000000-0005-0000-0000-000010010000}"/>
    <cellStyle name="Normal 4" xfId="902" xr:uid="{60BC19D7-67A9-43E1-A2C6-74261D170DCF}"/>
    <cellStyle name="Normal1" xfId="267" xr:uid="{00000000-0005-0000-0000-000011010000}"/>
    <cellStyle name="Normal10" xfId="268" xr:uid="{00000000-0005-0000-0000-000012010000}"/>
    <cellStyle name="Normal100" xfId="269" xr:uid="{00000000-0005-0000-0000-000013010000}"/>
    <cellStyle name="Normal101" xfId="270" xr:uid="{00000000-0005-0000-0000-000014010000}"/>
    <cellStyle name="Normal102" xfId="271" xr:uid="{00000000-0005-0000-0000-000015010000}"/>
    <cellStyle name="Normal103" xfId="272" xr:uid="{00000000-0005-0000-0000-000016010000}"/>
    <cellStyle name="Normal104" xfId="273" xr:uid="{00000000-0005-0000-0000-000017010000}"/>
    <cellStyle name="Normal105" xfId="274" xr:uid="{00000000-0005-0000-0000-000018010000}"/>
    <cellStyle name="Normal106" xfId="275" xr:uid="{00000000-0005-0000-0000-000019010000}"/>
    <cellStyle name="Normal107" xfId="276" xr:uid="{00000000-0005-0000-0000-00001A010000}"/>
    <cellStyle name="Normal108" xfId="277" xr:uid="{00000000-0005-0000-0000-00001B010000}"/>
    <cellStyle name="Normal109" xfId="278" xr:uid="{00000000-0005-0000-0000-00001C010000}"/>
    <cellStyle name="Normal11" xfId="279" xr:uid="{00000000-0005-0000-0000-00001D010000}"/>
    <cellStyle name="Normal110" xfId="280" xr:uid="{00000000-0005-0000-0000-00001E010000}"/>
    <cellStyle name="Normal111" xfId="281" xr:uid="{00000000-0005-0000-0000-00001F010000}"/>
    <cellStyle name="Normal112" xfId="282" xr:uid="{00000000-0005-0000-0000-000020010000}"/>
    <cellStyle name="Normal113" xfId="283" xr:uid="{00000000-0005-0000-0000-000021010000}"/>
    <cellStyle name="Normal114" xfId="284" xr:uid="{00000000-0005-0000-0000-000022010000}"/>
    <cellStyle name="Normal115" xfId="285" xr:uid="{00000000-0005-0000-0000-000023010000}"/>
    <cellStyle name="Normal116" xfId="286" xr:uid="{00000000-0005-0000-0000-000024010000}"/>
    <cellStyle name="Normal117" xfId="287" xr:uid="{00000000-0005-0000-0000-000025010000}"/>
    <cellStyle name="Normal118" xfId="288" xr:uid="{00000000-0005-0000-0000-000026010000}"/>
    <cellStyle name="Normal119" xfId="289" xr:uid="{00000000-0005-0000-0000-000027010000}"/>
    <cellStyle name="Normal12" xfId="290" xr:uid="{00000000-0005-0000-0000-000028010000}"/>
    <cellStyle name="Normal120" xfId="291" xr:uid="{00000000-0005-0000-0000-000029010000}"/>
    <cellStyle name="Normal121" xfId="292" xr:uid="{00000000-0005-0000-0000-00002A010000}"/>
    <cellStyle name="Normal122" xfId="293" xr:uid="{00000000-0005-0000-0000-00002B010000}"/>
    <cellStyle name="Normal123" xfId="294" xr:uid="{00000000-0005-0000-0000-00002C010000}"/>
    <cellStyle name="Normal124" xfId="295" xr:uid="{00000000-0005-0000-0000-00002D010000}"/>
    <cellStyle name="Normal125" xfId="296" xr:uid="{00000000-0005-0000-0000-00002E010000}"/>
    <cellStyle name="Normal126" xfId="297" xr:uid="{00000000-0005-0000-0000-00002F010000}"/>
    <cellStyle name="Normal127" xfId="298" xr:uid="{00000000-0005-0000-0000-000030010000}"/>
    <cellStyle name="Normal128" xfId="299" xr:uid="{00000000-0005-0000-0000-000031010000}"/>
    <cellStyle name="Normal129" xfId="300" xr:uid="{00000000-0005-0000-0000-000032010000}"/>
    <cellStyle name="Normal13" xfId="301" xr:uid="{00000000-0005-0000-0000-000033010000}"/>
    <cellStyle name="Normal130" xfId="302" xr:uid="{00000000-0005-0000-0000-000034010000}"/>
    <cellStyle name="Normal131" xfId="303" xr:uid="{00000000-0005-0000-0000-000035010000}"/>
    <cellStyle name="Normal132" xfId="304" xr:uid="{00000000-0005-0000-0000-000036010000}"/>
    <cellStyle name="Normal133" xfId="305" xr:uid="{00000000-0005-0000-0000-000037010000}"/>
    <cellStyle name="Normal134" xfId="306" xr:uid="{00000000-0005-0000-0000-000038010000}"/>
    <cellStyle name="Normal135" xfId="307" xr:uid="{00000000-0005-0000-0000-000039010000}"/>
    <cellStyle name="Normal136" xfId="308" xr:uid="{00000000-0005-0000-0000-00003A010000}"/>
    <cellStyle name="Normal137" xfId="309" xr:uid="{00000000-0005-0000-0000-00003B010000}"/>
    <cellStyle name="Normal138" xfId="310" xr:uid="{00000000-0005-0000-0000-00003C010000}"/>
    <cellStyle name="Normal139" xfId="311" xr:uid="{00000000-0005-0000-0000-00003D010000}"/>
    <cellStyle name="Normal14" xfId="312" xr:uid="{00000000-0005-0000-0000-00003E010000}"/>
    <cellStyle name="Normal140" xfId="313" xr:uid="{00000000-0005-0000-0000-00003F010000}"/>
    <cellStyle name="Normal141" xfId="314" xr:uid="{00000000-0005-0000-0000-000040010000}"/>
    <cellStyle name="Normal142" xfId="315" xr:uid="{00000000-0005-0000-0000-000041010000}"/>
    <cellStyle name="Normal143" xfId="316" xr:uid="{00000000-0005-0000-0000-000042010000}"/>
    <cellStyle name="Normal144" xfId="317" xr:uid="{00000000-0005-0000-0000-000043010000}"/>
    <cellStyle name="Normal145" xfId="318" xr:uid="{00000000-0005-0000-0000-000044010000}"/>
    <cellStyle name="Normal146" xfId="319" xr:uid="{00000000-0005-0000-0000-000045010000}"/>
    <cellStyle name="Normal147" xfId="320" xr:uid="{00000000-0005-0000-0000-000046010000}"/>
    <cellStyle name="Normal148" xfId="321" xr:uid="{00000000-0005-0000-0000-000047010000}"/>
    <cellStyle name="Normal149" xfId="322" xr:uid="{00000000-0005-0000-0000-000048010000}"/>
    <cellStyle name="Normal15" xfId="323" xr:uid="{00000000-0005-0000-0000-000049010000}"/>
    <cellStyle name="Normal150" xfId="324" xr:uid="{00000000-0005-0000-0000-00004A010000}"/>
    <cellStyle name="Normal151" xfId="325" xr:uid="{00000000-0005-0000-0000-00004B010000}"/>
    <cellStyle name="Normal152" xfId="326" xr:uid="{00000000-0005-0000-0000-00004C010000}"/>
    <cellStyle name="Normal153" xfId="327" xr:uid="{00000000-0005-0000-0000-00004D010000}"/>
    <cellStyle name="Normal154" xfId="328" xr:uid="{00000000-0005-0000-0000-00004E010000}"/>
    <cellStyle name="Normal155" xfId="329" xr:uid="{00000000-0005-0000-0000-00004F010000}"/>
    <cellStyle name="Normal156" xfId="330" xr:uid="{00000000-0005-0000-0000-000050010000}"/>
    <cellStyle name="Normal157" xfId="331" xr:uid="{00000000-0005-0000-0000-000051010000}"/>
    <cellStyle name="Normal158" xfId="332" xr:uid="{00000000-0005-0000-0000-000052010000}"/>
    <cellStyle name="Normal159" xfId="333" xr:uid="{00000000-0005-0000-0000-000053010000}"/>
    <cellStyle name="Normal16" xfId="334" xr:uid="{00000000-0005-0000-0000-000054010000}"/>
    <cellStyle name="Normal160" xfId="335" xr:uid="{00000000-0005-0000-0000-000055010000}"/>
    <cellStyle name="Normal161" xfId="336" xr:uid="{00000000-0005-0000-0000-000056010000}"/>
    <cellStyle name="Normal162" xfId="337" xr:uid="{00000000-0005-0000-0000-000057010000}"/>
    <cellStyle name="Normal163" xfId="338" xr:uid="{00000000-0005-0000-0000-000058010000}"/>
    <cellStyle name="Normal164" xfId="339" xr:uid="{00000000-0005-0000-0000-000059010000}"/>
    <cellStyle name="Normal165" xfId="340" xr:uid="{00000000-0005-0000-0000-00005A010000}"/>
    <cellStyle name="Normal166" xfId="341" xr:uid="{00000000-0005-0000-0000-00005B010000}"/>
    <cellStyle name="Normal167" xfId="342" xr:uid="{00000000-0005-0000-0000-00005C010000}"/>
    <cellStyle name="Normal168" xfId="343" xr:uid="{00000000-0005-0000-0000-00005D010000}"/>
    <cellStyle name="Normal169" xfId="344" xr:uid="{00000000-0005-0000-0000-00005E010000}"/>
    <cellStyle name="Normal17" xfId="345" xr:uid="{00000000-0005-0000-0000-00005F010000}"/>
    <cellStyle name="Normal170" xfId="346" xr:uid="{00000000-0005-0000-0000-000060010000}"/>
    <cellStyle name="Normal171" xfId="347" xr:uid="{00000000-0005-0000-0000-000061010000}"/>
    <cellStyle name="Normal172" xfId="348" xr:uid="{00000000-0005-0000-0000-000062010000}"/>
    <cellStyle name="Normal173" xfId="349" xr:uid="{00000000-0005-0000-0000-000063010000}"/>
    <cellStyle name="Normal174" xfId="350" xr:uid="{00000000-0005-0000-0000-000064010000}"/>
    <cellStyle name="Normal175" xfId="351" xr:uid="{00000000-0005-0000-0000-000065010000}"/>
    <cellStyle name="Normal176" xfId="352" xr:uid="{00000000-0005-0000-0000-000066010000}"/>
    <cellStyle name="Normal177" xfId="353" xr:uid="{00000000-0005-0000-0000-000067010000}"/>
    <cellStyle name="Normal178" xfId="354" xr:uid="{00000000-0005-0000-0000-000068010000}"/>
    <cellStyle name="Normal179" xfId="355" xr:uid="{00000000-0005-0000-0000-000069010000}"/>
    <cellStyle name="Normal18" xfId="356" xr:uid="{00000000-0005-0000-0000-00006A010000}"/>
    <cellStyle name="Normal180" xfId="357" xr:uid="{00000000-0005-0000-0000-00006B010000}"/>
    <cellStyle name="Normal181" xfId="358" xr:uid="{00000000-0005-0000-0000-00006C010000}"/>
    <cellStyle name="Normal182" xfId="359" xr:uid="{00000000-0005-0000-0000-00006D010000}"/>
    <cellStyle name="Normal183" xfId="360" xr:uid="{00000000-0005-0000-0000-00006E010000}"/>
    <cellStyle name="Normal184" xfId="361" xr:uid="{00000000-0005-0000-0000-00006F010000}"/>
    <cellStyle name="Normal185" xfId="362" xr:uid="{00000000-0005-0000-0000-000070010000}"/>
    <cellStyle name="Normal186" xfId="363" xr:uid="{00000000-0005-0000-0000-000071010000}"/>
    <cellStyle name="Normal187" xfId="364" xr:uid="{00000000-0005-0000-0000-000072010000}"/>
    <cellStyle name="Normal188" xfId="365" xr:uid="{00000000-0005-0000-0000-000073010000}"/>
    <cellStyle name="Normal189" xfId="366" xr:uid="{00000000-0005-0000-0000-000074010000}"/>
    <cellStyle name="Normal19" xfId="367" xr:uid="{00000000-0005-0000-0000-000075010000}"/>
    <cellStyle name="Normal190" xfId="368" xr:uid="{00000000-0005-0000-0000-000076010000}"/>
    <cellStyle name="Normal191" xfId="369" xr:uid="{00000000-0005-0000-0000-000077010000}"/>
    <cellStyle name="Normal192" xfId="370" xr:uid="{00000000-0005-0000-0000-000078010000}"/>
    <cellStyle name="Normal193" xfId="371" xr:uid="{00000000-0005-0000-0000-000079010000}"/>
    <cellStyle name="Normal194" xfId="372" xr:uid="{00000000-0005-0000-0000-00007A010000}"/>
    <cellStyle name="Normal195" xfId="373" xr:uid="{00000000-0005-0000-0000-00007B010000}"/>
    <cellStyle name="Normal196" xfId="374" xr:uid="{00000000-0005-0000-0000-00007C010000}"/>
    <cellStyle name="Normal197" xfId="375" xr:uid="{00000000-0005-0000-0000-00007D010000}"/>
    <cellStyle name="Normal198" xfId="376" xr:uid="{00000000-0005-0000-0000-00007E010000}"/>
    <cellStyle name="Normal199" xfId="377" xr:uid="{00000000-0005-0000-0000-00007F010000}"/>
    <cellStyle name="Normal2" xfId="378" xr:uid="{00000000-0005-0000-0000-000080010000}"/>
    <cellStyle name="Normal20" xfId="379" xr:uid="{00000000-0005-0000-0000-000081010000}"/>
    <cellStyle name="Normal200" xfId="380" xr:uid="{00000000-0005-0000-0000-000082010000}"/>
    <cellStyle name="Normal201" xfId="381" xr:uid="{00000000-0005-0000-0000-000083010000}"/>
    <cellStyle name="Normal202" xfId="382" xr:uid="{00000000-0005-0000-0000-000084010000}"/>
    <cellStyle name="Normal203" xfId="383" xr:uid="{00000000-0005-0000-0000-000085010000}"/>
    <cellStyle name="Normal204" xfId="384" xr:uid="{00000000-0005-0000-0000-000086010000}"/>
    <cellStyle name="Normal205" xfId="385" xr:uid="{00000000-0005-0000-0000-000087010000}"/>
    <cellStyle name="Normal206" xfId="386" xr:uid="{00000000-0005-0000-0000-000088010000}"/>
    <cellStyle name="Normal207" xfId="387" xr:uid="{00000000-0005-0000-0000-000089010000}"/>
    <cellStyle name="Normal208" xfId="388" xr:uid="{00000000-0005-0000-0000-00008A010000}"/>
    <cellStyle name="Normal209" xfId="389" xr:uid="{00000000-0005-0000-0000-00008B010000}"/>
    <cellStyle name="Normal21" xfId="390" xr:uid="{00000000-0005-0000-0000-00008C010000}"/>
    <cellStyle name="Normal210" xfId="391" xr:uid="{00000000-0005-0000-0000-00008D010000}"/>
    <cellStyle name="Normal211" xfId="392" xr:uid="{00000000-0005-0000-0000-00008E010000}"/>
    <cellStyle name="Normal212" xfId="393" xr:uid="{00000000-0005-0000-0000-00008F010000}"/>
    <cellStyle name="Normal213" xfId="394" xr:uid="{00000000-0005-0000-0000-000090010000}"/>
    <cellStyle name="Normal214" xfId="395" xr:uid="{00000000-0005-0000-0000-000091010000}"/>
    <cellStyle name="Normal215" xfId="396" xr:uid="{00000000-0005-0000-0000-000092010000}"/>
    <cellStyle name="Normal216" xfId="397" xr:uid="{00000000-0005-0000-0000-000093010000}"/>
    <cellStyle name="Normal217" xfId="398" xr:uid="{00000000-0005-0000-0000-000094010000}"/>
    <cellStyle name="Normal218" xfId="399" xr:uid="{00000000-0005-0000-0000-000095010000}"/>
    <cellStyle name="Normal219" xfId="400" xr:uid="{00000000-0005-0000-0000-000096010000}"/>
    <cellStyle name="Normal22" xfId="401" xr:uid="{00000000-0005-0000-0000-000097010000}"/>
    <cellStyle name="Normal220" xfId="402" xr:uid="{00000000-0005-0000-0000-000098010000}"/>
    <cellStyle name="Normal221" xfId="403" xr:uid="{00000000-0005-0000-0000-000099010000}"/>
    <cellStyle name="Normal222" xfId="404" xr:uid="{00000000-0005-0000-0000-00009A010000}"/>
    <cellStyle name="Normal223" xfId="405" xr:uid="{00000000-0005-0000-0000-00009B010000}"/>
    <cellStyle name="Normal224" xfId="406" xr:uid="{00000000-0005-0000-0000-00009C010000}"/>
    <cellStyle name="Normal225" xfId="407" xr:uid="{00000000-0005-0000-0000-00009D010000}"/>
    <cellStyle name="Normal226" xfId="408" xr:uid="{00000000-0005-0000-0000-00009E010000}"/>
    <cellStyle name="Normal227" xfId="409" xr:uid="{00000000-0005-0000-0000-00009F010000}"/>
    <cellStyle name="Normal228" xfId="410" xr:uid="{00000000-0005-0000-0000-0000A0010000}"/>
    <cellStyle name="Normal229" xfId="411" xr:uid="{00000000-0005-0000-0000-0000A1010000}"/>
    <cellStyle name="Normal23" xfId="412" xr:uid="{00000000-0005-0000-0000-0000A2010000}"/>
    <cellStyle name="Normal230" xfId="413" xr:uid="{00000000-0005-0000-0000-0000A3010000}"/>
    <cellStyle name="Normal231" xfId="414" xr:uid="{00000000-0005-0000-0000-0000A4010000}"/>
    <cellStyle name="Normal232" xfId="415" xr:uid="{00000000-0005-0000-0000-0000A5010000}"/>
    <cellStyle name="Normal233" xfId="416" xr:uid="{00000000-0005-0000-0000-0000A6010000}"/>
    <cellStyle name="Normal234" xfId="417" xr:uid="{00000000-0005-0000-0000-0000A7010000}"/>
    <cellStyle name="Normal235" xfId="418" xr:uid="{00000000-0005-0000-0000-0000A8010000}"/>
    <cellStyle name="Normal236" xfId="419" xr:uid="{00000000-0005-0000-0000-0000A9010000}"/>
    <cellStyle name="Normal237" xfId="420" xr:uid="{00000000-0005-0000-0000-0000AA010000}"/>
    <cellStyle name="Normal238" xfId="421" xr:uid="{00000000-0005-0000-0000-0000AB010000}"/>
    <cellStyle name="Normal239" xfId="422" xr:uid="{00000000-0005-0000-0000-0000AC010000}"/>
    <cellStyle name="Normal24" xfId="423" xr:uid="{00000000-0005-0000-0000-0000AD010000}"/>
    <cellStyle name="Normal240" xfId="424" xr:uid="{00000000-0005-0000-0000-0000AE010000}"/>
    <cellStyle name="Normal241" xfId="425" xr:uid="{00000000-0005-0000-0000-0000AF010000}"/>
    <cellStyle name="Normal242" xfId="426" xr:uid="{00000000-0005-0000-0000-0000B0010000}"/>
    <cellStyle name="Normal243" xfId="427" xr:uid="{00000000-0005-0000-0000-0000B1010000}"/>
    <cellStyle name="Normal244" xfId="428" xr:uid="{00000000-0005-0000-0000-0000B2010000}"/>
    <cellStyle name="Normal245" xfId="429" xr:uid="{00000000-0005-0000-0000-0000B3010000}"/>
    <cellStyle name="Normal246" xfId="430" xr:uid="{00000000-0005-0000-0000-0000B4010000}"/>
    <cellStyle name="Normal247" xfId="431" xr:uid="{00000000-0005-0000-0000-0000B5010000}"/>
    <cellStyle name="Normal248" xfId="432" xr:uid="{00000000-0005-0000-0000-0000B6010000}"/>
    <cellStyle name="Normal249" xfId="433" xr:uid="{00000000-0005-0000-0000-0000B7010000}"/>
    <cellStyle name="Normal25" xfId="434" xr:uid="{00000000-0005-0000-0000-0000B8010000}"/>
    <cellStyle name="Normal250" xfId="435" xr:uid="{00000000-0005-0000-0000-0000B9010000}"/>
    <cellStyle name="Normal251" xfId="436" xr:uid="{00000000-0005-0000-0000-0000BA010000}"/>
    <cellStyle name="Normal252" xfId="437" xr:uid="{00000000-0005-0000-0000-0000BB010000}"/>
    <cellStyle name="Normal253" xfId="438" xr:uid="{00000000-0005-0000-0000-0000BC010000}"/>
    <cellStyle name="Normal26" xfId="439" xr:uid="{00000000-0005-0000-0000-0000BD010000}"/>
    <cellStyle name="Normal27" xfId="440" xr:uid="{00000000-0005-0000-0000-0000BE010000}"/>
    <cellStyle name="Normal28" xfId="441" xr:uid="{00000000-0005-0000-0000-0000BF010000}"/>
    <cellStyle name="Normal29" xfId="442" xr:uid="{00000000-0005-0000-0000-0000C0010000}"/>
    <cellStyle name="Normal3" xfId="443" xr:uid="{00000000-0005-0000-0000-0000C1010000}"/>
    <cellStyle name="Normal30" xfId="444" xr:uid="{00000000-0005-0000-0000-0000C2010000}"/>
    <cellStyle name="Normal31" xfId="445" xr:uid="{00000000-0005-0000-0000-0000C3010000}"/>
    <cellStyle name="Normal32" xfId="446" xr:uid="{00000000-0005-0000-0000-0000C4010000}"/>
    <cellStyle name="Normal33" xfId="447" xr:uid="{00000000-0005-0000-0000-0000C5010000}"/>
    <cellStyle name="Normal34" xfId="448" xr:uid="{00000000-0005-0000-0000-0000C6010000}"/>
    <cellStyle name="Normal35" xfId="449" xr:uid="{00000000-0005-0000-0000-0000C7010000}"/>
    <cellStyle name="Normal36" xfId="450" xr:uid="{00000000-0005-0000-0000-0000C8010000}"/>
    <cellStyle name="Normal37" xfId="451" xr:uid="{00000000-0005-0000-0000-0000C9010000}"/>
    <cellStyle name="Normal38" xfId="452" xr:uid="{00000000-0005-0000-0000-0000CA010000}"/>
    <cellStyle name="Normal39" xfId="453" xr:uid="{00000000-0005-0000-0000-0000CB010000}"/>
    <cellStyle name="Normal4" xfId="454" xr:uid="{00000000-0005-0000-0000-0000CC010000}"/>
    <cellStyle name="Normal40" xfId="455" xr:uid="{00000000-0005-0000-0000-0000CD010000}"/>
    <cellStyle name="Normal41" xfId="456" xr:uid="{00000000-0005-0000-0000-0000CE010000}"/>
    <cellStyle name="Normal42" xfId="457" xr:uid="{00000000-0005-0000-0000-0000CF010000}"/>
    <cellStyle name="Normal43" xfId="458" xr:uid="{00000000-0005-0000-0000-0000D0010000}"/>
    <cellStyle name="Normal44" xfId="459" xr:uid="{00000000-0005-0000-0000-0000D1010000}"/>
    <cellStyle name="Normal45" xfId="460" xr:uid="{00000000-0005-0000-0000-0000D2010000}"/>
    <cellStyle name="Normal46" xfId="461" xr:uid="{00000000-0005-0000-0000-0000D3010000}"/>
    <cellStyle name="Normal47" xfId="462" xr:uid="{00000000-0005-0000-0000-0000D4010000}"/>
    <cellStyle name="Normal48" xfId="463" xr:uid="{00000000-0005-0000-0000-0000D5010000}"/>
    <cellStyle name="Normal49" xfId="464" xr:uid="{00000000-0005-0000-0000-0000D6010000}"/>
    <cellStyle name="Normal5" xfId="465" xr:uid="{00000000-0005-0000-0000-0000D7010000}"/>
    <cellStyle name="Normal50" xfId="466" xr:uid="{00000000-0005-0000-0000-0000D8010000}"/>
    <cellStyle name="Normal51" xfId="467" xr:uid="{00000000-0005-0000-0000-0000D9010000}"/>
    <cellStyle name="Normal52" xfId="468" xr:uid="{00000000-0005-0000-0000-0000DA010000}"/>
    <cellStyle name="Normal53" xfId="469" xr:uid="{00000000-0005-0000-0000-0000DB010000}"/>
    <cellStyle name="Normal54" xfId="470" xr:uid="{00000000-0005-0000-0000-0000DC010000}"/>
    <cellStyle name="Normal55" xfId="471" xr:uid="{00000000-0005-0000-0000-0000DD010000}"/>
    <cellStyle name="Normal56" xfId="472" xr:uid="{00000000-0005-0000-0000-0000DE010000}"/>
    <cellStyle name="Normal57" xfId="473" xr:uid="{00000000-0005-0000-0000-0000DF010000}"/>
    <cellStyle name="Normal58" xfId="474" xr:uid="{00000000-0005-0000-0000-0000E0010000}"/>
    <cellStyle name="Normal59" xfId="475" xr:uid="{00000000-0005-0000-0000-0000E1010000}"/>
    <cellStyle name="Normal6" xfId="476" xr:uid="{00000000-0005-0000-0000-0000E2010000}"/>
    <cellStyle name="Normal60" xfId="477" xr:uid="{00000000-0005-0000-0000-0000E3010000}"/>
    <cellStyle name="Normal61" xfId="478" xr:uid="{00000000-0005-0000-0000-0000E4010000}"/>
    <cellStyle name="Normal62" xfId="479" xr:uid="{00000000-0005-0000-0000-0000E5010000}"/>
    <cellStyle name="Normal63" xfId="480" xr:uid="{00000000-0005-0000-0000-0000E6010000}"/>
    <cellStyle name="Normal64" xfId="481" xr:uid="{00000000-0005-0000-0000-0000E7010000}"/>
    <cellStyle name="Normal65" xfId="482" xr:uid="{00000000-0005-0000-0000-0000E8010000}"/>
    <cellStyle name="Normal66" xfId="483" xr:uid="{00000000-0005-0000-0000-0000E9010000}"/>
    <cellStyle name="Normal67" xfId="484" xr:uid="{00000000-0005-0000-0000-0000EA010000}"/>
    <cellStyle name="Normal68" xfId="485" xr:uid="{00000000-0005-0000-0000-0000EB010000}"/>
    <cellStyle name="Normal69" xfId="486" xr:uid="{00000000-0005-0000-0000-0000EC010000}"/>
    <cellStyle name="Normal7" xfId="487" xr:uid="{00000000-0005-0000-0000-0000ED010000}"/>
    <cellStyle name="Normal70" xfId="488" xr:uid="{00000000-0005-0000-0000-0000EE010000}"/>
    <cellStyle name="Normal71" xfId="489" xr:uid="{00000000-0005-0000-0000-0000EF010000}"/>
    <cellStyle name="Normal72" xfId="490" xr:uid="{00000000-0005-0000-0000-0000F0010000}"/>
    <cellStyle name="Normal73" xfId="491" xr:uid="{00000000-0005-0000-0000-0000F1010000}"/>
    <cellStyle name="Normal74" xfId="492" xr:uid="{00000000-0005-0000-0000-0000F2010000}"/>
    <cellStyle name="Normal75" xfId="493" xr:uid="{00000000-0005-0000-0000-0000F3010000}"/>
    <cellStyle name="Normal76" xfId="494" xr:uid="{00000000-0005-0000-0000-0000F4010000}"/>
    <cellStyle name="Normal77" xfId="495" xr:uid="{00000000-0005-0000-0000-0000F5010000}"/>
    <cellStyle name="Normal78" xfId="496" xr:uid="{00000000-0005-0000-0000-0000F6010000}"/>
    <cellStyle name="Normal79" xfId="497" xr:uid="{00000000-0005-0000-0000-0000F7010000}"/>
    <cellStyle name="Normal8" xfId="498" xr:uid="{00000000-0005-0000-0000-0000F8010000}"/>
    <cellStyle name="Normal80" xfId="499" xr:uid="{00000000-0005-0000-0000-0000F9010000}"/>
    <cellStyle name="Normal81" xfId="500" xr:uid="{00000000-0005-0000-0000-0000FA010000}"/>
    <cellStyle name="Normal82" xfId="501" xr:uid="{00000000-0005-0000-0000-0000FB010000}"/>
    <cellStyle name="Normal83" xfId="502" xr:uid="{00000000-0005-0000-0000-0000FC010000}"/>
    <cellStyle name="Normal84" xfId="503" xr:uid="{00000000-0005-0000-0000-0000FD010000}"/>
    <cellStyle name="Normal85" xfId="504" xr:uid="{00000000-0005-0000-0000-0000FE010000}"/>
    <cellStyle name="Normal86" xfId="505" xr:uid="{00000000-0005-0000-0000-0000FF010000}"/>
    <cellStyle name="Normal87" xfId="506" xr:uid="{00000000-0005-0000-0000-000000020000}"/>
    <cellStyle name="Normal88" xfId="507" xr:uid="{00000000-0005-0000-0000-000001020000}"/>
    <cellStyle name="Normal89" xfId="508" xr:uid="{00000000-0005-0000-0000-000002020000}"/>
    <cellStyle name="Normal9" xfId="509" xr:uid="{00000000-0005-0000-0000-000003020000}"/>
    <cellStyle name="Normal90" xfId="510" xr:uid="{00000000-0005-0000-0000-000004020000}"/>
    <cellStyle name="Normal91" xfId="511" xr:uid="{00000000-0005-0000-0000-000005020000}"/>
    <cellStyle name="Normal92" xfId="512" xr:uid="{00000000-0005-0000-0000-000006020000}"/>
    <cellStyle name="Normal93" xfId="513" xr:uid="{00000000-0005-0000-0000-000007020000}"/>
    <cellStyle name="Normal94" xfId="514" xr:uid="{00000000-0005-0000-0000-000008020000}"/>
    <cellStyle name="Normal95" xfId="515" xr:uid="{00000000-0005-0000-0000-000009020000}"/>
    <cellStyle name="Normal96" xfId="516" xr:uid="{00000000-0005-0000-0000-00000A020000}"/>
    <cellStyle name="Normal97" xfId="517" xr:uid="{00000000-0005-0000-0000-00000B020000}"/>
    <cellStyle name="Normal98" xfId="518" xr:uid="{00000000-0005-0000-0000-00000C020000}"/>
    <cellStyle name="Normal99" xfId="519" xr:uid="{00000000-0005-0000-0000-00000D020000}"/>
    <cellStyle name="NotDeclared_1" xfId="520" xr:uid="{00000000-0005-0000-0000-00000E020000}"/>
    <cellStyle name="Numbers" xfId="521" xr:uid="{00000000-0005-0000-0000-00000F020000}"/>
    <cellStyle name="Numbers - Bold" xfId="522" xr:uid="{00000000-0005-0000-0000-000010020000}"/>
    <cellStyle name="Numbers - Bold - Italic" xfId="523" xr:uid="{00000000-0005-0000-0000-000011020000}"/>
    <cellStyle name="Numbers - Bold_6079BX" xfId="524" xr:uid="{00000000-0005-0000-0000-000012020000}"/>
    <cellStyle name="Numbers - Large" xfId="525" xr:uid="{00000000-0005-0000-0000-000013020000}"/>
    <cellStyle name="Numbers_6079BX" xfId="526" xr:uid="{00000000-0005-0000-0000-000014020000}"/>
    <cellStyle name="OSW_RowLabels" xfId="527" xr:uid="{00000000-0005-0000-0000-000015020000}"/>
    <cellStyle name="Outline" xfId="528" xr:uid="{00000000-0005-0000-0000-000016020000}"/>
    <cellStyle name="Output Amounts" xfId="529" xr:uid="{00000000-0005-0000-0000-000017020000}"/>
    <cellStyle name="Output Column Headings" xfId="530" xr:uid="{00000000-0005-0000-0000-000018020000}"/>
    <cellStyle name="Output Line Items" xfId="531" xr:uid="{00000000-0005-0000-0000-000019020000}"/>
    <cellStyle name="Output Report Heading" xfId="532" xr:uid="{00000000-0005-0000-0000-00001A020000}"/>
    <cellStyle name="Page" xfId="533" xr:uid="{00000000-0005-0000-0000-00001B020000}"/>
    <cellStyle name="PB Table Heading" xfId="534" xr:uid="{00000000-0005-0000-0000-00001C020000}"/>
    <cellStyle name="PB Table Highlight1" xfId="535" xr:uid="{00000000-0005-0000-0000-00001D020000}"/>
    <cellStyle name="PB Table Highlight2" xfId="536" xr:uid="{00000000-0005-0000-0000-00001E020000}"/>
    <cellStyle name="PB Table Highlight3" xfId="537" xr:uid="{00000000-0005-0000-0000-00001F020000}"/>
    <cellStyle name="PB Table Standard Row" xfId="538" xr:uid="{00000000-0005-0000-0000-000020020000}"/>
    <cellStyle name="PB Table Subtotal Row" xfId="539" xr:uid="{00000000-0005-0000-0000-000021020000}"/>
    <cellStyle name="PB Table Total Row" xfId="540" xr:uid="{00000000-0005-0000-0000-000022020000}"/>
    <cellStyle name="Per cent" xfId="900" builtinId="5"/>
    <cellStyle name="per.style" xfId="541" xr:uid="{00000000-0005-0000-0000-000023020000}"/>
    <cellStyle name="Percent [0]" xfId="542" xr:uid="{00000000-0005-0000-0000-000025020000}"/>
    <cellStyle name="Percent [00]" xfId="543" xr:uid="{00000000-0005-0000-0000-000026020000}"/>
    <cellStyle name="Percent [1]" xfId="544" xr:uid="{00000000-0005-0000-0000-000027020000}"/>
    <cellStyle name="Percent [1][]" xfId="545" xr:uid="{00000000-0005-0000-0000-000028020000}"/>
    <cellStyle name="Percent [1]_New MA Public Comps and WACC Model" xfId="546" xr:uid="{00000000-0005-0000-0000-000029020000}"/>
    <cellStyle name="Percent [2]" xfId="547" xr:uid="{00000000-0005-0000-0000-00002A020000}"/>
    <cellStyle name="Percent 2" xfId="897" xr:uid="{00000000-0005-0000-0000-00002B020000}"/>
    <cellStyle name="Percent Comma" xfId="548" xr:uid="{00000000-0005-0000-0000-00002C020000}"/>
    <cellStyle name="Percent1" xfId="549" xr:uid="{00000000-0005-0000-0000-00002D020000}"/>
    <cellStyle name="Percent10" xfId="550" xr:uid="{00000000-0005-0000-0000-00002E020000}"/>
    <cellStyle name="Percent100" xfId="551" xr:uid="{00000000-0005-0000-0000-00002F020000}"/>
    <cellStyle name="Percent101" xfId="552" xr:uid="{00000000-0005-0000-0000-000030020000}"/>
    <cellStyle name="Percent102" xfId="553" xr:uid="{00000000-0005-0000-0000-000031020000}"/>
    <cellStyle name="Percent103" xfId="554" xr:uid="{00000000-0005-0000-0000-000032020000}"/>
    <cellStyle name="Percent104" xfId="555" xr:uid="{00000000-0005-0000-0000-000033020000}"/>
    <cellStyle name="Percent105" xfId="556" xr:uid="{00000000-0005-0000-0000-000034020000}"/>
    <cellStyle name="Percent106" xfId="557" xr:uid="{00000000-0005-0000-0000-000035020000}"/>
    <cellStyle name="Percent107" xfId="558" xr:uid="{00000000-0005-0000-0000-000036020000}"/>
    <cellStyle name="Percent108" xfId="559" xr:uid="{00000000-0005-0000-0000-000037020000}"/>
    <cellStyle name="Percent109" xfId="560" xr:uid="{00000000-0005-0000-0000-000038020000}"/>
    <cellStyle name="Percent11" xfId="561" xr:uid="{00000000-0005-0000-0000-000039020000}"/>
    <cellStyle name="Percent110" xfId="562" xr:uid="{00000000-0005-0000-0000-00003A020000}"/>
    <cellStyle name="Percent111" xfId="563" xr:uid="{00000000-0005-0000-0000-00003B020000}"/>
    <cellStyle name="Percent112" xfId="564" xr:uid="{00000000-0005-0000-0000-00003C020000}"/>
    <cellStyle name="Percent113" xfId="565" xr:uid="{00000000-0005-0000-0000-00003D020000}"/>
    <cellStyle name="Percent114" xfId="566" xr:uid="{00000000-0005-0000-0000-00003E020000}"/>
    <cellStyle name="Percent115" xfId="567" xr:uid="{00000000-0005-0000-0000-00003F020000}"/>
    <cellStyle name="Percent116" xfId="568" xr:uid="{00000000-0005-0000-0000-000040020000}"/>
    <cellStyle name="Percent117" xfId="569" xr:uid="{00000000-0005-0000-0000-000041020000}"/>
    <cellStyle name="Percent118" xfId="570" xr:uid="{00000000-0005-0000-0000-000042020000}"/>
    <cellStyle name="Percent119" xfId="571" xr:uid="{00000000-0005-0000-0000-000043020000}"/>
    <cellStyle name="Percent12" xfId="572" xr:uid="{00000000-0005-0000-0000-000044020000}"/>
    <cellStyle name="Percent120" xfId="573" xr:uid="{00000000-0005-0000-0000-000045020000}"/>
    <cellStyle name="Percent121" xfId="574" xr:uid="{00000000-0005-0000-0000-000046020000}"/>
    <cellStyle name="Percent122" xfId="575" xr:uid="{00000000-0005-0000-0000-000047020000}"/>
    <cellStyle name="Percent123" xfId="576" xr:uid="{00000000-0005-0000-0000-000048020000}"/>
    <cellStyle name="Percent124" xfId="577" xr:uid="{00000000-0005-0000-0000-000049020000}"/>
    <cellStyle name="Percent125" xfId="578" xr:uid="{00000000-0005-0000-0000-00004A020000}"/>
    <cellStyle name="Percent126" xfId="579" xr:uid="{00000000-0005-0000-0000-00004B020000}"/>
    <cellStyle name="Percent127" xfId="580" xr:uid="{00000000-0005-0000-0000-00004C020000}"/>
    <cellStyle name="Percent128" xfId="581" xr:uid="{00000000-0005-0000-0000-00004D020000}"/>
    <cellStyle name="Percent129" xfId="582" xr:uid="{00000000-0005-0000-0000-00004E020000}"/>
    <cellStyle name="Percent13" xfId="583" xr:uid="{00000000-0005-0000-0000-00004F020000}"/>
    <cellStyle name="Percent130" xfId="584" xr:uid="{00000000-0005-0000-0000-000050020000}"/>
    <cellStyle name="Percent131" xfId="585" xr:uid="{00000000-0005-0000-0000-000051020000}"/>
    <cellStyle name="Percent132" xfId="586" xr:uid="{00000000-0005-0000-0000-000052020000}"/>
    <cellStyle name="Percent133" xfId="587" xr:uid="{00000000-0005-0000-0000-000053020000}"/>
    <cellStyle name="Percent134" xfId="588" xr:uid="{00000000-0005-0000-0000-000054020000}"/>
    <cellStyle name="Percent135" xfId="589" xr:uid="{00000000-0005-0000-0000-000055020000}"/>
    <cellStyle name="Percent136" xfId="590" xr:uid="{00000000-0005-0000-0000-000056020000}"/>
    <cellStyle name="Percent137" xfId="591" xr:uid="{00000000-0005-0000-0000-000057020000}"/>
    <cellStyle name="Percent138" xfId="592" xr:uid="{00000000-0005-0000-0000-000058020000}"/>
    <cellStyle name="Percent139" xfId="593" xr:uid="{00000000-0005-0000-0000-000059020000}"/>
    <cellStyle name="Percent14" xfId="594" xr:uid="{00000000-0005-0000-0000-00005A020000}"/>
    <cellStyle name="Percent140" xfId="595" xr:uid="{00000000-0005-0000-0000-00005B020000}"/>
    <cellStyle name="Percent141" xfId="596" xr:uid="{00000000-0005-0000-0000-00005C020000}"/>
    <cellStyle name="Percent142" xfId="597" xr:uid="{00000000-0005-0000-0000-00005D020000}"/>
    <cellStyle name="Percent143" xfId="598" xr:uid="{00000000-0005-0000-0000-00005E020000}"/>
    <cellStyle name="Percent144" xfId="599" xr:uid="{00000000-0005-0000-0000-00005F020000}"/>
    <cellStyle name="Percent145" xfId="600" xr:uid="{00000000-0005-0000-0000-000060020000}"/>
    <cellStyle name="Percent146" xfId="601" xr:uid="{00000000-0005-0000-0000-000061020000}"/>
    <cellStyle name="Percent147" xfId="602" xr:uid="{00000000-0005-0000-0000-000062020000}"/>
    <cellStyle name="Percent148" xfId="603" xr:uid="{00000000-0005-0000-0000-000063020000}"/>
    <cellStyle name="Percent149" xfId="604" xr:uid="{00000000-0005-0000-0000-000064020000}"/>
    <cellStyle name="Percent15" xfId="605" xr:uid="{00000000-0005-0000-0000-000065020000}"/>
    <cellStyle name="Percent150" xfId="606" xr:uid="{00000000-0005-0000-0000-000066020000}"/>
    <cellStyle name="Percent151" xfId="607" xr:uid="{00000000-0005-0000-0000-000067020000}"/>
    <cellStyle name="Percent152" xfId="608" xr:uid="{00000000-0005-0000-0000-000068020000}"/>
    <cellStyle name="Percent153" xfId="609" xr:uid="{00000000-0005-0000-0000-000069020000}"/>
    <cellStyle name="Percent154" xfId="610" xr:uid="{00000000-0005-0000-0000-00006A020000}"/>
    <cellStyle name="Percent155" xfId="611" xr:uid="{00000000-0005-0000-0000-00006B020000}"/>
    <cellStyle name="Percent156" xfId="612" xr:uid="{00000000-0005-0000-0000-00006C020000}"/>
    <cellStyle name="Percent157" xfId="613" xr:uid="{00000000-0005-0000-0000-00006D020000}"/>
    <cellStyle name="Percent158" xfId="614" xr:uid="{00000000-0005-0000-0000-00006E020000}"/>
    <cellStyle name="Percent159" xfId="615" xr:uid="{00000000-0005-0000-0000-00006F020000}"/>
    <cellStyle name="Percent16" xfId="616" xr:uid="{00000000-0005-0000-0000-000070020000}"/>
    <cellStyle name="Percent160" xfId="617" xr:uid="{00000000-0005-0000-0000-000071020000}"/>
    <cellStyle name="Percent161" xfId="618" xr:uid="{00000000-0005-0000-0000-000072020000}"/>
    <cellStyle name="Percent162" xfId="619" xr:uid="{00000000-0005-0000-0000-000073020000}"/>
    <cellStyle name="Percent163" xfId="620" xr:uid="{00000000-0005-0000-0000-000074020000}"/>
    <cellStyle name="Percent164" xfId="621" xr:uid="{00000000-0005-0000-0000-000075020000}"/>
    <cellStyle name="Percent165" xfId="622" xr:uid="{00000000-0005-0000-0000-000076020000}"/>
    <cellStyle name="Percent166" xfId="623" xr:uid="{00000000-0005-0000-0000-000077020000}"/>
    <cellStyle name="Percent167" xfId="624" xr:uid="{00000000-0005-0000-0000-000078020000}"/>
    <cellStyle name="Percent168" xfId="625" xr:uid="{00000000-0005-0000-0000-000079020000}"/>
    <cellStyle name="Percent169" xfId="626" xr:uid="{00000000-0005-0000-0000-00007A020000}"/>
    <cellStyle name="Percent17" xfId="627" xr:uid="{00000000-0005-0000-0000-00007B020000}"/>
    <cellStyle name="Percent170" xfId="628" xr:uid="{00000000-0005-0000-0000-00007C020000}"/>
    <cellStyle name="Percent171" xfId="629" xr:uid="{00000000-0005-0000-0000-00007D020000}"/>
    <cellStyle name="Percent172" xfId="630" xr:uid="{00000000-0005-0000-0000-00007E020000}"/>
    <cellStyle name="Percent173" xfId="631" xr:uid="{00000000-0005-0000-0000-00007F020000}"/>
    <cellStyle name="Percent174" xfId="632" xr:uid="{00000000-0005-0000-0000-000080020000}"/>
    <cellStyle name="Percent175" xfId="633" xr:uid="{00000000-0005-0000-0000-000081020000}"/>
    <cellStyle name="Percent176" xfId="634" xr:uid="{00000000-0005-0000-0000-000082020000}"/>
    <cellStyle name="Percent177" xfId="635" xr:uid="{00000000-0005-0000-0000-000083020000}"/>
    <cellStyle name="Percent178" xfId="636" xr:uid="{00000000-0005-0000-0000-000084020000}"/>
    <cellStyle name="Percent179" xfId="637" xr:uid="{00000000-0005-0000-0000-000085020000}"/>
    <cellStyle name="Percent18" xfId="638" xr:uid="{00000000-0005-0000-0000-000086020000}"/>
    <cellStyle name="Percent180" xfId="639" xr:uid="{00000000-0005-0000-0000-000087020000}"/>
    <cellStyle name="Percent181" xfId="640" xr:uid="{00000000-0005-0000-0000-000088020000}"/>
    <cellStyle name="Percent182" xfId="641" xr:uid="{00000000-0005-0000-0000-000089020000}"/>
    <cellStyle name="Percent183" xfId="642" xr:uid="{00000000-0005-0000-0000-00008A020000}"/>
    <cellStyle name="Percent184" xfId="643" xr:uid="{00000000-0005-0000-0000-00008B020000}"/>
    <cellStyle name="Percent185" xfId="644" xr:uid="{00000000-0005-0000-0000-00008C020000}"/>
    <cellStyle name="Percent186" xfId="645" xr:uid="{00000000-0005-0000-0000-00008D020000}"/>
    <cellStyle name="Percent187" xfId="646" xr:uid="{00000000-0005-0000-0000-00008E020000}"/>
    <cellStyle name="Percent188" xfId="647" xr:uid="{00000000-0005-0000-0000-00008F020000}"/>
    <cellStyle name="Percent189" xfId="648" xr:uid="{00000000-0005-0000-0000-000090020000}"/>
    <cellStyle name="Percent19" xfId="649" xr:uid="{00000000-0005-0000-0000-000091020000}"/>
    <cellStyle name="Percent190" xfId="650" xr:uid="{00000000-0005-0000-0000-000092020000}"/>
    <cellStyle name="Percent191" xfId="651" xr:uid="{00000000-0005-0000-0000-000093020000}"/>
    <cellStyle name="Percent192" xfId="652" xr:uid="{00000000-0005-0000-0000-000094020000}"/>
    <cellStyle name="Percent193" xfId="653" xr:uid="{00000000-0005-0000-0000-000095020000}"/>
    <cellStyle name="Percent194" xfId="654" xr:uid="{00000000-0005-0000-0000-000096020000}"/>
    <cellStyle name="Percent195" xfId="655" xr:uid="{00000000-0005-0000-0000-000097020000}"/>
    <cellStyle name="Percent196" xfId="656" xr:uid="{00000000-0005-0000-0000-000098020000}"/>
    <cellStyle name="Percent197" xfId="657" xr:uid="{00000000-0005-0000-0000-000099020000}"/>
    <cellStyle name="Percent198" xfId="658" xr:uid="{00000000-0005-0000-0000-00009A020000}"/>
    <cellStyle name="Percent199" xfId="659" xr:uid="{00000000-0005-0000-0000-00009B020000}"/>
    <cellStyle name="Percent1Bold" xfId="660" xr:uid="{00000000-0005-0000-0000-00009C020000}"/>
    <cellStyle name="Percent2" xfId="661" xr:uid="{00000000-0005-0000-0000-00009D020000}"/>
    <cellStyle name="Percent20" xfId="662" xr:uid="{00000000-0005-0000-0000-00009E020000}"/>
    <cellStyle name="Percent200" xfId="663" xr:uid="{00000000-0005-0000-0000-00009F020000}"/>
    <cellStyle name="Percent201" xfId="664" xr:uid="{00000000-0005-0000-0000-0000A0020000}"/>
    <cellStyle name="Percent202" xfId="665" xr:uid="{00000000-0005-0000-0000-0000A1020000}"/>
    <cellStyle name="Percent203" xfId="666" xr:uid="{00000000-0005-0000-0000-0000A2020000}"/>
    <cellStyle name="Percent204" xfId="667" xr:uid="{00000000-0005-0000-0000-0000A3020000}"/>
    <cellStyle name="Percent205" xfId="668" xr:uid="{00000000-0005-0000-0000-0000A4020000}"/>
    <cellStyle name="Percent206" xfId="669" xr:uid="{00000000-0005-0000-0000-0000A5020000}"/>
    <cellStyle name="Percent207" xfId="670" xr:uid="{00000000-0005-0000-0000-0000A6020000}"/>
    <cellStyle name="Percent208" xfId="671" xr:uid="{00000000-0005-0000-0000-0000A7020000}"/>
    <cellStyle name="Percent209" xfId="672" xr:uid="{00000000-0005-0000-0000-0000A8020000}"/>
    <cellStyle name="Percent21" xfId="673" xr:uid="{00000000-0005-0000-0000-0000A9020000}"/>
    <cellStyle name="Percent210" xfId="674" xr:uid="{00000000-0005-0000-0000-0000AA020000}"/>
    <cellStyle name="Percent211" xfId="675" xr:uid="{00000000-0005-0000-0000-0000AB020000}"/>
    <cellStyle name="Percent212" xfId="676" xr:uid="{00000000-0005-0000-0000-0000AC020000}"/>
    <cellStyle name="Percent213" xfId="677" xr:uid="{00000000-0005-0000-0000-0000AD020000}"/>
    <cellStyle name="Percent214" xfId="678" xr:uid="{00000000-0005-0000-0000-0000AE020000}"/>
    <cellStyle name="Percent215" xfId="679" xr:uid="{00000000-0005-0000-0000-0000AF020000}"/>
    <cellStyle name="Percent216" xfId="680" xr:uid="{00000000-0005-0000-0000-0000B0020000}"/>
    <cellStyle name="Percent217" xfId="681" xr:uid="{00000000-0005-0000-0000-0000B1020000}"/>
    <cellStyle name="Percent218" xfId="682" xr:uid="{00000000-0005-0000-0000-0000B2020000}"/>
    <cellStyle name="Percent219" xfId="683" xr:uid="{00000000-0005-0000-0000-0000B3020000}"/>
    <cellStyle name="Percent22" xfId="684" xr:uid="{00000000-0005-0000-0000-0000B4020000}"/>
    <cellStyle name="Percent220" xfId="685" xr:uid="{00000000-0005-0000-0000-0000B5020000}"/>
    <cellStyle name="Percent221" xfId="686" xr:uid="{00000000-0005-0000-0000-0000B6020000}"/>
    <cellStyle name="Percent222" xfId="687" xr:uid="{00000000-0005-0000-0000-0000B7020000}"/>
    <cellStyle name="Percent223" xfId="688" xr:uid="{00000000-0005-0000-0000-0000B8020000}"/>
    <cellStyle name="Percent224" xfId="689" xr:uid="{00000000-0005-0000-0000-0000B9020000}"/>
    <cellStyle name="Percent225" xfId="690" xr:uid="{00000000-0005-0000-0000-0000BA020000}"/>
    <cellStyle name="Percent226" xfId="691" xr:uid="{00000000-0005-0000-0000-0000BB020000}"/>
    <cellStyle name="Percent227" xfId="692" xr:uid="{00000000-0005-0000-0000-0000BC020000}"/>
    <cellStyle name="Percent228" xfId="693" xr:uid="{00000000-0005-0000-0000-0000BD020000}"/>
    <cellStyle name="Percent229" xfId="694" xr:uid="{00000000-0005-0000-0000-0000BE020000}"/>
    <cellStyle name="Percent23" xfId="695" xr:uid="{00000000-0005-0000-0000-0000BF020000}"/>
    <cellStyle name="Percent230" xfId="696" xr:uid="{00000000-0005-0000-0000-0000C0020000}"/>
    <cellStyle name="Percent231" xfId="697" xr:uid="{00000000-0005-0000-0000-0000C1020000}"/>
    <cellStyle name="Percent232" xfId="698" xr:uid="{00000000-0005-0000-0000-0000C2020000}"/>
    <cellStyle name="Percent233" xfId="699" xr:uid="{00000000-0005-0000-0000-0000C3020000}"/>
    <cellStyle name="Percent234" xfId="700" xr:uid="{00000000-0005-0000-0000-0000C4020000}"/>
    <cellStyle name="Percent235" xfId="701" xr:uid="{00000000-0005-0000-0000-0000C5020000}"/>
    <cellStyle name="Percent236" xfId="702" xr:uid="{00000000-0005-0000-0000-0000C6020000}"/>
    <cellStyle name="Percent24" xfId="703" xr:uid="{00000000-0005-0000-0000-0000C7020000}"/>
    <cellStyle name="Percent25" xfId="704" xr:uid="{00000000-0005-0000-0000-0000C8020000}"/>
    <cellStyle name="Percent26" xfId="705" xr:uid="{00000000-0005-0000-0000-0000C9020000}"/>
    <cellStyle name="Percent27" xfId="706" xr:uid="{00000000-0005-0000-0000-0000CA020000}"/>
    <cellStyle name="Percent28" xfId="707" xr:uid="{00000000-0005-0000-0000-0000CB020000}"/>
    <cellStyle name="Percent29" xfId="708" xr:uid="{00000000-0005-0000-0000-0000CC020000}"/>
    <cellStyle name="Percent3" xfId="709" xr:uid="{00000000-0005-0000-0000-0000CD020000}"/>
    <cellStyle name="Percent30" xfId="710" xr:uid="{00000000-0005-0000-0000-0000CE020000}"/>
    <cellStyle name="Percent31" xfId="711" xr:uid="{00000000-0005-0000-0000-0000CF020000}"/>
    <cellStyle name="Percent32" xfId="712" xr:uid="{00000000-0005-0000-0000-0000D0020000}"/>
    <cellStyle name="Percent33" xfId="713" xr:uid="{00000000-0005-0000-0000-0000D1020000}"/>
    <cellStyle name="Percent34" xfId="714" xr:uid="{00000000-0005-0000-0000-0000D2020000}"/>
    <cellStyle name="Percent35" xfId="715" xr:uid="{00000000-0005-0000-0000-0000D3020000}"/>
    <cellStyle name="Percent36" xfId="716" xr:uid="{00000000-0005-0000-0000-0000D4020000}"/>
    <cellStyle name="Percent37" xfId="717" xr:uid="{00000000-0005-0000-0000-0000D5020000}"/>
    <cellStyle name="Percent38" xfId="718" xr:uid="{00000000-0005-0000-0000-0000D6020000}"/>
    <cellStyle name="Percent39" xfId="719" xr:uid="{00000000-0005-0000-0000-0000D7020000}"/>
    <cellStyle name="Percent4" xfId="720" xr:uid="{00000000-0005-0000-0000-0000D8020000}"/>
    <cellStyle name="Percent40" xfId="721" xr:uid="{00000000-0005-0000-0000-0000D9020000}"/>
    <cellStyle name="Percent41" xfId="722" xr:uid="{00000000-0005-0000-0000-0000DA020000}"/>
    <cellStyle name="Percent42" xfId="723" xr:uid="{00000000-0005-0000-0000-0000DB020000}"/>
    <cellStyle name="Percent43" xfId="724" xr:uid="{00000000-0005-0000-0000-0000DC020000}"/>
    <cellStyle name="Percent44" xfId="725" xr:uid="{00000000-0005-0000-0000-0000DD020000}"/>
    <cellStyle name="Percent45" xfId="726" xr:uid="{00000000-0005-0000-0000-0000DE020000}"/>
    <cellStyle name="Percent46" xfId="727" xr:uid="{00000000-0005-0000-0000-0000DF020000}"/>
    <cellStyle name="Percent47" xfId="728" xr:uid="{00000000-0005-0000-0000-0000E0020000}"/>
    <cellStyle name="Percent48" xfId="729" xr:uid="{00000000-0005-0000-0000-0000E1020000}"/>
    <cellStyle name="Percent49" xfId="730" xr:uid="{00000000-0005-0000-0000-0000E2020000}"/>
    <cellStyle name="Percent5" xfId="731" xr:uid="{00000000-0005-0000-0000-0000E3020000}"/>
    <cellStyle name="Percent50" xfId="732" xr:uid="{00000000-0005-0000-0000-0000E4020000}"/>
    <cellStyle name="Percent51" xfId="733" xr:uid="{00000000-0005-0000-0000-0000E5020000}"/>
    <cellStyle name="Percent52" xfId="734" xr:uid="{00000000-0005-0000-0000-0000E6020000}"/>
    <cellStyle name="Percent53" xfId="735" xr:uid="{00000000-0005-0000-0000-0000E7020000}"/>
    <cellStyle name="Percent54" xfId="736" xr:uid="{00000000-0005-0000-0000-0000E8020000}"/>
    <cellStyle name="Percent55" xfId="737" xr:uid="{00000000-0005-0000-0000-0000E9020000}"/>
    <cellStyle name="Percent56" xfId="738" xr:uid="{00000000-0005-0000-0000-0000EA020000}"/>
    <cellStyle name="Percent57" xfId="739" xr:uid="{00000000-0005-0000-0000-0000EB020000}"/>
    <cellStyle name="Percent58" xfId="740" xr:uid="{00000000-0005-0000-0000-0000EC020000}"/>
    <cellStyle name="Percent59" xfId="741" xr:uid="{00000000-0005-0000-0000-0000ED020000}"/>
    <cellStyle name="Percent6" xfId="742" xr:uid="{00000000-0005-0000-0000-0000EE020000}"/>
    <cellStyle name="Percent60" xfId="743" xr:uid="{00000000-0005-0000-0000-0000EF020000}"/>
    <cellStyle name="Percent61" xfId="744" xr:uid="{00000000-0005-0000-0000-0000F0020000}"/>
    <cellStyle name="Percent62" xfId="745" xr:uid="{00000000-0005-0000-0000-0000F1020000}"/>
    <cellStyle name="Percent63" xfId="746" xr:uid="{00000000-0005-0000-0000-0000F2020000}"/>
    <cellStyle name="Percent64" xfId="747" xr:uid="{00000000-0005-0000-0000-0000F3020000}"/>
    <cellStyle name="Percent65" xfId="748" xr:uid="{00000000-0005-0000-0000-0000F4020000}"/>
    <cellStyle name="Percent66" xfId="749" xr:uid="{00000000-0005-0000-0000-0000F5020000}"/>
    <cellStyle name="Percent67" xfId="750" xr:uid="{00000000-0005-0000-0000-0000F6020000}"/>
    <cellStyle name="Percent68" xfId="751" xr:uid="{00000000-0005-0000-0000-0000F7020000}"/>
    <cellStyle name="Percent69" xfId="752" xr:uid="{00000000-0005-0000-0000-0000F8020000}"/>
    <cellStyle name="Percent7" xfId="753" xr:uid="{00000000-0005-0000-0000-0000F9020000}"/>
    <cellStyle name="Percent70" xfId="754" xr:uid="{00000000-0005-0000-0000-0000FA020000}"/>
    <cellStyle name="Percent71" xfId="755" xr:uid="{00000000-0005-0000-0000-0000FB020000}"/>
    <cellStyle name="Percent72" xfId="756" xr:uid="{00000000-0005-0000-0000-0000FC020000}"/>
    <cellStyle name="Percent73" xfId="757" xr:uid="{00000000-0005-0000-0000-0000FD020000}"/>
    <cellStyle name="Percent74" xfId="758" xr:uid="{00000000-0005-0000-0000-0000FE020000}"/>
    <cellStyle name="Percent75" xfId="759" xr:uid="{00000000-0005-0000-0000-0000FF020000}"/>
    <cellStyle name="Percent76" xfId="760" xr:uid="{00000000-0005-0000-0000-000000030000}"/>
    <cellStyle name="Percent77" xfId="761" xr:uid="{00000000-0005-0000-0000-000001030000}"/>
    <cellStyle name="Percent78" xfId="762" xr:uid="{00000000-0005-0000-0000-000002030000}"/>
    <cellStyle name="Percent79" xfId="763" xr:uid="{00000000-0005-0000-0000-000003030000}"/>
    <cellStyle name="Percent8" xfId="764" xr:uid="{00000000-0005-0000-0000-000004030000}"/>
    <cellStyle name="Percent80" xfId="765" xr:uid="{00000000-0005-0000-0000-000005030000}"/>
    <cellStyle name="Percent81" xfId="766" xr:uid="{00000000-0005-0000-0000-000006030000}"/>
    <cellStyle name="Percent82" xfId="767" xr:uid="{00000000-0005-0000-0000-000007030000}"/>
    <cellStyle name="Percent83" xfId="768" xr:uid="{00000000-0005-0000-0000-000008030000}"/>
    <cellStyle name="Percent84" xfId="769" xr:uid="{00000000-0005-0000-0000-000009030000}"/>
    <cellStyle name="Percent85" xfId="770" xr:uid="{00000000-0005-0000-0000-00000A030000}"/>
    <cellStyle name="Percent86" xfId="771" xr:uid="{00000000-0005-0000-0000-00000B030000}"/>
    <cellStyle name="Percent87" xfId="772" xr:uid="{00000000-0005-0000-0000-00000C030000}"/>
    <cellStyle name="Percent88" xfId="773" xr:uid="{00000000-0005-0000-0000-00000D030000}"/>
    <cellStyle name="Percent89" xfId="774" xr:uid="{00000000-0005-0000-0000-00000E030000}"/>
    <cellStyle name="Percent9" xfId="775" xr:uid="{00000000-0005-0000-0000-00000F030000}"/>
    <cellStyle name="Percent90" xfId="776" xr:uid="{00000000-0005-0000-0000-000010030000}"/>
    <cellStyle name="Percent91" xfId="777" xr:uid="{00000000-0005-0000-0000-000011030000}"/>
    <cellStyle name="Percent92" xfId="778" xr:uid="{00000000-0005-0000-0000-000012030000}"/>
    <cellStyle name="Percent93" xfId="779" xr:uid="{00000000-0005-0000-0000-000013030000}"/>
    <cellStyle name="Percent94" xfId="780" xr:uid="{00000000-0005-0000-0000-000014030000}"/>
    <cellStyle name="Percent95" xfId="781" xr:uid="{00000000-0005-0000-0000-000015030000}"/>
    <cellStyle name="Percent96" xfId="782" xr:uid="{00000000-0005-0000-0000-000016030000}"/>
    <cellStyle name="Percent97" xfId="783" xr:uid="{00000000-0005-0000-0000-000017030000}"/>
    <cellStyle name="Percent98" xfId="784" xr:uid="{00000000-0005-0000-0000-000018030000}"/>
    <cellStyle name="Percent99" xfId="785" xr:uid="{00000000-0005-0000-0000-000019030000}"/>
    <cellStyle name="Percentage" xfId="786" xr:uid="{00000000-0005-0000-0000-00001A030000}"/>
    <cellStyle name="PercentStyle" xfId="787" xr:uid="{00000000-0005-0000-0000-00001B030000}"/>
    <cellStyle name="PrePop Currency (0)" xfId="788" xr:uid="{00000000-0005-0000-0000-00001C030000}"/>
    <cellStyle name="PrePop Currency (2)" xfId="789" xr:uid="{00000000-0005-0000-0000-00001D030000}"/>
    <cellStyle name="PrePop Units (0)" xfId="790" xr:uid="{00000000-0005-0000-0000-00001E030000}"/>
    <cellStyle name="PrePop Units (1)" xfId="791" xr:uid="{00000000-0005-0000-0000-00001F030000}"/>
    <cellStyle name="PrePop Units (2)" xfId="792" xr:uid="{00000000-0005-0000-0000-000020030000}"/>
    <cellStyle name="Price" xfId="793" xr:uid="{00000000-0005-0000-0000-000021030000}"/>
    <cellStyle name="Product Header" xfId="794" xr:uid="{00000000-0005-0000-0000-000022030000}"/>
    <cellStyle name="PSChar" xfId="795" xr:uid="{00000000-0005-0000-0000-000023030000}"/>
    <cellStyle name="PSDate" xfId="796" xr:uid="{00000000-0005-0000-0000-000024030000}"/>
    <cellStyle name="PSDec" xfId="797" xr:uid="{00000000-0005-0000-0000-000025030000}"/>
    <cellStyle name="PSHeading" xfId="798" xr:uid="{00000000-0005-0000-0000-000026030000}"/>
    <cellStyle name="PSInt" xfId="799" xr:uid="{00000000-0005-0000-0000-000027030000}"/>
    <cellStyle name="PSSpacer" xfId="800" xr:uid="{00000000-0005-0000-0000-000028030000}"/>
    <cellStyle name="r" xfId="801" xr:uid="{00000000-0005-0000-0000-000029030000}"/>
    <cellStyle name="r_F&amp;W Servicing Model" xfId="802" xr:uid="{00000000-0005-0000-0000-00002A030000}"/>
    <cellStyle name="r_F&amp;W Servicing Model v2" xfId="803" xr:uid="{00000000-0005-0000-0000-00002B030000}"/>
    <cellStyle name="r_Yell Servicing Model" xfId="804" xr:uid="{00000000-0005-0000-0000-00002C030000}"/>
    <cellStyle name="rate" xfId="805" xr:uid="{00000000-0005-0000-0000-00002D030000}"/>
    <cellStyle name="Ratio" xfId="806" xr:uid="{00000000-0005-0000-0000-00002E030000}"/>
    <cellStyle name="Ratio Comma" xfId="807" xr:uid="{00000000-0005-0000-0000-00002F030000}"/>
    <cellStyle name="Ratio_Private" xfId="808" xr:uid="{00000000-0005-0000-0000-000030030000}"/>
    <cellStyle name="regstoresfromspecstores" xfId="809" xr:uid="{00000000-0005-0000-0000-000031030000}"/>
    <cellStyle name="RevList" xfId="810" xr:uid="{00000000-0005-0000-0000-000032030000}"/>
    <cellStyle name="Right" xfId="811" xr:uid="{00000000-0005-0000-0000-000033030000}"/>
    <cellStyle name="RightBold" xfId="812" xr:uid="{00000000-0005-0000-0000-000034030000}"/>
    <cellStyle name="RightBoldBottomRule" xfId="813" xr:uid="{00000000-0005-0000-0000-000035030000}"/>
    <cellStyle name="RightBoldCenterRule" xfId="814" xr:uid="{00000000-0005-0000-0000-000036030000}"/>
    <cellStyle name="Section" xfId="815" xr:uid="{00000000-0005-0000-0000-000037030000}"/>
    <cellStyle name="SectionHeaderNormal" xfId="816" xr:uid="{00000000-0005-0000-0000-000038030000}"/>
    <cellStyle name="SHADEDSTORES" xfId="817" xr:uid="{00000000-0005-0000-0000-000039030000}"/>
    <cellStyle name="Short $" xfId="818" xr:uid="{00000000-0005-0000-0000-00003A030000}"/>
    <cellStyle name="ShOut" xfId="819" xr:uid="{00000000-0005-0000-0000-00003B030000}"/>
    <cellStyle name="Simple" xfId="820" xr:uid="{00000000-0005-0000-0000-00003C030000}"/>
    <cellStyle name="SimpleBold" xfId="821" xr:uid="{00000000-0005-0000-0000-00003D030000}"/>
    <cellStyle name="Single Accounting" xfId="822" xr:uid="{00000000-0005-0000-0000-00003E030000}"/>
    <cellStyle name="specstores" xfId="823" xr:uid="{00000000-0005-0000-0000-00003F030000}"/>
    <cellStyle name="Stock Comma" xfId="824" xr:uid="{00000000-0005-0000-0000-000040030000}"/>
    <cellStyle name="Stock Price" xfId="825" xr:uid="{00000000-0005-0000-0000-000041030000}"/>
    <cellStyle name="Style 1" xfId="826" xr:uid="{00000000-0005-0000-0000-000042030000}"/>
    <cellStyle name="Style 21" xfId="827" xr:uid="{00000000-0005-0000-0000-000043030000}"/>
    <cellStyle name="Style 22" xfId="828" xr:uid="{00000000-0005-0000-0000-000044030000}"/>
    <cellStyle name="Style 23" xfId="829" xr:uid="{00000000-0005-0000-0000-000045030000}"/>
    <cellStyle name="Style 24" xfId="830" xr:uid="{00000000-0005-0000-0000-000046030000}"/>
    <cellStyle name="Style 25" xfId="831" xr:uid="{00000000-0005-0000-0000-000047030000}"/>
    <cellStyle name="Style 26" xfId="832" xr:uid="{00000000-0005-0000-0000-000048030000}"/>
    <cellStyle name="Style 27" xfId="833" xr:uid="{00000000-0005-0000-0000-000049030000}"/>
    <cellStyle name="Style 28" xfId="834" xr:uid="{00000000-0005-0000-0000-00004A030000}"/>
    <cellStyle name="Style 29" xfId="835" xr:uid="{00000000-0005-0000-0000-00004B030000}"/>
    <cellStyle name="Style 30" xfId="836" xr:uid="{00000000-0005-0000-0000-00004C030000}"/>
    <cellStyle name="Style 31" xfId="837" xr:uid="{00000000-0005-0000-0000-00004D030000}"/>
    <cellStyle name="Style 32" xfId="838" xr:uid="{00000000-0005-0000-0000-00004E030000}"/>
    <cellStyle name="Style 33" xfId="839" xr:uid="{00000000-0005-0000-0000-00004F030000}"/>
    <cellStyle name="Style 34" xfId="840" xr:uid="{00000000-0005-0000-0000-000050030000}"/>
    <cellStyle name="Style 35" xfId="841" xr:uid="{00000000-0005-0000-0000-000051030000}"/>
    <cellStyle name="Style 36" xfId="842" xr:uid="{00000000-0005-0000-0000-000052030000}"/>
    <cellStyle name="Style 37" xfId="843" xr:uid="{00000000-0005-0000-0000-000053030000}"/>
    <cellStyle name="Style 38" xfId="844" xr:uid="{00000000-0005-0000-0000-000054030000}"/>
    <cellStyle name="Style 39" xfId="845" xr:uid="{00000000-0005-0000-0000-000055030000}"/>
    <cellStyle name="Style 40" xfId="846" xr:uid="{00000000-0005-0000-0000-000056030000}"/>
    <cellStyle name="Style 41" xfId="847" xr:uid="{00000000-0005-0000-0000-000057030000}"/>
    <cellStyle name="Style 42" xfId="848" xr:uid="{00000000-0005-0000-0000-000058030000}"/>
    <cellStyle name="Style 43" xfId="849" xr:uid="{00000000-0005-0000-0000-000059030000}"/>
    <cellStyle name="Style 44" xfId="850" xr:uid="{00000000-0005-0000-0000-00005A030000}"/>
    <cellStyle name="Style 45" xfId="851" xr:uid="{00000000-0005-0000-0000-00005B030000}"/>
    <cellStyle name="Style 46" xfId="852" xr:uid="{00000000-0005-0000-0000-00005C030000}"/>
    <cellStyle name="Style 47" xfId="853" xr:uid="{00000000-0005-0000-0000-00005D030000}"/>
    <cellStyle name="Style 48" xfId="854" xr:uid="{00000000-0005-0000-0000-00005E030000}"/>
    <cellStyle name="STYLE1" xfId="855" xr:uid="{00000000-0005-0000-0000-00005F030000}"/>
    <cellStyle name="SubScript" xfId="856" xr:uid="{00000000-0005-0000-0000-000060030000}"/>
    <cellStyle name="Subtotal" xfId="857" xr:uid="{00000000-0005-0000-0000-000061030000}"/>
    <cellStyle name="Sum" xfId="858" xr:uid="{00000000-0005-0000-0000-000062030000}"/>
    <cellStyle name="SuperScript" xfId="859" xr:uid="{00000000-0005-0000-0000-000063030000}"/>
    <cellStyle name="Table_Title" xfId="860" xr:uid="{00000000-0005-0000-0000-000064030000}"/>
    <cellStyle name="Test" xfId="861" xr:uid="{00000000-0005-0000-0000-000065030000}"/>
    <cellStyle name="Text Indent A" xfId="862" xr:uid="{00000000-0005-0000-0000-000066030000}"/>
    <cellStyle name="Text Indent B" xfId="863" xr:uid="{00000000-0005-0000-0000-000067030000}"/>
    <cellStyle name="Text Indent C" xfId="864" xr:uid="{00000000-0005-0000-0000-000068030000}"/>
    <cellStyle name="TextBold" xfId="865" xr:uid="{00000000-0005-0000-0000-000069030000}"/>
    <cellStyle name="TextItalic" xfId="866" xr:uid="{00000000-0005-0000-0000-00006A030000}"/>
    <cellStyle name="TextNormal" xfId="867" xr:uid="{00000000-0005-0000-0000-00006B030000}"/>
    <cellStyle name="Time" xfId="868" xr:uid="{00000000-0005-0000-0000-00006C030000}"/>
    <cellStyle name="Times 10" xfId="869" xr:uid="{00000000-0005-0000-0000-00006D030000}"/>
    <cellStyle name="Times 12" xfId="870" xr:uid="{00000000-0005-0000-0000-00006E030000}"/>
    <cellStyle name="Title - PROJECT" xfId="871" xr:uid="{00000000-0005-0000-0000-00006F030000}"/>
    <cellStyle name="Title - Underline" xfId="872" xr:uid="{00000000-0005-0000-0000-000070030000}"/>
    <cellStyle name="Title1" xfId="873" xr:uid="{00000000-0005-0000-0000-000071030000}"/>
    <cellStyle name="Title2" xfId="874" xr:uid="{00000000-0005-0000-0000-000072030000}"/>
    <cellStyle name="TitleNormal" xfId="875" xr:uid="{00000000-0005-0000-0000-000073030000}"/>
    <cellStyle name="Titles - Col. Headings" xfId="876" xr:uid="{00000000-0005-0000-0000-000074030000}"/>
    <cellStyle name="Titles - Other" xfId="877" xr:uid="{00000000-0005-0000-0000-000075030000}"/>
    <cellStyle name="Top Edge" xfId="878" xr:uid="{00000000-0005-0000-0000-000076030000}"/>
    <cellStyle name="Total" xfId="879" builtinId="25" customBuiltin="1"/>
    <cellStyle name="ubordinated Debt" xfId="880" xr:uid="{00000000-0005-0000-0000-000078030000}"/>
    <cellStyle name="wheat merger's and acquisitions" xfId="881" xr:uid="{00000000-0005-0000-0000-000079030000}"/>
    <cellStyle name="x" xfId="882" xr:uid="{00000000-0005-0000-0000-00007A030000}"/>
    <cellStyle name="x_TSA Model - 1 8 06 - v2" xfId="883" xr:uid="{00000000-0005-0000-0000-00007B030000}"/>
    <cellStyle name="Y2K Compliant Date Fmt" xfId="884" xr:uid="{00000000-0005-0000-0000-00007C030000}"/>
    <cellStyle name="Years" xfId="885" xr:uid="{00000000-0005-0000-0000-00007D030000}"/>
    <cellStyle name="yellow" xfId="886" xr:uid="{00000000-0005-0000-0000-00007E030000}"/>
    <cellStyle name="Yen" xfId="887" xr:uid="{00000000-0005-0000-0000-00007F030000}"/>
    <cellStyle name="YYYY" xfId="888" xr:uid="{00000000-0005-0000-0000-000080030000}"/>
    <cellStyle name="常规 3" xfId="903" xr:uid="{2904DBBE-44AF-42B8-9D0A-928D20A9EEA5}"/>
    <cellStyle name="桁区切り [0.00]_Appendix" xfId="889" xr:uid="{00000000-0005-0000-0000-000081030000}"/>
    <cellStyle name="桁区切り_Appendix" xfId="890" xr:uid="{00000000-0005-0000-0000-000082030000}"/>
    <cellStyle name="標準_Appendix" xfId="891" xr:uid="{00000000-0005-0000-0000-000083030000}"/>
    <cellStyle name="通貨 [0.00]_Appendix" xfId="892" xr:uid="{00000000-0005-0000-0000-000084030000}"/>
    <cellStyle name="通貨_Appendix" xfId="893" xr:uid="{00000000-0005-0000-0000-00008503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33.242\UEMuserdata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0"/>
  <sheetViews>
    <sheetView zoomScale="69" zoomScaleNormal="85" workbookViewId="0">
      <selection activeCell="C2" sqref="C2"/>
    </sheetView>
  </sheetViews>
  <sheetFormatPr defaultColWidth="9.140625" defaultRowHeight="14.45"/>
  <cols>
    <col min="1" max="1" width="9.5703125" style="1" bestFit="1" customWidth="1"/>
    <col min="2" max="2" width="47.5703125" style="1" customWidth="1"/>
    <col min="3" max="3" width="12.5703125" style="1" customWidth="1"/>
    <col min="4" max="4" width="10.85546875" style="1" bestFit="1" customWidth="1"/>
    <col min="5" max="5" width="12" style="1" customWidth="1"/>
    <col min="6" max="6" width="11.140625" style="1" customWidth="1"/>
    <col min="7" max="7" width="9.140625" style="1"/>
    <col min="8" max="8" width="51.7109375" style="1" customWidth="1"/>
    <col min="9" max="9" width="11.28515625" style="1" bestFit="1" customWidth="1"/>
    <col min="10" max="12" width="9.140625" style="1"/>
    <col min="13" max="13" width="10" style="1" bestFit="1" customWidth="1"/>
    <col min="14" max="16384" width="9.140625" style="1"/>
  </cols>
  <sheetData>
    <row r="1" spans="1:9">
      <c r="A1" s="176" t="s">
        <v>0</v>
      </c>
    </row>
    <row r="3" spans="1:9">
      <c r="H3" s="7" t="s">
        <v>1</v>
      </c>
      <c r="I3" s="181">
        <f>Model!AG$198</f>
        <v>0.1396</v>
      </c>
    </row>
    <row r="4" spans="1:9">
      <c r="H4" s="7" t="s">
        <v>2</v>
      </c>
      <c r="I4" s="181">
        <f>Model!AG$199</f>
        <v>0.13889971500227999</v>
      </c>
    </row>
    <row r="5" spans="1:9" ht="15" thickBot="1">
      <c r="B5" s="25" t="s">
        <v>3</v>
      </c>
      <c r="C5" s="136" t="s">
        <v>4</v>
      </c>
      <c r="D5" s="24" t="s">
        <v>5</v>
      </c>
      <c r="E5" s="136" t="s">
        <v>6</v>
      </c>
      <c r="F5" s="24" t="s">
        <v>5</v>
      </c>
    </row>
    <row r="6" spans="1:9" ht="15" thickBot="1">
      <c r="B6" s="22" t="s">
        <v>7</v>
      </c>
      <c r="C6" s="21">
        <v>202966</v>
      </c>
      <c r="E6" s="178">
        <f>C6*$I3</f>
        <v>28334.053599999999</v>
      </c>
      <c r="H6" s="210" t="s">
        <v>8</v>
      </c>
      <c r="I6" s="207" t="s">
        <v>4</v>
      </c>
    </row>
    <row r="7" spans="1:9">
      <c r="B7" s="22" t="s">
        <v>9</v>
      </c>
      <c r="C7" s="21">
        <v>119338</v>
      </c>
      <c r="E7" s="178">
        <f>C7*$I3</f>
        <v>16659.584800000001</v>
      </c>
      <c r="H7" s="208" t="str">
        <f>B13</f>
        <v>Cash and Cash Equivalents</v>
      </c>
      <c r="I7" s="187">
        <f>C13</f>
        <v>182057</v>
      </c>
    </row>
    <row r="8" spans="1:9">
      <c r="B8" s="22" t="s">
        <v>10</v>
      </c>
      <c r="C8" s="21">
        <v>13328</v>
      </c>
      <c r="E8" s="178">
        <f>C8*$I3</f>
        <v>1860.5888</v>
      </c>
      <c r="H8" s="208" t="s">
        <v>11</v>
      </c>
      <c r="I8" s="171">
        <v>169423</v>
      </c>
    </row>
    <row r="9" spans="1:9">
      <c r="B9" s="22" t="s">
        <v>12</v>
      </c>
      <c r="C9" s="21">
        <v>58631</v>
      </c>
      <c r="E9" s="178">
        <f>C9*$I3</f>
        <v>8184.8876</v>
      </c>
      <c r="H9" s="208" t="s">
        <v>13</v>
      </c>
      <c r="I9" s="171">
        <v>18235</v>
      </c>
    </row>
    <row r="10" spans="1:9">
      <c r="B10" s="22" t="s">
        <v>14</v>
      </c>
      <c r="C10" s="21">
        <v>12880</v>
      </c>
      <c r="E10" s="178">
        <f>C10*$I3</f>
        <v>1798.048</v>
      </c>
      <c r="H10" s="208" t="s">
        <v>15</v>
      </c>
      <c r="I10" s="171">
        <v>6604</v>
      </c>
    </row>
    <row r="11" spans="1:9">
      <c r="B11" s="22" t="s">
        <v>16</v>
      </c>
      <c r="C11" s="21">
        <v>5343</v>
      </c>
      <c r="E11" s="178">
        <f>C11*$I3</f>
        <v>745.88279999999997</v>
      </c>
      <c r="H11" s="209" t="s">
        <v>17</v>
      </c>
      <c r="I11" s="171">
        <v>4125</v>
      </c>
    </row>
    <row r="12" spans="1:9" ht="15" thickBot="1">
      <c r="B12" s="18" t="s">
        <v>18</v>
      </c>
      <c r="C12" s="189">
        <f>SUM(C6:C11)</f>
        <v>412486</v>
      </c>
      <c r="D12" s="190">
        <f>C12/C18</f>
        <v>1.3483636030805841</v>
      </c>
      <c r="E12" s="189">
        <f>SUM(E6:E11)</f>
        <v>57583.045599999998</v>
      </c>
      <c r="F12" s="190">
        <f>E12/E18</f>
        <v>1.3551615925702929</v>
      </c>
      <c r="H12" s="206" t="s">
        <v>19</v>
      </c>
      <c r="I12" s="188">
        <f>SUM(I7:I11)</f>
        <v>380444</v>
      </c>
    </row>
    <row r="13" spans="1:9">
      <c r="B13" s="12" t="s">
        <v>20</v>
      </c>
      <c r="C13" s="215">
        <f>Model!AG$113</f>
        <v>182057</v>
      </c>
      <c r="E13" s="178">
        <f>C13*$I3</f>
        <v>25415.157200000001</v>
      </c>
    </row>
    <row r="14" spans="1:9">
      <c r="B14" s="78" t="s">
        <v>21</v>
      </c>
      <c r="C14" s="215">
        <f>Model!AG$114</f>
        <v>191783</v>
      </c>
      <c r="E14" s="178">
        <f>C14*$I3</f>
        <v>26772.906800000001</v>
      </c>
    </row>
    <row r="15" spans="1:9">
      <c r="B15" s="18" t="s">
        <v>22</v>
      </c>
      <c r="C15" s="191">
        <f>C12-C13-C14</f>
        <v>38646</v>
      </c>
      <c r="D15" s="190">
        <f>C15/C18</f>
        <v>0.12632879614011688</v>
      </c>
      <c r="E15" s="191">
        <f>E12-E13-E14</f>
        <v>5394.9815999999955</v>
      </c>
      <c r="F15" s="190">
        <f>E15/E18</f>
        <v>0.12696570285166403</v>
      </c>
    </row>
    <row r="16" spans="1:9">
      <c r="B16" s="7" t="s">
        <v>23</v>
      </c>
      <c r="C16" s="180">
        <f>Model!AG$118</f>
        <v>1202849</v>
      </c>
      <c r="E16" s="183">
        <f>C16*$I3</f>
        <v>167917.72039999999</v>
      </c>
    </row>
    <row r="17" spans="2:5">
      <c r="B17" s="7" t="s">
        <v>24</v>
      </c>
      <c r="C17" s="179">
        <f>C15+C16</f>
        <v>1241495</v>
      </c>
      <c r="E17" s="179">
        <f>E15+E16</f>
        <v>173312.70199999999</v>
      </c>
    </row>
    <row r="18" spans="2:5">
      <c r="B18" s="12" t="s">
        <v>25</v>
      </c>
      <c r="C18" s="216">
        <f>Model!AG$80</f>
        <v>305916</v>
      </c>
      <c r="E18" s="182">
        <f>C18*I4</f>
        <v>42491.645214637487</v>
      </c>
    </row>
    <row r="19" spans="2:5">
      <c r="B19" s="11" t="s">
        <v>26</v>
      </c>
      <c r="C19" s="10">
        <f>+C12-Model!AG$112</f>
        <v>0</v>
      </c>
    </row>
    <row r="22" spans="2:5" ht="15" thickBot="1"/>
    <row r="23" spans="2:5">
      <c r="B23" s="5" t="s">
        <v>27</v>
      </c>
      <c r="C23" s="185" t="s">
        <v>4</v>
      </c>
      <c r="D23" s="8" t="s">
        <v>6</v>
      </c>
    </row>
    <row r="24" spans="2:5">
      <c r="B24" s="137" t="s">
        <v>20</v>
      </c>
      <c r="C24" s="186">
        <f>C13</f>
        <v>182057</v>
      </c>
      <c r="D24" s="187">
        <f>C24*I3</f>
        <v>25415.157200000001</v>
      </c>
    </row>
    <row r="25" spans="2:5">
      <c r="B25" s="137" t="s">
        <v>21</v>
      </c>
      <c r="C25" s="186">
        <f>C14</f>
        <v>191783</v>
      </c>
      <c r="D25" s="187">
        <f>C25*I3</f>
        <v>26772.906800000001</v>
      </c>
    </row>
    <row r="26" spans="2:5" ht="15" thickBot="1">
      <c r="B26" s="3" t="s">
        <v>28</v>
      </c>
      <c r="C26" s="192">
        <f>SUM(C24:C25)</f>
        <v>373840</v>
      </c>
      <c r="D26" s="193">
        <f>SUM(D24:D25)</f>
        <v>52188.063999999998</v>
      </c>
    </row>
    <row r="27" spans="2:5" ht="15" thickBot="1"/>
    <row r="28" spans="2:5" ht="15" thickBot="1">
      <c r="B28" s="201" t="s">
        <v>29</v>
      </c>
      <c r="C28" s="200" t="s">
        <v>4</v>
      </c>
      <c r="D28" s="203" t="s">
        <v>6</v>
      </c>
    </row>
    <row r="29" spans="2:5">
      <c r="B29" s="217">
        <v>2025</v>
      </c>
      <c r="C29" s="205">
        <v>56846.22</v>
      </c>
      <c r="D29" s="211">
        <f>C29*I3</f>
        <v>7935.7323120000001</v>
      </c>
    </row>
    <row r="30" spans="2:5">
      <c r="B30" s="217">
        <v>2026</v>
      </c>
      <c r="C30" s="205">
        <v>71132.070000000007</v>
      </c>
      <c r="D30" s="211">
        <f>C30*I3</f>
        <v>9930.0369720000017</v>
      </c>
    </row>
    <row r="31" spans="2:5">
      <c r="B31" s="217">
        <f>B30+1</f>
        <v>2027</v>
      </c>
      <c r="C31" s="205">
        <v>897.04</v>
      </c>
      <c r="D31" s="211">
        <f>C31*I3</f>
        <v>125.22678399999999</v>
      </c>
    </row>
    <row r="32" spans="2:5" ht="15" thickBot="1">
      <c r="B32" s="212" t="s">
        <v>30</v>
      </c>
      <c r="C32" s="205">
        <f>249621.23-SUM(C29:C31)</f>
        <v>120745.90000000001</v>
      </c>
      <c r="D32" s="211">
        <f>C32*I3</f>
        <v>16856.127640000002</v>
      </c>
    </row>
    <row r="33" spans="1:9" ht="15" thickBot="1">
      <c r="B33" s="202" t="s">
        <v>19</v>
      </c>
      <c r="C33" s="199">
        <f>SUM(C29:C32)</f>
        <v>249621.23</v>
      </c>
      <c r="D33" s="204">
        <f>SUM(D29:D32)</f>
        <v>34847.123707999999</v>
      </c>
    </row>
    <row r="34" spans="1:9">
      <c r="B34" s="176"/>
      <c r="C34" s="6"/>
      <c r="D34" s="6"/>
    </row>
    <row r="36" spans="1:9">
      <c r="A36" s="176" t="s">
        <v>31</v>
      </c>
    </row>
    <row r="38" spans="1:9">
      <c r="H38" s="7" t="s">
        <v>32</v>
      </c>
      <c r="I38" s="181">
        <f>Model!AF$198</f>
        <v>0.13750000000000001</v>
      </c>
    </row>
    <row r="39" spans="1:9">
      <c r="H39" s="7" t="s">
        <v>33</v>
      </c>
      <c r="I39" s="181">
        <f>Model!AF$199</f>
        <v>0.13878721500227997</v>
      </c>
    </row>
    <row r="40" spans="1:9" ht="15" thickBot="1">
      <c r="B40" s="25" t="s">
        <v>34</v>
      </c>
      <c r="C40" s="136" t="s">
        <v>4</v>
      </c>
      <c r="D40" s="24" t="s">
        <v>5</v>
      </c>
      <c r="E40" s="136" t="s">
        <v>6</v>
      </c>
      <c r="F40" s="24" t="s">
        <v>5</v>
      </c>
    </row>
    <row r="41" spans="1:9" ht="15" thickBot="1">
      <c r="B41" s="22" t="s">
        <v>7</v>
      </c>
      <c r="C41" s="21">
        <v>209079</v>
      </c>
      <c r="E41" s="178">
        <f>C41*$I38</f>
        <v>28748.362500000003</v>
      </c>
      <c r="H41" s="210" t="s">
        <v>35</v>
      </c>
      <c r="I41" s="207" t="s">
        <v>4</v>
      </c>
    </row>
    <row r="42" spans="1:9">
      <c r="B42" s="22" t="s">
        <v>9</v>
      </c>
      <c r="C42" s="21">
        <v>123240</v>
      </c>
      <c r="E42" s="178">
        <f>C42*$I38</f>
        <v>16945.5</v>
      </c>
      <c r="H42" s="208" t="str">
        <f>B48</f>
        <v>Cash and Cash Equivalents</v>
      </c>
      <c r="I42" s="187">
        <f>C48</f>
        <v>205253</v>
      </c>
    </row>
    <row r="43" spans="1:9">
      <c r="B43" s="22" t="s">
        <v>10</v>
      </c>
      <c r="C43" s="21">
        <v>13405</v>
      </c>
      <c r="E43" s="178">
        <f>C43*$I38</f>
        <v>1843.1875000000002</v>
      </c>
      <c r="H43" s="208" t="s">
        <v>11</v>
      </c>
      <c r="I43" s="171">
        <v>132549</v>
      </c>
    </row>
    <row r="44" spans="1:9">
      <c r="B44" s="22" t="s">
        <v>12</v>
      </c>
      <c r="C44" s="21">
        <v>44151</v>
      </c>
      <c r="E44" s="178">
        <f>C44*$I38</f>
        <v>6070.7625000000007</v>
      </c>
      <c r="H44" s="208" t="s">
        <v>13</v>
      </c>
      <c r="I44" s="171">
        <v>30212</v>
      </c>
    </row>
    <row r="45" spans="1:9">
      <c r="B45" s="22" t="s">
        <v>14</v>
      </c>
      <c r="C45" s="21">
        <v>9326</v>
      </c>
      <c r="E45" s="178">
        <f>C45*$I38</f>
        <v>1282.325</v>
      </c>
      <c r="H45" s="208" t="s">
        <v>15</v>
      </c>
      <c r="I45" s="171">
        <v>5444</v>
      </c>
    </row>
    <row r="46" spans="1:9">
      <c r="B46" s="22" t="s">
        <v>16</v>
      </c>
      <c r="C46" s="21">
        <v>5442</v>
      </c>
      <c r="E46" s="178">
        <f>C46*$I38</f>
        <v>748.27500000000009</v>
      </c>
      <c r="H46" s="209" t="s">
        <v>17</v>
      </c>
      <c r="I46" s="171">
        <v>4480</v>
      </c>
    </row>
    <row r="47" spans="1:9" ht="15" thickBot="1">
      <c r="B47" s="18" t="s">
        <v>18</v>
      </c>
      <c r="C47" s="189">
        <f>SUM(C41:C46)</f>
        <v>404643</v>
      </c>
      <c r="D47" s="190">
        <f>C47/C53</f>
        <v>1.3986388397301184</v>
      </c>
      <c r="E47" s="189">
        <f>SUM(E41:E46)</f>
        <v>55638.412499999999</v>
      </c>
      <c r="F47" s="190">
        <f>E47/E53</f>
        <v>1.3856668314853928</v>
      </c>
      <c r="H47" s="206" t="s">
        <v>19</v>
      </c>
      <c r="I47" s="188">
        <f>SUM(I42:I46)</f>
        <v>377938</v>
      </c>
    </row>
    <row r="48" spans="1:9">
      <c r="B48" s="12" t="s">
        <v>20</v>
      </c>
      <c r="C48" s="215">
        <f>Model!AF$113</f>
        <v>205253</v>
      </c>
      <c r="E48" s="178">
        <f>C48*$I38</f>
        <v>28222.287500000002</v>
      </c>
    </row>
    <row r="49" spans="2:6">
      <c r="B49" s="78" t="s">
        <v>21</v>
      </c>
      <c r="C49" s="215">
        <f>Model!AF$114</f>
        <v>172685</v>
      </c>
      <c r="E49" s="178">
        <f>C49*$I38</f>
        <v>23744.187500000004</v>
      </c>
    </row>
    <row r="50" spans="2:6">
      <c r="B50" s="18" t="s">
        <v>22</v>
      </c>
      <c r="C50" s="191">
        <f>C47-C48-C49</f>
        <v>26705</v>
      </c>
      <c r="D50" s="190">
        <f>C50/C53</f>
        <v>9.2305193009622824E-2</v>
      </c>
      <c r="E50" s="191">
        <f>E47-E48-E49</f>
        <v>3671.9374999999927</v>
      </c>
      <c r="F50" s="190">
        <f>E50/E53</f>
        <v>9.1449086564743098E-2</v>
      </c>
    </row>
    <row r="51" spans="2:6">
      <c r="B51" s="7" t="s">
        <v>23</v>
      </c>
      <c r="C51" s="180">
        <f>Model!AF$118</f>
        <v>1122938</v>
      </c>
      <c r="E51" s="183">
        <f>C51*$I38</f>
        <v>154403.97500000001</v>
      </c>
    </row>
    <row r="52" spans="2:6">
      <c r="B52" s="7" t="s">
        <v>24</v>
      </c>
      <c r="C52" s="179">
        <f>C50+C51</f>
        <v>1149643</v>
      </c>
      <c r="E52" s="179">
        <f>E50+E51</f>
        <v>158075.91250000001</v>
      </c>
    </row>
    <row r="53" spans="2:6">
      <c r="B53" s="12" t="s">
        <v>25</v>
      </c>
      <c r="C53" s="216">
        <f>Model!AF$80</f>
        <v>289312</v>
      </c>
      <c r="E53" s="182">
        <f>C53*I39</f>
        <v>40152.806746739625</v>
      </c>
    </row>
    <row r="54" spans="2:6">
      <c r="B54" s="11" t="s">
        <v>26</v>
      </c>
      <c r="C54" s="10">
        <f>+C47-Model!AF$112</f>
        <v>0</v>
      </c>
    </row>
    <row r="57" spans="2:6" ht="15" thickBot="1"/>
    <row r="58" spans="2:6">
      <c r="B58" s="5" t="s">
        <v>36</v>
      </c>
      <c r="C58" s="185" t="s">
        <v>4</v>
      </c>
      <c r="D58" s="8" t="s">
        <v>6</v>
      </c>
    </row>
    <row r="59" spans="2:6">
      <c r="B59" s="137" t="s">
        <v>20</v>
      </c>
      <c r="C59" s="186">
        <f>C48</f>
        <v>205253</v>
      </c>
      <c r="D59" s="187">
        <f>C59*I38</f>
        <v>28222.287500000002</v>
      </c>
    </row>
    <row r="60" spans="2:6">
      <c r="B60" s="137" t="s">
        <v>21</v>
      </c>
      <c r="C60" s="186">
        <f>C49</f>
        <v>172685</v>
      </c>
      <c r="D60" s="187">
        <f>C60*I38</f>
        <v>23744.187500000004</v>
      </c>
    </row>
    <row r="61" spans="2:6" ht="15" thickBot="1">
      <c r="B61" s="3" t="s">
        <v>28</v>
      </c>
      <c r="C61" s="192">
        <f>SUM(C59:C60)</f>
        <v>377938</v>
      </c>
      <c r="D61" s="193">
        <f>SUM(D59:D60)</f>
        <v>51966.475000000006</v>
      </c>
    </row>
    <row r="62" spans="2:6" ht="15" thickBot="1"/>
    <row r="63" spans="2:6" ht="15" thickBot="1">
      <c r="B63" s="201" t="s">
        <v>37</v>
      </c>
      <c r="C63" s="200" t="s">
        <v>4</v>
      </c>
      <c r="D63" s="203" t="s">
        <v>6</v>
      </c>
    </row>
    <row r="64" spans="2:6">
      <c r="B64" s="217">
        <v>2025</v>
      </c>
      <c r="C64" s="205">
        <v>56621.84</v>
      </c>
      <c r="D64" s="211">
        <f>C64*I38</f>
        <v>7785.5029999999997</v>
      </c>
    </row>
    <row r="65" spans="1:9">
      <c r="B65" s="217">
        <v>2026</v>
      </c>
      <c r="C65" s="205">
        <v>71180.63</v>
      </c>
      <c r="D65" s="211">
        <f>C65*I38</f>
        <v>9787.3366250000017</v>
      </c>
    </row>
    <row r="66" spans="1:9">
      <c r="B66" s="217">
        <f>B65+1</f>
        <v>2027</v>
      </c>
      <c r="C66" s="205">
        <v>197.97</v>
      </c>
      <c r="D66" s="211">
        <f>C66*I38</f>
        <v>27.220875000000003</v>
      </c>
    </row>
    <row r="67" spans="1:9" ht="15" thickBot="1">
      <c r="B67" s="212" t="s">
        <v>30</v>
      </c>
      <c r="C67" s="205">
        <f>248971.16-SUM(C64:C66)</f>
        <v>120970.72</v>
      </c>
      <c r="D67" s="211">
        <f>C67*I38</f>
        <v>16633.474000000002</v>
      </c>
    </row>
    <row r="68" spans="1:9" ht="15" thickBot="1">
      <c r="B68" s="202" t="s">
        <v>19</v>
      </c>
      <c r="C68" s="199">
        <f>SUM(C64:C67)</f>
        <v>248971.16</v>
      </c>
      <c r="D68" s="204">
        <f>SUM(D64:D67)</f>
        <v>34233.534500000002</v>
      </c>
    </row>
    <row r="69" spans="1:9">
      <c r="B69" s="176"/>
      <c r="C69" s="6"/>
      <c r="D69" s="6"/>
    </row>
    <row r="71" spans="1:9">
      <c r="A71" s="176" t="s">
        <v>38</v>
      </c>
    </row>
    <row r="73" spans="1:9">
      <c r="H73" s="7" t="s">
        <v>39</v>
      </c>
      <c r="I73" s="181">
        <f>Model!AD$198</f>
        <v>0.14249886000911993</v>
      </c>
    </row>
    <row r="74" spans="1:9">
      <c r="H74" s="7" t="s">
        <v>40</v>
      </c>
      <c r="I74" s="181">
        <f>Model!AD$199</f>
        <v>0.13911235750113998</v>
      </c>
    </row>
    <row r="75" spans="1:9" ht="15" thickBot="1">
      <c r="B75" s="25" t="s">
        <v>41</v>
      </c>
      <c r="C75" s="136" t="s">
        <v>4</v>
      </c>
      <c r="D75" s="24" t="s">
        <v>5</v>
      </c>
      <c r="E75" s="136" t="s">
        <v>6</v>
      </c>
      <c r="F75" s="24" t="s">
        <v>5</v>
      </c>
    </row>
    <row r="76" spans="1:9" ht="15" thickBot="1">
      <c r="B76" s="22" t="s">
        <v>7</v>
      </c>
      <c r="C76" s="21">
        <v>151600</v>
      </c>
      <c r="E76" s="178">
        <f>C76*$I73</f>
        <v>21602.82717738258</v>
      </c>
      <c r="H76" s="210" t="s">
        <v>42</v>
      </c>
      <c r="I76" s="207" t="s">
        <v>4</v>
      </c>
    </row>
    <row r="77" spans="1:9">
      <c r="B77" s="22" t="s">
        <v>9</v>
      </c>
      <c r="C77" s="21">
        <v>127285</v>
      </c>
      <c r="E77" s="178">
        <f>C77*$I73</f>
        <v>18137.967396260832</v>
      </c>
      <c r="H77" s="208" t="str">
        <f>B83</f>
        <v>Cash and Cash Equivalents</v>
      </c>
      <c r="I77" s="187">
        <f>C83</f>
        <v>145468</v>
      </c>
    </row>
    <row r="78" spans="1:9">
      <c r="B78" s="22" t="s">
        <v>10</v>
      </c>
      <c r="C78" s="21">
        <v>14023</v>
      </c>
      <c r="E78" s="178">
        <f>C78*$I73</f>
        <v>1998.2615139078889</v>
      </c>
      <c r="H78" s="208" t="s">
        <v>11</v>
      </c>
      <c r="I78" s="171">
        <v>197995</v>
      </c>
    </row>
    <row r="79" spans="1:9">
      <c r="B79" s="22" t="s">
        <v>12</v>
      </c>
      <c r="C79" s="21">
        <v>42767</v>
      </c>
      <c r="E79" s="178">
        <f>C79*$I73</f>
        <v>6094.2487460100319</v>
      </c>
      <c r="H79" s="208" t="s">
        <v>13</v>
      </c>
      <c r="I79" s="171">
        <v>9773</v>
      </c>
    </row>
    <row r="80" spans="1:9">
      <c r="B80" s="22" t="s">
        <v>14</v>
      </c>
      <c r="C80" s="21">
        <v>8403</v>
      </c>
      <c r="E80" s="178">
        <f>C80*$I73</f>
        <v>1197.4179206566348</v>
      </c>
      <c r="H80" s="208" t="s">
        <v>15</v>
      </c>
      <c r="I80" s="171">
        <v>2132</v>
      </c>
    </row>
    <row r="81" spans="2:9">
      <c r="B81" s="22" t="s">
        <v>16</v>
      </c>
      <c r="C81" s="21">
        <v>5583</v>
      </c>
      <c r="E81" s="178">
        <f>C81*$I73</f>
        <v>795.57113543091657</v>
      </c>
      <c r="H81" s="209" t="s">
        <v>17</v>
      </c>
      <c r="I81" s="171">
        <v>4950</v>
      </c>
    </row>
    <row r="82" spans="2:9" ht="15" thickBot="1">
      <c r="B82" s="18" t="s">
        <v>18</v>
      </c>
      <c r="C82" s="189">
        <f>SUM(C76:C81)</f>
        <v>349661</v>
      </c>
      <c r="D82" s="190">
        <f>C82/C88</f>
        <v>1.3099499113989967</v>
      </c>
      <c r="E82" s="189">
        <f>SUM(E76:E81)</f>
        <v>49826.293889648885</v>
      </c>
      <c r="F82" s="190">
        <f>E82/E88</f>
        <v>1.3418388732422639</v>
      </c>
      <c r="H82" s="206" t="s">
        <v>19</v>
      </c>
      <c r="I82" s="188">
        <f>SUM(I77:I81)</f>
        <v>360318</v>
      </c>
    </row>
    <row r="83" spans="2:9">
      <c r="B83" s="12" t="s">
        <v>20</v>
      </c>
      <c r="C83" s="215">
        <f>Model!AD$113</f>
        <v>145468</v>
      </c>
      <c r="E83" s="178">
        <f>C83*$I73</f>
        <v>20729.02416780666</v>
      </c>
    </row>
    <row r="84" spans="2:9">
      <c r="B84" s="78" t="s">
        <v>21</v>
      </c>
      <c r="C84" s="215">
        <f>Model!AD$114</f>
        <v>214850</v>
      </c>
      <c r="E84" s="178">
        <f>C84*$I73</f>
        <v>30615.880072959419</v>
      </c>
    </row>
    <row r="85" spans="2:9">
      <c r="B85" s="18" t="s">
        <v>22</v>
      </c>
      <c r="C85" s="191">
        <f>C82-C83-C84</f>
        <v>-10657</v>
      </c>
      <c r="D85" s="190">
        <f>C85/C88</f>
        <v>-3.992477343992927E-2</v>
      </c>
      <c r="E85" s="191">
        <f>E82-E83-E84</f>
        <v>-1518.6103511171932</v>
      </c>
      <c r="F85" s="190">
        <f>E85/E88</f>
        <v>-4.0896688141207699E-2</v>
      </c>
    </row>
    <row r="86" spans="2:9">
      <c r="B86" s="7" t="s">
        <v>23</v>
      </c>
      <c r="C86" s="180">
        <f>Model!AD$118</f>
        <v>980507</v>
      </c>
      <c r="E86" s="183">
        <f>C86*$I73</f>
        <v>139721.12973096216</v>
      </c>
    </row>
    <row r="87" spans="2:9">
      <c r="B87" s="7" t="s">
        <v>24</v>
      </c>
      <c r="C87" s="179">
        <f>C85+C86</f>
        <v>969850</v>
      </c>
      <c r="E87" s="179">
        <f>E85+E86</f>
        <v>138202.51937984498</v>
      </c>
    </row>
    <row r="88" spans="2:9">
      <c r="B88" s="12" t="s">
        <v>25</v>
      </c>
      <c r="C88" s="216">
        <f>Model!AD$80</f>
        <v>266927</v>
      </c>
      <c r="E88" s="182">
        <f>C88*I74</f>
        <v>37132.844250706796</v>
      </c>
    </row>
    <row r="89" spans="2:9">
      <c r="B89" s="11" t="s">
        <v>26</v>
      </c>
      <c r="C89" s="10">
        <f>+C82-Model!AD$112</f>
        <v>0</v>
      </c>
    </row>
    <row r="92" spans="2:9" ht="15" thickBot="1"/>
    <row r="93" spans="2:9">
      <c r="B93" s="5" t="s">
        <v>43</v>
      </c>
      <c r="C93" s="185" t="s">
        <v>4</v>
      </c>
      <c r="D93" s="8" t="s">
        <v>6</v>
      </c>
    </row>
    <row r="94" spans="2:9">
      <c r="B94" s="137" t="s">
        <v>20</v>
      </c>
      <c r="C94" s="186">
        <f>C83</f>
        <v>145468</v>
      </c>
      <c r="D94" s="187">
        <f>C94*I73</f>
        <v>20729.02416780666</v>
      </c>
    </row>
    <row r="95" spans="2:9">
      <c r="B95" s="137" t="s">
        <v>21</v>
      </c>
      <c r="C95" s="186">
        <f>C84</f>
        <v>214850</v>
      </c>
      <c r="D95" s="187">
        <f>C95*I73</f>
        <v>30615.880072959419</v>
      </c>
    </row>
    <row r="96" spans="2:9" ht="15" thickBot="1">
      <c r="B96" s="3" t="s">
        <v>28</v>
      </c>
      <c r="C96" s="192">
        <f>SUM(C94:C95)</f>
        <v>360318</v>
      </c>
      <c r="D96" s="193">
        <f>SUM(D94:D95)</f>
        <v>51344.904240766075</v>
      </c>
    </row>
    <row r="97" spans="1:9" ht="15" thickBot="1"/>
    <row r="98" spans="1:9" ht="15" thickBot="1">
      <c r="B98" s="201" t="s">
        <v>44</v>
      </c>
      <c r="C98" s="200" t="s">
        <v>4</v>
      </c>
      <c r="D98" s="203" t="s">
        <v>6</v>
      </c>
    </row>
    <row r="99" spans="1:9">
      <c r="B99" s="217">
        <v>2025</v>
      </c>
      <c r="C99" s="205">
        <v>62970.68</v>
      </c>
      <c r="D99" s="211">
        <f>C99*I73</f>
        <v>8973.2501139990891</v>
      </c>
    </row>
    <row r="100" spans="1:9">
      <c r="B100" s="217">
        <v>2026</v>
      </c>
      <c r="C100" s="205">
        <v>71549.06</v>
      </c>
      <c r="D100" s="211">
        <f>C100*I73</f>
        <v>10195.659484724123</v>
      </c>
    </row>
    <row r="101" spans="1:9">
      <c r="B101" s="217">
        <f>B100+1</f>
        <v>2027</v>
      </c>
      <c r="C101" s="205">
        <v>186.89</v>
      </c>
      <c r="D101" s="211">
        <f>C101*I73</f>
        <v>26.631611947104421</v>
      </c>
    </row>
    <row r="102" spans="1:9" ht="15" thickBot="1">
      <c r="B102" s="212" t="s">
        <v>30</v>
      </c>
      <c r="C102" s="205">
        <f>256307.06-SUM(C99:C101)</f>
        <v>121600.43</v>
      </c>
      <c r="D102" s="211">
        <f>C102*I73</f>
        <v>17327.922651618788</v>
      </c>
    </row>
    <row r="103" spans="1:9" ht="15" thickBot="1">
      <c r="B103" s="202" t="s">
        <v>19</v>
      </c>
      <c r="C103" s="199">
        <f>SUM(C99:C102)</f>
        <v>256307.06</v>
      </c>
      <c r="D103" s="204">
        <f>SUM(D99:D102)</f>
        <v>36523.463862289107</v>
      </c>
    </row>
    <row r="104" spans="1:9">
      <c r="B104" s="176"/>
      <c r="C104" s="6"/>
      <c r="D104" s="6"/>
    </row>
    <row r="106" spans="1:9">
      <c r="A106" s="176" t="s">
        <v>45</v>
      </c>
    </row>
    <row r="108" spans="1:9">
      <c r="H108" s="7" t="s">
        <v>46</v>
      </c>
      <c r="I108" s="181">
        <f>Model!AC$198</f>
        <v>0.1376</v>
      </c>
    </row>
    <row r="109" spans="1:9">
      <c r="H109" s="7" t="s">
        <v>47</v>
      </c>
      <c r="I109" s="181">
        <f>Model!AC$199</f>
        <v>0.13847500000000001</v>
      </c>
    </row>
    <row r="110" spans="1:9" ht="15" thickBot="1">
      <c r="B110" s="25" t="s">
        <v>48</v>
      </c>
      <c r="C110" s="136" t="s">
        <v>4</v>
      </c>
      <c r="D110" s="24" t="s">
        <v>5</v>
      </c>
      <c r="E110" s="136" t="s">
        <v>6</v>
      </c>
      <c r="F110" s="24" t="s">
        <v>5</v>
      </c>
    </row>
    <row r="111" spans="1:9" ht="15" thickBot="1">
      <c r="B111" s="22" t="s">
        <v>7</v>
      </c>
      <c r="C111" s="21">
        <v>152946</v>
      </c>
      <c r="E111" s="178">
        <f>C111*$I108</f>
        <v>21045.369600000002</v>
      </c>
      <c r="H111" s="210" t="s">
        <v>49</v>
      </c>
      <c r="I111" s="207" t="s">
        <v>4</v>
      </c>
    </row>
    <row r="112" spans="1:9">
      <c r="B112" s="22" t="s">
        <v>9</v>
      </c>
      <c r="C112" s="21">
        <v>131575</v>
      </c>
      <c r="E112" s="178">
        <f>C112*$I108</f>
        <v>18104.72</v>
      </c>
      <c r="H112" s="208" t="str">
        <f>B118</f>
        <v>Cash and Cash Equivalents</v>
      </c>
      <c r="I112" s="187">
        <f>C118</f>
        <v>153511</v>
      </c>
    </row>
    <row r="113" spans="2:9">
      <c r="B113" s="22" t="s">
        <v>10</v>
      </c>
      <c r="C113" s="21">
        <v>14979</v>
      </c>
      <c r="E113" s="178">
        <f>C113*$I108</f>
        <v>2061.1104</v>
      </c>
      <c r="H113" s="208" t="s">
        <v>11</v>
      </c>
      <c r="I113" s="171">
        <v>200090</v>
      </c>
    </row>
    <row r="114" spans="2:9">
      <c r="B114" s="22" t="s">
        <v>12</v>
      </c>
      <c r="C114" s="21">
        <v>52462</v>
      </c>
      <c r="E114" s="178">
        <f>C114*$I108</f>
        <v>7218.7712000000001</v>
      </c>
      <c r="H114" s="208" t="s">
        <v>13</v>
      </c>
      <c r="I114" s="171">
        <v>8864</v>
      </c>
    </row>
    <row r="115" spans="2:9">
      <c r="B115" s="22" t="s">
        <v>14</v>
      </c>
      <c r="C115" s="21">
        <v>6410</v>
      </c>
      <c r="E115" s="178">
        <f>C115*$I108</f>
        <v>882.01599999999996</v>
      </c>
      <c r="H115" s="209" t="s">
        <v>17</v>
      </c>
      <c r="I115" s="171">
        <v>5437</v>
      </c>
    </row>
    <row r="116" spans="2:9" ht="15" thickBot="1">
      <c r="B116" s="22" t="s">
        <v>16</v>
      </c>
      <c r="C116" s="21">
        <v>5999</v>
      </c>
      <c r="E116" s="178">
        <f>C116*$I108</f>
        <v>825.4624</v>
      </c>
      <c r="H116" s="206" t="s">
        <v>19</v>
      </c>
      <c r="I116" s="188">
        <f>SUM(I112:I115)</f>
        <v>367902</v>
      </c>
    </row>
    <row r="117" spans="2:9">
      <c r="B117" s="18" t="s">
        <v>18</v>
      </c>
      <c r="C117" s="189">
        <f>SUM(C111:C116)</f>
        <v>364371</v>
      </c>
      <c r="D117" s="190">
        <f>C117/C123</f>
        <v>1.40916649907956</v>
      </c>
      <c r="E117" s="189">
        <f>SUM(E111:E116)</f>
        <v>50137.449600000007</v>
      </c>
      <c r="F117" s="190">
        <f>E117/E123</f>
        <v>1.4002622153699043</v>
      </c>
    </row>
    <row r="118" spans="2:9">
      <c r="B118" s="12" t="s">
        <v>20</v>
      </c>
      <c r="C118" s="215">
        <f>Model!AC$113</f>
        <v>153511</v>
      </c>
      <c r="E118" s="178">
        <f>C118*$I108</f>
        <v>21123.113600000001</v>
      </c>
    </row>
    <row r="119" spans="2:9">
      <c r="B119" s="78" t="s">
        <v>21</v>
      </c>
      <c r="C119" s="215">
        <f>Model!AC$114</f>
        <v>214391</v>
      </c>
      <c r="E119" s="178">
        <f>C119*$I108</f>
        <v>29500.2016</v>
      </c>
    </row>
    <row r="120" spans="2:9">
      <c r="B120" s="18" t="s">
        <v>22</v>
      </c>
      <c r="C120" s="191">
        <f>C117-C118-C119</f>
        <v>-3531</v>
      </c>
      <c r="D120" s="190">
        <f>C120/C123</f>
        <v>-1.365577092647309E-2</v>
      </c>
      <c r="E120" s="191">
        <f>E117-E118-E119</f>
        <v>-485.86559999999372</v>
      </c>
      <c r="F120" s="190">
        <f>E120/E123</f>
        <v>-1.3569482429916395E-2</v>
      </c>
    </row>
    <row r="121" spans="2:9">
      <c r="B121" s="7" t="s">
        <v>23</v>
      </c>
      <c r="C121" s="180">
        <f>Model!AC$118</f>
        <v>927597</v>
      </c>
      <c r="E121" s="183">
        <f>C121*$I108</f>
        <v>127637.3472</v>
      </c>
    </row>
    <row r="122" spans="2:9">
      <c r="B122" s="7" t="s">
        <v>24</v>
      </c>
      <c r="C122" s="179">
        <f>C120+C121</f>
        <v>924066</v>
      </c>
      <c r="E122" s="179">
        <f>E120+E121</f>
        <v>127151.48160000001</v>
      </c>
    </row>
    <row r="123" spans="2:9">
      <c r="B123" s="12" t="s">
        <v>25</v>
      </c>
      <c r="C123" s="216">
        <f>Model!AC$80</f>
        <v>258572</v>
      </c>
      <c r="E123" s="182">
        <f>C123*I109</f>
        <v>35805.757700000002</v>
      </c>
    </row>
    <row r="124" spans="2:9">
      <c r="B124" s="11" t="s">
        <v>26</v>
      </c>
      <c r="C124" s="10">
        <f>+C117-Model!AC$112</f>
        <v>0</v>
      </c>
    </row>
    <row r="127" spans="2:9" ht="15" thickBot="1"/>
    <row r="128" spans="2:9">
      <c r="B128" s="5" t="s">
        <v>50</v>
      </c>
      <c r="C128" s="185" t="s">
        <v>4</v>
      </c>
      <c r="D128" s="8" t="s">
        <v>6</v>
      </c>
    </row>
    <row r="129" spans="1:9">
      <c r="B129" s="137" t="s">
        <v>20</v>
      </c>
      <c r="C129" s="186">
        <f>C118</f>
        <v>153511</v>
      </c>
      <c r="D129" s="187">
        <f>C129*I108</f>
        <v>21123.113600000001</v>
      </c>
    </row>
    <row r="130" spans="1:9">
      <c r="B130" s="137" t="s">
        <v>21</v>
      </c>
      <c r="C130" s="186">
        <f>C119</f>
        <v>214391</v>
      </c>
      <c r="D130" s="187">
        <f>C130*I108</f>
        <v>29500.2016</v>
      </c>
    </row>
    <row r="131" spans="1:9" ht="15" thickBot="1">
      <c r="B131" s="3" t="s">
        <v>28</v>
      </c>
      <c r="C131" s="192">
        <f>SUM(C129:C130)</f>
        <v>367902</v>
      </c>
      <c r="D131" s="193">
        <f>SUM(D129:D130)</f>
        <v>50623.315199999997</v>
      </c>
    </row>
    <row r="132" spans="1:9" ht="15" thickBot="1"/>
    <row r="133" spans="1:9" ht="15" thickBot="1">
      <c r="B133" s="201" t="s">
        <v>44</v>
      </c>
      <c r="C133" s="200" t="s">
        <v>4</v>
      </c>
      <c r="D133" s="203" t="s">
        <v>6</v>
      </c>
    </row>
    <row r="134" spans="1:9">
      <c r="B134" s="217">
        <v>2024</v>
      </c>
      <c r="C134" s="205">
        <v>1417.3</v>
      </c>
      <c r="D134" s="211">
        <f>C134*I108</f>
        <v>195.02047999999999</v>
      </c>
    </row>
    <row r="135" spans="1:9">
      <c r="B135" s="217">
        <f>B134+1</f>
        <v>2025</v>
      </c>
      <c r="C135" s="205">
        <v>62786.79</v>
      </c>
      <c r="D135" s="211">
        <f>C135*I108</f>
        <v>8639.4623040000006</v>
      </c>
    </row>
    <row r="136" spans="1:9">
      <c r="B136" s="217">
        <f>B135+1</f>
        <v>2026</v>
      </c>
      <c r="C136" s="205">
        <v>70723.929999999993</v>
      </c>
      <c r="D136" s="211">
        <f>C136*I108</f>
        <v>9731.6127679999991</v>
      </c>
    </row>
    <row r="137" spans="1:9" ht="15" thickBot="1">
      <c r="B137" s="212" t="s">
        <v>51</v>
      </c>
      <c r="C137" s="205">
        <f>C117-SUM(C134:C136)</f>
        <v>229442.98</v>
      </c>
      <c r="D137" s="211">
        <f>C137*I108</f>
        <v>31571.354048000001</v>
      </c>
    </row>
    <row r="138" spans="1:9" ht="15" thickBot="1">
      <c r="B138" s="202" t="s">
        <v>19</v>
      </c>
      <c r="C138" s="199">
        <f>SUM(C134:C137)</f>
        <v>364371</v>
      </c>
      <c r="D138" s="204">
        <f>SUM(D134:D137)</f>
        <v>50137.4496</v>
      </c>
    </row>
    <row r="139" spans="1:9">
      <c r="B139" s="176"/>
      <c r="C139" s="6"/>
      <c r="D139" s="6"/>
    </row>
    <row r="141" spans="1:9">
      <c r="A141" s="176" t="s">
        <v>52</v>
      </c>
    </row>
    <row r="143" spans="1:9">
      <c r="H143" s="7" t="s">
        <v>53</v>
      </c>
      <c r="I143" s="181">
        <f>Model!AB$198</f>
        <v>0.13850000000000001</v>
      </c>
    </row>
    <row r="144" spans="1:9">
      <c r="H144" s="7" t="s">
        <v>54</v>
      </c>
      <c r="I144" s="181">
        <f>Model!AB$199</f>
        <v>0.13970000000000002</v>
      </c>
    </row>
    <row r="145" spans="2:9" ht="15" thickBot="1">
      <c r="B145" s="25" t="s">
        <v>55</v>
      </c>
      <c r="C145" s="136" t="s">
        <v>4</v>
      </c>
      <c r="D145" s="24" t="s">
        <v>5</v>
      </c>
      <c r="E145" s="136" t="s">
        <v>6</v>
      </c>
      <c r="F145" s="24" t="s">
        <v>5</v>
      </c>
    </row>
    <row r="146" spans="2:9" ht="15" thickBot="1">
      <c r="B146" s="22" t="s">
        <v>7</v>
      </c>
      <c r="C146" s="21">
        <v>153185</v>
      </c>
      <c r="E146" s="178">
        <f>C146*$I143</f>
        <v>21216.122500000001</v>
      </c>
      <c r="H146" s="210" t="s">
        <v>56</v>
      </c>
      <c r="I146" s="207" t="s">
        <v>4</v>
      </c>
    </row>
    <row r="147" spans="2:9">
      <c r="B147" s="22" t="s">
        <v>9</v>
      </c>
      <c r="C147" s="21">
        <v>130974</v>
      </c>
      <c r="E147" s="178">
        <f>C147*$I143</f>
        <v>18139.899000000001</v>
      </c>
      <c r="H147" s="208" t="str">
        <f>B153</f>
        <v>Cash and Cash Equivalents</v>
      </c>
      <c r="I147" s="187">
        <f>C153</f>
        <v>161023</v>
      </c>
    </row>
    <row r="148" spans="2:9">
      <c r="B148" s="22" t="s">
        <v>10</v>
      </c>
      <c r="C148" s="21">
        <v>15238</v>
      </c>
      <c r="E148" s="178">
        <f>C148*$I143</f>
        <v>2110.4630000000002</v>
      </c>
      <c r="H148" s="208" t="s">
        <v>11</v>
      </c>
      <c r="I148" s="171">
        <v>241510</v>
      </c>
    </row>
    <row r="149" spans="2:9">
      <c r="B149" s="22" t="s">
        <v>12</v>
      </c>
      <c r="C149" s="21">
        <v>48006</v>
      </c>
      <c r="E149" s="178">
        <f>C149*$I143</f>
        <v>6648.8310000000001</v>
      </c>
      <c r="H149" s="208" t="s">
        <v>13</v>
      </c>
      <c r="I149" s="171">
        <v>10568</v>
      </c>
    </row>
    <row r="150" spans="2:9">
      <c r="B150" s="22" t="s">
        <v>14</v>
      </c>
      <c r="C150" s="21">
        <v>20569</v>
      </c>
      <c r="E150" s="178">
        <f>C150*$I143</f>
        <v>2848.8065000000001</v>
      </c>
      <c r="H150" s="209" t="s">
        <v>17</v>
      </c>
      <c r="I150" s="171">
        <v>5942</v>
      </c>
    </row>
    <row r="151" spans="2:9" ht="15" thickBot="1">
      <c r="B151" s="22" t="s">
        <v>16</v>
      </c>
      <c r="C151" s="21">
        <v>6036</v>
      </c>
      <c r="E151" s="178">
        <f>C151*$I143</f>
        <v>835.9860000000001</v>
      </c>
      <c r="H151" s="206" t="s">
        <v>19</v>
      </c>
      <c r="I151" s="188">
        <f>SUM(I147:I150)</f>
        <v>419043</v>
      </c>
    </row>
    <row r="152" spans="2:9">
      <c r="B152" s="18" t="s">
        <v>18</v>
      </c>
      <c r="C152" s="189">
        <f>SUM(C146:C151)</f>
        <v>374008</v>
      </c>
      <c r="D152" s="190">
        <f>C152/C158</f>
        <v>1.5148034442815368</v>
      </c>
      <c r="E152" s="189">
        <f>SUM(E146:E151)</f>
        <v>51800.108</v>
      </c>
      <c r="F152" s="190">
        <f>E152/E158</f>
        <v>1.5017915320901418</v>
      </c>
    </row>
    <row r="153" spans="2:9">
      <c r="B153" s="12" t="s">
        <v>20</v>
      </c>
      <c r="C153" s="215">
        <f>Model!AB$113</f>
        <v>161023</v>
      </c>
      <c r="E153" s="178">
        <f>C153*$I143</f>
        <v>22301.685500000003</v>
      </c>
    </row>
    <row r="154" spans="2:9">
      <c r="B154" s="78" t="s">
        <v>21</v>
      </c>
      <c r="C154" s="215">
        <f>Model!AB$114</f>
        <v>258020</v>
      </c>
      <c r="E154" s="178">
        <f>C154*$I143</f>
        <v>35735.770000000004</v>
      </c>
    </row>
    <row r="155" spans="2:9">
      <c r="B155" s="18" t="s">
        <v>22</v>
      </c>
      <c r="C155" s="191">
        <f>C152-C153-C154</f>
        <v>-45035</v>
      </c>
      <c r="D155" s="190">
        <f>C155/C158</f>
        <v>-0.18240030457428452</v>
      </c>
      <c r="E155" s="191">
        <f>E152-E153-E154</f>
        <v>-6237.3475000000071</v>
      </c>
      <c r="F155" s="190">
        <f>E155/E158</f>
        <v>-0.18083351598810618</v>
      </c>
    </row>
    <row r="156" spans="2:9">
      <c r="B156" s="7" t="s">
        <v>23</v>
      </c>
      <c r="C156" s="180">
        <f>Model!AB$118</f>
        <v>916769</v>
      </c>
      <c r="E156" s="183">
        <f>C156*$I143</f>
        <v>126972.50650000002</v>
      </c>
    </row>
    <row r="157" spans="2:9">
      <c r="B157" s="7" t="s">
        <v>24</v>
      </c>
      <c r="C157" s="179">
        <f>C155+C156</f>
        <v>871734</v>
      </c>
      <c r="E157" s="179">
        <f>E155+E156</f>
        <v>120735.15900000001</v>
      </c>
    </row>
    <row r="158" spans="2:9">
      <c r="B158" s="12" t="s">
        <v>25</v>
      </c>
      <c r="C158" s="216">
        <f>Model!AB$80</f>
        <v>246902</v>
      </c>
      <c r="E158" s="182">
        <f>C158*I144</f>
        <v>34492.209400000007</v>
      </c>
    </row>
    <row r="159" spans="2:9">
      <c r="B159" s="11" t="s">
        <v>26</v>
      </c>
      <c r="C159" s="10">
        <f>+C152-Model!AB$112</f>
        <v>0</v>
      </c>
    </row>
    <row r="162" spans="1:4" ht="15" thickBot="1"/>
    <row r="163" spans="1:4">
      <c r="B163" s="5" t="s">
        <v>57</v>
      </c>
      <c r="C163" s="185" t="s">
        <v>4</v>
      </c>
      <c r="D163" s="8" t="s">
        <v>6</v>
      </c>
    </row>
    <row r="164" spans="1:4">
      <c r="B164" s="137" t="s">
        <v>20</v>
      </c>
      <c r="C164" s="186">
        <f>C153</f>
        <v>161023</v>
      </c>
      <c r="D164" s="187">
        <f>C164*I143</f>
        <v>22301.685500000003</v>
      </c>
    </row>
    <row r="165" spans="1:4">
      <c r="B165" s="137" t="s">
        <v>21</v>
      </c>
      <c r="C165" s="186">
        <f>C154</f>
        <v>258020</v>
      </c>
      <c r="D165" s="187">
        <f>C165*I143</f>
        <v>35735.770000000004</v>
      </c>
    </row>
    <row r="166" spans="1:4" ht="15" thickBot="1">
      <c r="B166" s="3" t="s">
        <v>28</v>
      </c>
      <c r="C166" s="192">
        <f>SUM(C164:C165)</f>
        <v>419043</v>
      </c>
      <c r="D166" s="193">
        <f>SUM(D164:D165)</f>
        <v>58037.455500000011</v>
      </c>
    </row>
    <row r="167" spans="1:4" ht="15" thickBot="1"/>
    <row r="168" spans="1:4" ht="15" thickBot="1">
      <c r="B168" s="201" t="s">
        <v>58</v>
      </c>
      <c r="C168" s="200" t="s">
        <v>4</v>
      </c>
      <c r="D168" s="203" t="s">
        <v>6</v>
      </c>
    </row>
    <row r="169" spans="1:4">
      <c r="B169" s="217">
        <v>2024</v>
      </c>
      <c r="C169" s="205">
        <v>1627.26</v>
      </c>
      <c r="D169" s="211">
        <f>C169*I143</f>
        <v>225.37551000000002</v>
      </c>
    </row>
    <row r="170" spans="1:4">
      <c r="B170" s="217">
        <f>B169+1</f>
        <v>2025</v>
      </c>
      <c r="C170" s="205">
        <v>62627.06</v>
      </c>
      <c r="D170" s="211">
        <f>C170*I143</f>
        <v>8673.8478100000011</v>
      </c>
    </row>
    <row r="171" spans="1:4">
      <c r="B171" s="217">
        <f>B170+1</f>
        <v>2026</v>
      </c>
      <c r="C171" s="205">
        <v>70947.899999999994</v>
      </c>
      <c r="D171" s="211">
        <f>C171*I143</f>
        <v>9826.2841499999995</v>
      </c>
    </row>
    <row r="172" spans="1:4" ht="15" thickBot="1">
      <c r="B172" s="212" t="s">
        <v>51</v>
      </c>
      <c r="C172" s="205">
        <f>C152-SUM(C169:C171)</f>
        <v>238805.78</v>
      </c>
      <c r="D172" s="211">
        <f>C172*I143</f>
        <v>33074.600530000003</v>
      </c>
    </row>
    <row r="173" spans="1:4" ht="15" thickBot="1">
      <c r="B173" s="202" t="s">
        <v>19</v>
      </c>
      <c r="C173" s="199">
        <f>SUM(C169:C172)</f>
        <v>374008</v>
      </c>
      <c r="D173" s="204">
        <f>SUM(D169:D172)</f>
        <v>51800.108000000007</v>
      </c>
    </row>
    <row r="174" spans="1:4">
      <c r="B174" s="176"/>
      <c r="C174" s="6"/>
      <c r="D174" s="6"/>
    </row>
    <row r="176" spans="1:4">
      <c r="A176" s="176" t="s">
        <v>59</v>
      </c>
    </row>
    <row r="178" spans="2:9">
      <c r="H178" s="7" t="s">
        <v>60</v>
      </c>
      <c r="I178" s="181">
        <f>Model!AA$198</f>
        <v>0.14130000000000001</v>
      </c>
    </row>
    <row r="179" spans="2:9">
      <c r="H179" s="7" t="s">
        <v>61</v>
      </c>
      <c r="I179" s="181">
        <f>Model!AA$199</f>
        <v>0.14125000000000001</v>
      </c>
    </row>
    <row r="180" spans="2:9" ht="15" thickBot="1">
      <c r="B180" s="25" t="s">
        <v>62</v>
      </c>
      <c r="C180" s="136" t="s">
        <v>4</v>
      </c>
      <c r="D180" s="24" t="s">
        <v>5</v>
      </c>
      <c r="E180" s="136" t="s">
        <v>6</v>
      </c>
      <c r="F180" s="24" t="s">
        <v>5</v>
      </c>
    </row>
    <row r="181" spans="2:9" ht="15" thickBot="1">
      <c r="B181" s="22" t="s">
        <v>7</v>
      </c>
      <c r="C181" s="21">
        <v>155819</v>
      </c>
      <c r="E181" s="178">
        <f>C181*$I178</f>
        <v>22017.224700000002</v>
      </c>
      <c r="H181" s="210" t="s">
        <v>63</v>
      </c>
      <c r="I181" s="207" t="s">
        <v>4</v>
      </c>
    </row>
    <row r="182" spans="2:9">
      <c r="B182" s="22" t="s">
        <v>9</v>
      </c>
      <c r="C182" s="21">
        <v>137101</v>
      </c>
      <c r="E182" s="178">
        <f>C182*$I178</f>
        <v>19372.371300000003</v>
      </c>
      <c r="H182" s="208" t="str">
        <f>B188</f>
        <v>Cash and Cash Equivalents</v>
      </c>
      <c r="I182" s="187">
        <f>C188</f>
        <v>172320</v>
      </c>
    </row>
    <row r="183" spans="2:9">
      <c r="B183" s="22" t="s">
        <v>10</v>
      </c>
      <c r="C183" s="21">
        <v>16468</v>
      </c>
      <c r="E183" s="178">
        <f>C183*$I178</f>
        <v>2326.9284000000002</v>
      </c>
      <c r="H183" s="208" t="s">
        <v>11</v>
      </c>
      <c r="I183" s="171">
        <v>185983</v>
      </c>
    </row>
    <row r="184" spans="2:9">
      <c r="B184" s="22" t="s">
        <v>12</v>
      </c>
      <c r="C184" s="21">
        <v>41537</v>
      </c>
      <c r="E184" s="178">
        <f>C184*$I178</f>
        <v>5869.1781000000001</v>
      </c>
      <c r="H184" s="208" t="s">
        <v>13</v>
      </c>
      <c r="I184" s="171">
        <v>14903</v>
      </c>
    </row>
    <row r="185" spans="2:9">
      <c r="B185" s="22" t="s">
        <v>14</v>
      </c>
      <c r="C185" s="21">
        <v>14161</v>
      </c>
      <c r="E185" s="178">
        <f>C185*$I178</f>
        <v>2000.9493000000002</v>
      </c>
      <c r="H185" s="209" t="s">
        <v>17</v>
      </c>
      <c r="I185" s="171">
        <v>5949</v>
      </c>
    </row>
    <row r="186" spans="2:9" ht="15" thickBot="1">
      <c r="B186" s="22" t="s">
        <v>16</v>
      </c>
      <c r="C186" s="21">
        <v>6154</v>
      </c>
      <c r="E186" s="178">
        <f>C186*$I178</f>
        <v>869.56020000000001</v>
      </c>
      <c r="H186" s="206" t="s">
        <v>19</v>
      </c>
      <c r="I186" s="188">
        <f>SUM(I182:I185)</f>
        <v>379155</v>
      </c>
    </row>
    <row r="187" spans="2:9">
      <c r="B187" s="18" t="s">
        <v>18</v>
      </c>
      <c r="C187" s="189">
        <f>SUM(C181:C186)</f>
        <v>371240</v>
      </c>
      <c r="D187" s="190">
        <f>C187/C193</f>
        <v>1.5766986332786872</v>
      </c>
      <c r="E187" s="189">
        <f>SUM(E181:E186)</f>
        <v>52456.212</v>
      </c>
      <c r="F187" s="190">
        <f>E187/E193</f>
        <v>1.5772567566886972</v>
      </c>
    </row>
    <row r="188" spans="2:9">
      <c r="B188" s="12" t="s">
        <v>20</v>
      </c>
      <c r="C188" s="215">
        <f>Model!AA$113</f>
        <v>172320</v>
      </c>
      <c r="E188" s="178">
        <f>C188*$I178</f>
        <v>24348.816000000003</v>
      </c>
    </row>
    <row r="189" spans="2:9">
      <c r="B189" s="78" t="s">
        <v>21</v>
      </c>
      <c r="C189" s="215">
        <f>Model!AA$114</f>
        <v>206835</v>
      </c>
      <c r="E189" s="178">
        <f>C189*$I178</f>
        <v>29225.785500000002</v>
      </c>
    </row>
    <row r="190" spans="2:9">
      <c r="B190" s="18" t="s">
        <v>22</v>
      </c>
      <c r="C190" s="191">
        <f>C187-C188-C189</f>
        <v>-7915</v>
      </c>
      <c r="D190" s="190">
        <f>C190/C193</f>
        <v>-3.3615907990520444E-2</v>
      </c>
      <c r="E190" s="191">
        <f>E187-E188-E189</f>
        <v>-1118.3895000000048</v>
      </c>
      <c r="F190" s="190">
        <f>E190/E193</f>
        <v>-3.36278074269774E-2</v>
      </c>
    </row>
    <row r="191" spans="2:9">
      <c r="B191" s="7" t="s">
        <v>23</v>
      </c>
      <c r="C191" s="180">
        <f>Model!AA$118</f>
        <v>873681</v>
      </c>
      <c r="E191" s="183">
        <f>C191*$I178</f>
        <v>123451.12530000001</v>
      </c>
    </row>
    <row r="192" spans="2:9">
      <c r="B192" s="7" t="s">
        <v>24</v>
      </c>
      <c r="C192" s="179">
        <f>C190+C191</f>
        <v>865766</v>
      </c>
      <c r="E192" s="179">
        <f>E190+E191</f>
        <v>122332.73580000001</v>
      </c>
    </row>
    <row r="193" spans="2:5">
      <c r="B193" s="12" t="s">
        <v>25</v>
      </c>
      <c r="C193" s="216">
        <f>Model!AA$80</f>
        <v>235454</v>
      </c>
      <c r="E193" s="182">
        <f>C193*I179</f>
        <v>33257.877500000002</v>
      </c>
    </row>
    <row r="194" spans="2:5">
      <c r="B194" s="11" t="s">
        <v>26</v>
      </c>
      <c r="C194" s="10">
        <f>+C187-Model!AA$112</f>
        <v>0</v>
      </c>
    </row>
    <row r="197" spans="2:5" ht="15" thickBot="1"/>
    <row r="198" spans="2:5">
      <c r="B198" s="5" t="s">
        <v>64</v>
      </c>
      <c r="C198" s="185" t="s">
        <v>4</v>
      </c>
      <c r="D198" s="8" t="s">
        <v>6</v>
      </c>
    </row>
    <row r="199" spans="2:5">
      <c r="B199" s="137" t="s">
        <v>20</v>
      </c>
      <c r="C199" s="186">
        <f>C188</f>
        <v>172320</v>
      </c>
      <c r="D199" s="187">
        <f>C199*I178</f>
        <v>24348.816000000003</v>
      </c>
    </row>
    <row r="200" spans="2:5">
      <c r="B200" s="137" t="s">
        <v>21</v>
      </c>
      <c r="C200" s="186">
        <f>C189</f>
        <v>206835</v>
      </c>
      <c r="D200" s="187">
        <f>C200*I178</f>
        <v>29225.785500000002</v>
      </c>
    </row>
    <row r="201" spans="2:5" ht="15" thickBot="1">
      <c r="B201" s="3" t="s">
        <v>28</v>
      </c>
      <c r="C201" s="192">
        <f>SUM(C199:C200)</f>
        <v>379155</v>
      </c>
      <c r="D201" s="193">
        <f>SUM(D199:D200)</f>
        <v>53574.601500000004</v>
      </c>
    </row>
    <row r="202" spans="2:5" ht="15" thickBot="1"/>
    <row r="203" spans="2:5" ht="15" thickBot="1">
      <c r="B203" s="201" t="s">
        <v>65</v>
      </c>
      <c r="C203" s="200" t="s">
        <v>4</v>
      </c>
      <c r="D203" s="203" t="s">
        <v>6</v>
      </c>
    </row>
    <row r="204" spans="2:5">
      <c r="B204" s="217">
        <v>2024</v>
      </c>
      <c r="C204" s="205">
        <v>16016.45</v>
      </c>
      <c r="D204" s="211">
        <f>C204*I178</f>
        <v>2263.1243850000001</v>
      </c>
    </row>
    <row r="205" spans="2:5">
      <c r="B205" s="217">
        <f>B204+1</f>
        <v>2025</v>
      </c>
      <c r="C205" s="205">
        <v>62537.21</v>
      </c>
      <c r="D205" s="211">
        <f>C205*I178</f>
        <v>8836.5077730000012</v>
      </c>
    </row>
    <row r="206" spans="2:5">
      <c r="B206" s="217">
        <f>B205+1</f>
        <v>2026</v>
      </c>
      <c r="C206" s="205">
        <v>70725.919999999998</v>
      </c>
      <c r="D206" s="211">
        <f>C206*I178</f>
        <v>9993.5724960000007</v>
      </c>
    </row>
    <row r="207" spans="2:5" ht="15" thickBot="1">
      <c r="B207" s="212" t="s">
        <v>51</v>
      </c>
      <c r="C207" s="205">
        <f>C187-SUM(C204:C206)</f>
        <v>221960.41999999998</v>
      </c>
      <c r="D207" s="211">
        <f>C207*I178</f>
        <v>31363.007345999999</v>
      </c>
    </row>
    <row r="208" spans="2:5" ht="15" thickBot="1">
      <c r="B208" s="202" t="s">
        <v>19</v>
      </c>
      <c r="C208" s="199">
        <f>SUM(C204:C207)</f>
        <v>371240</v>
      </c>
      <c r="D208" s="204">
        <f>SUM(D204:D207)</f>
        <v>52456.212</v>
      </c>
    </row>
    <row r="209" spans="1:9">
      <c r="B209" s="176"/>
      <c r="C209" s="6"/>
      <c r="D209" s="6"/>
    </row>
    <row r="211" spans="1:9">
      <c r="A211" s="176" t="s">
        <v>66</v>
      </c>
    </row>
    <row r="213" spans="1:9">
      <c r="H213" s="7" t="s">
        <v>67</v>
      </c>
      <c r="I213" s="181">
        <f>Model!Z$198</f>
        <v>0.1371</v>
      </c>
    </row>
    <row r="214" spans="1:9">
      <c r="H214" s="7" t="s">
        <v>68</v>
      </c>
      <c r="I214" s="181">
        <f>Model!Z$199</f>
        <v>0.14180000000000001</v>
      </c>
    </row>
    <row r="215" spans="1:9" ht="15" thickBot="1">
      <c r="B215" s="25" t="s">
        <v>69</v>
      </c>
      <c r="C215" s="136" t="s">
        <v>4</v>
      </c>
      <c r="D215" s="24" t="s">
        <v>5</v>
      </c>
      <c r="E215" s="136" t="s">
        <v>6</v>
      </c>
      <c r="F215" s="24" t="s">
        <v>5</v>
      </c>
    </row>
    <row r="216" spans="1:9" ht="15" thickBot="1">
      <c r="B216" s="22" t="s">
        <v>7</v>
      </c>
      <c r="C216" s="21">
        <v>151544</v>
      </c>
      <c r="E216" s="178">
        <f>C216*$I213</f>
        <v>20776.682400000002</v>
      </c>
      <c r="H216" s="210" t="s">
        <v>70</v>
      </c>
      <c r="I216" s="207" t="s">
        <v>4</v>
      </c>
    </row>
    <row r="217" spans="1:9">
      <c r="B217" s="22" t="s">
        <v>9</v>
      </c>
      <c r="C217" s="21">
        <v>138965</v>
      </c>
      <c r="E217" s="178">
        <f>C217*$I213</f>
        <v>19052.101500000001</v>
      </c>
      <c r="H217" s="208" t="str">
        <f>B223</f>
        <v>Cash and Cash Equivalents</v>
      </c>
      <c r="I217" s="187">
        <f>C223</f>
        <v>146476</v>
      </c>
    </row>
    <row r="218" spans="1:9">
      <c r="B218" s="22" t="s">
        <v>10</v>
      </c>
      <c r="C218" s="21">
        <v>16198</v>
      </c>
      <c r="E218" s="178">
        <f>C218*$I213</f>
        <v>2220.7458000000001</v>
      </c>
      <c r="H218" s="208" t="s">
        <v>11</v>
      </c>
      <c r="I218" s="171">
        <v>185543</v>
      </c>
    </row>
    <row r="219" spans="1:9">
      <c r="B219" s="22" t="s">
        <v>12</v>
      </c>
      <c r="C219" s="21">
        <v>46158</v>
      </c>
      <c r="E219" s="178">
        <f>C219*$I213</f>
        <v>6328.2618000000002</v>
      </c>
      <c r="H219" s="208" t="s">
        <v>13</v>
      </c>
      <c r="I219" s="171">
        <v>24331</v>
      </c>
    </row>
    <row r="220" spans="1:9">
      <c r="B220" s="22" t="s">
        <v>14</v>
      </c>
      <c r="C220" s="21">
        <v>14353</v>
      </c>
      <c r="E220" s="178">
        <f>C220*$I213</f>
        <v>1967.7963</v>
      </c>
      <c r="H220" s="209" t="s">
        <v>17</v>
      </c>
      <c r="I220" s="171">
        <v>6145</v>
      </c>
    </row>
    <row r="221" spans="1:9" ht="15" thickBot="1">
      <c r="B221" s="22" t="s">
        <v>16</v>
      </c>
      <c r="C221" s="21">
        <v>5711</v>
      </c>
      <c r="E221" s="178">
        <f>C221*$I213</f>
        <v>782.97810000000004</v>
      </c>
      <c r="H221" s="206" t="s">
        <v>19</v>
      </c>
      <c r="I221" s="188">
        <f>SUM(I217:I220)</f>
        <v>362495</v>
      </c>
    </row>
    <row r="222" spans="1:9">
      <c r="B222" s="18" t="s">
        <v>18</v>
      </c>
      <c r="C222" s="189">
        <f>SUM(C216:C221)</f>
        <v>372929</v>
      </c>
      <c r="D222" s="190">
        <f>C222/C228</f>
        <v>1.6533032460565866</v>
      </c>
      <c r="E222" s="189">
        <f>SUM(E216:E221)</f>
        <v>51128.565900000001</v>
      </c>
      <c r="F222" s="190">
        <f>E222/E228</f>
        <v>1.5985040552493512</v>
      </c>
    </row>
    <row r="223" spans="1:9">
      <c r="B223" s="12" t="s">
        <v>20</v>
      </c>
      <c r="C223" s="215">
        <f>Model!Z$113</f>
        <v>146476</v>
      </c>
      <c r="E223" s="178">
        <f>C223*$I213</f>
        <v>20081.8596</v>
      </c>
    </row>
    <row r="224" spans="1:9">
      <c r="B224" s="78" t="s">
        <v>21</v>
      </c>
      <c r="C224" s="215">
        <f>Model!Z$114</f>
        <v>216019</v>
      </c>
      <c r="E224" s="178">
        <f>C224*$I213</f>
        <v>29616.204900000001</v>
      </c>
    </row>
    <row r="225" spans="2:6">
      <c r="B225" s="18" t="s">
        <v>22</v>
      </c>
      <c r="C225" s="191">
        <f>C222-C223-C224</f>
        <v>10434</v>
      </c>
      <c r="D225" s="190">
        <f>C225/C228</f>
        <v>4.6256971352065468E-2</v>
      </c>
      <c r="E225" s="191">
        <f>E222-E223-E224</f>
        <v>1430.501400000001</v>
      </c>
      <c r="F225" s="190">
        <f>E225/E228</f>
        <v>4.47237713143031E-2</v>
      </c>
    </row>
    <row r="226" spans="2:6">
      <c r="B226" s="7" t="s">
        <v>23</v>
      </c>
      <c r="C226" s="180">
        <f>Model!Z$118</f>
        <v>830945</v>
      </c>
      <c r="E226" s="183">
        <f>C226*$I213</f>
        <v>113922.5595</v>
      </c>
    </row>
    <row r="227" spans="2:6">
      <c r="B227" s="7" t="s">
        <v>24</v>
      </c>
      <c r="C227" s="179">
        <f>C225+C226</f>
        <v>841379</v>
      </c>
      <c r="E227" s="179">
        <f>E225+E226</f>
        <v>115353.06090000001</v>
      </c>
    </row>
    <row r="228" spans="2:6">
      <c r="B228" s="12" t="s">
        <v>25</v>
      </c>
      <c r="C228" s="216">
        <f>Model!Z$80</f>
        <v>225566</v>
      </c>
      <c r="E228" s="182">
        <f>C228*I214</f>
        <v>31985.258800000003</v>
      </c>
    </row>
    <row r="229" spans="2:6">
      <c r="B229" s="11" t="s">
        <v>26</v>
      </c>
      <c r="C229" s="10">
        <f>+C222-Model!Z$112</f>
        <v>0</v>
      </c>
    </row>
    <row r="232" spans="2:6" ht="15" thickBot="1"/>
    <row r="233" spans="2:6">
      <c r="B233" s="5" t="s">
        <v>71</v>
      </c>
      <c r="C233" s="185" t="s">
        <v>4</v>
      </c>
      <c r="D233" s="8" t="s">
        <v>6</v>
      </c>
    </row>
    <row r="234" spans="2:6">
      <c r="B234" s="137" t="s">
        <v>20</v>
      </c>
      <c r="C234" s="186">
        <f>C223</f>
        <v>146476</v>
      </c>
      <c r="D234" s="187">
        <f>C234*I213</f>
        <v>20081.8596</v>
      </c>
    </row>
    <row r="235" spans="2:6">
      <c r="B235" s="137" t="s">
        <v>21</v>
      </c>
      <c r="C235" s="186">
        <f>C224</f>
        <v>216019</v>
      </c>
      <c r="D235" s="187">
        <f>C235*I213</f>
        <v>29616.204900000001</v>
      </c>
    </row>
    <row r="236" spans="2:6" ht="15" thickBot="1">
      <c r="B236" s="3" t="s">
        <v>28</v>
      </c>
      <c r="C236" s="192">
        <f>SUM(C234:C235)</f>
        <v>362495</v>
      </c>
      <c r="D236" s="193">
        <f>SUM(D234:D235)</f>
        <v>49698.0645</v>
      </c>
    </row>
    <row r="237" spans="2:6" ht="15" thickBot="1"/>
    <row r="238" spans="2:6" ht="15" thickBot="1">
      <c r="B238" s="201" t="s">
        <v>72</v>
      </c>
      <c r="C238" s="200" t="s">
        <v>4</v>
      </c>
      <c r="D238" s="203" t="s">
        <v>6</v>
      </c>
    </row>
    <row r="239" spans="2:6">
      <c r="B239" s="217">
        <v>2023</v>
      </c>
      <c r="C239" s="205">
        <v>200</v>
      </c>
      <c r="D239" s="211">
        <f>C239*I213</f>
        <v>27.42</v>
      </c>
    </row>
    <row r="240" spans="2:6">
      <c r="B240" s="217">
        <v>2024</v>
      </c>
      <c r="C240" s="205">
        <v>16207.8</v>
      </c>
      <c r="D240" s="211">
        <f>C240*I213</f>
        <v>2222.0893799999999</v>
      </c>
    </row>
    <row r="241" spans="1:9">
      <c r="B241" s="217">
        <v>2025</v>
      </c>
      <c r="C241" s="205">
        <v>63133.95</v>
      </c>
      <c r="D241" s="211">
        <f>C241*I213</f>
        <v>8655.6645449999996</v>
      </c>
    </row>
    <row r="242" spans="1:9" ht="15" thickBot="1">
      <c r="B242" s="212" t="s">
        <v>73</v>
      </c>
      <c r="C242" s="205">
        <f>C222-SUM(C239:C241)</f>
        <v>293387.25</v>
      </c>
      <c r="D242" s="211">
        <f>C242*I213</f>
        <v>40223.391974999999</v>
      </c>
    </row>
    <row r="243" spans="1:9" ht="15" thickBot="1">
      <c r="B243" s="202" t="s">
        <v>19</v>
      </c>
      <c r="C243" s="199">
        <f>SUM(C239:C242)</f>
        <v>372929</v>
      </c>
      <c r="D243" s="204">
        <f>SUM(D239:D242)</f>
        <v>51128.565900000001</v>
      </c>
    </row>
    <row r="245" spans="1:9">
      <c r="C245" s="182"/>
    </row>
    <row r="246" spans="1:9">
      <c r="A246" s="176" t="s">
        <v>74</v>
      </c>
    </row>
    <row r="248" spans="1:9">
      <c r="H248" s="7" t="s">
        <v>75</v>
      </c>
      <c r="I248" s="181">
        <f>Model!Y$198</f>
        <v>0.13789999999999999</v>
      </c>
    </row>
    <row r="249" spans="1:9">
      <c r="H249" s="7" t="s">
        <v>76</v>
      </c>
      <c r="I249" s="181">
        <f>Model!Y$199</f>
        <v>0.14360000000000001</v>
      </c>
    </row>
    <row r="250" spans="1:9" ht="15" thickBot="1">
      <c r="B250" s="25" t="s">
        <v>77</v>
      </c>
      <c r="C250" s="136" t="s">
        <v>4</v>
      </c>
      <c r="D250" s="24" t="s">
        <v>5</v>
      </c>
      <c r="E250" s="136" t="s">
        <v>6</v>
      </c>
      <c r="F250" s="24" t="s">
        <v>5</v>
      </c>
    </row>
    <row r="251" spans="1:9" ht="15" thickBot="1">
      <c r="B251" s="22" t="s">
        <v>7</v>
      </c>
      <c r="C251" s="21">
        <v>154079</v>
      </c>
      <c r="E251" s="178">
        <f>C251*$I248</f>
        <v>21247.4941</v>
      </c>
      <c r="H251" s="210" t="s">
        <v>78</v>
      </c>
      <c r="I251" s="207" t="s">
        <v>4</v>
      </c>
    </row>
    <row r="252" spans="1:9">
      <c r="B252" s="22" t="s">
        <v>9</v>
      </c>
      <c r="C252" s="21">
        <v>139840</v>
      </c>
      <c r="E252" s="178">
        <f>C252*$I248</f>
        <v>19283.935999999998</v>
      </c>
      <c r="H252" s="208" t="str">
        <f>B258</f>
        <v>Cash and Cash Equivalents</v>
      </c>
      <c r="I252" s="187">
        <f>C258</f>
        <v>139647</v>
      </c>
    </row>
    <row r="253" spans="1:9">
      <c r="B253" s="22" t="s">
        <v>10</v>
      </c>
      <c r="C253" s="21">
        <v>17452</v>
      </c>
      <c r="E253" s="178">
        <f>C253*$I248</f>
        <v>2406.6307999999999</v>
      </c>
      <c r="H253" s="208" t="s">
        <v>11</v>
      </c>
      <c r="I253" s="171">
        <v>176427</v>
      </c>
    </row>
    <row r="254" spans="1:9">
      <c r="B254" s="22" t="s">
        <v>12</v>
      </c>
      <c r="C254" s="21">
        <v>45754</v>
      </c>
      <c r="E254" s="178">
        <f>C254*$I248</f>
        <v>6309.4766</v>
      </c>
      <c r="H254" s="208" t="s">
        <v>13</v>
      </c>
      <c r="I254" s="171">
        <v>29798</v>
      </c>
    </row>
    <row r="255" spans="1:9">
      <c r="B255" s="22" t="s">
        <v>14</v>
      </c>
      <c r="C255" s="21">
        <v>14442</v>
      </c>
      <c r="E255" s="178">
        <f>C255*$I248</f>
        <v>1991.5518</v>
      </c>
      <c r="H255" s="209" t="s">
        <v>17</v>
      </c>
      <c r="I255" s="171">
        <v>1855</v>
      </c>
    </row>
    <row r="256" spans="1:9" ht="15" thickBot="1">
      <c r="B256" s="22" t="s">
        <v>16</v>
      </c>
      <c r="C256" s="21">
        <v>6010</v>
      </c>
      <c r="E256" s="178">
        <f>C256*$I248</f>
        <v>828.779</v>
      </c>
      <c r="H256" s="206" t="s">
        <v>19</v>
      </c>
      <c r="I256" s="188">
        <f>SUM(I252:I255)</f>
        <v>347727</v>
      </c>
    </row>
    <row r="257" spans="2:6">
      <c r="B257" s="18" t="s">
        <v>18</v>
      </c>
      <c r="C257" s="189">
        <f>SUM(C251:C256)</f>
        <v>377577</v>
      </c>
      <c r="D257" s="190">
        <f>C257/C263</f>
        <v>1.7737028772753964</v>
      </c>
      <c r="E257" s="189">
        <f>SUM(E251:E256)</f>
        <v>52067.868300000002</v>
      </c>
      <c r="F257" s="190">
        <f>E257/E263</f>
        <v>1.7032982366036014</v>
      </c>
    </row>
    <row r="258" spans="2:6">
      <c r="B258" s="12" t="s">
        <v>20</v>
      </c>
      <c r="C258" s="215">
        <f>Model!Y$113</f>
        <v>139647</v>
      </c>
      <c r="E258" s="178">
        <f>C258*$I248</f>
        <v>19257.3213</v>
      </c>
    </row>
    <row r="259" spans="2:6">
      <c r="B259" s="78" t="s">
        <v>21</v>
      </c>
      <c r="C259" s="215">
        <f>Model!Y$114</f>
        <v>208080</v>
      </c>
      <c r="E259" s="178">
        <f>C259*$I248</f>
        <v>28694.232</v>
      </c>
    </row>
    <row r="260" spans="2:6">
      <c r="B260" s="18" t="s">
        <v>22</v>
      </c>
      <c r="C260" s="191">
        <f>C257-C258-C259</f>
        <v>29850</v>
      </c>
      <c r="D260" s="190">
        <f>C260/C263</f>
        <v>0.14022313564298297</v>
      </c>
      <c r="E260" s="191">
        <f>E257-E258-E259</f>
        <v>4116.315000000006</v>
      </c>
      <c r="F260" s="190">
        <f>E260/E263</f>
        <v>0.13465717552344972</v>
      </c>
    </row>
    <row r="261" spans="2:6">
      <c r="B261" s="7" t="s">
        <v>23</v>
      </c>
      <c r="C261" s="180">
        <f>Model!Y$118</f>
        <v>840816</v>
      </c>
      <c r="E261" s="183">
        <f>C261*$I248</f>
        <v>115948.5264</v>
      </c>
    </row>
    <row r="262" spans="2:6">
      <c r="B262" s="7" t="s">
        <v>24</v>
      </c>
      <c r="C262" s="179">
        <f>C260+C261</f>
        <v>870666</v>
      </c>
      <c r="E262" s="179">
        <f>E260+E261</f>
        <v>120064.8414</v>
      </c>
    </row>
    <row r="263" spans="2:6">
      <c r="B263" s="12" t="s">
        <v>25</v>
      </c>
      <c r="C263" s="216">
        <f>Model!Y$80</f>
        <v>212875</v>
      </c>
      <c r="E263" s="182">
        <f>C263*I249</f>
        <v>30568.850000000002</v>
      </c>
    </row>
    <row r="264" spans="2:6">
      <c r="B264" s="11" t="s">
        <v>26</v>
      </c>
      <c r="C264" s="10">
        <f>+C257-Model!Y$112</f>
        <v>0</v>
      </c>
    </row>
    <row r="267" spans="2:6" ht="15" thickBot="1"/>
    <row r="268" spans="2:6">
      <c r="B268" s="5" t="s">
        <v>79</v>
      </c>
      <c r="C268" s="185" t="s">
        <v>4</v>
      </c>
      <c r="D268" s="8" t="s">
        <v>6</v>
      </c>
    </row>
    <row r="269" spans="2:6">
      <c r="B269" s="137" t="s">
        <v>20</v>
      </c>
      <c r="C269" s="186">
        <f>C258</f>
        <v>139647</v>
      </c>
      <c r="D269" s="187">
        <f>C269*I248</f>
        <v>19257.3213</v>
      </c>
    </row>
    <row r="270" spans="2:6">
      <c r="B270" s="137" t="s">
        <v>21</v>
      </c>
      <c r="C270" s="186">
        <f>C259</f>
        <v>208080</v>
      </c>
      <c r="D270" s="187">
        <f>C270*I248</f>
        <v>28694.232</v>
      </c>
    </row>
    <row r="271" spans="2:6" ht="15" thickBot="1">
      <c r="B271" s="3" t="s">
        <v>28</v>
      </c>
      <c r="C271" s="192">
        <f>SUM(C269:C270)</f>
        <v>347727</v>
      </c>
      <c r="D271" s="193">
        <f>SUM(D269:D270)</f>
        <v>47951.5533</v>
      </c>
    </row>
    <row r="272" spans="2:6" ht="15" thickBot="1"/>
    <row r="273" spans="1:9" ht="15" thickBot="1">
      <c r="B273" s="201" t="s">
        <v>80</v>
      </c>
      <c r="C273" s="200" t="s">
        <v>4</v>
      </c>
      <c r="D273" s="203" t="s">
        <v>6</v>
      </c>
    </row>
    <row r="274" spans="1:9">
      <c r="B274" s="217">
        <v>2023</v>
      </c>
      <c r="C274" s="205">
        <v>200</v>
      </c>
      <c r="D274" s="149">
        <f>C274*I248</f>
        <v>27.58</v>
      </c>
    </row>
    <row r="275" spans="1:9">
      <c r="B275" s="217">
        <v>2024</v>
      </c>
      <c r="C275" s="205">
        <v>15864.36</v>
      </c>
      <c r="D275" s="149">
        <f>C275*I248</f>
        <v>2187.695244</v>
      </c>
    </row>
    <row r="276" spans="1:9">
      <c r="B276" s="217">
        <v>2025</v>
      </c>
      <c r="C276" s="205">
        <v>8662.32</v>
      </c>
      <c r="D276" s="149">
        <f>C276*I248</f>
        <v>1194.5339279999998</v>
      </c>
    </row>
    <row r="277" spans="1:9" ht="15" thickBot="1">
      <c r="B277" s="212" t="s">
        <v>73</v>
      </c>
      <c r="C277" s="205">
        <f>270568.34-SUM(C274:C276)</f>
        <v>245841.66000000003</v>
      </c>
      <c r="D277" s="149">
        <f>C277*I248</f>
        <v>33901.564914000002</v>
      </c>
    </row>
    <row r="278" spans="1:9" ht="15" thickBot="1">
      <c r="B278" s="202" t="s">
        <v>19</v>
      </c>
      <c r="C278" s="199">
        <f>SUM(C274:C277)</f>
        <v>270568.34000000003</v>
      </c>
      <c r="D278" s="204">
        <f>SUM(D274:D277)</f>
        <v>37311.374086000003</v>
      </c>
    </row>
    <row r="280" spans="1:9">
      <c r="C280" s="182"/>
    </row>
    <row r="281" spans="1:9">
      <c r="A281" s="176" t="s">
        <v>81</v>
      </c>
    </row>
    <row r="283" spans="1:9">
      <c r="H283" s="7" t="s">
        <v>82</v>
      </c>
      <c r="I283" s="181">
        <f>Model!X$198</f>
        <v>0.14560000000000001</v>
      </c>
    </row>
    <row r="284" spans="1:9">
      <c r="H284" s="7" t="s">
        <v>83</v>
      </c>
      <c r="I284" s="181">
        <f>Model!X$199</f>
        <v>0.145675</v>
      </c>
    </row>
    <row r="285" spans="1:9" ht="15" thickBot="1">
      <c r="B285" s="25" t="s">
        <v>84</v>
      </c>
      <c r="C285" s="136" t="s">
        <v>4</v>
      </c>
      <c r="D285" s="24" t="s">
        <v>5</v>
      </c>
      <c r="E285" s="136" t="s">
        <v>6</v>
      </c>
      <c r="F285" s="24" t="s">
        <v>5</v>
      </c>
    </row>
    <row r="286" spans="1:9" ht="15" thickBot="1">
      <c r="B286" s="22" t="s">
        <v>7</v>
      </c>
      <c r="C286" s="21">
        <v>166408</v>
      </c>
      <c r="E286" s="178">
        <f>C286*$I283</f>
        <v>24229.004800000002</v>
      </c>
      <c r="H286" s="177" t="s">
        <v>85</v>
      </c>
      <c r="I286" s="195" t="s">
        <v>4</v>
      </c>
    </row>
    <row r="287" spans="1:9">
      <c r="B287" s="22" t="s">
        <v>9</v>
      </c>
      <c r="C287" s="21">
        <v>146704</v>
      </c>
      <c r="E287" s="178">
        <f>C287*$I283</f>
        <v>21360.1024</v>
      </c>
      <c r="H287" s="168" t="str">
        <f>B293</f>
        <v>Cash and Cash Equivalents</v>
      </c>
      <c r="I287" s="196">
        <f>C293</f>
        <v>153328</v>
      </c>
    </row>
    <row r="288" spans="1:9">
      <c r="B288" s="22" t="s">
        <v>10</v>
      </c>
      <c r="C288" s="21">
        <v>16926</v>
      </c>
      <c r="E288" s="178">
        <f>C288*$I283</f>
        <v>2464.4256</v>
      </c>
      <c r="H288" s="170" t="s">
        <v>11</v>
      </c>
      <c r="I288" s="197">
        <v>151143</v>
      </c>
    </row>
    <row r="289" spans="2:9">
      <c r="B289" s="22" t="s">
        <v>12</v>
      </c>
      <c r="C289" s="21">
        <v>25921</v>
      </c>
      <c r="E289" s="178">
        <f>C289*$I283</f>
        <v>3774.0976000000001</v>
      </c>
      <c r="H289" s="170" t="s">
        <v>13</v>
      </c>
      <c r="I289" s="197">
        <v>33941</v>
      </c>
    </row>
    <row r="290" spans="2:9">
      <c r="B290" s="22" t="s">
        <v>14</v>
      </c>
      <c r="C290" s="21">
        <v>0</v>
      </c>
      <c r="E290" s="178">
        <f>C290*$I283</f>
        <v>0</v>
      </c>
      <c r="H290" s="170" t="s">
        <v>17</v>
      </c>
      <c r="I290" s="197">
        <v>871</v>
      </c>
    </row>
    <row r="291" spans="2:9" ht="15" thickBot="1">
      <c r="B291" s="22" t="s">
        <v>16</v>
      </c>
      <c r="C291" s="21">
        <v>6127</v>
      </c>
      <c r="E291" s="178">
        <f>C291*$I283</f>
        <v>892.09120000000007</v>
      </c>
      <c r="H291" s="173" t="s">
        <v>19</v>
      </c>
      <c r="I291" s="188">
        <f>SUM(I287:I290)</f>
        <v>339283</v>
      </c>
    </row>
    <row r="292" spans="2:9">
      <c r="B292" s="18" t="s">
        <v>18</v>
      </c>
      <c r="C292" s="189">
        <f>SUM(C286:C291)</f>
        <v>362086</v>
      </c>
      <c r="D292" s="190">
        <f>C292/C298</f>
        <v>1.8041605421161464</v>
      </c>
      <c r="E292" s="189">
        <f>SUM(E286:E291)</f>
        <v>52719.721600000004</v>
      </c>
      <c r="F292" s="190">
        <f>E292/E298</f>
        <v>1.8032316796438024</v>
      </c>
    </row>
    <row r="293" spans="2:9">
      <c r="B293" s="12" t="s">
        <v>20</v>
      </c>
      <c r="C293" s="215">
        <f>Model!X$113</f>
        <v>153328</v>
      </c>
      <c r="E293" s="178">
        <f>C293*$I283</f>
        <v>22324.556800000002</v>
      </c>
    </row>
    <row r="294" spans="2:9">
      <c r="B294" s="78" t="s">
        <v>21</v>
      </c>
      <c r="C294" s="215">
        <f>Model!X$114</f>
        <v>185955</v>
      </c>
      <c r="E294" s="178">
        <f>C294*$I283</f>
        <v>27075.048000000003</v>
      </c>
    </row>
    <row r="295" spans="2:9">
      <c r="B295" s="18" t="s">
        <v>22</v>
      </c>
      <c r="C295" s="191">
        <f>C292-C293-C294</f>
        <v>22803</v>
      </c>
      <c r="D295" s="190">
        <f>C295/C298</f>
        <v>0.11362016990956426</v>
      </c>
      <c r="E295" s="191">
        <f>E292-E293-E294</f>
        <v>3320.1167999999998</v>
      </c>
      <c r="F295" s="190">
        <f>E295/E298</f>
        <v>0.1135616731685777</v>
      </c>
    </row>
    <row r="296" spans="2:9">
      <c r="B296" s="7" t="s">
        <v>23</v>
      </c>
      <c r="C296" s="180">
        <f>Model!X$118</f>
        <v>841373</v>
      </c>
      <c r="E296" s="183">
        <f>C296*$I283</f>
        <v>122503.9088</v>
      </c>
    </row>
    <row r="297" spans="2:9">
      <c r="B297" s="7" t="s">
        <v>24</v>
      </c>
      <c r="C297" s="179">
        <f>C295+C296</f>
        <v>864176</v>
      </c>
      <c r="E297" s="179">
        <f>E295+E296</f>
        <v>125824.02560000001</v>
      </c>
    </row>
    <row r="298" spans="2:9">
      <c r="B298" s="12" t="s">
        <v>25</v>
      </c>
      <c r="C298" s="216">
        <f>Model!X$80</f>
        <v>200695</v>
      </c>
      <c r="E298" s="182">
        <f>C298*I284</f>
        <v>29236.244125000001</v>
      </c>
    </row>
    <row r="299" spans="2:9">
      <c r="B299" s="11" t="s">
        <v>26</v>
      </c>
      <c r="C299" s="10">
        <f>+C292-Model!X$112</f>
        <v>0</v>
      </c>
    </row>
    <row r="301" spans="2:9" ht="15" thickBot="1"/>
    <row r="302" spans="2:9">
      <c r="B302" s="5" t="s">
        <v>86</v>
      </c>
      <c r="C302" s="185" t="s">
        <v>4</v>
      </c>
      <c r="D302" s="8" t="s">
        <v>6</v>
      </c>
    </row>
    <row r="303" spans="2:9">
      <c r="B303" s="137" t="s">
        <v>20</v>
      </c>
      <c r="C303" s="186">
        <f>C293</f>
        <v>153328</v>
      </c>
      <c r="D303" s="187">
        <f>C303*I283</f>
        <v>22324.556800000002</v>
      </c>
    </row>
    <row r="304" spans="2:9">
      <c r="B304" s="137" t="s">
        <v>21</v>
      </c>
      <c r="C304" s="186">
        <f>C294</f>
        <v>185955</v>
      </c>
      <c r="D304" s="187">
        <f>C304*I283</f>
        <v>27075.048000000003</v>
      </c>
    </row>
    <row r="305" spans="1:9" ht="15" thickBot="1">
      <c r="B305" s="3" t="s">
        <v>28</v>
      </c>
      <c r="C305" s="192">
        <f>SUM(C303:C304)</f>
        <v>339283</v>
      </c>
      <c r="D305" s="193">
        <f>SUM(D303:D304)</f>
        <v>49399.604800000001</v>
      </c>
    </row>
    <row r="306" spans="1:9" ht="15" thickBot="1"/>
    <row r="307" spans="1:9" ht="15" thickBot="1">
      <c r="B307" s="201" t="s">
        <v>87</v>
      </c>
      <c r="C307" s="200" t="s">
        <v>4</v>
      </c>
      <c r="D307" s="203" t="s">
        <v>6</v>
      </c>
    </row>
    <row r="308" spans="1:9">
      <c r="B308" s="217">
        <v>2023</v>
      </c>
      <c r="C308" s="205">
        <v>47.14</v>
      </c>
      <c r="D308" s="149">
        <f>C308*I283</f>
        <v>6.8635840000000004</v>
      </c>
    </row>
    <row r="309" spans="1:9">
      <c r="B309" s="217">
        <v>2024</v>
      </c>
      <c r="C309" s="205">
        <v>1779.42</v>
      </c>
      <c r="D309" s="149">
        <f>C309*I283</f>
        <v>259.083552</v>
      </c>
    </row>
    <row r="310" spans="1:9">
      <c r="B310" s="217">
        <v>2025</v>
      </c>
      <c r="C310" s="205">
        <v>7122.39</v>
      </c>
      <c r="D310" s="149">
        <f>C310*I283</f>
        <v>1037.019984</v>
      </c>
    </row>
    <row r="311" spans="1:9" ht="15" thickBot="1">
      <c r="B311" s="212" t="s">
        <v>73</v>
      </c>
      <c r="C311" s="205">
        <f>30720.17-SUM(C308:C310)</f>
        <v>21771.219999999998</v>
      </c>
      <c r="D311" s="149">
        <f>C311*I283</f>
        <v>3169.8896319999999</v>
      </c>
    </row>
    <row r="312" spans="1:9" ht="15" thickBot="1">
      <c r="B312" s="202" t="s">
        <v>19</v>
      </c>
      <c r="C312" s="199">
        <f>SUM(C308:C311)</f>
        <v>30720.17</v>
      </c>
      <c r="D312" s="204">
        <f>SUM(D308:D311)</f>
        <v>4472.8567519999997</v>
      </c>
    </row>
    <row r="314" spans="1:9">
      <c r="A314" s="176" t="s">
        <v>88</v>
      </c>
    </row>
    <row r="316" spans="1:9">
      <c r="H316" s="7" t="s">
        <v>89</v>
      </c>
      <c r="I316" s="181">
        <f>Model!W$198</f>
        <v>0.1449</v>
      </c>
    </row>
    <row r="317" spans="1:9">
      <c r="H317" s="7" t="s">
        <v>90</v>
      </c>
      <c r="I317" s="181">
        <f>Model!W$199</f>
        <v>0.14853682589447481</v>
      </c>
    </row>
    <row r="318" spans="1:9" ht="15" thickBot="1">
      <c r="B318" s="25" t="s">
        <v>91</v>
      </c>
      <c r="C318" s="136" t="s">
        <v>4</v>
      </c>
      <c r="D318" s="24" t="s">
        <v>5</v>
      </c>
      <c r="E318" s="136" t="s">
        <v>6</v>
      </c>
      <c r="F318" s="24" t="s">
        <v>5</v>
      </c>
    </row>
    <row r="319" spans="1:9" ht="15" thickBot="1">
      <c r="B319" s="22" t="s">
        <v>7</v>
      </c>
      <c r="C319" s="21">
        <v>163668</v>
      </c>
      <c r="E319" s="178">
        <f>C319*$I316</f>
        <v>23715.493200000001</v>
      </c>
      <c r="H319" s="177" t="s">
        <v>92</v>
      </c>
      <c r="I319" s="175" t="s">
        <v>4</v>
      </c>
    </row>
    <row r="320" spans="1:9">
      <c r="B320" s="22" t="s">
        <v>9</v>
      </c>
      <c r="C320" s="21">
        <v>148669</v>
      </c>
      <c r="E320" s="178">
        <f>C320*$I316</f>
        <v>21542.1381</v>
      </c>
      <c r="H320" s="168" t="str">
        <f>B326</f>
        <v>Cash and Cash Equivalents</v>
      </c>
      <c r="I320" s="187">
        <f>C326</f>
        <v>156739</v>
      </c>
    </row>
    <row r="321" spans="2:9">
      <c r="B321" s="22" t="s">
        <v>10</v>
      </c>
      <c r="C321" s="21">
        <v>18424</v>
      </c>
      <c r="E321" s="178">
        <f>C321*$I316</f>
        <v>2669.6376</v>
      </c>
      <c r="H321" s="170" t="s">
        <v>11</v>
      </c>
      <c r="I321" s="171">
        <v>104776</v>
      </c>
    </row>
    <row r="322" spans="2:9">
      <c r="B322" s="22" t="s">
        <v>12</v>
      </c>
      <c r="C322" s="21">
        <v>11580</v>
      </c>
      <c r="E322" s="178">
        <f>C322*$I316</f>
        <v>1677.942</v>
      </c>
      <c r="H322" s="170" t="s">
        <v>13</v>
      </c>
      <c r="I322" s="171">
        <v>27963</v>
      </c>
    </row>
    <row r="323" spans="2:9">
      <c r="B323" s="22" t="s">
        <v>14</v>
      </c>
      <c r="C323" s="21">
        <v>10446</v>
      </c>
      <c r="E323" s="178">
        <f>C323*$I316</f>
        <v>1513.6253999999999</v>
      </c>
      <c r="H323" s="170" t="s">
        <v>17</v>
      </c>
      <c r="I323" s="171">
        <v>1278</v>
      </c>
    </row>
    <row r="324" spans="2:9" ht="15" thickBot="1">
      <c r="B324" s="22" t="s">
        <v>16</v>
      </c>
      <c r="C324" s="21">
        <v>6354</v>
      </c>
      <c r="E324" s="178">
        <f>C324*$I316</f>
        <v>920.69460000000004</v>
      </c>
      <c r="H324" s="173" t="s">
        <v>19</v>
      </c>
      <c r="I324" s="188">
        <f>SUM(I320:I323)</f>
        <v>290756</v>
      </c>
    </row>
    <row r="325" spans="2:9">
      <c r="B325" s="18" t="s">
        <v>18</v>
      </c>
      <c r="C325" s="189">
        <f>SUM(C319:C324)</f>
        <v>359141</v>
      </c>
      <c r="D325" s="190">
        <f>C325/C331</f>
        <v>1.9003576984538537</v>
      </c>
      <c r="E325" s="189">
        <f>SUM(E319:E324)</f>
        <v>52039.530900000005</v>
      </c>
      <c r="F325" s="190">
        <f>E325/E331</f>
        <v>1.8538286976832874</v>
      </c>
    </row>
    <row r="326" spans="2:9">
      <c r="B326" s="12" t="s">
        <v>20</v>
      </c>
      <c r="C326" s="215">
        <f>Model!W$113</f>
        <v>156739</v>
      </c>
      <c r="E326" s="178">
        <f>C326*$I316</f>
        <v>22711.481100000001</v>
      </c>
    </row>
    <row r="327" spans="2:9">
      <c r="B327" s="78" t="s">
        <v>21</v>
      </c>
      <c r="C327" s="215">
        <f>Model!W$114</f>
        <v>134017</v>
      </c>
      <c r="E327" s="178">
        <f>C327*$I316</f>
        <v>19419.063300000002</v>
      </c>
    </row>
    <row r="328" spans="2:9">
      <c r="B328" s="18" t="s">
        <v>22</v>
      </c>
      <c r="C328" s="191">
        <f>C325-C326-C327</f>
        <v>68385</v>
      </c>
      <c r="D328" s="190">
        <f>C328/C331</f>
        <v>0.36185220069211477</v>
      </c>
      <c r="E328" s="191">
        <f>E325-E326-E327</f>
        <v>9908.9865000000027</v>
      </c>
      <c r="F328" s="190">
        <f>E328/E331</f>
        <v>0.35299248899755703</v>
      </c>
    </row>
    <row r="329" spans="2:9">
      <c r="B329" s="7" t="s">
        <v>23</v>
      </c>
      <c r="C329" s="180">
        <f>Model!W$118</f>
        <v>782860</v>
      </c>
      <c r="E329" s="183">
        <f>C329*$I316</f>
        <v>113436.414</v>
      </c>
    </row>
    <row r="330" spans="2:9">
      <c r="B330" s="7" t="s">
        <v>24</v>
      </c>
      <c r="C330" s="179">
        <f>C328+C329</f>
        <v>851245</v>
      </c>
      <c r="E330" s="179">
        <f>E328+E329</f>
        <v>123345.4005</v>
      </c>
    </row>
    <row r="331" spans="2:9">
      <c r="B331" s="12" t="s">
        <v>25</v>
      </c>
      <c r="C331" s="216">
        <f>Model!W$80</f>
        <v>188986</v>
      </c>
      <c r="E331" s="182">
        <f>C331*I317</f>
        <v>28071.380578493216</v>
      </c>
    </row>
    <row r="332" spans="2:9">
      <c r="B332" s="11" t="s">
        <v>26</v>
      </c>
      <c r="C332" s="10">
        <f>+C325-Model!W$112</f>
        <v>0</v>
      </c>
    </row>
    <row r="335" spans="2:9" ht="15" thickBot="1"/>
    <row r="336" spans="2:9">
      <c r="B336" s="5" t="s">
        <v>93</v>
      </c>
      <c r="C336" s="185" t="s">
        <v>4</v>
      </c>
      <c r="D336" s="8" t="s">
        <v>6</v>
      </c>
    </row>
    <row r="337" spans="1:9">
      <c r="B337" s="137" t="s">
        <v>20</v>
      </c>
      <c r="C337" s="186">
        <f>C326</f>
        <v>156739</v>
      </c>
      <c r="D337" s="187">
        <f>C337*I316</f>
        <v>22711.481100000001</v>
      </c>
    </row>
    <row r="338" spans="1:9">
      <c r="B338" s="137" t="s">
        <v>21</v>
      </c>
      <c r="C338" s="186">
        <f>C327</f>
        <v>134017</v>
      </c>
      <c r="D338" s="187">
        <f>C338*I316</f>
        <v>19419.063300000002</v>
      </c>
    </row>
    <row r="339" spans="1:9" ht="15" thickBot="1">
      <c r="B339" s="3" t="s">
        <v>28</v>
      </c>
      <c r="C339" s="192">
        <f>SUM(C337:C338)</f>
        <v>290756</v>
      </c>
      <c r="D339" s="193">
        <f>SUM(D337:D338)</f>
        <v>42130.544399999999</v>
      </c>
    </row>
    <row r="342" spans="1:9">
      <c r="A342" s="176" t="s">
        <v>94</v>
      </c>
    </row>
    <row r="344" spans="1:9">
      <c r="H344" s="7" t="s">
        <v>95</v>
      </c>
      <c r="I344" s="181">
        <f>Model!V198</f>
        <v>0.14019999999999999</v>
      </c>
    </row>
    <row r="345" spans="1:9">
      <c r="H345" s="7" t="s">
        <v>96</v>
      </c>
      <c r="I345" s="181">
        <f>Model!V199</f>
        <v>0.15238593764314542</v>
      </c>
    </row>
    <row r="346" spans="1:9" ht="15" thickBot="1">
      <c r="B346" s="25" t="s">
        <v>97</v>
      </c>
      <c r="C346" s="136" t="s">
        <v>4</v>
      </c>
      <c r="D346" s="24" t="s">
        <v>5</v>
      </c>
      <c r="E346" s="136" t="s">
        <v>6</v>
      </c>
      <c r="F346" s="24" t="s">
        <v>5</v>
      </c>
    </row>
    <row r="347" spans="1:9" ht="15" thickBot="1">
      <c r="B347" s="22" t="s">
        <v>7</v>
      </c>
      <c r="C347" s="21">
        <v>171009</v>
      </c>
      <c r="E347" s="178">
        <f t="shared" ref="E347:E352" si="0">C347*$I$344</f>
        <v>23975.461799999997</v>
      </c>
      <c r="H347" s="177" t="s">
        <v>98</v>
      </c>
      <c r="I347" s="175" t="s">
        <v>4</v>
      </c>
    </row>
    <row r="348" spans="1:9">
      <c r="B348" s="22" t="s">
        <v>9</v>
      </c>
      <c r="C348" s="21">
        <v>151535</v>
      </c>
      <c r="E348" s="178">
        <f t="shared" si="0"/>
        <v>21245.206999999999</v>
      </c>
      <c r="H348" s="168" t="str">
        <f>B354</f>
        <v>Cash and Cash Equivalents</v>
      </c>
      <c r="I348" s="187">
        <f>C354</f>
        <v>160177</v>
      </c>
    </row>
    <row r="349" spans="1:9">
      <c r="B349" s="22" t="s">
        <v>10</v>
      </c>
      <c r="C349" s="21">
        <v>18082</v>
      </c>
      <c r="E349" s="178">
        <f t="shared" si="0"/>
        <v>2535.0963999999999</v>
      </c>
      <c r="H349" s="170" t="s">
        <v>11</v>
      </c>
      <c r="I349" s="171">
        <v>109636</v>
      </c>
    </row>
    <row r="350" spans="1:9">
      <c r="B350" s="22" t="s">
        <v>12</v>
      </c>
      <c r="C350" s="21">
        <v>9694</v>
      </c>
      <c r="E350" s="178">
        <f t="shared" si="0"/>
        <v>1359.0988</v>
      </c>
      <c r="H350" s="170" t="s">
        <v>13</v>
      </c>
      <c r="I350" s="171">
        <v>21089</v>
      </c>
    </row>
    <row r="351" spans="1:9">
      <c r="B351" s="22" t="s">
        <v>14</v>
      </c>
      <c r="C351" s="21">
        <v>10646</v>
      </c>
      <c r="E351" s="178">
        <f t="shared" si="0"/>
        <v>1492.5691999999999</v>
      </c>
      <c r="H351" s="170" t="s">
        <v>17</v>
      </c>
      <c r="I351" s="171">
        <v>1521</v>
      </c>
    </row>
    <row r="352" spans="1:9" ht="15" thickBot="1">
      <c r="B352" s="22" t="s">
        <v>16</v>
      </c>
      <c r="C352" s="21">
        <v>6207</v>
      </c>
      <c r="E352" s="178">
        <f t="shared" si="0"/>
        <v>870.2213999999999</v>
      </c>
      <c r="H352" s="173" t="s">
        <v>19</v>
      </c>
      <c r="I352" s="188">
        <f>SUM(I348:I351)</f>
        <v>292423</v>
      </c>
    </row>
    <row r="353" spans="2:6">
      <c r="B353" s="18" t="s">
        <v>18</v>
      </c>
      <c r="C353" s="189">
        <f>SUM(C347:C352)</f>
        <v>367173</v>
      </c>
      <c r="D353" s="190">
        <f>C353/C359</f>
        <v>2.0213546053609472</v>
      </c>
      <c r="E353" s="189">
        <f>SUM(E347:E352)</f>
        <v>51477.654600000002</v>
      </c>
      <c r="F353" s="190">
        <f>E353/E359</f>
        <v>1.8597117296692522</v>
      </c>
    </row>
    <row r="354" spans="2:6">
      <c r="B354" s="12" t="s">
        <v>20</v>
      </c>
      <c r="C354" s="215">
        <f>Model!V113</f>
        <v>160177</v>
      </c>
      <c r="E354" s="178">
        <f>C354*$I$344</f>
        <v>22456.815399999999</v>
      </c>
    </row>
    <row r="355" spans="2:6">
      <c r="B355" s="78" t="s">
        <v>21</v>
      </c>
      <c r="C355" s="215">
        <f>Model!V114</f>
        <v>132246</v>
      </c>
      <c r="E355" s="178">
        <f>C355*$I$344</f>
        <v>18540.889199999998</v>
      </c>
    </row>
    <row r="356" spans="2:6">
      <c r="B356" s="18" t="s">
        <v>22</v>
      </c>
      <c r="C356" s="191">
        <f>C353-C354-C355</f>
        <v>74750</v>
      </c>
      <c r="D356" s="190">
        <f>C356/C359</f>
        <v>0.41151243896128203</v>
      </c>
      <c r="E356" s="191">
        <f>E353-E354-E355</f>
        <v>10479.950000000004</v>
      </c>
      <c r="F356" s="190">
        <f>E356/E359</f>
        <v>0.37860477702003326</v>
      </c>
    </row>
    <row r="357" spans="2:6">
      <c r="B357" s="7" t="s">
        <v>23</v>
      </c>
      <c r="C357" s="180">
        <f>Model!V118</f>
        <v>818406</v>
      </c>
      <c r="E357" s="183">
        <f>C357*$I$344</f>
        <v>114740.52119999999</v>
      </c>
    </row>
    <row r="358" spans="2:6">
      <c r="B358" s="7" t="s">
        <v>24</v>
      </c>
      <c r="C358" s="179">
        <f>C356+C357</f>
        <v>893156</v>
      </c>
      <c r="E358" s="179">
        <f>E356+E357</f>
        <v>125220.4712</v>
      </c>
    </row>
    <row r="359" spans="2:6">
      <c r="B359" s="12" t="s">
        <v>25</v>
      </c>
      <c r="C359" s="216">
        <f>Model!V80</f>
        <v>181647</v>
      </c>
      <c r="E359" s="182">
        <f>C359*I345</f>
        <v>27680.448415064438</v>
      </c>
    </row>
    <row r="360" spans="2:6">
      <c r="B360" s="11" t="s">
        <v>26</v>
      </c>
      <c r="C360" s="10">
        <f>+C353-Model!V112</f>
        <v>0</v>
      </c>
    </row>
    <row r="363" spans="2:6" ht="15" thickBot="1"/>
    <row r="364" spans="2:6">
      <c r="B364" s="5" t="s">
        <v>99</v>
      </c>
      <c r="C364" s="185" t="s">
        <v>4</v>
      </c>
      <c r="D364" s="8" t="s">
        <v>6</v>
      </c>
    </row>
    <row r="365" spans="2:6">
      <c r="B365" s="137" t="s">
        <v>20</v>
      </c>
      <c r="C365" s="186">
        <f>C354</f>
        <v>160177</v>
      </c>
      <c r="D365" s="184">
        <f>C365*I344</f>
        <v>22456.815399999999</v>
      </c>
    </row>
    <row r="366" spans="2:6">
      <c r="B366" s="137" t="s">
        <v>21</v>
      </c>
      <c r="C366" s="186">
        <f>C355</f>
        <v>132246</v>
      </c>
      <c r="D366" s="184">
        <f>C366*I344</f>
        <v>18540.889199999998</v>
      </c>
    </row>
    <row r="367" spans="2:6" ht="15" thickBot="1">
      <c r="B367" s="3" t="s">
        <v>28</v>
      </c>
      <c r="C367" s="192">
        <f>SUM(C365:C366)</f>
        <v>292423</v>
      </c>
      <c r="D367" s="193">
        <f>SUM(D365:D366)</f>
        <v>40997.704599999997</v>
      </c>
    </row>
    <row r="372" spans="1:9">
      <c r="A372" s="176" t="s">
        <v>100</v>
      </c>
    </row>
    <row r="374" spans="1:9">
      <c r="H374" s="7" t="s">
        <v>101</v>
      </c>
      <c r="I374" s="181">
        <f>Model!U198</f>
        <v>0.1492</v>
      </c>
    </row>
    <row r="375" spans="1:9">
      <c r="H375" s="7" t="s">
        <v>102</v>
      </c>
      <c r="I375" s="181">
        <f>Model!U199</f>
        <v>0.15486964583769067</v>
      </c>
    </row>
    <row r="376" spans="1:9" ht="15" thickBot="1">
      <c r="B376" s="25" t="s">
        <v>103</v>
      </c>
      <c r="C376" s="136" t="s">
        <v>4</v>
      </c>
      <c r="D376" s="24" t="s">
        <v>5</v>
      </c>
      <c r="E376" s="136" t="s">
        <v>6</v>
      </c>
      <c r="F376" s="24" t="s">
        <v>5</v>
      </c>
    </row>
    <row r="377" spans="1:9" ht="15" thickBot="1">
      <c r="B377" s="22" t="s">
        <v>7</v>
      </c>
      <c r="C377" s="21">
        <v>162577</v>
      </c>
      <c r="E377" s="178">
        <f t="shared" ref="E377:E382" si="1">C377*$I$374</f>
        <v>24256.488399999998</v>
      </c>
      <c r="H377" s="177" t="s">
        <v>104</v>
      </c>
      <c r="I377" s="175" t="s">
        <v>4</v>
      </c>
    </row>
    <row r="378" spans="1:9">
      <c r="B378" s="22" t="s">
        <v>9</v>
      </c>
      <c r="C378" s="21">
        <v>143232</v>
      </c>
      <c r="E378" s="178">
        <f t="shared" si="1"/>
        <v>21370.214400000001</v>
      </c>
      <c r="H378" s="168" t="str">
        <f>B384</f>
        <v>Cash and Cash Equivalents</v>
      </c>
      <c r="I378" s="187">
        <f>C384</f>
        <v>184658</v>
      </c>
    </row>
    <row r="379" spans="1:9">
      <c r="B379" s="22" t="s">
        <v>10</v>
      </c>
      <c r="C379" s="21">
        <v>18372</v>
      </c>
      <c r="E379" s="178">
        <f t="shared" si="1"/>
        <v>2741.1023999999998</v>
      </c>
      <c r="H379" s="170" t="s">
        <v>11</v>
      </c>
      <c r="I379" s="171">
        <v>91670</v>
      </c>
    </row>
    <row r="380" spans="1:9">
      <c r="B380" s="22" t="s">
        <v>12</v>
      </c>
      <c r="C380" s="21">
        <v>20473</v>
      </c>
      <c r="E380" s="178">
        <f t="shared" si="1"/>
        <v>3054.5715999999998</v>
      </c>
      <c r="H380" s="170" t="s">
        <v>13</v>
      </c>
      <c r="I380" s="171">
        <v>14762</v>
      </c>
    </row>
    <row r="381" spans="1:9">
      <c r="B381" s="22" t="s">
        <v>14</v>
      </c>
      <c r="C381" s="21">
        <v>10062</v>
      </c>
      <c r="E381" s="178">
        <f t="shared" si="1"/>
        <v>1501.2503999999999</v>
      </c>
      <c r="H381" s="170" t="s">
        <v>17</v>
      </c>
      <c r="I381" s="171">
        <v>1095</v>
      </c>
    </row>
    <row r="382" spans="1:9" ht="15" thickBot="1">
      <c r="B382" s="22" t="s">
        <v>16</v>
      </c>
      <c r="C382" s="21">
        <v>6086</v>
      </c>
      <c r="E382" s="178">
        <f t="shared" si="1"/>
        <v>908.03120000000001</v>
      </c>
      <c r="H382" s="173" t="s">
        <v>19</v>
      </c>
      <c r="I382" s="188">
        <f>SUM(I378:I381)</f>
        <v>292185</v>
      </c>
    </row>
    <row r="383" spans="1:9">
      <c r="B383" s="18" t="s">
        <v>18</v>
      </c>
      <c r="C383" s="189">
        <f>SUM(C377:C382)</f>
        <v>360802</v>
      </c>
      <c r="D383" s="190">
        <f>C383/C389</f>
        <v>1.9792313515529858</v>
      </c>
      <c r="E383" s="189">
        <f>SUM(E377:E382)</f>
        <v>53831.6584</v>
      </c>
      <c r="F383" s="190">
        <f>E383/E389</f>
        <v>1.906773377406652</v>
      </c>
    </row>
    <row r="384" spans="1:9">
      <c r="B384" s="12" t="s">
        <v>20</v>
      </c>
      <c r="C384" s="215">
        <f>Model!U113</f>
        <v>184658</v>
      </c>
      <c r="E384" s="178">
        <f>C384*$I$374</f>
        <v>27550.973600000001</v>
      </c>
    </row>
    <row r="385" spans="2:6">
      <c r="B385" s="78" t="s">
        <v>21</v>
      </c>
      <c r="C385" s="215">
        <f>Model!U114</f>
        <v>107527</v>
      </c>
      <c r="E385" s="178">
        <f>C385*$I$374</f>
        <v>16043.028399999999</v>
      </c>
    </row>
    <row r="386" spans="2:6">
      <c r="B386" s="18" t="s">
        <v>22</v>
      </c>
      <c r="C386" s="191">
        <f>C383-C384-C385</f>
        <v>68617</v>
      </c>
      <c r="D386" s="190">
        <f>C386/C389</f>
        <v>0.37640843911483646</v>
      </c>
      <c r="E386" s="191">
        <f>E383-E384-E385</f>
        <v>10237.6564</v>
      </c>
      <c r="F386" s="190">
        <f>E386/E389</f>
        <v>0.36262844673120503</v>
      </c>
    </row>
    <row r="387" spans="2:6">
      <c r="B387" s="7" t="s">
        <v>23</v>
      </c>
      <c r="C387" s="180">
        <f>Model!U118</f>
        <v>803881</v>
      </c>
      <c r="E387" s="183">
        <f>C387*$I$374</f>
        <v>119939.04519999999</v>
      </c>
    </row>
    <row r="388" spans="2:6">
      <c r="B388" s="7" t="s">
        <v>24</v>
      </c>
      <c r="C388" s="179">
        <f>C386+C387</f>
        <v>872498</v>
      </c>
      <c r="E388" s="179">
        <f>E386+E387</f>
        <v>130176.7016</v>
      </c>
    </row>
    <row r="389" spans="2:6">
      <c r="B389" s="12" t="s">
        <v>25</v>
      </c>
      <c r="C389" s="216">
        <f>Model!U80</f>
        <v>182294</v>
      </c>
      <c r="E389" s="182">
        <f>C389*I375</f>
        <v>28231.807218335984</v>
      </c>
    </row>
    <row r="390" spans="2:6">
      <c r="B390" s="11" t="s">
        <v>26</v>
      </c>
      <c r="C390" s="10">
        <f>+C383-Model!U112</f>
        <v>0</v>
      </c>
    </row>
    <row r="393" spans="2:6" ht="15" thickBot="1"/>
    <row r="394" spans="2:6">
      <c r="B394" s="5" t="s">
        <v>105</v>
      </c>
      <c r="C394" s="185" t="s">
        <v>4</v>
      </c>
      <c r="D394" s="8" t="s">
        <v>6</v>
      </c>
    </row>
    <row r="395" spans="2:6">
      <c r="B395" s="137" t="s">
        <v>20</v>
      </c>
      <c r="C395" s="186">
        <f>C384</f>
        <v>184658</v>
      </c>
      <c r="D395" s="184">
        <f>C395*I374</f>
        <v>27550.973600000001</v>
      </c>
    </row>
    <row r="396" spans="2:6">
      <c r="B396" s="137" t="s">
        <v>21</v>
      </c>
      <c r="C396" s="186">
        <f>C385</f>
        <v>107527</v>
      </c>
      <c r="D396" s="184">
        <f>C396*I374</f>
        <v>16043.028399999999</v>
      </c>
    </row>
    <row r="397" spans="2:6" ht="15" thickBot="1">
      <c r="B397" s="3" t="s">
        <v>28</v>
      </c>
      <c r="C397" s="192">
        <f>SUM(C395:C396)</f>
        <v>292185</v>
      </c>
      <c r="D397" s="193">
        <f>SUM(D395:D396)</f>
        <v>43594.002</v>
      </c>
    </row>
    <row r="403" spans="1:9">
      <c r="A403" s="176" t="s">
        <v>106</v>
      </c>
    </row>
    <row r="405" spans="1:9">
      <c r="H405" s="7" t="s">
        <v>107</v>
      </c>
      <c r="I405" s="181">
        <f>Model!T198</f>
        <v>0.15774612338901772</v>
      </c>
    </row>
    <row r="406" spans="1:9">
      <c r="H406" s="7" t="s">
        <v>108</v>
      </c>
      <c r="I406" s="181">
        <f>Model!T199</f>
        <v>0.15576711416271155</v>
      </c>
    </row>
    <row r="407" spans="1:9" ht="15" thickBot="1">
      <c r="B407" s="25" t="s">
        <v>109</v>
      </c>
      <c r="C407" s="136" t="s">
        <v>4</v>
      </c>
      <c r="D407" s="24" t="s">
        <v>5</v>
      </c>
      <c r="E407" s="136" t="s">
        <v>6</v>
      </c>
      <c r="F407" s="24" t="s">
        <v>5</v>
      </c>
    </row>
    <row r="408" spans="1:9" ht="15" thickBot="1">
      <c r="B408" s="22" t="s">
        <v>7</v>
      </c>
      <c r="C408" s="21">
        <v>148467</v>
      </c>
      <c r="E408" s="178">
        <f>C408*$I$405</f>
        <v>23420.093701197293</v>
      </c>
      <c r="H408" s="177" t="s">
        <v>110</v>
      </c>
      <c r="I408" s="175" t="s">
        <v>4</v>
      </c>
    </row>
    <row r="409" spans="1:9">
      <c r="B409" s="22" t="s">
        <v>9</v>
      </c>
      <c r="C409" s="21">
        <v>135465</v>
      </c>
      <c r="E409" s="178">
        <f t="shared" ref="E409:E413" si="2">C409*$I$405</f>
        <v>21369.078604893286</v>
      </c>
      <c r="H409" s="168" t="str">
        <f>B415</f>
        <v>Cash and Cash Equivalents</v>
      </c>
      <c r="I409" s="187">
        <f>C415</f>
        <v>188826</v>
      </c>
    </row>
    <row r="410" spans="1:9">
      <c r="B410" s="22" t="s">
        <v>10</v>
      </c>
      <c r="C410" s="21">
        <v>17981</v>
      </c>
      <c r="E410" s="178">
        <f t="shared" si="2"/>
        <v>2836.4330446579279</v>
      </c>
      <c r="H410" s="170" t="s">
        <v>11</v>
      </c>
      <c r="I410" s="171">
        <v>82604</v>
      </c>
    </row>
    <row r="411" spans="1:9">
      <c r="B411" s="22" t="s">
        <v>12</v>
      </c>
      <c r="C411" s="21">
        <v>21656</v>
      </c>
      <c r="E411" s="178">
        <f t="shared" si="2"/>
        <v>3416.1500481125677</v>
      </c>
      <c r="H411" s="170" t="s">
        <v>13</v>
      </c>
      <c r="I411" s="171">
        <v>11742</v>
      </c>
    </row>
    <row r="412" spans="1:9">
      <c r="B412" s="22" t="s">
        <v>14</v>
      </c>
      <c r="C412" s="21">
        <v>9515</v>
      </c>
      <c r="E412" s="178">
        <f t="shared" si="2"/>
        <v>1500.9543640465035</v>
      </c>
      <c r="H412" s="170" t="s">
        <v>17</v>
      </c>
      <c r="I412" s="171">
        <v>1568</v>
      </c>
    </row>
    <row r="413" spans="1:9" ht="15" thickBot="1">
      <c r="B413" s="22" t="s">
        <v>16</v>
      </c>
      <c r="C413" s="21">
        <v>5927</v>
      </c>
      <c r="E413" s="178">
        <f t="shared" si="2"/>
        <v>934.96127332670801</v>
      </c>
      <c r="H413" s="173" t="s">
        <v>19</v>
      </c>
      <c r="I413" s="188">
        <f>SUM(I409:I412)</f>
        <v>284740</v>
      </c>
    </row>
    <row r="414" spans="1:9">
      <c r="B414" s="18" t="s">
        <v>18</v>
      </c>
      <c r="C414" s="189">
        <f>SUM(C408:C413)</f>
        <v>339011</v>
      </c>
      <c r="D414" s="190">
        <f>C414/C420</f>
        <v>1.8035090145925212</v>
      </c>
      <c r="E414" s="189">
        <f>SUM(E408:E413)</f>
        <v>53477.671036234286</v>
      </c>
      <c r="F414" s="190">
        <f>E414/E420</f>
        <v>1.8264224581572306</v>
      </c>
    </row>
    <row r="415" spans="1:9">
      <c r="B415" s="12" t="s">
        <v>20</v>
      </c>
      <c r="C415" s="215">
        <f>Model!T113</f>
        <v>188826</v>
      </c>
      <c r="E415" s="178">
        <f>C415*$I$405</f>
        <v>29786.56949505466</v>
      </c>
    </row>
    <row r="416" spans="1:9">
      <c r="B416" s="78" t="s">
        <v>21</v>
      </c>
      <c r="C416" s="215">
        <f>Model!T114</f>
        <v>95914</v>
      </c>
      <c r="E416" s="178">
        <f>C416*$I$405</f>
        <v>15130.061678734246</v>
      </c>
    </row>
    <row r="417" spans="2:6">
      <c r="B417" s="18" t="s">
        <v>22</v>
      </c>
      <c r="C417" s="191">
        <f>C414-C415-C416</f>
        <v>54271</v>
      </c>
      <c r="D417" s="190">
        <f>C417/C420</f>
        <v>0.28871699658993577</v>
      </c>
      <c r="E417" s="191">
        <f>E414-E415-E416</f>
        <v>8561.0398624453792</v>
      </c>
      <c r="F417" s="190">
        <f>E417/E420</f>
        <v>0.29238512386515791</v>
      </c>
    </row>
    <row r="418" spans="2:6">
      <c r="B418" s="7" t="s">
        <v>23</v>
      </c>
      <c r="C418" s="180">
        <f>Model!T118</f>
        <v>845277</v>
      </c>
      <c r="E418" s="183">
        <f>C418*$I$405</f>
        <v>133339.16993989874</v>
      </c>
    </row>
    <row r="419" spans="2:6">
      <c r="B419" s="7" t="s">
        <v>24</v>
      </c>
      <c r="C419" s="179">
        <f>C417+C418</f>
        <v>899548</v>
      </c>
      <c r="E419" s="179">
        <f>E417+E418</f>
        <v>141900.20980234412</v>
      </c>
    </row>
    <row r="420" spans="2:6">
      <c r="B420" s="12" t="s">
        <v>25</v>
      </c>
      <c r="C420" s="216">
        <f>Model!T80</f>
        <v>187973</v>
      </c>
      <c r="E420" s="182">
        <f>C420*I406</f>
        <v>29280.011750507379</v>
      </c>
    </row>
    <row r="421" spans="2:6">
      <c r="B421" s="11" t="s">
        <v>26</v>
      </c>
      <c r="C421" s="10">
        <f>+C414-Model!T112</f>
        <v>0</v>
      </c>
    </row>
    <row r="424" spans="2:6" ht="15" thickBot="1"/>
    <row r="425" spans="2:6">
      <c r="B425" s="5" t="s">
        <v>111</v>
      </c>
      <c r="C425" s="185" t="s">
        <v>4</v>
      </c>
      <c r="D425" s="8" t="s">
        <v>6</v>
      </c>
    </row>
    <row r="426" spans="2:6">
      <c r="B426" s="137" t="s">
        <v>20</v>
      </c>
      <c r="C426" s="186">
        <f>C415</f>
        <v>188826</v>
      </c>
      <c r="D426" s="184">
        <f>C426*I405</f>
        <v>29786.56949505466</v>
      </c>
    </row>
    <row r="427" spans="2:6">
      <c r="B427" s="137" t="s">
        <v>21</v>
      </c>
      <c r="C427" s="186">
        <f>C416</f>
        <v>95914</v>
      </c>
      <c r="D427" s="184">
        <f>C427*I406</f>
        <v>14940.246987802315</v>
      </c>
    </row>
    <row r="428" spans="2:6" ht="15" thickBot="1">
      <c r="B428" s="3" t="s">
        <v>28</v>
      </c>
      <c r="C428" s="192">
        <f>SUM(C426:C427)</f>
        <v>284740</v>
      </c>
      <c r="D428" s="193">
        <f>SUM(D426:D427)</f>
        <v>44726.816482856972</v>
      </c>
    </row>
    <row r="433" spans="1:9">
      <c r="A433" s="7" t="s">
        <v>112</v>
      </c>
      <c r="H433" s="7" t="s">
        <v>113</v>
      </c>
      <c r="I433" s="167">
        <f>Model!S198</f>
        <v>0.15743816616024056</v>
      </c>
    </row>
    <row r="434" spans="1:9">
      <c r="H434" s="7" t="s">
        <v>114</v>
      </c>
      <c r="I434" s="167">
        <f>Model!S199</f>
        <v>0.15494803637456031</v>
      </c>
    </row>
    <row r="435" spans="1:9" ht="15" thickBot="1">
      <c r="B435" s="25" t="s">
        <v>115</v>
      </c>
      <c r="C435" s="136" t="s">
        <v>4</v>
      </c>
      <c r="D435" s="24" t="s">
        <v>5</v>
      </c>
      <c r="E435" s="136" t="s">
        <v>6</v>
      </c>
      <c r="F435" s="24" t="s">
        <v>5</v>
      </c>
    </row>
    <row r="436" spans="1:9" ht="15" thickBot="1">
      <c r="B436" s="22" t="s">
        <v>7</v>
      </c>
      <c r="C436" s="21">
        <v>136936</v>
      </c>
      <c r="D436" s="23"/>
      <c r="E436" s="150">
        <f>C436*$I$433</f>
        <v>21558.952721318703</v>
      </c>
      <c r="F436" s="23"/>
      <c r="H436" s="174" t="s">
        <v>116</v>
      </c>
      <c r="I436" s="175" t="s">
        <v>4</v>
      </c>
    </row>
    <row r="437" spans="1:9">
      <c r="B437" s="22" t="s">
        <v>9</v>
      </c>
      <c r="C437" s="21">
        <v>145590</v>
      </c>
      <c r="D437" s="23"/>
      <c r="E437" s="150">
        <f t="shared" ref="E437:E440" si="3">C437*$I$433</f>
        <v>22921.422611269423</v>
      </c>
      <c r="F437" s="23"/>
      <c r="H437" s="168" t="str">
        <f>B442</f>
        <v>Cash and Cash Equivalents</v>
      </c>
      <c r="I437" s="169">
        <f>C442</f>
        <v>167966</v>
      </c>
    </row>
    <row r="438" spans="1:9">
      <c r="B438" s="22" t="s">
        <v>10</v>
      </c>
      <c r="C438" s="21">
        <v>16501</v>
      </c>
      <c r="D438" s="23"/>
      <c r="E438" s="150">
        <f t="shared" si="3"/>
        <v>2597.8871798101295</v>
      </c>
      <c r="F438" s="23"/>
      <c r="H438" s="170" t="s">
        <v>11</v>
      </c>
      <c r="I438" s="171">
        <v>83813</v>
      </c>
    </row>
    <row r="439" spans="1:9">
      <c r="B439" s="22" t="s">
        <v>12</v>
      </c>
      <c r="C439" s="21">
        <v>19003</v>
      </c>
      <c r="D439" s="23"/>
      <c r="E439" s="150">
        <f t="shared" si="3"/>
        <v>2991.7974715430514</v>
      </c>
      <c r="F439" s="23"/>
      <c r="H439" s="170" t="s">
        <v>13</v>
      </c>
      <c r="I439" s="171">
        <v>10573</v>
      </c>
    </row>
    <row r="440" spans="1:9">
      <c r="B440" s="22" t="s">
        <v>16</v>
      </c>
      <c r="C440" s="21">
        <v>5446</v>
      </c>
      <c r="E440" s="150">
        <f t="shared" si="3"/>
        <v>857.40825290867008</v>
      </c>
      <c r="H440" s="170" t="s">
        <v>17</v>
      </c>
      <c r="I440" s="171">
        <v>1749</v>
      </c>
    </row>
    <row r="441" spans="1:9" ht="15" thickBot="1">
      <c r="B441" s="18" t="s">
        <v>18</v>
      </c>
      <c r="C441" s="17">
        <f>SUM(C436:C440)</f>
        <v>323476</v>
      </c>
      <c r="D441" s="16">
        <f>C441/C447</f>
        <v>1.6605714637727287</v>
      </c>
      <c r="E441" s="17">
        <f>SUM(E436:E440)</f>
        <v>50927.468236849985</v>
      </c>
      <c r="F441" s="16">
        <f>E441/E447</f>
        <v>1.6872580779431428</v>
      </c>
      <c r="H441" s="173" t="s">
        <v>19</v>
      </c>
      <c r="I441" s="172">
        <f>SUM(I437:I440)</f>
        <v>264101</v>
      </c>
    </row>
    <row r="442" spans="1:9">
      <c r="B442" s="12" t="s">
        <v>20</v>
      </c>
      <c r="C442" s="20">
        <f>Model!S113</f>
        <v>167966</v>
      </c>
      <c r="D442" s="19"/>
      <c r="E442" s="150">
        <f>C442*$I$433</f>
        <v>26444.259017270968</v>
      </c>
      <c r="F442" s="19"/>
    </row>
    <row r="443" spans="1:9">
      <c r="B443" s="78" t="s">
        <v>21</v>
      </c>
      <c r="C443" s="20">
        <f>Model!S114</f>
        <v>96135</v>
      </c>
      <c r="D443" s="19"/>
      <c r="E443" s="150">
        <f>C443*$I$433</f>
        <v>15135.318103814727</v>
      </c>
      <c r="F443" s="19"/>
    </row>
    <row r="444" spans="1:9">
      <c r="B444" s="18" t="s">
        <v>22</v>
      </c>
      <c r="C444" s="17">
        <f>C441-C442-C443</f>
        <v>59375</v>
      </c>
      <c r="D444" s="16">
        <f>C444/C447</f>
        <v>0.30480292405466175</v>
      </c>
      <c r="E444" s="17">
        <f>E441-E442-E443</f>
        <v>9347.8911157642906</v>
      </c>
      <c r="F444" s="16">
        <f>E444/E447</f>
        <v>0.30970133295166924</v>
      </c>
    </row>
    <row r="445" spans="1:9">
      <c r="B445" s="7" t="s">
        <v>23</v>
      </c>
      <c r="C445" s="15">
        <f>Model!S118</f>
        <v>876693</v>
      </c>
      <c r="D445" s="14"/>
      <c r="E445" s="150">
        <f>C445*$I433</f>
        <v>138024.93820551978</v>
      </c>
      <c r="F445" s="14"/>
    </row>
    <row r="446" spans="1:9">
      <c r="B446" s="7" t="s">
        <v>24</v>
      </c>
      <c r="C446" s="15">
        <f>C444+C445</f>
        <v>936068</v>
      </c>
      <c r="D446" s="14"/>
      <c r="E446" s="15">
        <f>E444+E445</f>
        <v>147372.82932128408</v>
      </c>
      <c r="F446" s="14"/>
    </row>
    <row r="447" spans="1:9">
      <c r="B447" s="12" t="s">
        <v>25</v>
      </c>
      <c r="C447" s="13">
        <f>Model!S80</f>
        <v>194798</v>
      </c>
      <c r="D447" s="12"/>
      <c r="E447" s="150">
        <f>C447*$I$434</f>
        <v>30183.5675896916</v>
      </c>
      <c r="F447" s="12"/>
    </row>
    <row r="448" spans="1:9">
      <c r="B448" s="11" t="s">
        <v>26</v>
      </c>
      <c r="C448" s="10">
        <f>+C441-Model!S112</f>
        <v>0</v>
      </c>
      <c r="D448" s="9"/>
      <c r="E448" s="10"/>
      <c r="F448" s="9"/>
    </row>
    <row r="449" spans="1:9">
      <c r="B449" s="11"/>
      <c r="C449" s="10"/>
      <c r="D449" s="9"/>
    </row>
    <row r="450" spans="1:9" ht="15" thickBot="1">
      <c r="B450" s="7"/>
      <c r="C450" s="6"/>
    </row>
    <row r="451" spans="1:9">
      <c r="B451" s="5" t="s">
        <v>117</v>
      </c>
      <c r="C451" s="8" t="s">
        <v>4</v>
      </c>
      <c r="D451" s="8" t="s">
        <v>6</v>
      </c>
    </row>
    <row r="452" spans="1:9">
      <c r="B452" s="137" t="s">
        <v>20</v>
      </c>
      <c r="C452" s="149">
        <f>C442</f>
        <v>167966</v>
      </c>
      <c r="D452" s="149">
        <f>C452*$I$433</f>
        <v>26444.259017270968</v>
      </c>
    </row>
    <row r="453" spans="1:9">
      <c r="B453" s="137" t="s">
        <v>21</v>
      </c>
      <c r="C453" s="149">
        <f>C443</f>
        <v>96135</v>
      </c>
      <c r="D453" s="149">
        <f>C453*$I$433</f>
        <v>15135.318103814727</v>
      </c>
    </row>
    <row r="454" spans="1:9" ht="15" thickBot="1">
      <c r="B454" s="3" t="s">
        <v>28</v>
      </c>
      <c r="C454" s="194">
        <f>SUM(C452:C453)</f>
        <v>264101</v>
      </c>
      <c r="D454" s="194">
        <f>SUM(D452:D453)</f>
        <v>41579.577121085691</v>
      </c>
    </row>
    <row r="458" spans="1:9">
      <c r="A458" s="7" t="s">
        <v>118</v>
      </c>
      <c r="H458" s="7" t="s">
        <v>119</v>
      </c>
      <c r="I458" s="167">
        <f>Model!R198</f>
        <v>0.1545547278291243</v>
      </c>
    </row>
    <row r="459" spans="1:9">
      <c r="H459" s="7" t="s">
        <v>120</v>
      </c>
      <c r="I459" s="167">
        <f>Model!R199</f>
        <v>0.15369844898188281</v>
      </c>
    </row>
    <row r="460" spans="1:9">
      <c r="B460" s="25" t="s">
        <v>121</v>
      </c>
      <c r="C460" s="136" t="s">
        <v>4</v>
      </c>
      <c r="D460" s="24" t="s">
        <v>5</v>
      </c>
      <c r="E460" s="136" t="s">
        <v>6</v>
      </c>
      <c r="F460" s="24" t="s">
        <v>5</v>
      </c>
    </row>
    <row r="461" spans="1:9">
      <c r="B461" s="22" t="s">
        <v>7</v>
      </c>
      <c r="C461" s="21">
        <v>141275</v>
      </c>
      <c r="D461" s="23"/>
      <c r="E461" s="150">
        <f>C461*$I$458</f>
        <v>21834.719174059537</v>
      </c>
      <c r="F461" s="23"/>
    </row>
    <row r="462" spans="1:9">
      <c r="B462" s="22" t="s">
        <v>9</v>
      </c>
      <c r="C462" s="21">
        <v>148077</v>
      </c>
      <c r="D462" s="23"/>
      <c r="E462" s="150">
        <f t="shared" ref="E462:E465" si="4">C462*$I$458</f>
        <v>22886.000432753241</v>
      </c>
      <c r="F462" s="23"/>
    </row>
    <row r="463" spans="1:9">
      <c r="B463" s="22" t="s">
        <v>10</v>
      </c>
      <c r="C463" s="21">
        <v>11850</v>
      </c>
      <c r="D463" s="23"/>
      <c r="E463" s="150">
        <f t="shared" si="4"/>
        <v>1831.473524775123</v>
      </c>
      <c r="F463" s="23"/>
    </row>
    <row r="464" spans="1:9">
      <c r="B464" s="22" t="s">
        <v>12</v>
      </c>
      <c r="C464" s="21">
        <v>26276</v>
      </c>
      <c r="D464" s="23"/>
      <c r="E464" s="150">
        <f t="shared" si="4"/>
        <v>4061.0800284380703</v>
      </c>
      <c r="F464" s="23"/>
    </row>
    <row r="465" spans="2:6">
      <c r="B465" s="22" t="s">
        <v>16</v>
      </c>
      <c r="C465" s="21">
        <v>4315</v>
      </c>
      <c r="E465" s="150">
        <f t="shared" si="4"/>
        <v>666.90365058267139</v>
      </c>
    </row>
    <row r="466" spans="2:6">
      <c r="B466" s="18" t="s">
        <v>18</v>
      </c>
      <c r="C466" s="17">
        <f>SUM(C461:C465)</f>
        <v>331793</v>
      </c>
      <c r="D466" s="16">
        <f>C466/C472</f>
        <v>1.6667654623638628</v>
      </c>
      <c r="E466" s="17">
        <f>SUM(E461:E465)</f>
        <v>51280.176810608646</v>
      </c>
      <c r="F466" s="16">
        <f>E466/E472</f>
        <v>1.6760512815649606</v>
      </c>
    </row>
    <row r="467" spans="2:6">
      <c r="B467" s="12" t="s">
        <v>20</v>
      </c>
      <c r="C467" s="20">
        <f>Model!R113</f>
        <v>170873</v>
      </c>
      <c r="D467" s="19"/>
      <c r="E467" s="150">
        <f t="shared" ref="E467:E468" si="5">C467*$I$458</f>
        <v>26409.230008345956</v>
      </c>
      <c r="F467" s="19"/>
    </row>
    <row r="468" spans="2:6">
      <c r="B468" s="78" t="s">
        <v>21</v>
      </c>
      <c r="C468" s="20">
        <f>Model!R114</f>
        <v>83738</v>
      </c>
      <c r="D468" s="19"/>
      <c r="E468" s="150">
        <f t="shared" si="5"/>
        <v>12942.103798955211</v>
      </c>
      <c r="F468" s="19"/>
    </row>
    <row r="469" spans="2:6">
      <c r="B469" s="18" t="s">
        <v>22</v>
      </c>
      <c r="C469" s="17">
        <f>C466-C467-C468</f>
        <v>77182</v>
      </c>
      <c r="D469" s="16">
        <f>C469/C472</f>
        <v>0.38772455089820357</v>
      </c>
      <c r="E469" s="17">
        <f>E466-E467-E468</f>
        <v>11928.843003307478</v>
      </c>
      <c r="F469" s="16">
        <f>E469/E472</f>
        <v>0.38988462690215536</v>
      </c>
    </row>
    <row r="470" spans="2:6">
      <c r="B470" s="7" t="s">
        <v>23</v>
      </c>
      <c r="C470" s="15">
        <f>Model!R118</f>
        <v>931376</v>
      </c>
      <c r="D470" s="14"/>
      <c r="E470" s="150">
        <f>C470*$I$458</f>
        <v>143948.56418657847</v>
      </c>
      <c r="F470" s="14"/>
    </row>
    <row r="471" spans="2:6">
      <c r="B471" s="7" t="s">
        <v>24</v>
      </c>
      <c r="C471" s="15">
        <f>C469+C470</f>
        <v>1008558</v>
      </c>
      <c r="D471" s="14"/>
      <c r="E471" s="15">
        <f>E469+E470</f>
        <v>155877.40718988594</v>
      </c>
      <c r="F471" s="14"/>
    </row>
    <row r="472" spans="2:6">
      <c r="B472" s="12" t="s">
        <v>25</v>
      </c>
      <c r="C472" s="13">
        <f>Model!R80</f>
        <v>199064</v>
      </c>
      <c r="D472" s="12"/>
      <c r="E472" s="150">
        <f>C472*$I$459</f>
        <v>30595.828048129519</v>
      </c>
      <c r="F472" s="12"/>
    </row>
    <row r="473" spans="2:6">
      <c r="B473" s="11" t="s">
        <v>26</v>
      </c>
      <c r="C473" s="10">
        <f>+C466-Model!R112</f>
        <v>0</v>
      </c>
      <c r="D473" s="9"/>
      <c r="E473" s="10"/>
      <c r="F473" s="9"/>
    </row>
    <row r="474" spans="2:6">
      <c r="B474" s="11"/>
      <c r="C474" s="10"/>
      <c r="D474" s="9"/>
    </row>
    <row r="475" spans="2:6" ht="15" thickBot="1">
      <c r="B475" s="7"/>
      <c r="C475" s="6"/>
    </row>
    <row r="476" spans="2:6">
      <c r="B476" s="5" t="s">
        <v>122</v>
      </c>
      <c r="C476" s="8" t="s">
        <v>4</v>
      </c>
      <c r="D476" s="8" t="s">
        <v>6</v>
      </c>
    </row>
    <row r="477" spans="2:6">
      <c r="B477" s="137" t="s">
        <v>20</v>
      </c>
      <c r="C477" s="149">
        <f>C467</f>
        <v>170873</v>
      </c>
      <c r="D477" s="149">
        <f>C477*$I$458</f>
        <v>26409.230008345956</v>
      </c>
    </row>
    <row r="478" spans="2:6">
      <c r="B478" s="137" t="s">
        <v>21</v>
      </c>
      <c r="C478" s="149">
        <f>C468</f>
        <v>83738</v>
      </c>
      <c r="D478" s="149">
        <f>C478*$I$458</f>
        <v>12942.103798955211</v>
      </c>
    </row>
    <row r="479" spans="2:6">
      <c r="B479" s="137"/>
      <c r="C479" s="4"/>
      <c r="D479" s="4"/>
    </row>
    <row r="480" spans="2:6" ht="15" thickBot="1">
      <c r="B480" s="3" t="s">
        <v>28</v>
      </c>
      <c r="C480" s="2">
        <f>SUM(C477:C479)</f>
        <v>254611</v>
      </c>
      <c r="D480" s="2">
        <f>SUM(D477:D479)</f>
        <v>39351.333807301169</v>
      </c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C466:D469 E466:E472 D222 D22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63"/>
  <sheetViews>
    <sheetView tabSelected="1" zoomScale="69" zoomScaleNormal="85" workbookViewId="0">
      <pane xSplit="2" ySplit="5" topLeftCell="F6" activePane="bottomRight" state="frozen"/>
      <selection pane="bottomRight" activeCell="K7" sqref="K7"/>
      <selection pane="bottomLeft"/>
      <selection pane="topRight"/>
    </sheetView>
  </sheetViews>
  <sheetFormatPr defaultColWidth="11.42578125" defaultRowHeight="12.95" outlineLevelCol="1"/>
  <cols>
    <col min="1" max="1" width="3.5703125" style="26" customWidth="1"/>
    <col min="2" max="2" width="44.140625" style="26" bestFit="1" customWidth="1"/>
    <col min="3" max="4" width="11.42578125" style="26" hidden="1" customWidth="1" outlineLevel="1"/>
    <col min="5" max="5" width="11.42578125" style="26" hidden="1" customWidth="1" outlineLevel="1" collapsed="1"/>
    <col min="6" max="6" width="11.42578125" style="26" customWidth="1" collapsed="1"/>
    <col min="7" max="11" width="11.42578125" style="26" customWidth="1"/>
    <col min="12" max="15" width="11.42578125" style="26" hidden="1" customWidth="1" outlineLevel="1"/>
    <col min="16" max="16" width="11.42578125" style="26" hidden="1" customWidth="1" outlineLevel="1" collapsed="1"/>
    <col min="17" max="19" width="11.42578125" style="26" hidden="1" customWidth="1" outlineLevel="1"/>
    <col min="20" max="20" width="11.42578125" style="26" hidden="1" customWidth="1" outlineLevel="1" collapsed="1"/>
    <col min="21" max="24" width="11.42578125" style="26" hidden="1" customWidth="1" outlineLevel="1"/>
    <col min="25" max="25" width="11.42578125" style="26" collapsed="1"/>
    <col min="26" max="253" width="11.42578125" style="26"/>
    <col min="254" max="254" width="3.5703125" style="26" customWidth="1"/>
    <col min="255" max="255" width="13.42578125" style="26" customWidth="1"/>
    <col min="256" max="263" width="11.42578125" style="26" customWidth="1"/>
    <col min="264" max="264" width="9.5703125" style="26" bestFit="1" customWidth="1"/>
    <col min="265" max="268" width="0" style="26" hidden="1" customWidth="1"/>
    <col min="269" max="277" width="11.42578125" style="26" customWidth="1"/>
    <col min="278" max="509" width="11.42578125" style="26"/>
    <col min="510" max="510" width="3.5703125" style="26" customWidth="1"/>
    <col min="511" max="511" width="13.42578125" style="26" customWidth="1"/>
    <col min="512" max="519" width="11.42578125" style="26" customWidth="1"/>
    <col min="520" max="520" width="9.5703125" style="26" bestFit="1" customWidth="1"/>
    <col min="521" max="524" width="0" style="26" hidden="1" customWidth="1"/>
    <col min="525" max="533" width="11.42578125" style="26" customWidth="1"/>
    <col min="534" max="765" width="11.42578125" style="26"/>
    <col min="766" max="766" width="3.5703125" style="26" customWidth="1"/>
    <col min="767" max="767" width="13.42578125" style="26" customWidth="1"/>
    <col min="768" max="775" width="11.42578125" style="26" customWidth="1"/>
    <col min="776" max="776" width="9.5703125" style="26" bestFit="1" customWidth="1"/>
    <col min="777" max="780" width="0" style="26" hidden="1" customWidth="1"/>
    <col min="781" max="789" width="11.42578125" style="26" customWidth="1"/>
    <col min="790" max="1021" width="11.42578125" style="26"/>
    <col min="1022" max="1022" width="3.5703125" style="26" customWidth="1"/>
    <col min="1023" max="1023" width="13.42578125" style="26" customWidth="1"/>
    <col min="1024" max="1031" width="11.42578125" style="26" customWidth="1"/>
    <col min="1032" max="1032" width="9.5703125" style="26" bestFit="1" customWidth="1"/>
    <col min="1033" max="1036" width="0" style="26" hidden="1" customWidth="1"/>
    <col min="1037" max="1045" width="11.42578125" style="26" customWidth="1"/>
    <col min="1046" max="1277" width="11.42578125" style="26"/>
    <col min="1278" max="1278" width="3.5703125" style="26" customWidth="1"/>
    <col min="1279" max="1279" width="13.42578125" style="26" customWidth="1"/>
    <col min="1280" max="1287" width="11.42578125" style="26" customWidth="1"/>
    <col min="1288" max="1288" width="9.5703125" style="26" bestFit="1" customWidth="1"/>
    <col min="1289" max="1292" width="0" style="26" hidden="1" customWidth="1"/>
    <col min="1293" max="1301" width="11.42578125" style="26" customWidth="1"/>
    <col min="1302" max="1533" width="11.42578125" style="26"/>
    <col min="1534" max="1534" width="3.5703125" style="26" customWidth="1"/>
    <col min="1535" max="1535" width="13.42578125" style="26" customWidth="1"/>
    <col min="1536" max="1543" width="11.42578125" style="26" customWidth="1"/>
    <col min="1544" max="1544" width="9.5703125" style="26" bestFit="1" customWidth="1"/>
    <col min="1545" max="1548" width="0" style="26" hidden="1" customWidth="1"/>
    <col min="1549" max="1557" width="11.42578125" style="26" customWidth="1"/>
    <col min="1558" max="1789" width="11.42578125" style="26"/>
    <col min="1790" max="1790" width="3.5703125" style="26" customWidth="1"/>
    <col min="1791" max="1791" width="13.42578125" style="26" customWidth="1"/>
    <col min="1792" max="1799" width="11.42578125" style="26" customWidth="1"/>
    <col min="1800" max="1800" width="9.5703125" style="26" bestFit="1" customWidth="1"/>
    <col min="1801" max="1804" width="0" style="26" hidden="1" customWidth="1"/>
    <col min="1805" max="1813" width="11.42578125" style="26" customWidth="1"/>
    <col min="1814" max="2045" width="11.42578125" style="26"/>
    <col min="2046" max="2046" width="3.5703125" style="26" customWidth="1"/>
    <col min="2047" max="2047" width="13.42578125" style="26" customWidth="1"/>
    <col min="2048" max="2055" width="11.42578125" style="26" customWidth="1"/>
    <col min="2056" max="2056" width="9.5703125" style="26" bestFit="1" customWidth="1"/>
    <col min="2057" max="2060" width="0" style="26" hidden="1" customWidth="1"/>
    <col min="2061" max="2069" width="11.42578125" style="26" customWidth="1"/>
    <col min="2070" max="2301" width="11.42578125" style="26"/>
    <col min="2302" max="2302" width="3.5703125" style="26" customWidth="1"/>
    <col min="2303" max="2303" width="13.42578125" style="26" customWidth="1"/>
    <col min="2304" max="2311" width="11.42578125" style="26" customWidth="1"/>
    <col min="2312" max="2312" width="9.5703125" style="26" bestFit="1" customWidth="1"/>
    <col min="2313" max="2316" width="0" style="26" hidden="1" customWidth="1"/>
    <col min="2317" max="2325" width="11.42578125" style="26" customWidth="1"/>
    <col min="2326" max="2557" width="11.42578125" style="26"/>
    <col min="2558" max="2558" width="3.5703125" style="26" customWidth="1"/>
    <col min="2559" max="2559" width="13.42578125" style="26" customWidth="1"/>
    <col min="2560" max="2567" width="11.42578125" style="26" customWidth="1"/>
    <col min="2568" max="2568" width="9.5703125" style="26" bestFit="1" customWidth="1"/>
    <col min="2569" max="2572" width="0" style="26" hidden="1" customWidth="1"/>
    <col min="2573" max="2581" width="11.42578125" style="26" customWidth="1"/>
    <col min="2582" max="2813" width="11.42578125" style="26"/>
    <col min="2814" max="2814" width="3.5703125" style="26" customWidth="1"/>
    <col min="2815" max="2815" width="13.42578125" style="26" customWidth="1"/>
    <col min="2816" max="2823" width="11.42578125" style="26" customWidth="1"/>
    <col min="2824" max="2824" width="9.5703125" style="26" bestFit="1" customWidth="1"/>
    <col min="2825" max="2828" width="0" style="26" hidden="1" customWidth="1"/>
    <col min="2829" max="2837" width="11.42578125" style="26" customWidth="1"/>
    <col min="2838" max="3069" width="11.42578125" style="26"/>
    <col min="3070" max="3070" width="3.5703125" style="26" customWidth="1"/>
    <col min="3071" max="3071" width="13.42578125" style="26" customWidth="1"/>
    <col min="3072" max="3079" width="11.42578125" style="26" customWidth="1"/>
    <col min="3080" max="3080" width="9.5703125" style="26" bestFit="1" customWidth="1"/>
    <col min="3081" max="3084" width="0" style="26" hidden="1" customWidth="1"/>
    <col min="3085" max="3093" width="11.42578125" style="26" customWidth="1"/>
    <col min="3094" max="3325" width="11.42578125" style="26"/>
    <col min="3326" max="3326" width="3.5703125" style="26" customWidth="1"/>
    <col min="3327" max="3327" width="13.42578125" style="26" customWidth="1"/>
    <col min="3328" max="3335" width="11.42578125" style="26" customWidth="1"/>
    <col min="3336" max="3336" width="9.5703125" style="26" bestFit="1" customWidth="1"/>
    <col min="3337" max="3340" width="0" style="26" hidden="1" customWidth="1"/>
    <col min="3341" max="3349" width="11.42578125" style="26" customWidth="1"/>
    <col min="3350" max="3581" width="11.42578125" style="26"/>
    <col min="3582" max="3582" width="3.5703125" style="26" customWidth="1"/>
    <col min="3583" max="3583" width="13.42578125" style="26" customWidth="1"/>
    <col min="3584" max="3591" width="11.42578125" style="26" customWidth="1"/>
    <col min="3592" max="3592" width="9.5703125" style="26" bestFit="1" customWidth="1"/>
    <col min="3593" max="3596" width="0" style="26" hidden="1" customWidth="1"/>
    <col min="3597" max="3605" width="11.42578125" style="26" customWidth="1"/>
    <col min="3606" max="3837" width="11.42578125" style="26"/>
    <col min="3838" max="3838" width="3.5703125" style="26" customWidth="1"/>
    <col min="3839" max="3839" width="13.42578125" style="26" customWidth="1"/>
    <col min="3840" max="3847" width="11.42578125" style="26" customWidth="1"/>
    <col min="3848" max="3848" width="9.5703125" style="26" bestFit="1" customWidth="1"/>
    <col min="3849" max="3852" width="0" style="26" hidden="1" customWidth="1"/>
    <col min="3853" max="3861" width="11.42578125" style="26" customWidth="1"/>
    <col min="3862" max="4093" width="11.42578125" style="26"/>
    <col min="4094" max="4094" width="3.5703125" style="26" customWidth="1"/>
    <col min="4095" max="4095" width="13.42578125" style="26" customWidth="1"/>
    <col min="4096" max="4103" width="11.42578125" style="26" customWidth="1"/>
    <col min="4104" max="4104" width="9.5703125" style="26" bestFit="1" customWidth="1"/>
    <col min="4105" max="4108" width="0" style="26" hidden="1" customWidth="1"/>
    <col min="4109" max="4117" width="11.42578125" style="26" customWidth="1"/>
    <col min="4118" max="4349" width="11.42578125" style="26"/>
    <col min="4350" max="4350" width="3.5703125" style="26" customWidth="1"/>
    <col min="4351" max="4351" width="13.42578125" style="26" customWidth="1"/>
    <col min="4352" max="4359" width="11.42578125" style="26" customWidth="1"/>
    <col min="4360" max="4360" width="9.5703125" style="26" bestFit="1" customWidth="1"/>
    <col min="4361" max="4364" width="0" style="26" hidden="1" customWidth="1"/>
    <col min="4365" max="4373" width="11.42578125" style="26" customWidth="1"/>
    <col min="4374" max="4605" width="11.42578125" style="26"/>
    <col min="4606" max="4606" width="3.5703125" style="26" customWidth="1"/>
    <col min="4607" max="4607" width="13.42578125" style="26" customWidth="1"/>
    <col min="4608" max="4615" width="11.42578125" style="26" customWidth="1"/>
    <col min="4616" max="4616" width="9.5703125" style="26" bestFit="1" customWidth="1"/>
    <col min="4617" max="4620" width="0" style="26" hidden="1" customWidth="1"/>
    <col min="4621" max="4629" width="11.42578125" style="26" customWidth="1"/>
    <col min="4630" max="4861" width="11.42578125" style="26"/>
    <col min="4862" max="4862" width="3.5703125" style="26" customWidth="1"/>
    <col min="4863" max="4863" width="13.42578125" style="26" customWidth="1"/>
    <col min="4864" max="4871" width="11.42578125" style="26" customWidth="1"/>
    <col min="4872" max="4872" width="9.5703125" style="26" bestFit="1" customWidth="1"/>
    <col min="4873" max="4876" width="0" style="26" hidden="1" customWidth="1"/>
    <col min="4877" max="4885" width="11.42578125" style="26" customWidth="1"/>
    <col min="4886" max="5117" width="11.42578125" style="26"/>
    <col min="5118" max="5118" width="3.5703125" style="26" customWidth="1"/>
    <col min="5119" max="5119" width="13.42578125" style="26" customWidth="1"/>
    <col min="5120" max="5127" width="11.42578125" style="26" customWidth="1"/>
    <col min="5128" max="5128" width="9.5703125" style="26" bestFit="1" customWidth="1"/>
    <col min="5129" max="5132" width="0" style="26" hidden="1" customWidth="1"/>
    <col min="5133" max="5141" width="11.42578125" style="26" customWidth="1"/>
    <col min="5142" max="5373" width="11.42578125" style="26"/>
    <col min="5374" max="5374" width="3.5703125" style="26" customWidth="1"/>
    <col min="5375" max="5375" width="13.42578125" style="26" customWidth="1"/>
    <col min="5376" max="5383" width="11.42578125" style="26" customWidth="1"/>
    <col min="5384" max="5384" width="9.5703125" style="26" bestFit="1" customWidth="1"/>
    <col min="5385" max="5388" width="0" style="26" hidden="1" customWidth="1"/>
    <col min="5389" max="5397" width="11.42578125" style="26" customWidth="1"/>
    <col min="5398" max="5629" width="11.42578125" style="26"/>
    <col min="5630" max="5630" width="3.5703125" style="26" customWidth="1"/>
    <col min="5631" max="5631" width="13.42578125" style="26" customWidth="1"/>
    <col min="5632" max="5639" width="11.42578125" style="26" customWidth="1"/>
    <col min="5640" max="5640" width="9.5703125" style="26" bestFit="1" customWidth="1"/>
    <col min="5641" max="5644" width="0" style="26" hidden="1" customWidth="1"/>
    <col min="5645" max="5653" width="11.42578125" style="26" customWidth="1"/>
    <col min="5654" max="5885" width="11.42578125" style="26"/>
    <col min="5886" max="5886" width="3.5703125" style="26" customWidth="1"/>
    <col min="5887" max="5887" width="13.42578125" style="26" customWidth="1"/>
    <col min="5888" max="5895" width="11.42578125" style="26" customWidth="1"/>
    <col min="5896" max="5896" width="9.5703125" style="26" bestFit="1" customWidth="1"/>
    <col min="5897" max="5900" width="0" style="26" hidden="1" customWidth="1"/>
    <col min="5901" max="5909" width="11.42578125" style="26" customWidth="1"/>
    <col min="5910" max="6141" width="11.42578125" style="26"/>
    <col min="6142" max="6142" width="3.5703125" style="26" customWidth="1"/>
    <col min="6143" max="6143" width="13.42578125" style="26" customWidth="1"/>
    <col min="6144" max="6151" width="11.42578125" style="26" customWidth="1"/>
    <col min="6152" max="6152" width="9.5703125" style="26" bestFit="1" customWidth="1"/>
    <col min="6153" max="6156" width="0" style="26" hidden="1" customWidth="1"/>
    <col min="6157" max="6165" width="11.42578125" style="26" customWidth="1"/>
    <col min="6166" max="6397" width="11.42578125" style="26"/>
    <col min="6398" max="6398" width="3.5703125" style="26" customWidth="1"/>
    <col min="6399" max="6399" width="13.42578125" style="26" customWidth="1"/>
    <col min="6400" max="6407" width="11.42578125" style="26" customWidth="1"/>
    <col min="6408" max="6408" width="9.5703125" style="26" bestFit="1" customWidth="1"/>
    <col min="6409" max="6412" width="0" style="26" hidden="1" customWidth="1"/>
    <col min="6413" max="6421" width="11.42578125" style="26" customWidth="1"/>
    <col min="6422" max="6653" width="11.42578125" style="26"/>
    <col min="6654" max="6654" width="3.5703125" style="26" customWidth="1"/>
    <col min="6655" max="6655" width="13.42578125" style="26" customWidth="1"/>
    <col min="6656" max="6663" width="11.42578125" style="26" customWidth="1"/>
    <col min="6664" max="6664" width="9.5703125" style="26" bestFit="1" customWidth="1"/>
    <col min="6665" max="6668" width="0" style="26" hidden="1" customWidth="1"/>
    <col min="6669" max="6677" width="11.42578125" style="26" customWidth="1"/>
    <col min="6678" max="6909" width="11.42578125" style="26"/>
    <col min="6910" max="6910" width="3.5703125" style="26" customWidth="1"/>
    <col min="6911" max="6911" width="13.42578125" style="26" customWidth="1"/>
    <col min="6912" max="6919" width="11.42578125" style="26" customWidth="1"/>
    <col min="6920" max="6920" width="9.5703125" style="26" bestFit="1" customWidth="1"/>
    <col min="6921" max="6924" width="0" style="26" hidden="1" customWidth="1"/>
    <col min="6925" max="6933" width="11.42578125" style="26" customWidth="1"/>
    <col min="6934" max="7165" width="11.42578125" style="26"/>
    <col min="7166" max="7166" width="3.5703125" style="26" customWidth="1"/>
    <col min="7167" max="7167" width="13.42578125" style="26" customWidth="1"/>
    <col min="7168" max="7175" width="11.42578125" style="26" customWidth="1"/>
    <col min="7176" max="7176" width="9.5703125" style="26" bestFit="1" customWidth="1"/>
    <col min="7177" max="7180" width="0" style="26" hidden="1" customWidth="1"/>
    <col min="7181" max="7189" width="11.42578125" style="26" customWidth="1"/>
    <col min="7190" max="7421" width="11.42578125" style="26"/>
    <col min="7422" max="7422" width="3.5703125" style="26" customWidth="1"/>
    <col min="7423" max="7423" width="13.42578125" style="26" customWidth="1"/>
    <col min="7424" max="7431" width="11.42578125" style="26" customWidth="1"/>
    <col min="7432" max="7432" width="9.5703125" style="26" bestFit="1" customWidth="1"/>
    <col min="7433" max="7436" width="0" style="26" hidden="1" customWidth="1"/>
    <col min="7437" max="7445" width="11.42578125" style="26" customWidth="1"/>
    <col min="7446" max="7677" width="11.42578125" style="26"/>
    <col min="7678" max="7678" width="3.5703125" style="26" customWidth="1"/>
    <col min="7679" max="7679" width="13.42578125" style="26" customWidth="1"/>
    <col min="7680" max="7687" width="11.42578125" style="26" customWidth="1"/>
    <col min="7688" max="7688" width="9.5703125" style="26" bestFit="1" customWidth="1"/>
    <col min="7689" max="7692" width="0" style="26" hidden="1" customWidth="1"/>
    <col min="7693" max="7701" width="11.42578125" style="26" customWidth="1"/>
    <col min="7702" max="7933" width="11.42578125" style="26"/>
    <col min="7934" max="7934" width="3.5703125" style="26" customWidth="1"/>
    <col min="7935" max="7935" width="13.42578125" style="26" customWidth="1"/>
    <col min="7936" max="7943" width="11.42578125" style="26" customWidth="1"/>
    <col min="7944" max="7944" width="9.5703125" style="26" bestFit="1" customWidth="1"/>
    <col min="7945" max="7948" width="0" style="26" hidden="1" customWidth="1"/>
    <col min="7949" max="7957" width="11.42578125" style="26" customWidth="1"/>
    <col min="7958" max="8189" width="11.42578125" style="26"/>
    <col min="8190" max="8190" width="3.5703125" style="26" customWidth="1"/>
    <col min="8191" max="8191" width="13.42578125" style="26" customWidth="1"/>
    <col min="8192" max="8199" width="11.42578125" style="26" customWidth="1"/>
    <col min="8200" max="8200" width="9.5703125" style="26" bestFit="1" customWidth="1"/>
    <col min="8201" max="8204" width="0" style="26" hidden="1" customWidth="1"/>
    <col min="8205" max="8213" width="11.42578125" style="26" customWidth="1"/>
    <col min="8214" max="8445" width="11.42578125" style="26"/>
    <col min="8446" max="8446" width="3.5703125" style="26" customWidth="1"/>
    <col min="8447" max="8447" width="13.42578125" style="26" customWidth="1"/>
    <col min="8448" max="8455" width="11.42578125" style="26" customWidth="1"/>
    <col min="8456" max="8456" width="9.5703125" style="26" bestFit="1" customWidth="1"/>
    <col min="8457" max="8460" width="0" style="26" hidden="1" customWidth="1"/>
    <col min="8461" max="8469" width="11.42578125" style="26" customWidth="1"/>
    <col min="8470" max="8701" width="11.42578125" style="26"/>
    <col min="8702" max="8702" width="3.5703125" style="26" customWidth="1"/>
    <col min="8703" max="8703" width="13.42578125" style="26" customWidth="1"/>
    <col min="8704" max="8711" width="11.42578125" style="26" customWidth="1"/>
    <col min="8712" max="8712" width="9.5703125" style="26" bestFit="1" customWidth="1"/>
    <col min="8713" max="8716" width="0" style="26" hidden="1" customWidth="1"/>
    <col min="8717" max="8725" width="11.42578125" style="26" customWidth="1"/>
    <col min="8726" max="8957" width="11.42578125" style="26"/>
    <col min="8958" max="8958" width="3.5703125" style="26" customWidth="1"/>
    <col min="8959" max="8959" width="13.42578125" style="26" customWidth="1"/>
    <col min="8960" max="8967" width="11.42578125" style="26" customWidth="1"/>
    <col min="8968" max="8968" width="9.5703125" style="26" bestFit="1" customWidth="1"/>
    <col min="8969" max="8972" width="0" style="26" hidden="1" customWidth="1"/>
    <col min="8973" max="8981" width="11.42578125" style="26" customWidth="1"/>
    <col min="8982" max="9213" width="11.42578125" style="26"/>
    <col min="9214" max="9214" width="3.5703125" style="26" customWidth="1"/>
    <col min="9215" max="9215" width="13.42578125" style="26" customWidth="1"/>
    <col min="9216" max="9223" width="11.42578125" style="26" customWidth="1"/>
    <col min="9224" max="9224" width="9.5703125" style="26" bestFit="1" customWidth="1"/>
    <col min="9225" max="9228" width="0" style="26" hidden="1" customWidth="1"/>
    <col min="9229" max="9237" width="11.42578125" style="26" customWidth="1"/>
    <col min="9238" max="9469" width="11.42578125" style="26"/>
    <col min="9470" max="9470" width="3.5703125" style="26" customWidth="1"/>
    <col min="9471" max="9471" width="13.42578125" style="26" customWidth="1"/>
    <col min="9472" max="9479" width="11.42578125" style="26" customWidth="1"/>
    <col min="9480" max="9480" width="9.5703125" style="26" bestFit="1" customWidth="1"/>
    <col min="9481" max="9484" width="0" style="26" hidden="1" customWidth="1"/>
    <col min="9485" max="9493" width="11.42578125" style="26" customWidth="1"/>
    <col min="9494" max="9725" width="11.42578125" style="26"/>
    <col min="9726" max="9726" width="3.5703125" style="26" customWidth="1"/>
    <col min="9727" max="9727" width="13.42578125" style="26" customWidth="1"/>
    <col min="9728" max="9735" width="11.42578125" style="26" customWidth="1"/>
    <col min="9736" max="9736" width="9.5703125" style="26" bestFit="1" customWidth="1"/>
    <col min="9737" max="9740" width="0" style="26" hidden="1" customWidth="1"/>
    <col min="9741" max="9749" width="11.42578125" style="26" customWidth="1"/>
    <col min="9750" max="9981" width="11.42578125" style="26"/>
    <col min="9982" max="9982" width="3.5703125" style="26" customWidth="1"/>
    <col min="9983" max="9983" width="13.42578125" style="26" customWidth="1"/>
    <col min="9984" max="9991" width="11.42578125" style="26" customWidth="1"/>
    <col min="9992" max="9992" width="9.5703125" style="26" bestFit="1" customWidth="1"/>
    <col min="9993" max="9996" width="0" style="26" hidden="1" customWidth="1"/>
    <col min="9997" max="10005" width="11.42578125" style="26" customWidth="1"/>
    <col min="10006" max="10237" width="11.42578125" style="26"/>
    <col min="10238" max="10238" width="3.5703125" style="26" customWidth="1"/>
    <col min="10239" max="10239" width="13.42578125" style="26" customWidth="1"/>
    <col min="10240" max="10247" width="11.42578125" style="26" customWidth="1"/>
    <col min="10248" max="10248" width="9.5703125" style="26" bestFit="1" customWidth="1"/>
    <col min="10249" max="10252" width="0" style="26" hidden="1" customWidth="1"/>
    <col min="10253" max="10261" width="11.42578125" style="26" customWidth="1"/>
    <col min="10262" max="10493" width="11.42578125" style="26"/>
    <col min="10494" max="10494" width="3.5703125" style="26" customWidth="1"/>
    <col min="10495" max="10495" width="13.42578125" style="26" customWidth="1"/>
    <col min="10496" max="10503" width="11.42578125" style="26" customWidth="1"/>
    <col min="10504" max="10504" width="9.5703125" style="26" bestFit="1" customWidth="1"/>
    <col min="10505" max="10508" width="0" style="26" hidden="1" customWidth="1"/>
    <col min="10509" max="10517" width="11.42578125" style="26" customWidth="1"/>
    <col min="10518" max="10749" width="11.42578125" style="26"/>
    <col min="10750" max="10750" width="3.5703125" style="26" customWidth="1"/>
    <col min="10751" max="10751" width="13.42578125" style="26" customWidth="1"/>
    <col min="10752" max="10759" width="11.42578125" style="26" customWidth="1"/>
    <col min="10760" max="10760" width="9.5703125" style="26" bestFit="1" customWidth="1"/>
    <col min="10761" max="10764" width="0" style="26" hidden="1" customWidth="1"/>
    <col min="10765" max="10773" width="11.42578125" style="26" customWidth="1"/>
    <col min="10774" max="11005" width="11.42578125" style="26"/>
    <col min="11006" max="11006" width="3.5703125" style="26" customWidth="1"/>
    <col min="11007" max="11007" width="13.42578125" style="26" customWidth="1"/>
    <col min="11008" max="11015" width="11.42578125" style="26" customWidth="1"/>
    <col min="11016" max="11016" width="9.5703125" style="26" bestFit="1" customWidth="1"/>
    <col min="11017" max="11020" width="0" style="26" hidden="1" customWidth="1"/>
    <col min="11021" max="11029" width="11.42578125" style="26" customWidth="1"/>
    <col min="11030" max="11261" width="11.42578125" style="26"/>
    <col min="11262" max="11262" width="3.5703125" style="26" customWidth="1"/>
    <col min="11263" max="11263" width="13.42578125" style="26" customWidth="1"/>
    <col min="11264" max="11271" width="11.42578125" style="26" customWidth="1"/>
    <col min="11272" max="11272" width="9.5703125" style="26" bestFit="1" customWidth="1"/>
    <col min="11273" max="11276" width="0" style="26" hidden="1" customWidth="1"/>
    <col min="11277" max="11285" width="11.42578125" style="26" customWidth="1"/>
    <col min="11286" max="11517" width="11.42578125" style="26"/>
    <col min="11518" max="11518" width="3.5703125" style="26" customWidth="1"/>
    <col min="11519" max="11519" width="13.42578125" style="26" customWidth="1"/>
    <col min="11520" max="11527" width="11.42578125" style="26" customWidth="1"/>
    <col min="11528" max="11528" width="9.5703125" style="26" bestFit="1" customWidth="1"/>
    <col min="11529" max="11532" width="0" style="26" hidden="1" customWidth="1"/>
    <col min="11533" max="11541" width="11.42578125" style="26" customWidth="1"/>
    <col min="11542" max="11773" width="11.42578125" style="26"/>
    <col min="11774" max="11774" width="3.5703125" style="26" customWidth="1"/>
    <col min="11775" max="11775" width="13.42578125" style="26" customWidth="1"/>
    <col min="11776" max="11783" width="11.42578125" style="26" customWidth="1"/>
    <col min="11784" max="11784" width="9.5703125" style="26" bestFit="1" customWidth="1"/>
    <col min="11785" max="11788" width="0" style="26" hidden="1" customWidth="1"/>
    <col min="11789" max="11797" width="11.42578125" style="26" customWidth="1"/>
    <col min="11798" max="12029" width="11.42578125" style="26"/>
    <col min="12030" max="12030" width="3.5703125" style="26" customWidth="1"/>
    <col min="12031" max="12031" width="13.42578125" style="26" customWidth="1"/>
    <col min="12032" max="12039" width="11.42578125" style="26" customWidth="1"/>
    <col min="12040" max="12040" width="9.5703125" style="26" bestFit="1" customWidth="1"/>
    <col min="12041" max="12044" width="0" style="26" hidden="1" customWidth="1"/>
    <col min="12045" max="12053" width="11.42578125" style="26" customWidth="1"/>
    <col min="12054" max="12285" width="11.42578125" style="26"/>
    <col min="12286" max="12286" width="3.5703125" style="26" customWidth="1"/>
    <col min="12287" max="12287" width="13.42578125" style="26" customWidth="1"/>
    <col min="12288" max="12295" width="11.42578125" style="26" customWidth="1"/>
    <col min="12296" max="12296" width="9.5703125" style="26" bestFit="1" customWidth="1"/>
    <col min="12297" max="12300" width="0" style="26" hidden="1" customWidth="1"/>
    <col min="12301" max="12309" width="11.42578125" style="26" customWidth="1"/>
    <col min="12310" max="12541" width="11.42578125" style="26"/>
    <col min="12542" max="12542" width="3.5703125" style="26" customWidth="1"/>
    <col min="12543" max="12543" width="13.42578125" style="26" customWidth="1"/>
    <col min="12544" max="12551" width="11.42578125" style="26" customWidth="1"/>
    <col min="12552" max="12552" width="9.5703125" style="26" bestFit="1" customWidth="1"/>
    <col min="12553" max="12556" width="0" style="26" hidden="1" customWidth="1"/>
    <col min="12557" max="12565" width="11.42578125" style="26" customWidth="1"/>
    <col min="12566" max="12797" width="11.42578125" style="26"/>
    <col min="12798" max="12798" width="3.5703125" style="26" customWidth="1"/>
    <col min="12799" max="12799" width="13.42578125" style="26" customWidth="1"/>
    <col min="12800" max="12807" width="11.42578125" style="26" customWidth="1"/>
    <col min="12808" max="12808" width="9.5703125" style="26" bestFit="1" customWidth="1"/>
    <col min="12809" max="12812" width="0" style="26" hidden="1" customWidth="1"/>
    <col min="12813" max="12821" width="11.42578125" style="26" customWidth="1"/>
    <col min="12822" max="13053" width="11.42578125" style="26"/>
    <col min="13054" max="13054" width="3.5703125" style="26" customWidth="1"/>
    <col min="13055" max="13055" width="13.42578125" style="26" customWidth="1"/>
    <col min="13056" max="13063" width="11.42578125" style="26" customWidth="1"/>
    <col min="13064" max="13064" width="9.5703125" style="26" bestFit="1" customWidth="1"/>
    <col min="13065" max="13068" width="0" style="26" hidden="1" customWidth="1"/>
    <col min="13069" max="13077" width="11.42578125" style="26" customWidth="1"/>
    <col min="13078" max="13309" width="11.42578125" style="26"/>
    <col min="13310" max="13310" width="3.5703125" style="26" customWidth="1"/>
    <col min="13311" max="13311" width="13.42578125" style="26" customWidth="1"/>
    <col min="13312" max="13319" width="11.42578125" style="26" customWidth="1"/>
    <col min="13320" max="13320" width="9.5703125" style="26" bestFit="1" customWidth="1"/>
    <col min="13321" max="13324" width="0" style="26" hidden="1" customWidth="1"/>
    <col min="13325" max="13333" width="11.42578125" style="26" customWidth="1"/>
    <col min="13334" max="13565" width="11.42578125" style="26"/>
    <col min="13566" max="13566" width="3.5703125" style="26" customWidth="1"/>
    <col min="13567" max="13567" width="13.42578125" style="26" customWidth="1"/>
    <col min="13568" max="13575" width="11.42578125" style="26" customWidth="1"/>
    <col min="13576" max="13576" width="9.5703125" style="26" bestFit="1" customWidth="1"/>
    <col min="13577" max="13580" width="0" style="26" hidden="1" customWidth="1"/>
    <col min="13581" max="13589" width="11.42578125" style="26" customWidth="1"/>
    <col min="13590" max="13821" width="11.42578125" style="26"/>
    <col min="13822" max="13822" width="3.5703125" style="26" customWidth="1"/>
    <col min="13823" max="13823" width="13.42578125" style="26" customWidth="1"/>
    <col min="13824" max="13831" width="11.42578125" style="26" customWidth="1"/>
    <col min="13832" max="13832" width="9.5703125" style="26" bestFit="1" customWidth="1"/>
    <col min="13833" max="13836" width="0" style="26" hidden="1" customWidth="1"/>
    <col min="13837" max="13845" width="11.42578125" style="26" customWidth="1"/>
    <col min="13846" max="14077" width="11.42578125" style="26"/>
    <col min="14078" max="14078" width="3.5703125" style="26" customWidth="1"/>
    <col min="14079" max="14079" width="13.42578125" style="26" customWidth="1"/>
    <col min="14080" max="14087" width="11.42578125" style="26" customWidth="1"/>
    <col min="14088" max="14088" width="9.5703125" style="26" bestFit="1" customWidth="1"/>
    <col min="14089" max="14092" width="0" style="26" hidden="1" customWidth="1"/>
    <col min="14093" max="14101" width="11.42578125" style="26" customWidth="1"/>
    <col min="14102" max="14333" width="11.42578125" style="26"/>
    <col min="14334" max="14334" width="3.5703125" style="26" customWidth="1"/>
    <col min="14335" max="14335" width="13.42578125" style="26" customWidth="1"/>
    <col min="14336" max="14343" width="11.42578125" style="26" customWidth="1"/>
    <col min="14344" max="14344" width="9.5703125" style="26" bestFit="1" customWidth="1"/>
    <col min="14345" max="14348" width="0" style="26" hidden="1" customWidth="1"/>
    <col min="14349" max="14357" width="11.42578125" style="26" customWidth="1"/>
    <col min="14358" max="14589" width="11.42578125" style="26"/>
    <col min="14590" max="14590" width="3.5703125" style="26" customWidth="1"/>
    <col min="14591" max="14591" width="13.42578125" style="26" customWidth="1"/>
    <col min="14592" max="14599" width="11.42578125" style="26" customWidth="1"/>
    <col min="14600" max="14600" width="9.5703125" style="26" bestFit="1" customWidth="1"/>
    <col min="14601" max="14604" width="0" style="26" hidden="1" customWidth="1"/>
    <col min="14605" max="14613" width="11.42578125" style="26" customWidth="1"/>
    <col min="14614" max="14845" width="11.42578125" style="26"/>
    <col min="14846" max="14846" width="3.5703125" style="26" customWidth="1"/>
    <col min="14847" max="14847" width="13.42578125" style="26" customWidth="1"/>
    <col min="14848" max="14855" width="11.42578125" style="26" customWidth="1"/>
    <col min="14856" max="14856" width="9.5703125" style="26" bestFit="1" customWidth="1"/>
    <col min="14857" max="14860" width="0" style="26" hidden="1" customWidth="1"/>
    <col min="14861" max="14869" width="11.42578125" style="26" customWidth="1"/>
    <col min="14870" max="15101" width="11.42578125" style="26"/>
    <col min="15102" max="15102" width="3.5703125" style="26" customWidth="1"/>
    <col min="15103" max="15103" width="13.42578125" style="26" customWidth="1"/>
    <col min="15104" max="15111" width="11.42578125" style="26" customWidth="1"/>
    <col min="15112" max="15112" width="9.5703125" style="26" bestFit="1" customWidth="1"/>
    <col min="15113" max="15116" width="0" style="26" hidden="1" customWidth="1"/>
    <col min="15117" max="15125" width="11.42578125" style="26" customWidth="1"/>
    <col min="15126" max="15357" width="11.42578125" style="26"/>
    <col min="15358" max="15358" width="3.5703125" style="26" customWidth="1"/>
    <col min="15359" max="15359" width="13.42578125" style="26" customWidth="1"/>
    <col min="15360" max="15367" width="11.42578125" style="26" customWidth="1"/>
    <col min="15368" max="15368" width="9.5703125" style="26" bestFit="1" customWidth="1"/>
    <col min="15369" max="15372" width="0" style="26" hidden="1" customWidth="1"/>
    <col min="15373" max="15381" width="11.42578125" style="26" customWidth="1"/>
    <col min="15382" max="15613" width="11.42578125" style="26"/>
    <col min="15614" max="15614" width="3.5703125" style="26" customWidth="1"/>
    <col min="15615" max="15615" width="13.42578125" style="26" customWidth="1"/>
    <col min="15616" max="15623" width="11.42578125" style="26" customWidth="1"/>
    <col min="15624" max="15624" width="9.5703125" style="26" bestFit="1" customWidth="1"/>
    <col min="15625" max="15628" width="0" style="26" hidden="1" customWidth="1"/>
    <col min="15629" max="15637" width="11.42578125" style="26" customWidth="1"/>
    <col min="15638" max="15869" width="11.42578125" style="26"/>
    <col min="15870" max="15870" width="3.5703125" style="26" customWidth="1"/>
    <col min="15871" max="15871" width="13.42578125" style="26" customWidth="1"/>
    <col min="15872" max="15879" width="11.42578125" style="26" customWidth="1"/>
    <col min="15880" max="15880" width="9.5703125" style="26" bestFit="1" customWidth="1"/>
    <col min="15881" max="15884" width="0" style="26" hidden="1" customWidth="1"/>
    <col min="15885" max="15893" width="11.42578125" style="26" customWidth="1"/>
    <col min="15894" max="16125" width="11.42578125" style="26"/>
    <col min="16126" max="16126" width="3.5703125" style="26" customWidth="1"/>
    <col min="16127" max="16127" width="13.42578125" style="26" customWidth="1"/>
    <col min="16128" max="16135" width="11.42578125" style="26" customWidth="1"/>
    <col min="16136" max="16136" width="9.5703125" style="26" bestFit="1" customWidth="1"/>
    <col min="16137" max="16140" width="0" style="26" hidden="1" customWidth="1"/>
    <col min="16141" max="16149" width="11.42578125" style="26" customWidth="1"/>
    <col min="16150" max="16384" width="11.42578125" style="26"/>
  </cols>
  <sheetData>
    <row r="1" spans="2:33" s="52" customFormat="1" ht="24.75" customHeight="1">
      <c r="B1" s="147" t="s">
        <v>123</v>
      </c>
      <c r="C1" s="112" t="s">
        <v>124</v>
      </c>
      <c r="D1" s="112" t="s">
        <v>124</v>
      </c>
      <c r="E1" s="112" t="s">
        <v>124</v>
      </c>
      <c r="F1" s="112" t="s">
        <v>124</v>
      </c>
      <c r="G1" s="112" t="s">
        <v>124</v>
      </c>
      <c r="H1" s="112" t="s">
        <v>124</v>
      </c>
      <c r="I1" s="112" t="s">
        <v>124</v>
      </c>
      <c r="J1" s="112" t="s">
        <v>125</v>
      </c>
      <c r="K1" s="112"/>
      <c r="L1" s="112" t="s">
        <v>126</v>
      </c>
      <c r="M1" s="112" t="s">
        <v>126</v>
      </c>
      <c r="N1" s="112" t="s">
        <v>126</v>
      </c>
      <c r="O1" s="112" t="s">
        <v>126</v>
      </c>
      <c r="P1" s="112" t="s">
        <v>126</v>
      </c>
      <c r="Q1" s="112" t="s">
        <v>126</v>
      </c>
      <c r="R1" s="112" t="s">
        <v>126</v>
      </c>
      <c r="S1" s="112" t="s">
        <v>126</v>
      </c>
      <c r="T1" s="112" t="s">
        <v>126</v>
      </c>
      <c r="U1" s="112" t="s">
        <v>126</v>
      </c>
      <c r="V1" s="112" t="s">
        <v>126</v>
      </c>
      <c r="W1" s="112" t="s">
        <v>126</v>
      </c>
      <c r="X1" s="112" t="s">
        <v>126</v>
      </c>
      <c r="Y1" s="112" t="s">
        <v>126</v>
      </c>
      <c r="Z1" s="112" t="s">
        <v>126</v>
      </c>
      <c r="AA1" s="112" t="s">
        <v>126</v>
      </c>
      <c r="AB1" s="112" t="s">
        <v>126</v>
      </c>
      <c r="AC1" s="112" t="s">
        <v>126</v>
      </c>
      <c r="AD1" s="112" t="s">
        <v>126</v>
      </c>
      <c r="AE1" s="112" t="s">
        <v>126</v>
      </c>
      <c r="AF1" s="112" t="s">
        <v>126</v>
      </c>
      <c r="AG1" s="112" t="s">
        <v>126</v>
      </c>
    </row>
    <row r="2" spans="2:33" s="52" customFormat="1" ht="13.5" customHeight="1">
      <c r="B2" s="51" t="s">
        <v>127</v>
      </c>
      <c r="C2" s="50">
        <v>43465</v>
      </c>
      <c r="D2" s="50">
        <v>43830</v>
      </c>
      <c r="E2" s="50">
        <v>44196</v>
      </c>
      <c r="F2" s="50">
        <v>44561</v>
      </c>
      <c r="G2" s="50">
        <v>44926</v>
      </c>
      <c r="H2" s="50">
        <v>45291</v>
      </c>
      <c r="I2" s="50">
        <v>45657</v>
      </c>
      <c r="J2" s="50">
        <f>AG2</f>
        <v>45838</v>
      </c>
      <c r="K2" s="50"/>
      <c r="L2" s="50">
        <v>43921</v>
      </c>
      <c r="M2" s="50">
        <v>44012</v>
      </c>
      <c r="N2" s="50">
        <v>44104</v>
      </c>
      <c r="O2" s="50">
        <v>44196</v>
      </c>
      <c r="P2" s="50">
        <v>44286</v>
      </c>
      <c r="Q2" s="50">
        <v>44377</v>
      </c>
      <c r="R2" s="50">
        <v>44469</v>
      </c>
      <c r="S2" s="50">
        <v>44561</v>
      </c>
      <c r="T2" s="50">
        <v>44651</v>
      </c>
      <c r="U2" s="50">
        <v>44742</v>
      </c>
      <c r="V2" s="50">
        <v>44834</v>
      </c>
      <c r="W2" s="50">
        <v>44926</v>
      </c>
      <c r="X2" s="50">
        <v>45016</v>
      </c>
      <c r="Y2" s="50">
        <v>45107</v>
      </c>
      <c r="Z2" s="50">
        <v>45199</v>
      </c>
      <c r="AA2" s="50">
        <v>45291</v>
      </c>
      <c r="AB2" s="50">
        <v>45382</v>
      </c>
      <c r="AC2" s="50">
        <v>45473</v>
      </c>
      <c r="AD2" s="50">
        <v>45565</v>
      </c>
      <c r="AE2" s="50">
        <v>45657</v>
      </c>
      <c r="AF2" s="50">
        <v>45747</v>
      </c>
      <c r="AG2" s="50">
        <v>45838</v>
      </c>
    </row>
    <row r="3" spans="2:33" s="33" customFormat="1" ht="13.5" customHeight="1">
      <c r="B3" s="60"/>
      <c r="C3" s="50" t="s">
        <v>128</v>
      </c>
      <c r="D3" s="50" t="s">
        <v>128</v>
      </c>
      <c r="E3" s="50" t="s">
        <v>128</v>
      </c>
      <c r="F3" s="50" t="s">
        <v>128</v>
      </c>
      <c r="G3" s="50" t="s">
        <v>128</v>
      </c>
      <c r="H3" s="50" t="s">
        <v>128</v>
      </c>
      <c r="I3" s="50" t="s">
        <v>128</v>
      </c>
      <c r="J3" s="50" t="s">
        <v>128</v>
      </c>
      <c r="K3" s="50"/>
      <c r="L3" s="50" t="s">
        <v>128</v>
      </c>
      <c r="M3" s="50" t="s">
        <v>128</v>
      </c>
      <c r="N3" s="50" t="s">
        <v>128</v>
      </c>
      <c r="O3" s="50" t="s">
        <v>128</v>
      </c>
      <c r="P3" s="50" t="s">
        <v>128</v>
      </c>
      <c r="Q3" s="50" t="s">
        <v>128</v>
      </c>
      <c r="R3" s="50" t="s">
        <v>128</v>
      </c>
      <c r="S3" s="50" t="s">
        <v>128</v>
      </c>
      <c r="T3" s="50" t="s">
        <v>128</v>
      </c>
      <c r="U3" s="50" t="s">
        <v>128</v>
      </c>
      <c r="V3" s="50" t="s">
        <v>128</v>
      </c>
      <c r="W3" s="50" t="s">
        <v>128</v>
      </c>
      <c r="X3" s="50" t="s">
        <v>128</v>
      </c>
      <c r="Y3" s="50" t="s">
        <v>128</v>
      </c>
      <c r="Z3" s="50" t="s">
        <v>128</v>
      </c>
      <c r="AA3" s="50" t="s">
        <v>128</v>
      </c>
      <c r="AB3" s="50" t="s">
        <v>128</v>
      </c>
      <c r="AC3" s="50" t="s">
        <v>128</v>
      </c>
      <c r="AD3" s="50" t="s">
        <v>128</v>
      </c>
      <c r="AE3" s="50" t="s">
        <v>128</v>
      </c>
      <c r="AF3" s="50" t="s">
        <v>128</v>
      </c>
      <c r="AG3" s="50" t="s">
        <v>128</v>
      </c>
    </row>
    <row r="4" spans="2:33" s="109" customFormat="1" ht="13.5" customHeight="1">
      <c r="C4" s="111" t="s">
        <v>129</v>
      </c>
      <c r="D4" s="111" t="s">
        <v>129</v>
      </c>
      <c r="E4" s="111" t="s">
        <v>129</v>
      </c>
      <c r="F4" s="111" t="s">
        <v>129</v>
      </c>
      <c r="G4" s="111" t="s">
        <v>129</v>
      </c>
      <c r="H4" s="111" t="s">
        <v>129</v>
      </c>
      <c r="I4" s="111" t="s">
        <v>129</v>
      </c>
      <c r="J4" s="111" t="s">
        <v>129</v>
      </c>
      <c r="K4" s="111"/>
      <c r="L4" s="111" t="s">
        <v>130</v>
      </c>
      <c r="M4" s="111" t="s">
        <v>131</v>
      </c>
      <c r="N4" s="111" t="s">
        <v>132</v>
      </c>
      <c r="O4" s="110" t="s">
        <v>133</v>
      </c>
      <c r="P4" s="111" t="s">
        <v>130</v>
      </c>
      <c r="Q4" s="111" t="s">
        <v>131</v>
      </c>
      <c r="R4" s="111" t="s">
        <v>132</v>
      </c>
      <c r="S4" s="110" t="s">
        <v>133</v>
      </c>
      <c r="T4" s="111" t="s">
        <v>130</v>
      </c>
      <c r="U4" s="111" t="s">
        <v>131</v>
      </c>
      <c r="V4" s="111" t="s">
        <v>132</v>
      </c>
      <c r="W4" s="110" t="s">
        <v>133</v>
      </c>
      <c r="X4" s="111" t="s">
        <v>130</v>
      </c>
      <c r="Y4" s="111" t="s">
        <v>131</v>
      </c>
      <c r="Z4" s="111" t="s">
        <v>132</v>
      </c>
      <c r="AA4" s="110" t="s">
        <v>133</v>
      </c>
      <c r="AB4" s="111" t="s">
        <v>130</v>
      </c>
      <c r="AC4" s="111" t="s">
        <v>131</v>
      </c>
      <c r="AD4" s="111" t="s">
        <v>132</v>
      </c>
      <c r="AE4" s="110" t="s">
        <v>133</v>
      </c>
      <c r="AF4" s="111" t="s">
        <v>130</v>
      </c>
      <c r="AG4" s="111" t="s">
        <v>131</v>
      </c>
    </row>
    <row r="5" spans="2:33" ht="13.5" customHeight="1">
      <c r="B5" s="54" t="s">
        <v>134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7"/>
      <c r="Q5" s="108"/>
      <c r="R5" s="108"/>
      <c r="S5" s="108"/>
      <c r="T5" s="107"/>
      <c r="U5" s="108"/>
      <c r="V5" s="108"/>
      <c r="W5" s="108"/>
      <c r="X5" s="107"/>
      <c r="Y5" s="108"/>
      <c r="Z5" s="108"/>
      <c r="AA5" s="108"/>
      <c r="AB5" s="107"/>
      <c r="AC5" s="108"/>
      <c r="AD5" s="108"/>
      <c r="AE5" s="108"/>
      <c r="AF5" s="107"/>
      <c r="AG5" s="108"/>
    </row>
    <row r="6" spans="2:33" s="44" customFormat="1" ht="13.5" customHeight="1">
      <c r="B6" s="78" t="s">
        <v>135</v>
      </c>
      <c r="C6" s="75">
        <v>312694</v>
      </c>
      <c r="D6" s="75">
        <v>377289</v>
      </c>
      <c r="E6" s="75">
        <v>482064</v>
      </c>
      <c r="F6" s="75">
        <v>560118</v>
      </c>
      <c r="G6" s="75">
        <v>554552</v>
      </c>
      <c r="H6" s="75">
        <v>609015</v>
      </c>
      <c r="I6" s="75">
        <v>660257</v>
      </c>
      <c r="J6" s="13">
        <f>SUM(AD6:AG6)</f>
        <v>704165</v>
      </c>
      <c r="L6" s="75">
        <v>108065</v>
      </c>
      <c r="M6" s="75">
        <v>114883</v>
      </c>
      <c r="N6" s="75">
        <v>125447</v>
      </c>
      <c r="O6" s="13">
        <f>E6-SUM(L6:N6)</f>
        <v>133669</v>
      </c>
      <c r="P6" s="75">
        <v>135303</v>
      </c>
      <c r="Q6" s="75">
        <v>138259</v>
      </c>
      <c r="R6" s="75">
        <v>142368</v>
      </c>
      <c r="S6" s="13">
        <f>F6-SUM(P6:R6)</f>
        <v>144188</v>
      </c>
      <c r="T6" s="75">
        <v>135471</v>
      </c>
      <c r="U6" s="75">
        <v>134034</v>
      </c>
      <c r="V6" s="75">
        <v>140093</v>
      </c>
      <c r="W6" s="13">
        <f>G6-SUM(T6:V6)</f>
        <v>144954</v>
      </c>
      <c r="X6" s="75">
        <v>149986</v>
      </c>
      <c r="Y6" s="75">
        <v>149208</v>
      </c>
      <c r="Z6" s="75">
        <v>154625</v>
      </c>
      <c r="AA6" s="13">
        <f>H6-SUM(X6:Z6)</f>
        <v>155196</v>
      </c>
      <c r="AB6" s="75">
        <v>159501</v>
      </c>
      <c r="AC6" s="75">
        <v>161117</v>
      </c>
      <c r="AD6" s="75">
        <v>167193</v>
      </c>
      <c r="AE6" s="13">
        <f>I6-SUM(AB6:AD6)</f>
        <v>172446</v>
      </c>
      <c r="AF6" s="75">
        <v>180022</v>
      </c>
      <c r="AG6" s="75">
        <v>184504</v>
      </c>
    </row>
    <row r="7" spans="2:33" s="33" customFormat="1" ht="13.5" customHeight="1">
      <c r="B7" s="33" t="s">
        <v>136</v>
      </c>
      <c r="C7" s="105"/>
      <c r="D7" s="105">
        <f t="shared" ref="D7:I7" si="0">(D6/C6)-1</f>
        <v>0.2065757577695766</v>
      </c>
      <c r="E7" s="105">
        <f t="shared" si="0"/>
        <v>0.27770488935537485</v>
      </c>
      <c r="F7" s="105">
        <f t="shared" si="0"/>
        <v>0.16191626008164883</v>
      </c>
      <c r="G7" s="105">
        <f t="shared" si="0"/>
        <v>-9.9371918060122688E-3</v>
      </c>
      <c r="H7" s="105">
        <f t="shared" si="0"/>
        <v>9.8210808003577732E-2</v>
      </c>
      <c r="I7" s="105">
        <f t="shared" si="0"/>
        <v>8.413914271405476E-2</v>
      </c>
      <c r="J7" s="105">
        <f>(J6/H6)-1</f>
        <v>0.15623588909961161</v>
      </c>
      <c r="K7" s="44"/>
      <c r="L7" s="105"/>
      <c r="M7" s="105"/>
      <c r="N7" s="105"/>
      <c r="O7" s="105"/>
      <c r="P7" s="105">
        <f t="shared" ref="P7:AG7" si="1">(P6/L6)-1</f>
        <v>0.2520520057372877</v>
      </c>
      <c r="Q7" s="105">
        <f t="shared" si="1"/>
        <v>0.20347658052105189</v>
      </c>
      <c r="R7" s="105">
        <f t="shared" si="1"/>
        <v>0.13488564891946409</v>
      </c>
      <c r="S7" s="105">
        <f t="shared" si="1"/>
        <v>7.8694386881027034E-2</v>
      </c>
      <c r="T7" s="105">
        <f t="shared" si="1"/>
        <v>1.2416576129132828E-3</v>
      </c>
      <c r="U7" s="105">
        <f t="shared" si="1"/>
        <v>-3.0558589314258033E-2</v>
      </c>
      <c r="V7" s="105">
        <f t="shared" si="1"/>
        <v>-1.5979714542593837E-2</v>
      </c>
      <c r="W7" s="105">
        <f t="shared" si="1"/>
        <v>5.3125086692373813E-3</v>
      </c>
      <c r="X7" s="105">
        <f t="shared" si="1"/>
        <v>0.10714470255626662</v>
      </c>
      <c r="Y7" s="105">
        <f t="shared" si="1"/>
        <v>0.11321008102421781</v>
      </c>
      <c r="Z7" s="105">
        <f t="shared" si="1"/>
        <v>0.10373109291684801</v>
      </c>
      <c r="AA7" s="105">
        <f t="shared" si="1"/>
        <v>7.0656898050416084E-2</v>
      </c>
      <c r="AB7" s="105">
        <f t="shared" si="1"/>
        <v>6.3439254330404093E-2</v>
      </c>
      <c r="AC7" s="105">
        <f t="shared" si="1"/>
        <v>7.9814755241005786E-2</v>
      </c>
      <c r="AD7" s="105">
        <f t="shared" si="1"/>
        <v>8.1280517380759809E-2</v>
      </c>
      <c r="AE7" s="105">
        <f t="shared" si="1"/>
        <v>0.11114977190133768</v>
      </c>
      <c r="AF7" s="105">
        <f t="shared" si="1"/>
        <v>0.12865750057993375</v>
      </c>
      <c r="AG7" s="105">
        <f t="shared" si="1"/>
        <v>0.14515538397562011</v>
      </c>
    </row>
    <row r="8" spans="2:33" ht="13.5" customHeight="1">
      <c r="B8" s="78" t="s">
        <v>137</v>
      </c>
      <c r="C8" s="75">
        <v>-170574</v>
      </c>
      <c r="D8" s="75">
        <v>-209756</v>
      </c>
      <c r="E8" s="75">
        <v>-260532</v>
      </c>
      <c r="F8" s="75">
        <v>-314174</v>
      </c>
      <c r="G8" s="75">
        <v>-315806</v>
      </c>
      <c r="H8" s="75">
        <v>-315906</v>
      </c>
      <c r="I8" s="75">
        <v>-311011</v>
      </c>
      <c r="J8" s="13">
        <f>SUM(AD8:AG8)</f>
        <v>-319178</v>
      </c>
      <c r="L8" s="75">
        <v>-55271</v>
      </c>
      <c r="M8" s="75">
        <v>-61673</v>
      </c>
      <c r="N8" s="75">
        <v>-68800</v>
      </c>
      <c r="O8" s="13">
        <f>E8-SUM(L8:N8)</f>
        <v>-74788</v>
      </c>
      <c r="P8" s="75">
        <v>-72668</v>
      </c>
      <c r="Q8" s="75">
        <v>-75514</v>
      </c>
      <c r="R8" s="75">
        <v>-79621</v>
      </c>
      <c r="S8" s="13">
        <f>F8-SUM(P8:R8)</f>
        <v>-86371</v>
      </c>
      <c r="T8" s="75">
        <v>-78397</v>
      </c>
      <c r="U8" s="75">
        <v>-76167</v>
      </c>
      <c r="V8" s="75">
        <v>-78110</v>
      </c>
      <c r="W8" s="13">
        <f>G8-SUM(T8:V8)</f>
        <v>-83132</v>
      </c>
      <c r="X8" s="75">
        <v>-81804</v>
      </c>
      <c r="Y8" s="75">
        <v>-78368</v>
      </c>
      <c r="Z8" s="75">
        <v>-78102</v>
      </c>
      <c r="AA8" s="13">
        <f>H8-SUM(X8:Z8)</f>
        <v>-77632</v>
      </c>
      <c r="AB8" s="75">
        <v>-75631</v>
      </c>
      <c r="AC8" s="75">
        <v>-75222</v>
      </c>
      <c r="AD8" s="75">
        <v>-78365</v>
      </c>
      <c r="AE8" s="13">
        <f>I8-SUM(AB8:AD8)</f>
        <v>-81793</v>
      </c>
      <c r="AF8" s="75">
        <v>-79529</v>
      </c>
      <c r="AG8" s="75">
        <v>-79491</v>
      </c>
    </row>
    <row r="9" spans="2:33" s="33" customFormat="1" ht="13.5" customHeight="1">
      <c r="B9" s="33" t="s">
        <v>138</v>
      </c>
      <c r="C9" s="64">
        <f t="shared" ref="C9:G9" si="2">C6+C8</f>
        <v>142120</v>
      </c>
      <c r="D9" s="64">
        <f t="shared" si="2"/>
        <v>167533</v>
      </c>
      <c r="E9" s="64">
        <f t="shared" si="2"/>
        <v>221532</v>
      </c>
      <c r="F9" s="64">
        <f t="shared" si="2"/>
        <v>245944</v>
      </c>
      <c r="G9" s="64">
        <f t="shared" si="2"/>
        <v>238746</v>
      </c>
      <c r="H9" s="64">
        <f t="shared" ref="H9:I9" si="3">H6+H8</f>
        <v>293109</v>
      </c>
      <c r="I9" s="64">
        <f t="shared" si="3"/>
        <v>349246</v>
      </c>
      <c r="J9" s="64">
        <f t="shared" ref="J9" si="4">J6+J8</f>
        <v>384987</v>
      </c>
      <c r="L9" s="64">
        <f t="shared" ref="L9:Q9" si="5">L6+L8</f>
        <v>52794</v>
      </c>
      <c r="M9" s="64">
        <f t="shared" si="5"/>
        <v>53210</v>
      </c>
      <c r="N9" s="64">
        <f t="shared" si="5"/>
        <v>56647</v>
      </c>
      <c r="O9" s="64">
        <f t="shared" si="5"/>
        <v>58881</v>
      </c>
      <c r="P9" s="64">
        <f t="shared" si="5"/>
        <v>62635</v>
      </c>
      <c r="Q9" s="64">
        <f t="shared" si="5"/>
        <v>62745</v>
      </c>
      <c r="R9" s="64">
        <f t="shared" ref="R9:U9" si="6">R6+R8</f>
        <v>62747</v>
      </c>
      <c r="S9" s="64">
        <f t="shared" si="6"/>
        <v>57817</v>
      </c>
      <c r="T9" s="64">
        <f t="shared" si="6"/>
        <v>57074</v>
      </c>
      <c r="U9" s="64">
        <f t="shared" si="6"/>
        <v>57867</v>
      </c>
      <c r="V9" s="64">
        <f t="shared" ref="V9:Y9" si="7">V6+V8</f>
        <v>61983</v>
      </c>
      <c r="W9" s="64">
        <f t="shared" si="7"/>
        <v>61822</v>
      </c>
      <c r="X9" s="64">
        <f t="shared" si="7"/>
        <v>68182</v>
      </c>
      <c r="Y9" s="64">
        <f t="shared" si="7"/>
        <v>70840</v>
      </c>
      <c r="Z9" s="64">
        <f t="shared" ref="Z9:AC9" si="8">Z6+Z8</f>
        <v>76523</v>
      </c>
      <c r="AA9" s="64">
        <f t="shared" si="8"/>
        <v>77564</v>
      </c>
      <c r="AB9" s="64">
        <f t="shared" si="8"/>
        <v>83870</v>
      </c>
      <c r="AC9" s="64">
        <f t="shared" si="8"/>
        <v>85895</v>
      </c>
      <c r="AD9" s="64">
        <f t="shared" ref="AD9:AG9" si="9">AD6+AD8</f>
        <v>88828</v>
      </c>
      <c r="AE9" s="64">
        <f t="shared" si="9"/>
        <v>90653</v>
      </c>
      <c r="AF9" s="64">
        <f t="shared" si="9"/>
        <v>100493</v>
      </c>
      <c r="AG9" s="64">
        <f t="shared" si="9"/>
        <v>105013</v>
      </c>
    </row>
    <row r="10" spans="2:33" s="44" customFormat="1" ht="13.5" customHeight="1">
      <c r="B10" s="49" t="s">
        <v>139</v>
      </c>
      <c r="C10" s="105">
        <f t="shared" ref="C10:G10" si="10">C9/C6</f>
        <v>0.45450184525446602</v>
      </c>
      <c r="D10" s="105">
        <f t="shared" si="10"/>
        <v>0.4440442207432499</v>
      </c>
      <c r="E10" s="105">
        <f t="shared" si="10"/>
        <v>0.45954893955989246</v>
      </c>
      <c r="F10" s="105">
        <f t="shared" si="10"/>
        <v>0.43909319107759437</v>
      </c>
      <c r="G10" s="105">
        <f t="shared" si="10"/>
        <v>0.43052049221714106</v>
      </c>
      <c r="H10" s="105">
        <f t="shared" ref="H10:I10" si="11">H9/H6</f>
        <v>0.48128371222383687</v>
      </c>
      <c r="I10" s="105">
        <f t="shared" si="11"/>
        <v>0.52895463433178291</v>
      </c>
      <c r="J10" s="105">
        <f t="shared" ref="J10" si="12">J9/J6</f>
        <v>0.54672839462341927</v>
      </c>
      <c r="L10" s="105">
        <f t="shared" ref="L10:Q10" si="13">L9/L6</f>
        <v>0.48853930504788784</v>
      </c>
      <c r="M10" s="105">
        <f t="shared" si="13"/>
        <v>0.4631668741241089</v>
      </c>
      <c r="N10" s="105">
        <f t="shared" si="13"/>
        <v>0.45156121708769442</v>
      </c>
      <c r="O10" s="105">
        <f t="shared" si="13"/>
        <v>0.44049854491318108</v>
      </c>
      <c r="P10" s="105">
        <f t="shared" si="13"/>
        <v>0.46292395586202817</v>
      </c>
      <c r="Q10" s="105">
        <f t="shared" si="13"/>
        <v>0.45382217432499872</v>
      </c>
      <c r="R10" s="105">
        <f t="shared" ref="R10:U10" si="14">R9/R6</f>
        <v>0.44073808721060914</v>
      </c>
      <c r="S10" s="105">
        <f t="shared" si="14"/>
        <v>0.4009834382889006</v>
      </c>
      <c r="T10" s="105">
        <f t="shared" si="14"/>
        <v>0.42130049973795131</v>
      </c>
      <c r="U10" s="105">
        <f t="shared" si="14"/>
        <v>0.43173373920050134</v>
      </c>
      <c r="V10" s="105">
        <f t="shared" ref="V10:Y10" si="15">V9/V6</f>
        <v>0.44244180651424408</v>
      </c>
      <c r="W10" s="105">
        <f t="shared" si="15"/>
        <v>0.42649392220980448</v>
      </c>
      <c r="X10" s="105">
        <f t="shared" si="15"/>
        <v>0.45458909498219835</v>
      </c>
      <c r="Y10" s="105">
        <f t="shared" si="15"/>
        <v>0.47477347059138919</v>
      </c>
      <c r="Z10" s="105">
        <f t="shared" ref="Z10:AC10" si="16">Z9/Z6</f>
        <v>0.49489409862570738</v>
      </c>
      <c r="AA10" s="105">
        <f t="shared" si="16"/>
        <v>0.49978092218871623</v>
      </c>
      <c r="AB10" s="105">
        <f t="shared" si="16"/>
        <v>0.5258274242794716</v>
      </c>
      <c r="AC10" s="105">
        <f t="shared" si="16"/>
        <v>0.53312189278598787</v>
      </c>
      <c r="AD10" s="105">
        <f t="shared" ref="AD10:AG10" si="17">AD9/AD6</f>
        <v>0.53129018559389452</v>
      </c>
      <c r="AE10" s="105">
        <f t="shared" si="17"/>
        <v>0.5256892012572052</v>
      </c>
      <c r="AF10" s="105">
        <f t="shared" si="17"/>
        <v>0.55822621679572493</v>
      </c>
      <c r="AG10" s="105">
        <f t="shared" si="17"/>
        <v>0.56916381216667389</v>
      </c>
    </row>
    <row r="11" spans="2:33" s="44" customFormat="1" ht="13.5" customHeight="1">
      <c r="B11" s="33" t="s">
        <v>140</v>
      </c>
      <c r="C11" s="64"/>
      <c r="D11" s="64"/>
      <c r="E11" s="64"/>
      <c r="F11" s="64"/>
      <c r="G11" s="64"/>
      <c r="H11" s="64"/>
      <c r="I11" s="64"/>
      <c r="J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</row>
    <row r="12" spans="2:33" s="44" customFormat="1" ht="13.5" customHeight="1">
      <c r="B12" s="106" t="s">
        <v>141</v>
      </c>
      <c r="C12" s="75">
        <v>4569</v>
      </c>
      <c r="D12" s="75">
        <v>6314</v>
      </c>
      <c r="E12" s="75">
        <v>6957</v>
      </c>
      <c r="F12" s="75">
        <v>6650</v>
      </c>
      <c r="G12" s="75">
        <v>8592</v>
      </c>
      <c r="H12" s="75">
        <v>13808</v>
      </c>
      <c r="I12" s="75">
        <v>16004</v>
      </c>
      <c r="J12" s="13">
        <f t="shared" ref="J12:J15" si="18">SUM(AD12:AG12)</f>
        <v>15775</v>
      </c>
      <c r="L12" s="75">
        <v>1636</v>
      </c>
      <c r="M12" s="75">
        <v>1749</v>
      </c>
      <c r="N12" s="75">
        <v>1864</v>
      </c>
      <c r="O12" s="13">
        <f>E12-SUM(L12:N12)</f>
        <v>1708</v>
      </c>
      <c r="P12" s="75">
        <v>1614</v>
      </c>
      <c r="Q12" s="75">
        <v>1630</v>
      </c>
      <c r="R12" s="75">
        <v>1703</v>
      </c>
      <c r="S12" s="13">
        <f>F12-SUM(P12:R12)</f>
        <v>1703</v>
      </c>
      <c r="T12" s="75">
        <v>1737</v>
      </c>
      <c r="U12" s="75">
        <v>1945</v>
      </c>
      <c r="V12" s="75">
        <v>2328</v>
      </c>
      <c r="W12" s="13">
        <f>G12-SUM(T12:V12)</f>
        <v>2582</v>
      </c>
      <c r="X12" s="75">
        <v>2963</v>
      </c>
      <c r="Y12" s="75">
        <v>3419</v>
      </c>
      <c r="Z12" s="75">
        <v>3509</v>
      </c>
      <c r="AA12" s="13">
        <f>H12-SUM(X12:Z12)</f>
        <v>3917</v>
      </c>
      <c r="AB12" s="75">
        <v>4248</v>
      </c>
      <c r="AC12" s="75">
        <v>3850</v>
      </c>
      <c r="AD12" s="75">
        <v>3996</v>
      </c>
      <c r="AE12" s="13">
        <f t="shared" ref="AE12:AE15" si="19">I12-SUM(AB12:AD12)</f>
        <v>3910</v>
      </c>
      <c r="AF12" s="75">
        <v>3748</v>
      </c>
      <c r="AG12" s="75">
        <v>4121</v>
      </c>
    </row>
    <row r="13" spans="2:33" s="44" customFormat="1" ht="13.5" customHeight="1">
      <c r="B13" s="106" t="s">
        <v>142</v>
      </c>
      <c r="C13" s="75">
        <v>16714</v>
      </c>
      <c r="D13" s="75">
        <v>19689</v>
      </c>
      <c r="E13" s="75">
        <v>57131</v>
      </c>
      <c r="F13" s="75">
        <v>149467</v>
      </c>
      <c r="G13" s="75">
        <v>124293</v>
      </c>
      <c r="H13" s="75">
        <f>4701-6090</f>
        <v>-1389</v>
      </c>
      <c r="I13" s="75">
        <f>8002+4187</f>
        <v>12189</v>
      </c>
      <c r="J13" s="13">
        <f t="shared" si="18"/>
        <v>8742</v>
      </c>
      <c r="L13" s="75">
        <v>4037</v>
      </c>
      <c r="M13" s="75">
        <v>8607</v>
      </c>
      <c r="N13" s="75">
        <v>11551</v>
      </c>
      <c r="O13" s="13">
        <f>E13-SUM(L13:N13)</f>
        <v>32936</v>
      </c>
      <c r="P13" s="75">
        <v>19521</v>
      </c>
      <c r="Q13" s="75">
        <v>20763</v>
      </c>
      <c r="R13" s="75">
        <v>22984</v>
      </c>
      <c r="S13" s="13">
        <f>F13-SUM(P13:R13)</f>
        <v>86199</v>
      </c>
      <c r="T13" s="75">
        <v>13133</v>
      </c>
      <c r="U13" s="75">
        <v>4420</v>
      </c>
      <c r="V13" s="75">
        <v>20886</v>
      </c>
      <c r="W13" s="13">
        <f>G13-SUM(T13:V13)</f>
        <v>85854</v>
      </c>
      <c r="X13" s="75">
        <f>1520-576</f>
        <v>944</v>
      </c>
      <c r="Y13" s="75">
        <v>-230</v>
      </c>
      <c r="Z13" s="75">
        <v>2644</v>
      </c>
      <c r="AA13" s="13">
        <f>H13-SUM(X13:Z13)</f>
        <v>-4747</v>
      </c>
      <c r="AB13" s="75">
        <f>656+1031</f>
        <v>1687</v>
      </c>
      <c r="AC13" s="75">
        <f>-654+1484</f>
        <v>830</v>
      </c>
      <c r="AD13" s="75">
        <f>3066+2974</f>
        <v>6040</v>
      </c>
      <c r="AE13" s="13">
        <f t="shared" si="19"/>
        <v>3632</v>
      </c>
      <c r="AF13" s="75">
        <f>-1397+1407</f>
        <v>10</v>
      </c>
      <c r="AG13" s="75">
        <f>2638-3578</f>
        <v>-940</v>
      </c>
    </row>
    <row r="14" spans="2:33" s="44" customFormat="1" ht="13.5" customHeight="1">
      <c r="B14" s="106" t="s">
        <v>143</v>
      </c>
      <c r="C14" s="75">
        <v>-24233</v>
      </c>
      <c r="D14" s="75">
        <v>-21396</v>
      </c>
      <c r="E14" s="75">
        <v>-33758</v>
      </c>
      <c r="F14" s="75">
        <v>-40594</v>
      </c>
      <c r="G14" s="75">
        <v>-29229</v>
      </c>
      <c r="H14" s="75">
        <v>-34211</v>
      </c>
      <c r="I14" s="75">
        <v>-36388</v>
      </c>
      <c r="J14" s="13">
        <f t="shared" si="18"/>
        <v>-36972</v>
      </c>
      <c r="L14" s="75">
        <v>-7049</v>
      </c>
      <c r="M14" s="75">
        <v>-7756</v>
      </c>
      <c r="N14" s="75">
        <v>-8920</v>
      </c>
      <c r="O14" s="13">
        <f>E14-SUM(L14:N14)</f>
        <v>-10033</v>
      </c>
      <c r="P14" s="75">
        <v>-8530</v>
      </c>
      <c r="Q14" s="75">
        <v>-10013</v>
      </c>
      <c r="R14" s="75">
        <v>-10435</v>
      </c>
      <c r="S14" s="13">
        <f>F14-SUM(P14:R14)</f>
        <v>-11616</v>
      </c>
      <c r="T14" s="75">
        <v>-8058</v>
      </c>
      <c r="U14" s="75">
        <v>-7932</v>
      </c>
      <c r="V14" s="75">
        <v>-7124</v>
      </c>
      <c r="W14" s="13">
        <f>G14-SUM(T14:V14)</f>
        <v>-6115</v>
      </c>
      <c r="X14" s="75">
        <v>-7018</v>
      </c>
      <c r="Y14" s="75">
        <v>-8310</v>
      </c>
      <c r="Z14" s="75">
        <v>-7912</v>
      </c>
      <c r="AA14" s="13">
        <f>H14-SUM(X14:Z14)</f>
        <v>-10971</v>
      </c>
      <c r="AB14" s="75">
        <v>-7536</v>
      </c>
      <c r="AC14" s="75">
        <v>-9156</v>
      </c>
      <c r="AD14" s="75">
        <v>-9411</v>
      </c>
      <c r="AE14" s="13">
        <f t="shared" si="19"/>
        <v>-10285</v>
      </c>
      <c r="AF14" s="75">
        <v>-7866</v>
      </c>
      <c r="AG14" s="75">
        <v>-9410</v>
      </c>
    </row>
    <row r="15" spans="2:33" s="44" customFormat="1" ht="13.5" customHeight="1">
      <c r="B15" s="106" t="s">
        <v>144</v>
      </c>
      <c r="C15" s="75">
        <v>-41522</v>
      </c>
      <c r="D15" s="75">
        <v>-53446</v>
      </c>
      <c r="E15" s="75">
        <v>-67625</v>
      </c>
      <c r="F15" s="75">
        <v>-89847</v>
      </c>
      <c r="G15" s="75">
        <v>-106696</v>
      </c>
      <c r="H15" s="75">
        <v>-103525</v>
      </c>
      <c r="I15" s="75">
        <v>-112761</v>
      </c>
      <c r="J15" s="13">
        <f t="shared" si="18"/>
        <v>-126046</v>
      </c>
      <c r="L15" s="75">
        <v>-14158</v>
      </c>
      <c r="M15" s="75">
        <v>-16499</v>
      </c>
      <c r="N15" s="75">
        <v>-17189</v>
      </c>
      <c r="O15" s="13">
        <f>E15-SUM(L15:N15)</f>
        <v>-19779</v>
      </c>
      <c r="P15" s="75">
        <v>-18967</v>
      </c>
      <c r="Q15" s="75">
        <v>-22638</v>
      </c>
      <c r="R15" s="75">
        <v>-23862</v>
      </c>
      <c r="S15" s="13">
        <f>F15-SUM(P15:R15)</f>
        <v>-24380</v>
      </c>
      <c r="T15" s="75">
        <v>-26669</v>
      </c>
      <c r="U15" s="75">
        <v>-26233</v>
      </c>
      <c r="V15" s="75">
        <v>-26480</v>
      </c>
      <c r="W15" s="13">
        <f>G15-SUM(T15:V15)</f>
        <v>-27314</v>
      </c>
      <c r="X15" s="75">
        <v>-24642</v>
      </c>
      <c r="Y15" s="75">
        <v>-25419</v>
      </c>
      <c r="Z15" s="75">
        <v>-26289</v>
      </c>
      <c r="AA15" s="13">
        <f>H15-SUM(X15:Z15)</f>
        <v>-27175</v>
      </c>
      <c r="AB15" s="75">
        <v>-24809</v>
      </c>
      <c r="AC15" s="75">
        <v>-27491</v>
      </c>
      <c r="AD15" s="75">
        <v>-29058</v>
      </c>
      <c r="AE15" s="13">
        <f t="shared" si="19"/>
        <v>-31403</v>
      </c>
      <c r="AF15" s="75">
        <v>-33664</v>
      </c>
      <c r="AG15" s="75">
        <v>-31921</v>
      </c>
    </row>
    <row r="16" spans="2:33" s="33" customFormat="1" ht="13.5" customHeight="1">
      <c r="B16" s="33" t="s">
        <v>145</v>
      </c>
      <c r="C16" s="64">
        <f t="shared" ref="C16:G16" si="20">C9+SUM(C12:C15)</f>
        <v>97648</v>
      </c>
      <c r="D16" s="64">
        <f t="shared" si="20"/>
        <v>118694</v>
      </c>
      <c r="E16" s="64">
        <f t="shared" si="20"/>
        <v>184237</v>
      </c>
      <c r="F16" s="64">
        <f t="shared" si="20"/>
        <v>271620</v>
      </c>
      <c r="G16" s="64">
        <f t="shared" si="20"/>
        <v>235706</v>
      </c>
      <c r="H16" s="64">
        <f t="shared" ref="H16:I16" si="21">H9+SUM(H12:H15)</f>
        <v>167792</v>
      </c>
      <c r="I16" s="64">
        <f t="shared" si="21"/>
        <v>228290</v>
      </c>
      <c r="J16" s="64">
        <f>J9+SUM(J12:J15)</f>
        <v>246486</v>
      </c>
      <c r="L16" s="64">
        <f t="shared" ref="L16:Q16" si="22">L9+SUM(L12:L15)</f>
        <v>37260</v>
      </c>
      <c r="M16" s="64">
        <f t="shared" si="22"/>
        <v>39311</v>
      </c>
      <c r="N16" s="64">
        <f t="shared" si="22"/>
        <v>43953</v>
      </c>
      <c r="O16" s="64">
        <f t="shared" si="22"/>
        <v>63713</v>
      </c>
      <c r="P16" s="64">
        <f t="shared" si="22"/>
        <v>56273</v>
      </c>
      <c r="Q16" s="64">
        <f t="shared" si="22"/>
        <v>52487</v>
      </c>
      <c r="R16" s="64">
        <f t="shared" ref="R16:U16" si="23">R9+SUM(R12:R15)</f>
        <v>53137</v>
      </c>
      <c r="S16" s="64">
        <f t="shared" si="23"/>
        <v>109723</v>
      </c>
      <c r="T16" s="64">
        <f t="shared" si="23"/>
        <v>37217</v>
      </c>
      <c r="U16" s="64">
        <f t="shared" si="23"/>
        <v>30067</v>
      </c>
      <c r="V16" s="64">
        <f t="shared" ref="V16:Y16" si="24">V9+SUM(V12:V15)</f>
        <v>51593</v>
      </c>
      <c r="W16" s="64">
        <f t="shared" si="24"/>
        <v>116829</v>
      </c>
      <c r="X16" s="64">
        <f t="shared" si="24"/>
        <v>40429</v>
      </c>
      <c r="Y16" s="64">
        <f t="shared" si="24"/>
        <v>40300</v>
      </c>
      <c r="Z16" s="64">
        <f t="shared" ref="Z16:AC16" si="25">Z9+SUM(Z12:Z15)</f>
        <v>48475</v>
      </c>
      <c r="AA16" s="64">
        <f t="shared" si="25"/>
        <v>38588</v>
      </c>
      <c r="AB16" s="64">
        <f t="shared" si="25"/>
        <v>57460</v>
      </c>
      <c r="AC16" s="64">
        <f t="shared" si="25"/>
        <v>53928</v>
      </c>
      <c r="AD16" s="64">
        <f t="shared" ref="AD16:AG16" si="26">AD9+SUM(AD12:AD15)</f>
        <v>60395</v>
      </c>
      <c r="AE16" s="64">
        <f t="shared" si="26"/>
        <v>56507</v>
      </c>
      <c r="AF16" s="64">
        <f t="shared" si="26"/>
        <v>62721</v>
      </c>
      <c r="AG16" s="64">
        <f t="shared" si="26"/>
        <v>66863</v>
      </c>
    </row>
    <row r="17" spans="2:33" s="44" customFormat="1" ht="13.5" customHeight="1">
      <c r="B17" s="106" t="s">
        <v>146</v>
      </c>
      <c r="C17" s="75">
        <v>-4669</v>
      </c>
      <c r="D17" s="75">
        <v>-7613</v>
      </c>
      <c r="E17" s="75">
        <v>-7887</v>
      </c>
      <c r="F17" s="75">
        <v>-7114</v>
      </c>
      <c r="G17" s="75">
        <v>-9352</v>
      </c>
      <c r="H17" s="75">
        <v>-12268</v>
      </c>
      <c r="I17" s="75">
        <v>-11981</v>
      </c>
      <c r="J17" s="13">
        <f t="shared" ref="J17:J18" si="27">SUM(AD17:AG17)</f>
        <v>-13844</v>
      </c>
      <c r="L17" s="75">
        <v>-1684</v>
      </c>
      <c r="M17" s="75">
        <v>-2005</v>
      </c>
      <c r="N17" s="75">
        <v>-1945</v>
      </c>
      <c r="O17" s="13">
        <f>E17-SUM(L17:N17)</f>
        <v>-2253</v>
      </c>
      <c r="P17" s="75">
        <v>-1367</v>
      </c>
      <c r="Q17" s="75">
        <v>-1942</v>
      </c>
      <c r="R17" s="75">
        <v>-1942</v>
      </c>
      <c r="S17" s="13">
        <f>F17-SUM(P17:R17)</f>
        <v>-1863</v>
      </c>
      <c r="T17" s="75">
        <v>-1935</v>
      </c>
      <c r="U17" s="75">
        <v>-1809</v>
      </c>
      <c r="V17" s="75">
        <v>-1950</v>
      </c>
      <c r="W17" s="13">
        <f>G17-SUM(T17:V17)</f>
        <v>-3658</v>
      </c>
      <c r="X17" s="75">
        <v>-2650</v>
      </c>
      <c r="Y17" s="75">
        <v>-3291</v>
      </c>
      <c r="Z17" s="75">
        <v>-2784</v>
      </c>
      <c r="AA17" s="13">
        <f>H17-SUM(X17:Z17)</f>
        <v>-3543</v>
      </c>
      <c r="AB17" s="75">
        <v>-2826</v>
      </c>
      <c r="AC17" s="75">
        <v>-3112</v>
      </c>
      <c r="AD17" s="75">
        <v>-3531</v>
      </c>
      <c r="AE17" s="13">
        <f t="shared" ref="AE17:AE18" si="28">I17-SUM(AB17:AD17)</f>
        <v>-2512</v>
      </c>
      <c r="AF17" s="75">
        <v>-3860</v>
      </c>
      <c r="AG17" s="75">
        <v>-3941</v>
      </c>
    </row>
    <row r="18" spans="2:33" s="44" customFormat="1" ht="13.5" customHeight="1">
      <c r="B18" s="106" t="s">
        <v>147</v>
      </c>
      <c r="C18" s="75">
        <v>1487</v>
      </c>
      <c r="D18" s="75">
        <v>-1681</v>
      </c>
      <c r="E18" s="75">
        <v>3672</v>
      </c>
      <c r="F18" s="75">
        <v>-16444</v>
      </c>
      <c r="G18" s="75">
        <v>-16129</v>
      </c>
      <c r="H18" s="75">
        <v>5800</v>
      </c>
      <c r="I18" s="75">
        <v>25176</v>
      </c>
      <c r="J18" s="13">
        <f t="shared" si="27"/>
        <v>24326</v>
      </c>
      <c r="L18" s="75">
        <v>-281</v>
      </c>
      <c r="M18" s="75">
        <v>-295</v>
      </c>
      <c r="N18" s="75">
        <v>2630</v>
      </c>
      <c r="O18" s="13">
        <f>E18-SUM(L18:N18)</f>
        <v>1618</v>
      </c>
      <c r="P18" s="75">
        <v>1348</v>
      </c>
      <c r="Q18" s="75">
        <v>-3857</v>
      </c>
      <c r="R18" s="75">
        <v>-5668</v>
      </c>
      <c r="S18" s="13">
        <f>F18-SUM(P18:R18)</f>
        <v>-8267</v>
      </c>
      <c r="T18" s="75">
        <v>-6280</v>
      </c>
      <c r="U18" s="75">
        <v>-4460</v>
      </c>
      <c r="V18" s="75">
        <v>-3697</v>
      </c>
      <c r="W18" s="13">
        <f>G18-SUM(T18:V18)</f>
        <v>-1692</v>
      </c>
      <c r="X18" s="75">
        <v>80</v>
      </c>
      <c r="Y18" s="75">
        <v>1159</v>
      </c>
      <c r="Z18" s="75">
        <v>2098</v>
      </c>
      <c r="AA18" s="13">
        <f>H18-SUM(X18:Z18)</f>
        <v>2463</v>
      </c>
      <c r="AB18" s="75">
        <v>2186</v>
      </c>
      <c r="AC18" s="75">
        <v>7718</v>
      </c>
      <c r="AD18" s="75">
        <v>6019</v>
      </c>
      <c r="AE18" s="13">
        <f t="shared" si="28"/>
        <v>9253</v>
      </c>
      <c r="AF18" s="75">
        <v>4581</v>
      </c>
      <c r="AG18" s="75">
        <v>4473</v>
      </c>
    </row>
    <row r="19" spans="2:33" s="33" customFormat="1" ht="13.5" customHeight="1">
      <c r="B19" s="33" t="s">
        <v>148</v>
      </c>
      <c r="C19" s="64">
        <f t="shared" ref="C19:G19" si="29">C16+SUM(C17:C18)</f>
        <v>94466</v>
      </c>
      <c r="D19" s="64">
        <f t="shared" si="29"/>
        <v>109400</v>
      </c>
      <c r="E19" s="64">
        <f t="shared" si="29"/>
        <v>180022</v>
      </c>
      <c r="F19" s="64">
        <f t="shared" si="29"/>
        <v>248062</v>
      </c>
      <c r="G19" s="64">
        <f t="shared" si="29"/>
        <v>210225</v>
      </c>
      <c r="H19" s="64">
        <f t="shared" ref="H19:I19" si="30">H16+SUM(H17:H18)</f>
        <v>161324</v>
      </c>
      <c r="I19" s="64">
        <f t="shared" si="30"/>
        <v>241485</v>
      </c>
      <c r="J19" s="64">
        <f>J16+SUM(J17:J18)</f>
        <v>256968</v>
      </c>
      <c r="L19" s="64">
        <f t="shared" ref="L19:R19" si="31">L16+SUM(L17:L18)</f>
        <v>35295</v>
      </c>
      <c r="M19" s="64">
        <f t="shared" si="31"/>
        <v>37011</v>
      </c>
      <c r="N19" s="64">
        <f t="shared" si="31"/>
        <v>44638</v>
      </c>
      <c r="O19" s="64">
        <f t="shared" si="31"/>
        <v>63078</v>
      </c>
      <c r="P19" s="64">
        <f t="shared" si="31"/>
        <v>56254</v>
      </c>
      <c r="Q19" s="64">
        <f t="shared" si="31"/>
        <v>46688</v>
      </c>
      <c r="R19" s="64">
        <f t="shared" si="31"/>
        <v>45527</v>
      </c>
      <c r="S19" s="64">
        <f t="shared" ref="S19:V19" si="32">S16+SUM(S17:S18)</f>
        <v>99593</v>
      </c>
      <c r="T19" s="64">
        <f t="shared" si="32"/>
        <v>29002</v>
      </c>
      <c r="U19" s="64">
        <f t="shared" si="32"/>
        <v>23798</v>
      </c>
      <c r="V19" s="64">
        <f t="shared" si="32"/>
        <v>45946</v>
      </c>
      <c r="W19" s="64">
        <f t="shared" ref="W19:Z19" si="33">W16+SUM(W17:W18)</f>
        <v>111479</v>
      </c>
      <c r="X19" s="64">
        <f t="shared" si="33"/>
        <v>37859</v>
      </c>
      <c r="Y19" s="64">
        <f t="shared" si="33"/>
        <v>38168</v>
      </c>
      <c r="Z19" s="64">
        <f t="shared" si="33"/>
        <v>47789</v>
      </c>
      <c r="AA19" s="64">
        <f t="shared" ref="AA19:AD19" si="34">AA16+SUM(AA17:AA18)</f>
        <v>37508</v>
      </c>
      <c r="AB19" s="64">
        <f t="shared" si="34"/>
        <v>56820</v>
      </c>
      <c r="AC19" s="64">
        <f t="shared" si="34"/>
        <v>58534</v>
      </c>
      <c r="AD19" s="64">
        <f t="shared" si="34"/>
        <v>62883</v>
      </c>
      <c r="AE19" s="64">
        <f t="shared" ref="AE19:AG19" si="35">AE16+SUM(AE17:AE18)</f>
        <v>63248</v>
      </c>
      <c r="AF19" s="64">
        <f t="shared" si="35"/>
        <v>63442</v>
      </c>
      <c r="AG19" s="64">
        <f t="shared" si="35"/>
        <v>67395</v>
      </c>
    </row>
    <row r="20" spans="2:33" ht="13.5" customHeight="1">
      <c r="B20" s="26" t="s">
        <v>149</v>
      </c>
      <c r="C20" s="75">
        <v>-14482</v>
      </c>
      <c r="D20" s="75">
        <v>-13512</v>
      </c>
      <c r="E20" s="75">
        <v>-19897</v>
      </c>
      <c r="F20" s="75">
        <v>-20252</v>
      </c>
      <c r="G20" s="75">
        <v>-21516</v>
      </c>
      <c r="H20" s="75">
        <v>-43276</v>
      </c>
      <c r="I20" s="75">
        <v>-45018</v>
      </c>
      <c r="J20" s="13">
        <f>SUM(AD20:AG20)</f>
        <v>-45749</v>
      </c>
      <c r="K20" s="104"/>
      <c r="L20" s="75">
        <v>-5892</v>
      </c>
      <c r="M20" s="75">
        <v>-4557</v>
      </c>
      <c r="N20" s="75">
        <v>-5739</v>
      </c>
      <c r="O20" s="13">
        <f>E20-SUM(L20:N20)</f>
        <v>-3709</v>
      </c>
      <c r="P20" s="75">
        <v>-7246</v>
      </c>
      <c r="Q20" s="75">
        <v>-3666</v>
      </c>
      <c r="R20" s="75">
        <v>-5452</v>
      </c>
      <c r="S20" s="13">
        <f>F20-SUM(P20:R20)</f>
        <v>-3888</v>
      </c>
      <c r="T20" s="75">
        <v>-5269</v>
      </c>
      <c r="U20" s="75">
        <v>-4568</v>
      </c>
      <c r="V20" s="75">
        <v>-7104</v>
      </c>
      <c r="W20" s="13">
        <f>G20-SUM(T20:V20)</f>
        <v>-4575</v>
      </c>
      <c r="X20" s="75">
        <v>-11465</v>
      </c>
      <c r="Y20" s="75">
        <v>-11145</v>
      </c>
      <c r="Z20" s="75">
        <v>-11008</v>
      </c>
      <c r="AA20" s="13">
        <f>H20-SUM(X20:Z20)</f>
        <v>-9658</v>
      </c>
      <c r="AB20" s="75">
        <v>-14169</v>
      </c>
      <c r="AC20" s="75">
        <v>-10168</v>
      </c>
      <c r="AD20" s="75">
        <v>-8900</v>
      </c>
      <c r="AE20" s="13">
        <f>I20-SUM(AB20:AD20)</f>
        <v>-11781</v>
      </c>
      <c r="AF20" s="75">
        <v>-13717</v>
      </c>
      <c r="AG20" s="75">
        <v>-11351</v>
      </c>
    </row>
    <row r="21" spans="2:33" s="33" customFormat="1" ht="13.5" customHeight="1">
      <c r="B21" s="33" t="s">
        <v>150</v>
      </c>
      <c r="C21" s="64">
        <f t="shared" ref="C21:E21" si="36">+C19+C20</f>
        <v>79984</v>
      </c>
      <c r="D21" s="64">
        <f t="shared" si="36"/>
        <v>95888</v>
      </c>
      <c r="E21" s="64">
        <f t="shared" si="36"/>
        <v>160125</v>
      </c>
      <c r="F21" s="64">
        <f t="shared" ref="F21:G21" si="37">+F19+F20</f>
        <v>227810</v>
      </c>
      <c r="G21" s="64">
        <f t="shared" si="37"/>
        <v>188709</v>
      </c>
      <c r="H21" s="64">
        <f t="shared" ref="H21:I21" si="38">+H19+H20</f>
        <v>118048</v>
      </c>
      <c r="I21" s="64">
        <f t="shared" si="38"/>
        <v>196467</v>
      </c>
      <c r="J21" s="64">
        <f t="shared" ref="J21" si="39">+J19+J20</f>
        <v>211219</v>
      </c>
      <c r="L21" s="64">
        <f t="shared" ref="L21:Q21" si="40">+L19+L20</f>
        <v>29403</v>
      </c>
      <c r="M21" s="64">
        <f t="shared" si="40"/>
        <v>32454</v>
      </c>
      <c r="N21" s="64">
        <f t="shared" si="40"/>
        <v>38899</v>
      </c>
      <c r="O21" s="64">
        <f t="shared" si="40"/>
        <v>59369</v>
      </c>
      <c r="P21" s="64">
        <f t="shared" si="40"/>
        <v>49008</v>
      </c>
      <c r="Q21" s="64">
        <f t="shared" si="40"/>
        <v>43022</v>
      </c>
      <c r="R21" s="64">
        <f>+R19+R20</f>
        <v>40075</v>
      </c>
      <c r="S21" s="64">
        <f t="shared" ref="S21:U21" si="41">+S19+S20</f>
        <v>95705</v>
      </c>
      <c r="T21" s="64">
        <f t="shared" si="41"/>
        <v>23733</v>
      </c>
      <c r="U21" s="64">
        <f t="shared" si="41"/>
        <v>19230</v>
      </c>
      <c r="V21" s="64">
        <f>+V19+V20</f>
        <v>38842</v>
      </c>
      <c r="W21" s="64">
        <f t="shared" ref="W21:Y21" si="42">+W19+W20</f>
        <v>106904</v>
      </c>
      <c r="X21" s="64">
        <f t="shared" si="42"/>
        <v>26394</v>
      </c>
      <c r="Y21" s="64">
        <f t="shared" si="42"/>
        <v>27023</v>
      </c>
      <c r="Z21" s="64">
        <f>+Z19+Z20</f>
        <v>36781</v>
      </c>
      <c r="AA21" s="64">
        <f t="shared" ref="AA21:AC21" si="43">+AA19+AA20</f>
        <v>27850</v>
      </c>
      <c r="AB21" s="64">
        <f t="shared" si="43"/>
        <v>42651</v>
      </c>
      <c r="AC21" s="64">
        <f t="shared" si="43"/>
        <v>48366</v>
      </c>
      <c r="AD21" s="64">
        <f>+AD19+AD20</f>
        <v>53983</v>
      </c>
      <c r="AE21" s="64">
        <f t="shared" ref="AE21:AG21" si="44">+AE19+AE20</f>
        <v>51467</v>
      </c>
      <c r="AF21" s="64">
        <f t="shared" si="44"/>
        <v>49725</v>
      </c>
      <c r="AG21" s="64">
        <f t="shared" si="44"/>
        <v>56044</v>
      </c>
    </row>
    <row r="22" spans="2:33" s="44" customFormat="1" ht="13.5" customHeight="1">
      <c r="B22" s="49" t="s">
        <v>151</v>
      </c>
      <c r="C22" s="105">
        <f t="shared" ref="C22:G22" si="45">+C21/C6</f>
        <v>0.25579000556454551</v>
      </c>
      <c r="D22" s="105">
        <f t="shared" si="45"/>
        <v>0.25415000172281726</v>
      </c>
      <c r="E22" s="105">
        <f t="shared" si="45"/>
        <v>0.33216543861395997</v>
      </c>
      <c r="F22" s="105">
        <f t="shared" si="45"/>
        <v>0.40671787016307276</v>
      </c>
      <c r="G22" s="105">
        <f t="shared" si="45"/>
        <v>0.34029090148444152</v>
      </c>
      <c r="H22" s="105">
        <f t="shared" ref="H22:I22" si="46">+H21/H6</f>
        <v>0.19383430621577466</v>
      </c>
      <c r="I22" s="105">
        <f t="shared" si="46"/>
        <v>0.29756140411991089</v>
      </c>
      <c r="J22" s="105">
        <f t="shared" ref="J22" si="47">+J21/J6</f>
        <v>0.29995668628801486</v>
      </c>
      <c r="L22" s="105">
        <f t="shared" ref="L22:R22" si="48">+L21/L6</f>
        <v>0.27208624438995049</v>
      </c>
      <c r="M22" s="105">
        <f t="shared" si="48"/>
        <v>0.28249610473264103</v>
      </c>
      <c r="N22" s="105">
        <f t="shared" si="48"/>
        <v>0.31008314268177001</v>
      </c>
      <c r="O22" s="105">
        <f t="shared" si="48"/>
        <v>0.44414935400130173</v>
      </c>
      <c r="P22" s="105">
        <f t="shared" si="48"/>
        <v>0.36220926365269063</v>
      </c>
      <c r="Q22" s="105">
        <f t="shared" si="48"/>
        <v>0.31116961644449909</v>
      </c>
      <c r="R22" s="105">
        <f t="shared" si="48"/>
        <v>0.28148881771184536</v>
      </c>
      <c r="S22" s="105">
        <f t="shared" ref="S22:V22" si="49">+S21/S6</f>
        <v>0.66375149110883014</v>
      </c>
      <c r="T22" s="105">
        <f t="shared" si="49"/>
        <v>0.17518878579179309</v>
      </c>
      <c r="U22" s="105">
        <f t="shared" si="49"/>
        <v>0.14347105958189713</v>
      </c>
      <c r="V22" s="105">
        <f t="shared" si="49"/>
        <v>0.27725867816379118</v>
      </c>
      <c r="W22" s="105">
        <f t="shared" ref="W22:Z22" si="50">+W21/W6</f>
        <v>0.73750293196462324</v>
      </c>
      <c r="X22" s="105">
        <f t="shared" si="50"/>
        <v>0.17597642446628353</v>
      </c>
      <c r="Y22" s="105">
        <f t="shared" si="50"/>
        <v>0.18110959197898235</v>
      </c>
      <c r="Z22" s="105">
        <f t="shared" si="50"/>
        <v>0.23787227162489896</v>
      </c>
      <c r="AA22" s="105">
        <f t="shared" ref="AA22:AD22" si="51">+AA21/AA6</f>
        <v>0.17945050130157994</v>
      </c>
      <c r="AB22" s="105">
        <f t="shared" si="51"/>
        <v>0.26740271220870088</v>
      </c>
      <c r="AC22" s="105">
        <f t="shared" si="51"/>
        <v>0.30019178609333591</v>
      </c>
      <c r="AD22" s="105">
        <f t="shared" si="51"/>
        <v>0.32287835017016264</v>
      </c>
      <c r="AE22" s="105">
        <f t="shared" ref="AE22:AG22" si="52">+AE21/AE6</f>
        <v>0.29845284900780533</v>
      </c>
      <c r="AF22" s="105">
        <f t="shared" si="52"/>
        <v>0.27621624023730434</v>
      </c>
      <c r="AG22" s="105">
        <f t="shared" si="52"/>
        <v>0.30375493214239258</v>
      </c>
    </row>
    <row r="23" spans="2:33" ht="13.5" customHeight="1">
      <c r="B23" s="26" t="s">
        <v>152</v>
      </c>
      <c r="C23" s="75">
        <v>1265</v>
      </c>
      <c r="D23" s="75">
        <v>2578</v>
      </c>
      <c r="E23" s="75">
        <v>278</v>
      </c>
      <c r="F23" s="75">
        <v>2988</v>
      </c>
      <c r="G23" s="75">
        <v>466</v>
      </c>
      <c r="H23" s="75">
        <v>2832</v>
      </c>
      <c r="I23" s="75">
        <v>2394</v>
      </c>
      <c r="J23" s="13">
        <f>SUM(AD23:AG23)</f>
        <v>3216</v>
      </c>
      <c r="K23" s="104"/>
      <c r="L23" s="75">
        <v>507</v>
      </c>
      <c r="M23" s="75">
        <v>-653</v>
      </c>
      <c r="N23" s="75">
        <v>357</v>
      </c>
      <c r="O23" s="13">
        <f>E23-SUM(L23:N23)</f>
        <v>67</v>
      </c>
      <c r="P23" s="75">
        <v>1241</v>
      </c>
      <c r="Q23" s="75">
        <v>435</v>
      </c>
      <c r="R23" s="75">
        <v>565</v>
      </c>
      <c r="S23" s="13">
        <f>F23-SUM(P23:R23)</f>
        <v>747</v>
      </c>
      <c r="T23" s="75">
        <v>320</v>
      </c>
      <c r="U23" s="75">
        <v>611</v>
      </c>
      <c r="V23" s="75">
        <v>-1101</v>
      </c>
      <c r="W23" s="13">
        <f>G23-SUM(T23:V23)</f>
        <v>636</v>
      </c>
      <c r="X23" s="75">
        <v>556</v>
      </c>
      <c r="Y23" s="75">
        <v>852</v>
      </c>
      <c r="Z23" s="75">
        <v>599</v>
      </c>
      <c r="AA23" s="13">
        <f>H23-SUM(X23:Z23)</f>
        <v>825</v>
      </c>
      <c r="AB23" s="75">
        <v>762</v>
      </c>
      <c r="AC23" s="75">
        <v>736</v>
      </c>
      <c r="AD23" s="75">
        <v>753</v>
      </c>
      <c r="AE23" s="13">
        <f>I23-SUM(AB23:AD23)</f>
        <v>143</v>
      </c>
      <c r="AF23" s="75">
        <v>1904</v>
      </c>
      <c r="AG23" s="75">
        <v>416</v>
      </c>
    </row>
    <row r="24" spans="2:33" s="33" customFormat="1" ht="13.5" customHeight="1">
      <c r="B24" s="33" t="s">
        <v>153</v>
      </c>
      <c r="C24" s="64">
        <f t="shared" ref="C24:E24" si="53">+C21-C23</f>
        <v>78719</v>
      </c>
      <c r="D24" s="64">
        <f t="shared" si="53"/>
        <v>93310</v>
      </c>
      <c r="E24" s="64">
        <f t="shared" si="53"/>
        <v>159847</v>
      </c>
      <c r="F24" s="64">
        <f t="shared" ref="F24:G24" si="54">+F21-F23</f>
        <v>224822</v>
      </c>
      <c r="G24" s="64">
        <f t="shared" si="54"/>
        <v>188243</v>
      </c>
      <c r="H24" s="64">
        <f t="shared" ref="H24:I24" si="55">+H21-H23</f>
        <v>115216</v>
      </c>
      <c r="I24" s="64">
        <f t="shared" si="55"/>
        <v>194073</v>
      </c>
      <c r="J24" s="64">
        <f t="shared" ref="J24" si="56">+J21-J23</f>
        <v>208003</v>
      </c>
      <c r="L24" s="64">
        <f t="shared" ref="L24:Q24" si="57">+L21-L23</f>
        <v>28896</v>
      </c>
      <c r="M24" s="64">
        <f t="shared" si="57"/>
        <v>33107</v>
      </c>
      <c r="N24" s="64">
        <f t="shared" si="57"/>
        <v>38542</v>
      </c>
      <c r="O24" s="64">
        <f t="shared" si="57"/>
        <v>59302</v>
      </c>
      <c r="P24" s="64">
        <f t="shared" si="57"/>
        <v>47767</v>
      </c>
      <c r="Q24" s="64">
        <f t="shared" si="57"/>
        <v>42587</v>
      </c>
      <c r="R24" s="64">
        <f>+R21-R23</f>
        <v>39510</v>
      </c>
      <c r="S24" s="64">
        <f t="shared" ref="S24:U24" si="58">+S21-S23</f>
        <v>94958</v>
      </c>
      <c r="T24" s="64">
        <f t="shared" si="58"/>
        <v>23413</v>
      </c>
      <c r="U24" s="64">
        <f t="shared" si="58"/>
        <v>18619</v>
      </c>
      <c r="V24" s="64">
        <f>+V21-V23</f>
        <v>39943</v>
      </c>
      <c r="W24" s="64">
        <f t="shared" ref="W24:Y24" si="59">+W21-W23</f>
        <v>106268</v>
      </c>
      <c r="X24" s="64">
        <f t="shared" si="59"/>
        <v>25838</v>
      </c>
      <c r="Y24" s="64">
        <f t="shared" si="59"/>
        <v>26171</v>
      </c>
      <c r="Z24" s="64">
        <f>+Z21-Z23</f>
        <v>36182</v>
      </c>
      <c r="AA24" s="64">
        <f t="shared" ref="AA24:AC24" si="60">+AA21-AA23</f>
        <v>27025</v>
      </c>
      <c r="AB24" s="64">
        <f t="shared" si="60"/>
        <v>41889</v>
      </c>
      <c r="AC24" s="64">
        <f t="shared" si="60"/>
        <v>47630</v>
      </c>
      <c r="AD24" s="64">
        <f>+AD21-AD23</f>
        <v>53230</v>
      </c>
      <c r="AE24" s="64">
        <f t="shared" ref="AE24" si="61">+AE21-AE23</f>
        <v>51324</v>
      </c>
      <c r="AF24" s="64">
        <f>+AF21-AF23</f>
        <v>47821</v>
      </c>
      <c r="AG24" s="64">
        <f t="shared" ref="AG24" si="62">+AG21-AG23</f>
        <v>55628</v>
      </c>
    </row>
    <row r="25" spans="2:33" s="33" customFormat="1" ht="13.5" customHeight="1">
      <c r="B25" s="78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</row>
    <row r="26" spans="2:33" s="33" customFormat="1" ht="13.5" customHeight="1">
      <c r="B26" s="102" t="s">
        <v>154</v>
      </c>
      <c r="C26" s="101"/>
      <c r="D26" s="101"/>
      <c r="E26" s="101"/>
      <c r="F26" s="101"/>
      <c r="G26" s="101"/>
      <c r="H26" s="101"/>
      <c r="I26" s="101"/>
      <c r="J26" s="93"/>
      <c r="K26" s="93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</row>
    <row r="27" spans="2:33" s="44" customFormat="1" ht="13.5" customHeight="1">
      <c r="B27" s="26" t="str">
        <f>B12</f>
        <v>Interest income</v>
      </c>
      <c r="C27" s="96">
        <f t="shared" ref="C27:G27" si="63">-C12/C6</f>
        <v>-1.4611729038612829E-2</v>
      </c>
      <c r="D27" s="96">
        <f t="shared" si="63"/>
        <v>-1.6735181783725472E-2</v>
      </c>
      <c r="E27" s="96">
        <f t="shared" si="63"/>
        <v>-1.4431693717016829E-2</v>
      </c>
      <c r="F27" s="96">
        <f t="shared" si="63"/>
        <v>-1.1872498295002124E-2</v>
      </c>
      <c r="G27" s="96">
        <f t="shared" si="63"/>
        <v>-1.5493587616670754E-2</v>
      </c>
      <c r="H27" s="96">
        <f t="shared" ref="H27:I27" si="64">-H12/H6</f>
        <v>-2.2672676370861143E-2</v>
      </c>
      <c r="I27" s="96">
        <f t="shared" si="64"/>
        <v>-2.4239046310754752E-2</v>
      </c>
      <c r="J27" s="96">
        <f t="shared" ref="J27" si="65">-J12/J6</f>
        <v>-2.240241988738435E-2</v>
      </c>
      <c r="K27" s="97"/>
      <c r="L27" s="96">
        <f t="shared" ref="L27:R27" si="66">-L12/L6</f>
        <v>-1.5139036690880488E-2</v>
      </c>
      <c r="M27" s="96">
        <f t="shared" si="66"/>
        <v>-1.5224184605207037E-2</v>
      </c>
      <c r="N27" s="96">
        <f t="shared" si="66"/>
        <v>-1.4858864699833396E-2</v>
      </c>
      <c r="O27" s="96">
        <f t="shared" si="66"/>
        <v>-1.2777831808422296E-2</v>
      </c>
      <c r="P27" s="96">
        <f t="shared" si="66"/>
        <v>-1.1928782066916476E-2</v>
      </c>
      <c r="Q27" s="96">
        <f t="shared" si="66"/>
        <v>-1.1789467593429722E-2</v>
      </c>
      <c r="R27" s="96">
        <f t="shared" si="66"/>
        <v>-1.1961957743313104E-2</v>
      </c>
      <c r="S27" s="96">
        <f t="shared" ref="S27:V27" si="67">-S12/S6</f>
        <v>-1.1810969012677893E-2</v>
      </c>
      <c r="T27" s="96">
        <f t="shared" si="67"/>
        <v>-1.2821932369289368E-2</v>
      </c>
      <c r="U27" s="96">
        <f t="shared" si="67"/>
        <v>-1.4511243415849711E-2</v>
      </c>
      <c r="V27" s="96">
        <f t="shared" si="67"/>
        <v>-1.6617532639032644E-2</v>
      </c>
      <c r="W27" s="96">
        <f t="shared" ref="W27:Z27" si="68">-W12/W6</f>
        <v>-1.7812547428839493E-2</v>
      </c>
      <c r="X27" s="96">
        <f t="shared" si="68"/>
        <v>-1.9755177149867322E-2</v>
      </c>
      <c r="Y27" s="96">
        <f t="shared" si="68"/>
        <v>-2.2914320947938448E-2</v>
      </c>
      <c r="Z27" s="96">
        <f t="shared" si="68"/>
        <v>-2.2693613581244946E-2</v>
      </c>
      <c r="AA27" s="96">
        <f t="shared" ref="AA27:AD27" si="69">-AA12/AA6</f>
        <v>-2.5239052552900848E-2</v>
      </c>
      <c r="AB27" s="96">
        <f t="shared" si="69"/>
        <v>-2.6633061861681118E-2</v>
      </c>
      <c r="AC27" s="96">
        <f t="shared" si="69"/>
        <v>-2.3895678295896769E-2</v>
      </c>
      <c r="AD27" s="96">
        <f t="shared" si="69"/>
        <v>-2.3900522151046995E-2</v>
      </c>
      <c r="AE27" s="96">
        <f t="shared" ref="AE27:AG27" si="70">-AE12/AE6</f>
        <v>-2.2673764540783781E-2</v>
      </c>
      <c r="AF27" s="96">
        <f t="shared" si="70"/>
        <v>-2.0819677594960617E-2</v>
      </c>
      <c r="AG27" s="96">
        <f t="shared" si="70"/>
        <v>-2.2335559120669472E-2</v>
      </c>
    </row>
    <row r="28" spans="2:33" s="44" customFormat="1" ht="13.5" customHeight="1">
      <c r="B28" s="26" t="str">
        <f>B13</f>
        <v>Other gains, net</v>
      </c>
      <c r="C28" s="96">
        <f t="shared" ref="C28:G28" si="71">-C13/C6</f>
        <v>-5.3451617236019877E-2</v>
      </c>
      <c r="D28" s="96">
        <f t="shared" si="71"/>
        <v>-5.2185459952450247E-2</v>
      </c>
      <c r="E28" s="96">
        <f t="shared" si="71"/>
        <v>-0.11851330943609148</v>
      </c>
      <c r="F28" s="96">
        <f t="shared" si="71"/>
        <v>-0.26684912821941092</v>
      </c>
      <c r="G28" s="96">
        <f t="shared" si="71"/>
        <v>-0.22413227253711104</v>
      </c>
      <c r="H28" s="96">
        <f t="shared" ref="H28:I28" si="72">-H13/H6</f>
        <v>2.2807320016748358E-3</v>
      </c>
      <c r="I28" s="96">
        <f t="shared" si="72"/>
        <v>-1.8460993219307026E-2</v>
      </c>
      <c r="J28" s="96">
        <f t="shared" ref="J28" si="73">-J13/J6</f>
        <v>-1.2414703940127669E-2</v>
      </c>
      <c r="K28" s="97"/>
      <c r="L28" s="96">
        <f t="shared" ref="L28:R28" si="74">-L13/L6</f>
        <v>-3.7357146162032111E-2</v>
      </c>
      <c r="M28" s="96">
        <f t="shared" si="74"/>
        <v>-7.4919700913102891E-2</v>
      </c>
      <c r="N28" s="96">
        <f t="shared" si="74"/>
        <v>-9.2078726474128514E-2</v>
      </c>
      <c r="O28" s="96">
        <f t="shared" si="74"/>
        <v>-0.24639968878348756</v>
      </c>
      <c r="P28" s="96">
        <f t="shared" si="74"/>
        <v>-0.1442761801290437</v>
      </c>
      <c r="Q28" s="96">
        <f t="shared" si="74"/>
        <v>-0.15017467217324007</v>
      </c>
      <c r="R28" s="96">
        <f t="shared" si="74"/>
        <v>-0.16144077320746236</v>
      </c>
      <c r="S28" s="96">
        <f t="shared" ref="S28:V28" si="75">-S13/S6</f>
        <v>-0.5978236746469886</v>
      </c>
      <c r="T28" s="96">
        <f t="shared" si="75"/>
        <v>-9.694325722848432E-2</v>
      </c>
      <c r="U28" s="96">
        <f t="shared" si="75"/>
        <v>-3.2976707402599344E-2</v>
      </c>
      <c r="V28" s="96">
        <f t="shared" si="75"/>
        <v>-0.14908667813523874</v>
      </c>
      <c r="W28" s="96">
        <f t="shared" ref="W28:Z28" si="76">-W13/W6</f>
        <v>-0.59228444885963827</v>
      </c>
      <c r="X28" s="96">
        <f t="shared" si="76"/>
        <v>-6.2939207659381546E-3</v>
      </c>
      <c r="Y28" s="96">
        <f t="shared" si="76"/>
        <v>1.5414723071149E-3</v>
      </c>
      <c r="Z28" s="96">
        <f t="shared" si="76"/>
        <v>-1.7099434114793855E-2</v>
      </c>
      <c r="AA28" s="96">
        <f t="shared" ref="AA28:AD28" si="77">-AA13/AA6</f>
        <v>3.0587128534240574E-2</v>
      </c>
      <c r="AB28" s="96">
        <f t="shared" si="77"/>
        <v>-1.0576736196011311E-2</v>
      </c>
      <c r="AC28" s="96">
        <f t="shared" si="77"/>
        <v>-5.1515358404141086E-3</v>
      </c>
      <c r="AD28" s="96">
        <f t="shared" si="77"/>
        <v>-3.6125914362443404E-2</v>
      </c>
      <c r="AE28" s="96">
        <f t="shared" ref="AE28:AG28" si="78">-AE13/AE6</f>
        <v>-2.1061665680850817E-2</v>
      </c>
      <c r="AF28" s="96">
        <f t="shared" si="78"/>
        <v>-5.5548766261901326E-5</v>
      </c>
      <c r="AG28" s="96">
        <f t="shared" si="78"/>
        <v>5.0947404934310369E-3</v>
      </c>
    </row>
    <row r="29" spans="2:33" s="44" customFormat="1" ht="13.5" customHeight="1">
      <c r="B29" s="26" t="str">
        <f>B14</f>
        <v>Selling and marketing expenses</v>
      </c>
      <c r="C29" s="96">
        <f t="shared" ref="C29:G29" si="79">-C14/C6</f>
        <v>7.7497489558482097E-2</v>
      </c>
      <c r="D29" s="96">
        <f t="shared" si="79"/>
        <v>5.6709843117610105E-2</v>
      </c>
      <c r="E29" s="96">
        <f t="shared" si="79"/>
        <v>7.0028046068571811E-2</v>
      </c>
      <c r="F29" s="96">
        <f t="shared" si="79"/>
        <v>7.2474014404107709E-2</v>
      </c>
      <c r="G29" s="96">
        <f t="shared" si="79"/>
        <v>5.27074106666282E-2</v>
      </c>
      <c r="H29" s="96">
        <f t="shared" ref="H29:I29" si="80">-H14/H6</f>
        <v>5.617431426155349E-2</v>
      </c>
      <c r="I29" s="96">
        <f t="shared" si="80"/>
        <v>5.5111873103958008E-2</v>
      </c>
      <c r="J29" s="96">
        <f t="shared" ref="J29" si="81">-J14/J6</f>
        <v>5.2504739656188536E-2</v>
      </c>
      <c r="K29" s="97"/>
      <c r="L29" s="96">
        <f t="shared" ref="L29:R29" si="82">-L14/L6</f>
        <v>6.5229260167491782E-2</v>
      </c>
      <c r="M29" s="96">
        <f t="shared" si="82"/>
        <v>6.7512164550020459E-2</v>
      </c>
      <c r="N29" s="96">
        <f t="shared" si="82"/>
        <v>7.1105725924095434E-2</v>
      </c>
      <c r="O29" s="96">
        <f t="shared" si="82"/>
        <v>7.5058540125234718E-2</v>
      </c>
      <c r="P29" s="96">
        <f t="shared" si="82"/>
        <v>6.3043687131844828E-2</v>
      </c>
      <c r="Q29" s="96">
        <f t="shared" si="82"/>
        <v>7.2422048474240372E-2</v>
      </c>
      <c r="R29" s="96">
        <f t="shared" si="82"/>
        <v>7.3295965385479889E-2</v>
      </c>
      <c r="S29" s="96">
        <f t="shared" ref="S29:V29" si="83">-S14/S6</f>
        <v>8.0561489166920963E-2</v>
      </c>
      <c r="T29" s="96">
        <f t="shared" si="83"/>
        <v>5.9481365015390746E-2</v>
      </c>
      <c r="U29" s="96">
        <f t="shared" si="83"/>
        <v>5.9179014279958815E-2</v>
      </c>
      <c r="V29" s="96">
        <f t="shared" si="83"/>
        <v>5.0851934072366212E-2</v>
      </c>
      <c r="W29" s="96">
        <f t="shared" ref="W29:Z29" si="84">-W14/W6</f>
        <v>4.2185796873490902E-2</v>
      </c>
      <c r="X29" s="96">
        <f t="shared" si="84"/>
        <v>4.6791033829824115E-2</v>
      </c>
      <c r="Y29" s="96">
        <f t="shared" si="84"/>
        <v>5.569406466141226E-2</v>
      </c>
      <c r="Z29" s="96">
        <f t="shared" si="84"/>
        <v>5.1168957154405822E-2</v>
      </c>
      <c r="AA29" s="96">
        <f t="shared" ref="AA29:AD29" si="85">-AA14/AA6</f>
        <v>7.0691254929250755E-2</v>
      </c>
      <c r="AB29" s="96">
        <f t="shared" si="85"/>
        <v>4.7247352681174415E-2</v>
      </c>
      <c r="AC29" s="96">
        <f t="shared" si="85"/>
        <v>5.6828267656423591E-2</v>
      </c>
      <c r="AD29" s="96">
        <f t="shared" si="85"/>
        <v>5.6288241732608421E-2</v>
      </c>
      <c r="AE29" s="96">
        <f t="shared" ref="AE29:AG29" si="86">-AE14/AE6</f>
        <v>5.9641858900757336E-2</v>
      </c>
      <c r="AF29" s="96">
        <f t="shared" si="86"/>
        <v>4.3694659541611579E-2</v>
      </c>
      <c r="AG29" s="96">
        <f t="shared" si="86"/>
        <v>5.1001604301261765E-2</v>
      </c>
    </row>
    <row r="30" spans="2:33" s="44" customFormat="1" ht="13.5" customHeight="1">
      <c r="B30" s="26" t="str">
        <f>B15</f>
        <v>General and administrative expenses</v>
      </c>
      <c r="C30" s="96">
        <f t="shared" ref="C30:G30" si="87">-C15/C6</f>
        <v>0.13278796523118447</v>
      </c>
      <c r="D30" s="96">
        <f t="shared" si="87"/>
        <v>0.1416579863181805</v>
      </c>
      <c r="E30" s="96">
        <f t="shared" si="87"/>
        <v>0.14028220319293705</v>
      </c>
      <c r="F30" s="96">
        <f t="shared" si="87"/>
        <v>0.16040727132497082</v>
      </c>
      <c r="G30" s="96">
        <f t="shared" si="87"/>
        <v>0.19240035199584529</v>
      </c>
      <c r="H30" s="96">
        <f t="shared" ref="H30:I30" si="88">-H15/H6</f>
        <v>0.16998760293260429</v>
      </c>
      <c r="I30" s="96">
        <f t="shared" si="88"/>
        <v>0.17078349794095329</v>
      </c>
      <c r="J30" s="96">
        <f t="shared" ref="J30" si="89">-J15/J6</f>
        <v>0.17900066035659257</v>
      </c>
      <c r="K30" s="97"/>
      <c r="L30" s="96">
        <f t="shared" ref="L30:R30" si="90">-L15/L6</f>
        <v>0.13101374172951463</v>
      </c>
      <c r="M30" s="96">
        <f t="shared" si="90"/>
        <v>0.14361567855992619</v>
      </c>
      <c r="N30" s="96">
        <f t="shared" si="90"/>
        <v>0.13702200929476194</v>
      </c>
      <c r="O30" s="96">
        <f t="shared" si="90"/>
        <v>0.1479699855613493</v>
      </c>
      <c r="P30" s="96">
        <f t="shared" si="90"/>
        <v>0.1401816663340798</v>
      </c>
      <c r="Q30" s="96">
        <f t="shared" si="90"/>
        <v>0.16373617630678655</v>
      </c>
      <c r="R30" s="96">
        <f t="shared" si="90"/>
        <v>0.16760788941335131</v>
      </c>
      <c r="S30" s="96">
        <f t="shared" ref="S30:V30" si="91">-S15/S6</f>
        <v>0.16908480594779038</v>
      </c>
      <c r="T30" s="96">
        <f t="shared" si="91"/>
        <v>0.19686132087310199</v>
      </c>
      <c r="U30" s="96">
        <f t="shared" si="91"/>
        <v>0.19571899667248607</v>
      </c>
      <c r="V30" s="96">
        <f t="shared" si="91"/>
        <v>0.18901729565360154</v>
      </c>
      <c r="W30" s="96">
        <f t="shared" ref="W30:Z30" si="92">-W15/W6</f>
        <v>0.18843219228168936</v>
      </c>
      <c r="X30" s="96">
        <f t="shared" si="92"/>
        <v>0.16429533423119491</v>
      </c>
      <c r="Y30" s="96">
        <f t="shared" si="92"/>
        <v>0.17035949815023324</v>
      </c>
      <c r="Z30" s="96">
        <f t="shared" si="92"/>
        <v>0.17001778496362166</v>
      </c>
      <c r="AA30" s="96">
        <f t="shared" ref="AA30:AD30" si="93">-AA15/AA6</f>
        <v>0.1751011624010928</v>
      </c>
      <c r="AB30" s="96">
        <f t="shared" si="93"/>
        <v>0.15554134456837262</v>
      </c>
      <c r="AC30" s="96">
        <f t="shared" si="93"/>
        <v>0.17062755637207744</v>
      </c>
      <c r="AD30" s="96">
        <f t="shared" si="93"/>
        <v>0.17379914230858948</v>
      </c>
      <c r="AE30" s="96">
        <f t="shared" ref="AE30:AG30" si="94">-AE15/AE6</f>
        <v>0.18210338308803917</v>
      </c>
      <c r="AF30" s="96">
        <f t="shared" si="94"/>
        <v>0.18699936674406462</v>
      </c>
      <c r="AG30" s="96">
        <f t="shared" si="94"/>
        <v>0.1730097992455448</v>
      </c>
    </row>
    <row r="31" spans="2:33" s="44" customFormat="1" ht="13.5" customHeight="1">
      <c r="B31" s="26" t="str">
        <f>B17</f>
        <v>Finance costs, net</v>
      </c>
      <c r="C31" s="96">
        <f t="shared" ref="C31:G31" si="95">-C17/C6</f>
        <v>1.493153050586196E-2</v>
      </c>
      <c r="D31" s="96">
        <f t="shared" si="95"/>
        <v>2.0178165809233772E-2</v>
      </c>
      <c r="E31" s="96">
        <f t="shared" si="95"/>
        <v>1.636089813800657E-2</v>
      </c>
      <c r="F31" s="96">
        <f t="shared" si="95"/>
        <v>1.2700895168518063E-2</v>
      </c>
      <c r="G31" s="96">
        <f t="shared" si="95"/>
        <v>1.686406324384368E-2</v>
      </c>
      <c r="H31" s="96">
        <f t="shared" ref="H31:I31" si="96">-H17/H6</f>
        <v>2.0144003021272054E-2</v>
      </c>
      <c r="I31" s="96">
        <f t="shared" si="96"/>
        <v>1.8145964374478425E-2</v>
      </c>
      <c r="J31" s="96">
        <f t="shared" ref="J31" si="97">-J17/J6</f>
        <v>1.9660164876129885E-2</v>
      </c>
      <c r="K31" s="97"/>
      <c r="L31" s="96">
        <f t="shared" ref="L31:R31" si="98">-L17/L6</f>
        <v>1.5583213806505344E-2</v>
      </c>
      <c r="M31" s="96">
        <f t="shared" si="98"/>
        <v>1.7452538669777078E-2</v>
      </c>
      <c r="N31" s="96">
        <f t="shared" si="98"/>
        <v>1.5504555708785384E-2</v>
      </c>
      <c r="O31" s="96">
        <f t="shared" si="98"/>
        <v>1.6855067367901308E-2</v>
      </c>
      <c r="P31" s="96">
        <f t="shared" si="98"/>
        <v>1.0103249743169035E-2</v>
      </c>
      <c r="Q31" s="96">
        <f t="shared" si="98"/>
        <v>1.4046101881251853E-2</v>
      </c>
      <c r="R31" s="96">
        <f t="shared" si="98"/>
        <v>1.3640705776579007E-2</v>
      </c>
      <c r="S31" s="96">
        <f t="shared" ref="S31:V31" si="99">-S17/S6</f>
        <v>1.2920631397897189E-2</v>
      </c>
      <c r="T31" s="96">
        <f t="shared" si="99"/>
        <v>1.4283499789622872E-2</v>
      </c>
      <c r="U31" s="96">
        <f t="shared" si="99"/>
        <v>1.3496575495769729E-2</v>
      </c>
      <c r="V31" s="96">
        <f t="shared" si="99"/>
        <v>1.3919325019808269E-2</v>
      </c>
      <c r="W31" s="96">
        <f t="shared" ref="W31:Z31" si="100">-W17/W6</f>
        <v>2.5235591980904287E-2</v>
      </c>
      <c r="X31" s="96">
        <f t="shared" si="100"/>
        <v>1.7668315709466215E-2</v>
      </c>
      <c r="Y31" s="96">
        <f t="shared" si="100"/>
        <v>2.2056458098761462E-2</v>
      </c>
      <c r="Z31" s="96">
        <f t="shared" si="100"/>
        <v>1.800485044462409E-2</v>
      </c>
      <c r="AA31" s="96">
        <f t="shared" ref="AA31:AD31" si="101">-AA17/AA6</f>
        <v>2.2829196628779091E-2</v>
      </c>
      <c r="AB31" s="96">
        <f t="shared" si="101"/>
        <v>1.7717757255440406E-2</v>
      </c>
      <c r="AC31" s="96">
        <f t="shared" si="101"/>
        <v>1.9315156066709287E-2</v>
      </c>
      <c r="AD31" s="96">
        <f t="shared" si="101"/>
        <v>2.1119305234070806E-2</v>
      </c>
      <c r="AE31" s="96">
        <f t="shared" ref="AE31:AG31" si="102">-AE17/AE6</f>
        <v>1.4566878907020169E-2</v>
      </c>
      <c r="AF31" s="96">
        <f t="shared" si="102"/>
        <v>2.1441823777093912E-2</v>
      </c>
      <c r="AG31" s="96">
        <f t="shared" si="102"/>
        <v>2.1359970515544377E-2</v>
      </c>
    </row>
    <row r="32" spans="2:33" s="44" customFormat="1" ht="13.5" customHeight="1">
      <c r="B32" s="26" t="str">
        <f>B18</f>
        <v>Share of (loss)/profit of associates and joint ventures</v>
      </c>
      <c r="C32" s="96">
        <f t="shared" ref="C32:G32" si="103">-C18/C6</f>
        <v>-4.7554478179945891E-3</v>
      </c>
      <c r="D32" s="96">
        <f t="shared" si="103"/>
        <v>4.4554704748879506E-3</v>
      </c>
      <c r="E32" s="96">
        <f t="shared" si="103"/>
        <v>-7.6172458428756347E-3</v>
      </c>
      <c r="F32" s="96">
        <f t="shared" si="103"/>
        <v>2.9358099543310517E-2</v>
      </c>
      <c r="G32" s="96">
        <f t="shared" si="103"/>
        <v>2.9084738671936988E-2</v>
      </c>
      <c r="H32" s="96">
        <f t="shared" ref="H32:I32" si="104">-H18/H6</f>
        <v>-9.5235749529978733E-3</v>
      </c>
      <c r="I32" s="96">
        <f t="shared" si="104"/>
        <v>-3.8130606718293027E-2</v>
      </c>
      <c r="J32" s="96">
        <f t="shared" ref="J32" si="105">-J18/J6</f>
        <v>-3.4545880581965872E-2</v>
      </c>
      <c r="K32" s="97"/>
      <c r="L32" s="96">
        <f t="shared" ref="L32:R32" si="106">-L18/L6</f>
        <v>2.6002868643871745E-3</v>
      </c>
      <c r="M32" s="96">
        <f t="shared" si="106"/>
        <v>2.567829879094383E-3</v>
      </c>
      <c r="N32" s="96">
        <f t="shared" si="106"/>
        <v>-2.0965029056095402E-2</v>
      </c>
      <c r="O32" s="96">
        <f t="shared" si="106"/>
        <v>-1.2104526853645946E-2</v>
      </c>
      <c r="P32" s="96">
        <f t="shared" si="106"/>
        <v>-9.9628241798038475E-3</v>
      </c>
      <c r="Q32" s="96">
        <f t="shared" si="106"/>
        <v>2.7896918102980638E-2</v>
      </c>
      <c r="R32" s="96">
        <f t="shared" si="106"/>
        <v>3.9812317374690945E-2</v>
      </c>
      <c r="S32" s="96">
        <f t="shared" ref="S32:V32" si="107">-S18/S6</f>
        <v>5.733486836629955E-2</v>
      </c>
      <c r="T32" s="96">
        <f t="shared" si="107"/>
        <v>4.6356784846941411E-2</v>
      </c>
      <c r="U32" s="96">
        <f t="shared" si="107"/>
        <v>3.3275139143799336E-2</v>
      </c>
      <c r="V32" s="96">
        <f t="shared" si="107"/>
        <v>2.6389612614477524E-2</v>
      </c>
      <c r="W32" s="96">
        <f t="shared" ref="W32:Z32" si="108">-W18/W6</f>
        <v>1.1672668570718987E-2</v>
      </c>
      <c r="X32" s="96">
        <f t="shared" si="108"/>
        <v>-5.3338311575747068E-4</v>
      </c>
      <c r="Y32" s="96">
        <f t="shared" si="108"/>
        <v>-7.7676800171572573E-3</v>
      </c>
      <c r="Z32" s="96">
        <f t="shared" si="108"/>
        <v>-1.3568310428455941E-2</v>
      </c>
      <c r="AA32" s="96">
        <f t="shared" ref="AA32:AD32" si="109">-AA18/AA6</f>
        <v>-1.5870254387999692E-2</v>
      </c>
      <c r="AB32" s="96">
        <f t="shared" si="109"/>
        <v>-1.370524322731519E-2</v>
      </c>
      <c r="AC32" s="96">
        <f t="shared" si="109"/>
        <v>-4.7903076646163965E-2</v>
      </c>
      <c r="AD32" s="96">
        <f t="shared" si="109"/>
        <v>-3.6000311017805771E-2</v>
      </c>
      <c r="AE32" s="96">
        <f t="shared" ref="AE32:AG32" si="110">-AE18/AE6</f>
        <v>-5.3657376802013386E-2</v>
      </c>
      <c r="AF32" s="96">
        <f t="shared" si="110"/>
        <v>-2.5446889824576997E-2</v>
      </c>
      <c r="AG32" s="96">
        <f t="shared" si="110"/>
        <v>-2.4243376837358541E-2</v>
      </c>
    </row>
    <row r="33" spans="2:33" s="44" customFormat="1" ht="13.5" customHeight="1">
      <c r="B33" s="78" t="s">
        <v>155</v>
      </c>
      <c r="C33" s="96">
        <f t="shared" ref="C33:G33" si="111">-C20/C19</f>
        <v>0.15330383418372748</v>
      </c>
      <c r="D33" s="96">
        <f t="shared" si="111"/>
        <v>0.12351005484460695</v>
      </c>
      <c r="E33" s="96">
        <f t="shared" si="111"/>
        <v>0.11052538023130506</v>
      </c>
      <c r="F33" s="96">
        <f t="shared" si="111"/>
        <v>8.1640880102555005E-2</v>
      </c>
      <c r="G33" s="96">
        <f t="shared" si="111"/>
        <v>0.10234748483767392</v>
      </c>
      <c r="H33" s="96">
        <f t="shared" ref="H33:I33" si="112">-H20/H19</f>
        <v>0.26825518831667949</v>
      </c>
      <c r="I33" s="96">
        <f t="shared" si="112"/>
        <v>0.1864215168644015</v>
      </c>
      <c r="J33" s="96">
        <f t="shared" ref="J33" si="113">-J20/J19</f>
        <v>0.17803384078951465</v>
      </c>
      <c r="K33" s="97"/>
      <c r="L33" s="96">
        <f t="shared" ref="L33:R33" si="114">-L20/L19</f>
        <v>0.1669358266043349</v>
      </c>
      <c r="M33" s="96">
        <f t="shared" si="114"/>
        <v>0.12312555726675853</v>
      </c>
      <c r="N33" s="96">
        <f t="shared" si="114"/>
        <v>0.12856758815359112</v>
      </c>
      <c r="O33" s="96">
        <f t="shared" si="114"/>
        <v>5.8800215606075019E-2</v>
      </c>
      <c r="P33" s="96">
        <f t="shared" si="114"/>
        <v>0.12880861805382729</v>
      </c>
      <c r="Q33" s="96">
        <f t="shared" si="114"/>
        <v>7.8521247429746407E-2</v>
      </c>
      <c r="R33" s="96">
        <f t="shared" si="114"/>
        <v>0.11975311353702199</v>
      </c>
      <c r="S33" s="96">
        <f t="shared" ref="S33:V33" si="115">-S20/S19</f>
        <v>3.903888827528039E-2</v>
      </c>
      <c r="T33" s="96">
        <f t="shared" si="115"/>
        <v>0.1816771257154679</v>
      </c>
      <c r="U33" s="96">
        <f t="shared" si="115"/>
        <v>0.19194890326918229</v>
      </c>
      <c r="V33" s="96">
        <f t="shared" si="115"/>
        <v>0.1546162886867192</v>
      </c>
      <c r="W33" s="96">
        <f t="shared" ref="W33:Z33" si="116">-W20/W19</f>
        <v>4.1039119475416892E-2</v>
      </c>
      <c r="X33" s="96">
        <f t="shared" si="116"/>
        <v>0.30283420058638633</v>
      </c>
      <c r="Y33" s="96">
        <f t="shared" si="116"/>
        <v>0.2919985328023475</v>
      </c>
      <c r="Z33" s="96">
        <f t="shared" si="116"/>
        <v>0.2303458954989642</v>
      </c>
      <c r="AA33" s="96">
        <f t="shared" ref="AA33:AD33" si="117">-AA20/AA19</f>
        <v>0.25749173509651274</v>
      </c>
      <c r="AB33" s="96">
        <f t="shared" si="117"/>
        <v>0.24936642027455122</v>
      </c>
      <c r="AC33" s="96">
        <f t="shared" si="117"/>
        <v>0.17371100556941266</v>
      </c>
      <c r="AD33" s="96">
        <f t="shared" si="117"/>
        <v>0.14153268768983668</v>
      </c>
      <c r="AE33" s="96">
        <f t="shared" ref="AE33:AG33" si="118">-AE20/AE19</f>
        <v>0.18626675942322288</v>
      </c>
      <c r="AF33" s="96">
        <f t="shared" si="118"/>
        <v>0.21621323413511553</v>
      </c>
      <c r="AG33" s="96">
        <f t="shared" si="118"/>
        <v>0.16842495734104904</v>
      </c>
    </row>
    <row r="34" spans="2:33" ht="13.5" customHeight="1">
      <c r="B34" s="44" t="s">
        <v>156</v>
      </c>
      <c r="C34" s="98">
        <f t="shared" ref="C34:G34" si="119">C54/C6</f>
        <v>4.0371737225530391E-2</v>
      </c>
      <c r="D34" s="98">
        <f t="shared" si="119"/>
        <v>3.7106833223338077E-5</v>
      </c>
      <c r="E34" s="98">
        <f t="shared" si="119"/>
        <v>1.1218427428723157E-2</v>
      </c>
      <c r="F34" s="98">
        <f t="shared" si="119"/>
        <v>3.190220632081097E-2</v>
      </c>
      <c r="G34" s="98">
        <f t="shared" si="119"/>
        <v>-6.100419798323692E-3</v>
      </c>
      <c r="H34" s="98">
        <f t="shared" ref="H34:I34" si="120">H54/H6</f>
        <v>1.4640033496711904E-2</v>
      </c>
      <c r="I34" s="98">
        <f t="shared" si="120"/>
        <v>1.4909345906215307E-2</v>
      </c>
      <c r="J34" s="98">
        <f>J54/J6</f>
        <v>0</v>
      </c>
      <c r="K34" s="99"/>
      <c r="L34" s="98">
        <f t="shared" ref="L34:R34" si="121">L54/L6</f>
        <v>0</v>
      </c>
      <c r="M34" s="98">
        <f t="shared" si="121"/>
        <v>0</v>
      </c>
      <c r="N34" s="98">
        <f t="shared" si="121"/>
        <v>0</v>
      </c>
      <c r="O34" s="98">
        <f t="shared" si="121"/>
        <v>4.0458146615894489E-2</v>
      </c>
      <c r="P34" s="98">
        <f t="shared" si="121"/>
        <v>0</v>
      </c>
      <c r="Q34" s="98">
        <f t="shared" si="121"/>
        <v>0</v>
      </c>
      <c r="R34" s="98">
        <f t="shared" si="121"/>
        <v>0</v>
      </c>
      <c r="S34" s="98">
        <f t="shared" ref="S34:V34" si="122">S54/S6</f>
        <v>0.12392848225927261</v>
      </c>
      <c r="T34" s="98">
        <f t="shared" si="122"/>
        <v>0</v>
      </c>
      <c r="U34" s="98">
        <f t="shared" si="122"/>
        <v>0</v>
      </c>
      <c r="V34" s="98">
        <f t="shared" si="122"/>
        <v>0</v>
      </c>
      <c r="W34" s="98">
        <f t="shared" ref="W34:Z34" si="123">W54/W6</f>
        <v>-2.3338438401147951E-2</v>
      </c>
      <c r="X34" s="98">
        <f t="shared" si="123"/>
        <v>0</v>
      </c>
      <c r="Y34" s="98">
        <f t="shared" si="123"/>
        <v>0</v>
      </c>
      <c r="Z34" s="98">
        <f t="shared" si="123"/>
        <v>0</v>
      </c>
      <c r="AA34" s="98">
        <f t="shared" ref="AA34:AD34" si="124">AA54/AA6</f>
        <v>5.7449934276656615E-2</v>
      </c>
      <c r="AB34" s="98">
        <f t="shared" si="124"/>
        <v>0</v>
      </c>
      <c r="AC34" s="98">
        <f t="shared" si="124"/>
        <v>0</v>
      </c>
      <c r="AD34" s="98">
        <f t="shared" si="124"/>
        <v>0</v>
      </c>
      <c r="AE34" s="98">
        <f t="shared" ref="AE34:AG34" si="125">AE54/AE6</f>
        <v>5.7084536608561519E-2</v>
      </c>
      <c r="AF34" s="98">
        <f t="shared" si="125"/>
        <v>0</v>
      </c>
      <c r="AG34" s="98">
        <f t="shared" si="125"/>
        <v>0</v>
      </c>
    </row>
    <row r="35" spans="2:33" s="44" customFormat="1" ht="13.5" customHeight="1">
      <c r="B35" s="44" t="s">
        <v>157</v>
      </c>
      <c r="C35" s="96">
        <f t="shared" ref="C35:G35" si="126">-C58/C6</f>
        <v>6.3032869194803859E-2</v>
      </c>
      <c r="D35" s="96">
        <f t="shared" si="126"/>
        <v>6.0330409844972954E-2</v>
      </c>
      <c r="E35" s="96">
        <f t="shared" si="126"/>
        <v>7.0675263035613528E-2</v>
      </c>
      <c r="F35" s="96">
        <f t="shared" si="126"/>
        <v>5.1972977122677719E-2</v>
      </c>
      <c r="G35" s="96">
        <f t="shared" si="126"/>
        <v>4.0218049885312829E-2</v>
      </c>
      <c r="H35" s="96">
        <f t="shared" ref="H35:I35" si="127">-H58/H6</f>
        <v>3.407305238787222E-2</v>
      </c>
      <c r="I35" s="96">
        <f t="shared" si="127"/>
        <v>9.4999371456872095E-2</v>
      </c>
      <c r="J35" s="96">
        <f t="shared" ref="J35" si="128">-J58/J6</f>
        <v>0</v>
      </c>
      <c r="K35" s="97"/>
      <c r="L35" s="96">
        <f t="shared" ref="L35:R35" si="129">-L58/L6</f>
        <v>0</v>
      </c>
      <c r="M35" s="96">
        <f t="shared" si="129"/>
        <v>0.15313841038273723</v>
      </c>
      <c r="N35" s="96">
        <f t="shared" si="129"/>
        <v>0</v>
      </c>
      <c r="O35" s="96">
        <f t="shared" si="129"/>
        <v>0.12326717488722141</v>
      </c>
      <c r="P35" s="96">
        <f t="shared" si="129"/>
        <v>0</v>
      </c>
      <c r="Q35" s="96">
        <f t="shared" si="129"/>
        <v>0.11383707389754012</v>
      </c>
      <c r="R35" s="96">
        <f t="shared" si="129"/>
        <v>0</v>
      </c>
      <c r="S35" s="96">
        <f t="shared" ref="S35:V35" si="130">-S58/S6</f>
        <v>9.2740033844702752E-2</v>
      </c>
      <c r="T35" s="96">
        <f t="shared" si="130"/>
        <v>0</v>
      </c>
      <c r="U35" s="96">
        <f t="shared" si="130"/>
        <v>9.4013459271528113E-2</v>
      </c>
      <c r="V35" s="96">
        <f t="shared" si="130"/>
        <v>0</v>
      </c>
      <c r="W35" s="96">
        <f t="shared" ref="W35:Z35" si="131">-W58/W6</f>
        <v>6.6931578293803556E-2</v>
      </c>
      <c r="X35" s="96">
        <f t="shared" si="131"/>
        <v>0</v>
      </c>
      <c r="Y35" s="96">
        <f t="shared" si="131"/>
        <v>4.1492413275427589E-2</v>
      </c>
      <c r="Z35" s="96">
        <f t="shared" si="131"/>
        <v>0</v>
      </c>
      <c r="AA35" s="96">
        <f t="shared" ref="AA35:AD35" si="132">-AA58/AA6</f>
        <v>9.3816850949766745E-2</v>
      </c>
      <c r="AB35" s="96">
        <f t="shared" si="132"/>
        <v>0</v>
      </c>
      <c r="AC35" s="96">
        <f t="shared" si="132"/>
        <v>7.7285450945586129E-2</v>
      </c>
      <c r="AD35" s="96">
        <f t="shared" si="132"/>
        <v>0</v>
      </c>
      <c r="AE35" s="96">
        <f t="shared" ref="AE35:AG35" si="133">-AE58/AE6</f>
        <v>0.29152314347679853</v>
      </c>
      <c r="AF35" s="96">
        <f t="shared" si="133"/>
        <v>0</v>
      </c>
      <c r="AG35" s="96">
        <f t="shared" si="133"/>
        <v>6.7489051727875823E-2</v>
      </c>
    </row>
    <row r="36" spans="2:33" s="1" customFormat="1" ht="13.5" customHeight="1"/>
    <row r="37" spans="2:33" ht="13.5" customHeight="1">
      <c r="B37" s="54" t="s">
        <v>158</v>
      </c>
      <c r="C37" s="66">
        <f t="shared" ref="C37:H37" si="134">C2</f>
        <v>43465</v>
      </c>
      <c r="D37" s="66">
        <f t="shared" si="134"/>
        <v>43830</v>
      </c>
      <c r="E37" s="66">
        <f t="shared" si="134"/>
        <v>44196</v>
      </c>
      <c r="F37" s="66">
        <f t="shared" si="134"/>
        <v>44561</v>
      </c>
      <c r="G37" s="66">
        <f t="shared" si="134"/>
        <v>44926</v>
      </c>
      <c r="H37" s="66">
        <f t="shared" si="134"/>
        <v>45291</v>
      </c>
      <c r="I37" s="66">
        <f t="shared" ref="I37" si="135">I2</f>
        <v>45657</v>
      </c>
      <c r="J37" s="66" t="str">
        <f>J1</f>
        <v>LTM</v>
      </c>
      <c r="K37" s="66"/>
      <c r="L37" s="66">
        <f t="shared" ref="L37:Q37" si="136">L2</f>
        <v>43921</v>
      </c>
      <c r="M37" s="66">
        <f t="shared" si="136"/>
        <v>44012</v>
      </c>
      <c r="N37" s="66">
        <f t="shared" si="136"/>
        <v>44104</v>
      </c>
      <c r="O37" s="66">
        <f t="shared" si="136"/>
        <v>44196</v>
      </c>
      <c r="P37" s="66">
        <f t="shared" si="136"/>
        <v>44286</v>
      </c>
      <c r="Q37" s="66">
        <f t="shared" si="136"/>
        <v>44377</v>
      </c>
      <c r="R37" s="66">
        <f t="shared" ref="R37:U37" si="137">R2</f>
        <v>44469</v>
      </c>
      <c r="S37" s="66">
        <f t="shared" si="137"/>
        <v>44561</v>
      </c>
      <c r="T37" s="66">
        <f t="shared" si="137"/>
        <v>44651</v>
      </c>
      <c r="U37" s="66">
        <f t="shared" si="137"/>
        <v>44742</v>
      </c>
      <c r="V37" s="66">
        <f t="shared" ref="V37:Y37" si="138">V2</f>
        <v>44834</v>
      </c>
      <c r="W37" s="66">
        <f t="shared" si="138"/>
        <v>44926</v>
      </c>
      <c r="X37" s="66">
        <f t="shared" si="138"/>
        <v>45016</v>
      </c>
      <c r="Y37" s="66">
        <f t="shared" si="138"/>
        <v>45107</v>
      </c>
      <c r="Z37" s="66">
        <f t="shared" ref="Z37:AC37" si="139">Z2</f>
        <v>45199</v>
      </c>
      <c r="AA37" s="66">
        <f t="shared" si="139"/>
        <v>45291</v>
      </c>
      <c r="AB37" s="66">
        <f t="shared" si="139"/>
        <v>45382</v>
      </c>
      <c r="AC37" s="66">
        <f t="shared" si="139"/>
        <v>45473</v>
      </c>
      <c r="AD37" s="66">
        <f t="shared" ref="AD37:AG37" si="140">AD2</f>
        <v>45565</v>
      </c>
      <c r="AE37" s="66">
        <f t="shared" si="140"/>
        <v>45657</v>
      </c>
      <c r="AF37" s="66">
        <f t="shared" si="140"/>
        <v>45747</v>
      </c>
      <c r="AG37" s="66">
        <f t="shared" si="140"/>
        <v>45838</v>
      </c>
    </row>
    <row r="38" spans="2:33" ht="13.5" customHeight="1">
      <c r="B38" s="78" t="s">
        <v>159</v>
      </c>
      <c r="C38" s="13">
        <f t="shared" ref="C38:G38" si="141">C16</f>
        <v>97648</v>
      </c>
      <c r="D38" s="13">
        <f t="shared" si="141"/>
        <v>118694</v>
      </c>
      <c r="E38" s="13">
        <f t="shared" si="141"/>
        <v>184237</v>
      </c>
      <c r="F38" s="13">
        <f t="shared" si="141"/>
        <v>271620</v>
      </c>
      <c r="G38" s="13">
        <f t="shared" si="141"/>
        <v>235706</v>
      </c>
      <c r="H38" s="13">
        <f t="shared" ref="H38:I38" si="142">H16</f>
        <v>167792</v>
      </c>
      <c r="I38" s="13">
        <f t="shared" si="142"/>
        <v>228290</v>
      </c>
      <c r="J38" s="13">
        <f t="shared" ref="J38" si="143">J16</f>
        <v>246486</v>
      </c>
      <c r="K38" s="13"/>
      <c r="L38" s="13">
        <f t="shared" ref="L38:Q38" si="144">L16</f>
        <v>37260</v>
      </c>
      <c r="M38" s="13">
        <f t="shared" si="144"/>
        <v>39311</v>
      </c>
      <c r="N38" s="13">
        <f t="shared" si="144"/>
        <v>43953</v>
      </c>
      <c r="O38" s="13">
        <f t="shared" si="144"/>
        <v>63713</v>
      </c>
      <c r="P38" s="13">
        <f t="shared" si="144"/>
        <v>56273</v>
      </c>
      <c r="Q38" s="13">
        <f t="shared" si="144"/>
        <v>52487</v>
      </c>
      <c r="R38" s="13">
        <f t="shared" ref="R38:U38" si="145">R16</f>
        <v>53137</v>
      </c>
      <c r="S38" s="13">
        <f t="shared" si="145"/>
        <v>109723</v>
      </c>
      <c r="T38" s="13">
        <f t="shared" si="145"/>
        <v>37217</v>
      </c>
      <c r="U38" s="13">
        <f t="shared" si="145"/>
        <v>30067</v>
      </c>
      <c r="V38" s="13">
        <f t="shared" ref="V38:Y38" si="146">V16</f>
        <v>51593</v>
      </c>
      <c r="W38" s="13">
        <f t="shared" si="146"/>
        <v>116829</v>
      </c>
      <c r="X38" s="13">
        <f t="shared" si="146"/>
        <v>40429</v>
      </c>
      <c r="Y38" s="13">
        <f t="shared" si="146"/>
        <v>40300</v>
      </c>
      <c r="Z38" s="13">
        <f t="shared" ref="Z38:AC38" si="147">Z16</f>
        <v>48475</v>
      </c>
      <c r="AA38" s="13">
        <f t="shared" si="147"/>
        <v>38588</v>
      </c>
      <c r="AB38" s="13">
        <f t="shared" si="147"/>
        <v>57460</v>
      </c>
      <c r="AC38" s="13">
        <f t="shared" si="147"/>
        <v>53928</v>
      </c>
      <c r="AD38" s="13">
        <f t="shared" ref="AD38:AG38" si="148">AD16</f>
        <v>60395</v>
      </c>
      <c r="AE38" s="13">
        <f t="shared" si="148"/>
        <v>56507</v>
      </c>
      <c r="AF38" s="13">
        <f t="shared" si="148"/>
        <v>62721</v>
      </c>
      <c r="AG38" s="13">
        <f t="shared" si="148"/>
        <v>66863</v>
      </c>
    </row>
    <row r="39" spans="2:33" ht="13.5" customHeight="1">
      <c r="B39" s="78" t="s">
        <v>160</v>
      </c>
      <c r="C39" s="113">
        <f>8423+25616</f>
        <v>34039</v>
      </c>
      <c r="D39" s="113">
        <f>12574+3049+28954</f>
        <v>44577</v>
      </c>
      <c r="E39" s="113">
        <f>17685+3773+29073</f>
        <v>50531</v>
      </c>
      <c r="F39" s="113">
        <f>21517+4649+31504</f>
        <v>57670</v>
      </c>
      <c r="G39" s="113">
        <f>21724+6720+32772</f>
        <v>61216</v>
      </c>
      <c r="H39" s="113">
        <f>19908+6397+32703</f>
        <v>59008</v>
      </c>
      <c r="I39" s="113">
        <f>21141+6191+28881</f>
        <v>56213</v>
      </c>
      <c r="J39" s="13">
        <f>SUM(AD39:AG39)</f>
        <v>59629</v>
      </c>
      <c r="K39" s="13"/>
      <c r="L39" s="113">
        <v>0</v>
      </c>
      <c r="M39" s="113">
        <f>4257+899+6415</f>
        <v>11571</v>
      </c>
      <c r="N39" s="113">
        <v>0</v>
      </c>
      <c r="O39" s="13">
        <f>E39-SUM(L39:N39)</f>
        <v>38960</v>
      </c>
      <c r="P39" s="113">
        <f>5303+1055+7859</f>
        <v>14217</v>
      </c>
      <c r="Q39" s="113">
        <f>5374+1089+8010</f>
        <v>14473</v>
      </c>
      <c r="R39" s="113">
        <f>5374+1129+7730</f>
        <v>14233</v>
      </c>
      <c r="S39" s="13">
        <f>F39-SUM(P39:R39)</f>
        <v>14747</v>
      </c>
      <c r="T39" s="113">
        <f>5686+1636+8614</f>
        <v>15936</v>
      </c>
      <c r="U39" s="113">
        <f>5589+1673+7664</f>
        <v>14926</v>
      </c>
      <c r="V39" s="113">
        <f>5289+1693+7763</f>
        <v>14745</v>
      </c>
      <c r="W39" s="13">
        <f>G39-SUM(T39:V39)</f>
        <v>15609</v>
      </c>
      <c r="X39" s="113">
        <f>5073+1599+9462</f>
        <v>16134</v>
      </c>
      <c r="Y39" s="113">
        <f>4908+1704+8195</f>
        <v>14807</v>
      </c>
      <c r="Z39" s="113">
        <f>4810+1550+7142</f>
        <v>13502</v>
      </c>
      <c r="AA39" s="13">
        <f>H39-SUM(X39:Z39)</f>
        <v>14565</v>
      </c>
      <c r="AB39" s="113">
        <f>5091+1550+6928</f>
        <v>13569</v>
      </c>
      <c r="AC39" s="113">
        <f>5056+1497+7101</f>
        <v>13654</v>
      </c>
      <c r="AD39" s="113">
        <f>5183+1549+7306</f>
        <v>14038</v>
      </c>
      <c r="AE39" s="13">
        <f>I39-SUM(AB39:AD39)</f>
        <v>14952</v>
      </c>
      <c r="AF39" s="113">
        <f>5295+1495+8064</f>
        <v>14854</v>
      </c>
      <c r="AG39" s="113">
        <f>6076+1575+8134</f>
        <v>15785</v>
      </c>
    </row>
    <row r="40" spans="2:33" s="33" customFormat="1" ht="13.5" customHeight="1">
      <c r="B40" s="33" t="s">
        <v>158</v>
      </c>
      <c r="C40" s="64">
        <f t="shared" ref="C40:E40" si="149">SUM(C38:C39)</f>
        <v>131687</v>
      </c>
      <c r="D40" s="64">
        <f t="shared" si="149"/>
        <v>163271</v>
      </c>
      <c r="E40" s="64">
        <f t="shared" si="149"/>
        <v>234768</v>
      </c>
      <c r="F40" s="64">
        <f t="shared" ref="F40:G40" si="150">SUM(F38:F39)</f>
        <v>329290</v>
      </c>
      <c r="G40" s="64">
        <f t="shared" si="150"/>
        <v>296922</v>
      </c>
      <c r="H40" s="64">
        <f t="shared" ref="H40:I40" si="151">SUM(H38:H39)</f>
        <v>226800</v>
      </c>
      <c r="I40" s="64">
        <f t="shared" si="151"/>
        <v>284503</v>
      </c>
      <c r="J40" s="64">
        <f>SUM(J38:J39)</f>
        <v>306115</v>
      </c>
      <c r="K40" s="64"/>
      <c r="L40" s="64">
        <f t="shared" ref="L40:Q40" si="152">SUM(L38:L39)</f>
        <v>37260</v>
      </c>
      <c r="M40" s="64">
        <f t="shared" si="152"/>
        <v>50882</v>
      </c>
      <c r="N40" s="64">
        <f t="shared" si="152"/>
        <v>43953</v>
      </c>
      <c r="O40" s="64">
        <f t="shared" si="152"/>
        <v>102673</v>
      </c>
      <c r="P40" s="64">
        <f t="shared" si="152"/>
        <v>70490</v>
      </c>
      <c r="Q40" s="64">
        <f t="shared" si="152"/>
        <v>66960</v>
      </c>
      <c r="R40" s="64">
        <f t="shared" ref="R40:U40" si="153">SUM(R38:R39)</f>
        <v>67370</v>
      </c>
      <c r="S40" s="64">
        <f t="shared" si="153"/>
        <v>124470</v>
      </c>
      <c r="T40" s="64">
        <f t="shared" si="153"/>
        <v>53153</v>
      </c>
      <c r="U40" s="64">
        <f t="shared" si="153"/>
        <v>44993</v>
      </c>
      <c r="V40" s="64">
        <f t="shared" ref="V40:Y40" si="154">SUM(V38:V39)</f>
        <v>66338</v>
      </c>
      <c r="W40" s="64">
        <f t="shared" si="154"/>
        <v>132438</v>
      </c>
      <c r="X40" s="64">
        <f t="shared" si="154"/>
        <v>56563</v>
      </c>
      <c r="Y40" s="64">
        <f t="shared" si="154"/>
        <v>55107</v>
      </c>
      <c r="Z40" s="64">
        <f t="shared" ref="Z40:AC40" si="155">SUM(Z38:Z39)</f>
        <v>61977</v>
      </c>
      <c r="AA40" s="64">
        <f t="shared" si="155"/>
        <v>53153</v>
      </c>
      <c r="AB40" s="64">
        <f t="shared" si="155"/>
        <v>71029</v>
      </c>
      <c r="AC40" s="64">
        <f t="shared" si="155"/>
        <v>67582</v>
      </c>
      <c r="AD40" s="64">
        <f t="shared" ref="AD40:AG40" si="156">SUM(AD38:AD39)</f>
        <v>74433</v>
      </c>
      <c r="AE40" s="64">
        <f t="shared" si="156"/>
        <v>71459</v>
      </c>
      <c r="AF40" s="64">
        <f t="shared" si="156"/>
        <v>77575</v>
      </c>
      <c r="AG40" s="64">
        <f t="shared" si="156"/>
        <v>82648</v>
      </c>
    </row>
    <row r="41" spans="2:33" s="44" customFormat="1" ht="13.5" customHeight="1">
      <c r="B41" s="49" t="s">
        <v>161</v>
      </c>
      <c r="C41" s="91"/>
      <c r="D41" s="91">
        <f t="shared" ref="D41:I41" si="157">+D40/C40-1</f>
        <v>0.23984144220765913</v>
      </c>
      <c r="E41" s="91">
        <f t="shared" si="157"/>
        <v>0.43790385310312296</v>
      </c>
      <c r="F41" s="91">
        <f t="shared" si="157"/>
        <v>0.40261875553738169</v>
      </c>
      <c r="G41" s="91">
        <f t="shared" si="157"/>
        <v>-9.8296334537945285E-2</v>
      </c>
      <c r="H41" s="91">
        <f t="shared" si="157"/>
        <v>-0.23616303271566275</v>
      </c>
      <c r="I41" s="91">
        <f t="shared" si="157"/>
        <v>0.25442239858906524</v>
      </c>
      <c r="J41" s="91"/>
      <c r="K41" s="91"/>
      <c r="L41" s="91"/>
      <c r="M41" s="91"/>
      <c r="N41" s="91"/>
      <c r="O41" s="91"/>
      <c r="P41" s="91">
        <f t="shared" ref="P41:AG41" si="158">P40/L40-1</f>
        <v>0.8918411164787976</v>
      </c>
      <c r="Q41" s="91">
        <f t="shared" si="158"/>
        <v>0.31598600683935385</v>
      </c>
      <c r="R41" s="91">
        <f t="shared" si="158"/>
        <v>0.53277364457488674</v>
      </c>
      <c r="S41" s="91">
        <f t="shared" si="158"/>
        <v>0.21229534541700357</v>
      </c>
      <c r="T41" s="91">
        <f t="shared" si="158"/>
        <v>-0.24594978011065405</v>
      </c>
      <c r="U41" s="91">
        <f t="shared" si="158"/>
        <v>-0.32806152927120669</v>
      </c>
      <c r="V41" s="91">
        <f t="shared" si="158"/>
        <v>-1.5318390975211482E-2</v>
      </c>
      <c r="W41" s="91">
        <f t="shared" si="158"/>
        <v>6.4015425403711745E-2</v>
      </c>
      <c r="X41" s="91">
        <f t="shared" si="158"/>
        <v>6.4154422139860445E-2</v>
      </c>
      <c r="Y41" s="91">
        <f t="shared" si="158"/>
        <v>0.22479052297023983</v>
      </c>
      <c r="Z41" s="91">
        <f t="shared" si="158"/>
        <v>-6.5739093732099296E-2</v>
      </c>
      <c r="AA41" s="91">
        <f t="shared" si="158"/>
        <v>-0.59865748501185467</v>
      </c>
      <c r="AB41" s="91">
        <f t="shared" si="158"/>
        <v>0.25575022541237202</v>
      </c>
      <c r="AC41" s="91">
        <f t="shared" si="158"/>
        <v>0.22637777414847471</v>
      </c>
      <c r="AD41" s="91">
        <f t="shared" si="158"/>
        <v>0.20097778208044925</v>
      </c>
      <c r="AE41" s="91">
        <f t="shared" si="158"/>
        <v>0.34440200929392506</v>
      </c>
      <c r="AF41" s="91">
        <f t="shared" si="158"/>
        <v>9.2159540469385792E-2</v>
      </c>
      <c r="AG41" s="91">
        <f t="shared" si="158"/>
        <v>0.22292918232665504</v>
      </c>
    </row>
    <row r="42" spans="2:33" s="44" customFormat="1" ht="13.5" customHeight="1">
      <c r="B42" s="49" t="s">
        <v>151</v>
      </c>
      <c r="C42" s="91">
        <f t="shared" ref="C42:G42" si="159">+C40/C6</f>
        <v>0.4211369581763641</v>
      </c>
      <c r="D42" s="91">
        <f t="shared" si="159"/>
        <v>0.43274784051483078</v>
      </c>
      <c r="E42" s="91">
        <f t="shared" si="159"/>
        <v>0.48700587473862389</v>
      </c>
      <c r="F42" s="91">
        <f t="shared" si="159"/>
        <v>0.58789397948289468</v>
      </c>
      <c r="G42" s="91">
        <f t="shared" si="159"/>
        <v>0.53542679496242007</v>
      </c>
      <c r="H42" s="91">
        <f t="shared" ref="H42:I42" si="160">+H40/H6</f>
        <v>0.37240462057584789</v>
      </c>
      <c r="I42" s="91">
        <f t="shared" si="160"/>
        <v>0.43089736269361778</v>
      </c>
      <c r="J42" s="91">
        <f t="shared" ref="J42" si="161">+J40/J6</f>
        <v>0.43472055555161077</v>
      </c>
      <c r="K42" s="96"/>
      <c r="L42" s="91">
        <f t="shared" ref="L42:R42" si="162">+L40/L6</f>
        <v>0.34479248600379403</v>
      </c>
      <c r="M42" s="91">
        <f t="shared" si="162"/>
        <v>0.44290277934942507</v>
      </c>
      <c r="N42" s="91">
        <f t="shared" si="162"/>
        <v>0.35037107304279896</v>
      </c>
      <c r="O42" s="91">
        <f t="shared" si="162"/>
        <v>0.76811377357502486</v>
      </c>
      <c r="P42" s="91">
        <f t="shared" si="162"/>
        <v>0.52097884008484663</v>
      </c>
      <c r="Q42" s="91">
        <f t="shared" si="162"/>
        <v>0.48430843561721115</v>
      </c>
      <c r="R42" s="91">
        <f t="shared" si="162"/>
        <v>0.4732102719712295</v>
      </c>
      <c r="S42" s="91">
        <f t="shared" ref="S42:V42" si="163">+S40/S6</f>
        <v>0.86324798180153683</v>
      </c>
      <c r="T42" s="91">
        <f t="shared" si="163"/>
        <v>0.39235703582316511</v>
      </c>
      <c r="U42" s="91">
        <f t="shared" si="163"/>
        <v>0.3356834832952833</v>
      </c>
      <c r="V42" s="91">
        <f t="shared" si="163"/>
        <v>0.47352829905848259</v>
      </c>
      <c r="W42" s="91">
        <f t="shared" ref="W42:Z42" si="164">+W40/W6</f>
        <v>0.91365536653007162</v>
      </c>
      <c r="X42" s="91">
        <f t="shared" si="164"/>
        <v>0.37712186470737269</v>
      </c>
      <c r="Y42" s="91">
        <f t="shared" si="164"/>
        <v>0.36933006273122082</v>
      </c>
      <c r="Z42" s="91">
        <f t="shared" si="164"/>
        <v>0.400821341956346</v>
      </c>
      <c r="AA42" s="91">
        <f t="shared" ref="AA42:AD42" si="165">+AA40/AA6</f>
        <v>0.34248949715198845</v>
      </c>
      <c r="AB42" s="91">
        <f t="shared" si="165"/>
        <v>0.44532009203704054</v>
      </c>
      <c r="AC42" s="91">
        <f t="shared" si="165"/>
        <v>0.41945915080345342</v>
      </c>
      <c r="AD42" s="91">
        <f t="shared" si="165"/>
        <v>0.44519208340062083</v>
      </c>
      <c r="AE42" s="91">
        <f t="shared" ref="AE42:AG42" si="166">+AE40/AE6</f>
        <v>0.41438479292068242</v>
      </c>
      <c r="AF42" s="91">
        <f t="shared" si="166"/>
        <v>0.43091955427669953</v>
      </c>
      <c r="AG42" s="91">
        <f t="shared" si="166"/>
        <v>0.44794692797988117</v>
      </c>
    </row>
    <row r="43" spans="2:33" s="44" customFormat="1" ht="13.5" customHeight="1">
      <c r="B43" s="95"/>
      <c r="C43" s="80"/>
      <c r="D43" s="80"/>
      <c r="E43" s="80"/>
      <c r="F43" s="80"/>
      <c r="G43" s="80"/>
      <c r="H43" s="80"/>
      <c r="I43" s="80"/>
      <c r="J43" s="80"/>
      <c r="K43" s="94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2:33" ht="13.5" customHeight="1">
      <c r="B44" s="93" t="s">
        <v>162</v>
      </c>
      <c r="C44" s="93">
        <f>C45-C40</f>
        <v>-13414</v>
      </c>
      <c r="D44" s="93">
        <f t="shared" ref="D44:E44" si="167">D45-D40</f>
        <v>-15876</v>
      </c>
      <c r="E44" s="93">
        <f t="shared" si="167"/>
        <v>-51454</v>
      </c>
      <c r="F44" s="93">
        <f t="shared" ref="F44:G44" si="168">F45-F40</f>
        <v>-134492</v>
      </c>
      <c r="G44" s="93">
        <f t="shared" si="168"/>
        <v>-107936</v>
      </c>
      <c r="H44" s="93">
        <f t="shared" ref="H44:I44" si="169">H45-H40</f>
        <v>8654</v>
      </c>
      <c r="I44" s="93">
        <f t="shared" si="169"/>
        <v>-7491</v>
      </c>
      <c r="J44" s="93">
        <f>J45-J40</f>
        <v>-199</v>
      </c>
      <c r="K44" s="93"/>
      <c r="L44" s="93">
        <f t="shared" ref="L44:Q44" si="170">L45-L40</f>
        <v>7930</v>
      </c>
      <c r="M44" s="93">
        <f t="shared" si="170"/>
        <v>-7140</v>
      </c>
      <c r="N44" s="93">
        <f t="shared" si="170"/>
        <v>3896</v>
      </c>
      <c r="O44" s="93">
        <f t="shared" si="170"/>
        <v>-56140</v>
      </c>
      <c r="P44" s="93">
        <f t="shared" si="170"/>
        <v>-17563</v>
      </c>
      <c r="Q44" s="93">
        <f t="shared" si="170"/>
        <v>-16613</v>
      </c>
      <c r="R44" s="93">
        <f t="shared" ref="R44:U44" si="171">R45-R40</f>
        <v>-18113</v>
      </c>
      <c r="S44" s="93">
        <f t="shared" si="171"/>
        <v>-82203</v>
      </c>
      <c r="T44" s="93">
        <f t="shared" si="171"/>
        <v>-7051</v>
      </c>
      <c r="U44" s="93">
        <f t="shared" si="171"/>
        <v>-325</v>
      </c>
      <c r="V44" s="93">
        <f t="shared" ref="V44:Y44" si="172">V45-V40</f>
        <v>-17728</v>
      </c>
      <c r="W44" s="93">
        <f t="shared" si="172"/>
        <v>-82832</v>
      </c>
      <c r="X44" s="93">
        <f t="shared" si="172"/>
        <v>1248</v>
      </c>
      <c r="Y44" s="93">
        <f t="shared" si="172"/>
        <v>1741</v>
      </c>
      <c r="Z44" s="93">
        <f t="shared" ref="Z44:AC44" si="173">Z45-Z40</f>
        <v>-676</v>
      </c>
      <c r="AA44" s="93">
        <f t="shared" si="173"/>
        <v>6341</v>
      </c>
      <c r="AB44" s="93">
        <f t="shared" si="173"/>
        <v>-1770</v>
      </c>
      <c r="AC44" s="93">
        <f t="shared" si="173"/>
        <v>936</v>
      </c>
      <c r="AD44" s="93">
        <f t="shared" ref="AD44:AG44" si="174">AD45-AD40</f>
        <v>-4777</v>
      </c>
      <c r="AE44" s="93">
        <f t="shared" si="174"/>
        <v>-1880</v>
      </c>
      <c r="AF44" s="93">
        <f t="shared" si="174"/>
        <v>3984</v>
      </c>
      <c r="AG44" s="93">
        <f t="shared" si="174"/>
        <v>2474</v>
      </c>
    </row>
    <row r="45" spans="2:33" s="33" customFormat="1" ht="13.5" customHeight="1">
      <c r="B45" s="85" t="s">
        <v>163</v>
      </c>
      <c r="C45" s="111">
        <v>118273</v>
      </c>
      <c r="D45" s="111">
        <v>147395</v>
      </c>
      <c r="E45" s="111">
        <v>183314</v>
      </c>
      <c r="F45" s="111">
        <v>194798</v>
      </c>
      <c r="G45" s="111">
        <v>188986</v>
      </c>
      <c r="H45" s="111">
        <v>235454</v>
      </c>
      <c r="I45" s="111">
        <v>277012</v>
      </c>
      <c r="J45" s="13">
        <f>SUM(AD45:AG45)</f>
        <v>305916</v>
      </c>
      <c r="K45" s="64"/>
      <c r="L45" s="111">
        <v>45190</v>
      </c>
      <c r="M45" s="111">
        <v>43742</v>
      </c>
      <c r="N45" s="111">
        <v>47849</v>
      </c>
      <c r="O45" s="64">
        <f>E45-SUM(L45:N45)</f>
        <v>46533</v>
      </c>
      <c r="P45" s="111">
        <v>52927</v>
      </c>
      <c r="Q45" s="111">
        <v>50347</v>
      </c>
      <c r="R45" s="111">
        <v>49257</v>
      </c>
      <c r="S45" s="64">
        <f>F45-SUM(P45:R45)</f>
        <v>42267</v>
      </c>
      <c r="T45" s="111">
        <v>46102</v>
      </c>
      <c r="U45" s="111">
        <v>44668</v>
      </c>
      <c r="V45" s="111">
        <v>48610</v>
      </c>
      <c r="W45" s="64">
        <f>G45-SUM(T45:V45)</f>
        <v>49606</v>
      </c>
      <c r="X45" s="111">
        <v>57811</v>
      </c>
      <c r="Y45" s="111">
        <v>56848</v>
      </c>
      <c r="Z45" s="111">
        <v>61301</v>
      </c>
      <c r="AA45" s="64">
        <f>H45-SUM(X45:Z45)</f>
        <v>59494</v>
      </c>
      <c r="AB45" s="111">
        <v>69259</v>
      </c>
      <c r="AC45" s="111">
        <v>68518</v>
      </c>
      <c r="AD45" s="111">
        <v>69656</v>
      </c>
      <c r="AE45" s="64">
        <f>I45-SUM(AB45:AD45)</f>
        <v>69579</v>
      </c>
      <c r="AF45" s="111">
        <v>81559</v>
      </c>
      <c r="AG45" s="111">
        <v>85122</v>
      </c>
    </row>
    <row r="46" spans="2:33" s="44" customFormat="1" ht="13.5" customHeight="1">
      <c r="B46" s="49" t="s">
        <v>161</v>
      </c>
      <c r="C46" s="91"/>
      <c r="D46" s="91">
        <f t="shared" ref="D46:I46" si="175">+D45/C45-1</f>
        <v>0.24622694951510482</v>
      </c>
      <c r="E46" s="91">
        <f t="shared" si="175"/>
        <v>0.24369211981410488</v>
      </c>
      <c r="F46" s="91">
        <f t="shared" si="175"/>
        <v>6.2646606369398894E-2</v>
      </c>
      <c r="G46" s="91">
        <f t="shared" si="175"/>
        <v>-2.9836035277569617E-2</v>
      </c>
      <c r="H46" s="91">
        <f t="shared" si="175"/>
        <v>0.24588064724371117</v>
      </c>
      <c r="I46" s="91">
        <f t="shared" si="175"/>
        <v>0.1765015671850978</v>
      </c>
      <c r="J46" s="91"/>
      <c r="K46" s="91"/>
      <c r="L46" s="91"/>
      <c r="M46" s="91"/>
      <c r="N46" s="91"/>
      <c r="O46" s="91"/>
      <c r="P46" s="91">
        <f t="shared" ref="P46:AG46" si="176">P45/L45-1</f>
        <v>0.17121044478866998</v>
      </c>
      <c r="Q46" s="91">
        <f t="shared" si="176"/>
        <v>0.15099903982442497</v>
      </c>
      <c r="R46" s="91">
        <f t="shared" si="176"/>
        <v>2.9425902317707697E-2</v>
      </c>
      <c r="S46" s="91">
        <f t="shared" si="176"/>
        <v>-9.1676874476178227E-2</v>
      </c>
      <c r="T46" s="91">
        <f t="shared" si="176"/>
        <v>-0.12895119693162282</v>
      </c>
      <c r="U46" s="91">
        <f t="shared" si="176"/>
        <v>-0.11279718751862078</v>
      </c>
      <c r="V46" s="91">
        <f t="shared" si="176"/>
        <v>-1.3135188907160367E-2</v>
      </c>
      <c r="W46" s="91">
        <f t="shared" si="176"/>
        <v>0.17363427733219772</v>
      </c>
      <c r="X46" s="91">
        <f t="shared" si="176"/>
        <v>0.2539803045421023</v>
      </c>
      <c r="Y46" s="91">
        <f t="shared" si="176"/>
        <v>0.27267842750962656</v>
      </c>
      <c r="Z46" s="91">
        <f t="shared" si="176"/>
        <v>0.26107796749639989</v>
      </c>
      <c r="AA46" s="91">
        <f t="shared" si="176"/>
        <v>0.19933072612184</v>
      </c>
      <c r="AB46" s="91">
        <f t="shared" si="176"/>
        <v>0.19802459739495948</v>
      </c>
      <c r="AC46" s="91">
        <f t="shared" si="176"/>
        <v>0.20528426681677447</v>
      </c>
      <c r="AD46" s="91">
        <f t="shared" si="176"/>
        <v>0.13629467708520249</v>
      </c>
      <c r="AE46" s="91">
        <f t="shared" si="176"/>
        <v>0.16951289205634179</v>
      </c>
      <c r="AF46" s="91">
        <f t="shared" si="176"/>
        <v>0.177594247679002</v>
      </c>
      <c r="AG46" s="91">
        <f t="shared" si="176"/>
        <v>0.24233048250094869</v>
      </c>
    </row>
    <row r="47" spans="2:33" s="44" customFormat="1" ht="13.5" customHeight="1">
      <c r="B47" s="49" t="s">
        <v>151</v>
      </c>
      <c r="C47" s="91">
        <f t="shared" ref="C47:G47" si="177">+C45/C6</f>
        <v>0.37823878935956556</v>
      </c>
      <c r="D47" s="91">
        <f t="shared" si="177"/>
        <v>0.39066869163956541</v>
      </c>
      <c r="E47" s="91">
        <f t="shared" si="177"/>
        <v>0.38026900992399348</v>
      </c>
      <c r="F47" s="91">
        <f t="shared" si="177"/>
        <v>0.34778028915335696</v>
      </c>
      <c r="G47" s="91">
        <f t="shared" si="177"/>
        <v>0.34079040378539793</v>
      </c>
      <c r="H47" s="91">
        <f t="shared" ref="H47:I47" si="178">+H45/H6</f>
        <v>0.38661445120399335</v>
      </c>
      <c r="I47" s="91">
        <f t="shared" si="178"/>
        <v>0.41955178059452608</v>
      </c>
      <c r="J47" s="91">
        <f t="shared" ref="J47" si="179">+J45/J6</f>
        <v>0.43443795133242918</v>
      </c>
      <c r="K47" s="91"/>
      <c r="L47" s="91">
        <f t="shared" ref="L47:R47" si="180">+L45/L6</f>
        <v>0.41817424698098365</v>
      </c>
      <c r="M47" s="91">
        <f t="shared" si="180"/>
        <v>0.38075259176727627</v>
      </c>
      <c r="N47" s="91">
        <f t="shared" si="180"/>
        <v>0.38142801342399579</v>
      </c>
      <c r="O47" s="91">
        <f t="shared" si="180"/>
        <v>0.34812110511786576</v>
      </c>
      <c r="P47" s="91">
        <f t="shared" si="180"/>
        <v>0.39117388380154172</v>
      </c>
      <c r="Q47" s="91">
        <f t="shared" si="180"/>
        <v>0.36414989259288727</v>
      </c>
      <c r="R47" s="91">
        <f t="shared" si="180"/>
        <v>0.34598364801078896</v>
      </c>
      <c r="S47" s="91">
        <f t="shared" ref="S47:V47" si="181">+S45/S6</f>
        <v>0.29313812522540017</v>
      </c>
      <c r="T47" s="91">
        <f t="shared" si="181"/>
        <v>0.34030899602128867</v>
      </c>
      <c r="U47" s="91">
        <f t="shared" si="181"/>
        <v>0.33325872539803336</v>
      </c>
      <c r="V47" s="91">
        <f t="shared" si="181"/>
        <v>0.34698378933993845</v>
      </c>
      <c r="W47" s="91">
        <f t="shared" ref="W47:Z47" si="182">+W45/W6</f>
        <v>0.34221891082688299</v>
      </c>
      <c r="X47" s="91">
        <f t="shared" si="182"/>
        <v>0.38544264131318923</v>
      </c>
      <c r="Y47" s="91">
        <f t="shared" si="182"/>
        <v>0.38099833789072973</v>
      </c>
      <c r="Z47" s="91">
        <f t="shared" si="182"/>
        <v>0.39644947453516571</v>
      </c>
      <c r="AA47" s="91">
        <f t="shared" ref="AA47:AD47" si="183">+AA45/AA6</f>
        <v>0.38334750895641639</v>
      </c>
      <c r="AB47" s="91">
        <f t="shared" si="183"/>
        <v>0.43422298292800671</v>
      </c>
      <c r="AC47" s="91">
        <f t="shared" si="183"/>
        <v>0.42526859363071556</v>
      </c>
      <c r="AD47" s="91">
        <f t="shared" si="183"/>
        <v>0.41662031305138375</v>
      </c>
      <c r="AE47" s="91">
        <f t="shared" ref="AE47:AG47" si="184">+AE45/AE6</f>
        <v>0.40348282940746666</v>
      </c>
      <c r="AF47" s="91">
        <f t="shared" si="184"/>
        <v>0.45305018275544101</v>
      </c>
      <c r="AG47" s="91">
        <f t="shared" si="184"/>
        <v>0.46135585136365609</v>
      </c>
    </row>
    <row r="48" spans="2:33" s="44" customFormat="1" ht="13.5" customHeight="1">
      <c r="B48" s="49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</row>
    <row r="49" spans="2:33" s="44" customFormat="1" ht="13.5" customHeight="1">
      <c r="B49" s="49" t="s">
        <v>164</v>
      </c>
      <c r="C49" s="91">
        <f t="shared" ref="C49:G49" si="185">-C58/C6</f>
        <v>6.3032869194803859E-2</v>
      </c>
      <c r="D49" s="91">
        <f t="shared" si="185"/>
        <v>6.0330409844972954E-2</v>
      </c>
      <c r="E49" s="91">
        <f t="shared" si="185"/>
        <v>7.0675263035613528E-2</v>
      </c>
      <c r="F49" s="91">
        <f t="shared" si="185"/>
        <v>5.1972977122677719E-2</v>
      </c>
      <c r="G49" s="91">
        <f t="shared" si="185"/>
        <v>4.0218049885312829E-2</v>
      </c>
      <c r="H49" s="91">
        <f t="shared" ref="H49:I49" si="186">-H58/H6</f>
        <v>3.407305238787222E-2</v>
      </c>
      <c r="I49" s="91">
        <f t="shared" si="186"/>
        <v>9.4999371456872095E-2</v>
      </c>
      <c r="J49" s="91">
        <f t="shared" ref="J49" si="187">-J58/J6</f>
        <v>0</v>
      </c>
      <c r="K49" s="91"/>
      <c r="L49" s="91">
        <f t="shared" ref="L49:R49" si="188">-L58/L6</f>
        <v>0</v>
      </c>
      <c r="M49" s="91">
        <f t="shared" si="188"/>
        <v>0.15313841038273723</v>
      </c>
      <c r="N49" s="91">
        <f t="shared" si="188"/>
        <v>0</v>
      </c>
      <c r="O49" s="91">
        <f t="shared" si="188"/>
        <v>0.12326717488722141</v>
      </c>
      <c r="P49" s="91">
        <f t="shared" si="188"/>
        <v>0</v>
      </c>
      <c r="Q49" s="91">
        <f t="shared" si="188"/>
        <v>0.11383707389754012</v>
      </c>
      <c r="R49" s="91">
        <f t="shared" si="188"/>
        <v>0</v>
      </c>
      <c r="S49" s="91">
        <f t="shared" ref="S49:V49" si="189">-S58/S6</f>
        <v>9.2740033844702752E-2</v>
      </c>
      <c r="T49" s="91">
        <f t="shared" si="189"/>
        <v>0</v>
      </c>
      <c r="U49" s="91">
        <f t="shared" si="189"/>
        <v>9.4013459271528113E-2</v>
      </c>
      <c r="V49" s="91">
        <f t="shared" si="189"/>
        <v>0</v>
      </c>
      <c r="W49" s="91">
        <f t="shared" ref="W49:Z49" si="190">-W58/W6</f>
        <v>6.6931578293803556E-2</v>
      </c>
      <c r="X49" s="91">
        <f t="shared" si="190"/>
        <v>0</v>
      </c>
      <c r="Y49" s="91">
        <f t="shared" si="190"/>
        <v>4.1492413275427589E-2</v>
      </c>
      <c r="Z49" s="91">
        <f t="shared" si="190"/>
        <v>0</v>
      </c>
      <c r="AA49" s="91">
        <f t="shared" ref="AA49:AD49" si="191">-AA58/AA6</f>
        <v>9.3816850949766745E-2</v>
      </c>
      <c r="AB49" s="91">
        <f t="shared" si="191"/>
        <v>0</v>
      </c>
      <c r="AC49" s="91">
        <f t="shared" si="191"/>
        <v>7.7285450945586129E-2</v>
      </c>
      <c r="AD49" s="91">
        <f t="shared" si="191"/>
        <v>0</v>
      </c>
      <c r="AE49" s="91">
        <f t="shared" ref="AE49:AG49" si="192">-AE58/AE6</f>
        <v>0.29152314347679853</v>
      </c>
      <c r="AF49" s="91">
        <f t="shared" si="192"/>
        <v>0</v>
      </c>
      <c r="AG49" s="91">
        <f t="shared" si="192"/>
        <v>6.7489051727875823E-2</v>
      </c>
    </row>
    <row r="50" spans="2:33" s="44" customFormat="1" ht="13.5" customHeight="1">
      <c r="B50" s="49" t="s">
        <v>165</v>
      </c>
      <c r="C50" s="91">
        <f t="shared" ref="C50:G50" si="193">C54/C6</f>
        <v>4.0371737225530391E-2</v>
      </c>
      <c r="D50" s="91">
        <f t="shared" si="193"/>
        <v>3.7106833223338077E-5</v>
      </c>
      <c r="E50" s="91">
        <f t="shared" si="193"/>
        <v>1.1218427428723157E-2</v>
      </c>
      <c r="F50" s="91">
        <f t="shared" si="193"/>
        <v>3.190220632081097E-2</v>
      </c>
      <c r="G50" s="91">
        <f t="shared" si="193"/>
        <v>-6.100419798323692E-3</v>
      </c>
      <c r="H50" s="91">
        <f t="shared" ref="H50:I50" si="194">H54/H6</f>
        <v>1.4640033496711904E-2</v>
      </c>
      <c r="I50" s="91">
        <f t="shared" si="194"/>
        <v>1.4909345906215307E-2</v>
      </c>
      <c r="J50" s="91">
        <f>J54/J6</f>
        <v>0</v>
      </c>
      <c r="K50" s="91"/>
      <c r="L50" s="91">
        <f t="shared" ref="L50:R50" si="195">L54/L6</f>
        <v>0</v>
      </c>
      <c r="M50" s="91">
        <f t="shared" si="195"/>
        <v>0</v>
      </c>
      <c r="N50" s="91">
        <f t="shared" si="195"/>
        <v>0</v>
      </c>
      <c r="O50" s="91">
        <f t="shared" si="195"/>
        <v>4.0458146615894489E-2</v>
      </c>
      <c r="P50" s="91">
        <f t="shared" si="195"/>
        <v>0</v>
      </c>
      <c r="Q50" s="91">
        <f t="shared" si="195"/>
        <v>0</v>
      </c>
      <c r="R50" s="91">
        <f t="shared" si="195"/>
        <v>0</v>
      </c>
      <c r="S50" s="91">
        <f t="shared" ref="S50:V50" si="196">S54/S6</f>
        <v>0.12392848225927261</v>
      </c>
      <c r="T50" s="91">
        <f t="shared" si="196"/>
        <v>0</v>
      </c>
      <c r="U50" s="91">
        <f t="shared" si="196"/>
        <v>0</v>
      </c>
      <c r="V50" s="91">
        <f t="shared" si="196"/>
        <v>0</v>
      </c>
      <c r="W50" s="91">
        <f t="shared" ref="W50:Z50" si="197">W54/W6</f>
        <v>-2.3338438401147951E-2</v>
      </c>
      <c r="X50" s="91">
        <f t="shared" si="197"/>
        <v>0</v>
      </c>
      <c r="Y50" s="91">
        <f t="shared" si="197"/>
        <v>0</v>
      </c>
      <c r="Z50" s="91">
        <f t="shared" si="197"/>
        <v>0</v>
      </c>
      <c r="AA50" s="91">
        <f t="shared" ref="AA50:AD50" si="198">AA54/AA6</f>
        <v>5.7449934276656615E-2</v>
      </c>
      <c r="AB50" s="91">
        <f t="shared" si="198"/>
        <v>0</v>
      </c>
      <c r="AC50" s="91">
        <f t="shared" si="198"/>
        <v>0</v>
      </c>
      <c r="AD50" s="91">
        <f t="shared" si="198"/>
        <v>0</v>
      </c>
      <c r="AE50" s="91">
        <f t="shared" ref="AE50:AG50" si="199">AE54/AE6</f>
        <v>5.7084536608561519E-2</v>
      </c>
      <c r="AF50" s="91">
        <f t="shared" si="199"/>
        <v>0</v>
      </c>
      <c r="AG50" s="91">
        <f t="shared" si="199"/>
        <v>0</v>
      </c>
    </row>
    <row r="51" spans="2:33" ht="13.5" customHeight="1">
      <c r="C51" s="92"/>
      <c r="D51" s="92"/>
      <c r="E51" s="92"/>
      <c r="F51" s="92"/>
      <c r="G51" s="92"/>
      <c r="H51" s="92"/>
      <c r="I51" s="92"/>
      <c r="J51" s="92"/>
      <c r="K51" s="92"/>
      <c r="L51" s="75"/>
      <c r="M51" s="75"/>
      <c r="N51" s="75"/>
      <c r="O51" s="13"/>
      <c r="P51" s="75"/>
      <c r="Q51" s="75"/>
      <c r="R51" s="75"/>
      <c r="S51" s="13"/>
      <c r="T51" s="75"/>
      <c r="U51" s="75"/>
      <c r="V51" s="75"/>
      <c r="W51" s="13"/>
      <c r="X51" s="75"/>
      <c r="Y51" s="75"/>
      <c r="Z51" s="75"/>
      <c r="AA51" s="13"/>
      <c r="AB51" s="75"/>
      <c r="AC51" s="75"/>
      <c r="AD51" s="75"/>
      <c r="AE51" s="13"/>
      <c r="AF51" s="75"/>
      <c r="AG51" s="75"/>
    </row>
    <row r="52" spans="2:33" ht="13.5" customHeight="1">
      <c r="B52" s="54" t="s">
        <v>166</v>
      </c>
      <c r="C52" s="66">
        <f t="shared" ref="C52:H52" si="200">C2</f>
        <v>43465</v>
      </c>
      <c r="D52" s="66">
        <f t="shared" si="200"/>
        <v>43830</v>
      </c>
      <c r="E52" s="66">
        <f t="shared" si="200"/>
        <v>44196</v>
      </c>
      <c r="F52" s="66">
        <f t="shared" si="200"/>
        <v>44561</v>
      </c>
      <c r="G52" s="66">
        <f t="shared" si="200"/>
        <v>44926</v>
      </c>
      <c r="H52" s="66">
        <f t="shared" si="200"/>
        <v>45291</v>
      </c>
      <c r="I52" s="66">
        <f t="shared" ref="I52" si="201">I2</f>
        <v>45657</v>
      </c>
      <c r="J52" s="66" t="str">
        <f>J1</f>
        <v>LTM</v>
      </c>
      <c r="K52" s="66"/>
      <c r="L52" s="66">
        <f t="shared" ref="L52:Q52" si="202">L2</f>
        <v>43921</v>
      </c>
      <c r="M52" s="66">
        <f t="shared" si="202"/>
        <v>44012</v>
      </c>
      <c r="N52" s="66">
        <f t="shared" si="202"/>
        <v>44104</v>
      </c>
      <c r="O52" s="66">
        <f t="shared" si="202"/>
        <v>44196</v>
      </c>
      <c r="P52" s="66">
        <f t="shared" si="202"/>
        <v>44286</v>
      </c>
      <c r="Q52" s="66">
        <f t="shared" si="202"/>
        <v>44377</v>
      </c>
      <c r="R52" s="66">
        <f t="shared" ref="R52:U52" si="203">R2</f>
        <v>44469</v>
      </c>
      <c r="S52" s="66">
        <f t="shared" si="203"/>
        <v>44561</v>
      </c>
      <c r="T52" s="66">
        <f t="shared" si="203"/>
        <v>44651</v>
      </c>
      <c r="U52" s="66">
        <f t="shared" si="203"/>
        <v>44742</v>
      </c>
      <c r="V52" s="66">
        <f t="shared" ref="V52:Y52" si="204">V2</f>
        <v>44834</v>
      </c>
      <c r="W52" s="66">
        <f t="shared" si="204"/>
        <v>44926</v>
      </c>
      <c r="X52" s="66">
        <f t="shared" si="204"/>
        <v>45016</v>
      </c>
      <c r="Y52" s="66">
        <f t="shared" si="204"/>
        <v>45107</v>
      </c>
      <c r="Z52" s="66">
        <f t="shared" ref="Z52:AC52" si="205">Z2</f>
        <v>45199</v>
      </c>
      <c r="AA52" s="66">
        <f t="shared" si="205"/>
        <v>45291</v>
      </c>
      <c r="AB52" s="66">
        <f t="shared" si="205"/>
        <v>45382</v>
      </c>
      <c r="AC52" s="66">
        <f t="shared" si="205"/>
        <v>45473</v>
      </c>
      <c r="AD52" s="66">
        <f t="shared" ref="AD52:AG52" si="206">AD2</f>
        <v>45565</v>
      </c>
      <c r="AE52" s="66">
        <f t="shared" si="206"/>
        <v>45657</v>
      </c>
      <c r="AF52" s="66">
        <f t="shared" si="206"/>
        <v>45747</v>
      </c>
      <c r="AG52" s="66">
        <f t="shared" si="206"/>
        <v>45838</v>
      </c>
    </row>
    <row r="53" spans="2:33" ht="13.5" customHeight="1">
      <c r="B53" s="26" t="s">
        <v>163</v>
      </c>
      <c r="C53" s="13">
        <f t="shared" ref="C53:E53" si="207">C45</f>
        <v>118273</v>
      </c>
      <c r="D53" s="13">
        <f t="shared" si="207"/>
        <v>147395</v>
      </c>
      <c r="E53" s="13">
        <f t="shared" si="207"/>
        <v>183314</v>
      </c>
      <c r="F53" s="13">
        <f t="shared" ref="F53:G53" si="208">F45</f>
        <v>194798</v>
      </c>
      <c r="G53" s="13">
        <f t="shared" si="208"/>
        <v>188986</v>
      </c>
      <c r="H53" s="13">
        <f t="shared" ref="H53:I53" si="209">H45</f>
        <v>235454</v>
      </c>
      <c r="I53" s="13">
        <f t="shared" si="209"/>
        <v>277012</v>
      </c>
      <c r="J53" s="57"/>
      <c r="K53" s="13"/>
      <c r="L53" s="57"/>
      <c r="M53" s="13">
        <f t="shared" ref="M53" si="210">M45</f>
        <v>43742</v>
      </c>
      <c r="N53" s="57"/>
      <c r="O53" s="13">
        <f t="shared" ref="O53" si="211">O45</f>
        <v>46533</v>
      </c>
      <c r="P53" s="57"/>
      <c r="Q53" s="13">
        <f>Q45+P45</f>
        <v>103274</v>
      </c>
      <c r="R53" s="57"/>
      <c r="S53" s="13">
        <f>S45+R45</f>
        <v>91524</v>
      </c>
      <c r="T53" s="57"/>
      <c r="U53" s="13">
        <f>U45+T45</f>
        <v>90770</v>
      </c>
      <c r="V53" s="57"/>
      <c r="W53" s="13">
        <f>+V45+W45</f>
        <v>98216</v>
      </c>
      <c r="X53" s="57"/>
      <c r="Y53" s="13">
        <f>Y45+X45</f>
        <v>114659</v>
      </c>
      <c r="Z53" s="57"/>
      <c r="AA53" s="13">
        <f>+Z45+AA45</f>
        <v>120795</v>
      </c>
      <c r="AB53" s="57"/>
      <c r="AC53" s="13">
        <f>AC45+AB45</f>
        <v>137777</v>
      </c>
      <c r="AD53" s="57"/>
      <c r="AE53" s="13">
        <f>+AD45+AE45</f>
        <v>139235</v>
      </c>
      <c r="AF53" s="57"/>
      <c r="AG53" s="13">
        <f>AG45+AF45</f>
        <v>166681</v>
      </c>
    </row>
    <row r="54" spans="2:33" ht="13.5" customHeight="1">
      <c r="B54" s="78" t="s">
        <v>167</v>
      </c>
      <c r="C54" s="75">
        <f>-10302-29+22955</f>
        <v>12624</v>
      </c>
      <c r="D54" s="75">
        <f>-6037-394+6445</f>
        <v>14</v>
      </c>
      <c r="E54" s="75">
        <f>-7530-95+13033</f>
        <v>5408</v>
      </c>
      <c r="F54" s="75">
        <f>-4026+1297+20598</f>
        <v>17869</v>
      </c>
      <c r="G54" s="75">
        <f>4336-1201-6518</f>
        <v>-3383</v>
      </c>
      <c r="H54" s="75">
        <f>-1010+1882+8044</f>
        <v>8916</v>
      </c>
      <c r="I54" s="75">
        <f>-1048+20+10872</f>
        <v>9844</v>
      </c>
      <c r="J54" s="151"/>
      <c r="K54" s="13"/>
      <c r="L54" s="151"/>
      <c r="M54" s="151"/>
      <c r="N54" s="151"/>
      <c r="O54" s="13">
        <f>E54-SUM(L54:N54)</f>
        <v>5408</v>
      </c>
      <c r="P54" s="151"/>
      <c r="Q54" s="151"/>
      <c r="R54" s="151"/>
      <c r="S54" s="13">
        <f>F54-SUM(P54:R54)</f>
        <v>17869</v>
      </c>
      <c r="T54" s="151"/>
      <c r="U54" s="151"/>
      <c r="V54" s="151"/>
      <c r="W54" s="13">
        <f>G54-SUM(T54:V54)</f>
        <v>-3383</v>
      </c>
      <c r="X54" s="151"/>
      <c r="Y54" s="151"/>
      <c r="Z54" s="151"/>
      <c r="AA54" s="13">
        <f>H54-SUM(X54:Z54)</f>
        <v>8916</v>
      </c>
      <c r="AB54" s="151"/>
      <c r="AC54" s="151"/>
      <c r="AD54" s="151"/>
      <c r="AE54" s="13">
        <f>I54-SUM(AB54:AD54)</f>
        <v>9844</v>
      </c>
      <c r="AF54" s="151"/>
      <c r="AG54" s="151"/>
    </row>
    <row r="55" spans="2:33" ht="13.5" customHeight="1">
      <c r="B55" s="78" t="s">
        <v>168</v>
      </c>
      <c r="C55" s="75">
        <v>-14521</v>
      </c>
      <c r="D55" s="75">
        <v>-17228</v>
      </c>
      <c r="E55" s="75">
        <v>-20322</v>
      </c>
      <c r="F55" s="75">
        <f>-28526</f>
        <v>-28526</v>
      </c>
      <c r="G55" s="75">
        <f>-27669</f>
        <v>-27669</v>
      </c>
      <c r="H55" s="75">
        <v>-34729</v>
      </c>
      <c r="I55" s="75">
        <v>-46184</v>
      </c>
      <c r="J55" s="151"/>
      <c r="K55" s="13"/>
      <c r="L55" s="151"/>
      <c r="M55" s="75">
        <v>-12753</v>
      </c>
      <c r="N55" s="151"/>
      <c r="O55" s="13">
        <f>E55-SUM(L55:N55)</f>
        <v>-7569</v>
      </c>
      <c r="P55" s="151"/>
      <c r="Q55" s="75">
        <v>-16796</v>
      </c>
      <c r="R55" s="151"/>
      <c r="S55" s="13">
        <f>F55-SUM(P55:R55)</f>
        <v>-11730</v>
      </c>
      <c r="T55" s="151"/>
      <c r="U55" s="75">
        <v>-17377</v>
      </c>
      <c r="V55" s="151"/>
      <c r="W55" s="13">
        <f>G55-SUM(T55:V55)</f>
        <v>-10292</v>
      </c>
      <c r="X55" s="151"/>
      <c r="Y55" s="75">
        <v>-19884</v>
      </c>
      <c r="Z55" s="151"/>
      <c r="AA55" s="13">
        <f>H55-SUM(X55:Z55)</f>
        <v>-14845</v>
      </c>
      <c r="AB55" s="151"/>
      <c r="AC55" s="75">
        <v>-30306</v>
      </c>
      <c r="AD55" s="151"/>
      <c r="AE55" s="13">
        <f t="shared" ref="AE55:AE56" si="212">I55-SUM(AB55:AD55)</f>
        <v>-15878</v>
      </c>
      <c r="AF55" s="151"/>
      <c r="AG55" s="213">
        <v>-30306</v>
      </c>
    </row>
    <row r="56" spans="2:33" ht="13.5" customHeight="1">
      <c r="B56" s="78" t="s">
        <v>169</v>
      </c>
      <c r="C56" s="75">
        <v>-4493</v>
      </c>
      <c r="D56" s="75">
        <v>-7047</v>
      </c>
      <c r="E56" s="75">
        <v>-7076</v>
      </c>
      <c r="F56" s="75">
        <f>-7525</f>
        <v>-7525</v>
      </c>
      <c r="G56" s="75">
        <v>-9342</v>
      </c>
      <c r="H56" s="75">
        <v>-11478</v>
      </c>
      <c r="I56" s="75">
        <v>-12417</v>
      </c>
      <c r="J56" s="151"/>
      <c r="K56" s="13"/>
      <c r="L56" s="151"/>
      <c r="M56" s="75">
        <v>-3714</v>
      </c>
      <c r="N56" s="151"/>
      <c r="O56" s="13">
        <f>E56-SUM(L56:N56)</f>
        <v>-3362</v>
      </c>
      <c r="P56" s="151"/>
      <c r="Q56" s="75">
        <v>-3550</v>
      </c>
      <c r="R56" s="151"/>
      <c r="S56" s="13">
        <f>F56-SUM(P56:R56)</f>
        <v>-3975</v>
      </c>
      <c r="T56" s="151"/>
      <c r="U56" s="75">
        <v>-4252</v>
      </c>
      <c r="V56" s="151"/>
      <c r="W56" s="13">
        <f>G56-SUM(T56:V56)</f>
        <v>-5090</v>
      </c>
      <c r="X56" s="151"/>
      <c r="Y56" s="75">
        <v>-5567</v>
      </c>
      <c r="Z56" s="151"/>
      <c r="AA56" s="13">
        <f>H56-SUM(X56:Z56)</f>
        <v>-5911</v>
      </c>
      <c r="AB56" s="151"/>
      <c r="AC56" s="75">
        <v>-6070</v>
      </c>
      <c r="AD56" s="151"/>
      <c r="AE56" s="13">
        <f t="shared" si="212"/>
        <v>-6347</v>
      </c>
      <c r="AF56" s="151"/>
      <c r="AG56" s="213">
        <v>-6070</v>
      </c>
    </row>
    <row r="57" spans="2:33" s="33" customFormat="1" ht="13.5" customHeight="1">
      <c r="B57" s="33" t="s">
        <v>170</v>
      </c>
      <c r="C57" s="90">
        <f t="shared" ref="C57:D57" si="213">SUM(C53:C56)</f>
        <v>111883</v>
      </c>
      <c r="D57" s="90">
        <f t="shared" si="213"/>
        <v>123134</v>
      </c>
      <c r="E57" s="90">
        <f t="shared" ref="E57:F57" si="214">SUM(E53:E56)</f>
        <v>161324</v>
      </c>
      <c r="F57" s="90">
        <f t="shared" si="214"/>
        <v>176616</v>
      </c>
      <c r="G57" s="90">
        <f t="shared" ref="G57:I57" si="215">SUM(G53:G56)</f>
        <v>148592</v>
      </c>
      <c r="H57" s="90">
        <f t="shared" si="215"/>
        <v>198163</v>
      </c>
      <c r="I57" s="90">
        <f t="shared" si="215"/>
        <v>228255</v>
      </c>
      <c r="J57" s="152"/>
      <c r="K57" s="64"/>
      <c r="L57" s="152"/>
      <c r="M57" s="90">
        <f t="shared" ref="M57" si="216">SUM(M53:M56)</f>
        <v>27275</v>
      </c>
      <c r="N57" s="152"/>
      <c r="O57" s="90">
        <f t="shared" ref="O57" si="217">SUM(O53:O56)</f>
        <v>41010</v>
      </c>
      <c r="P57" s="152"/>
      <c r="Q57" s="90">
        <f t="shared" ref="Q57" si="218">SUM(Q53:Q56)</f>
        <v>82928</v>
      </c>
      <c r="R57" s="152"/>
      <c r="S57" s="90">
        <f t="shared" ref="S57" si="219">SUM(S53:S56)</f>
        <v>93688</v>
      </c>
      <c r="T57" s="152"/>
      <c r="U57" s="90">
        <f t="shared" ref="U57" si="220">SUM(U53:U56)</f>
        <v>69141</v>
      </c>
      <c r="V57" s="152"/>
      <c r="W57" s="90">
        <f>SUM(W53:W56)</f>
        <v>79451</v>
      </c>
      <c r="X57" s="152"/>
      <c r="Y57" s="90">
        <f t="shared" ref="Y57" si="221">SUM(Y53:Y56)</f>
        <v>89208</v>
      </c>
      <c r="Z57" s="152"/>
      <c r="AA57" s="90">
        <f>SUM(AA53:AA56)</f>
        <v>108955</v>
      </c>
      <c r="AB57" s="152"/>
      <c r="AC57" s="90">
        <f t="shared" ref="AC57" si="222">SUM(AC53:AC56)</f>
        <v>101401</v>
      </c>
      <c r="AD57" s="152"/>
      <c r="AE57" s="90">
        <f>SUM(AE53:AE56)</f>
        <v>126854</v>
      </c>
      <c r="AF57" s="152"/>
      <c r="AG57" s="90">
        <f t="shared" ref="AG57" si="223">SUM(AG53:AG56)</f>
        <v>130305</v>
      </c>
    </row>
    <row r="58" spans="2:33" ht="13.5" customHeight="1">
      <c r="B58" s="78" t="s">
        <v>171</v>
      </c>
      <c r="C58" s="75">
        <f>-19743+33</f>
        <v>-19710</v>
      </c>
      <c r="D58" s="75">
        <f>-22766+4</f>
        <v>-22762</v>
      </c>
      <c r="E58" s="75">
        <v>-34070</v>
      </c>
      <c r="F58" s="75">
        <f>-29302+191</f>
        <v>-29111</v>
      </c>
      <c r="G58" s="75">
        <f>-22679+376</f>
        <v>-22303</v>
      </c>
      <c r="H58" s="75">
        <f>-21008+257</f>
        <v>-20751</v>
      </c>
      <c r="I58" s="75">
        <f>-62927+203</f>
        <v>-62724</v>
      </c>
      <c r="J58" s="151"/>
      <c r="K58" s="13"/>
      <c r="L58" s="151"/>
      <c r="M58" s="75">
        <f>-17593</f>
        <v>-17593</v>
      </c>
      <c r="N58" s="151"/>
      <c r="O58" s="13">
        <f>E58-SUM(L58:N58)</f>
        <v>-16477</v>
      </c>
      <c r="P58" s="151"/>
      <c r="Q58" s="75">
        <f>-15810+71</f>
        <v>-15739</v>
      </c>
      <c r="R58" s="151"/>
      <c r="S58" s="13">
        <f>F58-SUM(P58:R58)</f>
        <v>-13372</v>
      </c>
      <c r="T58" s="151"/>
      <c r="U58" s="75">
        <f>-12763+162</f>
        <v>-12601</v>
      </c>
      <c r="V58" s="151"/>
      <c r="W58" s="13">
        <f>G58-SUM(T58:V58)</f>
        <v>-9702</v>
      </c>
      <c r="X58" s="151"/>
      <c r="Y58" s="75">
        <f>-6355+164</f>
        <v>-6191</v>
      </c>
      <c r="Z58" s="151"/>
      <c r="AA58" s="13">
        <f>H58-SUM(X58:Z58)</f>
        <v>-14560</v>
      </c>
      <c r="AB58" s="151"/>
      <c r="AC58" s="75">
        <f>-12552+100</f>
        <v>-12452</v>
      </c>
      <c r="AD58" s="151"/>
      <c r="AE58" s="13">
        <f t="shared" ref="AE58:AE60" si="224">I58-SUM(AB58:AD58)</f>
        <v>-50272</v>
      </c>
      <c r="AF58" s="151"/>
      <c r="AG58" s="213">
        <f>-12552+100</f>
        <v>-12452</v>
      </c>
    </row>
    <row r="59" spans="2:33" ht="13.5" customHeight="1">
      <c r="B59" s="78" t="s">
        <v>172</v>
      </c>
      <c r="C59" s="75">
        <v>-31877</v>
      </c>
      <c r="D59" s="75">
        <v>-29866</v>
      </c>
      <c r="E59" s="75">
        <v>-27182</v>
      </c>
      <c r="F59" s="75">
        <f>-31159</f>
        <v>-31159</v>
      </c>
      <c r="G59" s="75">
        <v>-27645</v>
      </c>
      <c r="H59" s="75">
        <v>-26042</v>
      </c>
      <c r="I59" s="75">
        <v>-26394</v>
      </c>
      <c r="J59" s="151"/>
      <c r="K59" s="13"/>
      <c r="L59" s="151"/>
      <c r="M59" s="75">
        <v>-11343</v>
      </c>
      <c r="N59" s="151"/>
      <c r="O59" s="13">
        <f>E59-SUM(L59:N59)</f>
        <v>-15839</v>
      </c>
      <c r="P59" s="151"/>
      <c r="Q59" s="75">
        <v>-14011</v>
      </c>
      <c r="R59" s="151"/>
      <c r="S59" s="13">
        <f>F59-SUM(P59:R59)</f>
        <v>-17148</v>
      </c>
      <c r="T59" s="151"/>
      <c r="U59" s="75">
        <v>-15196</v>
      </c>
      <c r="V59" s="151"/>
      <c r="W59" s="13">
        <f>G59-SUM(T59:V59)</f>
        <v>-12449</v>
      </c>
      <c r="X59" s="151"/>
      <c r="Y59" s="75">
        <v>-11407</v>
      </c>
      <c r="Z59" s="151"/>
      <c r="AA59" s="13">
        <f>H59-SUM(X59:Z59)</f>
        <v>-14635</v>
      </c>
      <c r="AB59" s="151"/>
      <c r="AC59" s="75">
        <v>-11846</v>
      </c>
      <c r="AD59" s="151"/>
      <c r="AE59" s="13">
        <f t="shared" si="224"/>
        <v>-14548</v>
      </c>
      <c r="AF59" s="151"/>
      <c r="AG59" s="213">
        <v>-11846</v>
      </c>
    </row>
    <row r="60" spans="2:33" ht="13.5" customHeight="1">
      <c r="B60" s="78" t="s">
        <v>173</v>
      </c>
      <c r="C60" s="75">
        <f>-3206-201</f>
        <v>-3407</v>
      </c>
      <c r="D60" s="75">
        <v>-428</v>
      </c>
      <c r="E60" s="75">
        <f>-15097+15</f>
        <v>-15082</v>
      </c>
      <c r="F60" s="75">
        <f>-21944</f>
        <v>-21944</v>
      </c>
      <c r="G60" s="75">
        <f>-12267+33</f>
        <v>-12234</v>
      </c>
      <c r="H60" s="75">
        <f>-7633+14</f>
        <v>-7619</v>
      </c>
      <c r="I60" s="75">
        <f>-7847+1</f>
        <v>-7846</v>
      </c>
      <c r="J60" s="151"/>
      <c r="K60" s="13"/>
      <c r="L60" s="151"/>
      <c r="M60" s="75">
        <v>-3182</v>
      </c>
      <c r="N60" s="151"/>
      <c r="O60" s="13">
        <f>E60-SUM(L60:N60)</f>
        <v>-11900</v>
      </c>
      <c r="P60" s="151"/>
      <c r="Q60" s="75">
        <v>-5015</v>
      </c>
      <c r="R60" s="151"/>
      <c r="S60" s="13">
        <f>F60-SUM(P60:R60)</f>
        <v>-16929</v>
      </c>
      <c r="T60" s="151"/>
      <c r="U60" s="75">
        <f>-9618+7</f>
        <v>-9611</v>
      </c>
      <c r="V60" s="151"/>
      <c r="W60" s="13">
        <f>G60-SUM(T60:V60)</f>
        <v>-2623</v>
      </c>
      <c r="X60" s="151"/>
      <c r="Y60" s="75">
        <f>-323+14</f>
        <v>-309</v>
      </c>
      <c r="Z60" s="151"/>
      <c r="AA60" s="13">
        <f>H60-SUM(X60:Z60)</f>
        <v>-7310</v>
      </c>
      <c r="AB60" s="151"/>
      <c r="AC60" s="75">
        <v>-1388</v>
      </c>
      <c r="AD60" s="151"/>
      <c r="AE60" s="13">
        <f t="shared" si="224"/>
        <v>-6458</v>
      </c>
      <c r="AF60" s="151"/>
      <c r="AG60" s="213">
        <v>-1388</v>
      </c>
    </row>
    <row r="61" spans="2:33" s="33" customFormat="1" ht="13.5" customHeight="1">
      <c r="B61" s="85" t="s">
        <v>174</v>
      </c>
      <c r="C61" s="64">
        <f t="shared" ref="C61:D61" si="225">SUM(C57:C60)</f>
        <v>56889</v>
      </c>
      <c r="D61" s="64">
        <f t="shared" si="225"/>
        <v>70078</v>
      </c>
      <c r="E61" s="64">
        <f t="shared" ref="E61:F61" si="226">SUM(E57:E60)</f>
        <v>84990</v>
      </c>
      <c r="F61" s="64">
        <f t="shared" si="226"/>
        <v>94402</v>
      </c>
      <c r="G61" s="64">
        <f t="shared" ref="G61:H61" si="227">SUM(G57:G60)</f>
        <v>86410</v>
      </c>
      <c r="H61" s="64">
        <f t="shared" si="227"/>
        <v>143751</v>
      </c>
      <c r="I61" s="64">
        <f t="shared" ref="I61" si="228">SUM(I57:I60)</f>
        <v>131291</v>
      </c>
      <c r="J61" s="153"/>
      <c r="K61" s="64"/>
      <c r="L61" s="153"/>
      <c r="M61" s="64">
        <f t="shared" ref="M61" si="229">SUM(M57:M60)</f>
        <v>-4843</v>
      </c>
      <c r="N61" s="153"/>
      <c r="O61" s="64">
        <f t="shared" ref="O61" si="230">SUM(O57:O60)</f>
        <v>-3206</v>
      </c>
      <c r="P61" s="153"/>
      <c r="Q61" s="64">
        <f t="shared" ref="Q61" si="231">SUM(Q57:Q60)</f>
        <v>48163</v>
      </c>
      <c r="R61" s="153"/>
      <c r="S61" s="64">
        <f t="shared" ref="S61" si="232">SUM(S57:S60)</f>
        <v>46239</v>
      </c>
      <c r="T61" s="153"/>
      <c r="U61" s="64">
        <f t="shared" ref="U61" si="233">SUM(U57:U60)</f>
        <v>31733</v>
      </c>
      <c r="V61" s="153"/>
      <c r="W61" s="64">
        <f t="shared" ref="W61" si="234">SUM(W57:W60)</f>
        <v>54677</v>
      </c>
      <c r="X61" s="153"/>
      <c r="Y61" s="64">
        <f t="shared" ref="Y61" si="235">SUM(Y57:Y60)</f>
        <v>71301</v>
      </c>
      <c r="Z61" s="153" t="s">
        <v>175</v>
      </c>
      <c r="AA61" s="64">
        <f t="shared" ref="AA61" si="236">SUM(AA57:AA60)</f>
        <v>72450</v>
      </c>
      <c r="AB61" s="153"/>
      <c r="AC61" s="64">
        <f t="shared" ref="AC61" si="237">SUM(AC57:AC60)</f>
        <v>75715</v>
      </c>
      <c r="AD61" s="153" t="s">
        <v>175</v>
      </c>
      <c r="AE61" s="64">
        <f t="shared" ref="AE61" si="238">SUM(AE57:AE60)</f>
        <v>55576</v>
      </c>
      <c r="AF61" s="153"/>
      <c r="AG61" s="64">
        <f t="shared" ref="AG61" si="239">SUM(AG57:AG60)</f>
        <v>104619</v>
      </c>
    </row>
    <row r="62" spans="2:33" s="33" customFormat="1" ht="13.5" customHeight="1">
      <c r="B62" s="78" t="s">
        <v>176</v>
      </c>
      <c r="C62" s="75">
        <f>-17669+22224-54141+11254-2523+745+46227-67055+4435-37776+429-2352-2441</f>
        <v>-98643</v>
      </c>
      <c r="D62" s="75">
        <f>-9425-39827+15744-11391+1222-5648+618+82607-85601+6230-14904+667-720-4356</f>
        <v>-64784</v>
      </c>
      <c r="E62" s="75">
        <f>-12719+7648-60066+13168-859+1626-1755+484+32177-59169+5610-30533+2208-247-5347</f>
        <v>-107774</v>
      </c>
      <c r="F62" s="75">
        <f>191-1704-50091+4035-364+1383-28251+33521-79350+28800-2202+338-11251+1127+55140-55713+4923</f>
        <v>-99468</v>
      </c>
      <c r="G62" s="75">
        <f>-526-11602+22269-20+352-12925+8048-41181+20019-870+344-2949+501+92199-127046+8506</f>
        <v>-44881</v>
      </c>
      <c r="H62" s="75">
        <f>-125161-H58-H59-H60-2011</f>
        <v>-72760</v>
      </c>
      <c r="I62" s="75">
        <f>-122187-I58-I59-I60-3521</f>
        <v>-28744</v>
      </c>
      <c r="J62" s="151"/>
      <c r="K62" s="89"/>
      <c r="L62" s="151"/>
      <c r="M62" s="75">
        <f>-14472+1133-186-4240+3597-28637+5092+1462-273-1277+390+12336-38312-351+2327</f>
        <v>-61411</v>
      </c>
      <c r="N62" s="151"/>
      <c r="O62" s="13">
        <f>E62-SUM(L62:N62)</f>
        <v>-46363</v>
      </c>
      <c r="P62" s="151"/>
      <c r="Q62" s="75">
        <f>-14320+6639-40371+11774-1527-5458+582+34540-39062-26810+2995-26+2781-295</f>
        <v>-68558</v>
      </c>
      <c r="R62" s="151"/>
      <c r="S62" s="13">
        <f>F62-SUM(P62:R62)</f>
        <v>-30910</v>
      </c>
      <c r="T62" s="151"/>
      <c r="U62" s="75">
        <f>-47731-U60-U59-U58</f>
        <v>-10323</v>
      </c>
      <c r="V62" s="151"/>
      <c r="W62" s="13">
        <f>G62-SUM(T62:V62)</f>
        <v>-34558</v>
      </c>
      <c r="X62" s="151"/>
      <c r="Y62" s="75">
        <f>-84724-Y60-Y59-Y58-890</f>
        <v>-67707</v>
      </c>
      <c r="Z62" s="151"/>
      <c r="AA62" s="13">
        <f>H62-SUM(X62:Z62)</f>
        <v>-5053</v>
      </c>
      <c r="AB62" s="151"/>
      <c r="AC62" s="75">
        <f>-45449-AC60-AC59-AC58+2285</f>
        <v>-17478</v>
      </c>
      <c r="AD62" s="151"/>
      <c r="AE62" s="13">
        <f t="shared" ref="AE62:AE66" si="240">I62-SUM(AB62:AD62)</f>
        <v>-11266</v>
      </c>
      <c r="AF62" s="151"/>
      <c r="AG62" s="213">
        <f>-45449-AG60-AG59-AG58+2285</f>
        <v>-17478</v>
      </c>
    </row>
    <row r="63" spans="2:33" ht="13.5" customHeight="1">
      <c r="B63" s="78" t="s">
        <v>177</v>
      </c>
      <c r="C63" s="75">
        <f>525+7238</f>
        <v>7763</v>
      </c>
      <c r="D63" s="75">
        <f>272+440</f>
        <v>712</v>
      </c>
      <c r="E63" s="75">
        <f>1716+600</f>
        <v>2316</v>
      </c>
      <c r="F63" s="75">
        <f>1043+727</f>
        <v>1770</v>
      </c>
      <c r="G63" s="75">
        <f>995+8</f>
        <v>1003</v>
      </c>
      <c r="H63" s="75">
        <f>1070+196</f>
        <v>1266</v>
      </c>
      <c r="I63" s="75">
        <f>1932+161</f>
        <v>2093</v>
      </c>
      <c r="J63" s="151"/>
      <c r="K63" s="13"/>
      <c r="L63" s="151"/>
      <c r="M63" s="75">
        <f>542+273</f>
        <v>815</v>
      </c>
      <c r="N63" s="151"/>
      <c r="O63" s="13">
        <f>E63-SUM(L63:N63)</f>
        <v>1501</v>
      </c>
      <c r="P63" s="151"/>
      <c r="Q63" s="75">
        <f>410+227</f>
        <v>637</v>
      </c>
      <c r="R63" s="151"/>
      <c r="S63" s="13">
        <f>F63-SUM(P63:R63)</f>
        <v>1133</v>
      </c>
      <c r="T63" s="151"/>
      <c r="U63" s="75">
        <f>219+7</f>
        <v>226</v>
      </c>
      <c r="V63" s="151"/>
      <c r="W63" s="13">
        <f>G63-SUM(T63:V63)</f>
        <v>777</v>
      </c>
      <c r="X63" s="151"/>
      <c r="Y63" s="75">
        <f>-15091+881+16</f>
        <v>-14194</v>
      </c>
      <c r="Z63" s="151"/>
      <c r="AA63" s="13">
        <f>H63-SUM(X63:Z63)</f>
        <v>15460</v>
      </c>
      <c r="AB63" s="151"/>
      <c r="AC63" s="75">
        <f>-47715+1119+113</f>
        <v>-46483</v>
      </c>
      <c r="AD63" s="151"/>
      <c r="AE63" s="13">
        <f t="shared" si="240"/>
        <v>48576</v>
      </c>
      <c r="AF63" s="151"/>
      <c r="AG63" s="213">
        <f>-47715+1119+113</f>
        <v>-46483</v>
      </c>
    </row>
    <row r="64" spans="2:33" ht="13.5" customHeight="1">
      <c r="B64" s="78" t="s">
        <v>178</v>
      </c>
      <c r="C64" s="75">
        <f>-6776-620+1724</f>
        <v>-5672</v>
      </c>
      <c r="D64" s="75">
        <f>-8315-1138+1670</f>
        <v>-7783</v>
      </c>
      <c r="E64" s="75">
        <f>-10339-1079+2153</f>
        <v>-9265</v>
      </c>
      <c r="F64" s="75">
        <f>-12503-1403+3324</f>
        <v>-10582</v>
      </c>
      <c r="G64" s="75">
        <f>-12952-2165+2192</f>
        <v>-12925</v>
      </c>
      <c r="H64" s="75">
        <f>-20983-805+2011</f>
        <v>-19777</v>
      </c>
      <c r="I64" s="75">
        <f>-28859-2385+3521</f>
        <v>-27723</v>
      </c>
      <c r="J64" s="151"/>
      <c r="K64" s="13"/>
      <c r="L64" s="151"/>
      <c r="M64" s="75">
        <f>-10339-351+602</f>
        <v>-10088</v>
      </c>
      <c r="N64" s="151"/>
      <c r="O64" s="13">
        <f>E64-SUM(L64:N64)</f>
        <v>823</v>
      </c>
      <c r="P64" s="151"/>
      <c r="Q64" s="75">
        <f>-12503-441+1385</f>
        <v>-11559</v>
      </c>
      <c r="R64" s="151"/>
      <c r="S64" s="13">
        <f>F64-SUM(P64:R64)</f>
        <v>977</v>
      </c>
      <c r="T64" s="151"/>
      <c r="U64" s="75">
        <f>1224-12952-432</f>
        <v>-12160</v>
      </c>
      <c r="V64" s="151"/>
      <c r="W64" s="13">
        <f>G64-SUM(T64:V64)</f>
        <v>-765</v>
      </c>
      <c r="X64" s="151"/>
      <c r="Y64" s="75">
        <f>890-20983-277</f>
        <v>-20370</v>
      </c>
      <c r="Z64" s="151"/>
      <c r="AA64" s="13">
        <f>H64-SUM(X64:Z64)</f>
        <v>593</v>
      </c>
      <c r="AB64" s="151"/>
      <c r="AC64" s="75">
        <f>-28859-1554+2285</f>
        <v>-28128</v>
      </c>
      <c r="AD64" s="151"/>
      <c r="AE64" s="13">
        <f t="shared" si="240"/>
        <v>405</v>
      </c>
      <c r="AF64" s="151"/>
      <c r="AG64" s="213">
        <f>-28859-1554+2285</f>
        <v>-28128</v>
      </c>
    </row>
    <row r="65" spans="2:33" ht="13.5" customHeight="1">
      <c r="B65" s="78" t="s">
        <v>179</v>
      </c>
      <c r="C65" s="75">
        <f>26463-23545+7237-194+32547-4666</f>
        <v>37842</v>
      </c>
      <c r="D65" s="75">
        <f>18375-22058+55075-55168+40202-13465-2400</f>
        <v>20561</v>
      </c>
      <c r="E65" s="75">
        <f>5090-8512+26323-15899+47948-10460-3537</f>
        <v>40953</v>
      </c>
      <c r="F65" s="75">
        <f>23103-22944+33348-777+27060-4423</f>
        <v>55367</v>
      </c>
      <c r="G65" s="75">
        <f>7701-15378+22535-8451-5969</f>
        <v>438</v>
      </c>
      <c r="H65" s="75">
        <f>29809-9889+33641-34116-6652-10141</f>
        <v>2652</v>
      </c>
      <c r="I65" s="75">
        <f>62563-40049+52021-74642-14213-6369</f>
        <v>-20689</v>
      </c>
      <c r="J65" s="151"/>
      <c r="K65" s="13"/>
      <c r="L65" s="151"/>
      <c r="M65" s="75">
        <f>5662-8323+26223-5255+42509-10460-1515</f>
        <v>48841</v>
      </c>
      <c r="N65" s="151"/>
      <c r="O65" s="13">
        <f>E65-SUM(L65:N65)</f>
        <v>-7888</v>
      </c>
      <c r="P65" s="151"/>
      <c r="Q65" s="75">
        <f>9732-12597+6527-65+27060-2022</f>
        <v>28635</v>
      </c>
      <c r="R65" s="151"/>
      <c r="S65" s="13">
        <f>F65-SUM(P65:R65)</f>
        <v>26732</v>
      </c>
      <c r="T65" s="151"/>
      <c r="U65" s="75">
        <f>4504-860+19517-3518-2885</f>
        <v>16758</v>
      </c>
      <c r="V65" s="151"/>
      <c r="W65" s="13">
        <f>G65-SUM(T65:V65)</f>
        <v>-16320</v>
      </c>
      <c r="X65" s="151"/>
      <c r="Y65" s="75">
        <f>24608-3300+27140-29501-10141-2586</f>
        <v>6220</v>
      </c>
      <c r="Z65" s="151"/>
      <c r="AA65" s="13">
        <f>H65-SUM(X65:Z65)</f>
        <v>-3568</v>
      </c>
      <c r="AB65" s="151"/>
      <c r="AC65" s="75">
        <f>31192-27228+16684-13522-14213-2777</f>
        <v>-9864</v>
      </c>
      <c r="AD65" s="151"/>
      <c r="AE65" s="13">
        <f t="shared" si="240"/>
        <v>-10825</v>
      </c>
      <c r="AF65" s="151"/>
      <c r="AG65" s="213">
        <f>31192-27228+16684-13522-14213-2777</f>
        <v>-9864</v>
      </c>
    </row>
    <row r="66" spans="2:33" ht="13.5" customHeight="1">
      <c r="B66" s="78" t="s">
        <v>180</v>
      </c>
      <c r="C66" s="75">
        <f>-1967-236-783+157</f>
        <v>-2829</v>
      </c>
      <c r="D66" s="75">
        <f>-1406-649-1046</f>
        <v>-3101</v>
      </c>
      <c r="E66" s="75">
        <f>-1865-9263</f>
        <v>-11128</v>
      </c>
      <c r="F66" s="75">
        <f>-2827-9199+110-2170</f>
        <v>-14086</v>
      </c>
      <c r="G66" s="75">
        <f>-29307-2882-4746</f>
        <v>-36935</v>
      </c>
      <c r="H66" s="75">
        <f>-43767-242-4378-4818-20</f>
        <v>-53225</v>
      </c>
      <c r="I66" s="75">
        <f>-102331-105-3420-8381-0</f>
        <v>-114237</v>
      </c>
      <c r="J66" s="151"/>
      <c r="K66" s="13"/>
      <c r="L66" s="151"/>
      <c r="M66" s="75">
        <f>-411-343</f>
        <v>-754</v>
      </c>
      <c r="N66" s="151"/>
      <c r="O66" s="13">
        <f>E66-SUM(L66:N66)</f>
        <v>-10374</v>
      </c>
      <c r="P66" s="151"/>
      <c r="Q66" s="75">
        <f>-1268-1926</f>
        <v>-3194</v>
      </c>
      <c r="R66" s="151"/>
      <c r="S66" s="13">
        <f>F66-SUM(P66:R66)</f>
        <v>-10892</v>
      </c>
      <c r="T66" s="151"/>
      <c r="U66" s="75">
        <f>-9213-U65-U64-U63-U62</f>
        <v>-3714</v>
      </c>
      <c r="V66" s="151"/>
      <c r="W66" s="13">
        <f>G66-SUM(T66:V66)</f>
        <v>-33221</v>
      </c>
      <c r="X66" s="151"/>
      <c r="Y66" s="75">
        <f>-37596-Y65-Y64-Y63-Y62</f>
        <v>58455</v>
      </c>
      <c r="Z66" s="151"/>
      <c r="AA66" s="13">
        <f>H66-SUM(X66:Z66)</f>
        <v>-111680</v>
      </c>
      <c r="AB66" s="151"/>
      <c r="AC66" s="75">
        <f>-99781-AC65-AC64-AC63-AC62</f>
        <v>2172</v>
      </c>
      <c r="AD66" s="151"/>
      <c r="AE66" s="13">
        <f t="shared" si="240"/>
        <v>-116409</v>
      </c>
      <c r="AF66" s="151"/>
      <c r="AG66" s="213">
        <f>-99781-AG65-AG64-AG63-AG62</f>
        <v>2172</v>
      </c>
    </row>
    <row r="67" spans="2:33" ht="13.5" customHeight="1">
      <c r="B67" s="85" t="s">
        <v>181</v>
      </c>
      <c r="C67" s="64">
        <f t="shared" ref="C67:D67" si="241">SUM(C61:C66)</f>
        <v>-4650</v>
      </c>
      <c r="D67" s="64">
        <f t="shared" si="241"/>
        <v>15683</v>
      </c>
      <c r="E67" s="64">
        <f t="shared" ref="E67:F67" si="242">SUM(E61:E66)</f>
        <v>92</v>
      </c>
      <c r="F67" s="64">
        <f t="shared" si="242"/>
        <v>27403</v>
      </c>
      <c r="G67" s="64">
        <f t="shared" ref="G67:H67" si="243">SUM(G61:G66)</f>
        <v>-6890</v>
      </c>
      <c r="H67" s="64">
        <f t="shared" si="243"/>
        <v>1907</v>
      </c>
      <c r="I67" s="64">
        <f t="shared" ref="I67" si="244">SUM(I61:I66)</f>
        <v>-58009</v>
      </c>
      <c r="J67" s="153"/>
      <c r="K67" s="64"/>
      <c r="L67" s="153"/>
      <c r="M67" s="64">
        <f t="shared" ref="M67" si="245">SUM(M61:M66)</f>
        <v>-27440</v>
      </c>
      <c r="N67" s="153"/>
      <c r="O67" s="64">
        <f t="shared" ref="O67" si="246">SUM(O61:O66)</f>
        <v>-65507</v>
      </c>
      <c r="P67" s="153"/>
      <c r="Q67" s="64">
        <f t="shared" ref="Q67" si="247">SUM(Q61:Q66)</f>
        <v>-5876</v>
      </c>
      <c r="R67" s="153"/>
      <c r="S67" s="64">
        <f t="shared" ref="S67" si="248">SUM(S61:S66)</f>
        <v>33279</v>
      </c>
      <c r="T67" s="153"/>
      <c r="U67" s="64">
        <f t="shared" ref="U67" si="249">SUM(U61:U66)</f>
        <v>22520</v>
      </c>
      <c r="V67" s="153"/>
      <c r="W67" s="64">
        <f t="shared" ref="W67" si="250">SUM(W61:W66)</f>
        <v>-29410</v>
      </c>
      <c r="X67" s="153"/>
      <c r="Y67" s="64">
        <f t="shared" ref="Y67" si="251">SUM(Y61:Y66)</f>
        <v>33705</v>
      </c>
      <c r="Z67" s="153"/>
      <c r="AA67" s="64">
        <f t="shared" ref="AA67" si="252">SUM(AA61:AA66)</f>
        <v>-31798</v>
      </c>
      <c r="AB67" s="153"/>
      <c r="AC67" s="64">
        <f t="shared" ref="AC67" si="253">SUM(AC61:AC66)</f>
        <v>-24066</v>
      </c>
      <c r="AD67" s="153"/>
      <c r="AE67" s="64">
        <f t="shared" ref="AE67" si="254">SUM(AE61:AE66)</f>
        <v>-33943</v>
      </c>
      <c r="AF67" s="153"/>
      <c r="AG67" s="64">
        <f t="shared" ref="AG67" si="255">SUM(AG61:AG66)</f>
        <v>4838</v>
      </c>
    </row>
    <row r="68" spans="2:33" ht="13.5" customHeight="1">
      <c r="B68" s="78" t="s">
        <v>182</v>
      </c>
      <c r="C68" s="159">
        <f>-10090-C67</f>
        <v>-5440</v>
      </c>
      <c r="D68" s="13">
        <f>34092-D67</f>
        <v>18409</v>
      </c>
      <c r="E68" s="13">
        <f>25811-E67</f>
        <v>25719</v>
      </c>
      <c r="F68" s="13">
        <f>18257-F67</f>
        <v>-9146</v>
      </c>
      <c r="G68" s="13">
        <f>-18733-G67</f>
        <v>-11843</v>
      </c>
      <c r="H68" s="13">
        <f>14228-H67</f>
        <v>12321</v>
      </c>
      <c r="I68" s="13">
        <f>-40160-I67</f>
        <v>17849</v>
      </c>
      <c r="J68" s="57"/>
      <c r="K68" s="13"/>
      <c r="L68" s="57"/>
      <c r="M68" s="13">
        <f>40296-M67</f>
        <v>67736</v>
      </c>
      <c r="N68" s="57"/>
      <c r="O68" s="13">
        <f>26449-O67</f>
        <v>91956</v>
      </c>
      <c r="P68" s="57"/>
      <c r="Q68" s="13">
        <f>-9398-Q67</f>
        <v>-3522</v>
      </c>
      <c r="R68" s="57"/>
      <c r="S68" s="13">
        <f>18257-S67</f>
        <v>-15022</v>
      </c>
      <c r="T68" s="57"/>
      <c r="U68" s="13">
        <f>12579-U67</f>
        <v>-9941</v>
      </c>
      <c r="V68" s="57"/>
      <c r="W68" s="13">
        <f>-18733-W67</f>
        <v>10677</v>
      </c>
      <c r="X68" s="57"/>
      <c r="Y68" s="13">
        <f>-19337-Y67</f>
        <v>-53042</v>
      </c>
      <c r="Z68" s="57"/>
      <c r="AA68" s="13">
        <f>-18733-AA67</f>
        <v>13065</v>
      </c>
      <c r="AB68" s="57"/>
      <c r="AC68" s="13">
        <f>-18772-AC67</f>
        <v>5294</v>
      </c>
      <c r="AD68" s="57"/>
      <c r="AE68" s="13">
        <f>-40160-AE67</f>
        <v>-6217</v>
      </c>
      <c r="AF68" s="57"/>
      <c r="AG68" s="214">
        <f>-18772-AG67</f>
        <v>-23610</v>
      </c>
    </row>
    <row r="69" spans="2:33" ht="13.5" customHeight="1">
      <c r="B69" s="78" t="s">
        <v>183</v>
      </c>
      <c r="C69" s="75">
        <v>2207</v>
      </c>
      <c r="D69" s="75">
        <v>1085</v>
      </c>
      <c r="E69" s="75">
        <v>-6004</v>
      </c>
      <c r="F69" s="75">
        <v>-3089</v>
      </c>
      <c r="G69" s="75">
        <v>7506</v>
      </c>
      <c r="H69" s="75">
        <v>1353</v>
      </c>
      <c r="I69" s="75">
        <v>359</v>
      </c>
      <c r="J69" s="151"/>
      <c r="K69" s="13"/>
      <c r="L69" s="151"/>
      <c r="M69" s="75">
        <v>431</v>
      </c>
      <c r="N69" s="151"/>
      <c r="O69" s="13">
        <f>E69-SUM(L69:N69)</f>
        <v>-6435</v>
      </c>
      <c r="P69" s="151"/>
      <c r="Q69" s="75">
        <v>-1679</v>
      </c>
      <c r="R69" s="151"/>
      <c r="S69" s="13">
        <f>F69-SUM(P69:R69)</f>
        <v>-1410</v>
      </c>
      <c r="T69" s="151"/>
      <c r="U69" s="75">
        <v>4113</v>
      </c>
      <c r="V69" s="151"/>
      <c r="W69" s="13">
        <f>G69-SUM(T69:V69)</f>
        <v>3393</v>
      </c>
      <c r="X69" s="151"/>
      <c r="Y69" s="75">
        <v>2245</v>
      </c>
      <c r="Z69" s="151"/>
      <c r="AA69" s="13">
        <f>H69-SUM(X69:Z69)</f>
        <v>-892</v>
      </c>
      <c r="AB69" s="151"/>
      <c r="AC69" s="75">
        <v>-37</v>
      </c>
      <c r="AD69" s="151"/>
      <c r="AE69" s="13">
        <f>I69-SUM(AB69:AD69)</f>
        <v>396</v>
      </c>
      <c r="AF69" s="151"/>
      <c r="AG69" s="213">
        <v>-37</v>
      </c>
    </row>
    <row r="70" spans="2:33" ht="13.5" customHeight="1">
      <c r="B70" s="78" t="s">
        <v>184</v>
      </c>
      <c r="C70" s="13">
        <f t="shared" ref="C70" si="256">SUM(C67:C69)</f>
        <v>-7883</v>
      </c>
      <c r="D70" s="13">
        <f t="shared" ref="D70:E70" si="257">SUM(D67:D69)</f>
        <v>35177</v>
      </c>
      <c r="E70" s="13">
        <f t="shared" si="257"/>
        <v>19807</v>
      </c>
      <c r="F70" s="13">
        <f t="shared" ref="F70:G70" si="258">SUM(F67:F69)</f>
        <v>15168</v>
      </c>
      <c r="G70" s="13">
        <f t="shared" si="258"/>
        <v>-11227</v>
      </c>
      <c r="H70" s="13">
        <f t="shared" ref="H70:I70" si="259">SUM(H67:H69)</f>
        <v>15581</v>
      </c>
      <c r="I70" s="13">
        <f t="shared" si="259"/>
        <v>-39801</v>
      </c>
      <c r="J70" s="57"/>
      <c r="K70" s="13"/>
      <c r="L70" s="57"/>
      <c r="M70" s="13">
        <f t="shared" ref="M70" si="260">SUM(M67:M69)</f>
        <v>40727</v>
      </c>
      <c r="N70" s="57"/>
      <c r="O70" s="13">
        <f t="shared" ref="O70" si="261">SUM(O67:O69)</f>
        <v>20014</v>
      </c>
      <c r="P70" s="57"/>
      <c r="Q70" s="13">
        <f t="shared" ref="Q70" si="262">SUM(Q67:Q69)</f>
        <v>-11077</v>
      </c>
      <c r="R70" s="57"/>
      <c r="S70" s="13">
        <f t="shared" ref="S70" si="263">SUM(S67:S69)</f>
        <v>16847</v>
      </c>
      <c r="T70" s="57"/>
      <c r="U70" s="13">
        <f t="shared" ref="U70" si="264">SUM(U67:U69)</f>
        <v>16692</v>
      </c>
      <c r="V70" s="57"/>
      <c r="W70" s="13">
        <f t="shared" ref="W70" si="265">SUM(W67:W69)</f>
        <v>-15340</v>
      </c>
      <c r="X70" s="57"/>
      <c r="Y70" s="13">
        <f t="shared" ref="Y70" si="266">SUM(Y67:Y69)</f>
        <v>-17092</v>
      </c>
      <c r="Z70" s="57"/>
      <c r="AA70" s="13">
        <f t="shared" ref="AA70" si="267">SUM(AA67:AA69)</f>
        <v>-19625</v>
      </c>
      <c r="AB70" s="57"/>
      <c r="AC70" s="13">
        <f t="shared" ref="AC70" si="268">SUM(AC67:AC69)</f>
        <v>-18809</v>
      </c>
      <c r="AD70" s="57"/>
      <c r="AE70" s="13">
        <f t="shared" ref="AE70" si="269">SUM(AE67:AE69)</f>
        <v>-39764</v>
      </c>
      <c r="AF70" s="57"/>
      <c r="AG70" s="214">
        <f t="shared" ref="AG70" si="270">SUM(AG67:AG69)</f>
        <v>-18809</v>
      </c>
    </row>
    <row r="71" spans="2:33" ht="13.5" customHeight="1">
      <c r="B71" s="85" t="s">
        <v>185</v>
      </c>
      <c r="C71" s="64">
        <f>105697+C70</f>
        <v>97814</v>
      </c>
      <c r="D71" s="64">
        <f t="shared" ref="D71:I71" si="271">C71+D70</f>
        <v>132991</v>
      </c>
      <c r="E71" s="64">
        <f t="shared" si="271"/>
        <v>152798</v>
      </c>
      <c r="F71" s="64">
        <f t="shared" si="271"/>
        <v>167966</v>
      </c>
      <c r="G71" s="64">
        <f t="shared" si="271"/>
        <v>156739</v>
      </c>
      <c r="H71" s="64">
        <f t="shared" si="271"/>
        <v>172320</v>
      </c>
      <c r="I71" s="64">
        <f t="shared" si="271"/>
        <v>132519</v>
      </c>
      <c r="J71" s="153"/>
      <c r="K71" s="116"/>
      <c r="L71" s="153"/>
      <c r="M71" s="64">
        <f>D71+M70</f>
        <v>173718</v>
      </c>
      <c r="N71" s="153"/>
      <c r="O71" s="64">
        <v>152798</v>
      </c>
      <c r="P71" s="153"/>
      <c r="Q71" s="64">
        <f>O71+Q70</f>
        <v>141721</v>
      </c>
      <c r="R71" s="153"/>
      <c r="S71" s="64">
        <f>F71</f>
        <v>167966</v>
      </c>
      <c r="T71" s="153"/>
      <c r="U71" s="64">
        <f>S71+U70</f>
        <v>184658</v>
      </c>
      <c r="V71" s="153"/>
      <c r="W71" s="64">
        <f>G71</f>
        <v>156739</v>
      </c>
      <c r="X71" s="153"/>
      <c r="Y71" s="64">
        <f>W71+Y70</f>
        <v>139647</v>
      </c>
      <c r="Z71" s="153"/>
      <c r="AA71" s="64">
        <f>H71</f>
        <v>172320</v>
      </c>
      <c r="AB71" s="153"/>
      <c r="AC71" s="64">
        <f>AA71+AC70</f>
        <v>153511</v>
      </c>
      <c r="AD71" s="153"/>
      <c r="AE71" s="64">
        <f>I71</f>
        <v>132519</v>
      </c>
      <c r="AF71" s="153"/>
      <c r="AG71" s="64">
        <f>AE71+AG70</f>
        <v>113710</v>
      </c>
    </row>
    <row r="72" spans="2:33" ht="13.5" customHeight="1">
      <c r="B72" s="85"/>
      <c r="C72" s="75"/>
      <c r="D72" s="75"/>
      <c r="E72" s="75"/>
      <c r="F72" s="75"/>
      <c r="G72" s="75"/>
      <c r="H72" s="75"/>
      <c r="I72" s="75"/>
      <c r="J72" s="13"/>
      <c r="K72" s="13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C72" s="75"/>
      <c r="AD72" s="75"/>
      <c r="AE72" s="75"/>
      <c r="AG72" s="75"/>
    </row>
    <row r="73" spans="2:33" ht="11.25" customHeight="1">
      <c r="B73" s="88" t="s">
        <v>26</v>
      </c>
      <c r="C73" s="86">
        <f t="shared" ref="C73:G73" si="272">+C71-C113</f>
        <v>0</v>
      </c>
      <c r="D73" s="86">
        <f t="shared" si="272"/>
        <v>0</v>
      </c>
      <c r="E73" s="86">
        <f t="shared" si="272"/>
        <v>0</v>
      </c>
      <c r="F73" s="86">
        <f t="shared" si="272"/>
        <v>0</v>
      </c>
      <c r="G73" s="86">
        <f t="shared" si="272"/>
        <v>0</v>
      </c>
      <c r="H73" s="86">
        <f t="shared" ref="H73:I73" si="273">+H71-H113</f>
        <v>0</v>
      </c>
      <c r="I73" s="86">
        <f t="shared" si="273"/>
        <v>0</v>
      </c>
      <c r="J73" s="86"/>
      <c r="K73" s="87"/>
      <c r="L73" s="86"/>
      <c r="M73" s="86">
        <f>+M71-M113</f>
        <v>0</v>
      </c>
      <c r="N73" s="86"/>
      <c r="O73" s="86">
        <f>+O71-O113</f>
        <v>0</v>
      </c>
      <c r="P73" s="86"/>
      <c r="Q73" s="86">
        <f>+Q71-Q113</f>
        <v>0</v>
      </c>
      <c r="R73" s="86"/>
      <c r="S73" s="86">
        <f>+S71-S113</f>
        <v>0</v>
      </c>
      <c r="T73" s="86"/>
      <c r="U73" s="86">
        <f>+U71-U113</f>
        <v>0</v>
      </c>
      <c r="V73" s="86"/>
      <c r="W73" s="86">
        <f>+W71-W113</f>
        <v>0</v>
      </c>
      <c r="X73" s="86"/>
      <c r="Y73" s="86">
        <f>+Y71-Y113</f>
        <v>0</v>
      </c>
      <c r="Z73" s="86"/>
      <c r="AA73" s="86">
        <f>+AA71-AA113</f>
        <v>0</v>
      </c>
      <c r="AB73" s="86"/>
      <c r="AC73" s="86">
        <f>+AC71-AC113</f>
        <v>0</v>
      </c>
      <c r="AD73" s="86"/>
      <c r="AE73" s="86">
        <f>+AE71-AE113</f>
        <v>0</v>
      </c>
      <c r="AF73" s="86"/>
      <c r="AG73" s="86">
        <f>+AG71-AG113</f>
        <v>-68347</v>
      </c>
    </row>
    <row r="74" spans="2:33" ht="13.5" customHeight="1">
      <c r="B74" s="85"/>
      <c r="C74" s="164">
        <f>110936-(C57+C68)+C56</f>
        <v>0</v>
      </c>
      <c r="D74" s="164">
        <f>148590-(D57+D68)+D56</f>
        <v>0</v>
      </c>
      <c r="E74" s="164">
        <f>194119-(E57+E68)+E56</f>
        <v>0</v>
      </c>
      <c r="F74" s="164">
        <f>175186-(F57+F68)+F56</f>
        <v>191</v>
      </c>
      <c r="G74" s="164">
        <f>146091-(G57+G68)+G56</f>
        <v>0</v>
      </c>
      <c r="H74" s="164">
        <f>221962-(H57+H68)+H56</f>
        <v>0</v>
      </c>
      <c r="I74" s="164">
        <f>258521-(I57+I68)+I56</f>
        <v>0</v>
      </c>
      <c r="J74" s="164"/>
      <c r="K74" s="13"/>
      <c r="L74" s="162"/>
      <c r="M74" s="163">
        <f>98725-(M57+M68)+M56</f>
        <v>0</v>
      </c>
      <c r="N74" s="162"/>
      <c r="O74" s="164"/>
      <c r="P74" s="162"/>
      <c r="Q74" s="163">
        <f>82956-(Q57+Q68)+Q56</f>
        <v>0</v>
      </c>
      <c r="R74" s="79"/>
      <c r="S74" s="164"/>
      <c r="T74" s="162"/>
      <c r="U74" s="163"/>
      <c r="V74" s="79"/>
      <c r="W74" s="164"/>
      <c r="X74" s="162"/>
      <c r="Y74" s="164"/>
      <c r="Z74" s="79"/>
      <c r="AA74" s="164"/>
      <c r="AB74" s="162"/>
      <c r="AC74" s="163"/>
      <c r="AD74" s="79"/>
      <c r="AE74" s="164"/>
      <c r="AF74" s="162"/>
      <c r="AG74" s="163"/>
    </row>
    <row r="75" spans="2:33" ht="11.25" customHeight="1"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</row>
    <row r="76" spans="2:33" ht="13.5" customHeight="1">
      <c r="B76" s="54" t="s">
        <v>186</v>
      </c>
      <c r="C76" s="66">
        <f t="shared" ref="C76:H76" si="274">C2</f>
        <v>43465</v>
      </c>
      <c r="D76" s="66">
        <f t="shared" si="274"/>
        <v>43830</v>
      </c>
      <c r="E76" s="66">
        <f t="shared" si="274"/>
        <v>44196</v>
      </c>
      <c r="F76" s="66">
        <f t="shared" si="274"/>
        <v>44561</v>
      </c>
      <c r="G76" s="66">
        <f t="shared" si="274"/>
        <v>44926</v>
      </c>
      <c r="H76" s="66">
        <f t="shared" si="274"/>
        <v>45291</v>
      </c>
      <c r="I76" s="66">
        <f t="shared" ref="I76" si="275">I2</f>
        <v>45657</v>
      </c>
      <c r="J76" s="66" t="str">
        <f>J1</f>
        <v>LTM</v>
      </c>
      <c r="K76" s="66"/>
      <c r="L76" s="66">
        <f t="shared" ref="L76:Q76" si="276">L2</f>
        <v>43921</v>
      </c>
      <c r="M76" s="66">
        <f t="shared" si="276"/>
        <v>44012</v>
      </c>
      <c r="N76" s="66">
        <f t="shared" si="276"/>
        <v>44104</v>
      </c>
      <c r="O76" s="66">
        <f t="shared" si="276"/>
        <v>44196</v>
      </c>
      <c r="P76" s="66">
        <f t="shared" si="276"/>
        <v>44286</v>
      </c>
      <c r="Q76" s="66">
        <f t="shared" si="276"/>
        <v>44377</v>
      </c>
      <c r="R76" s="66">
        <f t="shared" ref="R76:U76" si="277">R2</f>
        <v>44469</v>
      </c>
      <c r="S76" s="66">
        <f t="shared" si="277"/>
        <v>44561</v>
      </c>
      <c r="T76" s="66">
        <f t="shared" si="277"/>
        <v>44651</v>
      </c>
      <c r="U76" s="66">
        <f t="shared" si="277"/>
        <v>44742</v>
      </c>
      <c r="V76" s="66">
        <f t="shared" ref="V76:Y76" si="278">V2</f>
        <v>44834</v>
      </c>
      <c r="W76" s="66">
        <f t="shared" si="278"/>
        <v>44926</v>
      </c>
      <c r="X76" s="66">
        <f t="shared" si="278"/>
        <v>45016</v>
      </c>
      <c r="Y76" s="66">
        <f t="shared" si="278"/>
        <v>45107</v>
      </c>
      <c r="Z76" s="66">
        <f t="shared" ref="Z76:AC76" si="279">Z2</f>
        <v>45199</v>
      </c>
      <c r="AA76" s="66">
        <f t="shared" si="279"/>
        <v>45291</v>
      </c>
      <c r="AB76" s="66">
        <f t="shared" si="279"/>
        <v>45382</v>
      </c>
      <c r="AC76" s="66">
        <f t="shared" si="279"/>
        <v>45473</v>
      </c>
      <c r="AD76" s="66">
        <f t="shared" ref="AD76:AG76" si="280">AD2</f>
        <v>45565</v>
      </c>
      <c r="AE76" s="66">
        <f t="shared" si="280"/>
        <v>45657</v>
      </c>
      <c r="AF76" s="66">
        <f t="shared" si="280"/>
        <v>45747</v>
      </c>
      <c r="AG76" s="66">
        <f t="shared" si="280"/>
        <v>45838</v>
      </c>
    </row>
    <row r="77" spans="2:33" ht="13.5" customHeight="1">
      <c r="B77" s="26" t="str">
        <f t="shared" ref="B77:F77" si="281">B6</f>
        <v>Revenue</v>
      </c>
      <c r="C77" s="13">
        <f t="shared" si="281"/>
        <v>312694</v>
      </c>
      <c r="D77" s="13">
        <f t="shared" si="281"/>
        <v>377289</v>
      </c>
      <c r="E77" s="13">
        <f t="shared" si="281"/>
        <v>482064</v>
      </c>
      <c r="F77" s="13">
        <f t="shared" si="281"/>
        <v>560118</v>
      </c>
      <c r="G77" s="13">
        <f t="shared" ref="G77:H77" si="282">G6</f>
        <v>554552</v>
      </c>
      <c r="H77" s="13">
        <f t="shared" si="282"/>
        <v>609015</v>
      </c>
      <c r="I77" s="13">
        <f t="shared" ref="I77" si="283">I6</f>
        <v>660257</v>
      </c>
      <c r="J77" s="13">
        <f t="shared" ref="J77" si="284">J6</f>
        <v>704165</v>
      </c>
      <c r="K77" s="13"/>
      <c r="L77" s="57"/>
      <c r="M77" s="57"/>
      <c r="N77" s="57"/>
      <c r="O77" s="13">
        <f t="shared" ref="O77:AG77" si="285">SUM(L6:O6)</f>
        <v>482064</v>
      </c>
      <c r="P77" s="13">
        <f t="shared" si="285"/>
        <v>509302</v>
      </c>
      <c r="Q77" s="13">
        <f t="shared" si="285"/>
        <v>532678</v>
      </c>
      <c r="R77" s="13">
        <f t="shared" si="285"/>
        <v>549599</v>
      </c>
      <c r="S77" s="13">
        <f t="shared" si="285"/>
        <v>560118</v>
      </c>
      <c r="T77" s="13">
        <f t="shared" si="285"/>
        <v>560286</v>
      </c>
      <c r="U77" s="13">
        <f t="shared" si="285"/>
        <v>556061</v>
      </c>
      <c r="V77" s="13">
        <f t="shared" si="285"/>
        <v>553786</v>
      </c>
      <c r="W77" s="13">
        <f t="shared" si="285"/>
        <v>554552</v>
      </c>
      <c r="X77" s="13">
        <f t="shared" si="285"/>
        <v>569067</v>
      </c>
      <c r="Y77" s="13">
        <f t="shared" si="285"/>
        <v>584241</v>
      </c>
      <c r="Z77" s="13">
        <f t="shared" si="285"/>
        <v>598773</v>
      </c>
      <c r="AA77" s="13">
        <f t="shared" si="285"/>
        <v>609015</v>
      </c>
      <c r="AB77" s="13">
        <f t="shared" si="285"/>
        <v>618530</v>
      </c>
      <c r="AC77" s="13">
        <f t="shared" si="285"/>
        <v>630439</v>
      </c>
      <c r="AD77" s="13">
        <f t="shared" si="285"/>
        <v>643007</v>
      </c>
      <c r="AE77" s="13">
        <f t="shared" si="285"/>
        <v>660257</v>
      </c>
      <c r="AF77" s="13">
        <f t="shared" si="285"/>
        <v>680778</v>
      </c>
      <c r="AG77" s="13">
        <f t="shared" si="285"/>
        <v>704165</v>
      </c>
    </row>
    <row r="78" spans="2:33" ht="13.5" customHeight="1">
      <c r="B78" s="26" t="s">
        <v>159</v>
      </c>
      <c r="C78" s="13">
        <f t="shared" ref="C78:G78" si="286">C16</f>
        <v>97648</v>
      </c>
      <c r="D78" s="13">
        <f t="shared" si="286"/>
        <v>118694</v>
      </c>
      <c r="E78" s="13">
        <f t="shared" si="286"/>
        <v>184237</v>
      </c>
      <c r="F78" s="13">
        <f t="shared" si="286"/>
        <v>271620</v>
      </c>
      <c r="G78" s="13">
        <f t="shared" si="286"/>
        <v>235706</v>
      </c>
      <c r="H78" s="13">
        <f t="shared" ref="H78:I78" si="287">H16</f>
        <v>167792</v>
      </c>
      <c r="I78" s="13">
        <f t="shared" si="287"/>
        <v>228290</v>
      </c>
      <c r="J78" s="13">
        <f t="shared" ref="J78" si="288">J16</f>
        <v>246486</v>
      </c>
      <c r="K78" s="13"/>
      <c r="L78" s="57"/>
      <c r="M78" s="57"/>
      <c r="N78" s="57"/>
      <c r="O78" s="13">
        <f t="shared" ref="O78:AG78" si="289">SUM(L16:O16)</f>
        <v>184237</v>
      </c>
      <c r="P78" s="13">
        <f t="shared" si="289"/>
        <v>203250</v>
      </c>
      <c r="Q78" s="13">
        <f t="shared" si="289"/>
        <v>216426</v>
      </c>
      <c r="R78" s="13">
        <f t="shared" si="289"/>
        <v>225610</v>
      </c>
      <c r="S78" s="13">
        <f t="shared" si="289"/>
        <v>271620</v>
      </c>
      <c r="T78" s="13">
        <f t="shared" si="289"/>
        <v>252564</v>
      </c>
      <c r="U78" s="13">
        <f t="shared" si="289"/>
        <v>230144</v>
      </c>
      <c r="V78" s="13">
        <f t="shared" si="289"/>
        <v>228600</v>
      </c>
      <c r="W78" s="13">
        <f t="shared" si="289"/>
        <v>235706</v>
      </c>
      <c r="X78" s="13">
        <f t="shared" si="289"/>
        <v>238918</v>
      </c>
      <c r="Y78" s="13">
        <f t="shared" si="289"/>
        <v>249151</v>
      </c>
      <c r="Z78" s="13">
        <f t="shared" si="289"/>
        <v>246033</v>
      </c>
      <c r="AA78" s="13">
        <f t="shared" si="289"/>
        <v>167792</v>
      </c>
      <c r="AB78" s="13">
        <f t="shared" si="289"/>
        <v>184823</v>
      </c>
      <c r="AC78" s="13">
        <f t="shared" si="289"/>
        <v>198451</v>
      </c>
      <c r="AD78" s="13">
        <f t="shared" si="289"/>
        <v>210371</v>
      </c>
      <c r="AE78" s="13">
        <f t="shared" si="289"/>
        <v>228290</v>
      </c>
      <c r="AF78" s="13">
        <f t="shared" si="289"/>
        <v>233551</v>
      </c>
      <c r="AG78" s="13">
        <f t="shared" si="289"/>
        <v>246486</v>
      </c>
    </row>
    <row r="79" spans="2:33" ht="13.5" customHeight="1">
      <c r="B79" s="26" t="s">
        <v>187</v>
      </c>
      <c r="C79" s="13">
        <f t="shared" ref="C79:E79" si="290">+C40</f>
        <v>131687</v>
      </c>
      <c r="D79" s="13">
        <f t="shared" si="290"/>
        <v>163271</v>
      </c>
      <c r="E79" s="13">
        <f t="shared" si="290"/>
        <v>234768</v>
      </c>
      <c r="F79" s="13">
        <f t="shared" ref="F79" si="291">+F40</f>
        <v>329290</v>
      </c>
      <c r="G79" s="13">
        <f t="shared" ref="G79:H79" si="292">+G40</f>
        <v>296922</v>
      </c>
      <c r="H79" s="13">
        <f t="shared" si="292"/>
        <v>226800</v>
      </c>
      <c r="I79" s="13">
        <f t="shared" ref="I79" si="293">+I40</f>
        <v>284503</v>
      </c>
      <c r="J79" s="13">
        <f t="shared" ref="J79" si="294">+J40</f>
        <v>306115</v>
      </c>
      <c r="K79" s="13"/>
      <c r="L79" s="57"/>
      <c r="M79" s="57"/>
      <c r="N79" s="57"/>
      <c r="O79" s="13">
        <f t="shared" ref="O79:AG79" si="295">SUM(L40:O40)</f>
        <v>234768</v>
      </c>
      <c r="P79" s="13">
        <f t="shared" si="295"/>
        <v>267998</v>
      </c>
      <c r="Q79" s="13">
        <f t="shared" si="295"/>
        <v>284076</v>
      </c>
      <c r="R79" s="13">
        <f t="shared" si="295"/>
        <v>307493</v>
      </c>
      <c r="S79" s="13">
        <f t="shared" si="295"/>
        <v>329290</v>
      </c>
      <c r="T79" s="13">
        <f t="shared" si="295"/>
        <v>311953</v>
      </c>
      <c r="U79" s="13">
        <f t="shared" si="295"/>
        <v>289986</v>
      </c>
      <c r="V79" s="13">
        <f t="shared" si="295"/>
        <v>288954</v>
      </c>
      <c r="W79" s="13">
        <f t="shared" si="295"/>
        <v>296922</v>
      </c>
      <c r="X79" s="13">
        <f t="shared" si="295"/>
        <v>300332</v>
      </c>
      <c r="Y79" s="13">
        <f t="shared" si="295"/>
        <v>310446</v>
      </c>
      <c r="Z79" s="13">
        <f t="shared" si="295"/>
        <v>306085</v>
      </c>
      <c r="AA79" s="13">
        <f t="shared" si="295"/>
        <v>226800</v>
      </c>
      <c r="AB79" s="13">
        <f t="shared" si="295"/>
        <v>241266</v>
      </c>
      <c r="AC79" s="13">
        <f t="shared" si="295"/>
        <v>253741</v>
      </c>
      <c r="AD79" s="13">
        <f t="shared" si="295"/>
        <v>266197</v>
      </c>
      <c r="AE79" s="13">
        <f t="shared" si="295"/>
        <v>284503</v>
      </c>
      <c r="AF79" s="13">
        <f t="shared" si="295"/>
        <v>291049</v>
      </c>
      <c r="AG79" s="13">
        <f t="shared" si="295"/>
        <v>306115</v>
      </c>
    </row>
    <row r="80" spans="2:33" s="33" customFormat="1" ht="13.5" customHeight="1">
      <c r="B80" s="26" t="s">
        <v>188</v>
      </c>
      <c r="C80" s="13">
        <f t="shared" ref="C80:E80" si="296">+C45</f>
        <v>118273</v>
      </c>
      <c r="D80" s="13">
        <f t="shared" si="296"/>
        <v>147395</v>
      </c>
      <c r="E80" s="13">
        <f t="shared" si="296"/>
        <v>183314</v>
      </c>
      <c r="F80" s="13">
        <f t="shared" ref="F80" si="297">+F45</f>
        <v>194798</v>
      </c>
      <c r="G80" s="13">
        <f t="shared" ref="G80:H80" si="298">+G45</f>
        <v>188986</v>
      </c>
      <c r="H80" s="13">
        <f t="shared" si="298"/>
        <v>235454</v>
      </c>
      <c r="I80" s="13">
        <f t="shared" ref="I80" si="299">+I45</f>
        <v>277012</v>
      </c>
      <c r="J80" s="13">
        <f t="shared" ref="J80" si="300">+J45</f>
        <v>305916</v>
      </c>
      <c r="K80" s="13"/>
      <c r="L80" s="57"/>
      <c r="M80" s="57"/>
      <c r="N80" s="57"/>
      <c r="O80" s="13">
        <f t="shared" ref="O80:AG80" si="301">SUM(L45:O45)</f>
        <v>183314</v>
      </c>
      <c r="P80" s="13">
        <f t="shared" si="301"/>
        <v>191051</v>
      </c>
      <c r="Q80" s="13">
        <f t="shared" si="301"/>
        <v>197656</v>
      </c>
      <c r="R80" s="13">
        <f t="shared" si="301"/>
        <v>199064</v>
      </c>
      <c r="S80" s="13">
        <f t="shared" si="301"/>
        <v>194798</v>
      </c>
      <c r="T80" s="13">
        <f t="shared" si="301"/>
        <v>187973</v>
      </c>
      <c r="U80" s="13">
        <f t="shared" si="301"/>
        <v>182294</v>
      </c>
      <c r="V80" s="13">
        <f t="shared" si="301"/>
        <v>181647</v>
      </c>
      <c r="W80" s="13">
        <f t="shared" si="301"/>
        <v>188986</v>
      </c>
      <c r="X80" s="13">
        <f t="shared" si="301"/>
        <v>200695</v>
      </c>
      <c r="Y80" s="13">
        <f t="shared" si="301"/>
        <v>212875</v>
      </c>
      <c r="Z80" s="13">
        <f t="shared" si="301"/>
        <v>225566</v>
      </c>
      <c r="AA80" s="13">
        <f t="shared" si="301"/>
        <v>235454</v>
      </c>
      <c r="AB80" s="13">
        <f t="shared" si="301"/>
        <v>246902</v>
      </c>
      <c r="AC80" s="13">
        <f t="shared" si="301"/>
        <v>258572</v>
      </c>
      <c r="AD80" s="13">
        <f t="shared" si="301"/>
        <v>266927</v>
      </c>
      <c r="AE80" s="13">
        <f t="shared" si="301"/>
        <v>277012</v>
      </c>
      <c r="AF80" s="13">
        <f t="shared" si="301"/>
        <v>289312</v>
      </c>
      <c r="AG80" s="13">
        <f t="shared" si="301"/>
        <v>305916</v>
      </c>
    </row>
    <row r="81" spans="2:34" ht="13.5" customHeight="1">
      <c r="B81" s="26" t="s">
        <v>169</v>
      </c>
      <c r="C81" s="13">
        <f t="shared" ref="C81:E81" si="302">-C56</f>
        <v>4493</v>
      </c>
      <c r="D81" s="13">
        <f t="shared" si="302"/>
        <v>7047</v>
      </c>
      <c r="E81" s="13">
        <f t="shared" si="302"/>
        <v>7076</v>
      </c>
      <c r="F81" s="13">
        <f t="shared" ref="F81:H81" si="303">-F56</f>
        <v>7525</v>
      </c>
      <c r="G81" s="13">
        <f t="shared" si="303"/>
        <v>9342</v>
      </c>
      <c r="H81" s="13">
        <f t="shared" si="303"/>
        <v>11478</v>
      </c>
      <c r="I81" s="13">
        <f t="shared" ref="I81" si="304">-I56</f>
        <v>12417</v>
      </c>
      <c r="J81" s="57"/>
      <c r="K81" s="13"/>
      <c r="L81" s="57"/>
      <c r="M81" s="57"/>
      <c r="N81" s="57"/>
      <c r="O81" s="13">
        <f>-SUM(L56:O56)</f>
        <v>7076</v>
      </c>
      <c r="P81" s="57"/>
      <c r="Q81" s="13">
        <f>-SUM(N56:Q56)</f>
        <v>6912</v>
      </c>
      <c r="R81" s="57"/>
      <c r="S81" s="13">
        <f>-SUM(P56:S56)</f>
        <v>7525</v>
      </c>
      <c r="T81" s="57"/>
      <c r="U81" s="13">
        <f>-SUM(R56:U56)</f>
        <v>8227</v>
      </c>
      <c r="V81" s="57"/>
      <c r="W81" s="13">
        <f>-SUM(T56:W56)</f>
        <v>9342</v>
      </c>
      <c r="X81" s="57"/>
      <c r="Y81" s="13">
        <f>-SUM(V56:Y56)</f>
        <v>10657</v>
      </c>
      <c r="Z81" s="57"/>
      <c r="AA81" s="13">
        <f>-SUM(X56:AA56)</f>
        <v>11478</v>
      </c>
      <c r="AB81" s="57"/>
      <c r="AC81" s="13">
        <f>-SUM(Z56:AC56)</f>
        <v>11981</v>
      </c>
      <c r="AD81" s="57"/>
      <c r="AE81" s="13">
        <f>-SUM(AB56:AE56)</f>
        <v>12417</v>
      </c>
      <c r="AF81" s="57"/>
      <c r="AG81" s="13">
        <f>-SUM(AD56:AG56)</f>
        <v>12417</v>
      </c>
    </row>
    <row r="82" spans="2:34" ht="13.5" customHeight="1">
      <c r="B82" s="26" t="s">
        <v>189</v>
      </c>
      <c r="C82" s="13">
        <f t="shared" ref="C82:G82" si="305">+C21</f>
        <v>79984</v>
      </c>
      <c r="D82" s="13">
        <f t="shared" si="305"/>
        <v>95888</v>
      </c>
      <c r="E82" s="13">
        <f t="shared" si="305"/>
        <v>160125</v>
      </c>
      <c r="F82" s="13">
        <f t="shared" si="305"/>
        <v>227810</v>
      </c>
      <c r="G82" s="13">
        <f t="shared" si="305"/>
        <v>188709</v>
      </c>
      <c r="H82" s="13">
        <f t="shared" ref="H82:I82" si="306">+H21</f>
        <v>118048</v>
      </c>
      <c r="I82" s="13">
        <f t="shared" si="306"/>
        <v>196467</v>
      </c>
      <c r="J82" s="13">
        <f t="shared" ref="J82" si="307">+J21</f>
        <v>211219</v>
      </c>
      <c r="K82" s="13"/>
      <c r="L82" s="57"/>
      <c r="M82" s="57"/>
      <c r="N82" s="57"/>
      <c r="O82" s="13">
        <f t="shared" ref="O82:AG82" si="308">SUM(L21:O21)</f>
        <v>160125</v>
      </c>
      <c r="P82" s="13">
        <f t="shared" si="308"/>
        <v>179730</v>
      </c>
      <c r="Q82" s="13">
        <f t="shared" si="308"/>
        <v>190298</v>
      </c>
      <c r="R82" s="13">
        <f t="shared" si="308"/>
        <v>191474</v>
      </c>
      <c r="S82" s="13">
        <f t="shared" si="308"/>
        <v>227810</v>
      </c>
      <c r="T82" s="13">
        <f t="shared" si="308"/>
        <v>202535</v>
      </c>
      <c r="U82" s="13">
        <f t="shared" si="308"/>
        <v>178743</v>
      </c>
      <c r="V82" s="13">
        <f t="shared" si="308"/>
        <v>177510</v>
      </c>
      <c r="W82" s="13">
        <f t="shared" si="308"/>
        <v>188709</v>
      </c>
      <c r="X82" s="13">
        <f t="shared" si="308"/>
        <v>191370</v>
      </c>
      <c r="Y82" s="13">
        <f t="shared" si="308"/>
        <v>199163</v>
      </c>
      <c r="Z82" s="13">
        <f t="shared" si="308"/>
        <v>197102</v>
      </c>
      <c r="AA82" s="13">
        <f t="shared" si="308"/>
        <v>118048</v>
      </c>
      <c r="AB82" s="13">
        <f t="shared" si="308"/>
        <v>134305</v>
      </c>
      <c r="AC82" s="13">
        <f t="shared" si="308"/>
        <v>155648</v>
      </c>
      <c r="AD82" s="13">
        <f t="shared" si="308"/>
        <v>172850</v>
      </c>
      <c r="AE82" s="13">
        <f t="shared" si="308"/>
        <v>196467</v>
      </c>
      <c r="AF82" s="13">
        <f t="shared" si="308"/>
        <v>203541</v>
      </c>
      <c r="AG82" s="13">
        <f t="shared" si="308"/>
        <v>211219</v>
      </c>
    </row>
    <row r="83" spans="2:34" ht="13.5" customHeight="1">
      <c r="B83" s="26" t="s">
        <v>190</v>
      </c>
      <c r="C83" s="13">
        <f t="shared" ref="C83:E83" si="309">-C58</f>
        <v>19710</v>
      </c>
      <c r="D83" s="13">
        <f t="shared" si="309"/>
        <v>22762</v>
      </c>
      <c r="E83" s="13">
        <f t="shared" si="309"/>
        <v>34070</v>
      </c>
      <c r="F83" s="13">
        <f t="shared" ref="F83:G83" si="310">-F58</f>
        <v>29111</v>
      </c>
      <c r="G83" s="13">
        <f t="shared" si="310"/>
        <v>22303</v>
      </c>
      <c r="H83" s="13">
        <f t="shared" ref="H83:I83" si="311">-H58</f>
        <v>20751</v>
      </c>
      <c r="I83" s="13">
        <f t="shared" si="311"/>
        <v>62724</v>
      </c>
      <c r="J83" s="57"/>
      <c r="K83" s="13"/>
      <c r="L83" s="57"/>
      <c r="M83" s="57"/>
      <c r="N83" s="57"/>
      <c r="O83" s="13">
        <f>-SUM(L58:O58)</f>
        <v>34070</v>
      </c>
      <c r="P83" s="57"/>
      <c r="Q83" s="13">
        <f>-SUM(N58:Q58)</f>
        <v>32216</v>
      </c>
      <c r="R83" s="57"/>
      <c r="S83" s="13">
        <f>-SUM(P58:S58)</f>
        <v>29111</v>
      </c>
      <c r="T83" s="57"/>
      <c r="U83" s="13">
        <f>-SUM(R58:U58)</f>
        <v>25973</v>
      </c>
      <c r="V83" s="57"/>
      <c r="W83" s="13">
        <f>-SUM(T58:W58)</f>
        <v>22303</v>
      </c>
      <c r="X83" s="57"/>
      <c r="Y83" s="13">
        <f>-SUM(V58:Y58)</f>
        <v>15893</v>
      </c>
      <c r="Z83" s="57"/>
      <c r="AA83" s="13">
        <f>-SUM(X58:AA58)</f>
        <v>20751</v>
      </c>
      <c r="AB83" s="57"/>
      <c r="AC83" s="13">
        <f>-SUM(Z58:AC58)</f>
        <v>27012</v>
      </c>
      <c r="AD83" s="57"/>
      <c r="AE83" s="13">
        <f>-SUM(AB58:AE58)</f>
        <v>62724</v>
      </c>
      <c r="AF83" s="57"/>
      <c r="AG83" s="13">
        <f>-SUM(AD58:AG58)</f>
        <v>62724</v>
      </c>
    </row>
    <row r="84" spans="2:34" ht="13.5" customHeight="1">
      <c r="B84" s="26" t="s">
        <v>174</v>
      </c>
      <c r="C84" s="13">
        <f t="shared" ref="C84:E84" si="312">+C61</f>
        <v>56889</v>
      </c>
      <c r="D84" s="13">
        <f t="shared" si="312"/>
        <v>70078</v>
      </c>
      <c r="E84" s="13">
        <f t="shared" si="312"/>
        <v>84990</v>
      </c>
      <c r="F84" s="13">
        <f t="shared" ref="F84:G84" si="313">+F61</f>
        <v>94402</v>
      </c>
      <c r="G84" s="13">
        <f t="shared" si="313"/>
        <v>86410</v>
      </c>
      <c r="H84" s="13">
        <f t="shared" ref="H84:I84" si="314">+H61</f>
        <v>143751</v>
      </c>
      <c r="I84" s="13">
        <f t="shared" si="314"/>
        <v>131291</v>
      </c>
      <c r="J84" s="57"/>
      <c r="K84" s="13"/>
      <c r="L84" s="57"/>
      <c r="M84" s="57"/>
      <c r="N84" s="57"/>
      <c r="O84" s="13">
        <f>SUM(L61:O61)</f>
        <v>-8049</v>
      </c>
      <c r="P84" s="57"/>
      <c r="Q84" s="13">
        <f>SUM(N61:Q61)</f>
        <v>44957</v>
      </c>
      <c r="R84" s="57"/>
      <c r="S84" s="13">
        <f>SUM(P61:S61)</f>
        <v>94402</v>
      </c>
      <c r="T84" s="57"/>
      <c r="U84" s="13">
        <f>SUM(R61:U61)</f>
        <v>77972</v>
      </c>
      <c r="V84" s="57"/>
      <c r="W84" s="13">
        <f>SUM(T61:W61)</f>
        <v>86410</v>
      </c>
      <c r="X84" s="57"/>
      <c r="Y84" s="13">
        <f>SUM(V61:Y61)</f>
        <v>125978</v>
      </c>
      <c r="Z84" s="57"/>
      <c r="AA84" s="13">
        <f>SUM(X61:AA61)</f>
        <v>143751</v>
      </c>
      <c r="AB84" s="57"/>
      <c r="AC84" s="13">
        <f>SUM(Z61:AC61)</f>
        <v>148165</v>
      </c>
      <c r="AD84" s="57"/>
      <c r="AE84" s="13">
        <f>SUM(AB61:AE61)</f>
        <v>131291</v>
      </c>
      <c r="AF84" s="57"/>
      <c r="AG84" s="13">
        <f>SUM(AD61:AG61)</f>
        <v>160195</v>
      </c>
    </row>
    <row r="85" spans="2:34" ht="13.5" customHeight="1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 spans="2:34" ht="13.5" customHeight="1">
      <c r="B86" s="54" t="s">
        <v>191</v>
      </c>
      <c r="C86" s="66">
        <f t="shared" ref="C86:H86" si="315">C2</f>
        <v>43465</v>
      </c>
      <c r="D86" s="66">
        <f t="shared" si="315"/>
        <v>43830</v>
      </c>
      <c r="E86" s="66">
        <f t="shared" si="315"/>
        <v>44196</v>
      </c>
      <c r="F86" s="66">
        <f t="shared" si="315"/>
        <v>44561</v>
      </c>
      <c r="G86" s="66">
        <f t="shared" si="315"/>
        <v>44926</v>
      </c>
      <c r="H86" s="66">
        <f t="shared" si="315"/>
        <v>45291</v>
      </c>
      <c r="I86" s="66">
        <f t="shared" ref="I86" si="316">I2</f>
        <v>45657</v>
      </c>
      <c r="J86" s="66" t="str">
        <f>J1</f>
        <v>LTM</v>
      </c>
      <c r="K86" s="66"/>
      <c r="L86" s="66">
        <f t="shared" ref="L86:Q86" si="317">L2</f>
        <v>43921</v>
      </c>
      <c r="M86" s="66">
        <f t="shared" si="317"/>
        <v>44012</v>
      </c>
      <c r="N86" s="66">
        <f t="shared" si="317"/>
        <v>44104</v>
      </c>
      <c r="O86" s="66">
        <f t="shared" si="317"/>
        <v>44196</v>
      </c>
      <c r="P86" s="66">
        <f t="shared" si="317"/>
        <v>44286</v>
      </c>
      <c r="Q86" s="66">
        <f t="shared" si="317"/>
        <v>44377</v>
      </c>
      <c r="R86" s="66">
        <f t="shared" ref="R86:U86" si="318">R2</f>
        <v>44469</v>
      </c>
      <c r="S86" s="66">
        <f t="shared" si="318"/>
        <v>44561</v>
      </c>
      <c r="T86" s="66">
        <f t="shared" si="318"/>
        <v>44651</v>
      </c>
      <c r="U86" s="66">
        <f t="shared" si="318"/>
        <v>44742</v>
      </c>
      <c r="V86" s="66">
        <f t="shared" ref="V86:Y86" si="319">V2</f>
        <v>44834</v>
      </c>
      <c r="W86" s="66">
        <f t="shared" si="319"/>
        <v>44926</v>
      </c>
      <c r="X86" s="66">
        <f t="shared" si="319"/>
        <v>45016</v>
      </c>
      <c r="Y86" s="66">
        <f t="shared" si="319"/>
        <v>45107</v>
      </c>
      <c r="Z86" s="66">
        <f t="shared" ref="Z86:AC86" si="320">Z2</f>
        <v>45199</v>
      </c>
      <c r="AA86" s="66">
        <f t="shared" si="320"/>
        <v>45291</v>
      </c>
      <c r="AB86" s="66">
        <f t="shared" si="320"/>
        <v>45382</v>
      </c>
      <c r="AC86" s="66">
        <f t="shared" si="320"/>
        <v>45473</v>
      </c>
      <c r="AD86" s="66">
        <f t="shared" ref="AD86:AG86" si="321">AD2</f>
        <v>45565</v>
      </c>
      <c r="AE86" s="66">
        <f t="shared" si="321"/>
        <v>45657</v>
      </c>
      <c r="AF86" s="66">
        <f t="shared" si="321"/>
        <v>45747</v>
      </c>
      <c r="AG86" s="66">
        <f t="shared" si="321"/>
        <v>45838</v>
      </c>
    </row>
    <row r="87" spans="2:34" ht="13.5" customHeight="1">
      <c r="C87" s="75"/>
      <c r="D87" s="75"/>
      <c r="E87" s="75"/>
      <c r="F87" s="75"/>
      <c r="G87" s="75"/>
      <c r="H87" s="75"/>
      <c r="I87" s="75"/>
      <c r="J87" s="13"/>
      <c r="K87" s="13"/>
      <c r="L87" s="75"/>
      <c r="M87" s="75"/>
      <c r="N87" s="75"/>
      <c r="O87" s="13"/>
      <c r="P87" s="75"/>
      <c r="Q87" s="75"/>
      <c r="R87" s="75"/>
      <c r="S87" s="13"/>
      <c r="T87" s="75"/>
      <c r="U87" s="75"/>
      <c r="V87" s="75"/>
      <c r="W87" s="13"/>
      <c r="X87" s="75"/>
      <c r="Y87" s="75"/>
      <c r="Z87" s="75"/>
      <c r="AA87" s="13"/>
      <c r="AB87" s="75"/>
      <c r="AC87" s="75"/>
      <c r="AD87" s="75"/>
      <c r="AE87" s="13"/>
      <c r="AF87" s="75"/>
      <c r="AG87" s="75"/>
    </row>
    <row r="88" spans="2:34" s="33" customFormat="1" ht="13.5" customHeight="1">
      <c r="B88" s="26" t="s">
        <v>192</v>
      </c>
      <c r="C88" s="75">
        <v>35091</v>
      </c>
      <c r="D88" s="75">
        <f>46824+10847</f>
        <v>57671</v>
      </c>
      <c r="E88" s="75">
        <f>59843+12929</f>
        <v>72772</v>
      </c>
      <c r="F88" s="75">
        <f>61914+20468</f>
        <v>82382</v>
      </c>
      <c r="G88" s="75">
        <f>53978+22524</f>
        <v>76502</v>
      </c>
      <c r="H88" s="75">
        <f>53232+20464</f>
        <v>73696</v>
      </c>
      <c r="I88" s="75">
        <f>80185+17679</f>
        <v>97864</v>
      </c>
      <c r="J88" s="13">
        <f>AG88</f>
        <v>135517</v>
      </c>
      <c r="K88" s="13"/>
      <c r="L88" s="75">
        <f>48557+10677</f>
        <v>59234</v>
      </c>
      <c r="M88" s="75">
        <f>52565+10622</f>
        <v>63187</v>
      </c>
      <c r="N88" s="75">
        <f>56153+10646</f>
        <v>66799</v>
      </c>
      <c r="O88" s="13">
        <f>E88</f>
        <v>72772</v>
      </c>
      <c r="P88" s="75">
        <f>61833+12904</f>
        <v>74737</v>
      </c>
      <c r="Q88" s="75">
        <f>61141+13769</f>
        <v>74910</v>
      </c>
      <c r="R88" s="75">
        <f>59779+14917</f>
        <v>74696</v>
      </c>
      <c r="S88" s="13">
        <f>F88</f>
        <v>82382</v>
      </c>
      <c r="T88" s="75">
        <f>61560+22091</f>
        <v>83651</v>
      </c>
      <c r="U88" s="75">
        <f>59073+22622</f>
        <v>81695</v>
      </c>
      <c r="V88" s="75">
        <f>55406+22448</f>
        <v>77854</v>
      </c>
      <c r="W88" s="13">
        <f>G88</f>
        <v>76502</v>
      </c>
      <c r="X88" s="75">
        <f>50134+20529</f>
        <v>70663</v>
      </c>
      <c r="Y88" s="75">
        <f>48530+20592</f>
        <v>69122</v>
      </c>
      <c r="Z88" s="75">
        <f>51173+19174</f>
        <v>70347</v>
      </c>
      <c r="AA88" s="13">
        <f>H88</f>
        <v>73696</v>
      </c>
      <c r="AB88" s="75">
        <f>54627+19077</f>
        <v>73704</v>
      </c>
      <c r="AC88" s="75">
        <f>57195+18800</f>
        <v>75995</v>
      </c>
      <c r="AD88" s="75">
        <f>69583+17793</f>
        <v>87376</v>
      </c>
      <c r="AE88" s="13">
        <f>I88</f>
        <v>97864</v>
      </c>
      <c r="AF88" s="75">
        <f>91727+17085</f>
        <v>108812</v>
      </c>
      <c r="AG88" s="75">
        <f>118565+16952</f>
        <v>135517</v>
      </c>
      <c r="AH88" s="64"/>
    </row>
    <row r="89" spans="2:34" s="33" customFormat="1" ht="13.5" customHeight="1">
      <c r="B89" s="78" t="s">
        <v>193</v>
      </c>
      <c r="C89" s="75">
        <v>324</v>
      </c>
      <c r="D89" s="75">
        <v>718</v>
      </c>
      <c r="E89" s="75">
        <v>814</v>
      </c>
      <c r="F89" s="75">
        <v>1063</v>
      </c>
      <c r="G89" s="75">
        <v>2333</v>
      </c>
      <c r="H89" s="75">
        <v>456</v>
      </c>
      <c r="I89" s="75">
        <v>440</v>
      </c>
      <c r="J89" s="13">
        <f>AG89</f>
        <v>435</v>
      </c>
      <c r="K89" s="13"/>
      <c r="L89" s="75">
        <v>601</v>
      </c>
      <c r="M89" s="75">
        <v>988</v>
      </c>
      <c r="N89" s="75">
        <v>1164</v>
      </c>
      <c r="O89" s="13">
        <f>E89</f>
        <v>814</v>
      </c>
      <c r="P89" s="75">
        <v>816</v>
      </c>
      <c r="Q89" s="75">
        <v>1020</v>
      </c>
      <c r="R89" s="75">
        <v>2735</v>
      </c>
      <c r="S89" s="13">
        <f>F89</f>
        <v>1063</v>
      </c>
      <c r="T89" s="75">
        <v>2712</v>
      </c>
      <c r="U89" s="75">
        <v>2939</v>
      </c>
      <c r="V89" s="75">
        <v>2933</v>
      </c>
      <c r="W89" s="13">
        <f>G89</f>
        <v>2333</v>
      </c>
      <c r="X89" s="75">
        <v>2015</v>
      </c>
      <c r="Y89" s="75">
        <v>2155</v>
      </c>
      <c r="Z89" s="75">
        <v>1676</v>
      </c>
      <c r="AA89" s="13">
        <f>H89</f>
        <v>456</v>
      </c>
      <c r="AB89" s="75">
        <v>1055</v>
      </c>
      <c r="AC89" s="75">
        <v>4387</v>
      </c>
      <c r="AD89" s="75">
        <v>9823</v>
      </c>
      <c r="AE89" s="13">
        <f>I89</f>
        <v>440</v>
      </c>
      <c r="AF89" s="75">
        <v>427</v>
      </c>
      <c r="AG89" s="75">
        <v>435</v>
      </c>
      <c r="AH89" s="64"/>
    </row>
    <row r="90" spans="2:34" s="33" customFormat="1" ht="13.5" customHeight="1">
      <c r="B90" s="78" t="s">
        <v>194</v>
      </c>
      <c r="C90" s="75">
        <v>28427</v>
      </c>
      <c r="D90" s="75">
        <v>35839</v>
      </c>
      <c r="E90" s="75">
        <v>44981</v>
      </c>
      <c r="F90" s="75">
        <v>49331</v>
      </c>
      <c r="G90" s="75">
        <v>45467</v>
      </c>
      <c r="H90" s="75">
        <v>46606</v>
      </c>
      <c r="I90" s="75">
        <v>48203</v>
      </c>
      <c r="J90" s="13">
        <f>AG90</f>
        <v>51315</v>
      </c>
      <c r="K90" s="13"/>
      <c r="L90" s="75">
        <v>42869</v>
      </c>
      <c r="M90" s="75">
        <v>40384</v>
      </c>
      <c r="N90" s="75">
        <v>41696</v>
      </c>
      <c r="O90" s="13">
        <f>E90</f>
        <v>44981</v>
      </c>
      <c r="P90" s="75">
        <v>51676</v>
      </c>
      <c r="Q90" s="75">
        <v>53523</v>
      </c>
      <c r="R90" s="75">
        <v>53837</v>
      </c>
      <c r="S90" s="13">
        <f>F90</f>
        <v>49331</v>
      </c>
      <c r="T90" s="75">
        <v>52774</v>
      </c>
      <c r="U90" s="75">
        <v>49446</v>
      </c>
      <c r="V90" s="75">
        <v>44837</v>
      </c>
      <c r="W90" s="13">
        <f>G90</f>
        <v>45467</v>
      </c>
      <c r="X90" s="75">
        <v>45410</v>
      </c>
      <c r="Y90" s="75">
        <v>46172</v>
      </c>
      <c r="Z90" s="75">
        <v>47327</v>
      </c>
      <c r="AA90" s="13">
        <f>H90</f>
        <v>46606</v>
      </c>
      <c r="AB90" s="75">
        <v>52412</v>
      </c>
      <c r="AC90" s="75">
        <v>52250</v>
      </c>
      <c r="AD90" s="75">
        <v>47336</v>
      </c>
      <c r="AE90" s="13">
        <f>I90</f>
        <v>48203</v>
      </c>
      <c r="AF90" s="75">
        <v>49311</v>
      </c>
      <c r="AG90" s="75">
        <v>51315</v>
      </c>
      <c r="AH90" s="64"/>
    </row>
    <row r="91" spans="2:34" s="33" customFormat="1" ht="13.5" customHeight="1">
      <c r="B91" s="78" t="s">
        <v>195</v>
      </c>
      <c r="C91" s="75">
        <v>73735</v>
      </c>
      <c r="D91" s="75">
        <v>80690</v>
      </c>
      <c r="E91" s="75">
        <v>94030</v>
      </c>
      <c r="F91" s="75">
        <v>109470</v>
      </c>
      <c r="G91" s="75">
        <v>92381</v>
      </c>
      <c r="H91" s="75">
        <v>100948</v>
      </c>
      <c r="I91" s="75">
        <v>118712</v>
      </c>
      <c r="J91" s="13">
        <f>AG91</f>
        <v>130501</v>
      </c>
      <c r="K91" s="13"/>
      <c r="L91" s="75">
        <v>88176</v>
      </c>
      <c r="M91" s="75">
        <v>86433</v>
      </c>
      <c r="N91" s="75">
        <v>87008</v>
      </c>
      <c r="O91" s="13">
        <f>E91</f>
        <v>94030</v>
      </c>
      <c r="P91" s="75">
        <v>102625</v>
      </c>
      <c r="Q91" s="75">
        <v>99279</v>
      </c>
      <c r="R91" s="75">
        <v>99808</v>
      </c>
      <c r="S91" s="13">
        <f>F91</f>
        <v>109470</v>
      </c>
      <c r="T91" s="75">
        <v>112512</v>
      </c>
      <c r="U91" s="75">
        <v>105119</v>
      </c>
      <c r="V91" s="75">
        <v>99789</v>
      </c>
      <c r="W91" s="13">
        <f>G91</f>
        <v>92381</v>
      </c>
      <c r="X91" s="75">
        <v>102317</v>
      </c>
      <c r="Y91" s="75">
        <v>100103</v>
      </c>
      <c r="Z91" s="75">
        <v>111921</v>
      </c>
      <c r="AA91" s="13">
        <f>H91</f>
        <v>100948</v>
      </c>
      <c r="AB91" s="75">
        <v>112520</v>
      </c>
      <c r="AC91" s="75">
        <v>121230</v>
      </c>
      <c r="AD91" s="75">
        <v>142665</v>
      </c>
      <c r="AE91" s="13">
        <f>I91</f>
        <v>118712</v>
      </c>
      <c r="AF91" s="75">
        <v>125488</v>
      </c>
      <c r="AG91" s="75">
        <v>130501</v>
      </c>
      <c r="AH91" s="64"/>
    </row>
    <row r="92" spans="2:34" s="33" customFormat="1" ht="13.5" customHeight="1">
      <c r="B92" s="33" t="s">
        <v>196</v>
      </c>
      <c r="C92" s="64">
        <f t="shared" ref="C92:D92" si="322">+C89+C90-C91</f>
        <v>-44984</v>
      </c>
      <c r="D92" s="64">
        <f t="shared" si="322"/>
        <v>-44133</v>
      </c>
      <c r="E92" s="64">
        <f>+E89+E90-E91</f>
        <v>-48235</v>
      </c>
      <c r="F92" s="64">
        <f>+F89+F90-F91</f>
        <v>-59076</v>
      </c>
      <c r="G92" s="64">
        <f>+G89+G90-G91</f>
        <v>-44581</v>
      </c>
      <c r="H92" s="64">
        <f>+H89+H90-H91</f>
        <v>-53886</v>
      </c>
      <c r="I92" s="64">
        <f>+I89+I90-I91</f>
        <v>-70069</v>
      </c>
      <c r="J92" s="64">
        <f t="shared" ref="J92" si="323">+J89+J90-J91</f>
        <v>-78751</v>
      </c>
      <c r="K92" s="64"/>
      <c r="L92" s="64">
        <f t="shared" ref="L92:R92" si="324">+L89+L90-L91</f>
        <v>-44706</v>
      </c>
      <c r="M92" s="64">
        <f t="shared" si="324"/>
        <v>-45061</v>
      </c>
      <c r="N92" s="64">
        <f t="shared" si="324"/>
        <v>-44148</v>
      </c>
      <c r="O92" s="64">
        <f t="shared" si="324"/>
        <v>-48235</v>
      </c>
      <c r="P92" s="64">
        <f t="shared" si="324"/>
        <v>-50133</v>
      </c>
      <c r="Q92" s="64">
        <f t="shared" si="324"/>
        <v>-44736</v>
      </c>
      <c r="R92" s="64">
        <f t="shared" si="324"/>
        <v>-43236</v>
      </c>
      <c r="S92" s="64">
        <f t="shared" ref="S92:V92" si="325">+S89+S90-S91</f>
        <v>-59076</v>
      </c>
      <c r="T92" s="64">
        <f t="shared" si="325"/>
        <v>-57026</v>
      </c>
      <c r="U92" s="64">
        <f t="shared" si="325"/>
        <v>-52734</v>
      </c>
      <c r="V92" s="64">
        <f t="shared" si="325"/>
        <v>-52019</v>
      </c>
      <c r="W92" s="64">
        <f t="shared" ref="W92:Z92" si="326">+W89+W90-W91</f>
        <v>-44581</v>
      </c>
      <c r="X92" s="64">
        <f t="shared" si="326"/>
        <v>-54892</v>
      </c>
      <c r="Y92" s="64">
        <f t="shared" si="326"/>
        <v>-51776</v>
      </c>
      <c r="Z92" s="64">
        <f t="shared" si="326"/>
        <v>-62918</v>
      </c>
      <c r="AA92" s="64">
        <f t="shared" ref="AA92:AD92" si="327">+AA89+AA90-AA91</f>
        <v>-53886</v>
      </c>
      <c r="AB92" s="64">
        <f t="shared" si="327"/>
        <v>-59053</v>
      </c>
      <c r="AC92" s="64">
        <f t="shared" si="327"/>
        <v>-64593</v>
      </c>
      <c r="AD92" s="64">
        <f t="shared" si="327"/>
        <v>-85506</v>
      </c>
      <c r="AE92" s="64">
        <f t="shared" ref="AE92:AG92" si="328">+AE89+AE90-AE91</f>
        <v>-70069</v>
      </c>
      <c r="AF92" s="64">
        <f t="shared" si="328"/>
        <v>-75750</v>
      </c>
      <c r="AG92" s="64">
        <f t="shared" si="328"/>
        <v>-78751</v>
      </c>
      <c r="AH92" s="64"/>
    </row>
    <row r="93" spans="2:34" s="44" customFormat="1" ht="13.5" customHeight="1">
      <c r="B93" s="82" t="s">
        <v>197</v>
      </c>
      <c r="C93" s="80">
        <f t="shared" ref="C93:E93" si="329">+C92/C77</f>
        <v>-0.14385949202734943</v>
      </c>
      <c r="D93" s="80">
        <f t="shared" si="329"/>
        <v>-0.11697399076039852</v>
      </c>
      <c r="E93" s="80">
        <f t="shared" si="329"/>
        <v>-0.10005932822197883</v>
      </c>
      <c r="F93" s="80">
        <f t="shared" ref="F93:G93" si="330">+F92/F77</f>
        <v>-0.10547063297376624</v>
      </c>
      <c r="G93" s="80">
        <f t="shared" si="330"/>
        <v>-8.0391018335521286E-2</v>
      </c>
      <c r="H93" s="80">
        <f t="shared" ref="H93:I93" si="331">+H92/H77</f>
        <v>-8.8480579296076445E-2</v>
      </c>
      <c r="I93" s="80">
        <f t="shared" si="331"/>
        <v>-0.1061238275398822</v>
      </c>
      <c r="J93" s="80">
        <f t="shared" ref="J93" si="332">+J92/J77</f>
        <v>-0.11183600434557242</v>
      </c>
      <c r="K93" s="80"/>
      <c r="L93" s="57"/>
      <c r="M93" s="57"/>
      <c r="N93" s="57"/>
      <c r="O93" s="80">
        <f t="shared" ref="O93:R93" si="333">+O92/O77</f>
        <v>-0.10005932822197883</v>
      </c>
      <c r="P93" s="81">
        <f t="shared" si="333"/>
        <v>-9.8434720460551892E-2</v>
      </c>
      <c r="Q93" s="81">
        <f t="shared" si="333"/>
        <v>-8.3983194350057633E-2</v>
      </c>
      <c r="R93" s="81">
        <f t="shared" si="333"/>
        <v>-7.8668265408052052E-2</v>
      </c>
      <c r="S93" s="80">
        <f t="shared" ref="S93:V93" si="334">+S92/S77</f>
        <v>-0.10547063297376624</v>
      </c>
      <c r="T93" s="81">
        <f t="shared" si="334"/>
        <v>-0.10178016227426707</v>
      </c>
      <c r="U93" s="81">
        <f t="shared" si="334"/>
        <v>-9.4834919190520464E-2</v>
      </c>
      <c r="V93" s="81">
        <f t="shared" si="334"/>
        <v>-9.3933396655025592E-2</v>
      </c>
      <c r="W93" s="80">
        <f t="shared" ref="W93:Z93" si="335">+W92/W77</f>
        <v>-8.0391018335521286E-2</v>
      </c>
      <c r="X93" s="81">
        <f t="shared" si="335"/>
        <v>-9.6459643592055069E-2</v>
      </c>
      <c r="Y93" s="81">
        <f t="shared" si="335"/>
        <v>-8.8620962924546548E-2</v>
      </c>
      <c r="Z93" s="81">
        <f t="shared" si="335"/>
        <v>-0.10507821828973585</v>
      </c>
      <c r="AA93" s="80">
        <f t="shared" ref="AA93:AD93" si="336">+AA92/AA77</f>
        <v>-8.8480579296076445E-2</v>
      </c>
      <c r="AB93" s="81">
        <f t="shared" si="336"/>
        <v>-9.5473137923787046E-2</v>
      </c>
      <c r="AC93" s="81">
        <f t="shared" si="336"/>
        <v>-0.10245717666578369</v>
      </c>
      <c r="AD93" s="81">
        <f t="shared" si="336"/>
        <v>-0.13297833460599962</v>
      </c>
      <c r="AE93" s="80">
        <f t="shared" ref="AE93:AG93" si="337">+AE92/AE77</f>
        <v>-0.1061238275398822</v>
      </c>
      <c r="AF93" s="81">
        <f t="shared" si="337"/>
        <v>-0.11126975313538334</v>
      </c>
      <c r="AG93" s="81">
        <f t="shared" si="337"/>
        <v>-0.11183600434557242</v>
      </c>
      <c r="AH93" s="64"/>
    </row>
    <row r="94" spans="2:34" ht="13.5" customHeight="1">
      <c r="C94" s="79"/>
      <c r="D94" s="79"/>
      <c r="E94" s="79"/>
      <c r="F94" s="79"/>
      <c r="G94" s="79"/>
      <c r="H94" s="79"/>
      <c r="I94" s="79"/>
      <c r="J94" s="13"/>
      <c r="K94" s="13"/>
      <c r="L94" s="75"/>
      <c r="M94" s="75"/>
      <c r="N94" s="75"/>
      <c r="O94" s="13"/>
      <c r="P94" s="75"/>
      <c r="Q94" s="75"/>
      <c r="R94" s="75"/>
      <c r="S94" s="13"/>
      <c r="T94" s="75"/>
      <c r="U94" s="75"/>
      <c r="V94" s="75"/>
      <c r="W94" s="13"/>
      <c r="X94" s="75"/>
      <c r="Y94" s="75"/>
      <c r="Z94" s="75"/>
      <c r="AA94" s="13"/>
      <c r="AB94" s="75"/>
      <c r="AC94" s="75"/>
      <c r="AD94" s="75"/>
      <c r="AE94" s="13"/>
      <c r="AF94" s="75"/>
      <c r="AG94" s="75"/>
      <c r="AH94" s="64"/>
    </row>
    <row r="95" spans="2:34" ht="13.5" customHeight="1">
      <c r="B95" s="26" t="s">
        <v>198</v>
      </c>
      <c r="C95" s="103">
        <f>(C89/C6)*365</f>
        <v>0.37819721516882321</v>
      </c>
      <c r="D95" s="103">
        <f t="shared" ref="D95:G95" si="338">D89/D6*365</f>
        <v>0.69461341306001501</v>
      </c>
      <c r="E95" s="103">
        <f t="shared" si="338"/>
        <v>0.61632895217232564</v>
      </c>
      <c r="F95" s="103">
        <f t="shared" si="338"/>
        <v>0.69270225202546609</v>
      </c>
      <c r="G95" s="103">
        <f t="shared" si="338"/>
        <v>1.5355548262381165</v>
      </c>
      <c r="H95" s="103">
        <f t="shared" ref="H95:I95" si="339">H89/H6*365</f>
        <v>0.27329376123740795</v>
      </c>
      <c r="I95" s="103">
        <f t="shared" si="339"/>
        <v>0.24323861768977836</v>
      </c>
      <c r="J95" s="103">
        <f t="shared" ref="J95" si="340">J89/J6*365</f>
        <v>0.22547982362088431</v>
      </c>
      <c r="K95" s="13"/>
      <c r="L95" s="103">
        <f>L89/L6*(365/4)</f>
        <v>0.50748392171378343</v>
      </c>
      <c r="M95" s="103">
        <f t="shared" ref="M95:V95" si="341">M89/M6*(365/4)</f>
        <v>0.78475492457543761</v>
      </c>
      <c r="N95" s="103">
        <f t="shared" si="341"/>
        <v>0.84669222859056015</v>
      </c>
      <c r="O95" s="103">
        <f t="shared" si="341"/>
        <v>0.55568231976000426</v>
      </c>
      <c r="P95" s="103">
        <f t="shared" si="341"/>
        <v>0.55032039200904637</v>
      </c>
      <c r="Q95" s="103">
        <f t="shared" si="341"/>
        <v>0.67319306518924626</v>
      </c>
      <c r="R95" s="103">
        <f t="shared" si="341"/>
        <v>1.7529834653854799</v>
      </c>
      <c r="S95" s="103">
        <f t="shared" si="341"/>
        <v>0.67272415180181433</v>
      </c>
      <c r="T95" s="103">
        <f t="shared" si="341"/>
        <v>1.8267378258077376</v>
      </c>
      <c r="U95" s="103">
        <f t="shared" si="341"/>
        <v>2.0008635868510973</v>
      </c>
      <c r="V95" s="103">
        <f t="shared" si="341"/>
        <v>1.9104184363244414</v>
      </c>
      <c r="W95" s="103">
        <f t="shared" ref="W95:Z95" si="342">W89/W6*(365/4)</f>
        <v>1.4686469500669177</v>
      </c>
      <c r="X95" s="103">
        <f t="shared" si="342"/>
        <v>1.2259060845678931</v>
      </c>
      <c r="Y95" s="103">
        <f t="shared" si="342"/>
        <v>1.3179169347488069</v>
      </c>
      <c r="Z95" s="103">
        <f t="shared" si="342"/>
        <v>0.98907033144704937</v>
      </c>
      <c r="AA95" s="103">
        <f t="shared" ref="AA95:AD95" si="343">AA89/AA6*(365/4)</f>
        <v>0.26811258022113971</v>
      </c>
      <c r="AB95" s="103">
        <f t="shared" si="343"/>
        <v>0.60356204663293644</v>
      </c>
      <c r="AC95" s="103">
        <f t="shared" si="343"/>
        <v>2.4846152175127392</v>
      </c>
      <c r="AD95" s="103">
        <f t="shared" si="343"/>
        <v>5.3611619505601311</v>
      </c>
      <c r="AE95" s="103">
        <f t="shared" ref="AE95:AG95" si="344">AE89/AE6*(365/4)</f>
        <v>0.23282650800830404</v>
      </c>
      <c r="AF95" s="103">
        <f t="shared" si="344"/>
        <v>0.21643882414371576</v>
      </c>
      <c r="AG95" s="103">
        <f t="shared" si="344"/>
        <v>0.21513761219268959</v>
      </c>
      <c r="AH95" s="64"/>
    </row>
    <row r="96" spans="2:34" ht="13.5" customHeight="1">
      <c r="B96" s="26" t="s">
        <v>199</v>
      </c>
      <c r="C96" s="103">
        <f>(C90/C6)*365</f>
        <v>33.182136529642399</v>
      </c>
      <c r="D96" s="103">
        <f t="shared" ref="D96:G96" si="345">(D90/D6)*365</f>
        <v>34.671657535735207</v>
      </c>
      <c r="E96" s="103">
        <f t="shared" si="345"/>
        <v>34.057853314082777</v>
      </c>
      <c r="F96" s="103">
        <f t="shared" si="345"/>
        <v>32.146467351522354</v>
      </c>
      <c r="G96" s="103">
        <f t="shared" si="345"/>
        <v>29.925877104401394</v>
      </c>
      <c r="H96" s="103">
        <f t="shared" ref="H96:I96" si="346">(H90/H6)*365</f>
        <v>27.932300518049637</v>
      </c>
      <c r="I96" s="103">
        <f t="shared" si="346"/>
        <v>26.647343382955423</v>
      </c>
      <c r="J96" s="103">
        <f t="shared" ref="J96" si="347">(J90/J6)*365</f>
        <v>26.598844020932592</v>
      </c>
      <c r="K96" s="13"/>
      <c r="L96" s="103">
        <f>(L90/L6)*(365/4)</f>
        <v>36.198549484106785</v>
      </c>
      <c r="M96" s="103">
        <f t="shared" ref="M96:V96" si="348">(M90/M6)*(365/4)</f>
        <v>32.07646039884056</v>
      </c>
      <c r="N96" s="103">
        <f t="shared" si="348"/>
        <v>30.329621274323021</v>
      </c>
      <c r="O96" s="103">
        <f t="shared" si="348"/>
        <v>30.706568089833844</v>
      </c>
      <c r="P96" s="103">
        <f t="shared" si="348"/>
        <v>34.850927178259163</v>
      </c>
      <c r="Q96" s="103">
        <f t="shared" si="348"/>
        <v>35.324816106003951</v>
      </c>
      <c r="R96" s="103">
        <f t="shared" si="348"/>
        <v>34.506534122836591</v>
      </c>
      <c r="S96" s="103">
        <f t="shared" si="348"/>
        <v>31.219336907370931</v>
      </c>
      <c r="T96" s="103">
        <f t="shared" si="348"/>
        <v>35.547294254858969</v>
      </c>
      <c r="U96" s="103">
        <f t="shared" si="348"/>
        <v>33.662708715698997</v>
      </c>
      <c r="V96" s="103">
        <f t="shared" si="348"/>
        <v>29.204715795935556</v>
      </c>
      <c r="W96" s="103">
        <f t="shared" ref="W96:Z96" si="349">(W90/W6)*(365/4)</f>
        <v>28.621933509941083</v>
      </c>
      <c r="X96" s="103">
        <f t="shared" si="349"/>
        <v>27.626995186217382</v>
      </c>
      <c r="Y96" s="103">
        <f t="shared" si="349"/>
        <v>28.23705833467374</v>
      </c>
      <c r="Z96" s="103">
        <f t="shared" si="349"/>
        <v>27.929434114793857</v>
      </c>
      <c r="AA96" s="103">
        <f t="shared" ref="AA96:AD96" si="350">(AA90/AA6)*(365/4)</f>
        <v>27.402752003917627</v>
      </c>
      <c r="AB96" s="103">
        <f t="shared" si="350"/>
        <v>29.984733638033617</v>
      </c>
      <c r="AC96" s="103">
        <f t="shared" si="350"/>
        <v>29.592237318222164</v>
      </c>
      <c r="AD96" s="103">
        <f t="shared" si="350"/>
        <v>25.834873469583055</v>
      </c>
      <c r="AE96" s="103">
        <f t="shared" ref="AE96:AG96" si="351">(AE90/AE6)*(365/4)</f>
        <v>25.506673103464273</v>
      </c>
      <c r="AF96" s="103">
        <f t="shared" si="351"/>
        <v>24.994882569908125</v>
      </c>
      <c r="AG96" s="103">
        <f t="shared" si="351"/>
        <v>25.378819700385897</v>
      </c>
      <c r="AH96" s="64"/>
    </row>
    <row r="97" spans="2:34" ht="13.5" customHeight="1">
      <c r="B97" s="26" t="s">
        <v>200</v>
      </c>
      <c r="C97" s="103">
        <f>(-C91/C8)*365</f>
        <v>157.78064066035856</v>
      </c>
      <c r="D97" s="103">
        <f t="shared" ref="D97:G97" si="352">(-D91/D8)*365</f>
        <v>140.41004786513855</v>
      </c>
      <c r="E97" s="198">
        <f t="shared" si="352"/>
        <v>131.73410559931216</v>
      </c>
      <c r="F97" s="103">
        <f t="shared" si="352"/>
        <v>127.17968386944814</v>
      </c>
      <c r="G97" s="103">
        <f t="shared" si="352"/>
        <v>106.77145146070688</v>
      </c>
      <c r="H97" s="103">
        <f t="shared" ref="H97:I97" si="353">(-H91/H8)*365</f>
        <v>116.63602464024108</v>
      </c>
      <c r="I97" s="103">
        <f t="shared" si="353"/>
        <v>139.31944529293176</v>
      </c>
      <c r="J97" s="103">
        <f t="shared" ref="J97" si="354">(-J91/J8)*365</f>
        <v>149.23605323675193</v>
      </c>
      <c r="K97" s="13"/>
      <c r="L97" s="103">
        <f>(-L91/L8)*(365/4)</f>
        <v>145.57471368348683</v>
      </c>
      <c r="M97" s="103">
        <f t="shared" ref="M97:V97" si="355">(-M91/M8)*(365/4)</f>
        <v>127.88434566179689</v>
      </c>
      <c r="N97" s="103">
        <f t="shared" si="355"/>
        <v>115.39941860465117</v>
      </c>
      <c r="O97" s="103">
        <f t="shared" si="355"/>
        <v>114.72746296197252</v>
      </c>
      <c r="P97" s="103">
        <f t="shared" si="355"/>
        <v>128.86733156272362</v>
      </c>
      <c r="Q97" s="103">
        <f t="shared" si="355"/>
        <v>119.96727428026591</v>
      </c>
      <c r="R97" s="103">
        <f t="shared" si="355"/>
        <v>114.38540083646275</v>
      </c>
      <c r="S97" s="103">
        <f t="shared" si="355"/>
        <v>115.65383635711061</v>
      </c>
      <c r="T97" s="103">
        <f t="shared" si="355"/>
        <v>130.95807237521845</v>
      </c>
      <c r="U97" s="103">
        <f t="shared" si="355"/>
        <v>125.93523113684405</v>
      </c>
      <c r="V97" s="103">
        <f t="shared" si="355"/>
        <v>116.57593457943925</v>
      </c>
      <c r="W97" s="103">
        <f t="shared" ref="W97:Z97" si="356">(-W91/W8)*(365/4)</f>
        <v>101.4021826733388</v>
      </c>
      <c r="X97" s="103">
        <f t="shared" si="356"/>
        <v>114.13165920981859</v>
      </c>
      <c r="Y97" s="103">
        <f t="shared" si="356"/>
        <v>116.5577627347897</v>
      </c>
      <c r="Z97" s="103">
        <f t="shared" si="356"/>
        <v>130.76222439886303</v>
      </c>
      <c r="AA97" s="103">
        <f t="shared" ref="AA97:AD97" si="357">(-AA91/AA8)*(365/4)</f>
        <v>118.65603101813684</v>
      </c>
      <c r="AB97" s="103">
        <f t="shared" si="357"/>
        <v>135.7571630680541</v>
      </c>
      <c r="AC97" s="103">
        <f t="shared" si="357"/>
        <v>147.06119885139984</v>
      </c>
      <c r="AD97" s="103">
        <f t="shared" si="357"/>
        <v>166.12239201173992</v>
      </c>
      <c r="AE97" s="103">
        <f t="shared" ref="AE97:AG97" si="358">(-AE91/AE8)*(365/4)</f>
        <v>132.4376169109826</v>
      </c>
      <c r="AF97" s="103">
        <f t="shared" si="358"/>
        <v>143.98244665467942</v>
      </c>
      <c r="AG97" s="103">
        <f t="shared" si="358"/>
        <v>149.8058427998138</v>
      </c>
      <c r="AH97" s="64"/>
    </row>
    <row r="98" spans="2:34" ht="13.5" customHeight="1">
      <c r="C98" s="79"/>
      <c r="D98" s="79"/>
      <c r="E98" s="79"/>
      <c r="F98" s="79"/>
      <c r="G98" s="79"/>
      <c r="H98" s="79"/>
      <c r="I98" s="79"/>
      <c r="J98" s="13"/>
      <c r="K98" s="13"/>
      <c r="L98" s="75"/>
      <c r="M98" s="75"/>
      <c r="N98" s="75"/>
      <c r="O98" s="13"/>
      <c r="P98" s="75"/>
      <c r="Q98" s="75"/>
      <c r="R98" s="75"/>
      <c r="S98" s="13"/>
      <c r="T98" s="75"/>
      <c r="U98" s="75"/>
      <c r="V98" s="75"/>
      <c r="W98" s="13"/>
      <c r="X98" s="75"/>
      <c r="Y98" s="75"/>
      <c r="Z98" s="75"/>
      <c r="AA98" s="13"/>
      <c r="AB98" s="75"/>
      <c r="AC98" s="75"/>
      <c r="AD98" s="75"/>
      <c r="AE98" s="13"/>
      <c r="AF98" s="75"/>
      <c r="AG98" s="75"/>
      <c r="AH98" s="64"/>
    </row>
    <row r="99" spans="2:34" ht="13.5" customHeight="1">
      <c r="B99" s="7" t="s">
        <v>201</v>
      </c>
      <c r="C99" s="79"/>
      <c r="D99" s="79"/>
      <c r="E99" s="79"/>
      <c r="F99" s="79"/>
      <c r="G99" s="79"/>
      <c r="H99" s="79"/>
      <c r="I99" s="79"/>
      <c r="J99" s="13"/>
      <c r="K99" s="13"/>
      <c r="L99" s="75"/>
      <c r="M99" s="75"/>
      <c r="N99" s="75"/>
      <c r="O99" s="13"/>
      <c r="P99" s="75"/>
      <c r="Q99" s="75"/>
      <c r="R99" s="75"/>
      <c r="S99" s="13"/>
      <c r="T99" s="75"/>
      <c r="U99" s="75"/>
      <c r="V99" s="75"/>
      <c r="W99" s="13"/>
      <c r="X99" s="75"/>
      <c r="Y99" s="75"/>
      <c r="Z99" s="75"/>
      <c r="AA99" s="13"/>
      <c r="AB99" s="75"/>
      <c r="AC99" s="75"/>
      <c r="AD99" s="75"/>
      <c r="AE99" s="13"/>
      <c r="AF99" s="75"/>
      <c r="AG99" s="75"/>
      <c r="AH99" s="64"/>
    </row>
    <row r="100" spans="2:34" ht="13.5" customHeight="1">
      <c r="B100" s="12" t="s">
        <v>202</v>
      </c>
      <c r="C100" s="75">
        <f>26834</f>
        <v>26834</v>
      </c>
      <c r="D100" s="75">
        <f>22695</f>
        <v>22695</v>
      </c>
      <c r="E100" s="75">
        <f>14242</f>
        <v>14242</v>
      </c>
      <c r="F100" s="75">
        <v>19003</v>
      </c>
      <c r="G100" s="75">
        <f>11580+10446</f>
        <v>22026</v>
      </c>
      <c r="H100" s="75">
        <f>41537+14161</f>
        <v>55698</v>
      </c>
      <c r="I100" s="75">
        <f>52885+8623</f>
        <v>61508</v>
      </c>
      <c r="J100" s="13">
        <f>AG100</f>
        <v>71511</v>
      </c>
      <c r="K100" s="13"/>
      <c r="L100" s="75">
        <v>16441</v>
      </c>
      <c r="M100" s="75">
        <v>15101</v>
      </c>
      <c r="N100" s="75">
        <v>14117</v>
      </c>
      <c r="O100" s="13">
        <f>E100</f>
        <v>14242</v>
      </c>
      <c r="P100" s="75">
        <v>12818</v>
      </c>
      <c r="Q100" s="75">
        <v>14686</v>
      </c>
      <c r="R100" s="75">
        <v>26276</v>
      </c>
      <c r="S100" s="13">
        <f>F100</f>
        <v>19003</v>
      </c>
      <c r="T100" s="75">
        <f>21656+9515</f>
        <v>31171</v>
      </c>
      <c r="U100" s="75">
        <f>10062+20473</f>
        <v>30535</v>
      </c>
      <c r="V100" s="75">
        <f>9694+10646</f>
        <v>20340</v>
      </c>
      <c r="W100" s="13">
        <f>G100</f>
        <v>22026</v>
      </c>
      <c r="X100" s="75">
        <f>25921</f>
        <v>25921</v>
      </c>
      <c r="Y100" s="75">
        <f>45754+14442</f>
        <v>60196</v>
      </c>
      <c r="Z100" s="75">
        <f>46158+14353</f>
        <v>60511</v>
      </c>
      <c r="AA100" s="13">
        <f>H100</f>
        <v>55698</v>
      </c>
      <c r="AB100" s="75">
        <f>48006+20569</f>
        <v>68575</v>
      </c>
      <c r="AC100" s="75">
        <f>52462+6410</f>
        <v>58872</v>
      </c>
      <c r="AD100" s="75">
        <f>42767+8403</f>
        <v>51170</v>
      </c>
      <c r="AE100" s="13">
        <f>I100</f>
        <v>61508</v>
      </c>
      <c r="AF100" s="75">
        <f>44151+9326</f>
        <v>53477</v>
      </c>
      <c r="AG100" s="75">
        <f>58631+12880</f>
        <v>71511</v>
      </c>
      <c r="AH100" s="64"/>
    </row>
    <row r="101" spans="2:34" ht="13.5" customHeight="1">
      <c r="B101" s="12" t="s">
        <v>203</v>
      </c>
      <c r="C101" s="75">
        <f>87437+51298</f>
        <v>138735</v>
      </c>
      <c r="D101" s="75">
        <f>104257+83327</f>
        <v>187584</v>
      </c>
      <c r="E101" s="75">
        <f>112145+122057</f>
        <v>234202</v>
      </c>
      <c r="F101" s="75">
        <f>136936+145590</f>
        <v>282526</v>
      </c>
      <c r="G101" s="75">
        <f>163668+148669</f>
        <v>312337</v>
      </c>
      <c r="H101" s="75">
        <f>155819+137101</f>
        <v>292920</v>
      </c>
      <c r="I101" s="75">
        <f>146521+130586</f>
        <v>277107</v>
      </c>
      <c r="J101" s="13">
        <f>AG101</f>
        <v>322304</v>
      </c>
      <c r="K101" s="13"/>
      <c r="L101" s="75">
        <f>124125+84640</f>
        <v>208765</v>
      </c>
      <c r="M101" s="75">
        <f>131988+126785</f>
        <v>258773</v>
      </c>
      <c r="N101" s="75">
        <f>118037+127375</f>
        <v>245412</v>
      </c>
      <c r="O101" s="13">
        <f>E101</f>
        <v>234202</v>
      </c>
      <c r="P101" s="75">
        <f>117477+122942</f>
        <v>240419</v>
      </c>
      <c r="Q101" s="75">
        <f>114007+147481</f>
        <v>261488</v>
      </c>
      <c r="R101" s="75">
        <f>141275+148077</f>
        <v>289352</v>
      </c>
      <c r="S101" s="13">
        <f>F101</f>
        <v>282526</v>
      </c>
      <c r="T101" s="75">
        <f>148467+135465</f>
        <v>283932</v>
      </c>
      <c r="U101" s="75">
        <f>162577+143232</f>
        <v>305809</v>
      </c>
      <c r="V101" s="75">
        <f>171009+151535</f>
        <v>322544</v>
      </c>
      <c r="W101" s="13">
        <f>G101</f>
        <v>312337</v>
      </c>
      <c r="X101" s="75">
        <f>166408+146704</f>
        <v>313112</v>
      </c>
      <c r="Y101" s="75">
        <f>154079+139840</f>
        <v>293919</v>
      </c>
      <c r="Z101" s="75">
        <f>151544+138965</f>
        <v>290509</v>
      </c>
      <c r="AA101" s="13">
        <f>H101</f>
        <v>292920</v>
      </c>
      <c r="AB101" s="75">
        <f>153185+130974</f>
        <v>284159</v>
      </c>
      <c r="AC101" s="75">
        <f>152946+131575</f>
        <v>284521</v>
      </c>
      <c r="AD101" s="75">
        <f>127285+151600</f>
        <v>278885</v>
      </c>
      <c r="AE101" s="13">
        <f>I101</f>
        <v>277107</v>
      </c>
      <c r="AF101" s="75">
        <f>209079+123240</f>
        <v>332319</v>
      </c>
      <c r="AG101" s="75">
        <f>202966+119338</f>
        <v>322304</v>
      </c>
      <c r="AH101" s="64"/>
    </row>
    <row r="102" spans="2:34" ht="13.5" customHeight="1">
      <c r="B102" s="7" t="s">
        <v>204</v>
      </c>
      <c r="C102" s="64">
        <f t="shared" ref="C102" si="359">SUM(C100:C101)</f>
        <v>165569</v>
      </c>
      <c r="D102" s="64">
        <f t="shared" ref="D102" si="360">SUM(D100:D101)</f>
        <v>210279</v>
      </c>
      <c r="E102" s="64">
        <f t="shared" ref="E102:F102" si="361">SUM(E100:E101)</f>
        <v>248444</v>
      </c>
      <c r="F102" s="64">
        <f t="shared" si="361"/>
        <v>301529</v>
      </c>
      <c r="G102" s="64">
        <f t="shared" ref="G102:H102" si="362">SUM(G100:G101)</f>
        <v>334363</v>
      </c>
      <c r="H102" s="64">
        <f t="shared" si="362"/>
        <v>348618</v>
      </c>
      <c r="I102" s="64">
        <f t="shared" ref="I102" si="363">SUM(I100:I101)</f>
        <v>338615</v>
      </c>
      <c r="J102" s="64">
        <f>SUM(J100:J101)</f>
        <v>393815</v>
      </c>
      <c r="K102" s="64"/>
      <c r="L102" s="64">
        <f t="shared" ref="L102" si="364">SUM(L100:L101)</f>
        <v>225206</v>
      </c>
      <c r="M102" s="64">
        <f t="shared" ref="M102:Q102" si="365">SUM(M100:M101)</f>
        <v>273874</v>
      </c>
      <c r="N102" s="64">
        <f t="shared" si="365"/>
        <v>259529</v>
      </c>
      <c r="O102" s="64">
        <f t="shared" si="365"/>
        <v>248444</v>
      </c>
      <c r="P102" s="64">
        <f t="shared" si="365"/>
        <v>253237</v>
      </c>
      <c r="Q102" s="64">
        <f t="shared" si="365"/>
        <v>276174</v>
      </c>
      <c r="R102" s="64">
        <f t="shared" ref="R102:U102" si="366">SUM(R100:R101)</f>
        <v>315628</v>
      </c>
      <c r="S102" s="64">
        <f t="shared" si="366"/>
        <v>301529</v>
      </c>
      <c r="T102" s="64">
        <f t="shared" si="366"/>
        <v>315103</v>
      </c>
      <c r="U102" s="64">
        <f t="shared" si="366"/>
        <v>336344</v>
      </c>
      <c r="V102" s="64">
        <f t="shared" ref="V102:Y102" si="367">SUM(V100:V101)</f>
        <v>342884</v>
      </c>
      <c r="W102" s="64">
        <f t="shared" si="367"/>
        <v>334363</v>
      </c>
      <c r="X102" s="64">
        <f t="shared" si="367"/>
        <v>339033</v>
      </c>
      <c r="Y102" s="64">
        <f t="shared" si="367"/>
        <v>354115</v>
      </c>
      <c r="Z102" s="64">
        <f t="shared" ref="Z102:AC102" si="368">SUM(Z100:Z101)</f>
        <v>351020</v>
      </c>
      <c r="AA102" s="64">
        <f t="shared" si="368"/>
        <v>348618</v>
      </c>
      <c r="AB102" s="64">
        <f t="shared" si="368"/>
        <v>352734</v>
      </c>
      <c r="AC102" s="64">
        <f t="shared" si="368"/>
        <v>343393</v>
      </c>
      <c r="AD102" s="64">
        <f t="shared" ref="AD102:AG102" si="369">SUM(AD100:AD101)</f>
        <v>330055</v>
      </c>
      <c r="AE102" s="64">
        <f t="shared" si="369"/>
        <v>338615</v>
      </c>
      <c r="AF102" s="64">
        <f t="shared" si="369"/>
        <v>385796</v>
      </c>
      <c r="AG102" s="64">
        <f t="shared" si="369"/>
        <v>393815</v>
      </c>
      <c r="AH102" s="64"/>
    </row>
    <row r="103" spans="2:34" ht="13.5" customHeight="1">
      <c r="C103" s="75"/>
      <c r="D103" s="75"/>
      <c r="E103" s="75"/>
      <c r="F103" s="75"/>
      <c r="G103" s="75"/>
      <c r="H103" s="75"/>
      <c r="I103" s="75"/>
      <c r="J103" s="13"/>
      <c r="K103" s="13"/>
      <c r="L103" s="75"/>
      <c r="M103" s="75"/>
      <c r="N103" s="75"/>
      <c r="O103" s="13"/>
      <c r="P103" s="75"/>
      <c r="Q103" s="75"/>
      <c r="R103" s="75"/>
      <c r="S103" s="13"/>
      <c r="T103" s="75"/>
      <c r="U103" s="75"/>
      <c r="V103" s="75"/>
      <c r="W103" s="13"/>
      <c r="X103" s="75"/>
      <c r="Y103" s="75"/>
      <c r="Z103" s="75"/>
      <c r="AA103" s="13"/>
      <c r="AB103" s="75"/>
      <c r="AC103" s="75"/>
      <c r="AD103" s="75"/>
      <c r="AE103" s="13"/>
      <c r="AF103" s="75"/>
      <c r="AG103" s="75"/>
      <c r="AH103" s="64"/>
    </row>
    <row r="104" spans="2:34" ht="13.5" customHeight="1">
      <c r="B104" s="7" t="s">
        <v>205</v>
      </c>
      <c r="C104" s="75"/>
      <c r="D104" s="75"/>
      <c r="E104" s="75"/>
      <c r="F104" s="75"/>
      <c r="G104" s="75"/>
      <c r="H104" s="75"/>
      <c r="I104" s="75"/>
      <c r="J104" s="13"/>
      <c r="K104" s="13"/>
      <c r="L104" s="75"/>
      <c r="M104" s="75"/>
      <c r="N104" s="75"/>
      <c r="O104" s="13"/>
      <c r="P104" s="75"/>
      <c r="Q104" s="75"/>
      <c r="R104" s="75"/>
      <c r="S104" s="13"/>
      <c r="T104" s="75"/>
      <c r="U104" s="75"/>
      <c r="V104" s="75"/>
      <c r="W104" s="13"/>
      <c r="X104" s="75"/>
      <c r="Y104" s="75"/>
      <c r="Z104" s="75"/>
      <c r="AA104" s="13"/>
      <c r="AB104" s="75"/>
      <c r="AC104" s="75"/>
      <c r="AD104" s="75"/>
      <c r="AE104" s="13"/>
      <c r="AF104" s="75"/>
      <c r="AG104" s="75"/>
      <c r="AH104" s="64"/>
    </row>
    <row r="105" spans="2:34" ht="13.5" customHeight="1">
      <c r="B105" s="12" t="s">
        <v>206</v>
      </c>
      <c r="C105" s="75">
        <f>0</f>
        <v>0</v>
      </c>
      <c r="D105" s="75">
        <f>3279</f>
        <v>3279</v>
      </c>
      <c r="E105" s="75">
        <f>3822</f>
        <v>3822</v>
      </c>
      <c r="F105" s="75">
        <v>5446</v>
      </c>
      <c r="G105" s="75">
        <v>6354</v>
      </c>
      <c r="H105" s="75">
        <v>6154</v>
      </c>
      <c r="I105" s="75">
        <v>5600</v>
      </c>
      <c r="J105" s="13">
        <f>AG105</f>
        <v>5343</v>
      </c>
      <c r="K105" s="13"/>
      <c r="L105" s="75">
        <v>3383</v>
      </c>
      <c r="M105" s="75">
        <v>3474</v>
      </c>
      <c r="N105" s="75">
        <v>3454</v>
      </c>
      <c r="O105" s="13">
        <f>E105</f>
        <v>3822</v>
      </c>
      <c r="P105" s="75">
        <v>3891</v>
      </c>
      <c r="Q105" s="75">
        <v>4013</v>
      </c>
      <c r="R105" s="75">
        <v>4315</v>
      </c>
      <c r="S105" s="13">
        <f>F105</f>
        <v>5446</v>
      </c>
      <c r="T105" s="75">
        <v>5927</v>
      </c>
      <c r="U105" s="75">
        <v>6086</v>
      </c>
      <c r="V105" s="75">
        <v>6207</v>
      </c>
      <c r="W105" s="13">
        <f>G105</f>
        <v>6354</v>
      </c>
      <c r="X105" s="75">
        <v>6127</v>
      </c>
      <c r="Y105" s="75">
        <v>6010</v>
      </c>
      <c r="Z105" s="75">
        <v>5711</v>
      </c>
      <c r="AA105" s="13">
        <f>H105</f>
        <v>6154</v>
      </c>
      <c r="AB105" s="75">
        <v>6036</v>
      </c>
      <c r="AC105" s="75">
        <v>5999</v>
      </c>
      <c r="AD105" s="75">
        <v>5583</v>
      </c>
      <c r="AE105" s="13">
        <f>I105</f>
        <v>5600</v>
      </c>
      <c r="AF105" s="75">
        <v>5442</v>
      </c>
      <c r="AG105" s="75">
        <v>5343</v>
      </c>
      <c r="AH105" s="64"/>
    </row>
    <row r="106" spans="2:34" ht="13.5" customHeight="1">
      <c r="B106" s="12" t="s">
        <v>207</v>
      </c>
      <c r="C106" s="75">
        <v>0</v>
      </c>
      <c r="D106" s="75">
        <v>8428</v>
      </c>
      <c r="E106" s="75">
        <v>10198</v>
      </c>
      <c r="F106" s="75">
        <v>16501</v>
      </c>
      <c r="G106" s="75">
        <v>18424</v>
      </c>
      <c r="H106" s="75">
        <v>16468</v>
      </c>
      <c r="I106" s="75">
        <v>13897</v>
      </c>
      <c r="J106" s="13">
        <f>AG106</f>
        <v>13328</v>
      </c>
      <c r="K106" s="13"/>
      <c r="L106" s="75">
        <v>8274</v>
      </c>
      <c r="M106" s="75">
        <v>8143</v>
      </c>
      <c r="N106" s="75">
        <v>8105</v>
      </c>
      <c r="O106" s="13">
        <f>E106</f>
        <v>10198</v>
      </c>
      <c r="P106" s="75">
        <v>10145</v>
      </c>
      <c r="Q106" s="75">
        <v>10962</v>
      </c>
      <c r="R106" s="75">
        <v>11850</v>
      </c>
      <c r="S106" s="13">
        <f>F106</f>
        <v>16501</v>
      </c>
      <c r="T106" s="75">
        <v>17981</v>
      </c>
      <c r="U106" s="75">
        <v>18372</v>
      </c>
      <c r="V106" s="75">
        <v>18082</v>
      </c>
      <c r="W106" s="13">
        <f>G106</f>
        <v>18424</v>
      </c>
      <c r="X106" s="75">
        <v>16926</v>
      </c>
      <c r="Y106" s="75">
        <v>17452</v>
      </c>
      <c r="Z106" s="75">
        <v>16198</v>
      </c>
      <c r="AA106" s="13">
        <f>H106</f>
        <v>16468</v>
      </c>
      <c r="AB106" s="75">
        <v>15238</v>
      </c>
      <c r="AC106" s="75">
        <v>14979</v>
      </c>
      <c r="AD106" s="75">
        <v>14023</v>
      </c>
      <c r="AE106" s="13">
        <f>I106</f>
        <v>13897</v>
      </c>
      <c r="AF106" s="75">
        <v>13405</v>
      </c>
      <c r="AG106" s="75">
        <v>13328</v>
      </c>
      <c r="AH106" s="64"/>
    </row>
    <row r="107" spans="2:34" ht="13.5" customHeight="1">
      <c r="B107" s="7" t="s">
        <v>208</v>
      </c>
      <c r="C107" s="64">
        <f t="shared" ref="C107" si="370">SUM(C105:C106)</f>
        <v>0</v>
      </c>
      <c r="D107" s="64">
        <f t="shared" ref="D107" si="371">SUM(D105:D106)</f>
        <v>11707</v>
      </c>
      <c r="E107" s="64">
        <f t="shared" ref="E107:F107" si="372">SUM(E105:E106)</f>
        <v>14020</v>
      </c>
      <c r="F107" s="64">
        <f t="shared" si="372"/>
        <v>21947</v>
      </c>
      <c r="G107" s="64">
        <f t="shared" ref="G107:H107" si="373">SUM(G105:G106)</f>
        <v>24778</v>
      </c>
      <c r="H107" s="64">
        <f t="shared" si="373"/>
        <v>22622</v>
      </c>
      <c r="I107" s="64">
        <f t="shared" ref="I107" si="374">SUM(I105:I106)</f>
        <v>19497</v>
      </c>
      <c r="J107" s="64">
        <f>SUM(J105:J106)</f>
        <v>18671</v>
      </c>
      <c r="K107" s="64"/>
      <c r="L107" s="64">
        <f t="shared" ref="L107" si="375">SUM(L105:L106)</f>
        <v>11657</v>
      </c>
      <c r="M107" s="64">
        <f t="shared" ref="M107:Q107" si="376">SUM(M105:M106)</f>
        <v>11617</v>
      </c>
      <c r="N107" s="64">
        <f t="shared" si="376"/>
        <v>11559</v>
      </c>
      <c r="O107" s="64">
        <f t="shared" si="376"/>
        <v>14020</v>
      </c>
      <c r="P107" s="64">
        <f t="shared" si="376"/>
        <v>14036</v>
      </c>
      <c r="Q107" s="64">
        <f t="shared" si="376"/>
        <v>14975</v>
      </c>
      <c r="R107" s="64">
        <f t="shared" ref="R107:U107" si="377">SUM(R105:R106)</f>
        <v>16165</v>
      </c>
      <c r="S107" s="64">
        <f t="shared" si="377"/>
        <v>21947</v>
      </c>
      <c r="T107" s="64">
        <f t="shared" si="377"/>
        <v>23908</v>
      </c>
      <c r="U107" s="64">
        <f t="shared" si="377"/>
        <v>24458</v>
      </c>
      <c r="V107" s="64">
        <f t="shared" ref="V107:Y107" si="378">SUM(V105:V106)</f>
        <v>24289</v>
      </c>
      <c r="W107" s="64">
        <f t="shared" si="378"/>
        <v>24778</v>
      </c>
      <c r="X107" s="64">
        <f t="shared" si="378"/>
        <v>23053</v>
      </c>
      <c r="Y107" s="64">
        <f t="shared" si="378"/>
        <v>23462</v>
      </c>
      <c r="Z107" s="64">
        <f t="shared" ref="Z107:AC107" si="379">SUM(Z105:Z106)</f>
        <v>21909</v>
      </c>
      <c r="AA107" s="64">
        <f t="shared" si="379"/>
        <v>22622</v>
      </c>
      <c r="AB107" s="64">
        <f t="shared" si="379"/>
        <v>21274</v>
      </c>
      <c r="AC107" s="64">
        <f t="shared" si="379"/>
        <v>20978</v>
      </c>
      <c r="AD107" s="64">
        <f t="shared" ref="AD107:AG107" si="380">SUM(AD105:AD106)</f>
        <v>19606</v>
      </c>
      <c r="AE107" s="64">
        <f t="shared" si="380"/>
        <v>19497</v>
      </c>
      <c r="AF107" s="64">
        <f t="shared" si="380"/>
        <v>18847</v>
      </c>
      <c r="AG107" s="64">
        <f t="shared" si="380"/>
        <v>18671</v>
      </c>
      <c r="AH107" s="64"/>
    </row>
    <row r="108" spans="2:34" ht="13.5" customHeight="1">
      <c r="B108" s="33"/>
      <c r="C108" s="75"/>
      <c r="D108" s="75"/>
      <c r="E108" s="75"/>
      <c r="F108" s="75"/>
      <c r="G108" s="75"/>
      <c r="H108" s="75"/>
      <c r="I108" s="75"/>
      <c r="J108" s="13"/>
      <c r="K108" s="13"/>
      <c r="L108" s="75"/>
      <c r="M108" s="75"/>
      <c r="N108" s="75"/>
      <c r="O108" s="13"/>
      <c r="P108" s="75"/>
      <c r="Q108" s="75"/>
      <c r="R108" s="75"/>
      <c r="S108" s="13"/>
      <c r="T108" s="75"/>
      <c r="U108" s="75"/>
      <c r="V108" s="75"/>
      <c r="W108" s="13"/>
      <c r="X108" s="75"/>
      <c r="Y108" s="75"/>
      <c r="Z108" s="75"/>
      <c r="AA108" s="13"/>
      <c r="AB108" s="75"/>
      <c r="AC108" s="75"/>
      <c r="AD108" s="75"/>
      <c r="AE108" s="13"/>
      <c r="AF108" s="75"/>
      <c r="AG108" s="75"/>
      <c r="AH108" s="64"/>
    </row>
    <row r="109" spans="2:34" ht="13.5" customHeight="1">
      <c r="B109" s="7" t="s">
        <v>209</v>
      </c>
      <c r="C109" s="75"/>
      <c r="D109" s="75"/>
      <c r="E109" s="75"/>
      <c r="F109" s="75"/>
      <c r="G109" s="75"/>
      <c r="H109" s="75"/>
      <c r="I109" s="75"/>
      <c r="J109" s="13"/>
      <c r="K109" s="13"/>
      <c r="L109" s="75"/>
      <c r="M109" s="75"/>
      <c r="N109" s="75"/>
      <c r="O109" s="13"/>
      <c r="P109" s="75"/>
      <c r="Q109" s="75"/>
      <c r="R109" s="75"/>
      <c r="S109" s="13"/>
      <c r="T109" s="75"/>
      <c r="U109" s="75"/>
      <c r="V109" s="75"/>
      <c r="W109" s="13"/>
      <c r="X109" s="75"/>
      <c r="Y109" s="75"/>
      <c r="Z109" s="75"/>
      <c r="AA109" s="13"/>
      <c r="AB109" s="75"/>
      <c r="AC109" s="75"/>
      <c r="AD109" s="75"/>
      <c r="AE109" s="13"/>
      <c r="AF109" s="75"/>
      <c r="AG109" s="75"/>
      <c r="AH109" s="64"/>
    </row>
    <row r="110" spans="2:34" ht="13.5" customHeight="1">
      <c r="B110" s="12" t="s">
        <v>202</v>
      </c>
      <c r="C110" s="13">
        <f t="shared" ref="C110:E111" si="381">C100+C105</f>
        <v>26834</v>
      </c>
      <c r="D110" s="13">
        <f t="shared" si="381"/>
        <v>25974</v>
      </c>
      <c r="E110" s="13">
        <f t="shared" si="381"/>
        <v>18064</v>
      </c>
      <c r="F110" s="13">
        <f t="shared" ref="F110" si="382">F100+F105</f>
        <v>24449</v>
      </c>
      <c r="G110" s="13">
        <f t="shared" ref="G110:H110" si="383">G100+G105</f>
        <v>28380</v>
      </c>
      <c r="H110" s="13">
        <f t="shared" si="383"/>
        <v>61852</v>
      </c>
      <c r="I110" s="13">
        <f t="shared" ref="I110" si="384">I100+I105</f>
        <v>67108</v>
      </c>
      <c r="J110" s="13">
        <f>AG110</f>
        <v>76854</v>
      </c>
      <c r="K110" s="13"/>
      <c r="L110" s="13">
        <f t="shared" ref="L110:N111" si="385">L100+L105</f>
        <v>19824</v>
      </c>
      <c r="M110" s="13">
        <f t="shared" si="385"/>
        <v>18575</v>
      </c>
      <c r="N110" s="13">
        <f t="shared" si="385"/>
        <v>17571</v>
      </c>
      <c r="O110" s="13">
        <f t="shared" ref="O110" si="386">O100+O105</f>
        <v>18064</v>
      </c>
      <c r="P110" s="13">
        <f t="shared" ref="P110:S111" si="387">P100+P105</f>
        <v>16709</v>
      </c>
      <c r="Q110" s="13">
        <f t="shared" si="387"/>
        <v>18699</v>
      </c>
      <c r="R110" s="13">
        <f t="shared" si="387"/>
        <v>30591</v>
      </c>
      <c r="S110" s="13">
        <f t="shared" si="387"/>
        <v>24449</v>
      </c>
      <c r="T110" s="13">
        <f t="shared" ref="T110:W110" si="388">T100+T105</f>
        <v>37098</v>
      </c>
      <c r="U110" s="13">
        <f t="shared" si="388"/>
        <v>36621</v>
      </c>
      <c r="V110" s="13">
        <f t="shared" si="388"/>
        <v>26547</v>
      </c>
      <c r="W110" s="13">
        <f t="shared" si="388"/>
        <v>28380</v>
      </c>
      <c r="X110" s="13">
        <f t="shared" ref="X110:AA110" si="389">X100+X105</f>
        <v>32048</v>
      </c>
      <c r="Y110" s="13">
        <f t="shared" si="389"/>
        <v>66206</v>
      </c>
      <c r="Z110" s="13">
        <f t="shared" si="389"/>
        <v>66222</v>
      </c>
      <c r="AA110" s="13">
        <f t="shared" si="389"/>
        <v>61852</v>
      </c>
      <c r="AB110" s="13">
        <f t="shared" ref="AB110:AD110" si="390">AB100+AB105</f>
        <v>74611</v>
      </c>
      <c r="AC110" s="13">
        <f t="shared" si="390"/>
        <v>64871</v>
      </c>
      <c r="AD110" s="13">
        <f t="shared" si="390"/>
        <v>56753</v>
      </c>
      <c r="AE110" s="13">
        <f>AE100+AE105</f>
        <v>67108</v>
      </c>
      <c r="AF110" s="13">
        <f t="shared" ref="AF110:AG111" si="391">AF100+AF105</f>
        <v>58919</v>
      </c>
      <c r="AG110" s="13">
        <f t="shared" si="391"/>
        <v>76854</v>
      </c>
      <c r="AH110" s="64"/>
    </row>
    <row r="111" spans="2:34" ht="13.5" customHeight="1">
      <c r="B111" s="12" t="s">
        <v>203</v>
      </c>
      <c r="C111" s="13">
        <f t="shared" si="381"/>
        <v>138735</v>
      </c>
      <c r="D111" s="13">
        <f t="shared" si="381"/>
        <v>196012</v>
      </c>
      <c r="E111" s="13">
        <f t="shared" si="381"/>
        <v>244400</v>
      </c>
      <c r="F111" s="13">
        <f t="shared" ref="F111" si="392">F101+F106</f>
        <v>299027</v>
      </c>
      <c r="G111" s="13">
        <f t="shared" ref="G111:H111" si="393">G101+G106</f>
        <v>330761</v>
      </c>
      <c r="H111" s="13">
        <f t="shared" si="393"/>
        <v>309388</v>
      </c>
      <c r="I111" s="13">
        <f t="shared" ref="I111" si="394">I101+I106</f>
        <v>291004</v>
      </c>
      <c r="J111" s="13">
        <f>AG111</f>
        <v>335632</v>
      </c>
      <c r="K111" s="13"/>
      <c r="L111" s="13">
        <f t="shared" si="385"/>
        <v>217039</v>
      </c>
      <c r="M111" s="13">
        <f t="shared" si="385"/>
        <v>266916</v>
      </c>
      <c r="N111" s="13">
        <f t="shared" si="385"/>
        <v>253517</v>
      </c>
      <c r="O111" s="13">
        <f t="shared" ref="O111" si="395">O101+O106</f>
        <v>244400</v>
      </c>
      <c r="P111" s="13">
        <f t="shared" si="387"/>
        <v>250564</v>
      </c>
      <c r="Q111" s="13">
        <f t="shared" si="387"/>
        <v>272450</v>
      </c>
      <c r="R111" s="13">
        <f t="shared" si="387"/>
        <v>301202</v>
      </c>
      <c r="S111" s="13">
        <f t="shared" si="387"/>
        <v>299027</v>
      </c>
      <c r="T111" s="13">
        <f t="shared" ref="T111:W111" si="396">T101+T106</f>
        <v>301913</v>
      </c>
      <c r="U111" s="13">
        <f t="shared" si="396"/>
        <v>324181</v>
      </c>
      <c r="V111" s="13">
        <f t="shared" si="396"/>
        <v>340626</v>
      </c>
      <c r="W111" s="13">
        <f t="shared" si="396"/>
        <v>330761</v>
      </c>
      <c r="X111" s="13">
        <f t="shared" ref="X111:AA111" si="397">X101+X106</f>
        <v>330038</v>
      </c>
      <c r="Y111" s="13">
        <f t="shared" si="397"/>
        <v>311371</v>
      </c>
      <c r="Z111" s="13">
        <f t="shared" si="397"/>
        <v>306707</v>
      </c>
      <c r="AA111" s="13">
        <f t="shared" si="397"/>
        <v>309388</v>
      </c>
      <c r="AB111" s="13">
        <f t="shared" ref="AB111:AD111" si="398">AB101+AB106</f>
        <v>299397</v>
      </c>
      <c r="AC111" s="13">
        <f t="shared" si="398"/>
        <v>299500</v>
      </c>
      <c r="AD111" s="13">
        <f t="shared" si="398"/>
        <v>292908</v>
      </c>
      <c r="AE111" s="13">
        <f>AE101+AE106</f>
        <v>291004</v>
      </c>
      <c r="AF111" s="13">
        <f t="shared" si="391"/>
        <v>345724</v>
      </c>
      <c r="AG111" s="13">
        <f t="shared" si="391"/>
        <v>335632</v>
      </c>
      <c r="AH111" s="64"/>
    </row>
    <row r="112" spans="2:34" s="33" customFormat="1" ht="13.5" customHeight="1">
      <c r="B112" s="33" t="s">
        <v>210</v>
      </c>
      <c r="C112" s="64">
        <f t="shared" ref="C112" si="399">SUM(C110:C111)</f>
        <v>165569</v>
      </c>
      <c r="D112" s="64">
        <f t="shared" ref="D112:E112" si="400">SUM(D110:D111)</f>
        <v>221986</v>
      </c>
      <c r="E112" s="64">
        <f t="shared" si="400"/>
        <v>262464</v>
      </c>
      <c r="F112" s="64">
        <f t="shared" ref="F112:G112" si="401">SUM(F110:F111)</f>
        <v>323476</v>
      </c>
      <c r="G112" s="64">
        <f t="shared" si="401"/>
        <v>359141</v>
      </c>
      <c r="H112" s="64">
        <f t="shared" ref="H112:I112" si="402">SUM(H110:H111)</f>
        <v>371240</v>
      </c>
      <c r="I112" s="64">
        <f t="shared" si="402"/>
        <v>358112</v>
      </c>
      <c r="J112" s="64">
        <f>SUM(J110:J111)</f>
        <v>412486</v>
      </c>
      <c r="K112" s="64"/>
      <c r="L112" s="64">
        <f t="shared" ref="L112" si="403">SUM(L110:L111)</f>
        <v>236863</v>
      </c>
      <c r="M112" s="64">
        <f t="shared" ref="M112:Q112" si="404">SUM(M110:M111)</f>
        <v>285491</v>
      </c>
      <c r="N112" s="64">
        <f t="shared" si="404"/>
        <v>271088</v>
      </c>
      <c r="O112" s="64">
        <f t="shared" si="404"/>
        <v>262464</v>
      </c>
      <c r="P112" s="64">
        <f t="shared" si="404"/>
        <v>267273</v>
      </c>
      <c r="Q112" s="64">
        <f t="shared" si="404"/>
        <v>291149</v>
      </c>
      <c r="R112" s="64">
        <f t="shared" ref="R112:U112" si="405">SUM(R110:R111)</f>
        <v>331793</v>
      </c>
      <c r="S112" s="64">
        <f t="shared" si="405"/>
        <v>323476</v>
      </c>
      <c r="T112" s="64">
        <f t="shared" si="405"/>
        <v>339011</v>
      </c>
      <c r="U112" s="64">
        <f t="shared" si="405"/>
        <v>360802</v>
      </c>
      <c r="V112" s="64">
        <f t="shared" ref="V112:Y112" si="406">SUM(V110:V111)</f>
        <v>367173</v>
      </c>
      <c r="W112" s="64">
        <f t="shared" si="406"/>
        <v>359141</v>
      </c>
      <c r="X112" s="64">
        <f t="shared" si="406"/>
        <v>362086</v>
      </c>
      <c r="Y112" s="64">
        <f t="shared" si="406"/>
        <v>377577</v>
      </c>
      <c r="Z112" s="64">
        <f t="shared" ref="Z112:AC112" si="407">SUM(Z110:Z111)</f>
        <v>372929</v>
      </c>
      <c r="AA112" s="64">
        <f t="shared" si="407"/>
        <v>371240</v>
      </c>
      <c r="AB112" s="64">
        <f t="shared" si="407"/>
        <v>374008</v>
      </c>
      <c r="AC112" s="64">
        <f t="shared" si="407"/>
        <v>364371</v>
      </c>
      <c r="AD112" s="64">
        <f t="shared" ref="AD112:AG112" si="408">SUM(AD110:AD111)</f>
        <v>349661</v>
      </c>
      <c r="AE112" s="64">
        <f t="shared" si="408"/>
        <v>358112</v>
      </c>
      <c r="AF112" s="64">
        <f t="shared" si="408"/>
        <v>404643</v>
      </c>
      <c r="AG112" s="64">
        <f t="shared" si="408"/>
        <v>412486</v>
      </c>
      <c r="AH112" s="64"/>
    </row>
    <row r="113" spans="2:34" ht="13.5" customHeight="1">
      <c r="B113" s="78" t="s">
        <v>185</v>
      </c>
      <c r="C113" s="75">
        <v>97814</v>
      </c>
      <c r="D113" s="75">
        <v>132991</v>
      </c>
      <c r="E113" s="75">
        <v>152798</v>
      </c>
      <c r="F113" s="75">
        <v>167966</v>
      </c>
      <c r="G113" s="75">
        <v>156739</v>
      </c>
      <c r="H113" s="75">
        <v>172320</v>
      </c>
      <c r="I113" s="75">
        <v>132519</v>
      </c>
      <c r="J113" s="13">
        <f>AG113</f>
        <v>182057</v>
      </c>
      <c r="K113" s="13"/>
      <c r="L113" s="75">
        <v>135270</v>
      </c>
      <c r="M113" s="75">
        <v>173718</v>
      </c>
      <c r="N113" s="75">
        <v>152491</v>
      </c>
      <c r="O113" s="13">
        <f>E113</f>
        <v>152798</v>
      </c>
      <c r="P113" s="75">
        <v>148621</v>
      </c>
      <c r="Q113" s="75">
        <v>141721</v>
      </c>
      <c r="R113" s="75">
        <v>170873</v>
      </c>
      <c r="S113" s="13">
        <f>F113</f>
        <v>167966</v>
      </c>
      <c r="T113" s="75">
        <v>188826</v>
      </c>
      <c r="U113" s="75">
        <v>184658</v>
      </c>
      <c r="V113" s="75">
        <v>160177</v>
      </c>
      <c r="W113" s="13">
        <f>G113</f>
        <v>156739</v>
      </c>
      <c r="X113" s="75">
        <v>153328</v>
      </c>
      <c r="Y113" s="75">
        <v>139647</v>
      </c>
      <c r="Z113" s="75">
        <v>146476</v>
      </c>
      <c r="AA113" s="13">
        <f>H113</f>
        <v>172320</v>
      </c>
      <c r="AB113" s="75">
        <v>161023</v>
      </c>
      <c r="AC113" s="75">
        <v>153511</v>
      </c>
      <c r="AD113" s="75">
        <v>145468</v>
      </c>
      <c r="AE113" s="13">
        <f>I113</f>
        <v>132519</v>
      </c>
      <c r="AF113" s="75">
        <v>205253</v>
      </c>
      <c r="AG113" s="75">
        <v>182057</v>
      </c>
      <c r="AH113" s="64"/>
    </row>
    <row r="114" spans="2:34" ht="13.5" customHeight="1">
      <c r="B114" s="78" t="s">
        <v>21</v>
      </c>
      <c r="C114" s="75">
        <f>339+6175+62918</f>
        <v>69432</v>
      </c>
      <c r="D114" s="75">
        <f>375+7114+46911</f>
        <v>54400</v>
      </c>
      <c r="E114" s="75">
        <f>1133+6593+68487</f>
        <v>76213</v>
      </c>
      <c r="F114" s="75">
        <f>10573+1749+83813</f>
        <v>96135</v>
      </c>
      <c r="G114" s="75">
        <f>1278+27963+104776</f>
        <v>134017</v>
      </c>
      <c r="H114" s="75">
        <f>5949+14903+185983</f>
        <v>206835</v>
      </c>
      <c r="I114" s="75">
        <f>4750+9568+192977</f>
        <v>207295</v>
      </c>
      <c r="J114" s="13">
        <f>AG114</f>
        <v>191783</v>
      </c>
      <c r="K114" s="13"/>
      <c r="L114" s="75">
        <f>489+6571+57968</f>
        <v>65028</v>
      </c>
      <c r="M114" s="75">
        <f>1585+6327+79920</f>
        <v>87832</v>
      </c>
      <c r="N114" s="75">
        <f>1650+6135+75692</f>
        <v>83477</v>
      </c>
      <c r="O114" s="13">
        <f>E114</f>
        <v>76213</v>
      </c>
      <c r="P114" s="75">
        <f>645+9286+67737</f>
        <v>77668</v>
      </c>
      <c r="Q114" s="75">
        <f>471+9417+65330</f>
        <v>75218</v>
      </c>
      <c r="R114" s="75">
        <f>1392+13768+68578</f>
        <v>83738</v>
      </c>
      <c r="S114" s="13">
        <f>F114</f>
        <v>96135</v>
      </c>
      <c r="T114" s="75">
        <f>1568+11742+82604</f>
        <v>95914</v>
      </c>
      <c r="U114" s="75">
        <f>1095+14762+91670</f>
        <v>107527</v>
      </c>
      <c r="V114" s="75">
        <f>1521+21089+109636</f>
        <v>132246</v>
      </c>
      <c r="W114" s="13">
        <f>G114</f>
        <v>134017</v>
      </c>
      <c r="X114" s="75">
        <f>871+33941+151143</f>
        <v>185955</v>
      </c>
      <c r="Y114" s="75">
        <f>1855+29798+176427</f>
        <v>208080</v>
      </c>
      <c r="Z114" s="75">
        <f>6145+24331+185543</f>
        <v>216019</v>
      </c>
      <c r="AA114" s="13">
        <f>H114</f>
        <v>206835</v>
      </c>
      <c r="AB114" s="75">
        <f>5942+10568+241510</f>
        <v>258020</v>
      </c>
      <c r="AC114" s="75">
        <f>5437+8864+200090</f>
        <v>214391</v>
      </c>
      <c r="AD114" s="75">
        <f>4950+9773+2132+197995</f>
        <v>214850</v>
      </c>
      <c r="AE114" s="13">
        <f>I114</f>
        <v>207295</v>
      </c>
      <c r="AF114" s="75">
        <f>4480+30212+132549+5444</f>
        <v>172685</v>
      </c>
      <c r="AG114" s="75">
        <f>4125+18235+169423</f>
        <v>191783</v>
      </c>
      <c r="AH114" s="64"/>
    </row>
    <row r="115" spans="2:34" ht="13.5" customHeight="1">
      <c r="B115" s="33" t="s">
        <v>211</v>
      </c>
      <c r="C115" s="64">
        <f t="shared" ref="C115:D115" si="409">C112-C113-C114</f>
        <v>-1677</v>
      </c>
      <c r="D115" s="64">
        <f t="shared" si="409"/>
        <v>34595</v>
      </c>
      <c r="E115" s="64">
        <f>E112-E113-E114</f>
        <v>33453</v>
      </c>
      <c r="F115" s="64">
        <f>F112-F113-F114</f>
        <v>59375</v>
      </c>
      <c r="G115" s="64">
        <f>G112-G113-G114</f>
        <v>68385</v>
      </c>
      <c r="H115" s="64">
        <f>H112-H113-H114</f>
        <v>-7915</v>
      </c>
      <c r="I115" s="64">
        <f>I112-I113-I114</f>
        <v>18298</v>
      </c>
      <c r="J115" s="64">
        <f t="shared" ref="J115" si="410">J112-J113-J114</f>
        <v>38646</v>
      </c>
      <c r="K115" s="64"/>
      <c r="L115" s="64">
        <f t="shared" ref="L115" si="411">L112-L113-L114</f>
        <v>36565</v>
      </c>
      <c r="M115" s="64">
        <f t="shared" ref="M115" si="412">M112-M113-M114</f>
        <v>23941</v>
      </c>
      <c r="N115" s="64">
        <f t="shared" ref="N115" si="413">N112-N113-N114</f>
        <v>35120</v>
      </c>
      <c r="O115" s="64">
        <f t="shared" ref="O115" si="414">O112-O113-O114</f>
        <v>33453</v>
      </c>
      <c r="P115" s="64">
        <f t="shared" ref="P115" si="415">P112-P113-P114</f>
        <v>40984</v>
      </c>
      <c r="Q115" s="64">
        <f t="shared" ref="Q115:T115" si="416">Q112-Q113-Q114</f>
        <v>74210</v>
      </c>
      <c r="R115" s="64">
        <f t="shared" si="416"/>
        <v>77182</v>
      </c>
      <c r="S115" s="64">
        <f t="shared" si="416"/>
        <v>59375</v>
      </c>
      <c r="T115" s="64">
        <f t="shared" si="416"/>
        <v>54271</v>
      </c>
      <c r="U115" s="64">
        <f t="shared" ref="U115:X115" si="417">U112-U113-U114</f>
        <v>68617</v>
      </c>
      <c r="V115" s="64">
        <f t="shared" si="417"/>
        <v>74750</v>
      </c>
      <c r="W115" s="64">
        <f t="shared" si="417"/>
        <v>68385</v>
      </c>
      <c r="X115" s="64">
        <f t="shared" si="417"/>
        <v>22803</v>
      </c>
      <c r="Y115" s="64">
        <f t="shared" ref="Y115:AB115" si="418">Y112-Y113-Y114</f>
        <v>29850</v>
      </c>
      <c r="Z115" s="64">
        <f t="shared" si="418"/>
        <v>10434</v>
      </c>
      <c r="AA115" s="64">
        <f t="shared" si="418"/>
        <v>-7915</v>
      </c>
      <c r="AB115" s="64">
        <f t="shared" si="418"/>
        <v>-45035</v>
      </c>
      <c r="AC115" s="64">
        <f t="shared" ref="AC115:AE115" si="419">AC112-AC113-AC114</f>
        <v>-3531</v>
      </c>
      <c r="AD115" s="64">
        <f t="shared" si="419"/>
        <v>-10657</v>
      </c>
      <c r="AE115" s="64">
        <f t="shared" si="419"/>
        <v>18298</v>
      </c>
      <c r="AF115" s="64">
        <f>AF112-AF113-AF114</f>
        <v>26705</v>
      </c>
      <c r="AG115" s="64">
        <f>AG112-AG113-AG114</f>
        <v>38646</v>
      </c>
      <c r="AH115" s="64"/>
    </row>
    <row r="116" spans="2:34" ht="13.5" customHeight="1">
      <c r="C116" s="76"/>
      <c r="D116" s="76"/>
      <c r="E116" s="76"/>
      <c r="F116" s="76"/>
      <c r="G116" s="76"/>
      <c r="H116" s="76"/>
      <c r="I116" s="76"/>
      <c r="J116" s="64"/>
      <c r="K116" s="13"/>
      <c r="L116" s="76"/>
      <c r="M116" s="76"/>
      <c r="N116" s="76"/>
      <c r="O116" s="77"/>
      <c r="P116" s="76"/>
      <c r="Q116" s="76"/>
      <c r="R116" s="76"/>
      <c r="S116" s="77"/>
      <c r="T116" s="76"/>
      <c r="U116" s="76"/>
      <c r="V116" s="76"/>
      <c r="W116" s="77"/>
      <c r="X116" s="76"/>
      <c r="Y116" s="76"/>
      <c r="Z116" s="76"/>
      <c r="AA116" s="77"/>
      <c r="AB116" s="76"/>
      <c r="AC116" s="76"/>
      <c r="AD116" s="76"/>
      <c r="AE116" s="77"/>
      <c r="AF116" s="76"/>
      <c r="AG116" s="76"/>
      <c r="AH116" s="64"/>
    </row>
    <row r="117" spans="2:34" ht="13.5" customHeight="1">
      <c r="B117" s="33" t="s">
        <v>212</v>
      </c>
      <c r="C117" s="64">
        <f t="shared" ref="C117:D117" si="420">C115</f>
        <v>-1677</v>
      </c>
      <c r="D117" s="64">
        <f t="shared" si="420"/>
        <v>34595</v>
      </c>
      <c r="E117" s="64">
        <f t="shared" ref="E117:J117" si="421">E115</f>
        <v>33453</v>
      </c>
      <c r="F117" s="64">
        <f t="shared" si="421"/>
        <v>59375</v>
      </c>
      <c r="G117" s="64">
        <f t="shared" si="421"/>
        <v>68385</v>
      </c>
      <c r="H117" s="64">
        <f t="shared" si="421"/>
        <v>-7915</v>
      </c>
      <c r="I117" s="64">
        <f t="shared" si="421"/>
        <v>18298</v>
      </c>
      <c r="J117" s="64">
        <f t="shared" si="421"/>
        <v>38646</v>
      </c>
      <c r="K117" s="64"/>
      <c r="L117" s="64">
        <f t="shared" ref="L117:R117" si="422">L115</f>
        <v>36565</v>
      </c>
      <c r="M117" s="64">
        <f t="shared" si="422"/>
        <v>23941</v>
      </c>
      <c r="N117" s="64">
        <f t="shared" si="422"/>
        <v>35120</v>
      </c>
      <c r="O117" s="64">
        <f>E117</f>
        <v>33453</v>
      </c>
      <c r="P117" s="64">
        <f t="shared" si="422"/>
        <v>40984</v>
      </c>
      <c r="Q117" s="64">
        <f t="shared" si="422"/>
        <v>74210</v>
      </c>
      <c r="R117" s="64">
        <f t="shared" si="422"/>
        <v>77182</v>
      </c>
      <c r="S117" s="64">
        <f>F117</f>
        <v>59375</v>
      </c>
      <c r="T117" s="64">
        <f t="shared" ref="T117:V117" si="423">T115</f>
        <v>54271</v>
      </c>
      <c r="U117" s="64">
        <f t="shared" si="423"/>
        <v>68617</v>
      </c>
      <c r="V117" s="64">
        <f t="shared" si="423"/>
        <v>74750</v>
      </c>
      <c r="W117" s="64">
        <f>G117</f>
        <v>68385</v>
      </c>
      <c r="X117" s="64">
        <f t="shared" ref="X117:Z117" si="424">X115</f>
        <v>22803</v>
      </c>
      <c r="Y117" s="64">
        <f t="shared" si="424"/>
        <v>29850</v>
      </c>
      <c r="Z117" s="64">
        <f t="shared" si="424"/>
        <v>10434</v>
      </c>
      <c r="AA117" s="64">
        <f>H117</f>
        <v>-7915</v>
      </c>
      <c r="AB117" s="64">
        <f t="shared" ref="AB117:AD117" si="425">AB115</f>
        <v>-45035</v>
      </c>
      <c r="AC117" s="64">
        <f t="shared" si="425"/>
        <v>-3531</v>
      </c>
      <c r="AD117" s="64">
        <f t="shared" si="425"/>
        <v>-10657</v>
      </c>
      <c r="AE117" s="64">
        <f>I117</f>
        <v>18298</v>
      </c>
      <c r="AF117" s="64">
        <f>AF115</f>
        <v>26705</v>
      </c>
      <c r="AG117" s="64">
        <f t="shared" ref="AG117" si="426">AG115</f>
        <v>38646</v>
      </c>
      <c r="AH117" s="64"/>
    </row>
    <row r="118" spans="2:34" ht="13.5" customHeight="1">
      <c r="B118" s="26" t="s">
        <v>213</v>
      </c>
      <c r="C118" s="75">
        <v>356207</v>
      </c>
      <c r="D118" s="75">
        <f>488824</f>
        <v>488824</v>
      </c>
      <c r="E118" s="75">
        <v>778043</v>
      </c>
      <c r="F118" s="75">
        <v>876693</v>
      </c>
      <c r="G118" s="75">
        <v>782860</v>
      </c>
      <c r="H118" s="75">
        <v>873681</v>
      </c>
      <c r="I118" s="75">
        <v>1053896</v>
      </c>
      <c r="J118" s="13">
        <f>AG118</f>
        <v>1202849</v>
      </c>
      <c r="K118" s="13"/>
      <c r="L118" s="75">
        <v>513543</v>
      </c>
      <c r="M118" s="75">
        <v>606273</v>
      </c>
      <c r="N118" s="75">
        <v>646497</v>
      </c>
      <c r="O118" s="13">
        <f>E118</f>
        <v>778043</v>
      </c>
      <c r="P118" s="75">
        <v>845146</v>
      </c>
      <c r="Q118" s="75">
        <v>926971</v>
      </c>
      <c r="R118" s="75">
        <v>931376</v>
      </c>
      <c r="S118" s="13">
        <f>F118</f>
        <v>876693</v>
      </c>
      <c r="T118" s="75">
        <v>845277</v>
      </c>
      <c r="U118" s="75">
        <v>803881</v>
      </c>
      <c r="V118" s="75">
        <v>818406</v>
      </c>
      <c r="W118" s="13">
        <f>G118</f>
        <v>782860</v>
      </c>
      <c r="X118" s="75">
        <v>841373</v>
      </c>
      <c r="Y118" s="75">
        <v>840816</v>
      </c>
      <c r="Z118" s="75">
        <v>830945</v>
      </c>
      <c r="AA118" s="13">
        <f>H118</f>
        <v>873681</v>
      </c>
      <c r="AB118" s="75">
        <v>916769</v>
      </c>
      <c r="AC118" s="75">
        <v>927597</v>
      </c>
      <c r="AD118" s="75">
        <v>980507</v>
      </c>
      <c r="AE118" s="13">
        <f>I118</f>
        <v>1053896</v>
      </c>
      <c r="AF118" s="75">
        <v>1122938</v>
      </c>
      <c r="AG118" s="75">
        <v>1202849</v>
      </c>
      <c r="AH118" s="64"/>
    </row>
    <row r="119" spans="2:34" s="33" customFormat="1" ht="13.5" customHeight="1">
      <c r="B119" s="33" t="s">
        <v>214</v>
      </c>
      <c r="C119" s="64">
        <f t="shared" ref="C119:G119" si="427">+C112+C118</f>
        <v>521776</v>
      </c>
      <c r="D119" s="64">
        <f t="shared" si="427"/>
        <v>710810</v>
      </c>
      <c r="E119" s="64">
        <f t="shared" si="427"/>
        <v>1040507</v>
      </c>
      <c r="F119" s="64">
        <f t="shared" si="427"/>
        <v>1200169</v>
      </c>
      <c r="G119" s="64">
        <f t="shared" si="427"/>
        <v>1142001</v>
      </c>
      <c r="H119" s="64">
        <f t="shared" ref="H119:I119" si="428">+H112+H118</f>
        <v>1244921</v>
      </c>
      <c r="I119" s="64">
        <f t="shared" si="428"/>
        <v>1412008</v>
      </c>
      <c r="J119" s="64">
        <f t="shared" ref="J119" si="429">+J112+J118</f>
        <v>1615335</v>
      </c>
      <c r="K119" s="64"/>
      <c r="L119" s="64">
        <f t="shared" ref="L119:R119" si="430">+L112+L118</f>
        <v>750406</v>
      </c>
      <c r="M119" s="64">
        <f t="shared" si="430"/>
        <v>891764</v>
      </c>
      <c r="N119" s="64">
        <f t="shared" si="430"/>
        <v>917585</v>
      </c>
      <c r="O119" s="64">
        <f t="shared" si="430"/>
        <v>1040507</v>
      </c>
      <c r="P119" s="64">
        <f t="shared" si="430"/>
        <v>1112419</v>
      </c>
      <c r="Q119" s="64">
        <f t="shared" si="430"/>
        <v>1218120</v>
      </c>
      <c r="R119" s="64">
        <f t="shared" si="430"/>
        <v>1263169</v>
      </c>
      <c r="S119" s="64">
        <f t="shared" ref="S119:V119" si="431">+S112+S118</f>
        <v>1200169</v>
      </c>
      <c r="T119" s="64">
        <f t="shared" si="431"/>
        <v>1184288</v>
      </c>
      <c r="U119" s="64">
        <f t="shared" si="431"/>
        <v>1164683</v>
      </c>
      <c r="V119" s="64">
        <f t="shared" si="431"/>
        <v>1185579</v>
      </c>
      <c r="W119" s="64">
        <f t="shared" ref="W119:Z119" si="432">+W112+W118</f>
        <v>1142001</v>
      </c>
      <c r="X119" s="64">
        <f t="shared" si="432"/>
        <v>1203459</v>
      </c>
      <c r="Y119" s="64">
        <f t="shared" si="432"/>
        <v>1218393</v>
      </c>
      <c r="Z119" s="64">
        <f t="shared" si="432"/>
        <v>1203874</v>
      </c>
      <c r="AA119" s="64">
        <f t="shared" ref="AA119:AD119" si="433">+AA112+AA118</f>
        <v>1244921</v>
      </c>
      <c r="AB119" s="64">
        <f t="shared" si="433"/>
        <v>1290777</v>
      </c>
      <c r="AC119" s="64">
        <f t="shared" si="433"/>
        <v>1291968</v>
      </c>
      <c r="AD119" s="64">
        <f t="shared" si="433"/>
        <v>1330168</v>
      </c>
      <c r="AE119" s="64">
        <f t="shared" ref="AE119:AG119" si="434">+AE112+AE118</f>
        <v>1412008</v>
      </c>
      <c r="AF119" s="64">
        <f t="shared" si="434"/>
        <v>1527581</v>
      </c>
      <c r="AG119" s="64">
        <f t="shared" si="434"/>
        <v>1615335</v>
      </c>
      <c r="AH119" s="64"/>
    </row>
    <row r="120" spans="2:34" ht="13.5" customHeight="1"/>
    <row r="121" spans="2:34" ht="13.5" customHeight="1">
      <c r="B121" s="54" t="s">
        <v>215</v>
      </c>
      <c r="C121" s="66">
        <f t="shared" ref="C121:H121" si="435">C2</f>
        <v>43465</v>
      </c>
      <c r="D121" s="66">
        <f t="shared" si="435"/>
        <v>43830</v>
      </c>
      <c r="E121" s="66">
        <f t="shared" si="435"/>
        <v>44196</v>
      </c>
      <c r="F121" s="66">
        <f t="shared" si="435"/>
        <v>44561</v>
      </c>
      <c r="G121" s="66">
        <f t="shared" si="435"/>
        <v>44926</v>
      </c>
      <c r="H121" s="66">
        <f t="shared" si="435"/>
        <v>45291</v>
      </c>
      <c r="I121" s="66">
        <f t="shared" ref="I121" si="436">I2</f>
        <v>45657</v>
      </c>
      <c r="J121" s="66" t="str">
        <f>J1</f>
        <v>LTM</v>
      </c>
      <c r="K121" s="66"/>
      <c r="L121" s="66">
        <f t="shared" ref="L121:Q121" si="437">L2</f>
        <v>43921</v>
      </c>
      <c r="M121" s="66">
        <f t="shared" si="437"/>
        <v>44012</v>
      </c>
      <c r="N121" s="66">
        <f t="shared" si="437"/>
        <v>44104</v>
      </c>
      <c r="O121" s="66">
        <f t="shared" si="437"/>
        <v>44196</v>
      </c>
      <c r="P121" s="66">
        <f t="shared" si="437"/>
        <v>44286</v>
      </c>
      <c r="Q121" s="66">
        <f t="shared" si="437"/>
        <v>44377</v>
      </c>
      <c r="R121" s="66">
        <f t="shared" ref="R121:U121" si="438">R2</f>
        <v>44469</v>
      </c>
      <c r="S121" s="66">
        <f t="shared" si="438"/>
        <v>44561</v>
      </c>
      <c r="T121" s="66">
        <f t="shared" si="438"/>
        <v>44651</v>
      </c>
      <c r="U121" s="66">
        <f t="shared" si="438"/>
        <v>44742</v>
      </c>
      <c r="V121" s="66">
        <f t="shared" ref="V121:Y121" si="439">V2</f>
        <v>44834</v>
      </c>
      <c r="W121" s="66">
        <f t="shared" si="439"/>
        <v>44926</v>
      </c>
      <c r="X121" s="66">
        <f t="shared" si="439"/>
        <v>45016</v>
      </c>
      <c r="Y121" s="66">
        <f t="shared" si="439"/>
        <v>45107</v>
      </c>
      <c r="Z121" s="66">
        <f t="shared" ref="Z121:AC121" si="440">Z2</f>
        <v>45199</v>
      </c>
      <c r="AA121" s="66">
        <f t="shared" si="440"/>
        <v>45291</v>
      </c>
      <c r="AB121" s="66">
        <f t="shared" si="440"/>
        <v>45382</v>
      </c>
      <c r="AC121" s="66">
        <f t="shared" si="440"/>
        <v>45473</v>
      </c>
      <c r="AD121" s="66">
        <f t="shared" ref="AD121:AG121" si="441">AD2</f>
        <v>45565</v>
      </c>
      <c r="AE121" s="66">
        <f t="shared" si="441"/>
        <v>45657</v>
      </c>
      <c r="AF121" s="66">
        <f t="shared" si="441"/>
        <v>45747</v>
      </c>
      <c r="AG121" s="66">
        <f t="shared" si="441"/>
        <v>45838</v>
      </c>
    </row>
    <row r="122" spans="2:34" ht="13.5" customHeight="1">
      <c r="B122" s="33"/>
    </row>
    <row r="123" spans="2:34" ht="13.5" customHeight="1">
      <c r="B123" s="7" t="s">
        <v>216</v>
      </c>
      <c r="C123" s="138" t="str">
        <f t="shared" ref="C123:G123" si="442">IF((C115-C107)&lt;0,"net cash",(C115-C107)/C80)</f>
        <v>net cash</v>
      </c>
      <c r="D123" s="138">
        <f t="shared" si="442"/>
        <v>0.15528342209708607</v>
      </c>
      <c r="E123" s="138">
        <f t="shared" si="442"/>
        <v>0.10600936098715864</v>
      </c>
      <c r="F123" s="138">
        <f t="shared" si="442"/>
        <v>0.19213749627819587</v>
      </c>
      <c r="G123" s="138">
        <f t="shared" si="442"/>
        <v>0.23074195972188416</v>
      </c>
      <c r="H123" s="138" t="str">
        <f t="shared" ref="H123:I123" si="443">IF((H115-H107)&lt;0,"net cash",(H115-H107)/H80)</f>
        <v>net cash</v>
      </c>
      <c r="I123" s="138" t="str">
        <f t="shared" si="443"/>
        <v>net cash</v>
      </c>
      <c r="J123" s="138">
        <f t="shared" ref="J123" si="444">IF((J115-J107)&lt;0,"net cash",(J115-J107)/J80)</f>
        <v>6.5295702088154925E-2</v>
      </c>
      <c r="L123" s="72"/>
      <c r="M123" s="72"/>
      <c r="N123" s="72"/>
      <c r="O123" s="138">
        <f t="shared" ref="O123:Q123" si="445">IF((O115-O107)&lt;0,"net cash",(O115-O107)/O80)</f>
        <v>0.10600936098715864</v>
      </c>
      <c r="P123" s="138">
        <f t="shared" si="445"/>
        <v>0.14105134231173874</v>
      </c>
      <c r="Q123" s="138">
        <f t="shared" si="445"/>
        <v>0.29968733557291455</v>
      </c>
      <c r="R123" s="138">
        <f t="shared" ref="R123:U123" si="446">IF((R115-R107)&lt;0,"net cash",(R115-R107)/R80)</f>
        <v>0.30651951131294458</v>
      </c>
      <c r="S123" s="138">
        <f t="shared" si="446"/>
        <v>0.19213749627819587</v>
      </c>
      <c r="T123" s="138">
        <f t="shared" si="446"/>
        <v>0.16152851739345545</v>
      </c>
      <c r="U123" s="138">
        <f t="shared" si="446"/>
        <v>0.24224055646373441</v>
      </c>
      <c r="V123" s="138">
        <f t="shared" ref="V123:Y123" si="447">IF((V115-V107)&lt;0,"net cash",(V115-V107)/V80)</f>
        <v>0.2777970459187325</v>
      </c>
      <c r="W123" s="138">
        <f t="shared" si="447"/>
        <v>0.23074195972188416</v>
      </c>
      <c r="X123" s="138" t="str">
        <f t="shared" si="447"/>
        <v>net cash</v>
      </c>
      <c r="Y123" s="138">
        <f t="shared" si="447"/>
        <v>3.0008220786846743E-2</v>
      </c>
      <c r="Z123" s="138" t="str">
        <f t="shared" ref="Z123:AC123" si="448">IF((Z115-Z107)&lt;0,"net cash",(Z115-Z107)/Z80)</f>
        <v>net cash</v>
      </c>
      <c r="AA123" s="138" t="str">
        <f t="shared" si="448"/>
        <v>net cash</v>
      </c>
      <c r="AB123" s="138" t="str">
        <f t="shared" si="448"/>
        <v>net cash</v>
      </c>
      <c r="AC123" s="138" t="str">
        <f t="shared" si="448"/>
        <v>net cash</v>
      </c>
      <c r="AD123" s="138" t="str">
        <f t="shared" ref="AD123:AG123" si="449">IF((AD115-AD107)&lt;0,"net cash",(AD115-AD107)/AD80)</f>
        <v>net cash</v>
      </c>
      <c r="AE123" s="138" t="str">
        <f t="shared" si="449"/>
        <v>net cash</v>
      </c>
      <c r="AF123" s="138">
        <f t="shared" si="449"/>
        <v>2.7160988828669394E-2</v>
      </c>
      <c r="AG123" s="138">
        <f t="shared" si="449"/>
        <v>6.5295702088154925E-2</v>
      </c>
    </row>
    <row r="124" spans="2:34" ht="13.5" customHeight="1">
      <c r="B124" s="12" t="s">
        <v>217</v>
      </c>
      <c r="C124" s="73">
        <f t="shared" ref="C124:G124" si="450">(C112-C107)/C80</f>
        <v>1.3998883938007829</v>
      </c>
      <c r="D124" s="73">
        <f t="shared" si="450"/>
        <v>1.4266359103090336</v>
      </c>
      <c r="E124" s="73">
        <f t="shared" si="450"/>
        <v>1.3552920126122392</v>
      </c>
      <c r="F124" s="73">
        <f t="shared" si="450"/>
        <v>1.5479060359962629</v>
      </c>
      <c r="G124" s="73">
        <f t="shared" si="450"/>
        <v>1.7692474574836232</v>
      </c>
      <c r="H124" s="73">
        <f t="shared" ref="H124:I124" si="451">(H112-H107)/H80</f>
        <v>1.4806204184256797</v>
      </c>
      <c r="I124" s="73">
        <f t="shared" si="451"/>
        <v>1.2223838678468804</v>
      </c>
      <c r="J124" s="73">
        <f>(J112-J107)/J80</f>
        <v>1.2873305090286222</v>
      </c>
      <c r="L124" s="72"/>
      <c r="M124" s="72"/>
      <c r="N124" s="72"/>
      <c r="O124" s="73">
        <f t="shared" ref="O124:T124" si="452">(O112-O107)/O80</f>
        <v>1.3552920126122392</v>
      </c>
      <c r="P124" s="73">
        <f t="shared" si="452"/>
        <v>1.3254942397579703</v>
      </c>
      <c r="Q124" s="73">
        <f t="shared" si="452"/>
        <v>1.3972457198364836</v>
      </c>
      <c r="R124" s="73">
        <f t="shared" si="452"/>
        <v>1.5855604227786038</v>
      </c>
      <c r="S124" s="73">
        <f t="shared" si="452"/>
        <v>1.5479060359962629</v>
      </c>
      <c r="T124" s="73">
        <f t="shared" si="452"/>
        <v>1.6763205353960409</v>
      </c>
      <c r="U124" s="73">
        <f t="shared" ref="U124:X124" si="453">(U112-U107)/U80</f>
        <v>1.8450634689018837</v>
      </c>
      <c r="V124" s="73">
        <f t="shared" si="453"/>
        <v>1.8876392123183978</v>
      </c>
      <c r="W124" s="73">
        <f t="shared" si="453"/>
        <v>1.7692474574836232</v>
      </c>
      <c r="X124" s="73">
        <f t="shared" si="453"/>
        <v>1.6892947009143227</v>
      </c>
      <c r="Y124" s="73">
        <f t="shared" ref="Y124:AB124" si="454">(Y112-Y107)/Y80</f>
        <v>1.6634879624192602</v>
      </c>
      <c r="Z124" s="73">
        <f t="shared" si="454"/>
        <v>1.5561742461186527</v>
      </c>
      <c r="AA124" s="73">
        <f t="shared" si="454"/>
        <v>1.4806204184256797</v>
      </c>
      <c r="AB124" s="73">
        <f t="shared" si="454"/>
        <v>1.4286397032020801</v>
      </c>
      <c r="AC124" s="73">
        <f t="shared" ref="AC124:AF124" si="455">(AC112-AC107)/AC80</f>
        <v>1.3280362916325046</v>
      </c>
      <c r="AD124" s="73">
        <f t="shared" si="455"/>
        <v>1.2364991177363098</v>
      </c>
      <c r="AE124" s="73">
        <f t="shared" si="455"/>
        <v>1.2223838678468804</v>
      </c>
      <c r="AF124" s="73">
        <f t="shared" si="455"/>
        <v>1.3334946355491648</v>
      </c>
      <c r="AG124" s="73">
        <f t="shared" ref="AG124" si="456">(AG112-AG107)/AG80</f>
        <v>1.2873305090286222</v>
      </c>
    </row>
    <row r="125" spans="2:34" ht="13.5" customHeight="1">
      <c r="B125" s="7"/>
      <c r="L125" s="72"/>
      <c r="M125" s="72"/>
      <c r="N125" s="72"/>
    </row>
    <row r="126" spans="2:34" s="33" customFormat="1" ht="13.5" customHeight="1">
      <c r="B126" s="7" t="s">
        <v>218</v>
      </c>
      <c r="C126" s="138" t="str">
        <f t="shared" ref="C126:G126" si="457">IF(C115&lt;0,"net cash", C115/C80)</f>
        <v>net cash</v>
      </c>
      <c r="D126" s="138">
        <f t="shared" si="457"/>
        <v>0.23470945418772685</v>
      </c>
      <c r="E126" s="138">
        <f t="shared" si="457"/>
        <v>0.1824901535070971</v>
      </c>
      <c r="F126" s="138">
        <f t="shared" si="457"/>
        <v>0.30480292405466175</v>
      </c>
      <c r="G126" s="138">
        <f t="shared" si="457"/>
        <v>0.36185220069211477</v>
      </c>
      <c r="H126" s="138" t="str">
        <f t="shared" ref="H126:I126" si="458">IF(H115&lt;0,"net cash", H115/H80)</f>
        <v>net cash</v>
      </c>
      <c r="I126" s="138">
        <f t="shared" si="458"/>
        <v>6.6054900148730014E-2</v>
      </c>
      <c r="J126" s="138">
        <f t="shared" ref="J126" si="459">IF(J115&lt;0,"net cash", J115/J80)</f>
        <v>0.12632879614011688</v>
      </c>
      <c r="K126" s="74"/>
      <c r="L126" s="72"/>
      <c r="M126" s="72"/>
      <c r="N126" s="72"/>
      <c r="O126" s="138">
        <f t="shared" ref="O126:Q126" si="460">IF(O115&lt;0,"net cash", O115/O80)</f>
        <v>0.1824901535070971</v>
      </c>
      <c r="P126" s="138">
        <f t="shared" si="460"/>
        <v>0.21451863638504901</v>
      </c>
      <c r="Q126" s="138">
        <f t="shared" si="460"/>
        <v>0.37545027724936253</v>
      </c>
      <c r="R126" s="138">
        <f t="shared" ref="R126:U126" si="461">IF(R115&lt;0,"net cash", R115/R80)</f>
        <v>0.38772455089820357</v>
      </c>
      <c r="S126" s="138">
        <f t="shared" si="461"/>
        <v>0.30480292405466175</v>
      </c>
      <c r="T126" s="138">
        <f t="shared" si="461"/>
        <v>0.28871699658993577</v>
      </c>
      <c r="U126" s="138">
        <f t="shared" si="461"/>
        <v>0.37640843911483646</v>
      </c>
      <c r="V126" s="138">
        <f t="shared" ref="V126:Y126" si="462">IF(V115&lt;0,"net cash", V115/V80)</f>
        <v>0.41151243896128203</v>
      </c>
      <c r="W126" s="138">
        <f t="shared" si="462"/>
        <v>0.36185220069211477</v>
      </c>
      <c r="X126" s="138">
        <f t="shared" si="462"/>
        <v>0.11362016990956426</v>
      </c>
      <c r="Y126" s="138">
        <f t="shared" si="462"/>
        <v>0.14022313564298297</v>
      </c>
      <c r="Z126" s="138">
        <f t="shared" ref="Z126:AC126" si="463">IF(Z115&lt;0,"net cash", Z115/Z80)</f>
        <v>4.6256971352065468E-2</v>
      </c>
      <c r="AA126" s="138" t="str">
        <f t="shared" si="463"/>
        <v>net cash</v>
      </c>
      <c r="AB126" s="138" t="str">
        <f t="shared" si="463"/>
        <v>net cash</v>
      </c>
      <c r="AC126" s="138" t="str">
        <f t="shared" si="463"/>
        <v>net cash</v>
      </c>
      <c r="AD126" s="138" t="str">
        <f t="shared" ref="AD126:AG126" si="464">IF(AD115&lt;0,"net cash", AD115/AD80)</f>
        <v>net cash</v>
      </c>
      <c r="AE126" s="138">
        <f t="shared" si="464"/>
        <v>6.6054900148730014E-2</v>
      </c>
      <c r="AF126" s="138">
        <f t="shared" si="464"/>
        <v>9.2305193009622824E-2</v>
      </c>
      <c r="AG126" s="138">
        <f t="shared" si="464"/>
        <v>0.12632879614011688</v>
      </c>
    </row>
    <row r="127" spans="2:34" ht="13.5" customHeight="1">
      <c r="B127" s="12" t="s">
        <v>219</v>
      </c>
      <c r="C127" s="73">
        <f t="shared" ref="C127:G127" si="465">+C112/C80</f>
        <v>1.3998883938007829</v>
      </c>
      <c r="D127" s="73">
        <f t="shared" si="465"/>
        <v>1.5060619423996744</v>
      </c>
      <c r="E127" s="73">
        <f t="shared" si="465"/>
        <v>1.4317728051321776</v>
      </c>
      <c r="F127" s="73">
        <f t="shared" si="465"/>
        <v>1.6605714637727287</v>
      </c>
      <c r="G127" s="73">
        <f t="shared" si="465"/>
        <v>1.9003576984538537</v>
      </c>
      <c r="H127" s="73">
        <f t="shared" ref="H127:I127" si="466">+H112/H80</f>
        <v>1.5766986332786872</v>
      </c>
      <c r="I127" s="73">
        <f t="shared" si="466"/>
        <v>1.2927671003422234</v>
      </c>
      <c r="J127" s="73">
        <f t="shared" ref="J127" si="467">+J112/J80</f>
        <v>1.3483636030805841</v>
      </c>
      <c r="K127" s="73"/>
      <c r="L127" s="72"/>
      <c r="M127" s="72"/>
      <c r="N127" s="72"/>
      <c r="O127" s="73">
        <f t="shared" ref="O127:T127" si="468">+O112/O80</f>
        <v>1.4317728051321776</v>
      </c>
      <c r="P127" s="73">
        <f t="shared" si="468"/>
        <v>1.3989615338312806</v>
      </c>
      <c r="Q127" s="73">
        <f t="shared" si="468"/>
        <v>1.4730086615129316</v>
      </c>
      <c r="R127" s="73">
        <f t="shared" si="468"/>
        <v>1.6667654623638628</v>
      </c>
      <c r="S127" s="73">
        <f t="shared" si="468"/>
        <v>1.6605714637727287</v>
      </c>
      <c r="T127" s="73">
        <f t="shared" si="468"/>
        <v>1.8035090145925212</v>
      </c>
      <c r="U127" s="73">
        <f t="shared" ref="U127:X127" si="469">+U112/U80</f>
        <v>1.9792313515529858</v>
      </c>
      <c r="V127" s="73">
        <f t="shared" si="469"/>
        <v>2.0213546053609472</v>
      </c>
      <c r="W127" s="73">
        <f t="shared" si="469"/>
        <v>1.9003576984538537</v>
      </c>
      <c r="X127" s="73">
        <f t="shared" si="469"/>
        <v>1.8041605421161464</v>
      </c>
      <c r="Y127" s="73">
        <f t="shared" ref="Y127:AB127" si="470">+Y112/Y80</f>
        <v>1.7737028772753964</v>
      </c>
      <c r="Z127" s="73">
        <f t="shared" si="470"/>
        <v>1.6533032460565866</v>
      </c>
      <c r="AA127" s="73">
        <f t="shared" si="470"/>
        <v>1.5766986332786872</v>
      </c>
      <c r="AB127" s="73">
        <f t="shared" si="470"/>
        <v>1.5148034442815368</v>
      </c>
      <c r="AC127" s="73">
        <f t="shared" ref="AC127" si="471">+AC112/AC80</f>
        <v>1.40916649907956</v>
      </c>
      <c r="AD127" s="73">
        <f>+AD112/AD80</f>
        <v>1.3099499113989967</v>
      </c>
      <c r="AE127" s="73">
        <f t="shared" ref="AE127:AG127" si="472">+AE112/AE80</f>
        <v>1.2927671003422234</v>
      </c>
      <c r="AF127" s="73">
        <f t="shared" si="472"/>
        <v>1.3986388397301184</v>
      </c>
      <c r="AG127" s="73">
        <f t="shared" si="472"/>
        <v>1.3483636030805841</v>
      </c>
    </row>
    <row r="128" spans="2:34" ht="13.5" customHeight="1">
      <c r="C128" s="73"/>
      <c r="D128" s="73"/>
      <c r="E128" s="73"/>
      <c r="F128" s="73"/>
      <c r="G128" s="73"/>
      <c r="H128" s="73"/>
      <c r="I128" s="73"/>
      <c r="J128" s="73"/>
      <c r="K128" s="73"/>
      <c r="L128" s="72"/>
      <c r="M128" s="72"/>
      <c r="N128" s="72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2:33" ht="13.5" customHeight="1">
      <c r="B129" s="33" t="s">
        <v>220</v>
      </c>
      <c r="C129" s="73">
        <f t="shared" ref="C129:G129" si="473">C117/C80</f>
        <v>-1.4179060309622652E-2</v>
      </c>
      <c r="D129" s="73">
        <f t="shared" si="473"/>
        <v>0.23470945418772685</v>
      </c>
      <c r="E129" s="73">
        <f t="shared" si="473"/>
        <v>0.1824901535070971</v>
      </c>
      <c r="F129" s="73">
        <f t="shared" si="473"/>
        <v>0.30480292405466175</v>
      </c>
      <c r="G129" s="73">
        <f t="shared" si="473"/>
        <v>0.36185220069211477</v>
      </c>
      <c r="H129" s="73">
        <f t="shared" ref="H129:I129" si="474">H117/H80</f>
        <v>-3.3615907990520444E-2</v>
      </c>
      <c r="I129" s="73">
        <f t="shared" si="474"/>
        <v>6.6054900148730014E-2</v>
      </c>
      <c r="J129" s="73">
        <f t="shared" ref="J129" si="475">J117/J80</f>
        <v>0.12632879614011688</v>
      </c>
      <c r="K129" s="73"/>
      <c r="L129" s="72"/>
      <c r="M129" s="72"/>
      <c r="N129" s="72"/>
      <c r="O129" s="73">
        <f t="shared" ref="O129:T129" si="476">O117/O80</f>
        <v>0.1824901535070971</v>
      </c>
      <c r="P129" s="73">
        <f t="shared" si="476"/>
        <v>0.21451863638504901</v>
      </c>
      <c r="Q129" s="73">
        <f t="shared" si="476"/>
        <v>0.37545027724936253</v>
      </c>
      <c r="R129" s="73">
        <f t="shared" si="476"/>
        <v>0.38772455089820357</v>
      </c>
      <c r="S129" s="73">
        <f t="shared" si="476"/>
        <v>0.30480292405466175</v>
      </c>
      <c r="T129" s="73">
        <f t="shared" si="476"/>
        <v>0.28871699658993577</v>
      </c>
      <c r="U129" s="73">
        <f t="shared" ref="U129:X129" si="477">U117/U80</f>
        <v>0.37640843911483646</v>
      </c>
      <c r="V129" s="73">
        <f t="shared" si="477"/>
        <v>0.41151243896128203</v>
      </c>
      <c r="W129" s="73">
        <f t="shared" si="477"/>
        <v>0.36185220069211477</v>
      </c>
      <c r="X129" s="73">
        <f t="shared" si="477"/>
        <v>0.11362016990956426</v>
      </c>
      <c r="Y129" s="73">
        <f t="shared" ref="Y129:AB129" si="478">Y117/Y80</f>
        <v>0.14022313564298297</v>
      </c>
      <c r="Z129" s="73">
        <f t="shared" si="478"/>
        <v>4.6256971352065468E-2</v>
      </c>
      <c r="AA129" s="73">
        <f t="shared" si="478"/>
        <v>-3.3615907990520444E-2</v>
      </c>
      <c r="AB129" s="73">
        <f t="shared" si="478"/>
        <v>-0.18240030457428452</v>
      </c>
      <c r="AC129" s="73">
        <f t="shared" ref="AC129:AF129" si="479">AC117/AC80</f>
        <v>-1.365577092647309E-2</v>
      </c>
      <c r="AD129" s="73">
        <f t="shared" si="479"/>
        <v>-3.992477343992927E-2</v>
      </c>
      <c r="AE129" s="73">
        <f t="shared" si="479"/>
        <v>6.6054900148730014E-2</v>
      </c>
      <c r="AF129" s="73">
        <f t="shared" si="479"/>
        <v>9.2305193009622824E-2</v>
      </c>
      <c r="AG129" s="73">
        <f t="shared" ref="AG129" si="480">AG117/AG80</f>
        <v>0.12632879614011688</v>
      </c>
    </row>
    <row r="130" spans="2:33" ht="13.5" customHeight="1">
      <c r="C130" s="73"/>
      <c r="D130" s="73"/>
      <c r="E130" s="73"/>
      <c r="F130" s="73"/>
      <c r="G130" s="73"/>
      <c r="H130" s="73"/>
      <c r="I130" s="73"/>
      <c r="J130" s="73"/>
      <c r="K130" s="73"/>
      <c r="L130" s="72"/>
      <c r="M130" s="72"/>
      <c r="N130" s="72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</row>
    <row r="131" spans="2:33" s="33" customFormat="1" ht="13.5" customHeight="1">
      <c r="B131" s="33" t="s">
        <v>221</v>
      </c>
      <c r="C131" s="74">
        <f t="shared" ref="C131:G131" si="481">+(C80-C83)/C81</f>
        <v>21.937013131537949</v>
      </c>
      <c r="D131" s="74">
        <f t="shared" si="481"/>
        <v>17.685965659145737</v>
      </c>
      <c r="E131" s="74">
        <f t="shared" si="481"/>
        <v>21.091577162238554</v>
      </c>
      <c r="F131" s="74">
        <f t="shared" si="481"/>
        <v>22.018205980066444</v>
      </c>
      <c r="G131" s="74">
        <f t="shared" si="481"/>
        <v>17.842324983943481</v>
      </c>
      <c r="H131" s="74">
        <f t="shared" ref="H131" si="482">+(H80-H83)/H81</f>
        <v>18.705610733577277</v>
      </c>
      <c r="I131" s="74">
        <f t="shared" ref="I131" si="483">+(I80-I83)/I81</f>
        <v>17.257630667633084</v>
      </c>
      <c r="J131" s="72"/>
      <c r="K131" s="74"/>
      <c r="L131" s="72"/>
      <c r="M131" s="72"/>
      <c r="N131" s="72"/>
      <c r="O131" s="138">
        <f>(O80-O83)/O81</f>
        <v>21.091577162238554</v>
      </c>
      <c r="P131" s="72"/>
      <c r="Q131" s="138">
        <f>(Q80-Q83)/Q81</f>
        <v>23.935185185185187</v>
      </c>
      <c r="R131" s="72"/>
      <c r="S131" s="138">
        <f>(S80-S83)/S81</f>
        <v>22.018205980066444</v>
      </c>
      <c r="T131" s="72"/>
      <c r="U131" s="138">
        <f>(U80-U83)/U81</f>
        <v>19.000972407925126</v>
      </c>
      <c r="V131" s="72"/>
      <c r="W131" s="138">
        <f>(W80-W83)/W81</f>
        <v>17.842324983943481</v>
      </c>
      <c r="X131" s="72"/>
      <c r="Y131" s="138">
        <f>(Y80-Y83)/Y81</f>
        <v>18.48381345594445</v>
      </c>
      <c r="Z131" s="72"/>
      <c r="AA131" s="138">
        <f t="shared" ref="AA131" si="484">(AA80-AA83)/AA81</f>
        <v>18.705610733577277</v>
      </c>
      <c r="AB131" s="72"/>
      <c r="AC131" s="138">
        <f>(AC80-AC83)/AC81</f>
        <v>19.327268174609799</v>
      </c>
      <c r="AD131" s="72"/>
      <c r="AE131" s="138">
        <f t="shared" ref="AE131" si="485">(AE80-AE83)/AE81</f>
        <v>17.257630667633084</v>
      </c>
      <c r="AF131" s="72"/>
      <c r="AG131" s="138">
        <f>(AG80-AG83)/AG81</f>
        <v>19.585407103165014</v>
      </c>
    </row>
    <row r="132" spans="2:33" ht="13.5" customHeight="1">
      <c r="B132" s="26" t="s">
        <v>222</v>
      </c>
      <c r="C132" s="73">
        <f t="shared" ref="C132:G132" si="486">+(C80)/C81</f>
        <v>26.32383707990207</v>
      </c>
      <c r="D132" s="73">
        <f t="shared" si="486"/>
        <v>20.915992620973462</v>
      </c>
      <c r="E132" s="73">
        <f t="shared" si="486"/>
        <v>25.906444318824196</v>
      </c>
      <c r="F132" s="73">
        <f t="shared" si="486"/>
        <v>25.886777408637872</v>
      </c>
      <c r="G132" s="73">
        <f t="shared" si="486"/>
        <v>20.229715264397345</v>
      </c>
      <c r="H132" s="73">
        <f t="shared" ref="H132" si="487">+(H80)/H81</f>
        <v>20.513504094790033</v>
      </c>
      <c r="I132" s="73">
        <f t="shared" ref="I132" si="488">+(I80)/I81</f>
        <v>22.309092373359103</v>
      </c>
      <c r="J132" s="72"/>
      <c r="K132" s="73"/>
      <c r="L132" s="72"/>
      <c r="M132" s="72"/>
      <c r="N132" s="72"/>
      <c r="O132" s="73">
        <f>O80/O81</f>
        <v>25.906444318824196</v>
      </c>
      <c r="P132" s="72"/>
      <c r="Q132" s="73">
        <f>Q80/Q81</f>
        <v>28.596064814814813</v>
      </c>
      <c r="R132" s="72"/>
      <c r="S132" s="73">
        <f>S80/S81</f>
        <v>25.886777408637872</v>
      </c>
      <c r="T132" s="72"/>
      <c r="U132" s="73">
        <f>U80/U81</f>
        <v>22.158016287832744</v>
      </c>
      <c r="V132" s="72"/>
      <c r="W132" s="73">
        <f>W80/W81</f>
        <v>20.229715264397345</v>
      </c>
      <c r="X132" s="72"/>
      <c r="Y132" s="73">
        <f>Y80/Y81</f>
        <v>19.975133714929154</v>
      </c>
      <c r="Z132" s="72"/>
      <c r="AA132" s="73">
        <f t="shared" ref="AA132" si="489">AA80/AA81</f>
        <v>20.513504094790033</v>
      </c>
      <c r="AB132" s="72"/>
      <c r="AC132" s="73">
        <f>AC80/AC81</f>
        <v>21.581837910024205</v>
      </c>
      <c r="AD132" s="72"/>
      <c r="AE132" s="73">
        <f t="shared" ref="AE132" si="490">AE80/AE81</f>
        <v>22.309092373359103</v>
      </c>
      <c r="AF132" s="72"/>
      <c r="AG132" s="73">
        <f>AG80/AG81</f>
        <v>24.636868808891037</v>
      </c>
    </row>
    <row r="133" spans="2:33" ht="13.5" customHeight="1">
      <c r="C133" s="71"/>
      <c r="D133" s="71"/>
      <c r="E133" s="71"/>
      <c r="F133" s="71"/>
      <c r="G133" s="71"/>
      <c r="H133" s="71"/>
      <c r="I133" s="71"/>
      <c r="J133" s="71"/>
      <c r="K133" s="71"/>
      <c r="L133" s="72"/>
      <c r="M133" s="72"/>
      <c r="N133" s="72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</row>
    <row r="134" spans="2:33" s="33" customFormat="1" ht="13.5" customHeight="1">
      <c r="B134" s="70" t="s">
        <v>223</v>
      </c>
      <c r="C134" s="68">
        <f t="shared" ref="C134:G134" si="491">C115/C118</f>
        <v>-4.707936677269116E-3</v>
      </c>
      <c r="D134" s="68">
        <f t="shared" si="491"/>
        <v>7.0771893360391469E-2</v>
      </c>
      <c r="E134" s="68">
        <f t="shared" si="491"/>
        <v>4.2996338248657208E-2</v>
      </c>
      <c r="F134" s="68">
        <f t="shared" si="491"/>
        <v>6.7726102523916587E-2</v>
      </c>
      <c r="G134" s="68">
        <f t="shared" si="491"/>
        <v>8.735278338400225E-2</v>
      </c>
      <c r="H134" s="68">
        <f t="shared" ref="H134:I134" si="492">H115/H118</f>
        <v>-9.0593706398559657E-3</v>
      </c>
      <c r="I134" s="68">
        <f t="shared" si="492"/>
        <v>1.7362244471940305E-2</v>
      </c>
      <c r="J134" s="68">
        <f t="shared" ref="J134" si="493">J115/J118</f>
        <v>3.2128721061413359E-2</v>
      </c>
      <c r="K134" s="68"/>
      <c r="L134" s="69"/>
      <c r="M134" s="69"/>
      <c r="N134" s="69"/>
      <c r="O134" s="68">
        <f t="shared" ref="O134:T134" si="494">O115/O118</f>
        <v>4.2996338248657208E-2</v>
      </c>
      <c r="P134" s="68">
        <f t="shared" si="494"/>
        <v>4.849339640724798E-2</v>
      </c>
      <c r="Q134" s="68">
        <f t="shared" si="494"/>
        <v>8.005644189516177E-2</v>
      </c>
      <c r="R134" s="68">
        <f t="shared" si="494"/>
        <v>8.2868787686176157E-2</v>
      </c>
      <c r="S134" s="68">
        <f t="shared" si="494"/>
        <v>6.7726102523916587E-2</v>
      </c>
      <c r="T134" s="68">
        <f t="shared" si="494"/>
        <v>6.4204988423913104E-2</v>
      </c>
      <c r="U134" s="68">
        <f t="shared" ref="U134:X134" si="495">U115/U118</f>
        <v>8.5357161072347768E-2</v>
      </c>
      <c r="V134" s="68">
        <f t="shared" si="495"/>
        <v>9.1336085023814587E-2</v>
      </c>
      <c r="W134" s="68">
        <f t="shared" si="495"/>
        <v>8.735278338400225E-2</v>
      </c>
      <c r="X134" s="68">
        <f t="shared" si="495"/>
        <v>2.7102129495479414E-2</v>
      </c>
      <c r="Y134" s="68">
        <f t="shared" ref="Y134:AB134" si="496">Y115/Y118</f>
        <v>3.5501227379117428E-2</v>
      </c>
      <c r="Z134" s="68">
        <f t="shared" si="496"/>
        <v>1.2556787753702111E-2</v>
      </c>
      <c r="AA134" s="68">
        <f t="shared" si="496"/>
        <v>-9.0593706398559657E-3</v>
      </c>
      <c r="AB134" s="68">
        <f t="shared" si="496"/>
        <v>-4.9123606928244738E-2</v>
      </c>
      <c r="AC134" s="68">
        <f t="shared" ref="AC134:AF134" si="497">AC115/AC118</f>
        <v>-3.8066099825678607E-3</v>
      </c>
      <c r="AD134" s="68">
        <f t="shared" si="497"/>
        <v>-1.0868866820940595E-2</v>
      </c>
      <c r="AE134" s="68">
        <f t="shared" si="497"/>
        <v>1.7362244471940305E-2</v>
      </c>
      <c r="AF134" s="68">
        <f t="shared" si="497"/>
        <v>2.3781366379978235E-2</v>
      </c>
      <c r="AG134" s="68">
        <f t="shared" ref="AG134" si="498">AG115/AG118</f>
        <v>3.2128721061413359E-2</v>
      </c>
    </row>
    <row r="135" spans="2:33" s="33" customFormat="1" ht="13.5" customHeight="1"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</row>
    <row r="136" spans="2:33" s="33" customFormat="1" ht="13.5" customHeight="1"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</row>
    <row r="137" spans="2:33" ht="13.5" customHeight="1">
      <c r="B137" s="51" t="s">
        <v>224</v>
      </c>
      <c r="C137" s="66">
        <f t="shared" ref="C137:H137" si="499">C2</f>
        <v>43465</v>
      </c>
      <c r="D137" s="66">
        <f t="shared" si="499"/>
        <v>43830</v>
      </c>
      <c r="E137" s="66">
        <f t="shared" si="499"/>
        <v>44196</v>
      </c>
      <c r="F137" s="66">
        <f t="shared" si="499"/>
        <v>44561</v>
      </c>
      <c r="G137" s="66">
        <f t="shared" si="499"/>
        <v>44926</v>
      </c>
      <c r="H137" s="66">
        <f t="shared" si="499"/>
        <v>45291</v>
      </c>
      <c r="I137" s="66">
        <f t="shared" ref="I137" si="500">I2</f>
        <v>45657</v>
      </c>
      <c r="J137" s="66" t="str">
        <f>J1</f>
        <v>LTM</v>
      </c>
      <c r="K137" s="66"/>
      <c r="L137" s="66">
        <f t="shared" ref="L137:Q137" si="501">L2</f>
        <v>43921</v>
      </c>
      <c r="M137" s="66">
        <f t="shared" si="501"/>
        <v>44012</v>
      </c>
      <c r="N137" s="66">
        <f t="shared" si="501"/>
        <v>44104</v>
      </c>
      <c r="O137" s="66">
        <f t="shared" si="501"/>
        <v>44196</v>
      </c>
      <c r="P137" s="66">
        <f t="shared" si="501"/>
        <v>44286</v>
      </c>
      <c r="Q137" s="66">
        <f t="shared" si="501"/>
        <v>44377</v>
      </c>
      <c r="R137" s="66">
        <f t="shared" ref="R137:U137" si="502">R2</f>
        <v>44469</v>
      </c>
      <c r="S137" s="66">
        <f t="shared" si="502"/>
        <v>44561</v>
      </c>
      <c r="T137" s="66">
        <f t="shared" si="502"/>
        <v>44651</v>
      </c>
      <c r="U137" s="66">
        <f t="shared" si="502"/>
        <v>44742</v>
      </c>
      <c r="V137" s="66">
        <f t="shared" ref="V137:Y137" si="503">V2</f>
        <v>44834</v>
      </c>
      <c r="W137" s="66">
        <f t="shared" si="503"/>
        <v>44926</v>
      </c>
      <c r="X137" s="66">
        <f t="shared" si="503"/>
        <v>45016</v>
      </c>
      <c r="Y137" s="66">
        <f t="shared" si="503"/>
        <v>45107</v>
      </c>
      <c r="Z137" s="66">
        <f t="shared" ref="Z137:AC137" si="504">Z2</f>
        <v>45199</v>
      </c>
      <c r="AA137" s="66">
        <f t="shared" si="504"/>
        <v>45291</v>
      </c>
      <c r="AB137" s="66">
        <f t="shared" si="504"/>
        <v>45382</v>
      </c>
      <c r="AC137" s="66">
        <f t="shared" si="504"/>
        <v>45473</v>
      </c>
      <c r="AD137" s="66">
        <f t="shared" ref="AD137:AG137" si="505">AD2</f>
        <v>45565</v>
      </c>
      <c r="AE137" s="66">
        <f t="shared" si="505"/>
        <v>45657</v>
      </c>
      <c r="AF137" s="66">
        <f t="shared" si="505"/>
        <v>45747</v>
      </c>
      <c r="AG137" s="66">
        <f t="shared" si="505"/>
        <v>45838</v>
      </c>
    </row>
    <row r="138" spans="2:33" ht="13.5" customHeight="1">
      <c r="B138" s="26" t="s">
        <v>225</v>
      </c>
      <c r="C138" s="13">
        <f t="shared" ref="C138:G138" si="506">C77</f>
        <v>312694</v>
      </c>
      <c r="D138" s="13">
        <f t="shared" si="506"/>
        <v>377289</v>
      </c>
      <c r="E138" s="13">
        <f t="shared" si="506"/>
        <v>482064</v>
      </c>
      <c r="F138" s="13">
        <f t="shared" si="506"/>
        <v>560118</v>
      </c>
      <c r="G138" s="13">
        <f t="shared" si="506"/>
        <v>554552</v>
      </c>
      <c r="H138" s="13">
        <f t="shared" ref="H138:I138" si="507">H77</f>
        <v>609015</v>
      </c>
      <c r="I138" s="13">
        <f t="shared" si="507"/>
        <v>660257</v>
      </c>
      <c r="J138" s="13">
        <f t="shared" ref="J138" si="508">J77</f>
        <v>704165</v>
      </c>
      <c r="K138" s="13"/>
      <c r="L138" s="57"/>
      <c r="M138" s="57"/>
      <c r="N138" s="57"/>
      <c r="O138" s="13">
        <f t="shared" ref="O138:T138" si="509">O77</f>
        <v>482064</v>
      </c>
      <c r="P138" s="13">
        <f t="shared" si="509"/>
        <v>509302</v>
      </c>
      <c r="Q138" s="13">
        <f t="shared" si="509"/>
        <v>532678</v>
      </c>
      <c r="R138" s="13">
        <f t="shared" si="509"/>
        <v>549599</v>
      </c>
      <c r="S138" s="13">
        <f t="shared" si="509"/>
        <v>560118</v>
      </c>
      <c r="T138" s="13">
        <f t="shared" si="509"/>
        <v>560286</v>
      </c>
      <c r="U138" s="13">
        <f t="shared" ref="U138:X138" si="510">U77</f>
        <v>556061</v>
      </c>
      <c r="V138" s="13">
        <f t="shared" si="510"/>
        <v>553786</v>
      </c>
      <c r="W138" s="13">
        <f t="shared" si="510"/>
        <v>554552</v>
      </c>
      <c r="X138" s="13">
        <f t="shared" si="510"/>
        <v>569067</v>
      </c>
      <c r="Y138" s="13">
        <f t="shared" ref="Y138:AB138" si="511">Y77</f>
        <v>584241</v>
      </c>
      <c r="Z138" s="13">
        <f t="shared" si="511"/>
        <v>598773</v>
      </c>
      <c r="AA138" s="13">
        <f t="shared" si="511"/>
        <v>609015</v>
      </c>
      <c r="AB138" s="13">
        <f t="shared" si="511"/>
        <v>618530</v>
      </c>
      <c r="AC138" s="13">
        <f t="shared" ref="AC138:AF138" si="512">AC77</f>
        <v>630439</v>
      </c>
      <c r="AD138" s="13">
        <f t="shared" si="512"/>
        <v>643007</v>
      </c>
      <c r="AE138" s="13">
        <f t="shared" si="512"/>
        <v>660257</v>
      </c>
      <c r="AF138" s="13">
        <f t="shared" si="512"/>
        <v>680778</v>
      </c>
      <c r="AG138" s="13">
        <f t="shared" ref="AG138" si="513">AG77</f>
        <v>704165</v>
      </c>
    </row>
    <row r="139" spans="2:33" ht="13.5" customHeight="1">
      <c r="B139" s="26" t="s">
        <v>226</v>
      </c>
      <c r="C139" s="13">
        <f t="shared" ref="C139:G139" si="514">C80</f>
        <v>118273</v>
      </c>
      <c r="D139" s="13">
        <f t="shared" si="514"/>
        <v>147395</v>
      </c>
      <c r="E139" s="13">
        <f t="shared" si="514"/>
        <v>183314</v>
      </c>
      <c r="F139" s="13">
        <f t="shared" si="514"/>
        <v>194798</v>
      </c>
      <c r="G139" s="13">
        <f t="shared" si="514"/>
        <v>188986</v>
      </c>
      <c r="H139" s="13">
        <f t="shared" ref="H139:I139" si="515">H80</f>
        <v>235454</v>
      </c>
      <c r="I139" s="13">
        <f t="shared" si="515"/>
        <v>277012</v>
      </c>
      <c r="J139" s="13">
        <f t="shared" ref="J139" si="516">J80</f>
        <v>305916</v>
      </c>
      <c r="K139" s="13"/>
      <c r="L139" s="57"/>
      <c r="M139" s="57"/>
      <c r="N139" s="57"/>
      <c r="O139" s="13">
        <f t="shared" ref="O139:T139" si="517">O80</f>
        <v>183314</v>
      </c>
      <c r="P139" s="13">
        <f t="shared" si="517"/>
        <v>191051</v>
      </c>
      <c r="Q139" s="13">
        <f t="shared" si="517"/>
        <v>197656</v>
      </c>
      <c r="R139" s="13">
        <f t="shared" si="517"/>
        <v>199064</v>
      </c>
      <c r="S139" s="13">
        <f t="shared" si="517"/>
        <v>194798</v>
      </c>
      <c r="T139" s="13">
        <f t="shared" si="517"/>
        <v>187973</v>
      </c>
      <c r="U139" s="13">
        <f t="shared" ref="U139:X139" si="518">U80</f>
        <v>182294</v>
      </c>
      <c r="V139" s="13">
        <f t="shared" si="518"/>
        <v>181647</v>
      </c>
      <c r="W139" s="13">
        <f t="shared" si="518"/>
        <v>188986</v>
      </c>
      <c r="X139" s="13">
        <f t="shared" si="518"/>
        <v>200695</v>
      </c>
      <c r="Y139" s="13">
        <f t="shared" ref="Y139:AB139" si="519">Y80</f>
        <v>212875</v>
      </c>
      <c r="Z139" s="13">
        <f t="shared" si="519"/>
        <v>225566</v>
      </c>
      <c r="AA139" s="13">
        <f t="shared" si="519"/>
        <v>235454</v>
      </c>
      <c r="AB139" s="13">
        <f t="shared" si="519"/>
        <v>246902</v>
      </c>
      <c r="AC139" s="13">
        <f t="shared" ref="AC139:AF139" si="520">AC80</f>
        <v>258572</v>
      </c>
      <c r="AD139" s="13">
        <f t="shared" si="520"/>
        <v>266927</v>
      </c>
      <c r="AE139" s="13">
        <f t="shared" si="520"/>
        <v>277012</v>
      </c>
      <c r="AF139" s="13">
        <f t="shared" si="520"/>
        <v>289312</v>
      </c>
      <c r="AG139" s="13">
        <f t="shared" ref="AG139" si="521">AG80</f>
        <v>305916</v>
      </c>
    </row>
    <row r="140" spans="2:33" ht="13.5" customHeight="1">
      <c r="B140" s="26" t="s">
        <v>227</v>
      </c>
      <c r="C140" s="27">
        <f t="shared" ref="C140:E140" si="522">C139/C138</f>
        <v>0.37823878935956556</v>
      </c>
      <c r="D140" s="27">
        <f t="shared" si="522"/>
        <v>0.39066869163956541</v>
      </c>
      <c r="E140" s="27">
        <f t="shared" si="522"/>
        <v>0.38026900992399348</v>
      </c>
      <c r="F140" s="27">
        <f t="shared" ref="F140:G140" si="523">F139/F138</f>
        <v>0.34778028915335696</v>
      </c>
      <c r="G140" s="27">
        <f t="shared" si="523"/>
        <v>0.34079040378539793</v>
      </c>
      <c r="H140" s="27">
        <f t="shared" ref="H140:I140" si="524">H139/H138</f>
        <v>0.38661445120399335</v>
      </c>
      <c r="I140" s="27">
        <f t="shared" si="524"/>
        <v>0.41955178059452608</v>
      </c>
      <c r="J140" s="27">
        <f t="shared" ref="J140" si="525">J139/J138</f>
        <v>0.43443795133242918</v>
      </c>
      <c r="K140" s="27"/>
      <c r="L140" s="56"/>
      <c r="M140" s="56"/>
      <c r="N140" s="56"/>
      <c r="O140" s="27">
        <f t="shared" ref="O140:Q140" si="526">O139/O138</f>
        <v>0.38026900992399348</v>
      </c>
      <c r="P140" s="27">
        <f t="shared" si="526"/>
        <v>0.37512320784132008</v>
      </c>
      <c r="Q140" s="27">
        <f t="shared" si="526"/>
        <v>0.37106094113141525</v>
      </c>
      <c r="R140" s="27">
        <f t="shared" ref="R140:U140" si="527">R139/R138</f>
        <v>0.36219862117653051</v>
      </c>
      <c r="S140" s="27">
        <f t="shared" si="527"/>
        <v>0.34778028915335696</v>
      </c>
      <c r="T140" s="27">
        <f t="shared" si="527"/>
        <v>0.33549472947744546</v>
      </c>
      <c r="U140" s="27">
        <f t="shared" si="527"/>
        <v>0.32783093941132357</v>
      </c>
      <c r="V140" s="27">
        <f t="shared" ref="V140:Y140" si="528">V139/V138</f>
        <v>0.32800937546272385</v>
      </c>
      <c r="W140" s="27">
        <f t="shared" si="528"/>
        <v>0.34079040378539793</v>
      </c>
      <c r="X140" s="27">
        <f t="shared" si="528"/>
        <v>0.35267376249193855</v>
      </c>
      <c r="Y140" s="27">
        <f t="shared" si="528"/>
        <v>0.36436162474047523</v>
      </c>
      <c r="Z140" s="27">
        <f t="shared" ref="Z140:AC140" si="529">Z139/Z138</f>
        <v>0.37671371287616506</v>
      </c>
      <c r="AA140" s="27">
        <f t="shared" si="529"/>
        <v>0.38661445120399335</v>
      </c>
      <c r="AB140" s="27">
        <f t="shared" si="529"/>
        <v>0.39917546440754692</v>
      </c>
      <c r="AC140" s="27">
        <f t="shared" si="529"/>
        <v>0.41014594592022385</v>
      </c>
      <c r="AD140" s="27">
        <f t="shared" ref="AD140:AG140" si="530">AD139/AD138</f>
        <v>0.41512300799213692</v>
      </c>
      <c r="AE140" s="27">
        <f t="shared" si="530"/>
        <v>0.41955178059452608</v>
      </c>
      <c r="AF140" s="27">
        <f t="shared" si="530"/>
        <v>0.42497260487266042</v>
      </c>
      <c r="AG140" s="27">
        <f t="shared" si="530"/>
        <v>0.43443795133242918</v>
      </c>
    </row>
    <row r="141" spans="2:33" ht="13.5" customHeight="1">
      <c r="B141" s="26" t="s">
        <v>204</v>
      </c>
      <c r="C141" s="13">
        <f t="shared" ref="C141:G141" si="531">C112</f>
        <v>165569</v>
      </c>
      <c r="D141" s="13">
        <f t="shared" si="531"/>
        <v>221986</v>
      </c>
      <c r="E141" s="13">
        <f t="shared" si="531"/>
        <v>262464</v>
      </c>
      <c r="F141" s="13">
        <f t="shared" si="531"/>
        <v>323476</v>
      </c>
      <c r="G141" s="13">
        <f t="shared" si="531"/>
        <v>359141</v>
      </c>
      <c r="H141" s="13">
        <f t="shared" ref="H141:I141" si="532">H112</f>
        <v>371240</v>
      </c>
      <c r="I141" s="13">
        <f t="shared" si="532"/>
        <v>358112</v>
      </c>
      <c r="J141" s="13">
        <f t="shared" ref="J141" si="533">J112</f>
        <v>412486</v>
      </c>
      <c r="K141" s="13"/>
      <c r="L141" s="13">
        <f t="shared" ref="L141:Q141" si="534">L112</f>
        <v>236863</v>
      </c>
      <c r="M141" s="13">
        <f t="shared" si="534"/>
        <v>285491</v>
      </c>
      <c r="N141" s="13">
        <f t="shared" si="534"/>
        <v>271088</v>
      </c>
      <c r="O141" s="13">
        <f t="shared" si="534"/>
        <v>262464</v>
      </c>
      <c r="P141" s="13">
        <f t="shared" si="534"/>
        <v>267273</v>
      </c>
      <c r="Q141" s="13">
        <f t="shared" si="534"/>
        <v>291149</v>
      </c>
      <c r="R141" s="13">
        <f t="shared" ref="R141:U141" si="535">R112</f>
        <v>331793</v>
      </c>
      <c r="S141" s="13">
        <f t="shared" si="535"/>
        <v>323476</v>
      </c>
      <c r="T141" s="13">
        <f t="shared" si="535"/>
        <v>339011</v>
      </c>
      <c r="U141" s="13">
        <f t="shared" si="535"/>
        <v>360802</v>
      </c>
      <c r="V141" s="13">
        <f t="shared" ref="V141:Y141" si="536">V112</f>
        <v>367173</v>
      </c>
      <c r="W141" s="13">
        <f t="shared" si="536"/>
        <v>359141</v>
      </c>
      <c r="X141" s="13">
        <f t="shared" si="536"/>
        <v>362086</v>
      </c>
      <c r="Y141" s="13">
        <f t="shared" si="536"/>
        <v>377577</v>
      </c>
      <c r="Z141" s="13">
        <f t="shared" ref="Z141:AC141" si="537">Z112</f>
        <v>372929</v>
      </c>
      <c r="AA141" s="13">
        <f t="shared" si="537"/>
        <v>371240</v>
      </c>
      <c r="AB141" s="13">
        <f t="shared" si="537"/>
        <v>374008</v>
      </c>
      <c r="AC141" s="13">
        <f t="shared" si="537"/>
        <v>364371</v>
      </c>
      <c r="AD141" s="13">
        <f t="shared" ref="AD141:AG141" si="538">AD112</f>
        <v>349661</v>
      </c>
      <c r="AE141" s="13">
        <f t="shared" si="538"/>
        <v>358112</v>
      </c>
      <c r="AF141" s="13">
        <f t="shared" si="538"/>
        <v>404643</v>
      </c>
      <c r="AG141" s="13">
        <f t="shared" si="538"/>
        <v>412486</v>
      </c>
    </row>
    <row r="142" spans="2:33" ht="13.5" customHeight="1">
      <c r="B142" s="26" t="s">
        <v>228</v>
      </c>
      <c r="C142" s="13">
        <f t="shared" ref="C142:E142" si="539">C113+C114</f>
        <v>167246</v>
      </c>
      <c r="D142" s="13">
        <f t="shared" si="539"/>
        <v>187391</v>
      </c>
      <c r="E142" s="13">
        <f t="shared" si="539"/>
        <v>229011</v>
      </c>
      <c r="F142" s="13">
        <f t="shared" ref="F142:G142" si="540">F113+F114</f>
        <v>264101</v>
      </c>
      <c r="G142" s="13">
        <f t="shared" si="540"/>
        <v>290756</v>
      </c>
      <c r="H142" s="13">
        <f t="shared" ref="H142:I142" si="541">H113+H114</f>
        <v>379155</v>
      </c>
      <c r="I142" s="13">
        <f t="shared" si="541"/>
        <v>339814</v>
      </c>
      <c r="J142" s="13">
        <f>J113+J114</f>
        <v>373840</v>
      </c>
      <c r="K142" s="13"/>
      <c r="L142" s="13">
        <f t="shared" ref="L142:Q142" si="542">L113+L114</f>
        <v>200298</v>
      </c>
      <c r="M142" s="13">
        <f t="shared" si="542"/>
        <v>261550</v>
      </c>
      <c r="N142" s="13">
        <f t="shared" si="542"/>
        <v>235968</v>
      </c>
      <c r="O142" s="13">
        <f t="shared" si="542"/>
        <v>229011</v>
      </c>
      <c r="P142" s="13">
        <f t="shared" si="542"/>
        <v>226289</v>
      </c>
      <c r="Q142" s="13">
        <f t="shared" si="542"/>
        <v>216939</v>
      </c>
      <c r="R142" s="13">
        <f t="shared" ref="R142:U142" si="543">R113+R114</f>
        <v>254611</v>
      </c>
      <c r="S142" s="13">
        <f t="shared" si="543"/>
        <v>264101</v>
      </c>
      <c r="T142" s="13">
        <f t="shared" si="543"/>
        <v>284740</v>
      </c>
      <c r="U142" s="13">
        <f t="shared" si="543"/>
        <v>292185</v>
      </c>
      <c r="V142" s="13">
        <f t="shared" ref="V142:Y142" si="544">V113+V114</f>
        <v>292423</v>
      </c>
      <c r="W142" s="13">
        <f t="shared" si="544"/>
        <v>290756</v>
      </c>
      <c r="X142" s="13">
        <f t="shared" si="544"/>
        <v>339283</v>
      </c>
      <c r="Y142" s="13">
        <f t="shared" si="544"/>
        <v>347727</v>
      </c>
      <c r="Z142" s="13">
        <f t="shared" ref="Z142:AC142" si="545">Z113+Z114</f>
        <v>362495</v>
      </c>
      <c r="AA142" s="13">
        <f t="shared" si="545"/>
        <v>379155</v>
      </c>
      <c r="AB142" s="13">
        <f t="shared" si="545"/>
        <v>419043</v>
      </c>
      <c r="AC142" s="13">
        <f t="shared" si="545"/>
        <v>367902</v>
      </c>
      <c r="AD142" s="13">
        <f t="shared" ref="AD142:AG142" si="546">AD113+AD114</f>
        <v>360318</v>
      </c>
      <c r="AE142" s="13">
        <f t="shared" si="546"/>
        <v>339814</v>
      </c>
      <c r="AF142" s="13">
        <f t="shared" si="546"/>
        <v>377938</v>
      </c>
      <c r="AG142" s="13">
        <f t="shared" si="546"/>
        <v>373840</v>
      </c>
    </row>
    <row r="143" spans="2:33" ht="13.5" customHeight="1">
      <c r="B143" s="26" t="s">
        <v>229</v>
      </c>
      <c r="C143" s="13">
        <f t="shared" ref="C143:E143" si="547">C141-C142</f>
        <v>-1677</v>
      </c>
      <c r="D143" s="13">
        <f t="shared" si="547"/>
        <v>34595</v>
      </c>
      <c r="E143" s="13">
        <f t="shared" si="547"/>
        <v>33453</v>
      </c>
      <c r="F143" s="13">
        <f t="shared" ref="F143:G143" si="548">F141-F142</f>
        <v>59375</v>
      </c>
      <c r="G143" s="13">
        <f t="shared" si="548"/>
        <v>68385</v>
      </c>
      <c r="H143" s="13">
        <f t="shared" ref="H143:I143" si="549">H141-H142</f>
        <v>-7915</v>
      </c>
      <c r="I143" s="13">
        <f t="shared" si="549"/>
        <v>18298</v>
      </c>
      <c r="J143" s="13">
        <f t="shared" ref="J143" si="550">J141-J142</f>
        <v>38646</v>
      </c>
      <c r="K143" s="13"/>
      <c r="L143" s="13">
        <f t="shared" ref="L143:Q143" si="551">L141-L142</f>
        <v>36565</v>
      </c>
      <c r="M143" s="13">
        <f t="shared" si="551"/>
        <v>23941</v>
      </c>
      <c r="N143" s="13">
        <f t="shared" si="551"/>
        <v>35120</v>
      </c>
      <c r="O143" s="13">
        <f t="shared" si="551"/>
        <v>33453</v>
      </c>
      <c r="P143" s="13">
        <f t="shared" si="551"/>
        <v>40984</v>
      </c>
      <c r="Q143" s="13">
        <f t="shared" si="551"/>
        <v>74210</v>
      </c>
      <c r="R143" s="13">
        <f t="shared" ref="R143:U143" si="552">R141-R142</f>
        <v>77182</v>
      </c>
      <c r="S143" s="13">
        <f t="shared" si="552"/>
        <v>59375</v>
      </c>
      <c r="T143" s="13">
        <f t="shared" si="552"/>
        <v>54271</v>
      </c>
      <c r="U143" s="13">
        <f t="shared" si="552"/>
        <v>68617</v>
      </c>
      <c r="V143" s="13">
        <f t="shared" ref="V143:Y143" si="553">V141-V142</f>
        <v>74750</v>
      </c>
      <c r="W143" s="13">
        <f t="shared" si="553"/>
        <v>68385</v>
      </c>
      <c r="X143" s="13">
        <f t="shared" si="553"/>
        <v>22803</v>
      </c>
      <c r="Y143" s="13">
        <f t="shared" si="553"/>
        <v>29850</v>
      </c>
      <c r="Z143" s="13">
        <f t="shared" ref="Z143:AC143" si="554">Z141-Z142</f>
        <v>10434</v>
      </c>
      <c r="AA143" s="13">
        <f t="shared" si="554"/>
        <v>-7915</v>
      </c>
      <c r="AB143" s="13">
        <f t="shared" si="554"/>
        <v>-45035</v>
      </c>
      <c r="AC143" s="13">
        <f t="shared" si="554"/>
        <v>-3531</v>
      </c>
      <c r="AD143" s="13">
        <f t="shared" ref="AD143:AG143" si="555">AD141-AD142</f>
        <v>-10657</v>
      </c>
      <c r="AE143" s="13">
        <f t="shared" si="555"/>
        <v>18298</v>
      </c>
      <c r="AF143" s="13">
        <f t="shared" si="555"/>
        <v>26705</v>
      </c>
      <c r="AG143" s="13">
        <f t="shared" si="555"/>
        <v>38646</v>
      </c>
    </row>
    <row r="144" spans="2:33" ht="13.5" customHeight="1">
      <c r="B144" s="26" t="s">
        <v>230</v>
      </c>
      <c r="C144" s="36">
        <f t="shared" ref="C144:G144" si="556">C127</f>
        <v>1.3998883938007829</v>
      </c>
      <c r="D144" s="36">
        <f t="shared" si="556"/>
        <v>1.5060619423996744</v>
      </c>
      <c r="E144" s="36">
        <f t="shared" si="556"/>
        <v>1.4317728051321776</v>
      </c>
      <c r="F144" s="36">
        <f t="shared" si="556"/>
        <v>1.6605714637727287</v>
      </c>
      <c r="G144" s="36">
        <f t="shared" si="556"/>
        <v>1.9003576984538537</v>
      </c>
      <c r="H144" s="36">
        <f t="shared" ref="H144:I144" si="557">H127</f>
        <v>1.5766986332786872</v>
      </c>
      <c r="I144" s="36">
        <f t="shared" si="557"/>
        <v>1.2927671003422234</v>
      </c>
      <c r="J144" s="36">
        <f t="shared" ref="J144" si="558">J127</f>
        <v>1.3483636030805841</v>
      </c>
      <c r="K144" s="36"/>
      <c r="L144" s="55"/>
      <c r="M144" s="55"/>
      <c r="N144" s="55"/>
      <c r="O144" s="36">
        <f t="shared" ref="O144:T144" si="559">O127</f>
        <v>1.4317728051321776</v>
      </c>
      <c r="P144" s="36">
        <f t="shared" si="559"/>
        <v>1.3989615338312806</v>
      </c>
      <c r="Q144" s="36">
        <f t="shared" si="559"/>
        <v>1.4730086615129316</v>
      </c>
      <c r="R144" s="36">
        <f t="shared" si="559"/>
        <v>1.6667654623638628</v>
      </c>
      <c r="S144" s="36">
        <f t="shared" si="559"/>
        <v>1.6605714637727287</v>
      </c>
      <c r="T144" s="36">
        <f t="shared" si="559"/>
        <v>1.8035090145925212</v>
      </c>
      <c r="U144" s="36">
        <f t="shared" ref="U144:X144" si="560">U127</f>
        <v>1.9792313515529858</v>
      </c>
      <c r="V144" s="36">
        <f t="shared" si="560"/>
        <v>2.0213546053609472</v>
      </c>
      <c r="W144" s="36">
        <f t="shared" si="560"/>
        <v>1.9003576984538537</v>
      </c>
      <c r="X144" s="36">
        <f t="shared" si="560"/>
        <v>1.8041605421161464</v>
      </c>
      <c r="Y144" s="36">
        <f t="shared" ref="Y144:AB144" si="561">Y127</f>
        <v>1.7737028772753964</v>
      </c>
      <c r="Z144" s="36">
        <f t="shared" si="561"/>
        <v>1.6533032460565866</v>
      </c>
      <c r="AA144" s="36">
        <f t="shared" si="561"/>
        <v>1.5766986332786872</v>
      </c>
      <c r="AB144" s="36">
        <f t="shared" si="561"/>
        <v>1.5148034442815368</v>
      </c>
      <c r="AC144" s="36">
        <f t="shared" ref="AC144:AF144" si="562">AC127</f>
        <v>1.40916649907956</v>
      </c>
      <c r="AD144" s="36">
        <f t="shared" si="562"/>
        <v>1.3099499113989967</v>
      </c>
      <c r="AE144" s="36">
        <f t="shared" si="562"/>
        <v>1.2927671003422234</v>
      </c>
      <c r="AF144" s="36">
        <f t="shared" si="562"/>
        <v>1.3986388397301184</v>
      </c>
      <c r="AG144" s="36">
        <f t="shared" ref="AG144" si="563">AG127</f>
        <v>1.3483636030805841</v>
      </c>
    </row>
    <row r="145" spans="2:33" ht="13.5" customHeight="1">
      <c r="B145" s="26" t="s">
        <v>231</v>
      </c>
      <c r="C145" s="36" t="str">
        <f t="shared" ref="C145:G145" si="564">C126</f>
        <v>net cash</v>
      </c>
      <c r="D145" s="36">
        <f t="shared" si="564"/>
        <v>0.23470945418772685</v>
      </c>
      <c r="E145" s="36">
        <f t="shared" si="564"/>
        <v>0.1824901535070971</v>
      </c>
      <c r="F145" s="36">
        <f t="shared" si="564"/>
        <v>0.30480292405466175</v>
      </c>
      <c r="G145" s="36">
        <f t="shared" si="564"/>
        <v>0.36185220069211477</v>
      </c>
      <c r="H145" s="36" t="str">
        <f t="shared" ref="H145:I145" si="565">H126</f>
        <v>net cash</v>
      </c>
      <c r="I145" s="36">
        <f t="shared" si="565"/>
        <v>6.6054900148730014E-2</v>
      </c>
      <c r="J145" s="36">
        <f t="shared" ref="J145" si="566">J126</f>
        <v>0.12632879614011688</v>
      </c>
      <c r="K145" s="36"/>
      <c r="L145" s="65"/>
      <c r="M145" s="65"/>
      <c r="N145" s="65"/>
      <c r="O145" s="36">
        <f t="shared" ref="O145:T145" si="567">O126</f>
        <v>0.1824901535070971</v>
      </c>
      <c r="P145" s="36">
        <f t="shared" si="567"/>
        <v>0.21451863638504901</v>
      </c>
      <c r="Q145" s="36">
        <f t="shared" si="567"/>
        <v>0.37545027724936253</v>
      </c>
      <c r="R145" s="36">
        <f t="shared" si="567"/>
        <v>0.38772455089820357</v>
      </c>
      <c r="S145" s="36">
        <f t="shared" si="567"/>
        <v>0.30480292405466175</v>
      </c>
      <c r="T145" s="36">
        <f t="shared" si="567"/>
        <v>0.28871699658993577</v>
      </c>
      <c r="U145" s="36">
        <f t="shared" ref="U145:X145" si="568">U126</f>
        <v>0.37640843911483646</v>
      </c>
      <c r="V145" s="36">
        <f t="shared" si="568"/>
        <v>0.41151243896128203</v>
      </c>
      <c r="W145" s="36">
        <f t="shared" si="568"/>
        <v>0.36185220069211477</v>
      </c>
      <c r="X145" s="36">
        <f t="shared" si="568"/>
        <v>0.11362016990956426</v>
      </c>
      <c r="Y145" s="36">
        <f t="shared" ref="Y145:AB145" si="569">Y126</f>
        <v>0.14022313564298297</v>
      </c>
      <c r="Z145" s="36">
        <f t="shared" si="569"/>
        <v>4.6256971352065468E-2</v>
      </c>
      <c r="AA145" s="36" t="str">
        <f t="shared" si="569"/>
        <v>net cash</v>
      </c>
      <c r="AB145" s="36" t="str">
        <f t="shared" si="569"/>
        <v>net cash</v>
      </c>
      <c r="AC145" s="36" t="str">
        <f t="shared" ref="AC145:AF145" si="570">AC126</f>
        <v>net cash</v>
      </c>
      <c r="AD145" s="36" t="str">
        <f t="shared" si="570"/>
        <v>net cash</v>
      </c>
      <c r="AE145" s="36">
        <f t="shared" si="570"/>
        <v>6.6054900148730014E-2</v>
      </c>
      <c r="AF145" s="36">
        <f t="shared" si="570"/>
        <v>9.2305193009622824E-2</v>
      </c>
      <c r="AG145" s="36">
        <f t="shared" ref="AG145" si="571">AG126</f>
        <v>0.12632879614011688</v>
      </c>
    </row>
    <row r="146" spans="2:33" ht="13.5" customHeight="1"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 spans="2:33" ht="13.5" customHeight="1">
      <c r="B147" s="54" t="s">
        <v>232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</row>
    <row r="148" spans="2:33" s="52" customFormat="1" ht="13.5" customHeight="1">
      <c r="B148" s="51" t="s">
        <v>127</v>
      </c>
      <c r="C148" s="50">
        <f t="shared" ref="C148:H148" si="572">C2</f>
        <v>43465</v>
      </c>
      <c r="D148" s="50">
        <f t="shared" si="572"/>
        <v>43830</v>
      </c>
      <c r="E148" s="50">
        <f t="shared" si="572"/>
        <v>44196</v>
      </c>
      <c r="F148" s="50">
        <f t="shared" si="572"/>
        <v>44561</v>
      </c>
      <c r="G148" s="50">
        <f t="shared" si="572"/>
        <v>44926</v>
      </c>
      <c r="H148" s="50">
        <f t="shared" si="572"/>
        <v>45291</v>
      </c>
      <c r="I148" s="50">
        <f t="shared" ref="I148" si="573">I2</f>
        <v>45657</v>
      </c>
      <c r="J148" s="50" t="str">
        <f>J1</f>
        <v>LTM</v>
      </c>
      <c r="K148" s="50"/>
      <c r="L148" s="50">
        <f t="shared" ref="L148:Q148" si="574">L2</f>
        <v>43921</v>
      </c>
      <c r="M148" s="50">
        <f t="shared" si="574"/>
        <v>44012</v>
      </c>
      <c r="N148" s="50">
        <f t="shared" si="574"/>
        <v>44104</v>
      </c>
      <c r="O148" s="50">
        <f t="shared" si="574"/>
        <v>44196</v>
      </c>
      <c r="P148" s="50">
        <f t="shared" si="574"/>
        <v>44286</v>
      </c>
      <c r="Q148" s="50">
        <f t="shared" si="574"/>
        <v>44377</v>
      </c>
      <c r="R148" s="50">
        <f t="shared" ref="R148:U148" si="575">R2</f>
        <v>44469</v>
      </c>
      <c r="S148" s="50">
        <f t="shared" si="575"/>
        <v>44561</v>
      </c>
      <c r="T148" s="50">
        <f t="shared" si="575"/>
        <v>44651</v>
      </c>
      <c r="U148" s="50">
        <f t="shared" si="575"/>
        <v>44742</v>
      </c>
      <c r="V148" s="50">
        <f t="shared" ref="V148:Y148" si="576">V2</f>
        <v>44834</v>
      </c>
      <c r="W148" s="50">
        <f t="shared" si="576"/>
        <v>44926</v>
      </c>
      <c r="X148" s="50">
        <f t="shared" si="576"/>
        <v>45016</v>
      </c>
      <c r="Y148" s="50">
        <f t="shared" si="576"/>
        <v>45107</v>
      </c>
      <c r="Z148" s="50">
        <f t="shared" ref="Z148:AC148" si="577">Z2</f>
        <v>45199</v>
      </c>
      <c r="AA148" s="50">
        <f t="shared" si="577"/>
        <v>45291</v>
      </c>
      <c r="AB148" s="50">
        <f t="shared" si="577"/>
        <v>45382</v>
      </c>
      <c r="AC148" s="50">
        <f t="shared" si="577"/>
        <v>45473</v>
      </c>
      <c r="AD148" s="50">
        <f t="shared" ref="AD148:AG148" si="578">AD2</f>
        <v>45565</v>
      </c>
      <c r="AE148" s="50">
        <f t="shared" si="578"/>
        <v>45657</v>
      </c>
      <c r="AF148" s="50">
        <f t="shared" si="578"/>
        <v>45747</v>
      </c>
      <c r="AG148" s="50">
        <f t="shared" si="578"/>
        <v>45838</v>
      </c>
    </row>
    <row r="149" spans="2:33" s="33" customFormat="1" ht="13.5" customHeight="1">
      <c r="B149" s="51"/>
      <c r="C149" s="50" t="s">
        <v>128</v>
      </c>
      <c r="D149" s="50" t="s">
        <v>128</v>
      </c>
      <c r="E149" s="50" t="s">
        <v>128</v>
      </c>
      <c r="F149" s="50" t="s">
        <v>128</v>
      </c>
      <c r="G149" s="50" t="s">
        <v>128</v>
      </c>
      <c r="H149" s="50" t="s">
        <v>128</v>
      </c>
      <c r="I149" s="50" t="s">
        <v>128</v>
      </c>
      <c r="J149" s="50" t="s">
        <v>128</v>
      </c>
      <c r="K149" s="50"/>
      <c r="L149" s="50" t="s">
        <v>128</v>
      </c>
      <c r="M149" s="50" t="s">
        <v>128</v>
      </c>
      <c r="N149" s="50" t="s">
        <v>128</v>
      </c>
      <c r="O149" s="50" t="s">
        <v>128</v>
      </c>
      <c r="P149" s="50" t="s">
        <v>128</v>
      </c>
      <c r="Q149" s="50" t="s">
        <v>128</v>
      </c>
      <c r="R149" s="50" t="s">
        <v>128</v>
      </c>
      <c r="S149" s="50" t="s">
        <v>128</v>
      </c>
      <c r="T149" s="50" t="s">
        <v>128</v>
      </c>
      <c r="U149" s="50" t="s">
        <v>128</v>
      </c>
      <c r="V149" s="50" t="s">
        <v>128</v>
      </c>
      <c r="W149" s="50" t="s">
        <v>128</v>
      </c>
      <c r="X149" s="50" t="s">
        <v>128</v>
      </c>
      <c r="Y149" s="50"/>
      <c r="Z149" s="50" t="s">
        <v>128</v>
      </c>
      <c r="AA149" s="50" t="s">
        <v>128</v>
      </c>
      <c r="AB149" s="50" t="s">
        <v>128</v>
      </c>
      <c r="AC149" s="50"/>
      <c r="AD149" s="50" t="s">
        <v>128</v>
      </c>
      <c r="AE149" s="50" t="s">
        <v>128</v>
      </c>
      <c r="AF149" s="50" t="s">
        <v>128</v>
      </c>
      <c r="AG149" s="50"/>
    </row>
    <row r="150" spans="2:33" ht="13.5" customHeight="1"/>
    <row r="151" spans="2:33" s="33" customFormat="1" ht="13.5" customHeight="1">
      <c r="B151" s="33" t="str">
        <f t="shared" ref="B151:F151" si="579">B6</f>
        <v>Revenue</v>
      </c>
      <c r="C151" s="64">
        <f t="shared" si="579"/>
        <v>312694</v>
      </c>
      <c r="D151" s="64">
        <f t="shared" si="579"/>
        <v>377289</v>
      </c>
      <c r="E151" s="64">
        <f t="shared" si="579"/>
        <v>482064</v>
      </c>
      <c r="F151" s="64">
        <f t="shared" si="579"/>
        <v>560118</v>
      </c>
      <c r="G151" s="64">
        <f t="shared" ref="G151:H151" si="580">G6</f>
        <v>554552</v>
      </c>
      <c r="H151" s="64">
        <f t="shared" si="580"/>
        <v>609015</v>
      </c>
      <c r="I151" s="64">
        <f t="shared" ref="I151" si="581">I6</f>
        <v>660257</v>
      </c>
      <c r="J151" s="64">
        <f t="shared" ref="J151" si="582">J6</f>
        <v>704165</v>
      </c>
      <c r="K151" s="48"/>
      <c r="L151" s="48">
        <f t="shared" ref="L151:Q151" si="583">L6</f>
        <v>108065</v>
      </c>
      <c r="M151" s="48">
        <f t="shared" si="583"/>
        <v>114883</v>
      </c>
      <c r="N151" s="48">
        <f t="shared" si="583"/>
        <v>125447</v>
      </c>
      <c r="O151" s="48">
        <f t="shared" si="583"/>
        <v>133669</v>
      </c>
      <c r="P151" s="48">
        <f t="shared" si="583"/>
        <v>135303</v>
      </c>
      <c r="Q151" s="48">
        <f t="shared" si="583"/>
        <v>138259</v>
      </c>
      <c r="R151" s="48">
        <f t="shared" ref="R151:U151" si="584">R6</f>
        <v>142368</v>
      </c>
      <c r="S151" s="48">
        <f t="shared" si="584"/>
        <v>144188</v>
      </c>
      <c r="T151" s="48">
        <f t="shared" si="584"/>
        <v>135471</v>
      </c>
      <c r="U151" s="48">
        <f t="shared" si="584"/>
        <v>134034</v>
      </c>
      <c r="V151" s="48">
        <f t="shared" ref="V151:Y151" si="585">V6</f>
        <v>140093</v>
      </c>
      <c r="W151" s="48">
        <f t="shared" si="585"/>
        <v>144954</v>
      </c>
      <c r="X151" s="48">
        <f t="shared" si="585"/>
        <v>149986</v>
      </c>
      <c r="Y151" s="48">
        <f t="shared" si="585"/>
        <v>149208</v>
      </c>
      <c r="Z151" s="48">
        <f t="shared" ref="Z151:AC151" si="586">Z6</f>
        <v>154625</v>
      </c>
      <c r="AA151" s="48">
        <f t="shared" si="586"/>
        <v>155196</v>
      </c>
      <c r="AB151" s="48">
        <f t="shared" si="586"/>
        <v>159501</v>
      </c>
      <c r="AC151" s="48">
        <f t="shared" si="586"/>
        <v>161117</v>
      </c>
      <c r="AD151" s="48">
        <f t="shared" ref="AD151:AG151" si="587">AD6</f>
        <v>167193</v>
      </c>
      <c r="AE151" s="48">
        <f t="shared" si="587"/>
        <v>172446</v>
      </c>
      <c r="AF151" s="48">
        <f t="shared" si="587"/>
        <v>180022</v>
      </c>
      <c r="AG151" s="48">
        <f t="shared" si="587"/>
        <v>184504</v>
      </c>
    </row>
    <row r="152" spans="2:33" s="44" customFormat="1" ht="13.5" customHeight="1">
      <c r="B152" s="49" t="s">
        <v>233</v>
      </c>
      <c r="C152" s="63"/>
      <c r="D152" s="63">
        <f t="shared" ref="D152:I152" si="588">D151/C151-1</f>
        <v>0.2065757577695766</v>
      </c>
      <c r="E152" s="63">
        <f t="shared" si="588"/>
        <v>0.27770488935537485</v>
      </c>
      <c r="F152" s="63">
        <f t="shared" si="588"/>
        <v>0.16191626008164883</v>
      </c>
      <c r="G152" s="63">
        <f t="shared" si="588"/>
        <v>-9.9371918060122688E-3</v>
      </c>
      <c r="H152" s="63">
        <f t="shared" si="588"/>
        <v>9.8210808003577732E-2</v>
      </c>
      <c r="I152" s="63">
        <f t="shared" si="588"/>
        <v>8.413914271405476E-2</v>
      </c>
      <c r="J152" s="63"/>
      <c r="K152" s="63"/>
      <c r="L152" s="63"/>
      <c r="M152" s="63"/>
      <c r="N152" s="63"/>
      <c r="O152" s="63"/>
      <c r="P152" s="63">
        <f t="shared" ref="P152:AG152" si="589">P151/L151-1</f>
        <v>0.2520520057372877</v>
      </c>
      <c r="Q152" s="63">
        <f t="shared" si="589"/>
        <v>0.20347658052105189</v>
      </c>
      <c r="R152" s="63">
        <f t="shared" si="589"/>
        <v>0.13488564891946409</v>
      </c>
      <c r="S152" s="63">
        <f t="shared" si="589"/>
        <v>7.8694386881027034E-2</v>
      </c>
      <c r="T152" s="63">
        <f t="shared" si="589"/>
        <v>1.2416576129132828E-3</v>
      </c>
      <c r="U152" s="63">
        <f t="shared" si="589"/>
        <v>-3.0558589314258033E-2</v>
      </c>
      <c r="V152" s="63">
        <f t="shared" si="589"/>
        <v>-1.5979714542593837E-2</v>
      </c>
      <c r="W152" s="63">
        <f t="shared" si="589"/>
        <v>5.3125086692373813E-3</v>
      </c>
      <c r="X152" s="63">
        <f t="shared" si="589"/>
        <v>0.10714470255626662</v>
      </c>
      <c r="Y152" s="63">
        <f t="shared" si="589"/>
        <v>0.11321008102421781</v>
      </c>
      <c r="Z152" s="63">
        <f t="shared" si="589"/>
        <v>0.10373109291684801</v>
      </c>
      <c r="AA152" s="63">
        <f t="shared" si="589"/>
        <v>7.0656898050416084E-2</v>
      </c>
      <c r="AB152" s="63">
        <f t="shared" si="589"/>
        <v>6.3439254330404093E-2</v>
      </c>
      <c r="AC152" s="63">
        <f t="shared" si="589"/>
        <v>7.9814755241005786E-2</v>
      </c>
      <c r="AD152" s="63">
        <f t="shared" si="589"/>
        <v>8.1280517380759809E-2</v>
      </c>
      <c r="AE152" s="63">
        <f t="shared" si="589"/>
        <v>0.11114977190133768</v>
      </c>
      <c r="AF152" s="63">
        <f t="shared" si="589"/>
        <v>0.12865750057993375</v>
      </c>
      <c r="AG152" s="63">
        <f t="shared" si="589"/>
        <v>0.14515538397562011</v>
      </c>
    </row>
    <row r="153" spans="2:33" ht="13.5" customHeight="1"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pans="2:33" s="33" customFormat="1" ht="13.5" customHeight="1" thickBot="1">
      <c r="B154" s="39" t="str">
        <f t="shared" ref="B154:F154" si="590">B45</f>
        <v xml:space="preserve">Adj. EBITDA </v>
      </c>
      <c r="C154" s="47">
        <f t="shared" si="590"/>
        <v>118273</v>
      </c>
      <c r="D154" s="47">
        <f t="shared" si="590"/>
        <v>147395</v>
      </c>
      <c r="E154" s="47">
        <f t="shared" si="590"/>
        <v>183314</v>
      </c>
      <c r="F154" s="47">
        <f t="shared" si="590"/>
        <v>194798</v>
      </c>
      <c r="G154" s="47">
        <f t="shared" ref="G154:H154" si="591">G45</f>
        <v>188986</v>
      </c>
      <c r="H154" s="47">
        <f t="shared" si="591"/>
        <v>235454</v>
      </c>
      <c r="I154" s="47">
        <f t="shared" ref="I154" si="592">I45</f>
        <v>277012</v>
      </c>
      <c r="J154" s="47">
        <f t="shared" ref="J154" si="593">J45</f>
        <v>305916</v>
      </c>
      <c r="K154" s="47"/>
      <c r="L154" s="47">
        <f t="shared" ref="L154:Q154" si="594">L45</f>
        <v>45190</v>
      </c>
      <c r="M154" s="47">
        <f t="shared" si="594"/>
        <v>43742</v>
      </c>
      <c r="N154" s="47">
        <f t="shared" si="594"/>
        <v>47849</v>
      </c>
      <c r="O154" s="47">
        <f t="shared" si="594"/>
        <v>46533</v>
      </c>
      <c r="P154" s="47">
        <f t="shared" si="594"/>
        <v>52927</v>
      </c>
      <c r="Q154" s="47">
        <f t="shared" si="594"/>
        <v>50347</v>
      </c>
      <c r="R154" s="47">
        <f t="shared" ref="R154:U154" si="595">R45</f>
        <v>49257</v>
      </c>
      <c r="S154" s="47">
        <f t="shared" si="595"/>
        <v>42267</v>
      </c>
      <c r="T154" s="47">
        <f t="shared" si="595"/>
        <v>46102</v>
      </c>
      <c r="U154" s="47">
        <f t="shared" si="595"/>
        <v>44668</v>
      </c>
      <c r="V154" s="47">
        <f>V45</f>
        <v>48610</v>
      </c>
      <c r="W154" s="47">
        <f t="shared" ref="W154:Y154" si="596">W45</f>
        <v>49606</v>
      </c>
      <c r="X154" s="47">
        <f t="shared" si="596"/>
        <v>57811</v>
      </c>
      <c r="Y154" s="47">
        <f t="shared" si="596"/>
        <v>56848</v>
      </c>
      <c r="Z154" s="47">
        <f>Z45</f>
        <v>61301</v>
      </c>
      <c r="AA154" s="47">
        <f t="shared" ref="AA154:AC154" si="597">AA45</f>
        <v>59494</v>
      </c>
      <c r="AB154" s="47">
        <f t="shared" si="597"/>
        <v>69259</v>
      </c>
      <c r="AC154" s="47">
        <f t="shared" si="597"/>
        <v>68518</v>
      </c>
      <c r="AD154" s="47">
        <f>AD45</f>
        <v>69656</v>
      </c>
      <c r="AE154" s="47">
        <f t="shared" ref="AE154:AG154" si="598">AE45</f>
        <v>69579</v>
      </c>
      <c r="AF154" s="47">
        <f t="shared" si="598"/>
        <v>81559</v>
      </c>
      <c r="AG154" s="47">
        <f t="shared" si="598"/>
        <v>85122</v>
      </c>
    </row>
    <row r="155" spans="2:33" s="44" customFormat="1" ht="13.5" customHeight="1" thickTop="1">
      <c r="B155" s="46" t="str">
        <f t="shared" ref="B155:E156" si="599">B46</f>
        <v xml:space="preserve">% growth </v>
      </c>
      <c r="C155" s="63">
        <f t="shared" si="599"/>
        <v>0</v>
      </c>
      <c r="D155" s="63">
        <f t="shared" si="599"/>
        <v>0.24622694951510482</v>
      </c>
      <c r="E155" s="63">
        <f t="shared" si="599"/>
        <v>0.24369211981410488</v>
      </c>
      <c r="F155" s="63">
        <f t="shared" ref="F155:G155" si="600">F46</f>
        <v>6.2646606369398894E-2</v>
      </c>
      <c r="G155" s="63">
        <f t="shared" si="600"/>
        <v>-2.9836035277569617E-2</v>
      </c>
      <c r="H155" s="63">
        <f t="shared" ref="H155" si="601">H46</f>
        <v>0.24588064724371117</v>
      </c>
      <c r="I155" s="63">
        <f t="shared" ref="I155" si="602">I46</f>
        <v>0.1765015671850978</v>
      </c>
      <c r="J155" s="63"/>
      <c r="K155" s="63"/>
      <c r="L155" s="63"/>
      <c r="M155" s="63"/>
      <c r="N155" s="63"/>
      <c r="O155" s="63"/>
      <c r="P155" s="63">
        <f>P46</f>
        <v>0.17121044478866998</v>
      </c>
      <c r="Q155" s="63">
        <f>Q46</f>
        <v>0.15099903982442497</v>
      </c>
      <c r="R155" s="63">
        <f t="shared" ref="R155:S155" si="603">R46</f>
        <v>2.9425902317707697E-2</v>
      </c>
      <c r="S155" s="63">
        <f t="shared" si="603"/>
        <v>-9.1676874476178227E-2</v>
      </c>
      <c r="T155" s="63">
        <f t="shared" ref="T155:U155" si="604">T46</f>
        <v>-0.12895119693162282</v>
      </c>
      <c r="U155" s="63">
        <f t="shared" si="604"/>
        <v>-0.11279718751862078</v>
      </c>
      <c r="V155" s="63">
        <f>V46</f>
        <v>-1.3135188907160367E-2</v>
      </c>
      <c r="W155" s="63">
        <f>W46</f>
        <v>0.17363427733219772</v>
      </c>
      <c r="X155" s="63">
        <f t="shared" ref="X155:Y155" si="605">X46</f>
        <v>0.2539803045421023</v>
      </c>
      <c r="Y155" s="63">
        <f t="shared" si="605"/>
        <v>0.27267842750962656</v>
      </c>
      <c r="Z155" s="63">
        <f>Z46</f>
        <v>0.26107796749639989</v>
      </c>
      <c r="AA155" s="63">
        <f>AA46</f>
        <v>0.19933072612184</v>
      </c>
      <c r="AB155" s="63">
        <f t="shared" ref="AB155:AC155" si="606">AB46</f>
        <v>0.19802459739495948</v>
      </c>
      <c r="AC155" s="63">
        <f t="shared" si="606"/>
        <v>0.20528426681677447</v>
      </c>
      <c r="AD155" s="63">
        <f>AD46</f>
        <v>0.13629467708520249</v>
      </c>
      <c r="AE155" s="63">
        <f>AE46</f>
        <v>0.16951289205634179</v>
      </c>
      <c r="AF155" s="63">
        <f t="shared" ref="AF155:AG155" si="607">AF46</f>
        <v>0.177594247679002</v>
      </c>
      <c r="AG155" s="63">
        <f t="shared" si="607"/>
        <v>0.24233048250094869</v>
      </c>
    </row>
    <row r="156" spans="2:33" s="44" customFormat="1" ht="13.5" customHeight="1">
      <c r="B156" s="46" t="str">
        <f t="shared" si="599"/>
        <v>% margin</v>
      </c>
      <c r="C156" s="63">
        <f t="shared" si="599"/>
        <v>0.37823878935956556</v>
      </c>
      <c r="D156" s="63">
        <f t="shared" si="599"/>
        <v>0.39066869163956541</v>
      </c>
      <c r="E156" s="63">
        <f t="shared" si="599"/>
        <v>0.38026900992399348</v>
      </c>
      <c r="F156" s="63">
        <f t="shared" ref="F156:G156" si="608">F47</f>
        <v>0.34778028915335696</v>
      </c>
      <c r="G156" s="63">
        <f t="shared" si="608"/>
        <v>0.34079040378539793</v>
      </c>
      <c r="H156" s="63">
        <f t="shared" ref="H156:I156" si="609">H47</f>
        <v>0.38661445120399335</v>
      </c>
      <c r="I156" s="63">
        <f t="shared" si="609"/>
        <v>0.41955178059452608</v>
      </c>
      <c r="J156" s="63">
        <f>J47</f>
        <v>0.43443795133242918</v>
      </c>
      <c r="K156" s="63"/>
      <c r="L156" s="63">
        <f>L47</f>
        <v>0.41817424698098365</v>
      </c>
      <c r="M156" s="63">
        <f>M47</f>
        <v>0.38075259176727627</v>
      </c>
      <c r="N156" s="63">
        <f>N47</f>
        <v>0.38142801342399579</v>
      </c>
      <c r="O156" s="63">
        <f>O47</f>
        <v>0.34812110511786576</v>
      </c>
      <c r="P156" s="63">
        <f>P47</f>
        <v>0.39117388380154172</v>
      </c>
      <c r="Q156" s="63">
        <f>Q47</f>
        <v>0.36414989259288727</v>
      </c>
      <c r="R156" s="63">
        <f t="shared" ref="R156" si="610">R47</f>
        <v>0.34598364801078896</v>
      </c>
      <c r="S156" s="63">
        <f>S47</f>
        <v>0.29313812522540017</v>
      </c>
      <c r="T156" s="63">
        <f t="shared" ref="T156:U156" si="611">T47</f>
        <v>0.34030899602128867</v>
      </c>
      <c r="U156" s="63">
        <f t="shared" si="611"/>
        <v>0.33325872539803336</v>
      </c>
      <c r="V156" s="63">
        <f>V47</f>
        <v>0.34698378933993845</v>
      </c>
      <c r="W156" s="63">
        <f>W47</f>
        <v>0.34221891082688299</v>
      </c>
      <c r="X156" s="63">
        <f t="shared" ref="X156:Y156" si="612">X47</f>
        <v>0.38544264131318923</v>
      </c>
      <c r="Y156" s="63">
        <f t="shared" si="612"/>
        <v>0.38099833789072973</v>
      </c>
      <c r="Z156" s="63">
        <f>Z47</f>
        <v>0.39644947453516571</v>
      </c>
      <c r="AA156" s="63">
        <f>AA47</f>
        <v>0.38334750895641639</v>
      </c>
      <c r="AB156" s="63">
        <f t="shared" ref="AB156:AC156" si="613">AB47</f>
        <v>0.43422298292800671</v>
      </c>
      <c r="AC156" s="63">
        <f t="shared" si="613"/>
        <v>0.42526859363071556</v>
      </c>
      <c r="AD156" s="63">
        <f>AD47</f>
        <v>0.41662031305138375</v>
      </c>
      <c r="AE156" s="63">
        <f>AE47</f>
        <v>0.40348282940746666</v>
      </c>
      <c r="AF156" s="63">
        <f t="shared" ref="AF156:AG156" si="614">AF47</f>
        <v>0.45305018275544101</v>
      </c>
      <c r="AG156" s="63">
        <f t="shared" si="614"/>
        <v>0.46135585136365609</v>
      </c>
    </row>
    <row r="157" spans="2:33" ht="13.5" customHeight="1"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pans="2:33" s="33" customFormat="1" ht="13.5" customHeight="1">
      <c r="B158" s="33" t="str">
        <f t="shared" ref="B158:E175" si="615">B53</f>
        <v xml:space="preserve">Adj. EBITDA </v>
      </c>
      <c r="C158" s="42">
        <f t="shared" si="615"/>
        <v>118273</v>
      </c>
      <c r="D158" s="42">
        <f t="shared" si="615"/>
        <v>147395</v>
      </c>
      <c r="E158" s="42">
        <f t="shared" si="615"/>
        <v>183314</v>
      </c>
      <c r="F158" s="42">
        <f t="shared" ref="F158:G158" si="616">F53</f>
        <v>194798</v>
      </c>
      <c r="G158" s="42">
        <f t="shared" si="616"/>
        <v>188986</v>
      </c>
      <c r="H158" s="42">
        <f t="shared" ref="H158:I158" si="617">H53</f>
        <v>235454</v>
      </c>
      <c r="I158" s="42">
        <f t="shared" si="617"/>
        <v>277012</v>
      </c>
      <c r="J158" s="144"/>
      <c r="K158" s="42"/>
      <c r="L158" s="144"/>
      <c r="M158" s="42">
        <f t="shared" ref="M158" si="618">M53</f>
        <v>43742</v>
      </c>
      <c r="N158" s="144"/>
      <c r="O158" s="42">
        <f t="shared" ref="O158" si="619">O53</f>
        <v>46533</v>
      </c>
      <c r="P158" s="144"/>
      <c r="Q158" s="42">
        <f>Q53</f>
        <v>103274</v>
      </c>
      <c r="R158" s="144"/>
      <c r="S158" s="42">
        <f t="shared" ref="S158:S175" si="620">S53</f>
        <v>91524</v>
      </c>
      <c r="T158" s="144"/>
      <c r="U158" s="42">
        <f t="shared" ref="U158:U175" si="621">U53</f>
        <v>90770</v>
      </c>
      <c r="V158" s="144"/>
      <c r="W158" s="42">
        <f t="shared" ref="W158:W175" si="622">W53</f>
        <v>98216</v>
      </c>
      <c r="X158" s="144"/>
      <c r="Y158" s="42">
        <f t="shared" ref="Y158:Y175" si="623">Y53</f>
        <v>114659</v>
      </c>
      <c r="Z158" s="144"/>
      <c r="AA158" s="42">
        <f t="shared" ref="AA158:AA175" si="624">AA53</f>
        <v>120795</v>
      </c>
      <c r="AB158" s="144"/>
      <c r="AC158" s="42">
        <f t="shared" ref="AC158:AC175" si="625">AC53</f>
        <v>137777</v>
      </c>
      <c r="AD158" s="144"/>
      <c r="AE158" s="42">
        <f t="shared" ref="AE158:AE175" si="626">AE53</f>
        <v>139235</v>
      </c>
      <c r="AF158" s="144"/>
      <c r="AG158" s="42">
        <f t="shared" ref="AG158:AG175" si="627">AG53</f>
        <v>166681</v>
      </c>
    </row>
    <row r="159" spans="2:33" ht="13.5" customHeight="1">
      <c r="B159" s="26" t="str">
        <f t="shared" si="615"/>
        <v>Working Capital</v>
      </c>
      <c r="C159" s="20">
        <f t="shared" si="615"/>
        <v>12624</v>
      </c>
      <c r="D159" s="20">
        <f t="shared" si="615"/>
        <v>14</v>
      </c>
      <c r="E159" s="20">
        <f t="shared" si="615"/>
        <v>5408</v>
      </c>
      <c r="F159" s="20">
        <f t="shared" ref="F159:G159" si="628">F54</f>
        <v>17869</v>
      </c>
      <c r="G159" s="20">
        <f t="shared" si="628"/>
        <v>-3383</v>
      </c>
      <c r="H159" s="20">
        <f t="shared" ref="H159:I159" si="629">H54</f>
        <v>8916</v>
      </c>
      <c r="I159" s="20">
        <f t="shared" si="629"/>
        <v>9844</v>
      </c>
      <c r="J159" s="145"/>
      <c r="K159" s="20"/>
      <c r="L159" s="145"/>
      <c r="M159" s="20">
        <f t="shared" ref="M159" si="630">M54</f>
        <v>0</v>
      </c>
      <c r="N159" s="145"/>
      <c r="O159" s="20">
        <f t="shared" ref="O159" si="631">O54</f>
        <v>5408</v>
      </c>
      <c r="P159" s="145"/>
      <c r="Q159" s="20">
        <f t="shared" ref="Q159" si="632">Q54</f>
        <v>0</v>
      </c>
      <c r="R159" s="145"/>
      <c r="S159" s="20">
        <f t="shared" si="620"/>
        <v>17869</v>
      </c>
      <c r="T159" s="145"/>
      <c r="U159" s="20">
        <f t="shared" si="621"/>
        <v>0</v>
      </c>
      <c r="V159" s="145"/>
      <c r="W159" s="20">
        <f t="shared" si="622"/>
        <v>-3383</v>
      </c>
      <c r="X159" s="145"/>
      <c r="Y159" s="20">
        <f t="shared" si="623"/>
        <v>0</v>
      </c>
      <c r="Z159" s="145"/>
      <c r="AA159" s="20">
        <f t="shared" si="624"/>
        <v>8916</v>
      </c>
      <c r="AB159" s="145"/>
      <c r="AC159" s="20">
        <f t="shared" si="625"/>
        <v>0</v>
      </c>
      <c r="AD159" s="145"/>
      <c r="AE159" s="20">
        <f t="shared" si="626"/>
        <v>9844</v>
      </c>
      <c r="AF159" s="145"/>
      <c r="AG159" s="20">
        <f t="shared" si="627"/>
        <v>0</v>
      </c>
    </row>
    <row r="160" spans="2:33" ht="13.5" customHeight="1">
      <c r="B160" s="26" t="str">
        <f t="shared" si="615"/>
        <v>Taxes</v>
      </c>
      <c r="C160" s="20">
        <f t="shared" si="615"/>
        <v>-14521</v>
      </c>
      <c r="D160" s="20">
        <f t="shared" si="615"/>
        <v>-17228</v>
      </c>
      <c r="E160" s="20">
        <f t="shared" si="615"/>
        <v>-20322</v>
      </c>
      <c r="F160" s="20">
        <f t="shared" ref="F160:G160" si="633">F55</f>
        <v>-28526</v>
      </c>
      <c r="G160" s="20">
        <f t="shared" si="633"/>
        <v>-27669</v>
      </c>
      <c r="H160" s="20">
        <f t="shared" ref="H160:I160" si="634">H55</f>
        <v>-34729</v>
      </c>
      <c r="I160" s="20">
        <f t="shared" si="634"/>
        <v>-46184</v>
      </c>
      <c r="J160" s="145"/>
      <c r="K160" s="20"/>
      <c r="L160" s="145"/>
      <c r="M160" s="20">
        <f t="shared" ref="M160" si="635">M55</f>
        <v>-12753</v>
      </c>
      <c r="N160" s="145"/>
      <c r="O160" s="20">
        <f t="shared" ref="O160" si="636">O55</f>
        <v>-7569</v>
      </c>
      <c r="P160" s="145"/>
      <c r="Q160" s="20">
        <f t="shared" ref="Q160" si="637">Q55</f>
        <v>-16796</v>
      </c>
      <c r="R160" s="145"/>
      <c r="S160" s="20">
        <f t="shared" si="620"/>
        <v>-11730</v>
      </c>
      <c r="T160" s="145"/>
      <c r="U160" s="20">
        <f t="shared" si="621"/>
        <v>-17377</v>
      </c>
      <c r="V160" s="145"/>
      <c r="W160" s="20">
        <f t="shared" si="622"/>
        <v>-10292</v>
      </c>
      <c r="X160" s="145"/>
      <c r="Y160" s="20">
        <f t="shared" si="623"/>
        <v>-19884</v>
      </c>
      <c r="Z160" s="145"/>
      <c r="AA160" s="20">
        <f t="shared" si="624"/>
        <v>-14845</v>
      </c>
      <c r="AB160" s="145"/>
      <c r="AC160" s="20">
        <f t="shared" si="625"/>
        <v>-30306</v>
      </c>
      <c r="AD160" s="145"/>
      <c r="AE160" s="20">
        <f t="shared" si="626"/>
        <v>-15878</v>
      </c>
      <c r="AF160" s="145"/>
      <c r="AG160" s="20">
        <f t="shared" si="627"/>
        <v>-30306</v>
      </c>
    </row>
    <row r="161" spans="2:33" ht="13.5" customHeight="1">
      <c r="B161" s="26" t="str">
        <f t="shared" si="615"/>
        <v>Cash interest paid</v>
      </c>
      <c r="C161" s="20">
        <f t="shared" si="615"/>
        <v>-4493</v>
      </c>
      <c r="D161" s="20">
        <f t="shared" si="615"/>
        <v>-7047</v>
      </c>
      <c r="E161" s="20">
        <f t="shared" si="615"/>
        <v>-7076</v>
      </c>
      <c r="F161" s="20">
        <f t="shared" ref="F161:G161" si="638">F56</f>
        <v>-7525</v>
      </c>
      <c r="G161" s="20">
        <f t="shared" si="638"/>
        <v>-9342</v>
      </c>
      <c r="H161" s="20">
        <f t="shared" ref="H161:I161" si="639">H56</f>
        <v>-11478</v>
      </c>
      <c r="I161" s="20">
        <f t="shared" si="639"/>
        <v>-12417</v>
      </c>
      <c r="J161" s="145"/>
      <c r="K161" s="20"/>
      <c r="L161" s="145"/>
      <c r="M161" s="20">
        <f t="shared" ref="M161" si="640">M56</f>
        <v>-3714</v>
      </c>
      <c r="N161" s="145"/>
      <c r="O161" s="20">
        <f t="shared" ref="O161" si="641">O56</f>
        <v>-3362</v>
      </c>
      <c r="P161" s="145"/>
      <c r="Q161" s="20">
        <f t="shared" ref="Q161" si="642">Q56</f>
        <v>-3550</v>
      </c>
      <c r="R161" s="145"/>
      <c r="S161" s="20">
        <f t="shared" si="620"/>
        <v>-3975</v>
      </c>
      <c r="T161" s="145"/>
      <c r="U161" s="20">
        <f t="shared" si="621"/>
        <v>-4252</v>
      </c>
      <c r="V161" s="145"/>
      <c r="W161" s="20">
        <f t="shared" si="622"/>
        <v>-5090</v>
      </c>
      <c r="X161" s="145"/>
      <c r="Y161" s="20">
        <f t="shared" si="623"/>
        <v>-5567</v>
      </c>
      <c r="Z161" s="145"/>
      <c r="AA161" s="20">
        <f t="shared" si="624"/>
        <v>-5911</v>
      </c>
      <c r="AB161" s="145"/>
      <c r="AC161" s="20">
        <f t="shared" si="625"/>
        <v>-6070</v>
      </c>
      <c r="AD161" s="145"/>
      <c r="AE161" s="20">
        <f t="shared" si="626"/>
        <v>-6347</v>
      </c>
      <c r="AF161" s="145"/>
      <c r="AG161" s="20">
        <f t="shared" si="627"/>
        <v>-6070</v>
      </c>
    </row>
    <row r="162" spans="2:33" s="33" customFormat="1" ht="13.5" customHeight="1" thickBot="1">
      <c r="B162" s="39" t="str">
        <f t="shared" si="615"/>
        <v xml:space="preserve">Net cash from operations </v>
      </c>
      <c r="C162" s="38">
        <f t="shared" si="615"/>
        <v>111883</v>
      </c>
      <c r="D162" s="38">
        <f t="shared" si="615"/>
        <v>123134</v>
      </c>
      <c r="E162" s="38">
        <f t="shared" si="615"/>
        <v>161324</v>
      </c>
      <c r="F162" s="38">
        <f t="shared" ref="F162:G162" si="643">F57</f>
        <v>176616</v>
      </c>
      <c r="G162" s="38">
        <f t="shared" si="643"/>
        <v>148592</v>
      </c>
      <c r="H162" s="38">
        <f t="shared" ref="H162:I162" si="644">H57</f>
        <v>198163</v>
      </c>
      <c r="I162" s="38">
        <f t="shared" si="644"/>
        <v>228255</v>
      </c>
      <c r="J162" s="146"/>
      <c r="K162" s="38"/>
      <c r="L162" s="146"/>
      <c r="M162" s="38">
        <f t="shared" ref="M162" si="645">M57</f>
        <v>27275</v>
      </c>
      <c r="N162" s="146"/>
      <c r="O162" s="38">
        <f t="shared" ref="O162" si="646">O57</f>
        <v>41010</v>
      </c>
      <c r="P162" s="146"/>
      <c r="Q162" s="38">
        <f t="shared" ref="Q162" si="647">Q57</f>
        <v>82928</v>
      </c>
      <c r="R162" s="146"/>
      <c r="S162" s="38">
        <f t="shared" si="620"/>
        <v>93688</v>
      </c>
      <c r="T162" s="146"/>
      <c r="U162" s="38">
        <f t="shared" si="621"/>
        <v>69141</v>
      </c>
      <c r="V162" s="146"/>
      <c r="W162" s="38">
        <f t="shared" si="622"/>
        <v>79451</v>
      </c>
      <c r="X162" s="146"/>
      <c r="Y162" s="38">
        <f t="shared" si="623"/>
        <v>89208</v>
      </c>
      <c r="Z162" s="146"/>
      <c r="AA162" s="38">
        <f t="shared" si="624"/>
        <v>108955</v>
      </c>
      <c r="AB162" s="146"/>
      <c r="AC162" s="38">
        <f t="shared" si="625"/>
        <v>101401</v>
      </c>
      <c r="AD162" s="146"/>
      <c r="AE162" s="38">
        <f t="shared" si="626"/>
        <v>126854</v>
      </c>
      <c r="AF162" s="146"/>
      <c r="AG162" s="38">
        <f t="shared" si="627"/>
        <v>130305</v>
      </c>
    </row>
    <row r="163" spans="2:33" ht="13.5" customHeight="1" thickTop="1">
      <c r="B163" s="26" t="str">
        <f t="shared" si="615"/>
        <v>Net Capex</v>
      </c>
      <c r="C163" s="41">
        <f t="shared" si="615"/>
        <v>-19710</v>
      </c>
      <c r="D163" s="41">
        <f t="shared" si="615"/>
        <v>-22762</v>
      </c>
      <c r="E163" s="41">
        <f t="shared" si="615"/>
        <v>-34070</v>
      </c>
      <c r="F163" s="41">
        <f t="shared" ref="F163:G163" si="648">F58</f>
        <v>-29111</v>
      </c>
      <c r="G163" s="41">
        <f t="shared" si="648"/>
        <v>-22303</v>
      </c>
      <c r="H163" s="41">
        <f t="shared" ref="H163:I163" si="649">H58</f>
        <v>-20751</v>
      </c>
      <c r="I163" s="41">
        <f t="shared" si="649"/>
        <v>-62724</v>
      </c>
      <c r="J163" s="145"/>
      <c r="K163" s="41"/>
      <c r="L163" s="145"/>
      <c r="M163" s="41">
        <f t="shared" ref="M163" si="650">M58</f>
        <v>-17593</v>
      </c>
      <c r="N163" s="145"/>
      <c r="O163" s="41">
        <f t="shared" ref="O163" si="651">O58</f>
        <v>-16477</v>
      </c>
      <c r="P163" s="145"/>
      <c r="Q163" s="41">
        <f t="shared" ref="Q163" si="652">Q58</f>
        <v>-15739</v>
      </c>
      <c r="R163" s="145"/>
      <c r="S163" s="41">
        <f t="shared" si="620"/>
        <v>-13372</v>
      </c>
      <c r="T163" s="145"/>
      <c r="U163" s="41">
        <f t="shared" si="621"/>
        <v>-12601</v>
      </c>
      <c r="V163" s="145"/>
      <c r="W163" s="41">
        <f t="shared" si="622"/>
        <v>-9702</v>
      </c>
      <c r="X163" s="145"/>
      <c r="Y163" s="41">
        <f t="shared" si="623"/>
        <v>-6191</v>
      </c>
      <c r="Z163" s="145"/>
      <c r="AA163" s="41">
        <f t="shared" si="624"/>
        <v>-14560</v>
      </c>
      <c r="AB163" s="145"/>
      <c r="AC163" s="41">
        <f t="shared" si="625"/>
        <v>-12452</v>
      </c>
      <c r="AD163" s="145"/>
      <c r="AE163" s="41">
        <f t="shared" si="626"/>
        <v>-50272</v>
      </c>
      <c r="AF163" s="145"/>
      <c r="AG163" s="41">
        <f t="shared" si="627"/>
        <v>-12452</v>
      </c>
    </row>
    <row r="164" spans="2:33" ht="13.5" customHeight="1">
      <c r="B164" s="26" t="str">
        <f t="shared" si="615"/>
        <v>Purchase of intangible assets</v>
      </c>
      <c r="C164" s="41">
        <f t="shared" si="615"/>
        <v>-31877</v>
      </c>
      <c r="D164" s="41">
        <f t="shared" si="615"/>
        <v>-29866</v>
      </c>
      <c r="E164" s="41">
        <f t="shared" si="615"/>
        <v>-27182</v>
      </c>
      <c r="F164" s="41">
        <f t="shared" ref="F164:G164" si="653">F59</f>
        <v>-31159</v>
      </c>
      <c r="G164" s="41">
        <f t="shared" si="653"/>
        <v>-27645</v>
      </c>
      <c r="H164" s="41">
        <f t="shared" ref="H164:I164" si="654">H59</f>
        <v>-26042</v>
      </c>
      <c r="I164" s="41">
        <f t="shared" si="654"/>
        <v>-26394</v>
      </c>
      <c r="J164" s="145"/>
      <c r="K164" s="41"/>
      <c r="L164" s="145"/>
      <c r="M164" s="41">
        <f t="shared" ref="M164" si="655">M59</f>
        <v>-11343</v>
      </c>
      <c r="N164" s="145"/>
      <c r="O164" s="41">
        <f t="shared" ref="O164" si="656">O59</f>
        <v>-15839</v>
      </c>
      <c r="P164" s="145"/>
      <c r="Q164" s="41">
        <f t="shared" ref="Q164" si="657">Q59</f>
        <v>-14011</v>
      </c>
      <c r="R164" s="145"/>
      <c r="S164" s="41">
        <f t="shared" si="620"/>
        <v>-17148</v>
      </c>
      <c r="T164" s="145"/>
      <c r="U164" s="41">
        <f t="shared" si="621"/>
        <v>-15196</v>
      </c>
      <c r="V164" s="145"/>
      <c r="W164" s="41">
        <f t="shared" si="622"/>
        <v>-12449</v>
      </c>
      <c r="X164" s="145"/>
      <c r="Y164" s="41">
        <f t="shared" si="623"/>
        <v>-11407</v>
      </c>
      <c r="Z164" s="145"/>
      <c r="AA164" s="41">
        <f t="shared" si="624"/>
        <v>-14635</v>
      </c>
      <c r="AB164" s="145"/>
      <c r="AC164" s="41">
        <f t="shared" si="625"/>
        <v>-11846</v>
      </c>
      <c r="AD164" s="145"/>
      <c r="AE164" s="41">
        <f t="shared" si="626"/>
        <v>-14548</v>
      </c>
      <c r="AF164" s="145"/>
      <c r="AG164" s="41">
        <f t="shared" si="627"/>
        <v>-11846</v>
      </c>
    </row>
    <row r="165" spans="2:33" ht="13.5" customHeight="1">
      <c r="B165" s="26" t="str">
        <f t="shared" si="615"/>
        <v>Disposals/ Acquistion, of subsidiaries, businesses</v>
      </c>
      <c r="C165" s="41">
        <f t="shared" si="615"/>
        <v>-3407</v>
      </c>
      <c r="D165" s="41">
        <f t="shared" si="615"/>
        <v>-428</v>
      </c>
      <c r="E165" s="41">
        <f t="shared" si="615"/>
        <v>-15082</v>
      </c>
      <c r="F165" s="41">
        <f t="shared" ref="F165:G165" si="658">F60</f>
        <v>-21944</v>
      </c>
      <c r="G165" s="41">
        <f t="shared" si="658"/>
        <v>-12234</v>
      </c>
      <c r="H165" s="41">
        <f t="shared" ref="H165:I165" si="659">H60</f>
        <v>-7619</v>
      </c>
      <c r="I165" s="41">
        <f t="shared" si="659"/>
        <v>-7846</v>
      </c>
      <c r="J165" s="145"/>
      <c r="K165" s="41"/>
      <c r="L165" s="145"/>
      <c r="M165" s="41">
        <f t="shared" ref="M165" si="660">M60</f>
        <v>-3182</v>
      </c>
      <c r="N165" s="145"/>
      <c r="O165" s="41">
        <f t="shared" ref="O165" si="661">O60</f>
        <v>-11900</v>
      </c>
      <c r="P165" s="145"/>
      <c r="Q165" s="41">
        <f t="shared" ref="Q165" si="662">Q60</f>
        <v>-5015</v>
      </c>
      <c r="R165" s="145"/>
      <c r="S165" s="41">
        <f t="shared" si="620"/>
        <v>-16929</v>
      </c>
      <c r="T165" s="145"/>
      <c r="U165" s="41">
        <f t="shared" si="621"/>
        <v>-9611</v>
      </c>
      <c r="V165" s="145"/>
      <c r="W165" s="41">
        <f t="shared" si="622"/>
        <v>-2623</v>
      </c>
      <c r="X165" s="145"/>
      <c r="Y165" s="41">
        <f t="shared" si="623"/>
        <v>-309</v>
      </c>
      <c r="Z165" s="145"/>
      <c r="AA165" s="41">
        <f t="shared" si="624"/>
        <v>-7310</v>
      </c>
      <c r="AB165" s="145"/>
      <c r="AC165" s="41">
        <f t="shared" si="625"/>
        <v>-1388</v>
      </c>
      <c r="AD165" s="145"/>
      <c r="AE165" s="41">
        <f t="shared" si="626"/>
        <v>-6458</v>
      </c>
      <c r="AF165" s="145"/>
      <c r="AG165" s="41">
        <f t="shared" si="627"/>
        <v>-1388</v>
      </c>
    </row>
    <row r="166" spans="2:33" s="33" customFormat="1" ht="13.5" customHeight="1" thickBot="1">
      <c r="B166" s="39" t="str">
        <f t="shared" si="615"/>
        <v xml:space="preserve">Free cash flow </v>
      </c>
      <c r="C166" s="38">
        <f t="shared" si="615"/>
        <v>56889</v>
      </c>
      <c r="D166" s="38">
        <f t="shared" si="615"/>
        <v>70078</v>
      </c>
      <c r="E166" s="38">
        <f t="shared" si="615"/>
        <v>84990</v>
      </c>
      <c r="F166" s="38">
        <f t="shared" ref="F166:G166" si="663">F61</f>
        <v>94402</v>
      </c>
      <c r="G166" s="38">
        <f t="shared" si="663"/>
        <v>86410</v>
      </c>
      <c r="H166" s="38">
        <f t="shared" ref="H166:I166" si="664">H61</f>
        <v>143751</v>
      </c>
      <c r="I166" s="38">
        <f t="shared" si="664"/>
        <v>131291</v>
      </c>
      <c r="J166" s="146"/>
      <c r="K166" s="38"/>
      <c r="L166" s="146"/>
      <c r="M166" s="38">
        <f t="shared" ref="M166" si="665">M61</f>
        <v>-4843</v>
      </c>
      <c r="N166" s="146"/>
      <c r="O166" s="38">
        <f t="shared" ref="O166" si="666">O61</f>
        <v>-3206</v>
      </c>
      <c r="P166" s="146"/>
      <c r="Q166" s="38">
        <f t="shared" ref="Q166" si="667">Q61</f>
        <v>48163</v>
      </c>
      <c r="R166" s="146"/>
      <c r="S166" s="38">
        <f t="shared" si="620"/>
        <v>46239</v>
      </c>
      <c r="T166" s="146"/>
      <c r="U166" s="38">
        <f t="shared" si="621"/>
        <v>31733</v>
      </c>
      <c r="V166" s="146"/>
      <c r="W166" s="38">
        <f t="shared" si="622"/>
        <v>54677</v>
      </c>
      <c r="X166" s="146"/>
      <c r="Y166" s="38">
        <f t="shared" si="623"/>
        <v>71301</v>
      </c>
      <c r="Z166" s="146"/>
      <c r="AA166" s="38">
        <f t="shared" si="624"/>
        <v>72450</v>
      </c>
      <c r="AB166" s="146"/>
      <c r="AC166" s="38">
        <f t="shared" si="625"/>
        <v>75715</v>
      </c>
      <c r="AD166" s="146"/>
      <c r="AE166" s="38">
        <f t="shared" si="626"/>
        <v>55576</v>
      </c>
      <c r="AF166" s="146"/>
      <c r="AG166" s="38">
        <f t="shared" si="627"/>
        <v>104619</v>
      </c>
    </row>
    <row r="167" spans="2:33" s="33" customFormat="1" ht="13.5" customHeight="1" thickTop="1">
      <c r="B167" s="26" t="str">
        <f t="shared" si="615"/>
        <v xml:space="preserve">Other Investing </v>
      </c>
      <c r="C167" s="41">
        <f t="shared" si="615"/>
        <v>-98643</v>
      </c>
      <c r="D167" s="41">
        <f t="shared" si="615"/>
        <v>-64784</v>
      </c>
      <c r="E167" s="41">
        <f t="shared" si="615"/>
        <v>-107774</v>
      </c>
      <c r="F167" s="41">
        <f t="shared" ref="F167:G167" si="668">F62</f>
        <v>-99468</v>
      </c>
      <c r="G167" s="41">
        <f t="shared" si="668"/>
        <v>-44881</v>
      </c>
      <c r="H167" s="41">
        <f t="shared" ref="H167:I167" si="669">H62</f>
        <v>-72760</v>
      </c>
      <c r="I167" s="41">
        <f t="shared" si="669"/>
        <v>-28744</v>
      </c>
      <c r="J167" s="145"/>
      <c r="K167" s="41"/>
      <c r="L167" s="145"/>
      <c r="M167" s="41">
        <f t="shared" ref="M167" si="670">M62</f>
        <v>-61411</v>
      </c>
      <c r="N167" s="145"/>
      <c r="O167" s="41">
        <f t="shared" ref="O167" si="671">O62</f>
        <v>-46363</v>
      </c>
      <c r="P167" s="145"/>
      <c r="Q167" s="41">
        <f t="shared" ref="Q167" si="672">Q62</f>
        <v>-68558</v>
      </c>
      <c r="R167" s="145"/>
      <c r="S167" s="41">
        <f t="shared" si="620"/>
        <v>-30910</v>
      </c>
      <c r="T167" s="145"/>
      <c r="U167" s="41">
        <f t="shared" si="621"/>
        <v>-10323</v>
      </c>
      <c r="V167" s="145"/>
      <c r="W167" s="41">
        <f t="shared" si="622"/>
        <v>-34558</v>
      </c>
      <c r="X167" s="145"/>
      <c r="Y167" s="41">
        <f t="shared" si="623"/>
        <v>-67707</v>
      </c>
      <c r="Z167" s="145"/>
      <c r="AA167" s="41">
        <f t="shared" si="624"/>
        <v>-5053</v>
      </c>
      <c r="AB167" s="145"/>
      <c r="AC167" s="41">
        <f t="shared" si="625"/>
        <v>-17478</v>
      </c>
      <c r="AD167" s="145"/>
      <c r="AE167" s="41">
        <f t="shared" si="626"/>
        <v>-11266</v>
      </c>
      <c r="AF167" s="145"/>
      <c r="AG167" s="41">
        <f t="shared" si="627"/>
        <v>-17478</v>
      </c>
    </row>
    <row r="168" spans="2:33" ht="13.5" customHeight="1">
      <c r="B168" s="26" t="str">
        <f t="shared" si="615"/>
        <v>Equity Issuance</v>
      </c>
      <c r="C168" s="41">
        <f t="shared" si="615"/>
        <v>7763</v>
      </c>
      <c r="D168" s="41">
        <f t="shared" si="615"/>
        <v>712</v>
      </c>
      <c r="E168" s="41">
        <f t="shared" si="615"/>
        <v>2316</v>
      </c>
      <c r="F168" s="41">
        <f t="shared" ref="F168:G168" si="673">F63</f>
        <v>1770</v>
      </c>
      <c r="G168" s="41">
        <f t="shared" si="673"/>
        <v>1003</v>
      </c>
      <c r="H168" s="41">
        <f t="shared" ref="H168:I168" si="674">H63</f>
        <v>1266</v>
      </c>
      <c r="I168" s="41">
        <f t="shared" si="674"/>
        <v>2093</v>
      </c>
      <c r="J168" s="145"/>
      <c r="K168" s="41"/>
      <c r="L168" s="145"/>
      <c r="M168" s="41">
        <f t="shared" ref="M168" si="675">M63</f>
        <v>815</v>
      </c>
      <c r="N168" s="145"/>
      <c r="O168" s="41">
        <f t="shared" ref="O168" si="676">O63</f>
        <v>1501</v>
      </c>
      <c r="P168" s="145"/>
      <c r="Q168" s="41">
        <f t="shared" ref="Q168" si="677">Q63</f>
        <v>637</v>
      </c>
      <c r="R168" s="145"/>
      <c r="S168" s="41">
        <f t="shared" si="620"/>
        <v>1133</v>
      </c>
      <c r="T168" s="145"/>
      <c r="U168" s="41">
        <f t="shared" si="621"/>
        <v>226</v>
      </c>
      <c r="V168" s="145"/>
      <c r="W168" s="41">
        <f t="shared" si="622"/>
        <v>777</v>
      </c>
      <c r="X168" s="145"/>
      <c r="Y168" s="41">
        <f t="shared" si="623"/>
        <v>-14194</v>
      </c>
      <c r="Z168" s="145"/>
      <c r="AA168" s="41">
        <f t="shared" si="624"/>
        <v>15460</v>
      </c>
      <c r="AB168" s="145"/>
      <c r="AC168" s="41">
        <f t="shared" si="625"/>
        <v>-46483</v>
      </c>
      <c r="AD168" s="145"/>
      <c r="AE168" s="41">
        <f t="shared" si="626"/>
        <v>48576</v>
      </c>
      <c r="AF168" s="145"/>
      <c r="AG168" s="41">
        <f t="shared" si="627"/>
        <v>-46483</v>
      </c>
    </row>
    <row r="169" spans="2:33" ht="13.5" customHeight="1">
      <c r="B169" s="26" t="str">
        <f t="shared" si="615"/>
        <v>Dividends</v>
      </c>
      <c r="C169" s="41">
        <f t="shared" si="615"/>
        <v>-5672</v>
      </c>
      <c r="D169" s="41">
        <f t="shared" si="615"/>
        <v>-7783</v>
      </c>
      <c r="E169" s="41">
        <f t="shared" si="615"/>
        <v>-9265</v>
      </c>
      <c r="F169" s="41">
        <f t="shared" ref="F169:G169" si="678">F64</f>
        <v>-10582</v>
      </c>
      <c r="G169" s="41">
        <f t="shared" si="678"/>
        <v>-12925</v>
      </c>
      <c r="H169" s="41">
        <f t="shared" ref="H169:I169" si="679">H64</f>
        <v>-19777</v>
      </c>
      <c r="I169" s="41">
        <f t="shared" si="679"/>
        <v>-27723</v>
      </c>
      <c r="J169" s="145"/>
      <c r="K169" s="41"/>
      <c r="L169" s="145"/>
      <c r="M169" s="41">
        <f t="shared" ref="M169" si="680">M64</f>
        <v>-10088</v>
      </c>
      <c r="N169" s="145"/>
      <c r="O169" s="41">
        <f t="shared" ref="O169" si="681">O64</f>
        <v>823</v>
      </c>
      <c r="P169" s="145"/>
      <c r="Q169" s="41">
        <f t="shared" ref="Q169" si="682">Q64</f>
        <v>-11559</v>
      </c>
      <c r="R169" s="145"/>
      <c r="S169" s="41">
        <f t="shared" si="620"/>
        <v>977</v>
      </c>
      <c r="T169" s="145"/>
      <c r="U169" s="41">
        <f t="shared" si="621"/>
        <v>-12160</v>
      </c>
      <c r="V169" s="145"/>
      <c r="W169" s="41">
        <f t="shared" si="622"/>
        <v>-765</v>
      </c>
      <c r="X169" s="145"/>
      <c r="Y169" s="41">
        <f t="shared" si="623"/>
        <v>-20370</v>
      </c>
      <c r="Z169" s="145"/>
      <c r="AA169" s="41">
        <f t="shared" si="624"/>
        <v>593</v>
      </c>
      <c r="AB169" s="145"/>
      <c r="AC169" s="41">
        <f t="shared" si="625"/>
        <v>-28128</v>
      </c>
      <c r="AD169" s="145"/>
      <c r="AE169" s="41">
        <f t="shared" si="626"/>
        <v>405</v>
      </c>
      <c r="AF169" s="145"/>
      <c r="AG169" s="41">
        <f t="shared" si="627"/>
        <v>-28128</v>
      </c>
    </row>
    <row r="170" spans="2:33" ht="13.5" customHeight="1">
      <c r="B170" s="26" t="str">
        <f t="shared" si="615"/>
        <v>Net Change in debt</v>
      </c>
      <c r="C170" s="41">
        <f t="shared" si="615"/>
        <v>37842</v>
      </c>
      <c r="D170" s="41">
        <f t="shared" si="615"/>
        <v>20561</v>
      </c>
      <c r="E170" s="41">
        <f t="shared" si="615"/>
        <v>40953</v>
      </c>
      <c r="F170" s="41">
        <f t="shared" ref="F170:G170" si="683">F65</f>
        <v>55367</v>
      </c>
      <c r="G170" s="41">
        <f t="shared" si="683"/>
        <v>438</v>
      </c>
      <c r="H170" s="41">
        <f t="shared" ref="H170:I170" si="684">H65</f>
        <v>2652</v>
      </c>
      <c r="I170" s="41">
        <f t="shared" si="684"/>
        <v>-20689</v>
      </c>
      <c r="J170" s="145"/>
      <c r="K170" s="41"/>
      <c r="L170" s="145"/>
      <c r="M170" s="41">
        <f t="shared" ref="M170" si="685">M65</f>
        <v>48841</v>
      </c>
      <c r="N170" s="145"/>
      <c r="O170" s="41">
        <f t="shared" ref="O170" si="686">O65</f>
        <v>-7888</v>
      </c>
      <c r="P170" s="145"/>
      <c r="Q170" s="41">
        <f t="shared" ref="Q170" si="687">Q65</f>
        <v>28635</v>
      </c>
      <c r="R170" s="145"/>
      <c r="S170" s="41">
        <f t="shared" si="620"/>
        <v>26732</v>
      </c>
      <c r="T170" s="145"/>
      <c r="U170" s="41">
        <f t="shared" si="621"/>
        <v>16758</v>
      </c>
      <c r="V170" s="145"/>
      <c r="W170" s="41">
        <f t="shared" si="622"/>
        <v>-16320</v>
      </c>
      <c r="X170" s="145"/>
      <c r="Y170" s="41">
        <f t="shared" si="623"/>
        <v>6220</v>
      </c>
      <c r="Z170" s="145"/>
      <c r="AA170" s="41">
        <f t="shared" si="624"/>
        <v>-3568</v>
      </c>
      <c r="AB170" s="145"/>
      <c r="AC170" s="41">
        <f t="shared" si="625"/>
        <v>-9864</v>
      </c>
      <c r="AD170" s="145"/>
      <c r="AE170" s="41">
        <f t="shared" si="626"/>
        <v>-10825</v>
      </c>
      <c r="AF170" s="145"/>
      <c r="AG170" s="41">
        <f t="shared" si="627"/>
        <v>-9864</v>
      </c>
    </row>
    <row r="171" spans="2:33" ht="13.5" customHeight="1">
      <c r="B171" s="26" t="str">
        <f t="shared" si="615"/>
        <v>Other financing activities</v>
      </c>
      <c r="C171" s="41">
        <f t="shared" si="615"/>
        <v>-2829</v>
      </c>
      <c r="D171" s="41">
        <f t="shared" si="615"/>
        <v>-3101</v>
      </c>
      <c r="E171" s="41">
        <f t="shared" si="615"/>
        <v>-11128</v>
      </c>
      <c r="F171" s="41">
        <f t="shared" ref="F171:G171" si="688">F66</f>
        <v>-14086</v>
      </c>
      <c r="G171" s="41">
        <f t="shared" si="688"/>
        <v>-36935</v>
      </c>
      <c r="H171" s="41">
        <f t="shared" ref="H171:I171" si="689">H66</f>
        <v>-53225</v>
      </c>
      <c r="I171" s="41">
        <f t="shared" si="689"/>
        <v>-114237</v>
      </c>
      <c r="J171" s="145"/>
      <c r="K171" s="41"/>
      <c r="L171" s="145"/>
      <c r="M171" s="41">
        <f t="shared" ref="M171" si="690">M66</f>
        <v>-754</v>
      </c>
      <c r="N171" s="145"/>
      <c r="O171" s="41">
        <f t="shared" ref="O171" si="691">O66</f>
        <v>-10374</v>
      </c>
      <c r="P171" s="145"/>
      <c r="Q171" s="41">
        <f t="shared" ref="Q171" si="692">Q66</f>
        <v>-3194</v>
      </c>
      <c r="R171" s="145"/>
      <c r="S171" s="41">
        <f t="shared" si="620"/>
        <v>-10892</v>
      </c>
      <c r="T171" s="145"/>
      <c r="U171" s="41">
        <f t="shared" si="621"/>
        <v>-3714</v>
      </c>
      <c r="V171" s="145"/>
      <c r="W171" s="41">
        <f t="shared" si="622"/>
        <v>-33221</v>
      </c>
      <c r="X171" s="145"/>
      <c r="Y171" s="41">
        <f t="shared" si="623"/>
        <v>58455</v>
      </c>
      <c r="Z171" s="145"/>
      <c r="AA171" s="41">
        <f t="shared" si="624"/>
        <v>-111680</v>
      </c>
      <c r="AB171" s="145"/>
      <c r="AC171" s="41">
        <f t="shared" si="625"/>
        <v>2172</v>
      </c>
      <c r="AD171" s="145"/>
      <c r="AE171" s="41">
        <f t="shared" si="626"/>
        <v>-116409</v>
      </c>
      <c r="AF171" s="145"/>
      <c r="AG171" s="41">
        <f t="shared" si="627"/>
        <v>2172</v>
      </c>
    </row>
    <row r="172" spans="2:33" s="33" customFormat="1" ht="13.5" customHeight="1" thickBot="1">
      <c r="B172" s="39" t="str">
        <f t="shared" si="615"/>
        <v>Cash flow after financing activities</v>
      </c>
      <c r="C172" s="38">
        <f t="shared" si="615"/>
        <v>-4650</v>
      </c>
      <c r="D172" s="38">
        <f t="shared" si="615"/>
        <v>15683</v>
      </c>
      <c r="E172" s="38">
        <f t="shared" si="615"/>
        <v>92</v>
      </c>
      <c r="F172" s="38">
        <f t="shared" ref="F172:G172" si="693">F67</f>
        <v>27403</v>
      </c>
      <c r="G172" s="38">
        <f t="shared" si="693"/>
        <v>-6890</v>
      </c>
      <c r="H172" s="38">
        <f t="shared" ref="H172:I172" si="694">H67</f>
        <v>1907</v>
      </c>
      <c r="I172" s="38">
        <f t="shared" si="694"/>
        <v>-58009</v>
      </c>
      <c r="J172" s="146"/>
      <c r="K172" s="38"/>
      <c r="L172" s="146"/>
      <c r="M172" s="38">
        <f t="shared" ref="M172" si="695">M67</f>
        <v>-27440</v>
      </c>
      <c r="N172" s="146"/>
      <c r="O172" s="38">
        <f t="shared" ref="O172" si="696">O67</f>
        <v>-65507</v>
      </c>
      <c r="P172" s="146"/>
      <c r="Q172" s="38">
        <f t="shared" ref="Q172" si="697">Q67</f>
        <v>-5876</v>
      </c>
      <c r="R172" s="146"/>
      <c r="S172" s="38">
        <f t="shared" si="620"/>
        <v>33279</v>
      </c>
      <c r="T172" s="146"/>
      <c r="U172" s="38">
        <f t="shared" si="621"/>
        <v>22520</v>
      </c>
      <c r="V172" s="146"/>
      <c r="W172" s="38">
        <f t="shared" si="622"/>
        <v>-29410</v>
      </c>
      <c r="X172" s="146"/>
      <c r="Y172" s="38">
        <f t="shared" si="623"/>
        <v>33705</v>
      </c>
      <c r="Z172" s="146"/>
      <c r="AA172" s="38">
        <f t="shared" si="624"/>
        <v>-31798</v>
      </c>
      <c r="AB172" s="146"/>
      <c r="AC172" s="38">
        <f t="shared" si="625"/>
        <v>-24066</v>
      </c>
      <c r="AD172" s="146"/>
      <c r="AE172" s="38">
        <f t="shared" si="626"/>
        <v>-33943</v>
      </c>
      <c r="AF172" s="146"/>
      <c r="AG172" s="38">
        <f t="shared" si="627"/>
        <v>4838</v>
      </c>
    </row>
    <row r="173" spans="2:33" s="33" customFormat="1" ht="13.5" customHeight="1" thickTop="1">
      <c r="B173" s="26" t="str">
        <f t="shared" si="615"/>
        <v>Balancing figure</v>
      </c>
      <c r="C173" s="41">
        <f t="shared" si="615"/>
        <v>-5440</v>
      </c>
      <c r="D173" s="41">
        <f t="shared" si="615"/>
        <v>18409</v>
      </c>
      <c r="E173" s="41">
        <f t="shared" si="615"/>
        <v>25719</v>
      </c>
      <c r="F173" s="41">
        <f t="shared" ref="F173:G173" si="698">F68</f>
        <v>-9146</v>
      </c>
      <c r="G173" s="41">
        <f t="shared" si="698"/>
        <v>-11843</v>
      </c>
      <c r="H173" s="41">
        <f t="shared" ref="H173:I173" si="699">H68</f>
        <v>12321</v>
      </c>
      <c r="I173" s="41">
        <f t="shared" si="699"/>
        <v>17849</v>
      </c>
      <c r="J173" s="145"/>
      <c r="K173" s="41"/>
      <c r="L173" s="145"/>
      <c r="M173" s="41">
        <f t="shared" ref="M173" si="700">M68</f>
        <v>67736</v>
      </c>
      <c r="N173" s="145"/>
      <c r="O173" s="41">
        <f t="shared" ref="O173" si="701">O68</f>
        <v>91956</v>
      </c>
      <c r="P173" s="145"/>
      <c r="Q173" s="41">
        <f t="shared" ref="Q173" si="702">Q68</f>
        <v>-3522</v>
      </c>
      <c r="R173" s="145"/>
      <c r="S173" s="41">
        <f t="shared" si="620"/>
        <v>-15022</v>
      </c>
      <c r="T173" s="145"/>
      <c r="U173" s="41">
        <f t="shared" si="621"/>
        <v>-9941</v>
      </c>
      <c r="V173" s="145"/>
      <c r="W173" s="41">
        <f t="shared" si="622"/>
        <v>10677</v>
      </c>
      <c r="X173" s="145"/>
      <c r="Y173" s="41">
        <f t="shared" si="623"/>
        <v>-53042</v>
      </c>
      <c r="Z173" s="145"/>
      <c r="AA173" s="41">
        <f t="shared" si="624"/>
        <v>13065</v>
      </c>
      <c r="AB173" s="145"/>
      <c r="AC173" s="41">
        <f t="shared" si="625"/>
        <v>5294</v>
      </c>
      <c r="AD173" s="145"/>
      <c r="AE173" s="41">
        <f t="shared" si="626"/>
        <v>-6217</v>
      </c>
      <c r="AF173" s="145"/>
      <c r="AG173" s="41">
        <f t="shared" si="627"/>
        <v>-23610</v>
      </c>
    </row>
    <row r="174" spans="2:33" ht="13.5" customHeight="1">
      <c r="B174" s="26" t="str">
        <f t="shared" si="615"/>
        <v xml:space="preserve">FX </v>
      </c>
      <c r="C174" s="41">
        <f t="shared" si="615"/>
        <v>2207</v>
      </c>
      <c r="D174" s="41">
        <f t="shared" si="615"/>
        <v>1085</v>
      </c>
      <c r="E174" s="41">
        <f t="shared" si="615"/>
        <v>-6004</v>
      </c>
      <c r="F174" s="41">
        <f t="shared" ref="F174:G174" si="703">F69</f>
        <v>-3089</v>
      </c>
      <c r="G174" s="41">
        <f t="shared" si="703"/>
        <v>7506</v>
      </c>
      <c r="H174" s="41">
        <f t="shared" ref="H174:I174" si="704">H69</f>
        <v>1353</v>
      </c>
      <c r="I174" s="41">
        <f t="shared" si="704"/>
        <v>359</v>
      </c>
      <c r="J174" s="145"/>
      <c r="K174" s="41"/>
      <c r="L174" s="145"/>
      <c r="M174" s="41">
        <f t="shared" ref="M174" si="705">M69</f>
        <v>431</v>
      </c>
      <c r="N174" s="145"/>
      <c r="O174" s="41">
        <f t="shared" ref="O174" si="706">O69</f>
        <v>-6435</v>
      </c>
      <c r="P174" s="145"/>
      <c r="Q174" s="41">
        <f t="shared" ref="Q174" si="707">Q69</f>
        <v>-1679</v>
      </c>
      <c r="R174" s="145"/>
      <c r="S174" s="41">
        <f t="shared" si="620"/>
        <v>-1410</v>
      </c>
      <c r="T174" s="145"/>
      <c r="U174" s="41">
        <f t="shared" si="621"/>
        <v>4113</v>
      </c>
      <c r="V174" s="145"/>
      <c r="W174" s="41">
        <f t="shared" si="622"/>
        <v>3393</v>
      </c>
      <c r="X174" s="145"/>
      <c r="Y174" s="41">
        <f t="shared" si="623"/>
        <v>2245</v>
      </c>
      <c r="Z174" s="145"/>
      <c r="AA174" s="41">
        <f t="shared" si="624"/>
        <v>-892</v>
      </c>
      <c r="AB174" s="145"/>
      <c r="AC174" s="41">
        <f t="shared" si="625"/>
        <v>-37</v>
      </c>
      <c r="AD174" s="145"/>
      <c r="AE174" s="41">
        <f t="shared" si="626"/>
        <v>396</v>
      </c>
      <c r="AF174" s="145"/>
      <c r="AG174" s="41">
        <f t="shared" si="627"/>
        <v>-37</v>
      </c>
    </row>
    <row r="175" spans="2:33" s="33" customFormat="1" ht="13.5" customHeight="1" thickBot="1">
      <c r="B175" s="39" t="str">
        <f t="shared" si="615"/>
        <v xml:space="preserve">Net change in cash </v>
      </c>
      <c r="C175" s="38">
        <f t="shared" si="615"/>
        <v>-7883</v>
      </c>
      <c r="D175" s="38">
        <f t="shared" si="615"/>
        <v>35177</v>
      </c>
      <c r="E175" s="38">
        <f t="shared" si="615"/>
        <v>19807</v>
      </c>
      <c r="F175" s="38">
        <f t="shared" ref="F175:G175" si="708">F70</f>
        <v>15168</v>
      </c>
      <c r="G175" s="38">
        <f t="shared" si="708"/>
        <v>-11227</v>
      </c>
      <c r="H175" s="38">
        <f t="shared" ref="H175:I175" si="709">H70</f>
        <v>15581</v>
      </c>
      <c r="I175" s="38">
        <f t="shared" si="709"/>
        <v>-39801</v>
      </c>
      <c r="J175" s="146"/>
      <c r="K175" s="38"/>
      <c r="L175" s="146"/>
      <c r="M175" s="38">
        <f t="shared" ref="M175" si="710">M70</f>
        <v>40727</v>
      </c>
      <c r="N175" s="146"/>
      <c r="O175" s="38">
        <f t="shared" ref="O175" si="711">O70</f>
        <v>20014</v>
      </c>
      <c r="P175" s="146"/>
      <c r="Q175" s="38">
        <f t="shared" ref="Q175" si="712">Q70</f>
        <v>-11077</v>
      </c>
      <c r="R175" s="146"/>
      <c r="S175" s="38">
        <f t="shared" si="620"/>
        <v>16847</v>
      </c>
      <c r="T175" s="146"/>
      <c r="U175" s="38">
        <f t="shared" si="621"/>
        <v>16692</v>
      </c>
      <c r="V175" s="146"/>
      <c r="W175" s="38">
        <f t="shared" si="622"/>
        <v>-15340</v>
      </c>
      <c r="X175" s="146"/>
      <c r="Y175" s="38">
        <f t="shared" si="623"/>
        <v>-17092</v>
      </c>
      <c r="Z175" s="146"/>
      <c r="AA175" s="38">
        <f t="shared" si="624"/>
        <v>-19625</v>
      </c>
      <c r="AB175" s="146"/>
      <c r="AC175" s="38">
        <f t="shared" si="625"/>
        <v>-18809</v>
      </c>
      <c r="AD175" s="146"/>
      <c r="AE175" s="38">
        <f t="shared" si="626"/>
        <v>-39764</v>
      </c>
      <c r="AF175" s="146"/>
      <c r="AG175" s="38">
        <f t="shared" si="627"/>
        <v>-18809</v>
      </c>
    </row>
    <row r="176" spans="2:33" ht="13.5" customHeight="1" thickTop="1"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</row>
    <row r="177" spans="2:33" s="33" customFormat="1" ht="13.5" customHeight="1">
      <c r="B177" s="33" t="str">
        <f>+B112</f>
        <v>Total debt</v>
      </c>
      <c r="C177" s="40">
        <f t="shared" ref="C177:E178" si="713">C112</f>
        <v>165569</v>
      </c>
      <c r="D177" s="40">
        <f t="shared" si="713"/>
        <v>221986</v>
      </c>
      <c r="E177" s="40">
        <f t="shared" si="713"/>
        <v>262464</v>
      </c>
      <c r="F177" s="40">
        <f t="shared" ref="F177:G177" si="714">F112</f>
        <v>323476</v>
      </c>
      <c r="G177" s="40">
        <f t="shared" si="714"/>
        <v>359141</v>
      </c>
      <c r="H177" s="40">
        <f t="shared" ref="H177:I177" si="715">H112</f>
        <v>371240</v>
      </c>
      <c r="I177" s="40">
        <f t="shared" si="715"/>
        <v>358112</v>
      </c>
      <c r="J177" s="40">
        <f t="shared" ref="J177" si="716">J112</f>
        <v>412486</v>
      </c>
      <c r="K177" s="40"/>
      <c r="L177" s="40">
        <f t="shared" ref="L177:Q178" si="717">L112</f>
        <v>236863</v>
      </c>
      <c r="M177" s="40">
        <f t="shared" si="717"/>
        <v>285491</v>
      </c>
      <c r="N177" s="40">
        <f t="shared" si="717"/>
        <v>271088</v>
      </c>
      <c r="O177" s="40">
        <f t="shared" si="717"/>
        <v>262464</v>
      </c>
      <c r="P177" s="40">
        <f t="shared" si="717"/>
        <v>267273</v>
      </c>
      <c r="Q177" s="40">
        <f t="shared" si="717"/>
        <v>291149</v>
      </c>
      <c r="R177" s="40">
        <f t="shared" ref="R177:U177" si="718">R112</f>
        <v>331793</v>
      </c>
      <c r="S177" s="40">
        <f t="shared" si="718"/>
        <v>323476</v>
      </c>
      <c r="T177" s="40">
        <f t="shared" si="718"/>
        <v>339011</v>
      </c>
      <c r="U177" s="40">
        <f t="shared" si="718"/>
        <v>360802</v>
      </c>
      <c r="V177" s="40">
        <f t="shared" ref="V177:Y177" si="719">V112</f>
        <v>367173</v>
      </c>
      <c r="W177" s="40">
        <f t="shared" si="719"/>
        <v>359141</v>
      </c>
      <c r="X177" s="40">
        <f t="shared" si="719"/>
        <v>362086</v>
      </c>
      <c r="Y177" s="40">
        <f t="shared" si="719"/>
        <v>377577</v>
      </c>
      <c r="Z177" s="40">
        <f t="shared" ref="Z177:AC177" si="720">Z112</f>
        <v>372929</v>
      </c>
      <c r="AA177" s="40">
        <f t="shared" si="720"/>
        <v>371240</v>
      </c>
      <c r="AB177" s="40">
        <f t="shared" si="720"/>
        <v>374008</v>
      </c>
      <c r="AC177" s="40">
        <f t="shared" si="720"/>
        <v>364371</v>
      </c>
      <c r="AD177" s="40">
        <f t="shared" ref="AD177:AG177" si="721">AD112</f>
        <v>349661</v>
      </c>
      <c r="AE177" s="40">
        <f t="shared" si="721"/>
        <v>358112</v>
      </c>
      <c r="AF177" s="40">
        <f t="shared" si="721"/>
        <v>404643</v>
      </c>
      <c r="AG177" s="40">
        <f t="shared" si="721"/>
        <v>412486</v>
      </c>
    </row>
    <row r="178" spans="2:33" ht="13.5" customHeight="1">
      <c r="B178" s="26" t="str">
        <f>+B113</f>
        <v>Cash and cash equivalents</v>
      </c>
      <c r="C178" s="37">
        <f t="shared" si="713"/>
        <v>97814</v>
      </c>
      <c r="D178" s="37">
        <f t="shared" si="713"/>
        <v>132991</v>
      </c>
      <c r="E178" s="37">
        <f t="shared" si="713"/>
        <v>152798</v>
      </c>
      <c r="F178" s="37">
        <f t="shared" ref="F178:G178" si="722">F113</f>
        <v>167966</v>
      </c>
      <c r="G178" s="37">
        <f t="shared" si="722"/>
        <v>156739</v>
      </c>
      <c r="H178" s="37">
        <f t="shared" ref="H178:I178" si="723">H113</f>
        <v>172320</v>
      </c>
      <c r="I178" s="37">
        <f t="shared" si="723"/>
        <v>132519</v>
      </c>
      <c r="J178" s="37">
        <f t="shared" ref="J178" si="724">J113</f>
        <v>182057</v>
      </c>
      <c r="K178" s="37"/>
      <c r="L178" s="37">
        <f t="shared" si="717"/>
        <v>135270</v>
      </c>
      <c r="M178" s="37">
        <f t="shared" si="717"/>
        <v>173718</v>
      </c>
      <c r="N178" s="37">
        <f t="shared" si="717"/>
        <v>152491</v>
      </c>
      <c r="O178" s="37">
        <f t="shared" si="717"/>
        <v>152798</v>
      </c>
      <c r="P178" s="37">
        <f t="shared" si="717"/>
        <v>148621</v>
      </c>
      <c r="Q178" s="37">
        <f t="shared" si="717"/>
        <v>141721</v>
      </c>
      <c r="R178" s="37">
        <f t="shared" ref="R178:U178" si="725">R113</f>
        <v>170873</v>
      </c>
      <c r="S178" s="37">
        <f t="shared" si="725"/>
        <v>167966</v>
      </c>
      <c r="T178" s="37">
        <f t="shared" si="725"/>
        <v>188826</v>
      </c>
      <c r="U178" s="37">
        <f t="shared" si="725"/>
        <v>184658</v>
      </c>
      <c r="V178" s="37">
        <f t="shared" ref="V178:Y178" si="726">V113</f>
        <v>160177</v>
      </c>
      <c r="W178" s="37">
        <f t="shared" si="726"/>
        <v>156739</v>
      </c>
      <c r="X178" s="37">
        <f t="shared" si="726"/>
        <v>153328</v>
      </c>
      <c r="Y178" s="37">
        <f t="shared" si="726"/>
        <v>139647</v>
      </c>
      <c r="Z178" s="37">
        <f t="shared" ref="Z178:AC178" si="727">Z113</f>
        <v>146476</v>
      </c>
      <c r="AA178" s="37">
        <f t="shared" si="727"/>
        <v>172320</v>
      </c>
      <c r="AB178" s="37">
        <f t="shared" si="727"/>
        <v>161023</v>
      </c>
      <c r="AC178" s="37">
        <f t="shared" si="727"/>
        <v>153511</v>
      </c>
      <c r="AD178" s="37">
        <f t="shared" ref="AD178:AG178" si="728">AD113</f>
        <v>145468</v>
      </c>
      <c r="AE178" s="37">
        <f t="shared" si="728"/>
        <v>132519</v>
      </c>
      <c r="AF178" s="37">
        <f t="shared" si="728"/>
        <v>205253</v>
      </c>
      <c r="AG178" s="37">
        <f t="shared" si="728"/>
        <v>182057</v>
      </c>
    </row>
    <row r="179" spans="2:33" s="33" customFormat="1" ht="13.5" customHeight="1" thickBot="1">
      <c r="B179" s="39" t="str">
        <f>+B115</f>
        <v xml:space="preserve">Net debt </v>
      </c>
      <c r="C179" s="38">
        <f t="shared" ref="C179:G179" si="729">C115</f>
        <v>-1677</v>
      </c>
      <c r="D179" s="38">
        <f t="shared" si="729"/>
        <v>34595</v>
      </c>
      <c r="E179" s="38">
        <f t="shared" si="729"/>
        <v>33453</v>
      </c>
      <c r="F179" s="38">
        <f t="shared" si="729"/>
        <v>59375</v>
      </c>
      <c r="G179" s="38">
        <f t="shared" si="729"/>
        <v>68385</v>
      </c>
      <c r="H179" s="38">
        <f t="shared" ref="H179:I179" si="730">H115</f>
        <v>-7915</v>
      </c>
      <c r="I179" s="38">
        <f t="shared" si="730"/>
        <v>18298</v>
      </c>
      <c r="J179" s="38">
        <f t="shared" ref="J179" si="731">J115</f>
        <v>38646</v>
      </c>
      <c r="K179" s="38"/>
      <c r="L179" s="38">
        <f t="shared" ref="L179:Q179" si="732">L115</f>
        <v>36565</v>
      </c>
      <c r="M179" s="38">
        <f t="shared" si="732"/>
        <v>23941</v>
      </c>
      <c r="N179" s="38">
        <f t="shared" si="732"/>
        <v>35120</v>
      </c>
      <c r="O179" s="38">
        <f t="shared" si="732"/>
        <v>33453</v>
      </c>
      <c r="P179" s="38">
        <f t="shared" si="732"/>
        <v>40984</v>
      </c>
      <c r="Q179" s="38">
        <f t="shared" si="732"/>
        <v>74210</v>
      </c>
      <c r="R179" s="38">
        <f t="shared" ref="R179:U179" si="733">R115</f>
        <v>77182</v>
      </c>
      <c r="S179" s="38">
        <f t="shared" si="733"/>
        <v>59375</v>
      </c>
      <c r="T179" s="38">
        <f t="shared" si="733"/>
        <v>54271</v>
      </c>
      <c r="U179" s="38">
        <f t="shared" si="733"/>
        <v>68617</v>
      </c>
      <c r="V179" s="38">
        <f t="shared" ref="V179:Y179" si="734">V115</f>
        <v>74750</v>
      </c>
      <c r="W179" s="38">
        <f t="shared" si="734"/>
        <v>68385</v>
      </c>
      <c r="X179" s="38">
        <f t="shared" si="734"/>
        <v>22803</v>
      </c>
      <c r="Y179" s="38">
        <f t="shared" si="734"/>
        <v>29850</v>
      </c>
      <c r="Z179" s="38">
        <f t="shared" ref="Z179:AC179" si="735">Z115</f>
        <v>10434</v>
      </c>
      <c r="AA179" s="38">
        <f t="shared" si="735"/>
        <v>-7915</v>
      </c>
      <c r="AB179" s="38">
        <f t="shared" si="735"/>
        <v>-45035</v>
      </c>
      <c r="AC179" s="38">
        <f t="shared" si="735"/>
        <v>-3531</v>
      </c>
      <c r="AD179" s="38">
        <f t="shared" ref="AD179:AG179" si="736">AD115</f>
        <v>-10657</v>
      </c>
      <c r="AE179" s="38">
        <f t="shared" si="736"/>
        <v>18298</v>
      </c>
      <c r="AF179" s="38">
        <f t="shared" si="736"/>
        <v>26705</v>
      </c>
      <c r="AG179" s="38">
        <f t="shared" si="736"/>
        <v>38646</v>
      </c>
    </row>
    <row r="180" spans="2:33" ht="13.5" customHeight="1" thickTop="1"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spans="2:33" ht="13.5" customHeight="1">
      <c r="B181" s="33" t="str">
        <f t="shared" ref="B181:F181" si="737">B117</f>
        <v>Company reported net debt</v>
      </c>
      <c r="C181" s="61">
        <f t="shared" si="737"/>
        <v>-1677</v>
      </c>
      <c r="D181" s="61">
        <f t="shared" si="737"/>
        <v>34595</v>
      </c>
      <c r="E181" s="61">
        <f t="shared" si="737"/>
        <v>33453</v>
      </c>
      <c r="F181" s="61">
        <f t="shared" si="737"/>
        <v>59375</v>
      </c>
      <c r="G181" s="61">
        <f t="shared" ref="G181:H181" si="738">G117</f>
        <v>68385</v>
      </c>
      <c r="H181" s="61">
        <f t="shared" si="738"/>
        <v>-7915</v>
      </c>
      <c r="I181" s="61">
        <f t="shared" ref="I181" si="739">I117</f>
        <v>18298</v>
      </c>
      <c r="J181" s="61">
        <f t="shared" ref="J181" si="740">J117</f>
        <v>38646</v>
      </c>
      <c r="K181" s="62"/>
      <c r="L181" s="61">
        <f t="shared" ref="L181:Q181" si="741">L117</f>
        <v>36565</v>
      </c>
      <c r="M181" s="61">
        <f t="shared" si="741"/>
        <v>23941</v>
      </c>
      <c r="N181" s="61">
        <f t="shared" si="741"/>
        <v>35120</v>
      </c>
      <c r="O181" s="61">
        <f t="shared" si="741"/>
        <v>33453</v>
      </c>
      <c r="P181" s="61">
        <f t="shared" si="741"/>
        <v>40984</v>
      </c>
      <c r="Q181" s="61">
        <f t="shared" si="741"/>
        <v>74210</v>
      </c>
      <c r="R181" s="61">
        <f t="shared" ref="R181:U181" si="742">R117</f>
        <v>77182</v>
      </c>
      <c r="S181" s="61">
        <f t="shared" si="742"/>
        <v>59375</v>
      </c>
      <c r="T181" s="61">
        <f t="shared" si="742"/>
        <v>54271</v>
      </c>
      <c r="U181" s="61">
        <f t="shared" si="742"/>
        <v>68617</v>
      </c>
      <c r="V181" s="61">
        <f t="shared" ref="V181:Y181" si="743">V117</f>
        <v>74750</v>
      </c>
      <c r="W181" s="61">
        <f t="shared" si="743"/>
        <v>68385</v>
      </c>
      <c r="X181" s="61">
        <f t="shared" si="743"/>
        <v>22803</v>
      </c>
      <c r="Y181" s="61">
        <f t="shared" si="743"/>
        <v>29850</v>
      </c>
      <c r="Z181" s="61">
        <f t="shared" ref="Z181:AC181" si="744">Z117</f>
        <v>10434</v>
      </c>
      <c r="AA181" s="61">
        <f t="shared" si="744"/>
        <v>-7915</v>
      </c>
      <c r="AB181" s="61">
        <f t="shared" si="744"/>
        <v>-45035</v>
      </c>
      <c r="AC181" s="61">
        <f t="shared" si="744"/>
        <v>-3531</v>
      </c>
      <c r="AD181" s="61">
        <f t="shared" ref="AD181:AG181" si="745">AD117</f>
        <v>-10657</v>
      </c>
      <c r="AE181" s="61">
        <f t="shared" si="745"/>
        <v>18298</v>
      </c>
      <c r="AF181" s="61">
        <f t="shared" si="745"/>
        <v>26705</v>
      </c>
      <c r="AG181" s="61">
        <f t="shared" si="745"/>
        <v>38646</v>
      </c>
    </row>
    <row r="182" spans="2:33" ht="13.5" customHeight="1"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spans="2:33" ht="13.5" customHeight="1">
      <c r="B183" s="33" t="str">
        <f>+B123</f>
        <v>Net Leverage excluding lease obligations</v>
      </c>
      <c r="C183" s="35" t="str">
        <f t="shared" ref="C183:E184" si="746">C123</f>
        <v>net cash</v>
      </c>
      <c r="D183" s="35">
        <f t="shared" si="746"/>
        <v>0.15528342209708607</v>
      </c>
      <c r="E183" s="35">
        <f t="shared" si="746"/>
        <v>0.10600936098715864</v>
      </c>
      <c r="F183" s="35">
        <f t="shared" ref="F183:G183" si="747">F123</f>
        <v>0.19213749627819587</v>
      </c>
      <c r="G183" s="35">
        <f t="shared" si="747"/>
        <v>0.23074195972188416</v>
      </c>
      <c r="H183" s="35" t="str">
        <f t="shared" ref="H183:I183" si="748">H123</f>
        <v>net cash</v>
      </c>
      <c r="I183" s="35" t="str">
        <f t="shared" si="748"/>
        <v>net cash</v>
      </c>
      <c r="J183" s="35">
        <f t="shared" ref="J183" si="749">J123</f>
        <v>6.5295702088154925E-2</v>
      </c>
      <c r="K183" s="35"/>
      <c r="L183" s="32"/>
      <c r="M183" s="32"/>
      <c r="N183" s="32"/>
      <c r="O183" s="35">
        <f t="shared" ref="O183:Q184" si="750">O123</f>
        <v>0.10600936098715864</v>
      </c>
      <c r="P183" s="35">
        <f t="shared" si="750"/>
        <v>0.14105134231173874</v>
      </c>
      <c r="Q183" s="35">
        <f t="shared" si="750"/>
        <v>0.29968733557291455</v>
      </c>
      <c r="R183" s="35">
        <f t="shared" ref="R183:U183" si="751">R123</f>
        <v>0.30651951131294458</v>
      </c>
      <c r="S183" s="35">
        <f t="shared" si="751"/>
        <v>0.19213749627819587</v>
      </c>
      <c r="T183" s="35">
        <f t="shared" si="751"/>
        <v>0.16152851739345545</v>
      </c>
      <c r="U183" s="35">
        <f t="shared" si="751"/>
        <v>0.24224055646373441</v>
      </c>
      <c r="V183" s="35">
        <f t="shared" ref="V183:Y183" si="752">V123</f>
        <v>0.2777970459187325</v>
      </c>
      <c r="W183" s="35">
        <f t="shared" si="752"/>
        <v>0.23074195972188416</v>
      </c>
      <c r="X183" s="35" t="str">
        <f t="shared" si="752"/>
        <v>net cash</v>
      </c>
      <c r="Y183" s="35">
        <f t="shared" si="752"/>
        <v>3.0008220786846743E-2</v>
      </c>
      <c r="Z183" s="35" t="str">
        <f t="shared" ref="Z183:AC183" si="753">Z123</f>
        <v>net cash</v>
      </c>
      <c r="AA183" s="35" t="str">
        <f t="shared" si="753"/>
        <v>net cash</v>
      </c>
      <c r="AB183" s="35" t="str">
        <f t="shared" si="753"/>
        <v>net cash</v>
      </c>
      <c r="AC183" s="35" t="str">
        <f t="shared" si="753"/>
        <v>net cash</v>
      </c>
      <c r="AD183" s="35" t="str">
        <f t="shared" ref="AD183:AG183" si="754">AD123</f>
        <v>net cash</v>
      </c>
      <c r="AE183" s="35" t="str">
        <f t="shared" si="754"/>
        <v>net cash</v>
      </c>
      <c r="AF183" s="35">
        <f t="shared" si="754"/>
        <v>2.7160988828669394E-2</v>
      </c>
      <c r="AG183" s="35">
        <f t="shared" si="754"/>
        <v>6.5295702088154925E-2</v>
      </c>
    </row>
    <row r="184" spans="2:33" ht="13.5" customHeight="1">
      <c r="B184" s="26" t="str">
        <f>+B124</f>
        <v>Gross Leverage  excluding lease obligations</v>
      </c>
      <c r="C184" s="36">
        <f t="shared" si="746"/>
        <v>1.3998883938007829</v>
      </c>
      <c r="D184" s="36">
        <f t="shared" si="746"/>
        <v>1.4266359103090336</v>
      </c>
      <c r="E184" s="36">
        <f t="shared" si="746"/>
        <v>1.3552920126122392</v>
      </c>
      <c r="F184" s="36">
        <f t="shared" ref="F184:G184" si="755">F124</f>
        <v>1.5479060359962629</v>
      </c>
      <c r="G184" s="36">
        <f t="shared" si="755"/>
        <v>1.7692474574836232</v>
      </c>
      <c r="H184" s="36">
        <f t="shared" ref="H184:I184" si="756">H124</f>
        <v>1.4806204184256797</v>
      </c>
      <c r="I184" s="36">
        <f t="shared" si="756"/>
        <v>1.2223838678468804</v>
      </c>
      <c r="J184" s="36">
        <f t="shared" ref="J184" si="757">J124</f>
        <v>1.2873305090286222</v>
      </c>
      <c r="K184" s="36"/>
      <c r="L184" s="32"/>
      <c r="M184" s="32"/>
      <c r="N184" s="32"/>
      <c r="O184" s="36">
        <f t="shared" si="750"/>
        <v>1.3552920126122392</v>
      </c>
      <c r="P184" s="36">
        <f t="shared" si="750"/>
        <v>1.3254942397579703</v>
      </c>
      <c r="Q184" s="36">
        <f t="shared" si="750"/>
        <v>1.3972457198364836</v>
      </c>
      <c r="R184" s="36">
        <f t="shared" ref="R184:U184" si="758">R124</f>
        <v>1.5855604227786038</v>
      </c>
      <c r="S184" s="36">
        <f t="shared" si="758"/>
        <v>1.5479060359962629</v>
      </c>
      <c r="T184" s="36">
        <f t="shared" si="758"/>
        <v>1.6763205353960409</v>
      </c>
      <c r="U184" s="36">
        <f t="shared" si="758"/>
        <v>1.8450634689018837</v>
      </c>
      <c r="V184" s="36">
        <f t="shared" ref="V184:Y184" si="759">V124</f>
        <v>1.8876392123183978</v>
      </c>
      <c r="W184" s="36">
        <f t="shared" si="759"/>
        <v>1.7692474574836232</v>
      </c>
      <c r="X184" s="36">
        <f t="shared" si="759"/>
        <v>1.6892947009143227</v>
      </c>
      <c r="Y184" s="36">
        <f t="shared" si="759"/>
        <v>1.6634879624192602</v>
      </c>
      <c r="Z184" s="36">
        <f t="shared" ref="Z184:AC184" si="760">Z124</f>
        <v>1.5561742461186527</v>
      </c>
      <c r="AA184" s="36">
        <f t="shared" si="760"/>
        <v>1.4806204184256797</v>
      </c>
      <c r="AB184" s="36">
        <f t="shared" si="760"/>
        <v>1.4286397032020801</v>
      </c>
      <c r="AC184" s="36">
        <f t="shared" si="760"/>
        <v>1.3280362916325046</v>
      </c>
      <c r="AD184" s="36">
        <f t="shared" ref="AD184:AG184" si="761">AD124</f>
        <v>1.2364991177363098</v>
      </c>
      <c r="AE184" s="36">
        <f t="shared" si="761"/>
        <v>1.2223838678468804</v>
      </c>
      <c r="AF184" s="36">
        <f t="shared" si="761"/>
        <v>1.3334946355491648</v>
      </c>
      <c r="AG184" s="36">
        <f t="shared" si="761"/>
        <v>1.2873305090286222</v>
      </c>
    </row>
    <row r="185" spans="2:33" ht="13.5" customHeight="1">
      <c r="C185" s="31"/>
      <c r="D185" s="31"/>
      <c r="E185" s="31"/>
      <c r="F185" s="31"/>
      <c r="G185" s="31"/>
      <c r="H185" s="31"/>
      <c r="I185" s="31"/>
      <c r="J185" s="31"/>
      <c r="K185" s="31"/>
      <c r="L185" s="32"/>
      <c r="M185" s="32"/>
      <c r="N185" s="32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spans="2:33" s="33" customFormat="1" ht="13.5" customHeight="1">
      <c r="B186" s="33" t="str">
        <f>+B126</f>
        <v>Net Leverage including lease obligations</v>
      </c>
      <c r="C186" s="35" t="str">
        <f t="shared" ref="C186:E187" si="762">C126</f>
        <v>net cash</v>
      </c>
      <c r="D186" s="35">
        <f t="shared" si="762"/>
        <v>0.23470945418772685</v>
      </c>
      <c r="E186" s="35">
        <f t="shared" si="762"/>
        <v>0.1824901535070971</v>
      </c>
      <c r="F186" s="35">
        <f t="shared" ref="F186:G186" si="763">F126</f>
        <v>0.30480292405466175</v>
      </c>
      <c r="G186" s="35">
        <f t="shared" si="763"/>
        <v>0.36185220069211477</v>
      </c>
      <c r="H186" s="35" t="str">
        <f t="shared" ref="H186:I186" si="764">H126</f>
        <v>net cash</v>
      </c>
      <c r="I186" s="35">
        <f t="shared" si="764"/>
        <v>6.6054900148730014E-2</v>
      </c>
      <c r="J186" s="35">
        <f t="shared" ref="J186" si="765">J126</f>
        <v>0.12632879614011688</v>
      </c>
      <c r="K186" s="35"/>
      <c r="L186" s="32"/>
      <c r="M186" s="32"/>
      <c r="N186" s="32"/>
      <c r="O186" s="35">
        <f t="shared" ref="O186:Q187" si="766">O126</f>
        <v>0.1824901535070971</v>
      </c>
      <c r="P186" s="35">
        <f t="shared" si="766"/>
        <v>0.21451863638504901</v>
      </c>
      <c r="Q186" s="35">
        <f t="shared" si="766"/>
        <v>0.37545027724936253</v>
      </c>
      <c r="R186" s="35">
        <f t="shared" ref="R186:U186" si="767">R126</f>
        <v>0.38772455089820357</v>
      </c>
      <c r="S186" s="35">
        <f t="shared" si="767"/>
        <v>0.30480292405466175</v>
      </c>
      <c r="T186" s="35">
        <f t="shared" si="767"/>
        <v>0.28871699658993577</v>
      </c>
      <c r="U186" s="35">
        <f t="shared" si="767"/>
        <v>0.37640843911483646</v>
      </c>
      <c r="V186" s="35">
        <f t="shared" ref="V186:Y186" si="768">V126</f>
        <v>0.41151243896128203</v>
      </c>
      <c r="W186" s="35">
        <f t="shared" si="768"/>
        <v>0.36185220069211477</v>
      </c>
      <c r="X186" s="35">
        <f t="shared" si="768"/>
        <v>0.11362016990956426</v>
      </c>
      <c r="Y186" s="35">
        <f t="shared" si="768"/>
        <v>0.14022313564298297</v>
      </c>
      <c r="Z186" s="35">
        <f t="shared" ref="Z186:AC186" si="769">Z126</f>
        <v>4.6256971352065468E-2</v>
      </c>
      <c r="AA186" s="35" t="str">
        <f t="shared" si="769"/>
        <v>net cash</v>
      </c>
      <c r="AB186" s="35" t="str">
        <f t="shared" si="769"/>
        <v>net cash</v>
      </c>
      <c r="AC186" s="35" t="str">
        <f t="shared" si="769"/>
        <v>net cash</v>
      </c>
      <c r="AD186" s="35" t="str">
        <f t="shared" ref="AD186:AG186" si="770">AD126</f>
        <v>net cash</v>
      </c>
      <c r="AE186" s="35">
        <f t="shared" si="770"/>
        <v>6.6054900148730014E-2</v>
      </c>
      <c r="AF186" s="35">
        <f t="shared" si="770"/>
        <v>9.2305193009622824E-2</v>
      </c>
      <c r="AG186" s="35">
        <f t="shared" si="770"/>
        <v>0.12632879614011688</v>
      </c>
    </row>
    <row r="187" spans="2:33" ht="13.5" customHeight="1">
      <c r="B187" s="26" t="str">
        <f>+B127</f>
        <v>Gross Leverage  including lease obligations</v>
      </c>
      <c r="C187" s="36">
        <f t="shared" si="762"/>
        <v>1.3998883938007829</v>
      </c>
      <c r="D187" s="36">
        <f t="shared" si="762"/>
        <v>1.5060619423996744</v>
      </c>
      <c r="E187" s="36">
        <f t="shared" si="762"/>
        <v>1.4317728051321776</v>
      </c>
      <c r="F187" s="36">
        <f t="shared" ref="F187:G187" si="771">F127</f>
        <v>1.6605714637727287</v>
      </c>
      <c r="G187" s="36">
        <f t="shared" si="771"/>
        <v>1.9003576984538537</v>
      </c>
      <c r="H187" s="36">
        <f t="shared" ref="H187:I187" si="772">H127</f>
        <v>1.5766986332786872</v>
      </c>
      <c r="I187" s="36">
        <f t="shared" si="772"/>
        <v>1.2927671003422234</v>
      </c>
      <c r="J187" s="36">
        <f t="shared" ref="J187" si="773">J127</f>
        <v>1.3483636030805841</v>
      </c>
      <c r="K187" s="36"/>
      <c r="L187" s="32"/>
      <c r="M187" s="32"/>
      <c r="N187" s="32"/>
      <c r="O187" s="36">
        <f t="shared" si="766"/>
        <v>1.4317728051321776</v>
      </c>
      <c r="P187" s="36">
        <f t="shared" si="766"/>
        <v>1.3989615338312806</v>
      </c>
      <c r="Q187" s="36">
        <f t="shared" si="766"/>
        <v>1.4730086615129316</v>
      </c>
      <c r="R187" s="36">
        <f t="shared" ref="R187:U187" si="774">R127</f>
        <v>1.6667654623638628</v>
      </c>
      <c r="S187" s="36">
        <f t="shared" si="774"/>
        <v>1.6605714637727287</v>
      </c>
      <c r="T187" s="36">
        <f t="shared" si="774"/>
        <v>1.8035090145925212</v>
      </c>
      <c r="U187" s="36">
        <f t="shared" si="774"/>
        <v>1.9792313515529858</v>
      </c>
      <c r="V187" s="36">
        <f t="shared" ref="V187:Y187" si="775">V127</f>
        <v>2.0213546053609472</v>
      </c>
      <c r="W187" s="36">
        <f t="shared" si="775"/>
        <v>1.9003576984538537</v>
      </c>
      <c r="X187" s="36">
        <f t="shared" si="775"/>
        <v>1.8041605421161464</v>
      </c>
      <c r="Y187" s="36">
        <f t="shared" si="775"/>
        <v>1.7737028772753964</v>
      </c>
      <c r="Z187" s="36">
        <f t="shared" ref="Z187:AC187" si="776">Z127</f>
        <v>1.6533032460565866</v>
      </c>
      <c r="AA187" s="36">
        <f t="shared" si="776"/>
        <v>1.5766986332786872</v>
      </c>
      <c r="AB187" s="36">
        <f t="shared" si="776"/>
        <v>1.5148034442815368</v>
      </c>
      <c r="AC187" s="36">
        <f t="shared" si="776"/>
        <v>1.40916649907956</v>
      </c>
      <c r="AD187" s="36">
        <f t="shared" ref="AD187:AG187" si="777">AD127</f>
        <v>1.3099499113989967</v>
      </c>
      <c r="AE187" s="36">
        <f t="shared" si="777"/>
        <v>1.2927671003422234</v>
      </c>
      <c r="AF187" s="36">
        <f t="shared" si="777"/>
        <v>1.3986388397301184</v>
      </c>
      <c r="AG187" s="36">
        <f t="shared" si="777"/>
        <v>1.3483636030805841</v>
      </c>
    </row>
    <row r="188" spans="2:33" ht="13.5" customHeight="1">
      <c r="C188" s="36"/>
      <c r="D188" s="36"/>
      <c r="E188" s="36"/>
      <c r="F188" s="36"/>
      <c r="G188" s="36"/>
      <c r="H188" s="36"/>
      <c r="I188" s="36"/>
      <c r="J188" s="36"/>
      <c r="K188" s="36"/>
      <c r="L188" s="32"/>
      <c r="M188" s="32"/>
      <c r="N188" s="32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2:33" ht="13.5" customHeight="1">
      <c r="B189" s="33" t="str">
        <f>+B129</f>
        <v>Company reported net leverage</v>
      </c>
      <c r="C189" s="35">
        <f t="shared" ref="C189:G189" si="778">C129</f>
        <v>-1.4179060309622652E-2</v>
      </c>
      <c r="D189" s="35">
        <f t="shared" si="778"/>
        <v>0.23470945418772685</v>
      </c>
      <c r="E189" s="35">
        <f t="shared" si="778"/>
        <v>0.1824901535070971</v>
      </c>
      <c r="F189" s="35">
        <f t="shared" si="778"/>
        <v>0.30480292405466175</v>
      </c>
      <c r="G189" s="35">
        <f t="shared" si="778"/>
        <v>0.36185220069211477</v>
      </c>
      <c r="H189" s="35">
        <f t="shared" ref="H189:I189" si="779">H129</f>
        <v>-3.3615907990520444E-2</v>
      </c>
      <c r="I189" s="35">
        <f t="shared" si="779"/>
        <v>6.6054900148730014E-2</v>
      </c>
      <c r="J189" s="35">
        <f t="shared" ref="J189" si="780">J129</f>
        <v>0.12632879614011688</v>
      </c>
      <c r="K189" s="36"/>
      <c r="L189" s="32"/>
      <c r="M189" s="32"/>
      <c r="N189" s="32"/>
      <c r="O189" s="35">
        <f t="shared" ref="O189:T189" si="781">O129</f>
        <v>0.1824901535070971</v>
      </c>
      <c r="P189" s="35">
        <f t="shared" si="781"/>
        <v>0.21451863638504901</v>
      </c>
      <c r="Q189" s="35">
        <f t="shared" si="781"/>
        <v>0.37545027724936253</v>
      </c>
      <c r="R189" s="35">
        <f t="shared" si="781"/>
        <v>0.38772455089820357</v>
      </c>
      <c r="S189" s="35">
        <f t="shared" si="781"/>
        <v>0.30480292405466175</v>
      </c>
      <c r="T189" s="35">
        <f t="shared" si="781"/>
        <v>0.28871699658993577</v>
      </c>
      <c r="U189" s="35">
        <f t="shared" ref="U189:X189" si="782">U129</f>
        <v>0.37640843911483646</v>
      </c>
      <c r="V189" s="35">
        <f t="shared" si="782"/>
        <v>0.41151243896128203</v>
      </c>
      <c r="W189" s="35">
        <f t="shared" si="782"/>
        <v>0.36185220069211477</v>
      </c>
      <c r="X189" s="35">
        <f t="shared" si="782"/>
        <v>0.11362016990956426</v>
      </c>
      <c r="Y189" s="35">
        <f t="shared" ref="Y189:AB189" si="783">Y129</f>
        <v>0.14022313564298297</v>
      </c>
      <c r="Z189" s="35">
        <f t="shared" si="783"/>
        <v>4.6256971352065468E-2</v>
      </c>
      <c r="AA189" s="35">
        <f t="shared" si="783"/>
        <v>-3.3615907990520444E-2</v>
      </c>
      <c r="AB189" s="35">
        <f t="shared" si="783"/>
        <v>-0.18240030457428452</v>
      </c>
      <c r="AC189" s="35">
        <f t="shared" ref="AC189:AF189" si="784">AC129</f>
        <v>-1.365577092647309E-2</v>
      </c>
      <c r="AD189" s="35">
        <f t="shared" si="784"/>
        <v>-3.992477343992927E-2</v>
      </c>
      <c r="AE189" s="35">
        <f t="shared" si="784"/>
        <v>6.6054900148730014E-2</v>
      </c>
      <c r="AF189" s="35">
        <f t="shared" si="784"/>
        <v>9.2305193009622824E-2</v>
      </c>
      <c r="AG189" s="35">
        <f t="shared" ref="AG189" si="785">AG129</f>
        <v>0.12632879614011688</v>
      </c>
    </row>
    <row r="190" spans="2:33" ht="13.5" customHeight="1">
      <c r="C190" s="36"/>
      <c r="D190" s="36"/>
      <c r="E190" s="36"/>
      <c r="F190" s="36"/>
      <c r="G190" s="36"/>
      <c r="H190" s="36"/>
      <c r="I190" s="36"/>
      <c r="J190" s="36"/>
      <c r="K190" s="36"/>
      <c r="L190" s="32"/>
      <c r="M190" s="32"/>
      <c r="N190" s="32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spans="2:33" ht="13.5" customHeight="1">
      <c r="B191" s="26" t="str">
        <f>+B131</f>
        <v>EBITDA - Capex / Interest</v>
      </c>
      <c r="C191" s="36">
        <f t="shared" ref="C191:E192" si="786">C131</f>
        <v>21.937013131537949</v>
      </c>
      <c r="D191" s="36">
        <f t="shared" si="786"/>
        <v>17.685965659145737</v>
      </c>
      <c r="E191" s="36">
        <f t="shared" si="786"/>
        <v>21.091577162238554</v>
      </c>
      <c r="F191" s="36">
        <f t="shared" ref="F191:G191" si="787">F131</f>
        <v>22.018205980066444</v>
      </c>
      <c r="G191" s="36">
        <f t="shared" si="787"/>
        <v>17.842324983943481</v>
      </c>
      <c r="H191" s="36">
        <f t="shared" ref="H191:I191" si="788">H131</f>
        <v>18.705610733577277</v>
      </c>
      <c r="I191" s="36">
        <f t="shared" si="788"/>
        <v>17.257630667633084</v>
      </c>
      <c r="J191" s="32"/>
      <c r="K191" s="36"/>
      <c r="L191" s="32"/>
      <c r="M191" s="32"/>
      <c r="N191" s="32"/>
      <c r="O191" s="35">
        <f>O131</f>
        <v>21.091577162238554</v>
      </c>
      <c r="P191" s="32"/>
      <c r="Q191" s="35">
        <f>Q131</f>
        <v>23.935185185185187</v>
      </c>
      <c r="R191" s="32"/>
      <c r="S191" s="35">
        <f>S131</f>
        <v>22.018205980066444</v>
      </c>
      <c r="T191" s="32"/>
      <c r="U191" s="35">
        <f>U131</f>
        <v>19.000972407925126</v>
      </c>
      <c r="V191" s="32"/>
      <c r="W191" s="35">
        <f>W131</f>
        <v>17.842324983943481</v>
      </c>
      <c r="X191" s="32"/>
      <c r="Y191" s="35">
        <f>Y131</f>
        <v>18.48381345594445</v>
      </c>
      <c r="Z191" s="32"/>
      <c r="AA191" s="35">
        <f>AA131</f>
        <v>18.705610733577277</v>
      </c>
      <c r="AB191" s="32"/>
      <c r="AC191" s="35">
        <f>AC131</f>
        <v>19.327268174609799</v>
      </c>
      <c r="AD191" s="32"/>
      <c r="AE191" s="35">
        <f>AE131</f>
        <v>17.257630667633084</v>
      </c>
      <c r="AF191" s="32"/>
      <c r="AG191" s="35">
        <f>AG131</f>
        <v>19.585407103165014</v>
      </c>
    </row>
    <row r="192" spans="2:33" s="33" customFormat="1" ht="12.75" customHeight="1">
      <c r="B192" s="33" t="str">
        <f>+B132</f>
        <v>EBITDA/Interest</v>
      </c>
      <c r="C192" s="35">
        <f t="shared" si="786"/>
        <v>26.32383707990207</v>
      </c>
      <c r="D192" s="35">
        <f t="shared" si="786"/>
        <v>20.915992620973462</v>
      </c>
      <c r="E192" s="35">
        <f t="shared" si="786"/>
        <v>25.906444318824196</v>
      </c>
      <c r="F192" s="35">
        <f t="shared" ref="F192:G192" si="789">F132</f>
        <v>25.886777408637872</v>
      </c>
      <c r="G192" s="35">
        <f t="shared" si="789"/>
        <v>20.229715264397345</v>
      </c>
      <c r="H192" s="35">
        <f t="shared" ref="H192:I192" si="790">H132</f>
        <v>20.513504094790033</v>
      </c>
      <c r="I192" s="35">
        <f t="shared" si="790"/>
        <v>22.309092373359103</v>
      </c>
      <c r="J192" s="32"/>
      <c r="K192" s="35"/>
      <c r="L192" s="32"/>
      <c r="M192" s="32"/>
      <c r="N192" s="32"/>
      <c r="O192" s="36">
        <f>O132</f>
        <v>25.906444318824196</v>
      </c>
      <c r="P192" s="32"/>
      <c r="Q192" s="36">
        <f>Q132</f>
        <v>28.596064814814813</v>
      </c>
      <c r="R192" s="32"/>
      <c r="S192" s="36">
        <f>S132</f>
        <v>25.886777408637872</v>
      </c>
      <c r="T192" s="32"/>
      <c r="U192" s="36">
        <f>U132</f>
        <v>22.158016287832744</v>
      </c>
      <c r="V192" s="32"/>
      <c r="W192" s="36">
        <f>W132</f>
        <v>20.229715264397345</v>
      </c>
      <c r="X192" s="32"/>
      <c r="Y192" s="36">
        <f>Y132</f>
        <v>19.975133714929154</v>
      </c>
      <c r="Z192" s="32"/>
      <c r="AA192" s="36">
        <f>AA132</f>
        <v>20.513504094790033</v>
      </c>
      <c r="AB192" s="32"/>
      <c r="AC192" s="36">
        <f>AC132</f>
        <v>21.581837910024205</v>
      </c>
      <c r="AD192" s="32"/>
      <c r="AE192" s="36">
        <f>AE132</f>
        <v>22.309092373359103</v>
      </c>
      <c r="AF192" s="32"/>
      <c r="AG192" s="36">
        <f>AG132</f>
        <v>24.636868808891037</v>
      </c>
    </row>
    <row r="193" spans="2:33" ht="13.5" customHeight="1">
      <c r="C193" s="31"/>
      <c r="D193" s="31"/>
      <c r="E193" s="31"/>
      <c r="F193" s="31"/>
      <c r="G193" s="31"/>
      <c r="H193" s="31"/>
      <c r="I193" s="31"/>
      <c r="J193" s="31"/>
      <c r="K193" s="31"/>
      <c r="L193" s="32"/>
      <c r="M193" s="32"/>
      <c r="N193" s="32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spans="2:33" ht="13.5" customHeight="1">
      <c r="B194" s="30" t="str">
        <f t="shared" ref="B194:E194" si="791">+B134</f>
        <v xml:space="preserve">Gearing (Net debt / Equity) </v>
      </c>
      <c r="C194" s="28">
        <f t="shared" si="791"/>
        <v>-4.707936677269116E-3</v>
      </c>
      <c r="D194" s="28">
        <f t="shared" si="791"/>
        <v>7.0771893360391469E-2</v>
      </c>
      <c r="E194" s="28">
        <f t="shared" si="791"/>
        <v>4.2996338248657208E-2</v>
      </c>
      <c r="F194" s="28">
        <f t="shared" ref="F194:G194" si="792">+F134</f>
        <v>6.7726102523916587E-2</v>
      </c>
      <c r="G194" s="28">
        <f t="shared" si="792"/>
        <v>8.735278338400225E-2</v>
      </c>
      <c r="H194" s="28">
        <f t="shared" ref="H194:I194" si="793">+H134</f>
        <v>-9.0593706398559657E-3</v>
      </c>
      <c r="I194" s="28">
        <f t="shared" si="793"/>
        <v>1.7362244471940305E-2</v>
      </c>
      <c r="J194" s="28">
        <f t="shared" ref="J194" si="794">+J134</f>
        <v>3.2128721061413359E-2</v>
      </c>
      <c r="K194" s="28"/>
      <c r="L194" s="29"/>
      <c r="M194" s="29"/>
      <c r="N194" s="29"/>
      <c r="O194" s="28">
        <f t="shared" ref="O194:Q194" si="795">+O134</f>
        <v>4.2996338248657208E-2</v>
      </c>
      <c r="P194" s="28">
        <f t="shared" si="795"/>
        <v>4.849339640724798E-2</v>
      </c>
      <c r="Q194" s="28">
        <f t="shared" si="795"/>
        <v>8.005644189516177E-2</v>
      </c>
      <c r="R194" s="28">
        <f t="shared" ref="R194:U194" si="796">+R134</f>
        <v>8.2868787686176157E-2</v>
      </c>
      <c r="S194" s="28">
        <f t="shared" si="796"/>
        <v>6.7726102523916587E-2</v>
      </c>
      <c r="T194" s="28">
        <f t="shared" si="796"/>
        <v>6.4204988423913104E-2</v>
      </c>
      <c r="U194" s="28">
        <f t="shared" si="796"/>
        <v>8.5357161072347768E-2</v>
      </c>
      <c r="V194" s="28">
        <f t="shared" ref="V194:Y194" si="797">+V134</f>
        <v>9.1336085023814587E-2</v>
      </c>
      <c r="W194" s="28">
        <f t="shared" si="797"/>
        <v>8.735278338400225E-2</v>
      </c>
      <c r="X194" s="28">
        <f t="shared" si="797"/>
        <v>2.7102129495479414E-2</v>
      </c>
      <c r="Y194" s="28">
        <f t="shared" si="797"/>
        <v>3.5501227379117428E-2</v>
      </c>
      <c r="Z194" s="28">
        <f t="shared" ref="Z194:AC194" si="798">+Z134</f>
        <v>1.2556787753702111E-2</v>
      </c>
      <c r="AA194" s="28">
        <f t="shared" si="798"/>
        <v>-9.0593706398559657E-3</v>
      </c>
      <c r="AB194" s="28">
        <f t="shared" si="798"/>
        <v>-4.9123606928244738E-2</v>
      </c>
      <c r="AC194" s="28">
        <f t="shared" si="798"/>
        <v>-3.8066099825678607E-3</v>
      </c>
      <c r="AD194" s="28">
        <f t="shared" ref="AD194:AG194" si="799">+AD134</f>
        <v>-1.0868866820940595E-2</v>
      </c>
      <c r="AE194" s="28">
        <f t="shared" si="799"/>
        <v>1.7362244471940305E-2</v>
      </c>
      <c r="AF194" s="28">
        <f t="shared" si="799"/>
        <v>2.3781366379978235E-2</v>
      </c>
      <c r="AG194" s="28">
        <f t="shared" si="799"/>
        <v>3.2128721061413359E-2</v>
      </c>
    </row>
    <row r="195" spans="2:33" ht="13.5" customHeight="1"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 spans="2:33" ht="13.5" customHeight="1"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 spans="2:33" ht="13.5" customHeight="1">
      <c r="B197" s="60" t="s">
        <v>234</v>
      </c>
      <c r="C197" s="58">
        <f>1/6.6156</f>
        <v>0.15115786927867467</v>
      </c>
      <c r="D197" s="58">
        <f>1/6.9083</f>
        <v>0.14475341256170116</v>
      </c>
      <c r="E197" s="58">
        <f>1/6.9005</f>
        <v>0.14491703499746394</v>
      </c>
      <c r="F197" s="58">
        <f>AVERAGE(P197:S197)</f>
        <v>0.15494803637456031</v>
      </c>
      <c r="G197" s="58">
        <v>0.14879999999999999</v>
      </c>
      <c r="H197" s="58">
        <v>0.14149999999999999</v>
      </c>
      <c r="I197" s="58">
        <f>AVERAGE(H198:I198)</f>
        <v>0.13915</v>
      </c>
      <c r="J197" s="114">
        <f>J199</f>
        <v>0.13889971500227999</v>
      </c>
      <c r="K197" s="59"/>
      <c r="L197" s="58">
        <f>1/6.9769</f>
        <v>0.14333013229371211</v>
      </c>
      <c r="M197" s="58">
        <f>1/7.0849</f>
        <v>0.14114525257942948</v>
      </c>
      <c r="N197" s="58">
        <f>1/6.9181</f>
        <v>0.1445483586533875</v>
      </c>
      <c r="O197" s="58">
        <f>1/6.6226</f>
        <v>0.15099809742397244</v>
      </c>
      <c r="P197" s="58">
        <f>1/6.4821</f>
        <v>0.15427099242529427</v>
      </c>
      <c r="Q197" s="58">
        <f>1/6.4562</f>
        <v>0.15488987330008364</v>
      </c>
      <c r="R197" s="58">
        <f>AVERAGE(Q198:R198)</f>
        <v>0.15463483277818094</v>
      </c>
      <c r="S197" s="58">
        <f>AVERAGE(R198:S198)</f>
        <v>0.15599644699468243</v>
      </c>
      <c r="T197" s="58">
        <f>1/6.3473</f>
        <v>0.15754730357789928</v>
      </c>
      <c r="U197" s="58">
        <v>0.15129999999999999</v>
      </c>
      <c r="V197" s="58">
        <f>AVERAGE(U198:V198)</f>
        <v>0.1447</v>
      </c>
      <c r="W197" s="58">
        <v>0.1406</v>
      </c>
      <c r="X197" s="58">
        <v>0.14610000000000001</v>
      </c>
      <c r="Y197" s="58">
        <v>0.14300000000000002</v>
      </c>
      <c r="Z197" s="58">
        <f>AVERAGE(Y198:Z198)</f>
        <v>0.13750000000000001</v>
      </c>
      <c r="AA197" s="58">
        <v>0.1384</v>
      </c>
      <c r="AB197" s="58">
        <f>AVERAGE(AA198:AB198)</f>
        <v>0.13990000000000002</v>
      </c>
      <c r="AC197" s="58">
        <v>0.1381</v>
      </c>
      <c r="AD197" s="58">
        <f>AVERAGE(AC198:AD198)</f>
        <v>0.14004943000455997</v>
      </c>
      <c r="AE197" s="58">
        <f>AVERAGE(AD198:AE198)</f>
        <v>0.13974943000455997</v>
      </c>
      <c r="AF197" s="58">
        <f>AVERAGE(AE198:AF198)</f>
        <v>0.13725000000000001</v>
      </c>
      <c r="AG197" s="58">
        <v>0.13855000000000001</v>
      </c>
    </row>
    <row r="198" spans="2:33" ht="13.5" customHeight="1">
      <c r="B198" s="60" t="s">
        <v>235</v>
      </c>
      <c r="C198" s="58">
        <f>1/6.8785</f>
        <v>0.14538053354655811</v>
      </c>
      <c r="D198" s="58">
        <f>1/6.9864</f>
        <v>0.14313523416924312</v>
      </c>
      <c r="E198" s="58">
        <f>1/6.5208</f>
        <v>0.15335541651331125</v>
      </c>
      <c r="F198" s="58">
        <f>1/6.3517</f>
        <v>0.15743816616024056</v>
      </c>
      <c r="G198" s="58">
        <v>0.1449</v>
      </c>
      <c r="H198" s="58">
        <v>0.14130000000000001</v>
      </c>
      <c r="I198" s="58">
        <v>0.13700000000000001</v>
      </c>
      <c r="J198" s="114">
        <f>AG198</f>
        <v>0.1396</v>
      </c>
      <c r="K198" s="59"/>
      <c r="L198" s="58">
        <f>1/7.0986</f>
        <v>0.14087284816724424</v>
      </c>
      <c r="M198" s="58">
        <f>1/7.0794</f>
        <v>0.14125490860807413</v>
      </c>
      <c r="N198" s="58">
        <f>1/6.815</f>
        <v>0.1467351430667645</v>
      </c>
      <c r="O198" s="58">
        <f>1/6.5208</f>
        <v>0.15335541651331125</v>
      </c>
      <c r="P198" s="58">
        <f>1/6.5716</f>
        <v>0.15216994339278106</v>
      </c>
      <c r="Q198" s="58">
        <f>1/6.4635</f>
        <v>0.15471493772723757</v>
      </c>
      <c r="R198" s="58">
        <f>1/6.4702</f>
        <v>0.1545547278291243</v>
      </c>
      <c r="S198" s="58">
        <f>1/6.3517</f>
        <v>0.15743816616024056</v>
      </c>
      <c r="T198" s="58">
        <f>1/6.3393</f>
        <v>0.15774612338901772</v>
      </c>
      <c r="U198" s="58">
        <v>0.1492</v>
      </c>
      <c r="V198" s="58">
        <v>0.14019999999999999</v>
      </c>
      <c r="W198" s="58">
        <v>0.1449</v>
      </c>
      <c r="X198" s="58">
        <v>0.14560000000000001</v>
      </c>
      <c r="Y198" s="58">
        <v>0.13789999999999999</v>
      </c>
      <c r="Z198" s="58">
        <v>0.1371</v>
      </c>
      <c r="AA198" s="58">
        <v>0.14130000000000001</v>
      </c>
      <c r="AB198" s="58">
        <v>0.13850000000000001</v>
      </c>
      <c r="AC198" s="58">
        <v>0.1376</v>
      </c>
      <c r="AD198" s="58">
        <f>1/7.0176</f>
        <v>0.14249886000911993</v>
      </c>
      <c r="AE198" s="58">
        <v>0.13700000000000001</v>
      </c>
      <c r="AF198" s="58">
        <v>0.13750000000000001</v>
      </c>
      <c r="AG198" s="58">
        <v>0.1396</v>
      </c>
    </row>
    <row r="199" spans="2:33" ht="13.5" customHeight="1">
      <c r="B199" s="60" t="s">
        <v>236</v>
      </c>
      <c r="C199" s="114">
        <f t="shared" ref="C199:H199" si="800">C197</f>
        <v>0.15115786927867467</v>
      </c>
      <c r="D199" s="114">
        <f t="shared" si="800"/>
        <v>0.14475341256170116</v>
      </c>
      <c r="E199" s="114">
        <f t="shared" si="800"/>
        <v>0.14491703499746394</v>
      </c>
      <c r="F199" s="114">
        <f t="shared" si="800"/>
        <v>0.15494803637456031</v>
      </c>
      <c r="G199" s="114">
        <f t="shared" si="800"/>
        <v>0.14879999999999999</v>
      </c>
      <c r="H199" s="114">
        <f t="shared" si="800"/>
        <v>0.14149999999999999</v>
      </c>
      <c r="I199" s="114">
        <f t="shared" ref="I199" si="801">I197</f>
        <v>0.13915</v>
      </c>
      <c r="J199" s="114">
        <f>AG199</f>
        <v>0.13889971500227999</v>
      </c>
      <c r="K199" s="115"/>
      <c r="L199" s="114">
        <f>L197</f>
        <v>0.14333013229371211</v>
      </c>
      <c r="M199" s="114">
        <f>M197</f>
        <v>0.14114525257942948</v>
      </c>
      <c r="N199" s="114">
        <f>N197</f>
        <v>0.1445483586533875</v>
      </c>
      <c r="O199" s="114">
        <f t="shared" ref="O199:AA199" si="802">AVERAGE(L197:O197)</f>
        <v>0.14500546023762539</v>
      </c>
      <c r="P199" s="114">
        <f t="shared" si="802"/>
        <v>0.14774067527052093</v>
      </c>
      <c r="Q199" s="114">
        <f t="shared" si="802"/>
        <v>0.15117683045068447</v>
      </c>
      <c r="R199" s="114">
        <f t="shared" si="802"/>
        <v>0.15369844898188281</v>
      </c>
      <c r="S199" s="114">
        <f t="shared" si="802"/>
        <v>0.15494803637456031</v>
      </c>
      <c r="T199" s="114">
        <f t="shared" si="802"/>
        <v>0.15576711416271155</v>
      </c>
      <c r="U199" s="114">
        <f t="shared" si="802"/>
        <v>0.15486964583769067</v>
      </c>
      <c r="V199" s="114">
        <f t="shared" si="802"/>
        <v>0.15238593764314542</v>
      </c>
      <c r="W199" s="114">
        <f t="shared" si="802"/>
        <v>0.14853682589447481</v>
      </c>
      <c r="X199" s="114">
        <f t="shared" si="802"/>
        <v>0.145675</v>
      </c>
      <c r="Y199" s="114">
        <f>AVERAGE(V197:Y197)</f>
        <v>0.14360000000000001</v>
      </c>
      <c r="Z199" s="114">
        <f t="shared" si="802"/>
        <v>0.14180000000000001</v>
      </c>
      <c r="AA199" s="114">
        <f t="shared" si="802"/>
        <v>0.14125000000000001</v>
      </c>
      <c r="AB199" s="114">
        <f>AVERAGE(Y197:AB197)</f>
        <v>0.13970000000000002</v>
      </c>
      <c r="AC199" s="114">
        <f>AVERAGE(Z197:AC197)</f>
        <v>0.13847500000000001</v>
      </c>
      <c r="AD199" s="114">
        <f t="shared" ref="AD199" si="803">AVERAGE(AA197:AD197)</f>
        <v>0.13911235750113998</v>
      </c>
      <c r="AE199" s="114">
        <f>AVERAGE(AB197:AE197)</f>
        <v>0.13944971500227998</v>
      </c>
      <c r="AF199" s="114">
        <f>AVERAGE(AC197:AF197)</f>
        <v>0.13878721500227997</v>
      </c>
      <c r="AG199" s="114">
        <f>AVERAGE(AD197:AG197)</f>
        <v>0.13889971500227999</v>
      </c>
    </row>
    <row r="200" spans="2:33" ht="13.5" customHeight="1"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 spans="2:33" ht="13.5" customHeight="1">
      <c r="B201" s="51" t="s">
        <v>237</v>
      </c>
      <c r="C201" s="50">
        <f t="shared" ref="C201:H201" si="804">C2</f>
        <v>43465</v>
      </c>
      <c r="D201" s="50">
        <f t="shared" si="804"/>
        <v>43830</v>
      </c>
      <c r="E201" s="50">
        <f t="shared" si="804"/>
        <v>44196</v>
      </c>
      <c r="F201" s="50">
        <f t="shared" si="804"/>
        <v>44561</v>
      </c>
      <c r="G201" s="50">
        <f t="shared" si="804"/>
        <v>44926</v>
      </c>
      <c r="H201" s="50">
        <f t="shared" si="804"/>
        <v>45291</v>
      </c>
      <c r="I201" s="50">
        <f t="shared" ref="I201" si="805">I2</f>
        <v>45657</v>
      </c>
      <c r="J201" s="50" t="str">
        <f>J1</f>
        <v>LTM</v>
      </c>
      <c r="K201" s="50"/>
      <c r="L201" s="50">
        <f t="shared" ref="L201:Q201" si="806">L2</f>
        <v>43921</v>
      </c>
      <c r="M201" s="50">
        <f t="shared" si="806"/>
        <v>44012</v>
      </c>
      <c r="N201" s="50">
        <f t="shared" si="806"/>
        <v>44104</v>
      </c>
      <c r="O201" s="50">
        <f t="shared" si="806"/>
        <v>44196</v>
      </c>
      <c r="P201" s="50">
        <f t="shared" si="806"/>
        <v>44286</v>
      </c>
      <c r="Q201" s="50">
        <f t="shared" si="806"/>
        <v>44377</v>
      </c>
      <c r="R201" s="50">
        <f t="shared" ref="R201:U201" si="807">R2</f>
        <v>44469</v>
      </c>
      <c r="S201" s="50">
        <f t="shared" si="807"/>
        <v>44561</v>
      </c>
      <c r="T201" s="50">
        <f t="shared" si="807"/>
        <v>44651</v>
      </c>
      <c r="U201" s="50">
        <f t="shared" si="807"/>
        <v>44742</v>
      </c>
      <c r="V201" s="50">
        <f t="shared" ref="V201:Y201" si="808">V2</f>
        <v>44834</v>
      </c>
      <c r="W201" s="50">
        <f t="shared" si="808"/>
        <v>44926</v>
      </c>
      <c r="X201" s="50">
        <f t="shared" si="808"/>
        <v>45016</v>
      </c>
      <c r="Y201" s="50">
        <f t="shared" si="808"/>
        <v>45107</v>
      </c>
      <c r="Z201" s="50">
        <f t="shared" ref="Z201:AC201" si="809">Z2</f>
        <v>45199</v>
      </c>
      <c r="AA201" s="50">
        <f t="shared" si="809"/>
        <v>45291</v>
      </c>
      <c r="AB201" s="50">
        <f t="shared" si="809"/>
        <v>45382</v>
      </c>
      <c r="AC201" s="50">
        <f t="shared" si="809"/>
        <v>45473</v>
      </c>
      <c r="AD201" s="50">
        <f t="shared" ref="AD201:AG201" si="810">AD2</f>
        <v>45565</v>
      </c>
      <c r="AE201" s="50">
        <f t="shared" si="810"/>
        <v>45657</v>
      </c>
      <c r="AF201" s="50">
        <f t="shared" si="810"/>
        <v>45747</v>
      </c>
      <c r="AG201" s="50">
        <f t="shared" si="810"/>
        <v>45838</v>
      </c>
    </row>
    <row r="202" spans="2:33" ht="13.5" customHeight="1">
      <c r="B202" s="26" t="s">
        <v>225</v>
      </c>
      <c r="C202" s="13">
        <f t="shared" ref="C202:E203" si="811">C138*C$197</f>
        <v>47266.158776225893</v>
      </c>
      <c r="D202" s="13">
        <f t="shared" si="811"/>
        <v>54613.870271991669</v>
      </c>
      <c r="E202" s="13">
        <f t="shared" si="811"/>
        <v>69859.285559017459</v>
      </c>
      <c r="F202" s="13">
        <f t="shared" ref="F202:G202" si="812">F138*F$197</f>
        <v>86789.184238045971</v>
      </c>
      <c r="G202" s="13">
        <f t="shared" si="812"/>
        <v>82517.337599999999</v>
      </c>
      <c r="H202" s="13">
        <f t="shared" ref="H202:I202" si="813">H138*H$197</f>
        <v>86175.622499999998</v>
      </c>
      <c r="I202" s="13">
        <f t="shared" si="813"/>
        <v>91874.761549999996</v>
      </c>
      <c r="J202" s="13">
        <f t="shared" ref="J202" si="814">J138*J$197</f>
        <v>97808.317814580485</v>
      </c>
      <c r="K202" s="13"/>
      <c r="L202" s="57"/>
      <c r="M202" s="57"/>
      <c r="N202" s="57"/>
      <c r="O202" s="13">
        <f t="shared" ref="O202:Q203" si="815">O138*O$199</f>
        <v>69901.912183990644</v>
      </c>
      <c r="P202" s="13">
        <f t="shared" si="815"/>
        <v>75244.621396626855</v>
      </c>
      <c r="Q202" s="13">
        <f t="shared" si="815"/>
        <v>80528.571690809709</v>
      </c>
      <c r="R202" s="13">
        <f t="shared" ref="R202:U202" si="816">R138*R$199</f>
        <v>84472.513861993808</v>
      </c>
      <c r="S202" s="13">
        <f t="shared" si="816"/>
        <v>86789.184238045971</v>
      </c>
      <c r="T202" s="13">
        <f t="shared" si="816"/>
        <v>87274.133325768998</v>
      </c>
      <c r="U202" s="13">
        <f t="shared" si="816"/>
        <v>86116.970134152114</v>
      </c>
      <c r="V202" s="13">
        <f t="shared" ref="V202:Y202" si="817">V138*V$199</f>
        <v>84389.198863646932</v>
      </c>
      <c r="W202" s="13">
        <f t="shared" si="817"/>
        <v>82371.393873432797</v>
      </c>
      <c r="X202" s="13">
        <f t="shared" si="817"/>
        <v>82898.835225000003</v>
      </c>
      <c r="Y202" s="13">
        <f t="shared" si="817"/>
        <v>83897.007599999997</v>
      </c>
      <c r="Z202" s="13">
        <f t="shared" ref="Z202:AC202" si="818">Z138*Z$199</f>
        <v>84906.011400000003</v>
      </c>
      <c r="AA202" s="13">
        <f t="shared" si="818"/>
        <v>86023.368750000009</v>
      </c>
      <c r="AB202" s="13">
        <f t="shared" si="818"/>
        <v>86408.641000000018</v>
      </c>
      <c r="AC202" s="13">
        <f t="shared" si="818"/>
        <v>87300.040525000004</v>
      </c>
      <c r="AD202" s="13">
        <f t="shared" ref="AD202:AG202" si="819">AD138*AD$199</f>
        <v>89450.219659735521</v>
      </c>
      <c r="AE202" s="13">
        <f t="shared" si="819"/>
        <v>92072.650478260373</v>
      </c>
      <c r="AF202" s="13">
        <f t="shared" si="819"/>
        <v>94483.282654822149</v>
      </c>
      <c r="AG202" s="13">
        <f t="shared" si="819"/>
        <v>97808.317814580485</v>
      </c>
    </row>
    <row r="203" spans="2:33" ht="13.5" customHeight="1">
      <c r="B203" s="26" t="s">
        <v>226</v>
      </c>
      <c r="C203" s="13">
        <f t="shared" si="811"/>
        <v>17877.89467319669</v>
      </c>
      <c r="D203" s="13">
        <f t="shared" si="811"/>
        <v>21335.929244531941</v>
      </c>
      <c r="E203" s="13">
        <f t="shared" si="811"/>
        <v>26565.321353525105</v>
      </c>
      <c r="F203" s="13">
        <f t="shared" ref="F203:G203" si="820">F139*F$197</f>
        <v>30183.5675896916</v>
      </c>
      <c r="G203" s="13">
        <f t="shared" si="820"/>
        <v>28121.116799999996</v>
      </c>
      <c r="H203" s="13">
        <f t="shared" ref="H203:I203" si="821">H139*H$197</f>
        <v>33316.740999999995</v>
      </c>
      <c r="I203" s="13">
        <f t="shared" si="821"/>
        <v>38546.219799999999</v>
      </c>
      <c r="J203" s="13">
        <f t="shared" ref="J203" si="822">J139*J$197</f>
        <v>42491.645214637487</v>
      </c>
      <c r="K203" s="13"/>
      <c r="L203" s="57"/>
      <c r="M203" s="57"/>
      <c r="N203" s="57"/>
      <c r="O203" s="13">
        <f t="shared" si="815"/>
        <v>26581.530938000062</v>
      </c>
      <c r="P203" s="13">
        <f t="shared" si="815"/>
        <v>28226.003751108292</v>
      </c>
      <c r="Q203" s="13">
        <f t="shared" si="815"/>
        <v>29881.007599560489</v>
      </c>
      <c r="R203" s="13">
        <f t="shared" ref="R203:U203" si="823">R139*R$199</f>
        <v>30595.828048129519</v>
      </c>
      <c r="S203" s="13">
        <f t="shared" si="823"/>
        <v>30183.5675896916</v>
      </c>
      <c r="T203" s="13">
        <f t="shared" si="823"/>
        <v>29280.011750507379</v>
      </c>
      <c r="U203" s="13">
        <f t="shared" si="823"/>
        <v>28231.807218335984</v>
      </c>
      <c r="V203" s="13">
        <f t="shared" ref="V203:Y203" si="824">V139*V$199</f>
        <v>27680.448415064438</v>
      </c>
      <c r="W203" s="13">
        <f t="shared" si="824"/>
        <v>28071.380578493216</v>
      </c>
      <c r="X203" s="13">
        <f t="shared" si="824"/>
        <v>29236.244125000001</v>
      </c>
      <c r="Y203" s="13">
        <f t="shared" si="824"/>
        <v>30568.850000000002</v>
      </c>
      <c r="Z203" s="13">
        <f t="shared" ref="Z203:AC203" si="825">Z139*Z$199</f>
        <v>31985.258800000003</v>
      </c>
      <c r="AA203" s="13">
        <f t="shared" si="825"/>
        <v>33257.877500000002</v>
      </c>
      <c r="AB203" s="13">
        <f t="shared" si="825"/>
        <v>34492.209400000007</v>
      </c>
      <c r="AC203" s="13">
        <f t="shared" si="825"/>
        <v>35805.757700000002</v>
      </c>
      <c r="AD203" s="13">
        <f t="shared" ref="AD203:AG203" si="826">AD139*AD$199</f>
        <v>37132.844250706796</v>
      </c>
      <c r="AE203" s="13">
        <f t="shared" si="826"/>
        <v>38629.244452211584</v>
      </c>
      <c r="AF203" s="13">
        <f t="shared" si="826"/>
        <v>40152.806746739625</v>
      </c>
      <c r="AG203" s="13">
        <f t="shared" si="826"/>
        <v>42491.645214637487</v>
      </c>
    </row>
    <row r="204" spans="2:33" ht="13.5" customHeight="1">
      <c r="B204" s="26" t="s">
        <v>227</v>
      </c>
      <c r="C204" s="27">
        <f t="shared" ref="C204:E204" si="827">C203/C202</f>
        <v>0.37823878935956562</v>
      </c>
      <c r="D204" s="27">
        <f t="shared" si="827"/>
        <v>0.39066869163956541</v>
      </c>
      <c r="E204" s="27">
        <f t="shared" si="827"/>
        <v>0.38026900992399348</v>
      </c>
      <c r="F204" s="27">
        <f t="shared" ref="F204:G204" si="828">F203/F202</f>
        <v>0.34778028915335696</v>
      </c>
      <c r="G204" s="27">
        <f t="shared" si="828"/>
        <v>0.34079040378539788</v>
      </c>
      <c r="H204" s="27">
        <f t="shared" ref="H204:I204" si="829">H203/H202</f>
        <v>0.38661445120399329</v>
      </c>
      <c r="I204" s="27">
        <f t="shared" si="829"/>
        <v>0.41955178059452608</v>
      </c>
      <c r="J204" s="27">
        <f t="shared" ref="J204" si="830">J203/J202</f>
        <v>0.43443795133242924</v>
      </c>
      <c r="K204" s="27"/>
      <c r="L204" s="56"/>
      <c r="M204" s="56"/>
      <c r="N204" s="56"/>
      <c r="O204" s="27">
        <f t="shared" ref="O204:Q204" si="831">O203/O202</f>
        <v>0.38026900992399354</v>
      </c>
      <c r="P204" s="27">
        <f t="shared" si="831"/>
        <v>0.37512320784132003</v>
      </c>
      <c r="Q204" s="27">
        <f t="shared" si="831"/>
        <v>0.37106094113141519</v>
      </c>
      <c r="R204" s="27">
        <f t="shared" ref="R204:U204" si="832">R203/R202</f>
        <v>0.36219862117653051</v>
      </c>
      <c r="S204" s="27">
        <f t="shared" si="832"/>
        <v>0.34778028915335696</v>
      </c>
      <c r="T204" s="27">
        <f t="shared" si="832"/>
        <v>0.33549472947744546</v>
      </c>
      <c r="U204" s="27">
        <f t="shared" si="832"/>
        <v>0.32783093941132357</v>
      </c>
      <c r="V204" s="27">
        <f t="shared" ref="V204:Y204" si="833">V203/V202</f>
        <v>0.32800937546272391</v>
      </c>
      <c r="W204" s="27">
        <f t="shared" si="833"/>
        <v>0.34079040378539793</v>
      </c>
      <c r="X204" s="27">
        <f t="shared" si="833"/>
        <v>0.35267376249193855</v>
      </c>
      <c r="Y204" s="27">
        <f t="shared" si="833"/>
        <v>0.36436162474047529</v>
      </c>
      <c r="Z204" s="27">
        <f t="shared" ref="Z204:AC204" si="834">Z203/Z202</f>
        <v>0.37671371287616512</v>
      </c>
      <c r="AA204" s="27">
        <f t="shared" si="834"/>
        <v>0.38661445120399335</v>
      </c>
      <c r="AB204" s="27">
        <f t="shared" si="834"/>
        <v>0.39917546440754692</v>
      </c>
      <c r="AC204" s="27">
        <f t="shared" si="834"/>
        <v>0.41014594592022385</v>
      </c>
      <c r="AD204" s="27">
        <f t="shared" ref="AD204:AG204" si="835">AD203/AD202</f>
        <v>0.41512300799213697</v>
      </c>
      <c r="AE204" s="27">
        <f t="shared" si="835"/>
        <v>0.41955178059452608</v>
      </c>
      <c r="AF204" s="27">
        <f t="shared" si="835"/>
        <v>0.42497260487266042</v>
      </c>
      <c r="AG204" s="27">
        <f t="shared" si="835"/>
        <v>0.43443795133242924</v>
      </c>
    </row>
    <row r="205" spans="2:33" ht="13.5" customHeight="1">
      <c r="B205" s="26" t="s">
        <v>204</v>
      </c>
      <c r="C205" s="13">
        <f t="shared" ref="C205:E207" si="836">C141*C$198</f>
        <v>24070.509558770078</v>
      </c>
      <c r="D205" s="13">
        <f t="shared" si="836"/>
        <v>31774.018092293602</v>
      </c>
      <c r="E205" s="13">
        <f t="shared" si="836"/>
        <v>40250.276039749726</v>
      </c>
      <c r="F205" s="13">
        <f t="shared" ref="F205:G205" si="837">F141*F$198</f>
        <v>50927.468236849978</v>
      </c>
      <c r="G205" s="13">
        <f t="shared" si="837"/>
        <v>52039.530899999998</v>
      </c>
      <c r="H205" s="13">
        <f t="shared" ref="H205:I205" si="838">H141*H$198</f>
        <v>52456.212000000007</v>
      </c>
      <c r="I205" s="13">
        <f t="shared" si="838"/>
        <v>49061.344000000005</v>
      </c>
      <c r="J205" s="13">
        <f t="shared" ref="J205" si="839">J141*J$198</f>
        <v>57583.045599999998</v>
      </c>
      <c r="K205" s="13"/>
      <c r="L205" s="13">
        <f t="shared" ref="L205:Q207" si="840">L141*L$198</f>
        <v>33367.565435437973</v>
      </c>
      <c r="M205" s="13">
        <f t="shared" si="840"/>
        <v>40327.005113427695</v>
      </c>
      <c r="N205" s="13">
        <f t="shared" si="840"/>
        <v>39778.136463683055</v>
      </c>
      <c r="O205" s="13">
        <f t="shared" si="840"/>
        <v>40250.276039749726</v>
      </c>
      <c r="P205" s="13">
        <f t="shared" si="840"/>
        <v>40670.917280418769</v>
      </c>
      <c r="Q205" s="13">
        <f t="shared" si="840"/>
        <v>45045.099404347493</v>
      </c>
      <c r="R205" s="13">
        <f t="shared" ref="R205:U205" si="841">R141*R$198</f>
        <v>51280.176810608638</v>
      </c>
      <c r="S205" s="13">
        <f t="shared" si="841"/>
        <v>50927.468236849978</v>
      </c>
      <c r="T205" s="13">
        <f t="shared" si="841"/>
        <v>53477.671036234286</v>
      </c>
      <c r="U205" s="13">
        <f t="shared" si="841"/>
        <v>53831.6584</v>
      </c>
      <c r="V205" s="13">
        <f t="shared" ref="V205:Y205" si="842">V141*V$198</f>
        <v>51477.654599999994</v>
      </c>
      <c r="W205" s="13">
        <f t="shared" si="842"/>
        <v>52039.530899999998</v>
      </c>
      <c r="X205" s="13">
        <f t="shared" si="842"/>
        <v>52719.721600000004</v>
      </c>
      <c r="Y205" s="13">
        <f t="shared" si="842"/>
        <v>52067.868299999995</v>
      </c>
      <c r="Z205" s="13">
        <f t="shared" ref="Z205:AC205" si="843">Z141*Z$198</f>
        <v>51128.565900000001</v>
      </c>
      <c r="AA205" s="13">
        <f t="shared" si="843"/>
        <v>52456.212000000007</v>
      </c>
      <c r="AB205" s="13">
        <f t="shared" si="843"/>
        <v>51800.108000000007</v>
      </c>
      <c r="AC205" s="13">
        <f t="shared" si="843"/>
        <v>50137.4496</v>
      </c>
      <c r="AD205" s="13">
        <f t="shared" ref="AD205:AG205" si="844">AD141*AD$198</f>
        <v>49826.293889648885</v>
      </c>
      <c r="AE205" s="13">
        <f t="shared" si="844"/>
        <v>49061.344000000005</v>
      </c>
      <c r="AF205" s="13">
        <f t="shared" si="844"/>
        <v>55638.412500000006</v>
      </c>
      <c r="AG205" s="13">
        <f t="shared" si="844"/>
        <v>57583.045599999998</v>
      </c>
    </row>
    <row r="206" spans="2:33" ht="13.5" customHeight="1">
      <c r="B206" s="26" t="s">
        <v>228</v>
      </c>
      <c r="C206" s="13">
        <f t="shared" si="836"/>
        <v>24314.312713527659</v>
      </c>
      <c r="D206" s="13">
        <f t="shared" si="836"/>
        <v>26822.254666208639</v>
      </c>
      <c r="E206" s="13">
        <f t="shared" si="836"/>
        <v>35120.077291129921</v>
      </c>
      <c r="F206" s="13">
        <f t="shared" ref="F206:G206" si="845">F142*F$198</f>
        <v>41579.577121085691</v>
      </c>
      <c r="G206" s="13">
        <f t="shared" si="845"/>
        <v>42130.544399999999</v>
      </c>
      <c r="H206" s="13">
        <f t="shared" ref="H206:I206" si="846">H142*H$198</f>
        <v>53574.601500000004</v>
      </c>
      <c r="I206" s="13">
        <f t="shared" si="846"/>
        <v>46554.518000000004</v>
      </c>
      <c r="J206" s="13">
        <f t="shared" ref="J206" si="847">J142*J$198</f>
        <v>52188.063999999998</v>
      </c>
      <c r="K206" s="13"/>
      <c r="L206" s="13">
        <f t="shared" si="840"/>
        <v>28216.549742202686</v>
      </c>
      <c r="M206" s="13">
        <f t="shared" si="840"/>
        <v>36945.221346441787</v>
      </c>
      <c r="N206" s="13">
        <f t="shared" si="840"/>
        <v>34624.798239178286</v>
      </c>
      <c r="O206" s="13">
        <f t="shared" si="840"/>
        <v>35120.077291129921</v>
      </c>
      <c r="P206" s="13">
        <f t="shared" si="840"/>
        <v>34434.38432040903</v>
      </c>
      <c r="Q206" s="13">
        <f t="shared" si="840"/>
        <v>33563.703875609193</v>
      </c>
      <c r="R206" s="13">
        <f t="shared" ref="R206:U206" si="848">R142*R$198</f>
        <v>39351.333807301169</v>
      </c>
      <c r="S206" s="13">
        <f t="shared" si="848"/>
        <v>41579.577121085691</v>
      </c>
      <c r="T206" s="13">
        <f t="shared" si="848"/>
        <v>44916.631173788905</v>
      </c>
      <c r="U206" s="13">
        <f t="shared" si="848"/>
        <v>43594.002</v>
      </c>
      <c r="V206" s="13">
        <f t="shared" ref="V206:Y206" si="849">V142*V$198</f>
        <v>40997.704599999997</v>
      </c>
      <c r="W206" s="13">
        <f t="shared" si="849"/>
        <v>42130.544399999999</v>
      </c>
      <c r="X206" s="13">
        <f t="shared" si="849"/>
        <v>49399.604800000001</v>
      </c>
      <c r="Y206" s="13">
        <f t="shared" si="849"/>
        <v>47951.5533</v>
      </c>
      <c r="Z206" s="13">
        <f t="shared" ref="Z206:AC206" si="850">Z142*Z$198</f>
        <v>49698.0645</v>
      </c>
      <c r="AA206" s="13">
        <f t="shared" si="850"/>
        <v>53574.601500000004</v>
      </c>
      <c r="AB206" s="13">
        <f t="shared" si="850"/>
        <v>58037.455500000004</v>
      </c>
      <c r="AC206" s="13">
        <f t="shared" si="850"/>
        <v>50623.315199999997</v>
      </c>
      <c r="AD206" s="13">
        <f t="shared" ref="AD206:AG206" si="851">AD142*AD$198</f>
        <v>51344.904240766075</v>
      </c>
      <c r="AE206" s="13">
        <f t="shared" si="851"/>
        <v>46554.518000000004</v>
      </c>
      <c r="AF206" s="13">
        <f t="shared" si="851"/>
        <v>51966.475000000006</v>
      </c>
      <c r="AG206" s="13">
        <f t="shared" si="851"/>
        <v>52188.063999999998</v>
      </c>
    </row>
    <row r="207" spans="2:33" ht="13.5" customHeight="1">
      <c r="B207" s="26" t="s">
        <v>229</v>
      </c>
      <c r="C207" s="13">
        <f t="shared" si="836"/>
        <v>-243.80315475757794</v>
      </c>
      <c r="D207" s="13">
        <f t="shared" si="836"/>
        <v>4951.7634260849654</v>
      </c>
      <c r="E207" s="13">
        <f t="shared" si="836"/>
        <v>5130.1987486198013</v>
      </c>
      <c r="F207" s="13">
        <f t="shared" ref="F207:G207" si="852">F143*F$198</f>
        <v>9347.8911157642833</v>
      </c>
      <c r="G207" s="13">
        <f t="shared" si="852"/>
        <v>9908.9865000000009</v>
      </c>
      <c r="H207" s="13">
        <f t="shared" ref="H207:I207" si="853">H143*H$198</f>
        <v>-1118.3895</v>
      </c>
      <c r="I207" s="13">
        <f t="shared" si="853"/>
        <v>2506.826</v>
      </c>
      <c r="J207" s="13">
        <f t="shared" ref="J207" si="854">J143*J$198</f>
        <v>5394.9816000000001</v>
      </c>
      <c r="K207" s="13"/>
      <c r="L207" s="13">
        <f t="shared" si="840"/>
        <v>5151.0156932352857</v>
      </c>
      <c r="M207" s="13">
        <f t="shared" si="840"/>
        <v>3381.7837669859027</v>
      </c>
      <c r="N207" s="13">
        <f t="shared" si="840"/>
        <v>5153.3382245047687</v>
      </c>
      <c r="O207" s="13">
        <f t="shared" si="840"/>
        <v>5130.1987486198013</v>
      </c>
      <c r="P207" s="13">
        <f t="shared" si="840"/>
        <v>6236.5329600097393</v>
      </c>
      <c r="Q207" s="13">
        <f t="shared" si="840"/>
        <v>11481.3955287383</v>
      </c>
      <c r="R207" s="13">
        <f t="shared" ref="R207:U207" si="855">R143*R$198</f>
        <v>11928.843003307471</v>
      </c>
      <c r="S207" s="13">
        <f t="shared" si="855"/>
        <v>9347.8911157642833</v>
      </c>
      <c r="T207" s="13">
        <f t="shared" si="855"/>
        <v>8561.039862445381</v>
      </c>
      <c r="U207" s="13">
        <f t="shared" si="855"/>
        <v>10237.6564</v>
      </c>
      <c r="V207" s="13">
        <f t="shared" ref="V207:Y207" si="856">V143*V$198</f>
        <v>10479.949999999999</v>
      </c>
      <c r="W207" s="13">
        <f t="shared" si="856"/>
        <v>9908.9865000000009</v>
      </c>
      <c r="X207" s="13">
        <f t="shared" si="856"/>
        <v>3320.1168000000002</v>
      </c>
      <c r="Y207" s="13">
        <f t="shared" si="856"/>
        <v>4116.3149999999996</v>
      </c>
      <c r="Z207" s="13">
        <f t="shared" ref="Z207:AC207" si="857">Z143*Z$198</f>
        <v>1430.5014000000001</v>
      </c>
      <c r="AA207" s="13">
        <f t="shared" si="857"/>
        <v>-1118.3895</v>
      </c>
      <c r="AB207" s="13">
        <f t="shared" si="857"/>
        <v>-6237.3475000000008</v>
      </c>
      <c r="AC207" s="13">
        <f t="shared" si="857"/>
        <v>-485.86559999999997</v>
      </c>
      <c r="AD207" s="13">
        <f t="shared" ref="AD207:AG207" si="858">AD143*AD$198</f>
        <v>-1518.6103511171912</v>
      </c>
      <c r="AE207" s="13">
        <f t="shared" si="858"/>
        <v>2506.826</v>
      </c>
      <c r="AF207" s="13">
        <f t="shared" si="858"/>
        <v>3671.9375000000005</v>
      </c>
      <c r="AG207" s="13">
        <f t="shared" si="858"/>
        <v>5394.9816000000001</v>
      </c>
    </row>
    <row r="208" spans="2:33" ht="13.5" customHeight="1">
      <c r="B208" s="26" t="s">
        <v>230</v>
      </c>
      <c r="C208" s="36">
        <f t="shared" ref="C208:E208" si="859">C205/C203</f>
        <v>1.3463839002730911</v>
      </c>
      <c r="D208" s="36">
        <f t="shared" si="859"/>
        <v>1.4892258841004911</v>
      </c>
      <c r="E208" s="36">
        <f t="shared" si="859"/>
        <v>1.5151435777534341</v>
      </c>
      <c r="F208" s="36">
        <f t="shared" ref="F208:G208" si="860">F205/F203</f>
        <v>1.6872580779431425</v>
      </c>
      <c r="G208" s="36">
        <f t="shared" si="860"/>
        <v>1.8505499361959907</v>
      </c>
      <c r="H208" s="36">
        <f t="shared" ref="H208:I208" si="861">H205/H203</f>
        <v>1.5744700839737</v>
      </c>
      <c r="I208" s="36">
        <f t="shared" si="861"/>
        <v>1.2727926176563753</v>
      </c>
      <c r="J208" s="36">
        <f t="shared" ref="J208" si="862">J205/J203</f>
        <v>1.3551615925702929</v>
      </c>
      <c r="K208" s="36"/>
      <c r="L208" s="55"/>
      <c r="M208" s="55"/>
      <c r="N208" s="55"/>
      <c r="O208" s="36">
        <f t="shared" ref="O208:Q208" si="863">O205/O203</f>
        <v>1.5142196336859322</v>
      </c>
      <c r="P208" s="36">
        <f t="shared" si="863"/>
        <v>1.4409024259703016</v>
      </c>
      <c r="Q208" s="36">
        <f t="shared" si="863"/>
        <v>1.5074826126348579</v>
      </c>
      <c r="R208" s="36">
        <f t="shared" ref="R208:U208" si="864">R205/R203</f>
        <v>1.6760512815649604</v>
      </c>
      <c r="S208" s="36">
        <f t="shared" si="864"/>
        <v>1.6872580779431425</v>
      </c>
      <c r="T208" s="36">
        <f t="shared" si="864"/>
        <v>1.8264224581572306</v>
      </c>
      <c r="U208" s="36">
        <f t="shared" si="864"/>
        <v>1.906773377406652</v>
      </c>
      <c r="V208" s="36">
        <f t="shared" ref="V208:Y208" si="865">V205/V203</f>
        <v>1.859711729669252</v>
      </c>
      <c r="W208" s="36">
        <f t="shared" si="865"/>
        <v>1.8538286976832872</v>
      </c>
      <c r="X208" s="36">
        <f t="shared" si="865"/>
        <v>1.8032316796438024</v>
      </c>
      <c r="Y208" s="36">
        <f t="shared" si="865"/>
        <v>1.7032982366036011</v>
      </c>
      <c r="Z208" s="36">
        <f t="shared" ref="Z208:AC208" si="866">Z205/Z203</f>
        <v>1.5985040552493512</v>
      </c>
      <c r="AA208" s="36">
        <f t="shared" si="866"/>
        <v>1.5772567566886975</v>
      </c>
      <c r="AB208" s="36">
        <f t="shared" si="866"/>
        <v>1.501791532090142</v>
      </c>
      <c r="AC208" s="36">
        <f t="shared" si="866"/>
        <v>1.400262215369904</v>
      </c>
      <c r="AD208" s="36">
        <f t="shared" ref="AD208:AG208" si="867">AD205/AD203</f>
        <v>1.3418388732422639</v>
      </c>
      <c r="AE208" s="36">
        <f t="shared" si="867"/>
        <v>1.2700570434582021</v>
      </c>
      <c r="AF208" s="36">
        <f t="shared" si="867"/>
        <v>1.385666831485393</v>
      </c>
      <c r="AG208" s="36">
        <f t="shared" si="867"/>
        <v>1.3551615925702929</v>
      </c>
    </row>
    <row r="209" spans="2:33" ht="13.5" customHeight="1">
      <c r="B209" s="26" t="s">
        <v>231</v>
      </c>
      <c r="C209" s="36">
        <f t="shared" ref="C209:E209" si="868">C207/C203</f>
        <v>-1.3637128935718485E-2</v>
      </c>
      <c r="D209" s="36">
        <f t="shared" si="868"/>
        <v>0.23208566963888033</v>
      </c>
      <c r="E209" s="36">
        <f t="shared" si="868"/>
        <v>0.19311638208129733</v>
      </c>
      <c r="F209" s="36">
        <f t="shared" ref="F209:G209" si="869">F207/F203</f>
        <v>0.30970133295166902</v>
      </c>
      <c r="G209" s="36">
        <f t="shared" si="869"/>
        <v>0.35236817123849085</v>
      </c>
      <c r="H209" s="36">
        <f t="shared" ref="H209:I209" si="870">H207/H203</f>
        <v>-3.3568394339650455E-2</v>
      </c>
      <c r="I209" s="36">
        <f t="shared" si="870"/>
        <v>6.5034289043305882E-2</v>
      </c>
      <c r="J209" s="36">
        <f t="shared" ref="J209" si="871">J207/J203</f>
        <v>0.12696570285166414</v>
      </c>
      <c r="K209" s="36"/>
      <c r="L209" s="55"/>
      <c r="M209" s="55"/>
      <c r="N209" s="55"/>
      <c r="O209" s="36">
        <f t="shared" ref="O209:Q209" si="872">O207/O203</f>
        <v>0.19299861849890074</v>
      </c>
      <c r="P209" s="36">
        <f t="shared" si="872"/>
        <v>0.22094990899180555</v>
      </c>
      <c r="Q209" s="36">
        <f t="shared" si="872"/>
        <v>0.38423722796105364</v>
      </c>
      <c r="R209" s="36">
        <f t="shared" ref="R209:U209" si="873">R207/R203</f>
        <v>0.38988462690215514</v>
      </c>
      <c r="S209" s="36">
        <f t="shared" si="873"/>
        <v>0.30970133295166902</v>
      </c>
      <c r="T209" s="36">
        <f t="shared" si="873"/>
        <v>0.29238512386515797</v>
      </c>
      <c r="U209" s="36">
        <f t="shared" si="873"/>
        <v>0.36262844673120503</v>
      </c>
      <c r="V209" s="36">
        <f t="shared" ref="V209:Y209" si="874">V207/V203</f>
        <v>0.37860477702003303</v>
      </c>
      <c r="W209" s="36">
        <f t="shared" si="874"/>
        <v>0.35299248899755697</v>
      </c>
      <c r="X209" s="36">
        <f t="shared" si="874"/>
        <v>0.11356167316857771</v>
      </c>
      <c r="Y209" s="36">
        <f t="shared" si="874"/>
        <v>0.1346571755234495</v>
      </c>
      <c r="Z209" s="36">
        <f t="shared" ref="Z209:AC209" si="875">Z207/Z203</f>
        <v>4.4723771314303072E-2</v>
      </c>
      <c r="AA209" s="36">
        <f t="shared" si="875"/>
        <v>-3.3627807426977262E-2</v>
      </c>
      <c r="AB209" s="36">
        <f t="shared" si="875"/>
        <v>-0.18083351598810599</v>
      </c>
      <c r="AC209" s="36">
        <f t="shared" si="875"/>
        <v>-1.356948242991657E-2</v>
      </c>
      <c r="AD209" s="36">
        <f t="shared" ref="AD209:AG209" si="876">AD207/AD203</f>
        <v>-4.0896688141207643E-2</v>
      </c>
      <c r="AE209" s="36">
        <f t="shared" si="876"/>
        <v>6.4894512837319562E-2</v>
      </c>
      <c r="AF209" s="36">
        <f t="shared" si="876"/>
        <v>9.1449086564743293E-2</v>
      </c>
      <c r="AG209" s="36">
        <f t="shared" si="876"/>
        <v>0.12696570285166414</v>
      </c>
    </row>
    <row r="210" spans="2:33" ht="13.5" customHeight="1"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 spans="2:33" ht="13.5" customHeight="1">
      <c r="B211" s="54" t="s">
        <v>232</v>
      </c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</row>
    <row r="212" spans="2:33" s="52" customFormat="1" ht="13.5" customHeight="1">
      <c r="B212" s="51" t="s">
        <v>238</v>
      </c>
      <c r="C212" s="50">
        <f t="shared" ref="C212:H212" si="877">C2</f>
        <v>43465</v>
      </c>
      <c r="D212" s="50">
        <f t="shared" si="877"/>
        <v>43830</v>
      </c>
      <c r="E212" s="50">
        <f t="shared" si="877"/>
        <v>44196</v>
      </c>
      <c r="F212" s="50">
        <f t="shared" si="877"/>
        <v>44561</v>
      </c>
      <c r="G212" s="50">
        <f t="shared" si="877"/>
        <v>44926</v>
      </c>
      <c r="H212" s="50">
        <f t="shared" si="877"/>
        <v>45291</v>
      </c>
      <c r="I212" s="50">
        <f t="shared" ref="I212" si="878">I2</f>
        <v>45657</v>
      </c>
      <c r="J212" s="50" t="str">
        <f>J1</f>
        <v>LTM</v>
      </c>
      <c r="K212" s="50"/>
      <c r="L212" s="50">
        <f t="shared" ref="L212:Q212" si="879">L2</f>
        <v>43921</v>
      </c>
      <c r="M212" s="50">
        <f t="shared" si="879"/>
        <v>44012</v>
      </c>
      <c r="N212" s="50">
        <f t="shared" si="879"/>
        <v>44104</v>
      </c>
      <c r="O212" s="50">
        <f t="shared" si="879"/>
        <v>44196</v>
      </c>
      <c r="P212" s="50">
        <f t="shared" si="879"/>
        <v>44286</v>
      </c>
      <c r="Q212" s="50">
        <f t="shared" si="879"/>
        <v>44377</v>
      </c>
      <c r="R212" s="50">
        <f t="shared" ref="R212:U212" si="880">R2</f>
        <v>44469</v>
      </c>
      <c r="S212" s="50">
        <f t="shared" si="880"/>
        <v>44561</v>
      </c>
      <c r="T212" s="50">
        <f t="shared" si="880"/>
        <v>44651</v>
      </c>
      <c r="U212" s="50">
        <f t="shared" si="880"/>
        <v>44742</v>
      </c>
      <c r="V212" s="50">
        <f t="shared" ref="V212:Y212" si="881">V2</f>
        <v>44834</v>
      </c>
      <c r="W212" s="50">
        <f t="shared" si="881"/>
        <v>44926</v>
      </c>
      <c r="X212" s="50">
        <f t="shared" si="881"/>
        <v>45016</v>
      </c>
      <c r="Y212" s="50">
        <f t="shared" si="881"/>
        <v>45107</v>
      </c>
      <c r="Z212" s="50">
        <f t="shared" ref="Z212:AC212" si="882">Z2</f>
        <v>45199</v>
      </c>
      <c r="AA212" s="50">
        <f t="shared" si="882"/>
        <v>45291</v>
      </c>
      <c r="AB212" s="50">
        <f t="shared" si="882"/>
        <v>45382</v>
      </c>
      <c r="AC212" s="50">
        <f t="shared" si="882"/>
        <v>45473</v>
      </c>
      <c r="AD212" s="50">
        <f t="shared" ref="AD212:AG212" si="883">AD2</f>
        <v>45565</v>
      </c>
      <c r="AE212" s="50">
        <f t="shared" si="883"/>
        <v>45657</v>
      </c>
      <c r="AF212" s="50">
        <f t="shared" si="883"/>
        <v>45747</v>
      </c>
      <c r="AG212" s="50">
        <f t="shared" si="883"/>
        <v>45838</v>
      </c>
    </row>
    <row r="213" spans="2:33" s="33" customFormat="1" ht="13.5" customHeight="1">
      <c r="B213" s="51"/>
      <c r="C213" s="50" t="s">
        <v>128</v>
      </c>
      <c r="D213" s="50" t="s">
        <v>128</v>
      </c>
      <c r="E213" s="50" t="s">
        <v>128</v>
      </c>
      <c r="F213" s="50" t="s">
        <v>128</v>
      </c>
      <c r="G213" s="50" t="s">
        <v>128</v>
      </c>
      <c r="H213" s="50" t="s">
        <v>128</v>
      </c>
      <c r="I213" s="50" t="s">
        <v>128</v>
      </c>
      <c r="J213" s="50" t="s">
        <v>128</v>
      </c>
      <c r="K213" s="50"/>
      <c r="L213" s="50" t="s">
        <v>128</v>
      </c>
      <c r="M213" s="50" t="s">
        <v>128</v>
      </c>
      <c r="N213" s="50" t="s">
        <v>128</v>
      </c>
      <c r="O213" s="50" t="s">
        <v>128</v>
      </c>
      <c r="P213" s="50" t="s">
        <v>128</v>
      </c>
      <c r="Q213" s="50" t="s">
        <v>128</v>
      </c>
      <c r="R213" s="50" t="s">
        <v>128</v>
      </c>
      <c r="S213" s="50" t="s">
        <v>128</v>
      </c>
      <c r="T213" s="50" t="s">
        <v>128</v>
      </c>
      <c r="U213" s="50" t="s">
        <v>128</v>
      </c>
      <c r="V213" s="50" t="s">
        <v>128</v>
      </c>
      <c r="W213" s="50" t="s">
        <v>128</v>
      </c>
      <c r="X213" s="50" t="s">
        <v>128</v>
      </c>
      <c r="Y213" s="50" t="s">
        <v>128</v>
      </c>
      <c r="Z213" s="50" t="s">
        <v>128</v>
      </c>
      <c r="AA213" s="50" t="s">
        <v>128</v>
      </c>
      <c r="AB213" s="50" t="s">
        <v>128</v>
      </c>
      <c r="AC213" s="50" t="s">
        <v>128</v>
      </c>
      <c r="AD213" s="50" t="s">
        <v>128</v>
      </c>
      <c r="AE213" s="50" t="s">
        <v>128</v>
      </c>
      <c r="AF213" s="50" t="s">
        <v>128</v>
      </c>
      <c r="AG213" s="50" t="s">
        <v>128</v>
      </c>
    </row>
    <row r="214" spans="2:33" ht="13.5" customHeight="1"/>
    <row r="215" spans="2:33" s="33" customFormat="1" ht="13.5" customHeight="1">
      <c r="B215" s="33" t="str">
        <f>B6</f>
        <v>Revenue</v>
      </c>
      <c r="C215" s="48">
        <f t="shared" ref="C215:G215" si="884">C6*C$197</f>
        <v>47266.158776225893</v>
      </c>
      <c r="D215" s="48">
        <f t="shared" si="884"/>
        <v>54613.870271991669</v>
      </c>
      <c r="E215" s="48">
        <f t="shared" si="884"/>
        <v>69859.285559017459</v>
      </c>
      <c r="F215" s="48">
        <f t="shared" si="884"/>
        <v>86789.184238045971</v>
      </c>
      <c r="G215" s="48">
        <f t="shared" si="884"/>
        <v>82517.337599999999</v>
      </c>
      <c r="H215" s="48">
        <f t="shared" ref="H215:I215" si="885">H6*H$197</f>
        <v>86175.622499999998</v>
      </c>
      <c r="I215" s="48">
        <f t="shared" si="885"/>
        <v>91874.761549999996</v>
      </c>
      <c r="J215" s="48">
        <f t="shared" ref="J215" si="886">J6*J$197</f>
        <v>97808.317814580485</v>
      </c>
      <c r="K215" s="48"/>
      <c r="L215" s="48">
        <f t="shared" ref="L215:R215" si="887">L6*L$197</f>
        <v>15488.970746319999</v>
      </c>
      <c r="M215" s="48">
        <f t="shared" si="887"/>
        <v>16215.190052082597</v>
      </c>
      <c r="N215" s="48">
        <f t="shared" si="887"/>
        <v>18133.157947991502</v>
      </c>
      <c r="O215" s="48">
        <f t="shared" si="887"/>
        <v>20183.764684564972</v>
      </c>
      <c r="P215" s="48">
        <f t="shared" si="887"/>
        <v>20873.32808811959</v>
      </c>
      <c r="Q215" s="48">
        <f t="shared" si="887"/>
        <v>21414.918992596264</v>
      </c>
      <c r="R215" s="48">
        <f t="shared" si="887"/>
        <v>22015.051872964064</v>
      </c>
      <c r="S215" s="48">
        <f t="shared" ref="S215:V215" si="888">S6*S$197</f>
        <v>22492.815699269271</v>
      </c>
      <c r="T215" s="48">
        <f t="shared" si="888"/>
        <v>21343.090763001594</v>
      </c>
      <c r="U215" s="48">
        <f t="shared" si="888"/>
        <v>20279.3442</v>
      </c>
      <c r="V215" s="48">
        <f t="shared" si="888"/>
        <v>20271.4571</v>
      </c>
      <c r="W215" s="48">
        <f t="shared" ref="W215:Z215" si="889">W6*W$197</f>
        <v>20380.5324</v>
      </c>
      <c r="X215" s="48">
        <f t="shared" si="889"/>
        <v>21912.954600000001</v>
      </c>
      <c r="Y215" s="48">
        <f t="shared" si="889"/>
        <v>21336.744000000002</v>
      </c>
      <c r="Z215" s="48">
        <f t="shared" si="889"/>
        <v>21260.9375</v>
      </c>
      <c r="AA215" s="48">
        <f t="shared" ref="AA215:AD215" si="890">AA6*AA$197</f>
        <v>21479.126400000001</v>
      </c>
      <c r="AB215" s="48">
        <f t="shared" si="890"/>
        <v>22314.189900000005</v>
      </c>
      <c r="AC215" s="48">
        <f t="shared" si="890"/>
        <v>22250.257699999998</v>
      </c>
      <c r="AD215" s="48">
        <f t="shared" si="890"/>
        <v>23415.284350752394</v>
      </c>
      <c r="AE215" s="48">
        <f t="shared" ref="AE215:AG215" si="891">AE6*AE$197</f>
        <v>24099.23020656635</v>
      </c>
      <c r="AF215" s="48">
        <f t="shared" si="891"/>
        <v>24708.019500000002</v>
      </c>
      <c r="AG215" s="48">
        <f t="shared" si="891"/>
        <v>25563.029200000001</v>
      </c>
    </row>
    <row r="216" spans="2:33" s="44" customFormat="1" ht="13.5" customHeight="1">
      <c r="B216" s="49" t="s">
        <v>233</v>
      </c>
      <c r="C216" s="45"/>
      <c r="D216" s="45">
        <f t="shared" ref="D216:I216" si="892">D215/C215-1</f>
        <v>0.15545395873086165</v>
      </c>
      <c r="E216" s="45">
        <f t="shared" si="892"/>
        <v>0.27914914674787838</v>
      </c>
      <c r="F216" s="45">
        <f t="shared" si="892"/>
        <v>0.24234285454760407</v>
      </c>
      <c r="G216" s="45">
        <f t="shared" si="892"/>
        <v>-4.9220956223405943E-2</v>
      </c>
      <c r="H216" s="45">
        <f t="shared" si="892"/>
        <v>4.4333530460391346E-2</v>
      </c>
      <c r="I216" s="45">
        <f t="shared" si="892"/>
        <v>6.6134005008202879E-2</v>
      </c>
      <c r="J216" s="45"/>
      <c r="K216" s="48"/>
      <c r="L216" s="45"/>
      <c r="M216" s="45"/>
      <c r="N216" s="45"/>
      <c r="O216" s="45"/>
      <c r="P216" s="45">
        <f t="shared" ref="P216:AG216" si="893">P215/L215-1</f>
        <v>0.34762525089530905</v>
      </c>
      <c r="Q216" s="45">
        <f t="shared" si="893"/>
        <v>0.32067024338366235</v>
      </c>
      <c r="R216" s="45">
        <f t="shared" si="893"/>
        <v>0.21407710317785744</v>
      </c>
      <c r="S216" s="45">
        <f t="shared" si="893"/>
        <v>0.1144014038406862</v>
      </c>
      <c r="T216" s="45">
        <f t="shared" si="893"/>
        <v>2.2505403685451508E-2</v>
      </c>
      <c r="U216" s="45">
        <f t="shared" si="893"/>
        <v>-5.3027274723236872E-2</v>
      </c>
      <c r="V216" s="45">
        <f t="shared" si="893"/>
        <v>-7.9200121036522075E-2</v>
      </c>
      <c r="W216" s="45">
        <f t="shared" si="893"/>
        <v>-9.3909243178384894E-2</v>
      </c>
      <c r="X216" s="45">
        <f t="shared" si="893"/>
        <v>2.6700155255220626E-2</v>
      </c>
      <c r="Y216" s="45">
        <f t="shared" si="893"/>
        <v>5.2141715706960801E-2</v>
      </c>
      <c r="Z216" s="45">
        <f t="shared" si="893"/>
        <v>4.8811508473162624E-2</v>
      </c>
      <c r="AA216" s="45">
        <f t="shared" si="893"/>
        <v>5.3904087412358415E-2</v>
      </c>
      <c r="AB216" s="45">
        <f t="shared" si="893"/>
        <v>1.8310415337601471E-2</v>
      </c>
      <c r="AC216" s="45">
        <f t="shared" si="893"/>
        <v>4.2814109781698528E-2</v>
      </c>
      <c r="AD216" s="45">
        <f t="shared" si="893"/>
        <v>0.10132887370335353</v>
      </c>
      <c r="AE216" s="45">
        <f t="shared" si="893"/>
        <v>0.12198372307014993</v>
      </c>
      <c r="AF216" s="45">
        <f t="shared" si="893"/>
        <v>0.10727835564400201</v>
      </c>
      <c r="AG216" s="45">
        <f t="shared" si="893"/>
        <v>0.14888688233035619</v>
      </c>
    </row>
    <row r="217" spans="2:33" ht="13.5" customHeight="1"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 spans="2:33" s="33" customFormat="1" ht="13.5" customHeight="1" thickBot="1">
      <c r="B218" s="39" t="str">
        <f>B45</f>
        <v xml:space="preserve">Adj. EBITDA </v>
      </c>
      <c r="C218" s="47">
        <f t="shared" ref="C218:G218" si="894">C45*C$197</f>
        <v>17877.89467319669</v>
      </c>
      <c r="D218" s="47">
        <f t="shared" si="894"/>
        <v>21335.929244531941</v>
      </c>
      <c r="E218" s="47">
        <f t="shared" si="894"/>
        <v>26565.321353525105</v>
      </c>
      <c r="F218" s="47">
        <f t="shared" si="894"/>
        <v>30183.5675896916</v>
      </c>
      <c r="G218" s="47">
        <f t="shared" si="894"/>
        <v>28121.116799999996</v>
      </c>
      <c r="H218" s="47">
        <f t="shared" ref="H218:I218" si="895">H45*H$197</f>
        <v>33316.740999999995</v>
      </c>
      <c r="I218" s="47">
        <f t="shared" si="895"/>
        <v>38546.219799999999</v>
      </c>
      <c r="J218" s="47">
        <f t="shared" ref="J218" si="896">J45*J$197</f>
        <v>42491.645214637487</v>
      </c>
      <c r="K218" s="47"/>
      <c r="L218" s="47">
        <f t="shared" ref="L218:Q218" si="897">L45*L$197</f>
        <v>6477.0886783528504</v>
      </c>
      <c r="M218" s="47">
        <f t="shared" si="897"/>
        <v>6173.9756383294043</v>
      </c>
      <c r="N218" s="47">
        <f t="shared" si="897"/>
        <v>6916.4944132059381</v>
      </c>
      <c r="O218" s="47">
        <f t="shared" si="897"/>
        <v>7026.394467429709</v>
      </c>
      <c r="P218" s="47">
        <f t="shared" si="897"/>
        <v>8165.1008160935498</v>
      </c>
      <c r="Q218" s="47">
        <f t="shared" si="897"/>
        <v>7798.2404510393108</v>
      </c>
      <c r="R218" s="47">
        <f t="shared" ref="R218:U218" si="898">R45*R$197</f>
        <v>7616.8479581548581</v>
      </c>
      <c r="S218" s="47">
        <f t="shared" si="898"/>
        <v>6593.5018251242427</v>
      </c>
      <c r="T218" s="47">
        <f t="shared" si="898"/>
        <v>7263.245789548313</v>
      </c>
      <c r="U218" s="47">
        <f t="shared" si="898"/>
        <v>6758.2683999999999</v>
      </c>
      <c r="V218" s="47">
        <f t="shared" ref="V218:Y218" si="899">V45*V$197</f>
        <v>7033.8670000000002</v>
      </c>
      <c r="W218" s="47">
        <f t="shared" si="899"/>
        <v>6974.6036000000004</v>
      </c>
      <c r="X218" s="47">
        <f t="shared" si="899"/>
        <v>8446.187100000001</v>
      </c>
      <c r="Y218" s="47">
        <f t="shared" si="899"/>
        <v>8129.264000000001</v>
      </c>
      <c r="Z218" s="47">
        <f t="shared" ref="Z218:AC218" si="900">Z45*Z$197</f>
        <v>8428.8875000000007</v>
      </c>
      <c r="AA218" s="47">
        <f t="shared" si="900"/>
        <v>8233.9696000000004</v>
      </c>
      <c r="AB218" s="47">
        <f t="shared" si="900"/>
        <v>9689.3341000000019</v>
      </c>
      <c r="AC218" s="47">
        <f t="shared" si="900"/>
        <v>9462.3358000000007</v>
      </c>
      <c r="AD218" s="47">
        <f t="shared" ref="AD218:AG218" si="901">AD45*AD$197</f>
        <v>9755.2830963976285</v>
      </c>
      <c r="AE218" s="47">
        <f t="shared" si="901"/>
        <v>9723.6255902872781</v>
      </c>
      <c r="AF218" s="47">
        <f t="shared" si="901"/>
        <v>11193.972750000001</v>
      </c>
      <c r="AG218" s="47">
        <f t="shared" si="901"/>
        <v>11793.653100000001</v>
      </c>
    </row>
    <row r="219" spans="2:33" s="44" customFormat="1" ht="13.5" customHeight="1" thickTop="1">
      <c r="B219" s="46" t="str">
        <f>B46</f>
        <v xml:space="preserve">% growth </v>
      </c>
      <c r="C219" s="45"/>
      <c r="D219" s="45">
        <f t="shared" ref="D219:I219" si="902">D218/C218-1</f>
        <v>0.19342515629201484</v>
      </c>
      <c r="E219" s="45">
        <f t="shared" si="902"/>
        <v>0.24509793077483955</v>
      </c>
      <c r="F219" s="45">
        <f t="shared" si="902"/>
        <v>0.13620186212000673</v>
      </c>
      <c r="G219" s="45">
        <f t="shared" si="902"/>
        <v>-6.8330252332265085E-2</v>
      </c>
      <c r="H219" s="45">
        <f t="shared" si="902"/>
        <v>0.18475881441522257</v>
      </c>
      <c r="I219" s="45">
        <f t="shared" si="902"/>
        <v>0.1569624952212465</v>
      </c>
      <c r="J219" s="45"/>
      <c r="K219" s="45"/>
      <c r="L219" s="45"/>
      <c r="M219" s="45"/>
      <c r="N219" s="45"/>
      <c r="O219" s="45"/>
      <c r="P219" s="45">
        <f t="shared" ref="P219:AG219" si="903">P218/L218-1</f>
        <v>0.26061278786906583</v>
      </c>
      <c r="Q219" s="45">
        <f t="shared" si="903"/>
        <v>0.26308247843190569</v>
      </c>
      <c r="R219" s="45">
        <f t="shared" si="903"/>
        <v>0.10125845596169447</v>
      </c>
      <c r="S219" s="45">
        <f t="shared" si="903"/>
        <v>-6.1609498913291261E-2</v>
      </c>
      <c r="T219" s="45">
        <f t="shared" si="903"/>
        <v>-0.1104524055315601</v>
      </c>
      <c r="U219" s="45">
        <f t="shared" si="903"/>
        <v>-0.13335983387133288</v>
      </c>
      <c r="V219" s="45">
        <f t="shared" si="903"/>
        <v>-7.6538347799196771E-2</v>
      </c>
      <c r="W219" s="45">
        <f t="shared" si="903"/>
        <v>5.779960102893833E-2</v>
      </c>
      <c r="X219" s="45">
        <f t="shared" si="903"/>
        <v>0.16286676022363444</v>
      </c>
      <c r="Y219" s="45">
        <f t="shared" si="903"/>
        <v>0.20286196387228439</v>
      </c>
      <c r="Z219" s="45">
        <f t="shared" si="903"/>
        <v>0.19832909834661372</v>
      </c>
      <c r="AA219" s="45">
        <f t="shared" si="903"/>
        <v>0.18056452699333336</v>
      </c>
      <c r="AB219" s="45">
        <f t="shared" si="903"/>
        <v>0.14718440229674767</v>
      </c>
      <c r="AC219" s="45">
        <f t="shared" si="903"/>
        <v>0.16398431641536049</v>
      </c>
      <c r="AD219" s="45">
        <f t="shared" si="903"/>
        <v>0.15736306794907717</v>
      </c>
      <c r="AE219" s="45">
        <f t="shared" si="903"/>
        <v>0.18091589629955362</v>
      </c>
      <c r="AF219" s="45">
        <f t="shared" si="903"/>
        <v>0.15528813791238738</v>
      </c>
      <c r="AG219" s="45">
        <f t="shared" si="903"/>
        <v>0.24637862672343558</v>
      </c>
    </row>
    <row r="220" spans="2:33" s="44" customFormat="1" ht="13.5" customHeight="1">
      <c r="B220" s="46" t="str">
        <f>B47</f>
        <v>% margin</v>
      </c>
      <c r="C220" s="45">
        <f t="shared" ref="C220:E220" si="904">C218/C215</f>
        <v>0.37823878935956562</v>
      </c>
      <c r="D220" s="45">
        <f t="shared" si="904"/>
        <v>0.39066869163956541</v>
      </c>
      <c r="E220" s="45">
        <f t="shared" si="904"/>
        <v>0.38026900992399348</v>
      </c>
      <c r="F220" s="45">
        <f t="shared" ref="F220:G220" si="905">F218/F215</f>
        <v>0.34778028915335696</v>
      </c>
      <c r="G220" s="45">
        <f t="shared" si="905"/>
        <v>0.34079040378539788</v>
      </c>
      <c r="H220" s="45">
        <f t="shared" ref="H220:I220" si="906">H218/H215</f>
        <v>0.38661445120399329</v>
      </c>
      <c r="I220" s="45">
        <f t="shared" si="906"/>
        <v>0.41955178059452608</v>
      </c>
      <c r="J220" s="45">
        <f t="shared" ref="J220" si="907">J218/J215</f>
        <v>0.43443795133242924</v>
      </c>
      <c r="K220" s="45"/>
      <c r="L220" s="45">
        <f t="shared" ref="L220:Q220" si="908">L218/L215</f>
        <v>0.41817424698098365</v>
      </c>
      <c r="M220" s="45">
        <f t="shared" si="908"/>
        <v>0.38075259176727627</v>
      </c>
      <c r="N220" s="45">
        <f t="shared" si="908"/>
        <v>0.38142801342399579</v>
      </c>
      <c r="O220" s="45">
        <f t="shared" si="908"/>
        <v>0.34812110511786576</v>
      </c>
      <c r="P220" s="45">
        <f t="shared" si="908"/>
        <v>0.39117388380154172</v>
      </c>
      <c r="Q220" s="45">
        <f t="shared" si="908"/>
        <v>0.36414989259288727</v>
      </c>
      <c r="R220" s="45">
        <f t="shared" ref="R220:U220" si="909">R218/R215</f>
        <v>0.3459836480107889</v>
      </c>
      <c r="S220" s="45">
        <f t="shared" si="909"/>
        <v>0.29313812522540017</v>
      </c>
      <c r="T220" s="45">
        <f t="shared" si="909"/>
        <v>0.34030899602128872</v>
      </c>
      <c r="U220" s="45">
        <f t="shared" si="909"/>
        <v>0.33325872539803336</v>
      </c>
      <c r="V220" s="45">
        <f t="shared" ref="V220:Y220" si="910">V218/V215</f>
        <v>0.34698378933993851</v>
      </c>
      <c r="W220" s="45">
        <f t="shared" si="910"/>
        <v>0.34221891082688305</v>
      </c>
      <c r="X220" s="45">
        <f t="shared" si="910"/>
        <v>0.38544264131318928</v>
      </c>
      <c r="Y220" s="45">
        <f t="shared" si="910"/>
        <v>0.38099833789072973</v>
      </c>
      <c r="Z220" s="45">
        <f t="shared" ref="Z220:AC220" si="911">Z218/Z215</f>
        <v>0.39644947453516577</v>
      </c>
      <c r="AA220" s="45">
        <f t="shared" si="911"/>
        <v>0.38334750895641639</v>
      </c>
      <c r="AB220" s="45">
        <f t="shared" si="911"/>
        <v>0.43422298292800671</v>
      </c>
      <c r="AC220" s="45">
        <f t="shared" si="911"/>
        <v>0.42526859363071562</v>
      </c>
      <c r="AD220" s="45">
        <f t="shared" ref="AD220:AG220" si="912">AD218/AD215</f>
        <v>0.41662031305138369</v>
      </c>
      <c r="AE220" s="45">
        <f t="shared" si="912"/>
        <v>0.40348282940746666</v>
      </c>
      <c r="AF220" s="45">
        <f t="shared" si="912"/>
        <v>0.45305018275544101</v>
      </c>
      <c r="AG220" s="45">
        <f t="shared" si="912"/>
        <v>0.46135585136365609</v>
      </c>
    </row>
    <row r="221" spans="2:33" ht="13.5" customHeight="1"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 spans="2:33" s="33" customFormat="1" ht="13.5" customHeight="1">
      <c r="B222" s="33" t="str">
        <f t="shared" ref="B222:B239" si="913">B53</f>
        <v xml:space="preserve">Adj. EBITDA </v>
      </c>
      <c r="C222" s="42">
        <f t="shared" ref="C222:E239" si="914">C53*C$197</f>
        <v>17877.89467319669</v>
      </c>
      <c r="D222" s="42">
        <f t="shared" si="914"/>
        <v>21335.929244531941</v>
      </c>
      <c r="E222" s="42">
        <f t="shared" si="914"/>
        <v>26565.321353525105</v>
      </c>
      <c r="F222" s="42">
        <f t="shared" ref="F222:G222" si="915">F53*F$197</f>
        <v>30183.5675896916</v>
      </c>
      <c r="G222" s="42">
        <f t="shared" si="915"/>
        <v>28121.116799999996</v>
      </c>
      <c r="H222" s="42">
        <f t="shared" ref="H222:I222" si="916">H53*H$197</f>
        <v>33316.740999999995</v>
      </c>
      <c r="I222" s="42">
        <f t="shared" si="916"/>
        <v>38546.219799999999</v>
      </c>
      <c r="J222" s="144"/>
      <c r="K222" s="42"/>
      <c r="L222" s="144"/>
      <c r="M222" s="42">
        <f t="shared" ref="M222" si="917">M53*M$197</f>
        <v>6173.9756383294043</v>
      </c>
      <c r="N222" s="144"/>
      <c r="O222" s="42">
        <f t="shared" ref="O222" si="918">O53*O$197</f>
        <v>7026.394467429709</v>
      </c>
      <c r="P222" s="144"/>
      <c r="Q222" s="42">
        <f t="shared" ref="Q222" si="919">Q53*Q$197</f>
        <v>15996.096775192837</v>
      </c>
      <c r="R222" s="144"/>
      <c r="S222" s="42">
        <f t="shared" ref="S222:S239" si="920">S53*S$197</f>
        <v>14277.418814741315</v>
      </c>
      <c r="T222" s="144"/>
      <c r="U222" s="42">
        <f t="shared" ref="U222:U239" si="921">U53*U$197</f>
        <v>13733.500999999998</v>
      </c>
      <c r="V222" s="144"/>
      <c r="W222" s="42">
        <f t="shared" ref="W222:W239" si="922">W53*W$197</f>
        <v>13809.169600000001</v>
      </c>
      <c r="X222" s="144"/>
      <c r="Y222" s="42">
        <f>Y53*Y$197</f>
        <v>16396.237000000001</v>
      </c>
      <c r="Z222" s="144"/>
      <c r="AA222" s="42">
        <f t="shared" ref="AA222:AA239" si="923">AA53*AA$197</f>
        <v>16718.027999999998</v>
      </c>
      <c r="AB222" s="144"/>
      <c r="AC222" s="42">
        <f>AC53*AC$197</f>
        <v>19027.003700000001</v>
      </c>
      <c r="AD222" s="144"/>
      <c r="AE222" s="42">
        <f t="shared" ref="AE222:AE239" si="924">AE53*AE$197</f>
        <v>19458.011886684908</v>
      </c>
      <c r="AF222" s="144"/>
      <c r="AG222" s="42">
        <f>AG53*AG$197</f>
        <v>23093.652550000003</v>
      </c>
    </row>
    <row r="223" spans="2:33" ht="13.5" customHeight="1">
      <c r="B223" s="26" t="str">
        <f t="shared" si="913"/>
        <v>Working Capital</v>
      </c>
      <c r="C223" s="20">
        <f t="shared" si="914"/>
        <v>1908.216941773989</v>
      </c>
      <c r="D223" s="20">
        <f t="shared" si="914"/>
        <v>2.0265477758638162</v>
      </c>
      <c r="E223" s="20">
        <f t="shared" si="914"/>
        <v>783.71132526628503</v>
      </c>
      <c r="F223" s="20">
        <f t="shared" ref="F223:G223" si="925">F54*F$197</f>
        <v>2768.766461977018</v>
      </c>
      <c r="G223" s="20">
        <f t="shared" si="925"/>
        <v>-503.39039999999994</v>
      </c>
      <c r="H223" s="20">
        <f t="shared" ref="H223:I223" si="926">H54*H$197</f>
        <v>1261.6139999999998</v>
      </c>
      <c r="I223" s="20">
        <f t="shared" si="926"/>
        <v>1369.7926</v>
      </c>
      <c r="J223" s="145"/>
      <c r="K223" s="20"/>
      <c r="L223" s="145"/>
      <c r="M223" s="20">
        <f t="shared" ref="M223" si="927">M54*M$197</f>
        <v>0</v>
      </c>
      <c r="N223" s="145"/>
      <c r="O223" s="20">
        <f t="shared" ref="O223" si="928">O54*O$197</f>
        <v>816.59771086884291</v>
      </c>
      <c r="P223" s="145"/>
      <c r="Q223" s="20">
        <f t="shared" ref="Q223" si="929">Q54*Q$197</f>
        <v>0</v>
      </c>
      <c r="R223" s="145"/>
      <c r="S223" s="20">
        <f t="shared" si="920"/>
        <v>2787.5005113479801</v>
      </c>
      <c r="T223" s="145"/>
      <c r="U223" s="20">
        <f t="shared" si="921"/>
        <v>0</v>
      </c>
      <c r="V223" s="145"/>
      <c r="W223" s="20">
        <f t="shared" si="922"/>
        <v>-475.64980000000003</v>
      </c>
      <c r="X223" s="145"/>
      <c r="Y223" s="20">
        <f t="shared" ref="Y223:Y239" si="930">Y54*Y$197</f>
        <v>0</v>
      </c>
      <c r="Z223" s="145"/>
      <c r="AA223" s="20">
        <f t="shared" si="923"/>
        <v>1233.9744000000001</v>
      </c>
      <c r="AB223" s="145"/>
      <c r="AC223" s="20">
        <f t="shared" ref="AC223:AC239" si="931">AC54*AC$197</f>
        <v>0</v>
      </c>
      <c r="AD223" s="145"/>
      <c r="AE223" s="20">
        <f t="shared" si="924"/>
        <v>1375.6933889648883</v>
      </c>
      <c r="AF223" s="145"/>
      <c r="AG223" s="20">
        <f t="shared" ref="AG223:AG239" si="932">AG54*AG$197</f>
        <v>0</v>
      </c>
    </row>
    <row r="224" spans="2:33" ht="13.5" customHeight="1">
      <c r="B224" s="26" t="str">
        <f t="shared" si="913"/>
        <v>Taxes</v>
      </c>
      <c r="C224" s="20">
        <f t="shared" si="914"/>
        <v>-2194.9634197956348</v>
      </c>
      <c r="D224" s="20">
        <f t="shared" si="914"/>
        <v>-2493.8117916129877</v>
      </c>
      <c r="E224" s="20">
        <f t="shared" si="914"/>
        <v>-2945.0039852184623</v>
      </c>
      <c r="F224" s="20">
        <f t="shared" ref="F224:G224" si="933">F55*F$197</f>
        <v>-4420.0476856207079</v>
      </c>
      <c r="G224" s="20">
        <f t="shared" si="933"/>
        <v>-4117.1471999999994</v>
      </c>
      <c r="H224" s="20">
        <f t="shared" ref="H224:I224" si="934">H55*H$197</f>
        <v>-4914.1534999999994</v>
      </c>
      <c r="I224" s="20">
        <f t="shared" si="934"/>
        <v>-6426.5036</v>
      </c>
      <c r="J224" s="145"/>
      <c r="K224" s="20"/>
      <c r="L224" s="145"/>
      <c r="M224" s="20">
        <f t="shared" ref="M224" si="935">M55*M$197</f>
        <v>-1800.0254061454641</v>
      </c>
      <c r="N224" s="145"/>
      <c r="O224" s="20">
        <f t="shared" ref="O224" si="936">O55*O$197</f>
        <v>-1142.9045994020473</v>
      </c>
      <c r="P224" s="145"/>
      <c r="Q224" s="20">
        <f t="shared" ref="Q224" si="937">Q55*Q$197</f>
        <v>-2601.5303119482046</v>
      </c>
      <c r="R224" s="145"/>
      <c r="S224" s="20">
        <f t="shared" si="920"/>
        <v>-1829.8383232476249</v>
      </c>
      <c r="T224" s="145"/>
      <c r="U224" s="20">
        <f t="shared" si="921"/>
        <v>-2629.1400999999996</v>
      </c>
      <c r="V224" s="145"/>
      <c r="W224" s="20">
        <f t="shared" si="922"/>
        <v>-1447.0552</v>
      </c>
      <c r="X224" s="145"/>
      <c r="Y224" s="20">
        <f t="shared" si="930"/>
        <v>-2843.4120000000003</v>
      </c>
      <c r="Z224" s="145"/>
      <c r="AA224" s="20">
        <f t="shared" si="923"/>
        <v>-2054.5479999999998</v>
      </c>
      <c r="AB224" s="145"/>
      <c r="AC224" s="20">
        <f t="shared" si="931"/>
        <v>-4185.2586000000001</v>
      </c>
      <c r="AD224" s="145"/>
      <c r="AE224" s="20">
        <f t="shared" si="924"/>
        <v>-2218.9414496124032</v>
      </c>
      <c r="AF224" s="145"/>
      <c r="AG224" s="20">
        <f t="shared" si="932"/>
        <v>-4198.8963000000003</v>
      </c>
    </row>
    <row r="225" spans="2:33" ht="13.5" customHeight="1">
      <c r="B225" s="26" t="str">
        <f t="shared" si="913"/>
        <v>Cash interest paid</v>
      </c>
      <c r="C225" s="20">
        <f t="shared" si="914"/>
        <v>-679.15230666908531</v>
      </c>
      <c r="D225" s="20">
        <f t="shared" si="914"/>
        <v>-1020.077298322308</v>
      </c>
      <c r="E225" s="20">
        <f t="shared" si="914"/>
        <v>-1025.4329396420549</v>
      </c>
      <c r="F225" s="20">
        <f t="shared" ref="F225:G225" si="938">F56*F$197</f>
        <v>-1165.9839737185664</v>
      </c>
      <c r="G225" s="20">
        <f t="shared" si="938"/>
        <v>-1390.0895999999998</v>
      </c>
      <c r="H225" s="20">
        <f t="shared" ref="H225:I225" si="939">H56*H$197</f>
        <v>-1624.1369999999999</v>
      </c>
      <c r="I225" s="20">
        <f t="shared" si="939"/>
        <v>-1727.82555</v>
      </c>
      <c r="J225" s="145"/>
      <c r="K225" s="20"/>
      <c r="L225" s="145"/>
      <c r="M225" s="20">
        <f t="shared" ref="M225" si="940">M56*M$197</f>
        <v>-524.21346808000112</v>
      </c>
      <c r="N225" s="145"/>
      <c r="O225" s="20">
        <f t="shared" ref="O225" si="941">O56*O$197</f>
        <v>-507.65560353939532</v>
      </c>
      <c r="P225" s="145"/>
      <c r="Q225" s="20">
        <f t="shared" ref="Q225" si="942">Q56*Q$197</f>
        <v>-549.85905021529686</v>
      </c>
      <c r="R225" s="145"/>
      <c r="S225" s="20">
        <f t="shared" si="920"/>
        <v>-620.08587680386267</v>
      </c>
      <c r="T225" s="145"/>
      <c r="U225" s="20">
        <f t="shared" si="921"/>
        <v>-643.32759999999996</v>
      </c>
      <c r="V225" s="145"/>
      <c r="W225" s="20">
        <f t="shared" si="922"/>
        <v>-715.654</v>
      </c>
      <c r="X225" s="145"/>
      <c r="Y225" s="20">
        <f t="shared" si="930"/>
        <v>-796.08100000000013</v>
      </c>
      <c r="Z225" s="145"/>
      <c r="AA225" s="20">
        <f t="shared" si="923"/>
        <v>-818.08240000000001</v>
      </c>
      <c r="AB225" s="145"/>
      <c r="AC225" s="20">
        <f t="shared" si="931"/>
        <v>-838.26700000000005</v>
      </c>
      <c r="AD225" s="145"/>
      <c r="AE225" s="20">
        <f t="shared" si="924"/>
        <v>-886.98963223894214</v>
      </c>
      <c r="AF225" s="145"/>
      <c r="AG225" s="20">
        <f t="shared" si="932"/>
        <v>-840.99850000000004</v>
      </c>
    </row>
    <row r="226" spans="2:33" s="33" customFormat="1" ht="13.5" customHeight="1" thickBot="1">
      <c r="B226" s="39" t="str">
        <f t="shared" si="913"/>
        <v xml:space="preserve">Net cash from operations </v>
      </c>
      <c r="C226" s="38">
        <f t="shared" si="914"/>
        <v>16911.995888505957</v>
      </c>
      <c r="D226" s="38">
        <f t="shared" si="914"/>
        <v>17824.066702372511</v>
      </c>
      <c r="E226" s="38">
        <f t="shared" si="914"/>
        <v>23378.595753930873</v>
      </c>
      <c r="F226" s="38">
        <f t="shared" ref="F226:G226" si="943">F57*F$197</f>
        <v>27366.302392329344</v>
      </c>
      <c r="G226" s="38">
        <f t="shared" si="943"/>
        <v>22110.489599999997</v>
      </c>
      <c r="H226" s="38">
        <f t="shared" ref="H226:I226" si="944">H57*H$197</f>
        <v>28040.064499999997</v>
      </c>
      <c r="I226" s="38">
        <f t="shared" si="944"/>
        <v>31761.683249999998</v>
      </c>
      <c r="J226" s="146"/>
      <c r="K226" s="38"/>
      <c r="L226" s="146"/>
      <c r="M226" s="38">
        <f t="shared" ref="M226" si="945">M57*M$197</f>
        <v>3849.7367641039391</v>
      </c>
      <c r="N226" s="146"/>
      <c r="O226" s="38">
        <f t="shared" ref="O226" si="946">O57*O$197</f>
        <v>6192.4319753571099</v>
      </c>
      <c r="P226" s="146"/>
      <c r="Q226" s="38">
        <f t="shared" ref="Q226" si="947">Q57*Q$197</f>
        <v>12844.707413029335</v>
      </c>
      <c r="R226" s="146"/>
      <c r="S226" s="38">
        <f t="shared" si="920"/>
        <v>14614.995126037807</v>
      </c>
      <c r="T226" s="146"/>
      <c r="U226" s="38">
        <f t="shared" si="921"/>
        <v>10461.033299999999</v>
      </c>
      <c r="V226" s="146"/>
      <c r="W226" s="38">
        <f t="shared" si="922"/>
        <v>11170.810600000001</v>
      </c>
      <c r="X226" s="146"/>
      <c r="Y226" s="38">
        <f t="shared" si="930"/>
        <v>12756.744000000001</v>
      </c>
      <c r="Z226" s="146"/>
      <c r="AA226" s="38">
        <f t="shared" si="923"/>
        <v>15079.371999999999</v>
      </c>
      <c r="AB226" s="146"/>
      <c r="AC226" s="38">
        <f t="shared" si="931"/>
        <v>14003.4781</v>
      </c>
      <c r="AD226" s="146"/>
      <c r="AE226" s="38">
        <f t="shared" si="924"/>
        <v>17727.77419379845</v>
      </c>
      <c r="AF226" s="146"/>
      <c r="AG226" s="38">
        <f t="shared" si="932"/>
        <v>18053.757750000001</v>
      </c>
    </row>
    <row r="227" spans="2:33" ht="13.5" customHeight="1" thickTop="1">
      <c r="B227" s="26" t="str">
        <f t="shared" si="913"/>
        <v>Net Capex</v>
      </c>
      <c r="C227" s="41">
        <f t="shared" si="914"/>
        <v>-2979.3216034826778</v>
      </c>
      <c r="D227" s="41">
        <f t="shared" si="914"/>
        <v>-3294.8771767294415</v>
      </c>
      <c r="E227" s="41">
        <f t="shared" si="914"/>
        <v>-4937.3233823635965</v>
      </c>
      <c r="F227" s="41">
        <f t="shared" ref="F227:G227" si="948">F58*F$197</f>
        <v>-4510.6922868998254</v>
      </c>
      <c r="G227" s="41">
        <f t="shared" si="948"/>
        <v>-3318.6863999999996</v>
      </c>
      <c r="H227" s="41">
        <f t="shared" ref="H227:I227" si="949">H58*H$197</f>
        <v>-2936.2664999999997</v>
      </c>
      <c r="I227" s="41">
        <f t="shared" si="949"/>
        <v>-8728.0445999999993</v>
      </c>
      <c r="J227" s="145"/>
      <c r="K227" s="41"/>
      <c r="L227" s="145"/>
      <c r="M227" s="41">
        <f t="shared" ref="M227" si="950">M58*M$197</f>
        <v>-2483.1684286299028</v>
      </c>
      <c r="N227" s="145"/>
      <c r="O227" s="41">
        <f t="shared" ref="O227" si="951">O58*O$197</f>
        <v>-2487.9956512547938</v>
      </c>
      <c r="P227" s="145"/>
      <c r="Q227" s="41">
        <f t="shared" ref="Q227" si="952">Q58*Q$197</f>
        <v>-2437.8117158700165</v>
      </c>
      <c r="R227" s="145"/>
      <c r="S227" s="41">
        <f t="shared" si="920"/>
        <v>-2085.9844892128935</v>
      </c>
      <c r="T227" s="145"/>
      <c r="U227" s="41">
        <f t="shared" si="921"/>
        <v>-1906.5312999999999</v>
      </c>
      <c r="V227" s="145"/>
      <c r="W227" s="41">
        <f t="shared" si="922"/>
        <v>-1364.1012000000001</v>
      </c>
      <c r="X227" s="145"/>
      <c r="Y227" s="41">
        <f t="shared" si="930"/>
        <v>-885.3130000000001</v>
      </c>
      <c r="Z227" s="145"/>
      <c r="AA227" s="41">
        <f t="shared" si="923"/>
        <v>-2015.104</v>
      </c>
      <c r="AB227" s="145"/>
      <c r="AC227" s="41">
        <f t="shared" si="931"/>
        <v>-1719.6212</v>
      </c>
      <c r="AD227" s="145"/>
      <c r="AE227" s="41">
        <f t="shared" si="924"/>
        <v>-7025.4833451892391</v>
      </c>
      <c r="AF227" s="145"/>
      <c r="AG227" s="41">
        <f t="shared" si="932"/>
        <v>-1725.2246</v>
      </c>
    </row>
    <row r="228" spans="2:33" ht="13.5" customHeight="1">
      <c r="B228" s="26" t="str">
        <f t="shared" si="913"/>
        <v>Purchase of intangible assets</v>
      </c>
      <c r="C228" s="41">
        <f t="shared" si="914"/>
        <v>-4818.4593989963123</v>
      </c>
      <c r="D228" s="41">
        <f t="shared" si="914"/>
        <v>-4323.2054195677665</v>
      </c>
      <c r="E228" s="41">
        <f t="shared" si="914"/>
        <v>-3939.1348453010651</v>
      </c>
      <c r="F228" s="41">
        <f t="shared" ref="F228:G228" si="953">F59*F$197</f>
        <v>-4828.0258653949249</v>
      </c>
      <c r="G228" s="41">
        <f t="shared" si="953"/>
        <v>-4113.576</v>
      </c>
      <c r="H228" s="41">
        <f t="shared" ref="H228:I228" si="954">H59*H$197</f>
        <v>-3684.9429999999998</v>
      </c>
      <c r="I228" s="41">
        <f t="shared" si="954"/>
        <v>-3672.7251000000001</v>
      </c>
      <c r="J228" s="145"/>
      <c r="K228" s="41"/>
      <c r="L228" s="145"/>
      <c r="M228" s="41">
        <f t="shared" ref="M228" si="955">M59*M$197</f>
        <v>-1601.0106000084686</v>
      </c>
      <c r="N228" s="145"/>
      <c r="O228" s="41">
        <f t="shared" ref="O228" si="956">O59*O$197</f>
        <v>-2391.6588650982994</v>
      </c>
      <c r="P228" s="145"/>
      <c r="Q228" s="41">
        <f t="shared" ref="Q228" si="957">Q59*Q$197</f>
        <v>-2170.1620148074717</v>
      </c>
      <c r="R228" s="145"/>
      <c r="S228" s="41">
        <f t="shared" si="920"/>
        <v>-2675.0270730648144</v>
      </c>
      <c r="T228" s="145"/>
      <c r="U228" s="41">
        <f t="shared" si="921"/>
        <v>-2299.1547999999998</v>
      </c>
      <c r="V228" s="145"/>
      <c r="W228" s="41">
        <f t="shared" si="922"/>
        <v>-1750.3294000000001</v>
      </c>
      <c r="X228" s="145"/>
      <c r="Y228" s="41">
        <f t="shared" si="930"/>
        <v>-1631.2010000000002</v>
      </c>
      <c r="Z228" s="145"/>
      <c r="AA228" s="41">
        <f t="shared" si="923"/>
        <v>-2025.4839999999999</v>
      </c>
      <c r="AB228" s="145"/>
      <c r="AC228" s="41">
        <f t="shared" si="931"/>
        <v>-1635.9326000000001</v>
      </c>
      <c r="AD228" s="145"/>
      <c r="AE228" s="41">
        <f t="shared" si="924"/>
        <v>-2033.0747077063384</v>
      </c>
      <c r="AF228" s="145"/>
      <c r="AG228" s="41">
        <f t="shared" si="932"/>
        <v>-1641.2633000000001</v>
      </c>
    </row>
    <row r="229" spans="2:33" ht="13.5" customHeight="1">
      <c r="B229" s="26" t="str">
        <f t="shared" si="913"/>
        <v>Disposals/ Acquistion, of subsidiaries, businesses</v>
      </c>
      <c r="C229" s="41">
        <f t="shared" si="914"/>
        <v>-514.99486063244456</v>
      </c>
      <c r="D229" s="41">
        <f t="shared" si="914"/>
        <v>-61.954460576408096</v>
      </c>
      <c r="E229" s="41">
        <f t="shared" si="914"/>
        <v>-2185.6387218317514</v>
      </c>
      <c r="F229" s="41">
        <f t="shared" ref="F229:G229" si="958">F60*F$197</f>
        <v>-3400.1797102033515</v>
      </c>
      <c r="G229" s="41">
        <f t="shared" si="958"/>
        <v>-1820.4191999999998</v>
      </c>
      <c r="H229" s="41">
        <f t="shared" ref="H229:I229" si="959">H60*H$197</f>
        <v>-1078.0884999999998</v>
      </c>
      <c r="I229" s="41">
        <f t="shared" si="959"/>
        <v>-1091.7709</v>
      </c>
      <c r="J229" s="145"/>
      <c r="K229" s="41"/>
      <c r="L229" s="145"/>
      <c r="M229" s="41">
        <f t="shared" ref="M229" si="960">M60*M$197</f>
        <v>-449.12419370774461</v>
      </c>
      <c r="N229" s="145"/>
      <c r="O229" s="41">
        <f t="shared" ref="O229" si="961">O60*O$197</f>
        <v>-1796.877359345272</v>
      </c>
      <c r="P229" s="145"/>
      <c r="Q229" s="41">
        <f t="shared" ref="Q229" si="962">Q60*Q$197</f>
        <v>-776.77271459991948</v>
      </c>
      <c r="R229" s="145"/>
      <c r="S229" s="41">
        <f t="shared" si="920"/>
        <v>-2640.8638511729787</v>
      </c>
      <c r="T229" s="145"/>
      <c r="U229" s="41">
        <f t="shared" si="921"/>
        <v>-1454.1442999999999</v>
      </c>
      <c r="V229" s="145"/>
      <c r="W229" s="41">
        <f t="shared" si="922"/>
        <v>-368.79380000000003</v>
      </c>
      <c r="X229" s="145"/>
      <c r="Y229" s="41">
        <f t="shared" si="930"/>
        <v>-44.187000000000005</v>
      </c>
      <c r="Z229" s="145"/>
      <c r="AA229" s="41">
        <f t="shared" si="923"/>
        <v>-1011.704</v>
      </c>
      <c r="AB229" s="145"/>
      <c r="AC229" s="41">
        <f t="shared" si="931"/>
        <v>-191.68280000000001</v>
      </c>
      <c r="AD229" s="145"/>
      <c r="AE229" s="41">
        <f t="shared" si="924"/>
        <v>-902.50181896944832</v>
      </c>
      <c r="AF229" s="145"/>
      <c r="AG229" s="41">
        <f t="shared" si="932"/>
        <v>-192.3074</v>
      </c>
    </row>
    <row r="230" spans="2:33" s="33" customFormat="1" ht="13.5" customHeight="1" thickBot="1">
      <c r="B230" s="39" t="str">
        <f t="shared" si="913"/>
        <v xml:space="preserve">Free cash flow </v>
      </c>
      <c r="C230" s="38">
        <f t="shared" si="914"/>
        <v>8599.220025394523</v>
      </c>
      <c r="D230" s="38">
        <f t="shared" si="914"/>
        <v>10144.029645498893</v>
      </c>
      <c r="E230" s="38">
        <f t="shared" si="914"/>
        <v>12316.498804434461</v>
      </c>
      <c r="F230" s="38">
        <f t="shared" ref="F230:G230" si="963">F61*F$197</f>
        <v>14627.404529831243</v>
      </c>
      <c r="G230" s="38">
        <f t="shared" si="963"/>
        <v>12857.807999999999</v>
      </c>
      <c r="H230" s="38">
        <f t="shared" ref="H230:I230" si="964">H61*H$197</f>
        <v>20340.766499999998</v>
      </c>
      <c r="I230" s="38">
        <f t="shared" si="964"/>
        <v>18269.142649999998</v>
      </c>
      <c r="J230" s="146"/>
      <c r="K230" s="38"/>
      <c r="L230" s="146"/>
      <c r="M230" s="38">
        <f t="shared" ref="M230" si="965">M61*M$197</f>
        <v>-683.56645824217696</v>
      </c>
      <c r="N230" s="146"/>
      <c r="O230" s="38">
        <f t="shared" ref="O230" si="966">O61*O$197</f>
        <v>-484.09990034125565</v>
      </c>
      <c r="P230" s="146"/>
      <c r="Q230" s="38">
        <f t="shared" ref="Q230" si="967">Q61*Q$197</f>
        <v>7459.9609677519284</v>
      </c>
      <c r="R230" s="146"/>
      <c r="S230" s="38">
        <f t="shared" si="920"/>
        <v>7213.1197125871213</v>
      </c>
      <c r="T230" s="146"/>
      <c r="U230" s="38">
        <f t="shared" si="921"/>
        <v>4801.2028999999993</v>
      </c>
      <c r="V230" s="146"/>
      <c r="W230" s="38">
        <f t="shared" si="922"/>
        <v>7687.5861999999997</v>
      </c>
      <c r="X230" s="146"/>
      <c r="Y230" s="38">
        <f t="shared" si="930"/>
        <v>10196.043000000001</v>
      </c>
      <c r="Z230" s="146"/>
      <c r="AA230" s="38">
        <f t="shared" si="923"/>
        <v>10027.08</v>
      </c>
      <c r="AB230" s="146"/>
      <c r="AC230" s="38">
        <f t="shared" si="931"/>
        <v>10456.2415</v>
      </c>
      <c r="AD230" s="146"/>
      <c r="AE230" s="38">
        <f t="shared" si="924"/>
        <v>7766.7143219334248</v>
      </c>
      <c r="AF230" s="146"/>
      <c r="AG230" s="38">
        <f t="shared" si="932"/>
        <v>14494.962450000001</v>
      </c>
    </row>
    <row r="231" spans="2:33" s="33" customFormat="1" ht="13.5" customHeight="1" thickTop="1">
      <c r="B231" s="26" t="str">
        <f t="shared" si="913"/>
        <v xml:space="preserve">Other Investing </v>
      </c>
      <c r="C231" s="41">
        <f t="shared" si="914"/>
        <v>-14910.665699256306</v>
      </c>
      <c r="D231" s="41">
        <f t="shared" si="914"/>
        <v>-9377.7050793972485</v>
      </c>
      <c r="E231" s="41">
        <f t="shared" si="914"/>
        <v>-15618.288529816678</v>
      </c>
      <c r="F231" s="41">
        <f t="shared" ref="F231:G231" si="968">F62*F$197</f>
        <v>-15412.371282104765</v>
      </c>
      <c r="G231" s="41">
        <f t="shared" si="968"/>
        <v>-6678.2927999999993</v>
      </c>
      <c r="H231" s="41">
        <f t="shared" ref="H231:I231" si="969">H62*H$197</f>
        <v>-10295.539999999999</v>
      </c>
      <c r="I231" s="41">
        <f t="shared" si="969"/>
        <v>-3999.7275999999997</v>
      </c>
      <c r="J231" s="145"/>
      <c r="K231" s="41"/>
      <c r="L231" s="145"/>
      <c r="M231" s="41">
        <f t="shared" ref="M231" si="970">M62*M$197</f>
        <v>-8667.871106155344</v>
      </c>
      <c r="N231" s="145"/>
      <c r="O231" s="41">
        <f t="shared" ref="O231" si="971">O62*O$197</f>
        <v>-7000.7247908676345</v>
      </c>
      <c r="P231" s="145"/>
      <c r="Q231" s="41">
        <f t="shared" ref="Q231" si="972">Q62*Q$197</f>
        <v>-10618.939933707134</v>
      </c>
      <c r="R231" s="145"/>
      <c r="S231" s="41">
        <f t="shared" si="920"/>
        <v>-4821.8501766056343</v>
      </c>
      <c r="T231" s="145"/>
      <c r="U231" s="41">
        <f t="shared" si="921"/>
        <v>-1561.8698999999999</v>
      </c>
      <c r="V231" s="145"/>
      <c r="W231" s="41">
        <f t="shared" si="922"/>
        <v>-4858.8548000000001</v>
      </c>
      <c r="X231" s="145"/>
      <c r="Y231" s="41">
        <f t="shared" si="930"/>
        <v>-9682.1010000000006</v>
      </c>
      <c r="Z231" s="145"/>
      <c r="AA231" s="41">
        <f t="shared" si="923"/>
        <v>-699.33519999999999</v>
      </c>
      <c r="AB231" s="145"/>
      <c r="AC231" s="41">
        <f t="shared" si="931"/>
        <v>-2413.7118</v>
      </c>
      <c r="AD231" s="145"/>
      <c r="AE231" s="41">
        <f t="shared" si="924"/>
        <v>-1574.4170784313726</v>
      </c>
      <c r="AF231" s="145"/>
      <c r="AG231" s="41">
        <f t="shared" si="932"/>
        <v>-2421.5769</v>
      </c>
    </row>
    <row r="232" spans="2:33" ht="13.5" customHeight="1">
      <c r="B232" s="26" t="str">
        <f t="shared" si="913"/>
        <v>Equity Issuance</v>
      </c>
      <c r="C232" s="41">
        <f t="shared" si="914"/>
        <v>1173.4385392103513</v>
      </c>
      <c r="D232" s="41">
        <f t="shared" si="914"/>
        <v>103.06442974393123</v>
      </c>
      <c r="E232" s="41">
        <f t="shared" si="914"/>
        <v>335.62785305412649</v>
      </c>
      <c r="F232" s="41">
        <f t="shared" ref="F232:G232" si="973">F63*F$197</f>
        <v>274.25802438297177</v>
      </c>
      <c r="G232" s="41">
        <f t="shared" si="973"/>
        <v>149.24639999999999</v>
      </c>
      <c r="H232" s="41">
        <f t="shared" ref="H232:I232" si="974">H63*H$197</f>
        <v>179.13899999999998</v>
      </c>
      <c r="I232" s="41">
        <f t="shared" si="974"/>
        <v>291.24095</v>
      </c>
      <c r="J232" s="145"/>
      <c r="K232" s="41"/>
      <c r="L232" s="145"/>
      <c r="M232" s="41">
        <f t="shared" ref="M232" si="975">M63*M$197</f>
        <v>115.03338085223503</v>
      </c>
      <c r="N232" s="145"/>
      <c r="O232" s="41">
        <f t="shared" ref="O232" si="976">O63*O$197</f>
        <v>226.64814423338262</v>
      </c>
      <c r="P232" s="145"/>
      <c r="Q232" s="41">
        <f t="shared" ref="Q232" si="977">Q63*Q$197</f>
        <v>98.664849292153278</v>
      </c>
      <c r="R232" s="145"/>
      <c r="S232" s="41">
        <f t="shared" si="920"/>
        <v>176.74397444497518</v>
      </c>
      <c r="T232" s="145"/>
      <c r="U232" s="41">
        <f t="shared" si="921"/>
        <v>34.193799999999996</v>
      </c>
      <c r="V232" s="145"/>
      <c r="W232" s="41">
        <f t="shared" si="922"/>
        <v>109.2462</v>
      </c>
      <c r="X232" s="145"/>
      <c r="Y232" s="41">
        <f t="shared" si="930"/>
        <v>-2029.7420000000002</v>
      </c>
      <c r="Z232" s="145"/>
      <c r="AA232" s="41">
        <f t="shared" si="923"/>
        <v>2139.6639999999998</v>
      </c>
      <c r="AB232" s="145"/>
      <c r="AC232" s="41">
        <f t="shared" si="931"/>
        <v>-6419.3023000000003</v>
      </c>
      <c r="AD232" s="145"/>
      <c r="AE232" s="41">
        <f t="shared" si="924"/>
        <v>6788.4683119015053</v>
      </c>
      <c r="AF232" s="145"/>
      <c r="AG232" s="41">
        <f t="shared" si="932"/>
        <v>-6440.21965</v>
      </c>
    </row>
    <row r="233" spans="2:33" ht="13.5" customHeight="1">
      <c r="B233" s="26" t="str">
        <f t="shared" si="913"/>
        <v>Dividends</v>
      </c>
      <c r="C233" s="41">
        <f t="shared" si="914"/>
        <v>-857.36743454864268</v>
      </c>
      <c r="D233" s="41">
        <f t="shared" si="914"/>
        <v>-1126.61580996772</v>
      </c>
      <c r="E233" s="41">
        <f t="shared" si="914"/>
        <v>-1342.6563292515034</v>
      </c>
      <c r="F233" s="41">
        <f t="shared" ref="F233:G233" si="978">F64*F$197</f>
        <v>-1639.6601209155972</v>
      </c>
      <c r="G233" s="41">
        <f t="shared" si="978"/>
        <v>-1923.2399999999998</v>
      </c>
      <c r="H233" s="41">
        <f t="shared" ref="H233:I233" si="979">H64*H$197</f>
        <v>-2798.4454999999998</v>
      </c>
      <c r="I233" s="41">
        <f t="shared" si="979"/>
        <v>-3857.6554499999997</v>
      </c>
      <c r="J233" s="145"/>
      <c r="K233" s="41"/>
      <c r="L233" s="145"/>
      <c r="M233" s="41">
        <f t="shared" ref="M233" si="980">M64*M$197</f>
        <v>-1423.8733080212846</v>
      </c>
      <c r="N233" s="145"/>
      <c r="O233" s="41">
        <f t="shared" ref="O233" si="981">O64*O$197</f>
        <v>124.27143417992932</v>
      </c>
      <c r="P233" s="145"/>
      <c r="Q233" s="41">
        <f t="shared" ref="Q233" si="982">Q64*Q$197</f>
        <v>-1790.3720454756667</v>
      </c>
      <c r="R233" s="145"/>
      <c r="S233" s="41">
        <f t="shared" si="920"/>
        <v>152.40852871380474</v>
      </c>
      <c r="T233" s="145"/>
      <c r="U233" s="41">
        <f t="shared" si="921"/>
        <v>-1839.808</v>
      </c>
      <c r="V233" s="145"/>
      <c r="W233" s="41">
        <f t="shared" si="922"/>
        <v>-107.559</v>
      </c>
      <c r="X233" s="145"/>
      <c r="Y233" s="41">
        <f t="shared" si="930"/>
        <v>-2912.9100000000003</v>
      </c>
      <c r="Z233" s="145"/>
      <c r="AA233" s="41">
        <f t="shared" si="923"/>
        <v>82.07119999999999</v>
      </c>
      <c r="AB233" s="145"/>
      <c r="AC233" s="41">
        <f t="shared" si="931"/>
        <v>-3884.4767999999999</v>
      </c>
      <c r="AD233" s="145"/>
      <c r="AE233" s="41">
        <f t="shared" si="924"/>
        <v>56.598519151846787</v>
      </c>
      <c r="AF233" s="145"/>
      <c r="AG233" s="41">
        <f t="shared" si="932"/>
        <v>-3897.1344000000004</v>
      </c>
    </row>
    <row r="234" spans="2:33" ht="13.5" customHeight="1">
      <c r="B234" s="26" t="str">
        <f t="shared" si="913"/>
        <v>Net Change in debt</v>
      </c>
      <c r="C234" s="41">
        <f t="shared" si="914"/>
        <v>5720.1160892436064</v>
      </c>
      <c r="D234" s="41">
        <f t="shared" si="914"/>
        <v>2976.2749156811374</v>
      </c>
      <c r="E234" s="41">
        <f t="shared" si="914"/>
        <v>5934.7873342511411</v>
      </c>
      <c r="F234" s="41">
        <f t="shared" ref="F234:G234" si="983">F65*F$197</f>
        <v>8579.0079299502813</v>
      </c>
      <c r="G234" s="41">
        <f t="shared" si="983"/>
        <v>65.174399999999991</v>
      </c>
      <c r="H234" s="41">
        <f t="shared" ref="H234:I234" si="984">H65*H$197</f>
        <v>375.25799999999998</v>
      </c>
      <c r="I234" s="41">
        <f t="shared" si="984"/>
        <v>-2878.87435</v>
      </c>
      <c r="J234" s="145"/>
      <c r="K234" s="41"/>
      <c r="L234" s="145"/>
      <c r="M234" s="41">
        <f t="shared" ref="M234" si="985">M65*M$197</f>
        <v>6893.6752812319146</v>
      </c>
      <c r="N234" s="145"/>
      <c r="O234" s="41">
        <f t="shared" ref="O234" si="986">O65*O$197</f>
        <v>-1191.0729924802945</v>
      </c>
      <c r="P234" s="145"/>
      <c r="Q234" s="41">
        <f t="shared" ref="Q234" si="987">Q65*Q$197</f>
        <v>4435.2715219478951</v>
      </c>
      <c r="R234" s="145"/>
      <c r="S234" s="41">
        <f t="shared" si="920"/>
        <v>4170.0970210618507</v>
      </c>
      <c r="T234" s="145"/>
      <c r="U234" s="41">
        <f t="shared" si="921"/>
        <v>2535.4854</v>
      </c>
      <c r="V234" s="145"/>
      <c r="W234" s="41">
        <f t="shared" si="922"/>
        <v>-2294.5920000000001</v>
      </c>
      <c r="X234" s="145"/>
      <c r="Y234" s="41">
        <f t="shared" si="930"/>
        <v>889.46000000000015</v>
      </c>
      <c r="Z234" s="145"/>
      <c r="AA234" s="41">
        <f t="shared" si="923"/>
        <v>-493.81119999999999</v>
      </c>
      <c r="AB234" s="145"/>
      <c r="AC234" s="41">
        <f t="shared" si="931"/>
        <v>-1362.2184</v>
      </c>
      <c r="AD234" s="145"/>
      <c r="AE234" s="41">
        <f t="shared" si="924"/>
        <v>-1512.7875797993618</v>
      </c>
      <c r="AF234" s="145"/>
      <c r="AG234" s="41">
        <f t="shared" si="932"/>
        <v>-1366.6572000000001</v>
      </c>
    </row>
    <row r="235" spans="2:33" ht="13.5" customHeight="1">
      <c r="B235" s="26" t="str">
        <f t="shared" si="913"/>
        <v>Other financing activities</v>
      </c>
      <c r="C235" s="41">
        <f t="shared" si="914"/>
        <v>-427.62561218937066</v>
      </c>
      <c r="D235" s="41">
        <f t="shared" si="914"/>
        <v>-448.88033235383529</v>
      </c>
      <c r="E235" s="41">
        <f t="shared" si="914"/>
        <v>-1612.6367654517787</v>
      </c>
      <c r="F235" s="41">
        <f t="shared" ref="F235:G235" si="988">F66*F$197</f>
        <v>-2182.5980403720564</v>
      </c>
      <c r="G235" s="41">
        <f t="shared" si="988"/>
        <v>-5495.9279999999999</v>
      </c>
      <c r="H235" s="41">
        <f t="shared" ref="H235:I235" si="989">H66*H$197</f>
        <v>-7531.3374999999996</v>
      </c>
      <c r="I235" s="41">
        <f t="shared" si="989"/>
        <v>-15896.07855</v>
      </c>
      <c r="J235" s="145"/>
      <c r="K235" s="41"/>
      <c r="L235" s="145"/>
      <c r="M235" s="41">
        <f t="shared" ref="M235" si="990">M66*M$197</f>
        <v>-106.42352044488983</v>
      </c>
      <c r="N235" s="145"/>
      <c r="O235" s="41">
        <f t="shared" ref="O235" si="991">O66*O$197</f>
        <v>-1566.45426267629</v>
      </c>
      <c r="P235" s="145"/>
      <c r="Q235" s="41">
        <f t="shared" ref="Q235" si="992">Q66*Q$197</f>
        <v>-494.71825532046711</v>
      </c>
      <c r="R235" s="145"/>
      <c r="S235" s="41">
        <f t="shared" si="920"/>
        <v>-1699.1133006660809</v>
      </c>
      <c r="T235" s="145"/>
      <c r="U235" s="41">
        <f t="shared" si="921"/>
        <v>-561.92819999999995</v>
      </c>
      <c r="V235" s="145"/>
      <c r="W235" s="41">
        <f t="shared" si="922"/>
        <v>-4670.8725999999997</v>
      </c>
      <c r="X235" s="145"/>
      <c r="Y235" s="41">
        <f t="shared" si="930"/>
        <v>8359.0650000000005</v>
      </c>
      <c r="Z235" s="145"/>
      <c r="AA235" s="41">
        <f t="shared" si="923"/>
        <v>-15456.511999999999</v>
      </c>
      <c r="AB235" s="145"/>
      <c r="AC235" s="41">
        <f t="shared" si="931"/>
        <v>299.95319999999998</v>
      </c>
      <c r="AD235" s="145"/>
      <c r="AE235" s="41">
        <f t="shared" si="924"/>
        <v>-16268.091397400822</v>
      </c>
      <c r="AF235" s="145"/>
      <c r="AG235" s="41">
        <f t="shared" si="932"/>
        <v>300.93060000000003</v>
      </c>
    </row>
    <row r="236" spans="2:33" s="33" customFormat="1" ht="13.5" customHeight="1" thickBot="1">
      <c r="B236" s="39" t="str">
        <f t="shared" si="913"/>
        <v>Cash flow after financing activities</v>
      </c>
      <c r="C236" s="38">
        <f t="shared" si="914"/>
        <v>-702.88409214583726</v>
      </c>
      <c r="D236" s="38">
        <f t="shared" si="914"/>
        <v>2270.1677692051594</v>
      </c>
      <c r="E236" s="38">
        <f t="shared" si="914"/>
        <v>13.332367219766683</v>
      </c>
      <c r="F236" s="38">
        <f t="shared" ref="F236:G236" si="993">F67*F$197</f>
        <v>4246.0410407720765</v>
      </c>
      <c r="G236" s="38">
        <f t="shared" si="993"/>
        <v>-1025.232</v>
      </c>
      <c r="H236" s="38">
        <f t="shared" ref="H236:I236" si="994">H67*H$197</f>
        <v>269.84049999999996</v>
      </c>
      <c r="I236" s="38">
        <f t="shared" si="994"/>
        <v>-8071.9523499999996</v>
      </c>
      <c r="J236" s="146"/>
      <c r="K236" s="38"/>
      <c r="L236" s="146"/>
      <c r="M236" s="38">
        <f t="shared" ref="M236" si="995">M67*M$197</f>
        <v>-3873.025730779545</v>
      </c>
      <c r="N236" s="146"/>
      <c r="O236" s="38">
        <f t="shared" ref="O236" si="996">O67*O$197</f>
        <v>-9891.4323679521622</v>
      </c>
      <c r="P236" s="146"/>
      <c r="Q236" s="38">
        <f t="shared" ref="Q236" si="997">Q67*Q$197</f>
        <v>-910.13289551129139</v>
      </c>
      <c r="R236" s="146"/>
      <c r="S236" s="38">
        <f t="shared" si="920"/>
        <v>5191.4057595360364</v>
      </c>
      <c r="T236" s="146"/>
      <c r="U236" s="38">
        <f t="shared" si="921"/>
        <v>3407.2759999999998</v>
      </c>
      <c r="V236" s="146"/>
      <c r="W236" s="38">
        <f t="shared" si="922"/>
        <v>-4135.0460000000003</v>
      </c>
      <c r="X236" s="146"/>
      <c r="Y236" s="38">
        <f t="shared" si="930"/>
        <v>4819.8150000000005</v>
      </c>
      <c r="Z236" s="146"/>
      <c r="AA236" s="38">
        <f t="shared" si="923"/>
        <v>-4400.8432000000003</v>
      </c>
      <c r="AB236" s="146"/>
      <c r="AC236" s="38">
        <f t="shared" si="931"/>
        <v>-3323.5146</v>
      </c>
      <c r="AD236" s="146"/>
      <c r="AE236" s="38">
        <f t="shared" si="924"/>
        <v>-4743.5149026447789</v>
      </c>
      <c r="AF236" s="146"/>
      <c r="AG236" s="38">
        <f t="shared" si="932"/>
        <v>670.30489999999998</v>
      </c>
    </row>
    <row r="237" spans="2:33" s="33" customFormat="1" ht="13.5" customHeight="1" thickTop="1">
      <c r="B237" s="26" t="str">
        <f t="shared" si="913"/>
        <v>Balancing figure</v>
      </c>
      <c r="C237" s="41">
        <f t="shared" si="914"/>
        <v>-822.29880887599018</v>
      </c>
      <c r="D237" s="41">
        <f t="shared" si="914"/>
        <v>2664.7655718483566</v>
      </c>
      <c r="E237" s="41">
        <f t="shared" si="914"/>
        <v>3727.1212230997753</v>
      </c>
      <c r="F237" s="41">
        <f t="shared" ref="F237:G237" si="998">F68*F$197</f>
        <v>-1417.1547406817285</v>
      </c>
      <c r="G237" s="41">
        <f t="shared" si="998"/>
        <v>-1762.2384</v>
      </c>
      <c r="H237" s="41">
        <f t="shared" ref="H237:I237" si="999">H68*H$197</f>
        <v>1743.4214999999999</v>
      </c>
      <c r="I237" s="41">
        <f t="shared" si="999"/>
        <v>2483.6883499999999</v>
      </c>
      <c r="J237" s="145"/>
      <c r="K237" s="41"/>
      <c r="L237" s="145"/>
      <c r="M237" s="41">
        <f t="shared" ref="M237" si="1000">M68*M$197</f>
        <v>9560.6148287202341</v>
      </c>
      <c r="N237" s="145"/>
      <c r="O237" s="41">
        <f t="shared" ref="O237" si="1001">O68*O$197</f>
        <v>13885.18104671881</v>
      </c>
      <c r="P237" s="145"/>
      <c r="Q237" s="41">
        <f t="shared" ref="Q237" si="1002">Q68*Q$197</f>
        <v>-545.52213376289455</v>
      </c>
      <c r="R237" s="145"/>
      <c r="S237" s="41">
        <f t="shared" si="920"/>
        <v>-2343.3786267541195</v>
      </c>
      <c r="T237" s="145"/>
      <c r="U237" s="41">
        <f t="shared" si="921"/>
        <v>-1504.0732999999998</v>
      </c>
      <c r="V237" s="145"/>
      <c r="W237" s="41">
        <f t="shared" si="922"/>
        <v>1501.1862000000001</v>
      </c>
      <c r="X237" s="145"/>
      <c r="Y237" s="41">
        <f t="shared" si="930"/>
        <v>-7585.0060000000012</v>
      </c>
      <c r="Z237" s="145"/>
      <c r="AA237" s="41">
        <f t="shared" si="923"/>
        <v>1808.1959999999999</v>
      </c>
      <c r="AB237" s="145"/>
      <c r="AC237" s="41">
        <f t="shared" si="931"/>
        <v>731.10140000000001</v>
      </c>
      <c r="AD237" s="145"/>
      <c r="AE237" s="41">
        <f t="shared" si="924"/>
        <v>-868.82220633834936</v>
      </c>
      <c r="AF237" s="145"/>
      <c r="AG237" s="41">
        <f t="shared" si="932"/>
        <v>-3271.1655000000001</v>
      </c>
    </row>
    <row r="238" spans="2:33" ht="13.5" customHeight="1">
      <c r="B238" s="26" t="str">
        <f t="shared" si="913"/>
        <v xml:space="preserve">FX </v>
      </c>
      <c r="C238" s="41">
        <f t="shared" si="914"/>
        <v>333.60541749803497</v>
      </c>
      <c r="D238" s="41">
        <f t="shared" si="914"/>
        <v>157.05745262944575</v>
      </c>
      <c r="E238" s="41">
        <f t="shared" si="914"/>
        <v>-870.08187812477354</v>
      </c>
      <c r="F238" s="41">
        <f t="shared" ref="F238:G238" si="1003">F69*F$197</f>
        <v>-478.6344843610168</v>
      </c>
      <c r="G238" s="41">
        <f t="shared" si="1003"/>
        <v>1116.8927999999999</v>
      </c>
      <c r="H238" s="41">
        <f t="shared" ref="H238:I238" si="1004">H69*H$197</f>
        <v>191.44949999999997</v>
      </c>
      <c r="I238" s="41">
        <f t="shared" si="1004"/>
        <v>49.95485</v>
      </c>
      <c r="J238" s="145"/>
      <c r="K238" s="41"/>
      <c r="L238" s="145"/>
      <c r="M238" s="41">
        <f t="shared" ref="M238" si="1005">M69*M$197</f>
        <v>60.833603861734105</v>
      </c>
      <c r="N238" s="145"/>
      <c r="O238" s="41">
        <f t="shared" ref="O238" si="1006">O69*O$197</f>
        <v>-971.67275692326268</v>
      </c>
      <c r="P238" s="145"/>
      <c r="Q238" s="41">
        <f t="shared" ref="Q238" si="1007">Q69*Q$197</f>
        <v>-260.0600972708404</v>
      </c>
      <c r="R238" s="145"/>
      <c r="S238" s="41">
        <f t="shared" si="920"/>
        <v>-219.95499026250224</v>
      </c>
      <c r="T238" s="145"/>
      <c r="U238" s="41">
        <f t="shared" si="921"/>
        <v>622.29689999999994</v>
      </c>
      <c r="V238" s="145"/>
      <c r="W238" s="41">
        <f t="shared" si="922"/>
        <v>477.05580000000003</v>
      </c>
      <c r="X238" s="145"/>
      <c r="Y238" s="41">
        <f t="shared" si="930"/>
        <v>321.03500000000003</v>
      </c>
      <c r="Z238" s="145"/>
      <c r="AA238" s="41">
        <f t="shared" si="923"/>
        <v>-123.4528</v>
      </c>
      <c r="AB238" s="145"/>
      <c r="AC238" s="41">
        <f t="shared" si="931"/>
        <v>-5.1097000000000001</v>
      </c>
      <c r="AD238" s="145"/>
      <c r="AE238" s="41">
        <f t="shared" si="924"/>
        <v>55.34077428180575</v>
      </c>
      <c r="AF238" s="145"/>
      <c r="AG238" s="41">
        <f t="shared" si="932"/>
        <v>-5.1263500000000004</v>
      </c>
    </row>
    <row r="239" spans="2:33" s="33" customFormat="1" ht="13.5" customHeight="1" thickBot="1">
      <c r="B239" s="39" t="str">
        <f t="shared" si="913"/>
        <v xml:space="preserve">Net change in cash </v>
      </c>
      <c r="C239" s="38">
        <f t="shared" si="914"/>
        <v>-1191.5774835237924</v>
      </c>
      <c r="D239" s="38">
        <f t="shared" si="914"/>
        <v>5091.9907936829613</v>
      </c>
      <c r="E239" s="38">
        <f t="shared" si="914"/>
        <v>2870.3717121947684</v>
      </c>
      <c r="F239" s="38">
        <f t="shared" ref="F239:G239" si="1008">F70*F$197</f>
        <v>2350.2518157293307</v>
      </c>
      <c r="G239" s="38">
        <f t="shared" si="1008"/>
        <v>-1670.5775999999998</v>
      </c>
      <c r="H239" s="38">
        <f t="shared" ref="H239:I239" si="1009">H70*H$197</f>
        <v>2204.7114999999999</v>
      </c>
      <c r="I239" s="38">
        <f t="shared" si="1009"/>
        <v>-5538.30915</v>
      </c>
      <c r="J239" s="146"/>
      <c r="K239" s="38"/>
      <c r="L239" s="146"/>
      <c r="M239" s="38">
        <f t="shared" ref="M239" si="1010">M70*M$197</f>
        <v>5748.4227018024239</v>
      </c>
      <c r="N239" s="146"/>
      <c r="O239" s="38">
        <f t="shared" ref="O239" si="1011">O70*O$197</f>
        <v>3022.0759218433845</v>
      </c>
      <c r="P239" s="146"/>
      <c r="Q239" s="38">
        <f t="shared" ref="Q239" si="1012">Q70*Q$197</f>
        <v>-1715.7151265450264</v>
      </c>
      <c r="R239" s="146"/>
      <c r="S239" s="38">
        <f t="shared" si="920"/>
        <v>2628.0721425194147</v>
      </c>
      <c r="T239" s="146"/>
      <c r="U239" s="38">
        <f t="shared" si="921"/>
        <v>2525.4995999999996</v>
      </c>
      <c r="V239" s="146"/>
      <c r="W239" s="38">
        <f t="shared" si="922"/>
        <v>-2156.8040000000001</v>
      </c>
      <c r="X239" s="146"/>
      <c r="Y239" s="38">
        <f t="shared" si="930"/>
        <v>-2444.1560000000004</v>
      </c>
      <c r="Z239" s="146"/>
      <c r="AA239" s="38">
        <f t="shared" si="923"/>
        <v>-2716.1</v>
      </c>
      <c r="AB239" s="146"/>
      <c r="AC239" s="38">
        <f t="shared" si="931"/>
        <v>-2597.5228999999999</v>
      </c>
      <c r="AD239" s="146"/>
      <c r="AE239" s="38">
        <f t="shared" si="924"/>
        <v>-5556.9963347013227</v>
      </c>
      <c r="AF239" s="146"/>
      <c r="AG239" s="38">
        <f t="shared" si="932"/>
        <v>-2605.98695</v>
      </c>
    </row>
    <row r="240" spans="2:33" ht="13.5" customHeight="1" thickTop="1"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</row>
    <row r="241" spans="2:33" s="33" customFormat="1" ht="13.5" customHeight="1">
      <c r="B241" s="33" t="str">
        <f>+B112</f>
        <v>Total debt</v>
      </c>
      <c r="C241" s="40">
        <f t="shared" ref="C241:G241" si="1013">C112*C$198</f>
        <v>24070.509558770078</v>
      </c>
      <c r="D241" s="40">
        <f t="shared" si="1013"/>
        <v>31774.018092293602</v>
      </c>
      <c r="E241" s="40">
        <f t="shared" si="1013"/>
        <v>40250.276039749726</v>
      </c>
      <c r="F241" s="40">
        <f t="shared" si="1013"/>
        <v>50927.468236849978</v>
      </c>
      <c r="G241" s="40">
        <f t="shared" si="1013"/>
        <v>52039.530899999998</v>
      </c>
      <c r="H241" s="40">
        <f t="shared" ref="H241:I241" si="1014">H112*H$198</f>
        <v>52456.212000000007</v>
      </c>
      <c r="I241" s="40">
        <f t="shared" si="1014"/>
        <v>49061.344000000005</v>
      </c>
      <c r="J241" s="40">
        <f t="shared" ref="J241" si="1015">J112*J$198</f>
        <v>57583.045599999998</v>
      </c>
      <c r="K241" s="40"/>
      <c r="L241" s="40">
        <f t="shared" ref="L241:Q241" si="1016">L112*L$198</f>
        <v>33367.565435437973</v>
      </c>
      <c r="M241" s="40">
        <f t="shared" si="1016"/>
        <v>40327.005113427695</v>
      </c>
      <c r="N241" s="40">
        <f t="shared" si="1016"/>
        <v>39778.136463683055</v>
      </c>
      <c r="O241" s="40">
        <f t="shared" si="1016"/>
        <v>40250.276039749726</v>
      </c>
      <c r="P241" s="40">
        <f t="shared" si="1016"/>
        <v>40670.917280418769</v>
      </c>
      <c r="Q241" s="40">
        <f t="shared" si="1016"/>
        <v>45045.099404347493</v>
      </c>
      <c r="R241" s="40">
        <f t="shared" ref="R241:U241" si="1017">R112*R$198</f>
        <v>51280.176810608638</v>
      </c>
      <c r="S241" s="40">
        <f t="shared" si="1017"/>
        <v>50927.468236849978</v>
      </c>
      <c r="T241" s="40">
        <f t="shared" si="1017"/>
        <v>53477.671036234286</v>
      </c>
      <c r="U241" s="40">
        <f t="shared" si="1017"/>
        <v>53831.6584</v>
      </c>
      <c r="V241" s="40">
        <f t="shared" ref="V241:Y241" si="1018">V112*V$198</f>
        <v>51477.654599999994</v>
      </c>
      <c r="W241" s="40">
        <f t="shared" si="1018"/>
        <v>52039.530899999998</v>
      </c>
      <c r="X241" s="40">
        <f t="shared" si="1018"/>
        <v>52719.721600000004</v>
      </c>
      <c r="Y241" s="40">
        <f t="shared" si="1018"/>
        <v>52067.868299999995</v>
      </c>
      <c r="Z241" s="40">
        <f t="shared" ref="Z241:AC241" si="1019">Z112*Z$198</f>
        <v>51128.565900000001</v>
      </c>
      <c r="AA241" s="40">
        <f t="shared" si="1019"/>
        <v>52456.212000000007</v>
      </c>
      <c r="AB241" s="40">
        <f t="shared" si="1019"/>
        <v>51800.108000000007</v>
      </c>
      <c r="AC241" s="40">
        <f t="shared" si="1019"/>
        <v>50137.4496</v>
      </c>
      <c r="AD241" s="40">
        <f t="shared" ref="AD241:AG241" si="1020">AD112*AD$198</f>
        <v>49826.293889648885</v>
      </c>
      <c r="AE241" s="40">
        <f t="shared" si="1020"/>
        <v>49061.344000000005</v>
      </c>
      <c r="AF241" s="40">
        <f t="shared" si="1020"/>
        <v>55638.412500000006</v>
      </c>
      <c r="AG241" s="40">
        <f t="shared" si="1020"/>
        <v>57583.045599999998</v>
      </c>
    </row>
    <row r="242" spans="2:33" ht="13.5" customHeight="1">
      <c r="B242" s="26" t="str">
        <f>+B113</f>
        <v>Cash and cash equivalents</v>
      </c>
      <c r="C242" s="37">
        <f t="shared" ref="C242:D242" si="1021">(C113+C114)*C$198</f>
        <v>24314.312713527659</v>
      </c>
      <c r="D242" s="37">
        <f t="shared" si="1021"/>
        <v>26822.254666208639</v>
      </c>
      <c r="E242" s="37">
        <f t="shared" ref="E242:J242" si="1022">(E113+E114)*E$198</f>
        <v>35120.077291129921</v>
      </c>
      <c r="F242" s="37">
        <f t="shared" si="1022"/>
        <v>41579.577121085691</v>
      </c>
      <c r="G242" s="37">
        <f t="shared" si="1022"/>
        <v>42130.544399999999</v>
      </c>
      <c r="H242" s="37">
        <f t="shared" si="1022"/>
        <v>53574.601500000004</v>
      </c>
      <c r="I242" s="37">
        <f t="shared" si="1022"/>
        <v>46554.518000000004</v>
      </c>
      <c r="J242" s="37">
        <f t="shared" si="1022"/>
        <v>52188.063999999998</v>
      </c>
      <c r="K242" s="37"/>
      <c r="L242" s="37">
        <f t="shared" ref="L242:Q242" si="1023">(L113+L114)*L$198</f>
        <v>28216.549742202686</v>
      </c>
      <c r="M242" s="37">
        <f t="shared" si="1023"/>
        <v>36945.221346441787</v>
      </c>
      <c r="N242" s="37">
        <f t="shared" si="1023"/>
        <v>34624.798239178286</v>
      </c>
      <c r="O242" s="37">
        <f t="shared" si="1023"/>
        <v>35120.077291129921</v>
      </c>
      <c r="P242" s="37">
        <f t="shared" si="1023"/>
        <v>34434.38432040903</v>
      </c>
      <c r="Q242" s="37">
        <f t="shared" si="1023"/>
        <v>33563.703875609193</v>
      </c>
      <c r="R242" s="37">
        <f t="shared" ref="R242:U242" si="1024">(R113+R114)*R$198</f>
        <v>39351.333807301169</v>
      </c>
      <c r="S242" s="37">
        <f t="shared" si="1024"/>
        <v>41579.577121085691</v>
      </c>
      <c r="T242" s="37">
        <f t="shared" si="1024"/>
        <v>44916.631173788905</v>
      </c>
      <c r="U242" s="37">
        <f t="shared" si="1024"/>
        <v>43594.002</v>
      </c>
      <c r="V242" s="37">
        <f t="shared" ref="V242:Y242" si="1025">(V113+V114)*V$198</f>
        <v>40997.704599999997</v>
      </c>
      <c r="W242" s="37">
        <f t="shared" si="1025"/>
        <v>42130.544399999999</v>
      </c>
      <c r="X242" s="37">
        <f t="shared" si="1025"/>
        <v>49399.604800000001</v>
      </c>
      <c r="Y242" s="37">
        <f t="shared" si="1025"/>
        <v>47951.5533</v>
      </c>
      <c r="Z242" s="37">
        <f t="shared" ref="Z242:AC242" si="1026">(Z113+Z114)*Z$198</f>
        <v>49698.0645</v>
      </c>
      <c r="AA242" s="37">
        <f t="shared" si="1026"/>
        <v>53574.601500000004</v>
      </c>
      <c r="AB242" s="37">
        <f t="shared" si="1026"/>
        <v>58037.455500000004</v>
      </c>
      <c r="AC242" s="37">
        <f t="shared" si="1026"/>
        <v>50623.315199999997</v>
      </c>
      <c r="AD242" s="37">
        <f t="shared" ref="AD242:AG242" si="1027">(AD113+AD114)*AD$198</f>
        <v>51344.904240766075</v>
      </c>
      <c r="AE242" s="37">
        <f t="shared" si="1027"/>
        <v>46554.518000000004</v>
      </c>
      <c r="AF242" s="37">
        <f t="shared" si="1027"/>
        <v>51966.475000000006</v>
      </c>
      <c r="AG242" s="37">
        <f t="shared" si="1027"/>
        <v>52188.063999999998</v>
      </c>
    </row>
    <row r="243" spans="2:33" s="33" customFormat="1" ht="13.5" customHeight="1" thickBot="1">
      <c r="B243" s="39" t="str">
        <f>+B115</f>
        <v xml:space="preserve">Net debt </v>
      </c>
      <c r="C243" s="38">
        <f t="shared" ref="C243:E243" si="1028">C241-C242</f>
        <v>-243.80315475758107</v>
      </c>
      <c r="D243" s="38">
        <f t="shared" si="1028"/>
        <v>4951.7634260849627</v>
      </c>
      <c r="E243" s="38">
        <f t="shared" si="1028"/>
        <v>5130.198748619805</v>
      </c>
      <c r="F243" s="38">
        <f t="shared" ref="F243:G243" si="1029">F241-F242</f>
        <v>9347.891115764287</v>
      </c>
      <c r="G243" s="38">
        <f t="shared" si="1029"/>
        <v>9908.9864999999991</v>
      </c>
      <c r="H243" s="38">
        <f t="shared" ref="H243:I243" si="1030">H241-H242</f>
        <v>-1118.3894999999975</v>
      </c>
      <c r="I243" s="38">
        <f t="shared" si="1030"/>
        <v>2506.8260000000009</v>
      </c>
      <c r="J243" s="38">
        <f t="shared" ref="J243" si="1031">J241-J242</f>
        <v>5394.9815999999992</v>
      </c>
      <c r="K243" s="38"/>
      <c r="L243" s="38">
        <f t="shared" ref="L243:Q243" si="1032">L241-L242</f>
        <v>5151.0156932352875</v>
      </c>
      <c r="M243" s="38">
        <f t="shared" si="1032"/>
        <v>3381.7837669859073</v>
      </c>
      <c r="N243" s="38">
        <f t="shared" si="1032"/>
        <v>5153.3382245047687</v>
      </c>
      <c r="O243" s="38">
        <f t="shared" si="1032"/>
        <v>5130.198748619805</v>
      </c>
      <c r="P243" s="38">
        <f t="shared" si="1032"/>
        <v>6236.5329600097393</v>
      </c>
      <c r="Q243" s="38">
        <f t="shared" si="1032"/>
        <v>11481.3955287383</v>
      </c>
      <c r="R243" s="38">
        <f t="shared" ref="R243:U243" si="1033">R241-R242</f>
        <v>11928.843003307469</v>
      </c>
      <c r="S243" s="38">
        <f t="shared" si="1033"/>
        <v>9347.891115764287</v>
      </c>
      <c r="T243" s="38">
        <f t="shared" si="1033"/>
        <v>8561.039862445381</v>
      </c>
      <c r="U243" s="38">
        <f t="shared" si="1033"/>
        <v>10237.6564</v>
      </c>
      <c r="V243" s="38">
        <f t="shared" ref="V243:Y243" si="1034">V241-V242</f>
        <v>10479.949999999997</v>
      </c>
      <c r="W243" s="38">
        <f t="shared" si="1034"/>
        <v>9908.9864999999991</v>
      </c>
      <c r="X243" s="38">
        <f t="shared" si="1034"/>
        <v>3320.1168000000034</v>
      </c>
      <c r="Y243" s="38">
        <f t="shared" si="1034"/>
        <v>4116.3149999999951</v>
      </c>
      <c r="Z243" s="38">
        <f t="shared" ref="Z243:AC243" si="1035">Z241-Z242</f>
        <v>1430.501400000001</v>
      </c>
      <c r="AA243" s="38">
        <f t="shared" si="1035"/>
        <v>-1118.3894999999975</v>
      </c>
      <c r="AB243" s="38">
        <f t="shared" si="1035"/>
        <v>-6237.3474999999962</v>
      </c>
      <c r="AC243" s="38">
        <f t="shared" si="1035"/>
        <v>-485.86559999999736</v>
      </c>
      <c r="AD243" s="38">
        <f t="shared" ref="AD243:AG243" si="1036">AD241-AD242</f>
        <v>-1518.6103511171896</v>
      </c>
      <c r="AE243" s="38">
        <f t="shared" si="1036"/>
        <v>2506.8260000000009</v>
      </c>
      <c r="AF243" s="38">
        <f t="shared" si="1036"/>
        <v>3671.9375</v>
      </c>
      <c r="AG243" s="38">
        <f t="shared" si="1036"/>
        <v>5394.9815999999992</v>
      </c>
    </row>
    <row r="244" spans="2:33" ht="13.5" customHeight="1" thickTop="1"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</row>
    <row r="245" spans="2:33" ht="13.5" customHeight="1">
      <c r="B245" s="33" t="str">
        <f>B117</f>
        <v>Company reported net debt</v>
      </c>
      <c r="C245" s="40">
        <f t="shared" ref="C245:G245" si="1037">C117*C198</f>
        <v>-243.80315475757794</v>
      </c>
      <c r="D245" s="40">
        <f t="shared" si="1037"/>
        <v>4951.7634260849654</v>
      </c>
      <c r="E245" s="40">
        <f t="shared" si="1037"/>
        <v>5130.1987486198013</v>
      </c>
      <c r="F245" s="40">
        <f t="shared" si="1037"/>
        <v>9347.8911157642833</v>
      </c>
      <c r="G245" s="40">
        <f t="shared" si="1037"/>
        <v>9908.9865000000009</v>
      </c>
      <c r="H245" s="40">
        <f t="shared" ref="H245:I245" si="1038">H117*H198</f>
        <v>-1118.3895</v>
      </c>
      <c r="I245" s="40">
        <f t="shared" si="1038"/>
        <v>2506.826</v>
      </c>
      <c r="J245" s="40">
        <f>J117*J198</f>
        <v>5394.9816000000001</v>
      </c>
      <c r="K245" s="40"/>
      <c r="L245" s="40">
        <f t="shared" ref="L245:Q245" si="1039">L117*L198</f>
        <v>5151.0156932352857</v>
      </c>
      <c r="M245" s="40">
        <f t="shared" si="1039"/>
        <v>3381.7837669859027</v>
      </c>
      <c r="N245" s="40">
        <f t="shared" si="1039"/>
        <v>5153.3382245047687</v>
      </c>
      <c r="O245" s="40">
        <f t="shared" si="1039"/>
        <v>5130.1987486198013</v>
      </c>
      <c r="P245" s="40">
        <f t="shared" si="1039"/>
        <v>6236.5329600097393</v>
      </c>
      <c r="Q245" s="40">
        <f t="shared" si="1039"/>
        <v>11481.3955287383</v>
      </c>
      <c r="R245" s="40">
        <f t="shared" ref="R245:U245" si="1040">R117*R198</f>
        <v>11928.843003307471</v>
      </c>
      <c r="S245" s="40">
        <f t="shared" si="1040"/>
        <v>9347.8911157642833</v>
      </c>
      <c r="T245" s="40">
        <f t="shared" si="1040"/>
        <v>8561.039862445381</v>
      </c>
      <c r="U245" s="40">
        <f t="shared" si="1040"/>
        <v>10237.6564</v>
      </c>
      <c r="V245" s="40">
        <f t="shared" ref="V245:Y245" si="1041">V117*V198</f>
        <v>10479.949999999999</v>
      </c>
      <c r="W245" s="40">
        <f t="shared" si="1041"/>
        <v>9908.9865000000009</v>
      </c>
      <c r="X245" s="40">
        <f t="shared" si="1041"/>
        <v>3320.1168000000002</v>
      </c>
      <c r="Y245" s="40">
        <f t="shared" si="1041"/>
        <v>4116.3149999999996</v>
      </c>
      <c r="Z245" s="40">
        <f t="shared" ref="Z245:AC245" si="1042">Z117*Z198</f>
        <v>1430.5014000000001</v>
      </c>
      <c r="AA245" s="40">
        <f t="shared" si="1042"/>
        <v>-1118.3895</v>
      </c>
      <c r="AB245" s="40">
        <f t="shared" si="1042"/>
        <v>-6237.3475000000008</v>
      </c>
      <c r="AC245" s="40">
        <f t="shared" si="1042"/>
        <v>-485.86559999999997</v>
      </c>
      <c r="AD245" s="40">
        <f t="shared" ref="AD245:AG245" si="1043">AD117*AD198</f>
        <v>-1518.6103511171912</v>
      </c>
      <c r="AE245" s="40">
        <f t="shared" si="1043"/>
        <v>2506.826</v>
      </c>
      <c r="AF245" s="40">
        <f t="shared" si="1043"/>
        <v>3671.9375000000005</v>
      </c>
      <c r="AG245" s="40">
        <f t="shared" si="1043"/>
        <v>5394.9816000000001</v>
      </c>
    </row>
    <row r="246" spans="2:33" ht="13.5" customHeight="1">
      <c r="B246" s="33" t="str">
        <f>B107</f>
        <v>Total Lease</v>
      </c>
      <c r="C246" s="40">
        <f t="shared" ref="C246:I246" si="1044">C107*C198</f>
        <v>0</v>
      </c>
      <c r="D246" s="40">
        <f t="shared" si="1044"/>
        <v>1675.6841864193293</v>
      </c>
      <c r="E246" s="40">
        <f t="shared" si="1044"/>
        <v>2150.0429395166238</v>
      </c>
      <c r="F246" s="40">
        <f t="shared" si="1044"/>
        <v>3455.2954327187995</v>
      </c>
      <c r="G246" s="40">
        <f t="shared" si="1044"/>
        <v>3590.3321999999998</v>
      </c>
      <c r="H246" s="40">
        <f t="shared" si="1044"/>
        <v>3196.4886000000001</v>
      </c>
      <c r="I246" s="40">
        <f t="shared" si="1044"/>
        <v>2671.0890000000004</v>
      </c>
      <c r="J246" s="40">
        <f>J107*J198</f>
        <v>2606.4715999999999</v>
      </c>
      <c r="K246" s="40"/>
      <c r="L246" s="40">
        <f t="shared" ref="L246:AF246" si="1045">L107*L198</f>
        <v>1642.1547910855661</v>
      </c>
      <c r="M246" s="40">
        <f t="shared" si="1045"/>
        <v>1640.9582732999972</v>
      </c>
      <c r="N246" s="40">
        <f t="shared" si="1045"/>
        <v>1696.1115187087307</v>
      </c>
      <c r="O246" s="40">
        <f t="shared" si="1045"/>
        <v>2150.0429395166238</v>
      </c>
      <c r="P246" s="40">
        <f t="shared" si="1045"/>
        <v>2135.8573254610751</v>
      </c>
      <c r="Q246" s="40">
        <f t="shared" si="1045"/>
        <v>2316.8561924653827</v>
      </c>
      <c r="R246" s="40">
        <f t="shared" si="1045"/>
        <v>2498.3771753577944</v>
      </c>
      <c r="S246" s="40">
        <f t="shared" si="1045"/>
        <v>3455.2954327187995</v>
      </c>
      <c r="T246" s="40">
        <f t="shared" si="1045"/>
        <v>3771.3943179846356</v>
      </c>
      <c r="U246" s="40">
        <f t="shared" si="1045"/>
        <v>3649.1336000000001</v>
      </c>
      <c r="V246" s="40">
        <f t="shared" si="1045"/>
        <v>3405.3177999999998</v>
      </c>
      <c r="W246" s="40">
        <f t="shared" si="1045"/>
        <v>3590.3321999999998</v>
      </c>
      <c r="X246" s="40">
        <f t="shared" si="1045"/>
        <v>3356.5168000000003</v>
      </c>
      <c r="Y246" s="40">
        <f t="shared" si="1045"/>
        <v>3235.4097999999999</v>
      </c>
      <c r="Z246" s="40">
        <f t="shared" si="1045"/>
        <v>3003.7239</v>
      </c>
      <c r="AA246" s="40">
        <f t="shared" si="1045"/>
        <v>3196.4886000000001</v>
      </c>
      <c r="AB246" s="40">
        <f t="shared" si="1045"/>
        <v>2946.4490000000001</v>
      </c>
      <c r="AC246" s="40">
        <f t="shared" si="1045"/>
        <v>2886.5727999999999</v>
      </c>
      <c r="AD246" s="40">
        <f t="shared" si="1045"/>
        <v>2793.8326493388054</v>
      </c>
      <c r="AE246" s="40">
        <f t="shared" si="1045"/>
        <v>2671.0890000000004</v>
      </c>
      <c r="AF246" s="40">
        <f t="shared" si="1045"/>
        <v>2591.4625000000001</v>
      </c>
      <c r="AG246" s="40">
        <f t="shared" ref="AG246" si="1046">AG107*AG198</f>
        <v>2606.4715999999999</v>
      </c>
    </row>
    <row r="247" spans="2:33" ht="13.5" customHeight="1">
      <c r="B247" s="33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</row>
    <row r="248" spans="2:33" ht="13.5" customHeight="1">
      <c r="B248" s="33" t="str">
        <f>B118</f>
        <v>Equity (as reported on balance sheet)</v>
      </c>
      <c r="C248" s="40">
        <f t="shared" ref="C248:I248" si="1047">C118*C198</f>
        <v>51785.563713018826</v>
      </c>
      <c r="D248" s="40">
        <f t="shared" si="1047"/>
        <v>69967.937707546094</v>
      </c>
      <c r="E248" s="40">
        <f t="shared" si="1047"/>
        <v>119317.10833026623</v>
      </c>
      <c r="F248" s="40">
        <f t="shared" si="1047"/>
        <v>138024.93820551978</v>
      </c>
      <c r="G248" s="40">
        <f t="shared" si="1047"/>
        <v>113436.414</v>
      </c>
      <c r="H248" s="40">
        <f t="shared" si="1047"/>
        <v>123451.12530000001</v>
      </c>
      <c r="I248" s="40">
        <f t="shared" si="1047"/>
        <v>144383.75200000001</v>
      </c>
      <c r="J248" s="40">
        <f>J118*J198</f>
        <v>167917.72039999999</v>
      </c>
      <c r="K248" s="40"/>
      <c r="L248" s="40">
        <f t="shared" ref="L248:AF248" si="1048">L118*L198</f>
        <v>72344.265066351116</v>
      </c>
      <c r="M248" s="40">
        <f t="shared" si="1048"/>
        <v>85639.037206542926</v>
      </c>
      <c r="N248" s="40">
        <f t="shared" si="1048"/>
        <v>94863.829787234048</v>
      </c>
      <c r="O248" s="40">
        <f t="shared" si="1048"/>
        <v>119317.10833026623</v>
      </c>
      <c r="P248" s="40">
        <f t="shared" si="1048"/>
        <v>128605.81897863535</v>
      </c>
      <c r="Q248" s="40">
        <f t="shared" si="1048"/>
        <v>143416.26053995514</v>
      </c>
      <c r="R248" s="40">
        <f t="shared" si="1048"/>
        <v>143948.56418657847</v>
      </c>
      <c r="S248" s="40">
        <f t="shared" si="1048"/>
        <v>138024.93820551978</v>
      </c>
      <c r="T248" s="40">
        <f t="shared" si="1048"/>
        <v>133339.16993989874</v>
      </c>
      <c r="U248" s="40">
        <f t="shared" si="1048"/>
        <v>119939.04519999999</v>
      </c>
      <c r="V248" s="40">
        <f t="shared" si="1048"/>
        <v>114740.52119999999</v>
      </c>
      <c r="W248" s="40">
        <f t="shared" si="1048"/>
        <v>113436.414</v>
      </c>
      <c r="X248" s="40">
        <f t="shared" si="1048"/>
        <v>122503.9088</v>
      </c>
      <c r="Y248" s="40">
        <f t="shared" si="1048"/>
        <v>115948.5264</v>
      </c>
      <c r="Z248" s="40">
        <f t="shared" si="1048"/>
        <v>113922.5595</v>
      </c>
      <c r="AA248" s="40">
        <f t="shared" si="1048"/>
        <v>123451.12530000001</v>
      </c>
      <c r="AB248" s="40">
        <f t="shared" si="1048"/>
        <v>126972.50650000002</v>
      </c>
      <c r="AC248" s="40">
        <f t="shared" si="1048"/>
        <v>127637.3472</v>
      </c>
      <c r="AD248" s="40">
        <f t="shared" si="1048"/>
        <v>139721.12973096216</v>
      </c>
      <c r="AE248" s="40">
        <f t="shared" si="1048"/>
        <v>144383.75200000001</v>
      </c>
      <c r="AF248" s="40">
        <f t="shared" si="1048"/>
        <v>154403.97500000001</v>
      </c>
      <c r="AG248" s="40">
        <f t="shared" ref="AG248" si="1049">AG118*AG198</f>
        <v>167917.72039999999</v>
      </c>
    </row>
    <row r="249" spans="2:33" ht="13.5" customHeight="1"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</row>
    <row r="250" spans="2:33" ht="13.5" customHeight="1">
      <c r="B250" s="33" t="str">
        <f>+B123</f>
        <v>Net Leverage excluding lease obligations</v>
      </c>
      <c r="C250" s="35">
        <f t="shared" ref="C250:I250" si="1050">((C243-(C246))/C218)</f>
        <v>-1.3637128935718659E-2</v>
      </c>
      <c r="D250" s="35">
        <f t="shared" si="1050"/>
        <v>0.15354753018339898</v>
      </c>
      <c r="E250" s="35">
        <f t="shared" si="1050"/>
        <v>0.1121821855434746</v>
      </c>
      <c r="F250" s="35">
        <f t="shared" si="1050"/>
        <v>0.19522528824783281</v>
      </c>
      <c r="G250" s="35">
        <f t="shared" si="1050"/>
        <v>0.22469428739046382</v>
      </c>
      <c r="H250" s="35">
        <f t="shared" si="1050"/>
        <v>-0.12951080959569242</v>
      </c>
      <c r="I250" s="35">
        <f t="shared" si="1050"/>
        <v>-4.2614554903772812E-3</v>
      </c>
      <c r="J250" s="35">
        <f>((J243-(J246))/J218)</f>
        <v>6.5624900752005139E-2</v>
      </c>
      <c r="K250" s="35"/>
      <c r="L250" s="32"/>
      <c r="M250" s="32"/>
      <c r="N250" s="32"/>
      <c r="O250" s="35">
        <f t="shared" ref="O250:AG250" si="1051">((O243-(O246))/SUM(L218:O218))</f>
        <v>0.11206140685408669</v>
      </c>
      <c r="P250" s="35">
        <f t="shared" si="1051"/>
        <v>0.14499259814399909</v>
      </c>
      <c r="Q250" s="35">
        <f t="shared" si="1051"/>
        <v>0.30644248007824354</v>
      </c>
      <c r="R250" s="35">
        <f t="shared" si="1051"/>
        <v>0.30811886496804847</v>
      </c>
      <c r="S250" s="35">
        <f t="shared" si="1051"/>
        <v>0.19528918995029729</v>
      </c>
      <c r="T250" s="35">
        <f t="shared" si="1051"/>
        <v>0.16362641347661003</v>
      </c>
      <c r="U250" s="35">
        <f t="shared" si="1051"/>
        <v>0.23337186685021283</v>
      </c>
      <c r="V250" s="35">
        <f t="shared" si="1051"/>
        <v>0.25587406899026155</v>
      </c>
      <c r="W250" s="35">
        <f t="shared" si="1051"/>
        <v>0.22542482086383678</v>
      </c>
      <c r="X250" s="35">
        <f t="shared" si="1051"/>
        <v>-1.2460237593247088E-3</v>
      </c>
      <c r="Y250" s="35">
        <f t="shared" si="1051"/>
        <v>2.8802885667863678E-2</v>
      </c>
      <c r="Z250" s="35">
        <f t="shared" si="1051"/>
        <v>-4.9195576581641871E-2</v>
      </c>
      <c r="AA250" s="35">
        <f t="shared" si="1051"/>
        <v>-0.12981641767194391</v>
      </c>
      <c r="AB250" s="35">
        <f t="shared" si="1051"/>
        <v>-0.26634016594520049</v>
      </c>
      <c r="AC250" s="35">
        <f t="shared" si="1051"/>
        <v>-9.4163979884475293E-2</v>
      </c>
      <c r="AD250" s="35">
        <f t="shared" si="1051"/>
        <v>-0.1161102821089928</v>
      </c>
      <c r="AE250" s="35">
        <f t="shared" si="1051"/>
        <v>-4.2521496185049948E-3</v>
      </c>
      <c r="AF250" s="35">
        <f>((AF243-(AF246))/SUM(AC218:AF218))</f>
        <v>2.6920870855843035E-2</v>
      </c>
      <c r="AG250" s="35">
        <f t="shared" si="1051"/>
        <v>6.5663705089736776E-2</v>
      </c>
    </row>
    <row r="251" spans="2:33" ht="13.5" customHeight="1">
      <c r="B251" s="26" t="str">
        <f>+B124</f>
        <v>Gross Leverage  excluding lease obligations</v>
      </c>
      <c r="C251" s="36">
        <f t="shared" ref="C251:I251" si="1052">((C241-(C246))/C218)</f>
        <v>1.3463839002730911</v>
      </c>
      <c r="D251" s="36">
        <f t="shared" si="1052"/>
        <v>1.4106877446450099</v>
      </c>
      <c r="E251" s="36">
        <f t="shared" si="1052"/>
        <v>1.4342093812156111</v>
      </c>
      <c r="F251" s="36">
        <f t="shared" si="1052"/>
        <v>1.5727820332393063</v>
      </c>
      <c r="G251" s="36">
        <f t="shared" si="1052"/>
        <v>1.7228760523479638</v>
      </c>
      <c r="H251" s="36">
        <f t="shared" si="1052"/>
        <v>1.4785276687176581</v>
      </c>
      <c r="I251" s="36">
        <f t="shared" si="1052"/>
        <v>1.2034968731226923</v>
      </c>
      <c r="J251" s="36">
        <f>((J241-(J246))/J218)</f>
        <v>1.2938207904706338</v>
      </c>
      <c r="K251" s="36"/>
      <c r="L251" s="32"/>
      <c r="M251" s="32"/>
      <c r="N251" s="32"/>
      <c r="O251" s="36">
        <f t="shared" ref="O251:AG251" si="1053">((O241-(O246))/SUM(L218:O218))</f>
        <v>1.4326652685872836</v>
      </c>
      <c r="P251" s="36">
        <f t="shared" si="1053"/>
        <v>1.3625311925260462</v>
      </c>
      <c r="Q251" s="36">
        <f t="shared" si="1053"/>
        <v>1.4287405333523902</v>
      </c>
      <c r="R251" s="36">
        <f t="shared" si="1053"/>
        <v>1.593833540032044</v>
      </c>
      <c r="S251" s="36">
        <f t="shared" si="1053"/>
        <v>1.5732968407749055</v>
      </c>
      <c r="T251" s="36">
        <f t="shared" si="1053"/>
        <v>1.6980922097856022</v>
      </c>
      <c r="U251" s="36">
        <f t="shared" si="1053"/>
        <v>1.7775136933324573</v>
      </c>
      <c r="V251" s="36">
        <f t="shared" si="1053"/>
        <v>1.7386719302363582</v>
      </c>
      <c r="W251" s="36">
        <f t="shared" si="1053"/>
        <v>1.7284775237575405</v>
      </c>
      <c r="X251" s="36">
        <f t="shared" si="1053"/>
        <v>1.6897726927806798</v>
      </c>
      <c r="Y251" s="36">
        <f t="shared" si="1053"/>
        <v>1.5966709233368193</v>
      </c>
      <c r="Z251" s="36">
        <f t="shared" si="1053"/>
        <v>1.5048916158333718</v>
      </c>
      <c r="AA251" s="36">
        <f t="shared" si="1053"/>
        <v>1.4820165666554597</v>
      </c>
      <c r="AB251" s="36">
        <f t="shared" si="1053"/>
        <v>1.4168096652718996</v>
      </c>
      <c r="AC251" s="36">
        <f t="shared" si="1053"/>
        <v>1.3193215367607674</v>
      </c>
      <c r="AD251" s="36">
        <f t="shared" si="1053"/>
        <v>1.2663245270291654</v>
      </c>
      <c r="AE251" s="36">
        <f t="shared" si="1053"/>
        <v>1.2008687598582766</v>
      </c>
      <c r="AF251" s="36">
        <f>((AF241-(AF246))/SUM(AC218:AF218))</f>
        <v>1.3217058148003082</v>
      </c>
      <c r="AG251" s="36">
        <f t="shared" si="1053"/>
        <v>1.2945858332873439</v>
      </c>
    </row>
    <row r="252" spans="2:33" ht="13.5" customHeight="1">
      <c r="C252" s="31"/>
      <c r="D252" s="31"/>
      <c r="E252" s="31"/>
      <c r="F252" s="31"/>
      <c r="G252" s="31"/>
      <c r="H252" s="31"/>
      <c r="I252" s="31"/>
      <c r="J252" s="31"/>
      <c r="K252" s="31"/>
      <c r="L252" s="32"/>
      <c r="M252" s="32"/>
      <c r="N252" s="32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</row>
    <row r="253" spans="2:33" s="33" customFormat="1" ht="13.5" customHeight="1">
      <c r="B253" s="33" t="str">
        <f>+B126</f>
        <v>Net Leverage including lease obligations</v>
      </c>
      <c r="C253" s="35">
        <f t="shared" ref="C253:I253" si="1054">C243/C218</f>
        <v>-1.3637128935718659E-2</v>
      </c>
      <c r="D253" s="35">
        <f t="shared" si="1054"/>
        <v>0.23208566963888019</v>
      </c>
      <c r="E253" s="35">
        <f t="shared" si="1054"/>
        <v>0.19311638208129747</v>
      </c>
      <c r="F253" s="35">
        <f t="shared" si="1054"/>
        <v>0.30970133295166913</v>
      </c>
      <c r="G253" s="35">
        <f t="shared" si="1054"/>
        <v>0.35236817123849079</v>
      </c>
      <c r="H253" s="35">
        <f t="shared" si="1054"/>
        <v>-3.3568394339650379E-2</v>
      </c>
      <c r="I253" s="35">
        <f t="shared" si="1054"/>
        <v>6.5034289043305896E-2</v>
      </c>
      <c r="J253" s="35">
        <f>J243/J218</f>
        <v>0.12696570285166414</v>
      </c>
      <c r="K253" s="35"/>
      <c r="L253" s="32"/>
      <c r="M253" s="32"/>
      <c r="N253" s="32"/>
      <c r="O253" s="35">
        <f t="shared" ref="O253:AG253" si="1055">O243/SUM(L218:O218)</f>
        <v>0.19290846722018012</v>
      </c>
      <c r="P253" s="35">
        <f t="shared" si="1055"/>
        <v>0.22051271494484409</v>
      </c>
      <c r="Q253" s="35">
        <f t="shared" si="1055"/>
        <v>0.38391316698922012</v>
      </c>
      <c r="R253" s="35">
        <f t="shared" si="1055"/>
        <v>0.38974761518861822</v>
      </c>
      <c r="S253" s="35">
        <f t="shared" si="1055"/>
        <v>0.30980270528211229</v>
      </c>
      <c r="T253" s="35">
        <f t="shared" si="1055"/>
        <v>0.29246678805747461</v>
      </c>
      <c r="U253" s="35">
        <f t="shared" si="1055"/>
        <v>0.36262771773955599</v>
      </c>
      <c r="V253" s="35">
        <f t="shared" si="1055"/>
        <v>0.3790370118908078</v>
      </c>
      <c r="W253" s="35">
        <f t="shared" si="1055"/>
        <v>0.35351380225132384</v>
      </c>
      <c r="X253" s="35">
        <f t="shared" si="1055"/>
        <v>0.11365231913553511</v>
      </c>
      <c r="Y253" s="35">
        <f t="shared" si="1055"/>
        <v>0.13459081671661466</v>
      </c>
      <c r="Z253" s="35">
        <f t="shared" si="1055"/>
        <v>4.4732605320509974E-2</v>
      </c>
      <c r="AA253" s="35">
        <f t="shared" si="1055"/>
        <v>-3.3647606047530344E-2</v>
      </c>
      <c r="AB253" s="35">
        <f t="shared" si="1055"/>
        <v>-0.18088991499407472</v>
      </c>
      <c r="AC253" s="35">
        <f t="shared" si="1055"/>
        <v>-1.356615989930559E-2</v>
      </c>
      <c r="AD253" s="35">
        <f t="shared" si="1055"/>
        <v>-4.0887792896789329E-2</v>
      </c>
      <c r="AE253" s="35">
        <f t="shared" si="1055"/>
        <v>6.4892271659219916E-2</v>
      </c>
      <c r="AF253" s="35">
        <f>AF243/SUM(AC218:AF218)</f>
        <v>9.1489164699069522E-2</v>
      </c>
      <c r="AG253" s="35">
        <f t="shared" si="1055"/>
        <v>0.12704077831779562</v>
      </c>
    </row>
    <row r="254" spans="2:33" ht="13.5" customHeight="1">
      <c r="B254" s="26" t="str">
        <f>+B127</f>
        <v>Gross Leverage  including lease obligations</v>
      </c>
      <c r="C254" s="36">
        <f t="shared" ref="C254:I254" si="1056">C241/C218</f>
        <v>1.3463839002730911</v>
      </c>
      <c r="D254" s="36">
        <f t="shared" si="1056"/>
        <v>1.4892258841004911</v>
      </c>
      <c r="E254" s="36">
        <f t="shared" si="1056"/>
        <v>1.5151435777534341</v>
      </c>
      <c r="F254" s="36">
        <f t="shared" si="1056"/>
        <v>1.6872580779431425</v>
      </c>
      <c r="G254" s="36">
        <f t="shared" si="1056"/>
        <v>1.8505499361959907</v>
      </c>
      <c r="H254" s="36">
        <f t="shared" si="1056"/>
        <v>1.5744700839737</v>
      </c>
      <c r="I254" s="36">
        <f t="shared" si="1056"/>
        <v>1.2727926176563753</v>
      </c>
      <c r="J254" s="36">
        <f>J241/J218</f>
        <v>1.3551615925702929</v>
      </c>
      <c r="K254" s="36"/>
      <c r="L254" s="32"/>
      <c r="M254" s="32"/>
      <c r="N254" s="32"/>
      <c r="O254" s="36">
        <f t="shared" ref="O254:AG254" si="1057">O241/SUM(L218:O218)</f>
        <v>1.513512328953377</v>
      </c>
      <c r="P254" s="36">
        <f t="shared" si="1057"/>
        <v>1.4380513093268912</v>
      </c>
      <c r="Q254" s="36">
        <f t="shared" si="1057"/>
        <v>1.5062112202633668</v>
      </c>
      <c r="R254" s="36">
        <f t="shared" si="1057"/>
        <v>1.6754622902526137</v>
      </c>
      <c r="S254" s="36">
        <f t="shared" si="1057"/>
        <v>1.6878103561067204</v>
      </c>
      <c r="T254" s="36">
        <f t="shared" si="1057"/>
        <v>1.826932584366467</v>
      </c>
      <c r="U254" s="36">
        <f t="shared" si="1057"/>
        <v>1.9067695442218007</v>
      </c>
      <c r="V254" s="36">
        <f t="shared" si="1057"/>
        <v>1.8618348731369043</v>
      </c>
      <c r="W254" s="36">
        <f t="shared" si="1057"/>
        <v>1.8565665051450275</v>
      </c>
      <c r="X254" s="36">
        <f t="shared" si="1057"/>
        <v>1.8046710356755393</v>
      </c>
      <c r="Y254" s="36">
        <f t="shared" si="1057"/>
        <v>1.7024588543855703</v>
      </c>
      <c r="Z254" s="36">
        <f t="shared" si="1057"/>
        <v>1.5988197977355236</v>
      </c>
      <c r="AA254" s="36">
        <f t="shared" si="1057"/>
        <v>1.5781853782798732</v>
      </c>
      <c r="AB254" s="36">
        <f t="shared" si="1057"/>
        <v>1.5022599162230252</v>
      </c>
      <c r="AC254" s="36">
        <f t="shared" si="1057"/>
        <v>1.3999193567459371</v>
      </c>
      <c r="AD254" s="36">
        <f t="shared" si="1057"/>
        <v>1.341547016241369</v>
      </c>
      <c r="AE254" s="36">
        <f t="shared" si="1057"/>
        <v>1.2700131811360016</v>
      </c>
      <c r="AF254" s="36">
        <f>AF241/SUM(AC218:AF218)</f>
        <v>1.3862741086435346</v>
      </c>
      <c r="AG254" s="36">
        <f t="shared" si="1057"/>
        <v>1.3559629065154026</v>
      </c>
    </row>
    <row r="255" spans="2:33" ht="13.5" customHeight="1">
      <c r="C255" s="36"/>
      <c r="D255" s="36"/>
      <c r="E255" s="36"/>
      <c r="F255" s="36"/>
      <c r="G255" s="36"/>
      <c r="H255" s="36"/>
      <c r="I255" s="36"/>
      <c r="J255" s="36"/>
      <c r="K255" s="36"/>
      <c r="L255" s="32"/>
      <c r="M255" s="32"/>
      <c r="N255" s="32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</row>
    <row r="256" spans="2:33" ht="13.5" customHeight="1">
      <c r="B256" s="33" t="str">
        <f>+B129</f>
        <v>Company reported net leverage</v>
      </c>
      <c r="C256" s="35">
        <f t="shared" ref="C256:I256" si="1058">C245/C218</f>
        <v>-1.3637128935718485E-2</v>
      </c>
      <c r="D256" s="35">
        <f t="shared" si="1058"/>
        <v>0.23208566963888033</v>
      </c>
      <c r="E256" s="35">
        <f t="shared" si="1058"/>
        <v>0.19311638208129733</v>
      </c>
      <c r="F256" s="35">
        <f t="shared" si="1058"/>
        <v>0.30970133295166902</v>
      </c>
      <c r="G256" s="35">
        <f t="shared" si="1058"/>
        <v>0.35236817123849085</v>
      </c>
      <c r="H256" s="35">
        <f t="shared" si="1058"/>
        <v>-3.3568394339650455E-2</v>
      </c>
      <c r="I256" s="35">
        <f t="shared" si="1058"/>
        <v>6.5034289043305882E-2</v>
      </c>
      <c r="J256" s="35">
        <f>J245/J218</f>
        <v>0.12696570285166414</v>
      </c>
      <c r="K256" s="36"/>
      <c r="L256" s="32"/>
      <c r="M256" s="32"/>
      <c r="N256" s="32"/>
      <c r="O256" s="35">
        <f t="shared" ref="O256:AG256" si="1059">O245/SUM(L218:O218)</f>
        <v>0.19290846722017999</v>
      </c>
      <c r="P256" s="35">
        <f t="shared" si="1059"/>
        <v>0.22051271494484409</v>
      </c>
      <c r="Q256" s="35">
        <f t="shared" si="1059"/>
        <v>0.38391316698922012</v>
      </c>
      <c r="R256" s="35">
        <f t="shared" si="1059"/>
        <v>0.38974761518861833</v>
      </c>
      <c r="S256" s="35">
        <f t="shared" si="1059"/>
        <v>0.30980270528211218</v>
      </c>
      <c r="T256" s="35">
        <f t="shared" si="1059"/>
        <v>0.29246678805747461</v>
      </c>
      <c r="U256" s="35">
        <f t="shared" si="1059"/>
        <v>0.36262771773955599</v>
      </c>
      <c r="V256" s="35">
        <f t="shared" si="1059"/>
        <v>0.37903701189080785</v>
      </c>
      <c r="W256" s="35">
        <f t="shared" si="1059"/>
        <v>0.35351380225132389</v>
      </c>
      <c r="X256" s="35">
        <f t="shared" si="1059"/>
        <v>0.113652319135535</v>
      </c>
      <c r="Y256" s="35">
        <f t="shared" si="1059"/>
        <v>0.13459081671661483</v>
      </c>
      <c r="Z256" s="35">
        <f t="shared" si="1059"/>
        <v>4.4732605320509947E-2</v>
      </c>
      <c r="AA256" s="35">
        <f t="shared" si="1059"/>
        <v>-3.3647606047530421E-2</v>
      </c>
      <c r="AB256" s="35">
        <f t="shared" si="1059"/>
        <v>-0.18088991499407484</v>
      </c>
      <c r="AC256" s="35">
        <f t="shared" si="1059"/>
        <v>-1.3566159899305662E-2</v>
      </c>
      <c r="AD256" s="35">
        <f t="shared" si="1059"/>
        <v>-4.0887792896789371E-2</v>
      </c>
      <c r="AE256" s="35">
        <f t="shared" si="1059"/>
        <v>6.4892271659219888E-2</v>
      </c>
      <c r="AF256" s="35">
        <f>AF245/SUM(AC218:AF218)</f>
        <v>9.1489164699069536E-2</v>
      </c>
      <c r="AG256" s="35">
        <f t="shared" si="1059"/>
        <v>0.12704077831779564</v>
      </c>
    </row>
    <row r="257" spans="2:33" ht="13.5" customHeight="1">
      <c r="C257" s="36"/>
      <c r="D257" s="36"/>
      <c r="E257" s="36"/>
      <c r="F257" s="36"/>
      <c r="G257" s="36"/>
      <c r="H257" s="36"/>
      <c r="I257" s="36"/>
      <c r="J257" s="36"/>
      <c r="K257" s="36"/>
      <c r="L257" s="32"/>
      <c r="M257" s="32"/>
      <c r="N257" s="32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</row>
    <row r="258" spans="2:33" ht="13.5" customHeight="1">
      <c r="B258" s="26" t="str">
        <f>+B131</f>
        <v>EBITDA - Capex / Interest</v>
      </c>
      <c r="C258" s="37">
        <f t="shared" ref="C258:E258" si="1060">(C222+C227)/-C225</f>
        <v>21.937013131537949</v>
      </c>
      <c r="D258" s="37">
        <f t="shared" si="1060"/>
        <v>17.685965659145733</v>
      </c>
      <c r="E258" s="37">
        <f t="shared" si="1060"/>
        <v>21.091577162238554</v>
      </c>
      <c r="F258" s="37">
        <f t="shared" ref="F258:G258" si="1061">(F222+F227)/-F225</f>
        <v>22.018205980066444</v>
      </c>
      <c r="G258" s="37">
        <f t="shared" si="1061"/>
        <v>17.842324983943481</v>
      </c>
      <c r="H258" s="37">
        <f t="shared" ref="H258" si="1062">(H222+H227)/-H225</f>
        <v>18.705610733577277</v>
      </c>
      <c r="I258" s="37">
        <f>(I222+I227)/-I225</f>
        <v>17.257630667633084</v>
      </c>
      <c r="J258" s="32"/>
      <c r="K258" s="36"/>
      <c r="L258" s="32"/>
      <c r="M258" s="32"/>
      <c r="N258" s="32"/>
      <c r="O258" s="37">
        <f>(SUM(M222:O222)+SUM(M227:O227))/-SUM(M225:O225)</f>
        <v>7.9750486299193479</v>
      </c>
      <c r="P258" s="32"/>
      <c r="Q258" s="37">
        <f>(SUM(O222:Q222)+SUM(O227:Q227))/-SUM(O225:Q225)</f>
        <v>17.112466301290194</v>
      </c>
      <c r="R258" s="32"/>
      <c r="S258" s="37">
        <f>(SUM(Q222:S222)+SUM(Q227:S227))/-SUM(Q225:S225)</f>
        <v>22.009343166654507</v>
      </c>
      <c r="T258" s="32"/>
      <c r="U258" s="37">
        <f>(SUM(S222:U222)+SUM(S227:U227))/-SUM(S225:U225)</f>
        <v>19.010723303576992</v>
      </c>
      <c r="V258" s="32"/>
      <c r="W258" s="37">
        <f>(SUM(U222:W222)+SUM(U227:W227))/-SUM(U225:W225)</f>
        <v>17.860461171806886</v>
      </c>
      <c r="X258" s="32"/>
      <c r="Y258" s="37">
        <f>(SUM(W222:Y222)+SUM(W227:Y227))/-SUM(W225:Y225)</f>
        <v>18.492654069661679</v>
      </c>
      <c r="Z258" s="32"/>
      <c r="AA258" s="37">
        <f>(SUM(Y222:AA222)+SUM(Y227:AA227))/-SUM(Y225:AA225)</f>
        <v>18.717961267118309</v>
      </c>
      <c r="AB258" s="32"/>
      <c r="AC258" s="37">
        <f>(SUM(AA222:AC222)+SUM(AA227:AC227))/-SUM(AA225:AC225)</f>
        <v>19.325817668663387</v>
      </c>
      <c r="AD258" s="32"/>
      <c r="AE258" s="37">
        <f>(SUM(AC222:AE222)+SUM(AC227:AE227))/-SUM(AC225:AE225)</f>
        <v>17.237963608289899</v>
      </c>
      <c r="AF258" s="32"/>
      <c r="AG258" s="37">
        <f>(SUM(AE222:AG222)+SUM(AE227:AG227))/-SUM(AE225:AG225)</f>
        <v>19.560873052814319</v>
      </c>
    </row>
    <row r="259" spans="2:33" s="33" customFormat="1" ht="12.75" customHeight="1">
      <c r="B259" s="33" t="str">
        <f>+B132</f>
        <v>EBITDA/Interest</v>
      </c>
      <c r="C259" s="34">
        <f t="shared" ref="C259:E259" si="1063">(C222)/-C225</f>
        <v>26.32383707990207</v>
      </c>
      <c r="D259" s="34">
        <f t="shared" si="1063"/>
        <v>20.915992620973462</v>
      </c>
      <c r="E259" s="34">
        <f t="shared" si="1063"/>
        <v>25.906444318824196</v>
      </c>
      <c r="F259" s="34">
        <f t="shared" ref="F259:G259" si="1064">(F222)/-F225</f>
        <v>25.886777408637872</v>
      </c>
      <c r="G259" s="34">
        <f t="shared" si="1064"/>
        <v>20.229715264397345</v>
      </c>
      <c r="H259" s="34">
        <f t="shared" ref="H259" si="1065">(H222)/-H225</f>
        <v>20.513504094790029</v>
      </c>
      <c r="I259" s="34">
        <f>(I222)/-I225</f>
        <v>22.309092373359103</v>
      </c>
      <c r="J259" s="32"/>
      <c r="K259" s="35"/>
      <c r="L259" s="32"/>
      <c r="M259" s="32"/>
      <c r="N259" s="32"/>
      <c r="O259" s="34">
        <f>(SUM(M222:O222))/-SUM(M225:O225)</f>
        <v>12.792679293161383</v>
      </c>
      <c r="P259" s="32"/>
      <c r="Q259" s="34">
        <f>(SUM(O222:Q222))/-SUM(O225:Q225)</f>
        <v>21.770375626362707</v>
      </c>
      <c r="R259" s="32"/>
      <c r="S259" s="34">
        <f>(SUM(Q222:S222))/-SUM(Q225:S225)</f>
        <v>25.876017657571655</v>
      </c>
      <c r="T259" s="32"/>
      <c r="U259" s="34">
        <f>(SUM(S222:U222))/-SUM(S225:U225)</f>
        <v>22.170825568207739</v>
      </c>
      <c r="V259" s="32"/>
      <c r="W259" s="34">
        <f>(SUM(U222:W222))/-SUM(U225:W225)</f>
        <v>20.267140187917185</v>
      </c>
      <c r="X259" s="32"/>
      <c r="Y259" s="34">
        <f>(SUM(W222:Y222))/-SUM(W225:Y225)</f>
        <v>19.980622662040634</v>
      </c>
      <c r="Z259" s="32"/>
      <c r="AA259" s="34">
        <f>(SUM(Y222:AA222))/-SUM(Y225:AA225)</f>
        <v>20.514815910210825</v>
      </c>
      <c r="AB259" s="32"/>
      <c r="AC259" s="34">
        <f>(SUM(AA222:AC222))/-SUM(AA225:AC225)</f>
        <v>21.58061076968422</v>
      </c>
      <c r="AD259" s="32"/>
      <c r="AE259" s="34">
        <f>(SUM(AC222:AE222))/-SUM(AC225:AE225)</f>
        <v>22.306835323821474</v>
      </c>
      <c r="AF259" s="32"/>
      <c r="AG259" s="34">
        <f>(SUM(AE222:AG222))/-SUM(AE225:AG225)</f>
        <v>24.624974930557546</v>
      </c>
    </row>
    <row r="260" spans="2:33" ht="13.5" customHeight="1">
      <c r="C260" s="31"/>
      <c r="D260" s="31"/>
      <c r="E260" s="31"/>
      <c r="F260" s="31"/>
      <c r="G260" s="31"/>
      <c r="H260" s="31"/>
      <c r="I260" s="31"/>
      <c r="J260" s="31"/>
      <c r="K260" s="31"/>
      <c r="L260" s="32"/>
      <c r="M260" s="32"/>
      <c r="N260" s="32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</row>
    <row r="261" spans="2:33" ht="13.5" customHeight="1">
      <c r="B261" s="30" t="str">
        <f>+B134</f>
        <v xml:space="preserve">Gearing (Net debt / Equity) </v>
      </c>
      <c r="C261" s="28">
        <f t="shared" ref="C261:I261" si="1066">C243/C248</f>
        <v>-4.7079366772691759E-3</v>
      </c>
      <c r="D261" s="28">
        <f t="shared" si="1066"/>
        <v>7.0771893360391427E-2</v>
      </c>
      <c r="E261" s="28">
        <f t="shared" si="1066"/>
        <v>4.2996338248657236E-2</v>
      </c>
      <c r="F261" s="28">
        <f t="shared" si="1066"/>
        <v>6.7726102523916615E-2</v>
      </c>
      <c r="G261" s="28">
        <f t="shared" si="1066"/>
        <v>8.7352783384002236E-2</v>
      </c>
      <c r="H261" s="28">
        <f t="shared" si="1066"/>
        <v>-9.0593706398559449E-3</v>
      </c>
      <c r="I261" s="28">
        <f t="shared" si="1066"/>
        <v>1.7362244471940312E-2</v>
      </c>
      <c r="J261" s="28">
        <f>J243/J248</f>
        <v>3.2128721061413359E-2</v>
      </c>
      <c r="K261" s="28"/>
      <c r="L261" s="29"/>
      <c r="M261" s="29"/>
      <c r="N261" s="29"/>
      <c r="O261" s="28">
        <f t="shared" ref="O261:AF261" si="1067">O243/O248</f>
        <v>4.2996338248657236E-2</v>
      </c>
      <c r="P261" s="28">
        <f t="shared" si="1067"/>
        <v>4.849339640724798E-2</v>
      </c>
      <c r="Q261" s="28">
        <f t="shared" si="1067"/>
        <v>8.005644189516177E-2</v>
      </c>
      <c r="R261" s="28">
        <f t="shared" si="1067"/>
        <v>8.2868787686176143E-2</v>
      </c>
      <c r="S261" s="28">
        <f t="shared" si="1067"/>
        <v>6.7726102523916615E-2</v>
      </c>
      <c r="T261" s="28">
        <f t="shared" si="1067"/>
        <v>6.4204988423913104E-2</v>
      </c>
      <c r="U261" s="28">
        <f t="shared" si="1067"/>
        <v>8.5357161072347781E-2</v>
      </c>
      <c r="V261" s="28">
        <f t="shared" si="1067"/>
        <v>9.1336085023814573E-2</v>
      </c>
      <c r="W261" s="28">
        <f t="shared" si="1067"/>
        <v>8.7352783384002236E-2</v>
      </c>
      <c r="X261" s="28">
        <f t="shared" si="1067"/>
        <v>2.7102129495479441E-2</v>
      </c>
      <c r="Y261" s="28">
        <f t="shared" si="1067"/>
        <v>3.5501227379117387E-2</v>
      </c>
      <c r="Z261" s="28">
        <f t="shared" si="1067"/>
        <v>1.255678775370212E-2</v>
      </c>
      <c r="AA261" s="28">
        <f t="shared" si="1067"/>
        <v>-9.0593706398559449E-3</v>
      </c>
      <c r="AB261" s="28">
        <f t="shared" si="1067"/>
        <v>-4.9123606928244704E-2</v>
      </c>
      <c r="AC261" s="28">
        <f t="shared" si="1067"/>
        <v>-3.8066099825678399E-3</v>
      </c>
      <c r="AD261" s="28">
        <f t="shared" si="1067"/>
        <v>-1.0868866820940584E-2</v>
      </c>
      <c r="AE261" s="28">
        <f t="shared" si="1067"/>
        <v>1.7362244471940312E-2</v>
      </c>
      <c r="AF261" s="28">
        <f t="shared" si="1067"/>
        <v>2.3781366379978235E-2</v>
      </c>
      <c r="AG261" s="28">
        <f t="shared" ref="AG261" si="1068">AG243/AG248</f>
        <v>3.2128721061413359E-2</v>
      </c>
    </row>
    <row r="262" spans="2:33" ht="13.5" customHeight="1"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U262" s="27"/>
      <c r="V262" s="27"/>
      <c r="W262" s="27"/>
      <c r="Y262" s="27"/>
      <c r="Z262" s="27"/>
      <c r="AA262" s="27"/>
      <c r="AC262" s="27"/>
      <c r="AD262" s="27"/>
      <c r="AE262" s="27"/>
      <c r="AG262" s="27"/>
    </row>
    <row r="263" spans="2:33" ht="13.5" customHeight="1"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U263" s="13"/>
      <c r="V263" s="13"/>
      <c r="W263" s="13"/>
      <c r="Y263" s="13"/>
      <c r="Z263" s="13"/>
      <c r="AA263" s="13"/>
      <c r="AC263" s="13"/>
      <c r="AD263" s="13"/>
      <c r="AE263" s="13"/>
      <c r="AG263" s="13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K82 O116 O82:Q82 K16 K18 K23 O102:O104 K45 O16:Q16 O19:Q19 O107:O109 O112 C82:E82 K102:K110" formula="1"/>
    <ignoredError sqref="K7:Q7 K10:Q11 C22:E22 K12 K9 O134:Q135 K27:Q35 K41:Q42 K50:Q50 C46:D49 O93:Q93 K140:Q145 K183:Q190 O204:Q209 K193:Q194 K191:O192 Q191:Q192 O123:Q132 R134 K257:Q257 C134:E134 C257:E260 C219:E220 C204:E209 C183:E194 C152:E156 C140:E145 C123:E132 C50:E50 C41:E42 C27:E35 C10:E11 D7:E7 K152:Q156 K219:Q220 K261:N261 K250:N256 K260:Q260 K258:N259 P258:P259" evalError="1"/>
    <ignoredError sqref="K22:Q22 K19:K21 K46:Q49 E46:E49" evalError="1" formula="1"/>
    <ignoredError sqref="O199:Q199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3B92-F357-435B-BAB0-EB2500E3E540}">
  <dimension ref="A1"/>
  <sheetViews>
    <sheetView workbookViewId="0"/>
  </sheetViews>
  <sheetFormatPr defaultRowHeight="12.6"/>
  <sheetData>
    <row r="1" spans="1:1">
      <c r="A1" t="s">
        <v>239</v>
      </c>
    </row>
  </sheetData>
  <pageMargins left="0.7" right="0.7" top="0.75" bottom="0.75" header="0.3" footer="0.3"/>
  <pageSetup orientation="portrait" r:id="rId1"/>
  <headerFooter>
    <oddFooter>&amp;C_x000D_&amp;1#&amp;"Aptos"&amp;10&amp;K000000 Barings-Corporate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4"/>
  <sheetViews>
    <sheetView zoomScale="72" zoomScaleNormal="85" workbookViewId="0">
      <pane xSplit="2" ySplit="3" topLeftCell="F4" activePane="bottomRight" state="frozen"/>
      <selection pane="bottomRight" activeCell="J47" sqref="J47"/>
      <selection pane="bottomLeft"/>
      <selection pane="topRight"/>
    </sheetView>
  </sheetViews>
  <sheetFormatPr defaultRowHeight="12.95" outlineLevelCol="1"/>
  <cols>
    <col min="1" max="1" width="2.5703125" style="117" customWidth="1"/>
    <col min="2" max="2" width="53" style="117" bestFit="1" customWidth="1"/>
    <col min="3" max="4" width="11.42578125" style="117" hidden="1" customWidth="1" outlineLevel="1"/>
    <col min="5" max="5" width="11.42578125" style="117" hidden="1" customWidth="1" outlineLevel="1" collapsed="1"/>
    <col min="6" max="6" width="11.42578125" style="117" customWidth="1" collapsed="1"/>
    <col min="7" max="10" width="11.42578125" style="117" customWidth="1"/>
    <col min="11" max="11" width="6.140625" style="117" customWidth="1"/>
    <col min="12" max="15" width="11.42578125" style="117" hidden="1" customWidth="1" outlineLevel="1"/>
    <col min="16" max="16" width="11.42578125" style="117" hidden="1" customWidth="1" outlineLevel="1" collapsed="1"/>
    <col min="17" max="17" width="11.42578125" style="117" hidden="1" customWidth="1" outlineLevel="1"/>
    <col min="18" max="18" width="10.5703125" style="117" hidden="1" customWidth="1" outlineLevel="1"/>
    <col min="19" max="19" width="11.42578125" style="117" hidden="1" customWidth="1" outlineLevel="1"/>
    <col min="20" max="20" width="10" style="117" hidden="1" customWidth="1" outlineLevel="1" collapsed="1"/>
    <col min="21" max="21" width="11.42578125" style="117" hidden="1" customWidth="1" outlineLevel="1"/>
    <col min="22" max="22" width="10.5703125" style="117" hidden="1" customWidth="1" outlineLevel="1"/>
    <col min="23" max="23" width="11.42578125" style="117" hidden="1" customWidth="1" outlineLevel="1"/>
    <col min="24" max="24" width="10" style="117" hidden="1" customWidth="1" outlineLevel="1"/>
    <col min="25" max="25" width="11.42578125" style="117" customWidth="1" collapsed="1"/>
    <col min="26" max="26" width="10.5703125" style="117" customWidth="1"/>
    <col min="27" max="27" width="11.42578125" style="117" customWidth="1"/>
    <col min="28" max="28" width="10" style="117" customWidth="1"/>
    <col min="29" max="29" width="11.42578125" style="117" customWidth="1"/>
    <col min="30" max="30" width="10.5703125" style="117" customWidth="1"/>
    <col min="31" max="31" width="11.42578125" style="117" customWidth="1"/>
    <col min="32" max="32" width="10" style="117" customWidth="1"/>
    <col min="33" max="33" width="11.42578125" style="117" customWidth="1"/>
    <col min="34" max="262" width="9.140625" style="117"/>
    <col min="263" max="263" width="2.5703125" style="117" customWidth="1"/>
    <col min="264" max="264" width="29.42578125" style="117" customWidth="1"/>
    <col min="265" max="269" width="11.42578125" style="117" customWidth="1"/>
    <col min="270" max="270" width="6.140625" style="117" customWidth="1"/>
    <col min="271" max="274" width="11.42578125" style="117" customWidth="1"/>
    <col min="275" max="518" width="9.140625" style="117"/>
    <col min="519" max="519" width="2.5703125" style="117" customWidth="1"/>
    <col min="520" max="520" width="29.42578125" style="117" customWidth="1"/>
    <col min="521" max="525" width="11.42578125" style="117" customWidth="1"/>
    <col min="526" max="526" width="6.140625" style="117" customWidth="1"/>
    <col min="527" max="530" width="11.42578125" style="117" customWidth="1"/>
    <col min="531" max="774" width="9.140625" style="117"/>
    <col min="775" max="775" width="2.5703125" style="117" customWidth="1"/>
    <col min="776" max="776" width="29.42578125" style="117" customWidth="1"/>
    <col min="777" max="781" width="11.42578125" style="117" customWidth="1"/>
    <col min="782" max="782" width="6.140625" style="117" customWidth="1"/>
    <col min="783" max="786" width="11.42578125" style="117" customWidth="1"/>
    <col min="787" max="1030" width="9.140625" style="117"/>
    <col min="1031" max="1031" width="2.5703125" style="117" customWidth="1"/>
    <col min="1032" max="1032" width="29.42578125" style="117" customWidth="1"/>
    <col min="1033" max="1037" width="11.42578125" style="117" customWidth="1"/>
    <col min="1038" max="1038" width="6.140625" style="117" customWidth="1"/>
    <col min="1039" max="1042" width="11.42578125" style="117" customWidth="1"/>
    <col min="1043" max="1286" width="9.140625" style="117"/>
    <col min="1287" max="1287" width="2.5703125" style="117" customWidth="1"/>
    <col min="1288" max="1288" width="29.42578125" style="117" customWidth="1"/>
    <col min="1289" max="1293" width="11.42578125" style="117" customWidth="1"/>
    <col min="1294" max="1294" width="6.140625" style="117" customWidth="1"/>
    <col min="1295" max="1298" width="11.42578125" style="117" customWidth="1"/>
    <col min="1299" max="1542" width="9.140625" style="117"/>
    <col min="1543" max="1543" width="2.5703125" style="117" customWidth="1"/>
    <col min="1544" max="1544" width="29.42578125" style="117" customWidth="1"/>
    <col min="1545" max="1549" width="11.42578125" style="117" customWidth="1"/>
    <col min="1550" max="1550" width="6.140625" style="117" customWidth="1"/>
    <col min="1551" max="1554" width="11.42578125" style="117" customWidth="1"/>
    <col min="1555" max="1798" width="9.140625" style="117"/>
    <col min="1799" max="1799" width="2.5703125" style="117" customWidth="1"/>
    <col min="1800" max="1800" width="29.42578125" style="117" customWidth="1"/>
    <col min="1801" max="1805" width="11.42578125" style="117" customWidth="1"/>
    <col min="1806" max="1806" width="6.140625" style="117" customWidth="1"/>
    <col min="1807" max="1810" width="11.42578125" style="117" customWidth="1"/>
    <col min="1811" max="2054" width="9.140625" style="117"/>
    <col min="2055" max="2055" width="2.5703125" style="117" customWidth="1"/>
    <col min="2056" max="2056" width="29.42578125" style="117" customWidth="1"/>
    <col min="2057" max="2061" width="11.42578125" style="117" customWidth="1"/>
    <col min="2062" max="2062" width="6.140625" style="117" customWidth="1"/>
    <col min="2063" max="2066" width="11.42578125" style="117" customWidth="1"/>
    <col min="2067" max="2310" width="9.140625" style="117"/>
    <col min="2311" max="2311" width="2.5703125" style="117" customWidth="1"/>
    <col min="2312" max="2312" width="29.42578125" style="117" customWidth="1"/>
    <col min="2313" max="2317" width="11.42578125" style="117" customWidth="1"/>
    <col min="2318" max="2318" width="6.140625" style="117" customWidth="1"/>
    <col min="2319" max="2322" width="11.42578125" style="117" customWidth="1"/>
    <col min="2323" max="2566" width="9.140625" style="117"/>
    <col min="2567" max="2567" width="2.5703125" style="117" customWidth="1"/>
    <col min="2568" max="2568" width="29.42578125" style="117" customWidth="1"/>
    <col min="2569" max="2573" width="11.42578125" style="117" customWidth="1"/>
    <col min="2574" max="2574" width="6.140625" style="117" customWidth="1"/>
    <col min="2575" max="2578" width="11.42578125" style="117" customWidth="1"/>
    <col min="2579" max="2822" width="9.140625" style="117"/>
    <col min="2823" max="2823" width="2.5703125" style="117" customWidth="1"/>
    <col min="2824" max="2824" width="29.42578125" style="117" customWidth="1"/>
    <col min="2825" max="2829" width="11.42578125" style="117" customWidth="1"/>
    <col min="2830" max="2830" width="6.140625" style="117" customWidth="1"/>
    <col min="2831" max="2834" width="11.42578125" style="117" customWidth="1"/>
    <col min="2835" max="3078" width="9.140625" style="117"/>
    <col min="3079" max="3079" width="2.5703125" style="117" customWidth="1"/>
    <col min="3080" max="3080" width="29.42578125" style="117" customWidth="1"/>
    <col min="3081" max="3085" width="11.42578125" style="117" customWidth="1"/>
    <col min="3086" max="3086" width="6.140625" style="117" customWidth="1"/>
    <col min="3087" max="3090" width="11.42578125" style="117" customWidth="1"/>
    <col min="3091" max="3334" width="9.140625" style="117"/>
    <col min="3335" max="3335" width="2.5703125" style="117" customWidth="1"/>
    <col min="3336" max="3336" width="29.42578125" style="117" customWidth="1"/>
    <col min="3337" max="3341" width="11.42578125" style="117" customWidth="1"/>
    <col min="3342" max="3342" width="6.140625" style="117" customWidth="1"/>
    <col min="3343" max="3346" width="11.42578125" style="117" customWidth="1"/>
    <col min="3347" max="3590" width="9.140625" style="117"/>
    <col min="3591" max="3591" width="2.5703125" style="117" customWidth="1"/>
    <col min="3592" max="3592" width="29.42578125" style="117" customWidth="1"/>
    <col min="3593" max="3597" width="11.42578125" style="117" customWidth="1"/>
    <col min="3598" max="3598" width="6.140625" style="117" customWidth="1"/>
    <col min="3599" max="3602" width="11.42578125" style="117" customWidth="1"/>
    <col min="3603" max="3846" width="9.140625" style="117"/>
    <col min="3847" max="3847" width="2.5703125" style="117" customWidth="1"/>
    <col min="3848" max="3848" width="29.42578125" style="117" customWidth="1"/>
    <col min="3849" max="3853" width="11.42578125" style="117" customWidth="1"/>
    <col min="3854" max="3854" width="6.140625" style="117" customWidth="1"/>
    <col min="3855" max="3858" width="11.42578125" style="117" customWidth="1"/>
    <col min="3859" max="4102" width="9.140625" style="117"/>
    <col min="4103" max="4103" width="2.5703125" style="117" customWidth="1"/>
    <col min="4104" max="4104" width="29.42578125" style="117" customWidth="1"/>
    <col min="4105" max="4109" width="11.42578125" style="117" customWidth="1"/>
    <col min="4110" max="4110" width="6.140625" style="117" customWidth="1"/>
    <col min="4111" max="4114" width="11.42578125" style="117" customWidth="1"/>
    <col min="4115" max="4358" width="9.140625" style="117"/>
    <col min="4359" max="4359" width="2.5703125" style="117" customWidth="1"/>
    <col min="4360" max="4360" width="29.42578125" style="117" customWidth="1"/>
    <col min="4361" max="4365" width="11.42578125" style="117" customWidth="1"/>
    <col min="4366" max="4366" width="6.140625" style="117" customWidth="1"/>
    <col min="4367" max="4370" width="11.42578125" style="117" customWidth="1"/>
    <col min="4371" max="4614" width="9.140625" style="117"/>
    <col min="4615" max="4615" width="2.5703125" style="117" customWidth="1"/>
    <col min="4616" max="4616" width="29.42578125" style="117" customWidth="1"/>
    <col min="4617" max="4621" width="11.42578125" style="117" customWidth="1"/>
    <col min="4622" max="4622" width="6.140625" style="117" customWidth="1"/>
    <col min="4623" max="4626" width="11.42578125" style="117" customWidth="1"/>
    <col min="4627" max="4870" width="9.140625" style="117"/>
    <col min="4871" max="4871" width="2.5703125" style="117" customWidth="1"/>
    <col min="4872" max="4872" width="29.42578125" style="117" customWidth="1"/>
    <col min="4873" max="4877" width="11.42578125" style="117" customWidth="1"/>
    <col min="4878" max="4878" width="6.140625" style="117" customWidth="1"/>
    <col min="4879" max="4882" width="11.42578125" style="117" customWidth="1"/>
    <col min="4883" max="5126" width="9.140625" style="117"/>
    <col min="5127" max="5127" width="2.5703125" style="117" customWidth="1"/>
    <col min="5128" max="5128" width="29.42578125" style="117" customWidth="1"/>
    <col min="5129" max="5133" width="11.42578125" style="117" customWidth="1"/>
    <col min="5134" max="5134" width="6.140625" style="117" customWidth="1"/>
    <col min="5135" max="5138" width="11.42578125" style="117" customWidth="1"/>
    <col min="5139" max="5382" width="9.140625" style="117"/>
    <col min="5383" max="5383" width="2.5703125" style="117" customWidth="1"/>
    <col min="5384" max="5384" width="29.42578125" style="117" customWidth="1"/>
    <col min="5385" max="5389" width="11.42578125" style="117" customWidth="1"/>
    <col min="5390" max="5390" width="6.140625" style="117" customWidth="1"/>
    <col min="5391" max="5394" width="11.42578125" style="117" customWidth="1"/>
    <col min="5395" max="5638" width="9.140625" style="117"/>
    <col min="5639" max="5639" width="2.5703125" style="117" customWidth="1"/>
    <col min="5640" max="5640" width="29.42578125" style="117" customWidth="1"/>
    <col min="5641" max="5645" width="11.42578125" style="117" customWidth="1"/>
    <col min="5646" max="5646" width="6.140625" style="117" customWidth="1"/>
    <col min="5647" max="5650" width="11.42578125" style="117" customWidth="1"/>
    <col min="5651" max="5894" width="9.140625" style="117"/>
    <col min="5895" max="5895" width="2.5703125" style="117" customWidth="1"/>
    <col min="5896" max="5896" width="29.42578125" style="117" customWidth="1"/>
    <col min="5897" max="5901" width="11.42578125" style="117" customWidth="1"/>
    <col min="5902" max="5902" width="6.140625" style="117" customWidth="1"/>
    <col min="5903" max="5906" width="11.42578125" style="117" customWidth="1"/>
    <col min="5907" max="6150" width="9.140625" style="117"/>
    <col min="6151" max="6151" width="2.5703125" style="117" customWidth="1"/>
    <col min="6152" max="6152" width="29.42578125" style="117" customWidth="1"/>
    <col min="6153" max="6157" width="11.42578125" style="117" customWidth="1"/>
    <col min="6158" max="6158" width="6.140625" style="117" customWidth="1"/>
    <col min="6159" max="6162" width="11.42578125" style="117" customWidth="1"/>
    <col min="6163" max="6406" width="9.140625" style="117"/>
    <col min="6407" max="6407" width="2.5703125" style="117" customWidth="1"/>
    <col min="6408" max="6408" width="29.42578125" style="117" customWidth="1"/>
    <col min="6409" max="6413" width="11.42578125" style="117" customWidth="1"/>
    <col min="6414" max="6414" width="6.140625" style="117" customWidth="1"/>
    <col min="6415" max="6418" width="11.42578125" style="117" customWidth="1"/>
    <col min="6419" max="6662" width="9.140625" style="117"/>
    <col min="6663" max="6663" width="2.5703125" style="117" customWidth="1"/>
    <col min="6664" max="6664" width="29.42578125" style="117" customWidth="1"/>
    <col min="6665" max="6669" width="11.42578125" style="117" customWidth="1"/>
    <col min="6670" max="6670" width="6.140625" style="117" customWidth="1"/>
    <col min="6671" max="6674" width="11.42578125" style="117" customWidth="1"/>
    <col min="6675" max="6918" width="9.140625" style="117"/>
    <col min="6919" max="6919" width="2.5703125" style="117" customWidth="1"/>
    <col min="6920" max="6920" width="29.42578125" style="117" customWidth="1"/>
    <col min="6921" max="6925" width="11.42578125" style="117" customWidth="1"/>
    <col min="6926" max="6926" width="6.140625" style="117" customWidth="1"/>
    <col min="6927" max="6930" width="11.42578125" style="117" customWidth="1"/>
    <col min="6931" max="7174" width="9.140625" style="117"/>
    <col min="7175" max="7175" width="2.5703125" style="117" customWidth="1"/>
    <col min="7176" max="7176" width="29.42578125" style="117" customWidth="1"/>
    <col min="7177" max="7181" width="11.42578125" style="117" customWidth="1"/>
    <col min="7182" max="7182" width="6.140625" style="117" customWidth="1"/>
    <col min="7183" max="7186" width="11.42578125" style="117" customWidth="1"/>
    <col min="7187" max="7430" width="9.140625" style="117"/>
    <col min="7431" max="7431" width="2.5703125" style="117" customWidth="1"/>
    <col min="7432" max="7432" width="29.42578125" style="117" customWidth="1"/>
    <col min="7433" max="7437" width="11.42578125" style="117" customWidth="1"/>
    <col min="7438" max="7438" width="6.140625" style="117" customWidth="1"/>
    <col min="7439" max="7442" width="11.42578125" style="117" customWidth="1"/>
    <col min="7443" max="7686" width="9.140625" style="117"/>
    <col min="7687" max="7687" width="2.5703125" style="117" customWidth="1"/>
    <col min="7688" max="7688" width="29.42578125" style="117" customWidth="1"/>
    <col min="7689" max="7693" width="11.42578125" style="117" customWidth="1"/>
    <col min="7694" max="7694" width="6.140625" style="117" customWidth="1"/>
    <col min="7695" max="7698" width="11.42578125" style="117" customWidth="1"/>
    <col min="7699" max="7942" width="9.140625" style="117"/>
    <col min="7943" max="7943" width="2.5703125" style="117" customWidth="1"/>
    <col min="7944" max="7944" width="29.42578125" style="117" customWidth="1"/>
    <col min="7945" max="7949" width="11.42578125" style="117" customWidth="1"/>
    <col min="7950" max="7950" width="6.140625" style="117" customWidth="1"/>
    <col min="7951" max="7954" width="11.42578125" style="117" customWidth="1"/>
    <col min="7955" max="8198" width="9.140625" style="117"/>
    <col min="8199" max="8199" width="2.5703125" style="117" customWidth="1"/>
    <col min="8200" max="8200" width="29.42578125" style="117" customWidth="1"/>
    <col min="8201" max="8205" width="11.42578125" style="117" customWidth="1"/>
    <col min="8206" max="8206" width="6.140625" style="117" customWidth="1"/>
    <col min="8207" max="8210" width="11.42578125" style="117" customWidth="1"/>
    <col min="8211" max="8454" width="9.140625" style="117"/>
    <col min="8455" max="8455" width="2.5703125" style="117" customWidth="1"/>
    <col min="8456" max="8456" width="29.42578125" style="117" customWidth="1"/>
    <col min="8457" max="8461" width="11.42578125" style="117" customWidth="1"/>
    <col min="8462" max="8462" width="6.140625" style="117" customWidth="1"/>
    <col min="8463" max="8466" width="11.42578125" style="117" customWidth="1"/>
    <col min="8467" max="8710" width="9.140625" style="117"/>
    <col min="8711" max="8711" width="2.5703125" style="117" customWidth="1"/>
    <col min="8712" max="8712" width="29.42578125" style="117" customWidth="1"/>
    <col min="8713" max="8717" width="11.42578125" style="117" customWidth="1"/>
    <col min="8718" max="8718" width="6.140625" style="117" customWidth="1"/>
    <col min="8719" max="8722" width="11.42578125" style="117" customWidth="1"/>
    <col min="8723" max="8966" width="9.140625" style="117"/>
    <col min="8967" max="8967" width="2.5703125" style="117" customWidth="1"/>
    <col min="8968" max="8968" width="29.42578125" style="117" customWidth="1"/>
    <col min="8969" max="8973" width="11.42578125" style="117" customWidth="1"/>
    <col min="8974" max="8974" width="6.140625" style="117" customWidth="1"/>
    <col min="8975" max="8978" width="11.42578125" style="117" customWidth="1"/>
    <col min="8979" max="9222" width="9.140625" style="117"/>
    <col min="9223" max="9223" width="2.5703125" style="117" customWidth="1"/>
    <col min="9224" max="9224" width="29.42578125" style="117" customWidth="1"/>
    <col min="9225" max="9229" width="11.42578125" style="117" customWidth="1"/>
    <col min="9230" max="9230" width="6.140625" style="117" customWidth="1"/>
    <col min="9231" max="9234" width="11.42578125" style="117" customWidth="1"/>
    <col min="9235" max="9478" width="9.140625" style="117"/>
    <col min="9479" max="9479" width="2.5703125" style="117" customWidth="1"/>
    <col min="9480" max="9480" width="29.42578125" style="117" customWidth="1"/>
    <col min="9481" max="9485" width="11.42578125" style="117" customWidth="1"/>
    <col min="9486" max="9486" width="6.140625" style="117" customWidth="1"/>
    <col min="9487" max="9490" width="11.42578125" style="117" customWidth="1"/>
    <col min="9491" max="9734" width="9.140625" style="117"/>
    <col min="9735" max="9735" width="2.5703125" style="117" customWidth="1"/>
    <col min="9736" max="9736" width="29.42578125" style="117" customWidth="1"/>
    <col min="9737" max="9741" width="11.42578125" style="117" customWidth="1"/>
    <col min="9742" max="9742" width="6.140625" style="117" customWidth="1"/>
    <col min="9743" max="9746" width="11.42578125" style="117" customWidth="1"/>
    <col min="9747" max="9990" width="9.140625" style="117"/>
    <col min="9991" max="9991" width="2.5703125" style="117" customWidth="1"/>
    <col min="9992" max="9992" width="29.42578125" style="117" customWidth="1"/>
    <col min="9993" max="9997" width="11.42578125" style="117" customWidth="1"/>
    <col min="9998" max="9998" width="6.140625" style="117" customWidth="1"/>
    <col min="9999" max="10002" width="11.42578125" style="117" customWidth="1"/>
    <col min="10003" max="10246" width="9.140625" style="117"/>
    <col min="10247" max="10247" width="2.5703125" style="117" customWidth="1"/>
    <col min="10248" max="10248" width="29.42578125" style="117" customWidth="1"/>
    <col min="10249" max="10253" width="11.42578125" style="117" customWidth="1"/>
    <col min="10254" max="10254" width="6.140625" style="117" customWidth="1"/>
    <col min="10255" max="10258" width="11.42578125" style="117" customWidth="1"/>
    <col min="10259" max="10502" width="9.140625" style="117"/>
    <col min="10503" max="10503" width="2.5703125" style="117" customWidth="1"/>
    <col min="10504" max="10504" width="29.42578125" style="117" customWidth="1"/>
    <col min="10505" max="10509" width="11.42578125" style="117" customWidth="1"/>
    <col min="10510" max="10510" width="6.140625" style="117" customWidth="1"/>
    <col min="10511" max="10514" width="11.42578125" style="117" customWidth="1"/>
    <col min="10515" max="10758" width="9.140625" style="117"/>
    <col min="10759" max="10759" width="2.5703125" style="117" customWidth="1"/>
    <col min="10760" max="10760" width="29.42578125" style="117" customWidth="1"/>
    <col min="10761" max="10765" width="11.42578125" style="117" customWidth="1"/>
    <col min="10766" max="10766" width="6.140625" style="117" customWidth="1"/>
    <col min="10767" max="10770" width="11.42578125" style="117" customWidth="1"/>
    <col min="10771" max="11014" width="9.140625" style="117"/>
    <col min="11015" max="11015" width="2.5703125" style="117" customWidth="1"/>
    <col min="11016" max="11016" width="29.42578125" style="117" customWidth="1"/>
    <col min="11017" max="11021" width="11.42578125" style="117" customWidth="1"/>
    <col min="11022" max="11022" width="6.140625" style="117" customWidth="1"/>
    <col min="11023" max="11026" width="11.42578125" style="117" customWidth="1"/>
    <col min="11027" max="11270" width="9.140625" style="117"/>
    <col min="11271" max="11271" width="2.5703125" style="117" customWidth="1"/>
    <col min="11272" max="11272" width="29.42578125" style="117" customWidth="1"/>
    <col min="11273" max="11277" width="11.42578125" style="117" customWidth="1"/>
    <col min="11278" max="11278" width="6.140625" style="117" customWidth="1"/>
    <col min="11279" max="11282" width="11.42578125" style="117" customWidth="1"/>
    <col min="11283" max="11526" width="9.140625" style="117"/>
    <col min="11527" max="11527" width="2.5703125" style="117" customWidth="1"/>
    <col min="11528" max="11528" width="29.42578125" style="117" customWidth="1"/>
    <col min="11529" max="11533" width="11.42578125" style="117" customWidth="1"/>
    <col min="11534" max="11534" width="6.140625" style="117" customWidth="1"/>
    <col min="11535" max="11538" width="11.42578125" style="117" customWidth="1"/>
    <col min="11539" max="11782" width="9.140625" style="117"/>
    <col min="11783" max="11783" width="2.5703125" style="117" customWidth="1"/>
    <col min="11784" max="11784" width="29.42578125" style="117" customWidth="1"/>
    <col min="11785" max="11789" width="11.42578125" style="117" customWidth="1"/>
    <col min="11790" max="11790" width="6.140625" style="117" customWidth="1"/>
    <col min="11791" max="11794" width="11.42578125" style="117" customWidth="1"/>
    <col min="11795" max="12038" width="9.140625" style="117"/>
    <col min="12039" max="12039" width="2.5703125" style="117" customWidth="1"/>
    <col min="12040" max="12040" width="29.42578125" style="117" customWidth="1"/>
    <col min="12041" max="12045" width="11.42578125" style="117" customWidth="1"/>
    <col min="12046" max="12046" width="6.140625" style="117" customWidth="1"/>
    <col min="12047" max="12050" width="11.42578125" style="117" customWidth="1"/>
    <col min="12051" max="12294" width="9.140625" style="117"/>
    <col min="12295" max="12295" width="2.5703125" style="117" customWidth="1"/>
    <col min="12296" max="12296" width="29.42578125" style="117" customWidth="1"/>
    <col min="12297" max="12301" width="11.42578125" style="117" customWidth="1"/>
    <col min="12302" max="12302" width="6.140625" style="117" customWidth="1"/>
    <col min="12303" max="12306" width="11.42578125" style="117" customWidth="1"/>
    <col min="12307" max="12550" width="9.140625" style="117"/>
    <col min="12551" max="12551" width="2.5703125" style="117" customWidth="1"/>
    <col min="12552" max="12552" width="29.42578125" style="117" customWidth="1"/>
    <col min="12553" max="12557" width="11.42578125" style="117" customWidth="1"/>
    <col min="12558" max="12558" width="6.140625" style="117" customWidth="1"/>
    <col min="12559" max="12562" width="11.42578125" style="117" customWidth="1"/>
    <col min="12563" max="12806" width="9.140625" style="117"/>
    <col min="12807" max="12807" width="2.5703125" style="117" customWidth="1"/>
    <col min="12808" max="12808" width="29.42578125" style="117" customWidth="1"/>
    <col min="12809" max="12813" width="11.42578125" style="117" customWidth="1"/>
    <col min="12814" max="12814" width="6.140625" style="117" customWidth="1"/>
    <col min="12815" max="12818" width="11.42578125" style="117" customWidth="1"/>
    <col min="12819" max="13062" width="9.140625" style="117"/>
    <col min="13063" max="13063" width="2.5703125" style="117" customWidth="1"/>
    <col min="13064" max="13064" width="29.42578125" style="117" customWidth="1"/>
    <col min="13065" max="13069" width="11.42578125" style="117" customWidth="1"/>
    <col min="13070" max="13070" width="6.140625" style="117" customWidth="1"/>
    <col min="13071" max="13074" width="11.42578125" style="117" customWidth="1"/>
    <col min="13075" max="13318" width="9.140625" style="117"/>
    <col min="13319" max="13319" width="2.5703125" style="117" customWidth="1"/>
    <col min="13320" max="13320" width="29.42578125" style="117" customWidth="1"/>
    <col min="13321" max="13325" width="11.42578125" style="117" customWidth="1"/>
    <col min="13326" max="13326" width="6.140625" style="117" customWidth="1"/>
    <col min="13327" max="13330" width="11.42578125" style="117" customWidth="1"/>
    <col min="13331" max="13574" width="9.140625" style="117"/>
    <col min="13575" max="13575" width="2.5703125" style="117" customWidth="1"/>
    <col min="13576" max="13576" width="29.42578125" style="117" customWidth="1"/>
    <col min="13577" max="13581" width="11.42578125" style="117" customWidth="1"/>
    <col min="13582" max="13582" width="6.140625" style="117" customWidth="1"/>
    <col min="13583" max="13586" width="11.42578125" style="117" customWidth="1"/>
    <col min="13587" max="13830" width="9.140625" style="117"/>
    <col min="13831" max="13831" width="2.5703125" style="117" customWidth="1"/>
    <col min="13832" max="13832" width="29.42578125" style="117" customWidth="1"/>
    <col min="13833" max="13837" width="11.42578125" style="117" customWidth="1"/>
    <col min="13838" max="13838" width="6.140625" style="117" customWidth="1"/>
    <col min="13839" max="13842" width="11.42578125" style="117" customWidth="1"/>
    <col min="13843" max="14086" width="9.140625" style="117"/>
    <col min="14087" max="14087" width="2.5703125" style="117" customWidth="1"/>
    <col min="14088" max="14088" width="29.42578125" style="117" customWidth="1"/>
    <col min="14089" max="14093" width="11.42578125" style="117" customWidth="1"/>
    <col min="14094" max="14094" width="6.140625" style="117" customWidth="1"/>
    <col min="14095" max="14098" width="11.42578125" style="117" customWidth="1"/>
    <col min="14099" max="14342" width="9.140625" style="117"/>
    <col min="14343" max="14343" width="2.5703125" style="117" customWidth="1"/>
    <col min="14344" max="14344" width="29.42578125" style="117" customWidth="1"/>
    <col min="14345" max="14349" width="11.42578125" style="117" customWidth="1"/>
    <col min="14350" max="14350" width="6.140625" style="117" customWidth="1"/>
    <col min="14351" max="14354" width="11.42578125" style="117" customWidth="1"/>
    <col min="14355" max="14598" width="9.140625" style="117"/>
    <col min="14599" max="14599" width="2.5703125" style="117" customWidth="1"/>
    <col min="14600" max="14600" width="29.42578125" style="117" customWidth="1"/>
    <col min="14601" max="14605" width="11.42578125" style="117" customWidth="1"/>
    <col min="14606" max="14606" width="6.140625" style="117" customWidth="1"/>
    <col min="14607" max="14610" width="11.42578125" style="117" customWidth="1"/>
    <col min="14611" max="14854" width="9.140625" style="117"/>
    <col min="14855" max="14855" width="2.5703125" style="117" customWidth="1"/>
    <col min="14856" max="14856" width="29.42578125" style="117" customWidth="1"/>
    <col min="14857" max="14861" width="11.42578125" style="117" customWidth="1"/>
    <col min="14862" max="14862" width="6.140625" style="117" customWidth="1"/>
    <col min="14863" max="14866" width="11.42578125" style="117" customWidth="1"/>
    <col min="14867" max="15110" width="9.140625" style="117"/>
    <col min="15111" max="15111" width="2.5703125" style="117" customWidth="1"/>
    <col min="15112" max="15112" width="29.42578125" style="117" customWidth="1"/>
    <col min="15113" max="15117" width="11.42578125" style="117" customWidth="1"/>
    <col min="15118" max="15118" width="6.140625" style="117" customWidth="1"/>
    <col min="15119" max="15122" width="11.42578125" style="117" customWidth="1"/>
    <col min="15123" max="15366" width="9.140625" style="117"/>
    <col min="15367" max="15367" width="2.5703125" style="117" customWidth="1"/>
    <col min="15368" max="15368" width="29.42578125" style="117" customWidth="1"/>
    <col min="15369" max="15373" width="11.42578125" style="117" customWidth="1"/>
    <col min="15374" max="15374" width="6.140625" style="117" customWidth="1"/>
    <col min="15375" max="15378" width="11.42578125" style="117" customWidth="1"/>
    <col min="15379" max="15622" width="9.140625" style="117"/>
    <col min="15623" max="15623" width="2.5703125" style="117" customWidth="1"/>
    <col min="15624" max="15624" width="29.42578125" style="117" customWidth="1"/>
    <col min="15625" max="15629" width="11.42578125" style="117" customWidth="1"/>
    <col min="15630" max="15630" width="6.140625" style="117" customWidth="1"/>
    <col min="15631" max="15634" width="11.42578125" style="117" customWidth="1"/>
    <col min="15635" max="15878" width="9.140625" style="117"/>
    <col min="15879" max="15879" width="2.5703125" style="117" customWidth="1"/>
    <col min="15880" max="15880" width="29.42578125" style="117" customWidth="1"/>
    <col min="15881" max="15885" width="11.42578125" style="117" customWidth="1"/>
    <col min="15886" max="15886" width="6.140625" style="117" customWidth="1"/>
    <col min="15887" max="15890" width="11.42578125" style="117" customWidth="1"/>
    <col min="15891" max="16134" width="9.140625" style="117"/>
    <col min="16135" max="16135" width="2.5703125" style="117" customWidth="1"/>
    <col min="16136" max="16136" width="29.42578125" style="117" customWidth="1"/>
    <col min="16137" max="16141" width="11.42578125" style="117" customWidth="1"/>
    <col min="16142" max="16142" width="6.140625" style="117" customWidth="1"/>
    <col min="16143" max="16146" width="11.42578125" style="117" customWidth="1"/>
    <col min="16147" max="16384" width="9.140625" style="117"/>
  </cols>
  <sheetData>
    <row r="1" spans="2:33" s="134" customFormat="1" ht="24.75" customHeight="1">
      <c r="B1" s="133" t="str">
        <f>Model!B1</f>
        <v>Tencent</v>
      </c>
      <c r="C1" s="135" t="s">
        <v>124</v>
      </c>
      <c r="D1" s="135" t="s">
        <v>124</v>
      </c>
      <c r="E1" s="135" t="s">
        <v>124</v>
      </c>
      <c r="F1" s="135" t="s">
        <v>124</v>
      </c>
      <c r="G1" s="135" t="s">
        <v>124</v>
      </c>
      <c r="H1" s="135" t="s">
        <v>124</v>
      </c>
      <c r="I1" s="135" t="s">
        <v>124</v>
      </c>
      <c r="J1" s="135" t="s">
        <v>125</v>
      </c>
      <c r="K1" s="135"/>
      <c r="L1" s="112" t="s">
        <v>126</v>
      </c>
      <c r="M1" s="112" t="s">
        <v>126</v>
      </c>
      <c r="N1" s="112" t="s">
        <v>126</v>
      </c>
      <c r="O1" s="112" t="s">
        <v>126</v>
      </c>
      <c r="P1" s="112" t="s">
        <v>126</v>
      </c>
      <c r="Q1" s="112" t="s">
        <v>126</v>
      </c>
      <c r="R1" s="112" t="s">
        <v>126</v>
      </c>
      <c r="S1" s="112" t="s">
        <v>126</v>
      </c>
      <c r="T1" s="112" t="s">
        <v>126</v>
      </c>
      <c r="U1" s="112" t="s">
        <v>126</v>
      </c>
      <c r="V1" s="112" t="s">
        <v>126</v>
      </c>
      <c r="W1" s="112" t="s">
        <v>126</v>
      </c>
      <c r="X1" s="112" t="s">
        <v>126</v>
      </c>
      <c r="Y1" s="112" t="s">
        <v>126</v>
      </c>
      <c r="Z1" s="112" t="s">
        <v>126</v>
      </c>
      <c r="AA1" s="112" t="s">
        <v>126</v>
      </c>
      <c r="AB1" s="112" t="s">
        <v>126</v>
      </c>
      <c r="AC1" s="112" t="s">
        <v>126</v>
      </c>
      <c r="AD1" s="112" t="s">
        <v>126</v>
      </c>
      <c r="AE1" s="112" t="s">
        <v>126</v>
      </c>
      <c r="AF1" s="112" t="s">
        <v>126</v>
      </c>
      <c r="AG1" s="112" t="s">
        <v>126</v>
      </c>
    </row>
    <row r="2" spans="2:33" s="134" customFormat="1" ht="13.5" customHeight="1">
      <c r="B2" s="133" t="str">
        <f>Model!B2</f>
        <v>(RMB million)</v>
      </c>
      <c r="C2" s="50">
        <v>43465</v>
      </c>
      <c r="D2" s="50">
        <v>43830</v>
      </c>
      <c r="E2" s="50">
        <v>44196</v>
      </c>
      <c r="F2" s="50">
        <v>44561</v>
      </c>
      <c r="G2" s="50">
        <v>44926</v>
      </c>
      <c r="H2" s="50">
        <v>45291</v>
      </c>
      <c r="I2" s="50">
        <v>45657</v>
      </c>
      <c r="J2" s="50">
        <f>AG2</f>
        <v>45838</v>
      </c>
      <c r="K2" s="50"/>
      <c r="L2" s="50">
        <v>43921</v>
      </c>
      <c r="M2" s="50">
        <v>44012</v>
      </c>
      <c r="N2" s="50">
        <v>44104</v>
      </c>
      <c r="O2" s="50">
        <v>44196</v>
      </c>
      <c r="P2" s="50">
        <v>44286</v>
      </c>
      <c r="Q2" s="50">
        <v>44377</v>
      </c>
      <c r="R2" s="50">
        <v>44469</v>
      </c>
      <c r="S2" s="50">
        <v>44561</v>
      </c>
      <c r="T2" s="50">
        <v>44651</v>
      </c>
      <c r="U2" s="50">
        <v>44742</v>
      </c>
      <c r="V2" s="50">
        <v>44834</v>
      </c>
      <c r="W2" s="50">
        <v>44926</v>
      </c>
      <c r="X2" s="50">
        <v>45016</v>
      </c>
      <c r="Y2" s="50">
        <v>45107</v>
      </c>
      <c r="Z2" s="50">
        <v>45199</v>
      </c>
      <c r="AA2" s="50">
        <v>45291</v>
      </c>
      <c r="AB2" s="50">
        <v>45382</v>
      </c>
      <c r="AC2" s="50">
        <v>45473</v>
      </c>
      <c r="AD2" s="50">
        <v>45565</v>
      </c>
      <c r="AE2" s="50">
        <v>45657</v>
      </c>
      <c r="AF2" s="50">
        <v>45747</v>
      </c>
      <c r="AG2" s="50">
        <v>45838</v>
      </c>
    </row>
    <row r="3" spans="2:33" s="131" customFormat="1" ht="13.5" customHeight="1">
      <c r="B3" s="133"/>
      <c r="C3" s="132" t="s">
        <v>128</v>
      </c>
      <c r="D3" s="132" t="s">
        <v>128</v>
      </c>
      <c r="E3" s="132" t="s">
        <v>128</v>
      </c>
      <c r="F3" s="132" t="s">
        <v>128</v>
      </c>
      <c r="G3" s="132" t="s">
        <v>128</v>
      </c>
      <c r="H3" s="132" t="s">
        <v>128</v>
      </c>
      <c r="I3" s="132" t="s">
        <v>128</v>
      </c>
      <c r="J3" s="132" t="s">
        <v>128</v>
      </c>
      <c r="K3" s="132"/>
      <c r="L3" s="50" t="s">
        <v>128</v>
      </c>
      <c r="M3" s="50" t="s">
        <v>128</v>
      </c>
      <c r="N3" s="50" t="s">
        <v>128</v>
      </c>
      <c r="O3" s="50" t="s">
        <v>128</v>
      </c>
      <c r="P3" s="50" t="s">
        <v>128</v>
      </c>
      <c r="Q3" s="50" t="s">
        <v>128</v>
      </c>
      <c r="R3" s="50" t="s">
        <v>128</v>
      </c>
      <c r="S3" s="50" t="s">
        <v>128</v>
      </c>
      <c r="T3" s="50" t="s">
        <v>128</v>
      </c>
      <c r="U3" s="50" t="s">
        <v>128</v>
      </c>
      <c r="V3" s="50" t="s">
        <v>128</v>
      </c>
      <c r="W3" s="50" t="s">
        <v>128</v>
      </c>
      <c r="X3" s="50" t="s">
        <v>128</v>
      </c>
      <c r="Y3" s="50" t="s">
        <v>128</v>
      </c>
      <c r="Z3" s="50" t="s">
        <v>128</v>
      </c>
      <c r="AA3" s="50" t="s">
        <v>128</v>
      </c>
      <c r="AB3" s="50" t="s">
        <v>128</v>
      </c>
      <c r="AC3" s="50" t="s">
        <v>128</v>
      </c>
      <c r="AD3" s="50" t="s">
        <v>128</v>
      </c>
      <c r="AE3" s="50" t="s">
        <v>128</v>
      </c>
      <c r="AF3" s="50" t="s">
        <v>128</v>
      </c>
      <c r="AG3" s="50" t="s">
        <v>128</v>
      </c>
    </row>
    <row r="4" spans="2:33" s="121" customFormat="1" ht="13.5" customHeight="1">
      <c r="C4" s="122" t="s">
        <v>129</v>
      </c>
      <c r="D4" s="122" t="s">
        <v>129</v>
      </c>
      <c r="E4" s="122" t="s">
        <v>129</v>
      </c>
      <c r="F4" s="122" t="s">
        <v>129</v>
      </c>
      <c r="G4" s="122" t="s">
        <v>129</v>
      </c>
      <c r="H4" s="122" t="s">
        <v>129</v>
      </c>
      <c r="I4" s="122" t="s">
        <v>129</v>
      </c>
      <c r="J4" s="123" t="s">
        <v>129</v>
      </c>
      <c r="K4" s="122"/>
      <c r="L4" s="111" t="s">
        <v>130</v>
      </c>
      <c r="M4" s="111" t="s">
        <v>131</v>
      </c>
      <c r="N4" s="111" t="s">
        <v>132</v>
      </c>
      <c r="O4" s="110" t="s">
        <v>133</v>
      </c>
      <c r="P4" s="111" t="s">
        <v>130</v>
      </c>
      <c r="Q4" s="111" t="s">
        <v>131</v>
      </c>
      <c r="R4" s="111" t="s">
        <v>132</v>
      </c>
      <c r="S4" s="110" t="s">
        <v>133</v>
      </c>
      <c r="T4" s="111" t="s">
        <v>130</v>
      </c>
      <c r="U4" s="111" t="s">
        <v>131</v>
      </c>
      <c r="V4" s="111" t="s">
        <v>132</v>
      </c>
      <c r="W4" s="110" t="s">
        <v>133</v>
      </c>
      <c r="X4" s="111" t="s">
        <v>130</v>
      </c>
      <c r="Y4" s="111" t="s">
        <v>131</v>
      </c>
      <c r="Z4" s="111" t="s">
        <v>132</v>
      </c>
      <c r="AA4" s="110" t="s">
        <v>133</v>
      </c>
      <c r="AB4" s="111" t="s">
        <v>130</v>
      </c>
      <c r="AC4" s="111" t="s">
        <v>131</v>
      </c>
      <c r="AD4" s="111" t="s">
        <v>132</v>
      </c>
      <c r="AE4" s="110" t="s">
        <v>133</v>
      </c>
      <c r="AF4" s="111" t="s">
        <v>130</v>
      </c>
      <c r="AG4" s="111" t="s">
        <v>131</v>
      </c>
    </row>
    <row r="5" spans="2:33">
      <c r="B5" s="130" t="s">
        <v>135</v>
      </c>
      <c r="C5" s="122"/>
      <c r="D5" s="122"/>
      <c r="E5" s="118"/>
      <c r="F5" s="118"/>
      <c r="G5" s="118"/>
      <c r="H5" s="118"/>
      <c r="I5" s="118"/>
      <c r="J5" s="122"/>
      <c r="K5" s="122"/>
      <c r="L5" s="125"/>
      <c r="M5" s="125"/>
      <c r="N5" s="125"/>
      <c r="O5" s="125"/>
      <c r="P5" s="125"/>
      <c r="Q5" s="125"/>
      <c r="S5" s="125"/>
      <c r="T5" s="125"/>
      <c r="U5" s="125"/>
      <c r="W5" s="125"/>
      <c r="X5" s="125"/>
      <c r="Y5" s="125"/>
      <c r="AA5" s="125"/>
      <c r="AB5" s="125"/>
      <c r="AC5" s="125"/>
      <c r="AE5" s="125"/>
      <c r="AF5" s="125"/>
      <c r="AG5" s="125"/>
    </row>
    <row r="6" spans="2:33">
      <c r="B6" s="139" t="s">
        <v>240</v>
      </c>
      <c r="C6" s="75">
        <v>176646</v>
      </c>
      <c r="D6" s="75">
        <v>199991</v>
      </c>
      <c r="E6" s="75">
        <v>264212</v>
      </c>
      <c r="F6" s="75">
        <v>291572</v>
      </c>
      <c r="G6" s="75">
        <v>287565</v>
      </c>
      <c r="H6" s="75">
        <v>298375</v>
      </c>
      <c r="I6" s="75">
        <v>319168</v>
      </c>
      <c r="J6" s="120">
        <f>SUM(AD6:AG6)</f>
        <v>345218</v>
      </c>
      <c r="K6" s="118"/>
      <c r="L6" s="75">
        <v>62429</v>
      </c>
      <c r="M6" s="75">
        <v>65002</v>
      </c>
      <c r="N6" s="75">
        <v>69802</v>
      </c>
      <c r="O6" s="13">
        <f>E6-SUM(L6:N6)</f>
        <v>66979</v>
      </c>
      <c r="P6" s="75">
        <v>72443</v>
      </c>
      <c r="Q6" s="75">
        <v>72013</v>
      </c>
      <c r="R6" s="75">
        <v>75203</v>
      </c>
      <c r="S6" s="13">
        <f>F6-SUM(P6:R6)</f>
        <v>71913</v>
      </c>
      <c r="T6" s="75">
        <v>72738</v>
      </c>
      <c r="U6" s="75">
        <v>71683</v>
      </c>
      <c r="V6" s="75">
        <v>72727</v>
      </c>
      <c r="W6" s="13">
        <f>G6-SUM(T6:V6)</f>
        <v>70417</v>
      </c>
      <c r="X6" s="75">
        <v>79337</v>
      </c>
      <c r="Y6" s="75">
        <v>74211</v>
      </c>
      <c r="Z6" s="75">
        <v>75748</v>
      </c>
      <c r="AA6" s="13">
        <f>H6-SUM(X6:Z6)</f>
        <v>69079</v>
      </c>
      <c r="AB6" s="75">
        <v>78629</v>
      </c>
      <c r="AC6" s="75">
        <v>78822</v>
      </c>
      <c r="AD6" s="75">
        <v>82695</v>
      </c>
      <c r="AE6" s="13">
        <f>I6-SUM(AB6:AD6)</f>
        <v>79022</v>
      </c>
      <c r="AF6" s="75">
        <v>92133</v>
      </c>
      <c r="AG6" s="75">
        <v>91368</v>
      </c>
    </row>
    <row r="7" spans="2:33">
      <c r="B7" s="139" t="s">
        <v>241</v>
      </c>
      <c r="C7" s="75">
        <v>58079</v>
      </c>
      <c r="D7" s="75">
        <v>101355</v>
      </c>
      <c r="E7" s="75">
        <v>82271</v>
      </c>
      <c r="F7" s="75">
        <v>88666</v>
      </c>
      <c r="G7" s="75">
        <v>82729</v>
      </c>
      <c r="H7" s="75">
        <v>101482</v>
      </c>
      <c r="I7" s="75">
        <v>121374</v>
      </c>
      <c r="J7" s="120">
        <f>SUM(AD7:AG7)</f>
        <v>132612</v>
      </c>
      <c r="K7" s="118"/>
      <c r="L7" s="75">
        <v>17713</v>
      </c>
      <c r="M7" s="75">
        <v>18552</v>
      </c>
      <c r="N7" s="75">
        <v>21351</v>
      </c>
      <c r="O7" s="13">
        <f>E7-SUM(L7:N7)</f>
        <v>24655</v>
      </c>
      <c r="P7" s="75">
        <v>21820</v>
      </c>
      <c r="Q7" s="75">
        <v>22833</v>
      </c>
      <c r="R7" s="75">
        <v>22495</v>
      </c>
      <c r="S7" s="13">
        <f>F7-SUM(P7:R7)</f>
        <v>21518</v>
      </c>
      <c r="T7" s="75">
        <v>17988</v>
      </c>
      <c r="U7" s="75">
        <v>18638</v>
      </c>
      <c r="V7" s="75">
        <v>21443</v>
      </c>
      <c r="W7" s="13">
        <f>G7-SUM(T7:V7)</f>
        <v>24660</v>
      </c>
      <c r="X7" s="75">
        <v>20964</v>
      </c>
      <c r="Y7" s="75">
        <v>25003</v>
      </c>
      <c r="Z7" s="75">
        <v>25721</v>
      </c>
      <c r="AA7" s="13">
        <f>H7-SUM(X7:Z7)</f>
        <v>29794</v>
      </c>
      <c r="AB7" s="75">
        <v>26506</v>
      </c>
      <c r="AC7" s="75">
        <v>29871</v>
      </c>
      <c r="AD7" s="75">
        <v>29993</v>
      </c>
      <c r="AE7" s="13">
        <f>I7-SUM(AB7:AD7)</f>
        <v>35004</v>
      </c>
      <c r="AF7" s="75">
        <v>31853</v>
      </c>
      <c r="AG7" s="75">
        <v>35762</v>
      </c>
    </row>
    <row r="8" spans="2:33">
      <c r="B8" s="139" t="s">
        <v>242</v>
      </c>
      <c r="C8" s="75">
        <v>73138</v>
      </c>
      <c r="D8" s="75">
        <v>68377</v>
      </c>
      <c r="E8" s="75">
        <v>128086</v>
      </c>
      <c r="F8" s="75">
        <v>172195</v>
      </c>
      <c r="G8" s="75">
        <v>177064</v>
      </c>
      <c r="H8" s="75">
        <v>203763</v>
      </c>
      <c r="I8" s="75">
        <v>211956</v>
      </c>
      <c r="J8" s="120">
        <f>SUM(AD8:AG8)</f>
        <v>219657</v>
      </c>
      <c r="K8" s="118"/>
      <c r="L8" s="75">
        <v>26475</v>
      </c>
      <c r="M8" s="75">
        <v>29862</v>
      </c>
      <c r="N8" s="75">
        <v>33255</v>
      </c>
      <c r="O8" s="13">
        <f>E8-SUM(L8:N8)</f>
        <v>38494</v>
      </c>
      <c r="P8" s="75">
        <v>39028</v>
      </c>
      <c r="Q8" s="75">
        <v>41892</v>
      </c>
      <c r="R8" s="75">
        <v>43317</v>
      </c>
      <c r="S8" s="13">
        <f>F8-SUM(P8:R8)</f>
        <v>47958</v>
      </c>
      <c r="T8" s="75">
        <v>42768</v>
      </c>
      <c r="U8" s="75">
        <v>42208</v>
      </c>
      <c r="V8" s="75">
        <v>44844</v>
      </c>
      <c r="W8" s="13">
        <f>G8-SUM(T8:V8)</f>
        <v>47244</v>
      </c>
      <c r="X8" s="75">
        <v>48701</v>
      </c>
      <c r="Y8" s="75">
        <v>48635</v>
      </c>
      <c r="Z8" s="75">
        <v>52048</v>
      </c>
      <c r="AA8" s="13">
        <f>H8-SUM(X8:Z8)</f>
        <v>54379</v>
      </c>
      <c r="AB8" s="75">
        <v>52302</v>
      </c>
      <c r="AC8" s="75">
        <v>50440</v>
      </c>
      <c r="AD8" s="75">
        <v>53089</v>
      </c>
      <c r="AE8" s="13">
        <f>I8-SUM(AB8:AD8)</f>
        <v>56125</v>
      </c>
      <c r="AF8" s="75">
        <v>54907</v>
      </c>
      <c r="AG8" s="75">
        <v>55536</v>
      </c>
    </row>
    <row r="9" spans="2:33">
      <c r="B9" s="139" t="s">
        <v>243</v>
      </c>
      <c r="C9" s="75">
        <v>4831</v>
      </c>
      <c r="D9" s="75">
        <v>7566</v>
      </c>
      <c r="E9" s="75">
        <v>7495</v>
      </c>
      <c r="F9" s="75">
        <v>7685</v>
      </c>
      <c r="G9" s="75">
        <v>7194</v>
      </c>
      <c r="H9" s="75">
        <v>5395</v>
      </c>
      <c r="I9" s="75">
        <v>7759</v>
      </c>
      <c r="J9" s="120">
        <f>SUM(AD9:AG9)</f>
        <v>6678</v>
      </c>
      <c r="K9" s="118"/>
      <c r="L9" s="75">
        <v>1448</v>
      </c>
      <c r="M9" s="75">
        <v>1467</v>
      </c>
      <c r="N9" s="75">
        <v>1039</v>
      </c>
      <c r="O9" s="13">
        <f>E9-SUM(L9:N9)</f>
        <v>3541</v>
      </c>
      <c r="P9" s="75">
        <v>2012</v>
      </c>
      <c r="Q9" s="75">
        <v>1521</v>
      </c>
      <c r="R9" s="75">
        <v>1353</v>
      </c>
      <c r="S9" s="13">
        <f>F9-SUM(P9:R9)</f>
        <v>2799</v>
      </c>
      <c r="T9" s="75">
        <v>1977</v>
      </c>
      <c r="U9" s="75">
        <v>1505</v>
      </c>
      <c r="V9" s="75">
        <v>1079</v>
      </c>
      <c r="W9" s="13">
        <f>G9-SUM(T9:V9)</f>
        <v>2633</v>
      </c>
      <c r="X9" s="75">
        <v>984</v>
      </c>
      <c r="Y9" s="75">
        <v>1359</v>
      </c>
      <c r="Z9" s="75">
        <v>1108</v>
      </c>
      <c r="AA9" s="13">
        <f>H9-SUM(X9:Z9)</f>
        <v>1944</v>
      </c>
      <c r="AB9" s="75">
        <v>2064</v>
      </c>
      <c r="AC9" s="75">
        <v>1984</v>
      </c>
      <c r="AD9" s="75">
        <v>1416</v>
      </c>
      <c r="AE9" s="13">
        <f>I9-SUM(AB9:AD9)</f>
        <v>2295</v>
      </c>
      <c r="AF9" s="75">
        <v>1129</v>
      </c>
      <c r="AG9" s="75">
        <v>1838</v>
      </c>
    </row>
    <row r="10" spans="2:33" s="119" customFormat="1">
      <c r="B10" s="129" t="s">
        <v>244</v>
      </c>
      <c r="C10" s="124">
        <f>SUM(C6:C9)</f>
        <v>312694</v>
      </c>
      <c r="D10" s="124">
        <f t="shared" ref="D10:E10" si="0">SUM(D6:D9)</f>
        <v>377289</v>
      </c>
      <c r="E10" s="124">
        <f t="shared" si="0"/>
        <v>482064</v>
      </c>
      <c r="F10" s="124">
        <f t="shared" ref="F10:G10" si="1">SUM(F6:F9)</f>
        <v>560118</v>
      </c>
      <c r="G10" s="124">
        <f t="shared" si="1"/>
        <v>554552</v>
      </c>
      <c r="H10" s="124">
        <f t="shared" ref="H10:I10" si="2">SUM(H6:H9)</f>
        <v>609015</v>
      </c>
      <c r="I10" s="124">
        <f t="shared" si="2"/>
        <v>660257</v>
      </c>
      <c r="J10" s="124">
        <f t="shared" ref="J10" si="3">SUM(J6:J9)</f>
        <v>704165</v>
      </c>
      <c r="K10" s="124"/>
      <c r="L10" s="124">
        <f t="shared" ref="L10:Q10" si="4">SUM(L6:L9)</f>
        <v>108065</v>
      </c>
      <c r="M10" s="124">
        <f t="shared" si="4"/>
        <v>114883</v>
      </c>
      <c r="N10" s="124">
        <f t="shared" si="4"/>
        <v>125447</v>
      </c>
      <c r="O10" s="124">
        <f t="shared" si="4"/>
        <v>133669</v>
      </c>
      <c r="P10" s="124">
        <f t="shared" si="4"/>
        <v>135303</v>
      </c>
      <c r="Q10" s="124">
        <f t="shared" si="4"/>
        <v>138259</v>
      </c>
      <c r="R10" s="124">
        <f t="shared" ref="R10:U10" si="5">SUM(R6:R9)</f>
        <v>142368</v>
      </c>
      <c r="S10" s="124">
        <f t="shared" si="5"/>
        <v>144188</v>
      </c>
      <c r="T10" s="124">
        <f t="shared" si="5"/>
        <v>135471</v>
      </c>
      <c r="U10" s="124">
        <f t="shared" si="5"/>
        <v>134034</v>
      </c>
      <c r="V10" s="124">
        <f t="shared" ref="V10:Y10" si="6">SUM(V6:V9)</f>
        <v>140093</v>
      </c>
      <c r="W10" s="124">
        <f t="shared" si="6"/>
        <v>144954</v>
      </c>
      <c r="X10" s="124">
        <f t="shared" si="6"/>
        <v>149986</v>
      </c>
      <c r="Y10" s="124">
        <f t="shared" si="6"/>
        <v>149208</v>
      </c>
      <c r="Z10" s="124">
        <f t="shared" ref="Z10:AC10" si="7">SUM(Z6:Z9)</f>
        <v>154625</v>
      </c>
      <c r="AA10" s="124">
        <f t="shared" si="7"/>
        <v>155196</v>
      </c>
      <c r="AB10" s="124">
        <f t="shared" si="7"/>
        <v>159501</v>
      </c>
      <c r="AC10" s="124">
        <f t="shared" si="7"/>
        <v>161117</v>
      </c>
      <c r="AD10" s="124">
        <f t="shared" ref="AD10:AG10" si="8">SUM(AD6:AD9)</f>
        <v>167193</v>
      </c>
      <c r="AE10" s="124">
        <f t="shared" si="8"/>
        <v>172446</v>
      </c>
      <c r="AF10" s="124">
        <f t="shared" si="8"/>
        <v>180022</v>
      </c>
      <c r="AG10" s="124">
        <f t="shared" si="8"/>
        <v>184504</v>
      </c>
    </row>
    <row r="11" spans="2:33" s="126" customFormat="1">
      <c r="B11" s="128" t="s">
        <v>245</v>
      </c>
      <c r="C11" s="127">
        <f>C10-Model!C6</f>
        <v>0</v>
      </c>
      <c r="D11" s="127">
        <f>D10-Model!D6</f>
        <v>0</v>
      </c>
      <c r="E11" s="127">
        <f>E10-Model!E6</f>
        <v>0</v>
      </c>
      <c r="F11" s="127">
        <f>F10-Model!F6</f>
        <v>0</v>
      </c>
      <c r="G11" s="127">
        <f>G10-Model!G6</f>
        <v>0</v>
      </c>
      <c r="H11" s="127">
        <f>H10-Model!H6</f>
        <v>0</v>
      </c>
      <c r="I11" s="127">
        <f>I10-Model!I6</f>
        <v>0</v>
      </c>
      <c r="J11" s="127">
        <f>J10-Model!J6</f>
        <v>0</v>
      </c>
      <c r="K11" s="127"/>
      <c r="L11" s="127">
        <f>L10-Model!L6</f>
        <v>0</v>
      </c>
      <c r="M11" s="127">
        <f>M10-Model!M6</f>
        <v>0</v>
      </c>
      <c r="N11" s="127">
        <f>N10-Model!N6</f>
        <v>0</v>
      </c>
      <c r="O11" s="127">
        <f>O10-Model!O6</f>
        <v>0</v>
      </c>
      <c r="P11" s="127">
        <f>P10-Model!P6</f>
        <v>0</v>
      </c>
      <c r="Q11" s="127">
        <f>Q10-Model!Q6</f>
        <v>0</v>
      </c>
      <c r="R11" s="127">
        <f>R10-Model!R6</f>
        <v>0</v>
      </c>
      <c r="S11" s="127">
        <f>S10-Model!S6</f>
        <v>0</v>
      </c>
      <c r="T11" s="127">
        <f>T10-Model!T6</f>
        <v>0</v>
      </c>
      <c r="U11" s="127">
        <f>U10-Model!U6</f>
        <v>0</v>
      </c>
      <c r="V11" s="127">
        <f>V10-Model!V6</f>
        <v>0</v>
      </c>
      <c r="W11" s="127">
        <f>W10-Model!W6</f>
        <v>0</v>
      </c>
      <c r="X11" s="127">
        <f>X10-Model!X6</f>
        <v>0</v>
      </c>
      <c r="Y11" s="127">
        <f>Y10-Model!Y6</f>
        <v>0</v>
      </c>
      <c r="Z11" s="127">
        <f>Z10-Model!Z6</f>
        <v>0</v>
      </c>
      <c r="AA11" s="127">
        <f>AA10-Model!AA6</f>
        <v>0</v>
      </c>
      <c r="AB11" s="127">
        <f>AB10-Model!AB6</f>
        <v>0</v>
      </c>
      <c r="AC11" s="127">
        <f>AC10-Model!AC6</f>
        <v>0</v>
      </c>
      <c r="AD11" s="127">
        <f>AD10-Model!AD6</f>
        <v>0</v>
      </c>
      <c r="AE11" s="127">
        <f>AE10-Model!AE6</f>
        <v>0</v>
      </c>
      <c r="AF11" s="127">
        <f>AF10-Model!AF6</f>
        <v>0</v>
      </c>
      <c r="AG11" s="127">
        <f>AG10-Model!AG6</f>
        <v>0</v>
      </c>
    </row>
    <row r="12" spans="2:33" s="126" customFormat="1">
      <c r="B12" s="128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</row>
    <row r="13" spans="2:33" s="126" customFormat="1">
      <c r="B13" s="154" t="s">
        <v>246</v>
      </c>
      <c r="C13" s="75"/>
      <c r="D13" s="75"/>
      <c r="E13" s="75"/>
      <c r="F13" s="75"/>
      <c r="G13" s="75"/>
      <c r="H13" s="75"/>
      <c r="I13" s="75"/>
      <c r="J13" s="120"/>
      <c r="K13" s="143"/>
      <c r="L13" s="75"/>
      <c r="M13" s="75"/>
      <c r="N13" s="75"/>
      <c r="O13" s="13"/>
      <c r="P13" s="75"/>
      <c r="Q13" s="75"/>
      <c r="R13" s="117"/>
      <c r="S13" s="13"/>
      <c r="T13" s="75"/>
      <c r="U13" s="75"/>
      <c r="V13" s="117"/>
      <c r="W13" s="13"/>
      <c r="X13" s="75"/>
      <c r="Y13" s="75"/>
      <c r="Z13" s="117"/>
      <c r="AA13" s="13"/>
      <c r="AB13" s="75"/>
      <c r="AC13" s="75"/>
      <c r="AD13" s="117"/>
      <c r="AE13" s="13"/>
      <c r="AF13" s="75"/>
      <c r="AG13" s="75"/>
    </row>
    <row r="14" spans="2:33" s="126" customFormat="1">
      <c r="B14" s="140" t="s">
        <v>247</v>
      </c>
      <c r="C14" s="75">
        <v>72654</v>
      </c>
      <c r="D14" s="75">
        <v>85281</v>
      </c>
      <c r="E14" s="75">
        <v>108111</v>
      </c>
      <c r="F14" s="75">
        <v>117258</v>
      </c>
      <c r="G14" s="75">
        <v>116850</v>
      </c>
      <c r="H14" s="75">
        <v>118500</v>
      </c>
      <c r="I14" s="75">
        <v>121500</v>
      </c>
      <c r="J14" s="120">
        <f t="shared" ref="J14:J16" si="9">SUM(AD14:AG14)</f>
        <v>125500</v>
      </c>
      <c r="K14" s="118"/>
      <c r="L14" s="75">
        <v>25100</v>
      </c>
      <c r="M14" s="75">
        <v>26700</v>
      </c>
      <c r="N14" s="75">
        <v>28400</v>
      </c>
      <c r="O14" s="13">
        <f>E14-SUM(L14:N14)</f>
        <v>27911</v>
      </c>
      <c r="P14" s="75">
        <v>28800</v>
      </c>
      <c r="Q14" s="75">
        <v>29000</v>
      </c>
      <c r="R14" s="75">
        <v>30300</v>
      </c>
      <c r="S14" s="13">
        <f>F14-SUM(P14:R14)</f>
        <v>29158</v>
      </c>
      <c r="T14" s="75">
        <v>29100</v>
      </c>
      <c r="U14" s="75">
        <v>29200</v>
      </c>
      <c r="V14" s="75">
        <v>29800</v>
      </c>
      <c r="W14" s="13">
        <f>G14-SUM(T14:V14)</f>
        <v>28750</v>
      </c>
      <c r="X14" s="75">
        <v>31000</v>
      </c>
      <c r="Y14" s="75">
        <v>29700</v>
      </c>
      <c r="Z14" s="75">
        <v>29700</v>
      </c>
      <c r="AA14" s="13">
        <f>H14-SUM(X14:Z14)</f>
        <v>28100</v>
      </c>
      <c r="AB14" s="75">
        <v>30500</v>
      </c>
      <c r="AC14" s="75">
        <v>30300</v>
      </c>
      <c r="AD14" s="75">
        <v>30900</v>
      </c>
      <c r="AE14" s="13">
        <f t="shared" ref="AE14:AE16" si="10">I14-SUM(AB14:AD14)</f>
        <v>29800</v>
      </c>
      <c r="AF14" s="75">
        <v>32600</v>
      </c>
      <c r="AG14" s="75">
        <v>32200</v>
      </c>
    </row>
    <row r="15" spans="2:33" s="126" customFormat="1">
      <c r="B15" s="140" t="s">
        <v>248</v>
      </c>
      <c r="C15" s="75">
        <v>103992</v>
      </c>
      <c r="D15" s="75">
        <v>114710</v>
      </c>
      <c r="E15" s="75">
        <v>156101</v>
      </c>
      <c r="F15" s="75">
        <f>174314-F16</f>
        <v>128814</v>
      </c>
      <c r="G15" s="75">
        <f>170715-G16</f>
        <v>123915</v>
      </c>
      <c r="H15" s="75">
        <v>126700</v>
      </c>
      <c r="I15" s="75">
        <v>139700</v>
      </c>
      <c r="J15" s="120">
        <f t="shared" si="9"/>
        <v>153900</v>
      </c>
      <c r="K15" s="118"/>
      <c r="L15" s="75">
        <v>37300</v>
      </c>
      <c r="M15" s="75">
        <v>38300</v>
      </c>
      <c r="N15" s="75">
        <v>31900</v>
      </c>
      <c r="O15" s="13">
        <f>E15-SUM(L15:N15)</f>
        <v>48601</v>
      </c>
      <c r="P15" s="75">
        <v>33500</v>
      </c>
      <c r="Q15" s="75">
        <v>32100</v>
      </c>
      <c r="R15" s="75">
        <v>33600</v>
      </c>
      <c r="S15" s="13">
        <f>F15-SUM(P15:R15)</f>
        <v>29614</v>
      </c>
      <c r="T15" s="75">
        <v>33000</v>
      </c>
      <c r="U15" s="75">
        <v>31800</v>
      </c>
      <c r="V15" s="75">
        <v>31200</v>
      </c>
      <c r="W15" s="13">
        <f>G15-SUM(T15:V15)</f>
        <v>27915</v>
      </c>
      <c r="X15" s="75">
        <v>35100</v>
      </c>
      <c r="Y15" s="75">
        <v>31800</v>
      </c>
      <c r="Z15" s="75">
        <v>32700</v>
      </c>
      <c r="AA15" s="13">
        <f>H15-SUM(X15:Z15)</f>
        <v>27100</v>
      </c>
      <c r="AB15" s="75">
        <v>34500</v>
      </c>
      <c r="AC15" s="75">
        <v>34600</v>
      </c>
      <c r="AD15" s="75">
        <v>37300</v>
      </c>
      <c r="AE15" s="13">
        <f t="shared" si="10"/>
        <v>33300</v>
      </c>
      <c r="AF15" s="75">
        <v>42900</v>
      </c>
      <c r="AG15" s="75">
        <v>40400</v>
      </c>
    </row>
    <row r="16" spans="2:33" s="126" customFormat="1">
      <c r="B16" s="140" t="s">
        <v>249</v>
      </c>
      <c r="C16" s="57"/>
      <c r="D16" s="57"/>
      <c r="E16" s="57"/>
      <c r="F16" s="75">
        <v>45500</v>
      </c>
      <c r="G16" s="75">
        <v>46800</v>
      </c>
      <c r="H16" s="75">
        <v>53200</v>
      </c>
      <c r="I16" s="75">
        <v>58000</v>
      </c>
      <c r="J16" s="120">
        <f t="shared" si="9"/>
        <v>65900</v>
      </c>
      <c r="K16" s="118"/>
      <c r="L16" s="57"/>
      <c r="M16" s="57"/>
      <c r="N16" s="75">
        <v>9500</v>
      </c>
      <c r="O16" s="13">
        <f>E16-SUM(L16:N16)</f>
        <v>-9500</v>
      </c>
      <c r="P16" s="75">
        <v>10100</v>
      </c>
      <c r="Q16" s="75">
        <v>10900</v>
      </c>
      <c r="R16" s="75">
        <v>11300</v>
      </c>
      <c r="S16" s="13">
        <f>F16-SUM(P16:R16)</f>
        <v>13200</v>
      </c>
      <c r="T16" s="75">
        <v>10600</v>
      </c>
      <c r="U16" s="75">
        <v>10700</v>
      </c>
      <c r="V16" s="75">
        <v>11700</v>
      </c>
      <c r="W16" s="75">
        <f>G16-SUM(T16:V16)</f>
        <v>13800</v>
      </c>
      <c r="X16" s="75">
        <v>13200</v>
      </c>
      <c r="Y16" s="75">
        <v>12700</v>
      </c>
      <c r="Z16" s="75">
        <v>13300</v>
      </c>
      <c r="AA16" s="13">
        <f>H16-SUM(X16:Z16)</f>
        <v>14000</v>
      </c>
      <c r="AB16" s="75">
        <v>13600</v>
      </c>
      <c r="AC16" s="75">
        <v>13900</v>
      </c>
      <c r="AD16" s="75">
        <v>14500</v>
      </c>
      <c r="AE16" s="13">
        <f t="shared" si="10"/>
        <v>16000</v>
      </c>
      <c r="AF16" s="75">
        <v>16600</v>
      </c>
      <c r="AG16" s="75">
        <v>18800</v>
      </c>
    </row>
    <row r="17" spans="2:33" s="126" customFormat="1">
      <c r="B17" s="154" t="s">
        <v>250</v>
      </c>
      <c r="C17" s="124">
        <f>SUM(C14:C16)</f>
        <v>176646</v>
      </c>
      <c r="D17" s="124">
        <f t="shared" ref="D17:E17" si="11">SUM(D14:D16)</f>
        <v>199991</v>
      </c>
      <c r="E17" s="124">
        <f t="shared" si="11"/>
        <v>264212</v>
      </c>
      <c r="F17" s="124">
        <f t="shared" ref="F17:G17" si="12">SUM(F14:F16)</f>
        <v>291572</v>
      </c>
      <c r="G17" s="124">
        <f t="shared" si="12"/>
        <v>287565</v>
      </c>
      <c r="H17" s="124">
        <f t="shared" ref="H17:I17" si="13">SUM(H14:H16)</f>
        <v>298400</v>
      </c>
      <c r="I17" s="124">
        <f t="shared" si="13"/>
        <v>319200</v>
      </c>
      <c r="J17" s="124">
        <f t="shared" ref="J17" si="14">SUM(J14:J16)</f>
        <v>345300</v>
      </c>
      <c r="K17" s="124"/>
      <c r="L17" s="124">
        <f t="shared" ref="L17:R17" si="15">SUM(L14:L16)</f>
        <v>62400</v>
      </c>
      <c r="M17" s="124">
        <f t="shared" si="15"/>
        <v>65000</v>
      </c>
      <c r="N17" s="124">
        <f t="shared" si="15"/>
        <v>69800</v>
      </c>
      <c r="O17" s="124">
        <f t="shared" si="15"/>
        <v>67012</v>
      </c>
      <c r="P17" s="124">
        <f t="shared" si="15"/>
        <v>72400</v>
      </c>
      <c r="Q17" s="124">
        <f t="shared" si="15"/>
        <v>72000</v>
      </c>
      <c r="R17" s="124">
        <f t="shared" si="15"/>
        <v>75200</v>
      </c>
      <c r="S17" s="124">
        <f t="shared" ref="S17:V17" si="16">SUM(S14:S16)</f>
        <v>71972</v>
      </c>
      <c r="T17" s="124">
        <f t="shared" si="16"/>
        <v>72700</v>
      </c>
      <c r="U17" s="124">
        <f t="shared" si="16"/>
        <v>71700</v>
      </c>
      <c r="V17" s="124">
        <f t="shared" si="16"/>
        <v>72700</v>
      </c>
      <c r="W17" s="124">
        <f t="shared" ref="W17:Z17" si="17">SUM(W14:W16)</f>
        <v>70465</v>
      </c>
      <c r="X17" s="124">
        <f t="shared" si="17"/>
        <v>79300</v>
      </c>
      <c r="Y17" s="124">
        <f t="shared" si="17"/>
        <v>74200</v>
      </c>
      <c r="Z17" s="124">
        <f t="shared" si="17"/>
        <v>75700</v>
      </c>
      <c r="AA17" s="124">
        <f t="shared" ref="AA17:AD17" si="18">SUM(AA14:AA16)</f>
        <v>69200</v>
      </c>
      <c r="AB17" s="124">
        <f t="shared" si="18"/>
        <v>78600</v>
      </c>
      <c r="AC17" s="124">
        <f t="shared" si="18"/>
        <v>78800</v>
      </c>
      <c r="AD17" s="124">
        <f t="shared" si="18"/>
        <v>82700</v>
      </c>
      <c r="AE17" s="124">
        <f t="shared" ref="AE17:AG17" si="19">SUM(AE14:AE16)</f>
        <v>79100</v>
      </c>
      <c r="AF17" s="124">
        <f t="shared" si="19"/>
        <v>92100</v>
      </c>
      <c r="AG17" s="124">
        <f t="shared" si="19"/>
        <v>91400</v>
      </c>
    </row>
    <row r="18" spans="2:33" s="126" customFormat="1">
      <c r="B18" s="128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</row>
    <row r="19" spans="2:33">
      <c r="B19" s="130" t="s">
        <v>251</v>
      </c>
    </row>
    <row r="20" spans="2:33">
      <c r="B20" s="140" t="s">
        <v>247</v>
      </c>
      <c r="C20" s="155">
        <f t="shared" ref="C20:E22" si="20">C14/C$10</f>
        <v>0.23234855801518417</v>
      </c>
      <c r="D20" s="155">
        <f t="shared" si="20"/>
        <v>0.22603627457996389</v>
      </c>
      <c r="E20" s="155">
        <f t="shared" si="20"/>
        <v>0.22426690232002389</v>
      </c>
      <c r="F20" s="155">
        <f t="shared" ref="F20:G20" si="21">F14/F$10</f>
        <v>0.20934517369554273</v>
      </c>
      <c r="G20" s="155">
        <f t="shared" si="21"/>
        <v>0.21071062767783724</v>
      </c>
      <c r="H20" s="155">
        <f t="shared" ref="H20:I20" si="22">H14/H$10</f>
        <v>0.19457648826383586</v>
      </c>
      <c r="I20" s="155">
        <f t="shared" si="22"/>
        <v>0.18401925310901665</v>
      </c>
      <c r="J20" s="155">
        <f t="shared" ref="J20" si="23">J14/J$10</f>
        <v>0.17822527390597373</v>
      </c>
      <c r="K20" s="143"/>
      <c r="L20" s="155">
        <f t="shared" ref="L20:Q22" si="24">L14/L$10</f>
        <v>0.23226761671216398</v>
      </c>
      <c r="M20" s="155">
        <f t="shared" si="24"/>
        <v>0.23241036532820347</v>
      </c>
      <c r="N20" s="155">
        <f t="shared" si="24"/>
        <v>0.22639042783007965</v>
      </c>
      <c r="O20" s="155">
        <f t="shared" si="24"/>
        <v>0.20880682880847468</v>
      </c>
      <c r="P20" s="155">
        <f t="shared" si="24"/>
        <v>0.21285559078512672</v>
      </c>
      <c r="Q20" s="155">
        <f t="shared" si="24"/>
        <v>0.20975126393218524</v>
      </c>
      <c r="R20" s="155">
        <f>R14/R$10</f>
        <v>0.21282872555630478</v>
      </c>
      <c r="S20" s="155">
        <f>S14/S$10</f>
        <v>0.20222209892640164</v>
      </c>
      <c r="T20" s="155">
        <f t="shared" ref="T20:U20" si="25">T14/T$10</f>
        <v>0.21480612086719666</v>
      </c>
      <c r="U20" s="155">
        <f t="shared" si="25"/>
        <v>0.21785517107599564</v>
      </c>
      <c r="V20" s="155">
        <f>V14/V$10</f>
        <v>0.21271583876424946</v>
      </c>
      <c r="W20" s="155">
        <f>W14/W$10</f>
        <v>0.19833878333816246</v>
      </c>
      <c r="X20" s="155">
        <f t="shared" ref="X20:Y20" si="26">X14/X$10</f>
        <v>0.20668595735601988</v>
      </c>
      <c r="Y20" s="155">
        <f t="shared" si="26"/>
        <v>0.19905098922309797</v>
      </c>
      <c r="Z20" s="155">
        <f>Z14/Z$10</f>
        <v>0.19207760711398544</v>
      </c>
      <c r="AA20" s="155">
        <f>AA14/AA$10</f>
        <v>0.18106136756101962</v>
      </c>
      <c r="AB20" s="155">
        <f t="shared" ref="AB20:AC20" si="27">AB14/AB$10</f>
        <v>0.19122137165284231</v>
      </c>
      <c r="AC20" s="155">
        <f t="shared" si="27"/>
        <v>0.18806209152355122</v>
      </c>
      <c r="AD20" s="155">
        <f>AD14/AD$10</f>
        <v>0.18481634996680482</v>
      </c>
      <c r="AE20" s="155">
        <f>AE14/AE$10</f>
        <v>0.17280771951799404</v>
      </c>
      <c r="AF20" s="155">
        <f t="shared" ref="AF20:AG20" si="28">AF14/AF$10</f>
        <v>0.18108897801379831</v>
      </c>
      <c r="AG20" s="155">
        <f t="shared" si="28"/>
        <v>0.17452196158348871</v>
      </c>
    </row>
    <row r="21" spans="2:33">
      <c r="B21" s="140" t="s">
        <v>248</v>
      </c>
      <c r="C21" s="155">
        <f t="shared" si="20"/>
        <v>0.33256794182171706</v>
      </c>
      <c r="D21" s="155">
        <f t="shared" si="20"/>
        <v>0.30403748850350792</v>
      </c>
      <c r="E21" s="165">
        <f t="shared" si="20"/>
        <v>0.32381799926980648</v>
      </c>
      <c r="F21" s="155">
        <f t="shared" ref="F21:G21" si="29">F15/F$10</f>
        <v>0.22997654065750431</v>
      </c>
      <c r="G21" s="155">
        <f t="shared" si="29"/>
        <v>0.22345064123833291</v>
      </c>
      <c r="H21" s="155">
        <f t="shared" ref="H21:I21" si="30">H15/H$10</f>
        <v>0.208040852852557</v>
      </c>
      <c r="I21" s="155">
        <f t="shared" si="30"/>
        <v>0.21158427703151955</v>
      </c>
      <c r="J21" s="155">
        <f t="shared" ref="J21" si="31">J15/J$10</f>
        <v>0.21855673031178771</v>
      </c>
      <c r="K21" s="143"/>
      <c r="L21" s="155">
        <f t="shared" si="24"/>
        <v>0.34516263360014804</v>
      </c>
      <c r="M21" s="155">
        <f t="shared" si="24"/>
        <v>0.33338265887903346</v>
      </c>
      <c r="N21" s="155">
        <f t="shared" si="24"/>
        <v>0.25429065661195566</v>
      </c>
      <c r="O21" s="155">
        <f t="shared" si="24"/>
        <v>0.36359215674539347</v>
      </c>
      <c r="P21" s="155">
        <f t="shared" si="24"/>
        <v>0.24759244067019948</v>
      </c>
      <c r="Q21" s="155">
        <f t="shared" si="24"/>
        <v>0.23217295076631539</v>
      </c>
      <c r="R21" s="155">
        <f t="shared" ref="R21:U22" si="32">R15/R$10</f>
        <v>0.23600809170600134</v>
      </c>
      <c r="S21" s="155">
        <f t="shared" ref="S21" si="33">S15/S$10</f>
        <v>0.20538463672427665</v>
      </c>
      <c r="T21" s="155">
        <f t="shared" si="32"/>
        <v>0.24359457005558385</v>
      </c>
      <c r="U21" s="155">
        <f t="shared" si="32"/>
        <v>0.23725323425399525</v>
      </c>
      <c r="V21" s="155">
        <f t="shared" ref="V21:Y22" si="34">V15/V$10</f>
        <v>0.22270920031693231</v>
      </c>
      <c r="W21" s="155">
        <f t="shared" si="34"/>
        <v>0.19257833519599321</v>
      </c>
      <c r="X21" s="155">
        <f t="shared" si="34"/>
        <v>0.23402184203859028</v>
      </c>
      <c r="Y21" s="155">
        <f t="shared" si="34"/>
        <v>0.21312530159240792</v>
      </c>
      <c r="Z21" s="155">
        <f t="shared" ref="Z21:AC22" si="35">Z15/Z$10</f>
        <v>0.21147938561034763</v>
      </c>
      <c r="AA21" s="155">
        <f t="shared" si="35"/>
        <v>0.1746179025232609</v>
      </c>
      <c r="AB21" s="155">
        <f t="shared" si="35"/>
        <v>0.21629958432862489</v>
      </c>
      <c r="AC21" s="155">
        <f t="shared" si="35"/>
        <v>0.21475077117870864</v>
      </c>
      <c r="AD21" s="155">
        <f t="shared" ref="AD21:AG21" si="36">AD15/AD$10</f>
        <v>0.22309546452303625</v>
      </c>
      <c r="AE21" s="155">
        <f t="shared" si="36"/>
        <v>0.1931039281862148</v>
      </c>
      <c r="AF21" s="155">
        <f t="shared" si="36"/>
        <v>0.23830420726355667</v>
      </c>
      <c r="AG21" s="155">
        <f t="shared" si="36"/>
        <v>0.21896544248363178</v>
      </c>
    </row>
    <row r="22" spans="2:33">
      <c r="B22" s="140" t="s">
        <v>249</v>
      </c>
      <c r="C22" s="155">
        <f t="shared" si="20"/>
        <v>0</v>
      </c>
      <c r="D22" s="155">
        <f t="shared" si="20"/>
        <v>0</v>
      </c>
      <c r="E22" s="155">
        <f t="shared" si="20"/>
        <v>0</v>
      </c>
      <c r="F22" s="155">
        <f t="shared" ref="F22:G22" si="37">F16/F$10</f>
        <v>8.1232883071067172E-2</v>
      </c>
      <c r="G22" s="155">
        <f t="shared" si="37"/>
        <v>8.4392446515385397E-2</v>
      </c>
      <c r="H22" s="155">
        <f t="shared" ref="H22:I22" si="38">H16/H$10</f>
        <v>8.7354170258532218E-2</v>
      </c>
      <c r="I22" s="155">
        <f t="shared" si="38"/>
        <v>8.7844581731053209E-2</v>
      </c>
      <c r="J22" s="155">
        <f t="shared" ref="J22" si="39">J16/J$10</f>
        <v>9.358602032194159E-2</v>
      </c>
      <c r="K22" s="143"/>
      <c r="L22" s="155">
        <f t="shared" si="24"/>
        <v>0</v>
      </c>
      <c r="M22" s="155">
        <f t="shared" si="24"/>
        <v>0</v>
      </c>
      <c r="N22" s="155">
        <f t="shared" si="24"/>
        <v>7.5729192407949175E-2</v>
      </c>
      <c r="O22" s="155">
        <f t="shared" si="24"/>
        <v>-7.1071078559725887E-2</v>
      </c>
      <c r="P22" s="155">
        <f t="shared" si="24"/>
        <v>7.4647273157284019E-2</v>
      </c>
      <c r="Q22" s="155">
        <f t="shared" si="24"/>
        <v>7.8837544029683418E-2</v>
      </c>
      <c r="R22" s="155">
        <f t="shared" si="32"/>
        <v>7.937176893683974E-2</v>
      </c>
      <c r="S22" s="155">
        <f t="shared" ref="S22" si="40">S16/S$10</f>
        <v>9.1547146780592004E-2</v>
      </c>
      <c r="T22" s="155">
        <f t="shared" si="32"/>
        <v>7.8245528563308755E-2</v>
      </c>
      <c r="U22" s="155">
        <f t="shared" si="32"/>
        <v>7.9830490770998408E-2</v>
      </c>
      <c r="V22" s="155">
        <f t="shared" ref="V22" si="41">V16/V$10</f>
        <v>8.3515950118849616E-2</v>
      </c>
      <c r="W22" s="155">
        <f t="shared" si="34"/>
        <v>9.5202616002317983E-2</v>
      </c>
      <c r="X22" s="155">
        <f t="shared" si="34"/>
        <v>8.8008214099982662E-2</v>
      </c>
      <c r="Y22" s="155">
        <f t="shared" si="34"/>
        <v>8.511607956677926E-2</v>
      </c>
      <c r="Z22" s="155">
        <f t="shared" si="35"/>
        <v>8.6014551333872272E-2</v>
      </c>
      <c r="AA22" s="155">
        <f t="shared" si="35"/>
        <v>9.0208510528621874E-2</v>
      </c>
      <c r="AB22" s="155">
        <f t="shared" si="35"/>
        <v>8.5265923097660831E-2</v>
      </c>
      <c r="AC22" s="155">
        <f t="shared" si="35"/>
        <v>8.6272708652718216E-2</v>
      </c>
      <c r="AD22" s="155">
        <f t="shared" ref="AD22:AG22" si="42">AD16/AD$10</f>
        <v>8.6726118916461814E-2</v>
      </c>
      <c r="AE22" s="155">
        <f t="shared" si="42"/>
        <v>9.2782668197580687E-2</v>
      </c>
      <c r="AF22" s="155">
        <f t="shared" si="42"/>
        <v>9.2210951994756193E-2</v>
      </c>
      <c r="AG22" s="155">
        <f t="shared" si="42"/>
        <v>0.10189480986862073</v>
      </c>
    </row>
    <row r="23" spans="2:33">
      <c r="B23" s="140" t="s">
        <v>241</v>
      </c>
      <c r="C23" s="155">
        <f t="shared" ref="C23:E25" si="43">C7/C$10</f>
        <v>0.18573749416362323</v>
      </c>
      <c r="D23" s="155">
        <f t="shared" si="43"/>
        <v>0.26864022009653077</v>
      </c>
      <c r="E23" s="155">
        <f t="shared" si="43"/>
        <v>0.17066406120349165</v>
      </c>
      <c r="F23" s="155">
        <f t="shared" ref="F23:G23" si="44">F7/F$10</f>
        <v>0.15829878704130201</v>
      </c>
      <c r="G23" s="155">
        <f t="shared" si="44"/>
        <v>0.14918168178998542</v>
      </c>
      <c r="H23" s="155">
        <f t="shared" ref="H23:I23" si="45">H7/H$10</f>
        <v>0.16663300575519485</v>
      </c>
      <c r="I23" s="155">
        <f t="shared" si="45"/>
        <v>0.18382841832801469</v>
      </c>
      <c r="J23" s="155">
        <f t="shared" ref="J23" si="46">J7/J$10</f>
        <v>0.18832517946788041</v>
      </c>
      <c r="L23" s="155">
        <f t="shared" ref="L23:Q25" si="47">L7/L$10</f>
        <v>0.16391060935548049</v>
      </c>
      <c r="M23" s="155">
        <f t="shared" si="47"/>
        <v>0.16148603361681016</v>
      </c>
      <c r="N23" s="155">
        <f t="shared" si="47"/>
        <v>0.17019936706338135</v>
      </c>
      <c r="O23" s="155">
        <f t="shared" si="47"/>
        <v>0.18444815177789914</v>
      </c>
      <c r="P23" s="155">
        <f t="shared" si="47"/>
        <v>0.16126767329623143</v>
      </c>
      <c r="Q23" s="155">
        <f t="shared" si="47"/>
        <v>0.16514657273667538</v>
      </c>
      <c r="R23" s="155">
        <f>R7/R$10</f>
        <v>0.15800601258709823</v>
      </c>
      <c r="S23" s="155">
        <f>S7/S$10</f>
        <v>0.14923572003218022</v>
      </c>
      <c r="T23" s="155">
        <f t="shared" ref="T23:U23" si="48">T7/T$10</f>
        <v>0.13278118564120733</v>
      </c>
      <c r="U23" s="155">
        <f t="shared" si="48"/>
        <v>0.13905426981213723</v>
      </c>
      <c r="V23" s="155">
        <f>V7/V$10</f>
        <v>0.15306260841012756</v>
      </c>
      <c r="W23" s="155">
        <f>W7/W$10</f>
        <v>0.17012293555196822</v>
      </c>
      <c r="X23" s="155">
        <f t="shared" ref="X23:Y23" si="49">X7/X$10</f>
        <v>0.13977304548424518</v>
      </c>
      <c r="Y23" s="155">
        <f t="shared" si="49"/>
        <v>0.16757144389040801</v>
      </c>
      <c r="Z23" s="155">
        <f>Z7/Z$10</f>
        <v>0.16634438156831044</v>
      </c>
      <c r="AA23" s="155">
        <f>AA7/AA$10</f>
        <v>0.19197659733498287</v>
      </c>
      <c r="AB23" s="155">
        <f t="shared" ref="AB23:AC23" si="50">AB7/AB$10</f>
        <v>0.16618077629607339</v>
      </c>
      <c r="AC23" s="155">
        <f t="shared" si="50"/>
        <v>0.18539943022772271</v>
      </c>
      <c r="AD23" s="155">
        <f>AD7/AD$10</f>
        <v>0.17939148170078892</v>
      </c>
      <c r="AE23" s="155">
        <f>AE7/AE$10</f>
        <v>0.20298528234925717</v>
      </c>
      <c r="AF23" s="155">
        <f t="shared" ref="AF23:AG23" si="51">AF7/AF$10</f>
        <v>0.17693948517403429</v>
      </c>
      <c r="AG23" s="155">
        <f t="shared" si="51"/>
        <v>0.19382777609157525</v>
      </c>
    </row>
    <row r="24" spans="2:33">
      <c r="B24" s="140" t="s">
        <v>252</v>
      </c>
      <c r="C24" s="155">
        <f t="shared" si="43"/>
        <v>0.23389639711666999</v>
      </c>
      <c r="D24" s="155">
        <f t="shared" si="43"/>
        <v>0.18123242395087055</v>
      </c>
      <c r="E24" s="155">
        <f t="shared" si="43"/>
        <v>0.26570330910418533</v>
      </c>
      <c r="F24" s="155">
        <f t="shared" ref="F24:G24" si="52">F8/F$10</f>
        <v>0.30742629231697605</v>
      </c>
      <c r="G24" s="155">
        <f t="shared" si="52"/>
        <v>0.31929196901282475</v>
      </c>
      <c r="H24" s="155">
        <f t="shared" ref="H24:I24" si="53">H8/H$10</f>
        <v>0.33457796605994927</v>
      </c>
      <c r="I24" s="155">
        <f t="shared" si="53"/>
        <v>0.32102045112736405</v>
      </c>
      <c r="J24" s="155">
        <f t="shared" ref="J24" si="54">J8/J$10</f>
        <v>0.31193967322999583</v>
      </c>
      <c r="L24" s="155">
        <f t="shared" si="47"/>
        <v>0.24499144033683432</v>
      </c>
      <c r="M24" s="155">
        <f t="shared" si="47"/>
        <v>0.25993401982886938</v>
      </c>
      <c r="N24" s="155">
        <f t="shared" si="47"/>
        <v>0.26509203089751049</v>
      </c>
      <c r="O24" s="155">
        <f t="shared" si="47"/>
        <v>0.28798001032400933</v>
      </c>
      <c r="P24" s="155">
        <f t="shared" si="47"/>
        <v>0.28844888879034464</v>
      </c>
      <c r="Q24" s="155">
        <f t="shared" si="47"/>
        <v>0.3029965499533484</v>
      </c>
      <c r="R24" s="155">
        <f t="shared" ref="R24:U25" si="55">R8/R$10</f>
        <v>0.30426078894133513</v>
      </c>
      <c r="S24" s="155">
        <f t="shared" ref="S24" si="56">S8/S$10</f>
        <v>0.33260742918966907</v>
      </c>
      <c r="T24" s="155">
        <f t="shared" si="55"/>
        <v>0.31569856279203667</v>
      </c>
      <c r="U24" s="155">
        <f t="shared" si="55"/>
        <v>0.31490517331423368</v>
      </c>
      <c r="V24" s="155">
        <f t="shared" ref="V24:Y25" si="57">V8/V$10</f>
        <v>0.32010164676322156</v>
      </c>
      <c r="W24" s="155">
        <f t="shared" si="57"/>
        <v>0.3259240862618486</v>
      </c>
      <c r="X24" s="155">
        <f t="shared" si="57"/>
        <v>0.32470363900630728</v>
      </c>
      <c r="Y24" s="155">
        <f t="shared" si="57"/>
        <v>0.32595437241970943</v>
      </c>
      <c r="Z24" s="155">
        <f t="shared" ref="Z24:AC25" si="58">Z8/Z$10</f>
        <v>0.33660792239288601</v>
      </c>
      <c r="AA24" s="155">
        <f t="shared" si="58"/>
        <v>0.35038918528828061</v>
      </c>
      <c r="AB24" s="155">
        <f t="shared" si="58"/>
        <v>0.32791016984219534</v>
      </c>
      <c r="AC24" s="155">
        <f t="shared" si="58"/>
        <v>0.3130644190246839</v>
      </c>
      <c r="AD24" s="155">
        <f t="shared" ref="AD24:AG24" si="59">AD8/AD$10</f>
        <v>0.31753123635558905</v>
      </c>
      <c r="AE24" s="155">
        <f t="shared" si="59"/>
        <v>0.32546420328682601</v>
      </c>
      <c r="AF24" s="155">
        <f t="shared" si="59"/>
        <v>0.30500161091422162</v>
      </c>
      <c r="AG24" s="155">
        <f t="shared" si="59"/>
        <v>0.30100160430126177</v>
      </c>
    </row>
    <row r="25" spans="2:33">
      <c r="B25" s="140" t="s">
        <v>243</v>
      </c>
      <c r="C25" s="155">
        <f t="shared" si="43"/>
        <v>1.5449608882805554E-2</v>
      </c>
      <c r="D25" s="155">
        <f t="shared" si="43"/>
        <v>2.0053592869126849E-2</v>
      </c>
      <c r="E25" s="155">
        <f t="shared" si="43"/>
        <v>1.5547728102492615E-2</v>
      </c>
      <c r="F25" s="155">
        <f t="shared" ref="F25:G25" si="60">F9/F$10</f>
        <v>1.3720323217607718E-2</v>
      </c>
      <c r="G25" s="155">
        <f t="shared" si="60"/>
        <v>1.2972633765634243E-2</v>
      </c>
      <c r="H25" s="155">
        <f t="shared" ref="H25:I25" si="61">H9/H$10</f>
        <v>8.8585667019695745E-3</v>
      </c>
      <c r="I25" s="155">
        <f t="shared" si="61"/>
        <v>1.1751484649159342E-2</v>
      </c>
      <c r="J25" s="155">
        <f t="shared" ref="J25" si="62">J9/J$10</f>
        <v>9.4835727421840044E-3</v>
      </c>
      <c r="L25" s="155">
        <f t="shared" si="47"/>
        <v>1.3399342988016472E-2</v>
      </c>
      <c r="M25" s="155">
        <f t="shared" si="47"/>
        <v>1.2769513330954101E-2</v>
      </c>
      <c r="N25" s="155">
        <f t="shared" si="47"/>
        <v>8.2823822012483353E-3</v>
      </c>
      <c r="O25" s="155">
        <f t="shared" si="47"/>
        <v>2.6490809387367302E-2</v>
      </c>
      <c r="P25" s="155">
        <f t="shared" si="47"/>
        <v>1.4870328078460936E-2</v>
      </c>
      <c r="Q25" s="155">
        <f t="shared" si="47"/>
        <v>1.1001092153132889E-2</v>
      </c>
      <c r="R25" s="155">
        <f t="shared" si="55"/>
        <v>9.5035401213755897E-3</v>
      </c>
      <c r="S25" s="155">
        <f t="shared" ref="S25" si="63">S9/S$10</f>
        <v>1.9412156351430076E-2</v>
      </c>
      <c r="T25" s="155">
        <f t="shared" si="55"/>
        <v>1.4593529242420886E-2</v>
      </c>
      <c r="U25" s="155">
        <f t="shared" si="55"/>
        <v>1.1228494262649776E-2</v>
      </c>
      <c r="V25" s="155">
        <f t="shared" ref="V25" si="64">V9/V$10</f>
        <v>7.7020265109605758E-3</v>
      </c>
      <c r="W25" s="155">
        <f t="shared" si="57"/>
        <v>1.8164383183630669E-2</v>
      </c>
      <c r="X25" s="155">
        <f t="shared" si="57"/>
        <v>6.5606123238168895E-3</v>
      </c>
      <c r="Y25" s="155">
        <f t="shared" si="57"/>
        <v>9.108090718996301E-3</v>
      </c>
      <c r="Z25" s="155">
        <f t="shared" si="58"/>
        <v>7.1657235246564265E-3</v>
      </c>
      <c r="AA25" s="155">
        <f t="shared" si="58"/>
        <v>1.2526096033402923E-2</v>
      </c>
      <c r="AB25" s="155">
        <f t="shared" si="58"/>
        <v>1.2940357740703821E-2</v>
      </c>
      <c r="AC25" s="155">
        <f t="shared" si="58"/>
        <v>1.2314032659495894E-2</v>
      </c>
      <c r="AD25" s="155">
        <f t="shared" ref="AD25:AG25" si="65">AD9/AD$10</f>
        <v>8.4692540955662015E-3</v>
      </c>
      <c r="AE25" s="155">
        <f t="shared" si="65"/>
        <v>1.330851396959048E-2</v>
      </c>
      <c r="AF25" s="155">
        <f t="shared" si="65"/>
        <v>6.2714557109686594E-3</v>
      </c>
      <c r="AG25" s="155">
        <f t="shared" si="65"/>
        <v>9.9618436456662181E-3</v>
      </c>
    </row>
    <row r="26" spans="2:33">
      <c r="B26" s="129"/>
    </row>
    <row r="27" spans="2:33">
      <c r="B27" s="131" t="s">
        <v>253</v>
      </c>
    </row>
    <row r="28" spans="2:33">
      <c r="B28" s="140" t="s">
        <v>254</v>
      </c>
      <c r="C28" s="75">
        <v>19330</v>
      </c>
      <c r="D28" s="75">
        <v>20538</v>
      </c>
      <c r="E28" s="75">
        <v>29569</v>
      </c>
      <c r="F28" s="75">
        <v>26100</v>
      </c>
      <c r="G28" s="75">
        <v>10200</v>
      </c>
      <c r="H28" s="75">
        <v>17200</v>
      </c>
      <c r="I28" s="75">
        <v>63400</v>
      </c>
      <c r="J28" s="120">
        <f t="shared" ref="J28:J29" si="66">SUM(AD28:AG28)</f>
        <v>93900</v>
      </c>
      <c r="L28" s="75">
        <v>5469</v>
      </c>
      <c r="M28" s="75">
        <v>8286</v>
      </c>
      <c r="N28" s="75">
        <v>7800</v>
      </c>
      <c r="O28" s="13">
        <f>E28-SUM(L28:N28)</f>
        <v>8014</v>
      </c>
      <c r="P28" s="75">
        <v>6581</v>
      </c>
      <c r="Q28" s="75">
        <v>5900</v>
      </c>
      <c r="R28" s="75">
        <v>5600</v>
      </c>
      <c r="S28" s="13">
        <f>F28-SUM(P28:R28)</f>
        <v>8019</v>
      </c>
      <c r="T28" s="75">
        <v>5200</v>
      </c>
      <c r="U28" s="75">
        <v>2100</v>
      </c>
      <c r="V28" s="75">
        <v>1100</v>
      </c>
      <c r="W28" s="13">
        <f>G28-SUM(T28:V28)</f>
        <v>1800</v>
      </c>
      <c r="X28" s="75">
        <v>1000</v>
      </c>
      <c r="Y28" s="75">
        <v>3000</v>
      </c>
      <c r="Z28" s="75">
        <v>6600</v>
      </c>
      <c r="AA28" s="13">
        <f>H28-SUM(X28:Z28)</f>
        <v>6600</v>
      </c>
      <c r="AB28" s="75">
        <v>6600</v>
      </c>
      <c r="AC28" s="75">
        <v>7200</v>
      </c>
      <c r="AD28" s="75">
        <v>14700</v>
      </c>
      <c r="AE28" s="13">
        <f>I28-SUM(AB28:AD28)</f>
        <v>34900</v>
      </c>
      <c r="AF28" s="75">
        <v>26400</v>
      </c>
      <c r="AG28" s="75">
        <v>17900</v>
      </c>
    </row>
    <row r="29" spans="2:33">
      <c r="B29" s="140" t="s">
        <v>255</v>
      </c>
      <c r="C29" s="75">
        <v>4611</v>
      </c>
      <c r="D29" s="75">
        <v>11831</v>
      </c>
      <c r="E29" s="75">
        <v>4391</v>
      </c>
      <c r="F29" s="75">
        <v>7300</v>
      </c>
      <c r="G29" s="75">
        <v>7800</v>
      </c>
      <c r="H29" s="75">
        <v>6700</v>
      </c>
      <c r="I29" s="75">
        <v>13400</v>
      </c>
      <c r="J29" s="120">
        <f t="shared" si="66"/>
        <v>6400</v>
      </c>
      <c r="L29" s="75">
        <v>682</v>
      </c>
      <c r="M29" s="75">
        <v>1180</v>
      </c>
      <c r="N29" s="75">
        <v>900</v>
      </c>
      <c r="O29" s="13">
        <f>E29-SUM(L29:N29)</f>
        <v>1629</v>
      </c>
      <c r="P29" s="75">
        <v>1153</v>
      </c>
      <c r="Q29" s="75">
        <v>1000</v>
      </c>
      <c r="R29" s="75">
        <v>1500</v>
      </c>
      <c r="S29" s="13">
        <f>F29-SUM(P29:R29)</f>
        <v>3647</v>
      </c>
      <c r="T29" s="75">
        <v>1800</v>
      </c>
      <c r="U29" s="75">
        <v>900</v>
      </c>
      <c r="V29" s="75">
        <v>1300</v>
      </c>
      <c r="W29" s="13">
        <f>G29-SUM(T29:V29)</f>
        <v>3800</v>
      </c>
      <c r="X29" s="75">
        <v>3400</v>
      </c>
      <c r="Y29" s="75">
        <v>1000</v>
      </c>
      <c r="Z29" s="75">
        <v>1400</v>
      </c>
      <c r="AA29" s="13">
        <f>H29-SUM(X29:Z29)</f>
        <v>900</v>
      </c>
      <c r="AB29" s="75">
        <v>7800</v>
      </c>
      <c r="AC29" s="75">
        <v>1500</v>
      </c>
      <c r="AD29" s="75">
        <v>2400</v>
      </c>
      <c r="AE29" s="13">
        <f>I29-SUM(AB29:AD29)</f>
        <v>1700</v>
      </c>
      <c r="AF29" s="75">
        <v>1100</v>
      </c>
      <c r="AG29" s="75">
        <v>1200</v>
      </c>
    </row>
    <row r="30" spans="2:33">
      <c r="B30" s="131" t="s">
        <v>256</v>
      </c>
      <c r="C30" s="124">
        <f>SUM(C28:C29)</f>
        <v>23941</v>
      </c>
      <c r="D30" s="124">
        <f t="shared" ref="D30:E30" si="67">SUM(D28:D29)</f>
        <v>32369</v>
      </c>
      <c r="E30" s="124">
        <f t="shared" si="67"/>
        <v>33960</v>
      </c>
      <c r="F30" s="124">
        <f t="shared" ref="F30:G30" si="68">SUM(F28:F29)</f>
        <v>33400</v>
      </c>
      <c r="G30" s="124">
        <f t="shared" si="68"/>
        <v>18000</v>
      </c>
      <c r="H30" s="124">
        <f t="shared" ref="H30:I30" si="69">SUM(H28:H29)</f>
        <v>23900</v>
      </c>
      <c r="I30" s="124">
        <f t="shared" si="69"/>
        <v>76800</v>
      </c>
      <c r="J30" s="124">
        <f t="shared" ref="J30" si="70">SUM(J28:J29)</f>
        <v>100300</v>
      </c>
      <c r="L30" s="124">
        <f t="shared" ref="L30:R30" si="71">SUM(L28:L29)</f>
        <v>6151</v>
      </c>
      <c r="M30" s="124">
        <f t="shared" si="71"/>
        <v>9466</v>
      </c>
      <c r="N30" s="124">
        <f t="shared" si="71"/>
        <v>8700</v>
      </c>
      <c r="O30" s="124">
        <f t="shared" si="71"/>
        <v>9643</v>
      </c>
      <c r="P30" s="124">
        <f t="shared" si="71"/>
        <v>7734</v>
      </c>
      <c r="Q30" s="124">
        <f t="shared" si="71"/>
        <v>6900</v>
      </c>
      <c r="R30" s="124">
        <f t="shared" si="71"/>
        <v>7100</v>
      </c>
      <c r="S30" s="124">
        <f t="shared" ref="S30:V30" si="72">SUM(S28:S29)</f>
        <v>11666</v>
      </c>
      <c r="T30" s="124">
        <f t="shared" si="72"/>
        <v>7000</v>
      </c>
      <c r="U30" s="124">
        <f t="shared" si="72"/>
        <v>3000</v>
      </c>
      <c r="V30" s="124">
        <f t="shared" si="72"/>
        <v>2400</v>
      </c>
      <c r="W30" s="124">
        <f t="shared" ref="W30:Z30" si="73">SUM(W28:W29)</f>
        <v>5600</v>
      </c>
      <c r="X30" s="124">
        <f t="shared" si="73"/>
        <v>4400</v>
      </c>
      <c r="Y30" s="124">
        <f t="shared" si="73"/>
        <v>4000</v>
      </c>
      <c r="Z30" s="124">
        <f t="shared" si="73"/>
        <v>8000</v>
      </c>
      <c r="AA30" s="124">
        <f t="shared" ref="AA30:AD30" si="74">SUM(AA28:AA29)</f>
        <v>7500</v>
      </c>
      <c r="AB30" s="124">
        <f t="shared" si="74"/>
        <v>14400</v>
      </c>
      <c r="AC30" s="124">
        <f t="shared" si="74"/>
        <v>8700</v>
      </c>
      <c r="AD30" s="124">
        <f t="shared" si="74"/>
        <v>17100</v>
      </c>
      <c r="AE30" s="124">
        <f t="shared" ref="AE30:AG30" si="75">SUM(AE28:AE29)</f>
        <v>36600</v>
      </c>
      <c r="AF30" s="124">
        <f t="shared" si="75"/>
        <v>27500</v>
      </c>
      <c r="AG30" s="124">
        <f t="shared" si="75"/>
        <v>19100</v>
      </c>
    </row>
    <row r="32" spans="2:33">
      <c r="B32" s="131" t="s">
        <v>257</v>
      </c>
    </row>
    <row r="33" spans="1:33">
      <c r="B33" s="156" t="s">
        <v>258</v>
      </c>
      <c r="C33" s="75">
        <v>1097.5999999999999</v>
      </c>
      <c r="D33" s="75">
        <v>1164.8</v>
      </c>
      <c r="E33" s="75">
        <v>1225</v>
      </c>
      <c r="F33" s="75">
        <v>1268.2</v>
      </c>
      <c r="G33" s="75">
        <v>1313.2</v>
      </c>
      <c r="H33" s="75">
        <v>1343</v>
      </c>
      <c r="I33" s="75">
        <v>1385</v>
      </c>
      <c r="J33" s="158">
        <f>AG33</f>
        <v>1411</v>
      </c>
      <c r="L33" s="75">
        <v>1202.5</v>
      </c>
      <c r="M33" s="75">
        <v>1206.0999999999999</v>
      </c>
      <c r="N33" s="75">
        <v>1212.8</v>
      </c>
      <c r="O33" s="157">
        <f>E33</f>
        <v>1225</v>
      </c>
      <c r="P33" s="75">
        <v>1241.5999999999999</v>
      </c>
      <c r="Q33" s="75">
        <v>1251.4000000000001</v>
      </c>
      <c r="R33" s="75">
        <v>1262.5999999999999</v>
      </c>
      <c r="S33" s="157">
        <f>F33</f>
        <v>1268.2</v>
      </c>
      <c r="T33" s="75">
        <v>1288.3</v>
      </c>
      <c r="U33" s="75">
        <v>1299.0999999999999</v>
      </c>
      <c r="V33" s="75">
        <v>1308.9000000000001</v>
      </c>
      <c r="W33" s="157">
        <f>G33</f>
        <v>1313.2</v>
      </c>
      <c r="X33" s="75">
        <v>1319</v>
      </c>
      <c r="Y33" s="75">
        <v>1327</v>
      </c>
      <c r="Z33" s="75">
        <v>1336</v>
      </c>
      <c r="AA33" s="157">
        <f>H33</f>
        <v>1343</v>
      </c>
      <c r="AB33" s="75">
        <v>1359</v>
      </c>
      <c r="AC33" s="75">
        <v>1371</v>
      </c>
      <c r="AD33" s="75">
        <v>1382</v>
      </c>
      <c r="AE33" s="157">
        <f>I33</f>
        <v>1385</v>
      </c>
      <c r="AF33" s="75">
        <v>1402</v>
      </c>
      <c r="AG33" s="75">
        <v>1411</v>
      </c>
    </row>
    <row r="34" spans="1:33">
      <c r="B34" s="156" t="s">
        <v>259</v>
      </c>
      <c r="C34" s="75">
        <v>699.8</v>
      </c>
      <c r="D34" s="75">
        <v>647</v>
      </c>
      <c r="E34" s="75">
        <v>594.9</v>
      </c>
      <c r="F34" s="75">
        <v>552.1</v>
      </c>
      <c r="G34" s="75">
        <v>572.1</v>
      </c>
      <c r="H34" s="75">
        <v>554</v>
      </c>
      <c r="I34" s="75">
        <v>524</v>
      </c>
      <c r="J34" s="158">
        <f>AG34</f>
        <v>532</v>
      </c>
      <c r="K34" s="143"/>
      <c r="L34" s="75">
        <v>693.5</v>
      </c>
      <c r="M34" s="75">
        <v>647.6</v>
      </c>
      <c r="N34" s="75">
        <v>617.4</v>
      </c>
      <c r="O34" s="157">
        <f t="shared" ref="O34:O35" si="76">E34</f>
        <v>594.9</v>
      </c>
      <c r="P34" s="75">
        <v>606.4</v>
      </c>
      <c r="Q34" s="75">
        <v>590.9</v>
      </c>
      <c r="R34" s="75">
        <v>573.70000000000005</v>
      </c>
      <c r="S34" s="157">
        <f>F34</f>
        <v>552.1</v>
      </c>
      <c r="T34" s="75">
        <v>563.79999999999995</v>
      </c>
      <c r="U34" s="75">
        <v>568.70000000000005</v>
      </c>
      <c r="V34" s="75">
        <v>574.4</v>
      </c>
      <c r="W34" s="157">
        <f t="shared" ref="W34:W35" si="77">G34</f>
        <v>572.1</v>
      </c>
      <c r="X34" s="75">
        <v>597</v>
      </c>
      <c r="Y34" s="75">
        <v>571</v>
      </c>
      <c r="Z34" s="75">
        <v>558</v>
      </c>
      <c r="AA34" s="157">
        <f>H34</f>
        <v>554</v>
      </c>
      <c r="AB34" s="75">
        <v>553</v>
      </c>
      <c r="AC34" s="75">
        <v>571</v>
      </c>
      <c r="AD34" s="75">
        <v>562</v>
      </c>
      <c r="AE34" s="157">
        <f>I34</f>
        <v>524</v>
      </c>
      <c r="AF34" s="75">
        <v>534</v>
      </c>
      <c r="AG34" s="75">
        <v>532</v>
      </c>
    </row>
    <row r="35" spans="1:33">
      <c r="B35" s="156" t="s">
        <v>260</v>
      </c>
      <c r="C35" s="75">
        <v>160.30000000000001</v>
      </c>
      <c r="D35" s="75">
        <v>180.1</v>
      </c>
      <c r="E35" s="75">
        <v>219.5</v>
      </c>
      <c r="F35" s="75">
        <v>236.3</v>
      </c>
      <c r="G35" s="75">
        <v>233.8</v>
      </c>
      <c r="H35" s="75">
        <v>244</v>
      </c>
      <c r="I35" s="75">
        <v>262</v>
      </c>
      <c r="J35" s="158">
        <f>AG35</f>
        <v>264</v>
      </c>
      <c r="K35" s="143"/>
      <c r="L35" s="75">
        <v>197.4</v>
      </c>
      <c r="M35" s="75">
        <v>203.4</v>
      </c>
      <c r="N35" s="75">
        <v>213.4</v>
      </c>
      <c r="O35" s="157">
        <f t="shared" si="76"/>
        <v>219.5</v>
      </c>
      <c r="P35" s="75">
        <v>225.7</v>
      </c>
      <c r="Q35" s="75">
        <v>229.4</v>
      </c>
      <c r="R35" s="75">
        <v>235.4</v>
      </c>
      <c r="S35" s="157">
        <f>F35</f>
        <v>236.3</v>
      </c>
      <c r="T35" s="75">
        <v>239.1</v>
      </c>
      <c r="U35" s="75">
        <v>234.7</v>
      </c>
      <c r="V35" s="75">
        <v>228.7</v>
      </c>
      <c r="W35" s="157">
        <f t="shared" si="77"/>
        <v>233.8</v>
      </c>
      <c r="X35" s="75">
        <v>233</v>
      </c>
      <c r="Y35" s="75">
        <v>241</v>
      </c>
      <c r="Z35" s="75">
        <v>243</v>
      </c>
      <c r="AA35" s="157">
        <f>H35</f>
        <v>244</v>
      </c>
      <c r="AB35" s="75">
        <v>260</v>
      </c>
      <c r="AC35" s="75">
        <v>263</v>
      </c>
      <c r="AD35" s="75">
        <v>265</v>
      </c>
      <c r="AE35" s="157">
        <f>I35</f>
        <v>262</v>
      </c>
      <c r="AF35" s="75">
        <v>268</v>
      </c>
      <c r="AG35" s="75">
        <v>264</v>
      </c>
    </row>
    <row r="36" spans="1:33">
      <c r="B36" s="140"/>
      <c r="C36" s="75"/>
      <c r="D36" s="75"/>
      <c r="E36" s="75"/>
      <c r="F36" s="75"/>
      <c r="G36" s="75"/>
      <c r="H36" s="75"/>
      <c r="I36" s="75"/>
      <c r="J36" s="120"/>
      <c r="K36" s="143"/>
      <c r="L36" s="75"/>
      <c r="M36" s="75"/>
      <c r="N36" s="75"/>
      <c r="O36" s="13"/>
      <c r="P36" s="75"/>
      <c r="Q36" s="75"/>
      <c r="S36" s="13"/>
      <c r="T36" s="75"/>
      <c r="U36" s="75"/>
      <c r="W36" s="13"/>
      <c r="X36" s="75"/>
      <c r="Y36" s="75"/>
      <c r="AA36" s="13"/>
      <c r="AB36" s="75"/>
      <c r="AC36" s="75"/>
      <c r="AE36" s="13"/>
      <c r="AF36" s="75"/>
      <c r="AG36" s="75"/>
    </row>
    <row r="37" spans="1:33">
      <c r="B37" s="154" t="s">
        <v>261</v>
      </c>
      <c r="C37" s="124"/>
      <c r="D37" s="124"/>
      <c r="E37" s="124"/>
      <c r="F37" s="124"/>
      <c r="G37" s="124"/>
      <c r="H37" s="124"/>
      <c r="I37" s="124"/>
      <c r="J37" s="124"/>
      <c r="L37" s="124"/>
      <c r="M37" s="124"/>
      <c r="N37" s="124"/>
      <c r="O37" s="124"/>
      <c r="P37" s="124"/>
      <c r="Q37" s="124"/>
      <c r="S37" s="124"/>
      <c r="T37" s="124"/>
      <c r="U37" s="124"/>
      <c r="W37" s="124"/>
      <c r="X37" s="124"/>
      <c r="Y37" s="124"/>
      <c r="AA37" s="124"/>
      <c r="AB37" s="124"/>
      <c r="AC37" s="124"/>
      <c r="AE37" s="124"/>
      <c r="AF37" s="124"/>
      <c r="AG37" s="124"/>
    </row>
    <row r="38" spans="1:33">
      <c r="B38" s="154" t="s">
        <v>248</v>
      </c>
      <c r="C38" s="148"/>
      <c r="D38" s="148"/>
      <c r="E38" s="148"/>
      <c r="F38" s="148"/>
      <c r="G38" s="148"/>
      <c r="H38" s="148"/>
      <c r="I38" s="148"/>
      <c r="J38" s="148"/>
      <c r="L38" s="148"/>
      <c r="M38" s="148"/>
      <c r="N38" s="148"/>
      <c r="O38" s="148"/>
      <c r="P38" s="148"/>
      <c r="Q38" s="148"/>
      <c r="S38" s="148"/>
      <c r="T38" s="148"/>
      <c r="U38" s="148"/>
      <c r="W38" s="148"/>
      <c r="X38" s="160"/>
      <c r="Y38" s="148"/>
      <c r="AA38" s="148"/>
      <c r="AB38" s="160"/>
      <c r="AC38" s="148"/>
      <c r="AE38" s="148"/>
      <c r="AF38" s="160"/>
      <c r="AG38" s="148"/>
    </row>
    <row r="39" spans="1:33">
      <c r="B39" s="140" t="s">
        <v>262</v>
      </c>
      <c r="C39" s="161" t="s">
        <v>263</v>
      </c>
      <c r="D39" s="161" t="s">
        <v>263</v>
      </c>
      <c r="E39" s="161" t="s">
        <v>263</v>
      </c>
      <c r="F39" s="161" t="s">
        <v>263</v>
      </c>
      <c r="G39" s="161" t="s">
        <v>263</v>
      </c>
      <c r="H39" s="161" t="s">
        <v>263</v>
      </c>
      <c r="I39" s="161" t="s">
        <v>263</v>
      </c>
      <c r="J39" s="166" t="str">
        <f t="shared" ref="J39:J40" si="78">AG39</f>
        <v>465-475</v>
      </c>
      <c r="L39" s="160" t="s">
        <v>264</v>
      </c>
      <c r="M39" s="160" t="s">
        <v>265</v>
      </c>
      <c r="N39" s="160" t="s">
        <v>266</v>
      </c>
      <c r="O39" s="160" t="s">
        <v>267</v>
      </c>
      <c r="P39" s="160" t="s">
        <v>268</v>
      </c>
      <c r="Q39" s="160" t="s">
        <v>269</v>
      </c>
      <c r="R39" s="160" t="s">
        <v>269</v>
      </c>
      <c r="S39" s="160" t="s">
        <v>270</v>
      </c>
      <c r="T39" s="160" t="s">
        <v>271</v>
      </c>
      <c r="U39" s="160" t="s">
        <v>272</v>
      </c>
      <c r="V39" s="160" t="s">
        <v>273</v>
      </c>
      <c r="W39" s="160" t="s">
        <v>274</v>
      </c>
      <c r="X39" s="160" t="s">
        <v>275</v>
      </c>
      <c r="Y39" s="160" t="s">
        <v>276</v>
      </c>
      <c r="Z39" s="160" t="s">
        <v>271</v>
      </c>
      <c r="AA39" s="160" t="s">
        <v>277</v>
      </c>
      <c r="AB39" s="160" t="s">
        <v>278</v>
      </c>
      <c r="AC39" s="160" t="s">
        <v>279</v>
      </c>
      <c r="AD39" s="160" t="s">
        <v>269</v>
      </c>
      <c r="AE39" s="160" t="s">
        <v>269</v>
      </c>
      <c r="AF39" s="160" t="s">
        <v>277</v>
      </c>
      <c r="AG39" s="160" t="s">
        <v>280</v>
      </c>
    </row>
    <row r="40" spans="1:33">
      <c r="B40" s="140" t="s">
        <v>281</v>
      </c>
      <c r="C40" s="161" t="s">
        <v>263</v>
      </c>
      <c r="D40" s="161" t="s">
        <v>263</v>
      </c>
      <c r="E40" s="161" t="s">
        <v>263</v>
      </c>
      <c r="F40" s="161" t="s">
        <v>263</v>
      </c>
      <c r="G40" s="161" t="s">
        <v>263</v>
      </c>
      <c r="H40" s="161" t="s">
        <v>263</v>
      </c>
      <c r="I40" s="161" t="s">
        <v>263</v>
      </c>
      <c r="J40" s="166" t="str">
        <f t="shared" si="78"/>
        <v>280-290</v>
      </c>
      <c r="L40" s="160" t="s">
        <v>282</v>
      </c>
      <c r="M40" s="160" t="s">
        <v>283</v>
      </c>
      <c r="N40" s="160" t="s">
        <v>284</v>
      </c>
      <c r="O40" s="160" t="s">
        <v>285</v>
      </c>
      <c r="P40" s="160" t="s">
        <v>286</v>
      </c>
      <c r="Q40" s="160" t="s">
        <v>287</v>
      </c>
      <c r="R40" s="160" t="s">
        <v>287</v>
      </c>
      <c r="S40" s="160" t="s">
        <v>288</v>
      </c>
      <c r="T40" s="160" t="s">
        <v>289</v>
      </c>
      <c r="U40" s="160" t="s">
        <v>290</v>
      </c>
      <c r="V40" s="160" t="s">
        <v>290</v>
      </c>
      <c r="W40" s="160" t="s">
        <v>291</v>
      </c>
      <c r="X40" s="160" t="s">
        <v>287</v>
      </c>
      <c r="Y40" s="160" t="s">
        <v>292</v>
      </c>
      <c r="Z40" s="160" t="s">
        <v>292</v>
      </c>
      <c r="AA40" s="160" t="s">
        <v>291</v>
      </c>
      <c r="AB40" s="160" t="s">
        <v>293</v>
      </c>
      <c r="AC40" s="160" t="s">
        <v>290</v>
      </c>
      <c r="AD40" s="160" t="s">
        <v>294</v>
      </c>
      <c r="AE40" s="160" t="s">
        <v>290</v>
      </c>
      <c r="AF40" s="160" t="s">
        <v>295</v>
      </c>
      <c r="AG40" s="160" t="s">
        <v>296</v>
      </c>
    </row>
    <row r="41" spans="1:33">
      <c r="B41" s="140"/>
      <c r="C41" s="161"/>
      <c r="D41" s="161"/>
      <c r="E41" s="161"/>
      <c r="F41" s="161"/>
      <c r="G41" s="161"/>
      <c r="H41" s="161"/>
      <c r="I41" s="161"/>
      <c r="J41" s="120"/>
      <c r="K41" s="143"/>
      <c r="L41" s="75"/>
      <c r="M41" s="75"/>
      <c r="N41" s="75"/>
      <c r="O41" s="13"/>
      <c r="P41" s="75"/>
      <c r="Q41" s="75"/>
      <c r="S41" s="13"/>
      <c r="T41" s="75"/>
      <c r="U41" s="75"/>
      <c r="W41" s="13"/>
      <c r="X41" s="160"/>
      <c r="Y41" s="75"/>
      <c r="AA41" s="13"/>
      <c r="AB41" s="160"/>
      <c r="AC41" s="75"/>
      <c r="AE41" s="13"/>
      <c r="AF41" s="160"/>
      <c r="AG41" s="75"/>
    </row>
    <row r="42" spans="1:33">
      <c r="B42" s="154" t="s">
        <v>297</v>
      </c>
      <c r="C42" s="161"/>
      <c r="D42" s="161"/>
      <c r="E42" s="161"/>
      <c r="F42" s="161"/>
      <c r="G42" s="161"/>
      <c r="H42" s="161"/>
      <c r="I42" s="161"/>
      <c r="J42" s="120"/>
      <c r="K42" s="143"/>
      <c r="L42" s="75"/>
      <c r="M42" s="75"/>
      <c r="N42" s="75"/>
      <c r="O42" s="13"/>
      <c r="P42" s="75"/>
      <c r="Q42" s="75"/>
      <c r="S42" s="13"/>
      <c r="T42" s="75"/>
      <c r="U42" s="75"/>
      <c r="W42" s="13"/>
      <c r="X42" s="160"/>
      <c r="Y42" s="75"/>
      <c r="AA42" s="13"/>
      <c r="AB42" s="160"/>
      <c r="AC42" s="75"/>
      <c r="AE42" s="13"/>
      <c r="AF42" s="160"/>
      <c r="AG42" s="75"/>
    </row>
    <row r="43" spans="1:33">
      <c r="B43" s="140" t="s">
        <v>260</v>
      </c>
      <c r="C43" s="161" t="s">
        <v>263</v>
      </c>
      <c r="D43" s="161" t="s">
        <v>263</v>
      </c>
      <c r="E43" s="161" t="s">
        <v>263</v>
      </c>
      <c r="F43" s="161" t="s">
        <v>263</v>
      </c>
      <c r="G43" s="161" t="s">
        <v>263</v>
      </c>
      <c r="H43" s="161" t="s">
        <v>263</v>
      </c>
      <c r="I43" s="161" t="s">
        <v>263</v>
      </c>
      <c r="J43" s="166">
        <f t="shared" ref="J43:J45" si="79">AG43</f>
        <v>264</v>
      </c>
      <c r="K43" s="143"/>
      <c r="L43" s="75">
        <v>197.39975542592126</v>
      </c>
      <c r="M43" s="75">
        <v>203.42728252478599</v>
      </c>
      <c r="N43" s="75">
        <v>213.354645107663</v>
      </c>
      <c r="O43" s="75">
        <v>219.458115957904</v>
      </c>
      <c r="P43" s="75">
        <v>225.7</v>
      </c>
      <c r="Q43" s="75">
        <v>229.4</v>
      </c>
      <c r="R43" s="75">
        <v>235.4</v>
      </c>
      <c r="S43" s="75">
        <v>236</v>
      </c>
      <c r="T43" s="75">
        <v>239.1</v>
      </c>
      <c r="U43" s="75">
        <v>235</v>
      </c>
      <c r="V43" s="75">
        <v>229</v>
      </c>
      <c r="W43" s="75">
        <v>234</v>
      </c>
      <c r="X43" s="160">
        <v>226</v>
      </c>
      <c r="Y43" s="160">
        <v>241</v>
      </c>
      <c r="Z43" s="75">
        <v>245</v>
      </c>
      <c r="AA43" s="75">
        <f>AA35</f>
        <v>244</v>
      </c>
      <c r="AB43" s="160">
        <v>260</v>
      </c>
      <c r="AC43" s="160">
        <v>263</v>
      </c>
      <c r="AD43" s="75">
        <v>265</v>
      </c>
      <c r="AE43" s="75">
        <v>262</v>
      </c>
      <c r="AF43" s="160">
        <v>268</v>
      </c>
      <c r="AG43" s="160">
        <v>264</v>
      </c>
    </row>
    <row r="44" spans="1:33">
      <c r="B44" s="140" t="s">
        <v>298</v>
      </c>
      <c r="C44" s="161" t="s">
        <v>263</v>
      </c>
      <c r="D44" s="161" t="s">
        <v>263</v>
      </c>
      <c r="E44" s="161" t="s">
        <v>263</v>
      </c>
      <c r="F44" s="161" t="s">
        <v>263</v>
      </c>
      <c r="G44" s="161" t="s">
        <v>263</v>
      </c>
      <c r="H44" s="161" t="s">
        <v>263</v>
      </c>
      <c r="I44" s="161" t="s">
        <v>263</v>
      </c>
      <c r="J44" s="166">
        <f t="shared" si="79"/>
        <v>114</v>
      </c>
      <c r="K44" s="143"/>
      <c r="L44" s="75">
        <v>112</v>
      </c>
      <c r="M44" s="75">
        <v>114.3</v>
      </c>
      <c r="N44" s="75">
        <v>120.1</v>
      </c>
      <c r="O44" s="75">
        <v>123.4</v>
      </c>
      <c r="P44" s="75">
        <v>125.5</v>
      </c>
      <c r="Q44" s="75">
        <v>124.5</v>
      </c>
      <c r="R44" s="75">
        <v>129.30000000000001</v>
      </c>
      <c r="S44" s="75">
        <v>124</v>
      </c>
      <c r="T44" s="75">
        <v>124</v>
      </c>
      <c r="U44" s="75">
        <v>122</v>
      </c>
      <c r="V44" s="75">
        <v>120</v>
      </c>
      <c r="W44" s="75">
        <v>119</v>
      </c>
      <c r="X44" s="160">
        <v>113</v>
      </c>
      <c r="Y44" s="160">
        <v>115</v>
      </c>
      <c r="Z44" s="75">
        <v>117</v>
      </c>
      <c r="AA44" s="75">
        <v>117</v>
      </c>
      <c r="AB44" s="160">
        <v>116</v>
      </c>
      <c r="AC44" s="160">
        <v>117</v>
      </c>
      <c r="AD44" s="75">
        <v>116</v>
      </c>
      <c r="AE44" s="75">
        <v>113</v>
      </c>
      <c r="AF44" s="160">
        <v>117</v>
      </c>
      <c r="AG44" s="160">
        <v>114</v>
      </c>
    </row>
    <row r="45" spans="1:33">
      <c r="B45" s="140" t="s">
        <v>299</v>
      </c>
      <c r="C45" s="161" t="s">
        <v>263</v>
      </c>
      <c r="D45" s="161" t="s">
        <v>263</v>
      </c>
      <c r="E45" s="161" t="s">
        <v>263</v>
      </c>
      <c r="F45" s="161" t="s">
        <v>263</v>
      </c>
      <c r="G45" s="161" t="s">
        <v>263</v>
      </c>
      <c r="H45" s="161" t="s">
        <v>263</v>
      </c>
      <c r="I45" s="161" t="s">
        <v>263</v>
      </c>
      <c r="J45" s="166">
        <f t="shared" si="79"/>
        <v>124</v>
      </c>
      <c r="K45" s="143"/>
      <c r="L45" s="75">
        <v>42.7</v>
      </c>
      <c r="M45" s="75">
        <v>47.1</v>
      </c>
      <c r="N45" s="75">
        <v>51.7</v>
      </c>
      <c r="O45" s="75">
        <v>56</v>
      </c>
      <c r="P45" s="75">
        <v>60.9</v>
      </c>
      <c r="Q45" s="75">
        <v>66.2</v>
      </c>
      <c r="R45" s="75">
        <v>71.2</v>
      </c>
      <c r="S45" s="75">
        <v>76</v>
      </c>
      <c r="T45" s="75">
        <v>80</v>
      </c>
      <c r="U45" s="75">
        <v>83</v>
      </c>
      <c r="V45" s="75">
        <v>85</v>
      </c>
      <c r="W45" s="75">
        <v>89</v>
      </c>
      <c r="X45" s="160">
        <v>94</v>
      </c>
      <c r="Y45" s="160">
        <v>100</v>
      </c>
      <c r="Z45" s="75">
        <v>103</v>
      </c>
      <c r="AA45" s="75">
        <v>107</v>
      </c>
      <c r="AB45" s="160">
        <v>114</v>
      </c>
      <c r="AC45" s="160">
        <v>117</v>
      </c>
      <c r="AD45" s="75">
        <v>119</v>
      </c>
      <c r="AE45" s="75">
        <v>121</v>
      </c>
      <c r="AF45" s="160">
        <v>123</v>
      </c>
      <c r="AG45" s="160">
        <v>124</v>
      </c>
    </row>
    <row r="46" spans="1:33">
      <c r="C46" s="75"/>
      <c r="D46" s="75"/>
      <c r="E46" s="75"/>
      <c r="F46" s="75"/>
      <c r="G46" s="75"/>
      <c r="H46" s="75"/>
      <c r="I46" s="75"/>
      <c r="L46" s="75"/>
      <c r="M46" s="75"/>
      <c r="N46" s="75"/>
      <c r="P46" s="75"/>
      <c r="Q46" s="75"/>
      <c r="T46" s="75"/>
      <c r="U46" s="75"/>
      <c r="X46" s="160"/>
      <c r="Y46" s="75"/>
      <c r="AB46" s="160"/>
      <c r="AC46" s="75"/>
      <c r="AF46" s="160"/>
      <c r="AG46" s="75"/>
    </row>
    <row r="47" spans="1:33">
      <c r="B47" s="154" t="s">
        <v>300</v>
      </c>
      <c r="C47" s="75"/>
      <c r="D47" s="75"/>
      <c r="E47" s="75"/>
      <c r="F47" s="75"/>
      <c r="G47" s="75"/>
      <c r="H47" s="75"/>
      <c r="I47" s="75"/>
      <c r="J47" s="166">
        <f>AG47</f>
        <v>111221</v>
      </c>
      <c r="K47" s="143"/>
      <c r="L47" s="75">
        <v>64238</v>
      </c>
      <c r="M47" s="75">
        <v>70756</v>
      </c>
      <c r="N47" s="75">
        <v>77592</v>
      </c>
      <c r="O47" s="75">
        <v>85858</v>
      </c>
      <c r="P47" s="75">
        <v>89228</v>
      </c>
      <c r="Q47" s="75">
        <v>94182</v>
      </c>
      <c r="R47" s="75">
        <v>107348</v>
      </c>
      <c r="S47" s="75">
        <v>112771</v>
      </c>
      <c r="T47" s="75">
        <v>116213</v>
      </c>
      <c r="U47" s="75">
        <v>110715</v>
      </c>
      <c r="V47" s="75">
        <v>108836</v>
      </c>
      <c r="W47" s="75">
        <v>108436</v>
      </c>
      <c r="X47" s="75">
        <v>106221</v>
      </c>
      <c r="Y47" s="75">
        <v>104503</v>
      </c>
      <c r="Z47" s="75">
        <v>105309</v>
      </c>
      <c r="AA47" s="75">
        <v>105417</v>
      </c>
      <c r="AB47" s="75">
        <v>104787</v>
      </c>
      <c r="AC47" s="75">
        <v>105506</v>
      </c>
      <c r="AD47" s="75">
        <v>108823</v>
      </c>
      <c r="AE47" s="75">
        <v>110558</v>
      </c>
      <c r="AF47" s="75">
        <v>109414</v>
      </c>
      <c r="AG47" s="75">
        <v>111221</v>
      </c>
    </row>
    <row r="48" spans="1:33" s="143" customFormat="1">
      <c r="A48" s="117"/>
      <c r="B48" s="140"/>
      <c r="C48" s="75"/>
      <c r="D48" s="75"/>
      <c r="E48" s="75"/>
      <c r="F48" s="75"/>
      <c r="G48" s="75"/>
      <c r="H48" s="75"/>
      <c r="I48" s="75"/>
      <c r="J48" s="120"/>
      <c r="L48" s="75"/>
      <c r="M48" s="75"/>
      <c r="N48" s="75"/>
      <c r="O48" s="13"/>
      <c r="P48" s="75"/>
      <c r="Q48" s="75"/>
      <c r="S48" s="13"/>
      <c r="U48" s="75"/>
      <c r="W48" s="13"/>
      <c r="Y48" s="75"/>
      <c r="AA48" s="13"/>
      <c r="AC48" s="75"/>
      <c r="AE48" s="13"/>
      <c r="AG48" s="75"/>
    </row>
    <row r="49" spans="1:33" s="143" customFormat="1">
      <c r="A49" s="117"/>
      <c r="B49" s="140"/>
      <c r="C49" s="75"/>
      <c r="D49" s="75"/>
      <c r="E49" s="75"/>
      <c r="F49" s="75"/>
      <c r="G49" s="75"/>
      <c r="H49" s="75"/>
      <c r="I49" s="75"/>
      <c r="J49" s="120"/>
      <c r="L49" s="75"/>
      <c r="M49" s="75"/>
      <c r="N49" s="75"/>
      <c r="O49" s="13"/>
      <c r="P49" s="75"/>
      <c r="Q49" s="75"/>
      <c r="S49" s="13"/>
      <c r="U49" s="75"/>
      <c r="W49" s="13"/>
      <c r="Y49" s="75"/>
      <c r="AA49" s="13"/>
      <c r="AC49" s="75"/>
      <c r="AE49" s="13"/>
      <c r="AG49" s="75"/>
    </row>
    <row r="50" spans="1:33" s="143" customFormat="1">
      <c r="A50" s="117"/>
      <c r="B50" s="140"/>
      <c r="C50" s="75"/>
      <c r="D50" s="75"/>
      <c r="E50" s="75"/>
      <c r="F50" s="75"/>
      <c r="G50" s="75"/>
      <c r="H50" s="75"/>
      <c r="I50" s="75"/>
      <c r="J50" s="120"/>
      <c r="L50" s="75"/>
      <c r="M50" s="75"/>
      <c r="N50" s="75"/>
      <c r="O50" s="13"/>
      <c r="P50" s="75"/>
      <c r="Q50" s="75"/>
      <c r="S50" s="13"/>
      <c r="U50" s="75"/>
      <c r="W50" s="13"/>
      <c r="Y50" s="75"/>
      <c r="AA50" s="13"/>
      <c r="AC50" s="75"/>
      <c r="AE50" s="13"/>
      <c r="AG50" s="75"/>
    </row>
    <row r="51" spans="1:33">
      <c r="B51" s="141"/>
      <c r="C51" s="75"/>
      <c r="D51" s="75"/>
      <c r="E51" s="75"/>
      <c r="F51" s="75"/>
      <c r="G51" s="75"/>
      <c r="H51" s="75"/>
      <c r="I51" s="75"/>
      <c r="J51" s="124"/>
      <c r="L51" s="75"/>
      <c r="M51" s="75"/>
      <c r="N51" s="75"/>
      <c r="O51" s="124"/>
      <c r="P51" s="75"/>
      <c r="Q51" s="75"/>
      <c r="S51" s="124"/>
      <c r="U51" s="75"/>
      <c r="W51" s="124"/>
      <c r="Y51" s="75"/>
      <c r="AA51" s="124"/>
      <c r="AC51" s="75"/>
      <c r="AE51" s="124"/>
      <c r="AG51" s="75"/>
    </row>
    <row r="52" spans="1:33">
      <c r="L52" s="75"/>
      <c r="M52" s="75"/>
      <c r="N52" s="75"/>
    </row>
    <row r="53" spans="1:33">
      <c r="B53" s="131"/>
      <c r="C53" s="142"/>
      <c r="D53" s="142"/>
      <c r="E53" s="142"/>
      <c r="F53" s="142"/>
      <c r="G53" s="142"/>
      <c r="H53" s="142"/>
      <c r="I53" s="142"/>
      <c r="J53" s="142"/>
      <c r="L53" s="75"/>
      <c r="M53" s="75"/>
      <c r="N53" s="75"/>
      <c r="O53" s="142"/>
      <c r="P53" s="142"/>
      <c r="Q53" s="142"/>
      <c r="S53" s="142"/>
      <c r="U53" s="142"/>
      <c r="W53" s="142"/>
      <c r="Y53" s="142"/>
      <c r="AA53" s="142"/>
      <c r="AC53" s="142"/>
      <c r="AE53" s="142"/>
      <c r="AG53" s="142"/>
    </row>
    <row r="54" spans="1:33">
      <c r="B54" s="140"/>
      <c r="C54" s="148"/>
      <c r="D54" s="148"/>
      <c r="E54" s="148"/>
      <c r="F54" s="148"/>
      <c r="G54" s="148"/>
      <c r="H54" s="148"/>
      <c r="I54" s="148"/>
      <c r="J54" s="148"/>
      <c r="L54" s="75"/>
      <c r="M54" s="75"/>
      <c r="N54" s="75"/>
      <c r="O54" s="148"/>
      <c r="P54" s="148"/>
      <c r="Q54" s="148"/>
      <c r="S54" s="148"/>
      <c r="U54" s="148"/>
      <c r="W54" s="148"/>
      <c r="Y54" s="148"/>
      <c r="AA54" s="148"/>
      <c r="AC54" s="148"/>
      <c r="AE54" s="148"/>
      <c r="AG54" s="148"/>
    </row>
    <row r="56" spans="1:33">
      <c r="B56" s="131"/>
    </row>
    <row r="57" spans="1:33" s="143" customFormat="1">
      <c r="A57" s="117"/>
      <c r="B57" s="117"/>
      <c r="C57" s="75"/>
      <c r="D57" s="75"/>
      <c r="E57" s="75"/>
      <c r="F57" s="75"/>
      <c r="G57" s="75"/>
      <c r="H57" s="75"/>
      <c r="I57" s="75"/>
      <c r="J57" s="120"/>
      <c r="L57" s="75"/>
      <c r="M57" s="75"/>
      <c r="N57" s="75"/>
      <c r="O57" s="13"/>
      <c r="P57" s="75"/>
      <c r="Q57" s="75"/>
      <c r="S57" s="13"/>
      <c r="U57" s="75"/>
      <c r="W57" s="13"/>
      <c r="Y57" s="75"/>
      <c r="AA57" s="13"/>
      <c r="AC57" s="75"/>
      <c r="AE57" s="13"/>
      <c r="AG57" s="75"/>
    </row>
    <row r="58" spans="1:33" s="143" customFormat="1">
      <c r="A58" s="117"/>
      <c r="B58" s="117"/>
      <c r="C58" s="75"/>
      <c r="D58" s="75"/>
      <c r="E58" s="75"/>
      <c r="F58" s="75"/>
      <c r="G58" s="75"/>
      <c r="H58" s="75"/>
      <c r="I58" s="75"/>
      <c r="J58" s="120"/>
      <c r="L58" s="75"/>
      <c r="M58" s="75"/>
      <c r="N58" s="75"/>
      <c r="O58" s="13"/>
      <c r="P58" s="75"/>
      <c r="Q58" s="75"/>
      <c r="S58" s="13"/>
      <c r="U58" s="75"/>
      <c r="W58" s="13"/>
      <c r="Y58" s="75"/>
      <c r="AA58" s="13"/>
      <c r="AC58" s="75"/>
      <c r="AE58" s="13"/>
      <c r="AG58" s="75"/>
    </row>
    <row r="59" spans="1:33">
      <c r="B59" s="131"/>
      <c r="C59" s="142"/>
      <c r="D59" s="142"/>
      <c r="E59" s="142"/>
      <c r="F59" s="142"/>
      <c r="G59" s="142"/>
      <c r="H59" s="142"/>
      <c r="I59" s="142"/>
      <c r="J59" s="142"/>
      <c r="L59" s="142"/>
      <c r="M59" s="142"/>
      <c r="N59" s="142"/>
      <c r="O59" s="142"/>
      <c r="P59" s="142"/>
      <c r="Q59" s="142"/>
      <c r="S59" s="142"/>
      <c r="U59" s="142"/>
      <c r="W59" s="142"/>
      <c r="Y59" s="142"/>
      <c r="AA59" s="142"/>
      <c r="AC59" s="142"/>
      <c r="AE59" s="142"/>
      <c r="AG59" s="142"/>
    </row>
    <row r="61" spans="1:33" s="143" customFormat="1">
      <c r="A61" s="117"/>
      <c r="B61" s="131"/>
      <c r="C61" s="75"/>
      <c r="D61" s="75"/>
      <c r="E61" s="75"/>
      <c r="F61" s="75"/>
      <c r="G61" s="75"/>
      <c r="H61" s="75"/>
      <c r="I61" s="75"/>
      <c r="J61" s="120"/>
      <c r="L61" s="75"/>
      <c r="M61" s="75"/>
      <c r="N61" s="75"/>
      <c r="O61" s="13"/>
      <c r="P61" s="75"/>
      <c r="Q61" s="75"/>
      <c r="S61" s="13"/>
      <c r="U61" s="75"/>
      <c r="W61" s="13"/>
      <c r="Y61" s="75"/>
      <c r="AA61" s="13"/>
      <c r="AC61" s="75"/>
      <c r="AE61" s="13"/>
      <c r="AG61" s="75"/>
    </row>
    <row r="63" spans="1:33">
      <c r="B63" s="131"/>
    </row>
    <row r="64" spans="1:33" s="143" customFormat="1">
      <c r="A64" s="117"/>
      <c r="B64" s="140"/>
      <c r="C64" s="75"/>
      <c r="D64" s="75"/>
      <c r="E64" s="75"/>
      <c r="F64" s="75"/>
      <c r="G64" s="75"/>
      <c r="H64" s="75"/>
      <c r="I64" s="75"/>
      <c r="J64" s="120"/>
      <c r="L64" s="75"/>
      <c r="M64" s="75"/>
      <c r="N64" s="75"/>
      <c r="O64" s="13"/>
      <c r="P64" s="75"/>
      <c r="Q64" s="75"/>
      <c r="S64" s="13"/>
      <c r="U64" s="75"/>
      <c r="W64" s="13"/>
      <c r="Y64" s="75"/>
      <c r="AA64" s="13"/>
      <c r="AC64" s="75"/>
      <c r="AE64" s="13"/>
      <c r="AG64" s="75"/>
    </row>
    <row r="65" spans="1:33" s="143" customFormat="1">
      <c r="A65" s="117"/>
      <c r="B65" s="140"/>
      <c r="C65" s="75"/>
      <c r="D65" s="75"/>
      <c r="E65" s="75"/>
      <c r="F65" s="75"/>
      <c r="G65" s="75"/>
      <c r="H65" s="75"/>
      <c r="I65" s="75"/>
      <c r="J65" s="120"/>
      <c r="L65" s="75"/>
      <c r="M65" s="75"/>
      <c r="N65" s="75"/>
      <c r="O65" s="13"/>
      <c r="P65" s="75"/>
      <c r="Q65" s="75"/>
      <c r="S65" s="13"/>
      <c r="U65" s="75"/>
      <c r="W65" s="13"/>
      <c r="Y65" s="75"/>
      <c r="AA65" s="13"/>
      <c r="AC65" s="75"/>
      <c r="AE65" s="13"/>
      <c r="AG65" s="75"/>
    </row>
    <row r="66" spans="1:33">
      <c r="B66" s="131"/>
      <c r="C66" s="142"/>
      <c r="D66" s="142"/>
      <c r="E66" s="142"/>
      <c r="F66" s="142"/>
      <c r="G66" s="142"/>
      <c r="H66" s="142"/>
      <c r="I66" s="142"/>
      <c r="J66" s="142"/>
      <c r="L66" s="142"/>
      <c r="M66" s="142"/>
      <c r="N66" s="142"/>
      <c r="O66" s="142"/>
      <c r="P66" s="142"/>
      <c r="Q66" s="142"/>
      <c r="S66" s="142"/>
      <c r="U66" s="142"/>
      <c r="W66" s="142"/>
      <c r="Y66" s="142"/>
      <c r="AA66" s="142"/>
      <c r="AC66" s="142"/>
      <c r="AE66" s="142"/>
      <c r="AG66" s="142"/>
    </row>
    <row r="68" spans="1:33">
      <c r="B68" s="131"/>
    </row>
    <row r="69" spans="1:33" s="143" customFormat="1">
      <c r="A69" s="117"/>
      <c r="B69" s="140"/>
      <c r="C69" s="75"/>
      <c r="D69" s="75"/>
      <c r="E69" s="75"/>
      <c r="F69" s="75"/>
      <c r="G69" s="75"/>
      <c r="H69" s="75"/>
      <c r="I69" s="75"/>
      <c r="J69" s="120"/>
      <c r="L69" s="75"/>
      <c r="M69" s="75"/>
      <c r="N69" s="75"/>
      <c r="O69" s="13"/>
      <c r="P69" s="75"/>
      <c r="Q69" s="75"/>
      <c r="S69" s="13"/>
      <c r="U69" s="75"/>
      <c r="W69" s="13"/>
      <c r="Y69" s="75"/>
      <c r="AA69" s="13"/>
      <c r="AC69" s="75"/>
      <c r="AE69" s="13"/>
      <c r="AG69" s="75"/>
    </row>
    <row r="70" spans="1:33" s="143" customFormat="1">
      <c r="A70" s="117"/>
      <c r="B70" s="140"/>
      <c r="C70" s="75"/>
      <c r="D70" s="75"/>
      <c r="E70" s="75"/>
      <c r="F70" s="75"/>
      <c r="G70" s="75"/>
      <c r="H70" s="75"/>
      <c r="I70" s="75"/>
      <c r="J70" s="120"/>
      <c r="L70" s="75"/>
      <c r="M70" s="75"/>
      <c r="N70" s="75"/>
      <c r="O70" s="13"/>
      <c r="P70" s="75"/>
      <c r="Q70" s="75"/>
      <c r="S70" s="13"/>
      <c r="U70" s="75"/>
      <c r="W70" s="13"/>
      <c r="Y70" s="75"/>
      <c r="AA70" s="13"/>
      <c r="AC70" s="75"/>
      <c r="AE70" s="13"/>
      <c r="AG70" s="75"/>
    </row>
    <row r="71" spans="1:33">
      <c r="B71" s="131"/>
      <c r="C71" s="142"/>
      <c r="D71" s="142"/>
      <c r="E71" s="142"/>
      <c r="F71" s="142"/>
      <c r="G71" s="142"/>
      <c r="H71" s="142"/>
      <c r="I71" s="142"/>
      <c r="J71" s="142"/>
      <c r="L71" s="142"/>
      <c r="M71" s="142"/>
      <c r="N71" s="142"/>
      <c r="O71" s="142"/>
      <c r="P71" s="142"/>
      <c r="Q71" s="142"/>
      <c r="S71" s="142"/>
      <c r="U71" s="142"/>
      <c r="W71" s="142"/>
      <c r="Y71" s="142"/>
      <c r="AA71" s="142"/>
      <c r="AC71" s="142"/>
      <c r="AE71" s="142"/>
      <c r="AG71" s="142"/>
    </row>
    <row r="73" spans="1:33" s="143" customFormat="1">
      <c r="A73" s="117"/>
      <c r="B73" s="131"/>
      <c r="J73" s="120"/>
    </row>
    <row r="74" spans="1:33">
      <c r="B74" s="140"/>
      <c r="C74" s="75"/>
      <c r="D74" s="75"/>
      <c r="E74" s="75"/>
      <c r="F74" s="75"/>
      <c r="G74" s="75"/>
      <c r="H74" s="75"/>
      <c r="I74" s="75"/>
      <c r="J74" s="120"/>
      <c r="L74" s="75"/>
      <c r="M74" s="75"/>
      <c r="N74" s="75"/>
      <c r="O74" s="13"/>
      <c r="P74" s="75"/>
      <c r="Q74" s="75"/>
      <c r="S74" s="13"/>
      <c r="U74" s="75"/>
      <c r="W74" s="13"/>
      <c r="Y74" s="75"/>
      <c r="AA74" s="13"/>
      <c r="AC74" s="75"/>
      <c r="AE74" s="13"/>
      <c r="AG74" s="75"/>
    </row>
    <row r="75" spans="1:33">
      <c r="B75" s="140"/>
      <c r="C75" s="75"/>
      <c r="D75" s="75"/>
      <c r="E75" s="75"/>
      <c r="F75" s="75"/>
      <c r="G75" s="75"/>
      <c r="H75" s="75"/>
      <c r="I75" s="75"/>
      <c r="J75" s="120"/>
      <c r="L75" s="75"/>
      <c r="M75" s="75"/>
      <c r="N75" s="75"/>
      <c r="O75" s="13"/>
      <c r="P75" s="75"/>
      <c r="Q75" s="75"/>
      <c r="S75" s="13"/>
      <c r="U75" s="75"/>
      <c r="W75" s="13"/>
      <c r="Y75" s="75"/>
      <c r="AA75" s="13"/>
      <c r="AC75" s="75"/>
      <c r="AE75" s="13"/>
      <c r="AG75" s="75"/>
    </row>
    <row r="76" spans="1:33">
      <c r="B76" s="140"/>
      <c r="C76" s="75"/>
      <c r="D76" s="75"/>
      <c r="E76" s="75"/>
      <c r="F76" s="75"/>
      <c r="G76" s="75"/>
      <c r="H76" s="75"/>
      <c r="I76" s="75"/>
      <c r="J76" s="120"/>
      <c r="L76" s="75"/>
      <c r="M76" s="75"/>
      <c r="N76" s="75"/>
      <c r="O76" s="13"/>
      <c r="P76" s="75"/>
      <c r="Q76" s="75"/>
      <c r="S76" s="13"/>
      <c r="U76" s="75"/>
      <c r="W76" s="13"/>
      <c r="Y76" s="75"/>
      <c r="AA76" s="13"/>
      <c r="AC76" s="75"/>
      <c r="AE76" s="13"/>
      <c r="AG76" s="75"/>
    </row>
    <row r="77" spans="1:33">
      <c r="B77" s="140"/>
      <c r="C77" s="75"/>
      <c r="D77" s="75"/>
      <c r="E77" s="75"/>
      <c r="F77" s="75"/>
      <c r="G77" s="75"/>
      <c r="H77" s="75"/>
      <c r="I77" s="75"/>
      <c r="J77" s="120"/>
      <c r="L77" s="75"/>
      <c r="M77" s="75"/>
      <c r="N77" s="75"/>
      <c r="O77" s="13"/>
      <c r="P77" s="75"/>
      <c r="Q77" s="75"/>
      <c r="S77" s="13"/>
      <c r="U77" s="75"/>
      <c r="W77" s="13"/>
      <c r="Y77" s="75"/>
      <c r="AA77" s="13"/>
      <c r="AC77" s="75"/>
      <c r="AE77" s="13"/>
      <c r="AG77" s="75"/>
    </row>
    <row r="78" spans="1:33">
      <c r="B78" s="131"/>
      <c r="C78" s="142"/>
      <c r="D78" s="142"/>
      <c r="E78" s="142"/>
      <c r="F78" s="142"/>
      <c r="G78" s="142"/>
      <c r="H78" s="142"/>
      <c r="I78" s="142"/>
      <c r="J78" s="142"/>
      <c r="L78" s="142"/>
      <c r="M78" s="142"/>
      <c r="N78" s="142"/>
      <c r="O78" s="142"/>
      <c r="P78" s="142"/>
      <c r="Q78" s="142"/>
      <c r="S78" s="142"/>
      <c r="U78" s="142"/>
      <c r="W78" s="142"/>
      <c r="Y78" s="142"/>
      <c r="AA78" s="142"/>
      <c r="AC78" s="142"/>
      <c r="AE78" s="142"/>
      <c r="AG78" s="142"/>
    </row>
    <row r="80" spans="1:33">
      <c r="B80" s="131"/>
    </row>
    <row r="81" spans="2:33">
      <c r="B81" s="140"/>
      <c r="C81" s="75"/>
      <c r="D81" s="75"/>
      <c r="E81" s="75"/>
      <c r="F81" s="75"/>
      <c r="G81" s="75"/>
      <c r="H81" s="75"/>
      <c r="I81" s="75"/>
      <c r="J81" s="120"/>
      <c r="L81" s="75"/>
      <c r="M81" s="75"/>
      <c r="N81" s="75"/>
      <c r="O81" s="13"/>
      <c r="P81" s="75"/>
      <c r="Q81" s="75"/>
      <c r="S81" s="13"/>
      <c r="U81" s="75"/>
      <c r="W81" s="13"/>
      <c r="Y81" s="75"/>
      <c r="AA81" s="13"/>
      <c r="AC81" s="75"/>
      <c r="AE81" s="13"/>
      <c r="AG81" s="75"/>
    </row>
    <row r="82" spans="2:33">
      <c r="B82" s="140"/>
      <c r="C82" s="75"/>
      <c r="D82" s="75"/>
      <c r="E82" s="75"/>
      <c r="F82" s="75"/>
      <c r="G82" s="75"/>
      <c r="H82" s="75"/>
      <c r="I82" s="75"/>
      <c r="J82" s="120"/>
      <c r="L82" s="75"/>
      <c r="M82" s="75"/>
      <c r="N82" s="75"/>
      <c r="O82" s="13"/>
      <c r="P82" s="75"/>
      <c r="Q82" s="75"/>
      <c r="S82" s="13"/>
      <c r="U82" s="75"/>
      <c r="W82" s="13"/>
      <c r="Y82" s="75"/>
      <c r="AA82" s="13"/>
      <c r="AC82" s="75"/>
      <c r="AE82" s="13"/>
      <c r="AG82" s="75"/>
    </row>
    <row r="83" spans="2:33">
      <c r="B83" s="131"/>
      <c r="C83" s="142"/>
      <c r="D83" s="142"/>
      <c r="E83" s="142"/>
      <c r="F83" s="142"/>
      <c r="G83" s="142"/>
      <c r="H83" s="142"/>
      <c r="I83" s="142"/>
      <c r="J83" s="142"/>
      <c r="L83" s="142"/>
      <c r="M83" s="142"/>
      <c r="N83" s="142"/>
      <c r="O83" s="142"/>
      <c r="P83" s="142"/>
      <c r="Q83" s="142"/>
      <c r="S83" s="142"/>
      <c r="U83" s="142"/>
      <c r="W83" s="142"/>
      <c r="Y83" s="142"/>
      <c r="AA83" s="142"/>
      <c r="AC83" s="142"/>
      <c r="AE83" s="142"/>
      <c r="AG83" s="142"/>
    </row>
    <row r="84" spans="2:33" s="126" customFormat="1">
      <c r="C84" s="127"/>
      <c r="D84" s="127"/>
      <c r="E84" s="127"/>
      <c r="F84" s="127"/>
      <c r="G84" s="127"/>
      <c r="H84" s="127"/>
      <c r="I84" s="127"/>
      <c r="J84" s="127"/>
      <c r="L84" s="127"/>
      <c r="M84" s="127"/>
      <c r="N84" s="127"/>
      <c r="O84" s="127"/>
      <c r="P84" s="127"/>
      <c r="Q84" s="127"/>
      <c r="S84" s="127"/>
      <c r="U84" s="127"/>
      <c r="W84" s="127"/>
      <c r="Y84" s="127"/>
      <c r="AA84" s="127"/>
      <c r="AC84" s="127"/>
      <c r="AE84" s="127"/>
      <c r="AG84" s="127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K11:O11 K10" formula="1"/>
    <ignoredError sqref="K20:R25 C20:E25" evalError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34758E-8AAB-47B5-8563-FAEF76C06C51}"/>
</file>

<file path=customXml/itemProps2.xml><?xml version="1.0" encoding="utf-8"?>
<ds:datastoreItem xmlns:ds="http://schemas.openxmlformats.org/officeDocument/2006/customXml" ds:itemID="{9D9139B7-06CF-4D69-9AEC-01DFF3BE392E}"/>
</file>

<file path=customXml/itemProps3.xml><?xml version="1.0" encoding="utf-8"?>
<ds:datastoreItem xmlns:ds="http://schemas.openxmlformats.org/officeDocument/2006/customXml" ds:itemID="{A3E11A04-DDCA-45D5-8254-39977D6009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Kumar, Gunjan</cp:lastModifiedBy>
  <cp:revision/>
  <dcterms:created xsi:type="dcterms:W3CDTF">2008-03-12T15:44:19Z</dcterms:created>
  <dcterms:modified xsi:type="dcterms:W3CDTF">2026-08-01T07:00:02Z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{7259EA4D-B0FF-4B67-B3B9-C4BFD77D0FED}</vt:lpwstr>
  </property>
  <property fmtid="{D5CDD505-2E9C-101B-9397-08002B2CF9AE}" pid="3" name="MSIP_Label_8c63c790-1b4f-473b-b88f-a693ca173b52_Enabled">
    <vt:lpwstr>true</vt:lpwstr>
  </property>
  <property fmtid="{D5CDD505-2E9C-101B-9397-08002B2CF9AE}" pid="4" name="MSIP_Label_8c63c790-1b4f-473b-b88f-a693ca173b52_SetDate">
    <vt:lpwstr>2022-02-09T07:58:09Z</vt:lpwstr>
  </property>
  <property fmtid="{D5CDD505-2E9C-101B-9397-08002B2CF9AE}" pid="5" name="MSIP_Label_8c63c790-1b4f-473b-b88f-a693ca173b52_Method">
    <vt:lpwstr>Privileged</vt:lpwstr>
  </property>
  <property fmtid="{D5CDD505-2E9C-101B-9397-08002B2CF9AE}" pid="6" name="MSIP_Label_8c63c790-1b4f-473b-b88f-a693ca173b52_Name">
    <vt:lpwstr>Internal</vt:lpwstr>
  </property>
  <property fmtid="{D5CDD505-2E9C-101B-9397-08002B2CF9AE}" pid="7" name="MSIP_Label_8c63c790-1b4f-473b-b88f-a693ca173b52_SiteId">
    <vt:lpwstr>4d8b04bf-7a7c-48a0-b6e3-38da5008297e</vt:lpwstr>
  </property>
  <property fmtid="{D5CDD505-2E9C-101B-9397-08002B2CF9AE}" pid="8" name="MSIP_Label_8c63c790-1b4f-473b-b88f-a693ca173b52_ActionId">
    <vt:lpwstr>f6376142-76a9-4c21-b30b-8fbd12cb87ef</vt:lpwstr>
  </property>
  <property fmtid="{D5CDD505-2E9C-101B-9397-08002B2CF9AE}" pid="9" name="MSIP_Label_8c63c790-1b4f-473b-b88f-a693ca173b52_ContentBits">
    <vt:lpwstr>0</vt:lpwstr>
  </property>
  <property fmtid="{D5CDD505-2E9C-101B-9397-08002B2CF9AE}" pid="10" name="ContentTypeId">
    <vt:lpwstr>0x0101003A00EECCAA3DB94895FACE15614ECBE0</vt:lpwstr>
  </property>
  <property fmtid="{D5CDD505-2E9C-101B-9397-08002B2CF9AE}" pid="11" name="MSIP_Label_e23aaa83-1940-48a9-a4d6-4a193a1929ec_Enabled">
    <vt:lpwstr>true</vt:lpwstr>
  </property>
  <property fmtid="{D5CDD505-2E9C-101B-9397-08002B2CF9AE}" pid="12" name="MSIP_Label_e23aaa83-1940-48a9-a4d6-4a193a1929ec_SetDate">
    <vt:lpwstr>2026-08-01T06:59:57Z</vt:lpwstr>
  </property>
  <property fmtid="{D5CDD505-2E9C-101B-9397-08002B2CF9AE}" pid="13" name="MSIP_Label_e23aaa83-1940-48a9-a4d6-4a193a1929ec_Method">
    <vt:lpwstr>Standard</vt:lpwstr>
  </property>
  <property fmtid="{D5CDD505-2E9C-101B-9397-08002B2CF9AE}" pid="14" name="MSIP_Label_e23aaa83-1940-48a9-a4d6-4a193a1929ec_Name">
    <vt:lpwstr>Corporate</vt:lpwstr>
  </property>
  <property fmtid="{D5CDD505-2E9C-101B-9397-08002B2CF9AE}" pid="15" name="MSIP_Label_e23aaa83-1940-48a9-a4d6-4a193a1929ec_SiteId">
    <vt:lpwstr>ce78e7b0-e32a-4428-9390-1c2ec8a59c47</vt:lpwstr>
  </property>
  <property fmtid="{D5CDD505-2E9C-101B-9397-08002B2CF9AE}" pid="16" name="MSIP_Label_e23aaa83-1940-48a9-a4d6-4a193a1929ec_ActionId">
    <vt:lpwstr>e58faaf0-1031-4070-b165-ab87eb9a7986</vt:lpwstr>
  </property>
  <property fmtid="{D5CDD505-2E9C-101B-9397-08002B2CF9AE}" pid="17" name="MSIP_Label_e23aaa83-1940-48a9-a4d6-4a193a1929ec_ContentBits">
    <vt:lpwstr>2</vt:lpwstr>
  </property>
  <property fmtid="{D5CDD505-2E9C-101B-9397-08002B2CF9AE}" pid="18" name="MSIP_Label_e23aaa83-1940-48a9-a4d6-4a193a1929ec_Tag">
    <vt:lpwstr>10, 3, 0, 2</vt:lpwstr>
  </property>
</Properties>
</file>