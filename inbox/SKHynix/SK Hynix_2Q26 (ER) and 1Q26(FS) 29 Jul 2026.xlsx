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risil-my.sharepoint.com/personal/lokeshk_ad_crisil_com/Documents/1_Team_Fixed Income (Credit)/Bara Model Work/Bara - Model Update/WIP/Jul 2026 - SK Hynix/2Q26 (ER) 1Q26 (FS)/"/>
    </mc:Choice>
  </mc:AlternateContent>
  <xr:revisionPtr revIDLastSave="0" documentId="8_{E5716E52-939D-4522-A848-F0BB1C443DD4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Capitalisation" sheetId="22" r:id="rId1"/>
    <sheet name="Model" sheetId="23" r:id="rId2"/>
    <sheet name="KPIs" sheetId="26" r:id="rId3"/>
    <sheet name="Earnings Release" sheetId="27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\C" localSheetId="2">#REF!</definedName>
    <definedName name="\C">#REF!</definedName>
    <definedName name="\L">#REF!</definedName>
    <definedName name="\M">#REF!</definedName>
    <definedName name="\P">#REF!</definedName>
    <definedName name="\Y">#REF!</definedName>
    <definedName name="__FDS_HYPERLINK_TOGGLE_STATE__" hidden="1">"ON"</definedName>
    <definedName name="_01_30_04" localSheetId="2">MonthlyOpStats</definedName>
    <definedName name="_01_30_04">MonthlyOpStats</definedName>
    <definedName name="_1_30_01" localSheetId="2">MonthlyOpStats</definedName>
    <definedName name="_1_30_01">MonthlyOpStats</definedName>
    <definedName name="_1_30_02" localSheetId="2">MonthlyOpStats</definedName>
    <definedName name="_1_30_02">MonthlyOpStats</definedName>
    <definedName name="_1_31_01" localSheetId="2">MonthlyOpStats</definedName>
    <definedName name="_1_31_01">MonthlyOpStats</definedName>
    <definedName name="_1_31_02" localSheetId="2">MonthlyOpStats</definedName>
    <definedName name="_1_31_02">MonthlyOpStats</definedName>
    <definedName name="_12_31_05" localSheetId="2">MonthlyOpStats</definedName>
    <definedName name="_12_31_05">MonthlyOpStats</definedName>
    <definedName name="_A" localSheetId="2">#REF!</definedName>
    <definedName name="_A">#REF!</definedName>
    <definedName name="_A___0" localSheetId="2">#REF!</definedName>
    <definedName name="_A___0">#REF!</definedName>
    <definedName name="_B" localSheetId="2">#REF!</definedName>
    <definedName name="_B">#REF!</definedName>
    <definedName name="_B___0">#REF!</definedName>
    <definedName name="_C">#REF!</definedName>
    <definedName name="_C___0">#REF!</definedName>
    <definedName name="_ent1">[1]Inputs!$J$17</definedName>
    <definedName name="_ent10">[1]Inputs!$J$476</definedName>
    <definedName name="_ent11">[1]Inputs!$J$527</definedName>
    <definedName name="_ent12">[1]Inputs!$J$578</definedName>
    <definedName name="_ent13">[1]Inputs!$J$629</definedName>
    <definedName name="_ent14">[1]Inputs!$J$680</definedName>
    <definedName name="_ent15">[1]Inputs!$J$731</definedName>
    <definedName name="_ent2">[1]Inputs!$J$68</definedName>
    <definedName name="_ent3">[1]Inputs!$J$119</definedName>
    <definedName name="_ent4">[1]Inputs!$J$170</definedName>
    <definedName name="_ent5">[1]Inputs!$J$221</definedName>
    <definedName name="_ent6">[1]Inputs!$J$272</definedName>
    <definedName name="_ent7">[1]Inputs!$J$323</definedName>
    <definedName name="_ent8">[1]Inputs!$J$374</definedName>
    <definedName name="_ent9">[1]Inputs!$J$425</definedName>
    <definedName name="_eps1">[1]Inputs!$P$42</definedName>
    <definedName name="_eps10">[1]Inputs!$P$501</definedName>
    <definedName name="_eps11">[1]Inputs!$P$552</definedName>
    <definedName name="_eps12">[1]Inputs!$P$603</definedName>
    <definedName name="_eps13">[1]Inputs!$P$654</definedName>
    <definedName name="_eps14">[1]Inputs!$P$705</definedName>
    <definedName name="_eps15">[1]Inputs!$P$756</definedName>
    <definedName name="_eps2">[1]Inputs!$P$93</definedName>
    <definedName name="_eps3">[1]Inputs!$P$144</definedName>
    <definedName name="_eps4">[1]Inputs!$P$195</definedName>
    <definedName name="_eps5">[1]Inputs!$P$246</definedName>
    <definedName name="_eps6">[1]Inputs!$P$297</definedName>
    <definedName name="_eps7">[1]Inputs!$P$348</definedName>
    <definedName name="_eps8">[1]Inputs!$P$399</definedName>
    <definedName name="_eps9">[1]Inputs!$P$450</definedName>
    <definedName name="_Fill" hidden="1">[2]FxdChg!#REF!</definedName>
    <definedName name="_fye1">[1]Inputs!$E$12</definedName>
    <definedName name="_fye10">[1]Inputs!$E$471</definedName>
    <definedName name="_fye11">[1]Inputs!$E$522</definedName>
    <definedName name="_fye12">[1]Inputs!$E$573</definedName>
    <definedName name="_fye13">[1]Inputs!$E$624</definedName>
    <definedName name="_fye14">[1]Inputs!$E$675</definedName>
    <definedName name="_fye15">[1]Inputs!$E$726</definedName>
    <definedName name="_fye2">[1]Inputs!$E$63</definedName>
    <definedName name="_fye3">[1]Inputs!$E$114</definedName>
    <definedName name="_fye4">[1]Inputs!$E$165</definedName>
    <definedName name="_fye5">[1]Inputs!$E$216</definedName>
    <definedName name="_fye6">[1]Inputs!$E$267</definedName>
    <definedName name="_fye7">[1]Inputs!$E$318</definedName>
    <definedName name="_fye8">[1]Inputs!$E$369</definedName>
    <definedName name="_fye9">[1]Inputs!$E$420</definedName>
    <definedName name="_GEI_Returns">[3]Model!#REF!</definedName>
    <definedName name="_L">#REF!</definedName>
    <definedName name="_L___0">#REF!</definedName>
    <definedName name="_mv1">[1]Inputs!$J$16</definedName>
    <definedName name="_mv10">[1]Inputs!$J$475</definedName>
    <definedName name="_mv11">[1]Inputs!$J$526</definedName>
    <definedName name="_mv12">[1]Inputs!$J$577</definedName>
    <definedName name="_mv13">[1]Inputs!$J$628</definedName>
    <definedName name="_mv14">[1]Inputs!$J$679</definedName>
    <definedName name="_mv15">[1]Inputs!$J$730</definedName>
    <definedName name="_mv2">[1]Inputs!$J$67</definedName>
    <definedName name="_mv3">[1]Inputs!$J$118</definedName>
    <definedName name="_mv4">[1]Inputs!$J$169</definedName>
    <definedName name="_mv5">[1]Inputs!$J$220</definedName>
    <definedName name="_mv6">[1]Inputs!$J$271</definedName>
    <definedName name="_mv7">[1]Inputs!$J$322</definedName>
    <definedName name="_mv8">[1]Inputs!$J$373</definedName>
    <definedName name="_mv9">[1]Inputs!$J$424</definedName>
    <definedName name="_Order1" hidden="1">0</definedName>
    <definedName name="_Order2" hidden="1">0</definedName>
    <definedName name="_P">#REF!</definedName>
    <definedName name="_P___0">#REF!</definedName>
    <definedName name="_Table2_Out" hidden="1">#REF!</definedName>
    <definedName name="_Y">#REF!</definedName>
    <definedName name="_Y___0">#REF!</definedName>
    <definedName name="Aa_Recovery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rued_Comp_Sales">'[4]Tanning Assumptions'!#REF!</definedName>
    <definedName name="acq">#REF!</definedName>
    <definedName name="acquiror">#REF!</definedName>
    <definedName name="AdSalesCash">#REF!</definedName>
    <definedName name="AdSalesTrade">#REF!</definedName>
    <definedName name="AdSalesWebsite">#REF!</definedName>
    <definedName name="AICORR">#REF!</definedName>
    <definedName name="AllBH">#REF!</definedName>
    <definedName name="allProjects">#REF!</definedName>
    <definedName name="amort">[5]Inputs!#REF!</definedName>
    <definedName name="AP_Sales">'[4]Tanning Assumptions'!#REF!</definedName>
    <definedName name="AR_Other_Sales">'[4]Tanning Assumptions'!#REF!</definedName>
    <definedName name="AR_Trade_Sales">'[4]Tanning Assumptions'!#REF!</definedName>
    <definedName name="As_Of_Date">[6]Selections!$C$2</definedName>
    <definedName name="asdfa">#REF!</definedName>
    <definedName name="AsOfDate">'[7]AUM YTD 2000'!$W$1</definedName>
    <definedName name="ASSUMPTIONS">#REF!</definedName>
    <definedName name="B_S">#REF!</definedName>
    <definedName name="Baa_Recovery">#REF!</definedName>
    <definedName name="bal">#REF!</definedName>
    <definedName name="banner2">[8]CONTROL!$D$10</definedName>
    <definedName name="banner2___0">[8]CONTROL!$D$10</definedName>
    <definedName name="Base_Case">#REF!</definedName>
    <definedName name="Billable">#REF!</definedName>
    <definedName name="BillableHeadcount">#REF!</definedName>
    <definedName name="body">#REF!</definedName>
    <definedName name="BREAK_EVEN">#REF!</definedName>
    <definedName name="BREAK_EVEN___0">#REF!</definedName>
    <definedName name="Broadwing__Inc__Cincinnati_Bell">#REF!</definedName>
    <definedName name="brob">#REF!</definedName>
    <definedName name="bs">[5]Inputs!#REF!</definedName>
    <definedName name="case">#REF!</definedName>
    <definedName name="case1">[9]CONTROL!$A$12</definedName>
    <definedName name="case2">[9]CONTROL!$A$13</definedName>
    <definedName name="case3">[9]CONTROL!$A$14</definedName>
    <definedName name="CASH_FLOW">#REF!</definedName>
    <definedName name="Cash_Sales">'[4]Tanning Assumptions'!#REF!</definedName>
    <definedName name="CASHBUDGET">#REF!</definedName>
    <definedName name="CASHBUDGET___0">#REF!</definedName>
    <definedName name="CASHFLOWS_MONTH">#REF!</definedName>
    <definedName name="CASHFLOWS_MONTH___0">#REF!</definedName>
    <definedName name="CASHFLOWS_YEARS">#REF!</definedName>
    <definedName name="CASHFLOWS_YEARS___0">#REF!</definedName>
    <definedName name="cashint">#REF!</definedName>
    <definedName name="cashint___0">#REF!</definedName>
    <definedName name="CBHC">#REF!</definedName>
    <definedName name="cfl">#REF!</definedName>
    <definedName name="ChartDataRange">#REF!</definedName>
    <definedName name="CINC">#REF!</definedName>
    <definedName name="CIQWBGuid" hidden="1">"a8ce2156-b5bf-4ee3-830d-6b3237f21d17"</definedName>
    <definedName name="CIQWBInfo" hidden="1">"{ ""CIQVersion"":""9.45.614.5792"" }"</definedName>
    <definedName name="circ">[5]Inputs!#REF!</definedName>
    <definedName name="CircRev">#REF!</definedName>
    <definedName name="Class_3_Agg_Cash">[10]Revolver!#REF!</definedName>
    <definedName name="Class_3_Amt_BET">[10]Revolver!#REF!</definedName>
    <definedName name="Class_A_Interest">#REF!</definedName>
    <definedName name="Class_A_Principal">#REF!</definedName>
    <definedName name="Class_B_Interest">#REF!</definedName>
    <definedName name="Class_B_Principal">#REF!</definedName>
    <definedName name="Class_C_Payment">#REF!</definedName>
    <definedName name="ClassABC">'[6]Debt Structure'!$AN$7</definedName>
    <definedName name="ClassABCD">'[6]Debt Structure'!$AN$8</definedName>
    <definedName name="ClassABCDE">'[6]Debt Structure'!$AN$9</definedName>
    <definedName name="Clients">#REF!</definedName>
    <definedName name="closing_date">#REF!</definedName>
    <definedName name="closingttmrevenue">#REF!</definedName>
    <definedName name="CMBSIG">#REF!</definedName>
    <definedName name="Column_Lookup">'[11]MASTER DRIVER'!$C$5:$D$29</definedName>
    <definedName name="COMBINED_J_W__3_111403_JUP_IND_PROFORMA_List">#REF!</definedName>
    <definedName name="company">[12]CONTROL!$D$7</definedName>
    <definedName name="company___0">[8]CONTROL!$D$7</definedName>
    <definedName name="cons">#REF!</definedName>
    <definedName name="consultants">#REF!</definedName>
    <definedName name="contrib2" localSheetId="2" hidden="1">{"page1",#N/A,FALSE,"Temp";"page2",#N/A,FALSE,"Temp";"page3",#N/A,FALSE,"Temp";"page4",#N/A,FALSE,"Temp";"page5",#N/A,FALSE,"Temp";"page6",#N/A,FALSE,"Temp"}</definedName>
    <definedName name="contrib2" hidden="1">{"page1",#N/A,FALSE,"Temp";"page2",#N/A,FALSE,"Temp";"page3",#N/A,FALSE,"Temp";"page4",#N/A,FALSE,"Temp";"page5",#N/A,FALSE,"Temp";"page6",#N/A,FALSE,"Temp"}</definedName>
    <definedName name="contrib3" localSheetId="2" hidden="1">{"page1",#N/A,FALSE,"Temp";"page2",#N/A,FALSE,"Temp";"page3",#N/A,FALSE,"Temp";"page4",#N/A,FALSE,"Temp";"page5",#N/A,FALSE,"Temp";"page6",#N/A,FALSE,"Temp"}</definedName>
    <definedName name="contrib3" hidden="1">{"page1",#N/A,FALSE,"Temp";"page2",#N/A,FALSE,"Temp";"page3",#N/A,FALSE,"Temp";"page4",#N/A,FALSE,"Temp";"page5",#N/A,FALSE,"Temp";"page6",#N/A,FALSE,"Temp"}</definedName>
    <definedName name="convertamt">#REF!</definedName>
    <definedName name="convertamt___0">#REF!</definedName>
    <definedName name="convertper">#REF!</definedName>
    <definedName name="convertper___0">#REF!</definedName>
    <definedName name="CorpName">'[13]MASTER DRIVERS'!$A$1</definedName>
    <definedName name="COSTREPORT">#REF!</definedName>
    <definedName name="COSTREPORT___0">#REF!</definedName>
    <definedName name="counter">'[14]Portfolio Input'!#REF!</definedName>
    <definedName name="counter2">'[14]Portfolio Input'!#REF!</definedName>
    <definedName name="Coupon">[15]Inputs!$J$30</definedName>
    <definedName name="CSEnd">#REF!</definedName>
    <definedName name="CSHO">#REF!</definedName>
    <definedName name="CSHPRI">#REF!</definedName>
    <definedName name="current1">[1]Inputs!$E$21</definedName>
    <definedName name="current10">[1]Inputs!$E$480</definedName>
    <definedName name="current11">[1]Inputs!$E$531</definedName>
    <definedName name="current12">[1]Inputs!$E$582</definedName>
    <definedName name="current13">[1]Inputs!$E$633</definedName>
    <definedName name="current14">[1]Inputs!$E$684</definedName>
    <definedName name="current15">[1]Inputs!$E$735</definedName>
    <definedName name="current2">[1]Inputs!$E$72</definedName>
    <definedName name="current3">[1]Inputs!$E$123</definedName>
    <definedName name="current4">[1]Inputs!$E$174</definedName>
    <definedName name="current5">[1]Inputs!$E$225</definedName>
    <definedName name="current6">[1]Inputs!$E$276</definedName>
    <definedName name="current7">[1]Inputs!$E$327</definedName>
    <definedName name="current8">[1]Inputs!$E$378</definedName>
    <definedName name="current9">[1]Inputs!$E$429</definedName>
    <definedName name="CustomPubSales">#REF!</definedName>
    <definedName name="Date">[16]Comps!#REF!</definedName>
    <definedName name="Date_OC1">OFFSET([6]OCTrends!$B$2,0,0,COUNTA([6]OCTrends!$B$1:$B$65536)-1)</definedName>
    <definedName name="Date_OC2">OFFSET([6]OCTrends!$G$2,0,0,COUNTA([6]OCTrends!$G$1:$G$65536)-1)</definedName>
    <definedName name="Date_OC3">OFFSET([6]OCTrends!$L$2,0,0,COUNTA([6]OCTrends!$L$1:$L$65536)-1)</definedName>
    <definedName name="debtsched">[5]Inputs!#REF!</definedName>
    <definedName name="decconsultants">#REF!</definedName>
    <definedName name="decemberemployees">#REF!</definedName>
    <definedName name="decemployees">#REF!</definedName>
    <definedName name="default">#REF!</definedName>
    <definedName name="Default_Scenario">#REF!</definedName>
    <definedName name="Default_Table">#REF!</definedName>
    <definedName name="Default_Timing">#REF!</definedName>
    <definedName name="depsched">[5]Inputs!#REF!</definedName>
    <definedName name="DivActual">OFFSET([6]DivTrends!$C$2,0,0,COUNTA([6]DivTrends!$C$1:$C$65536)-1)</definedName>
    <definedName name="DivCovenant">OFFSET([6]DivTrends!$D$2,0,0,COUNTA([6]DivTrends!$D$1:$D$65536)-1)</definedName>
    <definedName name="DivDate">OFFSET([6]DivTrends!$B$2,0,0,COUNTA([6]DivTrends!$B$1:$B$65536)-1)</definedName>
    <definedName name="Diversity">'[7]Actual vs Covenant'!$P$41:$Q$48</definedName>
    <definedName name="DiversityScore">#REF!</definedName>
    <definedName name="earnout">#REF!</definedName>
    <definedName name="earnout___0">#REF!</definedName>
    <definedName name="EBIT">#REF!</definedName>
    <definedName name="EBITDA">#REF!</definedName>
    <definedName name="ebitda1">[1]Inputs!$P$46</definedName>
    <definedName name="ebitda10">[1]Inputs!$P$505</definedName>
    <definedName name="ebitda11">[1]Inputs!$P$556</definedName>
    <definedName name="ebitda12">[1]Inputs!$P$607</definedName>
    <definedName name="ebitda13">[1]Inputs!$P$658</definedName>
    <definedName name="ebitda14">[1]Inputs!$P$709</definedName>
    <definedName name="ebitda15">[1]Inputs!$P$760</definedName>
    <definedName name="ebitda2">[1]Inputs!$P$97</definedName>
    <definedName name="ebitda3">[1]Inputs!$P$148</definedName>
    <definedName name="ebitda4">[1]Inputs!$P$199</definedName>
    <definedName name="ebitda5">[1]Inputs!$P$250</definedName>
    <definedName name="ebitda6">[1]Inputs!$P$301</definedName>
    <definedName name="ebitda7">[1]Inputs!$P$352</definedName>
    <definedName name="ebitda8">[1]Inputs!$P$403</definedName>
    <definedName name="ebitda9">[1]Inputs!$P$454</definedName>
    <definedName name="effective_date">#REF!</definedName>
    <definedName name="ELC1_Top3">[7]TOP10!$D$3</definedName>
    <definedName name="ELC1_Top4">[7]TOP10!$D$8</definedName>
    <definedName name="ELC1FitchRatingChartData">[7]ELC1!$G$2:$H$11</definedName>
    <definedName name="ELC1FitchRatingChartSerial1">[7]ELC1!$H$2:$H$11</definedName>
    <definedName name="ELC1FitchRatingChartXScale">[7]ELC1!$G$2:$G$11</definedName>
    <definedName name="ELC1MoodyRatingChartData">[7]ELC1!$A$2:$B$14</definedName>
    <definedName name="ELC1MoodyRatingChartSerial1">[7]ELC1!$B$2:$B$14</definedName>
    <definedName name="ELC1MoodyRatingChartXScale">[7]ELC1!$A$2:$A$14</definedName>
    <definedName name="ELC1SPRatingChartData">[7]ELC1!$D$2:$E$14</definedName>
    <definedName name="ELC1SPRatingChartSerial1">[7]ELC1!$E$2:$E$14</definedName>
    <definedName name="ELC1SPRatingChartXScale">[7]ELC1!$D$2:$D$14</definedName>
    <definedName name="ELC2_Top3">[7]TOP10!$G$3</definedName>
    <definedName name="ELC2_Top4">[7]TOP10!$G$8</definedName>
    <definedName name="ELC2FitchRatingChartData">[7]ELC2!$G$2:$H$12</definedName>
    <definedName name="ELC2FitchRatingChartSerial1">[7]ELC2!$H$2:$H$12</definedName>
    <definedName name="ELC2FitchRatingChartXScale">[7]ELC2!$G$2:$G$12</definedName>
    <definedName name="ELC2MoodyRatingChartData">[7]ELC2!$A$2:$B$15</definedName>
    <definedName name="ELC2MoodyRatingChartSerial1">[7]ELC2!$B$2:$B$15</definedName>
    <definedName name="ELC2MoodyRatingChartXScale">[7]ELC2!$A$2:$A$15</definedName>
    <definedName name="ELC2SPRatingChartData">[7]ELC2!$D$2:$E$15</definedName>
    <definedName name="ELC2SPRatingChartSerial1">[7]ELC2!$E$2:$E$15</definedName>
    <definedName name="ELC2SPRatingChartXScale">[7]ELC2!$D$2:$D$15</definedName>
    <definedName name="ELC3_Top3">[7]TOP10!$J$3</definedName>
    <definedName name="ELC3_Top4">[7]TOP10!$J$8</definedName>
    <definedName name="ELC3FitchRatingChartData">[7]ELC3!$G$2:$H$14</definedName>
    <definedName name="ELC3FitchRatingChartSerial1">[7]ELC3!$H$2:$H$14</definedName>
    <definedName name="ELC3FitchRatingChartXScale">[7]ELC3!$G$2:$G$14</definedName>
    <definedName name="ELC3MoodyRatingChartData">[7]ELC3!$A$2:$B$15</definedName>
    <definedName name="ELC3MoodyRatingChartSerial1">[7]ELC3!$B$2:$B$15</definedName>
    <definedName name="ELC3MoodyRatingChartXScale">[7]ELC3!$A$2:$A$15</definedName>
    <definedName name="ELC3SPRatingChartData">[7]ELC3!$D$2:$E$16</definedName>
    <definedName name="ELC3SPRatingChartSerial1">[7]ELC3!$E$2:$E$16</definedName>
    <definedName name="ELC3SPRatingChartXScale">[7]ELC3!$D$2:$D$16</definedName>
    <definedName name="ELC4_Top3">[7]TOP10!$M$3</definedName>
    <definedName name="ELC4_Top4">[7]TOP10!$M$8</definedName>
    <definedName name="ELC4FitchRatingChartData">[7]ELC4!$G$2:$H$8</definedName>
    <definedName name="ELC4FitchRatingChartSerial1">[7]ELC4!$H$2:$H$8</definedName>
    <definedName name="ELC4FitchRatingChartXScale">[7]ELC4!$G$2:$G$8</definedName>
    <definedName name="ELC4MoodyRatingChartData">[7]ELC4!$A$2:$B$13</definedName>
    <definedName name="ELC4MoodyRatingChartSerial1">[7]ELC4!$B$2:$B$13</definedName>
    <definedName name="ELC4MoodyRatingChartXScale">[7]ELC4!$A$2:$A$13</definedName>
    <definedName name="ELC4SPRatingChartData">[7]ELC4!$D$2:$E$14</definedName>
    <definedName name="ELC4SPRatingChartSerial1">[7]ELC4!$E$2:$E$14</definedName>
    <definedName name="ELC4SPRatingChartXScale">[7]ELC4!$D$2:$D$14</definedName>
    <definedName name="ELC5_Top3">[7]TOP10!$P$3</definedName>
    <definedName name="ELC5_Top4">[7]TOP10!$P$8</definedName>
    <definedName name="ELC5FitchRatingChartData">[7]ELC5!$G$2:$H$9</definedName>
    <definedName name="ELC5FitchRatingChartSerial1">[7]ELC5!$H$2:$H$9</definedName>
    <definedName name="ELC5FitchRatingChartXScale">[7]ELC5!$G$2:$G$9</definedName>
    <definedName name="ELC5MoodyRatingChartData">[7]ELC5!$A$2:$B$14</definedName>
    <definedName name="ELC5MoodyRatingChartSerial1">[7]ELC5!$B$2:$B$14</definedName>
    <definedName name="ELC5MoodyRatingChartXScale">[7]ELC5!$A$2:$A$14</definedName>
    <definedName name="ELC5SPRatingChartData">[7]ELC5!$D$2:$E$14</definedName>
    <definedName name="ELC5SPRatingChartSerial1">[7]ELC5!$E$2:$E$14</definedName>
    <definedName name="ELC5SPRatingChartXScale">[7]ELC5!$D$2:$D$14</definedName>
    <definedName name="employees">#REF!</definedName>
    <definedName name="EndDay">[6]Selections!$R$3</definedName>
    <definedName name="EndMonth">[6]Selections!$R$2</definedName>
    <definedName name="EndYear">[6]Selections!$R$1</definedName>
    <definedName name="ePrint">[17]Consolidated!#REF!</definedName>
    <definedName name="EQUITY">'[9]S&amp;U'!$E$12</definedName>
    <definedName name="equityamt">#REF!</definedName>
    <definedName name="equityamt___0">#REF!</definedName>
    <definedName name="equityper">#REF!</definedName>
    <definedName name="equityper___0">#REF!</definedName>
    <definedName name="ev.Calculation" hidden="1">-4105</definedName>
    <definedName name="ev.Initialized" hidden="1">FALSE</definedName>
    <definedName name="exe">#REF!</definedName>
    <definedName name="fianal">[18]Preliminary!$A$1:$D$65</definedName>
    <definedName name="filename">[6]Selections!$U$2</definedName>
    <definedName name="Final_Number">#REF!</definedName>
    <definedName name="FinanceRev">#REF!</definedName>
    <definedName name="FinanceRev2">#REF!</definedName>
    <definedName name="firstHourDate">#REF!</definedName>
    <definedName name="firstProject">#REF!</definedName>
    <definedName name="Flat_Swap">#REF!</definedName>
    <definedName name="FSoPacific" localSheetId="2" hidden="1">{"BS",#N/A,FALSE,"USA"}</definedName>
    <definedName name="FSoPacific" hidden="1">{"BS",#N/A,FALSE,"USA"}</definedName>
    <definedName name="Fund">[6]Selections!$A$1</definedName>
    <definedName name="Fwd_Curve">#REF!</definedName>
    <definedName name="FYEMarker">#REF!</definedName>
    <definedName name="FYEMonth">#REF!</definedName>
    <definedName name="G_A_SUMMARY">#REF!</definedName>
    <definedName name="group_quarterly">#REF!</definedName>
    <definedName name="Header1">[19]_01_05_v_Wicks_xls__01_05_v_Wic!$N$1</definedName>
    <definedName name="high1">[1]Inputs!$E$23</definedName>
    <definedName name="high10">[1]Inputs!$E$482</definedName>
    <definedName name="high11">[1]Inputs!$E$533</definedName>
    <definedName name="high12">[1]Inputs!$E$584</definedName>
    <definedName name="high13">[1]Inputs!$E$635</definedName>
    <definedName name="high14">[1]Inputs!$E$686</definedName>
    <definedName name="high15">[1]Inputs!$E$737</definedName>
    <definedName name="high2">[1]Inputs!$E$74</definedName>
    <definedName name="high3">[1]Inputs!$E$125</definedName>
    <definedName name="high4">[1]Inputs!$E$176</definedName>
    <definedName name="high5">[1]Inputs!$E$227</definedName>
    <definedName name="high6">[1]Inputs!$E$278</definedName>
    <definedName name="high7">[1]Inputs!$E$329</definedName>
    <definedName name="high8">[1]Inputs!$E$380</definedName>
    <definedName name="high9">[1]Inputs!$E$431</definedName>
    <definedName name="hl">'[20]LBO Summary'!#REF!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C1Actual">OFFSET([6]ICTrends!$C$2,0,0,COUNTA([6]ICTrends!$C$1:$C$65536)-1)</definedName>
    <definedName name="IC1ChartTitle">[6]ICTrends!$W$1</definedName>
    <definedName name="IC1Covenant">OFFSET([6]ICTrends!$D$2,0,0,COUNTA([6]ICTrends!$D$1:$D$65536)-1)</definedName>
    <definedName name="IC1Date">OFFSET([6]ICTrends!$B$2,0,0,COUNTA([6]ICTrends!$B$1:$B$65536)-1)</definedName>
    <definedName name="IC2Actual">OFFSET([6]ICTrends!$H$2,0,0,COUNTA([6]ICTrends!$H$1:$H$65536)-1)</definedName>
    <definedName name="IC2Covenant">OFFSET([6]ICTrends!$I$2,0,0,COUNTA([6]ICTrends!$I$1:$I$65536)-1)</definedName>
    <definedName name="IC2Date">OFFSET([6]ICTrends!$G$2,0,0,COUNTA([6]ICTrends!$G$1:$G$65536)-1)</definedName>
    <definedName name="IC3Actual">OFFSET([6]ICTrends!$M$2,0,0,COUNTA([6]ICTrends!$M$1:$M$65536)-1)</definedName>
    <definedName name="IC3Covenant">OFFSET([6]ICTrends!$N$2,0,0,COUNTA([6]ICTrends!$N$1:$N$65536)-1)</definedName>
    <definedName name="IC3Date">OFFSET([6]ICTrends!$L$2,0,0,COUNTA([6]ICTrends!$L$1:$L$65536)-1)</definedName>
    <definedName name="IC4Actual">OFFSET([6]ICTrends!$R$2,0,0,COUNTA([6]ICTrends!$R$1:$R$65536)-1)</definedName>
    <definedName name="IC4Covenant">OFFSET([6]ICTrends!$S$2,0,0,COUNTA([6]ICTrends!$S$1:$S$65536)-1)</definedName>
    <definedName name="IC4Date">OFFSET([6]ICTrends!$Q$2,0,0,COUNTA([6]ICTrends!$Q$1:$Q$65536)-1)</definedName>
    <definedName name="inc">#REF!</definedName>
    <definedName name="incsyntog">#REF!</definedName>
    <definedName name="incsyntog___0">#REF!</definedName>
    <definedName name="inputs">#REF!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T_BR" hidden="1">"c378"</definedName>
    <definedName name="IQ_EBT_EXCL_BR" hidden="1">"c381"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ST_EPS_SURPRISE" hidden="1">"c1635"</definedName>
    <definedName name="IQ_EV_OVER_REVENUE_EST" hidden="1">"IQ_EV_OVER_REVENUE_EST"</definedName>
    <definedName name="IQ_EV_OVER_REVENUE_EST_1" hidden="1">"IQ_EV_OVER_REVENUE_EST_1"</definedName>
    <definedName name="IQ_EXTRA_ACC_ITEMS_BR" hidden="1">"c412"</definedName>
    <definedName name="IQ_FH">100000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VEST_LOANS_CF_BR" hidden="1">"c630"</definedName>
    <definedName name="IQ_INVEST_SECURITY_CF_BR" hidden="1">"c639"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44297.3725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IsColHidden" hidden="1">FALSE</definedName>
    <definedName name="IsLTMColHidden" hidden="1">FALSE</definedName>
    <definedName name="Item">#REF!</definedName>
    <definedName name="K2_WBEVMODE" hidden="1">-1</definedName>
    <definedName name="lastCol">#REF!</definedName>
    <definedName name="latest1">[1]Inputs!$E$13</definedName>
    <definedName name="latest10">[1]Inputs!$E$472</definedName>
    <definedName name="latest11">[1]Inputs!$E$523</definedName>
    <definedName name="latest12">[1]Inputs!$E$574</definedName>
    <definedName name="latest13">[1]Inputs!$E$625</definedName>
    <definedName name="latest14">[1]Inputs!$E$676</definedName>
    <definedName name="latest15">[1]Inputs!$E$727</definedName>
    <definedName name="latest2">[1]Inputs!$E$64</definedName>
    <definedName name="latest3">[1]Inputs!$E$115</definedName>
    <definedName name="latest4">[1]Inputs!$E$166</definedName>
    <definedName name="latest5">[1]Inputs!$E$217</definedName>
    <definedName name="latest6">[1]Inputs!$E$268</definedName>
    <definedName name="latest7">[1]Inputs!$E$319</definedName>
    <definedName name="latest8">[1]Inputs!$E$370</definedName>
    <definedName name="latest9">[1]Inputs!$E$421</definedName>
    <definedName name="LBO">'[9]S&amp;U'!#REF!</definedName>
    <definedName name="left">#REF!</definedName>
    <definedName name="lett">#REF!</definedName>
    <definedName name="LIBOR">[21]Portfolio!$E$2</definedName>
    <definedName name="Libor_Assumptions">#REF!</definedName>
    <definedName name="Libor_Curve">#REF!</definedName>
    <definedName name="Libor_Down">#REF!</definedName>
    <definedName name="Libor_Down_Up">#REF!</definedName>
    <definedName name="LIBOR_Minus_1SD">[10]Revolver!#REF!</definedName>
    <definedName name="Libor_Minus_2SD">[10]Revolver!#REF!</definedName>
    <definedName name="Libor_Plus_0SD">[10]Revolver!#REF!</definedName>
    <definedName name="Libor_Plus_1SD">[10]Revolver!#REF!</definedName>
    <definedName name="Libor_Plus_2SD">[10]Revolver!#REF!</definedName>
    <definedName name="Libor_Scenario">#REF!</definedName>
    <definedName name="Libor_Up">#REF!</definedName>
    <definedName name="longterm">[5]Inputs!#REF!</definedName>
    <definedName name="LTM_DATE">#REF!</definedName>
    <definedName name="Marketable_securities">'[22]Fly-by-night - problem 5'!#REF!</definedName>
    <definedName name="MaxMarkDate">[7]SaleData!$M$3</definedName>
    <definedName name="mcs03g.ReqArray" localSheetId="2">{"Price","ICTG","TS131","D","0","0","H"}</definedName>
    <definedName name="mcs03g.ReqArray">{"Price","ICTG","TS131","D","0","0","H"}</definedName>
    <definedName name="mcs03g.ReqArray___0">#N/A</definedName>
    <definedName name="mcs03g.ReqArray___12">#N/A</definedName>
    <definedName name="mcs03g.ReqArray___2">#N/A</definedName>
    <definedName name="MKVALM">#REF!</definedName>
    <definedName name="MONTHLYSALES">#REF!</definedName>
    <definedName name="MONTHLYSALES___0">#REF!</definedName>
    <definedName name="moodys">#REF!</definedName>
    <definedName name="mu">'[23]LBO Summary'!$G$130</definedName>
    <definedName name="Name">[5]Info!$C$8</definedName>
    <definedName name="name1">[1]Inputs!$E$10</definedName>
    <definedName name="name10">[1]Inputs!$E$469</definedName>
    <definedName name="name11">[1]Inputs!$E$520</definedName>
    <definedName name="name12">[1]Inputs!$E$571</definedName>
    <definedName name="name13">[1]Inputs!$E$622</definedName>
    <definedName name="name14">[1]Inputs!$E$673</definedName>
    <definedName name="name15">[1]Inputs!$E$724</definedName>
    <definedName name="name2">[1]Inputs!$E$61</definedName>
    <definedName name="name3">[1]Inputs!$E$112</definedName>
    <definedName name="name4">[1]Inputs!$E$163</definedName>
    <definedName name="name5">[1]Inputs!$E$214</definedName>
    <definedName name="name6">[1]Inputs!$E$265</definedName>
    <definedName name="name7">[1]Inputs!$E$316</definedName>
    <definedName name="name8">[1]Inputs!$E$367</definedName>
    <definedName name="name9">[1]Inputs!$E$418</definedName>
    <definedName name="NDY">#REF!</definedName>
    <definedName name="NDYWGT">#REF!</definedName>
    <definedName name="OC1Actual">OFFSET([6]OCTrends!$C$2,0,0,COUNTA([6]OCTrends!$C$1:$C$65536)-1)</definedName>
    <definedName name="OC1ChartTitle">[6]OCTrends!$W$1</definedName>
    <definedName name="OC1Covenant">OFFSET([6]OCTrends!$D$2,0,0,COUNTA([6]OCTrends!$D$1:$D$65536)-1)</definedName>
    <definedName name="OC1Date">OFFSET([6]OCTrends!$B$2,0,0,COUNTA([6]OCTrends!$B$1:$B$65536)-1)</definedName>
    <definedName name="OC2Actual">OFFSET([6]OCTrends!$H$2,0,0,COUNTA([6]OCTrends!$H$1:$H$65536)-1)</definedName>
    <definedName name="OC2Covenant">OFFSET([6]OCTrends!$I$2,0,0,COUNTA([6]OCTrends!$I$1:$I$65536)-1)</definedName>
    <definedName name="OC2Date">OFFSET([6]OCTrends!$G$2,0,0,COUNTA([6]OCTrends!$G$1:$G$65536)-1)</definedName>
    <definedName name="OC3Actual">OFFSET([6]OCTrends!$M$2,0,0,COUNTA([6]OCTrends!$M$1:$M$65536)-1)</definedName>
    <definedName name="OC3Covenant">OFFSET([6]OCTrends!$N$2,0,0,COUNTA([6]OCTrends!$N$1:$N$65536)-1)</definedName>
    <definedName name="OC3Date">OFFSET([6]OCTrends!$L$2,0,0,COUNTA([6]OCTrends!$L$1:$L$65536)-1)</definedName>
    <definedName name="OC4Actual">OFFSET([6]OCTrends!$R$2,0,0,COUNTA([6]OCTrends!$R$1:$R$65536)-1)</definedName>
    <definedName name="OC4Covenant">OFFSET([6]OCTrends!$S$2,0,0,COUNTA([6]OCTrends!$S$1:$S$65536)-1)</definedName>
    <definedName name="OC4Date">OFFSET([6]OCTrends!$Q$2,0,0,COUNTA([6]OCTrends!$Q$1:$Q$65536)-1)</definedName>
    <definedName name="Order">#REF!</definedName>
    <definedName name="Other_assets">'[22]Fly-by-night - problem 5'!#REF!</definedName>
    <definedName name="Other_current_liabilities_Sales">'[4]Tanning Assumptions'!#REF!</definedName>
    <definedName name="Other_long_term_liabilities">'[4]Tanning Assumptions'!#REF!</definedName>
    <definedName name="OtherRev">#REF!</definedName>
    <definedName name="P_L">#REF!</definedName>
    <definedName name="PCV">[6]Calcs!$B$1</definedName>
    <definedName name="Percentage">#REF!</definedName>
    <definedName name="Period">#REF!</definedName>
    <definedName name="Period1">#REF!</definedName>
    <definedName name="Period2">#REF!</definedName>
    <definedName name="Period3">#REF!</definedName>
    <definedName name="Period4">#REF!</definedName>
    <definedName name="Period5">#REF!</definedName>
    <definedName name="Period6">#REF!</definedName>
    <definedName name="Period7">#REF!</definedName>
    <definedName name="Period8">#REF!</definedName>
    <definedName name="PERSONAL_FINANCIAL">#REF!</definedName>
    <definedName name="PERSONAL_FINANCIAL___0">#REF!</definedName>
    <definedName name="PFLTM">'[24]VeCTOR Import'!#REF!</definedName>
    <definedName name="pik">'[9]S&amp;U'!#REF!</definedName>
    <definedName name="portion1">[1]Inputs!$E$14</definedName>
    <definedName name="portion10">[1]Inputs!$E$473</definedName>
    <definedName name="portion11">[1]Inputs!$E$524</definedName>
    <definedName name="portion12">[1]Inputs!$E$575</definedName>
    <definedName name="portion13">[1]Inputs!$E$626</definedName>
    <definedName name="portion14">[1]Inputs!$E$677</definedName>
    <definedName name="portion15">[1]Inputs!$E$728</definedName>
    <definedName name="portion2">[1]Inputs!$E$65</definedName>
    <definedName name="portion3">[1]Inputs!$E$116</definedName>
    <definedName name="portion4">[1]Inputs!$E$167</definedName>
    <definedName name="portion5">[1]Inputs!$E$218</definedName>
    <definedName name="portion6">[1]Inputs!$E$269</definedName>
    <definedName name="portion7">[1]Inputs!$E$320</definedName>
    <definedName name="portion8">[1]Inputs!$E$371</definedName>
    <definedName name="portion9">[1]Inputs!$E$422</definedName>
    <definedName name="PP_E_Sales">'[4]Tanning Assumptions'!#REF!</definedName>
    <definedName name="prefbamt">#REF!</definedName>
    <definedName name="prefbamt___0">#REF!</definedName>
    <definedName name="prefbper">#REF!</definedName>
    <definedName name="prefbper___0">#REF!</definedName>
    <definedName name="Preliminary">#REF!</definedName>
    <definedName name="Prepaids_Sales">'[4]Tanning Assumptions'!#REF!</definedName>
    <definedName name="PRICES">#REF!</definedName>
    <definedName name="PRICES___0">#REF!</definedName>
    <definedName name="_xlnm.Print_Area">#REF!</definedName>
    <definedName name="_xlnm.Print_Titles">#REF!</definedName>
    <definedName name="project">[12]CONTROL!$D$8</definedName>
    <definedName name="project___0">[8]CONTROL!$D$8</definedName>
    <definedName name="ProjList">#REF!</definedName>
    <definedName name="PublicCompany">#REF!</definedName>
    <definedName name="purchase">[25]TRANSACTION!$Q$2</definedName>
    <definedName name="PURCHASE_PRICE">[26]Sheet5:D!$A$1:$H$23</definedName>
    <definedName name="qryWSO_Positions_ByFunds_CrossTab">#REF!</definedName>
    <definedName name="quarterly">#REF!</definedName>
    <definedName name="rate">#REF!</definedName>
    <definedName name="RateTable">[27]MASTER!#REF!</definedName>
    <definedName name="Rating">'[7]Actual vs Covenant'!$P$11:$Q$18</definedName>
    <definedName name="RatingFactors">#REF!</definedName>
    <definedName name="RATIOS">#REF!</definedName>
    <definedName name="RATIOS___0">#REF!</definedName>
    <definedName name="recovery">#REF!</definedName>
    <definedName name="refi">'[28]OBS - REFI'!$AP$5</definedName>
    <definedName name="REPORT">#REF!</definedName>
    <definedName name="REPORT___0">#REF!</definedName>
    <definedName name="ReprintRev">#REF!</definedName>
    <definedName name="ret">#REF!</definedName>
    <definedName name="rhl">'[20]LBO Summary'!#REF!</definedName>
    <definedName name="RoyaltyRev">#REF!</definedName>
    <definedName name="rptData">#REF!</definedName>
    <definedName name="rr">'[20]LBO Summary'!#REF!</definedName>
    <definedName name="s">#REF!</definedName>
    <definedName name="s.outstand">[5]Inputs!#REF!</definedName>
    <definedName name="SALES">#REF!</definedName>
    <definedName name="SALES___0">#REF!</definedName>
    <definedName name="sales1">[1]Inputs!$P$29</definedName>
    <definedName name="sales10">[1]Inputs!$P$488</definedName>
    <definedName name="sales11">[1]Inputs!$P$539</definedName>
    <definedName name="sales12">[1]Inputs!$P$590</definedName>
    <definedName name="sales13">[1]Inputs!$P$641</definedName>
    <definedName name="sales14">[1]Inputs!$P$692</definedName>
    <definedName name="sales15">[1]Inputs!$P$743</definedName>
    <definedName name="sales2">[1]Inputs!$P$80</definedName>
    <definedName name="sales3">[1]Inputs!$P$131</definedName>
    <definedName name="sales4">[1]Inputs!$P$182</definedName>
    <definedName name="sales5">[1]Inputs!$P$233</definedName>
    <definedName name="sales6">[1]Inputs!$P$284</definedName>
    <definedName name="sales7">[1]Inputs!$P$335</definedName>
    <definedName name="sales8">[1]Inputs!$P$386</definedName>
    <definedName name="sales9">[1]Inputs!$P$437</definedName>
    <definedName name="scen">#REF!</definedName>
    <definedName name="Scenario_11">#REF!</definedName>
    <definedName name="Scenario_12">#REF!</definedName>
    <definedName name="Scenario_13">#REF!</definedName>
    <definedName name="Scenario_14">#REF!</definedName>
    <definedName name="Scenario_15">#REF!</definedName>
    <definedName name="Scenario_16">#REF!</definedName>
    <definedName name="Scenario_17">#REF!</definedName>
    <definedName name="Scenario_18">#REF!</definedName>
    <definedName name="Scenario_19">#REF!</definedName>
    <definedName name="Scenario_20">#REF!</definedName>
    <definedName name="Scenario_21">#REF!</definedName>
    <definedName name="Scenario_22">#REF!</definedName>
    <definedName name="Scenario_23">#REF!</definedName>
    <definedName name="Scenario_24">#REF!</definedName>
    <definedName name="Scenario_25">#REF!</definedName>
    <definedName name="Scenario_26">#REF!</definedName>
    <definedName name="Scenario_27">#REF!</definedName>
    <definedName name="Scenario_28">#REF!</definedName>
    <definedName name="Scenario_31">#REF!</definedName>
    <definedName name="Scenario_32">#REF!</definedName>
    <definedName name="Scenario_33">#REF!</definedName>
    <definedName name="Scenario_34">#REF!</definedName>
    <definedName name="Scenario_35">#REF!</definedName>
    <definedName name="Scenario_36">#REF!</definedName>
    <definedName name="Scenario_37">#REF!</definedName>
    <definedName name="Scenario_38">#REF!</definedName>
    <definedName name="Scenario_39">#REF!</definedName>
    <definedName name="Scenario_41">#REF!</definedName>
    <definedName name="Scenario_42">#REF!</definedName>
    <definedName name="Scenario_43">#REF!</definedName>
    <definedName name="Scenario_44">#REF!</definedName>
    <definedName name="Scenario_51">#REF!</definedName>
    <definedName name="Scenario_52">#REF!</definedName>
    <definedName name="Scenario_53">#REF!</definedName>
    <definedName name="Section">#REF!</definedName>
    <definedName name="SENSITIVITY">#REF!</definedName>
    <definedName name="SENSITIVITY___0">#REF!</definedName>
    <definedName name="sh.equity">[5]Inputs!#REF!</definedName>
    <definedName name="sl">'[20]LBO Summary'!#REF!</definedName>
    <definedName name="snapshotdate">#REF!</definedName>
    <definedName name="sort_range">#REF!</definedName>
    <definedName name="sponsor">'[9]S&amp;U'!$J$21</definedName>
    <definedName name="Start">#REF!</definedName>
    <definedName name="Start_Date">[6]Selections!$C$1</definedName>
    <definedName name="StartDay">[6]Selections!$P$3</definedName>
    <definedName name="StartMonth">[6]Selections!$P$2</definedName>
    <definedName name="StartRefresh">'[14]Portfolio Input'!#REF!</definedName>
    <definedName name="StartYear">[6]Selections!$P$1</definedName>
    <definedName name="Strip_Amount">#REF!</definedName>
    <definedName name="Strip_PV">#REF!</definedName>
    <definedName name="stub">#REF!</definedName>
    <definedName name="stubmonths">'[29]D&amp;A'!$C$5</definedName>
    <definedName name="sub">'[20]LBO Summary'!#REF!</definedName>
    <definedName name="subdebtamount">[15]Inputs!$J$26</definedName>
    <definedName name="subdebtdate">[15]Inputs!$J$28</definedName>
    <definedName name="Subhead1">[19]_01_05_v_Wicks_xls__01_05_v_Wic!$N$2</definedName>
    <definedName name="subHeading">#REF!</definedName>
    <definedName name="summary">#REF!</definedName>
    <definedName name="support">#REF!</definedName>
    <definedName name="sweep___9">[30]COVS_ACTUAL!#REF!</definedName>
    <definedName name="target">#REF!</definedName>
    <definedName name="tax">[31]ISCF!#REF!</definedName>
    <definedName name="Taxes_Receivable_Sales">'[4]Tanning Assumptions'!#REF!</definedName>
    <definedName name="Test">#REF!</definedName>
    <definedName name="tgt">#REF!</definedName>
    <definedName name="ticker1">[1]Inputs!$E$11</definedName>
    <definedName name="ticker10">[1]Inputs!$E$470</definedName>
    <definedName name="ticker11">[1]Inputs!$E$521</definedName>
    <definedName name="ticker12">[1]Inputs!$E$572</definedName>
    <definedName name="ticker13">[1]Inputs!$E$623</definedName>
    <definedName name="ticker14">[1]Inputs!$E$674</definedName>
    <definedName name="ticker15">[1]Inputs!$E$725</definedName>
    <definedName name="ticker2">[1]Inputs!$E$62</definedName>
    <definedName name="ticker3">[1]Inputs!$E$113</definedName>
    <definedName name="ticker4">[1]Inputs!$E$164</definedName>
    <definedName name="ticker5">[1]Inputs!$E$215</definedName>
    <definedName name="ticker6">[1]Inputs!$E$266</definedName>
    <definedName name="ticker7">[1]Inputs!$E$317</definedName>
    <definedName name="ticker8">[1]Inputs!$E$368</definedName>
    <definedName name="ticker9">[1]Inputs!$E$419</definedName>
    <definedName name="TimeEnd">[6]Selections!$L$3</definedName>
    <definedName name="TimeStart">[6]Selections!$L$2</definedName>
    <definedName name="title">[28]SUM!$A$2</definedName>
    <definedName name="today">#REF!</definedName>
    <definedName name="top">#REF!</definedName>
    <definedName name="TopIC">'[7]Actual vs Covenant'!$P$31:$Q$38</definedName>
    <definedName name="TopOC">'[7]Actual vs Covenant'!$P$21:$Q$28</definedName>
    <definedName name="TOTAL">#REF!</definedName>
    <definedName name="TOTAL___0">#REF!</definedName>
    <definedName name="Total_Europe">#REF!</definedName>
    <definedName name="TotalRev">#REF!</definedName>
    <definedName name="TradedCash">[6]Principal!$G$5</definedName>
    <definedName name="trigger">[8]OBS!$U$5</definedName>
    <definedName name="TRYN_Top3">[7]TOP10!$S$3</definedName>
    <definedName name="TRYN_Top4">[7]TOP10!$S$8</definedName>
    <definedName name="TryonFitchRatingChartData">[7]TRYN!$G$2:$H$9</definedName>
    <definedName name="TryonFitchRatingChartSerial1">[7]TRYN!$H$2:$H$9</definedName>
    <definedName name="TryonFitchRatingChartXScale">[7]TRYN!$G$2:$G$9</definedName>
    <definedName name="TryonMoodyRatingChartData">[7]TRYN!$A$2:$B$15</definedName>
    <definedName name="TryonMoodyRatingChartSerial1">[7]TRYN!$B$2:$B$15</definedName>
    <definedName name="TryonMoodyRatingChartXScale">[7]TRYN!$A$2:$A$15</definedName>
    <definedName name="TryonSPRatingChartData">[7]TRYN!$D$2:$E$15</definedName>
    <definedName name="TryonSPRatingChartSerial1">[7]TRYN!$E$2:$E$15</definedName>
    <definedName name="TryonSPRatingChartXScale">[7]TRYN!$D$2:$D$15</definedName>
    <definedName name="units">'[9]S&amp;U'!$K$2</definedName>
    <definedName name="version">[28]SUM!$AE$2</definedName>
    <definedName name="version___0">[8]CONTROL!$D$9</definedName>
    <definedName name="WACActual">OFFSET([6]WACTrends!$C$2,0,0,COUNTA([6]WACTrends!$C$1:$C$65536)-1)</definedName>
    <definedName name="WACCovenant">OFFSET([6]WACTrends!$D$2,0,0,COUNTA([6]WACTrends!$D$1:$D$65536)-1)</definedName>
    <definedName name="WACDate">OFFSET([6]WACTrends!$B$2,0,0,COUNTA([6]WACTrends!$B$1:$B$65536)-1)</definedName>
    <definedName name="WALActual">OFFSET([6]WALTrends!$C$2,0,0,COUNTA([6]WALTrends!$C$1:$C$65536)-1)</definedName>
    <definedName name="WALCovenant">OFFSET([6]WALTrends!$D$2,0,0,COUNTA([6]WALTrends!$D$1:$D$65536)-1)</definedName>
    <definedName name="WALDate">OFFSET([6]WALTrends!$B$2,0,0,COUNTA([6]WALTrends!$B$1:$B$65536)-1)</definedName>
    <definedName name="WARFActual">OFFSET([6]WARFTrends!$C$2,0,0,COUNTA([6]WARFTrends!$C$1:$C$65536)-1)</definedName>
    <definedName name="WARFCovenant">OFFSET([6]WARFTrends!$D$2,0,0,COUNTA([6]WARFTrends!$D$1:$D$65536)-1)</definedName>
    <definedName name="WARFDate">OFFSET([6]WARFTrends!$B$2,0,0,COUNTA([6]WARFTrends!$B$1:$B$65536)-1)</definedName>
    <definedName name="WARFFitchActual">OFFSET([6]WARFFitchTrends!$C$2,0,0,COUNTA([6]WARFFitchTrends!$C$1:$C$65536)-1)</definedName>
    <definedName name="WARFFitchCovenant">OFFSET([6]WARFFitchTrends!$D$2,0,0,COUNTA([6]WARFFitchTrends!$D$1:$D$65536)-1)</definedName>
    <definedName name="WARFFitchDate">OFFSET([6]WARFFitchTrends!$B$2,0,0,COUNTA([6]WARFFitchTrends!$B$1:$B$65536)-1)</definedName>
    <definedName name="warrants">[15]Inputs!$O$13</definedName>
    <definedName name="WASActual">OFFSET([6]WASTrends!$C$2,0,0,COUNTA([6]WASTrends!$C$1:$C$65536)-1)</definedName>
    <definedName name="WASCovenant">OFFSET([6]WASTrends!$D$2,0,0,COUNTA([6]WASTrends!$D$1:$D$65536)-1)</definedName>
    <definedName name="WASDate">OFFSET([6]WASTrends!$B$2,0,0,COUNTA([6]WASTrends!$B$1:$B$65536)-1)</definedName>
    <definedName name="WBMIN">'[14]Portfolio Input'!#REF!</definedName>
    <definedName name="WHAT_IF">#REF!</definedName>
    <definedName name="WHAT_IF___0">#REF!</definedName>
    <definedName name="whec">[28]WHEC!$AX$2</definedName>
    <definedName name="wicksequity">[15]Inputs!$E$35</definedName>
    <definedName name="WORKING_CAPITAL">#REF!</definedName>
    <definedName name="WORKING_CAPITAL___0">#REF!</definedName>
    <definedName name="wrn.Alloutput." localSheetId="2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CGIC._.PLICO._.Statutory._.Results." localSheetId="2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IS." localSheetId="2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rossroads." localSheetId="2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2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quick." localSheetId="2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Sales._.Activity." localSheetId="2" hidden="1">{#N/A,#N/A,FALSE,"Integration Systems"}</definedName>
    <definedName name="wrn.Sales._.Activity." hidden="1">{#N/A,#N/A,FALSE,"Integration Systems"}</definedName>
    <definedName name="wrn.Summary." localSheetId="2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Summary.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UHCO._.Statutory._.Results." localSheetId="2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Weekly._.Inventory._.Report." localSheetId="2" hidden="1">{#N/A,#N/A,FALSE,"Combo"}</definedName>
    <definedName name="wrn.Weekly._.Inventory._.Report." hidden="1">{#N/A,#N/A,FALSE,"Combo"}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ip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2" l="1"/>
  <c r="C12" i="22"/>
  <c r="L85" i="27"/>
  <c r="L82" i="27"/>
  <c r="L81" i="27"/>
  <c r="L79" i="27"/>
  <c r="L84" i="27" s="1"/>
  <c r="L78" i="27"/>
  <c r="L75" i="27"/>
  <c r="L76" i="27" s="1"/>
  <c r="L43" i="27"/>
  <c r="AG262" i="23"/>
  <c r="AG229" i="23"/>
  <c r="C208" i="23"/>
  <c r="D208" i="23"/>
  <c r="E208" i="23"/>
  <c r="F208" i="23"/>
  <c r="G208" i="23"/>
  <c r="H208" i="23"/>
  <c r="I208" i="23"/>
  <c r="J208" i="23"/>
  <c r="K208" i="23"/>
  <c r="M208" i="23"/>
  <c r="N208" i="23"/>
  <c r="O208" i="23"/>
  <c r="P208" i="23"/>
  <c r="Q208" i="23"/>
  <c r="R208" i="23"/>
  <c r="S208" i="23"/>
  <c r="T208" i="23"/>
  <c r="U208" i="23"/>
  <c r="V208" i="23"/>
  <c r="W208" i="23"/>
  <c r="X208" i="23"/>
  <c r="Y208" i="23"/>
  <c r="Z208" i="23"/>
  <c r="AA208" i="23"/>
  <c r="C209" i="23"/>
  <c r="D209" i="23"/>
  <c r="E209" i="23"/>
  <c r="F209" i="23"/>
  <c r="G209" i="23"/>
  <c r="H209" i="23"/>
  <c r="I209" i="23"/>
  <c r="J209" i="23"/>
  <c r="K209" i="23"/>
  <c r="M209" i="23"/>
  <c r="N209" i="23"/>
  <c r="O209" i="23"/>
  <c r="P209" i="23"/>
  <c r="Q209" i="23"/>
  <c r="R209" i="23"/>
  <c r="S209" i="23"/>
  <c r="T209" i="23"/>
  <c r="U209" i="23"/>
  <c r="V209" i="23"/>
  <c r="W209" i="23"/>
  <c r="X209" i="23"/>
  <c r="Y209" i="23"/>
  <c r="Z209" i="23"/>
  <c r="AA209" i="23"/>
  <c r="AG202" i="23"/>
  <c r="AG109" i="23"/>
  <c r="J120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K32" i="23"/>
  <c r="J32" i="23"/>
  <c r="I32" i="23"/>
  <c r="H32" i="23"/>
  <c r="G32" i="23"/>
  <c r="F32" i="23"/>
  <c r="E32" i="23"/>
  <c r="D32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K31" i="23"/>
  <c r="J31" i="23"/>
  <c r="I31" i="23"/>
  <c r="H31" i="23"/>
  <c r="G31" i="23"/>
  <c r="F31" i="23"/>
  <c r="E31" i="23"/>
  <c r="D31" i="23"/>
  <c r="C32" i="23"/>
  <c r="C31" i="23"/>
  <c r="C63" i="22"/>
  <c r="C64" i="22"/>
  <c r="C51" i="22"/>
  <c r="C44" i="22"/>
  <c r="C42" i="22"/>
  <c r="C53" i="22" s="1"/>
  <c r="C41" i="22"/>
  <c r="C40" i="22"/>
  <c r="C37" i="22"/>
  <c r="C36" i="22"/>
  <c r="D50" i="22"/>
  <c r="D57" i="22" s="1"/>
  <c r="C50" i="22"/>
  <c r="C57" i="22" s="1"/>
  <c r="C31" i="22"/>
  <c r="J26" i="22"/>
  <c r="C25" i="22"/>
  <c r="J23" i="22"/>
  <c r="AG68" i="26"/>
  <c r="AG67" i="26"/>
  <c r="AG66" i="26"/>
  <c r="AG65" i="26"/>
  <c r="AG64" i="26"/>
  <c r="AG20" i="26"/>
  <c r="AG19" i="26"/>
  <c r="K3" i="26"/>
  <c r="AG52" i="26"/>
  <c r="AG60" i="26" s="1"/>
  <c r="AG41" i="26"/>
  <c r="AG40" i="26"/>
  <c r="AG39" i="26"/>
  <c r="AG29" i="26"/>
  <c r="AG35" i="26" s="1"/>
  <c r="AG10" i="26"/>
  <c r="AG15" i="26" s="1"/>
  <c r="K124" i="23"/>
  <c r="K121" i="23"/>
  <c r="K117" i="23"/>
  <c r="K116" i="23"/>
  <c r="K115" i="23"/>
  <c r="K108" i="23"/>
  <c r="K107" i="23"/>
  <c r="K103" i="23"/>
  <c r="K93" i="23"/>
  <c r="K92" i="23"/>
  <c r="K91" i="23"/>
  <c r="K94" i="23" s="1"/>
  <c r="K90" i="23"/>
  <c r="AG230" i="23"/>
  <c r="AG203" i="23"/>
  <c r="K203" i="23" s="1"/>
  <c r="J20" i="22" s="1"/>
  <c r="AG120" i="23"/>
  <c r="AG186" i="23" s="1"/>
  <c r="AG90" i="23"/>
  <c r="AG67" i="23"/>
  <c r="AG174" i="23" s="1"/>
  <c r="AG66" i="23"/>
  <c r="AG59" i="23"/>
  <c r="AG63" i="23" s="1"/>
  <c r="AG55" i="23"/>
  <c r="AG51" i="23" s="1"/>
  <c r="K102" i="23"/>
  <c r="K46" i="23"/>
  <c r="K24" i="23"/>
  <c r="K3" i="23"/>
  <c r="AG218" i="23"/>
  <c r="AG207" i="23"/>
  <c r="AG183" i="23"/>
  <c r="AG182" i="23"/>
  <c r="AG181" i="23"/>
  <c r="AG177" i="23"/>
  <c r="AG172" i="23"/>
  <c r="AG171" i="23"/>
  <c r="AG168" i="23"/>
  <c r="AG167" i="23"/>
  <c r="AG164" i="23"/>
  <c r="AG163" i="23"/>
  <c r="AG157" i="23"/>
  <c r="AG154" i="23"/>
  <c r="AG151" i="23"/>
  <c r="AG145" i="23"/>
  <c r="AG140" i="23"/>
  <c r="AG124" i="23"/>
  <c r="AG113" i="23"/>
  <c r="AG112" i="23"/>
  <c r="AG104" i="23"/>
  <c r="AG99" i="23"/>
  <c r="AG98" i="23"/>
  <c r="AG97" i="23"/>
  <c r="AG94" i="23"/>
  <c r="AG88" i="23"/>
  <c r="AG82" i="23"/>
  <c r="C46" i="22" s="1"/>
  <c r="AG78" i="23"/>
  <c r="AG173" i="23"/>
  <c r="AG54" i="23"/>
  <c r="AG53" i="23"/>
  <c r="AG48" i="23"/>
  <c r="AG159" i="23" s="1"/>
  <c r="AG47" i="23"/>
  <c r="AG158" i="23" s="1"/>
  <c r="AG38" i="23"/>
  <c r="AG35" i="23"/>
  <c r="AG28" i="23"/>
  <c r="AG10" i="23"/>
  <c r="AG14" i="23" s="1"/>
  <c r="AG8" i="23"/>
  <c r="C117" i="22"/>
  <c r="D104" i="22"/>
  <c r="D112" i="22" s="1"/>
  <c r="C104" i="22"/>
  <c r="C112" i="22" s="1"/>
  <c r="D96" i="22"/>
  <c r="C96" i="22"/>
  <c r="C77" i="22"/>
  <c r="J72" i="22"/>
  <c r="C71" i="22"/>
  <c r="J69" i="22"/>
  <c r="K81" i="27"/>
  <c r="K79" i="27"/>
  <c r="K84" i="27" s="1"/>
  <c r="K78" i="27"/>
  <c r="K75" i="27"/>
  <c r="K76" i="27" s="1"/>
  <c r="K43" i="27"/>
  <c r="AE68" i="26"/>
  <c r="AD68" i="26"/>
  <c r="AC68" i="26"/>
  <c r="AA68" i="26"/>
  <c r="Z68" i="26"/>
  <c r="Y68" i="26"/>
  <c r="W68" i="26"/>
  <c r="V68" i="26"/>
  <c r="U68" i="26"/>
  <c r="S68" i="26"/>
  <c r="R68" i="26"/>
  <c r="AE67" i="26"/>
  <c r="AD67" i="26"/>
  <c r="AC67" i="26"/>
  <c r="AA67" i="26"/>
  <c r="Z67" i="26"/>
  <c r="Y67" i="26"/>
  <c r="W67" i="26"/>
  <c r="V67" i="26"/>
  <c r="U67" i="26"/>
  <c r="S67" i="26"/>
  <c r="R67" i="26"/>
  <c r="AE66" i="26"/>
  <c r="AD66" i="26"/>
  <c r="AC66" i="26"/>
  <c r="AA66" i="26"/>
  <c r="Z66" i="26"/>
  <c r="Y66" i="26"/>
  <c r="W66" i="26"/>
  <c r="V66" i="26"/>
  <c r="U66" i="26"/>
  <c r="S66" i="26"/>
  <c r="R66" i="26"/>
  <c r="AE65" i="26"/>
  <c r="AD65" i="26"/>
  <c r="AC65" i="26"/>
  <c r="AA65" i="26"/>
  <c r="Z65" i="26"/>
  <c r="Y65" i="26"/>
  <c r="W65" i="26"/>
  <c r="V65" i="26"/>
  <c r="U65" i="26"/>
  <c r="S65" i="26"/>
  <c r="R65" i="26"/>
  <c r="AE64" i="26"/>
  <c r="AD64" i="26"/>
  <c r="AC64" i="26"/>
  <c r="AA64" i="26"/>
  <c r="Z64" i="26"/>
  <c r="Y64" i="26"/>
  <c r="W64" i="26"/>
  <c r="V64" i="26"/>
  <c r="U64" i="26"/>
  <c r="S64" i="26"/>
  <c r="R64" i="26"/>
  <c r="Q68" i="26"/>
  <c r="Q67" i="26"/>
  <c r="Q66" i="26"/>
  <c r="Q65" i="26"/>
  <c r="Q64" i="26"/>
  <c r="J68" i="26"/>
  <c r="I68" i="26"/>
  <c r="H68" i="26"/>
  <c r="G68" i="26"/>
  <c r="F68" i="26"/>
  <c r="E68" i="26"/>
  <c r="J67" i="26"/>
  <c r="I67" i="26"/>
  <c r="J66" i="26"/>
  <c r="I66" i="26"/>
  <c r="H66" i="26"/>
  <c r="G66" i="26"/>
  <c r="F66" i="26"/>
  <c r="E66" i="26"/>
  <c r="J65" i="26"/>
  <c r="I65" i="26"/>
  <c r="H65" i="26"/>
  <c r="G65" i="26"/>
  <c r="F65" i="26"/>
  <c r="E65" i="26"/>
  <c r="J64" i="26"/>
  <c r="I64" i="26"/>
  <c r="H64" i="26"/>
  <c r="G64" i="26"/>
  <c r="F64" i="26"/>
  <c r="E64" i="26"/>
  <c r="D65" i="26"/>
  <c r="D66" i="26"/>
  <c r="D68" i="26"/>
  <c r="D64" i="26"/>
  <c r="AE41" i="26"/>
  <c r="AD41" i="26"/>
  <c r="AC41" i="26"/>
  <c r="AA41" i="26"/>
  <c r="Z41" i="26"/>
  <c r="Y41" i="26"/>
  <c r="W41" i="26"/>
  <c r="V41" i="26"/>
  <c r="U41" i="26"/>
  <c r="S41" i="26"/>
  <c r="R41" i="26"/>
  <c r="AE40" i="26"/>
  <c r="AD40" i="26"/>
  <c r="AC40" i="26"/>
  <c r="AA40" i="26"/>
  <c r="Z40" i="26"/>
  <c r="Y40" i="26"/>
  <c r="W40" i="26"/>
  <c r="V40" i="26"/>
  <c r="U40" i="26"/>
  <c r="S40" i="26"/>
  <c r="R40" i="26"/>
  <c r="AE39" i="26"/>
  <c r="AD39" i="26"/>
  <c r="AC39" i="26"/>
  <c r="AA39" i="26"/>
  <c r="Z39" i="26"/>
  <c r="Y39" i="26"/>
  <c r="W39" i="26"/>
  <c r="V39" i="26"/>
  <c r="U39" i="26"/>
  <c r="S39" i="26"/>
  <c r="R39" i="26"/>
  <c r="Q40" i="26"/>
  <c r="Q41" i="26"/>
  <c r="Q39" i="26"/>
  <c r="J41" i="26"/>
  <c r="I41" i="26"/>
  <c r="H41" i="26"/>
  <c r="G41" i="26"/>
  <c r="F41" i="26"/>
  <c r="E41" i="26"/>
  <c r="J40" i="26"/>
  <c r="I40" i="26"/>
  <c r="H40" i="26"/>
  <c r="G40" i="26"/>
  <c r="F40" i="26"/>
  <c r="E40" i="26"/>
  <c r="J39" i="26"/>
  <c r="I39" i="26"/>
  <c r="H39" i="26"/>
  <c r="G39" i="26"/>
  <c r="F39" i="26"/>
  <c r="E39" i="26"/>
  <c r="D41" i="26"/>
  <c r="D40" i="26"/>
  <c r="D39" i="26"/>
  <c r="AE20" i="26"/>
  <c r="AD20" i="26"/>
  <c r="AC20" i="26"/>
  <c r="AA20" i="26"/>
  <c r="Z20" i="26"/>
  <c r="Y20" i="26"/>
  <c r="W20" i="26"/>
  <c r="V20" i="26"/>
  <c r="U20" i="26"/>
  <c r="S20" i="26"/>
  <c r="R20" i="26"/>
  <c r="AE19" i="26"/>
  <c r="AD19" i="26"/>
  <c r="AC19" i="26"/>
  <c r="AA19" i="26"/>
  <c r="Z19" i="26"/>
  <c r="Y19" i="26"/>
  <c r="W19" i="26"/>
  <c r="V19" i="26"/>
  <c r="U19" i="26"/>
  <c r="S19" i="26"/>
  <c r="R19" i="26"/>
  <c r="Q20" i="26"/>
  <c r="Q19" i="26"/>
  <c r="J20" i="26"/>
  <c r="I20" i="26"/>
  <c r="H20" i="26"/>
  <c r="G20" i="26"/>
  <c r="F20" i="26"/>
  <c r="E20" i="26"/>
  <c r="J19" i="26"/>
  <c r="I19" i="26"/>
  <c r="H19" i="26"/>
  <c r="G19" i="26"/>
  <c r="F19" i="26"/>
  <c r="E19" i="26"/>
  <c r="D20" i="26"/>
  <c r="D19" i="26"/>
  <c r="AF51" i="26"/>
  <c r="K51" i="26" s="1"/>
  <c r="AF50" i="26"/>
  <c r="K50" i="26" s="1"/>
  <c r="AF49" i="26"/>
  <c r="AF48" i="26"/>
  <c r="K48" i="26" s="1"/>
  <c r="AF47" i="26"/>
  <c r="K47" i="26" s="1"/>
  <c r="AF28" i="26"/>
  <c r="K28" i="26" s="1"/>
  <c r="AF27" i="26"/>
  <c r="K27" i="26" s="1"/>
  <c r="AF26" i="26"/>
  <c r="K26" i="26" s="1"/>
  <c r="AF9" i="26"/>
  <c r="K9" i="26" s="1"/>
  <c r="AF8" i="26"/>
  <c r="K8" i="26" s="1"/>
  <c r="J52" i="26"/>
  <c r="J53" i="26" s="1"/>
  <c r="J29" i="26"/>
  <c r="J10" i="26"/>
  <c r="AF202" i="23"/>
  <c r="AF224" i="23" s="1"/>
  <c r="AF203" i="23"/>
  <c r="J203" i="23" s="1"/>
  <c r="J205" i="23" s="1"/>
  <c r="AF205" i="23"/>
  <c r="W205" i="23"/>
  <c r="V205" i="23"/>
  <c r="U205" i="23"/>
  <c r="T205" i="23"/>
  <c r="S205" i="23"/>
  <c r="R205" i="23"/>
  <c r="Q205" i="23"/>
  <c r="P205" i="23"/>
  <c r="O205" i="23"/>
  <c r="N205" i="23"/>
  <c r="M205" i="23"/>
  <c r="G205" i="23"/>
  <c r="F205" i="23"/>
  <c r="E205" i="23"/>
  <c r="D205" i="23"/>
  <c r="C205" i="23"/>
  <c r="AF121" i="23"/>
  <c r="C90" i="22" s="1"/>
  <c r="AF117" i="23"/>
  <c r="C88" i="22" s="1"/>
  <c r="AF116" i="23"/>
  <c r="C87" i="22" s="1"/>
  <c r="AF115" i="23"/>
  <c r="C86" i="22" s="1"/>
  <c r="AF108" i="23"/>
  <c r="C83" i="22" s="1"/>
  <c r="AF107" i="23"/>
  <c r="C82" i="22" s="1"/>
  <c r="AF103" i="23"/>
  <c r="AF102" i="23"/>
  <c r="AF93" i="23"/>
  <c r="AF92" i="23"/>
  <c r="AF91" i="23"/>
  <c r="J90" i="23"/>
  <c r="AF90" i="23" s="1"/>
  <c r="J66" i="23"/>
  <c r="J63" i="23"/>
  <c r="J60" i="23"/>
  <c r="J59" i="23"/>
  <c r="J55" i="23"/>
  <c r="J46" i="23"/>
  <c r="AF40" i="23"/>
  <c r="K40" i="23" s="1"/>
  <c r="AF24" i="23"/>
  <c r="AF21" i="23"/>
  <c r="K21" i="23" s="1"/>
  <c r="AF19" i="23"/>
  <c r="K19" i="23" s="1"/>
  <c r="AF17" i="23"/>
  <c r="K17" i="23" s="1"/>
  <c r="AF16" i="23"/>
  <c r="K16" i="23" s="1"/>
  <c r="AF13" i="23"/>
  <c r="K13" i="23" s="1"/>
  <c r="AF7" i="23"/>
  <c r="AG79" i="23" s="1"/>
  <c r="AG95" i="23" s="1"/>
  <c r="AF218" i="23"/>
  <c r="AF207" i="23"/>
  <c r="AF157" i="23"/>
  <c r="AF151" i="23"/>
  <c r="AF140" i="23"/>
  <c r="AF124" i="23"/>
  <c r="AF88" i="23"/>
  <c r="AF82" i="23"/>
  <c r="C92" i="22" s="1"/>
  <c r="AF78" i="23"/>
  <c r="AF54" i="23"/>
  <c r="AF53" i="23"/>
  <c r="AF47" i="23"/>
  <c r="AF158" i="23" s="1"/>
  <c r="AF38" i="23"/>
  <c r="J218" i="23"/>
  <c r="J207" i="23"/>
  <c r="J183" i="23"/>
  <c r="J182" i="23"/>
  <c r="J181" i="23"/>
  <c r="J177" i="23"/>
  <c r="J172" i="23"/>
  <c r="J171" i="23"/>
  <c r="J168" i="23"/>
  <c r="J164" i="23"/>
  <c r="J163" i="23"/>
  <c r="J154" i="23"/>
  <c r="J151" i="23"/>
  <c r="J145" i="23"/>
  <c r="J140" i="23"/>
  <c r="J124" i="23"/>
  <c r="J113" i="23"/>
  <c r="J112" i="23"/>
  <c r="J109" i="23"/>
  <c r="J104" i="23"/>
  <c r="J29" i="23" s="1"/>
  <c r="J99" i="23"/>
  <c r="J98" i="23"/>
  <c r="J97" i="23"/>
  <c r="J94" i="23"/>
  <c r="J88" i="23"/>
  <c r="J83" i="23"/>
  <c r="J79" i="23"/>
  <c r="J141" i="23" s="1"/>
  <c r="J78" i="23"/>
  <c r="J53" i="23"/>
  <c r="J38" i="23"/>
  <c r="J30" i="23"/>
  <c r="J28" i="23"/>
  <c r="J10" i="23"/>
  <c r="J8" i="23"/>
  <c r="E81" i="27"/>
  <c r="D81" i="27"/>
  <c r="E75" i="27"/>
  <c r="E76" i="27" s="1"/>
  <c r="D75" i="27"/>
  <c r="D76" i="27" s="1"/>
  <c r="F79" i="27"/>
  <c r="F84" i="27" s="1"/>
  <c r="G79" i="27"/>
  <c r="G84" i="27" s="1"/>
  <c r="H79" i="27"/>
  <c r="H84" i="27" s="1"/>
  <c r="J79" i="27"/>
  <c r="J84" i="27" s="1"/>
  <c r="J81" i="27"/>
  <c r="J78" i="27"/>
  <c r="J75" i="27"/>
  <c r="J76" i="27" s="1"/>
  <c r="J82" i="27" s="1"/>
  <c r="J43" i="27"/>
  <c r="C165" i="22"/>
  <c r="C166" i="22" s="1"/>
  <c r="C145" i="22"/>
  <c r="C143" i="22"/>
  <c r="C142" i="22"/>
  <c r="C153" i="22" s="1"/>
  <c r="C141" i="22"/>
  <c r="C138" i="22"/>
  <c r="C137" i="22"/>
  <c r="D159" i="22"/>
  <c r="C159" i="22"/>
  <c r="D151" i="22"/>
  <c r="C151" i="22"/>
  <c r="C132" i="22"/>
  <c r="J127" i="22"/>
  <c r="C126" i="22"/>
  <c r="J124" i="22"/>
  <c r="AE52" i="26"/>
  <c r="AE53" i="26" s="1"/>
  <c r="AE29" i="26"/>
  <c r="AE33" i="26" s="1"/>
  <c r="AE10" i="26"/>
  <c r="AE14" i="26" s="1"/>
  <c r="AE202" i="23"/>
  <c r="AE221" i="23" s="1"/>
  <c r="AE203" i="23"/>
  <c r="AE205" i="23" s="1"/>
  <c r="AE120" i="23"/>
  <c r="AE90" i="23"/>
  <c r="AE18" i="23"/>
  <c r="AE15" i="23"/>
  <c r="AE9" i="23"/>
  <c r="AE218" i="23"/>
  <c r="AE207" i="23"/>
  <c r="AE183" i="23"/>
  <c r="AE182" i="23"/>
  <c r="AE181" i="23"/>
  <c r="AE157" i="23"/>
  <c r="AE154" i="23"/>
  <c r="AE151" i="23"/>
  <c r="AE145" i="23"/>
  <c r="AE140" i="23"/>
  <c r="AE124" i="23"/>
  <c r="AE113" i="23"/>
  <c r="AE112" i="23"/>
  <c r="AE109" i="23"/>
  <c r="AE104" i="23"/>
  <c r="AE98" i="23"/>
  <c r="AE94" i="23"/>
  <c r="AE88" i="23"/>
  <c r="AE82" i="23"/>
  <c r="AE78" i="23"/>
  <c r="AE54" i="23"/>
  <c r="AE53" i="23"/>
  <c r="AE48" i="23"/>
  <c r="AE159" i="23" s="1"/>
  <c r="AE47" i="23"/>
  <c r="AE158" i="23" s="1"/>
  <c r="AE38" i="23"/>
  <c r="AE28" i="23"/>
  <c r="AE8" i="23"/>
  <c r="I79" i="27"/>
  <c r="I84" i="27" s="1"/>
  <c r="D78" i="27"/>
  <c r="E78" i="27"/>
  <c r="F78" i="27"/>
  <c r="G78" i="27"/>
  <c r="H78" i="27"/>
  <c r="I78" i="27"/>
  <c r="C78" i="27"/>
  <c r="I75" i="27"/>
  <c r="I76" i="27" s="1"/>
  <c r="I85" i="27" s="1"/>
  <c r="H75" i="27"/>
  <c r="H76" i="27" s="1"/>
  <c r="G75" i="27"/>
  <c r="G76" i="27" s="1"/>
  <c r="G85" i="27" s="1"/>
  <c r="F75" i="27"/>
  <c r="F76" i="27" s="1"/>
  <c r="C75" i="27"/>
  <c r="C76" i="27" s="1"/>
  <c r="F81" i="27"/>
  <c r="G81" i="27"/>
  <c r="H81" i="27"/>
  <c r="I81" i="27"/>
  <c r="C81" i="27"/>
  <c r="F85" i="27" l="1"/>
  <c r="AG56" i="26"/>
  <c r="AE56" i="26"/>
  <c r="J57" i="26"/>
  <c r="AG33" i="26"/>
  <c r="AG14" i="26"/>
  <c r="AG16" i="26"/>
  <c r="K49" i="26"/>
  <c r="AE59" i="26"/>
  <c r="J60" i="26"/>
  <c r="AG57" i="26"/>
  <c r="AE57" i="26"/>
  <c r="J58" i="26"/>
  <c r="AG58" i="26"/>
  <c r="AE60" i="26"/>
  <c r="AG59" i="26"/>
  <c r="J56" i="26"/>
  <c r="J61" i="26" s="1"/>
  <c r="AE58" i="26"/>
  <c r="J59" i="26"/>
  <c r="AG30" i="26"/>
  <c r="K113" i="23"/>
  <c r="K109" i="23"/>
  <c r="AG260" i="23"/>
  <c r="K104" i="23"/>
  <c r="K112" i="23"/>
  <c r="AE249" i="23"/>
  <c r="AG249" i="23"/>
  <c r="AG29" i="23" a="1"/>
  <c r="AG29" i="23" s="1"/>
  <c r="E37" i="22"/>
  <c r="E33" i="22"/>
  <c r="D63" i="22"/>
  <c r="D62" i="22"/>
  <c r="D61" i="22"/>
  <c r="D60" i="22"/>
  <c r="D59" i="22"/>
  <c r="D58" i="22"/>
  <c r="E27" i="22"/>
  <c r="E26" i="22"/>
  <c r="AE212" i="23"/>
  <c r="K120" i="23"/>
  <c r="E36" i="22"/>
  <c r="E41" i="22"/>
  <c r="D53" i="22"/>
  <c r="AG240" i="23"/>
  <c r="D51" i="22"/>
  <c r="AE257" i="23"/>
  <c r="AG114" i="23"/>
  <c r="AG144" i="23" s="1"/>
  <c r="AG162" i="23"/>
  <c r="AG244" i="23"/>
  <c r="J27" i="22"/>
  <c r="E42" i="22"/>
  <c r="E40" i="22"/>
  <c r="AE256" i="23"/>
  <c r="E44" i="22"/>
  <c r="E28" i="22"/>
  <c r="C52" i="22"/>
  <c r="D52" i="22" s="1"/>
  <c r="E32" i="22"/>
  <c r="C136" i="22"/>
  <c r="C140" i="22" s="1"/>
  <c r="C144" i="22" s="1"/>
  <c r="C35" i="22"/>
  <c r="C39" i="22" s="1"/>
  <c r="J73" i="22"/>
  <c r="AG34" i="26"/>
  <c r="AG36" i="26" s="1"/>
  <c r="AG11" i="26"/>
  <c r="AG53" i="26"/>
  <c r="AG234" i="23"/>
  <c r="AG238" i="23"/>
  <c r="AG233" i="23"/>
  <c r="AG228" i="23"/>
  <c r="AG239" i="23"/>
  <c r="J66" i="22"/>
  <c r="E78" i="22" s="1"/>
  <c r="K205" i="23"/>
  <c r="AG253" i="23"/>
  <c r="AG166" i="23"/>
  <c r="AG36" i="23"/>
  <c r="AG58" i="23"/>
  <c r="AG132" i="23"/>
  <c r="AG194" i="23" s="1"/>
  <c r="K7" i="23"/>
  <c r="K98" i="23" s="1"/>
  <c r="AG20" i="23"/>
  <c r="AG39" i="23"/>
  <c r="AG41" i="23" s="1"/>
  <c r="AG50" i="23"/>
  <c r="AG161" i="23"/>
  <c r="AG224" i="23"/>
  <c r="AG241" i="23"/>
  <c r="AG250" i="23"/>
  <c r="AG212" i="23"/>
  <c r="AG141" i="23"/>
  <c r="AG235" i="23"/>
  <c r="AG11" i="23"/>
  <c r="AG142" i="23"/>
  <c r="AG205" i="23"/>
  <c r="AG256" i="23"/>
  <c r="AG257" i="23"/>
  <c r="AG221" i="23"/>
  <c r="AG231" i="23"/>
  <c r="AG248" i="23"/>
  <c r="H85" i="27"/>
  <c r="E82" i="27"/>
  <c r="D82" i="27"/>
  <c r="K85" i="27"/>
  <c r="K82" i="27"/>
  <c r="C97" i="22"/>
  <c r="C109" i="22"/>
  <c r="C99" i="22"/>
  <c r="C98" i="22"/>
  <c r="C81" i="22"/>
  <c r="C85" i="22" s="1"/>
  <c r="J30" i="26"/>
  <c r="J33" i="26"/>
  <c r="J35" i="26"/>
  <c r="J34" i="26"/>
  <c r="AE30" i="26"/>
  <c r="AE35" i="26"/>
  <c r="AE34" i="26"/>
  <c r="AE36" i="26" s="1"/>
  <c r="J11" i="26"/>
  <c r="J15" i="26"/>
  <c r="J14" i="26"/>
  <c r="AE11" i="26"/>
  <c r="AE15" i="26"/>
  <c r="AE16" i="26" s="1"/>
  <c r="AF52" i="26"/>
  <c r="AF59" i="26" s="1"/>
  <c r="AF10" i="26"/>
  <c r="AF29" i="26"/>
  <c r="AF260" i="23"/>
  <c r="J51" i="23"/>
  <c r="J35" i="23"/>
  <c r="J121" i="22"/>
  <c r="AF257" i="23"/>
  <c r="AF113" i="23"/>
  <c r="J114" i="23"/>
  <c r="AF250" i="23"/>
  <c r="AF183" i="23"/>
  <c r="AF249" i="23"/>
  <c r="AF182" i="23"/>
  <c r="AF248" i="23"/>
  <c r="AF181" i="23"/>
  <c r="AF145" i="23"/>
  <c r="AF212" i="23" s="1"/>
  <c r="J50" i="23"/>
  <c r="J36" i="23"/>
  <c r="AF18" i="23"/>
  <c r="K18" i="23" s="1"/>
  <c r="AF15" i="23"/>
  <c r="K15" i="23" s="1"/>
  <c r="AF9" i="23"/>
  <c r="K9" i="23" s="1"/>
  <c r="K97" i="23" s="1"/>
  <c r="AE142" i="23"/>
  <c r="C147" i="22"/>
  <c r="AF28" i="23"/>
  <c r="AF98" i="23"/>
  <c r="J95" i="23"/>
  <c r="AF256" i="23"/>
  <c r="AF109" i="23"/>
  <c r="AF104" i="23"/>
  <c r="AF29" i="23" s="1" a="1"/>
  <c r="AF29" i="23" s="1"/>
  <c r="AF112" i="23"/>
  <c r="AF114" i="23" s="1"/>
  <c r="AF94" i="23"/>
  <c r="AF142" i="23"/>
  <c r="AF228" i="23"/>
  <c r="AF161" i="23"/>
  <c r="AF79" i="23"/>
  <c r="AF141" i="23" s="1"/>
  <c r="AF48" i="23"/>
  <c r="AF159" i="23" s="1"/>
  <c r="AF10" i="23"/>
  <c r="AF154" i="23"/>
  <c r="AF221" i="23"/>
  <c r="AF226" i="23" s="1"/>
  <c r="J174" i="23"/>
  <c r="J173" i="23"/>
  <c r="J167" i="23"/>
  <c r="J85" i="23"/>
  <c r="J166" i="23"/>
  <c r="J162" i="23"/>
  <c r="J54" i="23"/>
  <c r="J82" i="23"/>
  <c r="J48" i="23"/>
  <c r="J159" i="23" s="1"/>
  <c r="J157" i="23"/>
  <c r="J14" i="23"/>
  <c r="J11" i="23"/>
  <c r="C154" i="22"/>
  <c r="C152" i="22"/>
  <c r="AE10" i="23"/>
  <c r="AE11" i="23" s="1"/>
  <c r="AE99" i="23"/>
  <c r="AE97" i="23"/>
  <c r="AE228" i="23"/>
  <c r="AE161" i="23"/>
  <c r="J85" i="27"/>
  <c r="AE258" i="23"/>
  <c r="AE260" i="23"/>
  <c r="AE114" i="23"/>
  <c r="AE144" i="23" s="1"/>
  <c r="AE224" i="23"/>
  <c r="AE250" i="23"/>
  <c r="AE248" i="23"/>
  <c r="C82" i="27"/>
  <c r="F82" i="27"/>
  <c r="H82" i="27"/>
  <c r="I82" i="27"/>
  <c r="G82" i="27"/>
  <c r="C214" i="22"/>
  <c r="C215" i="22" s="1"/>
  <c r="C194" i="22"/>
  <c r="C192" i="22"/>
  <c r="C203" i="22" s="1"/>
  <c r="C191" i="22"/>
  <c r="C202" i="22" s="1"/>
  <c r="C190" i="22"/>
  <c r="C201" i="22" s="1"/>
  <c r="C187" i="22"/>
  <c r="C186" i="22"/>
  <c r="D208" i="22"/>
  <c r="C208" i="22"/>
  <c r="D200" i="22"/>
  <c r="C200" i="22"/>
  <c r="C181" i="22"/>
  <c r="J176" i="22"/>
  <c r="C175" i="22"/>
  <c r="J173" i="22"/>
  <c r="AD52" i="26"/>
  <c r="AD29" i="26"/>
  <c r="AD10" i="26"/>
  <c r="AD202" i="23"/>
  <c r="AD203" i="23"/>
  <c r="AD205" i="23" s="1"/>
  <c r="AD120" i="23"/>
  <c r="AD90" i="23"/>
  <c r="AD71" i="23"/>
  <c r="AD70" i="23"/>
  <c r="AD67" i="23"/>
  <c r="AD65" i="23"/>
  <c r="AD60" i="23"/>
  <c r="AD57" i="23"/>
  <c r="AD56" i="23"/>
  <c r="AC8" i="23"/>
  <c r="AD8" i="23"/>
  <c r="I30" i="23"/>
  <c r="H30" i="23"/>
  <c r="F30" i="23"/>
  <c r="E30" i="23"/>
  <c r="D30" i="23"/>
  <c r="C30" i="23"/>
  <c r="AD218" i="23"/>
  <c r="AD207" i="23"/>
  <c r="AD183" i="23"/>
  <c r="AD182" i="23"/>
  <c r="AD181" i="23"/>
  <c r="AD157" i="23"/>
  <c r="AD154" i="23"/>
  <c r="AD151" i="23"/>
  <c r="AD145" i="23"/>
  <c r="AD140" i="23"/>
  <c r="AD124" i="23"/>
  <c r="AD113" i="23"/>
  <c r="AD112" i="23"/>
  <c r="AD109" i="23"/>
  <c r="AD104" i="23"/>
  <c r="AD99" i="23"/>
  <c r="AD98" i="23"/>
  <c r="AD97" i="23"/>
  <c r="AD94" i="23"/>
  <c r="AD88" i="23"/>
  <c r="AD82" i="23"/>
  <c r="AD142" i="23" s="1"/>
  <c r="AD78" i="23"/>
  <c r="AD64" i="23"/>
  <c r="AD61" i="23"/>
  <c r="AD54" i="23"/>
  <c r="AD53" i="23"/>
  <c r="AD48" i="23"/>
  <c r="AD159" i="23" s="1"/>
  <c r="AD47" i="23"/>
  <c r="AD158" i="23" s="1"/>
  <c r="AD38" i="23"/>
  <c r="AD28" i="23"/>
  <c r="AD10" i="23"/>
  <c r="AD14" i="23" s="1"/>
  <c r="D43" i="27"/>
  <c r="H43" i="27"/>
  <c r="C263" i="22"/>
  <c r="D257" i="22"/>
  <c r="C257" i="22"/>
  <c r="J225" i="22"/>
  <c r="J222" i="22"/>
  <c r="E25" i="22" l="1"/>
  <c r="E31" i="22"/>
  <c r="AE61" i="26"/>
  <c r="AG61" i="26"/>
  <c r="AD53" i="26"/>
  <c r="AD58" i="26"/>
  <c r="AD60" i="26"/>
  <c r="AD57" i="26"/>
  <c r="AD59" i="26"/>
  <c r="AD56" i="26"/>
  <c r="AF53" i="26"/>
  <c r="AF57" i="26"/>
  <c r="J16" i="26"/>
  <c r="AF58" i="26"/>
  <c r="AF56" i="26"/>
  <c r="AF60" i="26"/>
  <c r="E35" i="22"/>
  <c r="K114" i="23"/>
  <c r="K122" i="23" s="1"/>
  <c r="AG127" i="23"/>
  <c r="AG189" i="23" s="1"/>
  <c r="AG247" i="23"/>
  <c r="AG251" i="23" s="1"/>
  <c r="K118" i="23"/>
  <c r="AG180" i="23"/>
  <c r="AG130" i="23"/>
  <c r="AE247" i="23"/>
  <c r="AG30" i="23"/>
  <c r="AE118" i="23"/>
  <c r="C47" i="22"/>
  <c r="AG122" i="23"/>
  <c r="C54" i="22"/>
  <c r="K99" i="23"/>
  <c r="C93" i="22"/>
  <c r="D54" i="22"/>
  <c r="E87" i="22"/>
  <c r="D64" i="22"/>
  <c r="AE14" i="23"/>
  <c r="AE20" i="23" s="1"/>
  <c r="AG118" i="23"/>
  <c r="AG137" i="23" s="1"/>
  <c r="AG199" i="23" s="1"/>
  <c r="AD224" i="23"/>
  <c r="K202" i="23"/>
  <c r="AG204" i="23"/>
  <c r="AG208" i="23" s="1"/>
  <c r="AF97" i="23"/>
  <c r="AF99" i="23"/>
  <c r="E73" i="22"/>
  <c r="E74" i="22"/>
  <c r="E86" i="22"/>
  <c r="D108" i="22"/>
  <c r="E82" i="22"/>
  <c r="D113" i="22"/>
  <c r="C43" i="22"/>
  <c r="D39" i="22"/>
  <c r="E72" i="22"/>
  <c r="E79" i="22"/>
  <c r="E77" i="22" s="1"/>
  <c r="D114" i="22"/>
  <c r="D105" i="22"/>
  <c r="E88" i="22"/>
  <c r="D115" i="22"/>
  <c r="D106" i="22"/>
  <c r="D99" i="22"/>
  <c r="D116" i="22"/>
  <c r="E83" i="22"/>
  <c r="D107" i="22"/>
  <c r="D97" i="22"/>
  <c r="E90" i="22"/>
  <c r="AG165" i="23"/>
  <c r="AG62" i="23"/>
  <c r="AG232" i="23"/>
  <c r="AG22" i="23"/>
  <c r="AG33" i="23"/>
  <c r="AG237" i="23"/>
  <c r="AG170" i="23"/>
  <c r="AG192" i="23"/>
  <c r="AG147" i="23"/>
  <c r="AG258" i="23"/>
  <c r="AG45" i="23"/>
  <c r="AG43" i="23"/>
  <c r="AG146" i="23"/>
  <c r="AG213" i="23" s="1"/>
  <c r="AG211" i="23"/>
  <c r="AG143" i="23"/>
  <c r="AG226" i="23"/>
  <c r="D154" i="22"/>
  <c r="E141" i="22"/>
  <c r="E143" i="22"/>
  <c r="D160" i="22"/>
  <c r="D85" i="22"/>
  <c r="C89" i="22"/>
  <c r="D98" i="22"/>
  <c r="C100" i="22"/>
  <c r="J36" i="26"/>
  <c r="AF34" i="26"/>
  <c r="AF35" i="26"/>
  <c r="AF33" i="26"/>
  <c r="AF36" i="26" s="1"/>
  <c r="AF30" i="26"/>
  <c r="AD30" i="26"/>
  <c r="AD35" i="26"/>
  <c r="AD33" i="26"/>
  <c r="AD34" i="26"/>
  <c r="AF11" i="26"/>
  <c r="AF14" i="26"/>
  <c r="AF15" i="26"/>
  <c r="AD11" i="26"/>
  <c r="AD15" i="26"/>
  <c r="AD14" i="26"/>
  <c r="AF258" i="23"/>
  <c r="E145" i="22"/>
  <c r="E142" i="22"/>
  <c r="E138" i="22"/>
  <c r="E137" i="22"/>
  <c r="D153" i="22"/>
  <c r="AF70" i="23"/>
  <c r="AE60" i="23"/>
  <c r="E129" i="22"/>
  <c r="D162" i="22"/>
  <c r="E128" i="22"/>
  <c r="E134" i="22"/>
  <c r="D161" i="22"/>
  <c r="D163" i="22"/>
  <c r="D165" i="22"/>
  <c r="D164" i="22"/>
  <c r="E133" i="22"/>
  <c r="E127" i="22"/>
  <c r="J180" i="23"/>
  <c r="J118" i="23"/>
  <c r="J122" i="23"/>
  <c r="J144" i="23"/>
  <c r="J146" i="23" s="1"/>
  <c r="AF30" i="23"/>
  <c r="J128" i="22"/>
  <c r="D140" i="22"/>
  <c r="D152" i="22"/>
  <c r="C155" i="22"/>
  <c r="C148" i="22"/>
  <c r="AE130" i="23"/>
  <c r="AE127" i="23"/>
  <c r="AE189" i="23" s="1"/>
  <c r="AE122" i="23"/>
  <c r="AE180" i="23"/>
  <c r="J170" i="22"/>
  <c r="AD260" i="23"/>
  <c r="AF118" i="23"/>
  <c r="AF122" i="23"/>
  <c r="AF127" i="23"/>
  <c r="AF189" i="23" s="1"/>
  <c r="AF130" i="23"/>
  <c r="AF144" i="23"/>
  <c r="AF180" i="23"/>
  <c r="AF247" i="23"/>
  <c r="AF143" i="23"/>
  <c r="AF14" i="23"/>
  <c r="AG80" i="23" s="1"/>
  <c r="AF11" i="23"/>
  <c r="AF95" i="23"/>
  <c r="AD228" i="23"/>
  <c r="AE71" i="23"/>
  <c r="AE70" i="23"/>
  <c r="AE57" i="23"/>
  <c r="AE56" i="23"/>
  <c r="AF56" i="23" s="1"/>
  <c r="AE61" i="23"/>
  <c r="J170" i="23"/>
  <c r="J58" i="23"/>
  <c r="J161" i="23"/>
  <c r="J134" i="23"/>
  <c r="J196" i="23" s="1"/>
  <c r="J142" i="23"/>
  <c r="J135" i="23"/>
  <c r="J197" i="23" s="1"/>
  <c r="J20" i="23"/>
  <c r="J39" i="23"/>
  <c r="J41" i="23" s="1"/>
  <c r="J80" i="23"/>
  <c r="AD212" i="23"/>
  <c r="J127" i="23"/>
  <c r="J189" i="23" s="1"/>
  <c r="J130" i="23"/>
  <c r="AD174" i="23"/>
  <c r="AE67" i="23"/>
  <c r="AE174" i="23" s="1"/>
  <c r="AD172" i="23"/>
  <c r="AE65" i="23"/>
  <c r="AF65" i="23" s="1"/>
  <c r="D144" i="22"/>
  <c r="C146" i="22"/>
  <c r="AE39" i="23"/>
  <c r="AE41" i="23" s="1"/>
  <c r="AD238" i="23"/>
  <c r="AE64" i="23"/>
  <c r="AE192" i="23"/>
  <c r="AE147" i="23"/>
  <c r="AE251" i="23"/>
  <c r="AE129" i="23"/>
  <c r="AE137" i="23"/>
  <c r="AE199" i="23" s="1"/>
  <c r="AE126" i="23"/>
  <c r="AE188" i="23" s="1"/>
  <c r="AE184" i="23"/>
  <c r="AD221" i="23"/>
  <c r="AD226" i="23" s="1"/>
  <c r="AD234" i="23"/>
  <c r="AE211" i="23"/>
  <c r="AE146" i="23"/>
  <c r="AE213" i="23" s="1"/>
  <c r="AD177" i="23"/>
  <c r="AD235" i="23"/>
  <c r="AD256" i="23"/>
  <c r="AD248" i="23"/>
  <c r="AE226" i="23"/>
  <c r="AD164" i="23"/>
  <c r="AD257" i="23"/>
  <c r="AE22" i="23"/>
  <c r="AE33" i="23"/>
  <c r="C196" i="22"/>
  <c r="J177" i="22" s="1"/>
  <c r="AD230" i="23"/>
  <c r="AD249" i="23"/>
  <c r="C185" i="22"/>
  <c r="C189" i="22" s="1"/>
  <c r="C204" i="22"/>
  <c r="AD241" i="23"/>
  <c r="AD114" i="23"/>
  <c r="AD244" i="23"/>
  <c r="AD161" i="23"/>
  <c r="AD11" i="23"/>
  <c r="AD39" i="23"/>
  <c r="AD41" i="23" s="1"/>
  <c r="AD45" i="23" s="1"/>
  <c r="AD20" i="23"/>
  <c r="AD33" i="23" s="1"/>
  <c r="AD231" i="23"/>
  <c r="AD239" i="23"/>
  <c r="AD167" i="23"/>
  <c r="AD168" i="23"/>
  <c r="AD250" i="23"/>
  <c r="AD163" i="23"/>
  <c r="AD171" i="23"/>
  <c r="C249" i="22"/>
  <c r="D249" i="22"/>
  <c r="C236" i="22"/>
  <c r="C235" i="22"/>
  <c r="E39" i="22" l="1"/>
  <c r="E43" i="22" s="1"/>
  <c r="E45" i="22" s="1"/>
  <c r="AD61" i="26"/>
  <c r="AF61" i="26"/>
  <c r="AG126" i="23"/>
  <c r="AG188" i="23" s="1"/>
  <c r="AG268" i="23"/>
  <c r="AG129" i="23"/>
  <c r="AG191" i="23" s="1"/>
  <c r="E71" i="22"/>
  <c r="AG184" i="23"/>
  <c r="AG265" i="23"/>
  <c r="K70" i="23"/>
  <c r="AF57" i="23"/>
  <c r="K57" i="23" s="1"/>
  <c r="AF71" i="23"/>
  <c r="K71" i="23" s="1"/>
  <c r="K56" i="23"/>
  <c r="AF60" i="23"/>
  <c r="K60" i="23" s="1"/>
  <c r="K65" i="23"/>
  <c r="AG209" i="23"/>
  <c r="AG210" i="23" s="1"/>
  <c r="AF67" i="23"/>
  <c r="K67" i="23" s="1"/>
  <c r="D117" i="22"/>
  <c r="E81" i="22"/>
  <c r="D109" i="22"/>
  <c r="D100" i="22"/>
  <c r="D43" i="22"/>
  <c r="C45" i="22"/>
  <c r="AG236" i="23"/>
  <c r="AG68" i="23"/>
  <c r="AG69" i="23" s="1"/>
  <c r="AG76" i="23" s="1"/>
  <c r="AG169" i="23"/>
  <c r="AG267" i="23"/>
  <c r="AG264" i="23"/>
  <c r="AG275" i="23"/>
  <c r="AG148" i="23"/>
  <c r="AG270" i="23"/>
  <c r="AG23" i="23"/>
  <c r="AG25" i="23"/>
  <c r="D89" i="22"/>
  <c r="C91" i="22"/>
  <c r="E136" i="22"/>
  <c r="AD16" i="26"/>
  <c r="AD36" i="26"/>
  <c r="AF16" i="26"/>
  <c r="D155" i="22"/>
  <c r="AF61" i="23"/>
  <c r="K61" i="23" s="1"/>
  <c r="AF64" i="23"/>
  <c r="K64" i="23" s="1"/>
  <c r="J126" i="23"/>
  <c r="J188" i="23" s="1"/>
  <c r="J137" i="23"/>
  <c r="J199" i="23" s="1"/>
  <c r="J184" i="23"/>
  <c r="J129" i="23"/>
  <c r="D212" i="22"/>
  <c r="E176" i="22"/>
  <c r="E187" i="22"/>
  <c r="E178" i="22"/>
  <c r="D210" i="22"/>
  <c r="E186" i="22"/>
  <c r="E182" i="22"/>
  <c r="E191" i="22"/>
  <c r="E194" i="22"/>
  <c r="E177" i="22"/>
  <c r="D211" i="22"/>
  <c r="D213" i="22"/>
  <c r="D209" i="22"/>
  <c r="E183" i="22"/>
  <c r="D201" i="22"/>
  <c r="D202" i="22"/>
  <c r="D214" i="22"/>
  <c r="D203" i="22"/>
  <c r="E190" i="22"/>
  <c r="E192" i="22"/>
  <c r="AD258" i="23"/>
  <c r="AE230" i="23"/>
  <c r="AE163" i="23"/>
  <c r="AE239" i="23"/>
  <c r="AE172" i="23"/>
  <c r="AF126" i="23"/>
  <c r="AF188" i="23" s="1"/>
  <c r="AF129" i="23"/>
  <c r="AF137" i="23"/>
  <c r="AF199" i="23" s="1"/>
  <c r="AF184" i="23"/>
  <c r="AF147" i="23"/>
  <c r="AF192" i="23"/>
  <c r="AF146" i="23"/>
  <c r="AF213" i="23" s="1"/>
  <c r="AF211" i="23"/>
  <c r="AF251" i="23"/>
  <c r="AF20" i="23"/>
  <c r="AF39" i="23"/>
  <c r="AF41" i="23" s="1"/>
  <c r="AG81" i="23" s="1"/>
  <c r="AF177" i="23"/>
  <c r="AF244" i="23"/>
  <c r="AF231" i="23"/>
  <c r="AF163" i="23"/>
  <c r="AF230" i="23"/>
  <c r="AE241" i="23"/>
  <c r="AF239" i="23"/>
  <c r="AF172" i="23"/>
  <c r="AE45" i="23"/>
  <c r="AE43" i="23"/>
  <c r="J62" i="23"/>
  <c r="J165" i="23"/>
  <c r="J143" i="23"/>
  <c r="J33" i="23"/>
  <c r="J22" i="23"/>
  <c r="J45" i="23"/>
  <c r="J81" i="23"/>
  <c r="J43" i="23"/>
  <c r="J147" i="23"/>
  <c r="J192" i="23"/>
  <c r="AE264" i="23"/>
  <c r="AE267" i="23"/>
  <c r="E132" i="22"/>
  <c r="E126" i="22"/>
  <c r="D166" i="22"/>
  <c r="AE132" i="23"/>
  <c r="AE194" i="23" s="1"/>
  <c r="AE253" i="23"/>
  <c r="AE186" i="23"/>
  <c r="AE275" i="23"/>
  <c r="AE25" i="23"/>
  <c r="AE23" i="23"/>
  <c r="AE191" i="23"/>
  <c r="AE148" i="23"/>
  <c r="AE244" i="23"/>
  <c r="AE177" i="23"/>
  <c r="AE234" i="23"/>
  <c r="AE167" i="23"/>
  <c r="AE231" i="23"/>
  <c r="AE164" i="23"/>
  <c r="AE235" i="23"/>
  <c r="AE168" i="23"/>
  <c r="AE238" i="23"/>
  <c r="AE171" i="23"/>
  <c r="C193" i="22"/>
  <c r="D193" i="22" s="1"/>
  <c r="C197" i="22"/>
  <c r="D189" i="22"/>
  <c r="AD144" i="23"/>
  <c r="AD211" i="23" s="1"/>
  <c r="AD130" i="23"/>
  <c r="AD147" i="23" s="1"/>
  <c r="AD247" i="23"/>
  <c r="AD118" i="23"/>
  <c r="AD126" i="23" s="1"/>
  <c r="AD188" i="23" s="1"/>
  <c r="AD127" i="23"/>
  <c r="AD189" i="23" s="1"/>
  <c r="AD122" i="23"/>
  <c r="AD180" i="23"/>
  <c r="AD22" i="23"/>
  <c r="AD25" i="23" s="1"/>
  <c r="AD43" i="23"/>
  <c r="C264" i="22"/>
  <c r="C243" i="22"/>
  <c r="C241" i="22"/>
  <c r="C252" i="22" s="1"/>
  <c r="C240" i="22"/>
  <c r="C251" i="22" s="1"/>
  <c r="C239" i="22"/>
  <c r="C234" i="22"/>
  <c r="C230" i="22"/>
  <c r="C224" i="22"/>
  <c r="AC52" i="26"/>
  <c r="AC29" i="26"/>
  <c r="AG42" i="26" s="1"/>
  <c r="AC10" i="26"/>
  <c r="AG21" i="26" s="1"/>
  <c r="AC202" i="23"/>
  <c r="AC203" i="23"/>
  <c r="AC205" i="23" s="1"/>
  <c r="AC120" i="23"/>
  <c r="AC90" i="23"/>
  <c r="AC66" i="23"/>
  <c r="AC59" i="23"/>
  <c r="AC55" i="23"/>
  <c r="AC218" i="23"/>
  <c r="AC207" i="23"/>
  <c r="AC183" i="23"/>
  <c r="AC182" i="23"/>
  <c r="AC181" i="23"/>
  <c r="AC177" i="23"/>
  <c r="AC174" i="23"/>
  <c r="AC172" i="23"/>
  <c r="AC171" i="23"/>
  <c r="AC168" i="23"/>
  <c r="AC164" i="23"/>
  <c r="AC163" i="23"/>
  <c r="AC157" i="23"/>
  <c r="AC154" i="23"/>
  <c r="AG155" i="23" s="1"/>
  <c r="AC151" i="23"/>
  <c r="AC145" i="23"/>
  <c r="AC140" i="23"/>
  <c r="AC124" i="23"/>
  <c r="AC113" i="23"/>
  <c r="AC112" i="23"/>
  <c r="AC109" i="23"/>
  <c r="AC104" i="23"/>
  <c r="AC99" i="23"/>
  <c r="AC98" i="23"/>
  <c r="AC97" i="23"/>
  <c r="AC94" i="23"/>
  <c r="AC88" i="23"/>
  <c r="AC82" i="23"/>
  <c r="C245" i="22" s="1"/>
  <c r="J226" i="22" s="1"/>
  <c r="AC78" i="23"/>
  <c r="AC54" i="23"/>
  <c r="AC53" i="23"/>
  <c r="AC48" i="23"/>
  <c r="AC159" i="23" s="1"/>
  <c r="AC47" i="23"/>
  <c r="AC158" i="23" s="1"/>
  <c r="AC38" i="23"/>
  <c r="AC28" i="23"/>
  <c r="AC10" i="23"/>
  <c r="AC11" i="23" s="1"/>
  <c r="C308" i="22"/>
  <c r="E85" i="22" l="1"/>
  <c r="AC53" i="26"/>
  <c r="AC56" i="26"/>
  <c r="AC58" i="26"/>
  <c r="AC60" i="26"/>
  <c r="AC57" i="26"/>
  <c r="AC59" i="26"/>
  <c r="AG69" i="26"/>
  <c r="AF164" i="23"/>
  <c r="AG83" i="23"/>
  <c r="AG135" i="23" s="1"/>
  <c r="AG197" i="23" s="1"/>
  <c r="AG273" i="23"/>
  <c r="AF83" i="23"/>
  <c r="AF135" i="23" s="1"/>
  <c r="AF197" i="23" s="1"/>
  <c r="AG214" i="23"/>
  <c r="AG215" i="23"/>
  <c r="AG242" i="23"/>
  <c r="AG175" i="23"/>
  <c r="AG72" i="23"/>
  <c r="E89" i="22"/>
  <c r="E91" i="22" s="1"/>
  <c r="AC30" i="26"/>
  <c r="AC33" i="26"/>
  <c r="AC35" i="26"/>
  <c r="AC34" i="26"/>
  <c r="AC11" i="26"/>
  <c r="AC15" i="26"/>
  <c r="AC14" i="26"/>
  <c r="AF168" i="23"/>
  <c r="AF235" i="23"/>
  <c r="AF171" i="23"/>
  <c r="AF238" i="23"/>
  <c r="J132" i="23"/>
  <c r="J194" i="23" s="1"/>
  <c r="J186" i="23"/>
  <c r="AF120" i="23"/>
  <c r="AF132" i="23" s="1"/>
  <c r="AF194" i="23" s="1"/>
  <c r="J202" i="23"/>
  <c r="J191" i="23"/>
  <c r="J148" i="23"/>
  <c r="AF148" i="23"/>
  <c r="AF191" i="23"/>
  <c r="AF275" i="23"/>
  <c r="AF33" i="23"/>
  <c r="AF22" i="23"/>
  <c r="AG84" i="23" s="1"/>
  <c r="AF43" i="23"/>
  <c r="AF45" i="23"/>
  <c r="AF174" i="23"/>
  <c r="AF241" i="23"/>
  <c r="AC234" i="23"/>
  <c r="AF204" i="23"/>
  <c r="J68" i="23"/>
  <c r="J69" i="23" s="1"/>
  <c r="J169" i="23"/>
  <c r="J86" i="23"/>
  <c r="J25" i="23"/>
  <c r="J84" i="23"/>
  <c r="J23" i="23"/>
  <c r="AD251" i="23"/>
  <c r="AD275" i="23" s="1"/>
  <c r="J253" i="23"/>
  <c r="J211" i="23"/>
  <c r="J213" i="23"/>
  <c r="J247" i="23"/>
  <c r="J212" i="23"/>
  <c r="J248" i="23"/>
  <c r="J250" i="23"/>
  <c r="J256" i="23"/>
  <c r="J249" i="23"/>
  <c r="J257" i="23"/>
  <c r="J260" i="23"/>
  <c r="AC173" i="23"/>
  <c r="AC166" i="23"/>
  <c r="AC35" i="23"/>
  <c r="E140" i="22"/>
  <c r="AD55" i="23"/>
  <c r="AD59" i="23"/>
  <c r="AD66" i="23"/>
  <c r="C195" i="22"/>
  <c r="AD192" i="23"/>
  <c r="AC63" i="23"/>
  <c r="AC51" i="23"/>
  <c r="AD184" i="23"/>
  <c r="AD137" i="23"/>
  <c r="AD199" i="23" s="1"/>
  <c r="AD129" i="23"/>
  <c r="AD191" i="23" s="1"/>
  <c r="AD253" i="23"/>
  <c r="AD146" i="23"/>
  <c r="AD213" i="23" s="1"/>
  <c r="AD23" i="23"/>
  <c r="AC239" i="23"/>
  <c r="AC36" i="23"/>
  <c r="AC260" i="23"/>
  <c r="J219" i="22"/>
  <c r="E243" i="22" s="1"/>
  <c r="AC228" i="23"/>
  <c r="AC249" i="23"/>
  <c r="AC142" i="23"/>
  <c r="AC132" i="23"/>
  <c r="C250" i="22"/>
  <c r="C238" i="22"/>
  <c r="AC212" i="23"/>
  <c r="AC114" i="23"/>
  <c r="AC50" i="23"/>
  <c r="AC229" i="23"/>
  <c r="AC58" i="23"/>
  <c r="AC165" i="23" s="1"/>
  <c r="AC161" i="23"/>
  <c r="AC14" i="23"/>
  <c r="AC167" i="23"/>
  <c r="AC240" i="23"/>
  <c r="AC224" i="23"/>
  <c r="AC233" i="23"/>
  <c r="AC241" i="23"/>
  <c r="AC250" i="23"/>
  <c r="AC162" i="23"/>
  <c r="AC235" i="23"/>
  <c r="AC244" i="23"/>
  <c r="AC256" i="23"/>
  <c r="AC257" i="23"/>
  <c r="AC230" i="23"/>
  <c r="AC238" i="23"/>
  <c r="AC221" i="23"/>
  <c r="AG222" i="23" s="1"/>
  <c r="AC231" i="23"/>
  <c r="AC248" i="23"/>
  <c r="C43" i="27"/>
  <c r="F43" i="27"/>
  <c r="G43" i="27"/>
  <c r="C284" i="22"/>
  <c r="C283" i="22"/>
  <c r="C309" i="22"/>
  <c r="C278" i="22"/>
  <c r="C272" i="22"/>
  <c r="AB51" i="26"/>
  <c r="AB50" i="26"/>
  <c r="AB49" i="26"/>
  <c r="AB48" i="26"/>
  <c r="AB47" i="26"/>
  <c r="AB28" i="26"/>
  <c r="AB27" i="26"/>
  <c r="AB26" i="26"/>
  <c r="AB9" i="26"/>
  <c r="AB8" i="26"/>
  <c r="I52" i="26"/>
  <c r="I29" i="26"/>
  <c r="I10" i="26"/>
  <c r="AB121" i="23"/>
  <c r="AB117" i="23"/>
  <c r="AB116" i="23"/>
  <c r="AB115" i="23"/>
  <c r="AB108" i="23"/>
  <c r="AB107" i="23"/>
  <c r="AB103" i="23"/>
  <c r="AB102" i="23"/>
  <c r="AB93" i="23"/>
  <c r="AB92" i="23"/>
  <c r="AB91" i="23"/>
  <c r="AB54" i="23"/>
  <c r="AB40" i="23"/>
  <c r="AB24" i="23"/>
  <c r="AB21" i="23"/>
  <c r="AB19" i="23"/>
  <c r="AB18" i="23"/>
  <c r="AB17" i="23"/>
  <c r="AB16" i="23"/>
  <c r="AB15" i="23"/>
  <c r="AB13" i="23"/>
  <c r="AB9" i="23"/>
  <c r="AB7" i="23"/>
  <c r="AF8" i="23" s="1"/>
  <c r="W260" i="23"/>
  <c r="V260" i="23"/>
  <c r="U260" i="23"/>
  <c r="S260" i="23"/>
  <c r="R260" i="23"/>
  <c r="Q260" i="23"/>
  <c r="O260" i="23"/>
  <c r="N260" i="23"/>
  <c r="M260" i="23"/>
  <c r="G260" i="23"/>
  <c r="F260" i="23"/>
  <c r="E260" i="23"/>
  <c r="D260" i="23"/>
  <c r="C260" i="23"/>
  <c r="W257" i="23"/>
  <c r="V257" i="23"/>
  <c r="U257" i="23"/>
  <c r="S257" i="23"/>
  <c r="R257" i="23"/>
  <c r="Q257" i="23"/>
  <c r="O257" i="23"/>
  <c r="N257" i="23"/>
  <c r="W256" i="23"/>
  <c r="V256" i="23"/>
  <c r="U256" i="23"/>
  <c r="S256" i="23"/>
  <c r="R256" i="23"/>
  <c r="R258" i="23" s="1"/>
  <c r="Q256" i="23"/>
  <c r="O256" i="23"/>
  <c r="N256" i="23"/>
  <c r="N258" i="23" s="1"/>
  <c r="M257" i="23"/>
  <c r="M256" i="23"/>
  <c r="D257" i="23"/>
  <c r="E257" i="23"/>
  <c r="F257" i="23"/>
  <c r="G257" i="23"/>
  <c r="C257" i="23"/>
  <c r="G256" i="23"/>
  <c r="F256" i="23"/>
  <c r="E256" i="23"/>
  <c r="D256" i="23"/>
  <c r="D258" i="23" s="1"/>
  <c r="C256" i="23"/>
  <c r="AB202" i="23"/>
  <c r="AB203" i="23"/>
  <c r="AB205" i="23" s="1"/>
  <c r="I90" i="23"/>
  <c r="AB90" i="23" s="1"/>
  <c r="I67" i="23"/>
  <c r="I66" i="23"/>
  <c r="I60" i="23"/>
  <c r="I59" i="23"/>
  <c r="I55" i="23"/>
  <c r="I51" i="23" s="1"/>
  <c r="I46" i="23"/>
  <c r="AB218" i="23"/>
  <c r="AB207" i="23"/>
  <c r="AB157" i="23"/>
  <c r="AB151" i="23"/>
  <c r="AB140" i="23"/>
  <c r="AB124" i="23"/>
  <c r="AB88" i="23"/>
  <c r="AB82" i="23"/>
  <c r="AB78" i="23"/>
  <c r="AB53" i="23"/>
  <c r="AB47" i="23"/>
  <c r="AB158" i="23" s="1"/>
  <c r="AB38" i="23"/>
  <c r="I218" i="23"/>
  <c r="I207" i="23"/>
  <c r="I183" i="23"/>
  <c r="I182" i="23"/>
  <c r="I181" i="23"/>
  <c r="I177" i="23"/>
  <c r="I172" i="23"/>
  <c r="I171" i="23"/>
  <c r="I168" i="23"/>
  <c r="I164" i="23"/>
  <c r="I163" i="23"/>
  <c r="I154" i="23"/>
  <c r="J155" i="23" s="1"/>
  <c r="I151" i="23"/>
  <c r="I145" i="23"/>
  <c r="I140" i="23"/>
  <c r="I124" i="23"/>
  <c r="I113" i="23"/>
  <c r="I112" i="23"/>
  <c r="I109" i="23"/>
  <c r="I104" i="23"/>
  <c r="I29" i="23" s="1"/>
  <c r="I99" i="23"/>
  <c r="I98" i="23"/>
  <c r="I97" i="23"/>
  <c r="I94" i="23"/>
  <c r="I88" i="23"/>
  <c r="I83" i="23"/>
  <c r="I79" i="23"/>
  <c r="I78" i="23"/>
  <c r="I53" i="23"/>
  <c r="I38" i="23"/>
  <c r="I28" i="23"/>
  <c r="I10" i="23"/>
  <c r="I11" i="23" s="1"/>
  <c r="I8" i="23"/>
  <c r="C352" i="22"/>
  <c r="C353" i="22" s="1"/>
  <c r="C335" i="22"/>
  <c r="C333" i="22"/>
  <c r="J317" i="22" s="1"/>
  <c r="C332" i="22"/>
  <c r="J316" i="22" s="1"/>
  <c r="C331" i="22"/>
  <c r="C342" i="22" s="1"/>
  <c r="C344" i="22" s="1"/>
  <c r="C328" i="22"/>
  <c r="C327" i="22"/>
  <c r="C322" i="22"/>
  <c r="C316" i="22"/>
  <c r="AA52" i="26"/>
  <c r="AA29" i="26"/>
  <c r="AA10" i="26"/>
  <c r="Z52" i="26"/>
  <c r="Z29" i="26"/>
  <c r="Z10" i="26"/>
  <c r="Y52" i="26"/>
  <c r="Y29" i="26"/>
  <c r="Y10" i="26"/>
  <c r="AC21" i="26" s="1"/>
  <c r="X51" i="26"/>
  <c r="X50" i="26"/>
  <c r="X49" i="26"/>
  <c r="X48" i="26"/>
  <c r="X47" i="26"/>
  <c r="X28" i="26"/>
  <c r="X27" i="26"/>
  <c r="X26" i="26"/>
  <c r="X9" i="26"/>
  <c r="X8" i="26"/>
  <c r="H52" i="26"/>
  <c r="H29" i="26"/>
  <c r="H10" i="26"/>
  <c r="X71" i="23"/>
  <c r="AA203" i="23"/>
  <c r="Z203" i="23"/>
  <c r="Y203" i="23"/>
  <c r="AA202" i="23"/>
  <c r="Z202" i="23"/>
  <c r="Y202" i="23"/>
  <c r="X202" i="23"/>
  <c r="H203" i="23"/>
  <c r="H202" i="23"/>
  <c r="Y53" i="26" l="1"/>
  <c r="Y60" i="26"/>
  <c r="Y57" i="26"/>
  <c r="Y58" i="26"/>
  <c r="Y59" i="26"/>
  <c r="Y56" i="26"/>
  <c r="AB65" i="26"/>
  <c r="AF65" i="26"/>
  <c r="AA53" i="26"/>
  <c r="AA59" i="26"/>
  <c r="AA60" i="26"/>
  <c r="AA56" i="26"/>
  <c r="AA58" i="26"/>
  <c r="AA57" i="26"/>
  <c r="AE69" i="26"/>
  <c r="AB64" i="26"/>
  <c r="AF64" i="26"/>
  <c r="I53" i="26"/>
  <c r="I69" i="26"/>
  <c r="I60" i="26"/>
  <c r="I59" i="26"/>
  <c r="I56" i="26"/>
  <c r="I58" i="26"/>
  <c r="I57" i="26"/>
  <c r="J69" i="26"/>
  <c r="AB66" i="26"/>
  <c r="AF66" i="26"/>
  <c r="AB67" i="26"/>
  <c r="AF67" i="26"/>
  <c r="H53" i="26"/>
  <c r="H57" i="26"/>
  <c r="H61" i="26" s="1"/>
  <c r="H59" i="26"/>
  <c r="H56" i="26"/>
  <c r="H58" i="26"/>
  <c r="H60" i="26"/>
  <c r="AB68" i="26"/>
  <c r="AF68" i="26"/>
  <c r="AC69" i="26"/>
  <c r="Z53" i="26"/>
  <c r="Z57" i="26"/>
  <c r="Z59" i="26"/>
  <c r="Z56" i="26"/>
  <c r="Z58" i="26"/>
  <c r="Z60" i="26"/>
  <c r="AD69" i="26"/>
  <c r="AC61" i="26"/>
  <c r="X58" i="26"/>
  <c r="AC16" i="26"/>
  <c r="AF253" i="23"/>
  <c r="AF186" i="23"/>
  <c r="AE55" i="23"/>
  <c r="AD35" i="23"/>
  <c r="Z256" i="23"/>
  <c r="Z205" i="23"/>
  <c r="O258" i="23"/>
  <c r="Y260" i="23"/>
  <c r="Y205" i="23"/>
  <c r="J311" i="22"/>
  <c r="E323" i="22" s="1"/>
  <c r="AA205" i="23"/>
  <c r="X203" i="23"/>
  <c r="X205" i="23" s="1"/>
  <c r="H205" i="23"/>
  <c r="AE66" i="23"/>
  <c r="AF66" i="23" s="1"/>
  <c r="AF262" i="23"/>
  <c r="AF273" i="23" s="1"/>
  <c r="AG225" i="23"/>
  <c r="AF55" i="23"/>
  <c r="AF229" i="23" s="1"/>
  <c r="AG178" i="23"/>
  <c r="AG245" i="23"/>
  <c r="AG243" i="23"/>
  <c r="AG176" i="23"/>
  <c r="AC42" i="26"/>
  <c r="AC36" i="26"/>
  <c r="AB41" i="26"/>
  <c r="AF41" i="26"/>
  <c r="AF40" i="26"/>
  <c r="AB40" i="26"/>
  <c r="AF39" i="26"/>
  <c r="AB39" i="26"/>
  <c r="I30" i="26"/>
  <c r="I34" i="26"/>
  <c r="I42" i="26"/>
  <c r="I35" i="26"/>
  <c r="I33" i="26"/>
  <c r="J42" i="26"/>
  <c r="AA30" i="26"/>
  <c r="AA34" i="26"/>
  <c r="AA33" i="26"/>
  <c r="AA35" i="26"/>
  <c r="AA36" i="26" s="1"/>
  <c r="AE42" i="26"/>
  <c r="Z30" i="26"/>
  <c r="AD42" i="26"/>
  <c r="Z33" i="26"/>
  <c r="Z34" i="26"/>
  <c r="Z35" i="26"/>
  <c r="Z36" i="26" s="1"/>
  <c r="Y30" i="26"/>
  <c r="Y35" i="26"/>
  <c r="Y34" i="26"/>
  <c r="Y33" i="26"/>
  <c r="H30" i="26"/>
  <c r="H35" i="26"/>
  <c r="H34" i="26"/>
  <c r="H33" i="26"/>
  <c r="AF20" i="26"/>
  <c r="AB20" i="26"/>
  <c r="AF19" i="26"/>
  <c r="AB19" i="26"/>
  <c r="I11" i="26"/>
  <c r="I15" i="26"/>
  <c r="I14" i="26"/>
  <c r="I21" i="26"/>
  <c r="J21" i="26"/>
  <c r="AA11" i="26"/>
  <c r="AA15" i="26"/>
  <c r="AA14" i="26"/>
  <c r="AE21" i="26"/>
  <c r="Z11" i="26"/>
  <c r="Z15" i="26"/>
  <c r="Z14" i="26"/>
  <c r="Z16" i="26" s="1"/>
  <c r="AD21" i="26"/>
  <c r="Y11" i="26"/>
  <c r="Y15" i="26"/>
  <c r="Y14" i="26"/>
  <c r="H11" i="26"/>
  <c r="H15" i="26"/>
  <c r="H14" i="26"/>
  <c r="J76" i="23"/>
  <c r="AE29" i="23" a="1"/>
  <c r="AE29" i="23" s="1"/>
  <c r="AD29" i="23" a="1"/>
  <c r="AD29" i="23" s="1"/>
  <c r="AC29" i="23" a="1"/>
  <c r="AC29" i="23" s="1"/>
  <c r="J258" i="23"/>
  <c r="AF23" i="23"/>
  <c r="AF25" i="23"/>
  <c r="AF209" i="23"/>
  <c r="AF208" i="23"/>
  <c r="AE59" i="23"/>
  <c r="AC20" i="23"/>
  <c r="AF80" i="23"/>
  <c r="AF264" i="23"/>
  <c r="AF267" i="23"/>
  <c r="AF265" i="23"/>
  <c r="J175" i="23"/>
  <c r="J72" i="23"/>
  <c r="J242" i="23"/>
  <c r="J251" i="23"/>
  <c r="AD63" i="23"/>
  <c r="AE30" i="23"/>
  <c r="AE79" i="23"/>
  <c r="I54" i="23"/>
  <c r="J47" i="23"/>
  <c r="J158" i="23" s="1"/>
  <c r="J236" i="23"/>
  <c r="J232" i="23"/>
  <c r="J228" i="23"/>
  <c r="J237" i="23"/>
  <c r="J224" i="23"/>
  <c r="J229" i="23"/>
  <c r="J233" i="23"/>
  <c r="J234" i="23"/>
  <c r="J240" i="23"/>
  <c r="J235" i="23"/>
  <c r="J238" i="23"/>
  <c r="J244" i="23"/>
  <c r="E144" i="22"/>
  <c r="AE35" i="23"/>
  <c r="AE229" i="23"/>
  <c r="AE162" i="23"/>
  <c r="AE51" i="23"/>
  <c r="AE58" i="23"/>
  <c r="AD240" i="23"/>
  <c r="AD173" i="23"/>
  <c r="AD58" i="23"/>
  <c r="AD232" i="23" s="1"/>
  <c r="AD51" i="23"/>
  <c r="AD162" i="23"/>
  <c r="AD229" i="23"/>
  <c r="AB224" i="23"/>
  <c r="AE204" i="23"/>
  <c r="AE209" i="23" s="1"/>
  <c r="AC144" i="23"/>
  <c r="AC146" i="23" s="1"/>
  <c r="AC213" i="23" s="1"/>
  <c r="K30" i="23"/>
  <c r="AC30" i="23"/>
  <c r="AD30" i="23"/>
  <c r="AB30" i="23"/>
  <c r="D251" i="22"/>
  <c r="AD204" i="23"/>
  <c r="AD209" i="23" s="1"/>
  <c r="AD214" i="23" s="1"/>
  <c r="K204" i="23"/>
  <c r="E225" i="22"/>
  <c r="E241" i="22"/>
  <c r="E181" i="22"/>
  <c r="E239" i="22"/>
  <c r="E240" i="22"/>
  <c r="AB10" i="26"/>
  <c r="AD148" i="23"/>
  <c r="AD132" i="23"/>
  <c r="AD194" i="23" s="1"/>
  <c r="AD186" i="23"/>
  <c r="AD165" i="23"/>
  <c r="AD62" i="23"/>
  <c r="AD79" i="23"/>
  <c r="AC79" i="23"/>
  <c r="AD166" i="23"/>
  <c r="AD233" i="23"/>
  <c r="AD50" i="23"/>
  <c r="AD36" i="23"/>
  <c r="AC204" i="23"/>
  <c r="AC209" i="23" s="1"/>
  <c r="D261" i="22"/>
  <c r="D260" i="22"/>
  <c r="D259" i="22"/>
  <c r="D258" i="22"/>
  <c r="D263" i="22"/>
  <c r="D262" i="22"/>
  <c r="E236" i="22"/>
  <c r="E231" i="22"/>
  <c r="E226" i="22"/>
  <c r="E227" i="22"/>
  <c r="E235" i="22"/>
  <c r="E232" i="22"/>
  <c r="D252" i="22"/>
  <c r="C253" i="22"/>
  <c r="D250" i="22"/>
  <c r="D238" i="22"/>
  <c r="C246" i="22"/>
  <c r="C242" i="22"/>
  <c r="C244" i="22" s="1"/>
  <c r="AC180" i="23"/>
  <c r="AC130" i="23"/>
  <c r="AC147" i="23" s="1"/>
  <c r="AC118" i="23"/>
  <c r="AC184" i="23" s="1"/>
  <c r="AC247" i="23"/>
  <c r="AC127" i="23"/>
  <c r="AC189" i="23" s="1"/>
  <c r="AC122" i="23"/>
  <c r="AC232" i="23"/>
  <c r="AC62" i="23"/>
  <c r="AC39" i="23"/>
  <c r="AC41" i="23" s="1"/>
  <c r="AC226" i="23"/>
  <c r="AC237" i="23"/>
  <c r="AC170" i="23"/>
  <c r="AC258" i="23"/>
  <c r="W258" i="23"/>
  <c r="AB181" i="23"/>
  <c r="AB260" i="23"/>
  <c r="C289" i="22"/>
  <c r="J267" i="22"/>
  <c r="AB79" i="23"/>
  <c r="AB141" i="23" s="1"/>
  <c r="K260" i="23"/>
  <c r="I36" i="23"/>
  <c r="I167" i="23"/>
  <c r="AB113" i="23"/>
  <c r="AB142" i="23"/>
  <c r="C293" i="22"/>
  <c r="K257" i="23"/>
  <c r="AB257" i="23"/>
  <c r="F258" i="23"/>
  <c r="AB256" i="23"/>
  <c r="K256" i="23"/>
  <c r="AB112" i="23"/>
  <c r="C287" i="22"/>
  <c r="G258" i="23"/>
  <c r="C288" i="22"/>
  <c r="C291" i="22"/>
  <c r="C282" i="22"/>
  <c r="C286" i="22" s="1"/>
  <c r="AB29" i="26"/>
  <c r="AB52" i="26"/>
  <c r="E258" i="23"/>
  <c r="U258" i="23"/>
  <c r="M258" i="23"/>
  <c r="V258" i="23"/>
  <c r="Y257" i="23"/>
  <c r="H260" i="23"/>
  <c r="Q258" i="23"/>
  <c r="C258" i="23"/>
  <c r="S258" i="23"/>
  <c r="Z260" i="23"/>
  <c r="AA260" i="23"/>
  <c r="H257" i="23"/>
  <c r="H256" i="23"/>
  <c r="Y256" i="23"/>
  <c r="Z257" i="23"/>
  <c r="Z258" i="23" s="1"/>
  <c r="AA257" i="23"/>
  <c r="AA256" i="23"/>
  <c r="AB154" i="23"/>
  <c r="AF155" i="23" s="1"/>
  <c r="AB10" i="23"/>
  <c r="AB14" i="23" s="1"/>
  <c r="AE80" i="23" s="1"/>
  <c r="AB28" i="23"/>
  <c r="AB98" i="23"/>
  <c r="AB109" i="23"/>
  <c r="AB145" i="23"/>
  <c r="AB212" i="23" s="1"/>
  <c r="I202" i="23"/>
  <c r="I233" i="23" s="1"/>
  <c r="AB104" i="23"/>
  <c r="AB29" i="23" s="1" a="1"/>
  <c r="AB29" i="23" s="1"/>
  <c r="AB248" i="23"/>
  <c r="I203" i="23"/>
  <c r="AB204" i="23"/>
  <c r="AB99" i="23"/>
  <c r="AB249" i="23"/>
  <c r="AB250" i="23"/>
  <c r="I63" i="23"/>
  <c r="AB221" i="23"/>
  <c r="AF222" i="23" s="1"/>
  <c r="I114" i="23"/>
  <c r="AB94" i="23"/>
  <c r="I162" i="23"/>
  <c r="AB48" i="23"/>
  <c r="AB159" i="23" s="1"/>
  <c r="AB182" i="23"/>
  <c r="I35" i="23"/>
  <c r="AB97" i="23"/>
  <c r="AB183" i="23"/>
  <c r="I95" i="23"/>
  <c r="E332" i="22"/>
  <c r="E352" i="22"/>
  <c r="E351" i="22"/>
  <c r="E324" i="22"/>
  <c r="E317" i="22"/>
  <c r="E350" i="22"/>
  <c r="E349" i="22"/>
  <c r="E319" i="22"/>
  <c r="E347" i="22"/>
  <c r="E348" i="22"/>
  <c r="E318" i="22"/>
  <c r="E328" i="22"/>
  <c r="E327" i="22"/>
  <c r="I14" i="23"/>
  <c r="I141" i="23"/>
  <c r="I82" i="23"/>
  <c r="I173" i="23"/>
  <c r="I48" i="23"/>
  <c r="I159" i="23" s="1"/>
  <c r="I157" i="23"/>
  <c r="I166" i="23"/>
  <c r="I174" i="23"/>
  <c r="I50" i="23"/>
  <c r="I85" i="23"/>
  <c r="C326" i="22"/>
  <c r="C330" i="22" s="1"/>
  <c r="E333" i="22"/>
  <c r="E335" i="22"/>
  <c r="J315" i="22"/>
  <c r="J318" i="22" s="1"/>
  <c r="E331" i="22"/>
  <c r="E342" i="22" s="1"/>
  <c r="E344" i="22" s="1"/>
  <c r="X29" i="26"/>
  <c r="X52" i="26"/>
  <c r="X60" i="26" s="1"/>
  <c r="X10" i="26"/>
  <c r="AA90" i="23"/>
  <c r="AA250" i="23"/>
  <c r="AA249" i="23"/>
  <c r="AA248" i="23"/>
  <c r="AA224" i="23"/>
  <c r="AA221" i="23"/>
  <c r="AE222" i="23" s="1"/>
  <c r="AA218" i="23"/>
  <c r="AA207" i="23"/>
  <c r="AA204" i="23"/>
  <c r="AA183" i="23"/>
  <c r="AA182" i="23"/>
  <c r="AA181" i="23"/>
  <c r="AA157" i="23"/>
  <c r="AA154" i="23"/>
  <c r="AE155" i="23" s="1"/>
  <c r="AA151" i="23"/>
  <c r="AA145" i="23"/>
  <c r="AA212" i="23" s="1"/>
  <c r="AA140" i="23"/>
  <c r="AA124" i="23"/>
  <c r="AA113" i="23"/>
  <c r="AA112" i="23"/>
  <c r="AA109" i="23"/>
  <c r="AA104" i="23"/>
  <c r="AA99" i="23"/>
  <c r="AA98" i="23"/>
  <c r="AA97" i="23"/>
  <c r="AA94" i="23"/>
  <c r="AA88" i="23"/>
  <c r="AA82" i="23"/>
  <c r="C337" i="22" s="1"/>
  <c r="AA78" i="23"/>
  <c r="AA54" i="23"/>
  <c r="AA161" i="23" s="1"/>
  <c r="AA53" i="23"/>
  <c r="AA48" i="23"/>
  <c r="AA159" i="23" s="1"/>
  <c r="AA47" i="23"/>
  <c r="AA158" i="23" s="1"/>
  <c r="AA38" i="23"/>
  <c r="AA28" i="23"/>
  <c r="AA10" i="23"/>
  <c r="AA11" i="23" s="1"/>
  <c r="AA8" i="23"/>
  <c r="E322" i="22" l="1"/>
  <c r="E316" i="22"/>
  <c r="X56" i="26"/>
  <c r="AB53" i="26"/>
  <c r="AB69" i="26"/>
  <c r="AF69" i="26"/>
  <c r="AB60" i="26"/>
  <c r="AB57" i="26"/>
  <c r="H16" i="26"/>
  <c r="Z61" i="26"/>
  <c r="AA61" i="26"/>
  <c r="Y61" i="26"/>
  <c r="AB59" i="26"/>
  <c r="I61" i="26"/>
  <c r="AB58" i="26"/>
  <c r="Y16" i="26"/>
  <c r="X59" i="26"/>
  <c r="X57" i="26"/>
  <c r="AB56" i="26"/>
  <c r="AF268" i="23"/>
  <c r="AF270" i="23"/>
  <c r="K55" i="23"/>
  <c r="K229" i="23" s="1"/>
  <c r="AE173" i="23"/>
  <c r="AE240" i="23"/>
  <c r="K66" i="23"/>
  <c r="J67" i="22"/>
  <c r="E92" i="22" s="1"/>
  <c r="F89" i="22" s="1"/>
  <c r="J21" i="22"/>
  <c r="E46" i="22" s="1"/>
  <c r="I249" i="23"/>
  <c r="I205" i="23"/>
  <c r="AF81" i="23"/>
  <c r="AG42" i="23"/>
  <c r="H36" i="26"/>
  <c r="I16" i="26"/>
  <c r="AB35" i="26"/>
  <c r="AB34" i="26"/>
  <c r="AB33" i="26"/>
  <c r="X35" i="26"/>
  <c r="X34" i="26"/>
  <c r="X33" i="26"/>
  <c r="X36" i="26" s="1"/>
  <c r="X15" i="26"/>
  <c r="X14" i="26"/>
  <c r="I36" i="26"/>
  <c r="Y36" i="26"/>
  <c r="AB30" i="26"/>
  <c r="AB42" i="26"/>
  <c r="AF42" i="26"/>
  <c r="AA16" i="26"/>
  <c r="AB15" i="26"/>
  <c r="AB14" i="26"/>
  <c r="AB11" i="26"/>
  <c r="AB21" i="26"/>
  <c r="AF21" i="26"/>
  <c r="AE166" i="23"/>
  <c r="AE233" i="23"/>
  <c r="AE50" i="23"/>
  <c r="AE36" i="23"/>
  <c r="AF59" i="23"/>
  <c r="AG85" i="23" s="1"/>
  <c r="AG134" i="23" s="1"/>
  <c r="AG196" i="23" s="1"/>
  <c r="AC22" i="23"/>
  <c r="AC33" i="23"/>
  <c r="AE63" i="23"/>
  <c r="AF63" i="23" s="1"/>
  <c r="J241" i="23"/>
  <c r="J221" i="23"/>
  <c r="J231" i="23"/>
  <c r="J239" i="23"/>
  <c r="J204" i="23"/>
  <c r="J230" i="23"/>
  <c r="AE141" i="23"/>
  <c r="AE95" i="23"/>
  <c r="AF214" i="23"/>
  <c r="AF215" i="23"/>
  <c r="AF210" i="23"/>
  <c r="AB226" i="23"/>
  <c r="I58" i="23"/>
  <c r="I161" i="23"/>
  <c r="AE262" i="23"/>
  <c r="AE270" i="23" s="1"/>
  <c r="AF225" i="23"/>
  <c r="AC236" i="23"/>
  <c r="J176" i="23"/>
  <c r="J243" i="23"/>
  <c r="J178" i="23"/>
  <c r="J245" i="23"/>
  <c r="J275" i="23"/>
  <c r="J215" i="23"/>
  <c r="J214" i="23"/>
  <c r="J210" i="23"/>
  <c r="J262" i="23"/>
  <c r="J270" i="23" s="1"/>
  <c r="J226" i="23"/>
  <c r="AE268" i="23"/>
  <c r="J171" i="22"/>
  <c r="E196" i="22" s="1"/>
  <c r="J122" i="22"/>
  <c r="E147" i="22" s="1"/>
  <c r="AC251" i="23"/>
  <c r="AC275" i="23" s="1"/>
  <c r="E146" i="22"/>
  <c r="AE165" i="23"/>
  <c r="AE62" i="23"/>
  <c r="AE232" i="23"/>
  <c r="AD262" i="23"/>
  <c r="AD270" i="23" s="1"/>
  <c r="AE225" i="23"/>
  <c r="AE214" i="23"/>
  <c r="AE215" i="23"/>
  <c r="AD215" i="23"/>
  <c r="AC211" i="23"/>
  <c r="AC214" i="23" s="1"/>
  <c r="I122" i="23"/>
  <c r="E224" i="22"/>
  <c r="D215" i="22"/>
  <c r="E230" i="22"/>
  <c r="E185" i="22"/>
  <c r="E175" i="22"/>
  <c r="D204" i="22"/>
  <c r="AC141" i="23"/>
  <c r="AC95" i="23"/>
  <c r="K258" i="23"/>
  <c r="J220" i="22"/>
  <c r="E245" i="22" s="1"/>
  <c r="AD141" i="23"/>
  <c r="AD95" i="23"/>
  <c r="AD68" i="23"/>
  <c r="AD236" i="23"/>
  <c r="AD169" i="23"/>
  <c r="AC137" i="23"/>
  <c r="AC199" i="23" s="1"/>
  <c r="D253" i="22"/>
  <c r="AD237" i="23"/>
  <c r="AD170" i="23"/>
  <c r="D242" i="22"/>
  <c r="E234" i="22"/>
  <c r="J272" i="22"/>
  <c r="E288" i="22"/>
  <c r="J273" i="22"/>
  <c r="E289" i="22"/>
  <c r="C298" i="22"/>
  <c r="C300" i="22" s="1"/>
  <c r="E287" i="22"/>
  <c r="E298" i="22" s="1"/>
  <c r="E300" i="22" s="1"/>
  <c r="E278" i="22"/>
  <c r="E279" i="22"/>
  <c r="E305" i="22"/>
  <c r="E275" i="22"/>
  <c r="E304" i="22"/>
  <c r="E303" i="22"/>
  <c r="E280" i="22"/>
  <c r="E274" i="22"/>
  <c r="E307" i="22"/>
  <c r="E273" i="22"/>
  <c r="E306" i="22"/>
  <c r="E308" i="22"/>
  <c r="E284" i="22"/>
  <c r="E283" i="22"/>
  <c r="AC126" i="23"/>
  <c r="AC188" i="23" s="1"/>
  <c r="AC192" i="23"/>
  <c r="AC129" i="23"/>
  <c r="AC191" i="23" s="1"/>
  <c r="AC253" i="23"/>
  <c r="AC169" i="23"/>
  <c r="AC68" i="23"/>
  <c r="AC45" i="23"/>
  <c r="AC43" i="23"/>
  <c r="AC215" i="23"/>
  <c r="AC194" i="23"/>
  <c r="J271" i="22"/>
  <c r="AB95" i="23"/>
  <c r="E272" i="22"/>
  <c r="AB143" i="23"/>
  <c r="AB258" i="23"/>
  <c r="Y258" i="23"/>
  <c r="H258" i="23"/>
  <c r="E291" i="22"/>
  <c r="J268" i="22"/>
  <c r="E293" i="22" s="1"/>
  <c r="C290" i="22"/>
  <c r="D286" i="22"/>
  <c r="I204" i="23"/>
  <c r="AB11" i="23"/>
  <c r="I235" i="23"/>
  <c r="I250" i="23"/>
  <c r="I256" i="23"/>
  <c r="I257" i="23"/>
  <c r="I260" i="23"/>
  <c r="AA258" i="23"/>
  <c r="I212" i="23"/>
  <c r="I238" i="23"/>
  <c r="I231" i="23"/>
  <c r="I234" i="23"/>
  <c r="I221" i="23"/>
  <c r="I229" i="23"/>
  <c r="I240" i="23"/>
  <c r="I244" i="23"/>
  <c r="I230" i="23"/>
  <c r="I228" i="23"/>
  <c r="I239" i="23"/>
  <c r="I241" i="23"/>
  <c r="I224" i="23"/>
  <c r="J225" i="23" s="1"/>
  <c r="E326" i="22"/>
  <c r="E330" i="22" s="1"/>
  <c r="E334" i="22" s="1"/>
  <c r="I248" i="23"/>
  <c r="I118" i="23"/>
  <c r="I127" i="23"/>
  <c r="I189" i="23" s="1"/>
  <c r="I247" i="23"/>
  <c r="I180" i="23"/>
  <c r="I144" i="23"/>
  <c r="I211" i="23" s="1"/>
  <c r="I130" i="23"/>
  <c r="I192" i="23" s="1"/>
  <c r="AB20" i="23"/>
  <c r="AB39" i="23"/>
  <c r="AB41" i="23" s="1"/>
  <c r="I39" i="23"/>
  <c r="I41" i="23" s="1"/>
  <c r="J42" i="23" s="1"/>
  <c r="I20" i="23"/>
  <c r="I80" i="23"/>
  <c r="AA228" i="23"/>
  <c r="I170" i="23"/>
  <c r="I237" i="23"/>
  <c r="J312" i="22"/>
  <c r="E337" i="22" s="1"/>
  <c r="D330" i="22"/>
  <c r="I135" i="23"/>
  <c r="I197" i="23" s="1"/>
  <c r="I134" i="23"/>
  <c r="I196" i="23" s="1"/>
  <c r="I142" i="23"/>
  <c r="C334" i="22"/>
  <c r="C336" i="22" s="1"/>
  <c r="AA114" i="23"/>
  <c r="AA226" i="23"/>
  <c r="AA142" i="23"/>
  <c r="AA14" i="23"/>
  <c r="AD80" i="23" s="1"/>
  <c r="Z90" i="23"/>
  <c r="Z71" i="23"/>
  <c r="Z70" i="23"/>
  <c r="Z67" i="23"/>
  <c r="Z65" i="23"/>
  <c r="Z57" i="23"/>
  <c r="Z56" i="23"/>
  <c r="Z250" i="23"/>
  <c r="Z249" i="23"/>
  <c r="Z248" i="23"/>
  <c r="Z224" i="23"/>
  <c r="Z221" i="23"/>
  <c r="AD222" i="23" s="1"/>
  <c r="Z218" i="23"/>
  <c r="Z207" i="23"/>
  <c r="Z204" i="23"/>
  <c r="Z183" i="23"/>
  <c r="Z182" i="23"/>
  <c r="Z181" i="23"/>
  <c r="Z157" i="23"/>
  <c r="Z154" i="23"/>
  <c r="AD155" i="23" s="1"/>
  <c r="Z151" i="23"/>
  <c r="Z145" i="23"/>
  <c r="Z212" i="23" s="1"/>
  <c r="Z140" i="23"/>
  <c r="Z124" i="23"/>
  <c r="Z113" i="23"/>
  <c r="Z112" i="23"/>
  <c r="Z109" i="23"/>
  <c r="Z104" i="23"/>
  <c r="Z29" i="23" s="1" a="1"/>
  <c r="Z29" i="23" s="1"/>
  <c r="Z99" i="23"/>
  <c r="Z98" i="23"/>
  <c r="Z97" i="23"/>
  <c r="Z94" i="23"/>
  <c r="Z88" i="23"/>
  <c r="Z82" i="23"/>
  <c r="Z142" i="23" s="1"/>
  <c r="Z78" i="23"/>
  <c r="Z64" i="23"/>
  <c r="Z61" i="23"/>
  <c r="Z54" i="23"/>
  <c r="Z228" i="23" s="1"/>
  <c r="Z53" i="23"/>
  <c r="Z48" i="23"/>
  <c r="Z159" i="23" s="1"/>
  <c r="Z47" i="23"/>
  <c r="Z158" i="23" s="1"/>
  <c r="Z38" i="23"/>
  <c r="Z28" i="23"/>
  <c r="Z10" i="23"/>
  <c r="Z14" i="23" s="1"/>
  <c r="Z8" i="23"/>
  <c r="Y90" i="23"/>
  <c r="Y66" i="23"/>
  <c r="Y60" i="23"/>
  <c r="Y59" i="23"/>
  <c r="Y36" i="23" s="1"/>
  <c r="Y55" i="23"/>
  <c r="Y250" i="23"/>
  <c r="Y249" i="23"/>
  <c r="Y248" i="23"/>
  <c r="Y244" i="23"/>
  <c r="Y239" i="23"/>
  <c r="Y238" i="23"/>
  <c r="Y235" i="23"/>
  <c r="Y231" i="23"/>
  <c r="Y230" i="23"/>
  <c r="Y224" i="23"/>
  <c r="AC225" i="23" s="1"/>
  <c r="Y221" i="23"/>
  <c r="AC222" i="23" s="1"/>
  <c r="Y218" i="23"/>
  <c r="Y207" i="23"/>
  <c r="Y204" i="23"/>
  <c r="Y183" i="23"/>
  <c r="Y182" i="23"/>
  <c r="Y181" i="23"/>
  <c r="Y177" i="23"/>
  <c r="Y172" i="23"/>
  <c r="Y171" i="23"/>
  <c r="Y168" i="23"/>
  <c r="Y164" i="23"/>
  <c r="Y163" i="23"/>
  <c r="Y157" i="23"/>
  <c r="Y154" i="23"/>
  <c r="AC155" i="23" s="1"/>
  <c r="Y151" i="23"/>
  <c r="Y145" i="23"/>
  <c r="Y212" i="23" s="1"/>
  <c r="Y140" i="23"/>
  <c r="Y124" i="23"/>
  <c r="Y113" i="23"/>
  <c r="Y112" i="23"/>
  <c r="Y109" i="23"/>
  <c r="Y104" i="23"/>
  <c r="Y99" i="23"/>
  <c r="Y98" i="23"/>
  <c r="Y97" i="23"/>
  <c r="Y94" i="23"/>
  <c r="Y88" i="23"/>
  <c r="Y82" i="23"/>
  <c r="Y142" i="23" s="1"/>
  <c r="Y78" i="23"/>
  <c r="Y241" i="23"/>
  <c r="Y54" i="23"/>
  <c r="Y228" i="23" s="1"/>
  <c r="Y53" i="23"/>
  <c r="Y48" i="23"/>
  <c r="Y159" i="23" s="1"/>
  <c r="Y47" i="23"/>
  <c r="Y158" i="23" s="1"/>
  <c r="Y38" i="23"/>
  <c r="Y28" i="23"/>
  <c r="Y10" i="23"/>
  <c r="Y14" i="23" s="1"/>
  <c r="Y8" i="23"/>
  <c r="H46" i="23"/>
  <c r="X121" i="23"/>
  <c r="X260" i="23" s="1"/>
  <c r="X117" i="23"/>
  <c r="X183" i="23" s="1"/>
  <c r="X116" i="23"/>
  <c r="X249" i="23" s="1"/>
  <c r="X115" i="23"/>
  <c r="X108" i="23"/>
  <c r="X257" i="23" s="1"/>
  <c r="X107" i="23"/>
  <c r="X256" i="23" s="1"/>
  <c r="X103" i="23"/>
  <c r="X102" i="23"/>
  <c r="X93" i="23"/>
  <c r="X92" i="23"/>
  <c r="X91" i="23"/>
  <c r="X40" i="23"/>
  <c r="X24" i="23"/>
  <c r="X21" i="23"/>
  <c r="X19" i="23"/>
  <c r="X18" i="23"/>
  <c r="X17" i="23"/>
  <c r="X16" i="23"/>
  <c r="AA29" i="23" s="1" a="1"/>
  <c r="AA29" i="23" s="1"/>
  <c r="X13" i="23"/>
  <c r="X9" i="23"/>
  <c r="X7" i="23"/>
  <c r="AB8" i="23" s="1"/>
  <c r="X224" i="23"/>
  <c r="X218" i="23"/>
  <c r="X207" i="23"/>
  <c r="X157" i="23"/>
  <c r="X151" i="23"/>
  <c r="X140" i="23"/>
  <c r="X124" i="23"/>
  <c r="X88" i="23"/>
  <c r="X82" i="23"/>
  <c r="X78" i="23"/>
  <c r="X53" i="23"/>
  <c r="X47" i="23"/>
  <c r="X158" i="23" s="1"/>
  <c r="X38" i="23"/>
  <c r="H248" i="23"/>
  <c r="H90" i="23"/>
  <c r="X90" i="23" s="1"/>
  <c r="H67" i="23"/>
  <c r="H241" i="23" s="1"/>
  <c r="H66" i="23"/>
  <c r="H240" i="23" s="1"/>
  <c r="H60" i="23"/>
  <c r="H234" i="23" s="1"/>
  <c r="H59" i="23"/>
  <c r="H50" i="23" s="1"/>
  <c r="H55" i="23"/>
  <c r="H162" i="23" s="1"/>
  <c r="H250" i="23"/>
  <c r="H249" i="23"/>
  <c r="H244" i="23"/>
  <c r="H239" i="23"/>
  <c r="H238" i="23"/>
  <c r="H235" i="23"/>
  <c r="H231" i="23"/>
  <c r="H230" i="23"/>
  <c r="H221" i="23"/>
  <c r="H218" i="23"/>
  <c r="H207" i="23"/>
  <c r="H204" i="23"/>
  <c r="H183" i="23"/>
  <c r="H182" i="23"/>
  <c r="H177" i="23"/>
  <c r="H172" i="23"/>
  <c r="H171" i="23"/>
  <c r="H168" i="23"/>
  <c r="H164" i="23"/>
  <c r="H163" i="23"/>
  <c r="H154" i="23"/>
  <c r="I155" i="23" s="1"/>
  <c r="H151" i="23"/>
  <c r="H145" i="23"/>
  <c r="H212" i="23" s="1"/>
  <c r="H140" i="23"/>
  <c r="H124" i="23"/>
  <c r="H113" i="23"/>
  <c r="X113" i="23" s="1"/>
  <c r="H112" i="23"/>
  <c r="X112" i="23" s="1"/>
  <c r="H109" i="23"/>
  <c r="H104" i="23"/>
  <c r="H29" i="23" s="1"/>
  <c r="H99" i="23"/>
  <c r="H98" i="23"/>
  <c r="H97" i="23"/>
  <c r="H94" i="23"/>
  <c r="H88" i="23"/>
  <c r="H83" i="23"/>
  <c r="H79" i="23"/>
  <c r="H78" i="23"/>
  <c r="H53" i="23"/>
  <c r="H38" i="23"/>
  <c r="H28" i="23"/>
  <c r="H10" i="23"/>
  <c r="H14" i="23" s="1"/>
  <c r="H8" i="23"/>
  <c r="C396" i="22"/>
  <c r="C397" i="22" s="1"/>
  <c r="J355" i="22"/>
  <c r="C379" i="22"/>
  <c r="C377" i="22"/>
  <c r="C376" i="22"/>
  <c r="J360" i="22" s="1"/>
  <c r="C375" i="22"/>
  <c r="J359" i="22" s="1"/>
  <c r="C372" i="22"/>
  <c r="C371" i="22"/>
  <c r="C366" i="22"/>
  <c r="C360" i="22"/>
  <c r="W52" i="26"/>
  <c r="W29" i="26"/>
  <c r="W10" i="26"/>
  <c r="W90" i="23"/>
  <c r="X61" i="26" l="1"/>
  <c r="AB36" i="26"/>
  <c r="X16" i="26"/>
  <c r="W53" i="26"/>
  <c r="W58" i="26"/>
  <c r="W60" i="26"/>
  <c r="W56" i="26"/>
  <c r="W57" i="26"/>
  <c r="W59" i="26"/>
  <c r="AA69" i="26"/>
  <c r="AB16" i="26"/>
  <c r="AB61" i="26"/>
  <c r="F85" i="22"/>
  <c r="Y29" i="23" a="1"/>
  <c r="Y29" i="23" s="1"/>
  <c r="AE265" i="23"/>
  <c r="K63" i="23"/>
  <c r="AE170" i="23"/>
  <c r="F39" i="22"/>
  <c r="F43" i="22"/>
  <c r="AE237" i="23"/>
  <c r="K59" i="23"/>
  <c r="W30" i="26"/>
  <c r="W33" i="26"/>
  <c r="W35" i="26"/>
  <c r="W34" i="26"/>
  <c r="AA42" i="26"/>
  <c r="W11" i="26"/>
  <c r="W15" i="26"/>
  <c r="W14" i="26"/>
  <c r="AA21" i="26"/>
  <c r="AC25" i="23"/>
  <c r="AC23" i="23"/>
  <c r="AF84" i="23"/>
  <c r="AE208" i="23"/>
  <c r="AE210" i="23" s="1"/>
  <c r="AE143" i="23"/>
  <c r="I62" i="23"/>
  <c r="I169" i="23" s="1"/>
  <c r="I165" i="23"/>
  <c r="I232" i="23"/>
  <c r="J222" i="23"/>
  <c r="I86" i="23"/>
  <c r="I68" i="23"/>
  <c r="I69" i="23" s="1"/>
  <c r="AC143" i="23"/>
  <c r="AC208" i="23"/>
  <c r="AC210" i="23" s="1"/>
  <c r="AE81" i="23"/>
  <c r="AF42" i="23"/>
  <c r="J265" i="23"/>
  <c r="J268" i="23"/>
  <c r="J272" i="23"/>
  <c r="J273" i="23"/>
  <c r="F144" i="22"/>
  <c r="F140" i="22"/>
  <c r="J264" i="23"/>
  <c r="J267" i="23"/>
  <c r="AD265" i="23"/>
  <c r="AD268" i="23"/>
  <c r="AD267" i="23"/>
  <c r="AD264" i="23"/>
  <c r="AE169" i="23"/>
  <c r="AE68" i="23"/>
  <c r="AE236" i="23"/>
  <c r="AA247" i="23"/>
  <c r="AA251" i="23" s="1"/>
  <c r="AC80" i="23"/>
  <c r="X145" i="23"/>
  <c r="X212" i="23" s="1"/>
  <c r="E189" i="22"/>
  <c r="E193" i="22" s="1"/>
  <c r="E238" i="22"/>
  <c r="F238" i="22" s="1"/>
  <c r="AD225" i="23"/>
  <c r="AC262" i="23"/>
  <c r="AC270" i="23" s="1"/>
  <c r="AC242" i="23"/>
  <c r="AC69" i="23"/>
  <c r="AD242" i="23"/>
  <c r="AD175" i="23"/>
  <c r="AD208" i="23"/>
  <c r="AD210" i="23" s="1"/>
  <c r="AD143" i="23"/>
  <c r="E282" i="22"/>
  <c r="E286" i="22" s="1"/>
  <c r="E290" i="22" s="1"/>
  <c r="F290" i="22" s="1"/>
  <c r="J274" i="22"/>
  <c r="E309" i="22"/>
  <c r="D264" i="22"/>
  <c r="AC186" i="23"/>
  <c r="AC148" i="23"/>
  <c r="AC175" i="23"/>
  <c r="I76" i="23"/>
  <c r="AB225" i="23"/>
  <c r="AA262" i="23"/>
  <c r="AB262" i="23"/>
  <c r="Z239" i="23"/>
  <c r="Z174" i="23"/>
  <c r="Z244" i="23"/>
  <c r="I226" i="23"/>
  <c r="I262" i="23"/>
  <c r="I268" i="23" s="1"/>
  <c r="C292" i="22"/>
  <c r="D290" i="22"/>
  <c r="Z241" i="23"/>
  <c r="X258" i="23"/>
  <c r="I258" i="23"/>
  <c r="X114" i="23"/>
  <c r="I222" i="23"/>
  <c r="X104" i="23"/>
  <c r="X29" i="23" s="1" a="1"/>
  <c r="X29" i="23" s="1"/>
  <c r="I146" i="23"/>
  <c r="I213" i="23" s="1"/>
  <c r="I251" i="23"/>
  <c r="AB80" i="23"/>
  <c r="I120" i="23"/>
  <c r="I186" i="23" s="1"/>
  <c r="I126" i="23"/>
  <c r="I188" i="23" s="1"/>
  <c r="I129" i="23"/>
  <c r="I191" i="23" s="1"/>
  <c r="I184" i="23"/>
  <c r="I137" i="23"/>
  <c r="I199" i="23" s="1"/>
  <c r="I147" i="23"/>
  <c r="AA65" i="23"/>
  <c r="AA67" i="23"/>
  <c r="X30" i="26"/>
  <c r="AA70" i="23"/>
  <c r="D334" i="22"/>
  <c r="AB43" i="23"/>
  <c r="AB45" i="23"/>
  <c r="AB22" i="23"/>
  <c r="AE84" i="23" s="1"/>
  <c r="AB33" i="23"/>
  <c r="AA130" i="23"/>
  <c r="AA192" i="23" s="1"/>
  <c r="Y51" i="23"/>
  <c r="Z238" i="23"/>
  <c r="AA64" i="23"/>
  <c r="AA144" i="23"/>
  <c r="AA146" i="23" s="1"/>
  <c r="AA213" i="23" s="1"/>
  <c r="I43" i="23"/>
  <c r="I81" i="23"/>
  <c r="I45" i="23"/>
  <c r="H82" i="23"/>
  <c r="I47" i="23"/>
  <c r="I158" i="23" s="1"/>
  <c r="Z60" i="23"/>
  <c r="AA60" i="23" s="1"/>
  <c r="Y63" i="23"/>
  <c r="AA122" i="23"/>
  <c r="Z163" i="23"/>
  <c r="AA56" i="23"/>
  <c r="I143" i="23"/>
  <c r="Z177" i="23"/>
  <c r="AA127" i="23"/>
  <c r="AA189" i="23" s="1"/>
  <c r="I72" i="23"/>
  <c r="Y240" i="23"/>
  <c r="Z231" i="23"/>
  <c r="AA57" i="23"/>
  <c r="C338" i="22"/>
  <c r="X79" i="23"/>
  <c r="X141" i="23" s="1"/>
  <c r="AA79" i="23"/>
  <c r="AA180" i="23"/>
  <c r="X53" i="26"/>
  <c r="X11" i="26"/>
  <c r="Z235" i="23"/>
  <c r="AA61" i="23"/>
  <c r="AA71" i="23"/>
  <c r="AA118" i="23"/>
  <c r="AA184" i="23" s="1"/>
  <c r="I22" i="23"/>
  <c r="I33" i="23"/>
  <c r="F330" i="22"/>
  <c r="E392" i="22"/>
  <c r="E377" i="22"/>
  <c r="E336" i="22"/>
  <c r="F334" i="22"/>
  <c r="AA20" i="23"/>
  <c r="AA39" i="23"/>
  <c r="AA41" i="23" s="1"/>
  <c r="Z79" i="23"/>
  <c r="Z141" i="23" s="1"/>
  <c r="Y226" i="23"/>
  <c r="X109" i="23"/>
  <c r="Z114" i="23"/>
  <c r="Z59" i="23"/>
  <c r="H167" i="23"/>
  <c r="X10" i="23"/>
  <c r="X14" i="23" s="1"/>
  <c r="X39" i="23" s="1"/>
  <c r="X41" i="23" s="1"/>
  <c r="AB42" i="23" s="1"/>
  <c r="Y11" i="23"/>
  <c r="Y50" i="23"/>
  <c r="Z168" i="23"/>
  <c r="Z66" i="23"/>
  <c r="Z55" i="23"/>
  <c r="H224" i="23"/>
  <c r="X98" i="23"/>
  <c r="X99" i="23"/>
  <c r="Y233" i="23"/>
  <c r="Z161" i="23"/>
  <c r="Z20" i="23"/>
  <c r="Z39" i="23"/>
  <c r="Z41" i="23" s="1"/>
  <c r="Z230" i="23"/>
  <c r="Z11" i="23"/>
  <c r="Z164" i="23"/>
  <c r="Z172" i="23"/>
  <c r="Z226" i="23"/>
  <c r="Z171" i="23"/>
  <c r="H85" i="23"/>
  <c r="X97" i="23"/>
  <c r="Y79" i="23"/>
  <c r="Y141" i="23" s="1"/>
  <c r="Y114" i="23"/>
  <c r="Y161" i="23"/>
  <c r="Y20" i="23"/>
  <c r="Y22" i="23" s="1"/>
  <c r="Y39" i="23"/>
  <c r="Y41" i="23" s="1"/>
  <c r="AC42" i="23" s="1"/>
  <c r="Y162" i="23"/>
  <c r="Y229" i="23"/>
  <c r="Y58" i="23"/>
  <c r="Y35" i="23"/>
  <c r="Y173" i="23"/>
  <c r="Y166" i="23"/>
  <c r="Y174" i="23"/>
  <c r="Y167" i="23"/>
  <c r="Y234" i="23"/>
  <c r="E371" i="22"/>
  <c r="E393" i="22"/>
  <c r="X28" i="23"/>
  <c r="J361" i="22"/>
  <c r="J362" i="22" s="1"/>
  <c r="X250" i="23"/>
  <c r="X94" i="23"/>
  <c r="X142" i="23"/>
  <c r="X154" i="23"/>
  <c r="AB155" i="23" s="1"/>
  <c r="X181" i="23"/>
  <c r="X221" i="23"/>
  <c r="AB222" i="23" s="1"/>
  <c r="X248" i="23"/>
  <c r="X182" i="23"/>
  <c r="X48" i="23"/>
  <c r="X159" i="23" s="1"/>
  <c r="H63" i="23"/>
  <c r="H237" i="23" s="1"/>
  <c r="H54" i="23"/>
  <c r="H58" i="23" s="1"/>
  <c r="H114" i="23"/>
  <c r="H95" i="23"/>
  <c r="H233" i="23"/>
  <c r="H36" i="23"/>
  <c r="H51" i="23"/>
  <c r="H39" i="23"/>
  <c r="H41" i="23" s="1"/>
  <c r="I42" i="23" s="1"/>
  <c r="H80" i="23"/>
  <c r="H20" i="23"/>
  <c r="H11" i="23"/>
  <c r="H35" i="23"/>
  <c r="H141" i="23"/>
  <c r="H229" i="23"/>
  <c r="H181" i="23"/>
  <c r="H48" i="23"/>
  <c r="H159" i="23" s="1"/>
  <c r="H173" i="23"/>
  <c r="H157" i="23"/>
  <c r="H166" i="23"/>
  <c r="H174" i="23"/>
  <c r="E395" i="22"/>
  <c r="E396" i="22"/>
  <c r="E372" i="22"/>
  <c r="E363" i="22"/>
  <c r="E376" i="22"/>
  <c r="E367" i="22"/>
  <c r="E379" i="22"/>
  <c r="E368" i="22"/>
  <c r="E360" i="22"/>
  <c r="E394" i="22"/>
  <c r="E375" i="22"/>
  <c r="E391" i="22"/>
  <c r="C370" i="22"/>
  <c r="C374" i="22" s="1"/>
  <c r="E362" i="22"/>
  <c r="E366" i="22"/>
  <c r="C386" i="22"/>
  <c r="C388" i="22" s="1"/>
  <c r="E361" i="22"/>
  <c r="W61" i="26" l="1"/>
  <c r="W16" i="26"/>
  <c r="I175" i="23"/>
  <c r="I236" i="23"/>
  <c r="I265" i="23"/>
  <c r="I242" i="23"/>
  <c r="W36" i="26"/>
  <c r="AC76" i="23"/>
  <c r="AA268" i="23"/>
  <c r="AA265" i="23"/>
  <c r="AC267" i="23"/>
  <c r="AC264" i="23"/>
  <c r="AC265" i="23"/>
  <c r="AC268" i="23"/>
  <c r="I267" i="23"/>
  <c r="I264" i="23"/>
  <c r="AA264" i="23"/>
  <c r="AA267" i="23"/>
  <c r="AD81" i="23"/>
  <c r="AE42" i="23"/>
  <c r="AC72" i="23"/>
  <c r="AE242" i="23"/>
  <c r="AE175" i="23"/>
  <c r="AA239" i="23"/>
  <c r="AB56" i="23"/>
  <c r="AD69" i="23"/>
  <c r="AB61" i="23"/>
  <c r="X122" i="23"/>
  <c r="AC176" i="23"/>
  <c r="Z180" i="23"/>
  <c r="AB70" i="23"/>
  <c r="AB177" i="23" s="1"/>
  <c r="AC243" i="23"/>
  <c r="AB67" i="23"/>
  <c r="Y247" i="23"/>
  <c r="Y251" i="23" s="1"/>
  <c r="H122" i="23"/>
  <c r="AB71" i="23"/>
  <c r="F189" i="22"/>
  <c r="E242" i="22"/>
  <c r="F242" i="22" s="1"/>
  <c r="E195" i="22"/>
  <c r="F193" i="22"/>
  <c r="AD42" i="23"/>
  <c r="AC81" i="23"/>
  <c r="Z162" i="23"/>
  <c r="Z234" i="23"/>
  <c r="Z240" i="23"/>
  <c r="AB57" i="23"/>
  <c r="E292" i="22"/>
  <c r="F286" i="22"/>
  <c r="X144" i="23"/>
  <c r="X211" i="23" s="1"/>
  <c r="X180" i="23"/>
  <c r="X127" i="23"/>
  <c r="X189" i="23" s="1"/>
  <c r="X118" i="23"/>
  <c r="X184" i="23" s="1"/>
  <c r="X247" i="23"/>
  <c r="X130" i="23"/>
  <c r="X192" i="23" s="1"/>
  <c r="I275" i="23"/>
  <c r="I225" i="23"/>
  <c r="H262" i="23"/>
  <c r="Z50" i="23"/>
  <c r="Y170" i="23"/>
  <c r="AB64" i="23"/>
  <c r="AB65" i="23"/>
  <c r="AA275" i="23"/>
  <c r="I273" i="23"/>
  <c r="I272" i="23"/>
  <c r="AA147" i="23"/>
  <c r="Z95" i="23"/>
  <c r="X95" i="23"/>
  <c r="Y237" i="23"/>
  <c r="I253" i="23"/>
  <c r="I270" i="23" s="1"/>
  <c r="AA59" i="23"/>
  <c r="AA215" i="23"/>
  <c r="AA177" i="23"/>
  <c r="AA244" i="23"/>
  <c r="Z167" i="23"/>
  <c r="I148" i="23"/>
  <c r="X11" i="23"/>
  <c r="AA80" i="23"/>
  <c r="H226" i="23"/>
  <c r="E370" i="22"/>
  <c r="E374" i="22" s="1"/>
  <c r="I132" i="23"/>
  <c r="I194" i="23" s="1"/>
  <c r="AA211" i="23"/>
  <c r="AA214" i="23" s="1"/>
  <c r="AA172" i="23"/>
  <c r="AB25" i="23"/>
  <c r="AB23" i="23"/>
  <c r="Y43" i="23"/>
  <c r="AB81" i="23"/>
  <c r="Z143" i="23"/>
  <c r="AA241" i="23"/>
  <c r="AA174" i="23"/>
  <c r="I210" i="23"/>
  <c r="Y95" i="23"/>
  <c r="AA141" i="23"/>
  <c r="AA95" i="23"/>
  <c r="I176" i="23"/>
  <c r="I243" i="23"/>
  <c r="AA230" i="23"/>
  <c r="AA163" i="23"/>
  <c r="AA55" i="23"/>
  <c r="AA235" i="23"/>
  <c r="AA168" i="23"/>
  <c r="Z58" i="23"/>
  <c r="Z232" i="23" s="1"/>
  <c r="AA129" i="23"/>
  <c r="AA191" i="23" s="1"/>
  <c r="AA137" i="23"/>
  <c r="AA199" i="23" s="1"/>
  <c r="I178" i="23"/>
  <c r="I245" i="23"/>
  <c r="AA120" i="23"/>
  <c r="AA231" i="23"/>
  <c r="AA164" i="23"/>
  <c r="I215" i="23"/>
  <c r="AA126" i="23"/>
  <c r="AA188" i="23" s="1"/>
  <c r="I214" i="23"/>
  <c r="I84" i="23"/>
  <c r="I25" i="23"/>
  <c r="I23" i="23"/>
  <c r="AA66" i="23"/>
  <c r="AA238" i="23"/>
  <c r="AA171" i="23"/>
  <c r="E353" i="22"/>
  <c r="Z210" i="23"/>
  <c r="AA45" i="23"/>
  <c r="AA43" i="23"/>
  <c r="AA81" i="23"/>
  <c r="AA22" i="23"/>
  <c r="AD84" i="23" s="1"/>
  <c r="AA33" i="23"/>
  <c r="Z233" i="23"/>
  <c r="Z36" i="23"/>
  <c r="Z144" i="23"/>
  <c r="Z211" i="23" s="1"/>
  <c r="Z214" i="23" s="1"/>
  <c r="Z118" i="23"/>
  <c r="Z126" i="23" s="1"/>
  <c r="Z188" i="23" s="1"/>
  <c r="Z247" i="23"/>
  <c r="Z127" i="23"/>
  <c r="Z189" i="23" s="1"/>
  <c r="Z130" i="23"/>
  <c r="Z192" i="23" s="1"/>
  <c r="Z122" i="23"/>
  <c r="Z173" i="23"/>
  <c r="H118" i="23"/>
  <c r="H129" i="23" s="1"/>
  <c r="Z51" i="23"/>
  <c r="Z35" i="23"/>
  <c r="Z229" i="23"/>
  <c r="Z63" i="23"/>
  <c r="Z166" i="23"/>
  <c r="Z22" i="23"/>
  <c r="Z33" i="23"/>
  <c r="Z43" i="23"/>
  <c r="Z45" i="23"/>
  <c r="Y210" i="23"/>
  <c r="Y143" i="23"/>
  <c r="Y144" i="23"/>
  <c r="Y211" i="23" s="1"/>
  <c r="Y214" i="23" s="1"/>
  <c r="Y127" i="23"/>
  <c r="Y189" i="23" s="1"/>
  <c r="Y180" i="23"/>
  <c r="Y130" i="23"/>
  <c r="Y147" i="23" s="1"/>
  <c r="Y118" i="23"/>
  <c r="Y184" i="23" s="1"/>
  <c r="Y122" i="23"/>
  <c r="Y33" i="23"/>
  <c r="Y45" i="23"/>
  <c r="Y62" i="23"/>
  <c r="Y232" i="23"/>
  <c r="Y165" i="23"/>
  <c r="Y25" i="23"/>
  <c r="Y23" i="23"/>
  <c r="H161" i="23"/>
  <c r="X143" i="23"/>
  <c r="X43" i="23"/>
  <c r="X45" i="23"/>
  <c r="X226" i="23"/>
  <c r="H130" i="23"/>
  <c r="H192" i="23" s="1"/>
  <c r="H228" i="23"/>
  <c r="H144" i="23"/>
  <c r="H146" i="23" s="1"/>
  <c r="H213" i="23" s="1"/>
  <c r="H247" i="23"/>
  <c r="H180" i="23"/>
  <c r="H127" i="23"/>
  <c r="H189" i="23" s="1"/>
  <c r="H170" i="23"/>
  <c r="H33" i="23"/>
  <c r="H22" i="23"/>
  <c r="H45" i="23"/>
  <c r="H81" i="23"/>
  <c r="H43" i="23"/>
  <c r="H62" i="23"/>
  <c r="H232" i="23"/>
  <c r="H165" i="23"/>
  <c r="H135" i="23"/>
  <c r="H197" i="23" s="1"/>
  <c r="H134" i="23"/>
  <c r="H196" i="23" s="1"/>
  <c r="H142" i="23"/>
  <c r="C378" i="22"/>
  <c r="W250" i="23"/>
  <c r="W249" i="23"/>
  <c r="W248" i="23"/>
  <c r="W224" i="23"/>
  <c r="W221" i="23"/>
  <c r="AA222" i="23" s="1"/>
  <c r="W218" i="23"/>
  <c r="W207" i="23"/>
  <c r="W204" i="23"/>
  <c r="W183" i="23"/>
  <c r="W182" i="23"/>
  <c r="W181" i="23"/>
  <c r="W157" i="23"/>
  <c r="W154" i="23"/>
  <c r="AA155" i="23" s="1"/>
  <c r="W151" i="23"/>
  <c r="W145" i="23"/>
  <c r="W212" i="23" s="1"/>
  <c r="W140" i="23"/>
  <c r="W124" i="23"/>
  <c r="W113" i="23"/>
  <c r="W112" i="23"/>
  <c r="W109" i="23"/>
  <c r="W104" i="23"/>
  <c r="W99" i="23"/>
  <c r="W98" i="23"/>
  <c r="W97" i="23"/>
  <c r="W94" i="23"/>
  <c r="W88" i="23"/>
  <c r="W82" i="23"/>
  <c r="C381" i="22" s="1"/>
  <c r="W78" i="23"/>
  <c r="W54" i="23"/>
  <c r="W228" i="23" s="1"/>
  <c r="W53" i="23"/>
  <c r="W48" i="23"/>
  <c r="W159" i="23" s="1"/>
  <c r="W47" i="23"/>
  <c r="W158" i="23" s="1"/>
  <c r="W38" i="23"/>
  <c r="W28" i="23"/>
  <c r="W10" i="23"/>
  <c r="W14" i="23" s="1"/>
  <c r="Z80" i="23" s="1"/>
  <c r="W8" i="23"/>
  <c r="C440" i="22"/>
  <c r="C421" i="22"/>
  <c r="J405" i="22" s="1"/>
  <c r="C420" i="22"/>
  <c r="J404" i="22" s="1"/>
  <c r="C416" i="22"/>
  <c r="C415" i="22"/>
  <c r="G50" i="26"/>
  <c r="F50" i="26"/>
  <c r="E50" i="26"/>
  <c r="D50" i="26"/>
  <c r="C50" i="26"/>
  <c r="U244" i="23"/>
  <c r="Q244" i="23"/>
  <c r="M244" i="23"/>
  <c r="Q241" i="23"/>
  <c r="M241" i="23"/>
  <c r="U239" i="23"/>
  <c r="Q239" i="23"/>
  <c r="M239" i="23"/>
  <c r="U238" i="23"/>
  <c r="Q238" i="23"/>
  <c r="M238" i="23"/>
  <c r="U235" i="23"/>
  <c r="Q235" i="23"/>
  <c r="M235" i="23"/>
  <c r="U231" i="23"/>
  <c r="Q231" i="23"/>
  <c r="M231" i="23"/>
  <c r="U230" i="23"/>
  <c r="Q230" i="23"/>
  <c r="M230" i="23"/>
  <c r="U177" i="23"/>
  <c r="Q177" i="23"/>
  <c r="M177" i="23"/>
  <c r="Q174" i="23"/>
  <c r="M174" i="23"/>
  <c r="U172" i="23"/>
  <c r="Q172" i="23"/>
  <c r="M172" i="23"/>
  <c r="U171" i="23"/>
  <c r="Q171" i="23"/>
  <c r="M171" i="23"/>
  <c r="U168" i="23"/>
  <c r="Q168" i="23"/>
  <c r="M168" i="23"/>
  <c r="U164" i="23"/>
  <c r="Q164" i="23"/>
  <c r="M164" i="23"/>
  <c r="U163" i="23"/>
  <c r="Q163" i="23"/>
  <c r="M163" i="23"/>
  <c r="V82" i="23"/>
  <c r="U82" i="23"/>
  <c r="T82" i="23"/>
  <c r="S82" i="23"/>
  <c r="R82" i="23"/>
  <c r="Q82" i="23"/>
  <c r="V70" i="23"/>
  <c r="R70" i="23"/>
  <c r="S70" i="23" s="1"/>
  <c r="T70" i="23" s="1"/>
  <c r="N70" i="23"/>
  <c r="O70" i="23" s="1"/>
  <c r="U67" i="23"/>
  <c r="R67" i="23"/>
  <c r="N67" i="23"/>
  <c r="U66" i="23"/>
  <c r="Q66" i="23"/>
  <c r="Q240" i="23" s="1"/>
  <c r="M66" i="23"/>
  <c r="V65" i="23"/>
  <c r="R65" i="23"/>
  <c r="S65" i="23" s="1"/>
  <c r="T65" i="23" s="1"/>
  <c r="N65" i="23"/>
  <c r="N172" i="23" s="1"/>
  <c r="V64" i="23"/>
  <c r="R64" i="23"/>
  <c r="S64" i="23" s="1"/>
  <c r="S171" i="23" s="1"/>
  <c r="N64" i="23"/>
  <c r="O64" i="23" s="1"/>
  <c r="O238" i="23" s="1"/>
  <c r="V61" i="23"/>
  <c r="R61" i="23"/>
  <c r="R168" i="23" s="1"/>
  <c r="N61" i="23"/>
  <c r="N235" i="23" s="1"/>
  <c r="U60" i="23"/>
  <c r="Q60" i="23"/>
  <c r="M60" i="23"/>
  <c r="U59" i="23"/>
  <c r="Q59" i="23"/>
  <c r="Q233" i="23" s="1"/>
  <c r="M59" i="23"/>
  <c r="V57" i="23"/>
  <c r="R57" i="23"/>
  <c r="N57" i="23"/>
  <c r="N164" i="23" s="1"/>
  <c r="V56" i="23"/>
  <c r="R56" i="23"/>
  <c r="N56" i="23"/>
  <c r="N230" i="23" s="1"/>
  <c r="U55" i="23"/>
  <c r="Q55" i="23"/>
  <c r="M55" i="23"/>
  <c r="V54" i="23"/>
  <c r="U54" i="23"/>
  <c r="U161" i="23" s="1"/>
  <c r="S54" i="23"/>
  <c r="S228" i="23" s="1"/>
  <c r="R54" i="23"/>
  <c r="Q54" i="23"/>
  <c r="Q161" i="23" s="1"/>
  <c r="O54" i="23"/>
  <c r="O161" i="23" s="1"/>
  <c r="N54" i="23"/>
  <c r="N228" i="23" s="1"/>
  <c r="M54" i="23"/>
  <c r="G67" i="23"/>
  <c r="F67" i="23"/>
  <c r="G66" i="23"/>
  <c r="F66" i="23"/>
  <c r="E66" i="23"/>
  <c r="D66" i="23"/>
  <c r="C66" i="23"/>
  <c r="G60" i="23"/>
  <c r="F60" i="23"/>
  <c r="E60" i="23"/>
  <c r="D60" i="23"/>
  <c r="C60" i="23"/>
  <c r="G59" i="23"/>
  <c r="F59" i="23"/>
  <c r="E59" i="23"/>
  <c r="D59" i="23"/>
  <c r="C59" i="23"/>
  <c r="G55" i="23"/>
  <c r="F55" i="23"/>
  <c r="E55" i="23"/>
  <c r="D55" i="23"/>
  <c r="C55" i="23"/>
  <c r="E67" i="26" l="1"/>
  <c r="F67" i="26"/>
  <c r="G67" i="26"/>
  <c r="H67" i="26"/>
  <c r="D67" i="26"/>
  <c r="AC245" i="23"/>
  <c r="AC178" i="23"/>
  <c r="AB230" i="23"/>
  <c r="AB163" i="23"/>
  <c r="AE69" i="23"/>
  <c r="AE176" i="23" s="1"/>
  <c r="AD176" i="23"/>
  <c r="AB241" i="23"/>
  <c r="AB174" i="23"/>
  <c r="AF173" i="23"/>
  <c r="AF240" i="23"/>
  <c r="AF167" i="23"/>
  <c r="AF234" i="23"/>
  <c r="AF85" i="23"/>
  <c r="AF134" i="23" s="1"/>
  <c r="AF196" i="23" s="1"/>
  <c r="AF166" i="23"/>
  <c r="AF36" i="23"/>
  <c r="AF50" i="23"/>
  <c r="AF233" i="23"/>
  <c r="AF58" i="23"/>
  <c r="AF35" i="23"/>
  <c r="AF162" i="23"/>
  <c r="AF51" i="23"/>
  <c r="AB168" i="23"/>
  <c r="AB244" i="23"/>
  <c r="X251" i="23"/>
  <c r="X275" i="23" s="1"/>
  <c r="H265" i="23"/>
  <c r="H268" i="23"/>
  <c r="E244" i="22"/>
  <c r="AD243" i="23"/>
  <c r="X146" i="23"/>
  <c r="X213" i="23" s="1"/>
  <c r="AE83" i="23"/>
  <c r="AE135" i="23" s="1"/>
  <c r="AE197" i="23" s="1"/>
  <c r="AC84" i="23"/>
  <c r="AB235" i="23"/>
  <c r="AD76" i="23"/>
  <c r="AD72" i="23"/>
  <c r="AB66" i="23"/>
  <c r="AB231" i="23"/>
  <c r="AB60" i="23"/>
  <c r="AB164" i="23"/>
  <c r="AD83" i="23"/>
  <c r="AD135" i="23" s="1"/>
  <c r="AD197" i="23" s="1"/>
  <c r="AA166" i="23"/>
  <c r="AB83" i="23"/>
  <c r="AB135" i="23" s="1"/>
  <c r="AB197" i="23" s="1"/>
  <c r="AC83" i="23"/>
  <c r="AC135" i="23" s="1"/>
  <c r="AC197" i="23" s="1"/>
  <c r="AB171" i="23"/>
  <c r="X129" i="23"/>
  <c r="X137" i="23"/>
  <c r="X199" i="23" s="1"/>
  <c r="X147" i="23"/>
  <c r="X126" i="23"/>
  <c r="X188" i="23" s="1"/>
  <c r="AB59" i="23"/>
  <c r="AA225" i="23"/>
  <c r="Z262" i="23"/>
  <c r="AB238" i="23"/>
  <c r="Y275" i="23"/>
  <c r="H273" i="23"/>
  <c r="H272" i="23"/>
  <c r="Z251" i="23"/>
  <c r="AB55" i="23"/>
  <c r="H251" i="23"/>
  <c r="AB84" i="23"/>
  <c r="AA50" i="23"/>
  <c r="AA233" i="23"/>
  <c r="AA36" i="23"/>
  <c r="Y146" i="23"/>
  <c r="Y213" i="23" s="1"/>
  <c r="Y215" i="23" s="1"/>
  <c r="AA132" i="23"/>
  <c r="AA194" i="23" s="1"/>
  <c r="AA186" i="23"/>
  <c r="AA253" i="23"/>
  <c r="AA270" i="23" s="1"/>
  <c r="M229" i="23"/>
  <c r="N66" i="23"/>
  <c r="N240" i="23" s="1"/>
  <c r="M161" i="23"/>
  <c r="Z146" i="23"/>
  <c r="Z213" i="23" s="1"/>
  <c r="Z215" i="23" s="1"/>
  <c r="AB239" i="23"/>
  <c r="AB172" i="23"/>
  <c r="H120" i="23"/>
  <c r="X120" i="23" s="1"/>
  <c r="X253" i="23" s="1"/>
  <c r="AA234" i="23"/>
  <c r="AA167" i="23"/>
  <c r="H184" i="23"/>
  <c r="AA240" i="23"/>
  <c r="AA173" i="23"/>
  <c r="AA210" i="23"/>
  <c r="AA143" i="23"/>
  <c r="AA229" i="23"/>
  <c r="AA35" i="23"/>
  <c r="AA51" i="23"/>
  <c r="AA58" i="23"/>
  <c r="AA162" i="23"/>
  <c r="H137" i="23"/>
  <c r="H199" i="23" s="1"/>
  <c r="Z62" i="23"/>
  <c r="AA148" i="23"/>
  <c r="H126" i="23"/>
  <c r="H188" i="23" s="1"/>
  <c r="Z165" i="23"/>
  <c r="AA63" i="23"/>
  <c r="AA23" i="23"/>
  <c r="AA25" i="23"/>
  <c r="Z129" i="23"/>
  <c r="Z191" i="23" s="1"/>
  <c r="Z120" i="23"/>
  <c r="Z253" i="23" s="1"/>
  <c r="Z184" i="23"/>
  <c r="Z147" i="23"/>
  <c r="Z137" i="23"/>
  <c r="Z199" i="23" s="1"/>
  <c r="Z237" i="23"/>
  <c r="Z170" i="23"/>
  <c r="Z23" i="23"/>
  <c r="Z25" i="23"/>
  <c r="H147" i="23"/>
  <c r="N244" i="23"/>
  <c r="Y126" i="23"/>
  <c r="Y188" i="23" s="1"/>
  <c r="Y192" i="23"/>
  <c r="Y137" i="23"/>
  <c r="Y199" i="23" s="1"/>
  <c r="Y129" i="23"/>
  <c r="Y191" i="23" s="1"/>
  <c r="Y120" i="23"/>
  <c r="Y186" i="23" s="1"/>
  <c r="Y68" i="23"/>
  <c r="Y69" i="23" s="1"/>
  <c r="Y169" i="23"/>
  <c r="Y236" i="23"/>
  <c r="U234" i="23"/>
  <c r="X54" i="23"/>
  <c r="X161" i="23" s="1"/>
  <c r="W56" i="23"/>
  <c r="W230" i="23" s="1"/>
  <c r="W61" i="23"/>
  <c r="W235" i="23" s="1"/>
  <c r="U229" i="23"/>
  <c r="W70" i="23"/>
  <c r="W177" i="23" s="1"/>
  <c r="W57" i="23"/>
  <c r="W64" i="23"/>
  <c r="X64" i="23" s="1"/>
  <c r="W142" i="23"/>
  <c r="U167" i="23"/>
  <c r="E63" i="23"/>
  <c r="M162" i="23"/>
  <c r="M228" i="23"/>
  <c r="R239" i="23"/>
  <c r="S244" i="23"/>
  <c r="W114" i="23"/>
  <c r="V60" i="23"/>
  <c r="M173" i="23"/>
  <c r="U228" i="23"/>
  <c r="S239" i="23"/>
  <c r="G63" i="23"/>
  <c r="Q173" i="23"/>
  <c r="H211" i="23"/>
  <c r="H191" i="23"/>
  <c r="H148" i="23"/>
  <c r="H143" i="23"/>
  <c r="H84" i="23"/>
  <c r="H25" i="23"/>
  <c r="H23" i="23"/>
  <c r="H86" i="23"/>
  <c r="H169" i="23"/>
  <c r="H68" i="23"/>
  <c r="H69" i="23" s="1"/>
  <c r="H236" i="23"/>
  <c r="N168" i="23"/>
  <c r="T244" i="23"/>
  <c r="R172" i="23"/>
  <c r="M240" i="23"/>
  <c r="O61" i="23"/>
  <c r="P61" i="23" s="1"/>
  <c r="C63" i="23"/>
  <c r="F63" i="23"/>
  <c r="S172" i="23"/>
  <c r="V55" i="23"/>
  <c r="W55" i="23" s="1"/>
  <c r="R59" i="23"/>
  <c r="S59" i="23" s="1"/>
  <c r="O228" i="23"/>
  <c r="Q228" i="23"/>
  <c r="W65" i="23"/>
  <c r="W239" i="23" s="1"/>
  <c r="D63" i="23"/>
  <c r="N161" i="23"/>
  <c r="T172" i="23"/>
  <c r="S177" i="23"/>
  <c r="D374" i="22"/>
  <c r="J356" i="22"/>
  <c r="E381" i="22" s="1"/>
  <c r="F374" i="22" s="1"/>
  <c r="T239" i="23"/>
  <c r="U63" i="23"/>
  <c r="Q166" i="23"/>
  <c r="C380" i="22"/>
  <c r="D378" i="22"/>
  <c r="W161" i="23"/>
  <c r="W226" i="23"/>
  <c r="W20" i="23"/>
  <c r="W39" i="23"/>
  <c r="W41" i="23" s="1"/>
  <c r="W11" i="23"/>
  <c r="P70" i="23"/>
  <c r="O244" i="23"/>
  <c r="O177" i="23"/>
  <c r="S57" i="23"/>
  <c r="Q234" i="23"/>
  <c r="Q167" i="23"/>
  <c r="N177" i="23"/>
  <c r="T64" i="23"/>
  <c r="R238" i="23"/>
  <c r="R171" i="23"/>
  <c r="U162" i="23"/>
  <c r="O171" i="23"/>
  <c r="U241" i="23"/>
  <c r="U174" i="23"/>
  <c r="R230" i="23"/>
  <c r="R163" i="23"/>
  <c r="V67" i="23"/>
  <c r="W67" i="23" s="1"/>
  <c r="W241" i="23" s="1"/>
  <c r="N60" i="23"/>
  <c r="M234" i="23"/>
  <c r="Q229" i="23"/>
  <c r="Q162" i="23"/>
  <c r="R55" i="23"/>
  <c r="S55" i="23" s="1"/>
  <c r="U240" i="23"/>
  <c r="V66" i="23"/>
  <c r="W66" i="23" s="1"/>
  <c r="S161" i="23"/>
  <c r="M167" i="23"/>
  <c r="U173" i="23"/>
  <c r="S238" i="23"/>
  <c r="Q63" i="23"/>
  <c r="O67" i="23"/>
  <c r="P67" i="23" s="1"/>
  <c r="N241" i="23"/>
  <c r="R231" i="23"/>
  <c r="N231" i="23"/>
  <c r="O57" i="23"/>
  <c r="O65" i="23"/>
  <c r="N239" i="23"/>
  <c r="R241" i="23"/>
  <c r="R174" i="23"/>
  <c r="S67" i="23"/>
  <c r="R164" i="23"/>
  <c r="N174" i="23"/>
  <c r="S61" i="23"/>
  <c r="T61" i="23" s="1"/>
  <c r="R235" i="23"/>
  <c r="M63" i="23"/>
  <c r="P64" i="23"/>
  <c r="T177" i="23"/>
  <c r="N163" i="23"/>
  <c r="N171" i="23"/>
  <c r="N238" i="23"/>
  <c r="R161" i="23"/>
  <c r="M166" i="23"/>
  <c r="U166" i="23"/>
  <c r="R177" i="23"/>
  <c r="R228" i="23"/>
  <c r="M233" i="23"/>
  <c r="U233" i="23"/>
  <c r="R244" i="23"/>
  <c r="M58" i="23"/>
  <c r="U58" i="23"/>
  <c r="N55" i="23"/>
  <c r="R60" i="23"/>
  <c r="O56" i="23"/>
  <c r="P56" i="23" s="1"/>
  <c r="N59" i="23"/>
  <c r="O59" i="23" s="1"/>
  <c r="V59" i="23"/>
  <c r="Q58" i="23"/>
  <c r="R66" i="23"/>
  <c r="S56" i="23"/>
  <c r="AE72" i="23" l="1"/>
  <c r="AE243" i="23"/>
  <c r="Z270" i="23"/>
  <c r="AF272" i="23"/>
  <c r="AG272" i="23"/>
  <c r="AE76" i="23"/>
  <c r="AF69" i="23"/>
  <c r="K69" i="23" s="1"/>
  <c r="AF165" i="23"/>
  <c r="AF232" i="23"/>
  <c r="AF62" i="23"/>
  <c r="AG86" i="23" s="1"/>
  <c r="AF170" i="23"/>
  <c r="AF237" i="23"/>
  <c r="X191" i="23"/>
  <c r="X148" i="23"/>
  <c r="Z265" i="23"/>
  <c r="Z268" i="23"/>
  <c r="Z264" i="23"/>
  <c r="Z267" i="23"/>
  <c r="H267" i="23"/>
  <c r="H264" i="23"/>
  <c r="AB234" i="23"/>
  <c r="AC85" i="23"/>
  <c r="AC134" i="23" s="1"/>
  <c r="AC196" i="23" s="1"/>
  <c r="AE85" i="23"/>
  <c r="AE134" i="23" s="1"/>
  <c r="AE196" i="23" s="1"/>
  <c r="AE245" i="23"/>
  <c r="AE178" i="23"/>
  <c r="AC273" i="23"/>
  <c r="AE273" i="23"/>
  <c r="AB167" i="23"/>
  <c r="AB166" i="23"/>
  <c r="C382" i="22"/>
  <c r="AB273" i="23"/>
  <c r="AD245" i="23"/>
  <c r="AD178" i="23"/>
  <c r="AD273" i="23"/>
  <c r="AD85" i="23"/>
  <c r="AD134" i="23" s="1"/>
  <c r="AD196" i="23" s="1"/>
  <c r="Z169" i="23"/>
  <c r="Y76" i="23"/>
  <c r="Z275" i="23"/>
  <c r="H275" i="23"/>
  <c r="AB63" i="23"/>
  <c r="AB85" i="23"/>
  <c r="AB134" i="23" s="1"/>
  <c r="AB196" i="23" s="1"/>
  <c r="AB36" i="23"/>
  <c r="AB233" i="23"/>
  <c r="AB50" i="23"/>
  <c r="N173" i="23"/>
  <c r="O66" i="23"/>
  <c r="O173" i="23" s="1"/>
  <c r="H132" i="23"/>
  <c r="H194" i="23" s="1"/>
  <c r="H253" i="23"/>
  <c r="H270" i="23" s="1"/>
  <c r="X186" i="23"/>
  <c r="AB161" i="23"/>
  <c r="AB228" i="23"/>
  <c r="AB58" i="23"/>
  <c r="X132" i="23"/>
  <c r="X194" i="23" s="1"/>
  <c r="Z68" i="23"/>
  <c r="Z242" i="23" s="1"/>
  <c r="AB240" i="23"/>
  <c r="AB173" i="23"/>
  <c r="H186" i="23"/>
  <c r="AB162" i="23"/>
  <c r="AB51" i="23"/>
  <c r="AB35" i="23"/>
  <c r="AB229" i="23"/>
  <c r="Z236" i="23"/>
  <c r="Z81" i="23"/>
  <c r="AA42" i="23"/>
  <c r="AA165" i="23"/>
  <c r="AA232" i="23"/>
  <c r="AA62" i="23"/>
  <c r="AA237" i="23"/>
  <c r="AA170" i="23"/>
  <c r="W171" i="23"/>
  <c r="W238" i="23"/>
  <c r="W168" i="23"/>
  <c r="R166" i="23"/>
  <c r="R233" i="23"/>
  <c r="Z148" i="23"/>
  <c r="Z186" i="23"/>
  <c r="Z132" i="23"/>
  <c r="Z194" i="23" s="1"/>
  <c r="X61" i="23"/>
  <c r="K168" i="23" s="1"/>
  <c r="Y253" i="23"/>
  <c r="V63" i="23"/>
  <c r="Y132" i="23"/>
  <c r="Y194" i="23" s="1"/>
  <c r="Y148" i="23"/>
  <c r="W164" i="23"/>
  <c r="W231" i="23"/>
  <c r="X57" i="23"/>
  <c r="Y242" i="23"/>
  <c r="Y175" i="23"/>
  <c r="Y72" i="23"/>
  <c r="W162" i="23"/>
  <c r="W51" i="23"/>
  <c r="X238" i="23"/>
  <c r="X171" i="23"/>
  <c r="W60" i="23"/>
  <c r="X60" i="23" s="1"/>
  <c r="X66" i="23"/>
  <c r="W244" i="23"/>
  <c r="X55" i="23"/>
  <c r="X228" i="23"/>
  <c r="X65" i="23"/>
  <c r="K172" i="23" s="1"/>
  <c r="V58" i="23"/>
  <c r="V62" i="23" s="1"/>
  <c r="W163" i="23"/>
  <c r="X70" i="23"/>
  <c r="K177" i="23" s="1"/>
  <c r="X56" i="23"/>
  <c r="X67" i="23"/>
  <c r="H76" i="23"/>
  <c r="W59" i="23"/>
  <c r="W36" i="23" s="1"/>
  <c r="W247" i="23"/>
  <c r="W144" i="23"/>
  <c r="W211" i="23" s="1"/>
  <c r="W214" i="23" s="1"/>
  <c r="W122" i="23"/>
  <c r="W118" i="23"/>
  <c r="W126" i="23" s="1"/>
  <c r="W188" i="23" s="1"/>
  <c r="W130" i="23"/>
  <c r="W192" i="23" s="1"/>
  <c r="W127" i="23"/>
  <c r="W189" i="23" s="1"/>
  <c r="W180" i="23"/>
  <c r="H210" i="23"/>
  <c r="H215" i="23"/>
  <c r="H214" i="23"/>
  <c r="H242" i="23"/>
  <c r="H175" i="23"/>
  <c r="T59" i="23"/>
  <c r="V85" i="23" s="1"/>
  <c r="S166" i="23"/>
  <c r="S233" i="23"/>
  <c r="W240" i="23"/>
  <c r="W173" i="23"/>
  <c r="W58" i="23"/>
  <c r="W232" i="23" s="1"/>
  <c r="R58" i="23"/>
  <c r="R62" i="23" s="1"/>
  <c r="W174" i="23"/>
  <c r="U237" i="23"/>
  <c r="U170" i="23"/>
  <c r="K171" i="23"/>
  <c r="O168" i="23"/>
  <c r="O235" i="23"/>
  <c r="W229" i="23"/>
  <c r="W35" i="23"/>
  <c r="R63" i="23"/>
  <c r="R237" i="23" s="1"/>
  <c r="W172" i="23"/>
  <c r="W45" i="23"/>
  <c r="W43" i="23"/>
  <c r="W33" i="23"/>
  <c r="W22" i="23"/>
  <c r="S229" i="23"/>
  <c r="S162" i="23"/>
  <c r="S66" i="23"/>
  <c r="R240" i="23"/>
  <c r="R173" i="23"/>
  <c r="U62" i="23"/>
  <c r="U232" i="23"/>
  <c r="U165" i="23"/>
  <c r="O231" i="23"/>
  <c r="O164" i="23"/>
  <c r="S164" i="23"/>
  <c r="S231" i="23"/>
  <c r="T57" i="23"/>
  <c r="N63" i="23"/>
  <c r="N233" i="23"/>
  <c r="N166" i="23"/>
  <c r="S235" i="23"/>
  <c r="S168" i="23"/>
  <c r="P57" i="23"/>
  <c r="Q83" i="23" s="1"/>
  <c r="Q135" i="23" s="1"/>
  <c r="Q197" i="23" s="1"/>
  <c r="O241" i="23"/>
  <c r="O174" i="23"/>
  <c r="S241" i="23"/>
  <c r="S174" i="23"/>
  <c r="Q237" i="23"/>
  <c r="Q170" i="23"/>
  <c r="O233" i="23"/>
  <c r="O166" i="23"/>
  <c r="M62" i="23"/>
  <c r="M232" i="23"/>
  <c r="M165" i="23"/>
  <c r="T67" i="23"/>
  <c r="O230" i="23"/>
  <c r="O163" i="23"/>
  <c r="T235" i="23"/>
  <c r="T168" i="23"/>
  <c r="P65" i="23"/>
  <c r="O239" i="23"/>
  <c r="O172" i="23"/>
  <c r="P241" i="23"/>
  <c r="P174" i="23"/>
  <c r="N229" i="23"/>
  <c r="N162" i="23"/>
  <c r="T55" i="23"/>
  <c r="R229" i="23"/>
  <c r="R162" i="23"/>
  <c r="T171" i="23"/>
  <c r="T238" i="23"/>
  <c r="Q62" i="23"/>
  <c r="Q165" i="23"/>
  <c r="Q232" i="23"/>
  <c r="S60" i="23"/>
  <c r="R234" i="23"/>
  <c r="R167" i="23"/>
  <c r="P230" i="23"/>
  <c r="P163" i="23"/>
  <c r="P238" i="23"/>
  <c r="P171" i="23"/>
  <c r="P235" i="23"/>
  <c r="P168" i="23"/>
  <c r="N234" i="23"/>
  <c r="N167" i="23"/>
  <c r="P244" i="23"/>
  <c r="P177" i="23"/>
  <c r="S58" i="23"/>
  <c r="S163" i="23"/>
  <c r="S230" i="23"/>
  <c r="M170" i="23"/>
  <c r="M237" i="23"/>
  <c r="O60" i="23"/>
  <c r="P60" i="23" s="1"/>
  <c r="T56" i="23"/>
  <c r="P59" i="23"/>
  <c r="O55" i="23"/>
  <c r="N58" i="23"/>
  <c r="AF86" i="23" l="1"/>
  <c r="AF169" i="23"/>
  <c r="AF236" i="23"/>
  <c r="AF68" i="23"/>
  <c r="AE272" i="23"/>
  <c r="AD272" i="23"/>
  <c r="AB237" i="23"/>
  <c r="AB272" i="23"/>
  <c r="AC272" i="23"/>
  <c r="W251" i="23"/>
  <c r="Z69" i="23"/>
  <c r="Z243" i="23" s="1"/>
  <c r="O240" i="23"/>
  <c r="P66" i="23"/>
  <c r="P240" i="23" s="1"/>
  <c r="Z175" i="23"/>
  <c r="AB170" i="23"/>
  <c r="K163" i="23"/>
  <c r="K162" i="23"/>
  <c r="W120" i="23"/>
  <c r="W253" i="23" s="1"/>
  <c r="AB62" i="23"/>
  <c r="AB232" i="23"/>
  <c r="AB165" i="23"/>
  <c r="Y83" i="23"/>
  <c r="Y135" i="23" s="1"/>
  <c r="Y197" i="23" s="1"/>
  <c r="AA83" i="23"/>
  <c r="AA135" i="23" s="1"/>
  <c r="AA197" i="23" s="1"/>
  <c r="X168" i="23"/>
  <c r="AA169" i="23"/>
  <c r="AA68" i="23"/>
  <c r="AA236" i="23"/>
  <c r="X235" i="23"/>
  <c r="W146" i="23"/>
  <c r="W213" i="23" s="1"/>
  <c r="W215" i="23" s="1"/>
  <c r="W129" i="23"/>
  <c r="W191" i="23" s="1"/>
  <c r="Z83" i="23"/>
  <c r="Z135" i="23" s="1"/>
  <c r="Z197" i="23" s="1"/>
  <c r="W166" i="23"/>
  <c r="W233" i="23"/>
  <c r="W50" i="23"/>
  <c r="W63" i="23"/>
  <c r="W170" i="23" s="1"/>
  <c r="W167" i="23"/>
  <c r="W234" i="23"/>
  <c r="W137" i="23"/>
  <c r="W199" i="23" s="1"/>
  <c r="V68" i="23"/>
  <c r="X83" i="23"/>
  <c r="X135" i="23" s="1"/>
  <c r="X197" i="23" s="1"/>
  <c r="W62" i="23"/>
  <c r="X164" i="23"/>
  <c r="X231" i="23"/>
  <c r="Y245" i="23"/>
  <c r="Y178" i="23"/>
  <c r="Y243" i="23"/>
  <c r="Y176" i="23"/>
  <c r="X234" i="23"/>
  <c r="X167" i="23"/>
  <c r="X230" i="23"/>
  <c r="X163" i="23"/>
  <c r="X162" i="23"/>
  <c r="X229" i="23"/>
  <c r="X51" i="23"/>
  <c r="X35" i="23"/>
  <c r="X240" i="23"/>
  <c r="X173" i="23"/>
  <c r="T85" i="23"/>
  <c r="R232" i="23"/>
  <c r="X244" i="23"/>
  <c r="X177" i="23"/>
  <c r="R170" i="23"/>
  <c r="R165" i="23"/>
  <c r="T166" i="23"/>
  <c r="T233" i="23"/>
  <c r="X239" i="23"/>
  <c r="X172" i="23"/>
  <c r="X58" i="23"/>
  <c r="W165" i="23"/>
  <c r="X59" i="23"/>
  <c r="U85" i="23"/>
  <c r="X241" i="23"/>
  <c r="X174" i="23"/>
  <c r="R83" i="23"/>
  <c r="R135" i="23" s="1"/>
  <c r="R197" i="23" s="1"/>
  <c r="W147" i="23"/>
  <c r="W184" i="23"/>
  <c r="H243" i="23"/>
  <c r="H176" i="23"/>
  <c r="H72" i="23"/>
  <c r="W83" i="23"/>
  <c r="W135" i="23" s="1"/>
  <c r="W197" i="23" s="1"/>
  <c r="U83" i="23"/>
  <c r="U135" i="23" s="1"/>
  <c r="U197" i="23" s="1"/>
  <c r="W85" i="23"/>
  <c r="W25" i="23"/>
  <c r="W23" i="23"/>
  <c r="P167" i="23"/>
  <c r="P234" i="23"/>
  <c r="P166" i="23"/>
  <c r="S85" i="23"/>
  <c r="P233" i="23"/>
  <c r="S240" i="23"/>
  <c r="S173" i="23"/>
  <c r="S62" i="23"/>
  <c r="S232" i="23"/>
  <c r="S165" i="23"/>
  <c r="O63" i="23"/>
  <c r="P63" i="23" s="1"/>
  <c r="P231" i="23"/>
  <c r="P164" i="23"/>
  <c r="S83" i="23"/>
  <c r="S135" i="23" s="1"/>
  <c r="S197" i="23" s="1"/>
  <c r="T230" i="23"/>
  <c r="T163" i="23"/>
  <c r="S234" i="23"/>
  <c r="S167" i="23"/>
  <c r="T241" i="23"/>
  <c r="T174" i="23"/>
  <c r="T231" i="23"/>
  <c r="T164" i="23"/>
  <c r="T83" i="23"/>
  <c r="T135" i="23" s="1"/>
  <c r="T197" i="23" s="1"/>
  <c r="V83" i="23"/>
  <c r="N237" i="23"/>
  <c r="N170" i="23"/>
  <c r="T229" i="23"/>
  <c r="T162" i="23"/>
  <c r="P239" i="23"/>
  <c r="P172" i="23"/>
  <c r="K174" i="23"/>
  <c r="U68" i="23"/>
  <c r="U236" i="23"/>
  <c r="U169" i="23"/>
  <c r="N62" i="23"/>
  <c r="N232" i="23"/>
  <c r="N165" i="23"/>
  <c r="Q68" i="23"/>
  <c r="Q236" i="23"/>
  <c r="Q169" i="23"/>
  <c r="M68" i="23"/>
  <c r="M236" i="23"/>
  <c r="M169" i="23"/>
  <c r="T66" i="23"/>
  <c r="S63" i="23"/>
  <c r="O167" i="23"/>
  <c r="O234" i="23"/>
  <c r="T60" i="23"/>
  <c r="O229" i="23"/>
  <c r="O162" i="23"/>
  <c r="R85" i="23"/>
  <c r="Q85" i="23"/>
  <c r="Q134" i="23" s="1"/>
  <c r="Q196" i="23" s="1"/>
  <c r="R68" i="23"/>
  <c r="R236" i="23"/>
  <c r="R169" i="23"/>
  <c r="O58" i="23"/>
  <c r="P55" i="23"/>
  <c r="AF175" i="23" l="1"/>
  <c r="AF242" i="23"/>
  <c r="AC86" i="23"/>
  <c r="AE86" i="23"/>
  <c r="AD86" i="23"/>
  <c r="P173" i="23"/>
  <c r="Z76" i="23"/>
  <c r="Z72" i="23"/>
  <c r="W132" i="23"/>
  <c r="W194" i="23" s="1"/>
  <c r="W275" i="23"/>
  <c r="AA273" i="23"/>
  <c r="Z273" i="23"/>
  <c r="Z176" i="23"/>
  <c r="W186" i="23"/>
  <c r="W148" i="23"/>
  <c r="AB169" i="23"/>
  <c r="AB68" i="23"/>
  <c r="AB236" i="23"/>
  <c r="AB86" i="23"/>
  <c r="Y85" i="23"/>
  <c r="Y134" i="23" s="1"/>
  <c r="Y196" i="23" s="1"/>
  <c r="K166" i="23"/>
  <c r="AA85" i="23"/>
  <c r="AA134" i="23" s="1"/>
  <c r="AA196" i="23" s="1"/>
  <c r="AA175" i="23"/>
  <c r="AA69" i="23"/>
  <c r="AA242" i="23"/>
  <c r="W68" i="23"/>
  <c r="W175" i="23" s="1"/>
  <c r="Z85" i="23"/>
  <c r="Z134" i="23" s="1"/>
  <c r="Z196" i="23" s="1"/>
  <c r="X85" i="23"/>
  <c r="X134" i="23" s="1"/>
  <c r="X196" i="23" s="1"/>
  <c r="W237" i="23"/>
  <c r="X63" i="23"/>
  <c r="U134" i="23"/>
  <c r="U196" i="23" s="1"/>
  <c r="W169" i="23"/>
  <c r="W236" i="23"/>
  <c r="X233" i="23"/>
  <c r="AA272" i="23" s="1"/>
  <c r="X50" i="23"/>
  <c r="X166" i="23"/>
  <c r="X36" i="23"/>
  <c r="R134" i="23"/>
  <c r="R196" i="23" s="1"/>
  <c r="X165" i="23"/>
  <c r="X62" i="23"/>
  <c r="X232" i="23"/>
  <c r="W134" i="23"/>
  <c r="W196" i="23" s="1"/>
  <c r="H178" i="23"/>
  <c r="H245" i="23"/>
  <c r="K173" i="23"/>
  <c r="Q242" i="23"/>
  <c r="Q175" i="23"/>
  <c r="Q69" i="23"/>
  <c r="Q72" i="23" s="1"/>
  <c r="S68" i="23"/>
  <c r="S236" i="23"/>
  <c r="S169" i="23"/>
  <c r="N68" i="23"/>
  <c r="N236" i="23"/>
  <c r="N169" i="23"/>
  <c r="R242" i="23"/>
  <c r="R175" i="23"/>
  <c r="M242" i="23"/>
  <c r="M175" i="23"/>
  <c r="M69" i="23"/>
  <c r="S237" i="23"/>
  <c r="S170" i="23"/>
  <c r="T63" i="23"/>
  <c r="T240" i="23"/>
  <c r="T173" i="23"/>
  <c r="P229" i="23"/>
  <c r="P162" i="23"/>
  <c r="T234" i="23"/>
  <c r="T167" i="23"/>
  <c r="O62" i="23"/>
  <c r="O232" i="23"/>
  <c r="O165" i="23"/>
  <c r="K164" i="23"/>
  <c r="K83" i="23"/>
  <c r="U242" i="23"/>
  <c r="U175" i="23"/>
  <c r="U69" i="23"/>
  <c r="P237" i="23"/>
  <c r="P170" i="23"/>
  <c r="V135" i="23"/>
  <c r="V197" i="23" s="1"/>
  <c r="V134" i="23"/>
  <c r="V196" i="23" s="1"/>
  <c r="T134" i="23"/>
  <c r="T196" i="23" s="1"/>
  <c r="K167" i="23"/>
  <c r="O237" i="23"/>
  <c r="O170" i="23"/>
  <c r="S134" i="23"/>
  <c r="S196" i="23" s="1"/>
  <c r="AF72" i="23" l="1"/>
  <c r="AF176" i="23"/>
  <c r="AF243" i="23"/>
  <c r="AA72" i="23"/>
  <c r="Z245" i="23"/>
  <c r="Z178" i="23"/>
  <c r="AB69" i="23"/>
  <c r="Z272" i="23"/>
  <c r="K85" i="23"/>
  <c r="W242" i="23"/>
  <c r="AB242" i="23"/>
  <c r="AB175" i="23"/>
  <c r="Y86" i="23"/>
  <c r="AA86" i="23"/>
  <c r="AA76" i="23"/>
  <c r="AA243" i="23"/>
  <c r="AA176" i="23"/>
  <c r="Z86" i="23"/>
  <c r="X170" i="23"/>
  <c r="X237" i="23"/>
  <c r="X86" i="23"/>
  <c r="X68" i="23"/>
  <c r="X236" i="23"/>
  <c r="X169" i="23"/>
  <c r="R69" i="23"/>
  <c r="R72" i="23" s="1"/>
  <c r="R245" i="23" s="1"/>
  <c r="M243" i="23"/>
  <c r="M176" i="23"/>
  <c r="M76" i="23"/>
  <c r="M72" i="23"/>
  <c r="N242" i="23"/>
  <c r="N175" i="23"/>
  <c r="N69" i="23"/>
  <c r="U72" i="23"/>
  <c r="U76" i="23"/>
  <c r="U243" i="23"/>
  <c r="U176" i="23"/>
  <c r="V69" i="23"/>
  <c r="W69" i="23" s="1"/>
  <c r="O68" i="23"/>
  <c r="O236" i="23"/>
  <c r="O169" i="23"/>
  <c r="S242" i="23"/>
  <c r="S175" i="23"/>
  <c r="Q245" i="23"/>
  <c r="Q178" i="23"/>
  <c r="T237" i="23"/>
  <c r="T170" i="23"/>
  <c r="K170" i="23"/>
  <c r="Q243" i="23"/>
  <c r="Q176" i="23"/>
  <c r="Q76" i="23"/>
  <c r="AA245" i="23" l="1"/>
  <c r="AA178" i="23"/>
  <c r="AF245" i="23"/>
  <c r="AF178" i="23"/>
  <c r="AB72" i="23"/>
  <c r="AB178" i="23" s="1"/>
  <c r="AB243" i="23"/>
  <c r="AB176" i="23"/>
  <c r="S69" i="23"/>
  <c r="S72" i="23" s="1"/>
  <c r="S245" i="23" s="1"/>
  <c r="R176" i="23"/>
  <c r="R243" i="23"/>
  <c r="R178" i="23"/>
  <c r="R76" i="23"/>
  <c r="X69" i="23"/>
  <c r="X242" i="23"/>
  <c r="X175" i="23"/>
  <c r="W76" i="23"/>
  <c r="W72" i="23"/>
  <c r="W243" i="23"/>
  <c r="W176" i="23"/>
  <c r="V72" i="23"/>
  <c r="V76" i="23"/>
  <c r="U245" i="23"/>
  <c r="U178" i="23"/>
  <c r="M73" i="23"/>
  <c r="M245" i="23"/>
  <c r="M178" i="23"/>
  <c r="N72" i="23"/>
  <c r="N176" i="23"/>
  <c r="N243" i="23"/>
  <c r="N76" i="23"/>
  <c r="O242" i="23"/>
  <c r="O175" i="23"/>
  <c r="O69" i="23"/>
  <c r="K183" i="23"/>
  <c r="K182" i="23"/>
  <c r="M90" i="23"/>
  <c r="N90" i="23"/>
  <c r="O102" i="23"/>
  <c r="O90" i="23"/>
  <c r="Q90" i="23"/>
  <c r="P117" i="23"/>
  <c r="P183" i="23" s="1"/>
  <c r="P116" i="23"/>
  <c r="P182" i="23" s="1"/>
  <c r="R90" i="23"/>
  <c r="S90" i="23"/>
  <c r="U90" i="23"/>
  <c r="T117" i="23"/>
  <c r="T183" i="23" s="1"/>
  <c r="T116" i="23"/>
  <c r="T182" i="23" s="1"/>
  <c r="V90" i="23"/>
  <c r="V250" i="23"/>
  <c r="U250" i="23"/>
  <c r="S250" i="23"/>
  <c r="R250" i="23"/>
  <c r="Q250" i="23"/>
  <c r="O250" i="23"/>
  <c r="N250" i="23"/>
  <c r="M250" i="23"/>
  <c r="G250" i="23"/>
  <c r="F250" i="23"/>
  <c r="E250" i="23"/>
  <c r="D250" i="23"/>
  <c r="C250" i="23"/>
  <c r="V249" i="23"/>
  <c r="U249" i="23"/>
  <c r="S249" i="23"/>
  <c r="R249" i="23"/>
  <c r="Q249" i="23"/>
  <c r="O249" i="23"/>
  <c r="N249" i="23"/>
  <c r="M249" i="23"/>
  <c r="G249" i="23"/>
  <c r="F249" i="23"/>
  <c r="E249" i="23"/>
  <c r="D249" i="23"/>
  <c r="C249" i="23"/>
  <c r="B250" i="23"/>
  <c r="B249" i="23"/>
  <c r="V183" i="23"/>
  <c r="U183" i="23"/>
  <c r="S183" i="23"/>
  <c r="R183" i="23"/>
  <c r="Q183" i="23"/>
  <c r="O183" i="23"/>
  <c r="N183" i="23"/>
  <c r="M183" i="23"/>
  <c r="G183" i="23"/>
  <c r="F183" i="23"/>
  <c r="E183" i="23"/>
  <c r="D183" i="23"/>
  <c r="C183" i="23"/>
  <c r="V182" i="23"/>
  <c r="U182" i="23"/>
  <c r="S182" i="23"/>
  <c r="R182" i="23"/>
  <c r="Q182" i="23"/>
  <c r="O182" i="23"/>
  <c r="N182" i="23"/>
  <c r="M182" i="23"/>
  <c r="G182" i="23"/>
  <c r="F182" i="23"/>
  <c r="E182" i="23"/>
  <c r="D182" i="23"/>
  <c r="C182" i="23"/>
  <c r="B183" i="23"/>
  <c r="B182" i="23"/>
  <c r="C90" i="23"/>
  <c r="D90" i="23"/>
  <c r="E90" i="23"/>
  <c r="V52" i="26"/>
  <c r="U52" i="26"/>
  <c r="S52" i="26"/>
  <c r="R52" i="26"/>
  <c r="Q52" i="26"/>
  <c r="O52" i="26"/>
  <c r="N52" i="26"/>
  <c r="M52" i="26"/>
  <c r="G52" i="26"/>
  <c r="F52" i="26"/>
  <c r="E52" i="26"/>
  <c r="D52" i="26"/>
  <c r="C52" i="26"/>
  <c r="T51" i="26"/>
  <c r="P51" i="26"/>
  <c r="T50" i="26"/>
  <c r="P50" i="26"/>
  <c r="T49" i="26"/>
  <c r="P49" i="26"/>
  <c r="T48" i="26"/>
  <c r="P48" i="26"/>
  <c r="T47" i="26"/>
  <c r="P47" i="26"/>
  <c r="V29" i="26"/>
  <c r="U29" i="26"/>
  <c r="S29" i="26"/>
  <c r="R29" i="26"/>
  <c r="Q29" i="26"/>
  <c r="O29" i="26"/>
  <c r="N29" i="26"/>
  <c r="M29" i="26"/>
  <c r="G29" i="26"/>
  <c r="F29" i="26"/>
  <c r="E29" i="26"/>
  <c r="D29" i="26"/>
  <c r="C29" i="26"/>
  <c r="T28" i="26"/>
  <c r="P28" i="26"/>
  <c r="T27" i="26"/>
  <c r="P27" i="26"/>
  <c r="T26" i="26"/>
  <c r="P26" i="26"/>
  <c r="V10" i="26"/>
  <c r="U10" i="26"/>
  <c r="S10" i="26"/>
  <c r="R10" i="26"/>
  <c r="Q10" i="26"/>
  <c r="O10" i="26"/>
  <c r="N10" i="26"/>
  <c r="M10" i="26"/>
  <c r="G10" i="26"/>
  <c r="F10" i="26"/>
  <c r="E10" i="26"/>
  <c r="D10" i="26"/>
  <c r="C10" i="26"/>
  <c r="T9" i="26"/>
  <c r="P9" i="26"/>
  <c r="T8" i="26"/>
  <c r="P8" i="26"/>
  <c r="E53" i="26" l="1"/>
  <c r="E58" i="26"/>
  <c r="E60" i="26"/>
  <c r="E57" i="26"/>
  <c r="E69" i="26"/>
  <c r="E56" i="26"/>
  <c r="E59" i="26"/>
  <c r="Q53" i="26"/>
  <c r="Q60" i="26"/>
  <c r="Q58" i="26"/>
  <c r="Q69" i="26"/>
  <c r="Q57" i="26"/>
  <c r="Q59" i="26"/>
  <c r="Q56" i="26"/>
  <c r="R53" i="26"/>
  <c r="R57" i="26"/>
  <c r="R61" i="26" s="1"/>
  <c r="R59" i="26"/>
  <c r="R56" i="26"/>
  <c r="R69" i="26"/>
  <c r="R58" i="26"/>
  <c r="R60" i="26"/>
  <c r="U53" i="26"/>
  <c r="U56" i="26"/>
  <c r="U61" i="26" s="1"/>
  <c r="U69" i="26"/>
  <c r="U58" i="26"/>
  <c r="U60" i="26"/>
  <c r="U57" i="26"/>
  <c r="U59" i="26"/>
  <c r="Y69" i="26"/>
  <c r="T65" i="26"/>
  <c r="X65" i="26"/>
  <c r="F53" i="26"/>
  <c r="F60" i="26"/>
  <c r="F57" i="26"/>
  <c r="F69" i="26"/>
  <c r="F56" i="26"/>
  <c r="F58" i="26"/>
  <c r="F59" i="26"/>
  <c r="G53" i="26"/>
  <c r="G60" i="26"/>
  <c r="G57" i="26"/>
  <c r="G69" i="26"/>
  <c r="G56" i="26"/>
  <c r="G58" i="26"/>
  <c r="H69" i="26"/>
  <c r="G59" i="26"/>
  <c r="V53" i="26"/>
  <c r="V69" i="26"/>
  <c r="V58" i="26"/>
  <c r="V59" i="26"/>
  <c r="V60" i="26"/>
  <c r="V57" i="26"/>
  <c r="V56" i="26"/>
  <c r="V61" i="26" s="1"/>
  <c r="Z69" i="26"/>
  <c r="C53" i="26"/>
  <c r="C60" i="26"/>
  <c r="C58" i="26"/>
  <c r="C57" i="26"/>
  <c r="C56" i="26"/>
  <c r="C59" i="26"/>
  <c r="S53" i="26"/>
  <c r="S59" i="26"/>
  <c r="S56" i="26"/>
  <c r="S69" i="26"/>
  <c r="S58" i="26"/>
  <c r="S60" i="26"/>
  <c r="S57" i="26"/>
  <c r="W69" i="26"/>
  <c r="T67" i="26"/>
  <c r="X67" i="26"/>
  <c r="T66" i="26"/>
  <c r="X66" i="26"/>
  <c r="D53" i="26"/>
  <c r="D58" i="26"/>
  <c r="D60" i="26"/>
  <c r="D57" i="26"/>
  <c r="D69" i="26"/>
  <c r="D56" i="26"/>
  <c r="D59" i="26"/>
  <c r="M53" i="26"/>
  <c r="M56" i="26"/>
  <c r="M58" i="26"/>
  <c r="M60" i="26"/>
  <c r="M57" i="26"/>
  <c r="M59" i="26"/>
  <c r="N53" i="26"/>
  <c r="N58" i="26"/>
  <c r="N60" i="26"/>
  <c r="N57" i="26"/>
  <c r="N59" i="26"/>
  <c r="N56" i="26"/>
  <c r="T64" i="26"/>
  <c r="X64" i="26"/>
  <c r="T68" i="26"/>
  <c r="X68" i="26"/>
  <c r="O53" i="26"/>
  <c r="O58" i="26"/>
  <c r="O60" i="26"/>
  <c r="O57" i="26"/>
  <c r="O56" i="26"/>
  <c r="O59" i="26"/>
  <c r="V30" i="26"/>
  <c r="V42" i="26"/>
  <c r="V34" i="26"/>
  <c r="V35" i="26"/>
  <c r="V33" i="26"/>
  <c r="Z42" i="26"/>
  <c r="U30" i="26"/>
  <c r="U42" i="26"/>
  <c r="Y42" i="26"/>
  <c r="U33" i="26"/>
  <c r="U34" i="26"/>
  <c r="U35" i="26"/>
  <c r="S30" i="26"/>
  <c r="S42" i="26"/>
  <c r="W42" i="26"/>
  <c r="S35" i="26"/>
  <c r="S33" i="26"/>
  <c r="S34" i="26"/>
  <c r="R30" i="26"/>
  <c r="R42" i="26"/>
  <c r="R33" i="26"/>
  <c r="R34" i="26"/>
  <c r="R35" i="26"/>
  <c r="R36" i="26" s="1"/>
  <c r="Q30" i="26"/>
  <c r="Q42" i="26"/>
  <c r="Q34" i="26"/>
  <c r="Q33" i="26"/>
  <c r="Q35" i="26"/>
  <c r="Q36" i="26" s="1"/>
  <c r="O30" i="26"/>
  <c r="O34" i="26"/>
  <c r="O35" i="26"/>
  <c r="O33" i="26"/>
  <c r="N30" i="26"/>
  <c r="N34" i="26"/>
  <c r="N35" i="26"/>
  <c r="N33" i="26"/>
  <c r="M30" i="26"/>
  <c r="M33" i="26"/>
  <c r="M34" i="26"/>
  <c r="M35" i="26"/>
  <c r="M36" i="26" s="1"/>
  <c r="G30" i="26"/>
  <c r="G42" i="26"/>
  <c r="G35" i="26"/>
  <c r="G34" i="26"/>
  <c r="H42" i="26"/>
  <c r="G33" i="26"/>
  <c r="F30" i="26"/>
  <c r="F42" i="26"/>
  <c r="F34" i="26"/>
  <c r="F33" i="26"/>
  <c r="F35" i="26"/>
  <c r="E30" i="26"/>
  <c r="E42" i="26"/>
  <c r="E34" i="26"/>
  <c r="E35" i="26"/>
  <c r="E33" i="26"/>
  <c r="D30" i="26"/>
  <c r="D35" i="26"/>
  <c r="D42" i="26"/>
  <c r="D33" i="26"/>
  <c r="D34" i="26"/>
  <c r="C30" i="26"/>
  <c r="C35" i="26"/>
  <c r="C33" i="26"/>
  <c r="C34" i="26"/>
  <c r="T41" i="26"/>
  <c r="X41" i="26"/>
  <c r="T40" i="26"/>
  <c r="X40" i="26"/>
  <c r="T39" i="26"/>
  <c r="X39" i="26"/>
  <c r="V11" i="26"/>
  <c r="V15" i="26"/>
  <c r="Z21" i="26"/>
  <c r="V21" i="26"/>
  <c r="V14" i="26"/>
  <c r="U11" i="26"/>
  <c r="U15" i="26"/>
  <c r="Y21" i="26"/>
  <c r="U14" i="26"/>
  <c r="U16" i="26" s="1"/>
  <c r="U21" i="26"/>
  <c r="S11" i="26"/>
  <c r="S15" i="26"/>
  <c r="S21" i="26"/>
  <c r="W21" i="26"/>
  <c r="S14" i="26"/>
  <c r="R11" i="26"/>
  <c r="R15" i="26"/>
  <c r="R21" i="26"/>
  <c r="R14" i="26"/>
  <c r="Q11" i="26"/>
  <c r="Q15" i="26"/>
  <c r="Q21" i="26"/>
  <c r="Q14" i="26"/>
  <c r="O11" i="26"/>
  <c r="O14" i="26"/>
  <c r="O15" i="26"/>
  <c r="N11" i="26"/>
  <c r="N14" i="26"/>
  <c r="N15" i="26"/>
  <c r="M11" i="26"/>
  <c r="M14" i="26"/>
  <c r="M15" i="26"/>
  <c r="G11" i="26"/>
  <c r="G14" i="26"/>
  <c r="G21" i="26"/>
  <c r="G15" i="26"/>
  <c r="H21" i="26"/>
  <c r="F11" i="26"/>
  <c r="F14" i="26"/>
  <c r="F15" i="26"/>
  <c r="F21" i="26"/>
  <c r="E11" i="26"/>
  <c r="E14" i="26"/>
  <c r="E15" i="26"/>
  <c r="E21" i="26"/>
  <c r="D11" i="26"/>
  <c r="D14" i="26"/>
  <c r="D15" i="26"/>
  <c r="D21" i="26"/>
  <c r="C11" i="26"/>
  <c r="C15" i="26"/>
  <c r="C14" i="26"/>
  <c r="C16" i="26" s="1"/>
  <c r="T20" i="26"/>
  <c r="X20" i="26"/>
  <c r="T19" i="26"/>
  <c r="X19" i="26"/>
  <c r="AB245" i="23"/>
  <c r="P10" i="26"/>
  <c r="S178" i="23"/>
  <c r="S76" i="23"/>
  <c r="S243" i="23"/>
  <c r="S176" i="23"/>
  <c r="X243" i="23"/>
  <c r="T29" i="26"/>
  <c r="T10" i="26"/>
  <c r="K10" i="26"/>
  <c r="X72" i="23"/>
  <c r="X178" i="23" s="1"/>
  <c r="X176" i="23"/>
  <c r="W178" i="23"/>
  <c r="W245" i="23"/>
  <c r="P52" i="26"/>
  <c r="P57" i="26" s="1"/>
  <c r="O176" i="23"/>
  <c r="O243" i="23"/>
  <c r="O76" i="23"/>
  <c r="O72" i="23"/>
  <c r="M75" i="23"/>
  <c r="N73" i="23"/>
  <c r="N75" i="23" s="1"/>
  <c r="T250" i="23"/>
  <c r="N245" i="23"/>
  <c r="N178" i="23"/>
  <c r="T52" i="26"/>
  <c r="T59" i="26" s="1"/>
  <c r="K29" i="26"/>
  <c r="P29" i="26"/>
  <c r="P250" i="23"/>
  <c r="P249" i="23"/>
  <c r="T249" i="23"/>
  <c r="K52" i="26"/>
  <c r="V16" i="26" l="1"/>
  <c r="F36" i="26"/>
  <c r="P58" i="26"/>
  <c r="P60" i="26"/>
  <c r="K14" i="26"/>
  <c r="K15" i="26"/>
  <c r="T60" i="26"/>
  <c r="P59" i="26"/>
  <c r="S16" i="26"/>
  <c r="O61" i="26"/>
  <c r="P56" i="26"/>
  <c r="S61" i="26"/>
  <c r="C61" i="26"/>
  <c r="T57" i="26"/>
  <c r="T56" i="26"/>
  <c r="T58" i="26"/>
  <c r="Q61" i="26"/>
  <c r="E61" i="26"/>
  <c r="U36" i="26"/>
  <c r="M61" i="26"/>
  <c r="G61" i="26"/>
  <c r="F61" i="26"/>
  <c r="D61" i="26"/>
  <c r="T69" i="26"/>
  <c r="X69" i="26"/>
  <c r="R16" i="26"/>
  <c r="N61" i="26"/>
  <c r="K59" i="26"/>
  <c r="K57" i="26"/>
  <c r="K60" i="26"/>
  <c r="K58" i="26"/>
  <c r="K56" i="26"/>
  <c r="V36" i="26"/>
  <c r="S36" i="26"/>
  <c r="O36" i="26"/>
  <c r="N36" i="26"/>
  <c r="G36" i="26"/>
  <c r="E36" i="26"/>
  <c r="D36" i="26"/>
  <c r="C36" i="26"/>
  <c r="T35" i="26"/>
  <c r="T34" i="26"/>
  <c r="T33" i="26"/>
  <c r="T42" i="26"/>
  <c r="X42" i="26"/>
  <c r="K35" i="26"/>
  <c r="K34" i="26"/>
  <c r="K33" i="26"/>
  <c r="P35" i="26"/>
  <c r="P34" i="26"/>
  <c r="P33" i="26"/>
  <c r="G16" i="26"/>
  <c r="T14" i="26"/>
  <c r="T15" i="26"/>
  <c r="Q16" i="26"/>
  <c r="O16" i="26"/>
  <c r="N16" i="26"/>
  <c r="F16" i="26"/>
  <c r="E16" i="26"/>
  <c r="M16" i="26"/>
  <c r="D16" i="26"/>
  <c r="P15" i="26"/>
  <c r="P14" i="26"/>
  <c r="P16" i="26" s="1"/>
  <c r="T21" i="26"/>
  <c r="X21" i="26"/>
  <c r="X245" i="23"/>
  <c r="O73" i="23"/>
  <c r="O245" i="23"/>
  <c r="O178" i="23"/>
  <c r="G115" i="23"/>
  <c r="G30" i="23" s="1"/>
  <c r="F90" i="23"/>
  <c r="G90" i="23"/>
  <c r="C46" i="23"/>
  <c r="D46" i="23"/>
  <c r="E46" i="23"/>
  <c r="F46" i="23"/>
  <c r="G46" i="23"/>
  <c r="H47" i="23" s="1"/>
  <c r="H158" i="23" s="1"/>
  <c r="P19" i="23"/>
  <c r="P18" i="23"/>
  <c r="P17" i="23"/>
  <c r="T19" i="23"/>
  <c r="T18" i="23"/>
  <c r="T17" i="23"/>
  <c r="O50" i="23"/>
  <c r="V177" i="23"/>
  <c r="V172" i="23"/>
  <c r="V171" i="23"/>
  <c r="V168" i="23"/>
  <c r="V167" i="23"/>
  <c r="V163" i="23"/>
  <c r="V35" i="23"/>
  <c r="S50" i="23"/>
  <c r="U51" i="23"/>
  <c r="U50" i="23"/>
  <c r="Q51" i="23"/>
  <c r="Q50" i="23"/>
  <c r="M51" i="23"/>
  <c r="M50" i="23"/>
  <c r="V15" i="23"/>
  <c r="C423" i="22"/>
  <c r="C441" i="22"/>
  <c r="C414" i="22"/>
  <c r="C410" i="22"/>
  <c r="C404" i="22"/>
  <c r="V248" i="23"/>
  <c r="V218" i="23"/>
  <c r="V207" i="23"/>
  <c r="V164" i="23"/>
  <c r="V154" i="23"/>
  <c r="Z155" i="23" s="1"/>
  <c r="V151" i="23"/>
  <c r="V140" i="23"/>
  <c r="V124" i="23"/>
  <c r="V113" i="23"/>
  <c r="V112" i="23"/>
  <c r="V109" i="23"/>
  <c r="V104" i="23"/>
  <c r="V99" i="23"/>
  <c r="V98" i="23"/>
  <c r="V97" i="23"/>
  <c r="V94" i="23"/>
  <c r="V88" i="23"/>
  <c r="V78" i="23"/>
  <c r="V53" i="23"/>
  <c r="V38" i="23"/>
  <c r="V28" i="23"/>
  <c r="V10" i="23"/>
  <c r="V14" i="23" s="1"/>
  <c r="Y80" i="23" s="1"/>
  <c r="V8" i="23"/>
  <c r="U8" i="23"/>
  <c r="U218" i="23"/>
  <c r="U207" i="23"/>
  <c r="U154" i="23"/>
  <c r="Y155" i="23" s="1"/>
  <c r="U151" i="23"/>
  <c r="U140" i="23"/>
  <c r="U124" i="23"/>
  <c r="U113" i="23"/>
  <c r="U112" i="23"/>
  <c r="U109" i="23"/>
  <c r="U104" i="23"/>
  <c r="U99" i="23"/>
  <c r="U98" i="23"/>
  <c r="U97" i="23"/>
  <c r="U94" i="23"/>
  <c r="U88" i="23"/>
  <c r="U78" i="23"/>
  <c r="U53" i="23"/>
  <c r="U38" i="23"/>
  <c r="U36" i="23"/>
  <c r="U35" i="23"/>
  <c r="U28" i="23"/>
  <c r="U10" i="23"/>
  <c r="G177" i="23"/>
  <c r="G172" i="23"/>
  <c r="G171" i="23"/>
  <c r="G168" i="23"/>
  <c r="G167" i="23"/>
  <c r="G164" i="23"/>
  <c r="G163" i="23"/>
  <c r="G83" i="23"/>
  <c r="F83" i="23"/>
  <c r="T108" i="23"/>
  <c r="T257" i="23" s="1"/>
  <c r="T107" i="23"/>
  <c r="T256" i="23" s="1"/>
  <c r="G173" i="23"/>
  <c r="G162" i="23"/>
  <c r="M97" i="23"/>
  <c r="N97" i="23"/>
  <c r="O97" i="23"/>
  <c r="Q97" i="23"/>
  <c r="R97" i="23"/>
  <c r="S97" i="23"/>
  <c r="M98" i="23"/>
  <c r="N98" i="23"/>
  <c r="O98" i="23"/>
  <c r="Q98" i="23"/>
  <c r="R98" i="23"/>
  <c r="S98" i="23"/>
  <c r="M99" i="23"/>
  <c r="N99" i="23"/>
  <c r="O99" i="23"/>
  <c r="Q99" i="23"/>
  <c r="R99" i="23"/>
  <c r="S99" i="23"/>
  <c r="D97" i="23"/>
  <c r="E97" i="23"/>
  <c r="F97" i="23"/>
  <c r="G97" i="23"/>
  <c r="D98" i="23"/>
  <c r="E98" i="23"/>
  <c r="F98" i="23"/>
  <c r="G98" i="23"/>
  <c r="D99" i="23"/>
  <c r="E99" i="23"/>
  <c r="F99" i="23"/>
  <c r="G99" i="23"/>
  <c r="C98" i="23"/>
  <c r="C99" i="23"/>
  <c r="C97" i="23"/>
  <c r="P61" i="26" l="1"/>
  <c r="T61" i="26"/>
  <c r="K16" i="26"/>
  <c r="K61" i="26"/>
  <c r="K36" i="26"/>
  <c r="T36" i="26"/>
  <c r="P36" i="26"/>
  <c r="T16" i="26"/>
  <c r="T258" i="23"/>
  <c r="X15" i="23"/>
  <c r="O75" i="23"/>
  <c r="V20" i="23"/>
  <c r="V51" i="23"/>
  <c r="V162" i="23"/>
  <c r="O51" i="23"/>
  <c r="S51" i="23"/>
  <c r="U248" i="23"/>
  <c r="K29" i="23"/>
  <c r="V231" i="23"/>
  <c r="G170" i="23"/>
  <c r="V145" i="23"/>
  <c r="V212" i="23" s="1"/>
  <c r="C419" i="22"/>
  <c r="G166" i="23"/>
  <c r="V181" i="23"/>
  <c r="J399" i="22"/>
  <c r="G85" i="23"/>
  <c r="V114" i="23"/>
  <c r="U114" i="23"/>
  <c r="C418" i="22"/>
  <c r="V173" i="23"/>
  <c r="V11" i="23"/>
  <c r="V39" i="23"/>
  <c r="V41" i="23" s="1"/>
  <c r="V36" i="23"/>
  <c r="V166" i="23"/>
  <c r="V174" i="23"/>
  <c r="V50" i="23"/>
  <c r="U14" i="23"/>
  <c r="U11" i="23"/>
  <c r="U181" i="23"/>
  <c r="U145" i="23"/>
  <c r="U212" i="23" s="1"/>
  <c r="G181" i="23"/>
  <c r="T121" i="23"/>
  <c r="T260" i="23" s="1"/>
  <c r="T103" i="23"/>
  <c r="T102" i="23"/>
  <c r="T91" i="23"/>
  <c r="T92" i="23"/>
  <c r="T93" i="23"/>
  <c r="T90" i="23"/>
  <c r="T24" i="23"/>
  <c r="T21" i="23"/>
  <c r="T15" i="23"/>
  <c r="T16" i="23"/>
  <c r="T13" i="23"/>
  <c r="T9" i="23"/>
  <c r="T7" i="23"/>
  <c r="X8" i="23" s="1"/>
  <c r="K218" i="23"/>
  <c r="K207" i="23"/>
  <c r="K151" i="23"/>
  <c r="K140" i="23"/>
  <c r="K88" i="23"/>
  <c r="K78" i="23"/>
  <c r="K53" i="23"/>
  <c r="K38" i="23"/>
  <c r="T218" i="23"/>
  <c r="T207" i="23"/>
  <c r="T151" i="23"/>
  <c r="T140" i="23"/>
  <c r="T124" i="23"/>
  <c r="T88" i="23"/>
  <c r="T78" i="23"/>
  <c r="T53" i="23"/>
  <c r="T38" i="23"/>
  <c r="G218" i="23"/>
  <c r="G207" i="23"/>
  <c r="G154" i="23"/>
  <c r="H155" i="23" s="1"/>
  <c r="G151" i="23"/>
  <c r="G140" i="23"/>
  <c r="G124" i="23"/>
  <c r="G113" i="23"/>
  <c r="T113" i="23" s="1"/>
  <c r="G112" i="23"/>
  <c r="T112" i="23" s="1"/>
  <c r="G109" i="23"/>
  <c r="G104" i="23"/>
  <c r="G29" i="23" s="1"/>
  <c r="G94" i="23"/>
  <c r="G88" i="23"/>
  <c r="G79" i="23"/>
  <c r="G141" i="23" s="1"/>
  <c r="G78" i="23"/>
  <c r="G36" i="23"/>
  <c r="G51" i="23"/>
  <c r="G53" i="23"/>
  <c r="G50" i="23"/>
  <c r="G38" i="23"/>
  <c r="G28" i="23"/>
  <c r="G10" i="23"/>
  <c r="G8" i="23"/>
  <c r="W29" i="23" l="1" a="1"/>
  <c r="W29" i="23" s="1"/>
  <c r="U29" i="23" a="1"/>
  <c r="U29" i="23" s="1"/>
  <c r="V29" i="23" a="1"/>
  <c r="V29" i="23" s="1"/>
  <c r="AA30" i="23"/>
  <c r="Z30" i="23"/>
  <c r="W30" i="23"/>
  <c r="V30" i="23"/>
  <c r="U30" i="23"/>
  <c r="X30" i="23"/>
  <c r="Y30" i="23"/>
  <c r="Y81" i="23"/>
  <c r="Z42" i="23"/>
  <c r="X20" i="23"/>
  <c r="U20" i="23"/>
  <c r="U33" i="23" s="1"/>
  <c r="X80" i="23"/>
  <c r="W79" i="23"/>
  <c r="E440" i="22"/>
  <c r="E439" i="22"/>
  <c r="E438" i="22"/>
  <c r="E437" i="22"/>
  <c r="E436" i="22"/>
  <c r="T79" i="23"/>
  <c r="T141" i="23" s="1"/>
  <c r="V79" i="23"/>
  <c r="U79" i="23"/>
  <c r="C422" i="22"/>
  <c r="C424" i="22" s="1"/>
  <c r="C430" i="22"/>
  <c r="C432" i="22" s="1"/>
  <c r="J403" i="22"/>
  <c r="J406" i="22" s="1"/>
  <c r="E423" i="22"/>
  <c r="E420" i="22"/>
  <c r="E419" i="22"/>
  <c r="E430" i="22" s="1"/>
  <c r="E432" i="22" s="1"/>
  <c r="E421" i="22"/>
  <c r="E435" i="22"/>
  <c r="K250" i="23"/>
  <c r="K249" i="23"/>
  <c r="U122" i="23"/>
  <c r="U118" i="23"/>
  <c r="C426" i="22"/>
  <c r="V118" i="23"/>
  <c r="T11" i="26"/>
  <c r="T30" i="26"/>
  <c r="T53" i="26"/>
  <c r="V247" i="23"/>
  <c r="V241" i="23"/>
  <c r="T51" i="23"/>
  <c r="V229" i="23"/>
  <c r="V235" i="23"/>
  <c r="V239" i="23"/>
  <c r="V221" i="23"/>
  <c r="Z222" i="23" s="1"/>
  <c r="V238" i="23"/>
  <c r="V244" i="23"/>
  <c r="V233" i="23"/>
  <c r="V234" i="23"/>
  <c r="V144" i="23"/>
  <c r="V211" i="23" s="1"/>
  <c r="E415" i="22"/>
  <c r="V240" i="23"/>
  <c r="V122" i="23"/>
  <c r="T98" i="23"/>
  <c r="V230" i="23"/>
  <c r="V180" i="23"/>
  <c r="U39" i="23"/>
  <c r="U41" i="23" s="1"/>
  <c r="E404" i="22"/>
  <c r="E410" i="22"/>
  <c r="E412" i="22"/>
  <c r="E405" i="22"/>
  <c r="E416" i="22"/>
  <c r="T97" i="23"/>
  <c r="U221" i="23"/>
  <c r="Y222" i="23" s="1"/>
  <c r="E406" i="22"/>
  <c r="G174" i="23"/>
  <c r="K79" i="23"/>
  <c r="K95" i="23" s="1"/>
  <c r="T99" i="23"/>
  <c r="E407" i="22"/>
  <c r="E411" i="22"/>
  <c r="V43" i="23"/>
  <c r="V33" i="23"/>
  <c r="V22" i="23"/>
  <c r="V170" i="23"/>
  <c r="V237" i="23"/>
  <c r="U144" i="23"/>
  <c r="U211" i="23" s="1"/>
  <c r="U180" i="23"/>
  <c r="U247" i="23"/>
  <c r="T94" i="23"/>
  <c r="T115" i="23"/>
  <c r="T30" i="23" s="1"/>
  <c r="T28" i="23"/>
  <c r="T104" i="23"/>
  <c r="T29" i="23" s="1" a="1"/>
  <c r="T29" i="23" s="1"/>
  <c r="G14" i="23"/>
  <c r="G20" i="23" s="1"/>
  <c r="G114" i="23"/>
  <c r="T10" i="23"/>
  <c r="G95" i="23"/>
  <c r="T35" i="23"/>
  <c r="G35" i="23"/>
  <c r="T109" i="23"/>
  <c r="T154" i="23"/>
  <c r="X155" i="23" s="1"/>
  <c r="G145" i="23"/>
  <c r="G11" i="23"/>
  <c r="S109" i="23"/>
  <c r="G118" i="23" l="1"/>
  <c r="G184" i="23" s="1"/>
  <c r="V251" i="23"/>
  <c r="U251" i="23"/>
  <c r="U22" i="23"/>
  <c r="X81" i="23"/>
  <c r="Y42" i="23"/>
  <c r="X22" i="23"/>
  <c r="AA84" i="23" s="1"/>
  <c r="X33" i="23"/>
  <c r="W141" i="23"/>
  <c r="W95" i="23"/>
  <c r="E386" i="22"/>
  <c r="E388" i="22" s="1"/>
  <c r="E378" i="22"/>
  <c r="E397" i="22"/>
  <c r="E441" i="22"/>
  <c r="K239" i="23"/>
  <c r="K231" i="23"/>
  <c r="K238" i="23"/>
  <c r="K230" i="23"/>
  <c r="K240" i="23"/>
  <c r="K237" i="23"/>
  <c r="K244" i="23"/>
  <c r="K235" i="23"/>
  <c r="K234" i="23"/>
  <c r="K241" i="23"/>
  <c r="K233" i="23"/>
  <c r="K30" i="26"/>
  <c r="K53" i="26"/>
  <c r="K11" i="26"/>
  <c r="G180" i="23"/>
  <c r="V184" i="23"/>
  <c r="V137" i="23"/>
  <c r="V199" i="23" s="1"/>
  <c r="V120" i="23"/>
  <c r="U43" i="23"/>
  <c r="E414" i="22"/>
  <c r="E418" i="22" s="1"/>
  <c r="V146" i="23"/>
  <c r="V213" i="23" s="1"/>
  <c r="U141" i="23"/>
  <c r="U95" i="23"/>
  <c r="V141" i="23"/>
  <c r="V95" i="23"/>
  <c r="G221" i="23"/>
  <c r="H222" i="23" s="1"/>
  <c r="G238" i="23"/>
  <c r="G230" i="23"/>
  <c r="G240" i="23"/>
  <c r="G231" i="23"/>
  <c r="G244" i="23"/>
  <c r="G235" i="23"/>
  <c r="G239" i="23"/>
  <c r="G234" i="23"/>
  <c r="G229" i="23"/>
  <c r="G233" i="23"/>
  <c r="G237" i="23"/>
  <c r="T221" i="23"/>
  <c r="X222" i="23" s="1"/>
  <c r="G241" i="23"/>
  <c r="U146" i="23"/>
  <c r="U213" i="23" s="1"/>
  <c r="V25" i="23"/>
  <c r="V23" i="23"/>
  <c r="V224" i="23"/>
  <c r="V45" i="23"/>
  <c r="V48" i="23"/>
  <c r="V159" i="23" s="1"/>
  <c r="V157" i="23"/>
  <c r="U137" i="23"/>
  <c r="U199" i="23" s="1"/>
  <c r="U120" i="23"/>
  <c r="U186" i="23" s="1"/>
  <c r="U184" i="23"/>
  <c r="U48" i="23"/>
  <c r="U159" i="23" s="1"/>
  <c r="U157" i="23"/>
  <c r="U224" i="23"/>
  <c r="U45" i="23"/>
  <c r="G212" i="23"/>
  <c r="G204" i="23"/>
  <c r="G248" i="23"/>
  <c r="G247" i="23"/>
  <c r="G144" i="23"/>
  <c r="G146" i="23" s="1"/>
  <c r="G213" i="23" s="1"/>
  <c r="G122" i="23"/>
  <c r="G39" i="23"/>
  <c r="G41" i="23" s="1"/>
  <c r="G80" i="23"/>
  <c r="T11" i="23"/>
  <c r="T95" i="23"/>
  <c r="G22" i="23"/>
  <c r="G33" i="23"/>
  <c r="U25" i="23" l="1"/>
  <c r="U23" i="23"/>
  <c r="Z225" i="23"/>
  <c r="Y262" i="23"/>
  <c r="Y270" i="23" s="1"/>
  <c r="U275" i="23"/>
  <c r="Y225" i="23"/>
  <c r="X262" i="23"/>
  <c r="X270" i="23" s="1"/>
  <c r="V275" i="23"/>
  <c r="Y84" i="23"/>
  <c r="Z84" i="23"/>
  <c r="X25" i="23"/>
  <c r="X23" i="23"/>
  <c r="X84" i="23"/>
  <c r="G54" i="23"/>
  <c r="T54" i="23" s="1"/>
  <c r="T161" i="23" s="1"/>
  <c r="H42" i="23"/>
  <c r="W210" i="23"/>
  <c r="W143" i="23"/>
  <c r="E380" i="22"/>
  <c r="F378" i="22"/>
  <c r="E422" i="22"/>
  <c r="E424" i="22" s="1"/>
  <c r="G251" i="23"/>
  <c r="V186" i="23"/>
  <c r="V253" i="23"/>
  <c r="G211" i="23"/>
  <c r="U253" i="23"/>
  <c r="V161" i="23"/>
  <c r="V228" i="23"/>
  <c r="V226" i="23"/>
  <c r="U226" i="23"/>
  <c r="G120" i="23"/>
  <c r="T120" i="23" s="1"/>
  <c r="G137" i="23"/>
  <c r="G199" i="23" s="1"/>
  <c r="G81" i="23"/>
  <c r="G43" i="23"/>
  <c r="G48" i="23"/>
  <c r="G159" i="23" s="1"/>
  <c r="G157" i="23"/>
  <c r="G82" i="23"/>
  <c r="G129" i="23" s="1"/>
  <c r="G148" i="23" s="1"/>
  <c r="G45" i="23"/>
  <c r="G224" i="23"/>
  <c r="G25" i="23"/>
  <c r="G84" i="23"/>
  <c r="G23" i="23"/>
  <c r="Y265" i="23" l="1"/>
  <c r="Y268" i="23"/>
  <c r="Y264" i="23"/>
  <c r="Y267" i="23"/>
  <c r="X265" i="23"/>
  <c r="X268" i="23"/>
  <c r="X267" i="23"/>
  <c r="X264" i="23"/>
  <c r="X273" i="23"/>
  <c r="X272" i="23"/>
  <c r="H225" i="23"/>
  <c r="G262" i="23"/>
  <c r="Y273" i="23"/>
  <c r="Y272" i="23"/>
  <c r="G275" i="23"/>
  <c r="G58" i="23"/>
  <c r="G62" i="23" s="1"/>
  <c r="T58" i="23"/>
  <c r="T165" i="23" s="1"/>
  <c r="T228" i="23"/>
  <c r="G228" i="23"/>
  <c r="G161" i="23"/>
  <c r="G126" i="23"/>
  <c r="G188" i="23" s="1"/>
  <c r="G134" i="23"/>
  <c r="G196" i="23" s="1"/>
  <c r="G135" i="23"/>
  <c r="G197" i="23" s="1"/>
  <c r="V165" i="23"/>
  <c r="V232" i="23"/>
  <c r="G253" i="23"/>
  <c r="G186" i="23"/>
  <c r="G191" i="23"/>
  <c r="G142" i="23"/>
  <c r="G127" i="23"/>
  <c r="G189" i="23" s="1"/>
  <c r="G130" i="23"/>
  <c r="G226" i="23"/>
  <c r="G132" i="23"/>
  <c r="G194" i="23" s="1"/>
  <c r="G270" i="23" l="1"/>
  <c r="G267" i="23"/>
  <c r="G264" i="23"/>
  <c r="G268" i="23"/>
  <c r="G265" i="23"/>
  <c r="T62" i="23"/>
  <c r="T232" i="23"/>
  <c r="G272" i="23"/>
  <c r="G273" i="23"/>
  <c r="G232" i="23"/>
  <c r="G165" i="23"/>
  <c r="G68" i="23"/>
  <c r="G86" i="23"/>
  <c r="G169" i="23"/>
  <c r="G236" i="23"/>
  <c r="V169" i="23"/>
  <c r="V236" i="23"/>
  <c r="G192" i="23"/>
  <c r="G147" i="23"/>
  <c r="G143" i="23"/>
  <c r="P107" i="23"/>
  <c r="P256" i="23" s="1"/>
  <c r="S218" i="23"/>
  <c r="S207" i="23"/>
  <c r="V204" i="23"/>
  <c r="S154" i="23"/>
  <c r="W155" i="23" s="1"/>
  <c r="S151" i="23"/>
  <c r="S140" i="23"/>
  <c r="S124" i="23"/>
  <c r="S113" i="23"/>
  <c r="S112" i="23"/>
  <c r="S104" i="23"/>
  <c r="S94" i="23"/>
  <c r="S88" i="23"/>
  <c r="S78" i="23"/>
  <c r="S53" i="23"/>
  <c r="S38" i="23"/>
  <c r="S35" i="23"/>
  <c r="S28" i="23"/>
  <c r="S10" i="23"/>
  <c r="S8" i="23"/>
  <c r="W86" i="23" l="1"/>
  <c r="T68" i="23"/>
  <c r="T86" i="23"/>
  <c r="V86" i="23"/>
  <c r="U86" i="23"/>
  <c r="T236" i="23"/>
  <c r="T169" i="23"/>
  <c r="G69" i="23"/>
  <c r="J400" i="22"/>
  <c r="T204" i="23"/>
  <c r="G175" i="23"/>
  <c r="G242" i="23"/>
  <c r="V175" i="23"/>
  <c r="V242" i="23"/>
  <c r="S114" i="23"/>
  <c r="S181" i="23"/>
  <c r="G210" i="23"/>
  <c r="G214" i="23"/>
  <c r="G215" i="23"/>
  <c r="S145" i="23"/>
  <c r="S212" i="23" s="1"/>
  <c r="S248" i="23"/>
  <c r="S14" i="23"/>
  <c r="S11" i="23"/>
  <c r="S36" i="23"/>
  <c r="S221" i="23"/>
  <c r="W222" i="23" s="1"/>
  <c r="T242" i="23" l="1"/>
  <c r="T175" i="23"/>
  <c r="G76" i="23"/>
  <c r="T69" i="23"/>
  <c r="S20" i="23"/>
  <c r="S22" i="23" s="1"/>
  <c r="G72" i="23"/>
  <c r="G178" i="23" s="1"/>
  <c r="S247" i="23"/>
  <c r="S118" i="23"/>
  <c r="S184" i="23" s="1"/>
  <c r="G176" i="23"/>
  <c r="G243" i="23"/>
  <c r="V176" i="23"/>
  <c r="V243" i="23"/>
  <c r="S144" i="23"/>
  <c r="S211" i="23" s="1"/>
  <c r="S122" i="23"/>
  <c r="S180" i="23"/>
  <c r="S39" i="23"/>
  <c r="S41" i="23" s="1"/>
  <c r="W42" i="23" s="1"/>
  <c r="S251" i="23" l="1"/>
  <c r="G245" i="23"/>
  <c r="T72" i="23"/>
  <c r="T243" i="23"/>
  <c r="T176" i="23"/>
  <c r="T50" i="23"/>
  <c r="S137" i="23"/>
  <c r="S199" i="23" s="1"/>
  <c r="V178" i="23"/>
  <c r="V245" i="23"/>
  <c r="S120" i="23"/>
  <c r="S253" i="23" s="1"/>
  <c r="S146" i="23"/>
  <c r="S213" i="23" s="1"/>
  <c r="T36" i="23"/>
  <c r="S33" i="23"/>
  <c r="S43" i="23"/>
  <c r="S23" i="23"/>
  <c r="S25" i="23"/>
  <c r="S275" i="23" l="1"/>
  <c r="K176" i="23"/>
  <c r="K243" i="23"/>
  <c r="T245" i="23"/>
  <c r="T178" i="23"/>
  <c r="S186" i="23"/>
  <c r="S224" i="23"/>
  <c r="S45" i="23"/>
  <c r="S48" i="23"/>
  <c r="S159" i="23" s="1"/>
  <c r="S157" i="23"/>
  <c r="R248" i="23"/>
  <c r="R218" i="23"/>
  <c r="R207" i="23"/>
  <c r="U204" i="23"/>
  <c r="R181" i="23"/>
  <c r="R154" i="23"/>
  <c r="V155" i="23" s="1"/>
  <c r="R151" i="23"/>
  <c r="R140" i="23"/>
  <c r="R124" i="23"/>
  <c r="R145" i="23"/>
  <c r="R212" i="23" s="1"/>
  <c r="R113" i="23"/>
  <c r="R112" i="23"/>
  <c r="R109" i="23"/>
  <c r="R104" i="23"/>
  <c r="R94" i="23"/>
  <c r="R88" i="23"/>
  <c r="R78" i="23"/>
  <c r="R53" i="23"/>
  <c r="R51" i="23"/>
  <c r="R50" i="23"/>
  <c r="R38" i="23"/>
  <c r="R36" i="23"/>
  <c r="R35" i="23"/>
  <c r="R28" i="23"/>
  <c r="R10" i="23"/>
  <c r="R11" i="23" s="1"/>
  <c r="R8" i="23"/>
  <c r="W225" i="23" l="1"/>
  <c r="S226" i="23"/>
  <c r="R114" i="23"/>
  <c r="R221" i="23"/>
  <c r="V222" i="23" s="1"/>
  <c r="R14" i="23"/>
  <c r="R118" i="23" l="1"/>
  <c r="R20" i="23"/>
  <c r="R22" i="23" s="1"/>
  <c r="R122" i="23"/>
  <c r="R247" i="23"/>
  <c r="R137" i="23"/>
  <c r="R199" i="23" s="1"/>
  <c r="R180" i="23"/>
  <c r="R144" i="23"/>
  <c r="R146" i="23" s="1"/>
  <c r="R213" i="23" s="1"/>
  <c r="R39" i="23"/>
  <c r="R41" i="23" s="1"/>
  <c r="Q248" i="23"/>
  <c r="T40" i="23"/>
  <c r="Q218" i="23"/>
  <c r="Q207" i="23"/>
  <c r="Q154" i="23"/>
  <c r="U155" i="23" s="1"/>
  <c r="Q151" i="23"/>
  <c r="Q140" i="23"/>
  <c r="Q124" i="23"/>
  <c r="Q113" i="23"/>
  <c r="Q112" i="23"/>
  <c r="Q109" i="23"/>
  <c r="Q104" i="23"/>
  <c r="Q94" i="23"/>
  <c r="Q88" i="23"/>
  <c r="Q78" i="23"/>
  <c r="Q53" i="23"/>
  <c r="Q38" i="23"/>
  <c r="Q36" i="23"/>
  <c r="Q35" i="23"/>
  <c r="Q28" i="23"/>
  <c r="Q10" i="23"/>
  <c r="Q11" i="23" s="1"/>
  <c r="Q8" i="23"/>
  <c r="F248" i="23"/>
  <c r="F173" i="23"/>
  <c r="F171" i="23"/>
  <c r="F35" i="23"/>
  <c r="P218" i="23"/>
  <c r="P207" i="23"/>
  <c r="P151" i="23"/>
  <c r="P140" i="23"/>
  <c r="P124" i="23"/>
  <c r="P121" i="23"/>
  <c r="P260" i="23" s="1"/>
  <c r="P108" i="23"/>
  <c r="P257" i="23" s="1"/>
  <c r="P258" i="23" s="1"/>
  <c r="P103" i="23"/>
  <c r="P102" i="23"/>
  <c r="P93" i="23"/>
  <c r="P92" i="23"/>
  <c r="P91" i="23"/>
  <c r="P90" i="23"/>
  <c r="P88" i="23"/>
  <c r="P78" i="23"/>
  <c r="P53" i="23"/>
  <c r="P38" i="23"/>
  <c r="P24" i="23"/>
  <c r="P21" i="23"/>
  <c r="P15" i="23"/>
  <c r="P16" i="23"/>
  <c r="P13" i="23"/>
  <c r="P9" i="23"/>
  <c r="P7" i="23"/>
  <c r="F218" i="23"/>
  <c r="F207" i="23"/>
  <c r="F239" i="23"/>
  <c r="F177" i="23"/>
  <c r="F172" i="23"/>
  <c r="F168" i="23"/>
  <c r="F167" i="23"/>
  <c r="F164" i="23"/>
  <c r="F163" i="23"/>
  <c r="F154" i="23"/>
  <c r="G155" i="23" s="1"/>
  <c r="F151" i="23"/>
  <c r="F140" i="23"/>
  <c r="F124" i="23"/>
  <c r="F113" i="23"/>
  <c r="P113" i="23" s="1"/>
  <c r="F112" i="23"/>
  <c r="P112" i="23" s="1"/>
  <c r="F109" i="23"/>
  <c r="F104" i="23"/>
  <c r="F29" i="23" s="1"/>
  <c r="F94" i="23"/>
  <c r="F88" i="23"/>
  <c r="F79" i="23"/>
  <c r="F141" i="23" s="1"/>
  <c r="F78" i="23"/>
  <c r="F53" i="23"/>
  <c r="F38" i="23"/>
  <c r="F28" i="23"/>
  <c r="F10" i="23"/>
  <c r="F11" i="23" s="1"/>
  <c r="F8" i="23"/>
  <c r="O10" i="23"/>
  <c r="N10" i="23"/>
  <c r="M10" i="23"/>
  <c r="M11" i="23" s="1"/>
  <c r="E10" i="23"/>
  <c r="D10" i="23"/>
  <c r="C10" i="23"/>
  <c r="C11" i="23" s="1"/>
  <c r="E8" i="23"/>
  <c r="D8" i="23"/>
  <c r="Q29" i="23" l="1" a="1"/>
  <c r="Q29" i="23" s="1"/>
  <c r="S29" i="23" a="1"/>
  <c r="S29" i="23" s="1"/>
  <c r="R29" i="23" a="1"/>
  <c r="R29" i="23" s="1"/>
  <c r="S30" i="23"/>
  <c r="R30" i="23"/>
  <c r="Q30" i="23"/>
  <c r="R251" i="23"/>
  <c r="R79" i="23"/>
  <c r="S79" i="23"/>
  <c r="Q79" i="23"/>
  <c r="Q141" i="23" s="1"/>
  <c r="P11" i="26"/>
  <c r="P53" i="26"/>
  <c r="P30" i="26"/>
  <c r="P98" i="23"/>
  <c r="R33" i="23"/>
  <c r="P99" i="23"/>
  <c r="P97" i="23"/>
  <c r="R45" i="23"/>
  <c r="V42" i="23"/>
  <c r="F145" i="23"/>
  <c r="F212" i="23" s="1"/>
  <c r="T14" i="23"/>
  <c r="W80" i="23" s="1"/>
  <c r="K28" i="23"/>
  <c r="T8" i="23"/>
  <c r="K181" i="23"/>
  <c r="K145" i="23"/>
  <c r="K212" i="23" s="1"/>
  <c r="K248" i="23"/>
  <c r="T248" i="23"/>
  <c r="T145" i="23"/>
  <c r="T212" i="23" s="1"/>
  <c r="T181" i="23"/>
  <c r="S204" i="23"/>
  <c r="R184" i="23"/>
  <c r="R211" i="23"/>
  <c r="R120" i="23"/>
  <c r="R186" i="23" s="1"/>
  <c r="F95" i="23"/>
  <c r="R43" i="23"/>
  <c r="R25" i="23"/>
  <c r="R23" i="23"/>
  <c r="Q221" i="23"/>
  <c r="U222" i="23" s="1"/>
  <c r="Q114" i="23"/>
  <c r="Q14" i="23"/>
  <c r="Q145" i="23"/>
  <c r="Q212" i="23" s="1"/>
  <c r="Q181" i="23"/>
  <c r="P115" i="23"/>
  <c r="P30" i="23" s="1"/>
  <c r="F181" i="23"/>
  <c r="P114" i="23"/>
  <c r="F204" i="23"/>
  <c r="P28" i="23"/>
  <c r="P104" i="23"/>
  <c r="P29" i="23" s="1" a="1"/>
  <c r="P29" i="23" s="1"/>
  <c r="P94" i="23"/>
  <c r="P221" i="23"/>
  <c r="P83" i="23"/>
  <c r="P109" i="23"/>
  <c r="P79" i="23"/>
  <c r="P141" i="23" s="1"/>
  <c r="P154" i="23"/>
  <c r="T155" i="23" s="1"/>
  <c r="P10" i="23"/>
  <c r="F114" i="23"/>
  <c r="F233" i="23"/>
  <c r="F166" i="23"/>
  <c r="F36" i="23"/>
  <c r="N14" i="23"/>
  <c r="F234" i="23"/>
  <c r="F244" i="23"/>
  <c r="F229" i="23"/>
  <c r="M14" i="23"/>
  <c r="M20" i="23" s="1"/>
  <c r="F14" i="23"/>
  <c r="F20" i="23" s="1"/>
  <c r="F162" i="23"/>
  <c r="F230" i="23"/>
  <c r="F238" i="23"/>
  <c r="F235" i="23"/>
  <c r="O14" i="23"/>
  <c r="D14" i="23"/>
  <c r="F50" i="23"/>
  <c r="F221" i="23"/>
  <c r="G222" i="23" s="1"/>
  <c r="F231" i="23"/>
  <c r="F51" i="23"/>
  <c r="F85" i="23"/>
  <c r="F240" i="23"/>
  <c r="C14" i="23"/>
  <c r="E14" i="23"/>
  <c r="D11" i="23"/>
  <c r="N11" i="23"/>
  <c r="E11" i="23"/>
  <c r="O11" i="23"/>
  <c r="P180" i="23" l="1"/>
  <c r="Q118" i="23"/>
  <c r="R275" i="23"/>
  <c r="AB208" i="23"/>
  <c r="AB209" i="23"/>
  <c r="O20" i="23"/>
  <c r="O22" i="23" s="1"/>
  <c r="T20" i="23"/>
  <c r="T22" i="23" s="1"/>
  <c r="W84" i="23" s="1"/>
  <c r="V80" i="23"/>
  <c r="U80" i="23"/>
  <c r="Q20" i="23"/>
  <c r="Q33" i="23" s="1"/>
  <c r="T80" i="23"/>
  <c r="F122" i="23"/>
  <c r="F118" i="23"/>
  <c r="F120" i="23" s="1"/>
  <c r="P120" i="23" s="1"/>
  <c r="P248" i="23"/>
  <c r="P118" i="23"/>
  <c r="P184" i="23" s="1"/>
  <c r="C20" i="23"/>
  <c r="C22" i="23" s="1"/>
  <c r="N20" i="23"/>
  <c r="N22" i="23" s="1"/>
  <c r="D20" i="23"/>
  <c r="D22" i="23" s="1"/>
  <c r="E20" i="23"/>
  <c r="E22" i="23" s="1"/>
  <c r="R48" i="23"/>
  <c r="R159" i="23" s="1"/>
  <c r="R224" i="23"/>
  <c r="R157" i="23"/>
  <c r="V47" i="23"/>
  <c r="V158" i="23" s="1"/>
  <c r="T39" i="23"/>
  <c r="T222" i="23"/>
  <c r="K221" i="23"/>
  <c r="K35" i="23"/>
  <c r="K50" i="23"/>
  <c r="K36" i="23"/>
  <c r="K10" i="23"/>
  <c r="K51" i="23"/>
  <c r="K154" i="23"/>
  <c r="Q95" i="23"/>
  <c r="S141" i="23"/>
  <c r="S95" i="23"/>
  <c r="R253" i="23"/>
  <c r="Q122" i="23"/>
  <c r="R95" i="23"/>
  <c r="R141" i="23"/>
  <c r="P181" i="23"/>
  <c r="P145" i="23"/>
  <c r="P212" i="23" s="1"/>
  <c r="Q247" i="23"/>
  <c r="Q144" i="23"/>
  <c r="Q211" i="23" s="1"/>
  <c r="Q180" i="23"/>
  <c r="Q39" i="23"/>
  <c r="Q41" i="23" s="1"/>
  <c r="P122" i="23"/>
  <c r="P144" i="23"/>
  <c r="P247" i="23"/>
  <c r="P14" i="23"/>
  <c r="Q80" i="23" s="1"/>
  <c r="P11" i="23"/>
  <c r="F241" i="23"/>
  <c r="P51" i="23"/>
  <c r="P35" i="23"/>
  <c r="M22" i="23"/>
  <c r="P95" i="23"/>
  <c r="F180" i="23"/>
  <c r="F247" i="23"/>
  <c r="F144" i="23"/>
  <c r="F174" i="23"/>
  <c r="F80" i="23"/>
  <c r="F39" i="23"/>
  <c r="F41" i="23" s="1"/>
  <c r="G42" i="23" s="1"/>
  <c r="F170" i="23"/>
  <c r="F237" i="23"/>
  <c r="Q120" i="23" l="1"/>
  <c r="Q184" i="23"/>
  <c r="Q137" i="23"/>
  <c r="Q199" i="23" s="1"/>
  <c r="P251" i="23"/>
  <c r="V225" i="23"/>
  <c r="Q251" i="23"/>
  <c r="F251" i="23"/>
  <c r="AB210" i="23"/>
  <c r="U42" i="23"/>
  <c r="O25" i="23"/>
  <c r="P20" i="23"/>
  <c r="S80" i="23"/>
  <c r="R80" i="23"/>
  <c r="V84" i="23"/>
  <c r="U84" i="23"/>
  <c r="C23" i="23"/>
  <c r="C25" i="23"/>
  <c r="N25" i="23"/>
  <c r="N23" i="23"/>
  <c r="D23" i="23"/>
  <c r="D25" i="23"/>
  <c r="E23" i="23"/>
  <c r="E25" i="23"/>
  <c r="Q22" i="23"/>
  <c r="T84" i="23" s="1"/>
  <c r="R226" i="23"/>
  <c r="P137" i="23"/>
  <c r="P199" i="23" s="1"/>
  <c r="T33" i="23"/>
  <c r="K14" i="23"/>
  <c r="K39" i="23" s="1"/>
  <c r="K11" i="23"/>
  <c r="K141" i="23"/>
  <c r="T25" i="23"/>
  <c r="T23" i="23"/>
  <c r="Q43" i="23"/>
  <c r="P80" i="23"/>
  <c r="Q146" i="23"/>
  <c r="Q213" i="23" s="1"/>
  <c r="P146" i="23"/>
  <c r="P213" i="23" s="1"/>
  <c r="O23" i="23"/>
  <c r="U47" i="23"/>
  <c r="U158" i="23" s="1"/>
  <c r="P211" i="23"/>
  <c r="P253" i="23"/>
  <c r="P186" i="23"/>
  <c r="F184" i="23"/>
  <c r="M25" i="23"/>
  <c r="M23" i="23"/>
  <c r="P39" i="23"/>
  <c r="F211" i="23"/>
  <c r="F146" i="23"/>
  <c r="F213" i="23" s="1"/>
  <c r="F137" i="23"/>
  <c r="F199" i="23" s="1"/>
  <c r="F253" i="23"/>
  <c r="F186" i="23"/>
  <c r="G47" i="23"/>
  <c r="G158" i="23" s="1"/>
  <c r="F81" i="23"/>
  <c r="F43" i="23"/>
  <c r="F22" i="23"/>
  <c r="F33" i="23"/>
  <c r="Q186" i="23" l="1"/>
  <c r="Q253" i="23"/>
  <c r="Q275" i="23"/>
  <c r="F275" i="23"/>
  <c r="P275" i="23"/>
  <c r="K20" i="23"/>
  <c r="K80" i="23"/>
  <c r="Q23" i="23"/>
  <c r="Q25" i="23"/>
  <c r="K41" i="23"/>
  <c r="K81" i="23" s="1"/>
  <c r="Q48" i="23"/>
  <c r="Q159" i="23" s="1"/>
  <c r="Q45" i="23"/>
  <c r="Q224" i="23"/>
  <c r="Q157" i="23"/>
  <c r="P22" i="23"/>
  <c r="P33" i="23"/>
  <c r="F224" i="23"/>
  <c r="F45" i="23"/>
  <c r="F48" i="23"/>
  <c r="F159" i="23" s="1"/>
  <c r="F82" i="23"/>
  <c r="F157" i="23"/>
  <c r="F54" i="23"/>
  <c r="P54" i="23" s="1"/>
  <c r="F23" i="23"/>
  <c r="F84" i="23"/>
  <c r="F25" i="23"/>
  <c r="G225" i="23" l="1"/>
  <c r="F262" i="23"/>
  <c r="F270" i="23" s="1"/>
  <c r="S84" i="23"/>
  <c r="Q84" i="23"/>
  <c r="R84" i="23"/>
  <c r="P228" i="23"/>
  <c r="P161" i="23"/>
  <c r="P58" i="23"/>
  <c r="Q226" i="23"/>
  <c r="U225" i="23"/>
  <c r="K22" i="23"/>
  <c r="K33" i="23"/>
  <c r="F126" i="23"/>
  <c r="F188" i="23" s="1"/>
  <c r="F129" i="23"/>
  <c r="P25" i="23"/>
  <c r="P23" i="23"/>
  <c r="P84" i="23"/>
  <c r="F161" i="23"/>
  <c r="F228" i="23"/>
  <c r="F58" i="23"/>
  <c r="F142" i="23"/>
  <c r="F134" i="23"/>
  <c r="F196" i="23" s="1"/>
  <c r="F135" i="23"/>
  <c r="F197" i="23" s="1"/>
  <c r="F127" i="23"/>
  <c r="F189" i="23" s="1"/>
  <c r="F130" i="23"/>
  <c r="F132" i="23"/>
  <c r="F194" i="23" s="1"/>
  <c r="F226" i="23"/>
  <c r="F265" i="23" l="1"/>
  <c r="F268" i="23"/>
  <c r="F267" i="23"/>
  <c r="F264" i="23"/>
  <c r="K84" i="23"/>
  <c r="K25" i="23"/>
  <c r="F273" i="23"/>
  <c r="F272" i="23"/>
  <c r="P62" i="23"/>
  <c r="P232" i="23"/>
  <c r="P165" i="23"/>
  <c r="K23" i="23"/>
  <c r="T41" i="23"/>
  <c r="X42" i="23" s="1"/>
  <c r="F148" i="23"/>
  <c r="F191" i="23"/>
  <c r="P40" i="23"/>
  <c r="F192" i="23"/>
  <c r="F147" i="23"/>
  <c r="F143" i="23"/>
  <c r="F165" i="23"/>
  <c r="F232" i="23"/>
  <c r="F62" i="23"/>
  <c r="W81" i="23" l="1"/>
  <c r="T45" i="23"/>
  <c r="V81" i="23"/>
  <c r="U81" i="23"/>
  <c r="T81" i="23"/>
  <c r="P68" i="23"/>
  <c r="P236" i="23"/>
  <c r="P169" i="23"/>
  <c r="S86" i="23"/>
  <c r="Q86" i="23"/>
  <c r="R86" i="23"/>
  <c r="T43" i="23"/>
  <c r="K43" i="23"/>
  <c r="T224" i="23"/>
  <c r="T48" i="23"/>
  <c r="T159" i="23" s="1"/>
  <c r="T157" i="23"/>
  <c r="P41" i="23"/>
  <c r="S81" i="23" s="1"/>
  <c r="F210" i="23"/>
  <c r="F214" i="23"/>
  <c r="F215" i="23"/>
  <c r="F86" i="23"/>
  <c r="F68" i="23"/>
  <c r="F169" i="23"/>
  <c r="F236" i="23"/>
  <c r="X225" i="23" l="1"/>
  <c r="W262" i="23"/>
  <c r="W270" i="23" s="1"/>
  <c r="V262" i="23"/>
  <c r="V270" i="23" s="1"/>
  <c r="U262" i="23"/>
  <c r="U270" i="23" s="1"/>
  <c r="T262" i="23"/>
  <c r="P242" i="23"/>
  <c r="P175" i="23"/>
  <c r="K157" i="23"/>
  <c r="K82" i="23"/>
  <c r="K142" i="23" s="1"/>
  <c r="K54" i="23"/>
  <c r="F69" i="23"/>
  <c r="V129" i="23"/>
  <c r="V126" i="23"/>
  <c r="V188" i="23" s="1"/>
  <c r="U129" i="23"/>
  <c r="U126" i="23"/>
  <c r="U188" i="23" s="1"/>
  <c r="T42" i="23"/>
  <c r="P45" i="23"/>
  <c r="K224" i="23"/>
  <c r="K48" i="23"/>
  <c r="K159" i="23" s="1"/>
  <c r="K45" i="23"/>
  <c r="T47" i="23"/>
  <c r="T158" i="23" s="1"/>
  <c r="U127" i="23"/>
  <c r="U189" i="23" s="1"/>
  <c r="U142" i="23"/>
  <c r="U130" i="23"/>
  <c r="U132" i="23"/>
  <c r="U194" i="23" s="1"/>
  <c r="C425" i="22"/>
  <c r="V127" i="23"/>
  <c r="V189" i="23" s="1"/>
  <c r="V130" i="23"/>
  <c r="V132" i="23"/>
  <c r="V194" i="23" s="1"/>
  <c r="V142" i="23"/>
  <c r="T226" i="23"/>
  <c r="T142" i="23"/>
  <c r="P43" i="23"/>
  <c r="F175" i="23"/>
  <c r="F242" i="23"/>
  <c r="W265" i="23" l="1"/>
  <c r="W268" i="23"/>
  <c r="W264" i="23"/>
  <c r="W267" i="23"/>
  <c r="V268" i="23"/>
  <c r="V265" i="23"/>
  <c r="V264" i="23"/>
  <c r="V267" i="23"/>
  <c r="U268" i="23"/>
  <c r="U265" i="23"/>
  <c r="U267" i="23"/>
  <c r="U264" i="23"/>
  <c r="U272" i="23"/>
  <c r="U273" i="23"/>
  <c r="T272" i="23"/>
  <c r="T273" i="23"/>
  <c r="V273" i="23"/>
  <c r="V272" i="23"/>
  <c r="W273" i="23"/>
  <c r="W272" i="23"/>
  <c r="K226" i="23"/>
  <c r="K262" i="23"/>
  <c r="K161" i="23"/>
  <c r="K58" i="23"/>
  <c r="K228" i="23"/>
  <c r="F76" i="23"/>
  <c r="P69" i="23"/>
  <c r="F72" i="23"/>
  <c r="K134" i="23"/>
  <c r="K196" i="23" s="1"/>
  <c r="K135" i="23"/>
  <c r="K197" i="23" s="1"/>
  <c r="U148" i="23"/>
  <c r="U191" i="23"/>
  <c r="V191" i="23"/>
  <c r="V148" i="23"/>
  <c r="P224" i="23"/>
  <c r="P48" i="23"/>
  <c r="P159" i="23" s="1"/>
  <c r="V192" i="23"/>
  <c r="V147" i="23"/>
  <c r="U143" i="23"/>
  <c r="D418" i="22"/>
  <c r="E425" i="22"/>
  <c r="D422" i="22"/>
  <c r="P157" i="23"/>
  <c r="V143" i="23"/>
  <c r="U192" i="23"/>
  <c r="U147" i="23"/>
  <c r="K210" i="23"/>
  <c r="K143" i="23"/>
  <c r="T143" i="23"/>
  <c r="F243" i="23"/>
  <c r="F176" i="23"/>
  <c r="T225" i="23" l="1"/>
  <c r="S262" i="23"/>
  <c r="S270" i="23" s="1"/>
  <c r="K272" i="23"/>
  <c r="K273" i="23"/>
  <c r="P72" i="23"/>
  <c r="P243" i="23"/>
  <c r="P176" i="23"/>
  <c r="K62" i="23"/>
  <c r="K165" i="23"/>
  <c r="K232" i="23"/>
  <c r="S127" i="23"/>
  <c r="S189" i="23" s="1"/>
  <c r="S129" i="23"/>
  <c r="S126" i="23"/>
  <c r="S188" i="23" s="1"/>
  <c r="P226" i="23"/>
  <c r="S130" i="23"/>
  <c r="S192" i="23" s="1"/>
  <c r="S142" i="23"/>
  <c r="S143" i="23" s="1"/>
  <c r="S132" i="23"/>
  <c r="S194" i="23" s="1"/>
  <c r="V215" i="23"/>
  <c r="V210" i="23"/>
  <c r="V214" i="23"/>
  <c r="U210" i="23"/>
  <c r="U215" i="23"/>
  <c r="U214" i="23"/>
  <c r="F418" i="22"/>
  <c r="F422" i="22"/>
  <c r="F178" i="23"/>
  <c r="F245" i="23"/>
  <c r="S268" i="23" l="1"/>
  <c r="S265" i="23"/>
  <c r="S267" i="23"/>
  <c r="S264" i="23"/>
  <c r="S272" i="23"/>
  <c r="S273" i="23"/>
  <c r="K68" i="23"/>
  <c r="K72" i="23" s="1"/>
  <c r="K86" i="23"/>
  <c r="K169" i="23"/>
  <c r="K236" i="23"/>
  <c r="P245" i="23"/>
  <c r="P178" i="23"/>
  <c r="P73" i="23"/>
  <c r="S214" i="23"/>
  <c r="S148" i="23"/>
  <c r="S191" i="23"/>
  <c r="S147" i="23"/>
  <c r="Q73" i="23" l="1"/>
  <c r="P75" i="23"/>
  <c r="K175" i="23"/>
  <c r="K242" i="23"/>
  <c r="S210" i="23"/>
  <c r="S215" i="23"/>
  <c r="P50" i="23"/>
  <c r="P36" i="23"/>
  <c r="P85" i="23"/>
  <c r="K178" i="23" l="1"/>
  <c r="K245" i="23"/>
  <c r="R73" i="23"/>
  <c r="Q75" i="23"/>
  <c r="Q204" i="23"/>
  <c r="R204" i="23"/>
  <c r="P204" i="23"/>
  <c r="S73" i="23" l="1"/>
  <c r="R75" i="23"/>
  <c r="O248" i="23"/>
  <c r="N248" i="23"/>
  <c r="M248" i="23"/>
  <c r="E248" i="23"/>
  <c r="D248" i="23"/>
  <c r="C248" i="23"/>
  <c r="O145" i="23"/>
  <c r="N145" i="23"/>
  <c r="M145" i="23"/>
  <c r="E145" i="23"/>
  <c r="D145" i="23"/>
  <c r="C145" i="23"/>
  <c r="T73" i="23" l="1"/>
  <c r="S75" i="23"/>
  <c r="O113" i="23"/>
  <c r="N113" i="23"/>
  <c r="D113" i="23"/>
  <c r="C113" i="23"/>
  <c r="O112" i="23"/>
  <c r="N112" i="23"/>
  <c r="M112" i="23"/>
  <c r="E112" i="23"/>
  <c r="C112" i="23"/>
  <c r="O109" i="23"/>
  <c r="N109" i="23"/>
  <c r="M109" i="23"/>
  <c r="E109" i="23"/>
  <c r="C109" i="23"/>
  <c r="D112" i="23"/>
  <c r="O104" i="23"/>
  <c r="E104" i="23"/>
  <c r="E29" i="23" s="1"/>
  <c r="C104" i="23"/>
  <c r="C29" i="23" s="1"/>
  <c r="N104" i="23"/>
  <c r="M104" i="23"/>
  <c r="E113" i="23"/>
  <c r="D104" i="23"/>
  <c r="D29" i="23" s="1"/>
  <c r="O94" i="23"/>
  <c r="N94" i="23"/>
  <c r="M94" i="23"/>
  <c r="D94" i="23"/>
  <c r="C94" i="23"/>
  <c r="U73" i="23" l="1"/>
  <c r="T75" i="23"/>
  <c r="K180" i="23"/>
  <c r="T114" i="23"/>
  <c r="N114" i="23"/>
  <c r="D114" i="23"/>
  <c r="C114" i="23"/>
  <c r="O114" i="23"/>
  <c r="E114" i="23"/>
  <c r="M113" i="23"/>
  <c r="D109" i="23"/>
  <c r="E94" i="23"/>
  <c r="C118" i="23" l="1"/>
  <c r="D118" i="23"/>
  <c r="D120" i="23" s="1"/>
  <c r="E118" i="23"/>
  <c r="E120" i="23" s="1"/>
  <c r="M114" i="23"/>
  <c r="M118" i="23" s="1"/>
  <c r="M120" i="23" s="1"/>
  <c r="AB114" i="23"/>
  <c r="V73" i="23"/>
  <c r="U75" i="23"/>
  <c r="N118" i="23"/>
  <c r="N120" i="23" s="1"/>
  <c r="T118" i="23"/>
  <c r="O118" i="23"/>
  <c r="O120" i="23" s="1"/>
  <c r="K130" i="23"/>
  <c r="K147" i="23" s="1"/>
  <c r="K247" i="23"/>
  <c r="K184" i="23"/>
  <c r="K127" i="23"/>
  <c r="K189" i="23" s="1"/>
  <c r="K144" i="23"/>
  <c r="K146" i="23" s="1"/>
  <c r="K213" i="23" s="1"/>
  <c r="K215" i="23" s="1"/>
  <c r="K129" i="23"/>
  <c r="T180" i="23"/>
  <c r="T122" i="23"/>
  <c r="T247" i="23"/>
  <c r="T144" i="23"/>
  <c r="T127" i="23"/>
  <c r="T189" i="23" s="1"/>
  <c r="T130" i="23"/>
  <c r="N122" i="23"/>
  <c r="O122" i="23"/>
  <c r="C122" i="23"/>
  <c r="D122" i="23"/>
  <c r="E122" i="23"/>
  <c r="C137" i="23" l="1"/>
  <c r="C120" i="23"/>
  <c r="K268" i="23"/>
  <c r="K265" i="23"/>
  <c r="T265" i="23"/>
  <c r="T268" i="23"/>
  <c r="C294" i="22"/>
  <c r="M122" i="23"/>
  <c r="T251" i="23"/>
  <c r="AB122" i="23"/>
  <c r="AB127" i="23"/>
  <c r="AB189" i="23" s="1"/>
  <c r="AB144" i="23"/>
  <c r="AB247" i="23"/>
  <c r="AB130" i="23"/>
  <c r="AB118" i="23"/>
  <c r="AB120" i="23" s="1"/>
  <c r="AB253" i="23" s="1"/>
  <c r="AB270" i="23" s="1"/>
  <c r="AB180" i="23"/>
  <c r="V75" i="23"/>
  <c r="W73" i="23"/>
  <c r="K251" i="23"/>
  <c r="K137" i="23"/>
  <c r="K199" i="23" s="1"/>
  <c r="K126" i="23"/>
  <c r="K188" i="23" s="1"/>
  <c r="K211" i="23"/>
  <c r="K214" i="23" s="1"/>
  <c r="K192" i="23"/>
  <c r="K148" i="23"/>
  <c r="K191" i="23"/>
  <c r="K253" i="23"/>
  <c r="K270" i="23" s="1"/>
  <c r="K186" i="23"/>
  <c r="K132" i="23"/>
  <c r="K194" i="23" s="1"/>
  <c r="T147" i="23"/>
  <c r="T192" i="23"/>
  <c r="T184" i="23"/>
  <c r="T126" i="23"/>
  <c r="T188" i="23" s="1"/>
  <c r="T129" i="23"/>
  <c r="T137" i="23"/>
  <c r="T199" i="23" s="1"/>
  <c r="T211" i="23"/>
  <c r="T146" i="23"/>
  <c r="T213" i="23" s="1"/>
  <c r="T253" i="23"/>
  <c r="T270" i="23" s="1"/>
  <c r="T186" i="23"/>
  <c r="T132" i="23"/>
  <c r="T194" i="23" s="1"/>
  <c r="O38" i="23"/>
  <c r="N38" i="23"/>
  <c r="M38" i="23"/>
  <c r="E38" i="23"/>
  <c r="D38" i="23"/>
  <c r="C38" i="23"/>
  <c r="B28" i="23"/>
  <c r="N35" i="23"/>
  <c r="E51" i="23"/>
  <c r="D35" i="23"/>
  <c r="T264" i="23" l="1"/>
  <c r="T267" i="23"/>
  <c r="AB265" i="23"/>
  <c r="AB268" i="23"/>
  <c r="K267" i="23"/>
  <c r="K264" i="23"/>
  <c r="AB132" i="23"/>
  <c r="AB194" i="23" s="1"/>
  <c r="AB186" i="23"/>
  <c r="T275" i="23"/>
  <c r="K275" i="23"/>
  <c r="AB147" i="23"/>
  <c r="AB192" i="23"/>
  <c r="AB251" i="23"/>
  <c r="AB211" i="23"/>
  <c r="AB214" i="23" s="1"/>
  <c r="AB146" i="23"/>
  <c r="AB213" i="23" s="1"/>
  <c r="AB215" i="23" s="1"/>
  <c r="AB126" i="23"/>
  <c r="AB188" i="23" s="1"/>
  <c r="AB137" i="23"/>
  <c r="AB199" i="23" s="1"/>
  <c r="AB184" i="23"/>
  <c r="AB129" i="23"/>
  <c r="W75" i="23"/>
  <c r="X73" i="23"/>
  <c r="T191" i="23"/>
  <c r="T148" i="23"/>
  <c r="O36" i="23"/>
  <c r="D28" i="23"/>
  <c r="O28" i="23"/>
  <c r="E28" i="23"/>
  <c r="E35" i="23"/>
  <c r="N28" i="23"/>
  <c r="O35" i="23"/>
  <c r="E36" i="23"/>
  <c r="C50" i="23"/>
  <c r="D50" i="23"/>
  <c r="N50" i="23"/>
  <c r="C28" i="23"/>
  <c r="M28" i="23"/>
  <c r="C36" i="23"/>
  <c r="M36" i="23"/>
  <c r="E50" i="23"/>
  <c r="D51" i="23"/>
  <c r="N51" i="23"/>
  <c r="D36" i="23"/>
  <c r="N36" i="23"/>
  <c r="C51" i="23"/>
  <c r="C35" i="23"/>
  <c r="M35" i="23"/>
  <c r="AB275" i="23" l="1"/>
  <c r="AB264" i="23"/>
  <c r="AB267" i="23"/>
  <c r="AB148" i="23"/>
  <c r="AB191" i="23"/>
  <c r="X75" i="23"/>
  <c r="Y73" i="23"/>
  <c r="O39" i="23"/>
  <c r="O41" i="23" s="1"/>
  <c r="R81" i="23" s="1"/>
  <c r="Y75" i="23" l="1"/>
  <c r="Z73" i="23"/>
  <c r="S42" i="23"/>
  <c r="O43" i="23"/>
  <c r="S47" i="23"/>
  <c r="S158" i="23" s="1"/>
  <c r="O33" i="23"/>
  <c r="E39" i="23"/>
  <c r="E41" i="23" s="1"/>
  <c r="C39" i="23"/>
  <c r="C41" i="23" s="1"/>
  <c r="C48" i="23" s="1"/>
  <c r="M39" i="23"/>
  <c r="M41" i="23" s="1"/>
  <c r="Q42" i="23" s="1"/>
  <c r="N39" i="23"/>
  <c r="N41" i="23" s="1"/>
  <c r="D39" i="23"/>
  <c r="D41" i="23" s="1"/>
  <c r="Z75" i="23" l="1"/>
  <c r="AA73" i="23"/>
  <c r="R42" i="23"/>
  <c r="Q81" i="23"/>
  <c r="O45" i="23"/>
  <c r="R47" i="23"/>
  <c r="R158" i="23" s="1"/>
  <c r="Q47" i="23"/>
  <c r="Q158" i="23" s="1"/>
  <c r="P81" i="23"/>
  <c r="E47" i="23"/>
  <c r="F42" i="23"/>
  <c r="N48" i="23"/>
  <c r="O48" i="23"/>
  <c r="D47" i="23"/>
  <c r="D48" i="23"/>
  <c r="E33" i="23"/>
  <c r="E43" i="23"/>
  <c r="M43" i="23"/>
  <c r="M33" i="23"/>
  <c r="D43" i="23"/>
  <c r="D42" i="23"/>
  <c r="D45" i="23"/>
  <c r="E42" i="23"/>
  <c r="D33" i="23"/>
  <c r="N33" i="23"/>
  <c r="N43" i="23"/>
  <c r="C45" i="23"/>
  <c r="C43" i="23"/>
  <c r="C33" i="23"/>
  <c r="AA75" i="23" l="1"/>
  <c r="AB73" i="23"/>
  <c r="R129" i="23"/>
  <c r="R126" i="23"/>
  <c r="R188" i="23" s="1"/>
  <c r="N45" i="23"/>
  <c r="M48" i="23"/>
  <c r="R127" i="23"/>
  <c r="R189" i="23" s="1"/>
  <c r="R132" i="23"/>
  <c r="R194" i="23" s="1"/>
  <c r="R142" i="23"/>
  <c r="R130" i="23"/>
  <c r="P82" i="23"/>
  <c r="E45" i="23"/>
  <c r="M45" i="23"/>
  <c r="E48" i="23"/>
  <c r="F47" i="23"/>
  <c r="F158" i="23" s="1"/>
  <c r="AC73" i="23" l="1"/>
  <c r="K73" i="23" s="1"/>
  <c r="K75" i="23" s="1"/>
  <c r="AC75" i="23"/>
  <c r="AD73" i="23"/>
  <c r="AB75" i="23"/>
  <c r="Q129" i="23"/>
  <c r="Q126" i="23"/>
  <c r="Q188" i="23" s="1"/>
  <c r="R148" i="23"/>
  <c r="R191" i="23"/>
  <c r="R143" i="23"/>
  <c r="R192" i="23"/>
  <c r="R147" i="23"/>
  <c r="Q127" i="23"/>
  <c r="Q189" i="23" s="1"/>
  <c r="Q142" i="23"/>
  <c r="Q132" i="23"/>
  <c r="Q194" i="23" s="1"/>
  <c r="Q130" i="23"/>
  <c r="P126" i="23"/>
  <c r="P188" i="23" s="1"/>
  <c r="P129" i="23"/>
  <c r="P135" i="23"/>
  <c r="P197" i="23" s="1"/>
  <c r="P132" i="23"/>
  <c r="P194" i="23" s="1"/>
  <c r="P127" i="23"/>
  <c r="P189" i="23" s="1"/>
  <c r="P142" i="23"/>
  <c r="P134" i="23"/>
  <c r="P196" i="23" s="1"/>
  <c r="P130" i="23"/>
  <c r="P192" i="23" s="1"/>
  <c r="AD75" i="23" l="1"/>
  <c r="AE73" i="23"/>
  <c r="Q148" i="23"/>
  <c r="Q191" i="23"/>
  <c r="R210" i="23"/>
  <c r="R214" i="23"/>
  <c r="R215" i="23"/>
  <c r="Q147" i="23"/>
  <c r="Q192" i="23"/>
  <c r="Q143" i="23"/>
  <c r="P148" i="23"/>
  <c r="P191" i="23"/>
  <c r="P147" i="23"/>
  <c r="P143" i="23"/>
  <c r="P210" i="23"/>
  <c r="P215" i="23"/>
  <c r="P214" i="23"/>
  <c r="AE75" i="23" l="1"/>
  <c r="AF73" i="23"/>
  <c r="P86" i="23"/>
  <c r="Q210" i="23"/>
  <c r="Q214" i="23"/>
  <c r="Q215" i="23"/>
  <c r="AF75" i="23" l="1"/>
  <c r="AG73" i="23"/>
  <c r="AG75" i="23" s="1"/>
  <c r="O204" i="23"/>
  <c r="X204" i="23" s="1"/>
  <c r="N204" i="23"/>
  <c r="M204" i="23"/>
  <c r="E204" i="23"/>
  <c r="D204" i="23"/>
  <c r="C204" i="23"/>
  <c r="E80" i="23" l="1"/>
  <c r="C80" i="23"/>
  <c r="D80" i="23"/>
  <c r="X210" i="23" l="1"/>
  <c r="X215" i="23"/>
  <c r="X214" i="23"/>
  <c r="C53" i="23"/>
  <c r="D53" i="23"/>
  <c r="E53" i="23"/>
  <c r="M53" i="23"/>
  <c r="N53" i="23"/>
  <c r="O53" i="23"/>
  <c r="D173" i="23"/>
  <c r="D241" i="23"/>
  <c r="C78" i="23"/>
  <c r="D78" i="23"/>
  <c r="E78" i="23"/>
  <c r="M78" i="23"/>
  <c r="N78" i="23"/>
  <c r="O78" i="23"/>
  <c r="B79" i="23"/>
  <c r="C79" i="23"/>
  <c r="E79" i="23"/>
  <c r="C83" i="23"/>
  <c r="D83" i="23"/>
  <c r="E83" i="23"/>
  <c r="C88" i="23"/>
  <c r="D88" i="23"/>
  <c r="E88" i="23"/>
  <c r="M88" i="23"/>
  <c r="N88" i="23"/>
  <c r="O88" i="23"/>
  <c r="C124" i="23"/>
  <c r="D124" i="23"/>
  <c r="E124" i="23"/>
  <c r="M124" i="23"/>
  <c r="N124" i="23"/>
  <c r="O124" i="23"/>
  <c r="C140" i="23"/>
  <c r="D140" i="23"/>
  <c r="E140" i="23"/>
  <c r="M140" i="23"/>
  <c r="N140" i="23"/>
  <c r="O140" i="23"/>
  <c r="C212" i="23"/>
  <c r="E212" i="23"/>
  <c r="M212" i="23"/>
  <c r="N212" i="23"/>
  <c r="O212" i="23"/>
  <c r="C151" i="23"/>
  <c r="D151" i="23"/>
  <c r="E151" i="23"/>
  <c r="M151" i="23"/>
  <c r="N151" i="23"/>
  <c r="O151" i="23"/>
  <c r="B154" i="23"/>
  <c r="C154" i="23"/>
  <c r="E154" i="23"/>
  <c r="F155" i="23" s="1"/>
  <c r="M154" i="23"/>
  <c r="Q155" i="23" s="1"/>
  <c r="O154" i="23"/>
  <c r="S155" i="23" s="1"/>
  <c r="B157" i="23"/>
  <c r="B158" i="23"/>
  <c r="B159" i="23"/>
  <c r="B161" i="23"/>
  <c r="B162" i="23"/>
  <c r="B163" i="23"/>
  <c r="C163" i="23"/>
  <c r="D163" i="23"/>
  <c r="E163" i="23"/>
  <c r="B164" i="23"/>
  <c r="C164" i="23"/>
  <c r="D164" i="23"/>
  <c r="E164" i="23"/>
  <c r="B165" i="23"/>
  <c r="B166" i="23"/>
  <c r="C166" i="23"/>
  <c r="B167" i="23"/>
  <c r="C167" i="23"/>
  <c r="D167" i="23"/>
  <c r="E167" i="23"/>
  <c r="B168" i="23"/>
  <c r="C168" i="23"/>
  <c r="D168" i="23"/>
  <c r="E168" i="23"/>
  <c r="B169" i="23"/>
  <c r="B170" i="23"/>
  <c r="C170" i="23"/>
  <c r="D170" i="23"/>
  <c r="E170" i="23"/>
  <c r="B171" i="23"/>
  <c r="C171" i="23"/>
  <c r="D171" i="23"/>
  <c r="B172" i="23"/>
  <c r="C172" i="23"/>
  <c r="D172" i="23"/>
  <c r="E172" i="23"/>
  <c r="B173" i="23"/>
  <c r="B174" i="23"/>
  <c r="C174" i="23"/>
  <c r="B175" i="23"/>
  <c r="B176" i="23"/>
  <c r="B177" i="23"/>
  <c r="C177" i="23"/>
  <c r="D177" i="23"/>
  <c r="E177" i="23"/>
  <c r="B178" i="23"/>
  <c r="B180" i="23"/>
  <c r="B181" i="23"/>
  <c r="C181" i="23"/>
  <c r="D181" i="23"/>
  <c r="E181" i="23"/>
  <c r="M181" i="23"/>
  <c r="N181" i="23"/>
  <c r="O181" i="23"/>
  <c r="B184" i="23"/>
  <c r="B186" i="23"/>
  <c r="B188" i="23"/>
  <c r="B189" i="23"/>
  <c r="B191" i="23"/>
  <c r="B192" i="23"/>
  <c r="B194" i="23"/>
  <c r="B196" i="23"/>
  <c r="B197" i="23"/>
  <c r="B199" i="23"/>
  <c r="C207" i="23"/>
  <c r="D207" i="23"/>
  <c r="E207" i="23"/>
  <c r="M207" i="23"/>
  <c r="N207" i="23"/>
  <c r="O207" i="23"/>
  <c r="C218" i="23"/>
  <c r="D218" i="23"/>
  <c r="E218" i="23"/>
  <c r="M218" i="23"/>
  <c r="N218" i="23"/>
  <c r="O218" i="23"/>
  <c r="B221" i="23"/>
  <c r="C221" i="23"/>
  <c r="E221" i="23"/>
  <c r="F222" i="23" s="1"/>
  <c r="M221" i="23"/>
  <c r="Q222" i="23" s="1"/>
  <c r="O221" i="23"/>
  <c r="S222" i="23" s="1"/>
  <c r="B224" i="23"/>
  <c r="B225" i="23"/>
  <c r="B226" i="23"/>
  <c r="B228" i="23"/>
  <c r="B229" i="23"/>
  <c r="E229" i="23"/>
  <c r="B230" i="23"/>
  <c r="C230" i="23"/>
  <c r="D230" i="23"/>
  <c r="E230" i="23"/>
  <c r="B231" i="23"/>
  <c r="C231" i="23"/>
  <c r="D231" i="23"/>
  <c r="E231" i="23"/>
  <c r="B232" i="23"/>
  <c r="B233" i="23"/>
  <c r="B234" i="23"/>
  <c r="C234" i="23"/>
  <c r="D234" i="23"/>
  <c r="E234" i="23"/>
  <c r="B235" i="23"/>
  <c r="C235" i="23"/>
  <c r="D235" i="23"/>
  <c r="E235" i="23"/>
  <c r="B236" i="23"/>
  <c r="B237" i="23"/>
  <c r="C237" i="23"/>
  <c r="D237" i="23"/>
  <c r="B238" i="23"/>
  <c r="C238" i="23"/>
  <c r="D238" i="23"/>
  <c r="B239" i="23"/>
  <c r="C239" i="23"/>
  <c r="D239" i="23"/>
  <c r="E239" i="23"/>
  <c r="B240" i="23"/>
  <c r="D240" i="23"/>
  <c r="B241" i="23"/>
  <c r="C241" i="23"/>
  <c r="B242" i="23"/>
  <c r="B243" i="23"/>
  <c r="B244" i="23"/>
  <c r="C244" i="23"/>
  <c r="D244" i="23"/>
  <c r="E244" i="23"/>
  <c r="B245" i="23"/>
  <c r="B247" i="23"/>
  <c r="B248" i="23"/>
  <c r="B251" i="23"/>
  <c r="B253" i="23"/>
  <c r="B264" i="23"/>
  <c r="B265" i="23"/>
  <c r="B267" i="23"/>
  <c r="B268" i="23"/>
  <c r="B270" i="23"/>
  <c r="B272" i="23"/>
  <c r="B273" i="23"/>
  <c r="B275" i="23"/>
  <c r="E141" i="23" l="1"/>
  <c r="E95" i="23"/>
  <c r="C141" i="23"/>
  <c r="C95" i="23"/>
  <c r="C233" i="23"/>
  <c r="D174" i="23"/>
  <c r="C85" i="23"/>
  <c r="D229" i="23"/>
  <c r="E162" i="23"/>
  <c r="E240" i="23"/>
  <c r="E173" i="23"/>
  <c r="E237" i="23"/>
  <c r="D162" i="23"/>
  <c r="D233" i="23"/>
  <c r="C229" i="23"/>
  <c r="C162" i="23"/>
  <c r="E166" i="23"/>
  <c r="E171" i="23"/>
  <c r="E238" i="23"/>
  <c r="E241" i="23"/>
  <c r="E85" i="23"/>
  <c r="E233" i="23"/>
  <c r="E174" i="23"/>
  <c r="D166" i="23"/>
  <c r="D212" i="23"/>
  <c r="D85" i="23"/>
  <c r="C173" i="23"/>
  <c r="C240" i="23"/>
  <c r="D79" i="23"/>
  <c r="D154" i="23"/>
  <c r="D155" i="23" s="1"/>
  <c r="D221" i="23"/>
  <c r="D222" i="23" s="1"/>
  <c r="N154" i="23"/>
  <c r="R155" i="23" s="1"/>
  <c r="N221" i="23"/>
  <c r="R222" i="23" s="1"/>
  <c r="D141" i="23" l="1"/>
  <c r="D95" i="23"/>
  <c r="E54" i="23"/>
  <c r="O144" i="23"/>
  <c r="O146" i="23" s="1"/>
  <c r="O213" i="23" s="1"/>
  <c r="M180" i="23"/>
  <c r="O180" i="23"/>
  <c r="N247" i="23"/>
  <c r="N180" i="23"/>
  <c r="N144" i="23"/>
  <c r="N146" i="23" s="1"/>
  <c r="N213" i="23" s="1"/>
  <c r="M144" i="23"/>
  <c r="M211" i="23" s="1"/>
  <c r="C247" i="23"/>
  <c r="C199" i="23"/>
  <c r="M247" i="23"/>
  <c r="C180" i="23"/>
  <c r="C144" i="23"/>
  <c r="O247" i="23"/>
  <c r="O251" i="23" s="1"/>
  <c r="N186" i="23"/>
  <c r="N184" i="23"/>
  <c r="C184" i="23"/>
  <c r="C253" i="23"/>
  <c r="E222" i="23"/>
  <c r="D180" i="23"/>
  <c r="D247" i="23"/>
  <c r="D144" i="23"/>
  <c r="E81" i="23"/>
  <c r="E155" i="23"/>
  <c r="D251" i="23" l="1"/>
  <c r="C251" i="23"/>
  <c r="M251" i="23"/>
  <c r="N251" i="23"/>
  <c r="E58" i="23"/>
  <c r="E62" i="23" s="1"/>
  <c r="E68" i="23" s="1"/>
  <c r="C54" i="23"/>
  <c r="C58" i="23" s="1"/>
  <c r="O211" i="23"/>
  <c r="O184" i="23"/>
  <c r="N253" i="23"/>
  <c r="M184" i="23"/>
  <c r="N211" i="23"/>
  <c r="M186" i="23"/>
  <c r="M146" i="23"/>
  <c r="M213" i="23" s="1"/>
  <c r="E247" i="23"/>
  <c r="C146" i="23"/>
  <c r="C213" i="23" s="1"/>
  <c r="C211" i="23"/>
  <c r="C186" i="23"/>
  <c r="O253" i="23"/>
  <c r="E180" i="23"/>
  <c r="E144" i="23"/>
  <c r="E82" i="23"/>
  <c r="E224" i="23"/>
  <c r="E262" i="23" s="1"/>
  <c r="E159" i="23"/>
  <c r="E157" i="23"/>
  <c r="D184" i="23"/>
  <c r="D137" i="23"/>
  <c r="D199" i="23" s="1"/>
  <c r="D211" i="23"/>
  <c r="D146" i="23"/>
  <c r="D213" i="23" s="1"/>
  <c r="E186" i="23"/>
  <c r="E253" i="23"/>
  <c r="E270" i="23" s="1"/>
  <c r="C81" i="23"/>
  <c r="C267" i="23" l="1"/>
  <c r="C264" i="23"/>
  <c r="E268" i="23"/>
  <c r="E265" i="23"/>
  <c r="D275" i="23"/>
  <c r="C275" i="23"/>
  <c r="E272" i="23"/>
  <c r="E273" i="23"/>
  <c r="E69" i="23"/>
  <c r="E76" i="23" s="1"/>
  <c r="E251" i="23"/>
  <c r="E226" i="23"/>
  <c r="F225" i="23"/>
  <c r="E135" i="23"/>
  <c r="E197" i="23" s="1"/>
  <c r="E134" i="23"/>
  <c r="E196" i="23" s="1"/>
  <c r="C62" i="23"/>
  <c r="C68" i="23" s="1"/>
  <c r="D54" i="23"/>
  <c r="D58" i="23" s="1"/>
  <c r="E126" i="23"/>
  <c r="E188" i="23" s="1"/>
  <c r="E129" i="23"/>
  <c r="E137" i="23"/>
  <c r="E199" i="23" s="1"/>
  <c r="E184" i="23"/>
  <c r="C157" i="23"/>
  <c r="C82" i="23"/>
  <c r="C159" i="23"/>
  <c r="C224" i="23"/>
  <c r="C262" i="23" s="1"/>
  <c r="C270" i="23" s="1"/>
  <c r="O224" i="23"/>
  <c r="R262" i="23" s="1"/>
  <c r="R270" i="23" s="1"/>
  <c r="O159" i="23"/>
  <c r="O157" i="23"/>
  <c r="C161" i="23"/>
  <c r="M253" i="23"/>
  <c r="O186" i="23"/>
  <c r="E211" i="23"/>
  <c r="E146" i="23"/>
  <c r="E213" i="23" s="1"/>
  <c r="E142" i="23"/>
  <c r="E127" i="23"/>
  <c r="E189" i="23" s="1"/>
  <c r="E130" i="23"/>
  <c r="E228" i="23"/>
  <c r="E161" i="23"/>
  <c r="E132" i="23"/>
  <c r="D253" i="23"/>
  <c r="D186" i="23"/>
  <c r="D81" i="23"/>
  <c r="E267" i="23" l="1"/>
  <c r="E264" i="23"/>
  <c r="C268" i="23"/>
  <c r="C265" i="23"/>
  <c r="R265" i="23"/>
  <c r="R268" i="23"/>
  <c r="R267" i="23"/>
  <c r="R264" i="23"/>
  <c r="E275" i="23"/>
  <c r="R272" i="23"/>
  <c r="R273" i="23"/>
  <c r="C273" i="23"/>
  <c r="C272" i="23"/>
  <c r="C69" i="23"/>
  <c r="C76" i="23" s="1"/>
  <c r="E72" i="23"/>
  <c r="O226" i="23"/>
  <c r="S225" i="23"/>
  <c r="C135" i="23"/>
  <c r="C197" i="23" s="1"/>
  <c r="C134" i="23"/>
  <c r="C196" i="23" s="1"/>
  <c r="D62" i="23"/>
  <c r="D68" i="23" s="1"/>
  <c r="C126" i="23"/>
  <c r="C188" i="23" s="1"/>
  <c r="C129" i="23"/>
  <c r="C191" i="23" s="1"/>
  <c r="C127" i="23"/>
  <c r="C189" i="23" s="1"/>
  <c r="D224" i="23"/>
  <c r="C226" i="23"/>
  <c r="C130" i="23"/>
  <c r="C147" i="23" s="1"/>
  <c r="C142" i="23"/>
  <c r="C143" i="23" s="1"/>
  <c r="C132" i="23"/>
  <c r="C194" i="23" s="1"/>
  <c r="D159" i="23"/>
  <c r="C228" i="23"/>
  <c r="D158" i="23"/>
  <c r="D157" i="23"/>
  <c r="D82" i="23"/>
  <c r="E158" i="23"/>
  <c r="E194" i="23"/>
  <c r="E165" i="23"/>
  <c r="E232" i="23"/>
  <c r="E148" i="23"/>
  <c r="E191" i="23"/>
  <c r="E143" i="23"/>
  <c r="E192" i="23"/>
  <c r="E147" i="23"/>
  <c r="E225" i="23" l="1"/>
  <c r="D262" i="23"/>
  <c r="D270" i="23" s="1"/>
  <c r="D69" i="23"/>
  <c r="D76" i="23" s="1"/>
  <c r="C72" i="23"/>
  <c r="C73" i="23" s="1"/>
  <c r="D134" i="23"/>
  <c r="D196" i="23" s="1"/>
  <c r="D135" i="23"/>
  <c r="D197" i="23" s="1"/>
  <c r="D126" i="23"/>
  <c r="D188" i="23" s="1"/>
  <c r="D129" i="23"/>
  <c r="C165" i="23"/>
  <c r="C236" i="23"/>
  <c r="D142" i="23"/>
  <c r="D143" i="23" s="1"/>
  <c r="C232" i="23"/>
  <c r="D161" i="23"/>
  <c r="C148" i="23"/>
  <c r="D226" i="23"/>
  <c r="D225" i="23"/>
  <c r="C214" i="23"/>
  <c r="C192" i="23"/>
  <c r="D228" i="23"/>
  <c r="D130" i="23"/>
  <c r="D192" i="23" s="1"/>
  <c r="D127" i="23"/>
  <c r="D189" i="23" s="1"/>
  <c r="D132" i="23"/>
  <c r="D165" i="23"/>
  <c r="D232" i="23"/>
  <c r="E210" i="23"/>
  <c r="E214" i="23"/>
  <c r="E215" i="23"/>
  <c r="E236" i="23"/>
  <c r="E169" i="23"/>
  <c r="E86" i="23"/>
  <c r="D268" i="23" l="1"/>
  <c r="D265" i="23"/>
  <c r="D264" i="23"/>
  <c r="D267" i="23"/>
  <c r="D273" i="23"/>
  <c r="D272" i="23"/>
  <c r="D72" i="23"/>
  <c r="D73" i="23" s="1"/>
  <c r="D191" i="23"/>
  <c r="D148" i="23"/>
  <c r="C75" i="23"/>
  <c r="C169" i="23"/>
  <c r="C86" i="23"/>
  <c r="C215" i="23"/>
  <c r="C210" i="23"/>
  <c r="D147" i="23"/>
  <c r="D194" i="23"/>
  <c r="D86" i="23"/>
  <c r="D236" i="23"/>
  <c r="D169" i="23"/>
  <c r="E175" i="23"/>
  <c r="E242" i="23"/>
  <c r="D75" i="23" l="1"/>
  <c r="E73" i="23"/>
  <c r="D215" i="23"/>
  <c r="D214" i="23"/>
  <c r="D210" i="23"/>
  <c r="C242" i="23"/>
  <c r="C175" i="23"/>
  <c r="E178" i="23"/>
  <c r="D175" i="23"/>
  <c r="D242" i="23"/>
  <c r="E176" i="23"/>
  <c r="E243" i="23"/>
  <c r="F73" i="23" l="1"/>
  <c r="G73" i="23" s="1"/>
  <c r="H73" i="23" s="1"/>
  <c r="E75" i="23"/>
  <c r="C243" i="23"/>
  <c r="C176" i="23"/>
  <c r="E245" i="23"/>
  <c r="D243" i="23"/>
  <c r="D176" i="23"/>
  <c r="C178" i="23"/>
  <c r="C245" i="23"/>
  <c r="H75" i="23" l="1"/>
  <c r="I73" i="23"/>
  <c r="F75" i="23"/>
  <c r="G75" i="23"/>
  <c r="D178" i="23"/>
  <c r="D245" i="23"/>
  <c r="I75" i="23" l="1"/>
  <c r="J73" i="23"/>
  <c r="J75" i="23" s="1"/>
  <c r="D84" i="23"/>
  <c r="C84" i="23" l="1"/>
  <c r="E84" i="23"/>
  <c r="M159" i="23" l="1"/>
  <c r="M224" i="23"/>
  <c r="N157" i="23"/>
  <c r="N159" i="23"/>
  <c r="Q225" i="23" l="1"/>
  <c r="M226" i="23"/>
  <c r="M157" i="23"/>
  <c r="N224" i="23"/>
  <c r="R225" i="23" l="1"/>
  <c r="Q262" i="23"/>
  <c r="Q270" i="23" s="1"/>
  <c r="P262" i="23"/>
  <c r="P270" i="23" s="1"/>
  <c r="N226" i="23"/>
  <c r="Q265" i="23" l="1"/>
  <c r="Q268" i="23"/>
  <c r="Q267" i="23"/>
  <c r="Q264" i="23"/>
  <c r="P268" i="23"/>
  <c r="P265" i="23"/>
  <c r="P264" i="23"/>
  <c r="P267" i="23"/>
  <c r="P273" i="23"/>
  <c r="P272" i="23"/>
  <c r="Q273" i="23"/>
  <c r="Q272" i="23"/>
  <c r="T215" i="23"/>
  <c r="T214" i="23" l="1"/>
  <c r="T210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 GR&amp;RS</author>
    <author>CRISIL</author>
    <author>Crisil Integral IQ</author>
  </authors>
  <commentList>
    <comment ref="B5" authorId="0" shapeId="0" xr:uid="{2594EADB-9729-48CE-BFA3-2926C1B00934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BBG, as full financial report is yet to be relaased</t>
        </r>
      </text>
    </comment>
    <comment ref="C11" authorId="1" shapeId="0" xr:uid="{B62E7AF0-D11D-44A1-9FB6-46070FB6564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Inlcludes undisclosed: 9,507,389.90</t>
        </r>
      </text>
    </comment>
    <comment ref="C23" authorId="2" shapeId="0" xr:uid="{97125D60-15EC-41BF-8940-B7E99C093D76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page no 40/70</t>
        </r>
      </text>
    </comment>
    <comment ref="J24" authorId="1" shapeId="0" xr:uid="{3E712671-0EFC-4EB5-9FB4-BEB38479D69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excludes lease liabilities.
 FS, page no 27/70</t>
        </r>
      </text>
    </comment>
    <comment ref="B57" authorId="0" shapeId="0" xr:uid="{6AD1E139-AD19-4576-9757-5D3C822B0E3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BBG, as it is not available in report</t>
        </r>
      </text>
    </comment>
    <comment ref="C63" authorId="1" shapeId="0" xr:uid="{7103AA6C-BF52-4D35-BFDD-F09F7ECB773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Inlcludes undisclosed: 9,507,389.90</t>
        </r>
      </text>
    </comment>
    <comment ref="J70" authorId="1" shapeId="0" xr:uid="{DA01BD7F-33B5-414A-977A-B595806C882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excludes lease liabilities (from ppt)
</t>
        </r>
      </text>
    </comment>
    <comment ref="B104" authorId="1" shapeId="0" xr:uid="{5D913E41-BF37-4A34-AF55-2D9278C7A2B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cash flow includes payment of interest under terms and conditions of borrowing</t>
        </r>
      </text>
    </comment>
    <comment ref="B112" authorId="1" shapeId="0" xr:uid="{C57A04C8-5B67-404A-A08E-A6B4C7BA963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cash flow includes payment of interest under terms and conditions of borrowing</t>
        </r>
      </text>
    </comment>
    <comment ref="J125" authorId="1" shapeId="0" xr:uid="{FE895BDF-0FF1-4DE1-9344-9DA00C88509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excludes lease liabilities</t>
        </r>
      </text>
    </comment>
    <comment ref="B159" authorId="0" shapeId="0" xr:uid="{76D97A93-2B96-427C-9D9B-DD8B8DD8784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BBG, as it is not available in report</t>
        </r>
      </text>
    </comment>
    <comment ref="C165" authorId="1" shapeId="0" xr:uid="{7930A0AD-0E7C-4978-A438-FA001C0B7A9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Inlcludes undisclosed: 2,892,637.83</t>
        </r>
      </text>
    </comment>
    <comment ref="J174" authorId="1" shapeId="0" xr:uid="{C48DE75F-FAE9-4A24-9A43-49567509FFD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excludes lease liabilities</t>
        </r>
      </text>
    </comment>
    <comment ref="B208" authorId="0" shapeId="0" xr:uid="{33256DED-07B3-407A-8DE8-0F21F70B9B9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BBG, as it is not available in report</t>
        </r>
      </text>
    </comment>
    <comment ref="C214" authorId="1" shapeId="0" xr:uid="{475012B5-40D4-4E9B-AF1A-FD396013632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Inlcludes undisclosed: 2,892,637.83</t>
        </r>
      </text>
    </comment>
    <comment ref="J223" authorId="1" shapeId="0" xr:uid="{784A29A3-3AF4-4FB0-92E1-63AEB4D7C01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excludes lease liabilities</t>
        </r>
      </text>
    </comment>
    <comment ref="B257" authorId="0" shapeId="0" xr:uid="{7377FB19-2F74-4A8E-AD32-0C8ED97FC7A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BBG, as it is not available in report</t>
        </r>
      </text>
    </comment>
    <comment ref="B302" authorId="0" shapeId="0" xr:uid="{C83F378D-34EE-436C-AA4D-CB541E9C58F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BBG</t>
        </r>
      </text>
    </comment>
    <comment ref="B346" authorId="0" shapeId="0" xr:uid="{60FFA0A7-64BB-47CF-AA7C-794FAB46A14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BBG</t>
        </r>
      </text>
    </comment>
    <comment ref="B390" authorId="0" shapeId="0" xr:uid="{53CAC703-BB98-4348-93B9-43C1B8D20A9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BBG</t>
        </r>
      </text>
    </comment>
    <comment ref="B434" authorId="0" shapeId="0" xr:uid="{E4758592-4FD6-4F8E-B408-9C66A2C2A3A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BBG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Crisil Integral IQ</author>
    <author>Pramod Vasant Doke</author>
    <author>Sushrut Bhushan Deo</author>
  </authors>
  <commentList>
    <comment ref="AB46" authorId="0" shapeId="0" xr:uid="{9C793C85-C5D7-41B1-85CE-EA3E0FB4F46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Reported by company
Def: EBITDA = Operating Profit + Depreciation &amp; Amortization</t>
        </r>
      </text>
    </comment>
    <comment ref="AC46" authorId="0" shapeId="0" xr:uid="{CB9F33C6-82CE-40DD-A85F-43D810CD132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Reported by company
Def: EBITDA = Operating Profit + Depreciation &amp; Amortization</t>
        </r>
      </text>
    </comment>
    <comment ref="AD46" authorId="0" shapeId="0" xr:uid="{92B4E3CB-A16F-4012-B005-C53BEC65579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Reported by company
Def: EBITDA = Operating Profit + Depreciation &amp; Amortization</t>
        </r>
      </text>
    </comment>
    <comment ref="AF46" authorId="0" shapeId="0" xr:uid="{C716C505-24D1-43D4-A55E-5CB15F167FB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Reported by company
Def: EBITDA = Operating Profit + Depreciation &amp; Amortization</t>
        </r>
      </text>
    </comment>
    <comment ref="AG46" authorId="1" shapeId="0" xr:uid="{CB828387-2B8E-4454-99FE-E68C449C084E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ER, page no 14/19</t>
        </r>
      </text>
    </comment>
    <comment ref="B55" authorId="0" shapeId="0" xr:uid="{29B74351-8A65-43DC-BFFF-619939F2F01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
* trade receivables 
* inventories
* trade payables</t>
        </r>
      </text>
    </comment>
    <comment ref="J61" authorId="0" shapeId="0" xr:uid="{0636FEC4-2248-4B58-A620-250088B9DAA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Payment for conditional business combination approval for the Intel NAND business acquisition
from the Chinese competition authority</t>
        </r>
      </text>
    </comment>
    <comment ref="AE61" authorId="0" shapeId="0" xr:uid="{3C8CBF89-21BB-4348-B168-1C95F1AA249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3" authorId="0" shapeId="0" xr:uid="{2FEE8371-4A06-4232-B524-5B15EDBC0F2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 includes:
* Decrease in short-term financial instruments: 6,513,772
* Increase in short-term financial instruments: (18,804,330)
* Decrease (increase) in short-term investment assets, net : (4,552,604)
* Decrease in loans and other receivables: 32,880
* Increase in loans and other receivables: (178,331)
* Proceeds from disposal of long-term investment assets : 1,233,030 
* Acquisitions of long-term investment assets : (33,956)
* Decrease in other financial assets : 115,091
* Increase in other financial assets: (1,105,649) 
* Proceeds from disposal of investments in associates: 16,875
* Acquisitions of investments in associates: (9,000)
* Proceeds from disposal of assets held for sale : 85,216 
* Receipt of government grants: 144,911</t>
        </r>
      </text>
    </comment>
    <comment ref="AE63" authorId="0" shapeId="0" xr:uid="{B3E5CDC1-EAA9-41E2-981F-0E7D7964AB9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9M includes:
* Decrease in short-term financial instruments: 4,460,172
* Increase in short-term financial instruments : (15,415,766)
* Increase in short-term investment assets, net: (3,005,438)
* Decrease in other financial assets: 916
* Increase in other financial assets: (3,463)
* Decrease in loans and other receivables: 28,529
* Increase in loans and other receivables: (15,419)
* Proceeds from disposal of long-term investment assets: 272,150
* Acquisition of long-term investment assets: (18,370)
* Proceeds from disposal of investments in associates: 7,726
* Acquisitions of investments in associates: (6,000)
* Proceeds from disposal of assets held for sale: 85,216 </t>
        </r>
      </text>
    </comment>
    <comment ref="AG63" authorId="1" shapeId="0" xr:uid="{3FBA8802-4B09-4975-8113-EB6AF9F7DA9A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3M includes:
* Decrease in short-term financial instruments: 5,708,347
* Increase in short-term financial instruments : (6,610,597)
* Increase in short-term investment assets, net: (9,504,554)
* Decrease in other financial assets: 1,308
* Increase in other financial assets: (3,500,000)
* Collection of loans and other receivables :4,950
* Increase in loans and other receivables: (6,508)
* Proceeds from disposal of long-term investment assets:4,123,908
* Acquisition of long-term investment assets: (14,120)
* Proceeds from disposal of investments in associates: 3,518
* Receipt of government grants 9,522</t>
        </r>
      </text>
    </comment>
    <comment ref="J67" authorId="0" shapeId="0" xr:uid="{002DDDE4-7B21-4D48-8196-ECE828F62BC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 includes:
* Proceeds from disposal of treasury shares: 65,035 </t>
        </r>
      </text>
    </comment>
    <comment ref="AE67" authorId="0" shapeId="0" xr:uid="{BC194FB1-C65B-4F22-9761-BF4CE2F851E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*Disposal of treasury shares: 50,666
* Others: 8</t>
        </r>
      </text>
    </comment>
    <comment ref="AG67" authorId="1" shapeId="0" xr:uid="{8FE42A7B-35BE-4F5A-8F79-BF28F989C51B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3M includes:
* Proceeds from disposal of treasury shares : 7,775
* Changes in ownership in subsidiary : (57,682)</t>
        </r>
      </text>
    </comment>
    <comment ref="I69" authorId="0" shapeId="0" xr:uid="{7C60BB80-EB1D-44CE-BFC7-DFB67DBD66B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Majolry includes other payables, non-trade payables and  other liabilities</t>
        </r>
      </text>
    </comment>
    <comment ref="J69" authorId="0" shapeId="0" xr:uid="{71154E34-AB62-455A-A52A-99779907C32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instead of net profit to calculate CFO and other adjustments apart from working capital, majorly:
* Gain on valuation of financial instruments : (12,011,484) 
* Loss on derivatives: 8,365,586
* Loss on impairment of investments in associates : 471,006 
* Increase in other non-trade payables: 2,336,757
* Dividend income : (940,739) 
* Increase (decrease) in other liabilities: 1,009,154
* Contributions to plan assets : (736,528) </t>
        </r>
      </text>
    </comment>
    <comment ref="AC69" authorId="0" shapeId="0" xr:uid="{0FEA7438-B548-497F-AEF4-26A6FE2175F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Majolry includes transactions related to foreign currency translation, valuation of financial instruments and others</t>
        </r>
      </text>
    </comment>
    <comment ref="AD69" authorId="0" shapeId="0" xr:uid="{1787D389-73EF-4810-B637-1ABD2BAAF82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Majorly includes Contributions to plan assets </t>
        </r>
      </text>
    </comment>
    <comment ref="AE69" authorId="0" shapeId="0" xr:uid="{2E56812A-EF80-4844-9EA8-06D5DECE077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9M includes the following:
* Majorly, Gain on valuation of financial instruments: (5,384,696)
* Gain on foreign currency translation: (851,306)
* Gain on disposal of financial instruments:(138,580)
* other adjustmens before working capital changes</t>
        </r>
      </text>
    </comment>
    <comment ref="AG69" authorId="1" shapeId="0" xr:uid="{CAF04F6B-F06E-4611-81ED-4680CDC074C5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It is due to use of EBITDA instead of net profit to calculate CFO and other adjustments apart from working capital, majorly:
* Gain on foreign currency translation: (1,708,435)
* Loss on foreign currency translation: 829,259 
* Gain on valuation of financial instruments :(9,941,549)
* Loss on derivatives: 1,498,421
* Dividend income : (3,951,622) 
* Increase (decrease) in other liabilities: 798,759
* Decrease in loans and other receivables: 337,528 
* Decrease (increase) in other assets: (330,937)
* Decrease in other non-trade payables: (804,406)</t>
        </r>
      </text>
    </comment>
    <comment ref="B90" authorId="0" shapeId="0" xr:uid="{5453D1C3-DE18-4DE0-AEB4-826635AD34A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right of use assets</t>
        </r>
      </text>
    </comment>
    <comment ref="AC120" authorId="0" shapeId="0" xr:uid="{718AB6A5-5835-4345-897D-273F1595C53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calculated using total borrowings and cash and cash equivalents from the report. It is used in calculation of net borrowing ratio on Pg 26/68.</t>
        </r>
      </text>
    </comment>
    <comment ref="AD120" authorId="0" shapeId="0" xr:uid="{810F43FF-52C3-4974-B3DF-312C0EFC07C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calculated using total borrowings and cash and cash equivalents from the report. It is used in calculation of net borrowing ratio on Pg 25/69. 
Note: Total borrowings excludes lease liabilites</t>
        </r>
      </text>
    </comment>
    <comment ref="AE120" authorId="0" shapeId="0" xr:uid="{031F69CA-A5A6-4074-AE9E-5FA7EDFDCFD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calculated using total borrowings and cash and cash equivalents from the report. It is used in calculation of net borrowing ratio on Pg 25/69. 
Note: Total borrowings excludes lease liabilites</t>
        </r>
      </text>
    </comment>
    <comment ref="AG120" authorId="1" shapeId="0" xr:uid="{19B19238-BF8A-4B7A-B268-7E559847ABC5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calculated using total borrowings and cash and cash equivalents from the report. It is used in calculation of net borrowing ratio on Pg 27/70. 
Note: Total borrowings excludes lease liabilites</t>
        </r>
      </text>
    </comment>
    <comment ref="B203" authorId="2" shapeId="0" xr:uid="{00000000-0006-0000-0100-000003000000}">
      <text>
        <r>
          <rPr>
            <b/>
            <sz val="9"/>
            <color indexed="81"/>
            <rFont val="Tahoma"/>
            <family val="2"/>
          </rPr>
          <t>Source- Investing.Com</t>
        </r>
      </text>
    </comment>
    <comment ref="Q203" authorId="3" shapeId="0" xr:uid="{00000000-0006-0000-0100-000004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Obtained from xe.com</t>
        </r>
      </text>
    </comment>
    <comment ref="U203" authorId="3" shapeId="0" xr:uid="{076BD86F-C165-4CFE-B8B6-59003B177DB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Obtained from xe.com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 Integral IQ</author>
    <author>Vivek Panchal</author>
  </authors>
  <commentList>
    <comment ref="AG8" authorId="0" shapeId="0" xr:uid="{095F025C-7981-4115-A4B4-FDFAF8B962A8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FS, page no 49/70</t>
        </r>
      </text>
    </comment>
    <comment ref="C50" authorId="1" shapeId="0" xr:uid="{969C2A79-C444-48AA-A688-1429A5CAD272}">
      <text>
        <r>
          <rPr>
            <b/>
            <sz val="9"/>
            <color indexed="81"/>
            <rFont val="Tahoma"/>
            <family val="2"/>
          </rPr>
          <t xml:space="preserve">Including Taiwan
</t>
        </r>
      </text>
    </comment>
    <comment ref="D50" authorId="1" shapeId="0" xr:uid="{6D8C5848-F115-4BED-AA20-9B965E2B970E}">
      <text>
        <r>
          <rPr>
            <b/>
            <sz val="9"/>
            <color indexed="81"/>
            <rFont val="Tahoma"/>
            <family val="2"/>
          </rPr>
          <t xml:space="preserve">Including Taiwan
</t>
        </r>
      </text>
    </comment>
    <comment ref="E50" authorId="1" shapeId="0" xr:uid="{9C68354C-DDE3-4F83-8269-97388DCDE037}">
      <text>
        <r>
          <rPr>
            <b/>
            <sz val="9"/>
            <color indexed="81"/>
            <rFont val="Tahoma"/>
            <family val="2"/>
          </rPr>
          <t xml:space="preserve">Including Taiwan
</t>
        </r>
      </text>
    </comment>
    <comment ref="F50" authorId="1" shapeId="0" xr:uid="{5BF48A74-06E4-434C-93C7-3FB542998F7E}">
      <text>
        <r>
          <rPr>
            <b/>
            <sz val="9"/>
            <color indexed="81"/>
            <rFont val="Tahoma"/>
            <family val="2"/>
          </rPr>
          <t xml:space="preserve">Including Taiwan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</authors>
  <commentList>
    <comment ref="B43" authorId="0" shapeId="0" xr:uid="{2BF3C91E-F166-4D2E-B323-FD96B4AF510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Reported by company: Cash &amp; Cash Equivalents + Short-term Financial Instruments, leading to deviation from reported numbers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<sst xmlns="http://schemas.openxmlformats.org/spreadsheetml/2006/main" count="907" uniqueCount="289">
  <si>
    <t>2Q26</t>
  </si>
  <si>
    <t>in billions</t>
  </si>
  <si>
    <r>
      <t xml:space="preserve">Debt Maturity Profile at 30-Jun-2026 </t>
    </r>
    <r>
      <rPr>
        <b/>
        <sz val="10"/>
        <color rgb="FFFF0000"/>
        <rFont val="Calibri"/>
        <family val="2"/>
        <scheme val="minor"/>
      </rPr>
      <t>(from BBG)</t>
    </r>
  </si>
  <si>
    <t>KRW bn</t>
  </si>
  <si>
    <t>2031 &amp; thereafter</t>
  </si>
  <si>
    <t>Total</t>
  </si>
  <si>
    <t>1Q26</t>
  </si>
  <si>
    <t>Exchange rate as at end</t>
  </si>
  <si>
    <t xml:space="preserve">LTM Average exchange rate </t>
  </si>
  <si>
    <t>Debt Breakdown as on 31-Mar-2026</t>
  </si>
  <si>
    <t>KRW mn</t>
  </si>
  <si>
    <t xml:space="preserve">Leverage </t>
  </si>
  <si>
    <t>USD mn</t>
  </si>
  <si>
    <t>Company reported</t>
  </si>
  <si>
    <t>Total borrowings</t>
  </si>
  <si>
    <t>Current</t>
  </si>
  <si>
    <t>Cash and cash equivalents, and others</t>
  </si>
  <si>
    <t>Short-term borrowings</t>
  </si>
  <si>
    <t>Net debt</t>
  </si>
  <si>
    <t>Current portion of long-term borrowings</t>
  </si>
  <si>
    <t>Net debt / EBITDA</t>
  </si>
  <si>
    <t>Current portion of debentures</t>
  </si>
  <si>
    <t>Non-current</t>
  </si>
  <si>
    <t>Long-term borrowings</t>
  </si>
  <si>
    <t>Debentures</t>
  </si>
  <si>
    <t>Lease Obligations</t>
  </si>
  <si>
    <t>Short-term</t>
  </si>
  <si>
    <t>Long-term</t>
  </si>
  <si>
    <t>Total Loans &amp; Borrowings</t>
  </si>
  <si>
    <t>Cash and Cash Equivalents</t>
  </si>
  <si>
    <t>Short-term financial instruments</t>
  </si>
  <si>
    <t>Short-term investment assets</t>
  </si>
  <si>
    <t>Equity</t>
  </si>
  <si>
    <t xml:space="preserve">Total Capitalisation </t>
  </si>
  <si>
    <t>LTM Adjusted EBITDA</t>
  </si>
  <si>
    <t>check</t>
  </si>
  <si>
    <t>Cash Breakdown as on 31-Mar-2026</t>
  </si>
  <si>
    <r>
      <t xml:space="preserve">Debt Maturity Profile at 31-Mar-2026 </t>
    </r>
    <r>
      <rPr>
        <b/>
        <sz val="10"/>
        <color rgb="FFFF0000"/>
        <rFont val="Calibri"/>
        <family val="2"/>
        <scheme val="minor"/>
      </rPr>
      <t>(from BBG)</t>
    </r>
  </si>
  <si>
    <t>FY25</t>
  </si>
  <si>
    <t>Debt Breakdown as on 31-Dec-2025</t>
  </si>
  <si>
    <t>Cash Breakdown as on 31-Dec-2025</t>
  </si>
  <si>
    <r>
      <t xml:space="preserve">Debt Maturity Profile at 31-Dec-2025 </t>
    </r>
    <r>
      <rPr>
        <b/>
        <sz val="10"/>
        <color rgb="FFFF0000"/>
        <rFont val="Calibri"/>
        <family val="2"/>
        <scheme val="minor"/>
      </rPr>
      <t>(contractual maturity)</t>
    </r>
  </si>
  <si>
    <t>Less than 1 year</t>
  </si>
  <si>
    <t>1 - 2 years</t>
  </si>
  <si>
    <t>2 - 5 years</t>
  </si>
  <si>
    <t>More than 5 years</t>
  </si>
  <si>
    <r>
      <t xml:space="preserve">Lease liabilities Profile at 31-Dec-2025 </t>
    </r>
    <r>
      <rPr>
        <b/>
        <sz val="10"/>
        <color rgb="FFFF0000"/>
        <rFont val="Calibri"/>
        <family val="2"/>
        <scheme val="minor"/>
      </rPr>
      <t>(contractual maturity)</t>
    </r>
  </si>
  <si>
    <t>3Q25</t>
  </si>
  <si>
    <t>Exchange rate as at end 3Q25</t>
  </si>
  <si>
    <t>LTM Average exchange rate 3Q25</t>
  </si>
  <si>
    <t>Debt Breakdown as on 30-Sep-2025</t>
  </si>
  <si>
    <t>Cash Breakdown as on 30-Sep-2025</t>
  </si>
  <si>
    <r>
      <t xml:space="preserve">Debt Maturity Profile at 30-Sep-2025 </t>
    </r>
    <r>
      <rPr>
        <b/>
        <sz val="10"/>
        <color rgb="FFFF0000"/>
        <rFont val="Calibri"/>
        <family val="2"/>
        <scheme val="minor"/>
      </rPr>
      <t>(from BBG)</t>
    </r>
  </si>
  <si>
    <t>2030 &amp; thereafter</t>
  </si>
  <si>
    <t>2Q25</t>
  </si>
  <si>
    <t>Exchange rate as at end 2Q25</t>
  </si>
  <si>
    <t>LTM Average exchange rate 2Q25</t>
  </si>
  <si>
    <t>Debt Breakdown as on 30-Jun-2025</t>
  </si>
  <si>
    <t>Cash Breakdown as on 30-Jun-2025</t>
  </si>
  <si>
    <t>Debt Maturity Profile at 30-Jun-2025 (from BBG)</t>
  </si>
  <si>
    <t>1Q25</t>
  </si>
  <si>
    <t>Exchange rate as at end 1Q25</t>
  </si>
  <si>
    <t>LTM Average exchange rate 1Q25</t>
  </si>
  <si>
    <t>Debt Breakdown as on 31-Mar-2025</t>
  </si>
  <si>
    <t>Cash Breakdown as on 31-Mar-2025</t>
  </si>
  <si>
    <t>Debt Maturity Profile at 31-Mar-2025</t>
  </si>
  <si>
    <t>FY24</t>
  </si>
  <si>
    <t>Exchange rate as at end FY24</t>
  </si>
  <si>
    <t>LTM Average exchange rate FY24</t>
  </si>
  <si>
    <t>Debt Breakdown as on 31-Dec-2024</t>
  </si>
  <si>
    <t>KRW millions</t>
  </si>
  <si>
    <t>Cash Breakdown as on 31-Dec-2024</t>
  </si>
  <si>
    <t>Company reported debt</t>
  </si>
  <si>
    <t>Liquidity at FY24</t>
  </si>
  <si>
    <t>Total liquidity</t>
  </si>
  <si>
    <t>Debt Maturity</t>
  </si>
  <si>
    <t>3Q24</t>
  </si>
  <si>
    <t>Exchange rate as at end 3Q24</t>
  </si>
  <si>
    <t>LTM Average exchange rate 3Q24</t>
  </si>
  <si>
    <t>Debt Breakdown as on 30-Sept-2024</t>
  </si>
  <si>
    <t>Cash Breakdown as on 30-Sept-2024</t>
  </si>
  <si>
    <t>RMB millions</t>
  </si>
  <si>
    <t>Liquidity at 3Q24</t>
  </si>
  <si>
    <t>3Q23</t>
  </si>
  <si>
    <t>Exchange rate as at end 3Q23</t>
  </si>
  <si>
    <t>LTM Average exchange rate 3Q23</t>
  </si>
  <si>
    <t>Debt Breakdown as on 30-Sept-2023</t>
  </si>
  <si>
    <t>Cash Breakdown as on 30-Sept-2023</t>
  </si>
  <si>
    <t>Liquidity at 3Q23</t>
  </si>
  <si>
    <t>2029 &amp; thereafter</t>
  </si>
  <si>
    <t>2Q23</t>
  </si>
  <si>
    <t>Exchange rate as at end 2Q23</t>
  </si>
  <si>
    <t>LTM Average exchange rate 2Q23</t>
  </si>
  <si>
    <t>Debt Breakdown as on 30-Jun-2023</t>
  </si>
  <si>
    <t>Cash Breakdown as on 30-Jun-2023</t>
  </si>
  <si>
    <t>Liquidity at 2Q23</t>
  </si>
  <si>
    <t>SK Hynix Inc.</t>
  </si>
  <si>
    <t>Annual</t>
  </si>
  <si>
    <t>LTM</t>
  </si>
  <si>
    <t xml:space="preserve">Quarters </t>
  </si>
  <si>
    <t>s</t>
  </si>
  <si>
    <t>(KRW millions)</t>
  </si>
  <si>
    <t>Act</t>
  </si>
  <si>
    <t>FY</t>
  </si>
  <si>
    <t>1Q</t>
  </si>
  <si>
    <t>2Q</t>
  </si>
  <si>
    <t>3Q</t>
  </si>
  <si>
    <t>4Q</t>
  </si>
  <si>
    <t>INCOME STATEMENT</t>
  </si>
  <si>
    <t>Revenue</t>
  </si>
  <si>
    <t xml:space="preserve">% of growth </t>
  </si>
  <si>
    <t>Cost of sales</t>
  </si>
  <si>
    <t>Gross Profit</t>
  </si>
  <si>
    <t>Gross Profit margin</t>
  </si>
  <si>
    <t>Operating expenses:</t>
  </si>
  <si>
    <t>Selling and administrative expenses</t>
  </si>
  <si>
    <t xml:space="preserve">Operating profit </t>
  </si>
  <si>
    <t>Finance income</t>
  </si>
  <si>
    <t>Finance expenses</t>
  </si>
  <si>
    <t>Share of profit of equity-accounted investees</t>
  </si>
  <si>
    <t>Other income</t>
  </si>
  <si>
    <t>Other expenses</t>
  </si>
  <si>
    <t>Profit before tax</t>
  </si>
  <si>
    <t>Income tax expense (benefit)</t>
  </si>
  <si>
    <t>Net profit/loss</t>
  </si>
  <si>
    <t>% margin</t>
  </si>
  <si>
    <t>Non-controlling interest</t>
  </si>
  <si>
    <t>As % of sales unless stated otherwise</t>
  </si>
  <si>
    <t>Finance expenses as % of debt</t>
  </si>
  <si>
    <t>Finance income as % of cash and cash equivalents</t>
  </si>
  <si>
    <t>Tax %  of PBT</t>
  </si>
  <si>
    <t>Working capital /sales</t>
  </si>
  <si>
    <t>Capex/sales</t>
  </si>
  <si>
    <t xml:space="preserve">EBITDA </t>
  </si>
  <si>
    <t>Depreciation, depletion &amp; amortization</t>
  </si>
  <si>
    <t xml:space="preserve">% growth </t>
  </si>
  <si>
    <t>Adjustment</t>
  </si>
  <si>
    <t xml:space="preserve">Adj. EBITDA </t>
  </si>
  <si>
    <t>Capex sales</t>
  </si>
  <si>
    <t xml:space="preserve">WC SALES </t>
  </si>
  <si>
    <t>CASH FLOW</t>
  </si>
  <si>
    <t>Working Capital</t>
  </si>
  <si>
    <t>Taxes</t>
  </si>
  <si>
    <t>Cash interest paid</t>
  </si>
  <si>
    <t xml:space="preserve">Net cash from operations </t>
  </si>
  <si>
    <t>Net Capex</t>
  </si>
  <si>
    <t>Purchase of intangible assets</t>
  </si>
  <si>
    <t>Disposals/ Acquistion, of subsidiaries, businesses</t>
  </si>
  <si>
    <t xml:space="preserve">Free cash flow </t>
  </si>
  <si>
    <t xml:space="preserve">Other Investing </t>
  </si>
  <si>
    <t>Equity Issuance</t>
  </si>
  <si>
    <t>Dividends</t>
  </si>
  <si>
    <t>Net Change in debt</t>
  </si>
  <si>
    <t>Other financing activities</t>
  </si>
  <si>
    <t>Cash flow after financing activities</t>
  </si>
  <si>
    <t>Balancing figure</t>
  </si>
  <si>
    <t xml:space="preserve">FX </t>
  </si>
  <si>
    <t>Classification as held for sale</t>
  </si>
  <si>
    <t xml:space="preserve">Net change in cash </t>
  </si>
  <si>
    <t>Cash and cash equivalents</t>
  </si>
  <si>
    <t>check 1</t>
  </si>
  <si>
    <t>check 2</t>
  </si>
  <si>
    <t xml:space="preserve">LTM </t>
  </si>
  <si>
    <t>EBITDA</t>
  </si>
  <si>
    <t>Adjusted EBITDA</t>
  </si>
  <si>
    <t>Net Income</t>
  </si>
  <si>
    <t>Capex</t>
  </si>
  <si>
    <t xml:space="preserve">BALANCE SHEET </t>
  </si>
  <si>
    <t>Tangible fixed assets</t>
  </si>
  <si>
    <t>Inventory</t>
  </si>
  <si>
    <t>Trade accounts receivable</t>
  </si>
  <si>
    <t>Trade accounts payable</t>
  </si>
  <si>
    <t>Net working capital</t>
  </si>
  <si>
    <t>% of revenues</t>
  </si>
  <si>
    <t>Inventory Days</t>
  </si>
  <si>
    <t>Receivable Days</t>
  </si>
  <si>
    <t>Payable Days</t>
  </si>
  <si>
    <t xml:space="preserve">Debt  Breakdown </t>
  </si>
  <si>
    <t>Short-term debt</t>
  </si>
  <si>
    <t>Long-term debt</t>
  </si>
  <si>
    <t>Total Debt</t>
  </si>
  <si>
    <t>Total Lease</t>
  </si>
  <si>
    <t>Debt  Including Lease obligations</t>
  </si>
  <si>
    <t>Total debt</t>
  </si>
  <si>
    <t xml:space="preserve">Net debt </t>
  </si>
  <si>
    <t>Company reported net debt</t>
  </si>
  <si>
    <t>Equity (as reported on balance sheet)</t>
  </si>
  <si>
    <t>Total debt + Equity</t>
  </si>
  <si>
    <t>CREDIT RATIOS</t>
  </si>
  <si>
    <t>Net Leverage excluding lease obligations</t>
  </si>
  <si>
    <t>Gross Leverage  excluding lease obligations</t>
  </si>
  <si>
    <t>Net Leverage including lease obligations</t>
  </si>
  <si>
    <t>Gross Leverage  including lease obligations</t>
  </si>
  <si>
    <t>Company reported net leverage</t>
  </si>
  <si>
    <t>EBITDA - Capex / Interest</t>
  </si>
  <si>
    <t>EBITDA/Interest</t>
  </si>
  <si>
    <t xml:space="preserve">Gearing (Net debt / Equity) </t>
  </si>
  <si>
    <t>Key  Credit Metrics (KRW millions)</t>
  </si>
  <si>
    <t xml:space="preserve">Revenues </t>
  </si>
  <si>
    <t>Adj. EBITDA</t>
  </si>
  <si>
    <t>Adj. EBITDA Margin</t>
  </si>
  <si>
    <t>Cash</t>
  </si>
  <si>
    <t>Net Debt</t>
  </si>
  <si>
    <t>Gross Leverage</t>
  </si>
  <si>
    <t xml:space="preserve">Net Leverage </t>
  </si>
  <si>
    <t>Summary Financials</t>
  </si>
  <si>
    <t>ADt</t>
  </si>
  <si>
    <t>% growth</t>
  </si>
  <si>
    <t>FX rate average - KRW/USD</t>
  </si>
  <si>
    <t>FX rate  - KRW/USD (as at end of period)</t>
  </si>
  <si>
    <t>LTM - KRW/USD</t>
  </si>
  <si>
    <t>USD to KRW (EOP)</t>
  </si>
  <si>
    <t>Key  Credit Metrics (USD millions where applicable)</t>
  </si>
  <si>
    <t>(USD millions)</t>
  </si>
  <si>
    <t>LTM EBITDA</t>
  </si>
  <si>
    <t>Revenue by type</t>
  </si>
  <si>
    <t>Sale of goods</t>
  </si>
  <si>
    <t>Providing services</t>
  </si>
  <si>
    <t>Net Revenue</t>
  </si>
  <si>
    <t>Revenue by type (% Share)</t>
  </si>
  <si>
    <t>Revenue by type (% YoY Growth)</t>
  </si>
  <si>
    <t>Revenue by Products</t>
  </si>
  <si>
    <t>DRAM</t>
  </si>
  <si>
    <t>NAND Flash</t>
  </si>
  <si>
    <t>Others</t>
  </si>
  <si>
    <t>Revenue by Products (% Share)</t>
  </si>
  <si>
    <t>Revenue by Products (% YoY Growth)</t>
  </si>
  <si>
    <t>Revenue by Geography</t>
  </si>
  <si>
    <t>Korea</t>
  </si>
  <si>
    <t>U.S.A.</t>
  </si>
  <si>
    <t>China</t>
  </si>
  <si>
    <t>Asia ( Excl Korea and China)</t>
  </si>
  <si>
    <t>Europe</t>
  </si>
  <si>
    <t>Net cost of revenues</t>
  </si>
  <si>
    <t>Revenue by Geography (% Share)</t>
  </si>
  <si>
    <t>Revenue by Geography (% YoY Growth)</t>
  </si>
  <si>
    <t>(KRW billions)</t>
  </si>
  <si>
    <t>Cost of goods sold</t>
  </si>
  <si>
    <t>SG&amp;A Expense</t>
  </si>
  <si>
    <t>Operating Profit</t>
  </si>
  <si>
    <t>Net Financial Profit/Loss</t>
  </si>
  <si>
    <t>Net F/X Transaction &amp; Translation P/L</t>
  </si>
  <si>
    <t>Net Income(Expense) From Jointly Controlled Entities &amp; Associates</t>
  </si>
  <si>
    <t>Income Before Tax</t>
  </si>
  <si>
    <t>Tax Expense/Benefit</t>
  </si>
  <si>
    <t>Net Profit</t>
  </si>
  <si>
    <t>CASH FLOW STATEMENT</t>
  </si>
  <si>
    <t>Beginning Cash Balance</t>
  </si>
  <si>
    <t>CF from Operating Activities</t>
  </si>
  <si>
    <t>Net Profit (Loss)</t>
  </si>
  <si>
    <t>D&amp;A</t>
  </si>
  <si>
    <t>Changes in Working Capital, etc.</t>
  </si>
  <si>
    <t>CF from Investing Activities</t>
  </si>
  <si>
    <t>Acquisition of PP&amp;E</t>
  </si>
  <si>
    <t>CF from Financing Activities</t>
  </si>
  <si>
    <t>Changes in Debt</t>
  </si>
  <si>
    <t>Repayment of Lease Liability</t>
  </si>
  <si>
    <t>Dividend Payout</t>
  </si>
  <si>
    <t>Effect of F/X rate changes on Cash &amp; Equivalents</t>
  </si>
  <si>
    <t>Net Changes in Cash</t>
  </si>
  <si>
    <t>Ending Cash Balance</t>
  </si>
  <si>
    <t>BALANCE SHEET STATEMENT</t>
  </si>
  <si>
    <t>Current Assets</t>
  </si>
  <si>
    <t>Cash &amp; Cash Equivalents</t>
  </si>
  <si>
    <t>Accounts Receivables</t>
  </si>
  <si>
    <t>Inventories</t>
  </si>
  <si>
    <t>Non-Current Assets</t>
  </si>
  <si>
    <t>Property, Plant &amp; Equipment</t>
  </si>
  <si>
    <t>Intangible Assets</t>
  </si>
  <si>
    <t>Total Assets</t>
  </si>
  <si>
    <t>Liabilites</t>
  </si>
  <si>
    <t>Interest-bearing Debts</t>
  </si>
  <si>
    <t>S-T Borrowings</t>
  </si>
  <si>
    <t>Current Portion of L-T Borrowings</t>
  </si>
  <si>
    <t>Bonds</t>
  </si>
  <si>
    <t>L-T Borrowings</t>
  </si>
  <si>
    <t>Accounts Payables</t>
  </si>
  <si>
    <t>Total Liabilities</t>
  </si>
  <si>
    <t>Shareholders' Equity</t>
  </si>
  <si>
    <t>Capital Stock</t>
  </si>
  <si>
    <t>Capital Surplus</t>
  </si>
  <si>
    <t>Retained Earnings</t>
  </si>
  <si>
    <t>Total Shareholders' Equity</t>
  </si>
  <si>
    <t>Gross Debt</t>
  </si>
  <si>
    <t>Annualized EBITDA</t>
  </si>
  <si>
    <t>Gross Leverage (EBITDA Annualized)</t>
  </si>
  <si>
    <t>Net Leverage (EBITDA Annualized)</t>
  </si>
  <si>
    <t>Gross leverage (LTM EBITDA)</t>
  </si>
  <si>
    <t>Net leverage (LTM EBITDA)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</si>
</sst>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#,##0.0_);\(#,##0.0\)"/>
    <numFmt numFmtId="167" formatCode="#0.0%_);\(#0.0%\)"/>
    <numFmt numFmtId="168" formatCode="#0.00\x"/>
    <numFmt numFmtId="169" formatCode="mmm\ yyyy"/>
    <numFmt numFmtId="170" formatCode="0.0%"/>
    <numFmt numFmtId="171" formatCode="_(* #,##0.0_);_(* \(#,##0.0\);_(* &quot;-&quot;??_);_(@_)"/>
    <numFmt numFmtId="172" formatCode="_(* #,##0.000_);_(* \(#,##0.000\);_(* &quot;-&quot;??_);_(@_)"/>
    <numFmt numFmtId="173" formatCode="_(* #,##0_);_(* \(#,##0\);_(* &quot;-&quot;??_);_(@_)"/>
    <numFmt numFmtId="174" formatCode="#,##0.0\ ;\(#,##0.0\)"/>
    <numFmt numFmtId="175" formatCode="&quot;$&quot;#,##0.00_)&quot;per share&quot;;\(&quot;$&quot;#,##0.00\)&quot; per share&quot;"/>
    <numFmt numFmtId="176" formatCode="0.0_)\%;\(0.0\)\%;0.0_)\%;@_)_%"/>
    <numFmt numFmtId="177" formatCode="#,##0.0_)_%;\(#,##0.0\)_%;0.0_)_%;@_)_%"/>
    <numFmt numFmtId="178" formatCode="#,##0.0_);\(#,##0.0\);#,##0.0_);@_)"/>
    <numFmt numFmtId="179" formatCode="&quot;$&quot;_(#,##0.00_);&quot;$&quot;\(#,##0.00\);&quot;$&quot;_(0.00_);@_)"/>
    <numFmt numFmtId="180" formatCode="&quot;$&quot;_(#,##0.00_);&quot;$&quot;\(#,##0.00\)"/>
    <numFmt numFmtId="181" formatCode="#,##0.00_);\(#,##0.00\);0.00_);@_)"/>
    <numFmt numFmtId="182" formatCode="\€_(#,##0.00_);\€\(#,##0.00\);\€_(0.00_);@_)"/>
    <numFmt numFmtId="183" formatCode="#,##0_)\x;\(#,##0\)\x;0_)\x;@_)_x"/>
    <numFmt numFmtId="184" formatCode="#,##0.0_)\x;\(#,##0.0\)\x"/>
    <numFmt numFmtId="185" formatCode="#,##0_)_x;\(#,##0\)_x;0_)_x;@_)_x"/>
    <numFmt numFmtId="186" formatCode="#,##0.0_)_x;\(#,##0.0\)_x"/>
    <numFmt numFmtId="187" formatCode="0.0_)\%;\(0.0\)\%"/>
    <numFmt numFmtId="188" formatCode="#,##0.0_)_%;\(#,##0.0\)_%"/>
    <numFmt numFmtId="189" formatCode="_(\£* #,##0_);_(\£* \(#,##0\);_(\£* &quot;-&quot;_);_(@_)"/>
    <numFmt numFmtId="190" formatCode="_(\£* #,##0.0_);_(\£* \(#,##0.0\);_(\£* &quot;-&quot;_);_(@_)"/>
    <numFmt numFmtId="191" formatCode="_(\£* #,##0.00_);_(\£* \(#,##0.00\);_(\£* &quot;-&quot;_);_(@_)"/>
    <numFmt numFmtId="192" formatCode="_(* #,##0\p_);_(* \(#,##0\p\);_(* &quot;-&quot;\ \p_);_(@_)"/>
    <numFmt numFmtId="193" formatCode="_(* #,##0.00\p_);_(* \(#,##0.00\p\);_(* &quot;-&quot;\ \p_);_(@_)"/>
    <numFmt numFmtId="194" formatCode="\£#,##0.00"/>
    <numFmt numFmtId="195" formatCode="&quot;$&quot;&quot; &quot;#,##0_);\(&quot;$&quot;&quot; &quot;#,##0\);\-_)"/>
    <numFmt numFmtId="196" formatCode="#,##0_);\(#,##0\);\-_)"/>
    <numFmt numFmtId="197" formatCode="&quot;$&quot;#,##0_);[Red]\(&quot;$&quot;#,##0\);&quot;-&quot;"/>
    <numFmt numFmtId="198" formatCode="[Blue]0.0%;[Blue]\-0.0%"/>
    <numFmt numFmtId="199" formatCode="\£#,##0_);\(\£#,##0\)"/>
    <numFmt numFmtId="200" formatCode="&quot;fl&quot;#,##0_);\(&quot;fl&quot;#,##0\)"/>
    <numFmt numFmtId="201" formatCode="&quot;$&quot;\ #,##0_);\(&quot;$&quot;\ #,##0\)"/>
    <numFmt numFmtId="202" formatCode="_(&quot;R$&quot;* #,##0.00_);_(&quot;R$&quot;* \(#,##0.00\);_(&quot;R$&quot;* &quot;-&quot;??_);_(@_)"/>
    <numFmt numFmtId="203" formatCode="0.0\x;[Red]\(0.0\x\)"/>
    <numFmt numFmtId="204" formatCode="#,##0.0_);\(#,##0.0\);&quot;—&quot;_)"/>
    <numFmt numFmtId="205" formatCode="&quot;$&quot;#,##0.0_);\(&quot;$&quot;#,##0.0\);&quot;—&quot;_)"/>
    <numFmt numFmtId="206" formatCode="0.000000000%"/>
    <numFmt numFmtId="207" formatCode="#,##0.0000"/>
    <numFmt numFmtId="208" formatCode="mm/dd/yy"/>
    <numFmt numFmtId="209" formatCode="&quot;$&quot;#,##0.00"/>
    <numFmt numFmtId="210" formatCode="_([$€-2]* #,##0.00_);_([$€-2]* \(#,##0.00\);_([$€-2]* &quot;-&quot;??_)"/>
    <numFmt numFmtId="211" formatCode="#&quot; mon&quot;"/>
    <numFmt numFmtId="212" formatCode="#,##0\ &quot;F&quot;;[Red]\-#,##0\ &quot;F&quot;"/>
    <numFmt numFmtId="213" formatCode="#,##0.00\ &quot;F&quot;;[Red]\-#,##0.00\ &quot;F&quot;"/>
    <numFmt numFmtId="214" formatCode="#,##0.0\x_)_);\(#,##0.0\x\)_);#,##0.0\x_)_);@_%_)"/>
    <numFmt numFmtId="215" formatCode="_(* #,##0.00\ ___);_(* \(#,##0.00\ __\);_(* &quot;-&quot;??_);_(@_)"/>
    <numFmt numFmtId="216" formatCode="0%\);[Red]\(0%"/>
    <numFmt numFmtId="217" formatCode="_(* #,##0\ ___);_(* \(#,##0\ __\);_(* &quot;-&quot;??_);_(@_)"/>
    <numFmt numFmtId="218" formatCode="_(* #,##0\ \x_);_(* \(#,##0\ \x\);_(* &quot;-&quot;??_);_(@_)"/>
    <numFmt numFmtId="219" formatCode="0%_);[Red]\(0%\)"/>
    <numFmt numFmtId="220" formatCode="_(* #,##0.0\ ___);_(* \(#,##0.0\ __\);_(* &quot;-&quot;??_);_(@_)"/>
    <numFmt numFmtId="221" formatCode="_(* #,##0.0\ \x_);_(* \(#,##0.0\ \x\);_(* &quot;-&quot;??_);_(@_)"/>
    <numFmt numFmtId="222" formatCode="#,##0&quot; F&quot;_);\(#,##0&quot; F&quot;\)"/>
    <numFmt numFmtId="223" formatCode="_(* #,##0.00_);_(* \(\ #,##0.00\ \);_(* &quot;&quot;??_);_(\ @_ \)"/>
    <numFmt numFmtId="224" formatCode="0.00_)"/>
    <numFmt numFmtId="225" formatCode="_(* #,##0.0_);_(* \(#,##0.0\);_(* &quot;-&quot;?_);_(@_)"/>
    <numFmt numFmtId="226" formatCode="0.00%\ &quot;Ramped&quot;\ "/>
    <numFmt numFmtId="227" formatCode="0.00%\ &quot;Ramped&quot;"/>
    <numFmt numFmtId="228" formatCode="0.0000"/>
    <numFmt numFmtId="229" formatCode="0.000"/>
    <numFmt numFmtId="230" formatCode="&quot;Diversity =&quot;\ #.0"/>
    <numFmt numFmtId="231" formatCode="&quot;Ratings Factor =&quot;\ #"/>
    <numFmt numFmtId="232" formatCode="&quot;Page &quot;0"/>
    <numFmt numFmtId="233" formatCode="&quot;\&quot;#,##0.00;[Red]\-&quot;\&quot;#,##0.00"/>
    <numFmt numFmtId="234" formatCode="0.0_%"/>
    <numFmt numFmtId="235" formatCode="_(0.0%;_(* \(0.0\)%"/>
    <numFmt numFmtId="236" formatCode="_(* #,##0.0000_);_(* \(#,##0.0000\);_(* &quot;-&quot;??_);_(@_)"/>
    <numFmt numFmtId="237" formatCode="0&quot; bps&quot;"/>
    <numFmt numFmtId="238" formatCode="&quot;WAS =&quot;\ #.00"/>
    <numFmt numFmtId="239" formatCode="&quot;Avg. Px.=&quot;#.00"/>
    <numFmt numFmtId="240" formatCode="&quot;WAL=&quot;#.00"/>
    <numFmt numFmtId="241" formatCode="#.00\ &quot;years&quot;"/>
    <numFmt numFmtId="242" formatCode="&quot;2nd Lien=&quot;#"/>
    <numFmt numFmtId="243" formatCode="&quot;WAPP=&quot;#.00"/>
    <numFmt numFmtId="244" formatCode="&quot;WAS=&quot;#.00"/>
    <numFmt numFmtId="245" formatCode="&quot;WAC=&quot;#.00"/>
    <numFmt numFmtId="246" formatCode="&quot;$&quot;#,##0.0_);\(&quot;$&quot;#,##0.0\)"/>
    <numFmt numFmtId="247" formatCode="#,###,;\(#,###,\)"/>
    <numFmt numFmtId="248" formatCode="000\-00\-0000"/>
    <numFmt numFmtId="249" formatCode="&quot;$&quot;#,##0.0000"/>
    <numFmt numFmtId="250" formatCode="&quot;$&quot;#,##0.000000"/>
    <numFmt numFmtId="251" formatCode="&quot;$&quot;#,##0.000"/>
    <numFmt numFmtId="252" formatCode="000000000"/>
    <numFmt numFmtId="253" formatCode="000"/>
    <numFmt numFmtId="254" formatCode="hh:mm\ AM/PM_)"/>
    <numFmt numFmtId="255" formatCode="#.0&quot;x&quot;"/>
    <numFmt numFmtId="256" formatCode="yyyy"/>
    <numFmt numFmtId="257" formatCode="\¥#,##0_);\(\¥#,##0\)"/>
    <numFmt numFmtId="258" formatCode="#0.0\x"/>
    <numFmt numFmtId="259" formatCode="0.0\x"/>
    <numFmt numFmtId="260" formatCode="0.0"/>
    <numFmt numFmtId="261" formatCode="#,##0.000_);\(#,##0.000\)"/>
    <numFmt numFmtId="262" formatCode="#,##0.0"/>
    <numFmt numFmtId="263" formatCode="_ * #,##0.0_ ;_ * \-#,##0.0_ ;_ * &quot;-&quot;??_ ;_ @_ "/>
  </numFmts>
  <fonts count="13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b/>
      <u val="singleAccounting"/>
      <sz val="8"/>
      <color indexed="8"/>
      <name val="Arial"/>
      <family val="2"/>
    </font>
    <font>
      <sz val="1"/>
      <color indexed="9"/>
      <name val="Symbol"/>
      <family val="1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b/>
      <sz val="13"/>
      <color indexed="8"/>
      <name val="Verdana"/>
      <family val="2"/>
    </font>
    <font>
      <b/>
      <sz val="8"/>
      <name val="Arial"/>
      <family val="2"/>
    </font>
    <font>
      <u val="singleAccounting"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12"/>
      <name val="Times New Roman"/>
      <family val="1"/>
    </font>
    <font>
      <i/>
      <sz val="10"/>
      <name val="Times New Roman"/>
      <family val="1"/>
    </font>
    <font>
      <sz val="9"/>
      <name val="Arial"/>
      <family val="2"/>
    </font>
    <font>
      <sz val="8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0"/>
      <name val="Book Antiqua"/>
      <family val="1"/>
    </font>
    <font>
      <sz val="8"/>
      <name val="Times"/>
      <family val="1"/>
    </font>
    <font>
      <b/>
      <sz val="12"/>
      <name val="Times"/>
      <family val="1"/>
    </font>
    <font>
      <sz val="12"/>
      <name val="Arial"/>
      <family val="2"/>
    </font>
    <font>
      <sz val="10"/>
      <color indexed="8"/>
      <name val="Times New Roman"/>
      <family val="1"/>
    </font>
    <font>
      <sz val="8"/>
      <color indexed="12"/>
      <name val="Times"/>
      <family val="1"/>
    </font>
    <font>
      <sz val="8"/>
      <name val="Helv"/>
    </font>
    <font>
      <sz val="12"/>
      <name val="Times"/>
      <family val="1"/>
    </font>
    <font>
      <b/>
      <i/>
      <sz val="10"/>
      <name val="Arial"/>
      <family val="2"/>
    </font>
    <font>
      <b/>
      <i/>
      <sz val="12"/>
      <name val="Times New Roman"/>
      <family val="1"/>
    </font>
    <font>
      <b/>
      <u/>
      <sz val="8"/>
      <color indexed="8"/>
      <name val="Times New Roman"/>
      <family val="1"/>
    </font>
    <font>
      <b/>
      <sz val="9"/>
      <color indexed="8"/>
      <name val="Times New Roman"/>
      <family val="1"/>
    </font>
    <font>
      <i/>
      <sz val="8"/>
      <name val="Arial"/>
      <family val="2"/>
    </font>
    <font>
      <b/>
      <i/>
      <sz val="8"/>
      <name val="Arial"/>
      <family val="2"/>
    </font>
    <font>
      <b/>
      <sz val="8"/>
      <name val="Book Antiqua"/>
      <family val="1"/>
    </font>
    <font>
      <sz val="14"/>
      <name val="Arial"/>
      <family val="2"/>
    </font>
    <font>
      <sz val="8"/>
      <color indexed="12"/>
      <name val="Times New Roman"/>
      <family val="1"/>
    </font>
    <font>
      <b/>
      <sz val="14"/>
      <name val="Book Antiqua"/>
      <family val="1"/>
    </font>
    <font>
      <sz val="10"/>
      <name val="MS Serif"/>
      <family val="1"/>
    </font>
    <font>
      <sz val="10"/>
      <name val="MS Sans Serif"/>
      <family val="2"/>
    </font>
    <font>
      <sz val="12"/>
      <name val="Times New Roman"/>
      <family val="1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b/>
      <i/>
      <sz val="9"/>
      <color indexed="4"/>
      <name val="Times New Roman"/>
      <family val="1"/>
    </font>
    <font>
      <sz val="7"/>
      <name val="Arial"/>
      <family val="2"/>
    </font>
    <font>
      <b/>
      <sz val="14"/>
      <name val="Arial"/>
      <family val="2"/>
    </font>
    <font>
      <u/>
      <sz val="8"/>
      <name val="Times New Roman"/>
      <family val="1"/>
    </font>
    <font>
      <b/>
      <sz val="12"/>
      <color indexed="9"/>
      <name val="Times"/>
      <family val="1"/>
    </font>
    <font>
      <b/>
      <i/>
      <sz val="18"/>
      <color indexed="4"/>
      <name val="Times New Roman"/>
      <family val="1"/>
    </font>
    <font>
      <b/>
      <sz val="12"/>
      <name val="Arial"/>
      <family val="2"/>
    </font>
    <font>
      <b/>
      <sz val="8"/>
      <name val="Palatino"/>
      <family val="1"/>
    </font>
    <font>
      <b/>
      <sz val="9"/>
      <name val="Arial"/>
      <family val="2"/>
    </font>
    <font>
      <b/>
      <sz val="8"/>
      <name val="MS Sans Serif"/>
      <family val="2"/>
    </font>
    <font>
      <b/>
      <i/>
      <sz val="10"/>
      <name val="Times New Roman"/>
      <family val="1"/>
    </font>
    <font>
      <b/>
      <sz val="10"/>
      <name val="Palatino"/>
      <family val="1"/>
    </font>
    <font>
      <sz val="8"/>
      <name val="Book Antiqua"/>
      <family val="1"/>
    </font>
    <font>
      <sz val="10"/>
      <name val="Geneva"/>
      <family val="2"/>
    </font>
    <font>
      <i/>
      <sz val="7"/>
      <name val="Book Antiqua"/>
      <family val="1"/>
    </font>
    <font>
      <sz val="8"/>
      <name val="Palatino"/>
      <family val="1"/>
    </font>
    <font>
      <b/>
      <i/>
      <sz val="16"/>
      <name val="Helv"/>
    </font>
    <font>
      <sz val="10"/>
      <color indexed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0"/>
      <color indexed="12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sz val="8"/>
      <color indexed="72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u/>
      <sz val="8"/>
      <name val="Book Antiqua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Arial MT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7"/>
      <color indexed="12"/>
      <name val="Arial"/>
      <family val="2"/>
    </font>
    <font>
      <sz val="8"/>
      <name val="Wingdings"/>
      <charset val="2"/>
    </font>
    <font>
      <sz val="9"/>
      <color indexed="8"/>
      <name val="Times New Roman"/>
      <family val="1"/>
    </font>
    <font>
      <sz val="8"/>
      <name val="MS Sans Serif"/>
      <family val="2"/>
    </font>
    <font>
      <b/>
      <sz val="8"/>
      <color indexed="10"/>
      <name val="Times New Roman"/>
      <family val="1"/>
    </font>
    <font>
      <b/>
      <sz val="8"/>
      <color indexed="8"/>
      <name val="Helv"/>
    </font>
    <font>
      <b/>
      <sz val="14"/>
      <color indexed="8"/>
      <name val="Times New Roman"/>
      <family val="1"/>
    </font>
    <font>
      <b/>
      <u/>
      <sz val="14"/>
      <name val="Book Antiqua"/>
      <family val="1"/>
    </font>
    <font>
      <b/>
      <sz val="10"/>
      <name val="Book Antiqua"/>
      <family val="1"/>
    </font>
    <font>
      <b/>
      <sz val="7"/>
      <name val="Arial"/>
      <family val="2"/>
    </font>
    <font>
      <b/>
      <sz val="7"/>
      <color indexed="12"/>
      <name val="Arial"/>
      <family val="2"/>
    </font>
    <font>
      <b/>
      <u/>
      <sz val="10"/>
      <name val="Book Antiqua"/>
      <family val="1"/>
    </font>
    <font>
      <b/>
      <sz val="8"/>
      <name val="Times New Roman"/>
      <family val="1"/>
    </font>
    <font>
      <b/>
      <sz val="11"/>
      <color indexed="9"/>
      <name val="Calibri"/>
      <family val="2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8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lightGray">
        <fgColor indexed="15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56"/>
        <bgColor indexed="64"/>
      </patternFill>
    </fill>
    <fill>
      <patternFill patternType="solid">
        <fgColor indexed="15"/>
        <bgColor indexed="64"/>
      </patternFill>
    </fill>
    <fill>
      <patternFill patternType="lightGray">
        <fgColor indexed="13"/>
      </patternFill>
    </fill>
    <fill>
      <patternFill patternType="solid">
        <fgColor rgb="FF4F81B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3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4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 style="thick">
        <color indexed="9"/>
      </left>
      <right style="thick">
        <color indexed="9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29">
    <xf numFmtId="0" fontId="0" fillId="0" borderId="0"/>
    <xf numFmtId="174" fontId="31" fillId="0" borderId="0"/>
    <xf numFmtId="0" fontId="32" fillId="0" borderId="0">
      <alignment horizontal="right"/>
    </xf>
    <xf numFmtId="0" fontId="11" fillId="0" borderId="0"/>
    <xf numFmtId="175" fontId="27" fillId="0" borderId="0" applyFont="0" applyFill="0" applyBorder="0" applyAlignment="0"/>
    <xf numFmtId="176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 applyNumberFormat="0" applyFill="0" applyBorder="0" applyAlignment="0" applyProtection="0">
      <alignment horizontal="left" wrapText="1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1" fillId="0" borderId="0" applyNumberFormat="0" applyFill="0" applyBorder="0" applyAlignment="0" applyProtection="0">
      <alignment horizontal="left" wrapText="1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vertical="top"/>
    </xf>
    <xf numFmtId="0" fontId="11" fillId="0" borderId="0" applyNumberFormat="0" applyFill="0" applyBorder="0" applyAlignment="0" applyProtection="0">
      <alignment horizontal="left" wrapText="1"/>
    </xf>
    <xf numFmtId="0" fontId="11" fillId="0" borderId="0">
      <alignment vertical="top"/>
    </xf>
    <xf numFmtId="178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39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" fillId="2" borderId="0" applyNumberFormat="0" applyFont="0" applyAlignment="0" applyProtection="0"/>
    <xf numFmtId="0" fontId="11" fillId="0" borderId="0" applyFont="0" applyFill="0" applyBorder="0" applyAlignment="0" applyProtection="0"/>
    <xf numFmtId="183" fontId="11" fillId="0" borderId="0" applyFont="0" applyFill="0" applyBorder="0" applyAlignment="0" applyProtection="0"/>
    <xf numFmtId="184" fontId="11" fillId="0" borderId="0" applyFont="0" applyFill="0" applyBorder="0" applyAlignment="0" applyProtection="0"/>
    <xf numFmtId="185" fontId="11" fillId="0" borderId="0" applyFont="0" applyFill="0" applyBorder="0" applyProtection="0">
      <alignment horizontal="right"/>
    </xf>
    <xf numFmtId="186" fontId="11" fillId="0" borderId="0" applyFont="0" applyFill="0" applyBorder="0" applyAlignment="0" applyProtection="0"/>
    <xf numFmtId="0" fontId="11" fillId="0" borderId="0">
      <alignment horizontal="left" wrapText="1"/>
    </xf>
    <xf numFmtId="0" fontId="11" fillId="0" borderId="0">
      <alignment horizontal="left" wrapText="1"/>
    </xf>
    <xf numFmtId="187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34" fillId="0" borderId="0" applyNumberFormat="0" applyFill="0" applyBorder="0" applyProtection="0">
      <alignment vertical="top"/>
    </xf>
    <xf numFmtId="0" fontId="34" fillId="0" borderId="0" applyNumberFormat="0" applyFill="0" applyBorder="0" applyProtection="0">
      <alignment vertical="top"/>
    </xf>
    <xf numFmtId="0" fontId="35" fillId="0" borderId="1" applyNumberFormat="0" applyFill="0" applyAlignment="0" applyProtection="0"/>
    <xf numFmtId="0" fontId="36" fillId="0" borderId="2" applyNumberFormat="0" applyFill="0" applyProtection="0">
      <alignment horizontal="center"/>
    </xf>
    <xf numFmtId="0" fontId="36" fillId="0" borderId="0" applyNumberFormat="0" applyFill="0" applyBorder="0" applyProtection="0">
      <alignment horizontal="left"/>
    </xf>
    <xf numFmtId="0" fontId="37" fillId="0" borderId="0" applyNumberFormat="0" applyFill="0" applyBorder="0" applyProtection="0">
      <alignment horizontal="centerContinuous"/>
    </xf>
    <xf numFmtId="189" fontId="38" fillId="0" borderId="0" applyFont="0" applyFill="0" applyBorder="0" applyAlignment="0" applyProtection="0"/>
    <xf numFmtId="190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2" fontId="38" fillId="0" borderId="0" applyFont="0" applyFill="0" applyBorder="0" applyAlignment="0" applyProtection="0"/>
    <xf numFmtId="193" fontId="38" fillId="0" borderId="0" applyFont="0" applyFill="0" applyBorder="0" applyAlignment="0" applyProtection="0"/>
    <xf numFmtId="194" fontId="39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40" fillId="0" borderId="0" applyNumberFormat="0" applyFont="0" applyFill="0" applyBorder="0" applyProtection="0">
      <alignment horizontal="centerContinuous"/>
    </xf>
    <xf numFmtId="0" fontId="8" fillId="0" borderId="0" applyNumberFormat="0" applyFill="0" applyBorder="0" applyAlignment="0">
      <protection locked="0"/>
    </xf>
    <xf numFmtId="0" fontId="41" fillId="0" borderId="0"/>
    <xf numFmtId="0" fontId="42" fillId="0" borderId="0"/>
    <xf numFmtId="0" fontId="32" fillId="0" borderId="0">
      <alignment horizontal="center" wrapText="1"/>
      <protection locked="0"/>
    </xf>
    <xf numFmtId="0" fontId="11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7" fillId="3" borderId="0" applyNumberFormat="0" applyBorder="0" applyAlignment="0">
      <protection locked="0"/>
    </xf>
    <xf numFmtId="195" fontId="27" fillId="0" borderId="0" applyFont="0" applyFill="0" applyBorder="0" applyAlignment="0" applyProtection="0"/>
    <xf numFmtId="196" fontId="44" fillId="0" borderId="0" applyFont="0" applyFill="0" applyBorder="0" applyAlignment="0" applyProtection="0"/>
    <xf numFmtId="197" fontId="27" fillId="0" borderId="0" applyFont="0" applyFill="0" applyBorder="0" applyAlignment="0" applyProtection="0"/>
    <xf numFmtId="0" fontId="109" fillId="25" borderId="0"/>
    <xf numFmtId="0" fontId="45" fillId="0" borderId="0" applyNumberFormat="0" applyFill="0" applyBorder="0" applyAlignment="0" applyProtection="0"/>
    <xf numFmtId="198" fontId="46" fillId="0" borderId="0"/>
    <xf numFmtId="0" fontId="47" fillId="0" borderId="0" applyNumberFormat="0" applyFill="0" applyBorder="0" applyAlignment="0" applyProtection="0"/>
    <xf numFmtId="0" fontId="10" fillId="0" borderId="0"/>
    <xf numFmtId="0" fontId="48" fillId="0" borderId="0"/>
    <xf numFmtId="0" fontId="40" fillId="0" borderId="3" applyNumberFormat="0" applyFont="0" applyFill="0" applyAlignment="0" applyProtection="0"/>
    <xf numFmtId="0" fontId="49" fillId="0" borderId="4" applyFill="0" applyProtection="0">
      <alignment horizontal="right"/>
    </xf>
    <xf numFmtId="199" fontId="2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50" fillId="0" borderId="0"/>
    <xf numFmtId="0" fontId="31" fillId="0" borderId="0" applyFill="0" applyBorder="0" applyAlignment="0"/>
    <xf numFmtId="0" fontId="31" fillId="0" borderId="0" applyFill="0" applyBorder="0" applyAlignment="0"/>
    <xf numFmtId="200" fontId="31" fillId="0" borderId="0" applyFill="0" applyBorder="0" applyAlignment="0"/>
    <xf numFmtId="201" fontId="31" fillId="0" borderId="0" applyFill="0" applyBorder="0" applyAlignment="0"/>
    <xf numFmtId="202" fontId="1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39" fontId="32" fillId="4" borderId="0" applyNumberFormat="0" applyFont="0" applyBorder="0" applyAlignment="0"/>
    <xf numFmtId="0" fontId="51" fillId="0" borderId="0"/>
    <xf numFmtId="0" fontId="40" fillId="0" borderId="0" applyNumberFormat="0" applyFont="0" applyFill="0" applyBorder="0" applyProtection="0">
      <alignment horizontal="center"/>
    </xf>
    <xf numFmtId="49" fontId="25" fillId="0" borderId="0" applyFill="0" applyBorder="0" applyProtection="0">
      <alignment horizontal="center"/>
    </xf>
    <xf numFmtId="49" fontId="52" fillId="0" borderId="0" applyFill="0" applyBorder="0" applyProtection="0">
      <alignment horizontal="center"/>
    </xf>
    <xf numFmtId="8" fontId="11" fillId="0" borderId="5" applyFont="0" applyFill="0" applyBorder="0" applyProtection="0">
      <alignment horizontal="right"/>
    </xf>
    <xf numFmtId="0" fontId="9" fillId="0" borderId="0"/>
    <xf numFmtId="0" fontId="7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4" fillId="0" borderId="3" applyNumberFormat="0" applyFill="0" applyBorder="0" applyAlignment="0" applyProtection="0">
      <alignment horizontal="center"/>
    </xf>
    <xf numFmtId="0" fontId="13" fillId="5" borderId="0"/>
    <xf numFmtId="203" fontId="11" fillId="0" borderId="0"/>
    <xf numFmtId="203" fontId="11" fillId="0" borderId="0"/>
    <xf numFmtId="203" fontId="11" fillId="0" borderId="0"/>
    <xf numFmtId="203" fontId="11" fillId="0" borderId="0"/>
    <xf numFmtId="203" fontId="11" fillId="0" borderId="0"/>
    <xf numFmtId="203" fontId="11" fillId="0" borderId="0"/>
    <xf numFmtId="203" fontId="11" fillId="0" borderId="0"/>
    <xf numFmtId="203" fontId="11" fillId="0" borderId="0"/>
    <xf numFmtId="204" fontId="55" fillId="0" borderId="0"/>
    <xf numFmtId="0" fontId="31" fillId="0" borderId="0" applyFont="0" applyFill="0" applyBorder="0" applyAlignment="0" applyProtection="0"/>
    <xf numFmtId="171" fontId="56" fillId="0" borderId="0" applyFont="0" applyFill="0" applyBorder="0" applyAlignment="0" applyProtection="0"/>
    <xf numFmtId="40" fontId="11" fillId="0" borderId="0" applyFont="0" applyFill="0" applyBorder="0" applyProtection="0">
      <alignment horizontal="right"/>
    </xf>
    <xf numFmtId="3" fontId="11" fillId="0" borderId="0" applyFill="0" applyBorder="0" applyAlignment="0" applyProtection="0"/>
    <xf numFmtId="3" fontId="7" fillId="0" borderId="0" applyFont="0" applyFill="0" applyBorder="0" applyAlignment="0" applyProtection="0"/>
    <xf numFmtId="3" fontId="25" fillId="0" borderId="0" applyFill="0" applyBorder="0" applyAlignment="0" applyProtection="0"/>
    <xf numFmtId="38" fontId="57" fillId="0" borderId="0" applyNumberFormat="0" applyFill="0" applyBorder="0">
      <alignment vertical="center"/>
    </xf>
    <xf numFmtId="0" fontId="58" fillId="0" borderId="0" applyNumberFormat="0" applyAlignment="0">
      <alignment horizontal="left"/>
    </xf>
    <xf numFmtId="7" fontId="11" fillId="0" borderId="0" applyFont="0" applyFill="0" applyBorder="0" applyAlignment="0" applyProtection="0"/>
    <xf numFmtId="205" fontId="55" fillId="0" borderId="0"/>
    <xf numFmtId="0" fontId="31" fillId="0" borderId="0" applyFont="0" applyFill="0" applyBorder="0" applyAlignment="0" applyProtection="0"/>
    <xf numFmtId="206" fontId="27" fillId="0" borderId="0" applyFont="0" applyFill="0" applyBorder="0" applyAlignment="0" applyProtection="0"/>
    <xf numFmtId="8" fontId="40" fillId="0" borderId="0" applyBorder="0"/>
    <xf numFmtId="207" fontId="11" fillId="0" borderId="0" applyNumberFormat="0">
      <alignment horizontal="right"/>
    </xf>
    <xf numFmtId="15" fontId="11" fillId="0" borderId="0" applyFont="0" applyFill="0" applyBorder="0" applyProtection="0">
      <alignment horizontal="right"/>
    </xf>
    <xf numFmtId="14" fontId="9" fillId="0" borderId="0" applyFill="0" applyBorder="0" applyAlignment="0"/>
    <xf numFmtId="15" fontId="11" fillId="0" borderId="0" applyFont="0" applyFill="0" applyBorder="0" applyProtection="0">
      <alignment horizontal="right"/>
    </xf>
    <xf numFmtId="208" fontId="25" fillId="0" borderId="0" applyFill="0" applyBorder="0" applyProtection="0">
      <alignment horizontal="left"/>
    </xf>
    <xf numFmtId="0" fontId="11" fillId="0" borderId="0">
      <alignment horizontal="left"/>
    </xf>
    <xf numFmtId="38" fontId="59" fillId="0" borderId="6">
      <alignment vertical="center"/>
    </xf>
    <xf numFmtId="209" fontId="39" fillId="0" borderId="0" applyFont="0" applyFill="0" applyBorder="0" applyAlignment="0" applyProtection="0"/>
    <xf numFmtId="4" fontId="6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7" applyNumberFormat="0" applyFont="0" applyFill="0" applyAlignment="0" applyProtection="0"/>
    <xf numFmtId="42" fontId="61" fillId="0" borderId="0" applyFill="0" applyBorder="0" applyAlignment="0" applyProtection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62" fillId="0" borderId="0" applyNumberFormat="0" applyAlignment="0">
      <alignment horizontal="left"/>
    </xf>
    <xf numFmtId="210" fontId="11" fillId="0" borderId="0" applyFont="0" applyFill="0" applyBorder="0" applyAlignment="0" applyProtection="0"/>
    <xf numFmtId="170" fontId="40" fillId="0" borderId="0" applyNumberFormat="0" applyFont="0" applyAlignment="0">
      <alignment vertical="center"/>
    </xf>
    <xf numFmtId="0" fontId="63" fillId="0" borderId="0">
      <alignment horizontal="center"/>
    </xf>
    <xf numFmtId="0" fontId="64" fillId="0" borderId="0" applyNumberFormat="0" applyFill="0" applyBorder="0" applyAlignment="0" applyProtection="0"/>
    <xf numFmtId="38" fontId="7" fillId="6" borderId="0" applyNumberFormat="0" applyBorder="0" applyAlignment="0" applyProtection="0"/>
    <xf numFmtId="0" fontId="10" fillId="7" borderId="8" applyAlignment="0" applyProtection="0"/>
    <xf numFmtId="0" fontId="65" fillId="0" borderId="3" applyFill="0" applyProtection="0">
      <alignment horizontal="centerContinuous"/>
    </xf>
    <xf numFmtId="41" fontId="66" fillId="0" borderId="0">
      <alignment horizontal="center"/>
    </xf>
    <xf numFmtId="0" fontId="11" fillId="0" borderId="0">
      <alignment horizontal="center"/>
    </xf>
    <xf numFmtId="0" fontId="11" fillId="0" borderId="0">
      <alignment horizontal="left"/>
    </xf>
    <xf numFmtId="0" fontId="11" fillId="0" borderId="0">
      <alignment horizontal="right"/>
    </xf>
    <xf numFmtId="0" fontId="67" fillId="8" borderId="0"/>
    <xf numFmtId="0" fontId="68" fillId="0" borderId="0">
      <alignment horizontal="center" vertical="center"/>
    </xf>
    <xf numFmtId="0" fontId="69" fillId="0" borderId="9" applyNumberFormat="0" applyAlignment="0" applyProtection="0">
      <alignment horizontal="left" vertical="center"/>
    </xf>
    <xf numFmtId="0" fontId="69" fillId="0" borderId="8">
      <alignment horizontal="left" vertical="center"/>
    </xf>
    <xf numFmtId="0" fontId="70" fillId="0" borderId="0">
      <alignment horizontal="center"/>
    </xf>
    <xf numFmtId="0" fontId="71" fillId="0" borderId="0" applyFill="0" applyBorder="0" applyProtection="0">
      <alignment horizontal="right"/>
    </xf>
    <xf numFmtId="0" fontId="72" fillId="0" borderId="10">
      <alignment horizontal="center"/>
    </xf>
    <xf numFmtId="0" fontId="72" fillId="0" borderId="0">
      <alignment horizontal="center"/>
    </xf>
    <xf numFmtId="10" fontId="45" fillId="0" borderId="0" applyNumberFormat="0" applyFill="0" applyBorder="0" applyAlignment="0" applyProtection="0">
      <alignment horizontal="right"/>
    </xf>
    <xf numFmtId="10" fontId="7" fillId="9" borderId="11" applyNumberFormat="0" applyBorder="0" applyAlignment="0" applyProtection="0"/>
    <xf numFmtId="0" fontId="14" fillId="0" borderId="0"/>
    <xf numFmtId="0" fontId="73" fillId="0" borderId="0"/>
    <xf numFmtId="0" fontId="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9" fontId="7" fillId="0" borderId="0" applyFont="0" applyFill="0" applyBorder="0" applyProtection="0">
      <alignment horizontal="left"/>
    </xf>
    <xf numFmtId="49" fontId="25" fillId="0" borderId="0" applyFill="0" applyBorder="0" applyProtection="0">
      <alignment horizontal="left"/>
    </xf>
    <xf numFmtId="49" fontId="25" fillId="0" borderId="3" applyFill="0" applyProtection="0">
      <alignment horizontal="left"/>
    </xf>
    <xf numFmtId="49" fontId="25" fillId="0" borderId="12" applyFill="0" applyProtection="0">
      <alignment horizontal="left"/>
    </xf>
    <xf numFmtId="0" fontId="74" fillId="0" borderId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166" fontId="11" fillId="0" borderId="0" applyNumberFormat="0" applyFont="0" applyFill="0" applyBorder="0" applyAlignment="0"/>
    <xf numFmtId="17" fontId="27" fillId="0" borderId="0"/>
    <xf numFmtId="0" fontId="32" fillId="0" borderId="0" applyNumberFormat="0" applyFill="0" applyBorder="0" applyProtection="0"/>
    <xf numFmtId="0" fontId="27" fillId="0" borderId="0" applyNumberFormat="0" applyFill="0" applyBorder="0" applyProtection="0"/>
    <xf numFmtId="38" fontId="75" fillId="0" borderId="0" applyNumberFormat="0" applyFill="0" applyBorder="0">
      <alignment horizontal="left" vertical="center"/>
    </xf>
    <xf numFmtId="165" fontId="11" fillId="0" borderId="0" applyFont="0" applyFill="0" applyBorder="0" applyAlignment="0" applyProtection="0"/>
    <xf numFmtId="38" fontId="76" fillId="0" borderId="0" applyFont="0" applyFill="0" applyBorder="0" applyAlignment="0" applyProtection="0"/>
    <xf numFmtId="40" fontId="76" fillId="0" borderId="0" applyFont="0" applyFill="0" applyBorder="0" applyAlignment="0" applyProtection="0"/>
    <xf numFmtId="170" fontId="77" fillId="0" borderId="0" applyFill="0" applyBorder="0">
      <alignment vertical="center"/>
    </xf>
    <xf numFmtId="211" fontId="32" fillId="0" borderId="0">
      <alignment horizontal="center"/>
    </xf>
    <xf numFmtId="212" fontId="76" fillId="0" borderId="0" applyFont="0" applyFill="0" applyBorder="0" applyAlignment="0" applyProtection="0"/>
    <xf numFmtId="213" fontId="76" fillId="0" borderId="0" applyFont="0" applyFill="0" applyBorder="0" applyAlignment="0" applyProtection="0"/>
    <xf numFmtId="7" fontId="11" fillId="0" borderId="0"/>
    <xf numFmtId="214" fontId="78" fillId="0" borderId="0" applyFont="0" applyFill="0" applyBorder="0" applyProtection="0">
      <alignment horizontal="right"/>
    </xf>
    <xf numFmtId="215" fontId="60" fillId="0" borderId="0" applyFont="0" applyFill="0" applyBorder="0" applyAlignment="0" applyProtection="0"/>
    <xf numFmtId="216" fontId="27" fillId="0" borderId="0" applyFont="0" applyFill="0" applyBorder="0" applyAlignment="0" applyProtection="0"/>
    <xf numFmtId="217" fontId="60" fillId="0" borderId="0" applyFont="0" applyFill="0" applyBorder="0" applyAlignment="0" applyProtection="0"/>
    <xf numFmtId="218" fontId="32" fillId="0" borderId="0" applyFont="0" applyFill="0" applyBorder="0" applyAlignment="0" applyProtection="0"/>
    <xf numFmtId="219" fontId="27" fillId="0" borderId="0" applyFont="0" applyFill="0" applyBorder="0" applyAlignment="0" applyProtection="0"/>
    <xf numFmtId="220" fontId="60" fillId="0" borderId="0" applyFont="0" applyFill="0" applyBorder="0" applyAlignment="0" applyProtection="0"/>
    <xf numFmtId="221" fontId="60" fillId="0" borderId="0" applyFont="0" applyFill="0" applyBorder="0" applyAlignment="0" applyProtection="0"/>
    <xf numFmtId="222" fontId="27" fillId="0" borderId="0" applyFont="0" applyFill="0" applyBorder="0" applyAlignment="0" applyProtection="0"/>
    <xf numFmtId="223" fontId="11" fillId="0" borderId="0"/>
    <xf numFmtId="0" fontId="15" fillId="10" borderId="0"/>
    <xf numFmtId="0" fontId="16" fillId="11" borderId="0"/>
    <xf numFmtId="0" fontId="17" fillId="0" borderId="0"/>
    <xf numFmtId="224" fontId="79" fillId="0" borderId="0"/>
    <xf numFmtId="0" fontId="11" fillId="0" borderId="0"/>
    <xf numFmtId="0" fontId="11" fillId="0" borderId="0"/>
    <xf numFmtId="0" fontId="80" fillId="0" borderId="0">
      <alignment horizontal="center"/>
    </xf>
    <xf numFmtId="0" fontId="28" fillId="0" borderId="0">
      <alignment horizontal="center" vertical="center"/>
    </xf>
    <xf numFmtId="0" fontId="27" fillId="0" borderId="13"/>
    <xf numFmtId="0" fontId="27" fillId="0" borderId="14"/>
    <xf numFmtId="49" fontId="27" fillId="0" borderId="14">
      <alignment horizontal="left"/>
    </xf>
    <xf numFmtId="0" fontId="27" fillId="0" borderId="15"/>
    <xf numFmtId="0" fontId="27" fillId="0" borderId="3"/>
    <xf numFmtId="0" fontId="27" fillId="0" borderId="16"/>
    <xf numFmtId="0" fontId="27" fillId="6" borderId="17"/>
    <xf numFmtId="0" fontId="28" fillId="6" borderId="12">
      <alignment horizontal="left"/>
    </xf>
    <xf numFmtId="0" fontId="28" fillId="6" borderId="18">
      <alignment horizontal="left"/>
    </xf>
    <xf numFmtId="0" fontId="27" fillId="6" borderId="12"/>
    <xf numFmtId="0" fontId="27" fillId="0" borderId="0">
      <alignment horizontal="left"/>
    </xf>
    <xf numFmtId="0" fontId="28" fillId="6" borderId="12">
      <alignment horizontal="left"/>
    </xf>
    <xf numFmtId="0" fontId="44" fillId="6" borderId="12">
      <alignment horizontal="left"/>
    </xf>
    <xf numFmtId="0" fontId="27" fillId="6" borderId="18"/>
    <xf numFmtId="0" fontId="27" fillId="0" borderId="13">
      <alignment horizontal="left"/>
    </xf>
    <xf numFmtId="0" fontId="27" fillId="0" borderId="0">
      <alignment horizontal="left"/>
    </xf>
    <xf numFmtId="0" fontId="27" fillId="0" borderId="14">
      <alignment horizontal="center"/>
    </xf>
    <xf numFmtId="0" fontId="27" fillId="0" borderId="0">
      <alignment horizontal="left"/>
    </xf>
    <xf numFmtId="0" fontId="28" fillId="6" borderId="17">
      <alignment horizontal="left"/>
    </xf>
    <xf numFmtId="0" fontId="27" fillId="0" borderId="13">
      <alignment horizontal="left"/>
    </xf>
    <xf numFmtId="0" fontId="27" fillId="0" borderId="13">
      <alignment horizontal="right"/>
    </xf>
    <xf numFmtId="173" fontId="28" fillId="0" borderId="0"/>
    <xf numFmtId="0" fontId="27" fillId="0" borderId="13"/>
    <xf numFmtId="170" fontId="27" fillId="0" borderId="14"/>
    <xf numFmtId="0" fontId="27" fillId="0" borderId="13"/>
    <xf numFmtId="0" fontId="27" fillId="0" borderId="13">
      <alignment horizontal="left"/>
    </xf>
    <xf numFmtId="0" fontId="28" fillId="6" borderId="17"/>
    <xf numFmtId="0" fontId="81" fillId="6" borderId="13">
      <alignment horizontal="left"/>
    </xf>
    <xf numFmtId="0" fontId="27" fillId="6" borderId="14"/>
    <xf numFmtId="0" fontId="28" fillId="6" borderId="13">
      <alignment horizontal="left"/>
    </xf>
    <xf numFmtId="0" fontId="27" fillId="0" borderId="13">
      <alignment horizontal="left"/>
    </xf>
    <xf numFmtId="0" fontId="27" fillId="0" borderId="13">
      <alignment horizontal="left"/>
    </xf>
    <xf numFmtId="14" fontId="80" fillId="0" borderId="0">
      <alignment horizontal="center"/>
    </xf>
    <xf numFmtId="49" fontId="82" fillId="0" borderId="13">
      <alignment horizontal="left"/>
    </xf>
    <xf numFmtId="0" fontId="82" fillId="0" borderId="13"/>
    <xf numFmtId="0" fontId="28" fillId="6" borderId="13">
      <alignment horizontal="left"/>
    </xf>
    <xf numFmtId="0" fontId="28" fillId="6" borderId="13"/>
    <xf numFmtId="49" fontId="27" fillId="0" borderId="14">
      <alignment horizontal="left"/>
    </xf>
    <xf numFmtId="0" fontId="80" fillId="0" borderId="13"/>
    <xf numFmtId="0" fontId="80" fillId="0" borderId="0">
      <alignment horizontal="center"/>
    </xf>
    <xf numFmtId="14" fontId="80" fillId="0" borderId="0">
      <alignment horizontal="center"/>
    </xf>
    <xf numFmtId="0" fontId="80" fillId="0" borderId="15"/>
    <xf numFmtId="0" fontId="27" fillId="0" borderId="3">
      <alignment horizontal="center"/>
    </xf>
    <xf numFmtId="0" fontId="27" fillId="0" borderId="0"/>
    <xf numFmtId="0" fontId="80" fillId="0" borderId="3">
      <alignment horizontal="center"/>
    </xf>
    <xf numFmtId="14" fontId="80" fillId="0" borderId="3">
      <alignment horizontal="center"/>
    </xf>
    <xf numFmtId="0" fontId="28" fillId="0" borderId="0">
      <alignment horizontal="left" vertical="center" wrapText="1"/>
    </xf>
    <xf numFmtId="0" fontId="28" fillId="6" borderId="9">
      <alignment horizontal="left" wrapText="1"/>
    </xf>
    <xf numFmtId="0" fontId="28" fillId="0" borderId="0">
      <alignment horizontal="right" vertical="center"/>
    </xf>
    <xf numFmtId="173" fontId="28" fillId="0" borderId="0">
      <alignment horizontal="right"/>
    </xf>
    <xf numFmtId="14" fontId="83" fillId="0" borderId="0">
      <alignment horizontal="center"/>
    </xf>
    <xf numFmtId="0" fontId="28" fillId="6" borderId="19">
      <alignment horizontal="center" wrapText="1"/>
    </xf>
    <xf numFmtId="0" fontId="60" fillId="0" borderId="0">
      <alignment horizontal="center" vertical="center"/>
    </xf>
    <xf numFmtId="1" fontId="84" fillId="0" borderId="0">
      <alignment horizontal="center" wrapText="1"/>
    </xf>
    <xf numFmtId="0" fontId="28" fillId="6" borderId="9">
      <alignment horizontal="center" wrapText="1"/>
    </xf>
    <xf numFmtId="0" fontId="84" fillId="6" borderId="20">
      <alignment horizontal="center" wrapText="1"/>
    </xf>
    <xf numFmtId="0" fontId="84" fillId="6" borderId="19">
      <alignment horizontal="left" wrapText="1"/>
    </xf>
    <xf numFmtId="0" fontId="27" fillId="0" borderId="14">
      <alignment horizontal="left"/>
    </xf>
    <xf numFmtId="0" fontId="60" fillId="0" borderId="0">
      <alignment horizontal="center"/>
    </xf>
    <xf numFmtId="2" fontId="60" fillId="12" borderId="0">
      <alignment horizontal="center"/>
    </xf>
    <xf numFmtId="0" fontId="27" fillId="0" borderId="0">
      <alignment horizontal="left" vertical="top"/>
    </xf>
    <xf numFmtId="16" fontId="27" fillId="0" borderId="0"/>
    <xf numFmtId="0" fontId="27" fillId="12" borderId="0"/>
    <xf numFmtId="14" fontId="27" fillId="0" borderId="0">
      <alignment horizontal="center"/>
    </xf>
    <xf numFmtId="2" fontId="60" fillId="0" borderId="12">
      <alignment horizontal="center" vertical="center"/>
    </xf>
    <xf numFmtId="0" fontId="28" fillId="6" borderId="0">
      <alignment horizontal="center"/>
    </xf>
    <xf numFmtId="2" fontId="60" fillId="0" borderId="0">
      <alignment horizontal="center"/>
    </xf>
    <xf numFmtId="2" fontId="60" fillId="0" borderId="0">
      <alignment horizontal="center"/>
    </xf>
    <xf numFmtId="0" fontId="27" fillId="0" borderId="0">
      <alignment horizontal="left" vertical="top"/>
    </xf>
    <xf numFmtId="15" fontId="27" fillId="0" borderId="0">
      <alignment horizontal="left" vertical="top"/>
    </xf>
    <xf numFmtId="0" fontId="27" fillId="0" borderId="0">
      <alignment horizontal="left" vertical="top"/>
    </xf>
    <xf numFmtId="14" fontId="27" fillId="0" borderId="0">
      <alignment horizontal="center" vertical="top"/>
    </xf>
    <xf numFmtId="0" fontId="60" fillId="0" borderId="0"/>
    <xf numFmtId="0" fontId="84" fillId="0" borderId="3"/>
    <xf numFmtId="14" fontId="84" fillId="0" borderId="3"/>
    <xf numFmtId="2" fontId="60" fillId="0" borderId="3">
      <alignment horizontal="center"/>
    </xf>
    <xf numFmtId="0" fontId="27" fillId="0" borderId="0">
      <alignment horizontal="center"/>
    </xf>
    <xf numFmtId="2" fontId="60" fillId="0" borderId="3">
      <alignment horizontal="center"/>
    </xf>
    <xf numFmtId="0" fontId="60" fillId="0" borderId="3"/>
    <xf numFmtId="0" fontId="60" fillId="0" borderId="3">
      <alignment horizontal="center"/>
    </xf>
    <xf numFmtId="0" fontId="60" fillId="0" borderId="3">
      <alignment horizontal="center"/>
    </xf>
    <xf numFmtId="0" fontId="28" fillId="0" borderId="0">
      <alignment horizontal="left" vertical="top"/>
    </xf>
    <xf numFmtId="0" fontId="28" fillId="0" borderId="0">
      <alignment horizontal="left" vertical="top"/>
    </xf>
    <xf numFmtId="0" fontId="27" fillId="0" borderId="0">
      <alignment horizontal="center" vertical="top"/>
    </xf>
    <xf numFmtId="43" fontId="60" fillId="0" borderId="0">
      <alignment horizontal="left"/>
    </xf>
    <xf numFmtId="173" fontId="27" fillId="0" borderId="0"/>
    <xf numFmtId="0" fontId="27" fillId="0" borderId="0">
      <alignment horizontal="center"/>
    </xf>
    <xf numFmtId="0" fontId="80" fillId="0" borderId="0"/>
    <xf numFmtId="43" fontId="27" fillId="0" borderId="0"/>
    <xf numFmtId="1" fontId="27" fillId="0" borderId="0"/>
    <xf numFmtId="0" fontId="28" fillId="0" borderId="0"/>
    <xf numFmtId="43" fontId="27" fillId="0" borderId="0">
      <alignment horizontal="center"/>
    </xf>
    <xf numFmtId="43" fontId="27" fillId="0" borderId="21"/>
    <xf numFmtId="43" fontId="27" fillId="0" borderId="22"/>
    <xf numFmtId="0" fontId="27" fillId="0" borderId="10"/>
    <xf numFmtId="43" fontId="27" fillId="0" borderId="0"/>
    <xf numFmtId="1" fontId="84" fillId="0" borderId="16">
      <alignment horizontal="center" wrapText="1"/>
    </xf>
    <xf numFmtId="0" fontId="60" fillId="0" borderId="0">
      <alignment horizontal="center"/>
    </xf>
    <xf numFmtId="0" fontId="27" fillId="0" borderId="0">
      <alignment horizontal="left"/>
    </xf>
    <xf numFmtId="0" fontId="60" fillId="0" borderId="0"/>
    <xf numFmtId="43" fontId="27" fillId="0" borderId="0">
      <alignment horizontal="center"/>
    </xf>
    <xf numFmtId="0" fontId="28" fillId="0" borderId="3">
      <alignment horizontal="left" vertical="top"/>
    </xf>
    <xf numFmtId="0" fontId="27" fillId="0" borderId="3">
      <alignment horizontal="center" vertical="top"/>
    </xf>
    <xf numFmtId="14" fontId="27" fillId="0" borderId="3">
      <alignment horizontal="center" vertical="top"/>
    </xf>
    <xf numFmtId="15" fontId="27" fillId="0" borderId="3">
      <alignment horizontal="left" vertical="top"/>
    </xf>
    <xf numFmtId="0" fontId="30" fillId="0" borderId="0"/>
    <xf numFmtId="225" fontId="27" fillId="0" borderId="0">
      <alignment vertical="top"/>
    </xf>
    <xf numFmtId="0" fontId="27" fillId="0" borderId="3">
      <alignment horizontal="left" vertical="top"/>
    </xf>
    <xf numFmtId="0" fontId="27" fillId="0" borderId="0">
      <alignment horizontal="center" wrapText="1"/>
    </xf>
    <xf numFmtId="0" fontId="27" fillId="0" borderId="0">
      <alignment horizontal="center"/>
    </xf>
    <xf numFmtId="0" fontId="27" fillId="0" borderId="0">
      <alignment horizontal="center" vertical="top"/>
    </xf>
    <xf numFmtId="0" fontId="28" fillId="0" borderId="0"/>
    <xf numFmtId="14" fontId="27" fillId="0" borderId="0">
      <alignment horizontal="center"/>
    </xf>
    <xf numFmtId="14" fontId="27" fillId="0" borderId="0">
      <alignment horizontal="left" vertical="top"/>
    </xf>
    <xf numFmtId="41" fontId="27" fillId="0" borderId="0"/>
    <xf numFmtId="3" fontId="28" fillId="0" borderId="23">
      <alignment horizontal="right" vertical="center"/>
    </xf>
    <xf numFmtId="173" fontId="28" fillId="0" borderId="22">
      <alignment horizontal="right"/>
    </xf>
    <xf numFmtId="226" fontId="84" fillId="0" borderId="0">
      <alignment wrapText="1"/>
    </xf>
    <xf numFmtId="0" fontId="27" fillId="0" borderId="0">
      <alignment horizontal="center"/>
    </xf>
    <xf numFmtId="227" fontId="28" fillId="0" borderId="10"/>
    <xf numFmtId="227" fontId="28" fillId="0" borderId="0"/>
    <xf numFmtId="0" fontId="27" fillId="0" borderId="0">
      <alignment vertical="top"/>
    </xf>
    <xf numFmtId="3" fontId="28" fillId="0" borderId="21">
      <alignment horizontal="right" vertical="center"/>
    </xf>
    <xf numFmtId="0" fontId="84" fillId="0" borderId="15">
      <alignment horizontal="center" wrapText="1"/>
    </xf>
    <xf numFmtId="3" fontId="28" fillId="0" borderId="24">
      <alignment horizontal="right" vertical="center"/>
    </xf>
    <xf numFmtId="3" fontId="28" fillId="0" borderId="0">
      <alignment horizontal="right" vertical="center"/>
    </xf>
    <xf numFmtId="173" fontId="28" fillId="0" borderId="10">
      <alignment horizontal="right"/>
    </xf>
    <xf numFmtId="0" fontId="9" fillId="0" borderId="25">
      <alignment wrapText="1"/>
    </xf>
    <xf numFmtId="228" fontId="9" fillId="0" borderId="25">
      <alignment horizontal="right" wrapText="1"/>
    </xf>
    <xf numFmtId="4" fontId="27" fillId="0" borderId="0">
      <alignment horizontal="center"/>
    </xf>
    <xf numFmtId="0" fontId="28" fillId="6" borderId="9">
      <alignment horizontal="center"/>
    </xf>
    <xf numFmtId="0" fontId="28" fillId="6" borderId="20">
      <alignment horizontal="center"/>
    </xf>
    <xf numFmtId="14" fontId="27" fillId="0" borderId="0">
      <alignment horizontal="center" vertical="top"/>
    </xf>
    <xf numFmtId="0" fontId="27" fillId="13" borderId="0">
      <alignment vertical="top"/>
    </xf>
    <xf numFmtId="0" fontId="27" fillId="13" borderId="0"/>
    <xf numFmtId="0" fontId="9" fillId="0" borderId="25">
      <alignment wrapText="1"/>
    </xf>
    <xf numFmtId="229" fontId="31" fillId="0" borderId="0">
      <alignment horizontal="right" vertical="center" wrapText="1"/>
    </xf>
    <xf numFmtId="0" fontId="31" fillId="0" borderId="0">
      <alignment horizontal="right" vertical="center" wrapText="1"/>
    </xf>
    <xf numFmtId="0" fontId="9" fillId="0" borderId="0">
      <alignment wrapText="1"/>
    </xf>
    <xf numFmtId="173" fontId="27" fillId="0" borderId="0"/>
    <xf numFmtId="0" fontId="27" fillId="13" borderId="0">
      <alignment horizontal="center"/>
    </xf>
    <xf numFmtId="0" fontId="28" fillId="13" borderId="0"/>
    <xf numFmtId="0" fontId="27" fillId="13" borderId="0">
      <alignment horizontal="center" vertical="top"/>
    </xf>
    <xf numFmtId="0" fontId="27" fillId="0" borderId="0">
      <alignment vertical="top"/>
    </xf>
    <xf numFmtId="14" fontId="27" fillId="13" borderId="0">
      <alignment horizontal="center" vertical="top"/>
    </xf>
    <xf numFmtId="15" fontId="27" fillId="13" borderId="0">
      <alignment horizontal="left" vertical="top"/>
    </xf>
    <xf numFmtId="0" fontId="27" fillId="13" borderId="0">
      <alignment horizontal="left" vertical="top"/>
    </xf>
    <xf numFmtId="14" fontId="27" fillId="13" borderId="0">
      <alignment horizontal="left" vertical="top"/>
    </xf>
    <xf numFmtId="0" fontId="27" fillId="14" borderId="0">
      <alignment horizontal="center"/>
    </xf>
    <xf numFmtId="0" fontId="28" fillId="14" borderId="0"/>
    <xf numFmtId="0" fontId="27" fillId="14" borderId="0">
      <alignment horizontal="center" vertical="top"/>
    </xf>
    <xf numFmtId="14" fontId="27" fillId="14" borderId="0">
      <alignment horizontal="center" vertical="top"/>
    </xf>
    <xf numFmtId="0" fontId="27" fillId="14" borderId="0">
      <alignment vertical="top"/>
    </xf>
    <xf numFmtId="15" fontId="27" fillId="14" borderId="0">
      <alignment horizontal="left" vertical="top"/>
    </xf>
    <xf numFmtId="15" fontId="80" fillId="0" borderId="0">
      <alignment horizontal="left"/>
    </xf>
    <xf numFmtId="0" fontId="27" fillId="14" borderId="0">
      <alignment horizontal="left" vertical="top"/>
    </xf>
    <xf numFmtId="173" fontId="27" fillId="14" borderId="0">
      <alignment vertical="top"/>
    </xf>
    <xf numFmtId="14" fontId="27" fillId="14" borderId="0">
      <alignment horizontal="left" vertical="top"/>
    </xf>
    <xf numFmtId="0" fontId="27" fillId="14" borderId="0">
      <alignment horizontal="center"/>
    </xf>
    <xf numFmtId="0" fontId="27" fillId="14" borderId="0"/>
    <xf numFmtId="0" fontId="28" fillId="14" borderId="0">
      <alignment horizontal="left" vertical="top"/>
    </xf>
    <xf numFmtId="14" fontId="27" fillId="14" borderId="0">
      <alignment horizontal="center" vertical="top"/>
    </xf>
    <xf numFmtId="0" fontId="60" fillId="14" borderId="0">
      <alignment horizontal="center"/>
    </xf>
    <xf numFmtId="0" fontId="80" fillId="14" borderId="0">
      <alignment horizontal="center"/>
    </xf>
    <xf numFmtId="0" fontId="27" fillId="14" borderId="0"/>
    <xf numFmtId="0" fontId="60" fillId="0" borderId="0"/>
    <xf numFmtId="0" fontId="28" fillId="0" borderId="0">
      <alignment horizontal="center"/>
    </xf>
    <xf numFmtId="0" fontId="28" fillId="0" borderId="0">
      <alignment horizontal="center"/>
    </xf>
    <xf numFmtId="173" fontId="28" fillId="6" borderId="23">
      <alignment horizontal="center"/>
    </xf>
    <xf numFmtId="173" fontId="28" fillId="6" borderId="24">
      <alignment horizontal="center"/>
    </xf>
    <xf numFmtId="2" fontId="60" fillId="0" borderId="0"/>
    <xf numFmtId="0" fontId="60" fillId="0" borderId="0"/>
    <xf numFmtId="2" fontId="60" fillId="0" borderId="0">
      <alignment horizontal="center"/>
    </xf>
    <xf numFmtId="0" fontId="60" fillId="0" borderId="0">
      <alignment horizontal="center"/>
    </xf>
    <xf numFmtId="0" fontId="80" fillId="0" borderId="0">
      <alignment wrapText="1"/>
    </xf>
    <xf numFmtId="0" fontId="60" fillId="0" borderId="0">
      <alignment horizontal="center"/>
    </xf>
    <xf numFmtId="0" fontId="84" fillId="0" borderId="0">
      <alignment horizontal="left" vertical="center"/>
    </xf>
    <xf numFmtId="2" fontId="60" fillId="0" borderId="12">
      <alignment horizontal="center" vertical="center"/>
    </xf>
    <xf numFmtId="0" fontId="60" fillId="0" borderId="12">
      <alignment horizontal="center" vertical="center"/>
    </xf>
    <xf numFmtId="0" fontId="60" fillId="0" borderId="18">
      <alignment horizontal="center" vertical="center"/>
    </xf>
    <xf numFmtId="0" fontId="60" fillId="0" borderId="0">
      <alignment horizontal="center" vertical="center"/>
    </xf>
    <xf numFmtId="0" fontId="60" fillId="0" borderId="0">
      <alignment horizontal="left" vertical="center"/>
    </xf>
    <xf numFmtId="0" fontId="84" fillId="0" borderId="0">
      <alignment horizontal="left"/>
    </xf>
    <xf numFmtId="0" fontId="84" fillId="0" borderId="0">
      <alignment horizontal="left"/>
    </xf>
    <xf numFmtId="0" fontId="84" fillId="0" borderId="0">
      <alignment horizontal="center"/>
    </xf>
    <xf numFmtId="0" fontId="27" fillId="0" borderId="0">
      <alignment horizontal="center" vertical="center" wrapText="1"/>
    </xf>
    <xf numFmtId="0" fontId="84" fillId="0" borderId="0">
      <alignment horizontal="center" wrapText="1"/>
    </xf>
    <xf numFmtId="0" fontId="84" fillId="0" borderId="13">
      <alignment horizontal="center" wrapText="1"/>
    </xf>
    <xf numFmtId="1" fontId="84" fillId="0" borderId="14">
      <alignment horizontal="center" wrapText="1"/>
    </xf>
    <xf numFmtId="0" fontId="84" fillId="0" borderId="0">
      <alignment horizontal="center"/>
    </xf>
    <xf numFmtId="230" fontId="84" fillId="0" borderId="0">
      <alignment horizontal="center" wrapText="1"/>
    </xf>
    <xf numFmtId="43" fontId="84" fillId="0" borderId="0"/>
    <xf numFmtId="0" fontId="84" fillId="0" borderId="0"/>
    <xf numFmtId="0" fontId="60" fillId="0" borderId="0">
      <alignment wrapText="1"/>
    </xf>
    <xf numFmtId="0" fontId="84" fillId="0" borderId="0">
      <alignment horizontal="center" wrapText="1"/>
    </xf>
    <xf numFmtId="0" fontId="84" fillId="0" borderId="0">
      <alignment horizontal="center" wrapText="1"/>
    </xf>
    <xf numFmtId="43" fontId="27" fillId="0" borderId="0">
      <alignment horizontal="center" vertical="center" wrapText="1"/>
    </xf>
    <xf numFmtId="0" fontId="84" fillId="0" borderId="0">
      <alignment horizontal="center" wrapText="1"/>
    </xf>
    <xf numFmtId="231" fontId="84" fillId="0" borderId="0">
      <alignment horizontal="center" wrapText="1"/>
    </xf>
    <xf numFmtId="0" fontId="84" fillId="6" borderId="9">
      <alignment horizontal="center" wrapText="1"/>
    </xf>
    <xf numFmtId="2" fontId="84" fillId="6" borderId="9">
      <alignment horizontal="center" wrapText="1"/>
    </xf>
    <xf numFmtId="0" fontId="84" fillId="6" borderId="9">
      <alignment horizontal="center" wrapText="1"/>
    </xf>
    <xf numFmtId="0" fontId="84" fillId="0" borderId="0">
      <alignment horizontal="center" wrapText="1"/>
    </xf>
    <xf numFmtId="0" fontId="27" fillId="0" borderId="0"/>
    <xf numFmtId="0" fontId="27" fillId="0" borderId="0"/>
    <xf numFmtId="0" fontId="85" fillId="0" borderId="0">
      <alignment horizontal="left" vertical="center"/>
    </xf>
    <xf numFmtId="173" fontId="85" fillId="0" borderId="0">
      <alignment horizontal="left" vertical="center"/>
    </xf>
    <xf numFmtId="0" fontId="28" fillId="0" borderId="0">
      <alignment horizontal="center" vertical="center" wrapText="1"/>
    </xf>
    <xf numFmtId="0" fontId="85" fillId="0" borderId="0">
      <alignment horizontal="center" vertical="center"/>
    </xf>
    <xf numFmtId="0" fontId="28" fillId="0" borderId="23">
      <alignment horizontal="left"/>
    </xf>
    <xf numFmtId="41" fontId="28" fillId="0" borderId="26"/>
    <xf numFmtId="0" fontId="28" fillId="0" borderId="23"/>
    <xf numFmtId="41" fontId="28" fillId="0" borderId="0"/>
    <xf numFmtId="0" fontId="28" fillId="0" borderId="21"/>
    <xf numFmtId="173" fontId="28" fillId="0" borderId="27"/>
    <xf numFmtId="173" fontId="28" fillId="0" borderId="0"/>
    <xf numFmtId="43" fontId="28" fillId="0" borderId="27"/>
    <xf numFmtId="43" fontId="28" fillId="0" borderId="0"/>
    <xf numFmtId="0" fontId="27" fillId="0" borderId="0">
      <alignment wrapText="1"/>
    </xf>
    <xf numFmtId="0" fontId="28" fillId="0" borderId="22"/>
    <xf numFmtId="43" fontId="28" fillId="0" borderId="28"/>
    <xf numFmtId="0" fontId="28" fillId="0" borderId="0">
      <alignment horizontal="center"/>
    </xf>
    <xf numFmtId="0" fontId="28" fillId="6" borderId="23">
      <alignment horizontal="center"/>
    </xf>
    <xf numFmtId="173" fontId="28" fillId="6" borderId="24">
      <alignment horizontal="center"/>
    </xf>
    <xf numFmtId="0" fontId="28" fillId="6" borderId="24">
      <alignment horizontal="center"/>
    </xf>
    <xf numFmtId="0" fontId="28" fillId="6" borderId="26">
      <alignment horizontal="center"/>
    </xf>
    <xf numFmtId="0" fontId="28" fillId="6" borderId="22">
      <alignment horizontal="center"/>
    </xf>
    <xf numFmtId="173" fontId="28" fillId="6" borderId="10">
      <alignment horizontal="right"/>
    </xf>
    <xf numFmtId="0" fontId="28" fillId="6" borderId="10">
      <alignment horizontal="center"/>
    </xf>
    <xf numFmtId="0" fontId="27" fillId="0" borderId="0">
      <alignment horizontal="left" vertical="center" wrapText="1"/>
    </xf>
    <xf numFmtId="0" fontId="28" fillId="6" borderId="28">
      <alignment horizontal="center"/>
    </xf>
    <xf numFmtId="0" fontId="28" fillId="15" borderId="0">
      <alignment horizontal="center"/>
    </xf>
    <xf numFmtId="173" fontId="28" fillId="6" borderId="22">
      <alignment horizontal="center"/>
    </xf>
    <xf numFmtId="173" fontId="28" fillId="6" borderId="10">
      <alignment horizontal="center"/>
    </xf>
    <xf numFmtId="0" fontId="28" fillId="6" borderId="10">
      <alignment horizontal="center"/>
    </xf>
    <xf numFmtId="173" fontId="28" fillId="6" borderId="28">
      <alignment horizontal="center"/>
    </xf>
    <xf numFmtId="0" fontId="28" fillId="6" borderId="29">
      <alignment horizontal="center"/>
    </xf>
    <xf numFmtId="0" fontId="28" fillId="6" borderId="3">
      <alignment horizontal="center"/>
    </xf>
    <xf numFmtId="0" fontId="28" fillId="6" borderId="3">
      <alignment horizontal="center"/>
    </xf>
    <xf numFmtId="0" fontId="28" fillId="6" borderId="30">
      <alignment horizontal="center"/>
    </xf>
    <xf numFmtId="0" fontId="27" fillId="0" borderId="0"/>
    <xf numFmtId="0" fontId="28" fillId="6" borderId="21">
      <alignment horizontal="center"/>
    </xf>
    <xf numFmtId="0" fontId="28" fillId="6" borderId="0">
      <alignment horizontal="center"/>
    </xf>
    <xf numFmtId="0" fontId="28" fillId="6" borderId="27">
      <alignment horizontal="center"/>
    </xf>
    <xf numFmtId="0" fontId="44" fillId="0" borderId="0">
      <alignment horizontal="left"/>
    </xf>
    <xf numFmtId="49" fontId="27" fillId="0" borderId="0">
      <alignment horizontal="left"/>
    </xf>
    <xf numFmtId="0" fontId="44" fillId="0" borderId="0">
      <alignment horizontal="left"/>
    </xf>
    <xf numFmtId="15" fontId="80" fillId="15" borderId="0">
      <alignment horizontal="left"/>
    </xf>
    <xf numFmtId="0" fontId="27" fillId="0" borderId="0">
      <alignment horizontal="right"/>
    </xf>
    <xf numFmtId="49" fontId="27" fillId="0" borderId="0">
      <alignment horizontal="left"/>
    </xf>
    <xf numFmtId="49" fontId="27" fillId="0" borderId="0">
      <alignment horizontal="left"/>
    </xf>
    <xf numFmtId="10" fontId="80" fillId="0" borderId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6" fillId="0" borderId="0">
      <alignment horizontal="left" vertical="top"/>
      <protection locked="0"/>
    </xf>
    <xf numFmtId="0" fontId="40" fillId="0" borderId="11" applyNumberFormat="0" applyFont="0" applyFill="0" applyAlignment="0" applyProtection="0"/>
    <xf numFmtId="40" fontId="87" fillId="15" borderId="0">
      <alignment horizontal="right"/>
    </xf>
    <xf numFmtId="0" fontId="88" fillId="15" borderId="0">
      <alignment horizontal="right"/>
    </xf>
    <xf numFmtId="0" fontId="89" fillId="15" borderId="14"/>
    <xf numFmtId="0" fontId="89" fillId="0" borderId="0" applyBorder="0">
      <alignment horizontal="centerContinuous"/>
    </xf>
    <xf numFmtId="232" fontId="90" fillId="0" borderId="0" applyFill="0">
      <alignment horizontal="center" vertical="center"/>
    </xf>
    <xf numFmtId="0" fontId="28" fillId="0" borderId="31" applyNumberFormat="0" applyAlignment="0" applyProtection="0"/>
    <xf numFmtId="0" fontId="27" fillId="16" borderId="0" applyNumberFormat="0" applyFont="0" applyBorder="0" applyAlignment="0" applyProtection="0"/>
    <xf numFmtId="0" fontId="7" fillId="17" borderId="32" applyNumberFormat="0" applyFont="0" applyBorder="0" applyAlignment="0" applyProtection="0">
      <alignment horizontal="center"/>
    </xf>
    <xf numFmtId="0" fontId="7" fillId="18" borderId="32" applyNumberFormat="0" applyFont="0" applyBorder="0" applyAlignment="0" applyProtection="0">
      <alignment horizontal="center"/>
    </xf>
    <xf numFmtId="0" fontId="27" fillId="0" borderId="33" applyNumberFormat="0" applyAlignment="0" applyProtection="0"/>
    <xf numFmtId="0" fontId="27" fillId="0" borderId="34" applyNumberFormat="0" applyAlignment="0" applyProtection="0"/>
    <xf numFmtId="0" fontId="28" fillId="0" borderId="35" applyNumberFormat="0" applyAlignment="0" applyProtection="0"/>
    <xf numFmtId="14" fontId="32" fillId="0" borderId="0">
      <alignment horizontal="center" wrapText="1"/>
      <protection locked="0"/>
    </xf>
    <xf numFmtId="9" fontId="60" fillId="0" borderId="0" applyFont="0" applyFill="0" applyBorder="0" applyAlignment="0" applyProtection="0"/>
    <xf numFmtId="233" fontId="91" fillId="0" borderId="0" applyFont="0" applyFill="0" applyBorder="0" applyAlignment="0" applyProtection="0"/>
    <xf numFmtId="170" fontId="60" fillId="0" borderId="0" applyFont="0" applyFill="0" applyBorder="0" applyAlignment="0" applyProtection="0"/>
    <xf numFmtId="234" fontId="60" fillId="0" borderId="0" applyFont="0" applyFill="0" applyBorder="0" applyAlignment="0" applyProtection="0"/>
    <xf numFmtId="235" fontId="60" fillId="0" borderId="0" applyFont="0" applyFill="0" applyBorder="0" applyAlignment="0" applyProtection="0"/>
    <xf numFmtId="10" fontId="11" fillId="0" borderId="0" applyFont="0" applyFill="0" applyBorder="0" applyAlignment="0" applyProtection="0"/>
    <xf numFmtId="0" fontId="11" fillId="0" borderId="0" applyFont="0" applyFill="0" applyBorder="0" applyProtection="0">
      <alignment horizontal="right"/>
    </xf>
    <xf numFmtId="173" fontId="80" fillId="0" borderId="0">
      <alignment horizontal="right"/>
    </xf>
    <xf numFmtId="173" fontId="28" fillId="0" borderId="0">
      <alignment horizontal="left" vertical="center"/>
    </xf>
    <xf numFmtId="172" fontId="7" fillId="0" borderId="0"/>
    <xf numFmtId="173" fontId="80" fillId="0" borderId="0">
      <alignment horizontal="right"/>
    </xf>
    <xf numFmtId="173" fontId="80" fillId="0" borderId="0">
      <alignment horizontal="center"/>
    </xf>
    <xf numFmtId="171" fontId="80" fillId="0" borderId="0">
      <alignment horizontal="right"/>
    </xf>
    <xf numFmtId="173" fontId="80" fillId="0" borderId="3">
      <alignment horizontal="right"/>
    </xf>
    <xf numFmtId="173" fontId="80" fillId="0" borderId="3">
      <alignment horizontal="center"/>
    </xf>
    <xf numFmtId="171" fontId="80" fillId="0" borderId="3">
      <alignment horizontal="right"/>
    </xf>
    <xf numFmtId="43" fontId="80" fillId="0" borderId="3">
      <alignment horizontal="center"/>
    </xf>
    <xf numFmtId="236" fontId="80" fillId="0" borderId="12"/>
    <xf numFmtId="237" fontId="80" fillId="0" borderId="12">
      <alignment horizontal="center"/>
    </xf>
    <xf numFmtId="173" fontId="28" fillId="0" borderId="0">
      <alignment horizontal="right" vertical="center"/>
    </xf>
    <xf numFmtId="237" fontId="80" fillId="0" borderId="18">
      <alignment horizontal="center" wrapText="1"/>
    </xf>
    <xf numFmtId="237" fontId="80" fillId="0" borderId="0">
      <alignment horizontal="center"/>
    </xf>
    <xf numFmtId="237" fontId="80" fillId="0" borderId="14">
      <alignment horizontal="center" wrapText="1"/>
    </xf>
    <xf numFmtId="236" fontId="80" fillId="0" borderId="14">
      <alignment wrapText="1"/>
    </xf>
    <xf numFmtId="236" fontId="80" fillId="0" borderId="3"/>
    <xf numFmtId="236" fontId="80" fillId="0" borderId="16">
      <alignment wrapText="1"/>
    </xf>
    <xf numFmtId="238" fontId="28" fillId="0" borderId="0">
      <alignment horizontal="left"/>
    </xf>
    <xf numFmtId="239" fontId="28" fillId="0" borderId="0">
      <alignment horizontal="left"/>
    </xf>
    <xf numFmtId="240" fontId="28" fillId="0" borderId="0">
      <alignment horizontal="left"/>
    </xf>
    <xf numFmtId="173" fontId="27" fillId="0" borderId="0">
      <alignment vertical="top"/>
    </xf>
    <xf numFmtId="241" fontId="28" fillId="0" borderId="0">
      <alignment horizontal="center"/>
    </xf>
    <xf numFmtId="236" fontId="83" fillId="0" borderId="0"/>
    <xf numFmtId="173" fontId="60" fillId="0" borderId="0">
      <alignment horizontal="right"/>
    </xf>
    <xf numFmtId="173" fontId="60" fillId="0" borderId="0">
      <alignment horizontal="center"/>
    </xf>
    <xf numFmtId="237" fontId="27" fillId="0" borderId="0">
      <alignment horizontal="center" vertical="top"/>
    </xf>
    <xf numFmtId="173" fontId="25" fillId="0" borderId="3">
      <alignment horizontal="centerContinuous"/>
    </xf>
    <xf numFmtId="173" fontId="7" fillId="0" borderId="3">
      <alignment horizontal="center"/>
    </xf>
    <xf numFmtId="173" fontId="7" fillId="0" borderId="0"/>
    <xf numFmtId="173" fontId="7" fillId="0" borderId="3"/>
    <xf numFmtId="43" fontId="7" fillId="0" borderId="3"/>
    <xf numFmtId="43" fontId="25" fillId="0" borderId="0">
      <alignment horizontal="right"/>
    </xf>
    <xf numFmtId="171" fontId="28" fillId="0" borderId="0">
      <alignment horizontal="right" vertical="center"/>
    </xf>
    <xf numFmtId="166" fontId="84" fillId="0" borderId="0">
      <alignment horizontal="center" wrapText="1"/>
    </xf>
    <xf numFmtId="2" fontId="84" fillId="0" borderId="0">
      <alignment horizontal="center"/>
    </xf>
    <xf numFmtId="43" fontId="60" fillId="0" borderId="0"/>
    <xf numFmtId="0" fontId="7" fillId="0" borderId="0">
      <alignment horizontal="center"/>
    </xf>
    <xf numFmtId="43" fontId="27" fillId="0" borderId="0">
      <alignment horizontal="center" vertical="top"/>
    </xf>
    <xf numFmtId="236" fontId="27" fillId="0" borderId="0">
      <alignment horizontal="center" vertical="top"/>
    </xf>
    <xf numFmtId="237" fontId="27" fillId="0" borderId="0">
      <alignment horizontal="center" vertical="top" wrapText="1"/>
    </xf>
    <xf numFmtId="43" fontId="27" fillId="0" borderId="0">
      <alignment horizontal="left" vertical="top"/>
    </xf>
    <xf numFmtId="173" fontId="27" fillId="0" borderId="0">
      <alignment horizontal="right" vertical="top"/>
    </xf>
    <xf numFmtId="43" fontId="27" fillId="0" borderId="0">
      <alignment horizontal="center" vertical="top"/>
    </xf>
    <xf numFmtId="43" fontId="28" fillId="0" borderId="0">
      <alignment horizontal="center"/>
    </xf>
    <xf numFmtId="236" fontId="27" fillId="0" borderId="0">
      <alignment horizontal="center" vertical="top"/>
    </xf>
    <xf numFmtId="237" fontId="27" fillId="0" borderId="0">
      <alignment horizontal="center" vertical="top" wrapText="1"/>
    </xf>
    <xf numFmtId="173" fontId="27" fillId="0" borderId="0">
      <alignment horizontal="left" vertical="top"/>
    </xf>
    <xf numFmtId="43" fontId="27" fillId="0" borderId="0">
      <alignment horizontal="left" vertical="top"/>
    </xf>
    <xf numFmtId="173" fontId="7" fillId="0" borderId="0">
      <alignment horizontal="left"/>
    </xf>
    <xf numFmtId="173" fontId="25" fillId="0" borderId="0">
      <alignment horizontal="centerContinuous"/>
    </xf>
    <xf numFmtId="173" fontId="25" fillId="0" borderId="0">
      <alignment horizontal="left"/>
    </xf>
    <xf numFmtId="173" fontId="25" fillId="0" borderId="3">
      <alignment horizontal="left"/>
    </xf>
    <xf numFmtId="43" fontId="60" fillId="0" borderId="0"/>
    <xf numFmtId="43" fontId="60" fillId="0" borderId="3">
      <alignment horizontal="center"/>
    </xf>
    <xf numFmtId="236" fontId="28" fillId="0" borderId="0">
      <alignment horizontal="center"/>
    </xf>
    <xf numFmtId="43" fontId="60" fillId="0" borderId="3"/>
    <xf numFmtId="43" fontId="25" fillId="0" borderId="0"/>
    <xf numFmtId="173" fontId="7" fillId="14" borderId="0">
      <alignment horizontal="center"/>
    </xf>
    <xf numFmtId="173" fontId="7" fillId="14" borderId="0">
      <alignment horizontal="center"/>
    </xf>
    <xf numFmtId="173" fontId="25" fillId="14" borderId="0">
      <alignment horizontal="centerContinuous"/>
    </xf>
    <xf numFmtId="173" fontId="25" fillId="14" borderId="3">
      <alignment horizontal="center" wrapText="1"/>
    </xf>
    <xf numFmtId="173" fontId="7" fillId="19" borderId="0">
      <alignment horizontal="center"/>
    </xf>
    <xf numFmtId="173" fontId="7" fillId="19" borderId="0">
      <alignment horizontal="center"/>
    </xf>
    <xf numFmtId="173" fontId="25" fillId="19" borderId="0">
      <alignment horizontal="centerContinuous"/>
    </xf>
    <xf numFmtId="173" fontId="25" fillId="19" borderId="3">
      <alignment horizontal="centerContinuous"/>
    </xf>
    <xf numFmtId="236" fontId="28" fillId="0" borderId="0">
      <alignment horizontal="center" wrapText="1"/>
    </xf>
    <xf numFmtId="173" fontId="27" fillId="0" borderId="0"/>
    <xf numFmtId="43" fontId="27" fillId="0" borderId="0"/>
    <xf numFmtId="43" fontId="27" fillId="0" borderId="0">
      <alignment horizontal="center"/>
    </xf>
    <xf numFmtId="173" fontId="27" fillId="0" borderId="0"/>
    <xf numFmtId="172" fontId="27" fillId="0" borderId="0"/>
    <xf numFmtId="43" fontId="27" fillId="0" borderId="27"/>
    <xf numFmtId="173" fontId="27" fillId="0" borderId="3"/>
    <xf numFmtId="43" fontId="27" fillId="0" borderId="28"/>
    <xf numFmtId="172" fontId="27" fillId="0" borderId="10"/>
    <xf numFmtId="10" fontId="27" fillId="0" borderId="0"/>
    <xf numFmtId="238" fontId="28" fillId="0" borderId="0">
      <alignment horizontal="center"/>
    </xf>
    <xf numFmtId="43" fontId="27" fillId="0" borderId="0"/>
    <xf numFmtId="242" fontId="28" fillId="0" borderId="0">
      <alignment horizontal="center" vertical="top"/>
    </xf>
    <xf numFmtId="14" fontId="25" fillId="0" borderId="0">
      <alignment horizontal="center"/>
    </xf>
    <xf numFmtId="4" fontId="60" fillId="0" borderId="0">
      <alignment horizontal="right" vertical="top"/>
    </xf>
    <xf numFmtId="173" fontId="60" fillId="0" borderId="0">
      <alignment horizontal="center" vertical="top"/>
    </xf>
    <xf numFmtId="173" fontId="27" fillId="0" borderId="3">
      <alignment horizontal="right" vertical="top"/>
    </xf>
    <xf numFmtId="171" fontId="27" fillId="0" borderId="3">
      <alignment horizontal="center" vertical="top"/>
    </xf>
    <xf numFmtId="43" fontId="27" fillId="0" borderId="3">
      <alignment horizontal="center" vertical="top"/>
    </xf>
    <xf numFmtId="236" fontId="27" fillId="0" borderId="3">
      <alignment horizontal="center" vertical="top"/>
    </xf>
    <xf numFmtId="237" fontId="27" fillId="0" borderId="3">
      <alignment horizontal="center" vertical="top" wrapText="1"/>
    </xf>
    <xf numFmtId="238" fontId="28" fillId="0" borderId="0">
      <alignment horizontal="center" wrapText="1"/>
    </xf>
    <xf numFmtId="173" fontId="27" fillId="0" borderId="3">
      <alignment horizontal="center" vertical="top"/>
    </xf>
    <xf numFmtId="173" fontId="27" fillId="0" borderId="3">
      <alignment horizontal="left" vertical="top"/>
    </xf>
    <xf numFmtId="173" fontId="27" fillId="0" borderId="3">
      <alignment vertical="top"/>
    </xf>
    <xf numFmtId="43" fontId="27" fillId="0" borderId="3">
      <alignment horizontal="left" vertical="top"/>
    </xf>
    <xf numFmtId="237" fontId="27" fillId="0" borderId="3">
      <alignment horizontal="center" vertical="top"/>
    </xf>
    <xf numFmtId="43" fontId="7" fillId="0" borderId="0">
      <alignment horizontal="center"/>
    </xf>
    <xf numFmtId="173" fontId="28" fillId="0" borderId="24">
      <alignment horizontal="right" vertical="center"/>
    </xf>
    <xf numFmtId="240" fontId="28" fillId="0" borderId="24">
      <alignment horizontal="left"/>
    </xf>
    <xf numFmtId="243" fontId="28" fillId="0" borderId="24">
      <alignment horizontal="left"/>
    </xf>
    <xf numFmtId="171" fontId="28" fillId="0" borderId="24">
      <alignment horizontal="right" vertical="center"/>
    </xf>
    <xf numFmtId="173" fontId="28" fillId="0" borderId="0">
      <alignment horizontal="left"/>
    </xf>
    <xf numFmtId="173" fontId="28" fillId="0" borderId="10">
      <alignment horizontal="right" vertical="center"/>
    </xf>
    <xf numFmtId="240" fontId="28" fillId="0" borderId="10">
      <alignment horizontal="left"/>
    </xf>
    <xf numFmtId="243" fontId="28" fillId="0" borderId="10">
      <alignment horizontal="left"/>
    </xf>
    <xf numFmtId="171" fontId="28" fillId="0" borderId="10">
      <alignment horizontal="right"/>
    </xf>
    <xf numFmtId="244" fontId="28" fillId="0" borderId="28">
      <alignment horizontal="left"/>
    </xf>
    <xf numFmtId="173" fontId="28" fillId="0" borderId="10">
      <alignment horizontal="left" vertical="center"/>
    </xf>
    <xf numFmtId="172" fontId="7" fillId="0" borderId="0">
      <alignment horizontal="center"/>
    </xf>
    <xf numFmtId="43" fontId="7" fillId="14" borderId="0">
      <alignment horizontal="center"/>
    </xf>
    <xf numFmtId="43" fontId="7" fillId="19" borderId="0">
      <alignment horizontal="center"/>
    </xf>
    <xf numFmtId="243" fontId="28" fillId="0" borderId="0">
      <alignment horizontal="left"/>
    </xf>
    <xf numFmtId="170" fontId="25" fillId="0" borderId="0" applyFill="0" applyBorder="0" applyAlignment="0" applyProtection="0"/>
    <xf numFmtId="173" fontId="80" fillId="0" borderId="0">
      <alignment horizontal="center"/>
    </xf>
    <xf numFmtId="173" fontId="28" fillId="0" borderId="0">
      <alignment horizontal="right"/>
    </xf>
    <xf numFmtId="244" fontId="28" fillId="0" borderId="27">
      <alignment horizontal="left"/>
    </xf>
    <xf numFmtId="43" fontId="27" fillId="0" borderId="26">
      <alignment horizontal="center"/>
    </xf>
    <xf numFmtId="173" fontId="28" fillId="0" borderId="3">
      <alignment horizontal="right" vertical="center"/>
    </xf>
    <xf numFmtId="245" fontId="28" fillId="0" borderId="27">
      <alignment horizontal="left"/>
    </xf>
    <xf numFmtId="173" fontId="27" fillId="13" borderId="0"/>
    <xf numFmtId="173" fontId="27" fillId="13" borderId="0">
      <alignment horizontal="center" vertical="top"/>
    </xf>
    <xf numFmtId="173" fontId="27" fillId="0" borderId="10"/>
    <xf numFmtId="173" fontId="27" fillId="13" borderId="0">
      <alignment horizontal="center" vertical="top"/>
    </xf>
    <xf numFmtId="173" fontId="27" fillId="13" borderId="0">
      <alignment horizontal="right" vertical="top"/>
    </xf>
    <xf numFmtId="171" fontId="27" fillId="13" borderId="0">
      <alignment horizontal="center" vertical="top"/>
    </xf>
    <xf numFmtId="171" fontId="28" fillId="0" borderId="0">
      <alignment horizontal="right"/>
    </xf>
    <xf numFmtId="43" fontId="27" fillId="13" borderId="0">
      <alignment horizontal="center" vertical="top"/>
    </xf>
    <xf numFmtId="236" fontId="27" fillId="13" borderId="0">
      <alignment horizontal="center" vertical="top"/>
    </xf>
    <xf numFmtId="237" fontId="27" fillId="13" borderId="0">
      <alignment horizontal="center" vertical="top"/>
    </xf>
    <xf numFmtId="237" fontId="27" fillId="13" borderId="0">
      <alignment horizontal="center" vertical="top" wrapText="1"/>
    </xf>
    <xf numFmtId="173" fontId="27" fillId="13" borderId="0">
      <alignment horizontal="left" vertical="top"/>
    </xf>
    <xf numFmtId="43" fontId="27" fillId="13" borderId="0">
      <alignment horizontal="left" vertical="top"/>
    </xf>
    <xf numFmtId="43" fontId="27" fillId="13" borderId="0"/>
    <xf numFmtId="173" fontId="27" fillId="14" borderId="0">
      <alignment horizontal="center" vertical="top"/>
    </xf>
    <xf numFmtId="173" fontId="27" fillId="14" borderId="0">
      <alignment horizontal="right" vertical="top"/>
    </xf>
    <xf numFmtId="171" fontId="27" fillId="14" borderId="0">
      <alignment horizontal="center" vertical="top"/>
    </xf>
    <xf numFmtId="173" fontId="27" fillId="0" borderId="0">
      <alignment horizontal="right"/>
    </xf>
    <xf numFmtId="43" fontId="27" fillId="14" borderId="0">
      <alignment horizontal="center" vertical="top"/>
    </xf>
    <xf numFmtId="236" fontId="27" fillId="14" borderId="0">
      <alignment horizontal="center" vertical="top"/>
    </xf>
    <xf numFmtId="237" fontId="27" fillId="14" borderId="0">
      <alignment horizontal="center" vertical="top"/>
    </xf>
    <xf numFmtId="237" fontId="27" fillId="14" borderId="0">
      <alignment horizontal="center" vertical="top" wrapText="1"/>
    </xf>
    <xf numFmtId="173" fontId="27" fillId="14" borderId="0">
      <alignment horizontal="center" vertical="top"/>
    </xf>
    <xf numFmtId="173" fontId="27" fillId="14" borderId="0">
      <alignment horizontal="left" vertical="top"/>
    </xf>
    <xf numFmtId="173" fontId="27" fillId="14" borderId="0"/>
    <xf numFmtId="43" fontId="27" fillId="14" borderId="0">
      <alignment horizontal="left" vertical="top"/>
    </xf>
    <xf numFmtId="236" fontId="27" fillId="14" borderId="0">
      <alignment horizontal="center" vertical="top"/>
    </xf>
    <xf numFmtId="237" fontId="80" fillId="14" borderId="0">
      <alignment horizontal="center" wrapText="1"/>
    </xf>
    <xf numFmtId="173" fontId="27" fillId="0" borderId="0"/>
    <xf numFmtId="173" fontId="27" fillId="14" borderId="0">
      <alignment horizontal="left" vertical="top"/>
    </xf>
    <xf numFmtId="173" fontId="27" fillId="14" borderId="0">
      <alignment horizontal="right"/>
    </xf>
    <xf numFmtId="173" fontId="27" fillId="14" borderId="0">
      <alignment horizontal="right"/>
    </xf>
    <xf numFmtId="4" fontId="60" fillId="14" borderId="0">
      <alignment horizontal="right" vertical="top"/>
    </xf>
    <xf numFmtId="43" fontId="27" fillId="14" borderId="0">
      <alignment horizontal="center" vertical="top"/>
    </xf>
    <xf numFmtId="237" fontId="27" fillId="14" borderId="0">
      <alignment horizontal="center" vertical="top" wrapText="1"/>
    </xf>
    <xf numFmtId="43" fontId="27" fillId="14" borderId="0">
      <alignment horizontal="left" vertical="top"/>
    </xf>
    <xf numFmtId="173" fontId="28" fillId="6" borderId="9">
      <alignment horizontal="right" wrapText="1"/>
    </xf>
    <xf numFmtId="173" fontId="28" fillId="6" borderId="9">
      <alignment horizontal="center" wrapText="1"/>
    </xf>
    <xf numFmtId="171" fontId="28" fillId="6" borderId="9">
      <alignment horizontal="right" wrapText="1"/>
    </xf>
    <xf numFmtId="43" fontId="28" fillId="6" borderId="9">
      <alignment horizontal="center" wrapText="1"/>
    </xf>
    <xf numFmtId="236" fontId="28" fillId="6" borderId="9">
      <alignment horizontal="center" wrapText="1"/>
    </xf>
    <xf numFmtId="236" fontId="28" fillId="6" borderId="9">
      <alignment horizontal="center" wrapText="1"/>
    </xf>
    <xf numFmtId="208" fontId="29" fillId="0" borderId="0">
      <alignment horizontal="left" vertical="center" wrapText="1"/>
    </xf>
    <xf numFmtId="173" fontId="27" fillId="0" borderId="0">
      <alignment horizontal="right"/>
    </xf>
    <xf numFmtId="173" fontId="27" fillId="0" borderId="0"/>
    <xf numFmtId="171" fontId="27" fillId="0" borderId="0">
      <alignment horizontal="right"/>
    </xf>
    <xf numFmtId="43" fontId="27" fillId="0" borderId="0">
      <alignment horizontal="center"/>
    </xf>
    <xf numFmtId="236" fontId="27" fillId="0" borderId="0"/>
    <xf numFmtId="236" fontId="27" fillId="0" borderId="0">
      <alignment wrapText="1"/>
    </xf>
    <xf numFmtId="171" fontId="27" fillId="0" borderId="0">
      <alignment horizontal="center" vertical="top"/>
    </xf>
    <xf numFmtId="173" fontId="27" fillId="0" borderId="0">
      <alignment horizontal="center" vertical="top"/>
    </xf>
    <xf numFmtId="173" fontId="27" fillId="0" borderId="0">
      <alignment horizontal="center" vertical="top"/>
    </xf>
    <xf numFmtId="173" fontId="27" fillId="0" borderId="0">
      <alignment horizontal="left" vertical="top"/>
    </xf>
    <xf numFmtId="173" fontId="27" fillId="0" borderId="0">
      <alignment horizontal="right" vertical="center" wrapText="1"/>
    </xf>
    <xf numFmtId="173" fontId="27" fillId="0" borderId="0">
      <alignment horizontal="right" vertical="top"/>
    </xf>
    <xf numFmtId="171" fontId="27" fillId="0" borderId="0">
      <alignment horizontal="center" vertical="top"/>
    </xf>
    <xf numFmtId="171" fontId="80" fillId="0" borderId="0">
      <alignment horizontal="right"/>
    </xf>
    <xf numFmtId="43" fontId="80" fillId="0" borderId="0">
      <alignment horizontal="center"/>
    </xf>
    <xf numFmtId="236" fontId="80" fillId="0" borderId="0"/>
    <xf numFmtId="237" fontId="80" fillId="0" borderId="0">
      <alignment horizontal="center"/>
    </xf>
    <xf numFmtId="237" fontId="80" fillId="0" borderId="0">
      <alignment horizontal="center" wrapText="1"/>
    </xf>
    <xf numFmtId="236" fontId="80" fillId="0" borderId="0">
      <alignment wrapText="1"/>
    </xf>
    <xf numFmtId="43" fontId="60" fillId="0" borderId="0">
      <alignment horizontal="center"/>
    </xf>
    <xf numFmtId="43" fontId="60" fillId="0" borderId="0"/>
    <xf numFmtId="173" fontId="27" fillId="0" borderId="0">
      <alignment horizontal="center" vertical="center" wrapText="1"/>
    </xf>
    <xf numFmtId="43" fontId="60" fillId="0" borderId="17">
      <alignment horizontal="center" vertical="center"/>
    </xf>
    <xf numFmtId="43" fontId="60" fillId="0" borderId="12">
      <alignment horizontal="center" vertical="center"/>
    </xf>
    <xf numFmtId="43" fontId="84" fillId="0" borderId="12">
      <alignment horizontal="center" vertical="center"/>
    </xf>
    <xf numFmtId="43" fontId="84" fillId="0" borderId="13">
      <alignment horizontal="center"/>
    </xf>
    <xf numFmtId="43" fontId="84" fillId="0" borderId="0">
      <alignment horizontal="center"/>
    </xf>
    <xf numFmtId="2" fontId="84" fillId="0" borderId="0">
      <alignment horizontal="center"/>
    </xf>
    <xf numFmtId="43" fontId="84" fillId="0" borderId="14">
      <alignment horizontal="center"/>
    </xf>
    <xf numFmtId="43" fontId="84" fillId="0" borderId="0">
      <alignment horizontal="center"/>
    </xf>
    <xf numFmtId="173" fontId="84" fillId="0" borderId="0">
      <alignment horizontal="center" wrapText="1"/>
    </xf>
    <xf numFmtId="173" fontId="84" fillId="0" borderId="3">
      <alignment horizontal="center" wrapText="1"/>
    </xf>
    <xf numFmtId="171" fontId="27" fillId="0" borderId="0">
      <alignment horizontal="right" vertical="center" wrapText="1"/>
    </xf>
    <xf numFmtId="166" fontId="84" fillId="0" borderId="3">
      <alignment horizontal="center" wrapText="1"/>
    </xf>
    <xf numFmtId="43" fontId="92" fillId="0" borderId="0">
      <alignment horizontal="left"/>
    </xf>
    <xf numFmtId="43" fontId="84" fillId="0" borderId="0">
      <alignment horizontal="center" wrapText="1"/>
    </xf>
    <xf numFmtId="43" fontId="84" fillId="0" borderId="0">
      <alignment wrapText="1"/>
    </xf>
    <xf numFmtId="43" fontId="84" fillId="6" borderId="9">
      <alignment horizontal="right" wrapText="1"/>
    </xf>
    <xf numFmtId="43" fontId="84" fillId="6" borderId="9">
      <alignment horizontal="center" wrapText="1"/>
    </xf>
    <xf numFmtId="173" fontId="7" fillId="0" borderId="0"/>
    <xf numFmtId="173" fontId="7" fillId="0" borderId="0">
      <alignment horizontal="center"/>
    </xf>
    <xf numFmtId="173" fontId="7" fillId="0" borderId="0">
      <alignment horizontal="left"/>
    </xf>
    <xf numFmtId="173" fontId="7" fillId="0" borderId="0">
      <alignment horizontal="center"/>
    </xf>
    <xf numFmtId="43" fontId="28" fillId="0" borderId="0">
      <alignment horizontal="center" vertical="center" wrapText="1"/>
    </xf>
    <xf numFmtId="173" fontId="25" fillId="0" borderId="0">
      <alignment horizontal="center"/>
    </xf>
    <xf numFmtId="173" fontId="7" fillId="0" borderId="0"/>
    <xf numFmtId="173" fontId="85" fillId="0" borderId="0">
      <alignment horizontal="left" vertical="center"/>
    </xf>
    <xf numFmtId="173" fontId="28" fillId="0" borderId="27"/>
    <xf numFmtId="173" fontId="28" fillId="0" borderId="0"/>
    <xf numFmtId="43" fontId="28" fillId="0" borderId="0"/>
    <xf numFmtId="43" fontId="28" fillId="0" borderId="0">
      <alignment horizontal="center"/>
    </xf>
    <xf numFmtId="173" fontId="28" fillId="0" borderId="0">
      <alignment horizontal="center"/>
    </xf>
    <xf numFmtId="173" fontId="28" fillId="6" borderId="24">
      <alignment horizontal="center"/>
    </xf>
    <xf numFmtId="49" fontId="27" fillId="0" borderId="0">
      <alignment horizontal="left"/>
    </xf>
    <xf numFmtId="236" fontId="28" fillId="0" borderId="0">
      <alignment horizontal="center" vertical="center" wrapText="1"/>
    </xf>
    <xf numFmtId="49" fontId="27" fillId="0" borderId="13">
      <alignment horizontal="left"/>
    </xf>
    <xf numFmtId="49" fontId="27" fillId="0" borderId="15">
      <alignment horizontal="left"/>
    </xf>
    <xf numFmtId="173" fontId="82" fillId="0" borderId="14"/>
    <xf numFmtId="49" fontId="27" fillId="0" borderId="14">
      <alignment horizontal="left"/>
    </xf>
    <xf numFmtId="173" fontId="7" fillId="0" borderId="0">
      <alignment horizontal="center"/>
    </xf>
    <xf numFmtId="173" fontId="7" fillId="0" borderId="0"/>
    <xf numFmtId="173" fontId="7" fillId="0" borderId="0"/>
    <xf numFmtId="173" fontId="25" fillId="0" borderId="0">
      <alignment horizontal="right"/>
    </xf>
    <xf numFmtId="173" fontId="25" fillId="0" borderId="0">
      <alignment horizontal="center"/>
    </xf>
    <xf numFmtId="173" fontId="25" fillId="0" borderId="3"/>
    <xf numFmtId="173" fontId="28" fillId="0" borderId="0">
      <alignment horizontal="left" vertical="center" wrapText="1"/>
    </xf>
    <xf numFmtId="173" fontId="25" fillId="0" borderId="3">
      <alignment horizontal="center"/>
    </xf>
    <xf numFmtId="173" fontId="25" fillId="0" borderId="3">
      <alignment horizontal="center" wrapText="1"/>
    </xf>
    <xf numFmtId="173" fontId="25" fillId="0" borderId="0"/>
    <xf numFmtId="173" fontId="25" fillId="0" borderId="3">
      <alignment horizontal="center" wrapText="1"/>
    </xf>
    <xf numFmtId="173" fontId="25" fillId="0" borderId="0">
      <alignment horizontal="center"/>
    </xf>
    <xf numFmtId="173" fontId="25" fillId="0" borderId="3">
      <alignment horizontal="center"/>
    </xf>
    <xf numFmtId="173" fontId="25" fillId="0" borderId="0"/>
    <xf numFmtId="173" fontId="25" fillId="0" borderId="3">
      <alignment horizontal="left" wrapText="1"/>
    </xf>
    <xf numFmtId="237" fontId="7" fillId="0" borderId="0">
      <alignment horizontal="center"/>
    </xf>
    <xf numFmtId="237" fontId="7" fillId="0" borderId="0">
      <alignment horizontal="left"/>
    </xf>
    <xf numFmtId="0" fontId="93" fillId="0" borderId="0"/>
    <xf numFmtId="10" fontId="11" fillId="0" borderId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228" fontId="11" fillId="0" borderId="0"/>
    <xf numFmtId="0" fontId="94" fillId="6" borderId="0"/>
    <xf numFmtId="0" fontId="59" fillId="0" borderId="0" applyNumberFormat="0" applyFont="0" applyFill="0" applyBorder="0" applyAlignment="0" applyProtection="0">
      <alignment horizontal="left"/>
    </xf>
    <xf numFmtId="15" fontId="59" fillId="0" borderId="0" applyFont="0" applyFill="0" applyBorder="0" applyAlignment="0" applyProtection="0"/>
    <xf numFmtId="4" fontId="59" fillId="0" borderId="0" applyFont="0" applyFill="0" applyBorder="0" applyAlignment="0" applyProtection="0"/>
    <xf numFmtId="0" fontId="95" fillId="0" borderId="10">
      <alignment horizontal="center"/>
    </xf>
    <xf numFmtId="3" fontId="59" fillId="0" borderId="0" applyFont="0" applyFill="0" applyBorder="0" applyAlignment="0" applyProtection="0"/>
    <xf numFmtId="0" fontId="59" fillId="20" borderId="0" applyNumberFormat="0" applyFont="0" applyBorder="0" applyAlignment="0" applyProtection="0"/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246" fontId="96" fillId="0" borderId="0"/>
    <xf numFmtId="0" fontId="11" fillId="0" borderId="0" applyFont="0" applyFill="0" applyBorder="0" applyProtection="0">
      <alignment horizontal="right"/>
    </xf>
    <xf numFmtId="0" fontId="11" fillId="0" borderId="0" applyFont="0" applyFill="0" applyBorder="0" applyProtection="0">
      <alignment horizontal="right"/>
    </xf>
    <xf numFmtId="0" fontId="11" fillId="0" borderId="0" applyFont="0" applyFill="0" applyBorder="0" applyProtection="0">
      <alignment horizontal="right"/>
    </xf>
    <xf numFmtId="0" fontId="97" fillId="21" borderId="0" applyNumberFormat="0" applyFont="0" applyBorder="0" applyAlignment="0">
      <alignment horizontal="center"/>
    </xf>
    <xf numFmtId="14" fontId="46" fillId="0" borderId="0" applyNumberFormat="0" applyFill="0" applyBorder="0" applyAlignment="0" applyProtection="0">
      <alignment horizontal="left"/>
    </xf>
    <xf numFmtId="49" fontId="7" fillId="0" borderId="0" applyFont="0" applyFill="0" applyBorder="0" applyProtection="0">
      <alignment horizontal="right"/>
    </xf>
    <xf numFmtId="49" fontId="25" fillId="0" borderId="0" applyFill="0" applyBorder="0" applyProtection="0">
      <alignment horizontal="right"/>
    </xf>
    <xf numFmtId="49" fontId="25" fillId="0" borderId="3" applyFill="0" applyProtection="0">
      <alignment horizontal="right"/>
    </xf>
    <xf numFmtId="49" fontId="25" fillId="0" borderId="12" applyFill="0" applyProtection="0">
      <alignment horizontal="right"/>
    </xf>
    <xf numFmtId="0" fontId="69" fillId="0" borderId="0" applyFill="0" applyBorder="0" applyProtection="0">
      <alignment horizontal="left"/>
    </xf>
    <xf numFmtId="0" fontId="18" fillId="22" borderId="0"/>
    <xf numFmtId="0" fontId="97" fillId="1" borderId="8" applyNumberFormat="0" applyFont="0" applyAlignment="0">
      <alignment horizontal="center"/>
    </xf>
    <xf numFmtId="247" fontId="98" fillId="0" borderId="0" applyFont="0" applyFill="0" applyBorder="0" applyAlignment="0" applyProtection="0"/>
    <xf numFmtId="1" fontId="11" fillId="0" borderId="0"/>
    <xf numFmtId="0" fontId="7" fillId="0" borderId="0" applyFont="0" applyFill="0" applyBorder="0" applyAlignment="0" applyProtection="0"/>
    <xf numFmtId="0" fontId="25" fillId="0" borderId="0" applyFill="0" applyBorder="0" applyAlignment="0" applyProtection="0"/>
    <xf numFmtId="42" fontId="26" fillId="0" borderId="0" applyFill="0" applyBorder="0" applyAlignment="0" applyProtection="0"/>
    <xf numFmtId="0" fontId="99" fillId="0" borderId="0" applyNumberFormat="0" applyFill="0" applyBorder="0" applyAlignment="0">
      <alignment horizontal="center"/>
    </xf>
    <xf numFmtId="12" fontId="11" fillId="0" borderId="0" applyFont="0" applyFill="0" applyBorder="0" applyProtection="0">
      <alignment horizontal="right"/>
    </xf>
    <xf numFmtId="0" fontId="11" fillId="23" borderId="0" applyFont="0" applyFill="0" applyBorder="0" applyProtection="0">
      <alignment horizontal="right"/>
    </xf>
    <xf numFmtId="0" fontId="9" fillId="0" borderId="0">
      <alignment vertical="top"/>
    </xf>
    <xf numFmtId="0" fontId="84" fillId="0" borderId="0" applyNumberFormat="0" applyFill="0" applyBorder="0" applyProtection="0">
      <alignment horizontal="left"/>
    </xf>
    <xf numFmtId="0" fontId="27" fillId="0" borderId="0" applyNumberFormat="0" applyFill="0" applyBorder="0" applyProtection="0">
      <alignment horizontal="left"/>
    </xf>
    <xf numFmtId="0" fontId="27" fillId="0" borderId="0" applyNumberFormat="0" applyFill="0" applyBorder="0" applyProtection="0">
      <alignment horizontal="left"/>
    </xf>
    <xf numFmtId="0" fontId="28" fillId="0" borderId="0" applyNumberFormat="0" applyFill="0" applyBorder="0" applyProtection="0">
      <alignment horizontal="left"/>
    </xf>
    <xf numFmtId="0" fontId="28" fillId="0" borderId="0" applyFill="0" applyBorder="0" applyProtection="0">
      <alignment horizontal="left" wrapText="1"/>
    </xf>
    <xf numFmtId="0" fontId="28" fillId="0" borderId="0" applyNumberFormat="0" applyFill="0" applyBorder="0" applyProtection="0">
      <alignment horizontal="right" wrapText="1"/>
    </xf>
    <xf numFmtId="1" fontId="27" fillId="0" borderId="0" applyFill="0" applyBorder="0" applyProtection="0">
      <alignment horizontal="left"/>
    </xf>
    <xf numFmtId="49" fontId="27" fillId="0" borderId="0" applyFill="0" applyBorder="0" applyProtection="0">
      <alignment horizontal="left"/>
    </xf>
    <xf numFmtId="1" fontId="27" fillId="0" borderId="0" applyFill="0" applyBorder="0" applyProtection="0">
      <alignment horizontal="center"/>
    </xf>
    <xf numFmtId="37" fontId="27" fillId="0" borderId="0" applyFill="0" applyBorder="0" applyProtection="0">
      <alignment horizontal="right"/>
    </xf>
    <xf numFmtId="7" fontId="27" fillId="0" borderId="0" applyFill="0" applyBorder="0" applyProtection="0">
      <alignment horizontal="right"/>
    </xf>
    <xf numFmtId="248" fontId="27" fillId="0" borderId="0" applyFill="0" applyBorder="0" applyProtection="0">
      <alignment horizontal="left"/>
    </xf>
    <xf numFmtId="37" fontId="28" fillId="0" borderId="0" applyFill="0" applyBorder="0" applyProtection="0">
      <alignment horizontal="right"/>
    </xf>
    <xf numFmtId="7" fontId="28" fillId="0" borderId="0" applyFill="0" applyBorder="0" applyProtection="0">
      <alignment horizontal="right"/>
    </xf>
    <xf numFmtId="249" fontId="27" fillId="0" borderId="0" applyFill="0" applyBorder="0" applyProtection="0">
      <alignment horizontal="right"/>
    </xf>
    <xf numFmtId="250" fontId="27" fillId="0" borderId="0" applyFill="0" applyBorder="0" applyProtection="0">
      <alignment horizontal="right"/>
    </xf>
    <xf numFmtId="251" fontId="27" fillId="0" borderId="0" applyFill="0" applyBorder="0" applyProtection="0">
      <alignment horizontal="right"/>
    </xf>
    <xf numFmtId="14" fontId="27" fillId="0" borderId="0" applyFill="0" applyBorder="0" applyProtection="0">
      <alignment horizontal="right"/>
    </xf>
    <xf numFmtId="14" fontId="27" fillId="0" borderId="0" applyFill="0" applyBorder="0" applyProtection="0">
      <alignment horizontal="right"/>
    </xf>
    <xf numFmtId="252" fontId="27" fillId="0" borderId="0" applyFill="0" applyBorder="0" applyProtection="0">
      <alignment horizontal="left"/>
    </xf>
    <xf numFmtId="253" fontId="27" fillId="0" borderId="0" applyFill="0" applyBorder="0" applyProtection="0">
      <alignment horizontal="left"/>
    </xf>
    <xf numFmtId="249" fontId="28" fillId="0" borderId="0" applyFill="0" applyBorder="0" applyProtection="0">
      <alignment horizontal="right"/>
    </xf>
    <xf numFmtId="1" fontId="28" fillId="0" borderId="0" applyFill="0" applyBorder="0" applyProtection="0">
      <alignment horizontal="left"/>
    </xf>
    <xf numFmtId="248" fontId="28" fillId="0" borderId="0" applyFill="0" applyBorder="0" applyProtection="0">
      <alignment horizontal="left"/>
    </xf>
    <xf numFmtId="37" fontId="28" fillId="0" borderId="0" applyFill="0" applyBorder="0" applyProtection="0">
      <alignment horizontal="right"/>
    </xf>
    <xf numFmtId="1" fontId="100" fillId="0" borderId="0" applyFill="0" applyBorder="0" applyProtection="0">
      <alignment horizontal="left"/>
    </xf>
    <xf numFmtId="49" fontId="27" fillId="0" borderId="0" applyFill="0" applyBorder="0" applyProtection="0">
      <alignment horizontal="left"/>
    </xf>
    <xf numFmtId="253" fontId="27" fillId="0" borderId="0" applyFill="0" applyBorder="0" applyProtection="0">
      <alignment horizontal="left"/>
    </xf>
    <xf numFmtId="0" fontId="9" fillId="0" borderId="0" applyNumberFormat="0" applyBorder="0" applyAlignment="0"/>
    <xf numFmtId="0" fontId="19" fillId="0" borderId="0"/>
    <xf numFmtId="40" fontId="101" fillId="0" borderId="0" applyBorder="0">
      <alignment horizontal="right"/>
    </xf>
    <xf numFmtId="6" fontId="75" fillId="0" borderId="36" applyFill="0">
      <alignment vertical="center"/>
    </xf>
    <xf numFmtId="0" fontId="20" fillId="0" borderId="0"/>
    <xf numFmtId="0" fontId="102" fillId="0" borderId="0"/>
    <xf numFmtId="0" fontId="7" fillId="0" borderId="0"/>
    <xf numFmtId="49" fontId="9" fillId="0" borderId="0" applyFill="0" applyBorder="0" applyAlignment="0"/>
    <xf numFmtId="0" fontId="31" fillId="0" borderId="0" applyFill="0" applyBorder="0" applyAlignment="0"/>
    <xf numFmtId="202" fontId="11" fillId="0" borderId="0" applyFill="0" applyBorder="0" applyAlignment="0"/>
    <xf numFmtId="0" fontId="21" fillId="0" borderId="0"/>
    <xf numFmtId="0" fontId="22" fillId="0" borderId="0"/>
    <xf numFmtId="0" fontId="23" fillId="0" borderId="0">
      <alignment vertical="top"/>
    </xf>
    <xf numFmtId="254" fontId="75" fillId="0" borderId="0" applyFill="0" applyBorder="0">
      <alignment vertical="center"/>
    </xf>
    <xf numFmtId="0" fontId="2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38" fontId="103" fillId="0" borderId="0" applyNumberFormat="0" applyFill="0" applyBorder="0">
      <alignment horizontal="left" vertical="center"/>
    </xf>
    <xf numFmtId="38" fontId="104" fillId="0" borderId="0" applyNumberFormat="0" applyFill="0" applyBorder="0">
      <alignment horizontal="centerContinuous" vertical="center"/>
    </xf>
    <xf numFmtId="0" fontId="24" fillId="0" borderId="0">
      <alignment vertical="top"/>
    </xf>
    <xf numFmtId="0" fontId="10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0" fillId="0" borderId="0" applyFill="0" applyBorder="0" applyAlignment="0" applyProtection="0"/>
    <xf numFmtId="0" fontId="21" fillId="0" borderId="0">
      <alignment wrapText="1"/>
    </xf>
    <xf numFmtId="0" fontId="106" fillId="0" borderId="0">
      <alignment horizontal="left"/>
      <protection locked="0"/>
    </xf>
    <xf numFmtId="5" fontId="91" fillId="0" borderId="0">
      <alignment vertical="center"/>
    </xf>
    <xf numFmtId="224" fontId="31" fillId="0" borderId="0"/>
    <xf numFmtId="255" fontId="32" fillId="0" borderId="0" applyFill="0" applyBorder="0" applyAlignment="0" applyProtection="0"/>
    <xf numFmtId="14" fontId="27" fillId="0" borderId="0" applyFont="0" applyFill="0" applyBorder="0" applyProtection="0"/>
    <xf numFmtId="256" fontId="107" fillId="0" borderId="0" applyFill="0" applyBorder="0">
      <alignment vertical="center"/>
    </xf>
    <xf numFmtId="0" fontId="75" fillId="24" borderId="37" applyNumberFormat="0" applyFont="0" applyBorder="0" applyAlignment="0" applyProtection="0">
      <alignment horizontal="right"/>
    </xf>
    <xf numFmtId="257" fontId="26" fillId="0" borderId="0" applyFont="0" applyFill="0" applyBorder="0" applyAlignment="0" applyProtection="0"/>
    <xf numFmtId="256" fontId="108" fillId="0" borderId="0">
      <alignment horizontal="center"/>
    </xf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 applyNumberFormat="0" applyFill="0" applyBorder="0" applyAlignment="0" applyProtection="0">
      <alignment horizontal="left" wrapText="1"/>
    </xf>
    <xf numFmtId="0" fontId="6" fillId="0" borderId="0" applyNumberFormat="0" applyFill="0" applyBorder="0" applyAlignment="0" applyProtection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vertical="top"/>
    </xf>
    <xf numFmtId="0" fontId="6" fillId="0" borderId="0" applyNumberFormat="0" applyFill="0" applyBorder="0" applyAlignment="0" applyProtection="0">
      <alignment horizontal="left" wrapText="1"/>
    </xf>
    <xf numFmtId="0" fontId="6" fillId="0" borderId="0">
      <alignment vertical="top"/>
    </xf>
    <xf numFmtId="17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2" borderId="0" applyNumberFormat="0" applyFont="0" applyAlignment="0" applyProtection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5" fontId="6" fillId="0" borderId="0" applyFont="0" applyFill="0" applyBorder="0" applyProtection="0">
      <alignment horizontal="right"/>
    </xf>
    <xf numFmtId="186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187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42" fontId="6" fillId="0" borderId="0" applyFont="0" applyFill="0" applyBorder="0" applyAlignment="0" applyProtection="0"/>
    <xf numFmtId="0" fontId="6" fillId="0" borderId="0" applyNumberFormat="0" applyFill="0" applyBorder="0" applyAlignment="0" applyProtection="0"/>
    <xf numFmtId="202" fontId="6" fillId="0" borderId="0" applyFill="0" applyBorder="0" applyAlignment="0"/>
    <xf numFmtId="8" fontId="6" fillId="0" borderId="5" applyFont="0" applyFill="0" applyBorder="0" applyProtection="0">
      <alignment horizontal="right"/>
    </xf>
    <xf numFmtId="203" fontId="6" fillId="0" borderId="0"/>
    <xf numFmtId="203" fontId="6" fillId="0" borderId="0"/>
    <xf numFmtId="203" fontId="6" fillId="0" borderId="0"/>
    <xf numFmtId="203" fontId="6" fillId="0" borderId="0"/>
    <xf numFmtId="203" fontId="6" fillId="0" borderId="0"/>
    <xf numFmtId="203" fontId="6" fillId="0" borderId="0"/>
    <xf numFmtId="203" fontId="6" fillId="0" borderId="0"/>
    <xf numFmtId="203" fontId="6" fillId="0" borderId="0"/>
    <xf numFmtId="40" fontId="6" fillId="0" borderId="0" applyFont="0" applyFill="0" applyBorder="0" applyProtection="0">
      <alignment horizontal="right"/>
    </xf>
    <xf numFmtId="3" fontId="6" fillId="0" borderId="0" applyFill="0" applyBorder="0" applyAlignment="0" applyProtection="0"/>
    <xf numFmtId="7" fontId="6" fillId="0" borderId="0" applyFont="0" applyFill="0" applyBorder="0" applyAlignment="0" applyProtection="0"/>
    <xf numFmtId="207" fontId="6" fillId="0" borderId="0" applyNumberFormat="0">
      <alignment horizontal="right"/>
    </xf>
    <xf numFmtId="15" fontId="6" fillId="0" borderId="0" applyFont="0" applyFill="0" applyBorder="0" applyProtection="0">
      <alignment horizontal="right"/>
    </xf>
    <xf numFmtId="0" fontId="6" fillId="0" borderId="0">
      <alignment horizontal="left"/>
    </xf>
    <xf numFmtId="210" fontId="6" fillId="0" borderId="0" applyFont="0" applyFill="0" applyBorder="0" applyAlignment="0" applyProtection="0"/>
    <xf numFmtId="0" fontId="6" fillId="0" borderId="0">
      <alignment horizontal="center"/>
    </xf>
    <xf numFmtId="0" fontId="6" fillId="0" borderId="0">
      <alignment horizontal="left"/>
    </xf>
    <xf numFmtId="0" fontId="6" fillId="0" borderId="0">
      <alignment horizontal="right"/>
    </xf>
    <xf numFmtId="166" fontId="6" fillId="0" borderId="0" applyNumberFormat="0" applyFont="0" applyFill="0" applyBorder="0" applyAlignment="0"/>
    <xf numFmtId="7" fontId="6" fillId="0" borderId="0"/>
    <xf numFmtId="223" fontId="6" fillId="0" borderId="0"/>
    <xf numFmtId="0" fontId="6" fillId="0" borderId="0" applyNumberFormat="0" applyFill="0" applyBorder="0" applyAlignment="0" applyProtection="0"/>
    <xf numFmtId="10" fontId="6" fillId="0" borderId="0" applyFont="0" applyFill="0" applyBorder="0" applyAlignment="0" applyProtection="0"/>
    <xf numFmtId="0" fontId="6" fillId="0" borderId="0" applyFont="0" applyFill="0" applyBorder="0" applyProtection="0">
      <alignment horizontal="right"/>
    </xf>
    <xf numFmtId="10" fontId="6" fillId="0" borderId="0"/>
    <xf numFmtId="228" fontId="6" fillId="0" borderId="0"/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" fontId="6" fillId="0" borderId="0"/>
    <xf numFmtId="12" fontId="6" fillId="0" borderId="0" applyFont="0" applyFill="0" applyBorder="0" applyProtection="0">
      <alignment horizontal="right"/>
    </xf>
    <xf numFmtId="0" fontId="6" fillId="23" borderId="0" applyFont="0" applyFill="0" applyBorder="0" applyProtection="0">
      <alignment horizontal="right"/>
    </xf>
    <xf numFmtId="202" fontId="6" fillId="0" borderId="0" applyFill="0" applyBorder="0" applyAlignment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97">
    <xf numFmtId="0" fontId="0" fillId="0" borderId="0" xfId="0"/>
    <xf numFmtId="0" fontId="5" fillId="0" borderId="0" xfId="894"/>
    <xf numFmtId="0" fontId="114" fillId="0" borderId="0" xfId="896" applyFont="1"/>
    <xf numFmtId="0" fontId="117" fillId="0" borderId="0" xfId="896" applyFont="1"/>
    <xf numFmtId="173" fontId="120" fillId="0" borderId="0" xfId="895" applyNumberFormat="1" applyFont="1" applyFill="1"/>
    <xf numFmtId="0" fontId="120" fillId="0" borderId="0" xfId="896" applyFont="1"/>
    <xf numFmtId="0" fontId="110" fillId="0" borderId="0" xfId="896" applyFont="1"/>
    <xf numFmtId="166" fontId="110" fillId="0" borderId="0" xfId="894" applyNumberFormat="1" applyFont="1"/>
    <xf numFmtId="259" fontId="114" fillId="0" borderId="0" xfId="896" applyNumberFormat="1" applyFont="1"/>
    <xf numFmtId="171" fontId="114" fillId="0" borderId="0" xfId="895" applyNumberFormat="1" applyFont="1" applyFill="1" applyBorder="1"/>
    <xf numFmtId="259" fontId="114" fillId="0" borderId="8" xfId="896" applyNumberFormat="1" applyFont="1" applyBorder="1"/>
    <xf numFmtId="171" fontId="114" fillId="0" borderId="8" xfId="895" applyNumberFormat="1" applyFont="1" applyFill="1" applyBorder="1"/>
    <xf numFmtId="171" fontId="110" fillId="0" borderId="0" xfId="895" applyNumberFormat="1" applyFont="1" applyFill="1"/>
    <xf numFmtId="0" fontId="110" fillId="0" borderId="0" xfId="896" applyFont="1" applyAlignment="1">
      <alignment horizontal="left" wrapText="1"/>
    </xf>
    <xf numFmtId="0" fontId="114" fillId="0" borderId="0" xfId="896" applyFont="1" applyAlignment="1">
      <alignment horizontal="right" wrapText="1"/>
    </xf>
    <xf numFmtId="0" fontId="114" fillId="0" borderId="0" xfId="896" applyFont="1" applyAlignment="1">
      <alignment wrapText="1"/>
    </xf>
    <xf numFmtId="0" fontId="110" fillId="0" borderId="0" xfId="894" applyFont="1"/>
    <xf numFmtId="170" fontId="110" fillId="0" borderId="0" xfId="897" applyNumberFormat="1" applyFont="1" applyFill="1" applyBorder="1"/>
    <xf numFmtId="0" fontId="110" fillId="0" borderId="0" xfId="894" applyFont="1" applyAlignment="1">
      <alignment horizontal="right"/>
    </xf>
    <xf numFmtId="0" fontId="114" fillId="0" borderId="0" xfId="894" applyFont="1"/>
    <xf numFmtId="259" fontId="114" fillId="0" borderId="0" xfId="894" applyNumberFormat="1" applyFont="1" applyAlignment="1">
      <alignment horizontal="right"/>
    </xf>
    <xf numFmtId="259" fontId="110" fillId="0" borderId="0" xfId="894" applyNumberFormat="1" applyFont="1" applyAlignment="1">
      <alignment horizontal="right"/>
    </xf>
    <xf numFmtId="171" fontId="110" fillId="0" borderId="0" xfId="895" applyNumberFormat="1" applyFont="1" applyFill="1" applyBorder="1" applyAlignment="1">
      <alignment horizontal="right"/>
    </xf>
    <xf numFmtId="171" fontId="114" fillId="0" borderId="39" xfId="895" applyNumberFormat="1" applyFont="1" applyFill="1" applyBorder="1" applyAlignment="1">
      <alignment horizontal="right"/>
    </xf>
    <xf numFmtId="0" fontId="114" fillId="0" borderId="39" xfId="894" applyFont="1" applyBorder="1"/>
    <xf numFmtId="171" fontId="114" fillId="0" borderId="0" xfId="895" applyNumberFormat="1" applyFont="1" applyFill="1" applyBorder="1" applyAlignment="1">
      <alignment horizontal="right"/>
    </xf>
    <xf numFmtId="171" fontId="110" fillId="0" borderId="0" xfId="895" applyNumberFormat="1" applyFont="1"/>
    <xf numFmtId="171" fontId="114" fillId="0" borderId="0" xfId="895" applyNumberFormat="1" applyFont="1" applyFill="1"/>
    <xf numFmtId="37" fontId="110" fillId="0" borderId="0" xfId="894" applyNumberFormat="1" applyFont="1" applyAlignment="1">
      <alignment horizontal="right"/>
    </xf>
    <xf numFmtId="0" fontId="115" fillId="0" borderId="0" xfId="894" applyFont="1"/>
    <xf numFmtId="9" fontId="115" fillId="27" borderId="0" xfId="897" applyFont="1" applyFill="1" applyAlignment="1">
      <alignment horizontal="right"/>
    </xf>
    <xf numFmtId="0" fontId="115" fillId="27" borderId="0" xfId="894" applyFont="1" applyFill="1"/>
    <xf numFmtId="166" fontId="114" fillId="0" borderId="39" xfId="894" applyNumberFormat="1" applyFont="1" applyBorder="1"/>
    <xf numFmtId="166" fontId="114" fillId="0" borderId="0" xfId="894" applyNumberFormat="1" applyFont="1" applyAlignment="1">
      <alignment horizontal="right"/>
    </xf>
    <xf numFmtId="0" fontId="115" fillId="27" borderId="0" xfId="894" applyFont="1" applyFill="1" applyAlignment="1">
      <alignment horizontal="left" indent="1"/>
    </xf>
    <xf numFmtId="169" fontId="114" fillId="26" borderId="0" xfId="894" applyNumberFormat="1" applyFont="1" applyFill="1" applyAlignment="1">
      <alignment horizontal="center"/>
    </xf>
    <xf numFmtId="0" fontId="114" fillId="26" borderId="0" xfId="894" applyFont="1" applyFill="1"/>
    <xf numFmtId="0" fontId="111" fillId="0" borderId="0" xfId="894" applyFont="1"/>
    <xf numFmtId="169" fontId="114" fillId="26" borderId="3" xfId="894" applyNumberFormat="1" applyFont="1" applyFill="1" applyBorder="1" applyAlignment="1">
      <alignment horizontal="centerContinuous"/>
    </xf>
    <xf numFmtId="0" fontId="114" fillId="26" borderId="3" xfId="894" applyFont="1" applyFill="1" applyBorder="1"/>
    <xf numFmtId="171" fontId="114" fillId="0" borderId="0" xfId="895" applyNumberFormat="1" applyFont="1" applyAlignment="1">
      <alignment horizontal="right"/>
    </xf>
    <xf numFmtId="171" fontId="110" fillId="0" borderId="0" xfId="895" applyNumberFormat="1" applyFont="1" applyAlignment="1">
      <alignment horizontal="right"/>
    </xf>
    <xf numFmtId="170" fontId="115" fillId="27" borderId="0" xfId="897" applyNumberFormat="1" applyFont="1" applyFill="1" applyAlignment="1">
      <alignment horizontal="right"/>
    </xf>
    <xf numFmtId="166" fontId="114" fillId="0" borderId="0" xfId="894" applyNumberFormat="1" applyFont="1"/>
    <xf numFmtId="169" fontId="114" fillId="26" borderId="3" xfId="894" applyNumberFormat="1" applyFont="1" applyFill="1" applyBorder="1" applyAlignment="1">
      <alignment horizontal="center"/>
    </xf>
    <xf numFmtId="167" fontId="114" fillId="0" borderId="0" xfId="894" applyNumberFormat="1" applyFont="1"/>
    <xf numFmtId="167" fontId="114" fillId="0" borderId="3" xfId="894" applyNumberFormat="1" applyFont="1" applyBorder="1" applyAlignment="1">
      <alignment horizontal="right"/>
    </xf>
    <xf numFmtId="0" fontId="114" fillId="0" borderId="3" xfId="894" applyFont="1" applyBorder="1"/>
    <xf numFmtId="168" fontId="110" fillId="0" borderId="0" xfId="894" applyNumberFormat="1" applyFont="1"/>
    <xf numFmtId="258" fontId="110" fillId="0" borderId="0" xfId="894" applyNumberFormat="1" applyFont="1"/>
    <xf numFmtId="166" fontId="113" fillId="0" borderId="0" xfId="894" applyNumberFormat="1" applyFont="1"/>
    <xf numFmtId="37" fontId="113" fillId="0" borderId="0" xfId="897" applyNumberFormat="1" applyFont="1" applyFill="1" applyBorder="1"/>
    <xf numFmtId="37" fontId="110" fillId="0" borderId="0" xfId="897" applyNumberFormat="1" applyFont="1" applyFill="1" applyBorder="1"/>
    <xf numFmtId="170" fontId="116" fillId="0" borderId="0" xfId="897" applyNumberFormat="1" applyFont="1" applyFill="1"/>
    <xf numFmtId="170" fontId="116" fillId="0" borderId="0" xfId="897" applyNumberFormat="1" applyFont="1" applyFill="1" applyBorder="1"/>
    <xf numFmtId="0" fontId="115" fillId="27" borderId="0" xfId="894" applyFont="1" applyFill="1" applyAlignment="1">
      <alignment horizontal="left"/>
    </xf>
    <xf numFmtId="9" fontId="110" fillId="0" borderId="0" xfId="897" applyFont="1" applyFill="1" applyBorder="1"/>
    <xf numFmtId="9" fontId="110" fillId="0" borderId="0" xfId="897" applyFont="1" applyFill="1"/>
    <xf numFmtId="166" fontId="117" fillId="0" borderId="0" xfId="894" applyNumberFormat="1" applyFont="1"/>
    <xf numFmtId="0" fontId="114" fillId="0" borderId="0" xfId="894" applyFont="1" applyAlignment="1">
      <alignment horizontal="left"/>
    </xf>
    <xf numFmtId="0" fontId="120" fillId="0" borderId="0" xfId="894" applyFont="1"/>
    <xf numFmtId="0" fontId="110" fillId="0" borderId="0" xfId="894" applyFont="1" applyAlignment="1">
      <alignment horizontal="left"/>
    </xf>
    <xf numFmtId="166" fontId="118" fillId="0" borderId="0" xfId="894" applyNumberFormat="1" applyFont="1"/>
    <xf numFmtId="170" fontId="116" fillId="27" borderId="0" xfId="897" applyNumberFormat="1" applyFont="1" applyFill="1"/>
    <xf numFmtId="9" fontId="110" fillId="0" borderId="0" xfId="897" applyFont="1"/>
    <xf numFmtId="170" fontId="115" fillId="27" borderId="0" xfId="897" applyNumberFormat="1" applyFont="1" applyFill="1"/>
    <xf numFmtId="170" fontId="116" fillId="27" borderId="0" xfId="897" applyNumberFormat="1" applyFont="1" applyFill="1" applyBorder="1"/>
    <xf numFmtId="0" fontId="110" fillId="0" borderId="0" xfId="894" applyFont="1" applyAlignment="1">
      <alignment horizontal="left" indent="1"/>
    </xf>
    <xf numFmtId="0" fontId="110" fillId="26" borderId="0" xfId="894" applyFont="1" applyFill="1"/>
    <xf numFmtId="0" fontId="110" fillId="26" borderId="3" xfId="894" applyFont="1" applyFill="1" applyBorder="1"/>
    <xf numFmtId="0" fontId="112" fillId="0" borderId="0" xfId="894" applyFont="1"/>
    <xf numFmtId="258" fontId="114" fillId="0" borderId="0" xfId="894" applyNumberFormat="1" applyFont="1" applyAlignment="1">
      <alignment horizontal="center"/>
    </xf>
    <xf numFmtId="37" fontId="110" fillId="0" borderId="0" xfId="894" applyNumberFormat="1" applyFont="1"/>
    <xf numFmtId="0" fontId="115" fillId="0" borderId="0" xfId="894" applyFont="1" applyAlignment="1">
      <alignment horizontal="left" indent="1"/>
    </xf>
    <xf numFmtId="171" fontId="110" fillId="0" borderId="0" xfId="895" applyNumberFormat="1" applyFont="1" applyFill="1" applyBorder="1" applyAlignment="1">
      <alignment horizontal="left" wrapText="1"/>
    </xf>
    <xf numFmtId="43" fontId="113" fillId="0" borderId="0" xfId="895" applyFont="1" applyFill="1" applyBorder="1" applyAlignment="1">
      <alignment horizontal="center"/>
    </xf>
    <xf numFmtId="171" fontId="110" fillId="0" borderId="0" xfId="895" applyNumberFormat="1" applyFont="1" applyFill="1" applyBorder="1" applyAlignment="1">
      <alignment horizontal="center" wrapText="1"/>
    </xf>
    <xf numFmtId="171" fontId="114" fillId="0" borderId="0" xfId="895" applyNumberFormat="1" applyFont="1" applyFill="1" applyBorder="1" applyAlignment="1">
      <alignment horizontal="left" wrapText="1"/>
    </xf>
    <xf numFmtId="171" fontId="114" fillId="0" borderId="0" xfId="895" applyNumberFormat="1" applyFont="1" applyFill="1" applyBorder="1" applyAlignment="1">
      <alignment horizontal="center" wrapText="1"/>
    </xf>
    <xf numFmtId="171" fontId="114" fillId="0" borderId="0" xfId="895" applyNumberFormat="1" applyFont="1" applyFill="1" applyBorder="1" applyAlignment="1">
      <alignment horizontal="right" wrapText="1"/>
    </xf>
    <xf numFmtId="0" fontId="114" fillId="0" borderId="40" xfId="896" applyFont="1" applyBorder="1" applyAlignment="1">
      <alignment horizontal="left" wrapText="1"/>
    </xf>
    <xf numFmtId="0" fontId="110" fillId="0" borderId="21" xfId="896" applyFont="1" applyBorder="1" applyAlignment="1">
      <alignment horizontal="left" wrapText="1"/>
    </xf>
    <xf numFmtId="16" fontId="110" fillId="0" borderId="21" xfId="896" applyNumberFormat="1" applyFont="1" applyBorder="1" applyAlignment="1">
      <alignment horizontal="left" wrapText="1"/>
    </xf>
    <xf numFmtId="0" fontId="114" fillId="0" borderId="43" xfId="896" applyFont="1" applyBorder="1"/>
    <xf numFmtId="171" fontId="110" fillId="0" borderId="27" xfId="895" applyNumberFormat="1" applyFont="1" applyFill="1" applyBorder="1" applyAlignment="1">
      <alignment horizontal="left" wrapText="1"/>
    </xf>
    <xf numFmtId="17" fontId="114" fillId="0" borderId="45" xfId="896" applyNumberFormat="1" applyFont="1" applyBorder="1" applyAlignment="1">
      <alignment horizontal="right" vertical="center" wrapText="1"/>
    </xf>
    <xf numFmtId="17" fontId="114" fillId="0" borderId="41" xfId="896" applyNumberFormat="1" applyFont="1" applyBorder="1" applyAlignment="1">
      <alignment horizontal="right" vertical="center" wrapText="1"/>
    </xf>
    <xf numFmtId="0" fontId="5" fillId="0" borderId="27" xfId="894" applyBorder="1"/>
    <xf numFmtId="0" fontId="5" fillId="0" borderId="28" xfId="894" applyBorder="1"/>
    <xf numFmtId="17" fontId="114" fillId="0" borderId="24" xfId="896" applyNumberFormat="1" applyFont="1" applyBorder="1" applyAlignment="1">
      <alignment horizontal="right" vertical="center" wrapText="1"/>
    </xf>
    <xf numFmtId="17" fontId="114" fillId="0" borderId="26" xfId="896" applyNumberFormat="1" applyFont="1" applyBorder="1" applyAlignment="1">
      <alignment horizontal="right" vertical="center" wrapText="1"/>
    </xf>
    <xf numFmtId="171" fontId="110" fillId="0" borderId="12" xfId="895" applyNumberFormat="1" applyFont="1" applyFill="1" applyBorder="1" applyAlignment="1">
      <alignment horizontal="left" wrapText="1"/>
    </xf>
    <xf numFmtId="171" fontId="114" fillId="0" borderId="46" xfId="895" applyNumberFormat="1" applyFont="1" applyFill="1" applyBorder="1" applyAlignment="1">
      <alignment horizontal="right" wrapText="1"/>
    </xf>
    <xf numFmtId="171" fontId="114" fillId="0" borderId="44" xfId="895" applyNumberFormat="1" applyFont="1" applyFill="1" applyBorder="1" applyAlignment="1">
      <alignment horizontal="left" wrapText="1"/>
    </xf>
    <xf numFmtId="171" fontId="110" fillId="0" borderId="42" xfId="895" applyNumberFormat="1" applyFont="1" applyFill="1" applyBorder="1" applyAlignment="1">
      <alignment horizontal="left" wrapText="1"/>
    </xf>
    <xf numFmtId="43" fontId="110" fillId="0" borderId="0" xfId="895" applyFont="1" applyFill="1" applyBorder="1" applyAlignment="1">
      <alignment horizontal="center" wrapText="1"/>
    </xf>
    <xf numFmtId="164" fontId="117" fillId="0" borderId="0" xfId="896" applyNumberFormat="1" applyFont="1"/>
    <xf numFmtId="17" fontId="114" fillId="0" borderId="40" xfId="896" applyNumberFormat="1" applyFont="1" applyBorder="1" applyAlignment="1">
      <alignment horizontal="left" vertical="center" wrapText="1"/>
    </xf>
    <xf numFmtId="0" fontId="114" fillId="0" borderId="21" xfId="896" applyFont="1" applyBorder="1" applyAlignment="1">
      <alignment horizontal="left" wrapText="1"/>
    </xf>
    <xf numFmtId="0" fontId="114" fillId="0" borderId="47" xfId="896" applyFont="1" applyBorder="1"/>
    <xf numFmtId="259" fontId="114" fillId="0" borderId="48" xfId="896" applyNumberFormat="1" applyFont="1" applyBorder="1"/>
    <xf numFmtId="0" fontId="110" fillId="0" borderId="21" xfId="896" applyFont="1" applyBorder="1"/>
    <xf numFmtId="171" fontId="110" fillId="0" borderId="0" xfId="895" applyNumberFormat="1" applyFont="1" applyFill="1" applyBorder="1"/>
    <xf numFmtId="259" fontId="110" fillId="0" borderId="0" xfId="896" applyNumberFormat="1" applyFont="1"/>
    <xf numFmtId="0" fontId="114" fillId="0" borderId="21" xfId="896" applyFont="1" applyBorder="1"/>
    <xf numFmtId="0" fontId="110" fillId="0" borderId="22" xfId="896" applyFont="1" applyBorder="1"/>
    <xf numFmtId="166" fontId="110" fillId="0" borderId="10" xfId="894" applyNumberFormat="1" applyFont="1" applyBorder="1"/>
    <xf numFmtId="0" fontId="110" fillId="0" borderId="10" xfId="896" applyFont="1" applyBorder="1"/>
    <xf numFmtId="171" fontId="110" fillId="0" borderId="10" xfId="895" applyNumberFormat="1" applyFont="1" applyFill="1" applyBorder="1" applyAlignment="1">
      <alignment horizontal="center" wrapText="1"/>
    </xf>
    <xf numFmtId="17" fontId="114" fillId="0" borderId="19" xfId="896" applyNumberFormat="1" applyFont="1" applyBorder="1" applyAlignment="1">
      <alignment horizontal="left" vertical="center" wrapText="1"/>
    </xf>
    <xf numFmtId="17" fontId="114" fillId="0" borderId="20" xfId="896" applyNumberFormat="1" applyFont="1" applyBorder="1" applyAlignment="1">
      <alignment horizontal="right" vertical="center" wrapText="1"/>
    </xf>
    <xf numFmtId="0" fontId="114" fillId="0" borderId="19" xfId="896" applyFont="1" applyBorder="1" applyAlignment="1">
      <alignment horizontal="left" wrapText="1"/>
    </xf>
    <xf numFmtId="166" fontId="114" fillId="0" borderId="20" xfId="894" applyNumberFormat="1" applyFont="1" applyBorder="1"/>
    <xf numFmtId="0" fontId="126" fillId="0" borderId="0" xfId="894" applyFont="1"/>
    <xf numFmtId="225" fontId="126" fillId="0" borderId="0" xfId="894" applyNumberFormat="1" applyFont="1"/>
    <xf numFmtId="166" fontId="110" fillId="29" borderId="0" xfId="894" applyNumberFormat="1" applyFont="1" applyFill="1"/>
    <xf numFmtId="0" fontId="110" fillId="0" borderId="0" xfId="0" applyFont="1"/>
    <xf numFmtId="17" fontId="114" fillId="0" borderId="40" xfId="896" applyNumberFormat="1" applyFont="1" applyBorder="1" applyAlignment="1">
      <alignment horizontal="right" vertical="center" wrapText="1"/>
    </xf>
    <xf numFmtId="171" fontId="110" fillId="0" borderId="27" xfId="1024" applyNumberFormat="1" applyFont="1" applyFill="1" applyBorder="1" applyAlignment="1">
      <alignment horizontal="left" wrapText="1"/>
    </xf>
    <xf numFmtId="0" fontId="114" fillId="0" borderId="41" xfId="896" applyFont="1" applyBorder="1" applyAlignment="1">
      <alignment horizontal="right" wrapText="1"/>
    </xf>
    <xf numFmtId="171" fontId="119" fillId="0" borderId="49" xfId="1025" applyNumberFormat="1" applyFont="1" applyFill="1" applyBorder="1" applyAlignment="1">
      <alignment horizontal="left" wrapText="1"/>
    </xf>
    <xf numFmtId="171" fontId="114" fillId="0" borderId="50" xfId="1025" applyNumberFormat="1" applyFont="1" applyFill="1" applyBorder="1" applyAlignment="1">
      <alignment horizontal="left" wrapText="1"/>
    </xf>
    <xf numFmtId="171" fontId="114" fillId="0" borderId="44" xfId="1025" applyNumberFormat="1" applyFont="1" applyFill="1" applyBorder="1" applyAlignment="1">
      <alignment horizontal="left" wrapText="1"/>
    </xf>
    <xf numFmtId="164" fontId="117" fillId="0" borderId="0" xfId="900" applyFont="1" applyFill="1"/>
    <xf numFmtId="263" fontId="114" fillId="26" borderId="0" xfId="900" applyNumberFormat="1" applyFont="1" applyFill="1" applyBorder="1" applyAlignment="1">
      <alignment horizontal="center"/>
    </xf>
    <xf numFmtId="263" fontId="110" fillId="0" borderId="0" xfId="900" applyNumberFormat="1" applyFont="1" applyAlignment="1">
      <alignment horizontal="right"/>
    </xf>
    <xf numFmtId="263" fontId="114" fillId="0" borderId="0" xfId="900" applyNumberFormat="1" applyFont="1" applyFill="1" applyBorder="1" applyAlignment="1">
      <alignment horizontal="right"/>
    </xf>
    <xf numFmtId="263" fontId="117" fillId="0" borderId="0" xfId="900" applyNumberFormat="1" applyFont="1" applyFill="1"/>
    <xf numFmtId="263" fontId="110" fillId="0" borderId="0" xfId="900" applyNumberFormat="1" applyFont="1" applyFill="1"/>
    <xf numFmtId="263" fontId="110" fillId="0" borderId="0" xfId="900" applyNumberFormat="1" applyFont="1" applyFill="1" applyBorder="1" applyAlignment="1">
      <alignment horizontal="center"/>
    </xf>
    <xf numFmtId="258" fontId="114" fillId="29" borderId="0" xfId="894" applyNumberFormat="1" applyFont="1" applyFill="1"/>
    <xf numFmtId="258" fontId="110" fillId="29" borderId="0" xfId="894" applyNumberFormat="1" applyFont="1" applyFill="1"/>
    <xf numFmtId="259" fontId="110" fillId="29" borderId="0" xfId="894" applyNumberFormat="1" applyFont="1" applyFill="1" applyAlignment="1">
      <alignment horizontal="right"/>
    </xf>
    <xf numFmtId="259" fontId="114" fillId="29" borderId="0" xfId="894" applyNumberFormat="1" applyFont="1" applyFill="1" applyAlignment="1">
      <alignment horizontal="right"/>
    </xf>
    <xf numFmtId="171" fontId="114" fillId="0" borderId="0" xfId="895" applyNumberFormat="1" applyFont="1" applyFill="1" applyBorder="1" applyAlignment="1">
      <alignment horizontal="center"/>
    </xf>
    <xf numFmtId="166" fontId="112" fillId="0" borderId="0" xfId="894" applyNumberFormat="1" applyFont="1"/>
    <xf numFmtId="171" fontId="121" fillId="0" borderId="0" xfId="895" applyNumberFormat="1" applyFont="1" applyFill="1" applyBorder="1" applyAlignment="1">
      <alignment horizontal="center"/>
    </xf>
    <xf numFmtId="0" fontId="111" fillId="0" borderId="0" xfId="1026" applyFont="1"/>
    <xf numFmtId="0" fontId="114" fillId="0" borderId="0" xfId="1026" applyFont="1"/>
    <xf numFmtId="0" fontId="112" fillId="0" borderId="0" xfId="1026" applyFont="1"/>
    <xf numFmtId="43" fontId="112" fillId="0" borderId="0" xfId="1027" applyFont="1" applyFill="1" applyBorder="1" applyAlignment="1">
      <alignment horizontal="center"/>
    </xf>
    <xf numFmtId="0" fontId="110" fillId="0" borderId="0" xfId="1026" applyFont="1"/>
    <xf numFmtId="0" fontId="110" fillId="0" borderId="0" xfId="1026" applyFont="1" applyAlignment="1">
      <alignment horizontal="left" wrapText="1"/>
    </xf>
    <xf numFmtId="171" fontId="113" fillId="0" borderId="0" xfId="1027" applyNumberFormat="1" applyFont="1" applyFill="1" applyBorder="1" applyAlignment="1">
      <alignment horizontal="center"/>
    </xf>
    <xf numFmtId="171" fontId="110" fillId="0" borderId="0" xfId="1027" applyNumberFormat="1" applyFont="1" applyFill="1" applyBorder="1" applyAlignment="1">
      <alignment horizontal="center"/>
    </xf>
    <xf numFmtId="262" fontId="114" fillId="0" borderId="0" xfId="1027" applyNumberFormat="1" applyFont="1" applyFill="1" applyBorder="1" applyAlignment="1">
      <alignment horizontal="right"/>
    </xf>
    <xf numFmtId="171" fontId="114" fillId="0" borderId="0" xfId="1027" applyNumberFormat="1" applyFont="1" applyFill="1" applyBorder="1" applyAlignment="1">
      <alignment horizontal="right"/>
    </xf>
    <xf numFmtId="173" fontId="110" fillId="0" borderId="0" xfId="1027" applyNumberFormat="1" applyFont="1" applyFill="1" applyBorder="1"/>
    <xf numFmtId="171" fontId="110" fillId="0" borderId="0" xfId="1026" applyNumberFormat="1" applyFont="1"/>
    <xf numFmtId="3" fontId="110" fillId="0" borderId="0" xfId="1026" applyNumberFormat="1" applyFont="1"/>
    <xf numFmtId="0" fontId="110" fillId="0" borderId="0" xfId="1026" applyFont="1" applyAlignment="1">
      <alignment horizontal="left"/>
    </xf>
    <xf numFmtId="258" fontId="114" fillId="29" borderId="0" xfId="894" applyNumberFormat="1" applyFont="1" applyFill="1" applyAlignment="1">
      <alignment horizontal="center"/>
    </xf>
    <xf numFmtId="0" fontId="110" fillId="29" borderId="0" xfId="894" applyFont="1" applyFill="1"/>
    <xf numFmtId="168" fontId="110" fillId="29" borderId="0" xfId="894" applyNumberFormat="1" applyFont="1" applyFill="1"/>
    <xf numFmtId="167" fontId="114" fillId="29" borderId="3" xfId="894" applyNumberFormat="1" applyFont="1" applyFill="1" applyBorder="1" applyAlignment="1">
      <alignment horizontal="right"/>
    </xf>
    <xf numFmtId="170" fontId="110" fillId="29" borderId="0" xfId="897" applyNumberFormat="1" applyFont="1" applyFill="1" applyBorder="1"/>
    <xf numFmtId="0" fontId="110" fillId="29" borderId="0" xfId="894" applyFont="1" applyFill="1" applyAlignment="1">
      <alignment horizontal="right"/>
    </xf>
    <xf numFmtId="260" fontId="110" fillId="29" borderId="0" xfId="894" applyNumberFormat="1" applyFont="1" applyFill="1" applyAlignment="1">
      <alignment horizontal="right"/>
    </xf>
    <xf numFmtId="260" fontId="114" fillId="29" borderId="0" xfId="894" applyNumberFormat="1" applyFont="1" applyFill="1" applyAlignment="1">
      <alignment horizontal="right"/>
    </xf>
    <xf numFmtId="166" fontId="110" fillId="0" borderId="27" xfId="894" applyNumberFormat="1" applyFont="1" applyBorder="1"/>
    <xf numFmtId="0" fontId="1" fillId="0" borderId="0" xfId="894" applyFont="1"/>
    <xf numFmtId="9" fontId="110" fillId="0" borderId="0" xfId="1028" applyFont="1"/>
    <xf numFmtId="17" fontId="114" fillId="0" borderId="0" xfId="896" applyNumberFormat="1" applyFont="1" applyAlignment="1">
      <alignment horizontal="right" vertical="center" wrapText="1"/>
    </xf>
    <xf numFmtId="171" fontId="114" fillId="0" borderId="0" xfId="894" applyNumberFormat="1" applyFont="1" applyAlignment="1">
      <alignment horizontal="right"/>
    </xf>
    <xf numFmtId="260" fontId="110" fillId="0" borderId="0" xfId="894" applyNumberFormat="1" applyFont="1" applyAlignment="1">
      <alignment horizontal="right"/>
    </xf>
    <xf numFmtId="0" fontId="114" fillId="0" borderId="0" xfId="0" applyFont="1"/>
    <xf numFmtId="0" fontId="110" fillId="0" borderId="0" xfId="0" applyFont="1" applyAlignment="1">
      <alignment horizontal="left" indent="1"/>
    </xf>
    <xf numFmtId="3" fontId="0" fillId="0" borderId="0" xfId="0" applyNumberFormat="1"/>
    <xf numFmtId="3" fontId="110" fillId="0" borderId="0" xfId="894" applyNumberFormat="1" applyFont="1"/>
    <xf numFmtId="3" fontId="115" fillId="0" borderId="0" xfId="894" applyNumberFormat="1" applyFont="1"/>
    <xf numFmtId="225" fontId="5" fillId="0" borderId="0" xfId="894" applyNumberFormat="1"/>
    <xf numFmtId="0" fontId="1" fillId="0" borderId="21" xfId="894" applyFont="1" applyBorder="1"/>
    <xf numFmtId="259" fontId="114" fillId="0" borderId="44" xfId="896" applyNumberFormat="1" applyFont="1" applyBorder="1"/>
    <xf numFmtId="0" fontId="1" fillId="0" borderId="43" xfId="894" applyFont="1" applyBorder="1"/>
    <xf numFmtId="166" fontId="113" fillId="0" borderId="27" xfId="894" applyNumberFormat="1" applyFont="1" applyBorder="1"/>
    <xf numFmtId="17" fontId="114" fillId="27" borderId="40" xfId="896" applyNumberFormat="1" applyFont="1" applyFill="1" applyBorder="1" applyAlignment="1">
      <alignment horizontal="left" vertical="center" wrapText="1"/>
    </xf>
    <xf numFmtId="17" fontId="114" fillId="27" borderId="51" xfId="896" applyNumberFormat="1" applyFont="1" applyFill="1" applyBorder="1" applyAlignment="1">
      <alignment horizontal="center" vertical="center" wrapText="1"/>
    </xf>
    <xf numFmtId="17" fontId="114" fillId="27" borderId="45" xfId="896" applyNumberFormat="1" applyFont="1" applyFill="1" applyBorder="1" applyAlignment="1">
      <alignment horizontal="center" vertical="center" wrapText="1"/>
    </xf>
    <xf numFmtId="17" fontId="114" fillId="27" borderId="41" xfId="896" applyNumberFormat="1" applyFont="1" applyFill="1" applyBorder="1" applyAlignment="1">
      <alignment horizontal="center" vertical="center" wrapText="1"/>
    </xf>
    <xf numFmtId="17" fontId="114" fillId="27" borderId="19" xfId="896" applyNumberFormat="1" applyFont="1" applyFill="1" applyBorder="1" applyAlignment="1">
      <alignment horizontal="left" vertical="center" wrapText="1"/>
    </xf>
    <xf numFmtId="17" fontId="114" fillId="27" borderId="20" xfId="896" applyNumberFormat="1" applyFont="1" applyFill="1" applyBorder="1" applyAlignment="1">
      <alignment horizontal="center" vertical="center" wrapText="1"/>
    </xf>
    <xf numFmtId="0" fontId="114" fillId="27" borderId="40" xfId="896" applyFont="1" applyFill="1" applyBorder="1" applyAlignment="1">
      <alignment horizontal="left" wrapText="1"/>
    </xf>
    <xf numFmtId="166" fontId="121" fillId="0" borderId="0" xfId="894" applyNumberFormat="1" applyFont="1"/>
    <xf numFmtId="17" fontId="114" fillId="26" borderId="40" xfId="896" applyNumberFormat="1" applyFont="1" applyFill="1" applyBorder="1" applyAlignment="1">
      <alignment horizontal="left" vertical="center" wrapText="1"/>
    </xf>
    <xf numFmtId="17" fontId="114" fillId="26" borderId="51" xfId="896" applyNumberFormat="1" applyFont="1" applyFill="1" applyBorder="1" applyAlignment="1">
      <alignment horizontal="center" vertical="center" wrapText="1"/>
    </xf>
    <xf numFmtId="17" fontId="127" fillId="26" borderId="40" xfId="896" applyNumberFormat="1" applyFont="1" applyFill="1" applyBorder="1" applyAlignment="1">
      <alignment horizontal="left" vertical="center" wrapText="1"/>
    </xf>
    <xf numFmtId="17" fontId="114" fillId="26" borderId="45" xfId="896" applyNumberFormat="1" applyFont="1" applyFill="1" applyBorder="1" applyAlignment="1">
      <alignment horizontal="center" vertical="center" wrapText="1"/>
    </xf>
    <xf numFmtId="17" fontId="114" fillId="26" borderId="41" xfId="896" applyNumberFormat="1" applyFont="1" applyFill="1" applyBorder="1" applyAlignment="1">
      <alignment horizontal="center" vertical="center" wrapText="1"/>
    </xf>
    <xf numFmtId="17" fontId="114" fillId="26" borderId="19" xfId="896" applyNumberFormat="1" applyFont="1" applyFill="1" applyBorder="1" applyAlignment="1">
      <alignment horizontal="left" vertical="center" wrapText="1"/>
    </xf>
    <xf numFmtId="17" fontId="114" fillId="26" borderId="20" xfId="896" applyNumberFormat="1" applyFont="1" applyFill="1" applyBorder="1" applyAlignment="1">
      <alignment horizontal="center" vertical="center" wrapText="1"/>
    </xf>
    <xf numFmtId="0" fontId="114" fillId="26" borderId="40" xfId="896" applyFont="1" applyFill="1" applyBorder="1" applyAlignment="1">
      <alignment horizontal="left" wrapText="1"/>
    </xf>
    <xf numFmtId="43" fontId="5" fillId="0" borderId="0" xfId="894" applyNumberFormat="1"/>
    <xf numFmtId="166" fontId="113" fillId="0" borderId="49" xfId="894" applyNumberFormat="1" applyFont="1" applyBorder="1"/>
    <xf numFmtId="166" fontId="110" fillId="0" borderId="49" xfId="894" applyNumberFormat="1" applyFont="1" applyBorder="1"/>
    <xf numFmtId="259" fontId="114" fillId="0" borderId="50" xfId="896" applyNumberFormat="1" applyFont="1" applyBorder="1"/>
    <xf numFmtId="17" fontId="114" fillId="26" borderId="52" xfId="896" applyNumberFormat="1" applyFont="1" applyFill="1" applyBorder="1" applyAlignment="1">
      <alignment horizontal="center" vertical="center" wrapText="1"/>
    </xf>
    <xf numFmtId="166" fontId="114" fillId="0" borderId="52" xfId="894" applyNumberFormat="1" applyFont="1" applyBorder="1"/>
    <xf numFmtId="0" fontId="110" fillId="27" borderId="0" xfId="0" applyFont="1" applyFill="1"/>
    <xf numFmtId="0" fontId="112" fillId="26" borderId="0" xfId="1026" applyFont="1" applyFill="1"/>
    <xf numFmtId="43" fontId="112" fillId="26" borderId="0" xfId="1027" applyFont="1" applyFill="1" applyBorder="1" applyAlignment="1">
      <alignment horizontal="center"/>
    </xf>
    <xf numFmtId="43" fontId="114" fillId="26" borderId="0" xfId="1027" applyFont="1" applyFill="1" applyBorder="1" applyAlignment="1">
      <alignment horizontal="center"/>
    </xf>
    <xf numFmtId="258" fontId="114" fillId="0" borderId="0" xfId="894" applyNumberFormat="1" applyFont="1" applyAlignment="1">
      <alignment horizontal="left" indent="5"/>
    </xf>
    <xf numFmtId="258" fontId="110" fillId="0" borderId="0" xfId="894" applyNumberFormat="1" applyFont="1" applyAlignment="1">
      <alignment horizontal="left" indent="5"/>
    </xf>
    <xf numFmtId="169" fontId="114" fillId="0" borderId="0" xfId="894" applyNumberFormat="1" applyFont="1" applyAlignment="1">
      <alignment horizontal="center"/>
    </xf>
    <xf numFmtId="262" fontId="110" fillId="0" borderId="0" xfId="894" applyNumberFormat="1" applyFont="1"/>
    <xf numFmtId="170" fontId="115" fillId="0" borderId="0" xfId="897" applyNumberFormat="1" applyFont="1" applyFill="1" applyBorder="1"/>
    <xf numFmtId="261" fontId="110" fillId="0" borderId="0" xfId="894" applyNumberFormat="1" applyFont="1"/>
    <xf numFmtId="166" fontId="122" fillId="0" borderId="0" xfId="894" applyNumberFormat="1" applyFont="1"/>
    <xf numFmtId="258" fontId="114" fillId="0" borderId="0" xfId="894" applyNumberFormat="1" applyFont="1"/>
    <xf numFmtId="167" fontId="114" fillId="0" borderId="0" xfId="894" applyNumberFormat="1" applyFont="1" applyAlignment="1">
      <alignment horizontal="right"/>
    </xf>
    <xf numFmtId="169" fontId="114" fillId="0" borderId="0" xfId="894" applyNumberFormat="1" applyFont="1" applyAlignment="1">
      <alignment horizontal="centerContinuous"/>
    </xf>
    <xf numFmtId="170" fontId="115" fillId="0" borderId="0" xfId="897" applyNumberFormat="1" applyFont="1" applyFill="1" applyBorder="1" applyAlignment="1">
      <alignment horizontal="right"/>
    </xf>
    <xf numFmtId="9" fontId="115" fillId="0" borderId="0" xfId="897" applyFont="1" applyFill="1" applyBorder="1" applyAlignment="1">
      <alignment horizontal="right"/>
    </xf>
    <xf numFmtId="39" fontId="119" fillId="30" borderId="0" xfId="894" applyNumberFormat="1" applyFont="1" applyFill="1" applyAlignment="1">
      <alignment horizontal="right"/>
    </xf>
    <xf numFmtId="39" fontId="110" fillId="30" borderId="0" xfId="894" applyNumberFormat="1" applyFont="1" applyFill="1" applyAlignment="1">
      <alignment horizontal="right"/>
    </xf>
    <xf numFmtId="0" fontId="10" fillId="0" borderId="0" xfId="0" applyFont="1"/>
    <xf numFmtId="166" fontId="113" fillId="30" borderId="0" xfId="894" applyNumberFormat="1" applyFont="1" applyFill="1"/>
    <xf numFmtId="166" fontId="110" fillId="30" borderId="0" xfId="894" applyNumberFormat="1" applyFont="1" applyFill="1"/>
    <xf numFmtId="37" fontId="110" fillId="30" borderId="0" xfId="894" applyNumberFormat="1" applyFont="1" applyFill="1"/>
    <xf numFmtId="170" fontId="115" fillId="0" borderId="0" xfId="897" applyNumberFormat="1" applyFont="1" applyFill="1"/>
    <xf numFmtId="0" fontId="110" fillId="27" borderId="0" xfId="894" applyFont="1" applyFill="1"/>
    <xf numFmtId="0" fontId="110" fillId="27" borderId="0" xfId="894" applyFont="1" applyFill="1" applyAlignment="1">
      <alignment horizontal="left"/>
    </xf>
    <xf numFmtId="170" fontId="110" fillId="27" borderId="0" xfId="897" applyNumberFormat="1" applyFont="1" applyFill="1" applyBorder="1" applyAlignment="1">
      <alignment horizontal="right"/>
    </xf>
    <xf numFmtId="0" fontId="114" fillId="30" borderId="0" xfId="894" applyFont="1" applyFill="1" applyAlignment="1">
      <alignment horizontal="left"/>
    </xf>
    <xf numFmtId="166" fontId="119" fillId="0" borderId="0" xfId="894" applyNumberFormat="1" applyFont="1"/>
    <xf numFmtId="0" fontId="119" fillId="0" borderId="0" xfId="894" applyFont="1"/>
    <xf numFmtId="171" fontId="120" fillId="0" borderId="0" xfId="895" applyNumberFormat="1" applyFont="1" applyFill="1" applyBorder="1"/>
    <xf numFmtId="173" fontId="120" fillId="0" borderId="0" xfId="895" applyNumberFormat="1" applyFont="1" applyFill="1" applyBorder="1"/>
    <xf numFmtId="166" fontId="120" fillId="0" borderId="0" xfId="894" applyNumberFormat="1" applyFont="1"/>
    <xf numFmtId="166" fontId="128" fillId="0" borderId="0" xfId="894" applyNumberFormat="1" applyFont="1"/>
    <xf numFmtId="37" fontId="120" fillId="0" borderId="0" xfId="894" applyNumberFormat="1" applyFont="1"/>
    <xf numFmtId="0" fontId="115" fillId="0" borderId="0" xfId="0" applyFont="1"/>
    <xf numFmtId="166" fontId="129" fillId="0" borderId="0" xfId="0" applyNumberFormat="1" applyFont="1"/>
    <xf numFmtId="37" fontId="129" fillId="0" borderId="0" xfId="0" applyNumberFormat="1" applyFont="1"/>
    <xf numFmtId="37" fontId="115" fillId="0" borderId="0" xfId="894" applyNumberFormat="1" applyFont="1"/>
    <xf numFmtId="258" fontId="114" fillId="0" borderId="0" xfId="894" applyNumberFormat="1" applyFont="1" applyAlignment="1">
      <alignment horizontal="left" indent="3"/>
    </xf>
    <xf numFmtId="258" fontId="114" fillId="29" borderId="0" xfId="894" applyNumberFormat="1" applyFont="1" applyFill="1" applyAlignment="1">
      <alignment horizontal="left" indent="3"/>
    </xf>
    <xf numFmtId="170" fontId="114" fillId="0" borderId="3" xfId="897" applyNumberFormat="1" applyFont="1" applyFill="1" applyBorder="1"/>
    <xf numFmtId="170" fontId="114" fillId="0" borderId="0" xfId="897" applyNumberFormat="1" applyFont="1" applyFill="1" applyBorder="1"/>
    <xf numFmtId="170" fontId="114" fillId="29" borderId="3" xfId="897" applyNumberFormat="1" applyFont="1" applyFill="1" applyBorder="1"/>
    <xf numFmtId="0" fontId="110" fillId="30" borderId="0" xfId="894" applyFont="1" applyFill="1"/>
    <xf numFmtId="39" fontId="110" fillId="27" borderId="0" xfId="894" applyNumberFormat="1" applyFont="1" applyFill="1" applyAlignment="1">
      <alignment horizontal="right"/>
    </xf>
    <xf numFmtId="171" fontId="114" fillId="0" borderId="0" xfId="895" applyNumberFormat="1" applyFont="1"/>
    <xf numFmtId="0" fontId="114" fillId="0" borderId="0" xfId="894" applyFont="1" applyAlignment="1">
      <alignment horizontal="right"/>
    </xf>
    <xf numFmtId="260" fontId="114" fillId="0" borderId="0" xfId="894" applyNumberFormat="1" applyFont="1" applyAlignment="1">
      <alignment horizontal="right"/>
    </xf>
    <xf numFmtId="0" fontId="114" fillId="31" borderId="0" xfId="1026" applyFont="1" applyFill="1"/>
    <xf numFmtId="43" fontId="112" fillId="31" borderId="0" xfId="1027" applyFont="1" applyFill="1" applyBorder="1" applyAlignment="1">
      <alignment horizontal="center"/>
    </xf>
    <xf numFmtId="262" fontId="119" fillId="31" borderId="0" xfId="1026" applyNumberFormat="1" applyFont="1" applyFill="1" applyAlignment="1">
      <alignment horizontal="right"/>
    </xf>
    <xf numFmtId="0" fontId="121" fillId="31" borderId="0" xfId="1026" applyFont="1" applyFill="1" applyAlignment="1">
      <alignment horizontal="center"/>
    </xf>
    <xf numFmtId="263" fontId="121" fillId="31" borderId="0" xfId="900" applyNumberFormat="1" applyFont="1" applyFill="1" applyAlignment="1">
      <alignment horizontal="center"/>
    </xf>
    <xf numFmtId="0" fontId="114" fillId="27" borderId="0" xfId="1026" applyFont="1" applyFill="1"/>
    <xf numFmtId="170" fontId="110" fillId="0" borderId="0" xfId="1028" applyNumberFormat="1" applyFont="1" applyFill="1"/>
    <xf numFmtId="170" fontId="114" fillId="0" borderId="0" xfId="1028" applyNumberFormat="1" applyFont="1" applyFill="1"/>
    <xf numFmtId="263" fontId="117" fillId="27" borderId="0" xfId="900" applyNumberFormat="1" applyFont="1" applyFill="1"/>
    <xf numFmtId="0" fontId="110" fillId="31" borderId="0" xfId="1026" applyFont="1" applyFill="1"/>
    <xf numFmtId="171" fontId="110" fillId="31" borderId="0" xfId="1026" applyNumberFormat="1" applyFont="1" applyFill="1"/>
    <xf numFmtId="263" fontId="110" fillId="31" borderId="0" xfId="900" applyNumberFormat="1" applyFont="1" applyFill="1"/>
    <xf numFmtId="170" fontId="110" fillId="0" borderId="0" xfId="1028" applyNumberFormat="1" applyFont="1"/>
    <xf numFmtId="170" fontId="114" fillId="0" borderId="0" xfId="1028" applyNumberFormat="1" applyFont="1"/>
    <xf numFmtId="0" fontId="110" fillId="27" borderId="0" xfId="1026" applyFont="1" applyFill="1"/>
    <xf numFmtId="169" fontId="114" fillId="0" borderId="0" xfId="1026" applyNumberFormat="1" applyFont="1" applyAlignment="1">
      <alignment horizontal="center"/>
    </xf>
    <xf numFmtId="263" fontId="117" fillId="0" borderId="0" xfId="900" applyNumberFormat="1" applyFont="1" applyFill="1" applyBorder="1"/>
    <xf numFmtId="164" fontId="117" fillId="0" borderId="0" xfId="900" applyFont="1" applyFill="1" applyBorder="1"/>
    <xf numFmtId="262" fontId="119" fillId="0" borderId="0" xfId="1026" applyNumberFormat="1" applyFont="1" applyAlignment="1">
      <alignment horizontal="right"/>
    </xf>
    <xf numFmtId="170" fontId="110" fillId="27" borderId="0" xfId="894" applyNumberFormat="1" applyFont="1" applyFill="1"/>
    <xf numFmtId="0" fontId="114" fillId="0" borderId="0" xfId="896" applyFont="1" applyAlignment="1">
      <alignment horizontal="left" wrapText="1"/>
    </xf>
    <xf numFmtId="0" fontId="114" fillId="0" borderId="8" xfId="896" applyFont="1" applyBorder="1"/>
    <xf numFmtId="17" fontId="114" fillId="26" borderId="8" xfId="896" applyNumberFormat="1" applyFont="1" applyFill="1" applyBorder="1" applyAlignment="1">
      <alignment horizontal="left" vertical="center" wrapText="1"/>
    </xf>
    <xf numFmtId="17" fontId="114" fillId="26" borderId="8" xfId="896" applyNumberFormat="1" applyFont="1" applyFill="1" applyBorder="1" applyAlignment="1">
      <alignment horizontal="center" vertical="center" wrapText="1"/>
    </xf>
    <xf numFmtId="0" fontId="130" fillId="0" borderId="0" xfId="894" applyFont="1"/>
    <xf numFmtId="171" fontId="114" fillId="0" borderId="0" xfId="1025" applyNumberFormat="1" applyFont="1" applyFill="1" applyBorder="1" applyAlignment="1">
      <alignment horizontal="left" wrapText="1"/>
    </xf>
    <xf numFmtId="0" fontId="123" fillId="26" borderId="0" xfId="894" applyFont="1" applyFill="1" applyAlignment="1">
      <alignment horizontal="left" vertical="center"/>
    </xf>
    <xf numFmtId="0" fontId="114" fillId="26" borderId="38" xfId="894" applyFont="1" applyFill="1" applyBorder="1" applyAlignment="1">
      <alignment horizontal="center" vertical="center"/>
    </xf>
    <xf numFmtId="0" fontId="114" fillId="0" borderId="0" xfId="894" applyFont="1" applyAlignment="1">
      <alignment horizontal="center" vertical="center"/>
    </xf>
    <xf numFmtId="0" fontId="114" fillId="26" borderId="0" xfId="894" applyFont="1" applyFill="1" applyAlignment="1">
      <alignment vertical="center"/>
    </xf>
    <xf numFmtId="169" fontId="114" fillId="26" borderId="0" xfId="894" applyNumberFormat="1" applyFont="1" applyFill="1" applyAlignment="1">
      <alignment horizontal="center" vertical="center"/>
    </xf>
    <xf numFmtId="169" fontId="114" fillId="0" borderId="0" xfId="894" applyNumberFormat="1" applyFont="1" applyAlignment="1">
      <alignment horizontal="center" vertical="center"/>
    </xf>
    <xf numFmtId="0" fontId="112" fillId="0" borderId="0" xfId="894" applyFont="1" applyAlignment="1">
      <alignment vertical="center"/>
    </xf>
    <xf numFmtId="43" fontId="112" fillId="0" borderId="0" xfId="895" applyFont="1" applyFill="1" applyBorder="1" applyAlignment="1">
      <alignment horizontal="center" vertical="center"/>
    </xf>
    <xf numFmtId="43" fontId="114" fillId="0" borderId="0" xfId="895" applyFont="1" applyFill="1" applyBorder="1" applyAlignment="1">
      <alignment horizontal="center" vertical="center"/>
    </xf>
    <xf numFmtId="0" fontId="114" fillId="26" borderId="38" xfId="1026" applyFont="1" applyFill="1" applyBorder="1" applyAlignment="1">
      <alignment horizontal="center" vertical="center"/>
    </xf>
    <xf numFmtId="0" fontId="114" fillId="0" borderId="0" xfId="1026" applyFont="1" applyAlignment="1">
      <alignment horizontal="center" vertical="center"/>
    </xf>
    <xf numFmtId="0" fontId="114" fillId="26" borderId="0" xfId="1026" applyFont="1" applyFill="1" applyAlignment="1">
      <alignment horizontal="center" vertical="center"/>
    </xf>
    <xf numFmtId="263" fontId="114" fillId="26" borderId="38" xfId="900" applyNumberFormat="1" applyFont="1" applyFill="1" applyBorder="1" applyAlignment="1">
      <alignment horizontal="center" vertical="center"/>
    </xf>
    <xf numFmtId="169" fontId="114" fillId="26" borderId="0" xfId="1026" applyNumberFormat="1" applyFont="1" applyFill="1" applyAlignment="1">
      <alignment horizontal="center" vertical="center"/>
    </xf>
    <xf numFmtId="169" fontId="114" fillId="0" borderId="0" xfId="1026" applyNumberFormat="1" applyFont="1" applyAlignment="1">
      <alignment horizontal="center" vertical="center"/>
    </xf>
    <xf numFmtId="0" fontId="114" fillId="28" borderId="0" xfId="894" applyFont="1" applyFill="1" applyAlignment="1">
      <alignment vertical="center"/>
    </xf>
    <xf numFmtId="263" fontId="114" fillId="26" borderId="0" xfId="900" applyNumberFormat="1" applyFont="1" applyFill="1" applyBorder="1" applyAlignment="1">
      <alignment horizontal="center" vertical="center"/>
    </xf>
    <xf numFmtId="0" fontId="112" fillId="0" borderId="0" xfId="1026" applyFont="1" applyAlignment="1">
      <alignment vertical="center"/>
    </xf>
    <xf numFmtId="43" fontId="112" fillId="0" borderId="0" xfId="1027" applyFont="1" applyFill="1" applyBorder="1" applyAlignment="1">
      <alignment horizontal="center" vertical="center"/>
    </xf>
    <xf numFmtId="43" fontId="114" fillId="0" borderId="0" xfId="1027" applyFont="1" applyFill="1" applyBorder="1" applyAlignment="1">
      <alignment horizontal="center" vertical="center"/>
    </xf>
    <xf numFmtId="263" fontId="114" fillId="0" borderId="0" xfId="900" applyNumberFormat="1" applyFont="1" applyFill="1" applyBorder="1" applyAlignment="1">
      <alignment horizontal="center" vertical="center"/>
    </xf>
    <xf numFmtId="43" fontId="121" fillId="0" borderId="0" xfId="895" applyFont="1" applyFill="1" applyBorder="1" applyAlignment="1">
      <alignment horizontal="center" vertical="center"/>
    </xf>
    <xf numFmtId="0" fontId="114" fillId="31" borderId="0" xfId="896" applyFont="1" applyFill="1" applyAlignment="1">
      <alignment wrapText="1"/>
    </xf>
    <xf numFmtId="0" fontId="5" fillId="31" borderId="0" xfId="894" applyFill="1"/>
    <xf numFmtId="17" fontId="127" fillId="26" borderId="52" xfId="896" applyNumberFormat="1" applyFont="1" applyFill="1" applyBorder="1" applyAlignment="1">
      <alignment horizontal="center" vertical="center" wrapText="1"/>
    </xf>
    <xf numFmtId="0" fontId="127" fillId="0" borderId="0" xfId="894" applyFont="1"/>
  </cellXfs>
  <cellStyles count="1029">
    <cellStyle name="$" xfId="1" xr:uid="{00000000-0005-0000-0000-000000000000}"/>
    <cellStyle name="$_TSA Model - 1 8 06 - v2" xfId="2" xr:uid="{00000000-0005-0000-0000-000001000000}"/>
    <cellStyle name="%" xfId="3" xr:uid="{00000000-0005-0000-0000-000002000000}"/>
    <cellStyle name="% 2" xfId="901" xr:uid="{EB7233A1-2B01-4D17-8514-F29B1660404C}"/>
    <cellStyle name=";;;" xfId="4" xr:uid="{00000000-0005-0000-0000-000003000000}"/>
    <cellStyle name="_%(SignOnly)" xfId="5" xr:uid="{00000000-0005-0000-0000-000004000000}"/>
    <cellStyle name="_%(SignOnly) 2" xfId="902" xr:uid="{26319195-8F7F-4597-A885-BAD79767F457}"/>
    <cellStyle name="_%(SignSpaceOnly)" xfId="6" xr:uid="{00000000-0005-0000-0000-000005000000}"/>
    <cellStyle name="_%(SignSpaceOnly) 2" xfId="903" xr:uid="{EC4F4AC8-C1EA-45F4-B3E8-D024565228D1}"/>
    <cellStyle name="_0% CADR" xfId="7" xr:uid="{00000000-0005-0000-0000-000006000000}"/>
    <cellStyle name="_0% CADR 2" xfId="904" xr:uid="{A63667C8-059F-42AB-B26A-E1A2ED831819}"/>
    <cellStyle name="_0% IRR" xfId="8" xr:uid="{00000000-0005-0000-0000-000007000000}"/>
    <cellStyle name="_0% IRR 2" xfId="905" xr:uid="{5DB9E769-6671-4E53-BC1B-AFDBBD55073B}"/>
    <cellStyle name="_1% CADR" xfId="9" xr:uid="{00000000-0005-0000-0000-000008000000}"/>
    <cellStyle name="_1% CADR 2" xfId="906" xr:uid="{5207A901-28C6-4F6E-A6B2-5D38AB9E4176}"/>
    <cellStyle name="_10% CADR" xfId="10" xr:uid="{00000000-0005-0000-0000-000009000000}"/>
    <cellStyle name="_10% CADR 2" xfId="907" xr:uid="{A174C5B5-C5DC-4B47-8A6D-CEC3A32E8D02}"/>
    <cellStyle name="_10% CDR" xfId="11" xr:uid="{00000000-0005-0000-0000-00000A000000}"/>
    <cellStyle name="_10% CDR 2" xfId="908" xr:uid="{A0747DC8-99F8-4D4C-B3BE-DD38AB45B948}"/>
    <cellStyle name="_11% CADR" xfId="12" xr:uid="{00000000-0005-0000-0000-00000B000000}"/>
    <cellStyle name="_11% CADR 2" xfId="909" xr:uid="{2C662044-F4D4-4A30-A298-0A544AC10578}"/>
    <cellStyle name="_12% CADR" xfId="13" xr:uid="{00000000-0005-0000-0000-00000C000000}"/>
    <cellStyle name="_12% CADR 2" xfId="910" xr:uid="{6FAD94A5-0EC8-469C-B656-71DF4459328B}"/>
    <cellStyle name="_12% CDR" xfId="14" xr:uid="{00000000-0005-0000-0000-00000D000000}"/>
    <cellStyle name="_12% CDR 2" xfId="911" xr:uid="{E8922ED5-75FD-44B9-A1C2-351B659D334D}"/>
    <cellStyle name="_13% CADR" xfId="15" xr:uid="{00000000-0005-0000-0000-00000E000000}"/>
    <cellStyle name="_13% CADR 2" xfId="912" xr:uid="{53916047-8114-4AF8-99EF-B7EAF4D82209}"/>
    <cellStyle name="_14% CADR" xfId="16" xr:uid="{00000000-0005-0000-0000-00000F000000}"/>
    <cellStyle name="_14% CADR 2" xfId="913" xr:uid="{0292B982-B43F-43C4-A86E-2B6D4F456495}"/>
    <cellStyle name="_14% CDR" xfId="17" xr:uid="{00000000-0005-0000-0000-000010000000}"/>
    <cellStyle name="_14% CDR 2" xfId="914" xr:uid="{BBE256FE-7D54-4D2A-ACD7-200550F238D0}"/>
    <cellStyle name="_16% CDR" xfId="18" xr:uid="{00000000-0005-0000-0000-000011000000}"/>
    <cellStyle name="_16% CDR 2" xfId="915" xr:uid="{8D00A920-2339-4376-8D1D-804D1E63CE07}"/>
    <cellStyle name="_18% CDR" xfId="19" xr:uid="{00000000-0005-0000-0000-000012000000}"/>
    <cellStyle name="_18% CDR 2" xfId="916" xr:uid="{7077033D-53D3-4E83-BB12-8314927C170C}"/>
    <cellStyle name="_19.6% CDR BBB Break In Yield" xfId="20" xr:uid="{00000000-0005-0000-0000-000013000000}"/>
    <cellStyle name="_19.6% CDR BBB Break In Yield 2" xfId="917" xr:uid="{4CC826F9-BD5E-4B36-B7CC-2CDAB171BE21}"/>
    <cellStyle name="_2% CADR" xfId="21" xr:uid="{00000000-0005-0000-0000-000014000000}"/>
    <cellStyle name="_2% CADR 2" xfId="918" xr:uid="{3A63FDF4-7648-4AB7-8503-D403920B8C47}"/>
    <cellStyle name="_20% CDR" xfId="22" xr:uid="{00000000-0005-0000-0000-000015000000}"/>
    <cellStyle name="_20% CDR 2" xfId="919" xr:uid="{F0AE1E2A-DDD0-46B7-B369-48ED51B5AE5F}"/>
    <cellStyle name="_21.5% CDR BBB Break In Yield" xfId="23" xr:uid="{00000000-0005-0000-0000-000016000000}"/>
    <cellStyle name="_21.5% CDR BBB Break In Yield 2" xfId="920" xr:uid="{7B03902C-C380-465B-9B75-4987BAEF8585}"/>
    <cellStyle name="_3% CADR" xfId="24" xr:uid="{00000000-0005-0000-0000-000017000000}"/>
    <cellStyle name="_3% CADR 2" xfId="921" xr:uid="{F8A09E6D-0576-4A64-8E6D-3D5BFE4352CF}"/>
    <cellStyle name="_3% CDR" xfId="25" xr:uid="{00000000-0005-0000-0000-000018000000}"/>
    <cellStyle name="_3% CDR 2" xfId="922" xr:uid="{0E0FB71A-1223-465E-A99B-004539A2C6C5}"/>
    <cellStyle name="_4% CADR" xfId="26" xr:uid="{00000000-0005-0000-0000-000019000000}"/>
    <cellStyle name="_4% CADR 2" xfId="923" xr:uid="{5F02F156-F188-45E6-943B-A08D9D859FF0}"/>
    <cellStyle name="_5% CADR" xfId="27" xr:uid="{00000000-0005-0000-0000-00001A000000}"/>
    <cellStyle name="_5% CADR 2" xfId="924" xr:uid="{75E89DE0-20F2-4E73-AA97-DC5825F36104}"/>
    <cellStyle name="_5% CDR" xfId="28" xr:uid="{00000000-0005-0000-0000-00001B000000}"/>
    <cellStyle name="_5% CDR 2" xfId="925" xr:uid="{9D3F89D6-B7E0-4B89-B0F8-D51A920CFA14}"/>
    <cellStyle name="_6% CADR" xfId="29" xr:uid="{00000000-0005-0000-0000-00001C000000}"/>
    <cellStyle name="_6% CADR 2" xfId="926" xr:uid="{3319270A-81B2-4E08-A1E8-8C3227A9BB59}"/>
    <cellStyle name="_7% CADR" xfId="30" xr:uid="{00000000-0005-0000-0000-00001D000000}"/>
    <cellStyle name="_7% CADR 2" xfId="927" xr:uid="{618F822B-D6A3-4DED-8751-DED8497ABCF0}"/>
    <cellStyle name="_7% CDR" xfId="31" xr:uid="{00000000-0005-0000-0000-00001E000000}"/>
    <cellStyle name="_7% CDR 2" xfId="928" xr:uid="{B7D1A42E-242F-4393-87A2-D196BB51705E}"/>
    <cellStyle name="_8% CADR" xfId="32" xr:uid="{00000000-0005-0000-0000-00001F000000}"/>
    <cellStyle name="_8% CADR 2" xfId="929" xr:uid="{480CAAAE-AC84-49B5-A96F-0CD27E931F4A}"/>
    <cellStyle name="_8.0% CDR BB Break In Yield" xfId="33" xr:uid="{00000000-0005-0000-0000-000020000000}"/>
    <cellStyle name="_8.0% CDR BB Break In Yield 2" xfId="930" xr:uid="{954D5BC3-2027-4822-ACE3-9F22D8B3FD6B}"/>
    <cellStyle name="_8.1% CDR BB Break In Yield" xfId="34" xr:uid="{00000000-0005-0000-0000-000021000000}"/>
    <cellStyle name="_8.1% CDR BB Break In Yield 2" xfId="931" xr:uid="{A487E6F5-7176-4918-91D3-D66198C7326B}"/>
    <cellStyle name="_9% CADR" xfId="35" xr:uid="{00000000-0005-0000-0000-000022000000}"/>
    <cellStyle name="_9% CADR 2" xfId="932" xr:uid="{29D21256-12D1-49D4-8A8C-74F1A6A05C2F}"/>
    <cellStyle name="_Assets" xfId="36" xr:uid="{00000000-0005-0000-0000-000023000000}"/>
    <cellStyle name="_Assets 2" xfId="933" xr:uid="{52A93EE4-88CD-4067-9A37-CC756B972393}"/>
    <cellStyle name="_Assets_1" xfId="37" xr:uid="{00000000-0005-0000-0000-000024000000}"/>
    <cellStyle name="_Assets_1_COMPS - B2B Publishers" xfId="38" xr:uid="{00000000-0005-0000-0000-000025000000}"/>
    <cellStyle name="_Assets_1_COMPS - Directories" xfId="39" xr:uid="{00000000-0005-0000-0000-000026000000}"/>
    <cellStyle name="_Assets_1_F&amp;W Servicing Model" xfId="40" xr:uid="{00000000-0005-0000-0000-000027000000}"/>
    <cellStyle name="_Assets_1_F&amp;W Servicing Model v2" xfId="41" xr:uid="{00000000-0005-0000-0000-000028000000}"/>
    <cellStyle name="_Assets_1_S&amp;P Analysis" xfId="42" xr:uid="{00000000-0005-0000-0000-000029000000}"/>
    <cellStyle name="_Assets_1_S&amp;P Analysis 2" xfId="934" xr:uid="{3CA50B2F-7D9F-4F5A-9339-4DA8B46782F2}"/>
    <cellStyle name="_Assets_1_Univision Annual Model" xfId="43" xr:uid="{00000000-0005-0000-0000-00002A000000}"/>
    <cellStyle name="_Assets_1_Yell Servicing Model" xfId="44" xr:uid="{00000000-0005-0000-0000-00002B000000}"/>
    <cellStyle name="_Assets_S&amp;P Analysis" xfId="45" xr:uid="{00000000-0005-0000-0000-00002C000000}"/>
    <cellStyle name="_Assets_S&amp;P Analysis_COMPS - B2B Publishers" xfId="46" xr:uid="{00000000-0005-0000-0000-00002D000000}"/>
    <cellStyle name="_Assets_S&amp;P Analysis_COMPS - Directories" xfId="47" xr:uid="{00000000-0005-0000-0000-00002E000000}"/>
    <cellStyle name="_Assets_S&amp;P Analysis_F&amp;W Servicing Model" xfId="48" xr:uid="{00000000-0005-0000-0000-00002F000000}"/>
    <cellStyle name="_Assets_S&amp;P Analysis_F&amp;W Servicing Model v2" xfId="49" xr:uid="{00000000-0005-0000-0000-000030000000}"/>
    <cellStyle name="_Assets_S&amp;P Analysis_Univision Annual Model" xfId="50" xr:uid="{00000000-0005-0000-0000-000031000000}"/>
    <cellStyle name="_Assets_S&amp;P Analysis_Yell Servicing Model" xfId="51" xr:uid="{00000000-0005-0000-0000-000032000000}"/>
    <cellStyle name="_Assumptions" xfId="52" xr:uid="{00000000-0005-0000-0000-000033000000}"/>
    <cellStyle name="_Assumptions 2" xfId="935" xr:uid="{FDDD1671-0EFF-45D4-A9B4-219DCAB747F0}"/>
    <cellStyle name="_Assumptions_1" xfId="53" xr:uid="{00000000-0005-0000-0000-000034000000}"/>
    <cellStyle name="_Assumptions_1 2" xfId="936" xr:uid="{0C12A0B5-67F7-4E4A-A201-9492C7EF49AB}"/>
    <cellStyle name="_Assumptions_1_COMPS - B2B Publishers" xfId="54" xr:uid="{00000000-0005-0000-0000-000035000000}"/>
    <cellStyle name="_Assumptions_1_COMPS - B2B Publishers 2" xfId="937" xr:uid="{77B12242-6917-4E5E-9511-BA71DA18E49E}"/>
    <cellStyle name="_Assumptions_1_COMPS - Directories" xfId="55" xr:uid="{00000000-0005-0000-0000-000036000000}"/>
    <cellStyle name="_Assumptions_1_COMPS - Directories 2" xfId="938" xr:uid="{F704E6A4-8F29-4361-92A4-B5A9FACB8F07}"/>
    <cellStyle name="_Assumptions_1_F&amp;W Servicing Model" xfId="56" xr:uid="{00000000-0005-0000-0000-000037000000}"/>
    <cellStyle name="_Assumptions_1_F&amp;W Servicing Model 2" xfId="939" xr:uid="{55350F24-3E23-4BF8-8CC3-F040335C5F0E}"/>
    <cellStyle name="_Assumptions_1_F&amp;W Servicing Model v2" xfId="57" xr:uid="{00000000-0005-0000-0000-000038000000}"/>
    <cellStyle name="_Assumptions_1_F&amp;W Servicing Model v2 2" xfId="940" xr:uid="{59759686-9DFE-48C3-88CF-4D382AB0F07B}"/>
    <cellStyle name="_Assumptions_1_Univision Annual Model" xfId="58" xr:uid="{00000000-0005-0000-0000-000039000000}"/>
    <cellStyle name="_Assumptions_1_Univision Annual Model 2" xfId="941" xr:uid="{46F1AE65-0D8F-4937-84AD-E9EBE55FE3D9}"/>
    <cellStyle name="_Assumptions_1_Yell Servicing Model" xfId="59" xr:uid="{00000000-0005-0000-0000-00003A000000}"/>
    <cellStyle name="_Assumptions_1_Yell Servicing Model 2" xfId="942" xr:uid="{D6DAE500-F4C7-470E-A5CC-9DE105D97717}"/>
    <cellStyle name="_Blue Mountain TRS (7-5-05)" xfId="60" xr:uid="{00000000-0005-0000-0000-00003B000000}"/>
    <cellStyle name="_Blue Mountain TRS (7-5-05) 2" xfId="943" xr:uid="{E4430979-0030-4F4A-96E0-43C913B50A23}"/>
    <cellStyle name="_Book2" xfId="61" xr:uid="{00000000-0005-0000-0000-00003C000000}"/>
    <cellStyle name="_Book2 2" xfId="944" xr:uid="{93A1AC7C-D8A7-4623-B41D-09D9677A8EE2}"/>
    <cellStyle name="_CDO of CDO" xfId="62" xr:uid="{00000000-0005-0000-0000-00003D000000}"/>
    <cellStyle name="_CDO of CDO 2" xfId="945" xr:uid="{6DE9196C-CC3C-4E1C-80AE-DC8043736815}"/>
    <cellStyle name="_CLO Portfolio 10_07_2005" xfId="63" xr:uid="{00000000-0005-0000-0000-00003E000000}"/>
    <cellStyle name="_CLO Portfolio 10_07_2005 2" xfId="946" xr:uid="{174D939E-0598-44C4-B65D-E2D34BCE9811}"/>
    <cellStyle name="_Comma" xfId="64" xr:uid="{00000000-0005-0000-0000-00003F000000}"/>
    <cellStyle name="_Comma 2" xfId="947" xr:uid="{0DF1D4CD-2C40-4AC9-B97C-9DADD9B2246C}"/>
    <cellStyle name="_Comma_dcf" xfId="65" xr:uid="{00000000-0005-0000-0000-000040000000}"/>
    <cellStyle name="_Comma_dcf 2" xfId="948" xr:uid="{EEAAF852-7981-4BA5-B9E6-0A4C37798BD0}"/>
    <cellStyle name="_Currency" xfId="66" xr:uid="{00000000-0005-0000-0000-000041000000}"/>
    <cellStyle name="_Currency 2" xfId="949" xr:uid="{3FAA3F16-CE94-4DAF-AC1C-6CE3E61FC589}"/>
    <cellStyle name="_Currency_dcf" xfId="67" xr:uid="{00000000-0005-0000-0000-000042000000}"/>
    <cellStyle name="_Currency_dcf 2" xfId="950" xr:uid="{4D93D4C8-1A74-43E5-9D2A-A620EA6D06F2}"/>
    <cellStyle name="_CurrencySpace" xfId="68" xr:uid="{00000000-0005-0000-0000-000043000000}"/>
    <cellStyle name="_CurrencySpace 2" xfId="951" xr:uid="{8F070300-F9D4-43EB-9D80-0CB51007A156}"/>
    <cellStyle name="_CurrencySpace_dcf" xfId="69" xr:uid="{00000000-0005-0000-0000-000044000000}"/>
    <cellStyle name="_CurrencySpace_dcf 2" xfId="952" xr:uid="{4736BE2E-098F-4CF8-ABD2-2C9FEA628FDF}"/>
    <cellStyle name="_Euro" xfId="70" xr:uid="{00000000-0005-0000-0000-000045000000}"/>
    <cellStyle name="_Euro 2" xfId="953" xr:uid="{D64F50EE-D897-41EE-BED5-A3C8128359F1}"/>
    <cellStyle name="_EV8 Assumption List" xfId="71" xr:uid="{00000000-0005-0000-0000-000046000000}"/>
    <cellStyle name="_EV8 Assumption List 2" xfId="954" xr:uid="{FA4F579F-9EDC-4BC7-A8D5-95BAC711EA17}"/>
    <cellStyle name="_Exhibit I Babson Warehouse 2006-II CLO 8 18 06" xfId="72" xr:uid="{00000000-0005-0000-0000-000047000000}"/>
    <cellStyle name="_Exhibit I Babson Warehouse 2006-II CLO 8 18 06 2" xfId="955" xr:uid="{0B3253A2-96AA-451A-A30C-D14850CBECF4}"/>
    <cellStyle name="_First PIK" xfId="73" xr:uid="{00000000-0005-0000-0000-000048000000}"/>
    <cellStyle name="_First PIK 2" xfId="956" xr:uid="{2298B186-B6DB-4837-9A3A-83F0C3EC23C7}"/>
    <cellStyle name="_Galaxy VI CLO - WestLB Request" xfId="74" xr:uid="{00000000-0005-0000-0000-000049000000}"/>
    <cellStyle name="_Galaxy VI CLO - WestLB Request 2" xfId="957" xr:uid="{57FE8E69-0CFC-4D94-8BC5-8F55FAF48725}"/>
    <cellStyle name="_Heading" xfId="75" xr:uid="{00000000-0005-0000-0000-00004A000000}"/>
    <cellStyle name="_Heading_prestemp" xfId="76" xr:uid="{00000000-0005-0000-0000-00004B000000}"/>
    <cellStyle name="_Highlight" xfId="77" xr:uid="{00000000-0005-0000-0000-00004C000000}"/>
    <cellStyle name="_Highlight 2" xfId="958" xr:uid="{D6CABDF0-EC52-46AA-951E-9A503AEA99DF}"/>
    <cellStyle name="_Model FINAL (2)" xfId="78" xr:uid="{00000000-0005-0000-0000-00004D000000}"/>
    <cellStyle name="_Model FINAL (2) 2" xfId="959" xr:uid="{22691525-6197-4C14-B8EF-805599A37A75}"/>
    <cellStyle name="_Multiple" xfId="79" xr:uid="{00000000-0005-0000-0000-00004E000000}"/>
    <cellStyle name="_Multiple 2" xfId="960" xr:uid="{3EC81AD5-A9D1-4539-8A52-D25D90AEBB73}"/>
    <cellStyle name="_Multiple_dcf" xfId="80" xr:uid="{00000000-0005-0000-0000-00004F000000}"/>
    <cellStyle name="_Multiple_dcf 2" xfId="961" xr:uid="{A4CC31F9-370C-4CFB-8462-6122DCA59DE1}"/>
    <cellStyle name="_MultipleSpace" xfId="81" xr:uid="{00000000-0005-0000-0000-000050000000}"/>
    <cellStyle name="_MultipleSpace 2" xfId="962" xr:uid="{97EB87E0-F70E-4D3A-A996-B43B38EA5B5C}"/>
    <cellStyle name="_MultipleSpace_dcf" xfId="82" xr:uid="{00000000-0005-0000-0000-000051000000}"/>
    <cellStyle name="_MultipleSpace_dcf 2" xfId="963" xr:uid="{337B9FEA-0B53-4DFD-9219-6A16CF1971D7}"/>
    <cellStyle name="_Other Defafult Scenario 1" xfId="83" xr:uid="{00000000-0005-0000-0000-000052000000}"/>
    <cellStyle name="_Other Defafult Scenario 1 2" xfId="964" xr:uid="{AA7F4B7F-CB51-497B-9CA1-AC97089938BB}"/>
    <cellStyle name="_Other Default Scenario 2" xfId="84" xr:uid="{00000000-0005-0000-0000-000053000000}"/>
    <cellStyle name="_Other Default Scenario 2 2" xfId="965" xr:uid="{6F094662-01F1-4106-A26D-F148CA0AB898}"/>
    <cellStyle name="_Percent" xfId="85" xr:uid="{00000000-0005-0000-0000-000054000000}"/>
    <cellStyle name="_Percent 2" xfId="966" xr:uid="{2A35D8F4-FC92-40BF-8D73-1820DA1AEE05}"/>
    <cellStyle name="_PercentSpace" xfId="86" xr:uid="{00000000-0005-0000-0000-000055000000}"/>
    <cellStyle name="_PercentSpace 2" xfId="967" xr:uid="{F3AC9FB4-4AB2-4063-B495-D433905EEA17}"/>
    <cellStyle name="_Port" xfId="87" xr:uid="{00000000-0005-0000-0000-000056000000}"/>
    <cellStyle name="_Port 2" xfId="968" xr:uid="{9DDEE747-1AD9-4DB3-86CC-71F7C750B48E}"/>
    <cellStyle name="_Port For S&amp;P" xfId="88" xr:uid="{00000000-0005-0000-0000-000057000000}"/>
    <cellStyle name="_Port For S&amp;P 2" xfId="969" xr:uid="{A6DA1F25-9DCE-443E-B01E-07AFA4B378CF}"/>
    <cellStyle name="_Port_COMPS - B2B Publishers" xfId="89" xr:uid="{00000000-0005-0000-0000-000058000000}"/>
    <cellStyle name="_Port_COMPS - B2B Publishers 2" xfId="970" xr:uid="{2198A9F6-5E63-466E-A578-30BED51F0DC3}"/>
    <cellStyle name="_Port_COMPS - Directories" xfId="90" xr:uid="{00000000-0005-0000-0000-000059000000}"/>
    <cellStyle name="_Port_COMPS - Directories 2" xfId="971" xr:uid="{F9E86040-5429-45AD-9F9D-09C698999AE9}"/>
    <cellStyle name="_Port_F&amp;W Servicing Model" xfId="91" xr:uid="{00000000-0005-0000-0000-00005A000000}"/>
    <cellStyle name="_Port_F&amp;W Servicing Model 2" xfId="972" xr:uid="{03837419-9AA4-4916-A147-3EEB44768752}"/>
    <cellStyle name="_Port_F&amp;W Servicing Model v2" xfId="92" xr:uid="{00000000-0005-0000-0000-00005B000000}"/>
    <cellStyle name="_Port_F&amp;W Servicing Model v2 2" xfId="973" xr:uid="{C3DAD313-FD39-4CE3-92F6-DFCCA4608EEB}"/>
    <cellStyle name="_Port_Univision Annual Model" xfId="93" xr:uid="{00000000-0005-0000-0000-00005C000000}"/>
    <cellStyle name="_Port_Univision Annual Model 2" xfId="974" xr:uid="{6C03643A-15E1-4A69-9BAC-C2443351D6EC}"/>
    <cellStyle name="_Port_Yell Servicing Model" xfId="94" xr:uid="{00000000-0005-0000-0000-00005D000000}"/>
    <cellStyle name="_Port_Yell Servicing Model 2" xfId="975" xr:uid="{C950CE80-30A2-4937-8DB3-E80EA71FCFF8}"/>
    <cellStyle name="_Pro Forma TTM 9.30.07 (CW NEIRB Acquisition)" xfId="95" xr:uid="{00000000-0005-0000-0000-00005E000000}"/>
    <cellStyle name="_Pro Forma TTM 9.30.07 (CW NEIRB Acquisition) 2" xfId="976" xr:uid="{82E8398B-27E0-498C-9E94-AC5DB04537E6}"/>
    <cellStyle name="_S&amp;P Analysis" xfId="96" xr:uid="{00000000-0005-0000-0000-00005F000000}"/>
    <cellStyle name="_S&amp;P Analysis_COMPS - B2B Publishers" xfId="97" xr:uid="{00000000-0005-0000-0000-000060000000}"/>
    <cellStyle name="_S&amp;P Analysis_COMPS - Directories" xfId="98" xr:uid="{00000000-0005-0000-0000-000061000000}"/>
    <cellStyle name="_S&amp;P Analysis_F&amp;W Servicing Model" xfId="99" xr:uid="{00000000-0005-0000-0000-000062000000}"/>
    <cellStyle name="_S&amp;P Analysis_F&amp;W Servicing Model v2" xfId="100" xr:uid="{00000000-0005-0000-0000-000063000000}"/>
    <cellStyle name="_S&amp;P Analysis_Univision Annual Model" xfId="101" xr:uid="{00000000-0005-0000-0000-000064000000}"/>
    <cellStyle name="_S&amp;P Analysis_Yell Servicing Model" xfId="102" xr:uid="{00000000-0005-0000-0000-000065000000}"/>
    <cellStyle name="_S&amp;P Hypothetical Port Summary" xfId="103" xr:uid="{00000000-0005-0000-0000-000066000000}"/>
    <cellStyle name="_S&amp;P Hypothetical Port Summary 2" xfId="977" xr:uid="{E3F7BEF4-CCD2-4F67-8CF4-058EBD7489BB}"/>
    <cellStyle name="_S&amp;P Port 80Div_2099WARF" xfId="104" xr:uid="{00000000-0005-0000-0000-000067000000}"/>
    <cellStyle name="_S&amp;P Port 80Div_2099WARF 2" xfId="978" xr:uid="{3F23403D-8FEE-4150-939B-C5E154657284}"/>
    <cellStyle name="_S&amp;P Stress Scenarios" xfId="105" xr:uid="{00000000-0005-0000-0000-000068000000}"/>
    <cellStyle name="_S&amp;P Stress Scenarios 2" xfId="979" xr:uid="{075700F0-6699-4A28-8644-5ED47E8BBB07}"/>
    <cellStyle name="_Sources and Uses" xfId="106" xr:uid="{00000000-0005-0000-0000-000069000000}"/>
    <cellStyle name="_Sources and Uses 2" xfId="980" xr:uid="{6A593A65-D73C-4C65-B16F-A5ED64C7ADF8}"/>
    <cellStyle name="_SubHeading" xfId="107" xr:uid="{00000000-0005-0000-0000-00006A000000}"/>
    <cellStyle name="_SubHeading_prestemp" xfId="108" xr:uid="{00000000-0005-0000-0000-00006B000000}"/>
    <cellStyle name="_Table" xfId="109" xr:uid="{00000000-0005-0000-0000-00006C000000}"/>
    <cellStyle name="_TableHead" xfId="110" xr:uid="{00000000-0005-0000-0000-00006D000000}"/>
    <cellStyle name="_TableRowHead" xfId="111" xr:uid="{00000000-0005-0000-0000-00006E000000}"/>
    <cellStyle name="_TableSuperHead" xfId="112" xr:uid="{00000000-0005-0000-0000-00006F000000}"/>
    <cellStyle name="£Currency [0]" xfId="113" xr:uid="{00000000-0005-0000-0000-000070000000}"/>
    <cellStyle name="£Currency [1]" xfId="114" xr:uid="{00000000-0005-0000-0000-000071000000}"/>
    <cellStyle name="£Currency [2]" xfId="115" xr:uid="{00000000-0005-0000-0000-000072000000}"/>
    <cellStyle name="£Currency [p]" xfId="116" xr:uid="{00000000-0005-0000-0000-000073000000}"/>
    <cellStyle name="£Currency [p2]" xfId="117" xr:uid="{00000000-0005-0000-0000-000074000000}"/>
    <cellStyle name="£Pounds" xfId="118" xr:uid="{00000000-0005-0000-0000-000075000000}"/>
    <cellStyle name="Accounting $" xfId="119" xr:uid="{00000000-0005-0000-0000-000076000000}"/>
    <cellStyle name="Accounting $ 2" xfId="981" xr:uid="{9903969E-82ED-4D76-9472-2B6559748262}"/>
    <cellStyle name="Across" xfId="120" xr:uid="{00000000-0005-0000-0000-000077000000}"/>
    <cellStyle name="Adjustable" xfId="121" xr:uid="{00000000-0005-0000-0000-000078000000}"/>
    <cellStyle name="AFE" xfId="122" xr:uid="{00000000-0005-0000-0000-000079000000}"/>
    <cellStyle name="Andre's Title" xfId="123" xr:uid="{00000000-0005-0000-0000-00007A000000}"/>
    <cellStyle name="args.style" xfId="124" xr:uid="{00000000-0005-0000-0000-00007B000000}"/>
    <cellStyle name="Arial 10" xfId="125" xr:uid="{00000000-0005-0000-0000-00007C000000}"/>
    <cellStyle name="Arial 10 2" xfId="982" xr:uid="{41463C94-7FAD-4BE5-BC5C-79B09CD17219}"/>
    <cellStyle name="Arial 12" xfId="126" xr:uid="{00000000-0005-0000-0000-00007D000000}"/>
    <cellStyle name="Best" xfId="127" xr:uid="{00000000-0005-0000-0000-00007E000000}"/>
    <cellStyle name="Blank [$]" xfId="128" xr:uid="{00000000-0005-0000-0000-00007F000000}"/>
    <cellStyle name="Blank [,]" xfId="129" xr:uid="{00000000-0005-0000-0000-000080000000}"/>
    <cellStyle name="BlankedZeros" xfId="130" xr:uid="{00000000-0005-0000-0000-000081000000}"/>
    <cellStyle name="blp_column_header" xfId="131" xr:uid="{00000000-0005-0000-0000-000082000000}"/>
    <cellStyle name="Blue" xfId="132" xr:uid="{00000000-0005-0000-0000-000083000000}"/>
    <cellStyle name="bluepercent" xfId="133" xr:uid="{00000000-0005-0000-0000-000084000000}"/>
    <cellStyle name="Body" xfId="134" xr:uid="{00000000-0005-0000-0000-000085000000}"/>
    <cellStyle name="Bold" xfId="135" xr:uid="{00000000-0005-0000-0000-000086000000}"/>
    <cellStyle name="BoldItalic" xfId="136" xr:uid="{00000000-0005-0000-0000-000087000000}"/>
    <cellStyle name="Bottom" xfId="137" xr:uid="{00000000-0005-0000-0000-000088000000}"/>
    <cellStyle name="Bottom Edge" xfId="138" xr:uid="{00000000-0005-0000-0000-000089000000}"/>
    <cellStyle name="British Pound" xfId="139" xr:uid="{00000000-0005-0000-0000-00008A000000}"/>
    <cellStyle name="Business Description" xfId="140" xr:uid="{00000000-0005-0000-0000-00008B000000}"/>
    <cellStyle name="c" xfId="141" xr:uid="{00000000-0005-0000-0000-00008C000000}"/>
    <cellStyle name="Calc Currency (0)" xfId="142" xr:uid="{00000000-0005-0000-0000-00008D000000}"/>
    <cellStyle name="Calc Currency (2)" xfId="143" xr:uid="{00000000-0005-0000-0000-00008E000000}"/>
    <cellStyle name="Calc Percent (0)" xfId="144" xr:uid="{00000000-0005-0000-0000-00008F000000}"/>
    <cellStyle name="Calc Percent (1)" xfId="145" xr:uid="{00000000-0005-0000-0000-000090000000}"/>
    <cellStyle name="Calc Percent (2)" xfId="146" xr:uid="{00000000-0005-0000-0000-000091000000}"/>
    <cellStyle name="Calc Percent (2) 2" xfId="983" xr:uid="{96FA25E2-BDD0-4DB2-8EC2-9210E475957D}"/>
    <cellStyle name="Calc Units (0)" xfId="147" xr:uid="{00000000-0005-0000-0000-000092000000}"/>
    <cellStyle name="Calc Units (1)" xfId="148" xr:uid="{00000000-0005-0000-0000-000093000000}"/>
    <cellStyle name="Calc Units (2)" xfId="149" xr:uid="{00000000-0005-0000-0000-000094000000}"/>
    <cellStyle name="Case" xfId="150" xr:uid="{00000000-0005-0000-0000-000095000000}"/>
    <cellStyle name="cc" xfId="151" xr:uid="{00000000-0005-0000-0000-000096000000}"/>
    <cellStyle name="Center" xfId="152" xr:uid="{00000000-0005-0000-0000-000097000000}"/>
    <cellStyle name="CenterBold" xfId="153" xr:uid="{00000000-0005-0000-0000-000098000000}"/>
    <cellStyle name="CenterItalic" xfId="154" xr:uid="{00000000-0005-0000-0000-000099000000}"/>
    <cellStyle name="Cents" xfId="155" xr:uid="{00000000-0005-0000-0000-00009A000000}"/>
    <cellStyle name="Cents 2" xfId="984" xr:uid="{94413B5E-41F4-4B51-BBF9-287C09198190}"/>
    <cellStyle name="ChartingText" xfId="156" xr:uid="{00000000-0005-0000-0000-00009B000000}"/>
    <cellStyle name="Co. Names" xfId="157" xr:uid="{00000000-0005-0000-0000-00009C000000}"/>
    <cellStyle name="Co. Names - Bold" xfId="158" xr:uid="{00000000-0005-0000-0000-00009D000000}"/>
    <cellStyle name="Co. Names_Break-Up" xfId="159" xr:uid="{00000000-0005-0000-0000-00009E000000}"/>
    <cellStyle name="COL HEADINGS" xfId="160" xr:uid="{00000000-0005-0000-0000-00009F000000}"/>
    <cellStyle name="ColumnHeaderNormal" xfId="161" xr:uid="{00000000-0005-0000-0000-0000A0000000}"/>
    <cellStyle name="Comma" xfId="900" builtinId="3"/>
    <cellStyle name="Comma  - Style1" xfId="162" xr:uid="{00000000-0005-0000-0000-0000A2000000}"/>
    <cellStyle name="Comma  - Style1 2" xfId="985" xr:uid="{2F41EA86-4E8D-42E1-B945-C5B2A4412FDC}"/>
    <cellStyle name="Comma  - Style2" xfId="163" xr:uid="{00000000-0005-0000-0000-0000A3000000}"/>
    <cellStyle name="Comma  - Style2 2" xfId="986" xr:uid="{40756C10-D127-41A6-8D7D-FD8EDBCD78A5}"/>
    <cellStyle name="Comma  - Style3" xfId="164" xr:uid="{00000000-0005-0000-0000-0000A4000000}"/>
    <cellStyle name="Comma  - Style3 2" xfId="987" xr:uid="{ABEA61C9-A138-4298-A5ED-1526384760FE}"/>
    <cellStyle name="Comma  - Style4" xfId="165" xr:uid="{00000000-0005-0000-0000-0000A5000000}"/>
    <cellStyle name="Comma  - Style4 2" xfId="988" xr:uid="{4093F80A-9D6B-458D-BEAA-61DE7D84B5BC}"/>
    <cellStyle name="Comma  - Style5" xfId="166" xr:uid="{00000000-0005-0000-0000-0000A6000000}"/>
    <cellStyle name="Comma  - Style5 2" xfId="989" xr:uid="{5F8D21DC-A59E-49C3-A803-FE264F5E0D6F}"/>
    <cellStyle name="Comma  - Style6" xfId="167" xr:uid="{00000000-0005-0000-0000-0000A7000000}"/>
    <cellStyle name="Comma  - Style6 2" xfId="990" xr:uid="{9B4A32E2-F4BA-46F4-85DA-54C30E9605AD}"/>
    <cellStyle name="Comma  - Style7" xfId="168" xr:uid="{00000000-0005-0000-0000-0000A8000000}"/>
    <cellStyle name="Comma  - Style7 2" xfId="991" xr:uid="{2BDC33FA-4D57-4F26-8FEB-1565181055DA}"/>
    <cellStyle name="Comma  - Style8" xfId="169" xr:uid="{00000000-0005-0000-0000-0000A9000000}"/>
    <cellStyle name="Comma  - Style8 2" xfId="992" xr:uid="{09EBB131-E6D6-49BA-8B9C-A1FC2B65F55D}"/>
    <cellStyle name="Comma [0]; --" xfId="170" xr:uid="{00000000-0005-0000-0000-0000AA000000}"/>
    <cellStyle name="Comma [00]" xfId="171" xr:uid="{00000000-0005-0000-0000-0000AB000000}"/>
    <cellStyle name="Comma [1]" xfId="172" xr:uid="{00000000-0005-0000-0000-0000AC000000}"/>
    <cellStyle name="Comma 2" xfId="895" xr:uid="{00000000-0005-0000-0000-0000AD000000}"/>
    <cellStyle name="Comma 2 2" xfId="899" xr:uid="{00000000-0005-0000-0000-0000AE000000}"/>
    <cellStyle name="Comma 2 2 2" xfId="1024" xr:uid="{34BE0C57-9B3A-4FEA-B4ED-42705199740A}"/>
    <cellStyle name="Comma 2 2 3" xfId="1027" xr:uid="{198A1652-B33E-4FD6-A478-5D1C67CAD1BE}"/>
    <cellStyle name="Comma 2 3" xfId="1021" xr:uid="{64761DDD-8266-4FE1-AC12-C2999D08E7CB}"/>
    <cellStyle name="Comma 3" xfId="1025" xr:uid="{6C8CD44E-BAD6-4BDD-91F6-CD94DED1E3D0}"/>
    <cellStyle name="Comma Cents" xfId="173" xr:uid="{00000000-0005-0000-0000-0000AF000000}"/>
    <cellStyle name="Comma Cents 2" xfId="993" xr:uid="{40475A39-2011-4233-8D97-635A8DF2B206}"/>
    <cellStyle name="Comma0" xfId="174" xr:uid="{00000000-0005-0000-0000-0000B0000000}"/>
    <cellStyle name="Comma0 2" xfId="994" xr:uid="{8DD24E50-86AE-443C-B64A-752F583BF5A2}"/>
    <cellStyle name="Commas" xfId="175" xr:uid="{00000000-0005-0000-0000-0000B1000000}"/>
    <cellStyle name="CommasBold" xfId="176" xr:uid="{00000000-0005-0000-0000-0000B2000000}"/>
    <cellStyle name="CompanyTitle" xfId="177" xr:uid="{00000000-0005-0000-0000-0000B3000000}"/>
    <cellStyle name="Copied" xfId="178" xr:uid="{00000000-0005-0000-0000-0000B4000000}"/>
    <cellStyle name="Currency $" xfId="179" xr:uid="{00000000-0005-0000-0000-0000B5000000}"/>
    <cellStyle name="Currency $ 2" xfId="995" xr:uid="{BCDDCBFF-D762-4416-B9F7-1407B4A9CA0A}"/>
    <cellStyle name="Currency [0]; --" xfId="180" xr:uid="{00000000-0005-0000-0000-0000B6000000}"/>
    <cellStyle name="Currency [00]" xfId="181" xr:uid="{00000000-0005-0000-0000-0000B7000000}"/>
    <cellStyle name="Currency [1]" xfId="182" xr:uid="{00000000-0005-0000-0000-0000B8000000}"/>
    <cellStyle name="Currency [2]" xfId="183" xr:uid="{00000000-0005-0000-0000-0000B9000000}"/>
    <cellStyle name="data" xfId="184" xr:uid="{00000000-0005-0000-0000-0000BA000000}"/>
    <cellStyle name="data 2" xfId="996" xr:uid="{AFFCE6C2-FA0B-418B-8DBB-146BF9C93975}"/>
    <cellStyle name="Date" xfId="185" xr:uid="{00000000-0005-0000-0000-0000BB000000}"/>
    <cellStyle name="Date 2" xfId="997" xr:uid="{16B561FA-2165-49A7-B875-388F35BFBCB5}"/>
    <cellStyle name="Date Short" xfId="186" xr:uid="{00000000-0005-0000-0000-0000BC000000}"/>
    <cellStyle name="Date_COMPS - Directories" xfId="187" xr:uid="{00000000-0005-0000-0000-0000BD000000}"/>
    <cellStyle name="DateLeftBold" xfId="188" xr:uid="{00000000-0005-0000-0000-0000BE000000}"/>
    <cellStyle name="Default" xfId="189" xr:uid="{00000000-0005-0000-0000-0000BF000000}"/>
    <cellStyle name="Default 2" xfId="998" xr:uid="{70EAC48D-A6D3-4C7B-B20A-FF0D574F7A61}"/>
    <cellStyle name="DELTA" xfId="190" xr:uid="{00000000-0005-0000-0000-0000C0000000}"/>
    <cellStyle name="Dollars" xfId="191" xr:uid="{00000000-0005-0000-0000-0000C1000000}"/>
    <cellStyle name="Dollars []" xfId="192" xr:uid="{00000000-0005-0000-0000-0000C2000000}"/>
    <cellStyle name="Dollars_Pro Forma TTM 9.30.07 (CW NEIRB Acquisition)" xfId="193" xr:uid="{00000000-0005-0000-0000-0000C3000000}"/>
    <cellStyle name="Double" xfId="194" xr:uid="{00000000-0005-0000-0000-0000C4000000}"/>
    <cellStyle name="Double Accounting" xfId="195" xr:uid="{00000000-0005-0000-0000-0000C5000000}"/>
    <cellStyle name="Enter Currency (0)" xfId="196" xr:uid="{00000000-0005-0000-0000-0000C6000000}"/>
    <cellStyle name="Enter Currency (2)" xfId="197" xr:uid="{00000000-0005-0000-0000-0000C7000000}"/>
    <cellStyle name="Enter Units (0)" xfId="198" xr:uid="{00000000-0005-0000-0000-0000C8000000}"/>
    <cellStyle name="Enter Units (1)" xfId="199" xr:uid="{00000000-0005-0000-0000-0000C9000000}"/>
    <cellStyle name="Enter Units (2)" xfId="200" xr:uid="{00000000-0005-0000-0000-0000CA000000}"/>
    <cellStyle name="Entered" xfId="201" xr:uid="{00000000-0005-0000-0000-0000CB000000}"/>
    <cellStyle name="Euro" xfId="202" xr:uid="{00000000-0005-0000-0000-0000CC000000}"/>
    <cellStyle name="Euro 2" xfId="999" xr:uid="{3FD7DFF3-3778-42D8-91E3-EF8EC56A8746}"/>
    <cellStyle name="Fit" xfId="203" xr:uid="{00000000-0005-0000-0000-0000CD000000}"/>
    <cellStyle name="Footer" xfId="204" xr:uid="{00000000-0005-0000-0000-0000CE000000}"/>
    <cellStyle name="Footnotes" xfId="205" xr:uid="{00000000-0005-0000-0000-0000CF000000}"/>
    <cellStyle name="Grey" xfId="206" xr:uid="{00000000-0005-0000-0000-0000D0000000}"/>
    <cellStyle name="GreybarHeader" xfId="207" xr:uid="{00000000-0005-0000-0000-0000D1000000}"/>
    <cellStyle name="Grouped Head" xfId="208" xr:uid="{00000000-0005-0000-0000-0000D2000000}"/>
    <cellStyle name="h" xfId="209" xr:uid="{00000000-0005-0000-0000-0000D3000000}"/>
    <cellStyle name="HAlignCenter" xfId="210" xr:uid="{00000000-0005-0000-0000-0000D4000000}"/>
    <cellStyle name="HAlignCenter 2" xfId="1000" xr:uid="{40807B8E-9110-41A5-9E23-34DC9B91F72C}"/>
    <cellStyle name="HAlignLeft" xfId="211" xr:uid="{00000000-0005-0000-0000-0000D5000000}"/>
    <cellStyle name="HAlignLeft 2" xfId="1001" xr:uid="{4016105A-84B5-40AE-9FE4-E032BCC662FC}"/>
    <cellStyle name="HAlignRight" xfId="212" xr:uid="{00000000-0005-0000-0000-0000D6000000}"/>
    <cellStyle name="HAlignRight 2" xfId="1002" xr:uid="{396F4C85-D9DA-4438-9912-B29FF919DDA5}"/>
    <cellStyle name="Head 1" xfId="213" xr:uid="{00000000-0005-0000-0000-0000D7000000}"/>
    <cellStyle name="Header" xfId="214" xr:uid="{00000000-0005-0000-0000-0000D8000000}"/>
    <cellStyle name="Header1" xfId="215" xr:uid="{00000000-0005-0000-0000-0000D9000000}"/>
    <cellStyle name="Header2" xfId="216" xr:uid="{00000000-0005-0000-0000-0000DA000000}"/>
    <cellStyle name="headers" xfId="217" xr:uid="{00000000-0005-0000-0000-0000DB000000}"/>
    <cellStyle name="Heading" xfId="218" xr:uid="{00000000-0005-0000-0000-0000DC000000}"/>
    <cellStyle name="HEADINGS" xfId="219" xr:uid="{00000000-0005-0000-0000-0000DD000000}"/>
    <cellStyle name="HEADINGSTOP" xfId="220" xr:uid="{00000000-0005-0000-0000-0000DE000000}"/>
    <cellStyle name="imput" xfId="221" xr:uid="{00000000-0005-0000-0000-0000DF000000}"/>
    <cellStyle name="Input [yellow]" xfId="222" xr:uid="{00000000-0005-0000-0000-0000E0000000}"/>
    <cellStyle name="Invisible" xfId="223" xr:uid="{00000000-0005-0000-0000-0000E1000000}"/>
    <cellStyle name="ItalicHeader" xfId="224" xr:uid="{00000000-0005-0000-0000-0000E2000000}"/>
    <cellStyle name="Item Descriptions" xfId="225" xr:uid="{00000000-0005-0000-0000-0000E3000000}"/>
    <cellStyle name="Item Descriptions - Bold" xfId="226" xr:uid="{00000000-0005-0000-0000-0000E4000000}"/>
    <cellStyle name="Item Descriptions_6079BX" xfId="227" xr:uid="{00000000-0005-0000-0000-0000E5000000}"/>
    <cellStyle name="Left" xfId="228" xr:uid="{00000000-0005-0000-0000-0000E6000000}"/>
    <cellStyle name="LeftBold" xfId="229" xr:uid="{00000000-0005-0000-0000-0000E7000000}"/>
    <cellStyle name="LeftBoldBottomRule" xfId="230" xr:uid="{00000000-0005-0000-0000-0000E8000000}"/>
    <cellStyle name="LeftBoldCenterRule" xfId="231" xr:uid="{00000000-0005-0000-0000-0000E9000000}"/>
    <cellStyle name="Line" xfId="232" xr:uid="{00000000-0005-0000-0000-0000EA000000}"/>
    <cellStyle name="Link Currency (0)" xfId="233" xr:uid="{00000000-0005-0000-0000-0000EB000000}"/>
    <cellStyle name="Link Currency (2)" xfId="234" xr:uid="{00000000-0005-0000-0000-0000EC000000}"/>
    <cellStyle name="Link Units (0)" xfId="235" xr:uid="{00000000-0005-0000-0000-0000ED000000}"/>
    <cellStyle name="Link Units (1)" xfId="236" xr:uid="{00000000-0005-0000-0000-0000EE000000}"/>
    <cellStyle name="Link Units (2)" xfId="237" xr:uid="{00000000-0005-0000-0000-0000EF000000}"/>
    <cellStyle name="locked" xfId="238" xr:uid="{00000000-0005-0000-0000-0000F0000000}"/>
    <cellStyle name="locked 2" xfId="1003" xr:uid="{4D91B33B-1910-4D41-A13E-F803AC1232CF}"/>
    <cellStyle name="m&amp;a" xfId="239" xr:uid="{00000000-0005-0000-0000-0000F1000000}"/>
    <cellStyle name="Map Labels" xfId="240" xr:uid="{00000000-0005-0000-0000-0000F2000000}"/>
    <cellStyle name="Map Legend" xfId="241" xr:uid="{00000000-0005-0000-0000-0000F3000000}"/>
    <cellStyle name="Merrill" xfId="242" xr:uid="{00000000-0005-0000-0000-0000F4000000}"/>
    <cellStyle name="Millares_Inv Detail A7" xfId="243" xr:uid="{00000000-0005-0000-0000-0000F5000000}"/>
    <cellStyle name="Milliers [0]_r00SC" xfId="244" xr:uid="{00000000-0005-0000-0000-0000F6000000}"/>
    <cellStyle name="Milliers_r00SC" xfId="245" xr:uid="{00000000-0005-0000-0000-0000F7000000}"/>
    <cellStyle name="Mix" xfId="246" xr:uid="{00000000-0005-0000-0000-0000F8000000}"/>
    <cellStyle name="mon" xfId="247" xr:uid="{00000000-0005-0000-0000-0000F9000000}"/>
    <cellStyle name="Monétaire [0]_r00SC" xfId="248" xr:uid="{00000000-0005-0000-0000-0000FA000000}"/>
    <cellStyle name="Monétaire_r00SC" xfId="249" xr:uid="{00000000-0005-0000-0000-0000FB000000}"/>
    <cellStyle name="Money" xfId="250" xr:uid="{00000000-0005-0000-0000-0000FC000000}"/>
    <cellStyle name="Money 2" xfId="1004" xr:uid="{37C139F4-2B2D-4DCD-8B65-CB6EDA09860B}"/>
    <cellStyle name="Multiple" xfId="251" xr:uid="{00000000-0005-0000-0000-0000FD000000}"/>
    <cellStyle name="Multiple []" xfId="252" xr:uid="{00000000-0005-0000-0000-0000FE000000}"/>
    <cellStyle name="Multiple [0]" xfId="253" xr:uid="{00000000-0005-0000-0000-0000FF000000}"/>
    <cellStyle name="Multiple [0] []" xfId="254" xr:uid="{00000000-0005-0000-0000-000000010000}"/>
    <cellStyle name="Multiple [0]_New MA Public Comps and WACC Model" xfId="255" xr:uid="{00000000-0005-0000-0000-000001010000}"/>
    <cellStyle name="Multiple [1]" xfId="256" xr:uid="{00000000-0005-0000-0000-000002010000}"/>
    <cellStyle name="Multiple [1] []" xfId="257" xr:uid="{00000000-0005-0000-0000-000003010000}"/>
    <cellStyle name="Multiple [1]_New MA Public Comps and WACC Model" xfId="258" xr:uid="{00000000-0005-0000-0000-000004010000}"/>
    <cellStyle name="Multiple_CapitalSum" xfId="259" xr:uid="{00000000-0005-0000-0000-000005010000}"/>
    <cellStyle name="N2Style" xfId="260" xr:uid="{00000000-0005-0000-0000-000006010000}"/>
    <cellStyle name="N2Style 2" xfId="1005" xr:uid="{7747551A-6661-4EBA-9179-85EA4B38B771}"/>
    <cellStyle name="NewColumnHeaderNormal" xfId="261" xr:uid="{00000000-0005-0000-0000-000007010000}"/>
    <cellStyle name="NewSectionHeaderNormal" xfId="262" xr:uid="{00000000-0005-0000-0000-000008010000}"/>
    <cellStyle name="NewTitleNormal" xfId="263" xr:uid="{00000000-0005-0000-0000-000009010000}"/>
    <cellStyle name="Normal" xfId="0" builtinId="0"/>
    <cellStyle name="Normal - Style1" xfId="264" xr:uid="{00000000-0005-0000-0000-00000B010000}"/>
    <cellStyle name="Normal 2" xfId="265" xr:uid="{00000000-0005-0000-0000-00000C010000}"/>
    <cellStyle name="Normal 2 2" xfId="266" xr:uid="{00000000-0005-0000-0000-00000D010000}"/>
    <cellStyle name="Normal 2 2 2" xfId="896" xr:uid="{00000000-0005-0000-0000-00000E010000}"/>
    <cellStyle name="Normal 3" xfId="894" xr:uid="{00000000-0005-0000-0000-00000F010000}"/>
    <cellStyle name="Normal 3 2" xfId="898" xr:uid="{00000000-0005-0000-0000-000010010000}"/>
    <cellStyle name="Normal 3 2 2" xfId="1023" xr:uid="{DB38F288-F2E0-4CA4-B327-E66B80DEE5EC}"/>
    <cellStyle name="Normal 3 2 3" xfId="1026" xr:uid="{EC6B9499-B1DE-45E7-AA44-9909FCCEB7DF}"/>
    <cellStyle name="Normal 3 3" xfId="1020" xr:uid="{A260BAAE-774A-4893-A200-5F7C8F685502}"/>
    <cellStyle name="Normal1" xfId="267" xr:uid="{00000000-0005-0000-0000-000011010000}"/>
    <cellStyle name="Normal10" xfId="268" xr:uid="{00000000-0005-0000-0000-000012010000}"/>
    <cellStyle name="Normal100" xfId="269" xr:uid="{00000000-0005-0000-0000-000013010000}"/>
    <cellStyle name="Normal101" xfId="270" xr:uid="{00000000-0005-0000-0000-000014010000}"/>
    <cellStyle name="Normal102" xfId="271" xr:uid="{00000000-0005-0000-0000-000015010000}"/>
    <cellStyle name="Normal103" xfId="272" xr:uid="{00000000-0005-0000-0000-000016010000}"/>
    <cellStyle name="Normal104" xfId="273" xr:uid="{00000000-0005-0000-0000-000017010000}"/>
    <cellStyle name="Normal105" xfId="274" xr:uid="{00000000-0005-0000-0000-000018010000}"/>
    <cellStyle name="Normal106" xfId="275" xr:uid="{00000000-0005-0000-0000-000019010000}"/>
    <cellStyle name="Normal107" xfId="276" xr:uid="{00000000-0005-0000-0000-00001A010000}"/>
    <cellStyle name="Normal108" xfId="277" xr:uid="{00000000-0005-0000-0000-00001B010000}"/>
    <cellStyle name="Normal109" xfId="278" xr:uid="{00000000-0005-0000-0000-00001C010000}"/>
    <cellStyle name="Normal11" xfId="279" xr:uid="{00000000-0005-0000-0000-00001D010000}"/>
    <cellStyle name="Normal110" xfId="280" xr:uid="{00000000-0005-0000-0000-00001E010000}"/>
    <cellStyle name="Normal111" xfId="281" xr:uid="{00000000-0005-0000-0000-00001F010000}"/>
    <cellStyle name="Normal112" xfId="282" xr:uid="{00000000-0005-0000-0000-000020010000}"/>
    <cellStyle name="Normal113" xfId="283" xr:uid="{00000000-0005-0000-0000-000021010000}"/>
    <cellStyle name="Normal114" xfId="284" xr:uid="{00000000-0005-0000-0000-000022010000}"/>
    <cellStyle name="Normal115" xfId="285" xr:uid="{00000000-0005-0000-0000-000023010000}"/>
    <cellStyle name="Normal116" xfId="286" xr:uid="{00000000-0005-0000-0000-000024010000}"/>
    <cellStyle name="Normal117" xfId="287" xr:uid="{00000000-0005-0000-0000-000025010000}"/>
    <cellStyle name="Normal118" xfId="288" xr:uid="{00000000-0005-0000-0000-000026010000}"/>
    <cellStyle name="Normal119" xfId="289" xr:uid="{00000000-0005-0000-0000-000027010000}"/>
    <cellStyle name="Normal12" xfId="290" xr:uid="{00000000-0005-0000-0000-000028010000}"/>
    <cellStyle name="Normal120" xfId="291" xr:uid="{00000000-0005-0000-0000-000029010000}"/>
    <cellStyle name="Normal121" xfId="292" xr:uid="{00000000-0005-0000-0000-00002A010000}"/>
    <cellStyle name="Normal122" xfId="293" xr:uid="{00000000-0005-0000-0000-00002B010000}"/>
    <cellStyle name="Normal123" xfId="294" xr:uid="{00000000-0005-0000-0000-00002C010000}"/>
    <cellStyle name="Normal124" xfId="295" xr:uid="{00000000-0005-0000-0000-00002D010000}"/>
    <cellStyle name="Normal125" xfId="296" xr:uid="{00000000-0005-0000-0000-00002E010000}"/>
    <cellStyle name="Normal126" xfId="297" xr:uid="{00000000-0005-0000-0000-00002F010000}"/>
    <cellStyle name="Normal127" xfId="298" xr:uid="{00000000-0005-0000-0000-000030010000}"/>
    <cellStyle name="Normal128" xfId="299" xr:uid="{00000000-0005-0000-0000-000031010000}"/>
    <cellStyle name="Normal129" xfId="300" xr:uid="{00000000-0005-0000-0000-000032010000}"/>
    <cellStyle name="Normal13" xfId="301" xr:uid="{00000000-0005-0000-0000-000033010000}"/>
    <cellStyle name="Normal130" xfId="302" xr:uid="{00000000-0005-0000-0000-000034010000}"/>
    <cellStyle name="Normal131" xfId="303" xr:uid="{00000000-0005-0000-0000-000035010000}"/>
    <cellStyle name="Normal132" xfId="304" xr:uid="{00000000-0005-0000-0000-000036010000}"/>
    <cellStyle name="Normal133" xfId="305" xr:uid="{00000000-0005-0000-0000-000037010000}"/>
    <cellStyle name="Normal134" xfId="306" xr:uid="{00000000-0005-0000-0000-000038010000}"/>
    <cellStyle name="Normal135" xfId="307" xr:uid="{00000000-0005-0000-0000-000039010000}"/>
    <cellStyle name="Normal136" xfId="308" xr:uid="{00000000-0005-0000-0000-00003A010000}"/>
    <cellStyle name="Normal137" xfId="309" xr:uid="{00000000-0005-0000-0000-00003B010000}"/>
    <cellStyle name="Normal138" xfId="310" xr:uid="{00000000-0005-0000-0000-00003C010000}"/>
    <cellStyle name="Normal139" xfId="311" xr:uid="{00000000-0005-0000-0000-00003D010000}"/>
    <cellStyle name="Normal14" xfId="312" xr:uid="{00000000-0005-0000-0000-00003E010000}"/>
    <cellStyle name="Normal140" xfId="313" xr:uid="{00000000-0005-0000-0000-00003F010000}"/>
    <cellStyle name="Normal141" xfId="314" xr:uid="{00000000-0005-0000-0000-000040010000}"/>
    <cellStyle name="Normal142" xfId="315" xr:uid="{00000000-0005-0000-0000-000041010000}"/>
    <cellStyle name="Normal143" xfId="316" xr:uid="{00000000-0005-0000-0000-000042010000}"/>
    <cellStyle name="Normal144" xfId="317" xr:uid="{00000000-0005-0000-0000-000043010000}"/>
    <cellStyle name="Normal145" xfId="318" xr:uid="{00000000-0005-0000-0000-000044010000}"/>
    <cellStyle name="Normal146" xfId="319" xr:uid="{00000000-0005-0000-0000-000045010000}"/>
    <cellStyle name="Normal147" xfId="320" xr:uid="{00000000-0005-0000-0000-000046010000}"/>
    <cellStyle name="Normal148" xfId="321" xr:uid="{00000000-0005-0000-0000-000047010000}"/>
    <cellStyle name="Normal149" xfId="322" xr:uid="{00000000-0005-0000-0000-000048010000}"/>
    <cellStyle name="Normal15" xfId="323" xr:uid="{00000000-0005-0000-0000-000049010000}"/>
    <cellStyle name="Normal150" xfId="324" xr:uid="{00000000-0005-0000-0000-00004A010000}"/>
    <cellStyle name="Normal151" xfId="325" xr:uid="{00000000-0005-0000-0000-00004B010000}"/>
    <cellStyle name="Normal152" xfId="326" xr:uid="{00000000-0005-0000-0000-00004C010000}"/>
    <cellStyle name="Normal153" xfId="327" xr:uid="{00000000-0005-0000-0000-00004D010000}"/>
    <cellStyle name="Normal154" xfId="328" xr:uid="{00000000-0005-0000-0000-00004E010000}"/>
    <cellStyle name="Normal155" xfId="329" xr:uid="{00000000-0005-0000-0000-00004F010000}"/>
    <cellStyle name="Normal156" xfId="330" xr:uid="{00000000-0005-0000-0000-000050010000}"/>
    <cellStyle name="Normal157" xfId="331" xr:uid="{00000000-0005-0000-0000-000051010000}"/>
    <cellStyle name="Normal158" xfId="332" xr:uid="{00000000-0005-0000-0000-000052010000}"/>
    <cellStyle name="Normal159" xfId="333" xr:uid="{00000000-0005-0000-0000-000053010000}"/>
    <cellStyle name="Normal16" xfId="334" xr:uid="{00000000-0005-0000-0000-000054010000}"/>
    <cellStyle name="Normal160" xfId="335" xr:uid="{00000000-0005-0000-0000-000055010000}"/>
    <cellStyle name="Normal161" xfId="336" xr:uid="{00000000-0005-0000-0000-000056010000}"/>
    <cellStyle name="Normal162" xfId="337" xr:uid="{00000000-0005-0000-0000-000057010000}"/>
    <cellStyle name="Normal163" xfId="338" xr:uid="{00000000-0005-0000-0000-000058010000}"/>
    <cellStyle name="Normal164" xfId="339" xr:uid="{00000000-0005-0000-0000-000059010000}"/>
    <cellStyle name="Normal165" xfId="340" xr:uid="{00000000-0005-0000-0000-00005A010000}"/>
    <cellStyle name="Normal166" xfId="341" xr:uid="{00000000-0005-0000-0000-00005B010000}"/>
    <cellStyle name="Normal167" xfId="342" xr:uid="{00000000-0005-0000-0000-00005C010000}"/>
    <cellStyle name="Normal168" xfId="343" xr:uid="{00000000-0005-0000-0000-00005D010000}"/>
    <cellStyle name="Normal169" xfId="344" xr:uid="{00000000-0005-0000-0000-00005E010000}"/>
    <cellStyle name="Normal17" xfId="345" xr:uid="{00000000-0005-0000-0000-00005F010000}"/>
    <cellStyle name="Normal170" xfId="346" xr:uid="{00000000-0005-0000-0000-000060010000}"/>
    <cellStyle name="Normal171" xfId="347" xr:uid="{00000000-0005-0000-0000-000061010000}"/>
    <cellStyle name="Normal172" xfId="348" xr:uid="{00000000-0005-0000-0000-000062010000}"/>
    <cellStyle name="Normal173" xfId="349" xr:uid="{00000000-0005-0000-0000-000063010000}"/>
    <cellStyle name="Normal174" xfId="350" xr:uid="{00000000-0005-0000-0000-000064010000}"/>
    <cellStyle name="Normal175" xfId="351" xr:uid="{00000000-0005-0000-0000-000065010000}"/>
    <cellStyle name="Normal176" xfId="352" xr:uid="{00000000-0005-0000-0000-000066010000}"/>
    <cellStyle name="Normal177" xfId="353" xr:uid="{00000000-0005-0000-0000-000067010000}"/>
    <cellStyle name="Normal178" xfId="354" xr:uid="{00000000-0005-0000-0000-000068010000}"/>
    <cellStyle name="Normal179" xfId="355" xr:uid="{00000000-0005-0000-0000-000069010000}"/>
    <cellStyle name="Normal18" xfId="356" xr:uid="{00000000-0005-0000-0000-00006A010000}"/>
    <cellStyle name="Normal180" xfId="357" xr:uid="{00000000-0005-0000-0000-00006B010000}"/>
    <cellStyle name="Normal181" xfId="358" xr:uid="{00000000-0005-0000-0000-00006C010000}"/>
    <cellStyle name="Normal182" xfId="359" xr:uid="{00000000-0005-0000-0000-00006D010000}"/>
    <cellStyle name="Normal183" xfId="360" xr:uid="{00000000-0005-0000-0000-00006E010000}"/>
    <cellStyle name="Normal184" xfId="361" xr:uid="{00000000-0005-0000-0000-00006F010000}"/>
    <cellStyle name="Normal185" xfId="362" xr:uid="{00000000-0005-0000-0000-000070010000}"/>
    <cellStyle name="Normal186" xfId="363" xr:uid="{00000000-0005-0000-0000-000071010000}"/>
    <cellStyle name="Normal187" xfId="364" xr:uid="{00000000-0005-0000-0000-000072010000}"/>
    <cellStyle name="Normal188" xfId="365" xr:uid="{00000000-0005-0000-0000-000073010000}"/>
    <cellStyle name="Normal189" xfId="366" xr:uid="{00000000-0005-0000-0000-000074010000}"/>
    <cellStyle name="Normal19" xfId="367" xr:uid="{00000000-0005-0000-0000-000075010000}"/>
    <cellStyle name="Normal190" xfId="368" xr:uid="{00000000-0005-0000-0000-000076010000}"/>
    <cellStyle name="Normal191" xfId="369" xr:uid="{00000000-0005-0000-0000-000077010000}"/>
    <cellStyle name="Normal192" xfId="370" xr:uid="{00000000-0005-0000-0000-000078010000}"/>
    <cellStyle name="Normal193" xfId="371" xr:uid="{00000000-0005-0000-0000-000079010000}"/>
    <cellStyle name="Normal194" xfId="372" xr:uid="{00000000-0005-0000-0000-00007A010000}"/>
    <cellStyle name="Normal195" xfId="373" xr:uid="{00000000-0005-0000-0000-00007B010000}"/>
    <cellStyle name="Normal196" xfId="374" xr:uid="{00000000-0005-0000-0000-00007C010000}"/>
    <cellStyle name="Normal197" xfId="375" xr:uid="{00000000-0005-0000-0000-00007D010000}"/>
    <cellStyle name="Normal198" xfId="376" xr:uid="{00000000-0005-0000-0000-00007E010000}"/>
    <cellStyle name="Normal199" xfId="377" xr:uid="{00000000-0005-0000-0000-00007F010000}"/>
    <cellStyle name="Normal2" xfId="378" xr:uid="{00000000-0005-0000-0000-000080010000}"/>
    <cellStyle name="Normal20" xfId="379" xr:uid="{00000000-0005-0000-0000-000081010000}"/>
    <cellStyle name="Normal200" xfId="380" xr:uid="{00000000-0005-0000-0000-000082010000}"/>
    <cellStyle name="Normal201" xfId="381" xr:uid="{00000000-0005-0000-0000-000083010000}"/>
    <cellStyle name="Normal202" xfId="382" xr:uid="{00000000-0005-0000-0000-000084010000}"/>
    <cellStyle name="Normal203" xfId="383" xr:uid="{00000000-0005-0000-0000-000085010000}"/>
    <cellStyle name="Normal204" xfId="384" xr:uid="{00000000-0005-0000-0000-000086010000}"/>
    <cellStyle name="Normal205" xfId="385" xr:uid="{00000000-0005-0000-0000-000087010000}"/>
    <cellStyle name="Normal206" xfId="386" xr:uid="{00000000-0005-0000-0000-000088010000}"/>
    <cellStyle name="Normal207" xfId="387" xr:uid="{00000000-0005-0000-0000-000089010000}"/>
    <cellStyle name="Normal208" xfId="388" xr:uid="{00000000-0005-0000-0000-00008A010000}"/>
    <cellStyle name="Normal209" xfId="389" xr:uid="{00000000-0005-0000-0000-00008B010000}"/>
    <cellStyle name="Normal21" xfId="390" xr:uid="{00000000-0005-0000-0000-00008C010000}"/>
    <cellStyle name="Normal210" xfId="391" xr:uid="{00000000-0005-0000-0000-00008D010000}"/>
    <cellStyle name="Normal211" xfId="392" xr:uid="{00000000-0005-0000-0000-00008E010000}"/>
    <cellStyle name="Normal212" xfId="393" xr:uid="{00000000-0005-0000-0000-00008F010000}"/>
    <cellStyle name="Normal213" xfId="394" xr:uid="{00000000-0005-0000-0000-000090010000}"/>
    <cellStyle name="Normal214" xfId="395" xr:uid="{00000000-0005-0000-0000-000091010000}"/>
    <cellStyle name="Normal215" xfId="396" xr:uid="{00000000-0005-0000-0000-000092010000}"/>
    <cellStyle name="Normal216" xfId="397" xr:uid="{00000000-0005-0000-0000-000093010000}"/>
    <cellStyle name="Normal217" xfId="398" xr:uid="{00000000-0005-0000-0000-000094010000}"/>
    <cellStyle name="Normal218" xfId="399" xr:uid="{00000000-0005-0000-0000-000095010000}"/>
    <cellStyle name="Normal219" xfId="400" xr:uid="{00000000-0005-0000-0000-000096010000}"/>
    <cellStyle name="Normal22" xfId="401" xr:uid="{00000000-0005-0000-0000-000097010000}"/>
    <cellStyle name="Normal220" xfId="402" xr:uid="{00000000-0005-0000-0000-000098010000}"/>
    <cellStyle name="Normal221" xfId="403" xr:uid="{00000000-0005-0000-0000-000099010000}"/>
    <cellStyle name="Normal222" xfId="404" xr:uid="{00000000-0005-0000-0000-00009A010000}"/>
    <cellStyle name="Normal223" xfId="405" xr:uid="{00000000-0005-0000-0000-00009B010000}"/>
    <cellStyle name="Normal224" xfId="406" xr:uid="{00000000-0005-0000-0000-00009C010000}"/>
    <cellStyle name="Normal225" xfId="407" xr:uid="{00000000-0005-0000-0000-00009D010000}"/>
    <cellStyle name="Normal226" xfId="408" xr:uid="{00000000-0005-0000-0000-00009E010000}"/>
    <cellStyle name="Normal227" xfId="409" xr:uid="{00000000-0005-0000-0000-00009F010000}"/>
    <cellStyle name="Normal228" xfId="410" xr:uid="{00000000-0005-0000-0000-0000A0010000}"/>
    <cellStyle name="Normal229" xfId="411" xr:uid="{00000000-0005-0000-0000-0000A1010000}"/>
    <cellStyle name="Normal23" xfId="412" xr:uid="{00000000-0005-0000-0000-0000A2010000}"/>
    <cellStyle name="Normal230" xfId="413" xr:uid="{00000000-0005-0000-0000-0000A3010000}"/>
    <cellStyle name="Normal231" xfId="414" xr:uid="{00000000-0005-0000-0000-0000A4010000}"/>
    <cellStyle name="Normal232" xfId="415" xr:uid="{00000000-0005-0000-0000-0000A5010000}"/>
    <cellStyle name="Normal233" xfId="416" xr:uid="{00000000-0005-0000-0000-0000A6010000}"/>
    <cellStyle name="Normal234" xfId="417" xr:uid="{00000000-0005-0000-0000-0000A7010000}"/>
    <cellStyle name="Normal235" xfId="418" xr:uid="{00000000-0005-0000-0000-0000A8010000}"/>
    <cellStyle name="Normal236" xfId="419" xr:uid="{00000000-0005-0000-0000-0000A9010000}"/>
    <cellStyle name="Normal237" xfId="420" xr:uid="{00000000-0005-0000-0000-0000AA010000}"/>
    <cellStyle name="Normal238" xfId="421" xr:uid="{00000000-0005-0000-0000-0000AB010000}"/>
    <cellStyle name="Normal239" xfId="422" xr:uid="{00000000-0005-0000-0000-0000AC010000}"/>
    <cellStyle name="Normal24" xfId="423" xr:uid="{00000000-0005-0000-0000-0000AD010000}"/>
    <cellStyle name="Normal240" xfId="424" xr:uid="{00000000-0005-0000-0000-0000AE010000}"/>
    <cellStyle name="Normal241" xfId="425" xr:uid="{00000000-0005-0000-0000-0000AF010000}"/>
    <cellStyle name="Normal242" xfId="426" xr:uid="{00000000-0005-0000-0000-0000B0010000}"/>
    <cellStyle name="Normal243" xfId="427" xr:uid="{00000000-0005-0000-0000-0000B1010000}"/>
    <cellStyle name="Normal244" xfId="428" xr:uid="{00000000-0005-0000-0000-0000B2010000}"/>
    <cellStyle name="Normal245" xfId="429" xr:uid="{00000000-0005-0000-0000-0000B3010000}"/>
    <cellStyle name="Normal246" xfId="430" xr:uid="{00000000-0005-0000-0000-0000B4010000}"/>
    <cellStyle name="Normal247" xfId="431" xr:uid="{00000000-0005-0000-0000-0000B5010000}"/>
    <cellStyle name="Normal248" xfId="432" xr:uid="{00000000-0005-0000-0000-0000B6010000}"/>
    <cellStyle name="Normal249" xfId="433" xr:uid="{00000000-0005-0000-0000-0000B7010000}"/>
    <cellStyle name="Normal25" xfId="434" xr:uid="{00000000-0005-0000-0000-0000B8010000}"/>
    <cellStyle name="Normal250" xfId="435" xr:uid="{00000000-0005-0000-0000-0000B9010000}"/>
    <cellStyle name="Normal251" xfId="436" xr:uid="{00000000-0005-0000-0000-0000BA010000}"/>
    <cellStyle name="Normal252" xfId="437" xr:uid="{00000000-0005-0000-0000-0000BB010000}"/>
    <cellStyle name="Normal253" xfId="438" xr:uid="{00000000-0005-0000-0000-0000BC010000}"/>
    <cellStyle name="Normal26" xfId="439" xr:uid="{00000000-0005-0000-0000-0000BD010000}"/>
    <cellStyle name="Normal27" xfId="440" xr:uid="{00000000-0005-0000-0000-0000BE010000}"/>
    <cellStyle name="Normal28" xfId="441" xr:uid="{00000000-0005-0000-0000-0000BF010000}"/>
    <cellStyle name="Normal29" xfId="442" xr:uid="{00000000-0005-0000-0000-0000C0010000}"/>
    <cellStyle name="Normal3" xfId="443" xr:uid="{00000000-0005-0000-0000-0000C1010000}"/>
    <cellStyle name="Normal30" xfId="444" xr:uid="{00000000-0005-0000-0000-0000C2010000}"/>
    <cellStyle name="Normal31" xfId="445" xr:uid="{00000000-0005-0000-0000-0000C3010000}"/>
    <cellStyle name="Normal32" xfId="446" xr:uid="{00000000-0005-0000-0000-0000C4010000}"/>
    <cellStyle name="Normal33" xfId="447" xr:uid="{00000000-0005-0000-0000-0000C5010000}"/>
    <cellStyle name="Normal34" xfId="448" xr:uid="{00000000-0005-0000-0000-0000C6010000}"/>
    <cellStyle name="Normal35" xfId="449" xr:uid="{00000000-0005-0000-0000-0000C7010000}"/>
    <cellStyle name="Normal36" xfId="450" xr:uid="{00000000-0005-0000-0000-0000C8010000}"/>
    <cellStyle name="Normal37" xfId="451" xr:uid="{00000000-0005-0000-0000-0000C9010000}"/>
    <cellStyle name="Normal38" xfId="452" xr:uid="{00000000-0005-0000-0000-0000CA010000}"/>
    <cellStyle name="Normal39" xfId="453" xr:uid="{00000000-0005-0000-0000-0000CB010000}"/>
    <cellStyle name="Normal4" xfId="454" xr:uid="{00000000-0005-0000-0000-0000CC010000}"/>
    <cellStyle name="Normal40" xfId="455" xr:uid="{00000000-0005-0000-0000-0000CD010000}"/>
    <cellStyle name="Normal41" xfId="456" xr:uid="{00000000-0005-0000-0000-0000CE010000}"/>
    <cellStyle name="Normal42" xfId="457" xr:uid="{00000000-0005-0000-0000-0000CF010000}"/>
    <cellStyle name="Normal43" xfId="458" xr:uid="{00000000-0005-0000-0000-0000D0010000}"/>
    <cellStyle name="Normal44" xfId="459" xr:uid="{00000000-0005-0000-0000-0000D1010000}"/>
    <cellStyle name="Normal45" xfId="460" xr:uid="{00000000-0005-0000-0000-0000D2010000}"/>
    <cellStyle name="Normal46" xfId="461" xr:uid="{00000000-0005-0000-0000-0000D3010000}"/>
    <cellStyle name="Normal47" xfId="462" xr:uid="{00000000-0005-0000-0000-0000D4010000}"/>
    <cellStyle name="Normal48" xfId="463" xr:uid="{00000000-0005-0000-0000-0000D5010000}"/>
    <cellStyle name="Normal49" xfId="464" xr:uid="{00000000-0005-0000-0000-0000D6010000}"/>
    <cellStyle name="Normal5" xfId="465" xr:uid="{00000000-0005-0000-0000-0000D7010000}"/>
    <cellStyle name="Normal50" xfId="466" xr:uid="{00000000-0005-0000-0000-0000D8010000}"/>
    <cellStyle name="Normal51" xfId="467" xr:uid="{00000000-0005-0000-0000-0000D9010000}"/>
    <cellStyle name="Normal52" xfId="468" xr:uid="{00000000-0005-0000-0000-0000DA010000}"/>
    <cellStyle name="Normal53" xfId="469" xr:uid="{00000000-0005-0000-0000-0000DB010000}"/>
    <cellStyle name="Normal54" xfId="470" xr:uid="{00000000-0005-0000-0000-0000DC010000}"/>
    <cellStyle name="Normal55" xfId="471" xr:uid="{00000000-0005-0000-0000-0000DD010000}"/>
    <cellStyle name="Normal56" xfId="472" xr:uid="{00000000-0005-0000-0000-0000DE010000}"/>
    <cellStyle name="Normal57" xfId="473" xr:uid="{00000000-0005-0000-0000-0000DF010000}"/>
    <cellStyle name="Normal58" xfId="474" xr:uid="{00000000-0005-0000-0000-0000E0010000}"/>
    <cellStyle name="Normal59" xfId="475" xr:uid="{00000000-0005-0000-0000-0000E1010000}"/>
    <cellStyle name="Normal6" xfId="476" xr:uid="{00000000-0005-0000-0000-0000E2010000}"/>
    <cellStyle name="Normal60" xfId="477" xr:uid="{00000000-0005-0000-0000-0000E3010000}"/>
    <cellStyle name="Normal61" xfId="478" xr:uid="{00000000-0005-0000-0000-0000E4010000}"/>
    <cellStyle name="Normal62" xfId="479" xr:uid="{00000000-0005-0000-0000-0000E5010000}"/>
    <cellStyle name="Normal63" xfId="480" xr:uid="{00000000-0005-0000-0000-0000E6010000}"/>
    <cellStyle name="Normal64" xfId="481" xr:uid="{00000000-0005-0000-0000-0000E7010000}"/>
    <cellStyle name="Normal65" xfId="482" xr:uid="{00000000-0005-0000-0000-0000E8010000}"/>
    <cellStyle name="Normal66" xfId="483" xr:uid="{00000000-0005-0000-0000-0000E9010000}"/>
    <cellStyle name="Normal67" xfId="484" xr:uid="{00000000-0005-0000-0000-0000EA010000}"/>
    <cellStyle name="Normal68" xfId="485" xr:uid="{00000000-0005-0000-0000-0000EB010000}"/>
    <cellStyle name="Normal69" xfId="486" xr:uid="{00000000-0005-0000-0000-0000EC010000}"/>
    <cellStyle name="Normal7" xfId="487" xr:uid="{00000000-0005-0000-0000-0000ED010000}"/>
    <cellStyle name="Normal70" xfId="488" xr:uid="{00000000-0005-0000-0000-0000EE010000}"/>
    <cellStyle name="Normal71" xfId="489" xr:uid="{00000000-0005-0000-0000-0000EF010000}"/>
    <cellStyle name="Normal72" xfId="490" xr:uid="{00000000-0005-0000-0000-0000F0010000}"/>
    <cellStyle name="Normal73" xfId="491" xr:uid="{00000000-0005-0000-0000-0000F1010000}"/>
    <cellStyle name="Normal74" xfId="492" xr:uid="{00000000-0005-0000-0000-0000F2010000}"/>
    <cellStyle name="Normal75" xfId="493" xr:uid="{00000000-0005-0000-0000-0000F3010000}"/>
    <cellStyle name="Normal76" xfId="494" xr:uid="{00000000-0005-0000-0000-0000F4010000}"/>
    <cellStyle name="Normal77" xfId="495" xr:uid="{00000000-0005-0000-0000-0000F5010000}"/>
    <cellStyle name="Normal78" xfId="496" xr:uid="{00000000-0005-0000-0000-0000F6010000}"/>
    <cellStyle name="Normal79" xfId="497" xr:uid="{00000000-0005-0000-0000-0000F7010000}"/>
    <cellStyle name="Normal8" xfId="498" xr:uid="{00000000-0005-0000-0000-0000F8010000}"/>
    <cellStyle name="Normal80" xfId="499" xr:uid="{00000000-0005-0000-0000-0000F9010000}"/>
    <cellStyle name="Normal81" xfId="500" xr:uid="{00000000-0005-0000-0000-0000FA010000}"/>
    <cellStyle name="Normal82" xfId="501" xr:uid="{00000000-0005-0000-0000-0000FB010000}"/>
    <cellStyle name="Normal83" xfId="502" xr:uid="{00000000-0005-0000-0000-0000FC010000}"/>
    <cellStyle name="Normal84" xfId="503" xr:uid="{00000000-0005-0000-0000-0000FD010000}"/>
    <cellStyle name="Normal85" xfId="504" xr:uid="{00000000-0005-0000-0000-0000FE010000}"/>
    <cellStyle name="Normal86" xfId="505" xr:uid="{00000000-0005-0000-0000-0000FF010000}"/>
    <cellStyle name="Normal87" xfId="506" xr:uid="{00000000-0005-0000-0000-000000020000}"/>
    <cellStyle name="Normal88" xfId="507" xr:uid="{00000000-0005-0000-0000-000001020000}"/>
    <cellStyle name="Normal89" xfId="508" xr:uid="{00000000-0005-0000-0000-000002020000}"/>
    <cellStyle name="Normal9" xfId="509" xr:uid="{00000000-0005-0000-0000-000003020000}"/>
    <cellStyle name="Normal90" xfId="510" xr:uid="{00000000-0005-0000-0000-000004020000}"/>
    <cellStyle name="Normal91" xfId="511" xr:uid="{00000000-0005-0000-0000-000005020000}"/>
    <cellStyle name="Normal92" xfId="512" xr:uid="{00000000-0005-0000-0000-000006020000}"/>
    <cellStyle name="Normal93" xfId="513" xr:uid="{00000000-0005-0000-0000-000007020000}"/>
    <cellStyle name="Normal94" xfId="514" xr:uid="{00000000-0005-0000-0000-000008020000}"/>
    <cellStyle name="Normal95" xfId="515" xr:uid="{00000000-0005-0000-0000-000009020000}"/>
    <cellStyle name="Normal96" xfId="516" xr:uid="{00000000-0005-0000-0000-00000A020000}"/>
    <cellStyle name="Normal97" xfId="517" xr:uid="{00000000-0005-0000-0000-00000B020000}"/>
    <cellStyle name="Normal98" xfId="518" xr:uid="{00000000-0005-0000-0000-00000C020000}"/>
    <cellStyle name="Normal99" xfId="519" xr:uid="{00000000-0005-0000-0000-00000D020000}"/>
    <cellStyle name="NotDeclared_1" xfId="520" xr:uid="{00000000-0005-0000-0000-00000E020000}"/>
    <cellStyle name="Numbers" xfId="521" xr:uid="{00000000-0005-0000-0000-00000F020000}"/>
    <cellStyle name="Numbers - Bold" xfId="522" xr:uid="{00000000-0005-0000-0000-000010020000}"/>
    <cellStyle name="Numbers - Bold - Italic" xfId="523" xr:uid="{00000000-0005-0000-0000-000011020000}"/>
    <cellStyle name="Numbers - Bold 2" xfId="1006" xr:uid="{2F4C6432-D0F3-4520-9C2C-2ACD6F4759D6}"/>
    <cellStyle name="Numbers - Bold_6079BX" xfId="524" xr:uid="{00000000-0005-0000-0000-000012020000}"/>
    <cellStyle name="Numbers - Large" xfId="525" xr:uid="{00000000-0005-0000-0000-000013020000}"/>
    <cellStyle name="Numbers_6079BX" xfId="526" xr:uid="{00000000-0005-0000-0000-000014020000}"/>
    <cellStyle name="OSW_RowLabels" xfId="527" xr:uid="{00000000-0005-0000-0000-000015020000}"/>
    <cellStyle name="Outline" xfId="528" xr:uid="{00000000-0005-0000-0000-000016020000}"/>
    <cellStyle name="Output Amounts" xfId="529" xr:uid="{00000000-0005-0000-0000-000017020000}"/>
    <cellStyle name="Output Column Headings" xfId="530" xr:uid="{00000000-0005-0000-0000-000018020000}"/>
    <cellStyle name="Output Line Items" xfId="531" xr:uid="{00000000-0005-0000-0000-000019020000}"/>
    <cellStyle name="Output Report Heading" xfId="532" xr:uid="{00000000-0005-0000-0000-00001A020000}"/>
    <cellStyle name="Page" xfId="533" xr:uid="{00000000-0005-0000-0000-00001B020000}"/>
    <cellStyle name="PB Table Heading" xfId="534" xr:uid="{00000000-0005-0000-0000-00001C020000}"/>
    <cellStyle name="PB Table Highlight1" xfId="535" xr:uid="{00000000-0005-0000-0000-00001D020000}"/>
    <cellStyle name="PB Table Highlight2" xfId="536" xr:uid="{00000000-0005-0000-0000-00001E020000}"/>
    <cellStyle name="PB Table Highlight3" xfId="537" xr:uid="{00000000-0005-0000-0000-00001F020000}"/>
    <cellStyle name="PB Table Standard Row" xfId="538" xr:uid="{00000000-0005-0000-0000-000020020000}"/>
    <cellStyle name="PB Table Subtotal Row" xfId="539" xr:uid="{00000000-0005-0000-0000-000021020000}"/>
    <cellStyle name="PB Table Total Row" xfId="540" xr:uid="{00000000-0005-0000-0000-000022020000}"/>
    <cellStyle name="Per cent" xfId="1028" builtinId="5"/>
    <cellStyle name="per.style" xfId="541" xr:uid="{00000000-0005-0000-0000-000023020000}"/>
    <cellStyle name="Percent [0]" xfId="542" xr:uid="{00000000-0005-0000-0000-000024020000}"/>
    <cellStyle name="Percent [00]" xfId="543" xr:uid="{00000000-0005-0000-0000-000025020000}"/>
    <cellStyle name="Percent [1]" xfId="544" xr:uid="{00000000-0005-0000-0000-000026020000}"/>
    <cellStyle name="Percent [1][]" xfId="545" xr:uid="{00000000-0005-0000-0000-000027020000}"/>
    <cellStyle name="Percent [1]_New MA Public Comps and WACC Model" xfId="546" xr:uid="{00000000-0005-0000-0000-000028020000}"/>
    <cellStyle name="Percent [2]" xfId="547" xr:uid="{00000000-0005-0000-0000-000029020000}"/>
    <cellStyle name="Percent [2] 2" xfId="1007" xr:uid="{A668818C-0CB7-4850-A2FD-43C1E49510C4}"/>
    <cellStyle name="Percent 2" xfId="897" xr:uid="{00000000-0005-0000-0000-00002A020000}"/>
    <cellStyle name="Percent 2 2" xfId="1022" xr:uid="{2ABFCE55-52B0-42B1-8CF2-8DEE992A0967}"/>
    <cellStyle name="Percent Comma" xfId="548" xr:uid="{00000000-0005-0000-0000-00002B020000}"/>
    <cellStyle name="Percent Comma 2" xfId="1008" xr:uid="{0CB198C5-336E-4CC4-ABC2-2114EED1E102}"/>
    <cellStyle name="Percent1" xfId="549" xr:uid="{00000000-0005-0000-0000-00002C020000}"/>
    <cellStyle name="Percent10" xfId="550" xr:uid="{00000000-0005-0000-0000-00002D020000}"/>
    <cellStyle name="Percent100" xfId="551" xr:uid="{00000000-0005-0000-0000-00002E020000}"/>
    <cellStyle name="Percent101" xfId="552" xr:uid="{00000000-0005-0000-0000-00002F020000}"/>
    <cellStyle name="Percent102" xfId="553" xr:uid="{00000000-0005-0000-0000-000030020000}"/>
    <cellStyle name="Percent103" xfId="554" xr:uid="{00000000-0005-0000-0000-000031020000}"/>
    <cellStyle name="Percent104" xfId="555" xr:uid="{00000000-0005-0000-0000-000032020000}"/>
    <cellStyle name="Percent105" xfId="556" xr:uid="{00000000-0005-0000-0000-000033020000}"/>
    <cellStyle name="Percent106" xfId="557" xr:uid="{00000000-0005-0000-0000-000034020000}"/>
    <cellStyle name="Percent107" xfId="558" xr:uid="{00000000-0005-0000-0000-000035020000}"/>
    <cellStyle name="Percent108" xfId="559" xr:uid="{00000000-0005-0000-0000-000036020000}"/>
    <cellStyle name="Percent109" xfId="560" xr:uid="{00000000-0005-0000-0000-000037020000}"/>
    <cellStyle name="Percent11" xfId="561" xr:uid="{00000000-0005-0000-0000-000038020000}"/>
    <cellStyle name="Percent110" xfId="562" xr:uid="{00000000-0005-0000-0000-000039020000}"/>
    <cellStyle name="Percent111" xfId="563" xr:uid="{00000000-0005-0000-0000-00003A020000}"/>
    <cellStyle name="Percent112" xfId="564" xr:uid="{00000000-0005-0000-0000-00003B020000}"/>
    <cellStyle name="Percent113" xfId="565" xr:uid="{00000000-0005-0000-0000-00003C020000}"/>
    <cellStyle name="Percent114" xfId="566" xr:uid="{00000000-0005-0000-0000-00003D020000}"/>
    <cellStyle name="Percent115" xfId="567" xr:uid="{00000000-0005-0000-0000-00003E020000}"/>
    <cellStyle name="Percent116" xfId="568" xr:uid="{00000000-0005-0000-0000-00003F020000}"/>
    <cellStyle name="Percent117" xfId="569" xr:uid="{00000000-0005-0000-0000-000040020000}"/>
    <cellStyle name="Percent118" xfId="570" xr:uid="{00000000-0005-0000-0000-000041020000}"/>
    <cellStyle name="Percent119" xfId="571" xr:uid="{00000000-0005-0000-0000-000042020000}"/>
    <cellStyle name="Percent12" xfId="572" xr:uid="{00000000-0005-0000-0000-000043020000}"/>
    <cellStyle name="Percent120" xfId="573" xr:uid="{00000000-0005-0000-0000-000044020000}"/>
    <cellStyle name="Percent121" xfId="574" xr:uid="{00000000-0005-0000-0000-000045020000}"/>
    <cellStyle name="Percent122" xfId="575" xr:uid="{00000000-0005-0000-0000-000046020000}"/>
    <cellStyle name="Percent123" xfId="576" xr:uid="{00000000-0005-0000-0000-000047020000}"/>
    <cellStyle name="Percent124" xfId="577" xr:uid="{00000000-0005-0000-0000-000048020000}"/>
    <cellStyle name="Percent125" xfId="578" xr:uid="{00000000-0005-0000-0000-000049020000}"/>
    <cellStyle name="Percent126" xfId="579" xr:uid="{00000000-0005-0000-0000-00004A020000}"/>
    <cellStyle name="Percent127" xfId="580" xr:uid="{00000000-0005-0000-0000-00004B020000}"/>
    <cellStyle name="Percent128" xfId="581" xr:uid="{00000000-0005-0000-0000-00004C020000}"/>
    <cellStyle name="Percent129" xfId="582" xr:uid="{00000000-0005-0000-0000-00004D020000}"/>
    <cellStyle name="Percent13" xfId="583" xr:uid="{00000000-0005-0000-0000-00004E020000}"/>
    <cellStyle name="Percent130" xfId="584" xr:uid="{00000000-0005-0000-0000-00004F020000}"/>
    <cellStyle name="Percent131" xfId="585" xr:uid="{00000000-0005-0000-0000-000050020000}"/>
    <cellStyle name="Percent132" xfId="586" xr:uid="{00000000-0005-0000-0000-000051020000}"/>
    <cellStyle name="Percent133" xfId="587" xr:uid="{00000000-0005-0000-0000-000052020000}"/>
    <cellStyle name="Percent134" xfId="588" xr:uid="{00000000-0005-0000-0000-000053020000}"/>
    <cellStyle name="Percent135" xfId="589" xr:uid="{00000000-0005-0000-0000-000054020000}"/>
    <cellStyle name="Percent136" xfId="590" xr:uid="{00000000-0005-0000-0000-000055020000}"/>
    <cellStyle name="Percent137" xfId="591" xr:uid="{00000000-0005-0000-0000-000056020000}"/>
    <cellStyle name="Percent138" xfId="592" xr:uid="{00000000-0005-0000-0000-000057020000}"/>
    <cellStyle name="Percent139" xfId="593" xr:uid="{00000000-0005-0000-0000-000058020000}"/>
    <cellStyle name="Percent14" xfId="594" xr:uid="{00000000-0005-0000-0000-000059020000}"/>
    <cellStyle name="Percent140" xfId="595" xr:uid="{00000000-0005-0000-0000-00005A020000}"/>
    <cellStyle name="Percent141" xfId="596" xr:uid="{00000000-0005-0000-0000-00005B020000}"/>
    <cellStyle name="Percent142" xfId="597" xr:uid="{00000000-0005-0000-0000-00005C020000}"/>
    <cellStyle name="Percent143" xfId="598" xr:uid="{00000000-0005-0000-0000-00005D020000}"/>
    <cellStyle name="Percent144" xfId="599" xr:uid="{00000000-0005-0000-0000-00005E020000}"/>
    <cellStyle name="Percent145" xfId="600" xr:uid="{00000000-0005-0000-0000-00005F020000}"/>
    <cellStyle name="Percent146" xfId="601" xr:uid="{00000000-0005-0000-0000-000060020000}"/>
    <cellStyle name="Percent147" xfId="602" xr:uid="{00000000-0005-0000-0000-000061020000}"/>
    <cellStyle name="Percent148" xfId="603" xr:uid="{00000000-0005-0000-0000-000062020000}"/>
    <cellStyle name="Percent149" xfId="604" xr:uid="{00000000-0005-0000-0000-000063020000}"/>
    <cellStyle name="Percent15" xfId="605" xr:uid="{00000000-0005-0000-0000-000064020000}"/>
    <cellStyle name="Percent150" xfId="606" xr:uid="{00000000-0005-0000-0000-000065020000}"/>
    <cellStyle name="Percent151" xfId="607" xr:uid="{00000000-0005-0000-0000-000066020000}"/>
    <cellStyle name="Percent152" xfId="608" xr:uid="{00000000-0005-0000-0000-000067020000}"/>
    <cellStyle name="Percent153" xfId="609" xr:uid="{00000000-0005-0000-0000-000068020000}"/>
    <cellStyle name="Percent154" xfId="610" xr:uid="{00000000-0005-0000-0000-000069020000}"/>
    <cellStyle name="Percent155" xfId="611" xr:uid="{00000000-0005-0000-0000-00006A020000}"/>
    <cellStyle name="Percent156" xfId="612" xr:uid="{00000000-0005-0000-0000-00006B020000}"/>
    <cellStyle name="Percent157" xfId="613" xr:uid="{00000000-0005-0000-0000-00006C020000}"/>
    <cellStyle name="Percent158" xfId="614" xr:uid="{00000000-0005-0000-0000-00006D020000}"/>
    <cellStyle name="Percent159" xfId="615" xr:uid="{00000000-0005-0000-0000-00006E020000}"/>
    <cellStyle name="Percent16" xfId="616" xr:uid="{00000000-0005-0000-0000-00006F020000}"/>
    <cellStyle name="Percent160" xfId="617" xr:uid="{00000000-0005-0000-0000-000070020000}"/>
    <cellStyle name="Percent161" xfId="618" xr:uid="{00000000-0005-0000-0000-000071020000}"/>
    <cellStyle name="Percent162" xfId="619" xr:uid="{00000000-0005-0000-0000-000072020000}"/>
    <cellStyle name="Percent163" xfId="620" xr:uid="{00000000-0005-0000-0000-000073020000}"/>
    <cellStyle name="Percent164" xfId="621" xr:uid="{00000000-0005-0000-0000-000074020000}"/>
    <cellStyle name="Percent165" xfId="622" xr:uid="{00000000-0005-0000-0000-000075020000}"/>
    <cellStyle name="Percent166" xfId="623" xr:uid="{00000000-0005-0000-0000-000076020000}"/>
    <cellStyle name="Percent167" xfId="624" xr:uid="{00000000-0005-0000-0000-000077020000}"/>
    <cellStyle name="Percent168" xfId="625" xr:uid="{00000000-0005-0000-0000-000078020000}"/>
    <cellStyle name="Percent169" xfId="626" xr:uid="{00000000-0005-0000-0000-000079020000}"/>
    <cellStyle name="Percent17" xfId="627" xr:uid="{00000000-0005-0000-0000-00007A020000}"/>
    <cellStyle name="Percent170" xfId="628" xr:uid="{00000000-0005-0000-0000-00007B020000}"/>
    <cellStyle name="Percent171" xfId="629" xr:uid="{00000000-0005-0000-0000-00007C020000}"/>
    <cellStyle name="Percent172" xfId="630" xr:uid="{00000000-0005-0000-0000-00007D020000}"/>
    <cellStyle name="Percent173" xfId="631" xr:uid="{00000000-0005-0000-0000-00007E020000}"/>
    <cellStyle name="Percent174" xfId="632" xr:uid="{00000000-0005-0000-0000-00007F020000}"/>
    <cellStyle name="Percent175" xfId="633" xr:uid="{00000000-0005-0000-0000-000080020000}"/>
    <cellStyle name="Percent176" xfId="634" xr:uid="{00000000-0005-0000-0000-000081020000}"/>
    <cellStyle name="Percent177" xfId="635" xr:uid="{00000000-0005-0000-0000-000082020000}"/>
    <cellStyle name="Percent178" xfId="636" xr:uid="{00000000-0005-0000-0000-000083020000}"/>
    <cellStyle name="Percent179" xfId="637" xr:uid="{00000000-0005-0000-0000-000084020000}"/>
    <cellStyle name="Percent18" xfId="638" xr:uid="{00000000-0005-0000-0000-000085020000}"/>
    <cellStyle name="Percent180" xfId="639" xr:uid="{00000000-0005-0000-0000-000086020000}"/>
    <cellStyle name="Percent181" xfId="640" xr:uid="{00000000-0005-0000-0000-000087020000}"/>
    <cellStyle name="Percent182" xfId="641" xr:uid="{00000000-0005-0000-0000-000088020000}"/>
    <cellStyle name="Percent183" xfId="642" xr:uid="{00000000-0005-0000-0000-000089020000}"/>
    <cellStyle name="Percent184" xfId="643" xr:uid="{00000000-0005-0000-0000-00008A020000}"/>
    <cellStyle name="Percent185" xfId="644" xr:uid="{00000000-0005-0000-0000-00008B020000}"/>
    <cellStyle name="Percent186" xfId="645" xr:uid="{00000000-0005-0000-0000-00008C020000}"/>
    <cellStyle name="Percent187" xfId="646" xr:uid="{00000000-0005-0000-0000-00008D020000}"/>
    <cellStyle name="Percent188" xfId="647" xr:uid="{00000000-0005-0000-0000-00008E020000}"/>
    <cellStyle name="Percent189" xfId="648" xr:uid="{00000000-0005-0000-0000-00008F020000}"/>
    <cellStyle name="Percent19" xfId="649" xr:uid="{00000000-0005-0000-0000-000090020000}"/>
    <cellStyle name="Percent190" xfId="650" xr:uid="{00000000-0005-0000-0000-000091020000}"/>
    <cellStyle name="Percent191" xfId="651" xr:uid="{00000000-0005-0000-0000-000092020000}"/>
    <cellStyle name="Percent192" xfId="652" xr:uid="{00000000-0005-0000-0000-000093020000}"/>
    <cellStyle name="Percent193" xfId="653" xr:uid="{00000000-0005-0000-0000-000094020000}"/>
    <cellStyle name="Percent194" xfId="654" xr:uid="{00000000-0005-0000-0000-000095020000}"/>
    <cellStyle name="Percent195" xfId="655" xr:uid="{00000000-0005-0000-0000-000096020000}"/>
    <cellStyle name="Percent196" xfId="656" xr:uid="{00000000-0005-0000-0000-000097020000}"/>
    <cellStyle name="Percent197" xfId="657" xr:uid="{00000000-0005-0000-0000-000098020000}"/>
    <cellStyle name="Percent198" xfId="658" xr:uid="{00000000-0005-0000-0000-000099020000}"/>
    <cellStyle name="Percent199" xfId="659" xr:uid="{00000000-0005-0000-0000-00009A020000}"/>
    <cellStyle name="Percent1Bold" xfId="660" xr:uid="{00000000-0005-0000-0000-00009B020000}"/>
    <cellStyle name="Percent2" xfId="661" xr:uid="{00000000-0005-0000-0000-00009C020000}"/>
    <cellStyle name="Percent20" xfId="662" xr:uid="{00000000-0005-0000-0000-00009D020000}"/>
    <cellStyle name="Percent200" xfId="663" xr:uid="{00000000-0005-0000-0000-00009E020000}"/>
    <cellStyle name="Percent201" xfId="664" xr:uid="{00000000-0005-0000-0000-00009F020000}"/>
    <cellStyle name="Percent202" xfId="665" xr:uid="{00000000-0005-0000-0000-0000A0020000}"/>
    <cellStyle name="Percent203" xfId="666" xr:uid="{00000000-0005-0000-0000-0000A1020000}"/>
    <cellStyle name="Percent204" xfId="667" xr:uid="{00000000-0005-0000-0000-0000A2020000}"/>
    <cellStyle name="Percent205" xfId="668" xr:uid="{00000000-0005-0000-0000-0000A3020000}"/>
    <cellStyle name="Percent206" xfId="669" xr:uid="{00000000-0005-0000-0000-0000A4020000}"/>
    <cellStyle name="Percent207" xfId="670" xr:uid="{00000000-0005-0000-0000-0000A5020000}"/>
    <cellStyle name="Percent208" xfId="671" xr:uid="{00000000-0005-0000-0000-0000A6020000}"/>
    <cellStyle name="Percent209" xfId="672" xr:uid="{00000000-0005-0000-0000-0000A7020000}"/>
    <cellStyle name="Percent21" xfId="673" xr:uid="{00000000-0005-0000-0000-0000A8020000}"/>
    <cellStyle name="Percent210" xfId="674" xr:uid="{00000000-0005-0000-0000-0000A9020000}"/>
    <cellStyle name="Percent211" xfId="675" xr:uid="{00000000-0005-0000-0000-0000AA020000}"/>
    <cellStyle name="Percent212" xfId="676" xr:uid="{00000000-0005-0000-0000-0000AB020000}"/>
    <cellStyle name="Percent213" xfId="677" xr:uid="{00000000-0005-0000-0000-0000AC020000}"/>
    <cellStyle name="Percent214" xfId="678" xr:uid="{00000000-0005-0000-0000-0000AD020000}"/>
    <cellStyle name="Percent215" xfId="679" xr:uid="{00000000-0005-0000-0000-0000AE020000}"/>
    <cellStyle name="Percent216" xfId="680" xr:uid="{00000000-0005-0000-0000-0000AF020000}"/>
    <cellStyle name="Percent217" xfId="681" xr:uid="{00000000-0005-0000-0000-0000B0020000}"/>
    <cellStyle name="Percent218" xfId="682" xr:uid="{00000000-0005-0000-0000-0000B1020000}"/>
    <cellStyle name="Percent219" xfId="683" xr:uid="{00000000-0005-0000-0000-0000B2020000}"/>
    <cellStyle name="Percent22" xfId="684" xr:uid="{00000000-0005-0000-0000-0000B3020000}"/>
    <cellStyle name="Percent220" xfId="685" xr:uid="{00000000-0005-0000-0000-0000B4020000}"/>
    <cellStyle name="Percent221" xfId="686" xr:uid="{00000000-0005-0000-0000-0000B5020000}"/>
    <cellStyle name="Percent222" xfId="687" xr:uid="{00000000-0005-0000-0000-0000B6020000}"/>
    <cellStyle name="Percent223" xfId="688" xr:uid="{00000000-0005-0000-0000-0000B7020000}"/>
    <cellStyle name="Percent224" xfId="689" xr:uid="{00000000-0005-0000-0000-0000B8020000}"/>
    <cellStyle name="Percent225" xfId="690" xr:uid="{00000000-0005-0000-0000-0000B9020000}"/>
    <cellStyle name="Percent226" xfId="691" xr:uid="{00000000-0005-0000-0000-0000BA020000}"/>
    <cellStyle name="Percent227" xfId="692" xr:uid="{00000000-0005-0000-0000-0000BB020000}"/>
    <cellStyle name="Percent228" xfId="693" xr:uid="{00000000-0005-0000-0000-0000BC020000}"/>
    <cellStyle name="Percent229" xfId="694" xr:uid="{00000000-0005-0000-0000-0000BD020000}"/>
    <cellStyle name="Percent23" xfId="695" xr:uid="{00000000-0005-0000-0000-0000BE020000}"/>
    <cellStyle name="Percent230" xfId="696" xr:uid="{00000000-0005-0000-0000-0000BF020000}"/>
    <cellStyle name="Percent231" xfId="697" xr:uid="{00000000-0005-0000-0000-0000C0020000}"/>
    <cellStyle name="Percent232" xfId="698" xr:uid="{00000000-0005-0000-0000-0000C1020000}"/>
    <cellStyle name="Percent233" xfId="699" xr:uid="{00000000-0005-0000-0000-0000C2020000}"/>
    <cellStyle name="Percent234" xfId="700" xr:uid="{00000000-0005-0000-0000-0000C3020000}"/>
    <cellStyle name="Percent235" xfId="701" xr:uid="{00000000-0005-0000-0000-0000C4020000}"/>
    <cellStyle name="Percent236" xfId="702" xr:uid="{00000000-0005-0000-0000-0000C5020000}"/>
    <cellStyle name="Percent24" xfId="703" xr:uid="{00000000-0005-0000-0000-0000C6020000}"/>
    <cellStyle name="Percent25" xfId="704" xr:uid="{00000000-0005-0000-0000-0000C7020000}"/>
    <cellStyle name="Percent26" xfId="705" xr:uid="{00000000-0005-0000-0000-0000C8020000}"/>
    <cellStyle name="Percent27" xfId="706" xr:uid="{00000000-0005-0000-0000-0000C9020000}"/>
    <cellStyle name="Percent28" xfId="707" xr:uid="{00000000-0005-0000-0000-0000CA020000}"/>
    <cellStyle name="Percent29" xfId="708" xr:uid="{00000000-0005-0000-0000-0000CB020000}"/>
    <cellStyle name="Percent3" xfId="709" xr:uid="{00000000-0005-0000-0000-0000CC020000}"/>
    <cellStyle name="Percent30" xfId="710" xr:uid="{00000000-0005-0000-0000-0000CD020000}"/>
    <cellStyle name="Percent31" xfId="711" xr:uid="{00000000-0005-0000-0000-0000CE020000}"/>
    <cellStyle name="Percent32" xfId="712" xr:uid="{00000000-0005-0000-0000-0000CF020000}"/>
    <cellStyle name="Percent33" xfId="713" xr:uid="{00000000-0005-0000-0000-0000D0020000}"/>
    <cellStyle name="Percent34" xfId="714" xr:uid="{00000000-0005-0000-0000-0000D1020000}"/>
    <cellStyle name="Percent35" xfId="715" xr:uid="{00000000-0005-0000-0000-0000D2020000}"/>
    <cellStyle name="Percent36" xfId="716" xr:uid="{00000000-0005-0000-0000-0000D3020000}"/>
    <cellStyle name="Percent37" xfId="717" xr:uid="{00000000-0005-0000-0000-0000D4020000}"/>
    <cellStyle name="Percent38" xfId="718" xr:uid="{00000000-0005-0000-0000-0000D5020000}"/>
    <cellStyle name="Percent39" xfId="719" xr:uid="{00000000-0005-0000-0000-0000D6020000}"/>
    <cellStyle name="Percent4" xfId="720" xr:uid="{00000000-0005-0000-0000-0000D7020000}"/>
    <cellStyle name="Percent40" xfId="721" xr:uid="{00000000-0005-0000-0000-0000D8020000}"/>
    <cellStyle name="Percent41" xfId="722" xr:uid="{00000000-0005-0000-0000-0000D9020000}"/>
    <cellStyle name="Percent42" xfId="723" xr:uid="{00000000-0005-0000-0000-0000DA020000}"/>
    <cellStyle name="Percent43" xfId="724" xr:uid="{00000000-0005-0000-0000-0000DB020000}"/>
    <cellStyle name="Percent44" xfId="725" xr:uid="{00000000-0005-0000-0000-0000DC020000}"/>
    <cellStyle name="Percent45" xfId="726" xr:uid="{00000000-0005-0000-0000-0000DD020000}"/>
    <cellStyle name="Percent46" xfId="727" xr:uid="{00000000-0005-0000-0000-0000DE020000}"/>
    <cellStyle name="Percent47" xfId="728" xr:uid="{00000000-0005-0000-0000-0000DF020000}"/>
    <cellStyle name="Percent48" xfId="729" xr:uid="{00000000-0005-0000-0000-0000E0020000}"/>
    <cellStyle name="Percent49" xfId="730" xr:uid="{00000000-0005-0000-0000-0000E1020000}"/>
    <cellStyle name="Percent5" xfId="731" xr:uid="{00000000-0005-0000-0000-0000E2020000}"/>
    <cellStyle name="Percent50" xfId="732" xr:uid="{00000000-0005-0000-0000-0000E3020000}"/>
    <cellStyle name="Percent51" xfId="733" xr:uid="{00000000-0005-0000-0000-0000E4020000}"/>
    <cellStyle name="Percent52" xfId="734" xr:uid="{00000000-0005-0000-0000-0000E5020000}"/>
    <cellStyle name="Percent53" xfId="735" xr:uid="{00000000-0005-0000-0000-0000E6020000}"/>
    <cellStyle name="Percent54" xfId="736" xr:uid="{00000000-0005-0000-0000-0000E7020000}"/>
    <cellStyle name="Percent55" xfId="737" xr:uid="{00000000-0005-0000-0000-0000E8020000}"/>
    <cellStyle name="Percent56" xfId="738" xr:uid="{00000000-0005-0000-0000-0000E9020000}"/>
    <cellStyle name="Percent57" xfId="739" xr:uid="{00000000-0005-0000-0000-0000EA020000}"/>
    <cellStyle name="Percent58" xfId="740" xr:uid="{00000000-0005-0000-0000-0000EB020000}"/>
    <cellStyle name="Percent59" xfId="741" xr:uid="{00000000-0005-0000-0000-0000EC020000}"/>
    <cellStyle name="Percent6" xfId="742" xr:uid="{00000000-0005-0000-0000-0000ED020000}"/>
    <cellStyle name="Percent60" xfId="743" xr:uid="{00000000-0005-0000-0000-0000EE020000}"/>
    <cellStyle name="Percent61" xfId="744" xr:uid="{00000000-0005-0000-0000-0000EF020000}"/>
    <cellStyle name="Percent62" xfId="745" xr:uid="{00000000-0005-0000-0000-0000F0020000}"/>
    <cellStyle name="Percent63" xfId="746" xr:uid="{00000000-0005-0000-0000-0000F1020000}"/>
    <cellStyle name="Percent64" xfId="747" xr:uid="{00000000-0005-0000-0000-0000F2020000}"/>
    <cellStyle name="Percent65" xfId="748" xr:uid="{00000000-0005-0000-0000-0000F3020000}"/>
    <cellStyle name="Percent66" xfId="749" xr:uid="{00000000-0005-0000-0000-0000F4020000}"/>
    <cellStyle name="Percent67" xfId="750" xr:uid="{00000000-0005-0000-0000-0000F5020000}"/>
    <cellStyle name="Percent68" xfId="751" xr:uid="{00000000-0005-0000-0000-0000F6020000}"/>
    <cellStyle name="Percent69" xfId="752" xr:uid="{00000000-0005-0000-0000-0000F7020000}"/>
    <cellStyle name="Percent7" xfId="753" xr:uid="{00000000-0005-0000-0000-0000F8020000}"/>
    <cellStyle name="Percent70" xfId="754" xr:uid="{00000000-0005-0000-0000-0000F9020000}"/>
    <cellStyle name="Percent71" xfId="755" xr:uid="{00000000-0005-0000-0000-0000FA020000}"/>
    <cellStyle name="Percent72" xfId="756" xr:uid="{00000000-0005-0000-0000-0000FB020000}"/>
    <cellStyle name="Percent73" xfId="757" xr:uid="{00000000-0005-0000-0000-0000FC020000}"/>
    <cellStyle name="Percent74" xfId="758" xr:uid="{00000000-0005-0000-0000-0000FD020000}"/>
    <cellStyle name="Percent75" xfId="759" xr:uid="{00000000-0005-0000-0000-0000FE020000}"/>
    <cellStyle name="Percent76" xfId="760" xr:uid="{00000000-0005-0000-0000-0000FF020000}"/>
    <cellStyle name="Percent77" xfId="761" xr:uid="{00000000-0005-0000-0000-000000030000}"/>
    <cellStyle name="Percent78" xfId="762" xr:uid="{00000000-0005-0000-0000-000001030000}"/>
    <cellStyle name="Percent79" xfId="763" xr:uid="{00000000-0005-0000-0000-000002030000}"/>
    <cellStyle name="Percent8" xfId="764" xr:uid="{00000000-0005-0000-0000-000003030000}"/>
    <cellStyle name="Percent80" xfId="765" xr:uid="{00000000-0005-0000-0000-000004030000}"/>
    <cellStyle name="Percent81" xfId="766" xr:uid="{00000000-0005-0000-0000-000005030000}"/>
    <cellStyle name="Percent82" xfId="767" xr:uid="{00000000-0005-0000-0000-000006030000}"/>
    <cellStyle name="Percent83" xfId="768" xr:uid="{00000000-0005-0000-0000-000007030000}"/>
    <cellStyle name="Percent84" xfId="769" xr:uid="{00000000-0005-0000-0000-000008030000}"/>
    <cellStyle name="Percent85" xfId="770" xr:uid="{00000000-0005-0000-0000-000009030000}"/>
    <cellStyle name="Percent86" xfId="771" xr:uid="{00000000-0005-0000-0000-00000A030000}"/>
    <cellStyle name="Percent87" xfId="772" xr:uid="{00000000-0005-0000-0000-00000B030000}"/>
    <cellStyle name="Percent88" xfId="773" xr:uid="{00000000-0005-0000-0000-00000C030000}"/>
    <cellStyle name="Percent89" xfId="774" xr:uid="{00000000-0005-0000-0000-00000D030000}"/>
    <cellStyle name="Percent9" xfId="775" xr:uid="{00000000-0005-0000-0000-00000E030000}"/>
    <cellStyle name="Percent90" xfId="776" xr:uid="{00000000-0005-0000-0000-00000F030000}"/>
    <cellStyle name="Percent91" xfId="777" xr:uid="{00000000-0005-0000-0000-000010030000}"/>
    <cellStyle name="Percent92" xfId="778" xr:uid="{00000000-0005-0000-0000-000011030000}"/>
    <cellStyle name="Percent93" xfId="779" xr:uid="{00000000-0005-0000-0000-000012030000}"/>
    <cellStyle name="Percent94" xfId="780" xr:uid="{00000000-0005-0000-0000-000013030000}"/>
    <cellStyle name="Percent95" xfId="781" xr:uid="{00000000-0005-0000-0000-000014030000}"/>
    <cellStyle name="Percent96" xfId="782" xr:uid="{00000000-0005-0000-0000-000015030000}"/>
    <cellStyle name="Percent97" xfId="783" xr:uid="{00000000-0005-0000-0000-000016030000}"/>
    <cellStyle name="Percent98" xfId="784" xr:uid="{00000000-0005-0000-0000-000017030000}"/>
    <cellStyle name="Percent99" xfId="785" xr:uid="{00000000-0005-0000-0000-000018030000}"/>
    <cellStyle name="Percentage" xfId="786" xr:uid="{00000000-0005-0000-0000-000019030000}"/>
    <cellStyle name="PercentStyle" xfId="787" xr:uid="{00000000-0005-0000-0000-00001A030000}"/>
    <cellStyle name="PercentStyle 2" xfId="1009" xr:uid="{D74E6E17-3713-46DA-8157-96929DD569B1}"/>
    <cellStyle name="PrePop Currency (0)" xfId="788" xr:uid="{00000000-0005-0000-0000-00001B030000}"/>
    <cellStyle name="PrePop Currency (2)" xfId="789" xr:uid="{00000000-0005-0000-0000-00001C030000}"/>
    <cellStyle name="PrePop Units (0)" xfId="790" xr:uid="{00000000-0005-0000-0000-00001D030000}"/>
    <cellStyle name="PrePop Units (1)" xfId="791" xr:uid="{00000000-0005-0000-0000-00001E030000}"/>
    <cellStyle name="PrePop Units (2)" xfId="792" xr:uid="{00000000-0005-0000-0000-00001F030000}"/>
    <cellStyle name="Price" xfId="793" xr:uid="{00000000-0005-0000-0000-000020030000}"/>
    <cellStyle name="Price 2" xfId="1010" xr:uid="{812FE1F9-AC3E-4CD9-84BA-756C40F7F818}"/>
    <cellStyle name="Product Header" xfId="794" xr:uid="{00000000-0005-0000-0000-000021030000}"/>
    <cellStyle name="PSChar" xfId="795" xr:uid="{00000000-0005-0000-0000-000022030000}"/>
    <cellStyle name="PSDate" xfId="796" xr:uid="{00000000-0005-0000-0000-000023030000}"/>
    <cellStyle name="PSDec" xfId="797" xr:uid="{00000000-0005-0000-0000-000024030000}"/>
    <cellStyle name="PSHeading" xfId="798" xr:uid="{00000000-0005-0000-0000-000025030000}"/>
    <cellStyle name="PSInt" xfId="799" xr:uid="{00000000-0005-0000-0000-000026030000}"/>
    <cellStyle name="PSSpacer" xfId="800" xr:uid="{00000000-0005-0000-0000-000027030000}"/>
    <cellStyle name="r" xfId="801" xr:uid="{00000000-0005-0000-0000-000028030000}"/>
    <cellStyle name="r_F&amp;W Servicing Model" xfId="802" xr:uid="{00000000-0005-0000-0000-000029030000}"/>
    <cellStyle name="r_F&amp;W Servicing Model v2" xfId="803" xr:uid="{00000000-0005-0000-0000-00002A030000}"/>
    <cellStyle name="r_Yell Servicing Model" xfId="804" xr:uid="{00000000-0005-0000-0000-00002B030000}"/>
    <cellStyle name="rate" xfId="805" xr:uid="{00000000-0005-0000-0000-00002C030000}"/>
    <cellStyle name="Ratio" xfId="806" xr:uid="{00000000-0005-0000-0000-00002D030000}"/>
    <cellStyle name="Ratio 2" xfId="1011" xr:uid="{CFBEA3E1-A2EF-45E7-A943-2B3A21ACCBC4}"/>
    <cellStyle name="Ratio Comma" xfId="807" xr:uid="{00000000-0005-0000-0000-00002E030000}"/>
    <cellStyle name="Ratio Comma 2" xfId="1012" xr:uid="{4249D9AC-1181-41C7-8D8D-4E11697C7D2F}"/>
    <cellStyle name="Ratio_Private" xfId="808" xr:uid="{00000000-0005-0000-0000-00002F030000}"/>
    <cellStyle name="regstoresfromspecstores" xfId="809" xr:uid="{00000000-0005-0000-0000-000030030000}"/>
    <cellStyle name="RevList" xfId="810" xr:uid="{00000000-0005-0000-0000-000031030000}"/>
    <cellStyle name="Right" xfId="811" xr:uid="{00000000-0005-0000-0000-000032030000}"/>
    <cellStyle name="RightBold" xfId="812" xr:uid="{00000000-0005-0000-0000-000033030000}"/>
    <cellStyle name="RightBoldBottomRule" xfId="813" xr:uid="{00000000-0005-0000-0000-000034030000}"/>
    <cellStyle name="RightBoldCenterRule" xfId="814" xr:uid="{00000000-0005-0000-0000-000035030000}"/>
    <cellStyle name="Section" xfId="815" xr:uid="{00000000-0005-0000-0000-000036030000}"/>
    <cellStyle name="SectionHeaderNormal" xfId="816" xr:uid="{00000000-0005-0000-0000-000037030000}"/>
    <cellStyle name="SHADEDSTORES" xfId="817" xr:uid="{00000000-0005-0000-0000-000038030000}"/>
    <cellStyle name="Short $" xfId="818" xr:uid="{00000000-0005-0000-0000-000039030000}"/>
    <cellStyle name="ShOut" xfId="819" xr:uid="{00000000-0005-0000-0000-00003A030000}"/>
    <cellStyle name="ShOut 2" xfId="1013" xr:uid="{3F100E7C-BE08-435F-ABB3-567650E63AEF}"/>
    <cellStyle name="Simple" xfId="820" xr:uid="{00000000-0005-0000-0000-00003B030000}"/>
    <cellStyle name="SimpleBold" xfId="821" xr:uid="{00000000-0005-0000-0000-00003C030000}"/>
    <cellStyle name="Single Accounting" xfId="822" xr:uid="{00000000-0005-0000-0000-00003D030000}"/>
    <cellStyle name="specstores" xfId="823" xr:uid="{00000000-0005-0000-0000-00003E030000}"/>
    <cellStyle name="Stock Comma" xfId="824" xr:uid="{00000000-0005-0000-0000-00003F030000}"/>
    <cellStyle name="Stock Comma 2" xfId="1014" xr:uid="{4E8FF90B-9ECD-4C00-9044-D9B282CB3A28}"/>
    <cellStyle name="Stock Price" xfId="825" xr:uid="{00000000-0005-0000-0000-000040030000}"/>
    <cellStyle name="Stock Price 2" xfId="1015" xr:uid="{5CD72EF5-C30C-4F52-A89A-A95D580499B7}"/>
    <cellStyle name="Style 1" xfId="826" xr:uid="{00000000-0005-0000-0000-000041030000}"/>
    <cellStyle name="Style 21" xfId="827" xr:uid="{00000000-0005-0000-0000-000042030000}"/>
    <cellStyle name="Style 22" xfId="828" xr:uid="{00000000-0005-0000-0000-000043030000}"/>
    <cellStyle name="Style 23" xfId="829" xr:uid="{00000000-0005-0000-0000-000044030000}"/>
    <cellStyle name="Style 24" xfId="830" xr:uid="{00000000-0005-0000-0000-000045030000}"/>
    <cellStyle name="Style 25" xfId="831" xr:uid="{00000000-0005-0000-0000-000046030000}"/>
    <cellStyle name="Style 26" xfId="832" xr:uid="{00000000-0005-0000-0000-000047030000}"/>
    <cellStyle name="Style 27" xfId="833" xr:uid="{00000000-0005-0000-0000-000048030000}"/>
    <cellStyle name="Style 28" xfId="834" xr:uid="{00000000-0005-0000-0000-000049030000}"/>
    <cellStyle name="Style 29" xfId="835" xr:uid="{00000000-0005-0000-0000-00004A030000}"/>
    <cellStyle name="Style 30" xfId="836" xr:uid="{00000000-0005-0000-0000-00004B030000}"/>
    <cellStyle name="Style 31" xfId="837" xr:uid="{00000000-0005-0000-0000-00004C030000}"/>
    <cellStyle name="Style 32" xfId="838" xr:uid="{00000000-0005-0000-0000-00004D030000}"/>
    <cellStyle name="Style 33" xfId="839" xr:uid="{00000000-0005-0000-0000-00004E030000}"/>
    <cellStyle name="Style 34" xfId="840" xr:uid="{00000000-0005-0000-0000-00004F030000}"/>
    <cellStyle name="Style 35" xfId="841" xr:uid="{00000000-0005-0000-0000-000050030000}"/>
    <cellStyle name="Style 36" xfId="842" xr:uid="{00000000-0005-0000-0000-000051030000}"/>
    <cellStyle name="Style 37" xfId="843" xr:uid="{00000000-0005-0000-0000-000052030000}"/>
    <cellStyle name="Style 38" xfId="844" xr:uid="{00000000-0005-0000-0000-000053030000}"/>
    <cellStyle name="Style 39" xfId="845" xr:uid="{00000000-0005-0000-0000-000054030000}"/>
    <cellStyle name="Style 40" xfId="846" xr:uid="{00000000-0005-0000-0000-000055030000}"/>
    <cellStyle name="Style 41" xfId="847" xr:uid="{00000000-0005-0000-0000-000056030000}"/>
    <cellStyle name="Style 42" xfId="848" xr:uid="{00000000-0005-0000-0000-000057030000}"/>
    <cellStyle name="Style 43" xfId="849" xr:uid="{00000000-0005-0000-0000-000058030000}"/>
    <cellStyle name="Style 44" xfId="850" xr:uid="{00000000-0005-0000-0000-000059030000}"/>
    <cellStyle name="Style 45" xfId="851" xr:uid="{00000000-0005-0000-0000-00005A030000}"/>
    <cellStyle name="Style 46" xfId="852" xr:uid="{00000000-0005-0000-0000-00005B030000}"/>
    <cellStyle name="Style 47" xfId="853" xr:uid="{00000000-0005-0000-0000-00005C030000}"/>
    <cellStyle name="Style 48" xfId="854" xr:uid="{00000000-0005-0000-0000-00005D030000}"/>
    <cellStyle name="STYLE1" xfId="855" xr:uid="{00000000-0005-0000-0000-00005E030000}"/>
    <cellStyle name="SubScript" xfId="856" xr:uid="{00000000-0005-0000-0000-00005F030000}"/>
    <cellStyle name="Subtotal" xfId="857" xr:uid="{00000000-0005-0000-0000-000060030000}"/>
    <cellStyle name="Sum" xfId="858" xr:uid="{00000000-0005-0000-0000-000061030000}"/>
    <cellStyle name="SuperScript" xfId="859" xr:uid="{00000000-0005-0000-0000-000062030000}"/>
    <cellStyle name="Table_Title" xfId="860" xr:uid="{00000000-0005-0000-0000-000063030000}"/>
    <cellStyle name="Test" xfId="861" xr:uid="{00000000-0005-0000-0000-000064030000}"/>
    <cellStyle name="Text Indent A" xfId="862" xr:uid="{00000000-0005-0000-0000-000065030000}"/>
    <cellStyle name="Text Indent B" xfId="863" xr:uid="{00000000-0005-0000-0000-000066030000}"/>
    <cellStyle name="Text Indent C" xfId="864" xr:uid="{00000000-0005-0000-0000-000067030000}"/>
    <cellStyle name="Text Indent C 2" xfId="1016" xr:uid="{147F5440-669E-4057-B18A-2246B78C5E96}"/>
    <cellStyle name="TextBold" xfId="865" xr:uid="{00000000-0005-0000-0000-000068030000}"/>
    <cellStyle name="TextItalic" xfId="866" xr:uid="{00000000-0005-0000-0000-000069030000}"/>
    <cellStyle name="TextNormal" xfId="867" xr:uid="{00000000-0005-0000-0000-00006A030000}"/>
    <cellStyle name="Time" xfId="868" xr:uid="{00000000-0005-0000-0000-00006B030000}"/>
    <cellStyle name="Times 10" xfId="869" xr:uid="{00000000-0005-0000-0000-00006C030000}"/>
    <cellStyle name="Times 12" xfId="870" xr:uid="{00000000-0005-0000-0000-00006D030000}"/>
    <cellStyle name="Title - PROJECT" xfId="871" xr:uid="{00000000-0005-0000-0000-00006E030000}"/>
    <cellStyle name="Title - PROJECT 2" xfId="1017" xr:uid="{D2FA2B1B-D51E-48B4-9D91-CC367F7541C3}"/>
    <cellStyle name="Title - Underline" xfId="872" xr:uid="{00000000-0005-0000-0000-00006F030000}"/>
    <cellStyle name="Title - Underline 2" xfId="1018" xr:uid="{1E8921FF-8F70-40B3-95CB-0043AE9118BE}"/>
    <cellStyle name="Title1" xfId="873" xr:uid="{00000000-0005-0000-0000-000070030000}"/>
    <cellStyle name="Title2" xfId="874" xr:uid="{00000000-0005-0000-0000-000071030000}"/>
    <cellStyle name="TitleNormal" xfId="875" xr:uid="{00000000-0005-0000-0000-000072030000}"/>
    <cellStyle name="Titles - Col. Headings" xfId="876" xr:uid="{00000000-0005-0000-0000-000073030000}"/>
    <cellStyle name="Titles - Other" xfId="877" xr:uid="{00000000-0005-0000-0000-000074030000}"/>
    <cellStyle name="Titles - Other 2" xfId="1019" xr:uid="{ECCFF43A-C5E2-4DA8-B7C3-0524889BFA49}"/>
    <cellStyle name="Top Edge" xfId="878" xr:uid="{00000000-0005-0000-0000-000075030000}"/>
    <cellStyle name="Total" xfId="879" builtinId="25" customBuiltin="1"/>
    <cellStyle name="ubordinated Debt" xfId="880" xr:uid="{00000000-0005-0000-0000-000077030000}"/>
    <cellStyle name="wheat merger's and acquisitions" xfId="881" xr:uid="{00000000-0005-0000-0000-000078030000}"/>
    <cellStyle name="x" xfId="882" xr:uid="{00000000-0005-0000-0000-000079030000}"/>
    <cellStyle name="x_TSA Model - 1 8 06 - v2" xfId="883" xr:uid="{00000000-0005-0000-0000-00007A030000}"/>
    <cellStyle name="Y2K Compliant Date Fmt" xfId="884" xr:uid="{00000000-0005-0000-0000-00007B030000}"/>
    <cellStyle name="Years" xfId="885" xr:uid="{00000000-0005-0000-0000-00007C030000}"/>
    <cellStyle name="yellow" xfId="886" xr:uid="{00000000-0005-0000-0000-00007D030000}"/>
    <cellStyle name="Yen" xfId="887" xr:uid="{00000000-0005-0000-0000-00007E030000}"/>
    <cellStyle name="YYYY" xfId="888" xr:uid="{00000000-0005-0000-0000-00007F030000}"/>
    <cellStyle name="桁区切り [0.00]_Appendix" xfId="889" xr:uid="{00000000-0005-0000-0000-000080030000}"/>
    <cellStyle name="桁区切り_Appendix" xfId="890" xr:uid="{00000000-0005-0000-0000-000081030000}"/>
    <cellStyle name="標準_Appendix" xfId="891" xr:uid="{00000000-0005-0000-0000-000082030000}"/>
    <cellStyle name="通貨 [0.00]_Appendix" xfId="892" xr:uid="{00000000-0005-0000-0000-000083030000}"/>
    <cellStyle name="通貨_Appendix" xfId="893" xr:uid="{00000000-0005-0000-0000-00008403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AEAE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sheetMetadata" Target="metadata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customXml" Target="../customXml/item2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customXml" Target="../customXml/item3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Media\COMPS%20-%20B2B%20Publishe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My%20Documents\TPG\LBO\Bally\BFT%20Forecast%20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Documents%20and%20Settings\GBlank\Local%20Settings\Temporary%20Internet%20Files\OLK39\TSA%20Model%20-%201%208%2006%20-%20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TG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\APPROVAL%20MEMOS\Endurance%20Media\BLT%20Work\EBM%20Quarterly%20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%20Info%2022%20(Adam%20Silver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ChartDat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Bank%20Correspondence\JMI%20Model%20(Wx%20Model%20-%20BMO%20Adjusted%205-18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CMP%20II\INACTIVE%20DEALS\Facts%20on%20File\Transaction%20Models\FOF%20Model%20v3%20(Asset%20Purchas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Dolphin\Documents%20and%20Settings\nbk7h1e\Local%20Settings\Temporary%20Internet%20Files\OLK61\Bank%20Austria\Returns@@@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TruCom\BridgeCom%20Budget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fil01\data\Wicks\Wicks%20Model\JMI%20Model%20(Wx%20Model%20-%20BMO%20Adjusted%205-18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Crescent%20Publishing%20Company,%20LLC\R0%20-%20Aug%202,%202001\CrescentPublishing%20Model%208-01%20R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redit%20Derivatives%20Group\Emerging\CBO\MFS\Jersey%20Street%20CLO\Warehouse\Warehouse%20Report\versions\August\Jersey%20Street%20CLO%208.7.06%20Committe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wicksgroup.com/PORTFOLIO%20COMPANIES/Bressler%20Outdoor/Financial%20Models/SubDebt%20Model%20-%20IRR%20-$30MM%20Equit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unzipped\7xbb01_\7b7k01_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TEMP\Consolidated%2012-4-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-neptune\accounting\Invoices\Invoice%2099\z.December%201999\DEC99Invoice%20Summar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osetta%20Stone%20Model%20(9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Company%20Materials\Company%20Materials\Bank%20Model_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%20Research\_RAs\Takacs_G\PORTFOLIO%20-%20Takac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Spring%202002\Modeling\Problem%204%20workshee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Bank%20Model_2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NT14\USERS$\mm93223\My%20Documents\Templates\Servicing%20Template%20-%20MA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EMcKee\Local%20Settings\Temporary%20Internet%20Files\OLK12\65%20UVN%207-Year%20Mode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windows\TEMP\financial%20forecast%207.27.9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eckett\Deals%20in%20process\UniFocus%20R6\Unifocus%20Model%204-02%20R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CRothbard\Local%20Settings\Temporary%20Internet%20Files\OLK146\JMI_WMI%20Financing%20Model%20(02-09-06)_vTD4%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jorr\Local%20Settings\Temporary%20Internet%20Files\OLK27\MC-DW-JOB%20Merger%20Model%20for%20Syndicate%20-%203.31.05%20rjf%205.03.0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Corporate%20Development\JMI_WMI%20Combination\2005.11\Oct%202005\MEDCON%20Projection%20Model%20September%202005%20(09-13-05)%20v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M&amp;A_Deal\New%20Models\dcf.sh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Page"/>
      <sheetName val="Deal Multiples"/>
      <sheetName val="Asset Coverage"/>
      <sheetName val="Status"/>
      <sheetName val="Output"/>
      <sheetName val="Graphs"/>
      <sheetName val="Inputs"/>
      <sheetName val="WARF"/>
      <sheetName val="Comps"/>
      <sheetName val="Magazines"/>
      <sheetName val="2"/>
      <sheetName val="4"/>
      <sheetName val="5"/>
      <sheetName val="6"/>
      <sheetName val="7"/>
      <sheetName val="8"/>
      <sheetName val="10"/>
      <sheetName val="11"/>
      <sheetName val="12"/>
      <sheetName val="14"/>
      <sheetName val="16"/>
      <sheetName val="1"/>
      <sheetName val="3"/>
      <sheetName val="9"/>
      <sheetName val="13"/>
      <sheetName val="15"/>
      <sheetName val="ARP"/>
      <sheetName val="CNG"/>
      <sheetName val="F&amp;W"/>
      <sheetName val="HNW"/>
      <sheetName val="IMO"/>
      <sheetName val="JMI"/>
      <sheetName val="MMH"/>
      <sheetName val="PRM"/>
      <sheetName val="RDA"/>
      <sheetName val="SRCE"/>
      <sheetName val="SPRG"/>
      <sheetName val="WNM"/>
      <sheetName val="RVDP"/>
      <sheetName val="SMTB"/>
      <sheetName val="TMN"/>
      <sheetName val="Portfolio"/>
      <sheetName val="LBO Summary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ttrition"/>
      <sheetName val="Sheet1"/>
      <sheetName val="IncStmt"/>
      <sheetName val="CashFlow"/>
      <sheetName val="BalSht"/>
      <sheetName val="Allowance"/>
      <sheetName val="CashEBITDA"/>
      <sheetName val="FxdChg"/>
      <sheetName val="Ratio"/>
      <sheetName val="Module1"/>
      <sheetName val="LBO Summary"/>
      <sheetName val="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turns Summary"/>
      <sheetName val="Case Logic"/>
      <sheetName val="Option Summary"/>
      <sheetName val="TRANSACTION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nning Assumptions"/>
      <sheetName val="Tanning P&amp;L"/>
      <sheetName val="Tanning Balance Sheets"/>
      <sheetName val="Tanning Cash Flows"/>
      <sheetName val="Meta P&amp;L"/>
      <sheetName val="Meta Balance Sheet"/>
      <sheetName val="Meta Cash Flow"/>
      <sheetName val="Combined Balance Sheet"/>
      <sheetName val="Combined P&amp;L"/>
      <sheetName val="Combined Cash Flow"/>
      <sheetName val="Shares"/>
      <sheetName val="EssRet"/>
      <sheetName val="Meta Segments"/>
      <sheetName val="Capex"/>
      <sheetName val="Sheet5"/>
      <sheetName val="D"/>
      <sheetName val="TRANS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Qual. Analysis"/>
      <sheetName val="Inputs"/>
      <sheetName val="Base"/>
      <sheetName val="EV_DCF Analysis"/>
      <sheetName val="VeCTOR Import"/>
      <sheetName val="Annu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s"/>
      <sheetName val="Calcs"/>
      <sheetName val="Account"/>
      <sheetName val="OCTrends"/>
      <sheetName val="ICTrends"/>
      <sheetName val="DivTrends"/>
      <sheetName val="WARFTrends"/>
      <sheetName val="WARFFitchTrends"/>
      <sheetName val="WASTrends"/>
      <sheetName val="WACTrends"/>
      <sheetName val="WALTrends"/>
      <sheetName val="Debt Structure"/>
      <sheetName val="Fund Schedule"/>
      <sheetName val="Principal"/>
      <sheetName val="Ineligible"/>
      <sheetName val="S&amp;P Industry"/>
      <sheetName val="Trade Activity Summary"/>
      <sheetName val="Sale Activity Bond"/>
      <sheetName val="Sale Activity"/>
      <sheetName val="Buy Activity Bond"/>
      <sheetName val="Buy Activity"/>
      <sheetName val="Default"/>
      <sheetName val="CCC"/>
      <sheetName val="CCCBond"/>
      <sheetName val="Presentation Info 22 (Adam Sil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M YTD 2000"/>
      <sheetName val="AUM_Chart"/>
      <sheetName val="Cap Structure"/>
      <sheetName val="TOP10"/>
      <sheetName val="DefaultHistory"/>
      <sheetName val="DefaultedSecuritySummary"/>
      <sheetName val="DefaultedSecuritySummary2"/>
      <sheetName val="DefaultedSecurityData"/>
      <sheetName val="Actual vs Covenant"/>
      <sheetName val="APEX"/>
      <sheetName val="APEX_MR"/>
      <sheetName val="APEX_SR"/>
      <sheetName val="APEX_MI"/>
      <sheetName val="APEX_SI"/>
      <sheetName val="ELC1"/>
      <sheetName val="ELC1_SR"/>
      <sheetName val="ELC1_MR"/>
      <sheetName val="ELC1_FR"/>
      <sheetName val="ELC1_SI"/>
      <sheetName val="ELC1_MI"/>
      <sheetName val="ELC2"/>
      <sheetName val="ELC2_SR"/>
      <sheetName val="ELC2_FR"/>
      <sheetName val="ELC2_SI"/>
      <sheetName val="ELC2_MI"/>
      <sheetName val="ELC3"/>
      <sheetName val="ELC3_MR"/>
      <sheetName val="ELC3_SR"/>
      <sheetName val="ELC3_FR"/>
      <sheetName val="ELC3_MI"/>
      <sheetName val="ELC3_SI"/>
      <sheetName val="ELC4"/>
      <sheetName val="ELC4_MR"/>
      <sheetName val="ELC4_SR"/>
      <sheetName val="ELC4_MI"/>
      <sheetName val="ELC4_SI"/>
      <sheetName val="ELC5"/>
      <sheetName val="ELC5_MR"/>
      <sheetName val="ELC5_SR"/>
      <sheetName val="ELC5_MI"/>
      <sheetName val="ELC5_SI"/>
      <sheetName val="TRYN"/>
      <sheetName val="TRYN_MR"/>
      <sheetName val="TRYN_SR"/>
      <sheetName val="TRYN_SI"/>
      <sheetName val="TRYN_MI"/>
      <sheetName val="SaleData"/>
      <sheetName val="SH_Results"/>
      <sheetName val="SH_APEX"/>
      <sheetName val="SH_ELC1"/>
      <sheetName val="SH_ELC2"/>
      <sheetName val="SH_ELC3"/>
      <sheetName val="SH_ELC4"/>
      <sheetName val="SH_ELC5"/>
      <sheetName val="SH_TR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DISPLAY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"/>
      <sheetName val="BS"/>
      <sheetName val="IS"/>
      <sheetName val="CFS"/>
      <sheetName val="REV"/>
      <sheetName val="RATIO"/>
      <sheetName val="RETURN"/>
      <sheetName val="CONTROL"/>
      <sheetName val="D&amp;A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s"/>
      <sheetName val="OC-IC"/>
      <sheetName val="Sources and Uses"/>
      <sheetName val="After Tax"/>
      <sheetName val="Tax Report"/>
      <sheetName val="Price Yield"/>
      <sheetName val="LIBOR"/>
      <sheetName val="Revolver"/>
      <sheetName val="PV Calc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RIVER"/>
      <sheetName val="Sheet1"/>
      <sheetName val="Bcom IS-Mnthly"/>
      <sheetName val="Conversion Balance Sheet"/>
      <sheetName val="Bcom BS-Mnthly"/>
      <sheetName val="Bcom FAS95-Mnthly"/>
      <sheetName val="Bcom Rollup-Income"/>
      <sheetName val="Bcom Rollup- Balance"/>
      <sheetName val="Bcom Conversion Charge Adj"/>
      <sheetName val="Bcom Debt"/>
      <sheetName val="Bcom Fixed Assets"/>
      <sheetName val="Bcom Lines"/>
      <sheetName val="Bcom New AE Efficiency"/>
      <sheetName val="Bcom Rev"/>
      <sheetName val="Bcom COGS"/>
      <sheetName val="Bcom-SG&amp;A,Taxes"/>
      <sheetName val="Bcom HEADCOUNT"/>
      <sheetName val="MasterDriverTrucom"/>
      <sheetName val="TruCom IS"/>
      <sheetName val="TruCom BS"/>
      <sheetName val="TruCom FAS95-Mnthly"/>
      <sheetName val="TruCom Rev"/>
      <sheetName val="TruCom COGS"/>
      <sheetName val="TruCom Lines"/>
      <sheetName val="TruCom-SG&amp;A,Taxes"/>
      <sheetName val="TruCom HEADCOUNT"/>
      <sheetName val="TruCom Amort."/>
      <sheetName val="TruCom Fixed Assets"/>
      <sheetName val="TruCom Debt"/>
      <sheetName val="TruCom Debt worksheet"/>
      <sheetName val="Cap Tables"/>
      <sheetName val="TruCom Cash Acct. Recon."/>
      <sheetName val="MAST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DISPLAY"/>
      <sheetName val="OPT-MIS"/>
      <sheetName val="REV"/>
      <sheetName val="EXP"/>
      <sheetName val="MODR"/>
      <sheetName val="D&amp;A"/>
      <sheetName val="DEBT"/>
      <sheetName val="COV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2000 Rev Chart"/>
      <sheetName val="MCM 2001 Rev Chart"/>
      <sheetName val="MCM 1999 P&amp;L"/>
      <sheetName val="MCM 2000 P&amp;L"/>
      <sheetName val="MCM 2001 Plan"/>
      <sheetName val="MCM 2000 and 2001 Plan"/>
      <sheetName val="GSN Hist IS"/>
      <sheetName val="GSN Hist BS"/>
      <sheetName val="CC 2000 Detail"/>
      <sheetName val="CC 2000 IS"/>
      <sheetName val="CC 2000 BS"/>
      <sheetName val="CC 2000 CF"/>
      <sheetName val="Crescent Mo IS 9-00 to 6-01"/>
      <sheetName val="Crescent Qtr IS Sep00-Jun01"/>
      <sheetName val="Target P&amp;L RollUp"/>
      <sheetName val="Target P&amp;L RollUp June"/>
      <sheetName val="Target P&amp;L Pct Sales"/>
      <sheetName val="MASTER DRIVERS"/>
      <sheetName val="Summary"/>
      <sheetName val="IS Sum"/>
      <sheetName val="BS Sum"/>
      <sheetName val="CF Sum"/>
      <sheetName val="Covenants and Capitalization"/>
      <sheetName val="Ret Earn Reconcile"/>
      <sheetName val="GSN IS Sum"/>
      <sheetName val="Maine IS Sum"/>
      <sheetName val="Conversion BS"/>
      <sheetName val="Key Ratios"/>
      <sheetName val="MCG vs Vaxa"/>
      <sheetName val="Exhibits1"/>
      <sheetName val="Exhibits2"/>
      <sheetName val="IS"/>
      <sheetName val="BS"/>
      <sheetName val="CF"/>
      <sheetName val="Debt"/>
      <sheetName val="Fixed Assets"/>
      <sheetName val="Intangibles"/>
      <sheetName val="DCF"/>
      <sheetName val="Initial TTM EBITDA by Cluster"/>
      <sheetName val="Geographic Concentra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X"/>
      <sheetName val="Portfolio Input"/>
      <sheetName val="Warehouse Summary"/>
      <sheetName val="Investor Summary"/>
      <sheetName val="Industry"/>
      <sheetName val="Rating"/>
      <sheetName val="Broad Loan Category"/>
      <sheetName val="Diversity Calc"/>
      <sheetName val="Vlooku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ipeline"/>
      <sheetName val="Monthly Financials"/>
      <sheetName val="Quarterly Financials"/>
      <sheetName val="Yearly Financials"/>
      <sheetName val="Distributions"/>
      <sheetName val="Returns"/>
      <sheetName val="Operations"/>
      <sheetName val="Payroll"/>
      <sheetName val="Depreciation"/>
      <sheetName val="Deb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Model"/>
      <sheetName val="Portfolio Input"/>
    </sheetNames>
    <sheetDataSet>
      <sheetData sheetId="0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TransSum"/>
      <sheetName val="Consolidated"/>
      <sheetName val="JDPC Proj."/>
      <sheetName val="EG Proj."/>
      <sheetName val="KBB Proj.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"/>
      <sheetName val="Final"/>
    </sheetNames>
    <sheetDataSet>
      <sheetData sheetId="0" refreshError="1"/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01_05_v_Wicks_xls__01_05_v_Wic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Adj 2006"/>
      <sheetName val="Credit"/>
      <sheetName val="For Banks"/>
      <sheetName val="_01_05_v_Wicks_xls__01_05_v_W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Yields"/>
      <sheetName val="Vector Output"/>
      <sheetName val="Portfolio"/>
      <sheetName val="Action Items"/>
      <sheetName val="Defense Comps"/>
      <sheetName val="Telecom"/>
      <sheetName val="WARF"/>
      <sheetName val="Template"/>
      <sheetName val="1"/>
      <sheetName val="2"/>
      <sheetName val="3"/>
      <sheetName val="4"/>
      <sheetName val="Credit Breakdown"/>
      <sheetName val="Auto EVs"/>
      <sheetName val="WARF Tracker"/>
      <sheetName val="Deal Multiples"/>
      <sheetName val="Status"/>
      <sheetName val="Output"/>
      <sheetName val="Graphs"/>
      <sheetName val="Inputs"/>
      <sheetName val="LBO Summary"/>
      <sheetName val="Tanning Assumptions"/>
      <sheetName val="IncStmt"/>
      <sheetName val="BS"/>
      <sheetName val="DCF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y-by-night - Base"/>
      <sheetName val="Fly-by-night - problem 5"/>
      <sheetName val="Fly-by-night - problem 6"/>
      <sheetName val="Fly-by-night - Base with ltd"/>
      <sheetName val="Portfolio"/>
      <sheetName val="MASTER DRIVER"/>
      <sheetName val="LBO Summary"/>
      <sheetName val="IncStm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Credit"/>
      <sheetName val="Summary"/>
      <sheetName val="Segments"/>
      <sheetName val="Adjustments"/>
      <sheetName val="Fly-by-night - problem 5"/>
      <sheetName val="Inpu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"/>
      <sheetName val="Qualitative Analysis"/>
      <sheetName val="Base"/>
      <sheetName val="EV_DCF Analysis"/>
      <sheetName val="VeCTOR Import"/>
      <sheetName val="Annual Summary"/>
      <sheetName val="LBO Summary"/>
      <sheetName val="Fly-by-night - problem 5"/>
      <sheetName val="Segment Inf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"/>
      <sheetName val="TRANSACTION"/>
      <sheetName val="Capital Structure"/>
      <sheetName val="DEBT DETAIL"/>
      <sheetName val="Sheet2"/>
      <sheetName val="Flat EBITDA"/>
      <sheetName val="Scenario Fan"/>
      <sheetName val="Sheet1"/>
      <sheetName val="Sheet1 (2)"/>
      <sheetName val="Case Comparison"/>
      <sheetName val="INCOME STATEMENT"/>
      <sheetName val="BALANCE SHEET"/>
      <sheetName val="CASH FLOW"/>
      <sheetName val="World Cup"/>
      <sheetName val="Taxes"/>
      <sheetName val="CAPEX &amp; INTANG"/>
      <sheetName val="Drivers"/>
      <sheetName val="WORKING CAPITAL"/>
      <sheetName val="Buildup"/>
      <sheetName val="S&amp;U"/>
      <sheetName val="TV Build"/>
      <sheetName val="TV Group"/>
      <sheetName val="UVN"/>
      <sheetName val="TLF"/>
      <sheetName val="Gala"/>
      <sheetName val="TV Station Group"/>
      <sheetName val="UTG"/>
      <sheetName val="TTG"/>
      <sheetName val="Radio Operating Build"/>
      <sheetName val="Radio Drivers"/>
      <sheetName val="Consolidated"/>
      <sheetName val="Market Build"/>
      <sheetName val="Other"/>
      <sheetName val="Overview"/>
      <sheetName val="Margin Bridge"/>
      <sheetName val="Projections Detail"/>
      <sheetName val="VeCTOR Import"/>
      <sheetName val="LBO Summary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"/>
      <sheetName val="S&amp;U"/>
      <sheetName val="Sheet1"/>
      <sheetName val="1998 assump"/>
      <sheetName val="1997 assump"/>
      <sheetName val="******"/>
      <sheetName val="1998 P &amp; L"/>
      <sheetName val="1999 P &amp; L"/>
      <sheetName val="summ people"/>
      <sheetName val="people"/>
      <sheetName val="Sheet2"/>
      <sheetName val="B"/>
      <sheetName val="Sheet5"/>
      <sheetName val="Employees"/>
      <sheetName val="Reconcile"/>
      <sheetName val="D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vCalcs Table"/>
      <sheetName val="IS Table"/>
      <sheetName val="BS Table"/>
      <sheetName val="SoCF Table"/>
      <sheetName val="RE &amp; DIVS Table"/>
      <sheetName val="Debt Table"/>
      <sheetName val="RE &amp; DIVS"/>
      <sheetName val="Debt"/>
      <sheetName val="BalSh Comb"/>
      <sheetName val="SoCF Comb"/>
      <sheetName val="IS Comb"/>
      <sheetName val="Covenant Summary"/>
      <sheetName val="UF P&amp;L-Mth"/>
      <sheetName val="Sheet1"/>
      <sheetName val="MASTER"/>
      <sheetName val="FC P&amp;L-Mth"/>
      <sheetName val="Headcount"/>
      <sheetName val="New FC Contracts"/>
      <sheetName val="UF Bal-Mth"/>
      <sheetName val="FC Bal-Mth"/>
      <sheetName val="Fixed Assets"/>
      <sheetName val="G&amp;A"/>
      <sheetName val="FC Contracts 2001"/>
      <sheetName val="End Model"/>
      <sheetName val="Combnd Hist BS"/>
      <sheetName val="UF Bal Sheet"/>
      <sheetName val="FC Bal Sheet"/>
      <sheetName val="UF P&amp;L Hist"/>
      <sheetName val="FC P&amp;L Hist"/>
      <sheetName val="UF2000"/>
      <sheetName val="UF2001"/>
      <sheetName val="FC2000"/>
      <sheetName val="FC2001"/>
      <sheetName val="vs. 2001 actuals"/>
      <sheetName val="Sheet3"/>
      <sheetName val="Equity Table"/>
      <sheetName val="Card Count Table"/>
      <sheetName val="BS Tables"/>
      <sheetName val="Concentr Table"/>
      <sheetName val="BS Analysis"/>
      <sheetName val="Table 5"/>
      <sheetName val="Table 4"/>
      <sheetName val="Table 3"/>
      <sheetName val="Table 2"/>
      <sheetName val="Table 1"/>
      <sheetName val="DCF"/>
      <sheetName val="top50hotels"/>
      <sheetName val="Sheet5"/>
      <sheetName val="D"/>
      <sheetName val="MASTER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OBS - MEDCON"/>
      <sheetName val="OBS - REFI"/>
      <sheetName val="AFS"/>
      <sheetName val="MBS"/>
      <sheetName val="MMIS (2)"/>
      <sheetName val="WHEC"/>
      <sheetName val="MIS"/>
      <sheetName val="MCF"/>
      <sheetName val="PACING06"/>
      <sheetName val="D&amp;A"/>
      <sheetName val="D&amp;A (2)"/>
      <sheetName val="DEBT"/>
      <sheetName val="CHARTS&gt;&gt;&gt;"/>
      <sheetName val="S&amp;U_CAP_MERGER"/>
      <sheetName val="S&amp;U_CAP_REFI"/>
      <sheetName val="MEDCON IS"/>
      <sheetName val="SUM IS"/>
      <sheetName val="PF IS"/>
      <sheetName val="PF BS"/>
      <sheetName val="COVS"/>
      <sheetName val="ECF"/>
      <sheetName val="Bridge"/>
      <sheetName val="HoldCo INT"/>
      <sheetName val="PACING05"/>
      <sheetName val="MASTER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CONTROL"/>
      <sheetName val="OBS - REFI"/>
      <sheetName val="WH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AFS"/>
      <sheetName val="MIS"/>
      <sheetName val="MBS"/>
      <sheetName val="MCF"/>
      <sheetName val="DEBT"/>
      <sheetName val="D&amp;A"/>
      <sheetName val="COVS_ACTUAL"/>
      <sheetName val="COVS"/>
      <sheetName val="PACING05"/>
      <sheetName val="PACING06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F"/>
      <sheetName val="DCFnew"/>
      <sheetName val="COVS_ACTUAL"/>
      <sheetName val="D&amp;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57"/>
  <sheetViews>
    <sheetView showGridLines="0" zoomScaleNormal="100" workbookViewId="0">
      <selection activeCell="I3" sqref="I3"/>
    </sheetView>
  </sheetViews>
  <sheetFormatPr defaultColWidth="9.140625" defaultRowHeight="15"/>
  <cols>
    <col min="1" max="1" width="9.140625" style="1"/>
    <col min="2" max="2" width="50.7109375" style="1" customWidth="1"/>
    <col min="3" max="8" width="13.7109375" style="1" customWidth="1"/>
    <col min="9" max="9" width="50.7109375" style="1" customWidth="1"/>
    <col min="10" max="10" width="14.28515625" style="1" bestFit="1" customWidth="1"/>
    <col min="11" max="11" width="24.28515625" style="1" customWidth="1"/>
    <col min="12" max="12" width="9.85546875" style="1" bestFit="1" customWidth="1"/>
    <col min="13" max="16384" width="9.140625" style="1"/>
  </cols>
  <sheetData>
    <row r="2" spans="1:6">
      <c r="A2" s="293" t="s">
        <v>0</v>
      </c>
      <c r="B2" s="294"/>
      <c r="C2" s="294"/>
      <c r="D2" s="294"/>
      <c r="E2" s="294"/>
      <c r="F2" s="294"/>
    </row>
    <row r="3" spans="1:6">
      <c r="A3" s="15"/>
    </row>
    <row r="4" spans="1:6" ht="15.75" thickBot="1">
      <c r="B4" s="296" t="s">
        <v>1</v>
      </c>
    </row>
    <row r="5" spans="1:6" ht="15.75" thickBot="1">
      <c r="B5" s="190" t="s">
        <v>2</v>
      </c>
      <c r="C5" s="295" t="s">
        <v>3</v>
      </c>
    </row>
    <row r="6" spans="1:6">
      <c r="B6" s="81">
        <v>2026</v>
      </c>
      <c r="C6" s="120">
        <v>4061.3983499999999</v>
      </c>
    </row>
    <row r="7" spans="1:6">
      <c r="B7" s="81">
        <v>2027</v>
      </c>
      <c r="C7" s="120">
        <v>13694.292649999999</v>
      </c>
    </row>
    <row r="8" spans="1:6">
      <c r="B8" s="81">
        <v>2028</v>
      </c>
      <c r="C8" s="120">
        <v>12476.346600000001</v>
      </c>
    </row>
    <row r="9" spans="1:6">
      <c r="B9" s="81">
        <v>2029</v>
      </c>
      <c r="C9" s="120">
        <v>10764.290870000001</v>
      </c>
    </row>
    <row r="10" spans="1:6">
      <c r="B10" s="81">
        <v>2030</v>
      </c>
      <c r="C10" s="120">
        <v>4714.5643499999996</v>
      </c>
    </row>
    <row r="11" spans="1:6">
      <c r="B11" s="81" t="s">
        <v>4</v>
      </c>
      <c r="C11" s="120">
        <f>63085.00401-SUM(C6:C10)</f>
        <v>17374.111189999996</v>
      </c>
    </row>
    <row r="12" spans="1:6" ht="15.75" thickBot="1">
      <c r="B12" s="83" t="s">
        <v>5</v>
      </c>
      <c r="C12" s="121">
        <f>SUM(C6:C11)</f>
        <v>63085.004009999997</v>
      </c>
    </row>
    <row r="20" spans="1:12">
      <c r="A20" s="293" t="s">
        <v>6</v>
      </c>
      <c r="B20" s="294"/>
      <c r="C20" s="294"/>
      <c r="D20" s="294"/>
      <c r="E20" s="294"/>
      <c r="F20" s="294"/>
      <c r="I20" s="6" t="s">
        <v>7</v>
      </c>
      <c r="J20" s="95">
        <f>Model!$K$203</f>
        <v>6.6367129688008129E-4</v>
      </c>
    </row>
    <row r="21" spans="1:12">
      <c r="I21" s="6" t="s">
        <v>8</v>
      </c>
      <c r="J21" s="95">
        <f>Model!$K$204</f>
        <v>7.0219616485706418E-4</v>
      </c>
    </row>
    <row r="22" spans="1:12" ht="15.75" thickBot="1">
      <c r="I22" s="2"/>
      <c r="J22" s="95"/>
    </row>
    <row r="23" spans="1:12">
      <c r="B23" s="267" t="s">
        <v>9</v>
      </c>
      <c r="C23" s="268" t="s">
        <v>10</v>
      </c>
      <c r="D23" s="268" t="s">
        <v>11</v>
      </c>
      <c r="E23" s="268" t="s">
        <v>12</v>
      </c>
      <c r="F23" s="268" t="s">
        <v>11</v>
      </c>
      <c r="I23" s="185" t="s">
        <v>13</v>
      </c>
      <c r="J23" s="184" t="str">
        <f>C23</f>
        <v>KRW mn</v>
      </c>
    </row>
    <row r="24" spans="1:12">
      <c r="B24" s="13"/>
      <c r="C24" s="162"/>
      <c r="D24" s="14"/>
      <c r="E24" s="76"/>
      <c r="I24" s="171" t="s">
        <v>14</v>
      </c>
      <c r="J24" s="192">
        <v>19317665</v>
      </c>
      <c r="K24" s="13"/>
      <c r="L24" s="74"/>
    </row>
    <row r="25" spans="1:12">
      <c r="B25" s="265" t="s">
        <v>15</v>
      </c>
      <c r="C25" s="77">
        <f>SUM(C26:C29)</f>
        <v>5890940</v>
      </c>
      <c r="D25" s="14"/>
      <c r="E25" s="77">
        <f>SUM(E26:E28)</f>
        <v>3909.6477896427459</v>
      </c>
      <c r="I25" s="171" t="s">
        <v>16</v>
      </c>
      <c r="J25" s="192">
        <v>-54329761</v>
      </c>
      <c r="K25" s="13"/>
      <c r="L25" s="74"/>
    </row>
    <row r="26" spans="1:12">
      <c r="B26" s="13" t="s">
        <v>17</v>
      </c>
      <c r="C26" s="50">
        <v>2522307</v>
      </c>
      <c r="D26" s="14"/>
      <c r="E26" s="76">
        <f>C26*J20</f>
        <v>1673.9827578197071</v>
      </c>
      <c r="I26" s="171" t="s">
        <v>18</v>
      </c>
      <c r="J26" s="193">
        <f>SUM(J24:J25)</f>
        <v>-35012096</v>
      </c>
    </row>
    <row r="27" spans="1:12" ht="15.75" thickBot="1">
      <c r="B27" s="13" t="s">
        <v>19</v>
      </c>
      <c r="C27" s="50">
        <v>1716223</v>
      </c>
      <c r="D27" s="14"/>
      <c r="E27" s="76">
        <f>C27*J20</f>
        <v>1139.0079441454238</v>
      </c>
      <c r="I27" s="173" t="s">
        <v>20</v>
      </c>
      <c r="J27" s="194">
        <f>J26/C46</f>
        <v>-0.38196958390608976</v>
      </c>
    </row>
    <row r="28" spans="1:12">
      <c r="B28" s="13" t="s">
        <v>21</v>
      </c>
      <c r="C28" s="50">
        <v>1652410</v>
      </c>
      <c r="D28" s="14"/>
      <c r="E28" s="76">
        <f>C28*J20</f>
        <v>1096.6570876776152</v>
      </c>
      <c r="I28" s="113"/>
      <c r="J28" s="114"/>
    </row>
    <row r="29" spans="1:12">
      <c r="B29" s="13"/>
      <c r="C29" s="50"/>
      <c r="D29" s="14"/>
      <c r="E29" s="76"/>
    </row>
    <row r="30" spans="1:12">
      <c r="B30" s="13"/>
      <c r="C30" s="74"/>
      <c r="D30" s="14"/>
      <c r="E30" s="76"/>
    </row>
    <row r="31" spans="1:12">
      <c r="B31" s="265" t="s">
        <v>22</v>
      </c>
      <c r="C31" s="77">
        <f>SUM(C32:C33)</f>
        <v>13426725</v>
      </c>
      <c r="D31" s="14"/>
      <c r="E31" s="77">
        <f>SUM(E32:E33)</f>
        <v>8910.9319936022093</v>
      </c>
    </row>
    <row r="32" spans="1:12">
      <c r="B32" s="13" t="s">
        <v>23</v>
      </c>
      <c r="C32" s="50">
        <v>2675856</v>
      </c>
      <c r="D32" s="14"/>
      <c r="E32" s="76">
        <f>C32*J20</f>
        <v>1775.8888217843469</v>
      </c>
    </row>
    <row r="33" spans="2:9">
      <c r="B33" s="13" t="s">
        <v>24</v>
      </c>
      <c r="C33" s="50">
        <v>10750869</v>
      </c>
      <c r="D33" s="14"/>
      <c r="E33" s="76">
        <f>C33*J20</f>
        <v>7135.0431718178625</v>
      </c>
    </row>
    <row r="34" spans="2:9">
      <c r="B34" s="13"/>
      <c r="C34" s="50"/>
      <c r="D34" s="14"/>
      <c r="E34" s="76"/>
    </row>
    <row r="35" spans="2:9">
      <c r="B35" s="2" t="s">
        <v>25</v>
      </c>
      <c r="C35" s="77">
        <f>SUM(C36:C37)</f>
        <v>2514751</v>
      </c>
      <c r="D35" s="14"/>
      <c r="E35" s="77">
        <f>SUM(E36:E37)</f>
        <v>1668.9680575004813</v>
      </c>
    </row>
    <row r="36" spans="2:9">
      <c r="B36" s="6" t="s">
        <v>26</v>
      </c>
      <c r="C36" s="7">
        <f>Model!$AG$107</f>
        <v>526303</v>
      </c>
      <c r="D36" s="14"/>
      <c r="E36" s="76">
        <f>C36*J20</f>
        <v>349.29219456187741</v>
      </c>
    </row>
    <row r="37" spans="2:9">
      <c r="B37" s="6" t="s">
        <v>27</v>
      </c>
      <c r="C37" s="7">
        <f>Model!$AG$108</f>
        <v>1988448</v>
      </c>
      <c r="D37" s="14"/>
      <c r="E37" s="76">
        <f>C37*J20</f>
        <v>1319.6758629386038</v>
      </c>
    </row>
    <row r="38" spans="2:9">
      <c r="B38" s="13"/>
      <c r="C38" s="74"/>
      <c r="D38" s="14"/>
      <c r="E38" s="76"/>
      <c r="I38" s="170"/>
    </row>
    <row r="39" spans="2:9">
      <c r="B39" s="266" t="s">
        <v>28</v>
      </c>
      <c r="C39" s="11">
        <f>C31+C25+C35</f>
        <v>21832416</v>
      </c>
      <c r="D39" s="10">
        <f>C39/C46</f>
        <v>0.23818393663677423</v>
      </c>
      <c r="E39" s="11">
        <f>E31+E25+E35</f>
        <v>14489.547840745436</v>
      </c>
      <c r="F39" s="10">
        <f>E39/E46</f>
        <v>0.22511635641859173</v>
      </c>
    </row>
    <row r="40" spans="2:9">
      <c r="B40" s="6" t="s">
        <v>29</v>
      </c>
      <c r="C40" s="102">
        <f>Model!AG$115</f>
        <v>21166904</v>
      </c>
      <c r="D40" s="103"/>
      <c r="E40" s="76">
        <f>C40*J20</f>
        <v>14047.866628616181</v>
      </c>
    </row>
    <row r="41" spans="2:9">
      <c r="B41" s="6" t="s">
        <v>30</v>
      </c>
      <c r="C41" s="102">
        <f>Model!AG$116</f>
        <v>18220075</v>
      </c>
      <c r="D41" s="103"/>
      <c r="E41" s="76">
        <f>C41*J20</f>
        <v>12092.140804502347</v>
      </c>
    </row>
    <row r="42" spans="2:9">
      <c r="B42" s="6" t="s">
        <v>31</v>
      </c>
      <c r="C42" s="102">
        <f>Model!AG$117</f>
        <v>14942782</v>
      </c>
      <c r="D42" s="103"/>
      <c r="E42" s="76">
        <f>C42*J20</f>
        <v>9917.0955089363342</v>
      </c>
    </row>
    <row r="43" spans="2:9">
      <c r="B43" s="266" t="s">
        <v>18</v>
      </c>
      <c r="C43" s="11">
        <f>C39-C40-C41-C42</f>
        <v>-32497345</v>
      </c>
      <c r="D43" s="10">
        <f>C43/C46</f>
        <v>-0.35453453994021517</v>
      </c>
      <c r="E43" s="11">
        <f>E39-E40-E41-E42</f>
        <v>-21567.555101309426</v>
      </c>
      <c r="F43" s="10">
        <f>E43/E46</f>
        <v>-0.33508357021403129</v>
      </c>
    </row>
    <row r="44" spans="2:9" s="160" customFormat="1">
      <c r="B44" s="6" t="s">
        <v>32</v>
      </c>
      <c r="C44" s="102">
        <f>Model!AG$121</f>
        <v>164379799</v>
      </c>
      <c r="D44" s="103"/>
      <c r="E44" s="76">
        <f>C44*J20</f>
        <v>109094.15438321709</v>
      </c>
    </row>
    <row r="45" spans="2:9">
      <c r="B45" s="2" t="s">
        <v>33</v>
      </c>
      <c r="C45" s="9">
        <f>C43+C44</f>
        <v>131882454</v>
      </c>
      <c r="D45" s="8"/>
      <c r="E45" s="9">
        <f>E43+E44</f>
        <v>87526.599281907664</v>
      </c>
    </row>
    <row r="46" spans="2:9" s="269" customFormat="1">
      <c r="B46" s="2" t="s">
        <v>34</v>
      </c>
      <c r="C46" s="43">
        <f>Model!$AG$82</f>
        <v>91662000</v>
      </c>
      <c r="D46" s="2"/>
      <c r="E46" s="78">
        <f>C46*J21</f>
        <v>64364.704863128216</v>
      </c>
    </row>
    <row r="47" spans="2:9">
      <c r="B47" s="5" t="s">
        <v>35</v>
      </c>
      <c r="C47" s="4">
        <f>+C39-Model!AG$114</f>
        <v>0</v>
      </c>
      <c r="D47" s="3"/>
    </row>
    <row r="48" spans="2:9">
      <c r="B48" s="5"/>
      <c r="C48" s="4"/>
      <c r="D48" s="3"/>
    </row>
    <row r="49" spans="2:7" ht="15.75" thickBot="1">
      <c r="B49" s="5"/>
      <c r="C49" s="4"/>
      <c r="D49" s="3"/>
    </row>
    <row r="50" spans="2:7" ht="15.75" thickBot="1">
      <c r="B50" s="188" t="s">
        <v>36</v>
      </c>
      <c r="C50" s="195" t="str">
        <f>C23</f>
        <v>KRW mn</v>
      </c>
      <c r="D50" s="189" t="str">
        <f>E23</f>
        <v>USD mn</v>
      </c>
    </row>
    <row r="51" spans="2:7">
      <c r="B51" s="101" t="s">
        <v>29</v>
      </c>
      <c r="C51" s="193">
        <f>C40</f>
        <v>21166904</v>
      </c>
      <c r="D51" s="159">
        <f>C51*J20</f>
        <v>14047.866628616181</v>
      </c>
    </row>
    <row r="52" spans="2:7">
      <c r="B52" s="101" t="s">
        <v>30</v>
      </c>
      <c r="C52" s="193">
        <f>C41</f>
        <v>18220075</v>
      </c>
      <c r="D52" s="159">
        <f>C52*J20</f>
        <v>12092.140804502347</v>
      </c>
    </row>
    <row r="53" spans="2:7" ht="15.75" thickBot="1">
      <c r="B53" s="101" t="s">
        <v>31</v>
      </c>
      <c r="C53" s="193">
        <f>C42</f>
        <v>14942782</v>
      </c>
      <c r="D53" s="159">
        <f>C53*J20</f>
        <v>9917.0955089363342</v>
      </c>
    </row>
    <row r="54" spans="2:7" ht="15.75" thickBot="1">
      <c r="B54" s="111" t="s">
        <v>5</v>
      </c>
      <c r="C54" s="196">
        <f>SUM(C51:C53)</f>
        <v>54329761</v>
      </c>
      <c r="D54" s="112">
        <f>SUM(D51:D53)</f>
        <v>36057.102942054858</v>
      </c>
    </row>
    <row r="55" spans="2:7">
      <c r="B55" s="5"/>
      <c r="C55" s="4"/>
      <c r="D55" s="3"/>
    </row>
    <row r="56" spans="2:7" ht="15.75" thickBot="1">
      <c r="B56" s="2"/>
      <c r="C56" s="79"/>
    </row>
    <row r="57" spans="2:7" ht="15.75" thickBot="1">
      <c r="B57" s="190" t="s">
        <v>37</v>
      </c>
      <c r="C57" s="195" t="str">
        <f>C50</f>
        <v>KRW mn</v>
      </c>
      <c r="D57" s="187" t="str">
        <f>D50</f>
        <v>USD mn</v>
      </c>
    </row>
    <row r="58" spans="2:7">
      <c r="B58" s="81">
        <v>2026</v>
      </c>
      <c r="C58" s="120">
        <v>4303773.9400000004</v>
      </c>
      <c r="D58" s="118">
        <f>C58*J20</f>
        <v>2856.2912322384973</v>
      </c>
    </row>
    <row r="59" spans="2:7">
      <c r="B59" s="81">
        <v>2027</v>
      </c>
      <c r="C59" s="120">
        <v>14024752.5</v>
      </c>
      <c r="D59" s="118">
        <f>C59*J20</f>
        <v>9307.8256800971631</v>
      </c>
    </row>
    <row r="60" spans="2:7">
      <c r="B60" s="81">
        <v>2028</v>
      </c>
      <c r="C60" s="120">
        <v>12553163.4</v>
      </c>
      <c r="D60" s="118">
        <f>C60*J20</f>
        <v>8331.1742336255702</v>
      </c>
    </row>
    <row r="61" spans="2:7">
      <c r="B61" s="81">
        <v>2029</v>
      </c>
      <c r="C61" s="120">
        <v>11032795.4</v>
      </c>
      <c r="D61" s="118">
        <f>C61*J20</f>
        <v>7322.1496313305952</v>
      </c>
    </row>
    <row r="62" spans="2:7">
      <c r="B62" s="81">
        <v>2030</v>
      </c>
      <c r="C62" s="120">
        <v>4730237.88</v>
      </c>
      <c r="D62" s="118">
        <f>C62*J20</f>
        <v>3139.3231083708861</v>
      </c>
    </row>
    <row r="63" spans="2:7">
      <c r="B63" s="81" t="s">
        <v>4</v>
      </c>
      <c r="C63" s="120">
        <f>64366534.2-SUM(C58:C62)</f>
        <v>17721811.079999998</v>
      </c>
      <c r="D63" s="118">
        <f>C63*J20</f>
        <v>11761.457342527392</v>
      </c>
    </row>
    <row r="64" spans="2:7" ht="15.75" thickBot="1">
      <c r="B64" s="83"/>
      <c r="C64" s="121">
        <f>SUM(C58:C63)</f>
        <v>64366534.200000003</v>
      </c>
      <c r="D64" s="122">
        <f>SUM(D58:D63)</f>
        <v>42718.221228190101</v>
      </c>
      <c r="G64" s="191"/>
    </row>
    <row r="65" spans="1:12">
      <c r="B65" s="2"/>
      <c r="C65" s="270"/>
      <c r="D65" s="270"/>
    </row>
    <row r="66" spans="1:12">
      <c r="A66" s="15" t="s">
        <v>38</v>
      </c>
      <c r="I66" s="2" t="s">
        <v>7</v>
      </c>
      <c r="J66" s="95">
        <f>Model!$K$203</f>
        <v>6.6367129688008129E-4</v>
      </c>
    </row>
    <row r="67" spans="1:12">
      <c r="I67" s="2" t="s">
        <v>8</v>
      </c>
      <c r="J67" s="95">
        <f>Model!$K$204</f>
        <v>7.0219616485706418E-4</v>
      </c>
    </row>
    <row r="68" spans="1:12" ht="15.75" thickBot="1">
      <c r="I68" s="2"/>
      <c r="J68" s="95"/>
    </row>
    <row r="69" spans="1:12">
      <c r="B69" s="267" t="s">
        <v>39</v>
      </c>
      <c r="C69" s="268" t="s">
        <v>10</v>
      </c>
      <c r="D69" s="268" t="s">
        <v>11</v>
      </c>
      <c r="E69" s="268" t="s">
        <v>12</v>
      </c>
      <c r="F69" s="268" t="s">
        <v>11</v>
      </c>
      <c r="I69" s="185" t="s">
        <v>13</v>
      </c>
      <c r="J69" s="184" t="str">
        <f>C69</f>
        <v>KRW mn</v>
      </c>
    </row>
    <row r="70" spans="1:12">
      <c r="B70" s="13"/>
      <c r="C70" s="162"/>
      <c r="D70" s="14"/>
      <c r="E70" s="76"/>
      <c r="I70" s="171" t="s">
        <v>14</v>
      </c>
      <c r="J70" s="192">
        <v>22248000</v>
      </c>
      <c r="K70" s="13"/>
      <c r="L70" s="74"/>
    </row>
    <row r="71" spans="1:12">
      <c r="B71" s="265" t="s">
        <v>15</v>
      </c>
      <c r="C71" s="77">
        <f>SUM(C72:C75)</f>
        <v>8161757</v>
      </c>
      <c r="D71" s="14"/>
      <c r="E71" s="77">
        <f>SUM(E72:E74)</f>
        <v>5416.7238530100822</v>
      </c>
      <c r="I71" s="171" t="s">
        <v>16</v>
      </c>
      <c r="J71" s="192">
        <v>-34942000</v>
      </c>
      <c r="K71" s="13"/>
      <c r="L71" s="74"/>
    </row>
    <row r="72" spans="1:12">
      <c r="B72" s="13" t="s">
        <v>17</v>
      </c>
      <c r="C72" s="50">
        <v>2395797</v>
      </c>
      <c r="D72" s="14"/>
      <c r="E72" s="76">
        <f>C72*J66</f>
        <v>1590.0217020514081</v>
      </c>
      <c r="I72" s="171" t="s">
        <v>18</v>
      </c>
      <c r="J72" s="193">
        <f>SUM(J70:J71)</f>
        <v>-12694000</v>
      </c>
    </row>
    <row r="73" spans="1:12" ht="15.75" thickBot="1">
      <c r="B73" s="13" t="s">
        <v>19</v>
      </c>
      <c r="C73" s="50">
        <v>1470301</v>
      </c>
      <c r="D73" s="14"/>
      <c r="E73" s="76">
        <f>C73*J66</f>
        <v>975.79657147408045</v>
      </c>
      <c r="I73" s="173" t="s">
        <v>20</v>
      </c>
      <c r="J73" s="194">
        <f>J72/C92</f>
        <v>-0.20777477698666011</v>
      </c>
    </row>
    <row r="74" spans="1:12">
      <c r="B74" s="13" t="s">
        <v>21</v>
      </c>
      <c r="C74" s="50">
        <v>4295659</v>
      </c>
      <c r="D74" s="14"/>
      <c r="E74" s="76">
        <f>C74*J66</f>
        <v>2850.9055794845931</v>
      </c>
      <c r="I74" s="113"/>
      <c r="J74" s="114"/>
    </row>
    <row r="75" spans="1:12">
      <c r="B75" s="13"/>
      <c r="C75" s="50"/>
      <c r="D75" s="14"/>
      <c r="E75" s="76"/>
    </row>
    <row r="76" spans="1:12">
      <c r="B76" s="13"/>
      <c r="C76" s="74"/>
      <c r="D76" s="14"/>
      <c r="E76" s="76"/>
    </row>
    <row r="77" spans="1:12">
      <c r="B77" s="265" t="s">
        <v>22</v>
      </c>
      <c r="C77" s="77">
        <f>SUM(C78:C79)</f>
        <v>14086148</v>
      </c>
      <c r="D77" s="14"/>
      <c r="E77" s="77">
        <f>SUM(E78:E79)</f>
        <v>9348.5721112047631</v>
      </c>
    </row>
    <row r="78" spans="1:12">
      <c r="B78" s="13" t="s">
        <v>23</v>
      </c>
      <c r="C78" s="50">
        <v>2879750</v>
      </c>
      <c r="D78" s="14"/>
      <c r="E78" s="76">
        <f>C78*J66</f>
        <v>1911.2074171904142</v>
      </c>
    </row>
    <row r="79" spans="1:12">
      <c r="B79" s="13" t="s">
        <v>24</v>
      </c>
      <c r="C79" s="50">
        <v>11206398</v>
      </c>
      <c r="D79" s="14"/>
      <c r="E79" s="76">
        <f>C79*J66</f>
        <v>7437.364694014349</v>
      </c>
    </row>
    <row r="80" spans="1:12">
      <c r="B80" s="13"/>
      <c r="C80" s="50"/>
      <c r="D80" s="14"/>
      <c r="E80" s="76"/>
    </row>
    <row r="81" spans="2:9">
      <c r="B81" s="2" t="s">
        <v>25</v>
      </c>
      <c r="C81" s="77">
        <f>SUM(C82:C83)</f>
        <v>2509943</v>
      </c>
      <c r="D81" s="14"/>
      <c r="E81" s="77">
        <f>SUM(E82:E83)</f>
        <v>1665.7771259050819</v>
      </c>
    </row>
    <row r="82" spans="2:9">
      <c r="B82" s="6" t="s">
        <v>26</v>
      </c>
      <c r="C82" s="7">
        <f>Model!$AF$107</f>
        <v>547296</v>
      </c>
      <c r="D82" s="14"/>
      <c r="E82" s="76">
        <f>C82*J66</f>
        <v>363.22464609728098</v>
      </c>
    </row>
    <row r="83" spans="2:9">
      <c r="B83" s="6" t="s">
        <v>27</v>
      </c>
      <c r="C83" s="7">
        <f>Model!$AF$108</f>
        <v>1962647</v>
      </c>
      <c r="D83" s="14"/>
      <c r="E83" s="76">
        <f>C83*J66</f>
        <v>1302.5524798078009</v>
      </c>
    </row>
    <row r="84" spans="2:9">
      <c r="B84" s="13"/>
      <c r="C84" s="74"/>
      <c r="D84" s="14"/>
      <c r="E84" s="76"/>
      <c r="I84" s="170"/>
    </row>
    <row r="85" spans="2:9">
      <c r="B85" s="266" t="s">
        <v>28</v>
      </c>
      <c r="C85" s="11">
        <f>C77+C71+C81</f>
        <v>24757848</v>
      </c>
      <c r="D85" s="10">
        <f>C85/C92</f>
        <v>0.40523525656764053</v>
      </c>
      <c r="E85" s="11">
        <f>E77+E71+E81</f>
        <v>16431.073090119928</v>
      </c>
      <c r="F85" s="10">
        <f>E85/E92</f>
        <v>0.38300267322383241</v>
      </c>
    </row>
    <row r="86" spans="2:9">
      <c r="B86" s="6" t="s">
        <v>29</v>
      </c>
      <c r="C86" s="102">
        <f>Model!AF$115</f>
        <v>14923766</v>
      </c>
      <c r="D86" s="103"/>
      <c r="E86" s="76">
        <f>C86*J66</f>
        <v>9904.4751355548633</v>
      </c>
    </row>
    <row r="87" spans="2:9">
      <c r="B87" s="6" t="s">
        <v>30</v>
      </c>
      <c r="C87" s="102">
        <f>Model!AF$116</f>
        <v>14679719</v>
      </c>
      <c r="D87" s="103"/>
      <c r="E87" s="76">
        <f>C87*J66</f>
        <v>9742.5081465651692</v>
      </c>
    </row>
    <row r="88" spans="2:9">
      <c r="B88" s="6" t="s">
        <v>31</v>
      </c>
      <c r="C88" s="102">
        <f>Model!AF$117</f>
        <v>5338768</v>
      </c>
      <c r="D88" s="103"/>
      <c r="E88" s="76">
        <f>C88*J66</f>
        <v>3543.187082301878</v>
      </c>
    </row>
    <row r="89" spans="2:9">
      <c r="B89" s="266" t="s">
        <v>18</v>
      </c>
      <c r="C89" s="11">
        <f>C85-C86-C87-C88</f>
        <v>-10184405</v>
      </c>
      <c r="D89" s="10">
        <f>C89/C92</f>
        <v>-0.16669784761437106</v>
      </c>
      <c r="E89" s="11">
        <f>E85-E86-E87-E88</f>
        <v>-6759.0972743019829</v>
      </c>
      <c r="F89" s="10">
        <f>E89/E92</f>
        <v>-0.15755223718128344</v>
      </c>
    </row>
    <row r="90" spans="2:9" s="160" customFormat="1">
      <c r="B90" s="6" t="s">
        <v>32</v>
      </c>
      <c r="C90" s="102">
        <f>Model!AF$121</f>
        <v>120666751</v>
      </c>
      <c r="D90" s="103"/>
      <c r="E90" s="76">
        <f>C90*J66</f>
        <v>80083.05912647584</v>
      </c>
    </row>
    <row r="91" spans="2:9">
      <c r="B91" s="2" t="s">
        <v>33</v>
      </c>
      <c r="C91" s="9">
        <f>C89+C90</f>
        <v>110482346</v>
      </c>
      <c r="D91" s="8"/>
      <c r="E91" s="9">
        <f>E89+E90</f>
        <v>73323.961852173859</v>
      </c>
    </row>
    <row r="92" spans="2:9" s="269" customFormat="1">
      <c r="B92" s="2" t="s">
        <v>34</v>
      </c>
      <c r="C92" s="43">
        <f>Model!$AF$82</f>
        <v>61095000</v>
      </c>
      <c r="D92" s="2"/>
      <c r="E92" s="78">
        <f>C92*J67</f>
        <v>42900.674691942339</v>
      </c>
    </row>
    <row r="93" spans="2:9">
      <c r="B93" s="5" t="s">
        <v>35</v>
      </c>
      <c r="C93" s="4">
        <f>+C85-Model!AF$114</f>
        <v>0</v>
      </c>
      <c r="D93" s="3"/>
    </row>
    <row r="94" spans="2:9">
      <c r="B94" s="5"/>
      <c r="C94" s="4"/>
      <c r="D94" s="3"/>
    </row>
    <row r="95" spans="2:9" ht="15.75" thickBot="1">
      <c r="B95" s="5"/>
      <c r="C95" s="4"/>
      <c r="D95" s="3"/>
    </row>
    <row r="96" spans="2:9" ht="15.75" thickBot="1">
      <c r="B96" s="188" t="s">
        <v>40</v>
      </c>
      <c r="C96" s="195" t="str">
        <f>C69</f>
        <v>KRW mn</v>
      </c>
      <c r="D96" s="189" t="str">
        <f>E69</f>
        <v>USD mn</v>
      </c>
    </row>
    <row r="97" spans="2:7">
      <c r="B97" s="101" t="s">
        <v>29</v>
      </c>
      <c r="C97" s="193">
        <f>C86</f>
        <v>14923766</v>
      </c>
      <c r="D97" s="159">
        <f>C97*J66</f>
        <v>9904.4751355548633</v>
      </c>
    </row>
    <row r="98" spans="2:7">
      <c r="B98" s="101" t="s">
        <v>30</v>
      </c>
      <c r="C98" s="193">
        <f>C87</f>
        <v>14679719</v>
      </c>
      <c r="D98" s="159">
        <f>C98*J66</f>
        <v>9742.5081465651692</v>
      </c>
    </row>
    <row r="99" spans="2:7" ht="15.75" thickBot="1">
      <c r="B99" s="101" t="s">
        <v>31</v>
      </c>
      <c r="C99" s="193">
        <f>C88</f>
        <v>5338768</v>
      </c>
      <c r="D99" s="159">
        <f>C99*J66</f>
        <v>3543.187082301878</v>
      </c>
    </row>
    <row r="100" spans="2:7" ht="15.75" thickBot="1">
      <c r="B100" s="111" t="s">
        <v>5</v>
      </c>
      <c r="C100" s="196">
        <f>SUM(C97:C99)</f>
        <v>34942253</v>
      </c>
      <c r="D100" s="112">
        <f>SUM(D97:D99)</f>
        <v>23190.170364421909</v>
      </c>
    </row>
    <row r="101" spans="2:7">
      <c r="B101" s="5"/>
      <c r="C101" s="4"/>
      <c r="D101" s="3"/>
    </row>
    <row r="102" spans="2:7">
      <c r="B102" s="2"/>
      <c r="C102" s="79"/>
    </row>
    <row r="103" spans="2:7" ht="15.75" thickBot="1">
      <c r="B103" s="2"/>
      <c r="C103" s="79"/>
      <c r="D103" s="79"/>
      <c r="E103" s="77"/>
    </row>
    <row r="104" spans="2:7" ht="15.75" thickBot="1">
      <c r="B104" s="190" t="s">
        <v>41</v>
      </c>
      <c r="C104" s="195" t="str">
        <f>C69</f>
        <v>KRW mn</v>
      </c>
      <c r="D104" s="187" t="str">
        <f>E69</f>
        <v>USD mn</v>
      </c>
    </row>
    <row r="105" spans="2:7">
      <c r="B105" s="81" t="s">
        <v>42</v>
      </c>
      <c r="C105" s="120">
        <v>7978826</v>
      </c>
      <c r="D105" s="118">
        <f>C105*J66</f>
        <v>5295.3177990005115</v>
      </c>
    </row>
    <row r="106" spans="2:7">
      <c r="B106" s="81" t="s">
        <v>43</v>
      </c>
      <c r="C106" s="120">
        <v>4845560</v>
      </c>
      <c r="D106" s="118">
        <f>C106*J66</f>
        <v>3215.8590893102469</v>
      </c>
    </row>
    <row r="107" spans="2:7">
      <c r="B107" s="81" t="s">
        <v>44</v>
      </c>
      <c r="C107" s="120">
        <v>8676290</v>
      </c>
      <c r="D107" s="118">
        <f>C107*J66</f>
        <v>5758.2046364076805</v>
      </c>
    </row>
    <row r="108" spans="2:7">
      <c r="B108" s="81" t="s">
        <v>45</v>
      </c>
      <c r="C108" s="120">
        <v>3272460</v>
      </c>
      <c r="D108" s="118">
        <f>C108*J66</f>
        <v>2171.8377721881907</v>
      </c>
    </row>
    <row r="109" spans="2:7" ht="15.75" thickBot="1">
      <c r="B109" s="83"/>
      <c r="C109" s="121">
        <f>SUM(C105:C108)</f>
        <v>24773136</v>
      </c>
      <c r="D109" s="122">
        <f>SUM(D105:D108)</f>
        <v>16441.219296906631</v>
      </c>
      <c r="G109" s="191"/>
    </row>
    <row r="111" spans="2:7" ht="15.75" thickBot="1"/>
    <row r="112" spans="2:7" ht="15.75" thickBot="1">
      <c r="B112" s="190" t="s">
        <v>46</v>
      </c>
      <c r="C112" s="195" t="str">
        <f>C104</f>
        <v>KRW mn</v>
      </c>
      <c r="D112" s="195" t="str">
        <f>D104</f>
        <v>USD mn</v>
      </c>
    </row>
    <row r="113" spans="1:12">
      <c r="B113" s="81" t="s">
        <v>42</v>
      </c>
      <c r="C113" s="120">
        <v>576548</v>
      </c>
      <c r="D113" s="118">
        <f>C113*J66</f>
        <v>382.63835887361711</v>
      </c>
    </row>
    <row r="114" spans="1:12">
      <c r="B114" s="81" t="s">
        <v>43</v>
      </c>
      <c r="C114" s="120">
        <v>426197</v>
      </c>
      <c r="D114" s="118">
        <f>C114*J66</f>
        <v>282.85471571639999</v>
      </c>
    </row>
    <row r="115" spans="1:12">
      <c r="B115" s="81" t="s">
        <v>44</v>
      </c>
      <c r="C115" s="120">
        <v>1068681</v>
      </c>
      <c r="D115" s="118">
        <f>C115*J66</f>
        <v>709.2529052211022</v>
      </c>
    </row>
    <row r="116" spans="1:12">
      <c r="B116" s="81" t="s">
        <v>45</v>
      </c>
      <c r="C116" s="120">
        <v>944492</v>
      </c>
      <c r="D116" s="118">
        <f>C116*J66</f>
        <v>626.83223053286179</v>
      </c>
    </row>
    <row r="117" spans="1:12" ht="15.75" thickBot="1">
      <c r="B117" s="83"/>
      <c r="C117" s="121">
        <f>SUM(C113:C116)</f>
        <v>3015918</v>
      </c>
      <c r="D117" s="122">
        <f>SUM(D113:D116)</f>
        <v>2001.5782103439813</v>
      </c>
    </row>
    <row r="118" spans="1:12">
      <c r="B118" s="2"/>
      <c r="C118" s="270"/>
      <c r="D118" s="270"/>
    </row>
    <row r="119" spans="1:12">
      <c r="B119" s="2"/>
      <c r="C119" s="270"/>
      <c r="D119" s="270"/>
    </row>
    <row r="121" spans="1:12">
      <c r="A121" s="15" t="s">
        <v>47</v>
      </c>
      <c r="I121" s="2" t="s">
        <v>48</v>
      </c>
      <c r="J121" s="95">
        <f>Model!$K$203</f>
        <v>6.6367129688008129E-4</v>
      </c>
    </row>
    <row r="122" spans="1:12">
      <c r="I122" s="2" t="s">
        <v>49</v>
      </c>
      <c r="J122" s="95">
        <f>Model!$K$204</f>
        <v>7.0219616485706418E-4</v>
      </c>
    </row>
    <row r="123" spans="1:12" ht="15.75" thickBot="1">
      <c r="I123" s="2"/>
      <c r="J123" s="95"/>
    </row>
    <row r="124" spans="1:12">
      <c r="B124" s="183" t="s">
        <v>50</v>
      </c>
      <c r="C124" s="186" t="s">
        <v>10</v>
      </c>
      <c r="D124" s="186" t="s">
        <v>11</v>
      </c>
      <c r="E124" s="186" t="s">
        <v>12</v>
      </c>
      <c r="F124" s="187" t="s">
        <v>11</v>
      </c>
      <c r="I124" s="185" t="s">
        <v>13</v>
      </c>
      <c r="J124" s="184" t="str">
        <f>C124</f>
        <v>KRW mn</v>
      </c>
    </row>
    <row r="125" spans="1:12">
      <c r="B125" s="81"/>
      <c r="C125" s="162"/>
      <c r="D125" s="14"/>
      <c r="E125" s="76"/>
      <c r="F125" s="87"/>
      <c r="I125" s="171" t="s">
        <v>14</v>
      </c>
      <c r="J125" s="192">
        <v>24078734</v>
      </c>
      <c r="K125" s="13"/>
      <c r="L125" s="74"/>
    </row>
    <row r="126" spans="1:12">
      <c r="B126" s="98" t="s">
        <v>15</v>
      </c>
      <c r="C126" s="77">
        <f>SUM(C127:C130)</f>
        <v>9249989</v>
      </c>
      <c r="D126" s="14"/>
      <c r="E126" s="77">
        <f>SUM(E127:E129)</f>
        <v>6138.9521957564866</v>
      </c>
      <c r="F126" s="87"/>
      <c r="I126" s="171" t="s">
        <v>16</v>
      </c>
      <c r="J126" s="192">
        <v>-27854406</v>
      </c>
      <c r="K126" s="13"/>
      <c r="L126" s="74"/>
    </row>
    <row r="127" spans="1:12">
      <c r="B127" s="81" t="s">
        <v>17</v>
      </c>
      <c r="C127" s="50">
        <v>2180195</v>
      </c>
      <c r="D127" s="14"/>
      <c r="E127" s="76">
        <f>C127*J121</f>
        <v>1446.9328431014687</v>
      </c>
      <c r="F127" s="87"/>
      <c r="I127" s="171" t="s">
        <v>18</v>
      </c>
      <c r="J127" s="193">
        <f>SUM(J125:J126)</f>
        <v>-3775672</v>
      </c>
    </row>
    <row r="128" spans="1:12" ht="15.75" thickBot="1">
      <c r="B128" s="81" t="s">
        <v>19</v>
      </c>
      <c r="C128" s="50">
        <v>1380880</v>
      </c>
      <c r="D128" s="14"/>
      <c r="E128" s="76">
        <f>C128*J121</f>
        <v>916.45042043576666</v>
      </c>
      <c r="F128" s="87"/>
      <c r="I128" s="173" t="s">
        <v>20</v>
      </c>
      <c r="J128" s="194">
        <f>J127/C147</f>
        <v>-7.6104007095057644E-2</v>
      </c>
    </row>
    <row r="129" spans="2:10">
      <c r="B129" s="81" t="s">
        <v>21</v>
      </c>
      <c r="C129" s="50">
        <v>5688914</v>
      </c>
      <c r="D129" s="14"/>
      <c r="E129" s="76">
        <f>C129*J121</f>
        <v>3775.5689322192507</v>
      </c>
      <c r="F129" s="87"/>
      <c r="I129" s="113"/>
      <c r="J129" s="114"/>
    </row>
    <row r="130" spans="2:10">
      <c r="B130" s="81"/>
      <c r="C130" s="50"/>
      <c r="D130" s="14"/>
      <c r="E130" s="76"/>
      <c r="F130" s="87"/>
    </row>
    <row r="131" spans="2:10">
      <c r="B131" s="81"/>
      <c r="C131" s="74"/>
      <c r="D131" s="14"/>
      <c r="E131" s="76"/>
      <c r="F131" s="87"/>
    </row>
    <row r="132" spans="2:10">
      <c r="B132" s="98" t="s">
        <v>22</v>
      </c>
      <c r="C132" s="77">
        <f>SUM(C133:C134)</f>
        <v>14828745</v>
      </c>
      <c r="D132" s="14"/>
      <c r="E132" s="77">
        <f>SUM(E133:E134)</f>
        <v>9841.4124252540205</v>
      </c>
      <c r="F132" s="87"/>
    </row>
    <row r="133" spans="2:10">
      <c r="B133" s="81" t="s">
        <v>23</v>
      </c>
      <c r="C133" s="50">
        <v>3803862</v>
      </c>
      <c r="D133" s="14"/>
      <c r="E133" s="76">
        <f>C133*J121</f>
        <v>2524.5140266928597</v>
      </c>
      <c r="F133" s="87"/>
    </row>
    <row r="134" spans="2:10">
      <c r="B134" s="81" t="s">
        <v>24</v>
      </c>
      <c r="C134" s="50">
        <v>11024883</v>
      </c>
      <c r="D134" s="14"/>
      <c r="E134" s="76">
        <f>C134*J121</f>
        <v>7316.8983985611612</v>
      </c>
      <c r="F134" s="87"/>
    </row>
    <row r="135" spans="2:10">
      <c r="B135" s="81"/>
      <c r="C135" s="50"/>
      <c r="D135" s="14"/>
      <c r="E135" s="76"/>
      <c r="F135" s="87"/>
    </row>
    <row r="136" spans="2:10">
      <c r="B136" s="104" t="s">
        <v>25</v>
      </c>
      <c r="C136" s="77">
        <f>SUM(C137:C138)</f>
        <v>2505190</v>
      </c>
      <c r="D136" s="14"/>
      <c r="E136" s="77">
        <f>SUM(E137:E138)</f>
        <v>1662.6226962310109</v>
      </c>
      <c r="F136" s="87"/>
    </row>
    <row r="137" spans="2:10">
      <c r="B137" s="101" t="s">
        <v>26</v>
      </c>
      <c r="C137" s="7">
        <f>Model!$AE$107</f>
        <v>539118</v>
      </c>
      <c r="D137" s="14"/>
      <c r="E137" s="76">
        <f>C137*J121</f>
        <v>357.79714223139564</v>
      </c>
      <c r="F137" s="87"/>
    </row>
    <row r="138" spans="2:10">
      <c r="B138" s="101" t="s">
        <v>27</v>
      </c>
      <c r="C138" s="7">
        <f>Model!$AE$108</f>
        <v>1966072</v>
      </c>
      <c r="D138" s="14"/>
      <c r="E138" s="76">
        <f>C138*J121</f>
        <v>1304.8255539996153</v>
      </c>
      <c r="F138" s="87"/>
    </row>
    <row r="139" spans="2:10">
      <c r="B139" s="81"/>
      <c r="C139" s="74"/>
      <c r="D139" s="14"/>
      <c r="E139" s="76"/>
      <c r="F139" s="87"/>
      <c r="I139" s="170"/>
    </row>
    <row r="140" spans="2:10">
      <c r="B140" s="99" t="s">
        <v>28</v>
      </c>
      <c r="C140" s="11">
        <f>C132+C126+C136</f>
        <v>26583924</v>
      </c>
      <c r="D140" s="10">
        <f>C140/C147</f>
        <v>0.53583657179714583</v>
      </c>
      <c r="E140" s="11">
        <f>E132+E126+E136</f>
        <v>17642.987317241517</v>
      </c>
      <c r="F140" s="100">
        <f>E140/E147</f>
        <v>0.50643875645885472</v>
      </c>
    </row>
    <row r="141" spans="2:10">
      <c r="B141" s="101" t="s">
        <v>29</v>
      </c>
      <c r="C141" s="102">
        <f>Model!AE$115</f>
        <v>10814515</v>
      </c>
      <c r="D141" s="103"/>
      <c r="E141" s="76">
        <f>C141*J121</f>
        <v>7177.2831951790922</v>
      </c>
      <c r="F141" s="87"/>
    </row>
    <row r="142" spans="2:10">
      <c r="B142" s="101" t="s">
        <v>30</v>
      </c>
      <c r="C142" s="102">
        <f>Model!AE$116</f>
        <v>13325515</v>
      </c>
      <c r="D142" s="103"/>
      <c r="E142" s="76">
        <f>C142*J121</f>
        <v>8843.7618216449773</v>
      </c>
      <c r="F142" s="87"/>
    </row>
    <row r="143" spans="2:10">
      <c r="B143" s="101" t="s">
        <v>31</v>
      </c>
      <c r="C143" s="102">
        <f>Model!AE$117</f>
        <v>3714376</v>
      </c>
      <c r="D143" s="103"/>
      <c r="E143" s="76">
        <f>C143*J121</f>
        <v>2465.1247370202486</v>
      </c>
      <c r="F143" s="87"/>
    </row>
    <row r="144" spans="2:10">
      <c r="B144" s="99" t="s">
        <v>18</v>
      </c>
      <c r="C144" s="11">
        <f>C140-C141-C142-C143</f>
        <v>-1270482</v>
      </c>
      <c r="D144" s="10">
        <f>C144/C147</f>
        <v>-2.5608360880432154E-2</v>
      </c>
      <c r="E144" s="11">
        <f>E140-E141-E142-E143</f>
        <v>-843.18243660280086</v>
      </c>
      <c r="F144" s="100">
        <f>E144/E147</f>
        <v>-2.4203399174003049E-2</v>
      </c>
    </row>
    <row r="145" spans="2:6">
      <c r="B145" s="104" t="s">
        <v>32</v>
      </c>
      <c r="C145" s="9">
        <f>Model!AE$121</f>
        <v>100006279</v>
      </c>
      <c r="D145" s="8"/>
      <c r="E145" s="78">
        <f>C145*J121</f>
        <v>66371.296880081238</v>
      </c>
      <c r="F145" s="87"/>
    </row>
    <row r="146" spans="2:6">
      <c r="B146" s="104" t="s">
        <v>33</v>
      </c>
      <c r="C146" s="9">
        <f>C144+C145</f>
        <v>98735797</v>
      </c>
      <c r="D146" s="8"/>
      <c r="E146" s="9">
        <f>E144+E145</f>
        <v>65528.114443478436</v>
      </c>
      <c r="F146" s="87"/>
    </row>
    <row r="147" spans="2:6" ht="15.75" thickBot="1">
      <c r="B147" s="105" t="s">
        <v>34</v>
      </c>
      <c r="C147" s="106">
        <f>Model!$AE$82</f>
        <v>49612000</v>
      </c>
      <c r="D147" s="107"/>
      <c r="E147" s="108">
        <f>C147*J122</f>
        <v>34837.356130888671</v>
      </c>
      <c r="F147" s="88"/>
    </row>
    <row r="148" spans="2:6">
      <c r="B148" s="5" t="s">
        <v>35</v>
      </c>
      <c r="C148" s="4">
        <f>+C140-Model!AE$114</f>
        <v>0</v>
      </c>
      <c r="D148" s="3"/>
    </row>
    <row r="149" spans="2:6">
      <c r="B149" s="5"/>
      <c r="C149" s="4"/>
      <c r="D149" s="3"/>
    </row>
    <row r="150" spans="2:6" ht="15.75" thickBot="1">
      <c r="B150" s="5"/>
      <c r="C150" s="4"/>
      <c r="D150" s="3"/>
    </row>
    <row r="151" spans="2:6" ht="15.75" thickBot="1">
      <c r="B151" s="188" t="s">
        <v>51</v>
      </c>
      <c r="C151" s="195" t="str">
        <f>C124</f>
        <v>KRW mn</v>
      </c>
      <c r="D151" s="189" t="str">
        <f>E124</f>
        <v>USD mn</v>
      </c>
    </row>
    <row r="152" spans="2:6">
      <c r="B152" s="101" t="s">
        <v>29</v>
      </c>
      <c r="C152" s="193">
        <f>C141</f>
        <v>10814515</v>
      </c>
      <c r="D152" s="159">
        <f>C152*J121</f>
        <v>7177.2831951790922</v>
      </c>
    </row>
    <row r="153" spans="2:6">
      <c r="B153" s="101" t="s">
        <v>30</v>
      </c>
      <c r="C153" s="193">
        <f>C142</f>
        <v>13325515</v>
      </c>
      <c r="D153" s="159">
        <f>C153*J121</f>
        <v>8843.7618216449773</v>
      </c>
    </row>
    <row r="154" spans="2:6" ht="15.75" thickBot="1">
      <c r="B154" s="101" t="s">
        <v>31</v>
      </c>
      <c r="C154" s="193">
        <f>C143</f>
        <v>3714376</v>
      </c>
      <c r="D154" s="159">
        <f>C154*J121</f>
        <v>2465.1247370202486</v>
      </c>
    </row>
    <row r="155" spans="2:6" ht="15.75" thickBot="1">
      <c r="B155" s="111" t="s">
        <v>5</v>
      </c>
      <c r="C155" s="196">
        <f>SUM(C152:C154)</f>
        <v>27854406</v>
      </c>
      <c r="D155" s="112">
        <f>SUM(D152:D154)</f>
        <v>18486.169753844319</v>
      </c>
    </row>
    <row r="156" spans="2:6">
      <c r="B156" s="5"/>
      <c r="C156" s="4"/>
      <c r="D156" s="3"/>
    </row>
    <row r="157" spans="2:6">
      <c r="B157" s="2"/>
      <c r="C157" s="79"/>
    </row>
    <row r="158" spans="2:6" ht="15.75" thickBot="1">
      <c r="B158" s="2"/>
      <c r="C158" s="79"/>
      <c r="D158" s="79"/>
      <c r="E158" s="77"/>
    </row>
    <row r="159" spans="2:6" ht="15.75" thickBot="1">
      <c r="B159" s="190" t="s">
        <v>52</v>
      </c>
      <c r="C159" s="195" t="str">
        <f>C124</f>
        <v>KRW mn</v>
      </c>
      <c r="D159" s="187" t="str">
        <f>E124</f>
        <v>USD mn</v>
      </c>
    </row>
    <row r="160" spans="2:6">
      <c r="B160" s="81">
        <v>2025</v>
      </c>
      <c r="C160" s="120">
        <v>2928686.48</v>
      </c>
      <c r="D160" s="118">
        <f>C160*J121</f>
        <v>1943.6851543367602</v>
      </c>
    </row>
    <row r="161" spans="1:12">
      <c r="B161" s="81">
        <v>2026</v>
      </c>
      <c r="C161" s="120">
        <v>3765469.32</v>
      </c>
      <c r="D161" s="118">
        <f>C161*J121</f>
        <v>2499.0339069665579</v>
      </c>
    </row>
    <row r="162" spans="1:12">
      <c r="B162" s="81">
        <v>2027</v>
      </c>
      <c r="C162" s="120">
        <v>2676514.86</v>
      </c>
      <c r="D162" s="118">
        <f>C162*J121</f>
        <v>1776.3260882550092</v>
      </c>
    </row>
    <row r="163" spans="1:12">
      <c r="B163" s="81">
        <v>2028</v>
      </c>
      <c r="C163" s="120">
        <v>3642949.19</v>
      </c>
      <c r="D163" s="118">
        <f>C163*J121</f>
        <v>2417.7208133955414</v>
      </c>
    </row>
    <row r="164" spans="1:12">
      <c r="B164" s="81">
        <v>2029</v>
      </c>
      <c r="C164" s="120">
        <v>7216100.04</v>
      </c>
      <c r="D164" s="118">
        <f>C164*J121</f>
        <v>4789.1184719632065</v>
      </c>
    </row>
    <row r="165" spans="1:12">
      <c r="B165" s="81" t="s">
        <v>53</v>
      </c>
      <c r="C165" s="120">
        <f>24947239.71-SUM(C160:C164)</f>
        <v>4717519.82</v>
      </c>
      <c r="D165" s="118">
        <f>C165*J121</f>
        <v>3130.8824969968878</v>
      </c>
    </row>
    <row r="166" spans="1:12" ht="15.75" thickBot="1">
      <c r="B166" s="83"/>
      <c r="C166" s="121">
        <f>SUM(C160:C165)</f>
        <v>24947239.710000001</v>
      </c>
      <c r="D166" s="122">
        <f>SUM(D160:D165)</f>
        <v>16556.766931913964</v>
      </c>
      <c r="G166" s="191"/>
    </row>
    <row r="170" spans="1:12">
      <c r="A170" s="15" t="s">
        <v>54</v>
      </c>
      <c r="I170" s="2" t="s">
        <v>55</v>
      </c>
      <c r="J170" s="95">
        <f>Model!$K$203</f>
        <v>6.6367129688008129E-4</v>
      </c>
    </row>
    <row r="171" spans="1:12">
      <c r="I171" s="2" t="s">
        <v>56</v>
      </c>
      <c r="J171" s="95">
        <f>Model!$K$204</f>
        <v>7.0219616485706418E-4</v>
      </c>
    </row>
    <row r="172" spans="1:12" ht="15.75" thickBot="1">
      <c r="I172" s="2"/>
      <c r="J172" s="95"/>
    </row>
    <row r="173" spans="1:12">
      <c r="B173" s="183" t="s">
        <v>57</v>
      </c>
      <c r="C173" s="186" t="s">
        <v>10</v>
      </c>
      <c r="D173" s="186" t="s">
        <v>11</v>
      </c>
      <c r="E173" s="186" t="s">
        <v>12</v>
      </c>
      <c r="F173" s="187" t="s">
        <v>11</v>
      </c>
      <c r="I173" s="185" t="s">
        <v>13</v>
      </c>
      <c r="J173" s="184" t="str">
        <f>C173</f>
        <v>KRW mn</v>
      </c>
    </row>
    <row r="174" spans="1:12">
      <c r="B174" s="81"/>
      <c r="C174" s="162"/>
      <c r="D174" s="14"/>
      <c r="E174" s="76"/>
      <c r="F174" s="87"/>
      <c r="I174" s="171" t="s">
        <v>14</v>
      </c>
      <c r="J174" s="192">
        <v>21841038</v>
      </c>
      <c r="K174" s="13"/>
      <c r="L174" s="74"/>
    </row>
    <row r="175" spans="1:12">
      <c r="B175" s="98" t="s">
        <v>15</v>
      </c>
      <c r="C175" s="77">
        <f>SUM(C176:C179)</f>
        <v>8521462</v>
      </c>
      <c r="D175" s="14"/>
      <c r="E175" s="77">
        <f>SUM(E176:E178)</f>
        <v>5655.4497368543316</v>
      </c>
      <c r="F175" s="87"/>
      <c r="I175" s="171" t="s">
        <v>16</v>
      </c>
      <c r="J175" s="192">
        <v>-16962281</v>
      </c>
      <c r="K175" s="13"/>
      <c r="L175" s="74"/>
    </row>
    <row r="176" spans="1:12">
      <c r="B176" s="81" t="s">
        <v>17</v>
      </c>
      <c r="C176" s="50">
        <v>1572903</v>
      </c>
      <c r="D176" s="14"/>
      <c r="E176" s="76">
        <f>C176*$J$170</f>
        <v>1043.8905738765704</v>
      </c>
      <c r="F176" s="87"/>
      <c r="I176" s="171" t="s">
        <v>18</v>
      </c>
      <c r="J176" s="193">
        <f>SUM(J174:J175)</f>
        <v>4878757</v>
      </c>
    </row>
    <row r="177" spans="2:10" ht="15.75" thickBot="1">
      <c r="B177" s="81" t="s">
        <v>19</v>
      </c>
      <c r="C177" s="50">
        <v>1347501</v>
      </c>
      <c r="D177" s="14"/>
      <c r="E177" s="76">
        <f t="shared" ref="E177:E178" si="0">C177*$J$170</f>
        <v>894.29773621720642</v>
      </c>
      <c r="F177" s="87"/>
      <c r="I177" s="173" t="s">
        <v>20</v>
      </c>
      <c r="J177" s="194">
        <f>J176/C196</f>
        <v>0.10899084064964368</v>
      </c>
    </row>
    <row r="178" spans="2:10">
      <c r="B178" s="81" t="s">
        <v>21</v>
      </c>
      <c r="C178" s="50">
        <v>5601058</v>
      </c>
      <c r="D178" s="14"/>
      <c r="E178" s="76">
        <f t="shared" si="0"/>
        <v>3717.2614267605545</v>
      </c>
      <c r="F178" s="87"/>
      <c r="I178" s="113"/>
      <c r="J178" s="114"/>
    </row>
    <row r="179" spans="2:10">
      <c r="B179" s="81"/>
      <c r="C179" s="50"/>
      <c r="D179" s="14"/>
      <c r="E179" s="76"/>
      <c r="F179" s="87"/>
    </row>
    <row r="180" spans="2:10">
      <c r="B180" s="81"/>
      <c r="C180" s="74"/>
      <c r="D180" s="14"/>
      <c r="E180" s="76"/>
      <c r="F180" s="87"/>
    </row>
    <row r="181" spans="2:10">
      <c r="B181" s="98" t="s">
        <v>22</v>
      </c>
      <c r="C181" s="77">
        <f>SUM(C182:C183)</f>
        <v>13319576</v>
      </c>
      <c r="D181" s="14"/>
      <c r="E181" s="77">
        <f>SUM(E182:E183)</f>
        <v>8839.820277812807</v>
      </c>
      <c r="F181" s="87"/>
    </row>
    <row r="182" spans="2:10">
      <c r="B182" s="81" t="s">
        <v>23</v>
      </c>
      <c r="C182" s="50">
        <v>4158311</v>
      </c>
      <c r="D182" s="14"/>
      <c r="E182" s="76">
        <f t="shared" ref="E182:E183" si="1">C182*$J$170</f>
        <v>2759.7516542007079</v>
      </c>
      <c r="F182" s="87"/>
    </row>
    <row r="183" spans="2:10">
      <c r="B183" s="81" t="s">
        <v>24</v>
      </c>
      <c r="C183" s="50">
        <v>9161265</v>
      </c>
      <c r="D183" s="14"/>
      <c r="E183" s="76">
        <f t="shared" si="1"/>
        <v>6080.0686236120982</v>
      </c>
      <c r="F183" s="87"/>
    </row>
    <row r="184" spans="2:10">
      <c r="B184" s="81"/>
      <c r="C184" s="50"/>
      <c r="D184" s="14"/>
      <c r="E184" s="76"/>
      <c r="F184" s="87"/>
    </row>
    <row r="185" spans="2:10">
      <c r="B185" s="104" t="s">
        <v>25</v>
      </c>
      <c r="C185" s="77">
        <f>SUM(C186:C187)</f>
        <v>2528133</v>
      </c>
      <c r="D185" s="14"/>
      <c r="E185" s="77">
        <f>SUM(E186:E187)</f>
        <v>1677.8493067953304</v>
      </c>
      <c r="F185" s="87"/>
    </row>
    <row r="186" spans="2:10">
      <c r="B186" s="101" t="s">
        <v>26</v>
      </c>
      <c r="C186" s="7">
        <f>Model!$AD$107</f>
        <v>535839</v>
      </c>
      <c r="D186" s="14"/>
      <c r="E186" s="76">
        <f t="shared" ref="E186:E187" si="2">C186*$J$170</f>
        <v>355.62096404892588</v>
      </c>
      <c r="F186" s="87"/>
    </row>
    <row r="187" spans="2:10">
      <c r="B187" s="101" t="s">
        <v>27</v>
      </c>
      <c r="C187" s="7">
        <f>Model!$AD$108</f>
        <v>1992294</v>
      </c>
      <c r="D187" s="14"/>
      <c r="E187" s="76">
        <f t="shared" si="2"/>
        <v>1322.2283427464047</v>
      </c>
      <c r="F187" s="87"/>
    </row>
    <row r="188" spans="2:10">
      <c r="B188" s="81"/>
      <c r="C188" s="74"/>
      <c r="D188" s="14"/>
      <c r="E188" s="76"/>
      <c r="F188" s="87"/>
      <c r="I188" s="170"/>
    </row>
    <row r="189" spans="2:10">
      <c r="B189" s="99" t="s">
        <v>28</v>
      </c>
      <c r="C189" s="11">
        <f>C181+C175+C185</f>
        <v>24369171</v>
      </c>
      <c r="D189" s="10">
        <f>C189/C196</f>
        <v>0.54440432946853423</v>
      </c>
      <c r="E189" s="11">
        <f>E181+E175+E185</f>
        <v>16173.119321462469</v>
      </c>
      <c r="F189" s="100">
        <f>E189/E196</f>
        <v>0.51453645782736357</v>
      </c>
    </row>
    <row r="190" spans="2:10">
      <c r="B190" s="101" t="s">
        <v>29</v>
      </c>
      <c r="C190" s="102">
        <f>Model!AD$115</f>
        <v>9075311</v>
      </c>
      <c r="D190" s="103"/>
      <c r="E190" s="76">
        <f>C190*$J$170</f>
        <v>6023.0234209600676</v>
      </c>
      <c r="F190" s="87"/>
    </row>
    <row r="191" spans="2:10">
      <c r="B191" s="101" t="s">
        <v>30</v>
      </c>
      <c r="C191" s="102">
        <f>Model!AD$116</f>
        <v>6219683</v>
      </c>
      <c r="D191" s="103"/>
      <c r="E191" s="76">
        <f>C191*$J$170</f>
        <v>4127.8250827929951</v>
      </c>
      <c r="F191" s="87"/>
    </row>
    <row r="192" spans="2:10">
      <c r="B192" s="101" t="s">
        <v>31</v>
      </c>
      <c r="C192" s="102">
        <f>Model!AD$117</f>
        <v>1667287</v>
      </c>
      <c r="D192" s="103"/>
      <c r="E192" s="76">
        <f>C192*$J$170</f>
        <v>1106.5305255613</v>
      </c>
      <c r="F192" s="87"/>
    </row>
    <row r="193" spans="2:6">
      <c r="B193" s="99" t="s">
        <v>18</v>
      </c>
      <c r="C193" s="11">
        <f>C189-C190-C191-C192</f>
        <v>7406890</v>
      </c>
      <c r="D193" s="10">
        <f>C193/C196</f>
        <v>0.16546902575788039</v>
      </c>
      <c r="E193" s="11">
        <f>E189-E190-E191-E192</f>
        <v>4915.7402921481062</v>
      </c>
      <c r="F193" s="100">
        <f>E193/E196</f>
        <v>0.1563908326679197</v>
      </c>
    </row>
    <row r="194" spans="2:6">
      <c r="B194" s="104" t="s">
        <v>32</v>
      </c>
      <c r="C194" s="9">
        <f>Model!AD$121</f>
        <v>87142485</v>
      </c>
      <c r="D194" s="8"/>
      <c r="E194" s="78">
        <f>C194*J170</f>
        <v>57833.966033303033</v>
      </c>
      <c r="F194" s="87"/>
    </row>
    <row r="195" spans="2:6">
      <c r="B195" s="104" t="s">
        <v>33</v>
      </c>
      <c r="C195" s="9">
        <f>C193+C194</f>
        <v>94549375</v>
      </c>
      <c r="D195" s="8"/>
      <c r="E195" s="9">
        <f>E193+E194</f>
        <v>62749.706325451138</v>
      </c>
      <c r="F195" s="87"/>
    </row>
    <row r="196" spans="2:6" ht="15.75" thickBot="1">
      <c r="B196" s="105" t="s">
        <v>34</v>
      </c>
      <c r="C196" s="106">
        <f>Model!$AD$82</f>
        <v>44763000</v>
      </c>
      <c r="D196" s="107"/>
      <c r="E196" s="108">
        <f>C196*J171</f>
        <v>31432.406927496762</v>
      </c>
      <c r="F196" s="88"/>
    </row>
    <row r="197" spans="2:6">
      <c r="B197" s="5" t="s">
        <v>35</v>
      </c>
      <c r="C197" s="4">
        <f>+C189-Model!AD$114</f>
        <v>0</v>
      </c>
      <c r="D197" s="3"/>
    </row>
    <row r="198" spans="2:6">
      <c r="B198" s="5"/>
      <c r="C198" s="4"/>
      <c r="D198" s="3"/>
    </row>
    <row r="199" spans="2:6" ht="15.75" thickBot="1">
      <c r="B199" s="5"/>
      <c r="C199" s="4"/>
      <c r="D199" s="3"/>
    </row>
    <row r="200" spans="2:6" ht="15.75" thickBot="1">
      <c r="B200" s="188" t="s">
        <v>58</v>
      </c>
      <c r="C200" s="195" t="str">
        <f>C173</f>
        <v>KRW mn</v>
      </c>
      <c r="D200" s="189" t="str">
        <f>E173</f>
        <v>USD mn</v>
      </c>
    </row>
    <row r="201" spans="2:6">
      <c r="B201" s="101" t="s">
        <v>29</v>
      </c>
      <c r="C201" s="193">
        <f>C190</f>
        <v>9075311</v>
      </c>
      <c r="D201" s="159">
        <f>C201*$J$170</f>
        <v>6023.0234209600676</v>
      </c>
    </row>
    <row r="202" spans="2:6">
      <c r="B202" s="101" t="s">
        <v>30</v>
      </c>
      <c r="C202" s="193">
        <f>C191</f>
        <v>6219683</v>
      </c>
      <c r="D202" s="159">
        <f t="shared" ref="D202:D203" si="3">C202*$J$170</f>
        <v>4127.8250827929951</v>
      </c>
    </row>
    <row r="203" spans="2:6" ht="15.75" thickBot="1">
      <c r="B203" s="101" t="s">
        <v>31</v>
      </c>
      <c r="C203" s="193">
        <f>C192</f>
        <v>1667287</v>
      </c>
      <c r="D203" s="159">
        <f t="shared" si="3"/>
        <v>1106.5305255613</v>
      </c>
    </row>
    <row r="204" spans="2:6" ht="15.75" thickBot="1">
      <c r="B204" s="111" t="s">
        <v>5</v>
      </c>
      <c r="C204" s="196">
        <f>SUM(C201:C203)</f>
        <v>16962281</v>
      </c>
      <c r="D204" s="112">
        <f>SUM(D201:D203)</f>
        <v>11257.379029314363</v>
      </c>
    </row>
    <row r="205" spans="2:6">
      <c r="B205" s="5"/>
      <c r="C205" s="4"/>
      <c r="D205" s="3"/>
    </row>
    <row r="206" spans="2:6">
      <c r="B206" s="2"/>
      <c r="C206" s="79"/>
    </row>
    <row r="207" spans="2:6" ht="15.75" thickBot="1">
      <c r="B207" s="2"/>
      <c r="C207" s="79"/>
      <c r="D207" s="79"/>
      <c r="E207" s="77"/>
    </row>
    <row r="208" spans="2:6" ht="15.75" thickBot="1">
      <c r="B208" s="190" t="s">
        <v>59</v>
      </c>
      <c r="C208" s="195" t="str">
        <f>C173</f>
        <v>KRW mn</v>
      </c>
      <c r="D208" s="187" t="str">
        <f>E173</f>
        <v>USD mn</v>
      </c>
    </row>
    <row r="209" spans="1:12">
      <c r="B209" s="81">
        <v>2025</v>
      </c>
      <c r="C209" s="120">
        <v>6790861.2300000004</v>
      </c>
      <c r="D209" s="118">
        <f>C209*$J$170</f>
        <v>4506.8996794467639</v>
      </c>
    </row>
    <row r="210" spans="1:12">
      <c r="B210" s="81">
        <v>2026</v>
      </c>
      <c r="C210" s="120">
        <v>17845651.27</v>
      </c>
      <c r="D210" s="118">
        <f t="shared" ref="D210:D214" si="4">C210*$J$170</f>
        <v>11843.646522030569</v>
      </c>
    </row>
    <row r="211" spans="1:12">
      <c r="B211" s="81">
        <v>2027</v>
      </c>
      <c r="C211" s="120">
        <v>11746344.890000001</v>
      </c>
      <c r="D211" s="118">
        <f t="shared" si="4"/>
        <v>7795.7119467470166</v>
      </c>
    </row>
    <row r="212" spans="1:12">
      <c r="B212" s="81">
        <v>2028</v>
      </c>
      <c r="C212" s="120">
        <v>10163098.52</v>
      </c>
      <c r="D212" s="118">
        <f t="shared" si="4"/>
        <v>6744.9567750884344</v>
      </c>
    </row>
    <row r="213" spans="1:12">
      <c r="B213" s="81">
        <v>2029</v>
      </c>
      <c r="C213" s="120">
        <v>7216100.04</v>
      </c>
      <c r="D213" s="118">
        <f t="shared" si="4"/>
        <v>4789.1184719632065</v>
      </c>
    </row>
    <row r="214" spans="1:12">
      <c r="B214" s="81" t="s">
        <v>53</v>
      </c>
      <c r="C214" s="120">
        <f>75360191.68-SUM(C209:C213)</f>
        <v>21598135.730000012</v>
      </c>
      <c r="D214" s="118">
        <f t="shared" si="4"/>
        <v>14334.062750121129</v>
      </c>
    </row>
    <row r="215" spans="1:12" ht="15.75" thickBot="1">
      <c r="B215" s="83"/>
      <c r="C215" s="121">
        <f>SUM(C209:C214)</f>
        <v>75360191.680000007</v>
      </c>
      <c r="D215" s="122">
        <f>SUM(D209:D214)</f>
        <v>50014.396145397113</v>
      </c>
      <c r="G215" s="191"/>
    </row>
    <row r="219" spans="1:12">
      <c r="A219" s="15" t="s">
        <v>60</v>
      </c>
      <c r="I219" s="2" t="s">
        <v>61</v>
      </c>
      <c r="J219" s="95">
        <f>Model!$AC$203</f>
        <v>6.793247511973099E-4</v>
      </c>
    </row>
    <row r="220" spans="1:12">
      <c r="I220" s="2" t="s">
        <v>62</v>
      </c>
      <c r="J220" s="95">
        <f>Model!$AC$204</f>
        <v>7.1160834649800679E-4</v>
      </c>
    </row>
    <row r="221" spans="1:12" ht="15.75" thickBot="1">
      <c r="I221" s="2"/>
      <c r="J221" s="95"/>
    </row>
    <row r="222" spans="1:12">
      <c r="B222" s="175" t="s">
        <v>63</v>
      </c>
      <c r="C222" s="177" t="s">
        <v>10</v>
      </c>
      <c r="D222" s="177" t="s">
        <v>11</v>
      </c>
      <c r="E222" s="177" t="s">
        <v>12</v>
      </c>
      <c r="F222" s="178" t="s">
        <v>11</v>
      </c>
      <c r="I222" s="175" t="s">
        <v>13</v>
      </c>
      <c r="J222" s="176" t="str">
        <f>C222</f>
        <v>KRW mn</v>
      </c>
    </row>
    <row r="223" spans="1:12">
      <c r="B223" s="81"/>
      <c r="C223" s="162"/>
      <c r="D223" s="14"/>
      <c r="E223" s="76"/>
      <c r="F223" s="87"/>
      <c r="I223" s="171" t="s">
        <v>14</v>
      </c>
      <c r="J223" s="174">
        <v>23333671</v>
      </c>
      <c r="K223" s="13"/>
      <c r="L223" s="74"/>
    </row>
    <row r="224" spans="1:12">
      <c r="B224" s="98" t="s">
        <v>15</v>
      </c>
      <c r="C224" s="77">
        <f>SUM(C225:C228)</f>
        <v>9079608</v>
      </c>
      <c r="D224" s="14"/>
      <c r="E224" s="77">
        <f>SUM(E225:E227)</f>
        <v>6168.0024455691055</v>
      </c>
      <c r="F224" s="87"/>
      <c r="I224" s="171" t="s">
        <v>16</v>
      </c>
      <c r="J224" s="174">
        <v>-14310984</v>
      </c>
      <c r="K224" s="13"/>
      <c r="L224" s="74"/>
    </row>
    <row r="225" spans="2:10">
      <c r="B225" s="81" t="s">
        <v>17</v>
      </c>
      <c r="C225" s="50">
        <v>2018137</v>
      </c>
      <c r="D225" s="14"/>
      <c r="E225" s="76">
        <f>C225*$J$219</f>
        <v>1370.9704154070855</v>
      </c>
      <c r="F225" s="87"/>
      <c r="I225" s="171" t="s">
        <v>18</v>
      </c>
      <c r="J225" s="159">
        <f>SUM(J223:J224)</f>
        <v>9022687</v>
      </c>
    </row>
    <row r="226" spans="2:10" ht="15.75" thickBot="1">
      <c r="B226" s="81" t="s">
        <v>19</v>
      </c>
      <c r="C226" s="50">
        <v>1589676</v>
      </c>
      <c r="D226" s="14"/>
      <c r="E226" s="76">
        <f t="shared" ref="E226:E227" si="5">C226*$J$219</f>
        <v>1079.9062531843349</v>
      </c>
      <c r="F226" s="87"/>
      <c r="I226" s="173" t="s">
        <v>20</v>
      </c>
      <c r="J226" s="172">
        <f>J225/C245</f>
        <v>0.22163863027831684</v>
      </c>
    </row>
    <row r="227" spans="2:10">
      <c r="B227" s="81" t="s">
        <v>21</v>
      </c>
      <c r="C227" s="50">
        <v>5471795</v>
      </c>
      <c r="D227" s="14"/>
      <c r="E227" s="76">
        <f t="shared" si="5"/>
        <v>3717.1257769776844</v>
      </c>
      <c r="F227" s="87"/>
      <c r="I227" s="113"/>
      <c r="J227" s="114"/>
    </row>
    <row r="228" spans="2:10">
      <c r="B228" s="81"/>
      <c r="C228" s="50"/>
      <c r="D228" s="14"/>
      <c r="E228" s="76"/>
      <c r="F228" s="87"/>
    </row>
    <row r="229" spans="2:10">
      <c r="B229" s="81"/>
      <c r="C229" s="74"/>
      <c r="D229" s="14"/>
      <c r="E229" s="76"/>
      <c r="F229" s="87"/>
    </row>
    <row r="230" spans="2:10">
      <c r="B230" s="98" t="s">
        <v>22</v>
      </c>
      <c r="C230" s="77">
        <f>SUM(C231:C232)</f>
        <v>14254063</v>
      </c>
      <c r="D230" s="14"/>
      <c r="E230" s="77">
        <f>SUM(E231:E232)</f>
        <v>9683.1378010257813</v>
      </c>
      <c r="F230" s="87"/>
    </row>
    <row r="231" spans="2:10">
      <c r="B231" s="81" t="s">
        <v>23</v>
      </c>
      <c r="C231" s="50">
        <v>4153639</v>
      </c>
      <c r="D231" s="14"/>
      <c r="E231" s="76">
        <f t="shared" ref="E231:E232" si="6">C231*$J$219</f>
        <v>2821.6697802384433</v>
      </c>
      <c r="F231" s="87"/>
    </row>
    <row r="232" spans="2:10">
      <c r="B232" s="81" t="s">
        <v>24</v>
      </c>
      <c r="C232" s="50">
        <v>10100424</v>
      </c>
      <c r="D232" s="14"/>
      <c r="E232" s="76">
        <f t="shared" si="6"/>
        <v>6861.468020787338</v>
      </c>
      <c r="F232" s="87"/>
    </row>
    <row r="233" spans="2:10">
      <c r="B233" s="81"/>
      <c r="C233" s="50"/>
      <c r="D233" s="14"/>
      <c r="E233" s="76"/>
      <c r="F233" s="87"/>
    </row>
    <row r="234" spans="2:10">
      <c r="B234" s="104" t="s">
        <v>25</v>
      </c>
      <c r="C234" s="77">
        <f>SUM(C235:C236)</f>
        <v>2650095</v>
      </c>
      <c r="D234" s="14"/>
      <c r="E234" s="77">
        <f>SUM(E235:E236)</f>
        <v>1800.275126524235</v>
      </c>
      <c r="F234" s="87"/>
    </row>
    <row r="235" spans="2:10">
      <c r="B235" s="101" t="s">
        <v>26</v>
      </c>
      <c r="C235" s="7">
        <f>Model!$AC$107</f>
        <v>563533</v>
      </c>
      <c r="D235" s="14"/>
      <c r="E235" s="76">
        <f t="shared" ref="E235:E236" si="7">C235*$J$219</f>
        <v>382.82191501647367</v>
      </c>
      <c r="F235" s="87"/>
    </row>
    <row r="236" spans="2:10">
      <c r="B236" s="101" t="s">
        <v>27</v>
      </c>
      <c r="C236" s="7">
        <f>Model!$AC$108</f>
        <v>2086562</v>
      </c>
      <c r="D236" s="14"/>
      <c r="E236" s="76">
        <f t="shared" si="7"/>
        <v>1417.4532115077614</v>
      </c>
      <c r="F236" s="87"/>
    </row>
    <row r="237" spans="2:10">
      <c r="B237" s="81"/>
      <c r="C237" s="74"/>
      <c r="D237" s="14"/>
      <c r="E237" s="76"/>
      <c r="F237" s="87"/>
      <c r="I237" s="170"/>
    </row>
    <row r="238" spans="2:10">
      <c r="B238" s="99" t="s">
        <v>28</v>
      </c>
      <c r="C238" s="11">
        <f>C230+C224+C234</f>
        <v>25983766</v>
      </c>
      <c r="D238" s="10">
        <f>C238/C245</f>
        <v>0.63828062590581935</v>
      </c>
      <c r="E238" s="11">
        <f>E230+E224+E234</f>
        <v>17651.415373119122</v>
      </c>
      <c r="F238" s="100">
        <f>E238/E245</f>
        <v>0.60932369543075404</v>
      </c>
    </row>
    <row r="239" spans="2:10">
      <c r="B239" s="101" t="s">
        <v>29</v>
      </c>
      <c r="C239" s="102">
        <f>Model!AC$115</f>
        <v>12558069</v>
      </c>
      <c r="D239" s="103"/>
      <c r="E239" s="76">
        <f t="shared" ref="E239:E241" si="8">C239*$J$219</f>
        <v>8531.0070989436499</v>
      </c>
      <c r="F239" s="87"/>
    </row>
    <row r="240" spans="2:10">
      <c r="B240" s="101" t="s">
        <v>30</v>
      </c>
      <c r="C240" s="102">
        <f>Model!AC$116</f>
        <v>1051356</v>
      </c>
      <c r="D240" s="103"/>
      <c r="E240" s="76">
        <f t="shared" si="8"/>
        <v>714.21215311979893</v>
      </c>
      <c r="F240" s="87"/>
    </row>
    <row r="241" spans="2:6">
      <c r="B241" s="101" t="s">
        <v>31</v>
      </c>
      <c r="C241" s="102">
        <f>Model!AC$117</f>
        <v>701559</v>
      </c>
      <c r="D241" s="103"/>
      <c r="E241" s="76">
        <f t="shared" si="8"/>
        <v>476.58639312523354</v>
      </c>
      <c r="F241" s="87"/>
    </row>
    <row r="242" spans="2:6">
      <c r="B242" s="99" t="s">
        <v>18</v>
      </c>
      <c r="C242" s="11">
        <f>C238-C239-C240-C241</f>
        <v>11672782</v>
      </c>
      <c r="D242" s="10">
        <f>C242/C245</f>
        <v>0.28673713429462772</v>
      </c>
      <c r="E242" s="11">
        <f>E238-E239-E240-E241</f>
        <v>7929.6097279304395</v>
      </c>
      <c r="F242" s="100">
        <f>E242/E245</f>
        <v>0.27372870677012678</v>
      </c>
    </row>
    <row r="243" spans="2:6">
      <c r="B243" s="104" t="s">
        <v>32</v>
      </c>
      <c r="C243" s="9">
        <f>Model!AC$121</f>
        <v>81438753</v>
      </c>
      <c r="D243" s="8"/>
      <c r="E243" s="78">
        <f>C243*J219</f>
        <v>55323.360619544175</v>
      </c>
      <c r="F243" s="87"/>
    </row>
    <row r="244" spans="2:6">
      <c r="B244" s="104" t="s">
        <v>33</v>
      </c>
      <c r="C244" s="9">
        <f>C242+C243</f>
        <v>93111535</v>
      </c>
      <c r="D244" s="8"/>
      <c r="E244" s="9">
        <f>E242+E243</f>
        <v>63252.970347474613</v>
      </c>
      <c r="F244" s="87"/>
    </row>
    <row r="245" spans="2:6" ht="15.75" thickBot="1">
      <c r="B245" s="105" t="s">
        <v>34</v>
      </c>
      <c r="C245" s="106">
        <f>Model!$AC$82</f>
        <v>40709000</v>
      </c>
      <c r="D245" s="107"/>
      <c r="E245" s="108">
        <f>C245*J220</f>
        <v>28968.864177587358</v>
      </c>
      <c r="F245" s="88"/>
    </row>
    <row r="246" spans="2:6">
      <c r="B246" s="5" t="s">
        <v>35</v>
      </c>
      <c r="C246" s="4">
        <f>+C238-Model!AC$114</f>
        <v>0</v>
      </c>
      <c r="D246" s="3"/>
    </row>
    <row r="247" spans="2:6">
      <c r="B247" s="5"/>
      <c r="C247" s="4"/>
      <c r="D247" s="3"/>
    </row>
    <row r="248" spans="2:6" ht="15.75" thickBot="1">
      <c r="B248" s="5"/>
      <c r="C248" s="4"/>
      <c r="D248" s="3"/>
    </row>
    <row r="249" spans="2:6" ht="15.75" thickBot="1">
      <c r="B249" s="179" t="s">
        <v>64</v>
      </c>
      <c r="C249" s="180" t="str">
        <f>C222</f>
        <v>KRW mn</v>
      </c>
      <c r="D249" s="180" t="str">
        <f>E222</f>
        <v>USD mn</v>
      </c>
    </row>
    <row r="250" spans="2:6">
      <c r="B250" s="101" t="s">
        <v>29</v>
      </c>
      <c r="C250" s="159">
        <f>C239</f>
        <v>12558069</v>
      </c>
      <c r="D250" s="159">
        <f>C250*$J$219</f>
        <v>8531.0070989436499</v>
      </c>
    </row>
    <row r="251" spans="2:6">
      <c r="B251" s="101" t="s">
        <v>30</v>
      </c>
      <c r="C251" s="159">
        <f>C240</f>
        <v>1051356</v>
      </c>
      <c r="D251" s="159">
        <f t="shared" ref="D251:D252" si="9">C251*$J$219</f>
        <v>714.21215311979893</v>
      </c>
    </row>
    <row r="252" spans="2:6" ht="15.75" thickBot="1">
      <c r="B252" s="101" t="s">
        <v>31</v>
      </c>
      <c r="C252" s="159">
        <f>C241</f>
        <v>701559</v>
      </c>
      <c r="D252" s="159">
        <f t="shared" si="9"/>
        <v>476.58639312523354</v>
      </c>
    </row>
    <row r="253" spans="2:6" ht="15.75" thickBot="1">
      <c r="B253" s="111" t="s">
        <v>5</v>
      </c>
      <c r="C253" s="112">
        <f>SUM(C250:C252)</f>
        <v>14310984</v>
      </c>
      <c r="D253" s="112">
        <f>SUM(D250:D252)</f>
        <v>9721.8056451886823</v>
      </c>
    </row>
    <row r="254" spans="2:6">
      <c r="B254" s="5"/>
      <c r="C254" s="4"/>
      <c r="D254" s="3"/>
    </row>
    <row r="255" spans="2:6">
      <c r="B255" s="2"/>
      <c r="C255" s="79"/>
    </row>
    <row r="256" spans="2:6" ht="15.75" thickBot="1">
      <c r="B256" s="2"/>
      <c r="C256" s="79"/>
      <c r="D256" s="79"/>
      <c r="E256" s="77"/>
    </row>
    <row r="257" spans="1:12">
      <c r="B257" s="181" t="s">
        <v>65</v>
      </c>
      <c r="C257" s="178" t="str">
        <f>C222</f>
        <v>KRW mn</v>
      </c>
      <c r="D257" s="178" t="str">
        <f>E222</f>
        <v>USD mn</v>
      </c>
    </row>
    <row r="258" spans="1:12">
      <c r="B258" s="81">
        <v>2025</v>
      </c>
      <c r="C258" s="120">
        <v>7926851.0199999996</v>
      </c>
      <c r="D258" s="118">
        <f>C258*$J$219</f>
        <v>5384.9060969396423</v>
      </c>
    </row>
    <row r="259" spans="1:12">
      <c r="B259" s="81">
        <v>2026</v>
      </c>
      <c r="C259" s="120">
        <v>17772234.800000001</v>
      </c>
      <c r="D259" s="118">
        <f t="shared" ref="D259:D263" si="10">C259*$J$219</f>
        <v>12073.118983730174</v>
      </c>
    </row>
    <row r="260" spans="1:12">
      <c r="B260" s="81">
        <v>2027</v>
      </c>
      <c r="C260" s="120">
        <v>11334247.699999999</v>
      </c>
      <c r="D260" s="118">
        <f t="shared" si="10"/>
        <v>7699.6349988111815</v>
      </c>
    </row>
    <row r="261" spans="1:12">
      <c r="B261" s="81">
        <v>2028</v>
      </c>
      <c r="C261" s="120">
        <v>9983995.1799999997</v>
      </c>
      <c r="D261" s="118">
        <f t="shared" si="10"/>
        <v>6782.3750416086414</v>
      </c>
    </row>
    <row r="262" spans="1:12">
      <c r="B262" s="81">
        <v>2029</v>
      </c>
      <c r="C262" s="120">
        <v>7196662.3099999996</v>
      </c>
      <c r="D262" s="118">
        <f t="shared" si="10"/>
        <v>4888.8708331918069</v>
      </c>
    </row>
    <row r="263" spans="1:12">
      <c r="B263" s="81" t="s">
        <v>53</v>
      </c>
      <c r="C263" s="120">
        <f>75498844.9-SUM(C258:C262)</f>
        <v>21284853.890000008</v>
      </c>
      <c r="D263" s="118">
        <f t="shared" si="10"/>
        <v>14459.328073095348</v>
      </c>
    </row>
    <row r="264" spans="1:12" ht="15.75" thickBot="1">
      <c r="B264" s="83"/>
      <c r="C264" s="121">
        <f>SUM(C258:C263)</f>
        <v>75498844.900000006</v>
      </c>
      <c r="D264" s="122">
        <f>SUM(D258:D263)</f>
        <v>51288.234027376799</v>
      </c>
    </row>
    <row r="267" spans="1:12">
      <c r="A267" s="15" t="s">
        <v>66</v>
      </c>
      <c r="I267" s="2" t="s">
        <v>67</v>
      </c>
      <c r="J267" s="95">
        <f>Model!AB$203</f>
        <v>6.793247511973099E-4</v>
      </c>
    </row>
    <row r="268" spans="1:12">
      <c r="I268" s="2" t="s">
        <v>68</v>
      </c>
      <c r="J268" s="95">
        <f>Model!AB$204</f>
        <v>7.2741068287800301E-4</v>
      </c>
    </row>
    <row r="269" spans="1:12" ht="15.75" thickBot="1">
      <c r="I269" s="2"/>
      <c r="J269" s="95"/>
    </row>
    <row r="270" spans="1:12" ht="15.75" thickBot="1">
      <c r="B270" s="97" t="s">
        <v>69</v>
      </c>
      <c r="C270" s="85" t="s">
        <v>70</v>
      </c>
      <c r="D270" s="85" t="s">
        <v>11</v>
      </c>
      <c r="E270" s="85" t="s">
        <v>12</v>
      </c>
      <c r="F270" s="86" t="s">
        <v>11</v>
      </c>
      <c r="I270" s="109" t="s">
        <v>71</v>
      </c>
      <c r="J270" s="110" t="s">
        <v>70</v>
      </c>
    </row>
    <row r="271" spans="1:12">
      <c r="B271" s="81"/>
      <c r="C271" s="162"/>
      <c r="D271" s="14"/>
      <c r="E271" s="76"/>
      <c r="F271" s="87"/>
      <c r="I271" s="101" t="s">
        <v>29</v>
      </c>
      <c r="J271" s="159">
        <f>C287</f>
        <v>11205117</v>
      </c>
      <c r="K271" s="13"/>
      <c r="L271" s="74"/>
    </row>
    <row r="272" spans="1:12">
      <c r="B272" s="98" t="s">
        <v>15</v>
      </c>
      <c r="C272" s="77">
        <f>SUM(C273:C276)</f>
        <v>5252238</v>
      </c>
      <c r="D272" s="14"/>
      <c r="E272" s="78">
        <f>C272*J267</f>
        <v>3567.9752725790568</v>
      </c>
      <c r="F272" s="87"/>
      <c r="I272" s="101" t="s">
        <v>30</v>
      </c>
      <c r="J272" s="159">
        <f t="shared" ref="J272:J273" si="11">C288</f>
        <v>2382010</v>
      </c>
      <c r="K272" s="13"/>
      <c r="L272" s="74"/>
    </row>
    <row r="273" spans="2:10" ht="15.75" thickBot="1">
      <c r="B273" s="81" t="s">
        <v>17</v>
      </c>
      <c r="C273" s="50">
        <v>1283488</v>
      </c>
      <c r="D273" s="14"/>
      <c r="E273" s="76">
        <f>C273*$J$267</f>
        <v>871.90516626473288</v>
      </c>
      <c r="F273" s="87"/>
      <c r="I273" s="101" t="s">
        <v>31</v>
      </c>
      <c r="J273" s="159">
        <f t="shared" si="11"/>
        <v>569236</v>
      </c>
    </row>
    <row r="274" spans="2:10" ht="15.75" thickBot="1">
      <c r="B274" s="81" t="s">
        <v>19</v>
      </c>
      <c r="C274" s="50">
        <v>1143258</v>
      </c>
      <c r="D274" s="14"/>
      <c r="E274" s="76">
        <f t="shared" ref="E274:E275" si="12">C274*$J$267</f>
        <v>776.64345640433407</v>
      </c>
      <c r="F274" s="87"/>
      <c r="I274" s="111" t="s">
        <v>5</v>
      </c>
      <c r="J274" s="112">
        <f>SUM(J271:J273)</f>
        <v>14156363</v>
      </c>
    </row>
    <row r="275" spans="2:10">
      <c r="B275" s="81" t="s">
        <v>21</v>
      </c>
      <c r="C275" s="50">
        <v>2825492</v>
      </c>
      <c r="D275" s="14"/>
      <c r="E275" s="76">
        <f t="shared" si="12"/>
        <v>1919.4266499099895</v>
      </c>
      <c r="F275" s="87"/>
      <c r="I275" s="113"/>
      <c r="J275" s="114"/>
    </row>
    <row r="276" spans="2:10">
      <c r="B276" s="81"/>
      <c r="C276" s="50"/>
      <c r="D276" s="14"/>
      <c r="E276" s="76"/>
      <c r="F276" s="87"/>
    </row>
    <row r="277" spans="2:10">
      <c r="B277" s="81"/>
      <c r="C277" s="74"/>
      <c r="D277" s="14"/>
      <c r="E277" s="76"/>
      <c r="F277" s="87"/>
      <c r="I277" s="160" t="s">
        <v>72</v>
      </c>
      <c r="J277" s="50">
        <v>22680000</v>
      </c>
    </row>
    <row r="278" spans="2:10">
      <c r="B278" s="98" t="s">
        <v>22</v>
      </c>
      <c r="C278" s="77">
        <f>SUM(C279:C280)</f>
        <v>17431495</v>
      </c>
      <c r="D278" s="14"/>
      <c r="E278" s="78">
        <f>C278*J267</f>
        <v>11841.646003872151</v>
      </c>
      <c r="F278" s="87"/>
    </row>
    <row r="279" spans="2:10">
      <c r="B279" s="81" t="s">
        <v>23</v>
      </c>
      <c r="C279" s="50">
        <v>5022069</v>
      </c>
      <c r="D279" s="14"/>
      <c r="E279" s="76">
        <f t="shared" ref="E279:E280" si="13">C279*$J$267</f>
        <v>3411.6157739207229</v>
      </c>
      <c r="F279" s="87"/>
    </row>
    <row r="280" spans="2:10">
      <c r="B280" s="81" t="s">
        <v>24</v>
      </c>
      <c r="C280" s="50">
        <v>12409426</v>
      </c>
      <c r="D280" s="14"/>
      <c r="E280" s="76">
        <f t="shared" si="13"/>
        <v>8430.0302299514278</v>
      </c>
      <c r="F280" s="87"/>
    </row>
    <row r="281" spans="2:10">
      <c r="B281" s="81"/>
      <c r="C281" s="50"/>
      <c r="D281" s="14"/>
      <c r="E281" s="76"/>
      <c r="F281" s="87"/>
    </row>
    <row r="282" spans="2:10">
      <c r="B282" s="104" t="s">
        <v>25</v>
      </c>
      <c r="C282" s="77">
        <f>SUM(C283:C284)</f>
        <v>2768376</v>
      </c>
      <c r="D282" s="14"/>
      <c r="E282" s="77">
        <f>SUM(E283:E284)</f>
        <v>1880.6263374206039</v>
      </c>
      <c r="F282" s="87"/>
    </row>
    <row r="283" spans="2:10">
      <c r="B283" s="101" t="s">
        <v>26</v>
      </c>
      <c r="C283" s="7">
        <f>Model!$I107</f>
        <v>588355</v>
      </c>
      <c r="D283" s="14"/>
      <c r="E283" s="76">
        <f t="shared" ref="E283:E284" si="14">C283*$J$267</f>
        <v>399.68411399069328</v>
      </c>
      <c r="F283" s="87"/>
    </row>
    <row r="284" spans="2:10">
      <c r="B284" s="101" t="s">
        <v>27</v>
      </c>
      <c r="C284" s="7">
        <f>Model!$I108</f>
        <v>2180021</v>
      </c>
      <c r="D284" s="14"/>
      <c r="E284" s="76">
        <f t="shared" si="14"/>
        <v>1480.9422234299107</v>
      </c>
      <c r="F284" s="87"/>
    </row>
    <row r="285" spans="2:10">
      <c r="B285" s="81"/>
      <c r="C285" s="74"/>
      <c r="D285" s="14"/>
      <c r="E285" s="76"/>
      <c r="F285" s="87"/>
    </row>
    <row r="286" spans="2:10">
      <c r="B286" s="99" t="s">
        <v>28</v>
      </c>
      <c r="C286" s="11">
        <f>C278+C272+C282</f>
        <v>25452109</v>
      </c>
      <c r="D286" s="10">
        <f>C286/C293</f>
        <v>0.70674781328964542</v>
      </c>
      <c r="E286" s="11">
        <f>E278+E272+E282</f>
        <v>17290.247613871812</v>
      </c>
      <c r="F286" s="100">
        <f>E286/E293</f>
        <v>0.66002781334289617</v>
      </c>
    </row>
    <row r="287" spans="2:10">
      <c r="B287" s="101" t="s">
        <v>29</v>
      </c>
      <c r="C287" s="102">
        <f>Model!AB$115</f>
        <v>11205117</v>
      </c>
      <c r="D287" s="103"/>
      <c r="E287" s="76">
        <f t="shared" ref="E287:E289" si="15">C287*$J$267</f>
        <v>7611.9133181617472</v>
      </c>
      <c r="F287" s="87"/>
    </row>
    <row r="288" spans="2:10">
      <c r="B288" s="101" t="s">
        <v>30</v>
      </c>
      <c r="C288" s="102">
        <f>Model!AB$116</f>
        <v>2382010</v>
      </c>
      <c r="D288" s="103"/>
      <c r="E288" s="76">
        <f t="shared" si="15"/>
        <v>1618.158350599504</v>
      </c>
      <c r="F288" s="87"/>
    </row>
    <row r="289" spans="2:6">
      <c r="B289" s="101" t="s">
        <v>31</v>
      </c>
      <c r="C289" s="102">
        <f>Model!AB$117</f>
        <v>569236</v>
      </c>
      <c r="D289" s="103"/>
      <c r="E289" s="76">
        <f t="shared" si="15"/>
        <v>386.69610407255192</v>
      </c>
      <c r="F289" s="87"/>
    </row>
    <row r="290" spans="2:6">
      <c r="B290" s="99" t="s">
        <v>18</v>
      </c>
      <c r="C290" s="11">
        <f>C286-C287-C288-C289</f>
        <v>11295746</v>
      </c>
      <c r="D290" s="10">
        <f>C290/C293</f>
        <v>0.31365745702940606</v>
      </c>
      <c r="E290" s="11">
        <f>E286-E287-E288-E289</f>
        <v>7673.479841038009</v>
      </c>
      <c r="F290" s="100">
        <f>E290/E293</f>
        <v>0.29292293744525322</v>
      </c>
    </row>
    <row r="291" spans="2:6">
      <c r="B291" s="104" t="s">
        <v>32</v>
      </c>
      <c r="C291" s="9">
        <f>Model!AB$121</f>
        <v>73915704</v>
      </c>
      <c r="D291" s="8"/>
      <c r="E291" s="78">
        <f>C291*J267</f>
        <v>50212.767229374003</v>
      </c>
      <c r="F291" s="87"/>
    </row>
    <row r="292" spans="2:6">
      <c r="B292" s="104" t="s">
        <v>33</v>
      </c>
      <c r="C292" s="9">
        <f>C290+C291</f>
        <v>85211450</v>
      </c>
      <c r="D292" s="8"/>
      <c r="E292" s="9">
        <f>E290+E291</f>
        <v>57886.247070412013</v>
      </c>
      <c r="F292" s="87"/>
    </row>
    <row r="293" spans="2:6" ht="15.75" thickBot="1">
      <c r="B293" s="105" t="s">
        <v>34</v>
      </c>
      <c r="C293" s="106">
        <f>Model!$AB$82</f>
        <v>36013000</v>
      </c>
      <c r="D293" s="107"/>
      <c r="E293" s="108">
        <f>C293*J268</f>
        <v>26196.240922485522</v>
      </c>
      <c r="F293" s="88"/>
    </row>
    <row r="294" spans="2:6">
      <c r="B294" s="5" t="s">
        <v>35</v>
      </c>
      <c r="C294" s="4">
        <f>+C286-Model!AB$114</f>
        <v>0</v>
      </c>
      <c r="D294" s="3"/>
    </row>
    <row r="296" spans="2:6" ht="15.75" thickBot="1">
      <c r="B296" s="2"/>
      <c r="C296" s="79"/>
    </row>
    <row r="297" spans="2:6">
      <c r="B297" s="80" t="s">
        <v>73</v>
      </c>
      <c r="C297" s="89" t="s">
        <v>70</v>
      </c>
      <c r="D297" s="89"/>
      <c r="E297" s="90" t="s">
        <v>12</v>
      </c>
    </row>
    <row r="298" spans="2:6">
      <c r="B298" s="82" t="s">
        <v>29</v>
      </c>
      <c r="C298" s="91">
        <f>C287</f>
        <v>11205117</v>
      </c>
      <c r="D298" s="91"/>
      <c r="E298" s="94">
        <f>E287</f>
        <v>7611.9133181617472</v>
      </c>
    </row>
    <row r="299" spans="2:6">
      <c r="B299" s="82"/>
      <c r="C299" s="74"/>
      <c r="D299" s="74"/>
      <c r="E299" s="84"/>
    </row>
    <row r="300" spans="2:6" ht="15.75" thickBot="1">
      <c r="B300" s="83" t="s">
        <v>74</v>
      </c>
      <c r="C300" s="92">
        <f>SUM(C298:C299)</f>
        <v>11205117</v>
      </c>
      <c r="D300" s="92"/>
      <c r="E300" s="93">
        <f>SUM(E298:E299)</f>
        <v>7611.9133181617472</v>
      </c>
    </row>
    <row r="301" spans="2:6" ht="15.75" thickBot="1">
      <c r="B301" s="2"/>
      <c r="C301" s="79"/>
      <c r="D301" s="79"/>
      <c r="E301" s="77"/>
    </row>
    <row r="302" spans="2:6">
      <c r="B302" s="80" t="s">
        <v>75</v>
      </c>
      <c r="C302" s="119"/>
      <c r="D302" s="117"/>
      <c r="E302" s="119" t="s">
        <v>12</v>
      </c>
    </row>
    <row r="303" spans="2:6">
      <c r="B303" s="81">
        <v>2025</v>
      </c>
      <c r="C303" s="120">
        <v>3384185.05</v>
      </c>
      <c r="E303" s="118">
        <f>C303*J$267</f>
        <v>2298.9606670969056</v>
      </c>
    </row>
    <row r="304" spans="2:6">
      <c r="B304" s="81">
        <v>2026</v>
      </c>
      <c r="C304" s="120">
        <v>3702896.02</v>
      </c>
      <c r="E304" s="118">
        <f t="shared" ref="E304:E308" si="16">C304*J$267</f>
        <v>2515.468917496009</v>
      </c>
    </row>
    <row r="305" spans="1:12">
      <c r="B305" s="81">
        <v>2027</v>
      </c>
      <c r="C305" s="120">
        <v>2628381.5499999998</v>
      </c>
      <c r="E305" s="118">
        <f t="shared" si="16"/>
        <v>1785.5246425053497</v>
      </c>
    </row>
    <row r="306" spans="1:12">
      <c r="B306" s="81">
        <v>2028</v>
      </c>
      <c r="C306" s="120">
        <v>2732254.37</v>
      </c>
      <c r="E306" s="118">
        <f t="shared" si="16"/>
        <v>1856.0880201080129</v>
      </c>
    </row>
    <row r="307" spans="1:12">
      <c r="B307" s="81">
        <v>2029</v>
      </c>
      <c r="C307" s="120">
        <v>1982254.37</v>
      </c>
      <c r="E307" s="118">
        <f t="shared" si="16"/>
        <v>1346.5944567100303</v>
      </c>
    </row>
    <row r="308" spans="1:12">
      <c r="B308" s="81" t="s">
        <v>53</v>
      </c>
      <c r="C308" s="120">
        <f>23295757.6-SUM(C303:C307)</f>
        <v>8865786.2399999984</v>
      </c>
      <c r="E308" s="118">
        <f t="shared" si="16"/>
        <v>6022.7480316565325</v>
      </c>
    </row>
    <row r="309" spans="1:12" ht="15.75" thickBot="1">
      <c r="B309" s="83"/>
      <c r="C309" s="121">
        <f>SUM(C303:C308)</f>
        <v>23295757.600000001</v>
      </c>
      <c r="D309" s="92"/>
      <c r="E309" s="122">
        <f>SUM(E303:E308)</f>
        <v>15825.384735572839</v>
      </c>
    </row>
    <row r="310" spans="1:12">
      <c r="B310" s="2"/>
      <c r="C310" s="79"/>
      <c r="D310" s="79"/>
      <c r="E310" s="77"/>
    </row>
    <row r="311" spans="1:12">
      <c r="A311" s="15" t="s">
        <v>76</v>
      </c>
      <c r="I311" s="2" t="s">
        <v>77</v>
      </c>
      <c r="J311" s="95">
        <f>Model!AA$203</f>
        <v>7.5929567732970892E-4</v>
      </c>
    </row>
    <row r="312" spans="1:12">
      <c r="I312" s="2" t="s">
        <v>78</v>
      </c>
      <c r="J312" s="95">
        <f>Model!AA$204</f>
        <v>7.446646162960484E-4</v>
      </c>
    </row>
    <row r="313" spans="1:12" ht="15.75" thickBot="1">
      <c r="I313" s="2"/>
      <c r="J313" s="95"/>
    </row>
    <row r="314" spans="1:12" ht="15.75" thickBot="1">
      <c r="B314" s="97" t="s">
        <v>79</v>
      </c>
      <c r="C314" s="85" t="s">
        <v>70</v>
      </c>
      <c r="D314" s="85" t="s">
        <v>11</v>
      </c>
      <c r="E314" s="85" t="s">
        <v>12</v>
      </c>
      <c r="F314" s="86" t="s">
        <v>11</v>
      </c>
      <c r="I314" s="109" t="s">
        <v>80</v>
      </c>
      <c r="J314" s="110" t="s">
        <v>81</v>
      </c>
    </row>
    <row r="315" spans="1:12">
      <c r="B315" s="81"/>
      <c r="C315" s="162"/>
      <c r="D315" s="14"/>
      <c r="E315" s="76"/>
      <c r="F315" s="87"/>
      <c r="I315" s="101" t="s">
        <v>29</v>
      </c>
      <c r="J315" s="159">
        <f>C331</f>
        <v>9135688</v>
      </c>
      <c r="K315" s="13"/>
      <c r="L315" s="74"/>
    </row>
    <row r="316" spans="1:12">
      <c r="B316" s="98" t="s">
        <v>15</v>
      </c>
      <c r="C316" s="77">
        <f>SUM(C317:C320)</f>
        <v>5140835</v>
      </c>
      <c r="D316" s="14"/>
      <c r="E316" s="78">
        <f>C316*J311</f>
        <v>3903.4137933652742</v>
      </c>
      <c r="F316" s="87"/>
      <c r="I316" s="101" t="s">
        <v>30</v>
      </c>
      <c r="J316" s="159">
        <f t="shared" ref="J316:J317" si="17">C332</f>
        <v>480464</v>
      </c>
      <c r="K316" s="13"/>
      <c r="L316" s="74"/>
    </row>
    <row r="317" spans="1:12" ht="15.75" thickBot="1">
      <c r="B317" s="81" t="s">
        <v>17</v>
      </c>
      <c r="C317" s="50">
        <v>1742000</v>
      </c>
      <c r="D317" s="14"/>
      <c r="E317" s="76">
        <f>C317*$J$311</f>
        <v>1322.693069908353</v>
      </c>
      <c r="F317" s="87"/>
      <c r="I317" s="101" t="s">
        <v>31</v>
      </c>
      <c r="J317" s="159">
        <f t="shared" si="17"/>
        <v>1241717</v>
      </c>
    </row>
    <row r="318" spans="1:12" ht="15.75" thickBot="1">
      <c r="B318" s="81" t="s">
        <v>19</v>
      </c>
      <c r="C318" s="50">
        <v>1230133</v>
      </c>
      <c r="D318" s="14"/>
      <c r="E318" s="76">
        <f>C318*$J$311</f>
        <v>934.03466944062677</v>
      </c>
      <c r="F318" s="87"/>
      <c r="I318" s="111" t="s">
        <v>5</v>
      </c>
      <c r="J318" s="112">
        <f>SUM(J315:J317)</f>
        <v>10857869</v>
      </c>
    </row>
    <row r="319" spans="1:12">
      <c r="B319" s="81" t="s">
        <v>21</v>
      </c>
      <c r="C319" s="50">
        <v>2168702</v>
      </c>
      <c r="D319" s="14"/>
      <c r="E319" s="76">
        <f>C319*$J$311</f>
        <v>1646.6860540162943</v>
      </c>
      <c r="F319" s="87"/>
      <c r="I319" s="113"/>
      <c r="J319" s="114"/>
    </row>
    <row r="320" spans="1:12">
      <c r="B320" s="81"/>
      <c r="C320" s="50"/>
      <c r="D320" s="14"/>
      <c r="E320" s="76"/>
      <c r="F320" s="87"/>
    </row>
    <row r="321" spans="2:10">
      <c r="B321" s="81"/>
      <c r="C321" s="74"/>
      <c r="D321" s="14"/>
      <c r="E321" s="76"/>
      <c r="F321" s="87"/>
      <c r="I321" s="160" t="s">
        <v>72</v>
      </c>
      <c r="J321" s="50">
        <v>21840000</v>
      </c>
    </row>
    <row r="322" spans="2:10">
      <c r="B322" s="98" t="s">
        <v>22</v>
      </c>
      <c r="C322" s="77">
        <f>SUM(C323:C324)</f>
        <v>16703945</v>
      </c>
      <c r="D322" s="14"/>
      <c r="E322" s="78">
        <f>C322*J311</f>
        <v>12683.233232853205</v>
      </c>
      <c r="F322" s="87"/>
    </row>
    <row r="323" spans="2:10">
      <c r="B323" s="81" t="s">
        <v>23</v>
      </c>
      <c r="C323" s="50">
        <v>4799402</v>
      </c>
      <c r="D323" s="14"/>
      <c r="E323" s="76">
        <f t="shared" ref="E323:E324" si="18">C323*$J$311</f>
        <v>3644.1651923675595</v>
      </c>
      <c r="F323" s="87"/>
    </row>
    <row r="324" spans="2:10">
      <c r="B324" s="81" t="s">
        <v>24</v>
      </c>
      <c r="C324" s="50">
        <v>11904543</v>
      </c>
      <c r="D324" s="14"/>
      <c r="E324" s="76">
        <f t="shared" si="18"/>
        <v>9039.0680404856448</v>
      </c>
      <c r="F324" s="87"/>
    </row>
    <row r="325" spans="2:10">
      <c r="B325" s="81"/>
      <c r="C325" s="50"/>
      <c r="D325" s="14"/>
      <c r="E325" s="76"/>
      <c r="F325" s="87"/>
    </row>
    <row r="326" spans="2:10">
      <c r="B326" s="104" t="s">
        <v>25</v>
      </c>
      <c r="C326" s="77">
        <f>SUM(C327:C328)</f>
        <v>2703546</v>
      </c>
      <c r="D326" s="14"/>
      <c r="E326" s="77">
        <f>SUM(E327:E328)</f>
        <v>2052.7907912620253</v>
      </c>
      <c r="F326" s="87"/>
    </row>
    <row r="327" spans="2:10">
      <c r="B327" s="101" t="s">
        <v>26</v>
      </c>
      <c r="C327" s="7">
        <f>Model!AA107</f>
        <v>561346</v>
      </c>
      <c r="D327" s="14"/>
      <c r="E327" s="76">
        <f t="shared" ref="E327:E328" si="19">C327*$J$311</f>
        <v>426.22759128632276</v>
      </c>
      <c r="F327" s="87"/>
    </row>
    <row r="328" spans="2:10">
      <c r="B328" s="101" t="s">
        <v>27</v>
      </c>
      <c r="C328" s="7">
        <f>Model!AA108</f>
        <v>2142200</v>
      </c>
      <c r="D328" s="14"/>
      <c r="E328" s="76">
        <f t="shared" si="19"/>
        <v>1626.5631999757024</v>
      </c>
      <c r="F328" s="87"/>
    </row>
    <row r="329" spans="2:10">
      <c r="B329" s="81"/>
      <c r="C329" s="74"/>
      <c r="D329" s="14"/>
      <c r="E329" s="76"/>
      <c r="F329" s="87"/>
    </row>
    <row r="330" spans="2:10">
      <c r="B330" s="99" t="s">
        <v>28</v>
      </c>
      <c r="C330" s="11">
        <f>C322+C316+C326</f>
        <v>24548326</v>
      </c>
      <c r="D330" s="10">
        <f>C330/C337</f>
        <v>0.86602434205884427</v>
      </c>
      <c r="E330" s="11">
        <f>E322+E316+E326</f>
        <v>18639.437817480502</v>
      </c>
      <c r="F330" s="100">
        <f>E330/E337</f>
        <v>0.88303986116370414</v>
      </c>
    </row>
    <row r="331" spans="2:10">
      <c r="B331" s="101" t="s">
        <v>29</v>
      </c>
      <c r="C331" s="102">
        <f>Model!AA$115</f>
        <v>9135688</v>
      </c>
      <c r="D331" s="103"/>
      <c r="E331" s="76">
        <f>C331*$J311</f>
        <v>6936.688407832894</v>
      </c>
      <c r="F331" s="87"/>
    </row>
    <row r="332" spans="2:10">
      <c r="B332" s="101" t="s">
        <v>30</v>
      </c>
      <c r="C332" s="102">
        <f>Model!AA$116</f>
        <v>480464</v>
      </c>
      <c r="D332" s="103"/>
      <c r="E332" s="76">
        <f>C332*$J311</f>
        <v>364.81423831254125</v>
      </c>
      <c r="F332" s="87"/>
    </row>
    <row r="333" spans="2:10">
      <c r="B333" s="101" t="s">
        <v>31</v>
      </c>
      <c r="C333" s="102">
        <f>Model!AA$117</f>
        <v>1241717</v>
      </c>
      <c r="D333" s="103"/>
      <c r="E333" s="76">
        <f>C333*$J311</f>
        <v>942.83035056681422</v>
      </c>
      <c r="F333" s="87"/>
    </row>
    <row r="334" spans="2:10">
      <c r="B334" s="99" t="s">
        <v>18</v>
      </c>
      <c r="C334" s="11">
        <f>C330-C331-C332-C333</f>
        <v>13690457</v>
      </c>
      <c r="D334" s="10">
        <f>C334/C337</f>
        <v>0.48297668101319408</v>
      </c>
      <c r="E334" s="11">
        <f>E330-E331-E332-E333</f>
        <v>10395.104820768252</v>
      </c>
      <c r="F334" s="100">
        <f>E334/E337</f>
        <v>0.49246613592094468</v>
      </c>
    </row>
    <row r="335" spans="2:10">
      <c r="B335" s="104" t="s">
        <v>32</v>
      </c>
      <c r="C335" s="9">
        <f>Model!AA$121</f>
        <v>65301520</v>
      </c>
      <c r="D335" s="8"/>
      <c r="E335" s="78">
        <f>C335*J311</f>
        <v>49583.161859059532</v>
      </c>
      <c r="F335" s="87"/>
    </row>
    <row r="336" spans="2:10">
      <c r="B336" s="104" t="s">
        <v>33</v>
      </c>
      <c r="C336" s="9">
        <f>C334+C335</f>
        <v>78991977</v>
      </c>
      <c r="D336" s="8"/>
      <c r="E336" s="9">
        <f>E334+E335</f>
        <v>59978.266679827786</v>
      </c>
      <c r="F336" s="87"/>
    </row>
    <row r="337" spans="2:6" ht="15.75" thickBot="1">
      <c r="B337" s="105" t="s">
        <v>34</v>
      </c>
      <c r="C337" s="106">
        <f>Model!$AA$82</f>
        <v>28346000</v>
      </c>
      <c r="D337" s="107"/>
      <c r="E337" s="108">
        <f>C337*J312</f>
        <v>21108.263213527789</v>
      </c>
      <c r="F337" s="88"/>
    </row>
    <row r="338" spans="2:6">
      <c r="B338" s="5" t="s">
        <v>35</v>
      </c>
      <c r="C338" s="4">
        <f>+C330-Model!AA$114</f>
        <v>0</v>
      </c>
      <c r="D338" s="3"/>
    </row>
    <row r="340" spans="2:6" ht="15.75" thickBot="1">
      <c r="B340" s="2"/>
      <c r="C340" s="79"/>
    </row>
    <row r="341" spans="2:6">
      <c r="B341" s="80" t="s">
        <v>82</v>
      </c>
      <c r="C341" s="89" t="s">
        <v>81</v>
      </c>
      <c r="D341" s="89"/>
      <c r="E341" s="90" t="s">
        <v>12</v>
      </c>
    </row>
    <row r="342" spans="2:6">
      <c r="B342" s="82" t="s">
        <v>29</v>
      </c>
      <c r="C342" s="91">
        <f>C331</f>
        <v>9135688</v>
      </c>
      <c r="D342" s="91"/>
      <c r="E342" s="94">
        <f>E331</f>
        <v>6936.688407832894</v>
      </c>
    </row>
    <row r="343" spans="2:6">
      <c r="B343" s="82"/>
      <c r="C343" s="74"/>
      <c r="D343" s="74"/>
      <c r="E343" s="84"/>
    </row>
    <row r="344" spans="2:6" ht="15.75" thickBot="1">
      <c r="B344" s="83" t="s">
        <v>74</v>
      </c>
      <c r="C344" s="92">
        <f>SUM(C342:C343)</f>
        <v>9135688</v>
      </c>
      <c r="D344" s="92"/>
      <c r="E344" s="93">
        <f>SUM(E342:E343)</f>
        <v>6936.688407832894</v>
      </c>
    </row>
    <row r="345" spans="2:6" ht="15.75" thickBot="1">
      <c r="B345" s="2"/>
      <c r="C345" s="79"/>
      <c r="D345" s="79"/>
      <c r="E345" s="77"/>
    </row>
    <row r="346" spans="2:6">
      <c r="B346" s="80" t="s">
        <v>75</v>
      </c>
      <c r="C346" s="119"/>
      <c r="D346" s="117"/>
      <c r="E346" s="119" t="s">
        <v>12</v>
      </c>
    </row>
    <row r="347" spans="2:6">
      <c r="B347" s="81">
        <v>2025</v>
      </c>
      <c r="C347" s="120">
        <v>3749383.16</v>
      </c>
      <c r="E347" s="118">
        <f>C347*J$311</f>
        <v>2846.8904260408044</v>
      </c>
    </row>
    <row r="348" spans="2:6">
      <c r="B348" s="81">
        <v>2026</v>
      </c>
      <c r="C348" s="120">
        <v>3707303.11</v>
      </c>
      <c r="E348" s="118">
        <f t="shared" ref="E348:E352" si="20">C348*J$311</f>
        <v>2814.9392259739861</v>
      </c>
    </row>
    <row r="349" spans="2:6">
      <c r="B349" s="81">
        <v>2027</v>
      </c>
      <c r="C349" s="120">
        <v>2631771.63</v>
      </c>
      <c r="E349" s="118">
        <f t="shared" si="20"/>
        <v>1998.292822377962</v>
      </c>
    </row>
    <row r="350" spans="2:6">
      <c r="B350" s="81">
        <v>2028</v>
      </c>
      <c r="C350" s="120">
        <v>2734514.42</v>
      </c>
      <c r="E350" s="118">
        <f t="shared" si="20"/>
        <v>2076.3049787017562</v>
      </c>
    </row>
    <row r="351" spans="2:6">
      <c r="B351" s="81">
        <v>2029</v>
      </c>
      <c r="C351" s="120">
        <v>1984514.42</v>
      </c>
      <c r="E351" s="118">
        <f t="shared" si="20"/>
        <v>1506.8332207044743</v>
      </c>
    </row>
    <row r="352" spans="2:6">
      <c r="B352" s="81" t="s">
        <v>53</v>
      </c>
      <c r="C352" s="120">
        <f>23685590.3-SUM(C347:C351)</f>
        <v>8878103.5600000024</v>
      </c>
      <c r="E352" s="118">
        <f t="shared" si="20"/>
        <v>6741.1056559935023</v>
      </c>
    </row>
    <row r="353" spans="1:12" ht="15.75" thickBot="1">
      <c r="B353" s="83"/>
      <c r="C353" s="121">
        <f>SUM(C347:C352)</f>
        <v>23685590.300000001</v>
      </c>
      <c r="D353" s="92"/>
      <c r="E353" s="122">
        <f>SUM(E347:E352)</f>
        <v>17984.366329792487</v>
      </c>
    </row>
    <row r="354" spans="1:12">
      <c r="B354" s="2"/>
      <c r="C354" s="79"/>
      <c r="D354" s="79"/>
      <c r="E354" s="77"/>
    </row>
    <row r="355" spans="1:12">
      <c r="A355" s="15" t="s">
        <v>83</v>
      </c>
      <c r="I355" s="2" t="s">
        <v>84</v>
      </c>
      <c r="J355" s="95">
        <f>Model!W$203</f>
        <v>7.3899999999999997E-4</v>
      </c>
    </row>
    <row r="356" spans="1:12">
      <c r="I356" s="2" t="s">
        <v>85</v>
      </c>
      <c r="J356" s="95">
        <f>Model!W$204</f>
        <v>7.6100000000000007E-4</v>
      </c>
    </row>
    <row r="357" spans="1:12" ht="15.75" thickBot="1">
      <c r="I357" s="2"/>
      <c r="J357" s="95"/>
    </row>
    <row r="358" spans="1:12" ht="15.75" thickBot="1">
      <c r="B358" s="97" t="s">
        <v>86</v>
      </c>
      <c r="C358" s="85" t="s">
        <v>70</v>
      </c>
      <c r="D358" s="85" t="s">
        <v>11</v>
      </c>
      <c r="E358" s="85" t="s">
        <v>12</v>
      </c>
      <c r="F358" s="86" t="s">
        <v>11</v>
      </c>
      <c r="I358" s="109" t="s">
        <v>87</v>
      </c>
      <c r="J358" s="110" t="s">
        <v>81</v>
      </c>
    </row>
    <row r="359" spans="1:12">
      <c r="B359" s="81"/>
      <c r="C359" s="89"/>
      <c r="D359" s="14"/>
      <c r="E359" s="76"/>
      <c r="F359" s="87"/>
      <c r="I359" s="101" t="s">
        <v>29</v>
      </c>
      <c r="J359" s="159">
        <f>C375</f>
        <v>7122306</v>
      </c>
      <c r="K359" s="13"/>
      <c r="L359" s="74"/>
    </row>
    <row r="360" spans="1:12">
      <c r="B360" s="98" t="s">
        <v>15</v>
      </c>
      <c r="C360" s="77">
        <f>SUM(C361:C364)</f>
        <v>11229878</v>
      </c>
      <c r="D360" s="14"/>
      <c r="E360" s="78">
        <f>C360*J355</f>
        <v>8298.8798420000003</v>
      </c>
      <c r="F360" s="87"/>
      <c r="I360" s="101" t="s">
        <v>30</v>
      </c>
      <c r="J360" s="159">
        <f t="shared" ref="J360:J361" si="21">C376</f>
        <v>515346</v>
      </c>
      <c r="K360" s="13"/>
      <c r="L360" s="74"/>
    </row>
    <row r="361" spans="1:12" ht="15.75" thickBot="1">
      <c r="B361" s="81" t="s">
        <v>17</v>
      </c>
      <c r="C361" s="50">
        <v>5149635</v>
      </c>
      <c r="D361" s="14"/>
      <c r="E361" s="76">
        <f>C361*J355</f>
        <v>3805.5802649999996</v>
      </c>
      <c r="F361" s="87"/>
      <c r="I361" s="101" t="s">
        <v>31</v>
      </c>
      <c r="J361" s="159">
        <f t="shared" si="21"/>
        <v>893670</v>
      </c>
    </row>
    <row r="362" spans="1:12" ht="15.75" thickBot="1">
      <c r="B362" s="81" t="s">
        <v>19</v>
      </c>
      <c r="C362" s="50">
        <v>2273147</v>
      </c>
      <c r="D362" s="14"/>
      <c r="E362" s="76">
        <f>C362*J355</f>
        <v>1679.8556329999999</v>
      </c>
      <c r="F362" s="87"/>
      <c r="I362" s="111" t="s">
        <v>5</v>
      </c>
      <c r="J362" s="112">
        <f>SUM(J359:J361)</f>
        <v>8531322</v>
      </c>
    </row>
    <row r="363" spans="1:12">
      <c r="B363" s="81" t="s">
        <v>21</v>
      </c>
      <c r="C363" s="50">
        <v>3807096</v>
      </c>
      <c r="D363" s="14"/>
      <c r="E363" s="76">
        <f>C363*J355</f>
        <v>2813.4439439999996</v>
      </c>
      <c r="F363" s="87"/>
      <c r="I363" s="113"/>
      <c r="J363" s="114"/>
    </row>
    <row r="364" spans="1:12">
      <c r="B364" s="81"/>
      <c r="C364" s="50"/>
      <c r="D364" s="14"/>
      <c r="E364" s="76"/>
      <c r="F364" s="87"/>
    </row>
    <row r="365" spans="1:12">
      <c r="B365" s="81"/>
      <c r="C365" s="74"/>
      <c r="D365" s="14"/>
      <c r="E365" s="76"/>
      <c r="F365" s="87"/>
      <c r="I365" s="160" t="s">
        <v>72</v>
      </c>
      <c r="J365" s="50">
        <v>31560000</v>
      </c>
    </row>
    <row r="366" spans="1:12">
      <c r="B366" s="98" t="s">
        <v>22</v>
      </c>
      <c r="C366" s="77">
        <f>SUM(C367:C368)</f>
        <v>20328737</v>
      </c>
      <c r="D366" s="14"/>
      <c r="E366" s="78">
        <f>C366*J355</f>
        <v>15022.936642999999</v>
      </c>
      <c r="F366" s="87"/>
    </row>
    <row r="367" spans="1:12">
      <c r="B367" s="81" t="s">
        <v>23</v>
      </c>
      <c r="C367" s="50">
        <v>10578787</v>
      </c>
      <c r="D367" s="14"/>
      <c r="E367" s="76">
        <f>C367*J355</f>
        <v>7817.7235929999997</v>
      </c>
      <c r="F367" s="87"/>
    </row>
    <row r="368" spans="1:12">
      <c r="B368" s="81" t="s">
        <v>24</v>
      </c>
      <c r="C368" s="50">
        <v>9749950</v>
      </c>
      <c r="D368" s="14"/>
      <c r="E368" s="76">
        <f>C368*J355</f>
        <v>7205.2130499999994</v>
      </c>
      <c r="F368" s="87"/>
    </row>
    <row r="369" spans="2:6">
      <c r="B369" s="81"/>
      <c r="C369" s="50"/>
      <c r="D369" s="14"/>
      <c r="E369" s="76"/>
      <c r="F369" s="87"/>
    </row>
    <row r="370" spans="2:6">
      <c r="B370" s="104" t="s">
        <v>25</v>
      </c>
      <c r="C370" s="77">
        <f>SUM(C371:C372)</f>
        <v>3023818</v>
      </c>
      <c r="D370" s="14"/>
      <c r="E370" s="77">
        <f>SUM(E371:E372)</f>
        <v>2234.601502</v>
      </c>
      <c r="F370" s="87"/>
    </row>
    <row r="371" spans="2:6">
      <c r="B371" s="101" t="s">
        <v>26</v>
      </c>
      <c r="C371" s="7">
        <f>Model!W107</f>
        <v>600461</v>
      </c>
      <c r="D371" s="14"/>
      <c r="E371" s="76">
        <f>C371*J355</f>
        <v>443.740679</v>
      </c>
      <c r="F371" s="87"/>
    </row>
    <row r="372" spans="2:6">
      <c r="B372" s="101" t="s">
        <v>27</v>
      </c>
      <c r="C372" s="7">
        <f>Model!W108</f>
        <v>2423357</v>
      </c>
      <c r="D372" s="14"/>
      <c r="E372" s="76">
        <f>C372*J355</f>
        <v>1790.860823</v>
      </c>
      <c r="F372" s="87"/>
    </row>
    <row r="373" spans="2:6">
      <c r="B373" s="81"/>
      <c r="C373" s="74"/>
      <c r="D373" s="14"/>
      <c r="E373" s="76"/>
      <c r="F373" s="87"/>
    </row>
    <row r="374" spans="2:6">
      <c r="B374" s="99" t="s">
        <v>28</v>
      </c>
      <c r="C374" s="11">
        <f>C366+C360+C370</f>
        <v>34582433</v>
      </c>
      <c r="D374" s="10">
        <f>C374/C381</f>
        <v>8.4203635256878506</v>
      </c>
      <c r="E374" s="11">
        <f>E366+E360+E370</f>
        <v>25556.417987000001</v>
      </c>
      <c r="F374" s="100">
        <f>E374/E381</f>
        <v>8.1769364592422082</v>
      </c>
    </row>
    <row r="375" spans="2:6">
      <c r="B375" s="101" t="s">
        <v>29</v>
      </c>
      <c r="C375" s="102">
        <f>Model!W$115</f>
        <v>7122306</v>
      </c>
      <c r="D375" s="103"/>
      <c r="E375" s="76">
        <f>C375*$J355</f>
        <v>5263.3841339999999</v>
      </c>
      <c r="F375" s="87"/>
    </row>
    <row r="376" spans="2:6">
      <c r="B376" s="101" t="s">
        <v>30</v>
      </c>
      <c r="C376" s="102">
        <f>Model!W$116</f>
        <v>515346</v>
      </c>
      <c r="D376" s="103"/>
      <c r="E376" s="76">
        <f>C376*$J355</f>
        <v>380.84069399999998</v>
      </c>
      <c r="F376" s="87"/>
    </row>
    <row r="377" spans="2:6">
      <c r="B377" s="101" t="s">
        <v>31</v>
      </c>
      <c r="C377" s="102">
        <f>Model!W$117</f>
        <v>893670</v>
      </c>
      <c r="D377" s="103"/>
      <c r="E377" s="76">
        <f>C377*$J355</f>
        <v>660.42212999999992</v>
      </c>
      <c r="F377" s="87"/>
    </row>
    <row r="378" spans="2:6">
      <c r="B378" s="99" t="s">
        <v>18</v>
      </c>
      <c r="C378" s="11">
        <f>C374-C375-C376-C377</f>
        <v>26051111</v>
      </c>
      <c r="D378" s="10">
        <f>C378/C381</f>
        <v>6.3430998295592893</v>
      </c>
      <c r="E378" s="11">
        <f>E374-E375-E376-E377</f>
        <v>19251.771029000003</v>
      </c>
      <c r="F378" s="100">
        <f>E378/E381</f>
        <v>6.159725064447195</v>
      </c>
    </row>
    <row r="379" spans="2:6">
      <c r="B379" s="104" t="s">
        <v>32</v>
      </c>
      <c r="C379" s="9">
        <f>Model!W$121</f>
        <v>55231560</v>
      </c>
      <c r="D379" s="8"/>
      <c r="E379" s="78">
        <f>C379*J355</f>
        <v>40816.122839999996</v>
      </c>
      <c r="F379" s="87"/>
    </row>
    <row r="380" spans="2:6">
      <c r="B380" s="104" t="s">
        <v>33</v>
      </c>
      <c r="C380" s="9">
        <f>C378+C379</f>
        <v>81282671</v>
      </c>
      <c r="D380" s="8"/>
      <c r="E380" s="9">
        <f>E378+E379</f>
        <v>60067.893869</v>
      </c>
      <c r="F380" s="87"/>
    </row>
    <row r="381" spans="2:6" ht="15.75" thickBot="1">
      <c r="B381" s="105" t="s">
        <v>34</v>
      </c>
      <c r="C381" s="106">
        <f>Model!W$82</f>
        <v>4107000</v>
      </c>
      <c r="D381" s="107"/>
      <c r="E381" s="108">
        <f>C381*J356</f>
        <v>3125.4270000000001</v>
      </c>
      <c r="F381" s="88"/>
    </row>
    <row r="382" spans="2:6">
      <c r="B382" s="5" t="s">
        <v>35</v>
      </c>
      <c r="C382" s="4">
        <f>+C374-Model!W$114</f>
        <v>0</v>
      </c>
      <c r="D382" s="3"/>
    </row>
    <row r="384" spans="2:6" ht="15.75" thickBot="1">
      <c r="B384" s="2"/>
      <c r="C384" s="79"/>
    </row>
    <row r="385" spans="1:10">
      <c r="B385" s="80" t="s">
        <v>88</v>
      </c>
      <c r="C385" s="89" t="s">
        <v>81</v>
      </c>
      <c r="D385" s="89"/>
      <c r="E385" s="90" t="s">
        <v>12</v>
      </c>
    </row>
    <row r="386" spans="1:10">
      <c r="B386" s="82" t="s">
        <v>29</v>
      </c>
      <c r="C386" s="91">
        <f>C375</f>
        <v>7122306</v>
      </c>
      <c r="D386" s="91"/>
      <c r="E386" s="94">
        <f>E375</f>
        <v>5263.3841339999999</v>
      </c>
    </row>
    <row r="387" spans="1:10">
      <c r="B387" s="82"/>
      <c r="C387" s="74"/>
      <c r="D387" s="74"/>
      <c r="E387" s="84"/>
    </row>
    <row r="388" spans="1:10" ht="15.75" thickBot="1">
      <c r="B388" s="83" t="s">
        <v>74</v>
      </c>
      <c r="C388" s="92">
        <f>SUM(C386:C387)</f>
        <v>7122306</v>
      </c>
      <c r="D388" s="92"/>
      <c r="E388" s="93">
        <f>SUM(E386:E387)</f>
        <v>5263.3841339999999</v>
      </c>
    </row>
    <row r="389" spans="1:10" ht="15.75" thickBot="1">
      <c r="B389" s="2"/>
      <c r="C389" s="79"/>
      <c r="D389" s="79"/>
      <c r="E389" s="77"/>
    </row>
    <row r="390" spans="1:10">
      <c r="B390" s="80" t="s">
        <v>75</v>
      </c>
      <c r="C390" s="119"/>
      <c r="D390" s="117"/>
      <c r="E390" s="119" t="s">
        <v>12</v>
      </c>
    </row>
    <row r="391" spans="1:10">
      <c r="B391" s="81">
        <v>2024</v>
      </c>
      <c r="C391" s="120">
        <v>2048740.09</v>
      </c>
      <c r="E391" s="118">
        <f>C391*$J$355</f>
        <v>1514.01892651</v>
      </c>
    </row>
    <row r="392" spans="1:10">
      <c r="B392" s="81">
        <v>2025</v>
      </c>
      <c r="C392" s="120">
        <v>3437102.21</v>
      </c>
      <c r="E392" s="118">
        <f t="shared" ref="E392:E396" si="22">C392*$J$355</f>
        <v>2540.0185331899997</v>
      </c>
    </row>
    <row r="393" spans="1:10">
      <c r="B393" s="81">
        <v>2026</v>
      </c>
      <c r="C393" s="120">
        <v>3442543.18</v>
      </c>
      <c r="E393" s="118">
        <f t="shared" si="22"/>
        <v>2544.0394100200001</v>
      </c>
    </row>
    <row r="394" spans="1:10">
      <c r="B394" s="81">
        <v>2027</v>
      </c>
      <c r="C394" s="120">
        <v>1428740.09</v>
      </c>
      <c r="E394" s="118">
        <f t="shared" si="22"/>
        <v>1055.83892651</v>
      </c>
    </row>
    <row r="395" spans="1:10">
      <c r="B395" s="81">
        <v>2028</v>
      </c>
      <c r="C395" s="120">
        <v>2158740.09</v>
      </c>
      <c r="E395" s="118">
        <f t="shared" si="22"/>
        <v>1595.3089265099998</v>
      </c>
    </row>
    <row r="396" spans="1:10">
      <c r="B396" s="81" t="s">
        <v>89</v>
      </c>
      <c r="C396" s="120">
        <f>19245259.08-SUM(C391:C395)</f>
        <v>6729393.4199999981</v>
      </c>
      <c r="E396" s="118">
        <f t="shared" si="22"/>
        <v>4973.0217373799987</v>
      </c>
    </row>
    <row r="397" spans="1:10" ht="15.75" thickBot="1">
      <c r="B397" s="83"/>
      <c r="C397" s="121">
        <f>SUM(C391:C396)</f>
        <v>19245259.079999998</v>
      </c>
      <c r="D397" s="92"/>
      <c r="E397" s="122">
        <f>SUM(E391:E396)</f>
        <v>14222.246460119999</v>
      </c>
    </row>
    <row r="398" spans="1:10">
      <c r="B398" s="2"/>
      <c r="C398" s="79"/>
      <c r="D398" s="79"/>
      <c r="E398" s="77"/>
    </row>
    <row r="399" spans="1:10">
      <c r="A399" s="15" t="s">
        <v>90</v>
      </c>
      <c r="I399" s="2" t="s">
        <v>91</v>
      </c>
      <c r="J399" s="95">
        <f>Model!V$203</f>
        <v>7.5600000000000005E-4</v>
      </c>
    </row>
    <row r="400" spans="1:10">
      <c r="I400" s="2" t="s">
        <v>92</v>
      </c>
      <c r="J400" s="95">
        <f>Model!V$204</f>
        <v>7.5725000000000011E-4</v>
      </c>
    </row>
    <row r="401" spans="2:12" ht="15.75" thickBot="1">
      <c r="I401" s="2"/>
      <c r="J401" s="95"/>
    </row>
    <row r="402" spans="2:12" ht="15.75" thickBot="1">
      <c r="B402" s="97" t="s">
        <v>93</v>
      </c>
      <c r="C402" s="85" t="s">
        <v>70</v>
      </c>
      <c r="D402" s="85" t="s">
        <v>11</v>
      </c>
      <c r="E402" s="85" t="s">
        <v>12</v>
      </c>
      <c r="F402" s="86" t="s">
        <v>11</v>
      </c>
      <c r="I402" s="109" t="s">
        <v>94</v>
      </c>
      <c r="J402" s="110" t="s">
        <v>81</v>
      </c>
    </row>
    <row r="403" spans="2:12">
      <c r="B403" s="81"/>
      <c r="C403" s="85"/>
      <c r="D403" s="14"/>
      <c r="E403" s="76"/>
      <c r="F403" s="87"/>
      <c r="I403" s="101" t="s">
        <v>29</v>
      </c>
      <c r="J403" s="159">
        <f>C419</f>
        <v>6040810</v>
      </c>
      <c r="K403" s="13"/>
      <c r="L403" s="74"/>
    </row>
    <row r="404" spans="2:12">
      <c r="B404" s="98" t="s">
        <v>15</v>
      </c>
      <c r="C404" s="77">
        <f>SUM(C405:C408)</f>
        <v>10521348</v>
      </c>
      <c r="D404" s="14"/>
      <c r="E404" s="78">
        <f>C404*J399</f>
        <v>7954.1390880000008</v>
      </c>
      <c r="F404" s="87"/>
      <c r="I404" s="101" t="s">
        <v>30</v>
      </c>
      <c r="J404" s="159">
        <f t="shared" ref="J404:J405" si="23">C420</f>
        <v>441755</v>
      </c>
      <c r="K404" s="13"/>
      <c r="L404" s="74"/>
    </row>
    <row r="405" spans="2:12" ht="15.75" thickBot="1">
      <c r="B405" s="81" t="s">
        <v>17</v>
      </c>
      <c r="C405" s="50">
        <v>4339836</v>
      </c>
      <c r="D405" s="14"/>
      <c r="E405" s="76">
        <f>C405*J399</f>
        <v>3280.9160160000001</v>
      </c>
      <c r="F405" s="87"/>
      <c r="I405" s="101" t="s">
        <v>31</v>
      </c>
      <c r="J405" s="159">
        <f t="shared" si="23"/>
        <v>1008302</v>
      </c>
    </row>
    <row r="406" spans="2:12" ht="15.75" thickBot="1">
      <c r="B406" s="81" t="s">
        <v>19</v>
      </c>
      <c r="C406" s="50">
        <v>2869889</v>
      </c>
      <c r="D406" s="14"/>
      <c r="E406" s="76">
        <f>C406*J399</f>
        <v>2169.6360840000002</v>
      </c>
      <c r="F406" s="87"/>
      <c r="I406" s="111" t="s">
        <v>5</v>
      </c>
      <c r="J406" s="112">
        <f>SUM(J403:J405)</f>
        <v>7490867</v>
      </c>
    </row>
    <row r="407" spans="2:12">
      <c r="B407" s="81" t="s">
        <v>21</v>
      </c>
      <c r="C407" s="50">
        <v>3311623</v>
      </c>
      <c r="D407" s="14"/>
      <c r="E407" s="76">
        <f>C407*J399</f>
        <v>2503.586988</v>
      </c>
      <c r="F407" s="87"/>
      <c r="I407" s="113"/>
      <c r="J407" s="114"/>
    </row>
    <row r="408" spans="2:12">
      <c r="B408" s="81"/>
      <c r="C408" s="50"/>
      <c r="D408" s="14"/>
      <c r="E408" s="76"/>
      <c r="F408" s="87"/>
    </row>
    <row r="409" spans="2:12">
      <c r="B409" s="81"/>
      <c r="C409" s="74"/>
      <c r="D409" s="14"/>
      <c r="E409" s="76"/>
      <c r="F409" s="87"/>
      <c r="I409" s="160" t="s">
        <v>72</v>
      </c>
      <c r="J409" s="50">
        <v>30810000</v>
      </c>
    </row>
    <row r="410" spans="2:12">
      <c r="B410" s="98" t="s">
        <v>22</v>
      </c>
      <c r="C410" s="77">
        <f>SUM(C411:C412)</f>
        <v>20285163</v>
      </c>
      <c r="D410" s="14"/>
      <c r="E410" s="78">
        <f>C410*J399</f>
        <v>15335.583228000001</v>
      </c>
      <c r="F410" s="87"/>
    </row>
    <row r="411" spans="2:12">
      <c r="B411" s="81" t="s">
        <v>23</v>
      </c>
      <c r="C411" s="50">
        <v>10036652</v>
      </c>
      <c r="D411" s="14"/>
      <c r="E411" s="76">
        <f>C411*J399</f>
        <v>7587.708912000001</v>
      </c>
      <c r="F411" s="87"/>
    </row>
    <row r="412" spans="2:12">
      <c r="B412" s="81" t="s">
        <v>24</v>
      </c>
      <c r="C412" s="50">
        <v>10248511</v>
      </c>
      <c r="D412" s="14"/>
      <c r="E412" s="76">
        <f>C412*J399</f>
        <v>7747.8743160000004</v>
      </c>
      <c r="F412" s="87"/>
    </row>
    <row r="413" spans="2:12">
      <c r="B413" s="81"/>
      <c r="C413" s="50"/>
      <c r="D413" s="14"/>
      <c r="E413" s="76"/>
      <c r="F413" s="87"/>
    </row>
    <row r="414" spans="2:12">
      <c r="B414" s="104" t="s">
        <v>25</v>
      </c>
      <c r="C414" s="77">
        <f>SUM(C415:C416)</f>
        <v>1979987</v>
      </c>
      <c r="D414" s="14"/>
      <c r="E414" s="77">
        <f>SUM(E415:E416)</f>
        <v>1496.8701720000001</v>
      </c>
      <c r="F414" s="87"/>
    </row>
    <row r="415" spans="2:12">
      <c r="B415" s="101" t="s">
        <v>26</v>
      </c>
      <c r="C415" s="7">
        <f>Model!V107</f>
        <v>339508</v>
      </c>
      <c r="D415" s="14"/>
      <c r="E415" s="76">
        <f>C415*J399</f>
        <v>256.668048</v>
      </c>
      <c r="F415" s="87"/>
    </row>
    <row r="416" spans="2:12">
      <c r="B416" s="101" t="s">
        <v>27</v>
      </c>
      <c r="C416" s="7">
        <f>Model!V108</f>
        <v>1640479</v>
      </c>
      <c r="D416" s="14"/>
      <c r="E416" s="76">
        <f>C416*J399</f>
        <v>1240.2021240000001</v>
      </c>
      <c r="F416" s="87"/>
    </row>
    <row r="417" spans="2:6">
      <c r="B417" s="81"/>
      <c r="C417" s="74"/>
      <c r="D417" s="14"/>
      <c r="E417" s="76"/>
      <c r="F417" s="87"/>
    </row>
    <row r="418" spans="2:6">
      <c r="B418" s="99" t="s">
        <v>28</v>
      </c>
      <c r="C418" s="11">
        <f>C410+C404+C414</f>
        <v>32786498</v>
      </c>
      <c r="D418" s="10">
        <f>C418/C425</f>
        <v>4.210955304392499</v>
      </c>
      <c r="E418" s="11">
        <f>E410+E404+E414</f>
        <v>24786.592488000002</v>
      </c>
      <c r="F418" s="100">
        <f>E418/E425</f>
        <v>4.2040042391822112</v>
      </c>
    </row>
    <row r="419" spans="2:6">
      <c r="B419" s="101" t="s">
        <v>29</v>
      </c>
      <c r="C419" s="102">
        <f>Model!V$115</f>
        <v>6040810</v>
      </c>
      <c r="D419" s="103"/>
      <c r="E419" s="76">
        <f>C419*$J$399</f>
        <v>4566.8523600000008</v>
      </c>
      <c r="F419" s="87"/>
    </row>
    <row r="420" spans="2:6">
      <c r="B420" s="101" t="s">
        <v>30</v>
      </c>
      <c r="C420" s="102">
        <f>Model!V$116</f>
        <v>441755</v>
      </c>
      <c r="D420" s="103"/>
      <c r="E420" s="76">
        <f t="shared" ref="E420:E421" si="24">C420*$J$399</f>
        <v>333.96678000000003</v>
      </c>
      <c r="F420" s="87"/>
    </row>
    <row r="421" spans="2:6">
      <c r="B421" s="101" t="s">
        <v>31</v>
      </c>
      <c r="C421" s="102">
        <f>Model!V$117</f>
        <v>1008302</v>
      </c>
      <c r="D421" s="103"/>
      <c r="E421" s="76">
        <f t="shared" si="24"/>
        <v>762.27631200000008</v>
      </c>
      <c r="F421" s="87"/>
    </row>
    <row r="422" spans="2:6">
      <c r="B422" s="99" t="s">
        <v>18</v>
      </c>
      <c r="C422" s="11">
        <f>C418-C419-C420-C421</f>
        <v>25295631</v>
      </c>
      <c r="D422" s="10">
        <f>C422/C425</f>
        <v>3.2488609041870022</v>
      </c>
      <c r="E422" s="11">
        <f>E418-E419-E420-E421</f>
        <v>19123.497036000001</v>
      </c>
      <c r="F422" s="100">
        <f>E422/E425</f>
        <v>3.243497977636677</v>
      </c>
    </row>
    <row r="423" spans="2:6">
      <c r="B423" s="104" t="s">
        <v>32</v>
      </c>
      <c r="C423" s="9">
        <f>Model!V$121</f>
        <v>57459050</v>
      </c>
      <c r="D423" s="8"/>
      <c r="E423" s="78">
        <f>C423*J399</f>
        <v>43439.041800000006</v>
      </c>
      <c r="F423" s="87"/>
    </row>
    <row r="424" spans="2:6">
      <c r="B424" s="104" t="s">
        <v>33</v>
      </c>
      <c r="C424" s="9">
        <f>C422+C423</f>
        <v>82754681</v>
      </c>
      <c r="D424" s="8"/>
      <c r="E424" s="9">
        <f>E422+E423</f>
        <v>62562.538836000007</v>
      </c>
      <c r="F424" s="87"/>
    </row>
    <row r="425" spans="2:6" ht="15.75" thickBot="1">
      <c r="B425" s="105" t="s">
        <v>34</v>
      </c>
      <c r="C425" s="106">
        <f>Model!V$82</f>
        <v>7786000</v>
      </c>
      <c r="D425" s="107"/>
      <c r="E425" s="108">
        <f>C425*J400</f>
        <v>5895.9485000000004</v>
      </c>
      <c r="F425" s="88"/>
    </row>
    <row r="426" spans="2:6">
      <c r="B426" s="5" t="s">
        <v>35</v>
      </c>
      <c r="C426" s="4">
        <f>+C418-Model!V$114</f>
        <v>0</v>
      </c>
      <c r="D426" s="3"/>
    </row>
    <row r="428" spans="2:6" ht="15.75" thickBot="1">
      <c r="B428" s="2"/>
      <c r="C428" s="79"/>
    </row>
    <row r="429" spans="2:6">
      <c r="B429" s="80" t="s">
        <v>95</v>
      </c>
      <c r="C429" s="89" t="s">
        <v>81</v>
      </c>
      <c r="D429" s="89"/>
      <c r="E429" s="90" t="s">
        <v>12</v>
      </c>
    </row>
    <row r="430" spans="2:6">
      <c r="B430" s="82" t="s">
        <v>29</v>
      </c>
      <c r="C430" s="91">
        <f>C419</f>
        <v>6040810</v>
      </c>
      <c r="D430" s="91"/>
      <c r="E430" s="94">
        <f>E419</f>
        <v>4566.8523600000008</v>
      </c>
    </row>
    <row r="431" spans="2:6">
      <c r="B431" s="82"/>
      <c r="C431" s="74"/>
      <c r="D431" s="74"/>
      <c r="E431" s="84"/>
    </row>
    <row r="432" spans="2:6" ht="15.75" thickBot="1">
      <c r="B432" s="83" t="s">
        <v>74</v>
      </c>
      <c r="C432" s="92">
        <f>SUM(C430:C431)</f>
        <v>6040810</v>
      </c>
      <c r="D432" s="92"/>
      <c r="E432" s="93">
        <f>SUM(E430:E431)</f>
        <v>4566.8523600000008</v>
      </c>
    </row>
    <row r="433" spans="2:5" ht="15.75" thickBot="1">
      <c r="B433" s="2"/>
      <c r="C433" s="79"/>
      <c r="D433" s="79"/>
      <c r="E433" s="77"/>
    </row>
    <row r="434" spans="2:5">
      <c r="B434" s="80" t="s">
        <v>75</v>
      </c>
      <c r="C434" s="119"/>
      <c r="D434" s="117"/>
      <c r="E434" s="119" t="s">
        <v>12</v>
      </c>
    </row>
    <row r="435" spans="2:5">
      <c r="B435" s="81">
        <v>2024</v>
      </c>
      <c r="C435" s="120">
        <v>2098330.36</v>
      </c>
      <c r="E435" s="118">
        <f t="shared" ref="E435:E440" si="25">C435*$J$399</f>
        <v>1586.33775216</v>
      </c>
    </row>
    <row r="436" spans="2:5">
      <c r="B436" s="81">
        <v>2025</v>
      </c>
      <c r="C436" s="120">
        <v>3551159.83</v>
      </c>
      <c r="E436" s="118">
        <f t="shared" si="25"/>
        <v>2684.6768314800001</v>
      </c>
    </row>
    <row r="437" spans="2:5">
      <c r="B437" s="81">
        <v>2026</v>
      </c>
      <c r="C437" s="120">
        <v>3539244.21</v>
      </c>
      <c r="E437" s="118">
        <f t="shared" si="25"/>
        <v>2675.6686227600003</v>
      </c>
    </row>
    <row r="438" spans="2:5">
      <c r="B438" s="81">
        <v>2027</v>
      </c>
      <c r="C438" s="120">
        <v>1478330.36</v>
      </c>
      <c r="E438" s="118">
        <f t="shared" si="25"/>
        <v>1117.6177521600002</v>
      </c>
    </row>
    <row r="439" spans="2:5">
      <c r="B439" s="81">
        <v>2028</v>
      </c>
      <c r="C439" s="120">
        <v>2208330.6</v>
      </c>
      <c r="E439" s="118">
        <f t="shared" si="25"/>
        <v>1669.4979336000001</v>
      </c>
    </row>
    <row r="440" spans="2:5">
      <c r="B440" s="81" t="s">
        <v>89</v>
      </c>
      <c r="C440" s="120">
        <f>250000+2622161.62+1538330.36+1348330.36+1091247.77+100000</f>
        <v>6950070.1100000013</v>
      </c>
      <c r="E440" s="118">
        <f t="shared" si="25"/>
        <v>5254.2530031600018</v>
      </c>
    </row>
    <row r="441" spans="2:5" ht="15.75" thickBot="1">
      <c r="B441" s="83"/>
      <c r="C441" s="121">
        <f>SUM(C435:C440)</f>
        <v>19825465.469999999</v>
      </c>
      <c r="D441" s="92"/>
      <c r="E441" s="122">
        <f>SUM(E435:E440)</f>
        <v>14988.051895320003</v>
      </c>
    </row>
    <row r="442" spans="2:5">
      <c r="B442" s="2"/>
      <c r="C442" s="79"/>
      <c r="D442" s="79"/>
      <c r="E442" s="77"/>
    </row>
    <row r="444" spans="2:5">
      <c r="B444" s="2"/>
      <c r="C444" s="79"/>
      <c r="D444" s="79"/>
      <c r="E444" s="77"/>
    </row>
    <row r="445" spans="2:5">
      <c r="B445" s="2"/>
      <c r="C445" s="79"/>
      <c r="D445" s="79"/>
      <c r="E445" s="77"/>
    </row>
    <row r="446" spans="2:5">
      <c r="B446" s="2"/>
      <c r="C446" s="79"/>
      <c r="D446" s="79"/>
      <c r="E446" s="77"/>
    </row>
    <row r="448" spans="2:5">
      <c r="D448" s="3"/>
    </row>
    <row r="449" spans="4:9">
      <c r="D449" s="3"/>
    </row>
    <row r="450" spans="4:9">
      <c r="D450" s="3"/>
    </row>
    <row r="451" spans="4:9">
      <c r="D451" s="3"/>
    </row>
    <row r="452" spans="4:9">
      <c r="D452" s="3"/>
    </row>
    <row r="453" spans="4:9">
      <c r="D453" s="3"/>
      <c r="I453" s="160"/>
    </row>
    <row r="454" spans="4:9">
      <c r="D454" s="3"/>
      <c r="I454" s="160"/>
    </row>
    <row r="455" spans="4:9">
      <c r="D455" s="96"/>
      <c r="I455" s="160"/>
    </row>
    <row r="456" spans="4:9">
      <c r="D456" s="3"/>
      <c r="I456" s="160"/>
    </row>
    <row r="457" spans="4:9">
      <c r="D457" s="3"/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N277"/>
  <sheetViews>
    <sheetView showGridLines="0" zoomScaleNormal="100" workbookViewId="0">
      <pane xSplit="2" ySplit="6" topLeftCell="C7" activePane="bottomRight" state="frozen"/>
      <selection pane="bottomRight" activeCell="AJ1" sqref="AJ1"/>
      <selection pane="bottomLeft" activeCell="J22" sqref="J22"/>
      <selection pane="topRight" activeCell="J22" sqref="J22"/>
    </sheetView>
  </sheetViews>
  <sheetFormatPr defaultColWidth="11.42578125" defaultRowHeight="12.75" outlineLevelCol="1"/>
  <cols>
    <col min="1" max="1" width="2.7109375" style="16" customWidth="1"/>
    <col min="2" max="2" width="50.7109375" style="16" customWidth="1"/>
    <col min="3" max="4" width="13.7109375" style="16" hidden="1" customWidth="1" outlineLevel="1"/>
    <col min="5" max="5" width="13.7109375" style="16" hidden="1" customWidth="1" outlineLevel="1" collapsed="1"/>
    <col min="6" max="7" width="13.7109375" style="16" hidden="1" customWidth="1" outlineLevel="1"/>
    <col min="8" max="8" width="13.7109375" style="16" customWidth="1" collapsed="1"/>
    <col min="9" max="11" width="13.7109375" style="16" customWidth="1"/>
    <col min="12" max="12" width="13.85546875" style="16" customWidth="1"/>
    <col min="13" max="16" width="13.7109375" style="16" hidden="1" customWidth="1" outlineLevel="1"/>
    <col min="17" max="17" width="13.7109375" style="16" hidden="1" customWidth="1" outlineLevel="1" collapsed="1"/>
    <col min="18" max="27" width="13.7109375" style="16" hidden="1" customWidth="1" outlineLevel="1"/>
    <col min="28" max="28" width="13.7109375" style="16" customWidth="1" collapsed="1"/>
    <col min="29" max="34" width="13.7109375" style="16" customWidth="1"/>
    <col min="35" max="35" width="12.7109375" style="16" customWidth="1"/>
    <col min="36" max="251" width="11.42578125" style="16"/>
    <col min="252" max="252" width="3.5703125" style="16" customWidth="1"/>
    <col min="253" max="253" width="13.28515625" style="16" customWidth="1"/>
    <col min="254" max="261" width="11.42578125" style="16" customWidth="1"/>
    <col min="262" max="262" width="9.7109375" style="16" bestFit="1" customWidth="1"/>
    <col min="263" max="266" width="0" style="16" hidden="1" customWidth="1"/>
    <col min="267" max="275" width="11.42578125" style="16" customWidth="1"/>
    <col min="276" max="507" width="11.42578125" style="16"/>
    <col min="508" max="508" width="3.5703125" style="16" customWidth="1"/>
    <col min="509" max="509" width="13.28515625" style="16" customWidth="1"/>
    <col min="510" max="517" width="11.42578125" style="16" customWidth="1"/>
    <col min="518" max="518" width="9.7109375" style="16" bestFit="1" customWidth="1"/>
    <col min="519" max="522" width="0" style="16" hidden="1" customWidth="1"/>
    <col min="523" max="531" width="11.42578125" style="16" customWidth="1"/>
    <col min="532" max="763" width="11.42578125" style="16"/>
    <col min="764" max="764" width="3.5703125" style="16" customWidth="1"/>
    <col min="765" max="765" width="13.28515625" style="16" customWidth="1"/>
    <col min="766" max="773" width="11.42578125" style="16" customWidth="1"/>
    <col min="774" max="774" width="9.7109375" style="16" bestFit="1" customWidth="1"/>
    <col min="775" max="778" width="0" style="16" hidden="1" customWidth="1"/>
    <col min="779" max="787" width="11.42578125" style="16" customWidth="1"/>
    <col min="788" max="1019" width="11.42578125" style="16"/>
    <col min="1020" max="1020" width="3.5703125" style="16" customWidth="1"/>
    <col min="1021" max="1021" width="13.28515625" style="16" customWidth="1"/>
    <col min="1022" max="1029" width="11.42578125" style="16" customWidth="1"/>
    <col min="1030" max="1030" width="9.7109375" style="16" bestFit="1" customWidth="1"/>
    <col min="1031" max="1034" width="0" style="16" hidden="1" customWidth="1"/>
    <col min="1035" max="1043" width="11.42578125" style="16" customWidth="1"/>
    <col min="1044" max="1275" width="11.42578125" style="16"/>
    <col min="1276" max="1276" width="3.5703125" style="16" customWidth="1"/>
    <col min="1277" max="1277" width="13.28515625" style="16" customWidth="1"/>
    <col min="1278" max="1285" width="11.42578125" style="16" customWidth="1"/>
    <col min="1286" max="1286" width="9.7109375" style="16" bestFit="1" customWidth="1"/>
    <col min="1287" max="1290" width="0" style="16" hidden="1" customWidth="1"/>
    <col min="1291" max="1299" width="11.42578125" style="16" customWidth="1"/>
    <col min="1300" max="1531" width="11.42578125" style="16"/>
    <col min="1532" max="1532" width="3.5703125" style="16" customWidth="1"/>
    <col min="1533" max="1533" width="13.28515625" style="16" customWidth="1"/>
    <col min="1534" max="1541" width="11.42578125" style="16" customWidth="1"/>
    <col min="1542" max="1542" width="9.7109375" style="16" bestFit="1" customWidth="1"/>
    <col min="1543" max="1546" width="0" style="16" hidden="1" customWidth="1"/>
    <col min="1547" max="1555" width="11.42578125" style="16" customWidth="1"/>
    <col min="1556" max="1787" width="11.42578125" style="16"/>
    <col min="1788" max="1788" width="3.5703125" style="16" customWidth="1"/>
    <col min="1789" max="1789" width="13.28515625" style="16" customWidth="1"/>
    <col min="1790" max="1797" width="11.42578125" style="16" customWidth="1"/>
    <col min="1798" max="1798" width="9.7109375" style="16" bestFit="1" customWidth="1"/>
    <col min="1799" max="1802" width="0" style="16" hidden="1" customWidth="1"/>
    <col min="1803" max="1811" width="11.42578125" style="16" customWidth="1"/>
    <col min="1812" max="2043" width="11.42578125" style="16"/>
    <col min="2044" max="2044" width="3.5703125" style="16" customWidth="1"/>
    <col min="2045" max="2045" width="13.28515625" style="16" customWidth="1"/>
    <col min="2046" max="2053" width="11.42578125" style="16" customWidth="1"/>
    <col min="2054" max="2054" width="9.7109375" style="16" bestFit="1" customWidth="1"/>
    <col min="2055" max="2058" width="0" style="16" hidden="1" customWidth="1"/>
    <col min="2059" max="2067" width="11.42578125" style="16" customWidth="1"/>
    <col min="2068" max="2299" width="11.42578125" style="16"/>
    <col min="2300" max="2300" width="3.5703125" style="16" customWidth="1"/>
    <col min="2301" max="2301" width="13.28515625" style="16" customWidth="1"/>
    <col min="2302" max="2309" width="11.42578125" style="16" customWidth="1"/>
    <col min="2310" max="2310" width="9.7109375" style="16" bestFit="1" customWidth="1"/>
    <col min="2311" max="2314" width="0" style="16" hidden="1" customWidth="1"/>
    <col min="2315" max="2323" width="11.42578125" style="16" customWidth="1"/>
    <col min="2324" max="2555" width="11.42578125" style="16"/>
    <col min="2556" max="2556" width="3.5703125" style="16" customWidth="1"/>
    <col min="2557" max="2557" width="13.28515625" style="16" customWidth="1"/>
    <col min="2558" max="2565" width="11.42578125" style="16" customWidth="1"/>
    <col min="2566" max="2566" width="9.7109375" style="16" bestFit="1" customWidth="1"/>
    <col min="2567" max="2570" width="0" style="16" hidden="1" customWidth="1"/>
    <col min="2571" max="2579" width="11.42578125" style="16" customWidth="1"/>
    <col min="2580" max="2811" width="11.42578125" style="16"/>
    <col min="2812" max="2812" width="3.5703125" style="16" customWidth="1"/>
    <col min="2813" max="2813" width="13.28515625" style="16" customWidth="1"/>
    <col min="2814" max="2821" width="11.42578125" style="16" customWidth="1"/>
    <col min="2822" max="2822" width="9.7109375" style="16" bestFit="1" customWidth="1"/>
    <col min="2823" max="2826" width="0" style="16" hidden="1" customWidth="1"/>
    <col min="2827" max="2835" width="11.42578125" style="16" customWidth="1"/>
    <col min="2836" max="3067" width="11.42578125" style="16"/>
    <col min="3068" max="3068" width="3.5703125" style="16" customWidth="1"/>
    <col min="3069" max="3069" width="13.28515625" style="16" customWidth="1"/>
    <col min="3070" max="3077" width="11.42578125" style="16" customWidth="1"/>
    <col min="3078" max="3078" width="9.7109375" style="16" bestFit="1" customWidth="1"/>
    <col min="3079" max="3082" width="0" style="16" hidden="1" customWidth="1"/>
    <col min="3083" max="3091" width="11.42578125" style="16" customWidth="1"/>
    <col min="3092" max="3323" width="11.42578125" style="16"/>
    <col min="3324" max="3324" width="3.5703125" style="16" customWidth="1"/>
    <col min="3325" max="3325" width="13.28515625" style="16" customWidth="1"/>
    <col min="3326" max="3333" width="11.42578125" style="16" customWidth="1"/>
    <col min="3334" max="3334" width="9.7109375" style="16" bestFit="1" customWidth="1"/>
    <col min="3335" max="3338" width="0" style="16" hidden="1" customWidth="1"/>
    <col min="3339" max="3347" width="11.42578125" style="16" customWidth="1"/>
    <col min="3348" max="3579" width="11.42578125" style="16"/>
    <col min="3580" max="3580" width="3.5703125" style="16" customWidth="1"/>
    <col min="3581" max="3581" width="13.28515625" style="16" customWidth="1"/>
    <col min="3582" max="3589" width="11.42578125" style="16" customWidth="1"/>
    <col min="3590" max="3590" width="9.7109375" style="16" bestFit="1" customWidth="1"/>
    <col min="3591" max="3594" width="0" style="16" hidden="1" customWidth="1"/>
    <col min="3595" max="3603" width="11.42578125" style="16" customWidth="1"/>
    <col min="3604" max="3835" width="11.42578125" style="16"/>
    <col min="3836" max="3836" width="3.5703125" style="16" customWidth="1"/>
    <col min="3837" max="3837" width="13.28515625" style="16" customWidth="1"/>
    <col min="3838" max="3845" width="11.42578125" style="16" customWidth="1"/>
    <col min="3846" max="3846" width="9.7109375" style="16" bestFit="1" customWidth="1"/>
    <col min="3847" max="3850" width="0" style="16" hidden="1" customWidth="1"/>
    <col min="3851" max="3859" width="11.42578125" style="16" customWidth="1"/>
    <col min="3860" max="4091" width="11.42578125" style="16"/>
    <col min="4092" max="4092" width="3.5703125" style="16" customWidth="1"/>
    <col min="4093" max="4093" width="13.28515625" style="16" customWidth="1"/>
    <col min="4094" max="4101" width="11.42578125" style="16" customWidth="1"/>
    <col min="4102" max="4102" width="9.7109375" style="16" bestFit="1" customWidth="1"/>
    <col min="4103" max="4106" width="0" style="16" hidden="1" customWidth="1"/>
    <col min="4107" max="4115" width="11.42578125" style="16" customWidth="1"/>
    <col min="4116" max="4347" width="11.42578125" style="16"/>
    <col min="4348" max="4348" width="3.5703125" style="16" customWidth="1"/>
    <col min="4349" max="4349" width="13.28515625" style="16" customWidth="1"/>
    <col min="4350" max="4357" width="11.42578125" style="16" customWidth="1"/>
    <col min="4358" max="4358" width="9.7109375" style="16" bestFit="1" customWidth="1"/>
    <col min="4359" max="4362" width="0" style="16" hidden="1" customWidth="1"/>
    <col min="4363" max="4371" width="11.42578125" style="16" customWidth="1"/>
    <col min="4372" max="4603" width="11.42578125" style="16"/>
    <col min="4604" max="4604" width="3.5703125" style="16" customWidth="1"/>
    <col min="4605" max="4605" width="13.28515625" style="16" customWidth="1"/>
    <col min="4606" max="4613" width="11.42578125" style="16" customWidth="1"/>
    <col min="4614" max="4614" width="9.7109375" style="16" bestFit="1" customWidth="1"/>
    <col min="4615" max="4618" width="0" style="16" hidden="1" customWidth="1"/>
    <col min="4619" max="4627" width="11.42578125" style="16" customWidth="1"/>
    <col min="4628" max="4859" width="11.42578125" style="16"/>
    <col min="4860" max="4860" width="3.5703125" style="16" customWidth="1"/>
    <col min="4861" max="4861" width="13.28515625" style="16" customWidth="1"/>
    <col min="4862" max="4869" width="11.42578125" style="16" customWidth="1"/>
    <col min="4870" max="4870" width="9.7109375" style="16" bestFit="1" customWidth="1"/>
    <col min="4871" max="4874" width="0" style="16" hidden="1" customWidth="1"/>
    <col min="4875" max="4883" width="11.42578125" style="16" customWidth="1"/>
    <col min="4884" max="5115" width="11.42578125" style="16"/>
    <col min="5116" max="5116" width="3.5703125" style="16" customWidth="1"/>
    <col min="5117" max="5117" width="13.28515625" style="16" customWidth="1"/>
    <col min="5118" max="5125" width="11.42578125" style="16" customWidth="1"/>
    <col min="5126" max="5126" width="9.7109375" style="16" bestFit="1" customWidth="1"/>
    <col min="5127" max="5130" width="0" style="16" hidden="1" customWidth="1"/>
    <col min="5131" max="5139" width="11.42578125" style="16" customWidth="1"/>
    <col min="5140" max="5371" width="11.42578125" style="16"/>
    <col min="5372" max="5372" width="3.5703125" style="16" customWidth="1"/>
    <col min="5373" max="5373" width="13.28515625" style="16" customWidth="1"/>
    <col min="5374" max="5381" width="11.42578125" style="16" customWidth="1"/>
    <col min="5382" max="5382" width="9.7109375" style="16" bestFit="1" customWidth="1"/>
    <col min="5383" max="5386" width="0" style="16" hidden="1" customWidth="1"/>
    <col min="5387" max="5395" width="11.42578125" style="16" customWidth="1"/>
    <col min="5396" max="5627" width="11.42578125" style="16"/>
    <col min="5628" max="5628" width="3.5703125" style="16" customWidth="1"/>
    <col min="5629" max="5629" width="13.28515625" style="16" customWidth="1"/>
    <col min="5630" max="5637" width="11.42578125" style="16" customWidth="1"/>
    <col min="5638" max="5638" width="9.7109375" style="16" bestFit="1" customWidth="1"/>
    <col min="5639" max="5642" width="0" style="16" hidden="1" customWidth="1"/>
    <col min="5643" max="5651" width="11.42578125" style="16" customWidth="1"/>
    <col min="5652" max="5883" width="11.42578125" style="16"/>
    <col min="5884" max="5884" width="3.5703125" style="16" customWidth="1"/>
    <col min="5885" max="5885" width="13.28515625" style="16" customWidth="1"/>
    <col min="5886" max="5893" width="11.42578125" style="16" customWidth="1"/>
    <col min="5894" max="5894" width="9.7109375" style="16" bestFit="1" customWidth="1"/>
    <col min="5895" max="5898" width="0" style="16" hidden="1" customWidth="1"/>
    <col min="5899" max="5907" width="11.42578125" style="16" customWidth="1"/>
    <col min="5908" max="6139" width="11.42578125" style="16"/>
    <col min="6140" max="6140" width="3.5703125" style="16" customWidth="1"/>
    <col min="6141" max="6141" width="13.28515625" style="16" customWidth="1"/>
    <col min="6142" max="6149" width="11.42578125" style="16" customWidth="1"/>
    <col min="6150" max="6150" width="9.7109375" style="16" bestFit="1" customWidth="1"/>
    <col min="6151" max="6154" width="0" style="16" hidden="1" customWidth="1"/>
    <col min="6155" max="6163" width="11.42578125" style="16" customWidth="1"/>
    <col min="6164" max="6395" width="11.42578125" style="16"/>
    <col min="6396" max="6396" width="3.5703125" style="16" customWidth="1"/>
    <col min="6397" max="6397" width="13.28515625" style="16" customWidth="1"/>
    <col min="6398" max="6405" width="11.42578125" style="16" customWidth="1"/>
    <col min="6406" max="6406" width="9.7109375" style="16" bestFit="1" customWidth="1"/>
    <col min="6407" max="6410" width="0" style="16" hidden="1" customWidth="1"/>
    <col min="6411" max="6419" width="11.42578125" style="16" customWidth="1"/>
    <col min="6420" max="6651" width="11.42578125" style="16"/>
    <col min="6652" max="6652" width="3.5703125" style="16" customWidth="1"/>
    <col min="6653" max="6653" width="13.28515625" style="16" customWidth="1"/>
    <col min="6654" max="6661" width="11.42578125" style="16" customWidth="1"/>
    <col min="6662" max="6662" width="9.7109375" style="16" bestFit="1" customWidth="1"/>
    <col min="6663" max="6666" width="0" style="16" hidden="1" customWidth="1"/>
    <col min="6667" max="6675" width="11.42578125" style="16" customWidth="1"/>
    <col min="6676" max="6907" width="11.42578125" style="16"/>
    <col min="6908" max="6908" width="3.5703125" style="16" customWidth="1"/>
    <col min="6909" max="6909" width="13.28515625" style="16" customWidth="1"/>
    <col min="6910" max="6917" width="11.42578125" style="16" customWidth="1"/>
    <col min="6918" max="6918" width="9.7109375" style="16" bestFit="1" customWidth="1"/>
    <col min="6919" max="6922" width="0" style="16" hidden="1" customWidth="1"/>
    <col min="6923" max="6931" width="11.42578125" style="16" customWidth="1"/>
    <col min="6932" max="7163" width="11.42578125" style="16"/>
    <col min="7164" max="7164" width="3.5703125" style="16" customWidth="1"/>
    <col min="7165" max="7165" width="13.28515625" style="16" customWidth="1"/>
    <col min="7166" max="7173" width="11.42578125" style="16" customWidth="1"/>
    <col min="7174" max="7174" width="9.7109375" style="16" bestFit="1" customWidth="1"/>
    <col min="7175" max="7178" width="0" style="16" hidden="1" customWidth="1"/>
    <col min="7179" max="7187" width="11.42578125" style="16" customWidth="1"/>
    <col min="7188" max="7419" width="11.42578125" style="16"/>
    <col min="7420" max="7420" width="3.5703125" style="16" customWidth="1"/>
    <col min="7421" max="7421" width="13.28515625" style="16" customWidth="1"/>
    <col min="7422" max="7429" width="11.42578125" style="16" customWidth="1"/>
    <col min="7430" max="7430" width="9.7109375" style="16" bestFit="1" customWidth="1"/>
    <col min="7431" max="7434" width="0" style="16" hidden="1" customWidth="1"/>
    <col min="7435" max="7443" width="11.42578125" style="16" customWidth="1"/>
    <col min="7444" max="7675" width="11.42578125" style="16"/>
    <col min="7676" max="7676" width="3.5703125" style="16" customWidth="1"/>
    <col min="7677" max="7677" width="13.28515625" style="16" customWidth="1"/>
    <col min="7678" max="7685" width="11.42578125" style="16" customWidth="1"/>
    <col min="7686" max="7686" width="9.7109375" style="16" bestFit="1" customWidth="1"/>
    <col min="7687" max="7690" width="0" style="16" hidden="1" customWidth="1"/>
    <col min="7691" max="7699" width="11.42578125" style="16" customWidth="1"/>
    <col min="7700" max="7931" width="11.42578125" style="16"/>
    <col min="7932" max="7932" width="3.5703125" style="16" customWidth="1"/>
    <col min="7933" max="7933" width="13.28515625" style="16" customWidth="1"/>
    <col min="7934" max="7941" width="11.42578125" style="16" customWidth="1"/>
    <col min="7942" max="7942" width="9.7109375" style="16" bestFit="1" customWidth="1"/>
    <col min="7943" max="7946" width="0" style="16" hidden="1" customWidth="1"/>
    <col min="7947" max="7955" width="11.42578125" style="16" customWidth="1"/>
    <col min="7956" max="8187" width="11.42578125" style="16"/>
    <col min="8188" max="8188" width="3.5703125" style="16" customWidth="1"/>
    <col min="8189" max="8189" width="13.28515625" style="16" customWidth="1"/>
    <col min="8190" max="8197" width="11.42578125" style="16" customWidth="1"/>
    <col min="8198" max="8198" width="9.7109375" style="16" bestFit="1" customWidth="1"/>
    <col min="8199" max="8202" width="0" style="16" hidden="1" customWidth="1"/>
    <col min="8203" max="8211" width="11.42578125" style="16" customWidth="1"/>
    <col min="8212" max="8443" width="11.42578125" style="16"/>
    <col min="8444" max="8444" width="3.5703125" style="16" customWidth="1"/>
    <col min="8445" max="8445" width="13.28515625" style="16" customWidth="1"/>
    <col min="8446" max="8453" width="11.42578125" style="16" customWidth="1"/>
    <col min="8454" max="8454" width="9.7109375" style="16" bestFit="1" customWidth="1"/>
    <col min="8455" max="8458" width="0" style="16" hidden="1" customWidth="1"/>
    <col min="8459" max="8467" width="11.42578125" style="16" customWidth="1"/>
    <col min="8468" max="8699" width="11.42578125" style="16"/>
    <col min="8700" max="8700" width="3.5703125" style="16" customWidth="1"/>
    <col min="8701" max="8701" width="13.28515625" style="16" customWidth="1"/>
    <col min="8702" max="8709" width="11.42578125" style="16" customWidth="1"/>
    <col min="8710" max="8710" width="9.7109375" style="16" bestFit="1" customWidth="1"/>
    <col min="8711" max="8714" width="0" style="16" hidden="1" customWidth="1"/>
    <col min="8715" max="8723" width="11.42578125" style="16" customWidth="1"/>
    <col min="8724" max="8955" width="11.42578125" style="16"/>
    <col min="8956" max="8956" width="3.5703125" style="16" customWidth="1"/>
    <col min="8957" max="8957" width="13.28515625" style="16" customWidth="1"/>
    <col min="8958" max="8965" width="11.42578125" style="16" customWidth="1"/>
    <col min="8966" max="8966" width="9.7109375" style="16" bestFit="1" customWidth="1"/>
    <col min="8967" max="8970" width="0" style="16" hidden="1" customWidth="1"/>
    <col min="8971" max="8979" width="11.42578125" style="16" customWidth="1"/>
    <col min="8980" max="9211" width="11.42578125" style="16"/>
    <col min="9212" max="9212" width="3.5703125" style="16" customWidth="1"/>
    <col min="9213" max="9213" width="13.28515625" style="16" customWidth="1"/>
    <col min="9214" max="9221" width="11.42578125" style="16" customWidth="1"/>
    <col min="9222" max="9222" width="9.7109375" style="16" bestFit="1" customWidth="1"/>
    <col min="9223" max="9226" width="0" style="16" hidden="1" customWidth="1"/>
    <col min="9227" max="9235" width="11.42578125" style="16" customWidth="1"/>
    <col min="9236" max="9467" width="11.42578125" style="16"/>
    <col min="9468" max="9468" width="3.5703125" style="16" customWidth="1"/>
    <col min="9469" max="9469" width="13.28515625" style="16" customWidth="1"/>
    <col min="9470" max="9477" width="11.42578125" style="16" customWidth="1"/>
    <col min="9478" max="9478" width="9.7109375" style="16" bestFit="1" customWidth="1"/>
    <col min="9479" max="9482" width="0" style="16" hidden="1" customWidth="1"/>
    <col min="9483" max="9491" width="11.42578125" style="16" customWidth="1"/>
    <col min="9492" max="9723" width="11.42578125" style="16"/>
    <col min="9724" max="9724" width="3.5703125" style="16" customWidth="1"/>
    <col min="9725" max="9725" width="13.28515625" style="16" customWidth="1"/>
    <col min="9726" max="9733" width="11.42578125" style="16" customWidth="1"/>
    <col min="9734" max="9734" width="9.7109375" style="16" bestFit="1" customWidth="1"/>
    <col min="9735" max="9738" width="0" style="16" hidden="1" customWidth="1"/>
    <col min="9739" max="9747" width="11.42578125" style="16" customWidth="1"/>
    <col min="9748" max="9979" width="11.42578125" style="16"/>
    <col min="9980" max="9980" width="3.5703125" style="16" customWidth="1"/>
    <col min="9981" max="9981" width="13.28515625" style="16" customWidth="1"/>
    <col min="9982" max="9989" width="11.42578125" style="16" customWidth="1"/>
    <col min="9990" max="9990" width="9.7109375" style="16" bestFit="1" customWidth="1"/>
    <col min="9991" max="9994" width="0" style="16" hidden="1" customWidth="1"/>
    <col min="9995" max="10003" width="11.42578125" style="16" customWidth="1"/>
    <col min="10004" max="10235" width="11.42578125" style="16"/>
    <col min="10236" max="10236" width="3.5703125" style="16" customWidth="1"/>
    <col min="10237" max="10237" width="13.28515625" style="16" customWidth="1"/>
    <col min="10238" max="10245" width="11.42578125" style="16" customWidth="1"/>
    <col min="10246" max="10246" width="9.7109375" style="16" bestFit="1" customWidth="1"/>
    <col min="10247" max="10250" width="0" style="16" hidden="1" customWidth="1"/>
    <col min="10251" max="10259" width="11.42578125" style="16" customWidth="1"/>
    <col min="10260" max="10491" width="11.42578125" style="16"/>
    <col min="10492" max="10492" width="3.5703125" style="16" customWidth="1"/>
    <col min="10493" max="10493" width="13.28515625" style="16" customWidth="1"/>
    <col min="10494" max="10501" width="11.42578125" style="16" customWidth="1"/>
    <col min="10502" max="10502" width="9.7109375" style="16" bestFit="1" customWidth="1"/>
    <col min="10503" max="10506" width="0" style="16" hidden="1" customWidth="1"/>
    <col min="10507" max="10515" width="11.42578125" style="16" customWidth="1"/>
    <col min="10516" max="10747" width="11.42578125" style="16"/>
    <col min="10748" max="10748" width="3.5703125" style="16" customWidth="1"/>
    <col min="10749" max="10749" width="13.28515625" style="16" customWidth="1"/>
    <col min="10750" max="10757" width="11.42578125" style="16" customWidth="1"/>
    <col min="10758" max="10758" width="9.7109375" style="16" bestFit="1" customWidth="1"/>
    <col min="10759" max="10762" width="0" style="16" hidden="1" customWidth="1"/>
    <col min="10763" max="10771" width="11.42578125" style="16" customWidth="1"/>
    <col min="10772" max="11003" width="11.42578125" style="16"/>
    <col min="11004" max="11004" width="3.5703125" style="16" customWidth="1"/>
    <col min="11005" max="11005" width="13.28515625" style="16" customWidth="1"/>
    <col min="11006" max="11013" width="11.42578125" style="16" customWidth="1"/>
    <col min="11014" max="11014" width="9.7109375" style="16" bestFit="1" customWidth="1"/>
    <col min="11015" max="11018" width="0" style="16" hidden="1" customWidth="1"/>
    <col min="11019" max="11027" width="11.42578125" style="16" customWidth="1"/>
    <col min="11028" max="11259" width="11.42578125" style="16"/>
    <col min="11260" max="11260" width="3.5703125" style="16" customWidth="1"/>
    <col min="11261" max="11261" width="13.28515625" style="16" customWidth="1"/>
    <col min="11262" max="11269" width="11.42578125" style="16" customWidth="1"/>
    <col min="11270" max="11270" width="9.7109375" style="16" bestFit="1" customWidth="1"/>
    <col min="11271" max="11274" width="0" style="16" hidden="1" customWidth="1"/>
    <col min="11275" max="11283" width="11.42578125" style="16" customWidth="1"/>
    <col min="11284" max="11515" width="11.42578125" style="16"/>
    <col min="11516" max="11516" width="3.5703125" style="16" customWidth="1"/>
    <col min="11517" max="11517" width="13.28515625" style="16" customWidth="1"/>
    <col min="11518" max="11525" width="11.42578125" style="16" customWidth="1"/>
    <col min="11526" max="11526" width="9.7109375" style="16" bestFit="1" customWidth="1"/>
    <col min="11527" max="11530" width="0" style="16" hidden="1" customWidth="1"/>
    <col min="11531" max="11539" width="11.42578125" style="16" customWidth="1"/>
    <col min="11540" max="11771" width="11.42578125" style="16"/>
    <col min="11772" max="11772" width="3.5703125" style="16" customWidth="1"/>
    <col min="11773" max="11773" width="13.28515625" style="16" customWidth="1"/>
    <col min="11774" max="11781" width="11.42578125" style="16" customWidth="1"/>
    <col min="11782" max="11782" width="9.7109375" style="16" bestFit="1" customWidth="1"/>
    <col min="11783" max="11786" width="0" style="16" hidden="1" customWidth="1"/>
    <col min="11787" max="11795" width="11.42578125" style="16" customWidth="1"/>
    <col min="11796" max="12027" width="11.42578125" style="16"/>
    <col min="12028" max="12028" width="3.5703125" style="16" customWidth="1"/>
    <col min="12029" max="12029" width="13.28515625" style="16" customWidth="1"/>
    <col min="12030" max="12037" width="11.42578125" style="16" customWidth="1"/>
    <col min="12038" max="12038" width="9.7109375" style="16" bestFit="1" customWidth="1"/>
    <col min="12039" max="12042" width="0" style="16" hidden="1" customWidth="1"/>
    <col min="12043" max="12051" width="11.42578125" style="16" customWidth="1"/>
    <col min="12052" max="12283" width="11.42578125" style="16"/>
    <col min="12284" max="12284" width="3.5703125" style="16" customWidth="1"/>
    <col min="12285" max="12285" width="13.28515625" style="16" customWidth="1"/>
    <col min="12286" max="12293" width="11.42578125" style="16" customWidth="1"/>
    <col min="12294" max="12294" width="9.7109375" style="16" bestFit="1" customWidth="1"/>
    <col min="12295" max="12298" width="0" style="16" hidden="1" customWidth="1"/>
    <col min="12299" max="12307" width="11.42578125" style="16" customWidth="1"/>
    <col min="12308" max="12539" width="11.42578125" style="16"/>
    <col min="12540" max="12540" width="3.5703125" style="16" customWidth="1"/>
    <col min="12541" max="12541" width="13.28515625" style="16" customWidth="1"/>
    <col min="12542" max="12549" width="11.42578125" style="16" customWidth="1"/>
    <col min="12550" max="12550" width="9.7109375" style="16" bestFit="1" customWidth="1"/>
    <col min="12551" max="12554" width="0" style="16" hidden="1" customWidth="1"/>
    <col min="12555" max="12563" width="11.42578125" style="16" customWidth="1"/>
    <col min="12564" max="12795" width="11.42578125" style="16"/>
    <col min="12796" max="12796" width="3.5703125" style="16" customWidth="1"/>
    <col min="12797" max="12797" width="13.28515625" style="16" customWidth="1"/>
    <col min="12798" max="12805" width="11.42578125" style="16" customWidth="1"/>
    <col min="12806" max="12806" width="9.7109375" style="16" bestFit="1" customWidth="1"/>
    <col min="12807" max="12810" width="0" style="16" hidden="1" customWidth="1"/>
    <col min="12811" max="12819" width="11.42578125" style="16" customWidth="1"/>
    <col min="12820" max="13051" width="11.42578125" style="16"/>
    <col min="13052" max="13052" width="3.5703125" style="16" customWidth="1"/>
    <col min="13053" max="13053" width="13.28515625" style="16" customWidth="1"/>
    <col min="13054" max="13061" width="11.42578125" style="16" customWidth="1"/>
    <col min="13062" max="13062" width="9.7109375" style="16" bestFit="1" customWidth="1"/>
    <col min="13063" max="13066" width="0" style="16" hidden="1" customWidth="1"/>
    <col min="13067" max="13075" width="11.42578125" style="16" customWidth="1"/>
    <col min="13076" max="13307" width="11.42578125" style="16"/>
    <col min="13308" max="13308" width="3.5703125" style="16" customWidth="1"/>
    <col min="13309" max="13309" width="13.28515625" style="16" customWidth="1"/>
    <col min="13310" max="13317" width="11.42578125" style="16" customWidth="1"/>
    <col min="13318" max="13318" width="9.7109375" style="16" bestFit="1" customWidth="1"/>
    <col min="13319" max="13322" width="0" style="16" hidden="1" customWidth="1"/>
    <col min="13323" max="13331" width="11.42578125" style="16" customWidth="1"/>
    <col min="13332" max="13563" width="11.42578125" style="16"/>
    <col min="13564" max="13564" width="3.5703125" style="16" customWidth="1"/>
    <col min="13565" max="13565" width="13.28515625" style="16" customWidth="1"/>
    <col min="13566" max="13573" width="11.42578125" style="16" customWidth="1"/>
    <col min="13574" max="13574" width="9.7109375" style="16" bestFit="1" customWidth="1"/>
    <col min="13575" max="13578" width="0" style="16" hidden="1" customWidth="1"/>
    <col min="13579" max="13587" width="11.42578125" style="16" customWidth="1"/>
    <col min="13588" max="13819" width="11.42578125" style="16"/>
    <col min="13820" max="13820" width="3.5703125" style="16" customWidth="1"/>
    <col min="13821" max="13821" width="13.28515625" style="16" customWidth="1"/>
    <col min="13822" max="13829" width="11.42578125" style="16" customWidth="1"/>
    <col min="13830" max="13830" width="9.7109375" style="16" bestFit="1" customWidth="1"/>
    <col min="13831" max="13834" width="0" style="16" hidden="1" customWidth="1"/>
    <col min="13835" max="13843" width="11.42578125" style="16" customWidth="1"/>
    <col min="13844" max="14075" width="11.42578125" style="16"/>
    <col min="14076" max="14076" width="3.5703125" style="16" customWidth="1"/>
    <col min="14077" max="14077" width="13.28515625" style="16" customWidth="1"/>
    <col min="14078" max="14085" width="11.42578125" style="16" customWidth="1"/>
    <col min="14086" max="14086" width="9.7109375" style="16" bestFit="1" customWidth="1"/>
    <col min="14087" max="14090" width="0" style="16" hidden="1" customWidth="1"/>
    <col min="14091" max="14099" width="11.42578125" style="16" customWidth="1"/>
    <col min="14100" max="14331" width="11.42578125" style="16"/>
    <col min="14332" max="14332" width="3.5703125" style="16" customWidth="1"/>
    <col min="14333" max="14333" width="13.28515625" style="16" customWidth="1"/>
    <col min="14334" max="14341" width="11.42578125" style="16" customWidth="1"/>
    <col min="14342" max="14342" width="9.7109375" style="16" bestFit="1" customWidth="1"/>
    <col min="14343" max="14346" width="0" style="16" hidden="1" customWidth="1"/>
    <col min="14347" max="14355" width="11.42578125" style="16" customWidth="1"/>
    <col min="14356" max="14587" width="11.42578125" style="16"/>
    <col min="14588" max="14588" width="3.5703125" style="16" customWidth="1"/>
    <col min="14589" max="14589" width="13.28515625" style="16" customWidth="1"/>
    <col min="14590" max="14597" width="11.42578125" style="16" customWidth="1"/>
    <col min="14598" max="14598" width="9.7109375" style="16" bestFit="1" customWidth="1"/>
    <col min="14599" max="14602" width="0" style="16" hidden="1" customWidth="1"/>
    <col min="14603" max="14611" width="11.42578125" style="16" customWidth="1"/>
    <col min="14612" max="14843" width="11.42578125" style="16"/>
    <col min="14844" max="14844" width="3.5703125" style="16" customWidth="1"/>
    <col min="14845" max="14845" width="13.28515625" style="16" customWidth="1"/>
    <col min="14846" max="14853" width="11.42578125" style="16" customWidth="1"/>
    <col min="14854" max="14854" width="9.7109375" style="16" bestFit="1" customWidth="1"/>
    <col min="14855" max="14858" width="0" style="16" hidden="1" customWidth="1"/>
    <col min="14859" max="14867" width="11.42578125" style="16" customWidth="1"/>
    <col min="14868" max="15099" width="11.42578125" style="16"/>
    <col min="15100" max="15100" width="3.5703125" style="16" customWidth="1"/>
    <col min="15101" max="15101" width="13.28515625" style="16" customWidth="1"/>
    <col min="15102" max="15109" width="11.42578125" style="16" customWidth="1"/>
    <col min="15110" max="15110" width="9.7109375" style="16" bestFit="1" customWidth="1"/>
    <col min="15111" max="15114" width="0" style="16" hidden="1" customWidth="1"/>
    <col min="15115" max="15123" width="11.42578125" style="16" customWidth="1"/>
    <col min="15124" max="15355" width="11.42578125" style="16"/>
    <col min="15356" max="15356" width="3.5703125" style="16" customWidth="1"/>
    <col min="15357" max="15357" width="13.28515625" style="16" customWidth="1"/>
    <col min="15358" max="15365" width="11.42578125" style="16" customWidth="1"/>
    <col min="15366" max="15366" width="9.7109375" style="16" bestFit="1" customWidth="1"/>
    <col min="15367" max="15370" width="0" style="16" hidden="1" customWidth="1"/>
    <col min="15371" max="15379" width="11.42578125" style="16" customWidth="1"/>
    <col min="15380" max="15611" width="11.42578125" style="16"/>
    <col min="15612" max="15612" width="3.5703125" style="16" customWidth="1"/>
    <col min="15613" max="15613" width="13.28515625" style="16" customWidth="1"/>
    <col min="15614" max="15621" width="11.42578125" style="16" customWidth="1"/>
    <col min="15622" max="15622" width="9.7109375" style="16" bestFit="1" customWidth="1"/>
    <col min="15623" max="15626" width="0" style="16" hidden="1" customWidth="1"/>
    <col min="15627" max="15635" width="11.42578125" style="16" customWidth="1"/>
    <col min="15636" max="15867" width="11.42578125" style="16"/>
    <col min="15868" max="15868" width="3.5703125" style="16" customWidth="1"/>
    <col min="15869" max="15869" width="13.28515625" style="16" customWidth="1"/>
    <col min="15870" max="15877" width="11.42578125" style="16" customWidth="1"/>
    <col min="15878" max="15878" width="9.7109375" style="16" bestFit="1" customWidth="1"/>
    <col min="15879" max="15882" width="0" style="16" hidden="1" customWidth="1"/>
    <col min="15883" max="15891" width="11.42578125" style="16" customWidth="1"/>
    <col min="15892" max="16123" width="11.42578125" style="16"/>
    <col min="16124" max="16124" width="3.5703125" style="16" customWidth="1"/>
    <col min="16125" max="16125" width="13.28515625" style="16" customWidth="1"/>
    <col min="16126" max="16133" width="11.42578125" style="16" customWidth="1"/>
    <col min="16134" max="16134" width="9.7109375" style="16" bestFit="1" customWidth="1"/>
    <col min="16135" max="16138" width="0" style="16" hidden="1" customWidth="1"/>
    <col min="16139" max="16147" width="11.42578125" style="16" customWidth="1"/>
    <col min="16148" max="16384" width="11.42578125" style="16"/>
  </cols>
  <sheetData>
    <row r="2" spans="2:40" s="37" customFormat="1" ht="24.75" customHeight="1">
      <c r="B2" s="271" t="s">
        <v>96</v>
      </c>
      <c r="C2" s="272" t="s">
        <v>97</v>
      </c>
      <c r="D2" s="272" t="s">
        <v>97</v>
      </c>
      <c r="E2" s="272" t="s">
        <v>97</v>
      </c>
      <c r="F2" s="272" t="s">
        <v>97</v>
      </c>
      <c r="G2" s="272" t="s">
        <v>97</v>
      </c>
      <c r="H2" s="272" t="s">
        <v>97</v>
      </c>
      <c r="I2" s="272" t="s">
        <v>97</v>
      </c>
      <c r="J2" s="272" t="s">
        <v>97</v>
      </c>
      <c r="K2" s="272" t="s">
        <v>98</v>
      </c>
      <c r="L2" s="273"/>
      <c r="M2" s="272" t="s">
        <v>99</v>
      </c>
      <c r="N2" s="272" t="s">
        <v>99</v>
      </c>
      <c r="O2" s="272" t="s">
        <v>99</v>
      </c>
      <c r="P2" s="272" t="s">
        <v>99</v>
      </c>
      <c r="Q2" s="272" t="s">
        <v>99</v>
      </c>
      <c r="R2" s="272" t="s">
        <v>99</v>
      </c>
      <c r="S2" s="272" t="s">
        <v>99</v>
      </c>
      <c r="T2" s="272" t="s">
        <v>99</v>
      </c>
      <c r="U2" s="272" t="s">
        <v>99</v>
      </c>
      <c r="V2" s="272" t="s">
        <v>99</v>
      </c>
      <c r="W2" s="272" t="s">
        <v>99</v>
      </c>
      <c r="X2" s="272" t="s">
        <v>99</v>
      </c>
      <c r="Y2" s="272" t="s">
        <v>99</v>
      </c>
      <c r="Z2" s="272" t="s">
        <v>99</v>
      </c>
      <c r="AA2" s="272" t="s">
        <v>99</v>
      </c>
      <c r="AB2" s="272" t="s">
        <v>99</v>
      </c>
      <c r="AC2" s="272" t="s">
        <v>99</v>
      </c>
      <c r="AD2" s="272" t="s">
        <v>99</v>
      </c>
      <c r="AE2" s="272" t="s">
        <v>99</v>
      </c>
      <c r="AF2" s="272" t="s">
        <v>99</v>
      </c>
      <c r="AG2" s="272" t="s">
        <v>99</v>
      </c>
      <c r="AN2" s="37" t="s">
        <v>100</v>
      </c>
    </row>
    <row r="3" spans="2:40" s="37" customFormat="1" ht="13.5" customHeight="1">
      <c r="B3" s="274" t="s">
        <v>101</v>
      </c>
      <c r="C3" s="275">
        <v>43465</v>
      </c>
      <c r="D3" s="275">
        <v>43830</v>
      </c>
      <c r="E3" s="275">
        <v>44196</v>
      </c>
      <c r="F3" s="275">
        <v>44561</v>
      </c>
      <c r="G3" s="275">
        <v>44926</v>
      </c>
      <c r="H3" s="275">
        <v>45291</v>
      </c>
      <c r="I3" s="275">
        <v>45657</v>
      </c>
      <c r="J3" s="275">
        <v>46022</v>
      </c>
      <c r="K3" s="275">
        <f>AG3</f>
        <v>46112</v>
      </c>
      <c r="L3" s="276"/>
      <c r="M3" s="275">
        <v>44286</v>
      </c>
      <c r="N3" s="275">
        <v>44377</v>
      </c>
      <c r="O3" s="275">
        <v>44469</v>
      </c>
      <c r="P3" s="275">
        <v>44561</v>
      </c>
      <c r="Q3" s="275">
        <v>44651</v>
      </c>
      <c r="R3" s="275">
        <v>44742</v>
      </c>
      <c r="S3" s="275">
        <v>44834</v>
      </c>
      <c r="T3" s="275">
        <v>44926</v>
      </c>
      <c r="U3" s="275">
        <v>45016</v>
      </c>
      <c r="V3" s="275">
        <v>45107</v>
      </c>
      <c r="W3" s="275">
        <v>45199</v>
      </c>
      <c r="X3" s="275">
        <v>45291</v>
      </c>
      <c r="Y3" s="275">
        <v>45382</v>
      </c>
      <c r="Z3" s="275">
        <v>45473</v>
      </c>
      <c r="AA3" s="275">
        <v>45565</v>
      </c>
      <c r="AB3" s="275">
        <v>45657</v>
      </c>
      <c r="AC3" s="275">
        <v>45747</v>
      </c>
      <c r="AD3" s="275">
        <v>45838</v>
      </c>
      <c r="AE3" s="275">
        <v>45930</v>
      </c>
      <c r="AF3" s="275">
        <v>46022</v>
      </c>
      <c r="AG3" s="275">
        <v>46112</v>
      </c>
    </row>
    <row r="4" spans="2:40" s="19" customFormat="1" ht="13.5" customHeight="1">
      <c r="B4" s="274"/>
      <c r="C4" s="275" t="s">
        <v>102</v>
      </c>
      <c r="D4" s="275" t="s">
        <v>102</v>
      </c>
      <c r="E4" s="275" t="s">
        <v>102</v>
      </c>
      <c r="F4" s="275" t="s">
        <v>102</v>
      </c>
      <c r="G4" s="275" t="s">
        <v>102</v>
      </c>
      <c r="H4" s="275" t="s">
        <v>102</v>
      </c>
      <c r="I4" s="275" t="s">
        <v>102</v>
      </c>
      <c r="J4" s="275" t="s">
        <v>102</v>
      </c>
      <c r="K4" s="275" t="s">
        <v>102</v>
      </c>
      <c r="L4" s="276"/>
      <c r="M4" s="275" t="s">
        <v>102</v>
      </c>
      <c r="N4" s="275" t="s">
        <v>102</v>
      </c>
      <c r="O4" s="275" t="s">
        <v>102</v>
      </c>
      <c r="P4" s="275" t="s">
        <v>102</v>
      </c>
      <c r="Q4" s="275" t="s">
        <v>102</v>
      </c>
      <c r="R4" s="275" t="s">
        <v>102</v>
      </c>
      <c r="S4" s="275" t="s">
        <v>102</v>
      </c>
      <c r="T4" s="275" t="s">
        <v>102</v>
      </c>
      <c r="U4" s="275" t="s">
        <v>102</v>
      </c>
      <c r="V4" s="275" t="s">
        <v>102</v>
      </c>
      <c r="W4" s="275" t="s">
        <v>102</v>
      </c>
      <c r="X4" s="275" t="s">
        <v>102</v>
      </c>
      <c r="Y4" s="275" t="s">
        <v>102</v>
      </c>
      <c r="Z4" s="275" t="s">
        <v>102</v>
      </c>
      <c r="AA4" s="275" t="s">
        <v>102</v>
      </c>
      <c r="AB4" s="275" t="s">
        <v>102</v>
      </c>
      <c r="AC4" s="275" t="s">
        <v>102</v>
      </c>
      <c r="AD4" s="275" t="s">
        <v>102</v>
      </c>
      <c r="AE4" s="275" t="s">
        <v>102</v>
      </c>
      <c r="AF4" s="275" t="s">
        <v>102</v>
      </c>
      <c r="AG4" s="275" t="s">
        <v>102</v>
      </c>
    </row>
    <row r="5" spans="2:40" s="70" customFormat="1" ht="13.5" customHeight="1">
      <c r="B5" s="277"/>
      <c r="C5" s="278" t="s">
        <v>103</v>
      </c>
      <c r="D5" s="278" t="s">
        <v>103</v>
      </c>
      <c r="E5" s="278" t="s">
        <v>103</v>
      </c>
      <c r="F5" s="278" t="s">
        <v>103</v>
      </c>
      <c r="G5" s="278" t="s">
        <v>103</v>
      </c>
      <c r="H5" s="278" t="s">
        <v>103</v>
      </c>
      <c r="I5" s="278" t="s">
        <v>103</v>
      </c>
      <c r="J5" s="278" t="s">
        <v>103</v>
      </c>
      <c r="K5" s="279" t="s">
        <v>98</v>
      </c>
      <c r="L5" s="278"/>
      <c r="M5" s="278" t="s">
        <v>104</v>
      </c>
      <c r="N5" s="278" t="s">
        <v>105</v>
      </c>
      <c r="O5" s="278" t="s">
        <v>106</v>
      </c>
      <c r="P5" s="279" t="s">
        <v>107</v>
      </c>
      <c r="Q5" s="278" t="s">
        <v>104</v>
      </c>
      <c r="R5" s="278" t="s">
        <v>105</v>
      </c>
      <c r="S5" s="278" t="s">
        <v>106</v>
      </c>
      <c r="T5" s="279" t="s">
        <v>107</v>
      </c>
      <c r="U5" s="278" t="s">
        <v>104</v>
      </c>
      <c r="V5" s="278" t="s">
        <v>105</v>
      </c>
      <c r="W5" s="278" t="s">
        <v>106</v>
      </c>
      <c r="X5" s="279" t="s">
        <v>107</v>
      </c>
      <c r="Y5" s="278" t="s">
        <v>104</v>
      </c>
      <c r="Z5" s="278" t="s">
        <v>105</v>
      </c>
      <c r="AA5" s="278" t="s">
        <v>106</v>
      </c>
      <c r="AB5" s="279" t="s">
        <v>107</v>
      </c>
      <c r="AC5" s="278" t="s">
        <v>104</v>
      </c>
      <c r="AD5" s="278" t="s">
        <v>105</v>
      </c>
      <c r="AE5" s="278" t="s">
        <v>106</v>
      </c>
      <c r="AF5" s="279" t="s">
        <v>107</v>
      </c>
      <c r="AG5" s="278" t="s">
        <v>104</v>
      </c>
    </row>
    <row r="6" spans="2:40" ht="13.5" customHeight="1">
      <c r="B6" s="39" t="s">
        <v>108</v>
      </c>
      <c r="C6" s="69"/>
      <c r="D6" s="69"/>
      <c r="E6" s="69"/>
      <c r="F6" s="69"/>
      <c r="G6" s="69"/>
      <c r="H6" s="69"/>
      <c r="I6" s="69"/>
      <c r="J6" s="69"/>
      <c r="K6" s="69"/>
      <c r="M6" s="68"/>
      <c r="N6" s="69"/>
      <c r="O6" s="69"/>
      <c r="P6" s="69"/>
      <c r="Q6" s="68"/>
      <c r="R6" s="69"/>
      <c r="S6" s="69"/>
      <c r="T6" s="69"/>
      <c r="U6" s="68"/>
      <c r="V6" s="69"/>
      <c r="W6" s="69"/>
      <c r="X6" s="69"/>
      <c r="Y6" s="68"/>
      <c r="Z6" s="69"/>
      <c r="AA6" s="69"/>
      <c r="AB6" s="69"/>
      <c r="AC6" s="68"/>
      <c r="AD6" s="69"/>
      <c r="AE6" s="69"/>
      <c r="AF6" s="69"/>
      <c r="AG6" s="68"/>
    </row>
    <row r="7" spans="2:40" s="19" customFormat="1" ht="13.5" customHeight="1">
      <c r="B7" s="59" t="s">
        <v>109</v>
      </c>
      <c r="C7" s="135">
        <v>40445066</v>
      </c>
      <c r="D7" s="135">
        <v>26990733</v>
      </c>
      <c r="E7" s="135">
        <v>31900418</v>
      </c>
      <c r="F7" s="135">
        <v>42997792</v>
      </c>
      <c r="G7" s="135">
        <v>44621568</v>
      </c>
      <c r="H7" s="135">
        <v>32765719</v>
      </c>
      <c r="I7" s="135">
        <v>66192960</v>
      </c>
      <c r="J7" s="135">
        <v>97146675</v>
      </c>
      <c r="K7" s="43">
        <f>SUM(AD7:AG7)</f>
        <v>132083821</v>
      </c>
      <c r="M7" s="135">
        <v>8494188</v>
      </c>
      <c r="N7" s="135">
        <v>10321671</v>
      </c>
      <c r="O7" s="135">
        <v>11805324</v>
      </c>
      <c r="P7" s="43">
        <f>F7-SUM(M7:O7)</f>
        <v>12376609</v>
      </c>
      <c r="Q7" s="135">
        <v>12155653</v>
      </c>
      <c r="R7" s="135">
        <v>13811001</v>
      </c>
      <c r="S7" s="135">
        <v>10982883</v>
      </c>
      <c r="T7" s="43">
        <f>G7-SUM(Q7:S7)</f>
        <v>7672031</v>
      </c>
      <c r="U7" s="135">
        <v>5088111</v>
      </c>
      <c r="V7" s="135">
        <v>7305933</v>
      </c>
      <c r="W7" s="135">
        <v>9066171</v>
      </c>
      <c r="X7" s="43">
        <f>H7-SUM(U7:W7)</f>
        <v>11305504</v>
      </c>
      <c r="Y7" s="135">
        <v>12429598</v>
      </c>
      <c r="Z7" s="135">
        <v>16423258</v>
      </c>
      <c r="AA7" s="135">
        <v>17573069</v>
      </c>
      <c r="AB7" s="43">
        <f>I7-SUM(Y7:AA7)</f>
        <v>19767035</v>
      </c>
      <c r="AC7" s="135">
        <v>17639141</v>
      </c>
      <c r="AD7" s="135">
        <v>22231952</v>
      </c>
      <c r="AE7" s="135">
        <v>24448929</v>
      </c>
      <c r="AF7" s="43">
        <f>J7-SUM(AC7:AE7)</f>
        <v>32826653</v>
      </c>
      <c r="AG7" s="135">
        <v>52576287</v>
      </c>
    </row>
    <row r="8" spans="2:40" s="19" customFormat="1" ht="13.5" customHeight="1">
      <c r="B8" s="34" t="s">
        <v>110</v>
      </c>
      <c r="C8" s="66"/>
      <c r="D8" s="66">
        <f t="shared" ref="D8:J8" si="0">(D7/C7)-1</f>
        <v>-0.33265696735418848</v>
      </c>
      <c r="E8" s="66">
        <f t="shared" si="0"/>
        <v>0.18190261820603393</v>
      </c>
      <c r="F8" s="66">
        <f t="shared" si="0"/>
        <v>0.34787550432724745</v>
      </c>
      <c r="G8" s="66">
        <f t="shared" si="0"/>
        <v>3.7764171704444793E-2</v>
      </c>
      <c r="H8" s="66">
        <f t="shared" si="0"/>
        <v>-0.26569772267975877</v>
      </c>
      <c r="I8" s="66">
        <f t="shared" si="0"/>
        <v>1.0201894547163759</v>
      </c>
      <c r="J8" s="66">
        <f t="shared" si="0"/>
        <v>0.46762850611303675</v>
      </c>
      <c r="K8" s="264"/>
      <c r="L8" s="29"/>
      <c r="M8" s="66"/>
      <c r="N8" s="66"/>
      <c r="O8" s="66"/>
      <c r="P8" s="66"/>
      <c r="Q8" s="66">
        <f t="shared" ref="Q8:AA8" si="1">(Q7/M7)-1</f>
        <v>0.43105532865531115</v>
      </c>
      <c r="R8" s="66">
        <f t="shared" si="1"/>
        <v>0.3380586341106977</v>
      </c>
      <c r="S8" s="66">
        <f t="shared" si="1"/>
        <v>-6.9666957044126843E-2</v>
      </c>
      <c r="T8" s="66">
        <f t="shared" si="1"/>
        <v>-0.38011849610826354</v>
      </c>
      <c r="U8" s="66">
        <f>(U7/Q7)-1</f>
        <v>-0.58142018367914905</v>
      </c>
      <c r="V8" s="66">
        <f t="shared" si="1"/>
        <v>-0.471006265222919</v>
      </c>
      <c r="W8" s="66">
        <f t="shared" si="1"/>
        <v>-0.17451811150132435</v>
      </c>
      <c r="X8" s="66">
        <f t="shared" si="1"/>
        <v>0.47359988508909834</v>
      </c>
      <c r="Y8" s="66">
        <f>(Y7/U7)-1</f>
        <v>1.4428708414576645</v>
      </c>
      <c r="Z8" s="66">
        <f t="shared" si="1"/>
        <v>1.2479343842874004</v>
      </c>
      <c r="AA8" s="66">
        <f t="shared" si="1"/>
        <v>0.9383121055184156</v>
      </c>
      <c r="AB8" s="66">
        <f t="shared" ref="AB8" si="2">(AB7/X7)-1</f>
        <v>0.74844350150156957</v>
      </c>
      <c r="AC8" s="66">
        <f t="shared" ref="AC8" si="3">(AC7/Y7)-1</f>
        <v>0.41912401350389605</v>
      </c>
      <c r="AD8" s="66">
        <f t="shared" ref="AD8:AG8" si="4">(AD7/Z7)-1</f>
        <v>0.35368706988588983</v>
      </c>
      <c r="AE8" s="66">
        <f t="shared" si="4"/>
        <v>0.39127257737393517</v>
      </c>
      <c r="AF8" s="66">
        <f t="shared" si="4"/>
        <v>0.66067662651480097</v>
      </c>
      <c r="AG8" s="66">
        <f t="shared" si="4"/>
        <v>1.9806602827201165</v>
      </c>
    </row>
    <row r="9" spans="2:40" ht="13.5" customHeight="1">
      <c r="B9" s="61" t="s">
        <v>111</v>
      </c>
      <c r="C9" s="50">
        <v>-15180838</v>
      </c>
      <c r="D9" s="50">
        <v>-18818814</v>
      </c>
      <c r="E9" s="50">
        <v>-21089789</v>
      </c>
      <c r="F9" s="50">
        <v>-24045600</v>
      </c>
      <c r="G9" s="50">
        <v>-28993713</v>
      </c>
      <c r="H9" s="50">
        <v>-33299167</v>
      </c>
      <c r="I9" s="50">
        <v>-34364814</v>
      </c>
      <c r="J9" s="50">
        <v>-38455885</v>
      </c>
      <c r="K9" s="7">
        <f>SUM(AD9:AG9)</f>
        <v>-41815608</v>
      </c>
      <c r="M9" s="50">
        <v>-5765640</v>
      </c>
      <c r="N9" s="50">
        <v>-5982227</v>
      </c>
      <c r="O9" s="50">
        <v>-5974270</v>
      </c>
      <c r="P9" s="7">
        <f>F9-SUM(M9:O9)</f>
        <v>-6323463</v>
      </c>
      <c r="Q9" s="50">
        <v>-6754457</v>
      </c>
      <c r="R9" s="50">
        <v>-7473340</v>
      </c>
      <c r="S9" s="50">
        <v>-7117303</v>
      </c>
      <c r="T9" s="7">
        <f>G9-SUM(Q9:S9)</f>
        <v>-7648613</v>
      </c>
      <c r="U9" s="50">
        <v>-6733410</v>
      </c>
      <c r="V9" s="50">
        <v>-8483761</v>
      </c>
      <c r="W9" s="50">
        <v>-9002045</v>
      </c>
      <c r="X9" s="7">
        <f>H9-SUM(U9:W9)</f>
        <v>-9079951</v>
      </c>
      <c r="Y9" s="50">
        <v>-7634953</v>
      </c>
      <c r="Z9" s="50">
        <v>-8926794</v>
      </c>
      <c r="AA9" s="50">
        <v>-8401685</v>
      </c>
      <c r="AB9" s="7">
        <f>I9-SUM(Y9:AA9)</f>
        <v>-9401382</v>
      </c>
      <c r="AC9" s="50">
        <v>-7537150</v>
      </c>
      <c r="AD9" s="50">
        <v>-10248628</v>
      </c>
      <c r="AE9" s="50">
        <f>-10419829</f>
        <v>-10419829</v>
      </c>
      <c r="AF9" s="7">
        <f>J9-SUM(AC9:AE9)</f>
        <v>-10250278</v>
      </c>
      <c r="AG9" s="50">
        <v>-10896873</v>
      </c>
    </row>
    <row r="10" spans="2:40" s="19" customFormat="1" ht="13.5" customHeight="1">
      <c r="B10" s="19" t="s">
        <v>112</v>
      </c>
      <c r="C10" s="43">
        <f t="shared" ref="C10:K10" si="5">C7+C9</f>
        <v>25264228</v>
      </c>
      <c r="D10" s="43">
        <f t="shared" si="5"/>
        <v>8171919</v>
      </c>
      <c r="E10" s="43">
        <f t="shared" si="5"/>
        <v>10810629</v>
      </c>
      <c r="F10" s="43">
        <f t="shared" si="5"/>
        <v>18952192</v>
      </c>
      <c r="G10" s="43">
        <f t="shared" si="5"/>
        <v>15627855</v>
      </c>
      <c r="H10" s="43">
        <f t="shared" ref="H10:I10" si="6">H7+H9</f>
        <v>-533448</v>
      </c>
      <c r="I10" s="43">
        <f t="shared" si="6"/>
        <v>31828146</v>
      </c>
      <c r="J10" s="43">
        <f t="shared" ref="J10" si="7">J7+J9</f>
        <v>58690790</v>
      </c>
      <c r="K10" s="43">
        <f t="shared" si="5"/>
        <v>90268213</v>
      </c>
      <c r="M10" s="43">
        <f t="shared" ref="M10:O10" si="8">M7+M9</f>
        <v>2728548</v>
      </c>
      <c r="N10" s="43">
        <f t="shared" si="8"/>
        <v>4339444</v>
      </c>
      <c r="O10" s="43">
        <f t="shared" si="8"/>
        <v>5831054</v>
      </c>
      <c r="P10" s="43">
        <f t="shared" ref="P10:R10" si="9">P7+P9</f>
        <v>6053146</v>
      </c>
      <c r="Q10" s="43">
        <f t="shared" si="9"/>
        <v>5401196</v>
      </c>
      <c r="R10" s="43">
        <f t="shared" si="9"/>
        <v>6337661</v>
      </c>
      <c r="S10" s="43">
        <f t="shared" ref="S10:V10" si="10">S7+S9</f>
        <v>3865580</v>
      </c>
      <c r="T10" s="43">
        <f t="shared" si="10"/>
        <v>23418</v>
      </c>
      <c r="U10" s="43">
        <f t="shared" si="10"/>
        <v>-1645299</v>
      </c>
      <c r="V10" s="43">
        <f t="shared" si="10"/>
        <v>-1177828</v>
      </c>
      <c r="W10" s="43">
        <f t="shared" ref="W10:Z10" si="11">W7+W9</f>
        <v>64126</v>
      </c>
      <c r="X10" s="43">
        <f t="shared" si="11"/>
        <v>2225553</v>
      </c>
      <c r="Y10" s="43">
        <f t="shared" si="11"/>
        <v>4794645</v>
      </c>
      <c r="Z10" s="43">
        <f t="shared" si="11"/>
        <v>7496464</v>
      </c>
      <c r="AA10" s="43">
        <f t="shared" ref="AA10:AD10" si="12">AA7+AA9</f>
        <v>9171384</v>
      </c>
      <c r="AB10" s="43">
        <f t="shared" si="12"/>
        <v>10365653</v>
      </c>
      <c r="AC10" s="43">
        <f t="shared" si="12"/>
        <v>10101991</v>
      </c>
      <c r="AD10" s="43">
        <f t="shared" si="12"/>
        <v>11983324</v>
      </c>
      <c r="AE10" s="43">
        <f t="shared" ref="AE10:AG10" si="13">AE7+AE9</f>
        <v>14029100</v>
      </c>
      <c r="AF10" s="43">
        <f t="shared" si="13"/>
        <v>22576375</v>
      </c>
      <c r="AG10" s="43">
        <f t="shared" si="13"/>
        <v>41679414</v>
      </c>
    </row>
    <row r="11" spans="2:40" s="29" customFormat="1" ht="13.5" customHeight="1">
      <c r="B11" s="34" t="s">
        <v>113</v>
      </c>
      <c r="C11" s="66">
        <f t="shared" ref="C11:K11" si="14">C10/C7</f>
        <v>0.62465537823575312</v>
      </c>
      <c r="D11" s="66">
        <f t="shared" si="14"/>
        <v>0.30276758322939951</v>
      </c>
      <c r="E11" s="66">
        <f t="shared" si="14"/>
        <v>0.33888675063756218</v>
      </c>
      <c r="F11" s="66">
        <f t="shared" si="14"/>
        <v>0.44077128425571249</v>
      </c>
      <c r="G11" s="66">
        <f t="shared" si="14"/>
        <v>0.35023096902376893</v>
      </c>
      <c r="H11" s="66">
        <f t="shared" ref="H11:I11" si="15">H10/H7</f>
        <v>-1.6280674323063078E-2</v>
      </c>
      <c r="I11" s="66">
        <f t="shared" si="15"/>
        <v>0.48083883845049386</v>
      </c>
      <c r="J11" s="66">
        <f t="shared" ref="J11" si="16">J10/J7</f>
        <v>0.60414615322655152</v>
      </c>
      <c r="K11" s="66">
        <f t="shared" si="14"/>
        <v>0.68341612406867003</v>
      </c>
      <c r="M11" s="66">
        <f t="shared" ref="M11:O11" si="17">M10/M7</f>
        <v>0.32122528957447138</v>
      </c>
      <c r="N11" s="66">
        <f t="shared" si="17"/>
        <v>0.4204206857591179</v>
      </c>
      <c r="O11" s="66">
        <f t="shared" si="17"/>
        <v>0.4939342622023758</v>
      </c>
      <c r="P11" s="66">
        <f t="shared" ref="P11:R11" si="18">P10/P7</f>
        <v>0.48907952089300066</v>
      </c>
      <c r="Q11" s="66">
        <f t="shared" si="18"/>
        <v>0.44433614549543327</v>
      </c>
      <c r="R11" s="66">
        <f t="shared" si="18"/>
        <v>0.45888498596155342</v>
      </c>
      <c r="S11" s="66">
        <f t="shared" ref="S11:V11" si="19">S10/S7</f>
        <v>0.35196405169753697</v>
      </c>
      <c r="T11" s="66">
        <f t="shared" si="19"/>
        <v>3.0523859979189345E-3</v>
      </c>
      <c r="U11" s="66">
        <f t="shared" si="19"/>
        <v>-0.32336145968513658</v>
      </c>
      <c r="V11" s="66">
        <f t="shared" si="19"/>
        <v>-0.16121527531117519</v>
      </c>
      <c r="W11" s="66">
        <f t="shared" ref="W11:Z11" si="20">W10/W7</f>
        <v>7.0731072687687004E-3</v>
      </c>
      <c r="X11" s="66">
        <f t="shared" si="20"/>
        <v>0.19685570851153561</v>
      </c>
      <c r="Y11" s="66">
        <f t="shared" si="20"/>
        <v>0.38574417290084523</v>
      </c>
      <c r="Z11" s="66">
        <f t="shared" si="20"/>
        <v>0.45645413352210629</v>
      </c>
      <c r="AA11" s="66">
        <f t="shared" ref="AA11:AD11" si="21">AA10/AA7</f>
        <v>0.52189995953467205</v>
      </c>
      <c r="AB11" s="66">
        <f t="shared" si="21"/>
        <v>0.52439088613947415</v>
      </c>
      <c r="AC11" s="66">
        <f t="shared" si="21"/>
        <v>0.5727031151913804</v>
      </c>
      <c r="AD11" s="66">
        <f t="shared" si="21"/>
        <v>0.53901357829487939</v>
      </c>
      <c r="AE11" s="66">
        <f t="shared" ref="AE11:AG11" si="22">AE10/AE7</f>
        <v>0.57381245616116761</v>
      </c>
      <c r="AF11" s="66">
        <f t="shared" si="22"/>
        <v>0.68774525992643842</v>
      </c>
      <c r="AG11" s="66">
        <f t="shared" si="22"/>
        <v>0.79274167839200971</v>
      </c>
    </row>
    <row r="12" spans="2:40" s="29" customFormat="1" ht="13.5" customHeight="1">
      <c r="B12" s="19" t="s">
        <v>114</v>
      </c>
      <c r="C12" s="43"/>
      <c r="D12" s="43"/>
      <c r="E12" s="43"/>
      <c r="F12" s="43"/>
      <c r="G12" s="43"/>
      <c r="H12" s="43"/>
      <c r="I12" s="43"/>
      <c r="J12" s="43"/>
      <c r="K12" s="7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</row>
    <row r="13" spans="2:40" s="29" customFormat="1" ht="13.5" customHeight="1">
      <c r="B13" s="67" t="s">
        <v>115</v>
      </c>
      <c r="C13" s="50">
        <v>-4420478</v>
      </c>
      <c r="D13" s="50">
        <v>-5452740</v>
      </c>
      <c r="E13" s="50">
        <v>-5798005</v>
      </c>
      <c r="F13" s="50">
        <v>-6541852</v>
      </c>
      <c r="G13" s="50">
        <v>-8818438</v>
      </c>
      <c r="H13" s="50">
        <v>-7196865</v>
      </c>
      <c r="I13" s="50">
        <v>-8360827</v>
      </c>
      <c r="J13" s="50">
        <v>-11484471</v>
      </c>
      <c r="K13" s="7">
        <f>SUM(AD13:AG13)</f>
        <v>-12892115</v>
      </c>
      <c r="M13" s="50">
        <v>-1404127</v>
      </c>
      <c r="N13" s="50">
        <v>-1644870</v>
      </c>
      <c r="O13" s="50">
        <v>-1659233</v>
      </c>
      <c r="P13" s="7">
        <f>F13-SUM(M13:O13)</f>
        <v>-1833622</v>
      </c>
      <c r="Q13" s="50">
        <v>-2537299</v>
      </c>
      <c r="R13" s="50">
        <v>-2140435</v>
      </c>
      <c r="S13" s="50">
        <v>-2205057</v>
      </c>
      <c r="T13" s="7">
        <f>G13-SUM(Q13:S13)</f>
        <v>-1935647</v>
      </c>
      <c r="U13" s="50">
        <v>-1757003</v>
      </c>
      <c r="V13" s="50">
        <v>-1704256</v>
      </c>
      <c r="W13" s="50">
        <v>-1856087</v>
      </c>
      <c r="X13" s="7">
        <f>H13-SUM(U13:W13)</f>
        <v>-1879519</v>
      </c>
      <c r="Y13" s="50">
        <v>-1908616</v>
      </c>
      <c r="Z13" s="50">
        <v>-2027928</v>
      </c>
      <c r="AA13" s="50">
        <v>-2141426</v>
      </c>
      <c r="AB13" s="7">
        <f>I13-SUM(Y13:AA13)</f>
        <v>-2282857</v>
      </c>
      <c r="AC13" s="50">
        <v>-2661487</v>
      </c>
      <c r="AD13" s="50">
        <v>-2770473</v>
      </c>
      <c r="AE13" s="50">
        <v>-2645710</v>
      </c>
      <c r="AF13" s="7">
        <f>J13-SUM(AC13:AE13)</f>
        <v>-3406801</v>
      </c>
      <c r="AG13" s="50">
        <v>-4069131</v>
      </c>
    </row>
    <row r="14" spans="2:40" s="19" customFormat="1" ht="13.5" customHeight="1">
      <c r="B14" s="19" t="s">
        <v>116</v>
      </c>
      <c r="C14" s="43">
        <f t="shared" ref="C14:K14" si="23">C10+SUM(C13:C13)</f>
        <v>20843750</v>
      </c>
      <c r="D14" s="43">
        <f t="shared" si="23"/>
        <v>2719179</v>
      </c>
      <c r="E14" s="43">
        <f t="shared" si="23"/>
        <v>5012624</v>
      </c>
      <c r="F14" s="43">
        <f t="shared" si="23"/>
        <v>12410340</v>
      </c>
      <c r="G14" s="43">
        <f t="shared" si="23"/>
        <v>6809417</v>
      </c>
      <c r="H14" s="43">
        <f t="shared" ref="H14:I14" si="24">H10+SUM(H13:H13)</f>
        <v>-7730313</v>
      </c>
      <c r="I14" s="43">
        <f t="shared" si="24"/>
        <v>23467319</v>
      </c>
      <c r="J14" s="43">
        <f t="shared" ref="J14" si="25">J10+SUM(J13:J13)</f>
        <v>47206319</v>
      </c>
      <c r="K14" s="43">
        <f t="shared" si="23"/>
        <v>77376098</v>
      </c>
      <c r="M14" s="43">
        <f t="shared" ref="M14:V14" si="26">M10+SUM(M13:M13)</f>
        <v>1324421</v>
      </c>
      <c r="N14" s="43">
        <f t="shared" si="26"/>
        <v>2694574</v>
      </c>
      <c r="O14" s="43">
        <f t="shared" si="26"/>
        <v>4171821</v>
      </c>
      <c r="P14" s="43">
        <f t="shared" si="26"/>
        <v>4219524</v>
      </c>
      <c r="Q14" s="43">
        <f t="shared" si="26"/>
        <v>2863897</v>
      </c>
      <c r="R14" s="43">
        <f t="shared" si="26"/>
        <v>4197226</v>
      </c>
      <c r="S14" s="43">
        <f t="shared" si="26"/>
        <v>1660523</v>
      </c>
      <c r="T14" s="43">
        <f t="shared" si="26"/>
        <v>-1912229</v>
      </c>
      <c r="U14" s="43">
        <f t="shared" si="26"/>
        <v>-3402302</v>
      </c>
      <c r="V14" s="43">
        <f t="shared" si="26"/>
        <v>-2882084</v>
      </c>
      <c r="W14" s="43">
        <f t="shared" ref="W14" si="27">W10+SUM(W13:W13)</f>
        <v>-1791961</v>
      </c>
      <c r="X14" s="43">
        <f t="shared" ref="X14:Z14" si="28">X10+SUM(X13:X13)</f>
        <v>346034</v>
      </c>
      <c r="Y14" s="43">
        <f t="shared" si="28"/>
        <v>2886029</v>
      </c>
      <c r="Z14" s="43">
        <f t="shared" si="28"/>
        <v>5468536</v>
      </c>
      <c r="AA14" s="43">
        <f t="shared" ref="AA14:AD14" si="29">AA10+SUM(AA13:AA13)</f>
        <v>7029958</v>
      </c>
      <c r="AB14" s="43">
        <f t="shared" si="29"/>
        <v>8082796</v>
      </c>
      <c r="AC14" s="43">
        <f t="shared" si="29"/>
        <v>7440504</v>
      </c>
      <c r="AD14" s="43">
        <f t="shared" si="29"/>
        <v>9212851</v>
      </c>
      <c r="AE14" s="43">
        <f t="shared" ref="AE14:AG14" si="30">AE10+SUM(AE13:AE13)</f>
        <v>11383390</v>
      </c>
      <c r="AF14" s="43">
        <f t="shared" si="30"/>
        <v>19169574</v>
      </c>
      <c r="AG14" s="43">
        <f t="shared" si="30"/>
        <v>37610283</v>
      </c>
    </row>
    <row r="15" spans="2:40" s="29" customFormat="1" ht="13.5" customHeight="1">
      <c r="B15" s="67" t="s">
        <v>117</v>
      </c>
      <c r="C15" s="50">
        <v>1691955</v>
      </c>
      <c r="D15" s="50">
        <v>1247640</v>
      </c>
      <c r="E15" s="50">
        <v>3327905</v>
      </c>
      <c r="F15" s="50">
        <v>2377516</v>
      </c>
      <c r="G15" s="50">
        <v>3714278</v>
      </c>
      <c r="H15" s="50">
        <v>2261801</v>
      </c>
      <c r="I15" s="50">
        <v>4855082</v>
      </c>
      <c r="J15" s="50">
        <v>16373480</v>
      </c>
      <c r="K15" s="7">
        <f>SUM(AD15:AG15)</f>
        <v>30742471</v>
      </c>
      <c r="M15" s="50">
        <v>597565</v>
      </c>
      <c r="N15" s="50">
        <v>216373</v>
      </c>
      <c r="O15" s="50">
        <v>649820</v>
      </c>
      <c r="P15" s="7">
        <f>F15-SUM(M15:O15)</f>
        <v>913758</v>
      </c>
      <c r="Q15" s="50">
        <v>657956</v>
      </c>
      <c r="R15" s="50">
        <v>1425304</v>
      </c>
      <c r="S15" s="50">
        <v>2095629</v>
      </c>
      <c r="T15" s="7">
        <f>G15-SUM(Q15:S15)</f>
        <v>-464611</v>
      </c>
      <c r="U15" s="50">
        <v>1073308</v>
      </c>
      <c r="V15" s="50">
        <f>447027</f>
        <v>447027</v>
      </c>
      <c r="W15" s="50">
        <v>668230</v>
      </c>
      <c r="X15" s="7">
        <f t="shared" ref="X15:X19" si="31">H15-SUM(U15:W15)</f>
        <v>73236</v>
      </c>
      <c r="Y15" s="50">
        <v>1117553</v>
      </c>
      <c r="Z15" s="50">
        <v>915411</v>
      </c>
      <c r="AA15" s="50">
        <v>1594457</v>
      </c>
      <c r="AB15" s="7">
        <f t="shared" ref="AB15:AB19" si="32">I15-SUM(Y15:AA15)</f>
        <v>1227661</v>
      </c>
      <c r="AC15" s="50">
        <v>2687359</v>
      </c>
      <c r="AD15" s="50">
        <v>1719380</v>
      </c>
      <c r="AE15" s="50">
        <f>4490315</f>
        <v>4490315</v>
      </c>
      <c r="AF15" s="7">
        <f t="shared" ref="AF15:AF19" si="33">J15-SUM(AC15:AE15)</f>
        <v>7476426</v>
      </c>
      <c r="AG15" s="50">
        <v>17056350</v>
      </c>
    </row>
    <row r="16" spans="2:40" s="29" customFormat="1" ht="13.5" customHeight="1">
      <c r="B16" s="67" t="s">
        <v>118</v>
      </c>
      <c r="C16" s="50">
        <v>-1142134</v>
      </c>
      <c r="D16" s="50">
        <v>-1531417</v>
      </c>
      <c r="E16" s="50">
        <v>-1980411</v>
      </c>
      <c r="F16" s="50">
        <v>-1469860</v>
      </c>
      <c r="G16" s="50">
        <v>-5091553</v>
      </c>
      <c r="H16" s="50">
        <v>-6093167</v>
      </c>
      <c r="I16" s="50">
        <v>-5707997</v>
      </c>
      <c r="J16" s="50">
        <v>-12504998</v>
      </c>
      <c r="K16" s="7">
        <f>SUM(AD16:AG16)</f>
        <v>-14763877</v>
      </c>
      <c r="M16" s="50">
        <v>-589521</v>
      </c>
      <c r="N16" s="50">
        <v>-216686</v>
      </c>
      <c r="O16" s="50">
        <v>-274108</v>
      </c>
      <c r="P16" s="7">
        <f>F16-SUM(M16:O16)</f>
        <v>-389545</v>
      </c>
      <c r="Q16" s="50">
        <v>-737321</v>
      </c>
      <c r="R16" s="50">
        <v>-1814401</v>
      </c>
      <c r="S16" s="50">
        <v>-2064165</v>
      </c>
      <c r="T16" s="7">
        <f>G16-SUM(Q16:S16)</f>
        <v>-475666</v>
      </c>
      <c r="U16" s="50">
        <v>-1202394</v>
      </c>
      <c r="V16" s="50">
        <v>-1312018</v>
      </c>
      <c r="W16" s="50">
        <v>-1141653</v>
      </c>
      <c r="X16" s="7">
        <f t="shared" si="31"/>
        <v>-2437102</v>
      </c>
      <c r="Y16" s="50">
        <v>-1625139</v>
      </c>
      <c r="Z16" s="50">
        <v>-1312751</v>
      </c>
      <c r="AA16" s="50">
        <v>-1778636</v>
      </c>
      <c r="AB16" s="7">
        <f t="shared" si="32"/>
        <v>-991471</v>
      </c>
      <c r="AC16" s="50">
        <v>-764604</v>
      </c>
      <c r="AD16" s="50">
        <v>-2172268</v>
      </c>
      <c r="AE16" s="50">
        <v>-1092286</v>
      </c>
      <c r="AF16" s="7">
        <f t="shared" si="33"/>
        <v>-8475840</v>
      </c>
      <c r="AG16" s="50">
        <v>-3023483</v>
      </c>
    </row>
    <row r="17" spans="2:33" s="29" customFormat="1" ht="13.5" customHeight="1">
      <c r="B17" s="67" t="s">
        <v>119</v>
      </c>
      <c r="C17" s="50">
        <v>13007</v>
      </c>
      <c r="D17" s="50">
        <v>22633</v>
      </c>
      <c r="E17" s="50">
        <v>-36279</v>
      </c>
      <c r="F17" s="50">
        <v>162280</v>
      </c>
      <c r="G17" s="50">
        <v>131186</v>
      </c>
      <c r="H17" s="50">
        <v>15061</v>
      </c>
      <c r="I17" s="50">
        <v>-38245</v>
      </c>
      <c r="J17" s="50">
        <v>-564553</v>
      </c>
      <c r="K17" s="7">
        <f>SUM(AD17:AG17)</f>
        <v>-550222</v>
      </c>
      <c r="M17" s="50">
        <v>17479</v>
      </c>
      <c r="N17" s="50">
        <v>125458</v>
      </c>
      <c r="O17" s="50">
        <v>41493</v>
      </c>
      <c r="P17" s="7">
        <f>F17-SUM(M17:O17)</f>
        <v>-22150</v>
      </c>
      <c r="Q17" s="50">
        <v>31967</v>
      </c>
      <c r="R17" s="50">
        <v>60752</v>
      </c>
      <c r="S17" s="50">
        <v>26526</v>
      </c>
      <c r="T17" s="7">
        <f>G17-SUM(Q17:S17)</f>
        <v>11941</v>
      </c>
      <c r="U17" s="50">
        <v>2745</v>
      </c>
      <c r="V17" s="50">
        <v>10102</v>
      </c>
      <c r="W17" s="50">
        <v>6011</v>
      </c>
      <c r="X17" s="7">
        <f t="shared" si="31"/>
        <v>-3797</v>
      </c>
      <c r="Y17" s="50">
        <v>6161</v>
      </c>
      <c r="Z17" s="50">
        <v>782</v>
      </c>
      <c r="AA17" s="50">
        <v>6798</v>
      </c>
      <c r="AB17" s="7">
        <f t="shared" si="32"/>
        <v>-51986</v>
      </c>
      <c r="AC17" s="50">
        <v>-41109</v>
      </c>
      <c r="AD17" s="50">
        <v>17312</v>
      </c>
      <c r="AE17" s="50">
        <v>-23221</v>
      </c>
      <c r="AF17" s="7">
        <f t="shared" si="33"/>
        <v>-517535</v>
      </c>
      <c r="AG17" s="50">
        <v>-26778</v>
      </c>
    </row>
    <row r="18" spans="2:33" s="29" customFormat="1" ht="13.5" customHeight="1">
      <c r="B18" s="67" t="s">
        <v>120</v>
      </c>
      <c r="C18" s="50">
        <v>112810</v>
      </c>
      <c r="D18" s="50">
        <v>88179</v>
      </c>
      <c r="E18" s="50">
        <v>84773</v>
      </c>
      <c r="F18" s="50">
        <v>116135</v>
      </c>
      <c r="G18" s="50">
        <v>241371</v>
      </c>
      <c r="H18" s="50">
        <v>623867</v>
      </c>
      <c r="I18" s="50">
        <v>1476579</v>
      </c>
      <c r="J18" s="50">
        <v>333277</v>
      </c>
      <c r="K18" s="7">
        <f>SUM(AD18:AG18)</f>
        <v>269357</v>
      </c>
      <c r="M18" s="50">
        <v>16927</v>
      </c>
      <c r="N18" s="50">
        <v>31826</v>
      </c>
      <c r="O18" s="50">
        <v>29869</v>
      </c>
      <c r="P18" s="7">
        <f>F18-SUM(M18:O18)</f>
        <v>37513</v>
      </c>
      <c r="Q18" s="50">
        <v>26111</v>
      </c>
      <c r="R18" s="50">
        <v>158041</v>
      </c>
      <c r="S18" s="50">
        <v>30097</v>
      </c>
      <c r="T18" s="7">
        <f>G18-SUM(Q18:S18)</f>
        <v>27122</v>
      </c>
      <c r="U18" s="50">
        <v>18891</v>
      </c>
      <c r="V18" s="50">
        <v>7210</v>
      </c>
      <c r="W18" s="50">
        <v>234157</v>
      </c>
      <c r="X18" s="7">
        <f t="shared" si="31"/>
        <v>363609</v>
      </c>
      <c r="Y18" s="50">
        <v>27478</v>
      </c>
      <c r="Z18" s="50">
        <v>16781</v>
      </c>
      <c r="AA18" s="50">
        <v>57239</v>
      </c>
      <c r="AB18" s="7">
        <f t="shared" si="32"/>
        <v>1375081</v>
      </c>
      <c r="AC18" s="50">
        <v>78943</v>
      </c>
      <c r="AD18" s="50">
        <v>29879</v>
      </c>
      <c r="AE18" s="50">
        <f>54827</f>
        <v>54827</v>
      </c>
      <c r="AF18" s="7">
        <f t="shared" si="33"/>
        <v>169628</v>
      </c>
      <c r="AG18" s="50">
        <v>15023</v>
      </c>
    </row>
    <row r="19" spans="2:33" s="29" customFormat="1" ht="13.5" customHeight="1">
      <c r="B19" s="67" t="s">
        <v>121</v>
      </c>
      <c r="C19" s="50">
        <v>-178358</v>
      </c>
      <c r="D19" s="50">
        <v>-113575</v>
      </c>
      <c r="E19" s="50">
        <v>-171575</v>
      </c>
      <c r="F19" s="50">
        <v>-180424</v>
      </c>
      <c r="G19" s="50">
        <v>-1801919</v>
      </c>
      <c r="H19" s="50">
        <v>-735065</v>
      </c>
      <c r="I19" s="50">
        <v>-167388</v>
      </c>
      <c r="J19" s="50">
        <v>-377973</v>
      </c>
      <c r="K19" s="7">
        <f>SUM(AD19:AG19)</f>
        <v>-290646</v>
      </c>
      <c r="M19" s="50">
        <v>-16279</v>
      </c>
      <c r="N19" s="50">
        <v>-50437</v>
      </c>
      <c r="O19" s="50">
        <v>-20260</v>
      </c>
      <c r="P19" s="7">
        <f>F19-SUM(M19:O19)</f>
        <v>-93448</v>
      </c>
      <c r="Q19" s="50">
        <v>-64078</v>
      </c>
      <c r="R19" s="50">
        <v>-55586</v>
      </c>
      <c r="S19" s="50">
        <v>-60401</v>
      </c>
      <c r="T19" s="7">
        <f>G19-SUM(Q19:S19)</f>
        <v>-1621854</v>
      </c>
      <c r="U19" s="50">
        <v>-15431</v>
      </c>
      <c r="V19" s="50">
        <v>-58444</v>
      </c>
      <c r="W19" s="50">
        <v>-444441</v>
      </c>
      <c r="X19" s="7">
        <f t="shared" si="31"/>
        <v>-216749</v>
      </c>
      <c r="Y19" s="50">
        <v>-39507</v>
      </c>
      <c r="Z19" s="50">
        <v>-36572</v>
      </c>
      <c r="AA19" s="50">
        <v>-30643</v>
      </c>
      <c r="AB19" s="7">
        <f t="shared" si="32"/>
        <v>-60666</v>
      </c>
      <c r="AC19" s="50">
        <v>-101864</v>
      </c>
      <c r="AD19" s="50">
        <v>-84571</v>
      </c>
      <c r="AE19" s="50">
        <v>-22597</v>
      </c>
      <c r="AF19" s="7">
        <f t="shared" si="33"/>
        <v>-168941</v>
      </c>
      <c r="AG19" s="50">
        <v>-14537</v>
      </c>
    </row>
    <row r="20" spans="2:33" s="19" customFormat="1" ht="13.5" customHeight="1">
      <c r="B20" s="19" t="s">
        <v>122</v>
      </c>
      <c r="C20" s="43">
        <f t="shared" ref="C20:K20" si="34">C14+SUM(C15:C19)</f>
        <v>21341030</v>
      </c>
      <c r="D20" s="43">
        <f t="shared" si="34"/>
        <v>2432639</v>
      </c>
      <c r="E20" s="43">
        <f t="shared" si="34"/>
        <v>6237037</v>
      </c>
      <c r="F20" s="43">
        <f t="shared" si="34"/>
        <v>13415987</v>
      </c>
      <c r="G20" s="43">
        <f t="shared" si="34"/>
        <v>4002780</v>
      </c>
      <c r="H20" s="43">
        <f t="shared" si="34"/>
        <v>-11657816</v>
      </c>
      <c r="I20" s="43">
        <f t="shared" si="34"/>
        <v>23885350</v>
      </c>
      <c r="J20" s="43">
        <f t="shared" ref="J20" si="35">J14+SUM(J15:J19)</f>
        <v>50465552</v>
      </c>
      <c r="K20" s="43">
        <f t="shared" si="34"/>
        <v>92783181</v>
      </c>
      <c r="M20" s="43">
        <f t="shared" ref="M20:AB20" si="36">M14+SUM(M15:M19)</f>
        <v>1350592</v>
      </c>
      <c r="N20" s="43">
        <f t="shared" si="36"/>
        <v>2801108</v>
      </c>
      <c r="O20" s="43">
        <f t="shared" si="36"/>
        <v>4598635</v>
      </c>
      <c r="P20" s="43">
        <f t="shared" si="36"/>
        <v>4665652</v>
      </c>
      <c r="Q20" s="43">
        <f t="shared" si="36"/>
        <v>2778532</v>
      </c>
      <c r="R20" s="43">
        <f t="shared" si="36"/>
        <v>3971336</v>
      </c>
      <c r="S20" s="43">
        <f t="shared" si="36"/>
        <v>1688209</v>
      </c>
      <c r="T20" s="43">
        <f t="shared" si="36"/>
        <v>-4435297</v>
      </c>
      <c r="U20" s="43">
        <f t="shared" si="36"/>
        <v>-3525183</v>
      </c>
      <c r="V20" s="43">
        <f t="shared" si="36"/>
        <v>-3788207</v>
      </c>
      <c r="W20" s="43">
        <f t="shared" si="36"/>
        <v>-2469657</v>
      </c>
      <c r="X20" s="43">
        <f t="shared" si="36"/>
        <v>-1874769</v>
      </c>
      <c r="Y20" s="43">
        <f t="shared" si="36"/>
        <v>2372575</v>
      </c>
      <c r="Z20" s="43">
        <f t="shared" si="36"/>
        <v>5052187</v>
      </c>
      <c r="AA20" s="43">
        <f t="shared" si="36"/>
        <v>6879173</v>
      </c>
      <c r="AB20" s="43">
        <f t="shared" si="36"/>
        <v>9581415</v>
      </c>
      <c r="AC20" s="43">
        <f t="shared" ref="AC20" si="37">AC14+SUM(AC15:AC19)</f>
        <v>9299229</v>
      </c>
      <c r="AD20" s="43">
        <f t="shared" ref="AD20" si="38">AD14+SUM(AD15:AD19)</f>
        <v>8722583</v>
      </c>
      <c r="AE20" s="43">
        <f t="shared" ref="AE20" si="39">AE14+SUM(AE15:AE19)</f>
        <v>14790428</v>
      </c>
      <c r="AF20" s="43">
        <f t="shared" ref="AF20:AG20" si="40">AF14+SUM(AF15:AF19)</f>
        <v>17653312</v>
      </c>
      <c r="AG20" s="43">
        <f t="shared" si="40"/>
        <v>51616858</v>
      </c>
    </row>
    <row r="21" spans="2:33" ht="13.5" customHeight="1">
      <c r="B21" s="16" t="s">
        <v>123</v>
      </c>
      <c r="C21" s="50">
        <v>-5801046</v>
      </c>
      <c r="D21" s="50">
        <v>-423561</v>
      </c>
      <c r="E21" s="50">
        <v>-1478123</v>
      </c>
      <c r="F21" s="50">
        <v>-3799799</v>
      </c>
      <c r="G21" s="50">
        <v>-1761111</v>
      </c>
      <c r="H21" s="50">
        <v>2520269</v>
      </c>
      <c r="I21" s="50">
        <v>-4088448</v>
      </c>
      <c r="J21" s="50">
        <v>-7517650</v>
      </c>
      <c r="K21" s="7">
        <f>SUM(AD21:AG21)</f>
        <v>-17597565</v>
      </c>
      <c r="L21" s="204"/>
      <c r="M21" s="50">
        <v>-357952</v>
      </c>
      <c r="N21" s="50">
        <v>-812684</v>
      </c>
      <c r="O21" s="50">
        <v>-1283383</v>
      </c>
      <c r="P21" s="7">
        <f>F21-SUM(M21:O21)</f>
        <v>-1345780</v>
      </c>
      <c r="Q21" s="50">
        <v>-791322</v>
      </c>
      <c r="R21" s="50">
        <v>-1089906</v>
      </c>
      <c r="S21" s="50">
        <v>-580592</v>
      </c>
      <c r="T21" s="7">
        <f>G21-SUM(Q21:S21)</f>
        <v>700709</v>
      </c>
      <c r="U21" s="50">
        <v>939692</v>
      </c>
      <c r="V21" s="50">
        <v>800300</v>
      </c>
      <c r="W21" s="50">
        <v>284958</v>
      </c>
      <c r="X21" s="7">
        <f>H21-SUM(U21:W21)</f>
        <v>495319</v>
      </c>
      <c r="Y21" s="50">
        <v>-455536</v>
      </c>
      <c r="Z21" s="50">
        <v>-932184</v>
      </c>
      <c r="AA21" s="50">
        <v>-1125800</v>
      </c>
      <c r="AB21" s="7">
        <f>I21-SUM(Y21:AA21)</f>
        <v>-1574928</v>
      </c>
      <c r="AC21" s="50">
        <v>-1191034</v>
      </c>
      <c r="AD21" s="50">
        <v>-1726367</v>
      </c>
      <c r="AE21" s="50">
        <v>-2192890</v>
      </c>
      <c r="AF21" s="7">
        <f>J21-SUM(AC21:AE21)</f>
        <v>-2407359</v>
      </c>
      <c r="AG21" s="50">
        <v>-11270949</v>
      </c>
    </row>
    <row r="22" spans="2:33" s="19" customFormat="1" ht="13.5" customHeight="1">
      <c r="B22" s="19" t="s">
        <v>124</v>
      </c>
      <c r="C22" s="43">
        <f t="shared" ref="C22:E22" si="41">+C20+C21</f>
        <v>15539984</v>
      </c>
      <c r="D22" s="43">
        <f t="shared" si="41"/>
        <v>2009078</v>
      </c>
      <c r="E22" s="43">
        <f t="shared" si="41"/>
        <v>4758914</v>
      </c>
      <c r="F22" s="43">
        <f t="shared" ref="F22" si="42">+F20+F21</f>
        <v>9616188</v>
      </c>
      <c r="G22" s="43">
        <f t="shared" ref="G22:H22" si="43">+G20+G21</f>
        <v>2241669</v>
      </c>
      <c r="H22" s="43">
        <f t="shared" si="43"/>
        <v>-9137547</v>
      </c>
      <c r="I22" s="43">
        <f t="shared" ref="I22:J22" si="44">+I20+I21</f>
        <v>19796902</v>
      </c>
      <c r="J22" s="43">
        <f t="shared" si="44"/>
        <v>42947902</v>
      </c>
      <c r="K22" s="43">
        <f t="shared" ref="K22" si="45">+K20+K21</f>
        <v>75185616</v>
      </c>
      <c r="M22" s="43">
        <f t="shared" ref="M22:O22" si="46">+M20+M21</f>
        <v>992640</v>
      </c>
      <c r="N22" s="43">
        <f t="shared" si="46"/>
        <v>1988424</v>
      </c>
      <c r="O22" s="43">
        <f t="shared" si="46"/>
        <v>3315252</v>
      </c>
      <c r="P22" s="43">
        <f t="shared" ref="P22:R22" si="47">+P20+P21</f>
        <v>3319872</v>
      </c>
      <c r="Q22" s="43">
        <f t="shared" si="47"/>
        <v>1987210</v>
      </c>
      <c r="R22" s="43">
        <f t="shared" si="47"/>
        <v>2881430</v>
      </c>
      <c r="S22" s="43">
        <f t="shared" ref="S22:V22" si="48">+S20+S21</f>
        <v>1107617</v>
      </c>
      <c r="T22" s="43">
        <f t="shared" si="48"/>
        <v>-3734588</v>
      </c>
      <c r="U22" s="43">
        <f t="shared" si="48"/>
        <v>-2585491</v>
      </c>
      <c r="V22" s="43">
        <f t="shared" si="48"/>
        <v>-2987907</v>
      </c>
      <c r="W22" s="43">
        <f t="shared" ref="W22:Z22" si="49">+W20+W21</f>
        <v>-2184699</v>
      </c>
      <c r="X22" s="43">
        <f t="shared" si="49"/>
        <v>-1379450</v>
      </c>
      <c r="Y22" s="43">
        <f t="shared" si="49"/>
        <v>1917039</v>
      </c>
      <c r="Z22" s="43">
        <f t="shared" si="49"/>
        <v>4120003</v>
      </c>
      <c r="AA22" s="43">
        <f t="shared" ref="AA22:AD22" si="50">+AA20+AA21</f>
        <v>5753373</v>
      </c>
      <c r="AB22" s="43">
        <f t="shared" si="50"/>
        <v>8006487</v>
      </c>
      <c r="AC22" s="43">
        <f t="shared" si="50"/>
        <v>8108195</v>
      </c>
      <c r="AD22" s="43">
        <f t="shared" si="50"/>
        <v>6996216</v>
      </c>
      <c r="AE22" s="43">
        <f t="shared" ref="AE22:AG22" si="51">+AE20+AE21</f>
        <v>12597538</v>
      </c>
      <c r="AF22" s="43">
        <f t="shared" si="51"/>
        <v>15245953</v>
      </c>
      <c r="AG22" s="43">
        <f t="shared" si="51"/>
        <v>40345909</v>
      </c>
    </row>
    <row r="23" spans="2:33" s="29" customFormat="1" ht="13.5" customHeight="1">
      <c r="B23" s="34" t="s">
        <v>125</v>
      </c>
      <c r="C23" s="66">
        <f t="shared" ref="C23:K23" si="52">+C22/C7</f>
        <v>0.38422446881406991</v>
      </c>
      <c r="D23" s="66">
        <f t="shared" si="52"/>
        <v>7.4435844332200976E-2</v>
      </c>
      <c r="E23" s="66">
        <f t="shared" si="52"/>
        <v>0.14918030227691687</v>
      </c>
      <c r="F23" s="66">
        <f t="shared" si="52"/>
        <v>0.22364376291694235</v>
      </c>
      <c r="G23" s="66">
        <f t="shared" si="52"/>
        <v>5.0237342623190649E-2</v>
      </c>
      <c r="H23" s="66">
        <f t="shared" si="52"/>
        <v>-0.27887521711334945</v>
      </c>
      <c r="I23" s="66">
        <f t="shared" si="52"/>
        <v>0.29907866335030192</v>
      </c>
      <c r="J23" s="66">
        <f t="shared" ref="J23" si="53">+J22/J7</f>
        <v>0.4420933809623438</v>
      </c>
      <c r="K23" s="66">
        <f t="shared" si="52"/>
        <v>0.56922653683678637</v>
      </c>
      <c r="M23" s="66">
        <f t="shared" ref="M23:AB23" si="54">+M22/M7</f>
        <v>0.11686108195391955</v>
      </c>
      <c r="N23" s="66">
        <f t="shared" si="54"/>
        <v>0.19264555128718983</v>
      </c>
      <c r="O23" s="66">
        <f t="shared" si="54"/>
        <v>0.28082685405330682</v>
      </c>
      <c r="P23" s="66">
        <f t="shared" si="54"/>
        <v>0.26823760854043299</v>
      </c>
      <c r="Q23" s="66">
        <f t="shared" si="54"/>
        <v>0.16348031652433645</v>
      </c>
      <c r="R23" s="66">
        <f t="shared" si="54"/>
        <v>0.20863295861031361</v>
      </c>
      <c r="S23" s="66">
        <f t="shared" si="54"/>
        <v>0.10084938535719629</v>
      </c>
      <c r="T23" s="66">
        <f t="shared" si="54"/>
        <v>-0.48677957635989738</v>
      </c>
      <c r="U23" s="66">
        <f t="shared" si="54"/>
        <v>-0.50814359199317782</v>
      </c>
      <c r="V23" s="66">
        <f t="shared" si="54"/>
        <v>-0.40896994264798214</v>
      </c>
      <c r="W23" s="66">
        <f t="shared" si="54"/>
        <v>-0.24097262229004945</v>
      </c>
      <c r="X23" s="66">
        <f t="shared" si="54"/>
        <v>-0.1220157898312185</v>
      </c>
      <c r="Y23" s="66">
        <f t="shared" si="54"/>
        <v>0.15423177805106811</v>
      </c>
      <c r="Z23" s="66">
        <f t="shared" si="54"/>
        <v>0.25086392724269446</v>
      </c>
      <c r="AA23" s="66">
        <f t="shared" si="54"/>
        <v>0.32739716665313268</v>
      </c>
      <c r="AB23" s="66">
        <f t="shared" si="54"/>
        <v>0.40504238496061751</v>
      </c>
      <c r="AC23" s="66">
        <f t="shared" ref="AC23:AF23" si="55">+AC22/AC7</f>
        <v>0.45967062681793858</v>
      </c>
      <c r="AD23" s="66">
        <f t="shared" si="55"/>
        <v>0.31469193528305567</v>
      </c>
      <c r="AE23" s="66">
        <f t="shared" si="55"/>
        <v>0.51525929827028416</v>
      </c>
      <c r="AF23" s="66">
        <f t="shared" si="55"/>
        <v>0.46443824169341907</v>
      </c>
      <c r="AG23" s="66">
        <f t="shared" ref="AG23" si="56">+AG22/AG7</f>
        <v>0.76737843811602746</v>
      </c>
    </row>
    <row r="24" spans="2:33" ht="13.5" customHeight="1">
      <c r="B24" s="16" t="s">
        <v>126</v>
      </c>
      <c r="C24" s="50">
        <v>127</v>
      </c>
      <c r="D24" s="50">
        <v>-3103</v>
      </c>
      <c r="E24" s="50">
        <v>-3812</v>
      </c>
      <c r="F24" s="50">
        <v>-13872</v>
      </c>
      <c r="G24" s="50">
        <v>-12109</v>
      </c>
      <c r="H24" s="50">
        <v>25119</v>
      </c>
      <c r="I24" s="50">
        <v>-8221</v>
      </c>
      <c r="J24" s="50">
        <v>-28615</v>
      </c>
      <c r="K24" s="7">
        <f>SUM(AD24:AG24)</f>
        <v>-43234</v>
      </c>
      <c r="L24" s="204"/>
      <c r="M24" s="50">
        <v>-2194</v>
      </c>
      <c r="N24" s="50">
        <v>-3909</v>
      </c>
      <c r="O24" s="50">
        <v>-4429</v>
      </c>
      <c r="P24" s="7">
        <f>F24-SUM(M24:O24)</f>
        <v>-3340</v>
      </c>
      <c r="Q24" s="50">
        <v>-4084</v>
      </c>
      <c r="R24" s="50">
        <v>-5282</v>
      </c>
      <c r="S24" s="50">
        <v>4088</v>
      </c>
      <c r="T24" s="7">
        <f>G24-SUM(Q24:S24)</f>
        <v>-6831</v>
      </c>
      <c r="U24" s="50">
        <v>5082</v>
      </c>
      <c r="V24" s="50">
        <v>-3274</v>
      </c>
      <c r="W24" s="50">
        <v>966</v>
      </c>
      <c r="X24" s="7">
        <f>H24-SUM(U24:W24)</f>
        <v>22345</v>
      </c>
      <c r="Y24" s="50">
        <v>2212</v>
      </c>
      <c r="Z24" s="50">
        <v>276</v>
      </c>
      <c r="AA24" s="50">
        <v>-4697</v>
      </c>
      <c r="AB24" s="7">
        <f>I24-SUM(Y24:AA24)</f>
        <v>-6012</v>
      </c>
      <c r="AC24" s="50">
        <v>-1114</v>
      </c>
      <c r="AD24" s="50">
        <v>1012</v>
      </c>
      <c r="AE24" s="50">
        <v>-2343</v>
      </c>
      <c r="AF24" s="7">
        <f>J24-SUM(AC24:AE24)</f>
        <v>-26170</v>
      </c>
      <c r="AG24" s="50">
        <v>-15733</v>
      </c>
    </row>
    <row r="25" spans="2:33" s="19" customFormat="1" ht="13.5" customHeight="1">
      <c r="B25" s="19" t="s">
        <v>124</v>
      </c>
      <c r="C25" s="43">
        <f t="shared" ref="C25:O25" si="57">+C22+C24</f>
        <v>15540111</v>
      </c>
      <c r="D25" s="43">
        <f t="shared" si="57"/>
        <v>2005975</v>
      </c>
      <c r="E25" s="43">
        <f t="shared" si="57"/>
        <v>4755102</v>
      </c>
      <c r="F25" s="43">
        <f t="shared" ref="F25:G25" si="58">+F22+F24</f>
        <v>9602316</v>
      </c>
      <c r="G25" s="43">
        <f t="shared" si="58"/>
        <v>2229560</v>
      </c>
      <c r="H25" s="43">
        <f t="shared" ref="H25:I25" si="59">+H22+H24</f>
        <v>-9112428</v>
      </c>
      <c r="I25" s="43">
        <f t="shared" si="59"/>
        <v>19788681</v>
      </c>
      <c r="J25" s="43">
        <f t="shared" ref="J25" si="60">+J22+J24</f>
        <v>42919287</v>
      </c>
      <c r="K25" s="43">
        <f t="shared" ref="K25" si="61">+K22+K24</f>
        <v>75142382</v>
      </c>
      <c r="L25" s="204"/>
      <c r="M25" s="43">
        <f t="shared" si="57"/>
        <v>990446</v>
      </c>
      <c r="N25" s="43">
        <f t="shared" si="57"/>
        <v>1984515</v>
      </c>
      <c r="O25" s="43">
        <f t="shared" si="57"/>
        <v>3310823</v>
      </c>
      <c r="P25" s="43">
        <f t="shared" ref="P25:R25" si="62">+P22+P24</f>
        <v>3316532</v>
      </c>
      <c r="Q25" s="43">
        <f t="shared" si="62"/>
        <v>1983126</v>
      </c>
      <c r="R25" s="43">
        <f t="shared" si="62"/>
        <v>2876148</v>
      </c>
      <c r="S25" s="43">
        <f t="shared" ref="S25:V25" si="63">+S22+S24</f>
        <v>1111705</v>
      </c>
      <c r="T25" s="43">
        <f t="shared" si="63"/>
        <v>-3741419</v>
      </c>
      <c r="U25" s="43">
        <f t="shared" si="63"/>
        <v>-2580409</v>
      </c>
      <c r="V25" s="43">
        <f t="shared" si="63"/>
        <v>-2991181</v>
      </c>
      <c r="W25" s="43">
        <f t="shared" ref="W25:Z25" si="64">+W22+W24</f>
        <v>-2183733</v>
      </c>
      <c r="X25" s="43">
        <f t="shared" si="64"/>
        <v>-1357105</v>
      </c>
      <c r="Y25" s="43">
        <f t="shared" si="64"/>
        <v>1919251</v>
      </c>
      <c r="Z25" s="43">
        <f t="shared" si="64"/>
        <v>4120279</v>
      </c>
      <c r="AA25" s="43">
        <f t="shared" ref="AA25:AD25" si="65">+AA22+AA24</f>
        <v>5748676</v>
      </c>
      <c r="AB25" s="43">
        <f t="shared" si="65"/>
        <v>8000475</v>
      </c>
      <c r="AC25" s="43">
        <f t="shared" si="65"/>
        <v>8107081</v>
      </c>
      <c r="AD25" s="43">
        <f t="shared" si="65"/>
        <v>6997228</v>
      </c>
      <c r="AE25" s="43">
        <f t="shared" ref="AE25:AG25" si="66">+AE22+AE24</f>
        <v>12595195</v>
      </c>
      <c r="AF25" s="43">
        <f t="shared" si="66"/>
        <v>15219783</v>
      </c>
      <c r="AG25" s="43">
        <f t="shared" si="66"/>
        <v>40330176</v>
      </c>
    </row>
    <row r="26" spans="2:33" s="19" customFormat="1" ht="13.5" customHeight="1">
      <c r="B26" s="61"/>
      <c r="C26" s="72"/>
      <c r="D26" s="72"/>
      <c r="E26" s="72"/>
      <c r="F26" s="72"/>
      <c r="G26" s="72"/>
      <c r="H26" s="72"/>
      <c r="I26" s="72"/>
      <c r="J26" s="72"/>
      <c r="K26" s="72"/>
      <c r="L26" s="204"/>
      <c r="M26" s="72"/>
      <c r="N26" s="72"/>
      <c r="O26" s="72"/>
      <c r="P26" s="72"/>
      <c r="Q26" s="72"/>
      <c r="R26" s="72"/>
      <c r="S26" s="72"/>
      <c r="T26" s="72"/>
      <c r="U26" s="161"/>
      <c r="V26" s="72"/>
      <c r="W26" s="72"/>
      <c r="X26" s="72"/>
      <c r="Y26" s="161"/>
      <c r="Z26" s="72"/>
      <c r="AA26" s="72"/>
      <c r="AB26" s="72"/>
      <c r="AC26" s="161"/>
      <c r="AD26" s="72"/>
      <c r="AE26" s="72"/>
      <c r="AF26" s="72"/>
      <c r="AG26" s="161"/>
    </row>
    <row r="27" spans="2:33" s="19" customFormat="1" ht="13.5" customHeight="1">
      <c r="B27" s="223" t="s">
        <v>127</v>
      </c>
      <c r="C27" s="216"/>
      <c r="D27" s="216"/>
      <c r="E27" s="216"/>
      <c r="F27" s="216"/>
      <c r="G27" s="216"/>
      <c r="H27" s="216"/>
      <c r="I27" s="216"/>
      <c r="J27" s="216"/>
      <c r="K27" s="217"/>
      <c r="L27" s="204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</row>
    <row r="28" spans="2:33" s="29" customFormat="1" ht="13.5" customHeight="1">
      <c r="B28" s="220" t="str">
        <f>B13</f>
        <v>Selling and administrative expenses</v>
      </c>
      <c r="C28" s="65">
        <f t="shared" ref="C28:K28" si="67">-C13/C7</f>
        <v>0.10929585329394691</v>
      </c>
      <c r="D28" s="65">
        <f t="shared" si="67"/>
        <v>0.20202267200375773</v>
      </c>
      <c r="E28" s="65">
        <f t="shared" si="67"/>
        <v>0.18175326103877384</v>
      </c>
      <c r="F28" s="65">
        <f t="shared" si="67"/>
        <v>0.15214390543588843</v>
      </c>
      <c r="G28" s="65">
        <f t="shared" si="67"/>
        <v>0.19762725505298245</v>
      </c>
      <c r="H28" s="65">
        <f t="shared" si="67"/>
        <v>0.21964617959398358</v>
      </c>
      <c r="I28" s="65">
        <f t="shared" si="67"/>
        <v>0.12630991271579334</v>
      </c>
      <c r="J28" s="65">
        <f t="shared" ref="J28" si="68">-J13/J7</f>
        <v>0.11821784945290202</v>
      </c>
      <c r="K28" s="65">
        <f t="shared" si="67"/>
        <v>9.7605557610269317E-2</v>
      </c>
      <c r="L28" s="204"/>
      <c r="M28" s="65">
        <f t="shared" ref="M28:AB28" si="69">-M13/M7</f>
        <v>0.16530444110726064</v>
      </c>
      <c r="N28" s="65">
        <f t="shared" si="69"/>
        <v>0.15936082442464986</v>
      </c>
      <c r="O28" s="65">
        <f t="shared" si="69"/>
        <v>0.14054955204956679</v>
      </c>
      <c r="P28" s="65">
        <f t="shared" si="69"/>
        <v>0.14815221196694506</v>
      </c>
      <c r="Q28" s="65">
        <f t="shared" si="69"/>
        <v>0.20873407623597021</v>
      </c>
      <c r="R28" s="65">
        <f t="shared" si="69"/>
        <v>0.15498043914412865</v>
      </c>
      <c r="S28" s="65">
        <f t="shared" si="69"/>
        <v>0.20077214698544998</v>
      </c>
      <c r="T28" s="65">
        <f t="shared" si="69"/>
        <v>0.25229916302475835</v>
      </c>
      <c r="U28" s="65">
        <f t="shared" si="69"/>
        <v>0.34531538325323485</v>
      </c>
      <c r="V28" s="65">
        <f t="shared" si="69"/>
        <v>0.23327013811925185</v>
      </c>
      <c r="W28" s="65">
        <f t="shared" si="69"/>
        <v>0.20472667016759336</v>
      </c>
      <c r="X28" s="65">
        <f t="shared" si="69"/>
        <v>0.16624813895957224</v>
      </c>
      <c r="Y28" s="65">
        <f t="shared" si="69"/>
        <v>0.15355412138027311</v>
      </c>
      <c r="Z28" s="65">
        <f t="shared" si="69"/>
        <v>0.12347903199231236</v>
      </c>
      <c r="AA28" s="65">
        <f t="shared" si="69"/>
        <v>0.12185839593528029</v>
      </c>
      <c r="AB28" s="65">
        <f t="shared" si="69"/>
        <v>0.11548808407533047</v>
      </c>
      <c r="AC28" s="65">
        <f t="shared" ref="AC28:AF28" si="70">-AC13/AC7</f>
        <v>0.1508852953780459</v>
      </c>
      <c r="AD28" s="65">
        <f t="shared" si="70"/>
        <v>0.12461672281408308</v>
      </c>
      <c r="AE28" s="65">
        <f t="shared" si="70"/>
        <v>0.10821373811507244</v>
      </c>
      <c r="AF28" s="65">
        <f t="shared" si="70"/>
        <v>0.10378155214301013</v>
      </c>
      <c r="AG28" s="65">
        <f t="shared" ref="AG28" si="71">-AG13/AG7</f>
        <v>7.7394795870617483E-2</v>
      </c>
    </row>
    <row r="29" spans="2:33" s="29" customFormat="1" ht="13.5" customHeight="1">
      <c r="B29" s="220" t="s">
        <v>128</v>
      </c>
      <c r="C29" s="65">
        <f>-C16/C104</f>
        <v>0.21623393084771741</v>
      </c>
      <c r="D29" s="65">
        <f t="shared" ref="D29:K29" si="72">-D16/D104</f>
        <v>0.14552345957706492</v>
      </c>
      <c r="E29" s="65">
        <f t="shared" si="72"/>
        <v>0.17601074971417521</v>
      </c>
      <c r="F29" s="65">
        <f t="shared" si="72"/>
        <v>8.3401947899004125E-2</v>
      </c>
      <c r="G29" s="65">
        <f t="shared" si="72"/>
        <v>0.22142381751823167</v>
      </c>
      <c r="H29" s="65">
        <f t="shared" si="72"/>
        <v>0.20676789475670265</v>
      </c>
      <c r="I29" s="65">
        <f t="shared" si="72"/>
        <v>0.25163393520810706</v>
      </c>
      <c r="J29" s="65">
        <f t="shared" si="72"/>
        <v>0.56207530551753071</v>
      </c>
      <c r="K29" s="65">
        <f t="shared" si="72"/>
        <v>0.76426819701035298</v>
      </c>
      <c r="L29" s="204"/>
      <c r="M29" s="65"/>
      <c r="N29" s="65"/>
      <c r="O29" s="65"/>
      <c r="P29" s="65" cm="1">
        <f t="array" ref="P29">-SUM(M16:P16/P104)</f>
        <v>8.3401947899004125E-2</v>
      </c>
      <c r="Q29" s="65" cm="1">
        <f t="array" ref="Q29">-SUM(N16:Q16/Q104)</f>
        <v>8.9306214827251929E-2</v>
      </c>
      <c r="R29" s="65" cm="1">
        <f t="array" ref="R29">-SUM(O16:R16/R104)</f>
        <v>0.16589403800960484</v>
      </c>
      <c r="S29" s="65" cm="1">
        <f t="array" ref="S29">-SUM(P16:S16/S104)</f>
        <v>0.22729778339532508</v>
      </c>
      <c r="T29" s="65" cm="1">
        <f t="array" ref="T29">-SUM(Q16:T16/T104)</f>
        <v>0.22142381751823167</v>
      </c>
      <c r="U29" s="65" cm="1">
        <f t="array" ref="U29">-SUM(R16:U16/U104)</f>
        <v>0.19322170739716182</v>
      </c>
      <c r="V29" s="65" cm="1">
        <f t="array" ref="V29">-SUM(S16:V16/V104)</f>
        <v>0.16406411618634775</v>
      </c>
      <c r="W29" s="65" cm="1">
        <f t="array" ref="W29">-SUM(T16:W16/W104)</f>
        <v>0.13092244383981996</v>
      </c>
      <c r="X29" s="65" cm="1">
        <f t="array" ref="X29">-SUM(U16:X16/X104)</f>
        <v>0.20676789475670265</v>
      </c>
      <c r="Y29" s="65" cm="1">
        <f t="array" ref="Y29">-SUM(V16:Y16/Y104)</f>
        <v>0.22083415364930148</v>
      </c>
      <c r="Z29" s="65" cm="1">
        <f t="array" ref="Z29">-SUM(W16:Z16/Z104)</f>
        <v>0.25831035057244212</v>
      </c>
      <c r="AA29" s="65" cm="1">
        <f t="array" ref="AA29">-SUM(X16:AA16/AA104)</f>
        <v>0.32747539686826788</v>
      </c>
      <c r="AB29" s="65" cm="1">
        <f t="array" ref="AB29">-SUM(Y16:AB16/AB104)</f>
        <v>0.25163393520810706</v>
      </c>
      <c r="AC29" s="65" cm="1">
        <f t="array" ref="AC29">-SUM(Z16:AC16/AC104)</f>
        <v>0.20774536505635999</v>
      </c>
      <c r="AD29" s="65" cm="1">
        <f t="array" ref="AD29">-SUM(AA16:AD16/AD104)</f>
        <v>0.26129614352577935</v>
      </c>
      <c r="AE29" s="65" cm="1">
        <f t="array" ref="AE29">-SUM(AB16:AE16/AE104)</f>
        <v>0.20850884436033887</v>
      </c>
      <c r="AF29" s="65" cm="1">
        <f t="array" ref="AF29">-SUM(AC16:AF16/AF104)</f>
        <v>0.56207530551753071</v>
      </c>
      <c r="AG29" s="65" cm="1">
        <f t="array" ref="AG29">-SUM(AD16:AG16/AG104)</f>
        <v>0.76426819701035298</v>
      </c>
    </row>
    <row r="30" spans="2:33" s="29" customFormat="1" ht="13.5" customHeight="1">
      <c r="B30" s="220" t="s">
        <v>129</v>
      </c>
      <c r="C30" s="65">
        <f>C15/C115</f>
        <v>0.72018955280232266</v>
      </c>
      <c r="D30" s="65">
        <f t="shared" ref="D30:K30" si="73">D15/D115</f>
        <v>0.54102434011109812</v>
      </c>
      <c r="E30" s="65">
        <f t="shared" si="73"/>
        <v>1.1182517811725783</v>
      </c>
      <c r="F30" s="65">
        <f t="shared" si="73"/>
        <v>0.47005228567440532</v>
      </c>
      <c r="G30" s="65">
        <f t="shared" si="73"/>
        <v>0.7462874775944659</v>
      </c>
      <c r="H30" s="65">
        <f t="shared" si="73"/>
        <v>0.29810240204425037</v>
      </c>
      <c r="I30" s="65">
        <f t="shared" si="73"/>
        <v>0.43329150422971935</v>
      </c>
      <c r="J30" s="65">
        <f t="shared" ref="J30" si="74">J15/J115</f>
        <v>1.097141297980684</v>
      </c>
      <c r="K30" s="65">
        <f t="shared" si="73"/>
        <v>1.4523839197267583</v>
      </c>
      <c r="L30" s="204"/>
      <c r="M30" s="65"/>
      <c r="N30" s="65"/>
      <c r="O30" s="65"/>
      <c r="P30" s="65">
        <f t="shared" ref="P30:AG30" si="75">SUM(M15:P15)/P115</f>
        <v>0.47005228567440532</v>
      </c>
      <c r="Q30" s="65">
        <f t="shared" si="75"/>
        <v>0.48926800466568354</v>
      </c>
      <c r="R30" s="65">
        <f t="shared" si="75"/>
        <v>0.80215304185018543</v>
      </c>
      <c r="S30" s="65">
        <f t="shared" si="75"/>
        <v>1.0791296522283251</v>
      </c>
      <c r="T30" s="65">
        <f t="shared" si="75"/>
        <v>0.7462874775944659</v>
      </c>
      <c r="U30" s="65">
        <f t="shared" si="75"/>
        <v>0.84368006583337107</v>
      </c>
      <c r="V30" s="65">
        <f t="shared" si="75"/>
        <v>0.52167722540520223</v>
      </c>
      <c r="W30" s="65">
        <f t="shared" si="75"/>
        <v>0.24204997651041671</v>
      </c>
      <c r="X30" s="65">
        <f t="shared" si="75"/>
        <v>0.29810240204425037</v>
      </c>
      <c r="Y30" s="65">
        <f t="shared" si="75"/>
        <v>0.27513868514728157</v>
      </c>
      <c r="Z30" s="65">
        <f t="shared" si="75"/>
        <v>0.34969621855979</v>
      </c>
      <c r="AA30" s="65">
        <f t="shared" si="75"/>
        <v>0.40507699037007394</v>
      </c>
      <c r="AB30" s="65">
        <f t="shared" si="75"/>
        <v>0.43329150422971935</v>
      </c>
      <c r="AC30" s="65">
        <f t="shared" si="75"/>
        <v>0.51161432541897967</v>
      </c>
      <c r="AD30" s="65">
        <f>SUM(AA15:AD15)/AD115</f>
        <v>0.79654096702581323</v>
      </c>
      <c r="AE30" s="65">
        <f t="shared" si="75"/>
        <v>0.93621535501129727</v>
      </c>
      <c r="AF30" s="65">
        <f t="shared" si="75"/>
        <v>1.097141297980684</v>
      </c>
      <c r="AG30" s="65">
        <f t="shared" si="75"/>
        <v>1.4523839197267583</v>
      </c>
    </row>
    <row r="31" spans="2:33" s="29" customFormat="1" ht="13.5" customHeight="1">
      <c r="B31" s="220" t="s">
        <v>120</v>
      </c>
      <c r="C31" s="65">
        <f>C18/C7</f>
        <v>2.7892153767285236E-3</v>
      </c>
      <c r="D31" s="65">
        <f t="shared" ref="D31:AG31" si="76">D18/D7</f>
        <v>3.267010199389546E-3</v>
      </c>
      <c r="E31" s="65">
        <f t="shared" si="76"/>
        <v>2.6574259936029678E-3</v>
      </c>
      <c r="F31" s="65">
        <f t="shared" si="76"/>
        <v>2.7009526442660125E-3</v>
      </c>
      <c r="G31" s="65">
        <f t="shared" si="76"/>
        <v>5.4092899648887282E-3</v>
      </c>
      <c r="H31" s="65">
        <f t="shared" si="76"/>
        <v>1.9040235314231928E-2</v>
      </c>
      <c r="I31" s="65">
        <f t="shared" si="76"/>
        <v>2.230719097620049E-2</v>
      </c>
      <c r="J31" s="65">
        <f t="shared" si="76"/>
        <v>3.4306578171615239E-3</v>
      </c>
      <c r="K31" s="65">
        <f t="shared" si="76"/>
        <v>2.0392883697693755E-3</v>
      </c>
      <c r="L31" s="204"/>
      <c r="M31" s="65">
        <f t="shared" si="76"/>
        <v>1.9927743534755766E-3</v>
      </c>
      <c r="N31" s="65">
        <f t="shared" si="76"/>
        <v>3.0834154663522992E-3</v>
      </c>
      <c r="O31" s="65">
        <f t="shared" si="76"/>
        <v>2.5301296262601517E-3</v>
      </c>
      <c r="P31" s="65">
        <f t="shared" si="76"/>
        <v>3.0309594493936102E-3</v>
      </c>
      <c r="Q31" s="65">
        <f t="shared" si="76"/>
        <v>2.1480540782136508E-3</v>
      </c>
      <c r="R31" s="65">
        <f t="shared" si="76"/>
        <v>1.1443124216702323E-2</v>
      </c>
      <c r="S31" s="65">
        <f t="shared" si="76"/>
        <v>2.7403551508287942E-3</v>
      </c>
      <c r="T31" s="65">
        <f t="shared" si="76"/>
        <v>3.535178624799613E-3</v>
      </c>
      <c r="U31" s="65">
        <f t="shared" si="76"/>
        <v>3.7127727755939285E-3</v>
      </c>
      <c r="V31" s="65">
        <f t="shared" si="76"/>
        <v>9.868691651018426E-4</v>
      </c>
      <c r="W31" s="65">
        <f t="shared" si="76"/>
        <v>2.5827551675343428E-2</v>
      </c>
      <c r="X31" s="65">
        <f t="shared" si="76"/>
        <v>3.2162122095573981E-2</v>
      </c>
      <c r="Y31" s="65">
        <f t="shared" si="76"/>
        <v>2.2106909652267115E-3</v>
      </c>
      <c r="Z31" s="65">
        <f t="shared" si="76"/>
        <v>1.0217826450756604E-3</v>
      </c>
      <c r="AA31" s="65">
        <f t="shared" si="76"/>
        <v>3.2571999802652571E-3</v>
      </c>
      <c r="AB31" s="65">
        <f t="shared" si="76"/>
        <v>6.9564352974535629E-2</v>
      </c>
      <c r="AC31" s="65">
        <f t="shared" si="76"/>
        <v>4.4754446942739442E-3</v>
      </c>
      <c r="AD31" s="65">
        <f t="shared" si="76"/>
        <v>1.3439665576823843E-3</v>
      </c>
      <c r="AE31" s="65">
        <f t="shared" si="76"/>
        <v>2.2425113181849398E-3</v>
      </c>
      <c r="AF31" s="65">
        <f t="shared" si="76"/>
        <v>5.1673863917835305E-3</v>
      </c>
      <c r="AG31" s="65">
        <f t="shared" si="76"/>
        <v>2.8573718033759213E-4</v>
      </c>
    </row>
    <row r="32" spans="2:33" s="29" customFormat="1" ht="13.5" customHeight="1">
      <c r="B32" s="220" t="s">
        <v>121</v>
      </c>
      <c r="C32" s="65">
        <f>-C19/C7</f>
        <v>4.4098827777904973E-3</v>
      </c>
      <c r="D32" s="65">
        <f t="shared" ref="D32:AG32" si="77">-D19/D7</f>
        <v>4.2079257351032295E-3</v>
      </c>
      <c r="E32" s="65">
        <f t="shared" si="77"/>
        <v>5.3784561694458048E-3</v>
      </c>
      <c r="F32" s="65">
        <f t="shared" si="77"/>
        <v>4.1961224427524094E-3</v>
      </c>
      <c r="G32" s="65">
        <f t="shared" si="77"/>
        <v>4.0382242954797108E-2</v>
      </c>
      <c r="H32" s="65">
        <f t="shared" si="77"/>
        <v>2.2433965206135106E-2</v>
      </c>
      <c r="I32" s="65">
        <f t="shared" si="77"/>
        <v>2.5287885599918781E-3</v>
      </c>
      <c r="J32" s="65">
        <f t="shared" si="77"/>
        <v>3.8907456173873168E-3</v>
      </c>
      <c r="K32" s="65">
        <f t="shared" si="77"/>
        <v>2.2004663235779651E-3</v>
      </c>
      <c r="L32" s="204"/>
      <c r="M32" s="65">
        <f t="shared" si="77"/>
        <v>1.9164868966874762E-3</v>
      </c>
      <c r="N32" s="65">
        <f t="shared" si="77"/>
        <v>4.8865149838625936E-3</v>
      </c>
      <c r="O32" s="65">
        <f t="shared" si="77"/>
        <v>1.7161748377257583E-3</v>
      </c>
      <c r="P32" s="65">
        <f t="shared" si="77"/>
        <v>7.5503718344822881E-3</v>
      </c>
      <c r="Q32" s="65">
        <f t="shared" si="77"/>
        <v>5.2714568275353041E-3</v>
      </c>
      <c r="R32" s="65">
        <f t="shared" si="77"/>
        <v>4.0247625787587738E-3</v>
      </c>
      <c r="S32" s="65">
        <f t="shared" si="77"/>
        <v>5.4995578119151414E-3</v>
      </c>
      <c r="T32" s="65">
        <f t="shared" si="77"/>
        <v>0.21139825947001517</v>
      </c>
      <c r="U32" s="65">
        <f t="shared" si="77"/>
        <v>3.0327561643211007E-3</v>
      </c>
      <c r="V32" s="65">
        <f t="shared" si="77"/>
        <v>7.9995258648005666E-3</v>
      </c>
      <c r="W32" s="65">
        <f t="shared" si="77"/>
        <v>4.902190792562814E-2</v>
      </c>
      <c r="X32" s="65">
        <f t="shared" si="77"/>
        <v>1.9171989147940684E-2</v>
      </c>
      <c r="Y32" s="65">
        <f t="shared" si="77"/>
        <v>3.178461604309327E-3</v>
      </c>
      <c r="Z32" s="65">
        <f t="shared" si="77"/>
        <v>2.2268419579111525E-3</v>
      </c>
      <c r="AA32" s="65">
        <f t="shared" si="77"/>
        <v>1.7437477767827578E-3</v>
      </c>
      <c r="AB32" s="65">
        <f t="shared" si="77"/>
        <v>3.0690490506036943E-3</v>
      </c>
      <c r="AC32" s="65">
        <f t="shared" si="77"/>
        <v>5.7748843892114704E-3</v>
      </c>
      <c r="AD32" s="65">
        <f t="shared" si="77"/>
        <v>3.8040294437483493E-3</v>
      </c>
      <c r="AE32" s="65">
        <f t="shared" si="77"/>
        <v>9.2425316462737487E-4</v>
      </c>
      <c r="AF32" s="65">
        <f t="shared" si="77"/>
        <v>5.1464582758406711E-3</v>
      </c>
      <c r="AG32" s="65">
        <f t="shared" si="77"/>
        <v>2.764934693847818E-4</v>
      </c>
    </row>
    <row r="33" spans="2:35" s="29" customFormat="1" ht="13.5" customHeight="1">
      <c r="B33" s="221" t="s">
        <v>130</v>
      </c>
      <c r="C33" s="65">
        <f t="shared" ref="C33:K33" si="78">-C21/C20</f>
        <v>0.2718259615398132</v>
      </c>
      <c r="D33" s="65">
        <f t="shared" si="78"/>
        <v>0.17411584702867955</v>
      </c>
      <c r="E33" s="65">
        <f t="shared" si="78"/>
        <v>0.23699121874697873</v>
      </c>
      <c r="F33" s="65">
        <f t="shared" si="78"/>
        <v>0.2832291802310184</v>
      </c>
      <c r="G33" s="65">
        <f t="shared" si="78"/>
        <v>0.43997196948121053</v>
      </c>
      <c r="H33" s="65">
        <f t="shared" ref="H33:I33" si="79">-H21/H20</f>
        <v>0.21618706282548977</v>
      </c>
      <c r="I33" s="65">
        <f t="shared" si="79"/>
        <v>0.17116969188226255</v>
      </c>
      <c r="J33" s="65">
        <f t="shared" ref="J33" si="80">-J21/J20</f>
        <v>0.14896597187721239</v>
      </c>
      <c r="K33" s="65">
        <f t="shared" si="78"/>
        <v>0.18966330762037573</v>
      </c>
      <c r="L33" s="204"/>
      <c r="M33" s="65">
        <f t="shared" ref="M33:V33" si="81">-M21/M20</f>
        <v>0.26503340757238308</v>
      </c>
      <c r="N33" s="65">
        <f t="shared" si="81"/>
        <v>0.29012947733539729</v>
      </c>
      <c r="O33" s="65">
        <f t="shared" si="81"/>
        <v>0.27907911804263658</v>
      </c>
      <c r="P33" s="65">
        <f t="shared" si="81"/>
        <v>0.28844414456971929</v>
      </c>
      <c r="Q33" s="65">
        <f t="shared" si="81"/>
        <v>0.2847985914864396</v>
      </c>
      <c r="R33" s="65">
        <f t="shared" si="81"/>
        <v>0.27444315968228322</v>
      </c>
      <c r="S33" s="65">
        <f t="shared" si="81"/>
        <v>0.34391002535823467</v>
      </c>
      <c r="T33" s="65">
        <f t="shared" si="81"/>
        <v>0.15798468512931604</v>
      </c>
      <c r="U33" s="65">
        <f t="shared" si="81"/>
        <v>0.26656545206305604</v>
      </c>
      <c r="V33" s="65">
        <f t="shared" si="81"/>
        <v>0.21126089466599898</v>
      </c>
      <c r="W33" s="65">
        <f t="shared" ref="W33:Z33" si="82">-W21/W20</f>
        <v>0.11538363424556528</v>
      </c>
      <c r="X33" s="65">
        <f t="shared" si="82"/>
        <v>0.26420268310389172</v>
      </c>
      <c r="Y33" s="65">
        <f t="shared" si="82"/>
        <v>0.19200067437278062</v>
      </c>
      <c r="Z33" s="65">
        <f t="shared" si="82"/>
        <v>0.18451098504469451</v>
      </c>
      <c r="AA33" s="65">
        <f t="shared" ref="AA33:AD33" si="83">-AA21/AA20</f>
        <v>0.16365339263891168</v>
      </c>
      <c r="AB33" s="65">
        <f t="shared" si="83"/>
        <v>0.16437321627337925</v>
      </c>
      <c r="AC33" s="65">
        <f t="shared" si="83"/>
        <v>0.12807879018787471</v>
      </c>
      <c r="AD33" s="65">
        <f t="shared" si="83"/>
        <v>0.197919240206714</v>
      </c>
      <c r="AE33" s="65">
        <f t="shared" ref="AE33:AG33" si="84">-AE21/AE20</f>
        <v>0.14826413407374012</v>
      </c>
      <c r="AF33" s="65">
        <f t="shared" si="84"/>
        <v>0.13636868820989512</v>
      </c>
      <c r="AG33" s="65">
        <f t="shared" si="84"/>
        <v>0.21835790547344047</v>
      </c>
    </row>
    <row r="34" spans="2:35" s="29" customFormat="1" ht="13.5" customHeight="1">
      <c r="B34" s="61"/>
      <c r="C34" s="219"/>
      <c r="D34" s="219"/>
      <c r="E34" s="219"/>
      <c r="F34" s="219"/>
      <c r="G34" s="219"/>
      <c r="H34" s="219"/>
      <c r="I34" s="219"/>
      <c r="J34" s="219"/>
      <c r="K34" s="219"/>
      <c r="L34" s="204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  <c r="AG34" s="219"/>
    </row>
    <row r="35" spans="2:35" ht="13.5" customHeight="1">
      <c r="B35" s="31" t="s">
        <v>131</v>
      </c>
      <c r="C35" s="222">
        <f t="shared" ref="C35:K35" si="85">C55/C7</f>
        <v>-5.6146922840971503E-2</v>
      </c>
      <c r="D35" s="222">
        <f t="shared" si="85"/>
        <v>4.01809020896172E-2</v>
      </c>
      <c r="E35" s="222">
        <f t="shared" si="85"/>
        <v>-4.881290270240346E-2</v>
      </c>
      <c r="F35" s="222">
        <f t="shared" si="85"/>
        <v>-7.9545038033580887E-2</v>
      </c>
      <c r="G35" s="222">
        <f t="shared" si="85"/>
        <v>-6.071339761076975E-2</v>
      </c>
      <c r="H35" s="222">
        <f t="shared" si="85"/>
        <v>2.1783040988662572E-2</v>
      </c>
      <c r="I35" s="222">
        <f t="shared" si="85"/>
        <v>-7.0344384055343656E-2</v>
      </c>
      <c r="J35" s="222">
        <f t="shared" ref="J35" si="86">J55/J7</f>
        <v>-5.9494707358743876E-2</v>
      </c>
      <c r="K35" s="222">
        <f t="shared" si="85"/>
        <v>-0.17292883282048602</v>
      </c>
      <c r="L35" s="204"/>
      <c r="M35" s="222">
        <f t="shared" ref="M35:AB35" si="87">M55/M7</f>
        <v>-1.436123146791665E-2</v>
      </c>
      <c r="N35" s="222">
        <f t="shared" si="87"/>
        <v>-0.12383246859931885</v>
      </c>
      <c r="O35" s="222">
        <f t="shared" si="87"/>
        <v>-8.7092992958092461E-2</v>
      </c>
      <c r="P35" s="222">
        <f t="shared" si="87"/>
        <v>-8.0147558996167684E-2</v>
      </c>
      <c r="Q35" s="222">
        <f t="shared" si="87"/>
        <v>-2.5811529828961059E-2</v>
      </c>
      <c r="R35" s="222">
        <f t="shared" si="87"/>
        <v>-0.12330706514321446</v>
      </c>
      <c r="S35" s="222">
        <f t="shared" si="87"/>
        <v>-0.1463191404297032</v>
      </c>
      <c r="T35" s="222">
        <f t="shared" si="87"/>
        <v>0.11921601985184888</v>
      </c>
      <c r="U35" s="222">
        <f t="shared" si="87"/>
        <v>-0.14431229979062957</v>
      </c>
      <c r="V35" s="222">
        <f t="shared" si="87"/>
        <v>9.4535906639165723E-2</v>
      </c>
      <c r="W35" s="222">
        <f t="shared" si="87"/>
        <v>8.1533869149390634E-2</v>
      </c>
      <c r="X35" s="222">
        <f t="shared" si="87"/>
        <v>1.6046166539766826E-3</v>
      </c>
      <c r="Y35" s="222">
        <f t="shared" si="87"/>
        <v>-5.3091821634134909E-2</v>
      </c>
      <c r="Z35" s="222">
        <f t="shared" si="87"/>
        <v>-0.1210498550287647</v>
      </c>
      <c r="AA35" s="222">
        <f t="shared" si="87"/>
        <v>-4.9866531566000225E-2</v>
      </c>
      <c r="AB35" s="222">
        <f t="shared" si="87"/>
        <v>-5.7269691686183587E-2</v>
      </c>
      <c r="AC35" s="222">
        <f t="shared" ref="AC35:AF35" si="88">AC55/AC7</f>
        <v>4.6492286670875869E-2</v>
      </c>
      <c r="AD35" s="222">
        <f t="shared" si="88"/>
        <v>-0.10091129199991077</v>
      </c>
      <c r="AE35" s="222">
        <f t="shared" si="88"/>
        <v>-1.5947119810442412E-3</v>
      </c>
      <c r="AF35" s="222">
        <f t="shared" si="88"/>
        <v>-0.13151974403238734</v>
      </c>
      <c r="AG35" s="222">
        <f t="shared" ref="AG35" si="89">AG55/AG7</f>
        <v>-0.30890929973811199</v>
      </c>
    </row>
    <row r="36" spans="2:35" s="29" customFormat="1" ht="13.5" customHeight="1">
      <c r="B36" s="31" t="s">
        <v>132</v>
      </c>
      <c r="C36" s="65">
        <f t="shared" ref="C36:K36" si="90">-C59/C7</f>
        <v>0.39323441826006661</v>
      </c>
      <c r="D36" s="65">
        <f t="shared" si="90"/>
        <v>0.51374684785329838</v>
      </c>
      <c r="E36" s="65">
        <f t="shared" si="90"/>
        <v>0.31377560632591084</v>
      </c>
      <c r="F36" s="65">
        <f t="shared" si="90"/>
        <v>0.28854260702503048</v>
      </c>
      <c r="G36" s="65">
        <f t="shared" si="90"/>
        <v>0.41877826884075431</v>
      </c>
      <c r="H36" s="65">
        <f t="shared" si="90"/>
        <v>0.20708573494144902</v>
      </c>
      <c r="I36" s="65">
        <f t="shared" si="90"/>
        <v>0.24018276263820201</v>
      </c>
      <c r="J36" s="65">
        <f t="shared" ref="J36" si="91">-J59/J7</f>
        <v>0.28178109029464982</v>
      </c>
      <c r="K36" s="65">
        <f t="shared" si="90"/>
        <v>0.21788129524205693</v>
      </c>
      <c r="L36" s="204"/>
      <c r="M36" s="65">
        <f t="shared" ref="M36:AB36" si="92">-M59/M7</f>
        <v>0.4690576662536784</v>
      </c>
      <c r="N36" s="65">
        <f t="shared" si="92"/>
        <v>0.28091614235718226</v>
      </c>
      <c r="O36" s="65">
        <f t="shared" si="92"/>
        <v>0.23609356253161709</v>
      </c>
      <c r="P36" s="65">
        <f t="shared" si="92"/>
        <v>0.22104164395918138</v>
      </c>
      <c r="Q36" s="65">
        <f t="shared" si="92"/>
        <v>0.42881587685992684</v>
      </c>
      <c r="R36" s="65">
        <f t="shared" si="92"/>
        <v>0.33045533774126873</v>
      </c>
      <c r="S36" s="65">
        <f t="shared" si="92"/>
        <v>0.43538968775320652</v>
      </c>
      <c r="T36" s="65">
        <f t="shared" si="92"/>
        <v>0.53809128247787319</v>
      </c>
      <c r="U36" s="65">
        <f t="shared" si="92"/>
        <v>0.61843167336561644</v>
      </c>
      <c r="V36" s="65">
        <f t="shared" si="92"/>
        <v>0.26412834609898556</v>
      </c>
      <c r="W36" s="65">
        <f t="shared" si="92"/>
        <v>1.4907506156678492E-2</v>
      </c>
      <c r="X36" s="65">
        <f t="shared" si="92"/>
        <v>0.1392070623299943</v>
      </c>
      <c r="Y36" s="65">
        <f t="shared" si="92"/>
        <v>0.24894208163449855</v>
      </c>
      <c r="Z36" s="65">
        <f t="shared" si="92"/>
        <v>0.12615462778457234</v>
      </c>
      <c r="AA36" s="65">
        <f t="shared" si="92"/>
        <v>0.19834930369874493</v>
      </c>
      <c r="AB36" s="65">
        <f t="shared" si="92"/>
        <v>0.36660439969879144</v>
      </c>
      <c r="AC36" s="65">
        <f t="shared" ref="AC36:AF36" si="93">-AC59/AC7</f>
        <v>0.35365735780444185</v>
      </c>
      <c r="AD36" s="65">
        <f t="shared" si="93"/>
        <v>0.19352133361928814</v>
      </c>
      <c r="AE36" s="65">
        <f t="shared" si="93"/>
        <v>0.20456258022590681</v>
      </c>
      <c r="AF36" s="65">
        <f t="shared" si="93"/>
        <v>0.36044463625335182</v>
      </c>
      <c r="AG36" s="65">
        <f t="shared" ref="AG36" si="94">-AG59/AG7</f>
        <v>0.145364201926241</v>
      </c>
    </row>
    <row r="37" spans="2:35" s="1" customFormat="1" ht="13.5" customHeight="1"/>
    <row r="38" spans="2:35" ht="13.5" customHeight="1">
      <c r="B38" s="39" t="s">
        <v>133</v>
      </c>
      <c r="C38" s="44">
        <f t="shared" ref="C38:I38" si="95">C3</f>
        <v>43465</v>
      </c>
      <c r="D38" s="44">
        <f t="shared" si="95"/>
        <v>43830</v>
      </c>
      <c r="E38" s="44">
        <f t="shared" si="95"/>
        <v>44196</v>
      </c>
      <c r="F38" s="44">
        <f t="shared" si="95"/>
        <v>44561</v>
      </c>
      <c r="G38" s="44">
        <f t="shared" si="95"/>
        <v>44926</v>
      </c>
      <c r="H38" s="44">
        <f t="shared" si="95"/>
        <v>45291</v>
      </c>
      <c r="I38" s="44">
        <f t="shared" si="95"/>
        <v>45657</v>
      </c>
      <c r="J38" s="44">
        <f t="shared" ref="J38" si="96">J3</f>
        <v>46022</v>
      </c>
      <c r="K38" s="44" t="str">
        <f>K2</f>
        <v>LTM</v>
      </c>
      <c r="L38" s="203"/>
      <c r="M38" s="44">
        <f t="shared" ref="M38:AB38" si="97">M3</f>
        <v>44286</v>
      </c>
      <c r="N38" s="44">
        <f t="shared" si="97"/>
        <v>44377</v>
      </c>
      <c r="O38" s="44">
        <f t="shared" si="97"/>
        <v>44469</v>
      </c>
      <c r="P38" s="44">
        <f t="shared" si="97"/>
        <v>44561</v>
      </c>
      <c r="Q38" s="44">
        <f t="shared" si="97"/>
        <v>44651</v>
      </c>
      <c r="R38" s="44">
        <f t="shared" si="97"/>
        <v>44742</v>
      </c>
      <c r="S38" s="44">
        <f t="shared" si="97"/>
        <v>44834</v>
      </c>
      <c r="T38" s="44">
        <f t="shared" si="97"/>
        <v>44926</v>
      </c>
      <c r="U38" s="44">
        <f t="shared" si="97"/>
        <v>45016</v>
      </c>
      <c r="V38" s="44">
        <f t="shared" si="97"/>
        <v>45107</v>
      </c>
      <c r="W38" s="44">
        <f t="shared" si="97"/>
        <v>45199</v>
      </c>
      <c r="X38" s="44">
        <f t="shared" si="97"/>
        <v>45291</v>
      </c>
      <c r="Y38" s="44">
        <f t="shared" si="97"/>
        <v>45382</v>
      </c>
      <c r="Z38" s="44">
        <f t="shared" si="97"/>
        <v>45473</v>
      </c>
      <c r="AA38" s="44">
        <f t="shared" si="97"/>
        <v>45565</v>
      </c>
      <c r="AB38" s="44">
        <f t="shared" si="97"/>
        <v>45657</v>
      </c>
      <c r="AC38" s="44">
        <f t="shared" ref="AC38:AF38" si="98">AC3</f>
        <v>45747</v>
      </c>
      <c r="AD38" s="44">
        <f t="shared" si="98"/>
        <v>45838</v>
      </c>
      <c r="AE38" s="44">
        <f t="shared" si="98"/>
        <v>45930</v>
      </c>
      <c r="AF38" s="44">
        <f t="shared" si="98"/>
        <v>46022</v>
      </c>
      <c r="AG38" s="44">
        <f t="shared" ref="AG38" si="99">AG3</f>
        <v>46112</v>
      </c>
    </row>
    <row r="39" spans="2:35" s="19" customFormat="1" ht="13.5" customHeight="1">
      <c r="B39" s="59" t="s">
        <v>116</v>
      </c>
      <c r="C39" s="43">
        <f t="shared" ref="C39:K39" si="100">C14</f>
        <v>20843750</v>
      </c>
      <c r="D39" s="43">
        <f t="shared" si="100"/>
        <v>2719179</v>
      </c>
      <c r="E39" s="43">
        <f t="shared" si="100"/>
        <v>5012624</v>
      </c>
      <c r="F39" s="43">
        <f t="shared" si="100"/>
        <v>12410340</v>
      </c>
      <c r="G39" s="43">
        <f t="shared" si="100"/>
        <v>6809417</v>
      </c>
      <c r="H39" s="43">
        <f t="shared" si="100"/>
        <v>-7730313</v>
      </c>
      <c r="I39" s="43">
        <f t="shared" si="100"/>
        <v>23467319</v>
      </c>
      <c r="J39" s="43">
        <f t="shared" ref="J39" si="101">J14</f>
        <v>47206319</v>
      </c>
      <c r="K39" s="43">
        <f t="shared" si="100"/>
        <v>77376098</v>
      </c>
      <c r="L39" s="43"/>
      <c r="M39" s="43">
        <f t="shared" ref="M39:AB39" si="102">M14</f>
        <v>1324421</v>
      </c>
      <c r="N39" s="43">
        <f t="shared" si="102"/>
        <v>2694574</v>
      </c>
      <c r="O39" s="43">
        <f t="shared" si="102"/>
        <v>4171821</v>
      </c>
      <c r="P39" s="43">
        <f t="shared" si="102"/>
        <v>4219524</v>
      </c>
      <c r="Q39" s="43">
        <f t="shared" si="102"/>
        <v>2863897</v>
      </c>
      <c r="R39" s="43">
        <f t="shared" si="102"/>
        <v>4197226</v>
      </c>
      <c r="S39" s="43">
        <f t="shared" si="102"/>
        <v>1660523</v>
      </c>
      <c r="T39" s="43">
        <f t="shared" si="102"/>
        <v>-1912229</v>
      </c>
      <c r="U39" s="43">
        <f t="shared" si="102"/>
        <v>-3402302</v>
      </c>
      <c r="V39" s="43">
        <f t="shared" si="102"/>
        <v>-2882084</v>
      </c>
      <c r="W39" s="43">
        <f t="shared" si="102"/>
        <v>-1791961</v>
      </c>
      <c r="X39" s="43">
        <f t="shared" si="102"/>
        <v>346034</v>
      </c>
      <c r="Y39" s="43">
        <f t="shared" si="102"/>
        <v>2886029</v>
      </c>
      <c r="Z39" s="43">
        <f t="shared" si="102"/>
        <v>5468536</v>
      </c>
      <c r="AA39" s="43">
        <f t="shared" si="102"/>
        <v>7029958</v>
      </c>
      <c r="AB39" s="43">
        <f t="shared" si="102"/>
        <v>8082796</v>
      </c>
      <c r="AC39" s="43">
        <f t="shared" ref="AC39:AF39" si="103">AC14</f>
        <v>7440504</v>
      </c>
      <c r="AD39" s="43">
        <f t="shared" si="103"/>
        <v>9212851</v>
      </c>
      <c r="AE39" s="43">
        <f t="shared" si="103"/>
        <v>11383390</v>
      </c>
      <c r="AF39" s="43">
        <f t="shared" si="103"/>
        <v>19169574</v>
      </c>
      <c r="AG39" s="43">
        <f t="shared" ref="AG39" si="104">AG14</f>
        <v>37610283</v>
      </c>
    </row>
    <row r="40" spans="2:35" ht="13.5" customHeight="1">
      <c r="B40" s="61" t="s">
        <v>134</v>
      </c>
      <c r="C40" s="50">
        <v>6309070</v>
      </c>
      <c r="D40" s="50">
        <v>8605492</v>
      </c>
      <c r="E40" s="75">
        <v>9764776</v>
      </c>
      <c r="F40" s="75">
        <v>10646887</v>
      </c>
      <c r="G40" s="75">
        <v>14135292</v>
      </c>
      <c r="H40" s="75">
        <v>13619161</v>
      </c>
      <c r="I40" s="75">
        <v>12544767</v>
      </c>
      <c r="J40" s="75">
        <v>13889639</v>
      </c>
      <c r="K40" s="7">
        <f>SUM(AD40:AG40)</f>
        <v>14281476</v>
      </c>
      <c r="L40" s="167"/>
      <c r="M40" s="50">
        <v>2532934</v>
      </c>
      <c r="N40" s="50">
        <v>2614665</v>
      </c>
      <c r="O40" s="50">
        <v>2708159</v>
      </c>
      <c r="P40" s="7">
        <f>F40-SUM(M40:O40)</f>
        <v>2791129</v>
      </c>
      <c r="Q40" s="50">
        <v>3391643</v>
      </c>
      <c r="R40" s="50">
        <v>3478314</v>
      </c>
      <c r="S40" s="50">
        <v>3552718</v>
      </c>
      <c r="T40" s="7">
        <f>G40-SUM(Q40:S40)</f>
        <v>3712617</v>
      </c>
      <c r="U40" s="50">
        <v>3556847</v>
      </c>
      <c r="V40" s="50">
        <v>3493623</v>
      </c>
      <c r="W40" s="50">
        <v>3332583</v>
      </c>
      <c r="X40" s="7">
        <f>H40-SUM(U40:W40)</f>
        <v>3236108</v>
      </c>
      <c r="Y40" s="50">
        <v>3186882</v>
      </c>
      <c r="Z40" s="50">
        <v>3122193</v>
      </c>
      <c r="AA40" s="50">
        <v>3070447</v>
      </c>
      <c r="AB40" s="7">
        <f>I40-SUM(Y40:AA40)</f>
        <v>3165245</v>
      </c>
      <c r="AC40" s="50">
        <v>3333928</v>
      </c>
      <c r="AD40" s="50">
        <v>3442889</v>
      </c>
      <c r="AE40" s="50">
        <v>3549343</v>
      </c>
      <c r="AF40" s="7">
        <f>J40-SUM(AC40:AE40)</f>
        <v>3563479</v>
      </c>
      <c r="AG40" s="50">
        <v>3725765</v>
      </c>
      <c r="AI40" s="167"/>
    </row>
    <row r="41" spans="2:35" s="19" customFormat="1" ht="13.5" customHeight="1">
      <c r="B41" s="19" t="s">
        <v>133</v>
      </c>
      <c r="C41" s="43">
        <f t="shared" ref="C41:E41" si="105">SUM(C39:C40)</f>
        <v>27152820</v>
      </c>
      <c r="D41" s="43">
        <f t="shared" si="105"/>
        <v>11324671</v>
      </c>
      <c r="E41" s="43">
        <f t="shared" si="105"/>
        <v>14777400</v>
      </c>
      <c r="F41" s="43">
        <f t="shared" ref="F41:G41" si="106">SUM(F39:F40)</f>
        <v>23057227</v>
      </c>
      <c r="G41" s="43">
        <f t="shared" si="106"/>
        <v>20944709</v>
      </c>
      <c r="H41" s="43">
        <f t="shared" ref="H41:I41" si="107">SUM(H39:H40)</f>
        <v>5888848</v>
      </c>
      <c r="I41" s="43">
        <f t="shared" si="107"/>
        <v>36012086</v>
      </c>
      <c r="J41" s="43">
        <f t="shared" ref="J41" si="108">SUM(J39:J40)</f>
        <v>61095958</v>
      </c>
      <c r="K41" s="43">
        <f>SUM(K39:K40)</f>
        <v>91657574</v>
      </c>
      <c r="L41" s="167"/>
      <c r="M41" s="43">
        <f t="shared" ref="M41:O41" si="109">SUM(M39:M40)</f>
        <v>3857355</v>
      </c>
      <c r="N41" s="43">
        <f t="shared" si="109"/>
        <v>5309239</v>
      </c>
      <c r="O41" s="43">
        <f t="shared" si="109"/>
        <v>6879980</v>
      </c>
      <c r="P41" s="43">
        <f t="shared" ref="P41:R41" si="110">SUM(P39:P40)</f>
        <v>7010653</v>
      </c>
      <c r="Q41" s="43">
        <f t="shared" si="110"/>
        <v>6255540</v>
      </c>
      <c r="R41" s="43">
        <f t="shared" si="110"/>
        <v>7675540</v>
      </c>
      <c r="S41" s="43">
        <f t="shared" ref="S41:T41" si="111">SUM(S39:S40)</f>
        <v>5213241</v>
      </c>
      <c r="T41" s="43">
        <f t="shared" si="111"/>
        <v>1800388</v>
      </c>
      <c r="U41" s="43">
        <f>SUM(U39:U40)</f>
        <v>154545</v>
      </c>
      <c r="V41" s="43">
        <f t="shared" ref="V41:X41" si="112">SUM(V39:V40)</f>
        <v>611539</v>
      </c>
      <c r="W41" s="43">
        <f t="shared" si="112"/>
        <v>1540622</v>
      </c>
      <c r="X41" s="43">
        <f t="shared" si="112"/>
        <v>3582142</v>
      </c>
      <c r="Y41" s="43">
        <f>SUM(Y39:Y40)</f>
        <v>6072911</v>
      </c>
      <c r="Z41" s="43">
        <f t="shared" ref="Z41:AB41" si="113">SUM(Z39:Z40)</f>
        <v>8590729</v>
      </c>
      <c r="AA41" s="43">
        <f t="shared" si="113"/>
        <v>10100405</v>
      </c>
      <c r="AB41" s="43">
        <f t="shared" si="113"/>
        <v>11248041</v>
      </c>
      <c r="AC41" s="43">
        <f>SUM(AC39:AC40)</f>
        <v>10774432</v>
      </c>
      <c r="AD41" s="43">
        <f t="shared" ref="AD41:AF41" si="114">SUM(AD39:AD40)</f>
        <v>12655740</v>
      </c>
      <c r="AE41" s="43">
        <f t="shared" si="114"/>
        <v>14932733</v>
      </c>
      <c r="AF41" s="43">
        <f t="shared" si="114"/>
        <v>22733053</v>
      </c>
      <c r="AG41" s="43">
        <f>SUM(AG39:AG40)</f>
        <v>41336048</v>
      </c>
      <c r="AH41" s="167"/>
      <c r="AI41" s="167"/>
    </row>
    <row r="42" spans="2:35" s="29" customFormat="1" ht="13.5" customHeight="1">
      <c r="B42" s="34" t="s">
        <v>135</v>
      </c>
      <c r="C42" s="63"/>
      <c r="D42" s="63">
        <f t="shared" ref="D42:J42" si="115">+D41/C41-1</f>
        <v>-0.58292836618811594</v>
      </c>
      <c r="E42" s="63">
        <f t="shared" si="115"/>
        <v>0.30488559005378613</v>
      </c>
      <c r="F42" s="63">
        <f t="shared" si="115"/>
        <v>0.56030336865754471</v>
      </c>
      <c r="G42" s="63">
        <f t="shared" si="115"/>
        <v>-9.1620644581414723E-2</v>
      </c>
      <c r="H42" s="63">
        <f t="shared" si="115"/>
        <v>-0.71883839493783364</v>
      </c>
      <c r="I42" s="63">
        <f t="shared" si="115"/>
        <v>5.1153023477596973</v>
      </c>
      <c r="J42" s="63">
        <f t="shared" si="115"/>
        <v>0.69654037813860592</v>
      </c>
      <c r="K42" s="63"/>
      <c r="L42" s="54"/>
      <c r="M42" s="63"/>
      <c r="N42" s="63"/>
      <c r="O42" s="63"/>
      <c r="P42" s="63"/>
      <c r="Q42" s="63">
        <f t="shared" ref="Q42:AG42" si="116">Q41/M41-1</f>
        <v>0.62171747220569529</v>
      </c>
      <c r="R42" s="63">
        <f t="shared" si="116"/>
        <v>0.44569494799537179</v>
      </c>
      <c r="S42" s="63">
        <f t="shared" si="116"/>
        <v>-0.24225927982348783</v>
      </c>
      <c r="T42" s="63">
        <f t="shared" si="116"/>
        <v>-0.74319253855525291</v>
      </c>
      <c r="U42" s="63">
        <f t="shared" si="116"/>
        <v>-0.97529469877900232</v>
      </c>
      <c r="V42" s="63">
        <f t="shared" si="116"/>
        <v>-0.92032625717539096</v>
      </c>
      <c r="W42" s="63">
        <f t="shared" si="116"/>
        <v>-0.70447903712872662</v>
      </c>
      <c r="X42" s="63">
        <f t="shared" si="116"/>
        <v>0.98965000877588616</v>
      </c>
      <c r="Y42" s="63">
        <f t="shared" si="116"/>
        <v>38.295422045358954</v>
      </c>
      <c r="Z42" s="63">
        <f t="shared" si="116"/>
        <v>13.047720586912691</v>
      </c>
      <c r="AA42" s="63">
        <f t="shared" si="116"/>
        <v>5.5560565797450643</v>
      </c>
      <c r="AB42" s="63">
        <f t="shared" si="116"/>
        <v>2.1400321371961244</v>
      </c>
      <c r="AC42" s="63">
        <f t="shared" si="116"/>
        <v>0.7741791374844782</v>
      </c>
      <c r="AD42" s="63">
        <f t="shared" si="116"/>
        <v>0.47318580297434587</v>
      </c>
      <c r="AE42" s="63">
        <f t="shared" si="116"/>
        <v>0.47842913229717032</v>
      </c>
      <c r="AF42" s="63">
        <f t="shared" si="116"/>
        <v>1.0210677574877263</v>
      </c>
      <c r="AG42" s="63">
        <f t="shared" si="116"/>
        <v>2.8364943971060379</v>
      </c>
      <c r="AH42" s="167"/>
      <c r="AI42" s="167"/>
    </row>
    <row r="43" spans="2:35" s="29" customFormat="1" ht="13.5" customHeight="1">
      <c r="B43" s="34" t="s">
        <v>125</v>
      </c>
      <c r="C43" s="63">
        <f t="shared" ref="C43:K43" si="117">+C41/C7</f>
        <v>0.6713506166611275</v>
      </c>
      <c r="D43" s="63">
        <f t="shared" si="117"/>
        <v>0.41957626715806495</v>
      </c>
      <c r="E43" s="63">
        <f t="shared" si="117"/>
        <v>0.46323530933042945</v>
      </c>
      <c r="F43" s="63">
        <f t="shared" si="117"/>
        <v>0.53624211680450939</v>
      </c>
      <c r="G43" s="63">
        <f t="shared" si="117"/>
        <v>0.46938532056964022</v>
      </c>
      <c r="H43" s="63">
        <f t="shared" si="117"/>
        <v>0.17972588973249756</v>
      </c>
      <c r="I43" s="63">
        <f t="shared" si="117"/>
        <v>0.54404707086675075</v>
      </c>
      <c r="J43" s="63">
        <f t="shared" ref="J43" si="118">+J41/J7</f>
        <v>0.62890426254938736</v>
      </c>
      <c r="K43" s="63">
        <f t="shared" si="117"/>
        <v>0.6939349066832341</v>
      </c>
      <c r="L43" s="205"/>
      <c r="M43" s="63">
        <f t="shared" ref="M43:AB43" si="119">+M41/M7</f>
        <v>0.45411697975133114</v>
      </c>
      <c r="N43" s="63">
        <f t="shared" si="119"/>
        <v>0.51437785606613506</v>
      </c>
      <c r="O43" s="63">
        <f t="shared" si="119"/>
        <v>0.58278620730782149</v>
      </c>
      <c r="P43" s="63">
        <f t="shared" si="119"/>
        <v>0.56644376500865468</v>
      </c>
      <c r="Q43" s="63">
        <f t="shared" si="119"/>
        <v>0.51461982338587653</v>
      </c>
      <c r="R43" s="63">
        <f t="shared" si="119"/>
        <v>0.55575551692451541</v>
      </c>
      <c r="S43" s="63">
        <f t="shared" si="119"/>
        <v>0.47466962909465577</v>
      </c>
      <c r="T43" s="63">
        <f t="shared" si="119"/>
        <v>0.23466902049796201</v>
      </c>
      <c r="U43" s="63">
        <f t="shared" si="119"/>
        <v>3.037374774253156E-2</v>
      </c>
      <c r="V43" s="63">
        <f t="shared" si="119"/>
        <v>8.3704435833178326E-2</v>
      </c>
      <c r="W43" s="63">
        <f t="shared" si="119"/>
        <v>0.16993083408640758</v>
      </c>
      <c r="X43" s="63">
        <f t="shared" si="119"/>
        <v>0.31684938592742085</v>
      </c>
      <c r="Y43" s="63">
        <f t="shared" si="119"/>
        <v>0.4885846670181932</v>
      </c>
      <c r="Z43" s="63">
        <f t="shared" si="119"/>
        <v>0.52308311785639605</v>
      </c>
      <c r="AA43" s="63">
        <f t="shared" si="119"/>
        <v>0.57476613788974484</v>
      </c>
      <c r="AB43" s="63">
        <f t="shared" si="119"/>
        <v>0.56903025668745966</v>
      </c>
      <c r="AC43" s="63">
        <f t="shared" ref="AC43:AF43" si="120">+AC41/AC7</f>
        <v>0.61082520968566445</v>
      </c>
      <c r="AD43" s="63">
        <f t="shared" si="120"/>
        <v>0.56925905561508949</v>
      </c>
      <c r="AE43" s="63">
        <f t="shared" si="120"/>
        <v>0.61077248005423879</v>
      </c>
      <c r="AF43" s="63">
        <f t="shared" si="120"/>
        <v>0.69251814980954651</v>
      </c>
      <c r="AG43" s="63">
        <f t="shared" ref="AG43" si="121">+AG41/AG7</f>
        <v>0.7862108634639795</v>
      </c>
      <c r="AH43" s="167"/>
      <c r="AI43" s="169"/>
    </row>
    <row r="44" spans="2:35" s="29" customFormat="1" ht="13.5" customHeight="1">
      <c r="B44" s="73"/>
      <c r="C44" s="53"/>
      <c r="D44" s="53"/>
      <c r="E44" s="53"/>
      <c r="F44" s="53"/>
      <c r="G44" s="53"/>
      <c r="H44" s="53"/>
      <c r="I44" s="53"/>
      <c r="J44" s="53"/>
      <c r="K44" s="53"/>
      <c r="L44" s="205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168"/>
    </row>
    <row r="45" spans="2:35" ht="13.5" customHeight="1">
      <c r="B45" s="217" t="s">
        <v>136</v>
      </c>
      <c r="C45" s="217">
        <f t="shared" ref="C45:E45" si="122">C46-C41</f>
        <v>107180</v>
      </c>
      <c r="D45" s="217">
        <f t="shared" si="122"/>
        <v>-73671</v>
      </c>
      <c r="E45" s="217">
        <f t="shared" si="122"/>
        <v>25600</v>
      </c>
      <c r="F45" s="217">
        <f t="shared" ref="F45:G45" si="123">F46-F41</f>
        <v>-227</v>
      </c>
      <c r="G45" s="217">
        <f t="shared" si="123"/>
        <v>3291</v>
      </c>
      <c r="H45" s="217">
        <f t="shared" ref="H45:I45" si="124">H46-H41</f>
        <v>152</v>
      </c>
      <c r="I45" s="217">
        <f t="shared" si="124"/>
        <v>914</v>
      </c>
      <c r="J45" s="217">
        <f t="shared" ref="J45" si="125">J46-J41</f>
        <v>-958</v>
      </c>
      <c r="K45" s="217">
        <f t="shared" ref="K45" si="126">K46-K41</f>
        <v>4426</v>
      </c>
      <c r="L45" s="205"/>
      <c r="M45" s="217">
        <f t="shared" ref="M45:N45" si="127">M46-M41</f>
        <v>-355</v>
      </c>
      <c r="N45" s="217">
        <f t="shared" si="127"/>
        <v>-239</v>
      </c>
      <c r="O45" s="217">
        <f>O46-O41</f>
        <v>20</v>
      </c>
      <c r="P45" s="217">
        <f>P46-P41</f>
        <v>347</v>
      </c>
      <c r="Q45" s="217">
        <f t="shared" ref="Q45:R45" si="128">Q46-Q41</f>
        <v>460</v>
      </c>
      <c r="R45" s="217">
        <f t="shared" si="128"/>
        <v>-3540</v>
      </c>
      <c r="S45" s="217">
        <f t="shared" ref="S45" si="129">S46-S41</f>
        <v>6759</v>
      </c>
      <c r="T45" s="217">
        <f t="shared" ref="T45:W45" si="130">T46-T41</f>
        <v>-388</v>
      </c>
      <c r="U45" s="217">
        <f t="shared" si="130"/>
        <v>-545</v>
      </c>
      <c r="V45" s="217">
        <f t="shared" si="130"/>
        <v>461</v>
      </c>
      <c r="W45" s="217">
        <f t="shared" si="130"/>
        <v>378</v>
      </c>
      <c r="X45" s="217">
        <f t="shared" ref="X45:AA45" si="131">X46-X41</f>
        <v>-142</v>
      </c>
      <c r="Y45" s="217">
        <f t="shared" si="131"/>
        <v>89</v>
      </c>
      <c r="Z45" s="217">
        <f t="shared" si="131"/>
        <v>271</v>
      </c>
      <c r="AA45" s="217">
        <f t="shared" si="131"/>
        <v>-405</v>
      </c>
      <c r="AB45" s="217">
        <f t="shared" ref="AB45:AE45" si="132">AB46-AB41</f>
        <v>959</v>
      </c>
      <c r="AC45" s="217">
        <f t="shared" si="132"/>
        <v>-5432</v>
      </c>
      <c r="AD45" s="217">
        <f t="shared" si="132"/>
        <v>-10740</v>
      </c>
      <c r="AE45" s="217">
        <f t="shared" si="132"/>
        <v>16267</v>
      </c>
      <c r="AF45" s="217">
        <f t="shared" ref="AF45:AG45" si="133">AF46-AF41</f>
        <v>-1053</v>
      </c>
      <c r="AG45" s="217">
        <f t="shared" si="133"/>
        <v>-48</v>
      </c>
    </row>
    <row r="46" spans="2:35" s="19" customFormat="1" ht="13.5" customHeight="1">
      <c r="B46" s="19" t="s">
        <v>137</v>
      </c>
      <c r="C46" s="136">
        <f>6181000+8120000+7146000+5813000</f>
        <v>27260000</v>
      </c>
      <c r="D46" s="136">
        <f>2478000+2631000+2745000+3397000</f>
        <v>11251000</v>
      </c>
      <c r="E46" s="136">
        <f>3557000+3764000+4375000+3107000</f>
        <v>14803000</v>
      </c>
      <c r="F46" s="134">
        <f>SUM(M46:P46)</f>
        <v>23057000</v>
      </c>
      <c r="G46" s="134">
        <f>SUM(Q46:T46)</f>
        <v>20948000</v>
      </c>
      <c r="H46" s="134">
        <f>SUM(U46:X46)</f>
        <v>5889000</v>
      </c>
      <c r="I46" s="134">
        <f>SUM(Y46:AB46)</f>
        <v>36013000</v>
      </c>
      <c r="J46" s="134">
        <f>SUM(AC46:AF46)</f>
        <v>61095000</v>
      </c>
      <c r="K46" s="43">
        <f>SUM(AD46:AG46)</f>
        <v>91662000</v>
      </c>
      <c r="L46" s="205"/>
      <c r="M46" s="135">
        <v>3857000</v>
      </c>
      <c r="N46" s="135">
        <v>5309000</v>
      </c>
      <c r="O46" s="135">
        <v>6880000</v>
      </c>
      <c r="P46" s="135">
        <v>7011000</v>
      </c>
      <c r="Q46" s="135">
        <v>6256000</v>
      </c>
      <c r="R46" s="135">
        <v>7672000</v>
      </c>
      <c r="S46" s="135">
        <v>5220000</v>
      </c>
      <c r="T46" s="135">
        <v>1800000</v>
      </c>
      <c r="U46" s="135">
        <v>154000</v>
      </c>
      <c r="V46" s="135">
        <v>612000</v>
      </c>
      <c r="W46" s="135">
        <v>1541000</v>
      </c>
      <c r="X46" s="135">
        <v>3582000</v>
      </c>
      <c r="Y46" s="135">
        <v>6073000</v>
      </c>
      <c r="Z46" s="135">
        <v>8591000</v>
      </c>
      <c r="AA46" s="135">
        <v>10100000</v>
      </c>
      <c r="AB46" s="135">
        <v>11249000</v>
      </c>
      <c r="AC46" s="135">
        <v>10769000</v>
      </c>
      <c r="AD46" s="135">
        <v>12645000</v>
      </c>
      <c r="AE46" s="135">
        <v>14949000</v>
      </c>
      <c r="AF46" s="135">
        <v>22732000</v>
      </c>
      <c r="AG46" s="135">
        <v>41336000</v>
      </c>
      <c r="AH46" s="16"/>
    </row>
    <row r="47" spans="2:35" s="29" customFormat="1" ht="13.5" customHeight="1">
      <c r="B47" s="34" t="s">
        <v>135</v>
      </c>
      <c r="C47" s="63"/>
      <c r="D47" s="63">
        <f t="shared" ref="D47:J47" si="134">+D46/C46-1</f>
        <v>-0.58727072633895816</v>
      </c>
      <c r="E47" s="63">
        <f t="shared" si="134"/>
        <v>0.31570527064260956</v>
      </c>
      <c r="F47" s="63">
        <f t="shared" si="134"/>
        <v>0.55758967776802004</v>
      </c>
      <c r="G47" s="63">
        <f t="shared" si="134"/>
        <v>-9.146896820922068E-2</v>
      </c>
      <c r="H47" s="63">
        <f t="shared" si="134"/>
        <v>-0.71887531029215201</v>
      </c>
      <c r="I47" s="63">
        <f t="shared" si="134"/>
        <v>5.1152997113262018</v>
      </c>
      <c r="J47" s="63">
        <f t="shared" si="134"/>
        <v>0.69647071890706136</v>
      </c>
      <c r="K47" s="63"/>
      <c r="L47" s="54"/>
      <c r="M47" s="63"/>
      <c r="N47" s="63"/>
      <c r="O47" s="63"/>
      <c r="P47" s="63"/>
      <c r="Q47" s="63">
        <f t="shared" ref="Q47:AG47" si="135">Q46/M46-1</f>
        <v>0.62198599948146227</v>
      </c>
      <c r="R47" s="63">
        <f t="shared" si="135"/>
        <v>0.44509323789790911</v>
      </c>
      <c r="S47" s="63">
        <f t="shared" si="135"/>
        <v>-0.24127906976744184</v>
      </c>
      <c r="T47" s="63">
        <f t="shared" si="135"/>
        <v>-0.74326059050064186</v>
      </c>
      <c r="U47" s="63">
        <f t="shared" si="135"/>
        <v>-0.97538363171355502</v>
      </c>
      <c r="V47" s="63">
        <f t="shared" si="135"/>
        <v>-0.92022940563086553</v>
      </c>
      <c r="W47" s="63">
        <f t="shared" si="135"/>
        <v>-0.70478927203065134</v>
      </c>
      <c r="X47" s="63">
        <f t="shared" si="135"/>
        <v>0.99</v>
      </c>
      <c r="Y47" s="63">
        <f t="shared" si="135"/>
        <v>38.435064935064936</v>
      </c>
      <c r="Z47" s="63">
        <f t="shared" si="135"/>
        <v>13.037581699346406</v>
      </c>
      <c r="AA47" s="63">
        <f t="shared" si="135"/>
        <v>5.5541855937702787</v>
      </c>
      <c r="AB47" s="63">
        <f t="shared" si="135"/>
        <v>2.1404243439419317</v>
      </c>
      <c r="AC47" s="63">
        <f t="shared" si="135"/>
        <v>0.77325868598715619</v>
      </c>
      <c r="AD47" s="63">
        <f t="shared" si="135"/>
        <v>0.47188918635781629</v>
      </c>
      <c r="AE47" s="63">
        <f t="shared" si="135"/>
        <v>0.48009900990099008</v>
      </c>
      <c r="AF47" s="63">
        <f t="shared" si="135"/>
        <v>1.0208018490532491</v>
      </c>
      <c r="AG47" s="63">
        <f t="shared" si="135"/>
        <v>2.838425109109481</v>
      </c>
      <c r="AH47" s="16"/>
    </row>
    <row r="48" spans="2:35" s="29" customFormat="1" ht="13.5" customHeight="1">
      <c r="B48" s="34" t="s">
        <v>125</v>
      </c>
      <c r="C48" s="63">
        <f t="shared" ref="C48:K48" si="136">+C46/C7</f>
        <v>0.6740006308804144</v>
      </c>
      <c r="D48" s="63">
        <f t="shared" si="136"/>
        <v>0.41684677478006987</v>
      </c>
      <c r="E48" s="63">
        <f t="shared" si="136"/>
        <v>0.46403780665193789</v>
      </c>
      <c r="F48" s="63">
        <f t="shared" si="136"/>
        <v>0.53623683746365391</v>
      </c>
      <c r="G48" s="63">
        <f t="shared" si="136"/>
        <v>0.46945907414100735</v>
      </c>
      <c r="H48" s="63">
        <f t="shared" si="136"/>
        <v>0.17973052872729575</v>
      </c>
      <c r="I48" s="63">
        <f t="shared" si="136"/>
        <v>0.54406087898169231</v>
      </c>
      <c r="J48" s="63">
        <f t="shared" ref="J48" si="137">+J46/J7</f>
        <v>0.62889440117224804</v>
      </c>
      <c r="K48" s="63">
        <f t="shared" si="136"/>
        <v>0.69396841570778001</v>
      </c>
      <c r="L48" s="54"/>
      <c r="M48" s="63">
        <f t="shared" ref="M48:AB48" si="138">+M46/M7</f>
        <v>0.45407518646867717</v>
      </c>
      <c r="N48" s="63">
        <f t="shared" si="138"/>
        <v>0.51435470090065838</v>
      </c>
      <c r="O48" s="63">
        <f t="shared" si="138"/>
        <v>0.58278790145869774</v>
      </c>
      <c r="P48" s="63">
        <f t="shared" si="138"/>
        <v>0.56647180176735001</v>
      </c>
      <c r="Q48" s="63">
        <f t="shared" si="138"/>
        <v>0.51465766586130746</v>
      </c>
      <c r="R48" s="63">
        <f t="shared" si="138"/>
        <v>0.55549919951493743</v>
      </c>
      <c r="S48" s="63">
        <f t="shared" si="138"/>
        <v>0.47528504127741322</v>
      </c>
      <c r="T48" s="63">
        <f t="shared" si="138"/>
        <v>0.23461844718823477</v>
      </c>
      <c r="U48" s="63">
        <f t="shared" si="138"/>
        <v>3.0266635299426449E-2</v>
      </c>
      <c r="V48" s="63">
        <f t="shared" si="138"/>
        <v>8.3767535234719512E-2</v>
      </c>
      <c r="W48" s="63">
        <f t="shared" si="138"/>
        <v>0.16997252754222261</v>
      </c>
      <c r="X48" s="63">
        <f t="shared" si="138"/>
        <v>0.3168368256735834</v>
      </c>
      <c r="Y48" s="63">
        <f t="shared" si="138"/>
        <v>0.4885918273463068</v>
      </c>
      <c r="Z48" s="63">
        <f t="shared" si="138"/>
        <v>0.52309961884542033</v>
      </c>
      <c r="AA48" s="63">
        <f t="shared" si="138"/>
        <v>0.57474309126083778</v>
      </c>
      <c r="AB48" s="63">
        <f t="shared" si="138"/>
        <v>0.56907877180366195</v>
      </c>
      <c r="AC48" s="63">
        <f t="shared" ref="AC48:AF48" si="139">+AC46/AC7</f>
        <v>0.61051725818167679</v>
      </c>
      <c r="AD48" s="63">
        <f t="shared" si="139"/>
        <v>0.56877596713055156</v>
      </c>
      <c r="AE48" s="63">
        <f t="shared" si="139"/>
        <v>0.61143782617226305</v>
      </c>
      <c r="AF48" s="63">
        <f t="shared" si="139"/>
        <v>0.69248607221698777</v>
      </c>
      <c r="AG48" s="63">
        <f t="shared" ref="AG48" si="140">+AG46/AG7</f>
        <v>0.78620995050487308</v>
      </c>
      <c r="AH48" s="16"/>
    </row>
    <row r="49" spans="2:35" s="29" customFormat="1" ht="13.5" customHeight="1">
      <c r="B49" s="73"/>
      <c r="C49" s="53"/>
      <c r="D49" s="53"/>
      <c r="E49" s="53"/>
      <c r="F49" s="53"/>
      <c r="G49" s="53"/>
      <c r="H49" s="53"/>
      <c r="I49" s="53"/>
      <c r="J49" s="53"/>
      <c r="K49" s="53"/>
      <c r="L49" s="54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16"/>
    </row>
    <row r="50" spans="2:35" s="29" customFormat="1" ht="13.5" customHeight="1">
      <c r="B50" s="34" t="s">
        <v>138</v>
      </c>
      <c r="C50" s="63">
        <f t="shared" ref="C50:K50" si="141">-C59/C7</f>
        <v>0.39323441826006661</v>
      </c>
      <c r="D50" s="63">
        <f t="shared" si="141"/>
        <v>0.51374684785329838</v>
      </c>
      <c r="E50" s="63">
        <f t="shared" si="141"/>
        <v>0.31377560632591084</v>
      </c>
      <c r="F50" s="63">
        <f t="shared" si="141"/>
        <v>0.28854260702503048</v>
      </c>
      <c r="G50" s="63">
        <f t="shared" si="141"/>
        <v>0.41877826884075431</v>
      </c>
      <c r="H50" s="63">
        <f t="shared" si="141"/>
        <v>0.20708573494144902</v>
      </c>
      <c r="I50" s="63">
        <f t="shared" si="141"/>
        <v>0.24018276263820201</v>
      </c>
      <c r="J50" s="63">
        <f t="shared" ref="J50" si="142">-J59/J7</f>
        <v>0.28178109029464982</v>
      </c>
      <c r="K50" s="63">
        <f t="shared" si="141"/>
        <v>0.21788129524205693</v>
      </c>
      <c r="L50" s="54"/>
      <c r="M50" s="63">
        <f t="shared" ref="M50:AB50" si="143">-M59/M7</f>
        <v>0.4690576662536784</v>
      </c>
      <c r="N50" s="63">
        <f t="shared" si="143"/>
        <v>0.28091614235718226</v>
      </c>
      <c r="O50" s="63">
        <f t="shared" si="143"/>
        <v>0.23609356253161709</v>
      </c>
      <c r="P50" s="63">
        <f t="shared" si="143"/>
        <v>0.22104164395918138</v>
      </c>
      <c r="Q50" s="63">
        <f t="shared" si="143"/>
        <v>0.42881587685992684</v>
      </c>
      <c r="R50" s="63">
        <f t="shared" si="143"/>
        <v>0.33045533774126873</v>
      </c>
      <c r="S50" s="63">
        <f t="shared" si="143"/>
        <v>0.43538968775320652</v>
      </c>
      <c r="T50" s="63">
        <f t="shared" si="143"/>
        <v>0.53809128247787319</v>
      </c>
      <c r="U50" s="63">
        <f t="shared" si="143"/>
        <v>0.61843167336561644</v>
      </c>
      <c r="V50" s="63">
        <f t="shared" si="143"/>
        <v>0.26412834609898556</v>
      </c>
      <c r="W50" s="63">
        <f t="shared" si="143"/>
        <v>1.4907506156678492E-2</v>
      </c>
      <c r="X50" s="63">
        <f t="shared" si="143"/>
        <v>0.1392070623299943</v>
      </c>
      <c r="Y50" s="63">
        <f t="shared" si="143"/>
        <v>0.24894208163449855</v>
      </c>
      <c r="Z50" s="63">
        <f t="shared" si="143"/>
        <v>0.12615462778457234</v>
      </c>
      <c r="AA50" s="63">
        <f t="shared" si="143"/>
        <v>0.19834930369874493</v>
      </c>
      <c r="AB50" s="63">
        <f t="shared" si="143"/>
        <v>0.36660439969879144</v>
      </c>
      <c r="AC50" s="63">
        <f t="shared" ref="AC50:AF50" si="144">-AC59/AC7</f>
        <v>0.35365735780444185</v>
      </c>
      <c r="AD50" s="63">
        <f t="shared" si="144"/>
        <v>0.19352133361928814</v>
      </c>
      <c r="AE50" s="63">
        <f t="shared" si="144"/>
        <v>0.20456258022590681</v>
      </c>
      <c r="AF50" s="63">
        <f t="shared" si="144"/>
        <v>0.36044463625335182</v>
      </c>
      <c r="AG50" s="63">
        <f t="shared" ref="AG50" si="145">-AG59/AG7</f>
        <v>0.145364201926241</v>
      </c>
      <c r="AH50" s="16"/>
    </row>
    <row r="51" spans="2:35" s="29" customFormat="1" ht="13.5" customHeight="1">
      <c r="B51" s="34" t="s">
        <v>139</v>
      </c>
      <c r="C51" s="63">
        <f t="shared" ref="C51:K51" si="146">C55/C7</f>
        <v>-5.6146922840971503E-2</v>
      </c>
      <c r="D51" s="63">
        <f t="shared" si="146"/>
        <v>4.01809020896172E-2</v>
      </c>
      <c r="E51" s="63">
        <f t="shared" si="146"/>
        <v>-4.881290270240346E-2</v>
      </c>
      <c r="F51" s="63">
        <f t="shared" si="146"/>
        <v>-7.9545038033580887E-2</v>
      </c>
      <c r="G51" s="63">
        <f t="shared" si="146"/>
        <v>-6.071339761076975E-2</v>
      </c>
      <c r="H51" s="63">
        <f t="shared" si="146"/>
        <v>2.1783040988662572E-2</v>
      </c>
      <c r="I51" s="63">
        <f t="shared" si="146"/>
        <v>-7.0344384055343656E-2</v>
      </c>
      <c r="J51" s="63">
        <f t="shared" ref="J51" si="147">J55/J7</f>
        <v>-5.9494707358743876E-2</v>
      </c>
      <c r="K51" s="63">
        <f t="shared" si="146"/>
        <v>-0.17292883282048602</v>
      </c>
      <c r="L51" s="54"/>
      <c r="M51" s="63">
        <f t="shared" ref="M51:AB51" si="148">M55/M7</f>
        <v>-1.436123146791665E-2</v>
      </c>
      <c r="N51" s="63">
        <f t="shared" si="148"/>
        <v>-0.12383246859931885</v>
      </c>
      <c r="O51" s="63">
        <f t="shared" si="148"/>
        <v>-8.7092992958092461E-2</v>
      </c>
      <c r="P51" s="63">
        <f t="shared" si="148"/>
        <v>-8.0147558996167684E-2</v>
      </c>
      <c r="Q51" s="63">
        <f t="shared" si="148"/>
        <v>-2.5811529828961059E-2</v>
      </c>
      <c r="R51" s="63">
        <f t="shared" si="148"/>
        <v>-0.12330706514321446</v>
      </c>
      <c r="S51" s="63">
        <f t="shared" si="148"/>
        <v>-0.1463191404297032</v>
      </c>
      <c r="T51" s="63">
        <f t="shared" si="148"/>
        <v>0.11921601985184888</v>
      </c>
      <c r="U51" s="63">
        <f t="shared" si="148"/>
        <v>-0.14431229979062957</v>
      </c>
      <c r="V51" s="63">
        <f t="shared" si="148"/>
        <v>9.4535906639165723E-2</v>
      </c>
      <c r="W51" s="63">
        <f t="shared" si="148"/>
        <v>8.1533869149390634E-2</v>
      </c>
      <c r="X51" s="63">
        <f t="shared" si="148"/>
        <v>1.6046166539766826E-3</v>
      </c>
      <c r="Y51" s="63">
        <f t="shared" si="148"/>
        <v>-5.3091821634134909E-2</v>
      </c>
      <c r="Z51" s="63">
        <f t="shared" si="148"/>
        <v>-0.1210498550287647</v>
      </c>
      <c r="AA51" s="63">
        <f t="shared" si="148"/>
        <v>-4.9866531566000225E-2</v>
      </c>
      <c r="AB51" s="63">
        <f t="shared" si="148"/>
        <v>-5.7269691686183587E-2</v>
      </c>
      <c r="AC51" s="63">
        <f t="shared" ref="AC51:AF51" si="149">AC55/AC7</f>
        <v>4.6492286670875869E-2</v>
      </c>
      <c r="AD51" s="63">
        <f t="shared" si="149"/>
        <v>-0.10091129199991077</v>
      </c>
      <c r="AE51" s="63">
        <f t="shared" si="149"/>
        <v>-1.5947119810442412E-3</v>
      </c>
      <c r="AF51" s="63">
        <f t="shared" si="149"/>
        <v>-0.13151974403238734</v>
      </c>
      <c r="AG51" s="63">
        <f t="shared" ref="AG51" si="150">AG55/AG7</f>
        <v>-0.30890929973811199</v>
      </c>
      <c r="AH51" s="16"/>
    </row>
    <row r="52" spans="2:35" ht="13.5" customHeight="1">
      <c r="C52" s="64"/>
      <c r="D52" s="64"/>
      <c r="E52" s="64"/>
      <c r="F52" s="64"/>
      <c r="G52" s="64"/>
      <c r="H52" s="64"/>
      <c r="I52" s="64"/>
    </row>
    <row r="53" spans="2:35" ht="13.5" customHeight="1">
      <c r="B53" s="39" t="s">
        <v>140</v>
      </c>
      <c r="C53" s="44">
        <f t="shared" ref="C53:I53" si="151">C3</f>
        <v>43465</v>
      </c>
      <c r="D53" s="44">
        <f t="shared" si="151"/>
        <v>43830</v>
      </c>
      <c r="E53" s="44">
        <f t="shared" si="151"/>
        <v>44196</v>
      </c>
      <c r="F53" s="44">
        <f t="shared" si="151"/>
        <v>44561</v>
      </c>
      <c r="G53" s="44">
        <f t="shared" si="151"/>
        <v>44926</v>
      </c>
      <c r="H53" s="44">
        <f t="shared" si="151"/>
        <v>45291</v>
      </c>
      <c r="I53" s="44">
        <f t="shared" si="151"/>
        <v>45657</v>
      </c>
      <c r="J53" s="44">
        <f t="shared" ref="J53" si="152">J3</f>
        <v>46022</v>
      </c>
      <c r="K53" s="44" t="str">
        <f>K2</f>
        <v>LTM</v>
      </c>
      <c r="L53" s="203"/>
      <c r="M53" s="44">
        <f t="shared" ref="M53:AB53" si="153">M3</f>
        <v>44286</v>
      </c>
      <c r="N53" s="44">
        <f t="shared" si="153"/>
        <v>44377</v>
      </c>
      <c r="O53" s="44">
        <f t="shared" si="153"/>
        <v>44469</v>
      </c>
      <c r="P53" s="44">
        <f t="shared" si="153"/>
        <v>44561</v>
      </c>
      <c r="Q53" s="44">
        <f t="shared" si="153"/>
        <v>44651</v>
      </c>
      <c r="R53" s="44">
        <f t="shared" si="153"/>
        <v>44742</v>
      </c>
      <c r="S53" s="44">
        <f t="shared" si="153"/>
        <v>44834</v>
      </c>
      <c r="T53" s="44">
        <f t="shared" si="153"/>
        <v>44926</v>
      </c>
      <c r="U53" s="44">
        <f t="shared" si="153"/>
        <v>45016</v>
      </c>
      <c r="V53" s="44">
        <f t="shared" si="153"/>
        <v>45107</v>
      </c>
      <c r="W53" s="44">
        <f t="shared" si="153"/>
        <v>45199</v>
      </c>
      <c r="X53" s="44">
        <f t="shared" si="153"/>
        <v>45291</v>
      </c>
      <c r="Y53" s="44">
        <f t="shared" si="153"/>
        <v>45382</v>
      </c>
      <c r="Z53" s="44">
        <f t="shared" si="153"/>
        <v>45473</v>
      </c>
      <c r="AA53" s="44">
        <f t="shared" si="153"/>
        <v>45565</v>
      </c>
      <c r="AB53" s="44">
        <f t="shared" si="153"/>
        <v>45657</v>
      </c>
      <c r="AC53" s="44">
        <f t="shared" ref="AC53:AF53" si="154">AC3</f>
        <v>45747</v>
      </c>
      <c r="AD53" s="44">
        <f t="shared" si="154"/>
        <v>45838</v>
      </c>
      <c r="AE53" s="44">
        <f t="shared" si="154"/>
        <v>45930</v>
      </c>
      <c r="AF53" s="44">
        <f t="shared" si="154"/>
        <v>46022</v>
      </c>
      <c r="AG53" s="44">
        <f t="shared" ref="AG53" si="155">AG3</f>
        <v>46112</v>
      </c>
    </row>
    <row r="54" spans="2:35" s="19" customFormat="1" ht="13.5" customHeight="1">
      <c r="B54" s="19" t="s">
        <v>137</v>
      </c>
      <c r="C54" s="43">
        <f t="shared" ref="C54:E54" si="156">C46</f>
        <v>27260000</v>
      </c>
      <c r="D54" s="43">
        <f t="shared" si="156"/>
        <v>11251000</v>
      </c>
      <c r="E54" s="43">
        <f t="shared" si="156"/>
        <v>14803000</v>
      </c>
      <c r="F54" s="43">
        <f t="shared" ref="F54" si="157">F46</f>
        <v>23057000</v>
      </c>
      <c r="G54" s="43">
        <f t="shared" ref="G54:K54" si="158">G46</f>
        <v>20948000</v>
      </c>
      <c r="H54" s="43">
        <f t="shared" ref="H54:I54" si="159">H46</f>
        <v>5889000</v>
      </c>
      <c r="I54" s="43">
        <f t="shared" si="159"/>
        <v>36013000</v>
      </c>
      <c r="J54" s="43">
        <f t="shared" ref="J54" si="160">J46</f>
        <v>61095000</v>
      </c>
      <c r="K54" s="43">
        <f t="shared" si="158"/>
        <v>91662000</v>
      </c>
      <c r="L54" s="43"/>
      <c r="M54" s="43">
        <f t="shared" ref="M54:O54" si="161">M46</f>
        <v>3857000</v>
      </c>
      <c r="N54" s="43">
        <f t="shared" si="161"/>
        <v>5309000</v>
      </c>
      <c r="O54" s="43">
        <f t="shared" si="161"/>
        <v>6880000</v>
      </c>
      <c r="P54" s="43">
        <f>F54-SUM(M54:O54)</f>
        <v>7011000</v>
      </c>
      <c r="Q54" s="43">
        <f t="shared" ref="Q54:S54" si="162">Q46</f>
        <v>6256000</v>
      </c>
      <c r="R54" s="43">
        <f t="shared" si="162"/>
        <v>7672000</v>
      </c>
      <c r="S54" s="43">
        <f t="shared" si="162"/>
        <v>5220000</v>
      </c>
      <c r="T54" s="43">
        <f>G54-SUM(Q54:S54)</f>
        <v>1800000</v>
      </c>
      <c r="U54" s="43">
        <f t="shared" ref="U54:W54" si="163">U46</f>
        <v>154000</v>
      </c>
      <c r="V54" s="43">
        <f t="shared" si="163"/>
        <v>612000</v>
      </c>
      <c r="W54" s="43">
        <f t="shared" si="163"/>
        <v>1541000</v>
      </c>
      <c r="X54" s="43">
        <f>H54-SUM(U54:W54)</f>
        <v>3582000</v>
      </c>
      <c r="Y54" s="43">
        <f t="shared" ref="Y54:AA54" si="164">Y46</f>
        <v>6073000</v>
      </c>
      <c r="Z54" s="43">
        <f t="shared" si="164"/>
        <v>8591000</v>
      </c>
      <c r="AA54" s="43">
        <f t="shared" si="164"/>
        <v>10100000</v>
      </c>
      <c r="AB54" s="43">
        <f>AB46</f>
        <v>11249000</v>
      </c>
      <c r="AC54" s="43">
        <f t="shared" ref="AC54:AE54" si="165">AC46</f>
        <v>10769000</v>
      </c>
      <c r="AD54" s="43">
        <f t="shared" si="165"/>
        <v>12645000</v>
      </c>
      <c r="AE54" s="43">
        <f t="shared" si="165"/>
        <v>14949000</v>
      </c>
      <c r="AF54" s="43">
        <f>AF46</f>
        <v>22732000</v>
      </c>
      <c r="AG54" s="43">
        <f t="shared" ref="AG54" si="166">AG46</f>
        <v>41336000</v>
      </c>
    </row>
    <row r="55" spans="2:35" ht="13.5" customHeight="1">
      <c r="B55" s="61" t="s">
        <v>141</v>
      </c>
      <c r="C55" s="50">
        <f>-547255-1782384+58773</f>
        <v>-2270866</v>
      </c>
      <c r="D55" s="50">
        <f>2214776-851735-278529</f>
        <v>1084512</v>
      </c>
      <c r="E55" s="50">
        <f>-935346-843842+222036</f>
        <v>-1557152</v>
      </c>
      <c r="F55" s="50">
        <f>-2525722-696559-197980</f>
        <v>-3420261</v>
      </c>
      <c r="G55" s="50">
        <f>3341986-6572069+520956</f>
        <v>-2709127</v>
      </c>
      <c r="H55" s="50">
        <f>-1406188+2288020-168095</f>
        <v>713737</v>
      </c>
      <c r="I55" s="50">
        <f>-5098005+166722+274980</f>
        <v>-4656303</v>
      </c>
      <c r="J55" s="50">
        <f>-5584225-1059484+863996</f>
        <v>-5779713</v>
      </c>
      <c r="K55" s="7">
        <f>SUM(AD55:AG55)</f>
        <v>-22841101</v>
      </c>
      <c r="L55" s="7"/>
      <c r="M55" s="50">
        <f>-129043-11858+18914</f>
        <v>-121987</v>
      </c>
      <c r="N55" s="50">
        <f>-1268426-40514-91205-M55</f>
        <v>-1278158</v>
      </c>
      <c r="O55" s="50">
        <f>-1774620-355758-297928-M55-N55</f>
        <v>-1028161</v>
      </c>
      <c r="P55" s="7">
        <f>F55-SUM(M55:O55)</f>
        <v>-991955</v>
      </c>
      <c r="Q55" s="50">
        <f>300388-1397850+783706</f>
        <v>-313756</v>
      </c>
      <c r="R55" s="50">
        <f>-705759-2682503+1371512-Q55</f>
        <v>-1702994</v>
      </c>
      <c r="S55" s="50">
        <f>203143-4970105+1143206-Q55-R55</f>
        <v>-1607006</v>
      </c>
      <c r="T55" s="7">
        <f>G55-SUM(Q55:S55)</f>
        <v>914629</v>
      </c>
      <c r="U55" s="50">
        <f>1202610-1341656-595231</f>
        <v>-734277</v>
      </c>
      <c r="V55" s="50">
        <f>847083-628154-262533-U55</f>
        <v>690673</v>
      </c>
      <c r="W55" s="50">
        <f>-15552+939085-227937-U55-V55</f>
        <v>739200</v>
      </c>
      <c r="X55" s="7">
        <f t="shared" ref="X55:X57" si="167">H55-SUM(U55:W55)</f>
        <v>18141</v>
      </c>
      <c r="Y55" s="50">
        <f>-210897-192079-256934</f>
        <v>-659910</v>
      </c>
      <c r="Z55" s="50">
        <f>-3023590+196212+179435-Y55</f>
        <v>-1988033</v>
      </c>
      <c r="AA55" s="50">
        <f>-3735567+178175+33141-Y55-Z55</f>
        <v>-876308</v>
      </c>
      <c r="AB55" s="7">
        <f>I55-SUM(Y55:AA55)</f>
        <v>-1132052</v>
      </c>
      <c r="AC55" s="50">
        <f>2426173-1235634-370455</f>
        <v>820084</v>
      </c>
      <c r="AD55" s="50">
        <f>-1049365-311353-62653-AC55</f>
        <v>-2243455</v>
      </c>
      <c r="AE55" s="50">
        <f>-1876556+213537+200659-AC55-AD55</f>
        <v>-38989</v>
      </c>
      <c r="AF55" s="7">
        <f>J55-SUM(AC55:AE55)</f>
        <v>-4317353</v>
      </c>
      <c r="AG55" s="50">
        <f>-13177522-1435500-1628282</f>
        <v>-16241304</v>
      </c>
    </row>
    <row r="56" spans="2:35" ht="13.5" customHeight="1">
      <c r="B56" s="61" t="s">
        <v>142</v>
      </c>
      <c r="C56" s="50">
        <v>-3568370</v>
      </c>
      <c r="D56" s="50">
        <v>-5153218</v>
      </c>
      <c r="E56" s="50">
        <v>-370635</v>
      </c>
      <c r="F56" s="50">
        <v>-1014908</v>
      </c>
      <c r="G56" s="50">
        <v>-3979355</v>
      </c>
      <c r="H56" s="50">
        <v>-1383942</v>
      </c>
      <c r="I56" s="50">
        <v>-552088</v>
      </c>
      <c r="J56" s="50">
        <v>-5891155</v>
      </c>
      <c r="K56" s="7">
        <f>SUM(AD56:AG56)</f>
        <v>-7757943</v>
      </c>
      <c r="L56" s="43"/>
      <c r="M56" s="50">
        <v>-251222</v>
      </c>
      <c r="N56" s="50">
        <f>-635646-M56</f>
        <v>-384424</v>
      </c>
      <c r="O56" s="50">
        <f>-893776-M56-N56</f>
        <v>-258130</v>
      </c>
      <c r="P56" s="7">
        <f>F56-SUM(M56:O56)</f>
        <v>-121132</v>
      </c>
      <c r="Q56" s="50">
        <v>-274957</v>
      </c>
      <c r="R56" s="50">
        <f>-2402414-Q56</f>
        <v>-2127457</v>
      </c>
      <c r="S56" s="50">
        <f>-2910028-Q56-R56</f>
        <v>-507614</v>
      </c>
      <c r="T56" s="7">
        <f>G56-SUM(Q56:S56)</f>
        <v>-1069327</v>
      </c>
      <c r="U56" s="50">
        <v>-502283</v>
      </c>
      <c r="V56" s="50">
        <f>-1095145-U56</f>
        <v>-592862</v>
      </c>
      <c r="W56" s="50">
        <f>-1214229-U56-V56</f>
        <v>-119084</v>
      </c>
      <c r="X56" s="7">
        <f t="shared" si="167"/>
        <v>-169713</v>
      </c>
      <c r="Y56" s="50">
        <v>-55025</v>
      </c>
      <c r="Z56" s="50">
        <f>-141107-Y56</f>
        <v>-86082</v>
      </c>
      <c r="AA56" s="50">
        <f>-266689-Y56-Z56</f>
        <v>-125582</v>
      </c>
      <c r="AB56" s="7">
        <f t="shared" ref="AB56:AB57" si="168">I56-SUM(Y56:AA56)</f>
        <v>-285399</v>
      </c>
      <c r="AC56" s="50">
        <v>-1421386</v>
      </c>
      <c r="AD56" s="50">
        <f>-3250301-AC56</f>
        <v>-1828915</v>
      </c>
      <c r="AE56" s="50">
        <f>-4567175-AC56-AD56</f>
        <v>-1316874</v>
      </c>
      <c r="AF56" s="7">
        <f t="shared" ref="AF56:AF57" si="169">J56-SUM(AC56:AE56)</f>
        <v>-1323980</v>
      </c>
      <c r="AG56" s="50">
        <v>-3288174</v>
      </c>
    </row>
    <row r="57" spans="2:35" ht="13.5" customHeight="1">
      <c r="B57" s="61" t="s">
        <v>143</v>
      </c>
      <c r="C57" s="50">
        <v>-126029</v>
      </c>
      <c r="D57" s="50">
        <v>-238314</v>
      </c>
      <c r="E57" s="50">
        <v>-288565</v>
      </c>
      <c r="F57" s="50">
        <v>-240942</v>
      </c>
      <c r="G57" s="50">
        <v>-494513</v>
      </c>
      <c r="H57" s="50">
        <v>-1261540</v>
      </c>
      <c r="I57" s="50">
        <v>-1276564</v>
      </c>
      <c r="J57" s="50">
        <v>-938849</v>
      </c>
      <c r="K57" s="7">
        <f>SUM(AD57:AG57)</f>
        <v>-974782</v>
      </c>
      <c r="L57" s="7"/>
      <c r="M57" s="50">
        <v>-56133</v>
      </c>
      <c r="N57" s="50">
        <f>-105068-M57</f>
        <v>-48935</v>
      </c>
      <c r="O57" s="50">
        <f>-187335-M57-N57</f>
        <v>-82267</v>
      </c>
      <c r="P57" s="7">
        <f>F57-SUM(M57:O57)</f>
        <v>-53607</v>
      </c>
      <c r="Q57" s="50">
        <v>-95412</v>
      </c>
      <c r="R57" s="50">
        <f>-182167-Q57</f>
        <v>-86755</v>
      </c>
      <c r="S57" s="50">
        <f>-312697-Q57-R57</f>
        <v>-130530</v>
      </c>
      <c r="T57" s="7">
        <f>G57-SUM(Q57:S57)</f>
        <v>-181816</v>
      </c>
      <c r="U57" s="50">
        <v>-214216</v>
      </c>
      <c r="V57" s="50">
        <f>-512759-U57</f>
        <v>-298543</v>
      </c>
      <c r="W57" s="50">
        <f>-90531-U57-V57</f>
        <v>422228</v>
      </c>
      <c r="X57" s="7">
        <f t="shared" si="167"/>
        <v>-1171009</v>
      </c>
      <c r="Y57" s="50">
        <v>-416279</v>
      </c>
      <c r="Z57" s="50">
        <f>-710309-Y57</f>
        <v>-294030</v>
      </c>
      <c r="AA57" s="50">
        <f>-1070846-Y57-Z57</f>
        <v>-360537</v>
      </c>
      <c r="AB57" s="7">
        <f t="shared" si="168"/>
        <v>-205718</v>
      </c>
      <c r="AC57" s="50">
        <v>-319264</v>
      </c>
      <c r="AD57" s="50">
        <f>-494127-AC57</f>
        <v>-174863</v>
      </c>
      <c r="AE57" s="50">
        <f>-808963-AC57-AD57</f>
        <v>-314836</v>
      </c>
      <c r="AF57" s="7">
        <f t="shared" si="169"/>
        <v>-129886</v>
      </c>
      <c r="AG57" s="50">
        <v>-355197</v>
      </c>
    </row>
    <row r="58" spans="2:35" s="19" customFormat="1" ht="13.5" customHeight="1">
      <c r="B58" s="19" t="s">
        <v>144</v>
      </c>
      <c r="C58" s="62">
        <f t="shared" ref="C58:D58" si="170">SUM(C54:C57)</f>
        <v>21294735</v>
      </c>
      <c r="D58" s="62">
        <f t="shared" si="170"/>
        <v>6943980</v>
      </c>
      <c r="E58" s="62">
        <f t="shared" ref="E58:F58" si="171">SUM(E54:E57)</f>
        <v>12586648</v>
      </c>
      <c r="F58" s="62">
        <f t="shared" si="171"/>
        <v>18380889</v>
      </c>
      <c r="G58" s="62">
        <f t="shared" ref="G58:K58" si="172">SUM(G54:G57)</f>
        <v>13765005</v>
      </c>
      <c r="H58" s="62">
        <f t="shared" ref="H58:I58" si="173">SUM(H54:H57)</f>
        <v>3957255</v>
      </c>
      <c r="I58" s="62">
        <f t="shared" si="173"/>
        <v>29528045</v>
      </c>
      <c r="J58" s="62">
        <f t="shared" ref="J58" si="174">SUM(J54:J57)</f>
        <v>48485283</v>
      </c>
      <c r="K58" s="43">
        <f t="shared" si="172"/>
        <v>60088174</v>
      </c>
      <c r="L58" s="43"/>
      <c r="M58" s="62">
        <f t="shared" ref="M58:V58" si="175">SUM(M54:M57)</f>
        <v>3427658</v>
      </c>
      <c r="N58" s="62">
        <f t="shared" si="175"/>
        <v>3597483</v>
      </c>
      <c r="O58" s="62">
        <f t="shared" si="175"/>
        <v>5511442</v>
      </c>
      <c r="P58" s="62">
        <f t="shared" si="175"/>
        <v>5844306</v>
      </c>
      <c r="Q58" s="62">
        <f t="shared" si="175"/>
        <v>5571875</v>
      </c>
      <c r="R58" s="62">
        <f t="shared" si="175"/>
        <v>3754794</v>
      </c>
      <c r="S58" s="62">
        <f t="shared" si="175"/>
        <v>2974850</v>
      </c>
      <c r="T58" s="62">
        <f t="shared" si="175"/>
        <v>1463486</v>
      </c>
      <c r="U58" s="62">
        <f t="shared" si="175"/>
        <v>-1296776</v>
      </c>
      <c r="V58" s="62">
        <f t="shared" si="175"/>
        <v>411268</v>
      </c>
      <c r="W58" s="62">
        <f t="shared" ref="W58:Z58" si="176">SUM(W54:W57)</f>
        <v>2583344</v>
      </c>
      <c r="X58" s="62">
        <f t="shared" si="176"/>
        <v>2259419</v>
      </c>
      <c r="Y58" s="62">
        <f t="shared" si="176"/>
        <v>4941786</v>
      </c>
      <c r="Z58" s="62">
        <f t="shared" si="176"/>
        <v>6222855</v>
      </c>
      <c r="AA58" s="62">
        <f t="shared" ref="AA58:AD58" si="177">SUM(AA54:AA57)</f>
        <v>8737573</v>
      </c>
      <c r="AB58" s="62">
        <f t="shared" si="177"/>
        <v>9625831</v>
      </c>
      <c r="AC58" s="62">
        <f t="shared" si="177"/>
        <v>9848434</v>
      </c>
      <c r="AD58" s="62">
        <f t="shared" si="177"/>
        <v>8397767</v>
      </c>
      <c r="AE58" s="62">
        <f t="shared" ref="AE58:AG58" si="178">SUM(AE54:AE57)</f>
        <v>13278301</v>
      </c>
      <c r="AF58" s="62">
        <f t="shared" si="178"/>
        <v>16960781</v>
      </c>
      <c r="AG58" s="62">
        <f t="shared" si="178"/>
        <v>21451325</v>
      </c>
    </row>
    <row r="59" spans="2:35" ht="13.5" customHeight="1">
      <c r="B59" s="61" t="s">
        <v>145</v>
      </c>
      <c r="C59" s="50">
        <f>-16036146+131754</f>
        <v>-15904392</v>
      </c>
      <c r="D59" s="50">
        <f>-13920244+53840</f>
        <v>-13866404</v>
      </c>
      <c r="E59" s="50">
        <f>-10068662+59089</f>
        <v>-10009573</v>
      </c>
      <c r="F59" s="50">
        <f>-12486635+79940</f>
        <v>-12406695</v>
      </c>
      <c r="G59" s="50">
        <f>-19010261+323718</f>
        <v>-18686543</v>
      </c>
      <c r="H59" s="50">
        <f>1539825-8325138</f>
        <v>-6785313</v>
      </c>
      <c r="I59" s="50">
        <f>47126-15945534</f>
        <v>-15898408</v>
      </c>
      <c r="J59" s="50">
        <f>144828-27518924</f>
        <v>-27374096</v>
      </c>
      <c r="K59" s="7">
        <f>SUM(AD59:AG59)</f>
        <v>-28778594</v>
      </c>
      <c r="L59" s="7"/>
      <c r="M59" s="50">
        <f>-4105305+121041</f>
        <v>-3984264</v>
      </c>
      <c r="N59" s="50">
        <f>-6919550+35762-M59</f>
        <v>-2899524</v>
      </c>
      <c r="O59" s="50">
        <f>-9732259+61310-M59-N59</f>
        <v>-2787161</v>
      </c>
      <c r="P59" s="7">
        <f>F59-SUM(M59:O59)</f>
        <v>-2735746</v>
      </c>
      <c r="Q59" s="50">
        <f>-5236776+24239</f>
        <v>-5212537</v>
      </c>
      <c r="R59" s="50">
        <f>-10069382+292926-Q59</f>
        <v>-4563919</v>
      </c>
      <c r="S59" s="50">
        <f>-14873038+314748-Q59-R59</f>
        <v>-4781834</v>
      </c>
      <c r="T59" s="7">
        <f>G59-SUM(Q59:S59)</f>
        <v>-4128253</v>
      </c>
      <c r="U59" s="50">
        <f>-3152150+5501</f>
        <v>-3146649</v>
      </c>
      <c r="V59" s="50">
        <f>-5085936+9583-U59</f>
        <v>-1929704</v>
      </c>
      <c r="W59" s="50">
        <f>-6599521+1388014-U59-V59</f>
        <v>-135154</v>
      </c>
      <c r="X59" s="7">
        <f t="shared" ref="X59:X61" si="179">H59-SUM(U59:W59)</f>
        <v>-1573806</v>
      </c>
      <c r="Y59" s="50">
        <f>-3102847+8597</f>
        <v>-3094250</v>
      </c>
      <c r="Z59" s="50">
        <f>-5166120-Y59</f>
        <v>-2071870</v>
      </c>
      <c r="AA59" s="50">
        <f>-8672460+20734-Y59-Z59</f>
        <v>-3485606</v>
      </c>
      <c r="AB59" s="7">
        <f t="shared" ref="AB59:AB61" si="180">I59-SUM(Y59:AA59)</f>
        <v>-7246682</v>
      </c>
      <c r="AC59" s="50">
        <f>-6284222+46010</f>
        <v>-6238212</v>
      </c>
      <c r="AD59" s="50">
        <f>-10615739+75170-AC59</f>
        <v>-4302357</v>
      </c>
      <c r="AE59" s="50">
        <f>-15648350+106445-AC59-AD59</f>
        <v>-5001336</v>
      </c>
      <c r="AF59" s="7">
        <f t="shared" ref="AF59:AF61" si="181">J59-SUM(AC59:AE59)</f>
        <v>-11832191</v>
      </c>
      <c r="AG59" s="50">
        <f>-7657403+14693</f>
        <v>-7642710</v>
      </c>
    </row>
    <row r="60" spans="2:35" ht="13.5" customHeight="1">
      <c r="B60" s="61" t="s">
        <v>146</v>
      </c>
      <c r="C60" s="50">
        <f>-933139+2532</f>
        <v>-930607</v>
      </c>
      <c r="D60" s="50">
        <f>-673356+183</f>
        <v>-673173</v>
      </c>
      <c r="E60" s="50">
        <f>-800729+695</f>
        <v>-800034</v>
      </c>
      <c r="F60" s="50">
        <f>-973893+2073</f>
        <v>-971820</v>
      </c>
      <c r="G60" s="50">
        <f>-738621+1018</f>
        <v>-737603</v>
      </c>
      <c r="H60" s="50">
        <f>-454710+484</f>
        <v>-454226</v>
      </c>
      <c r="I60" s="50">
        <f>19703-717106</f>
        <v>-697403</v>
      </c>
      <c r="J60" s="50">
        <f>2142-1060419</f>
        <v>-1058277</v>
      </c>
      <c r="K60" s="7">
        <f>SUM(AD60:AG60)</f>
        <v>-1095775</v>
      </c>
      <c r="L60" s="7"/>
      <c r="M60" s="50">
        <f>-249601+2029</f>
        <v>-247572</v>
      </c>
      <c r="N60" s="50">
        <f>-557684-M60</f>
        <v>-310112</v>
      </c>
      <c r="O60" s="50">
        <f>-731064+2073-M60-N60</f>
        <v>-171307</v>
      </c>
      <c r="P60" s="7">
        <f>F60-SUM(M60:O60)</f>
        <v>-242829</v>
      </c>
      <c r="Q60" s="50">
        <f>-198150+3</f>
        <v>-198147</v>
      </c>
      <c r="R60" s="50">
        <f>-344591+1016-Q60</f>
        <v>-145428</v>
      </c>
      <c r="S60" s="50">
        <f>-521587+1016-Q60-R60</f>
        <v>-176996</v>
      </c>
      <c r="T60" s="7">
        <f>G60-SUM(Q60:S60)</f>
        <v>-217032</v>
      </c>
      <c r="U60" s="50">
        <f>-164783+272</f>
        <v>-164511</v>
      </c>
      <c r="V60" s="50">
        <f>-261813+286-U60</f>
        <v>-97016</v>
      </c>
      <c r="W60" s="50">
        <f>-352682+1016-U60-V60</f>
        <v>-90139</v>
      </c>
      <c r="X60" s="7">
        <f t="shared" si="179"/>
        <v>-102560</v>
      </c>
      <c r="Y60" s="50">
        <f>-105895+214</f>
        <v>-105681</v>
      </c>
      <c r="Z60" s="50">
        <f>-257639-Y60</f>
        <v>-151958</v>
      </c>
      <c r="AA60" s="50">
        <f>-525650+19532-Y60-Z60</f>
        <v>-248479</v>
      </c>
      <c r="AB60" s="7">
        <f t="shared" si="180"/>
        <v>-191285</v>
      </c>
      <c r="AC60" s="50">
        <v>-170465</v>
      </c>
      <c r="AD60" s="50">
        <f>-460437-AC60</f>
        <v>-289972</v>
      </c>
      <c r="AE60" s="50">
        <f>-685237+2137-AC60-AD60</f>
        <v>-222663</v>
      </c>
      <c r="AF60" s="7">
        <f t="shared" si="181"/>
        <v>-375177</v>
      </c>
      <c r="AG60" s="50">
        <v>-207963</v>
      </c>
    </row>
    <row r="61" spans="2:35" ht="13.5" customHeight="1">
      <c r="B61" s="61" t="s">
        <v>147</v>
      </c>
      <c r="C61" s="50">
        <v>0</v>
      </c>
      <c r="D61" s="50">
        <v>-2462</v>
      </c>
      <c r="E61" s="50">
        <v>0</v>
      </c>
      <c r="F61" s="50">
        <v>-7250087</v>
      </c>
      <c r="G61" s="50">
        <v>-1027663</v>
      </c>
      <c r="H61" s="50">
        <v>0</v>
      </c>
      <c r="I61" s="50">
        <v>0</v>
      </c>
      <c r="J61" s="50">
        <v>-3079783</v>
      </c>
      <c r="K61" s="7">
        <f>SUM(AD61:AG61)</f>
        <v>-3079783</v>
      </c>
      <c r="L61" s="7"/>
      <c r="M61" s="50">
        <v>0</v>
      </c>
      <c r="N61" s="50">
        <f>0-M61</f>
        <v>0</v>
      </c>
      <c r="O61" s="50">
        <f t="shared" ref="O61" si="182">0-M61-N61</f>
        <v>0</v>
      </c>
      <c r="P61" s="7">
        <f>F61-SUM(M61:O61)</f>
        <v>-7250087</v>
      </c>
      <c r="Q61" s="50">
        <v>-602475</v>
      </c>
      <c r="R61" s="50">
        <f>-602475-Q61</f>
        <v>0</v>
      </c>
      <c r="S61" s="50">
        <f>-1027663-Q61-R61</f>
        <v>-425188</v>
      </c>
      <c r="T61" s="7">
        <f>G61-SUM(Q61:S61)</f>
        <v>0</v>
      </c>
      <c r="U61" s="50">
        <v>0</v>
      </c>
      <c r="V61" s="50">
        <f>0-U61</f>
        <v>0</v>
      </c>
      <c r="W61" s="50">
        <f>0-U61-V61</f>
        <v>0</v>
      </c>
      <c r="X61" s="7">
        <f t="shared" si="179"/>
        <v>0</v>
      </c>
      <c r="Y61" s="50">
        <v>0</v>
      </c>
      <c r="Z61" s="50">
        <f>0-Y61</f>
        <v>0</v>
      </c>
      <c r="AA61" s="50">
        <f>0-Y61-Z61</f>
        <v>0</v>
      </c>
      <c r="AB61" s="7">
        <f t="shared" si="180"/>
        <v>0</v>
      </c>
      <c r="AC61" s="50">
        <v>0</v>
      </c>
      <c r="AD61" s="50">
        <f>0-AC61</f>
        <v>0</v>
      </c>
      <c r="AE61" s="50">
        <f>-3079783-AC61-AD61</f>
        <v>-3079783</v>
      </c>
      <c r="AF61" s="7">
        <f t="shared" si="181"/>
        <v>0</v>
      </c>
      <c r="AG61" s="50">
        <v>0</v>
      </c>
      <c r="AH61" s="167"/>
      <c r="AI61" s="167"/>
    </row>
    <row r="62" spans="2:35" s="19" customFormat="1" ht="13.5" customHeight="1">
      <c r="B62" s="59" t="s">
        <v>148</v>
      </c>
      <c r="C62" s="43">
        <f t="shared" ref="C62:D62" si="183">SUM(C58:C61)</f>
        <v>4459736</v>
      </c>
      <c r="D62" s="43">
        <f t="shared" si="183"/>
        <v>-7598059</v>
      </c>
      <c r="E62" s="43">
        <f t="shared" ref="E62:F62" si="184">SUM(E58:E61)</f>
        <v>1777041</v>
      </c>
      <c r="F62" s="43">
        <f t="shared" si="184"/>
        <v>-2247713</v>
      </c>
      <c r="G62" s="43">
        <f t="shared" ref="G62:K62" si="185">SUM(G58:G61)</f>
        <v>-6686804</v>
      </c>
      <c r="H62" s="43">
        <f t="shared" ref="H62:I62" si="186">SUM(H58:H61)</f>
        <v>-3282284</v>
      </c>
      <c r="I62" s="43">
        <f t="shared" si="186"/>
        <v>12932234</v>
      </c>
      <c r="J62" s="43">
        <f t="shared" ref="J62" si="187">SUM(J58:J61)</f>
        <v>16973127</v>
      </c>
      <c r="K62" s="43">
        <f t="shared" si="185"/>
        <v>27134022</v>
      </c>
      <c r="L62" s="43"/>
      <c r="M62" s="43">
        <f t="shared" ref="M62:V62" si="188">SUM(M58:M61)</f>
        <v>-804178</v>
      </c>
      <c r="N62" s="43">
        <f t="shared" si="188"/>
        <v>387847</v>
      </c>
      <c r="O62" s="43">
        <f t="shared" si="188"/>
        <v>2552974</v>
      </c>
      <c r="P62" s="43">
        <f t="shared" si="188"/>
        <v>-4384356</v>
      </c>
      <c r="Q62" s="43">
        <f t="shared" si="188"/>
        <v>-441284</v>
      </c>
      <c r="R62" s="43">
        <f t="shared" si="188"/>
        <v>-954553</v>
      </c>
      <c r="S62" s="43">
        <f t="shared" si="188"/>
        <v>-2409168</v>
      </c>
      <c r="T62" s="43">
        <f t="shared" si="188"/>
        <v>-2881799</v>
      </c>
      <c r="U62" s="43">
        <f t="shared" si="188"/>
        <v>-4607936</v>
      </c>
      <c r="V62" s="43">
        <f t="shared" si="188"/>
        <v>-1615452</v>
      </c>
      <c r="W62" s="43">
        <f t="shared" ref="W62:Z62" si="189">SUM(W58:W61)</f>
        <v>2358051</v>
      </c>
      <c r="X62" s="43">
        <f t="shared" si="189"/>
        <v>583053</v>
      </c>
      <c r="Y62" s="43">
        <f t="shared" si="189"/>
        <v>1741855</v>
      </c>
      <c r="Z62" s="43">
        <f t="shared" si="189"/>
        <v>3999027</v>
      </c>
      <c r="AA62" s="43">
        <f t="shared" ref="AA62:AD62" si="190">SUM(AA58:AA61)</f>
        <v>5003488</v>
      </c>
      <c r="AB62" s="43">
        <f t="shared" si="190"/>
        <v>2187864</v>
      </c>
      <c r="AC62" s="43">
        <f t="shared" si="190"/>
        <v>3439757</v>
      </c>
      <c r="AD62" s="43">
        <f t="shared" si="190"/>
        <v>3805438</v>
      </c>
      <c r="AE62" s="43">
        <f t="shared" ref="AE62:AG62" si="191">SUM(AE58:AE61)</f>
        <v>4974519</v>
      </c>
      <c r="AF62" s="43">
        <f t="shared" si="191"/>
        <v>4753413</v>
      </c>
      <c r="AG62" s="43">
        <f t="shared" si="191"/>
        <v>13600652</v>
      </c>
      <c r="AH62"/>
      <c r="AI62"/>
    </row>
    <row r="63" spans="2:35" s="19" customFormat="1" ht="13.5" customHeight="1">
      <c r="B63" s="61" t="s">
        <v>149</v>
      </c>
      <c r="C63" s="50">
        <f>-21428749-C59-C60-C61</f>
        <v>-4593750</v>
      </c>
      <c r="D63" s="50">
        <f>-10450936-D59-D60-D61</f>
        <v>4091103</v>
      </c>
      <c r="E63" s="50">
        <f>-11840393-E59-E60-E61</f>
        <v>-1030786</v>
      </c>
      <c r="F63" s="50">
        <f>-22392277-F59-F60-F61</f>
        <v>-1763675</v>
      </c>
      <c r="G63" s="50">
        <f>-17883746-G59-G60-G61</f>
        <v>2568063</v>
      </c>
      <c r="H63" s="50">
        <f>-7334727-H59-H60-H61</f>
        <v>-95188</v>
      </c>
      <c r="I63" s="50">
        <f>-18004637-I59-I60-I61</f>
        <v>-1408826</v>
      </c>
      <c r="J63" s="50">
        <f>6513772-18804330-4552604+32880-178331+1233030-33956+115091-1105649+16875-9000+85216+144911</f>
        <v>-16542095</v>
      </c>
      <c r="K63" s="7">
        <f>SUM(AD63:AG63)</f>
        <v>-24516510</v>
      </c>
      <c r="L63" s="206"/>
      <c r="M63" s="50">
        <f>-5885210-M59-M60-M61</f>
        <v>-1653374</v>
      </c>
      <c r="N63" s="50">
        <f>-9369519-N59-N60-N61-M63-M59-M60-M61</f>
        <v>-274673</v>
      </c>
      <c r="O63" s="50">
        <f>-15720484-O59-O60-O61-N63-M63-M59-N59-M60-N60-M61-N61</f>
        <v>-3392497</v>
      </c>
      <c r="P63" s="7">
        <f>F63-SUM(M63:O63)</f>
        <v>3556869</v>
      </c>
      <c r="Q63" s="50">
        <f>-5455618-Q59-Q60-Q61</f>
        <v>557541</v>
      </c>
      <c r="R63" s="50">
        <f>-9928894-R59-R60-R61-Q63-Q59-Q60-Q61</f>
        <v>236071</v>
      </c>
      <c r="S63" s="50">
        <f>-14575625-S59-S60-S61-R63-Q63-Q59-R59-Q60-R60-Q61-R61</f>
        <v>737287</v>
      </c>
      <c r="T63" s="7">
        <f>G63-SUM(Q63:S63)</f>
        <v>1037164</v>
      </c>
      <c r="U63" s="50">
        <f>-3127223-U59-U60-U61</f>
        <v>183937</v>
      </c>
      <c r="V63" s="50">
        <f>-5350919-V59-V60-V61-U63-U59-U60-U61</f>
        <v>-196976</v>
      </c>
      <c r="W63" s="50">
        <f>-5694904-W59-W60-W61-V63-U63-U59-V59-U60-V60-U61-V61</f>
        <v>-118692</v>
      </c>
      <c r="X63" s="7">
        <f t="shared" ref="X63:X67" si="192">H63-SUM(U63:W63)</f>
        <v>36543</v>
      </c>
      <c r="Y63" s="50">
        <f>-3797325-Y59-Y60-Y61</f>
        <v>-597394</v>
      </c>
      <c r="Z63" s="50">
        <f>-5774579-Z59-Z60-Z61-Y63-Y59-Y60-Y61</f>
        <v>246574</v>
      </c>
      <c r="AA63" s="50">
        <f>-9391319-AA59-AA60-AA61-Z63-Y63-Y59-Z59-Y60-Z60-Y61-Z61</f>
        <v>117345</v>
      </c>
      <c r="AB63" s="7">
        <f t="shared" ref="AB63:AB67" si="193">I63-SUM(Y63:AA63)</f>
        <v>-1175351</v>
      </c>
      <c r="AC63" s="50">
        <f>-8218488-AC59-AC60-AC61</f>
        <v>-1809811</v>
      </c>
      <c r="AD63" s="50">
        <f>-18669943-AD59-AD60-AD61-AC63-AC59-AC60-AC61</f>
        <v>-5859126</v>
      </c>
      <c r="AE63" s="50">
        <f>-32914535-AE59-AE60-AE61-AD63-AC63-AC59-AD59-AC60-AD60-AC61-AD61</f>
        <v>-5940810</v>
      </c>
      <c r="AF63" s="7">
        <f t="shared" ref="AF63:AF67" si="194">J63-SUM(AC63:AE63)</f>
        <v>-2932348</v>
      </c>
      <c r="AG63" s="50">
        <f>-17634899-AG59-AG60-AG61</f>
        <v>-9784226</v>
      </c>
      <c r="AH63"/>
      <c r="AI63"/>
    </row>
    <row r="64" spans="2:35" ht="13.5" customHeight="1">
      <c r="B64" s="61" t="s">
        <v>150</v>
      </c>
      <c r="C64" s="50">
        <v>-1736514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7">
        <f>SUM(AD64:AG64)</f>
        <v>0</v>
      </c>
      <c r="L64" s="7"/>
      <c r="M64" s="50">
        <v>0</v>
      </c>
      <c r="N64" s="50">
        <f>0-M64</f>
        <v>0</v>
      </c>
      <c r="O64" s="50">
        <f t="shared" ref="O64" si="195">0-M64-N64</f>
        <v>0</v>
      </c>
      <c r="P64" s="7">
        <f>F64-SUM(M64:O64)</f>
        <v>0</v>
      </c>
      <c r="Q64" s="50">
        <v>0</v>
      </c>
      <c r="R64" s="50">
        <f>0-Q64</f>
        <v>0</v>
      </c>
      <c r="S64" s="50">
        <f>0-Q64-R64</f>
        <v>0</v>
      </c>
      <c r="T64" s="7">
        <f>G64-SUM(Q64:S64)</f>
        <v>0</v>
      </c>
      <c r="U64" s="50">
        <v>0</v>
      </c>
      <c r="V64" s="50">
        <f>0-U64</f>
        <v>0</v>
      </c>
      <c r="W64" s="50">
        <f>0-U64-V64</f>
        <v>0</v>
      </c>
      <c r="X64" s="7">
        <f t="shared" si="192"/>
        <v>0</v>
      </c>
      <c r="Y64" s="50">
        <v>0</v>
      </c>
      <c r="Z64" s="50">
        <f>0-Y64</f>
        <v>0</v>
      </c>
      <c r="AA64" s="50">
        <f>0-Y64-Z64</f>
        <v>0</v>
      </c>
      <c r="AB64" s="7">
        <f t="shared" si="193"/>
        <v>0</v>
      </c>
      <c r="AC64" s="50">
        <v>0</v>
      </c>
      <c r="AD64" s="50">
        <f>0-AC64</f>
        <v>0</v>
      </c>
      <c r="AE64" s="50">
        <f>0-AC64-AD64</f>
        <v>0</v>
      </c>
      <c r="AF64" s="7">
        <f t="shared" si="194"/>
        <v>0</v>
      </c>
      <c r="AG64" s="50">
        <v>0</v>
      </c>
      <c r="AH64"/>
      <c r="AI64"/>
    </row>
    <row r="65" spans="2:35" ht="13.5" customHeight="1">
      <c r="B65" s="61" t="s">
        <v>151</v>
      </c>
      <c r="C65" s="50">
        <v>-706002</v>
      </c>
      <c r="D65" s="50">
        <v>-1026003</v>
      </c>
      <c r="E65" s="50">
        <v>-684002</v>
      </c>
      <c r="F65" s="50">
        <v>-805024</v>
      </c>
      <c r="G65" s="50">
        <v>-1680905</v>
      </c>
      <c r="H65" s="50">
        <v>-825575</v>
      </c>
      <c r="I65" s="50">
        <v>-826323</v>
      </c>
      <c r="J65" s="50">
        <v>-1681166</v>
      </c>
      <c r="K65" s="7">
        <f>SUM(AD65:AG65)</f>
        <v>-1681166</v>
      </c>
      <c r="L65" s="7"/>
      <c r="M65" s="50">
        <v>0</v>
      </c>
      <c r="N65" s="50">
        <f>-800282-M65</f>
        <v>-800282</v>
      </c>
      <c r="O65" s="50">
        <f>-800282-M65-N65</f>
        <v>0</v>
      </c>
      <c r="P65" s="7">
        <f>F65-SUM(M65:O65)</f>
        <v>-4742</v>
      </c>
      <c r="Q65" s="50">
        <v>0</v>
      </c>
      <c r="R65" s="50">
        <f>-1268314-Q65</f>
        <v>-1268314</v>
      </c>
      <c r="S65" s="50">
        <f>-1474610-Q65-R65</f>
        <v>-206296</v>
      </c>
      <c r="T65" s="7">
        <f>G65-SUM(Q65:S65)</f>
        <v>-206295</v>
      </c>
      <c r="U65" s="50">
        <v>0</v>
      </c>
      <c r="V65" s="50">
        <f>-412712-U65</f>
        <v>-412712</v>
      </c>
      <c r="W65" s="50">
        <f>-619140-U65-V65</f>
        <v>-206428</v>
      </c>
      <c r="X65" s="7">
        <f t="shared" si="192"/>
        <v>-206435</v>
      </c>
      <c r="Y65" s="50">
        <v>0</v>
      </c>
      <c r="Z65" s="50">
        <f>-413026-Y65</f>
        <v>-413026</v>
      </c>
      <c r="AA65" s="50">
        <f>-619611-Y65-Z65</f>
        <v>-206585</v>
      </c>
      <c r="AB65" s="7">
        <f t="shared" si="193"/>
        <v>-206712</v>
      </c>
      <c r="AC65" s="50">
        <v>0</v>
      </c>
      <c r="AD65" s="50">
        <f>-1159114-AC65</f>
        <v>-1159114</v>
      </c>
      <c r="AE65" s="50">
        <f>-1418035-AC65-AD65</f>
        <v>-258921</v>
      </c>
      <c r="AF65" s="7">
        <f t="shared" si="194"/>
        <v>-263131</v>
      </c>
      <c r="AG65" s="50">
        <v>0</v>
      </c>
      <c r="AH65" s="167"/>
      <c r="AI65" s="167"/>
    </row>
    <row r="66" spans="2:35" ht="13.5" customHeight="1">
      <c r="B66" s="61" t="s">
        <v>152</v>
      </c>
      <c r="C66" s="50">
        <f>3125721-2078522</f>
        <v>1047199</v>
      </c>
      <c r="D66" s="50">
        <f>9833882-4585425-390501</f>
        <v>4857956</v>
      </c>
      <c r="E66" s="50">
        <f>5173016-3921310-319740</f>
        <v>931966</v>
      </c>
      <c r="F66" s="50">
        <f>8933737-3320911-323975</f>
        <v>5288851</v>
      </c>
      <c r="G66" s="50">
        <f>11917454-7124565-301858</f>
        <v>4491031</v>
      </c>
      <c r="H66" s="50">
        <f>20657967-13689433-461466</f>
        <v>6507068</v>
      </c>
      <c r="I66" s="50">
        <f>8717964-16093621-601821</f>
        <v>-7977478</v>
      </c>
      <c r="J66" s="50">
        <f>8183735-7416131-596465</f>
        <v>171139</v>
      </c>
      <c r="K66" s="7">
        <f>SUM(AD66:AG66)</f>
        <v>-3223707</v>
      </c>
      <c r="L66" s="7"/>
      <c r="M66" s="50">
        <f>2906972-923048</f>
        <v>1983924</v>
      </c>
      <c r="N66" s="50">
        <f>4890763-2660327-M66</f>
        <v>246512</v>
      </c>
      <c r="O66" s="50">
        <f>5428149-3073321-M66-N66</f>
        <v>124392</v>
      </c>
      <c r="P66" s="7">
        <f>F66-SUM(M66:O66)</f>
        <v>2934023</v>
      </c>
      <c r="Q66" s="50">
        <f>922151-677449-69386</f>
        <v>175316</v>
      </c>
      <c r="R66" s="50">
        <f>3828515-3170775-139869-Q66</f>
        <v>342555</v>
      </c>
      <c r="S66" s="50">
        <f>6392515-4611893-212727-Q66-R66</f>
        <v>1050024</v>
      </c>
      <c r="T66" s="7">
        <f>G66-SUM(Q66:S66)</f>
        <v>2923136</v>
      </c>
      <c r="U66" s="50">
        <f>8346550-3288195-80020</f>
        <v>4978335</v>
      </c>
      <c r="V66" s="50">
        <f>13677699-6035603-164903-U66</f>
        <v>2498858</v>
      </c>
      <c r="W66" s="50">
        <f>17747887-9446375-283185-U66-V66</f>
        <v>541134</v>
      </c>
      <c r="X66" s="7">
        <f t="shared" si="192"/>
        <v>-1511259</v>
      </c>
      <c r="Y66" s="50">
        <f>4068545-4849086-160769</f>
        <v>-941310</v>
      </c>
      <c r="Z66" s="50">
        <f>6076256-10460595-309886-Y66</f>
        <v>-3752915</v>
      </c>
      <c r="AA66" s="50">
        <f>7640162-14425050-458392-Y66-Z66</f>
        <v>-2549055</v>
      </c>
      <c r="AB66" s="7">
        <f t="shared" si="193"/>
        <v>-734198</v>
      </c>
      <c r="AC66" s="50">
        <f>2111363-1466432-151657</f>
        <v>493274</v>
      </c>
      <c r="AD66" s="50">
        <f>3175749-3014365-301734-AC66</f>
        <v>-633624</v>
      </c>
      <c r="AE66" s="50">
        <f>6018271-4099968-446955-AC66-AD66</f>
        <v>1611698</v>
      </c>
      <c r="AF66" s="7">
        <f t="shared" si="194"/>
        <v>-1300209</v>
      </c>
      <c r="AG66" s="50">
        <f>1006250-3760030-147792</f>
        <v>-2901572</v>
      </c>
      <c r="AH66" s="168"/>
      <c r="AI66" s="168"/>
    </row>
    <row r="67" spans="2:35" ht="13.5" customHeight="1">
      <c r="B67" s="61" t="s">
        <v>153</v>
      </c>
      <c r="C67" s="50">
        <v>0</v>
      </c>
      <c r="D67" s="50">
        <v>4715</v>
      </c>
      <c r="E67" s="50">
        <v>4090</v>
      </c>
      <c r="F67" s="50">
        <f>8484+2</f>
        <v>8486</v>
      </c>
      <c r="G67" s="50">
        <f>11653+17</f>
        <v>11670</v>
      </c>
      <c r="H67" s="50">
        <f>24519+53-9220</f>
        <v>15352</v>
      </c>
      <c r="I67" s="50">
        <f>93829+6032</f>
        <v>99861</v>
      </c>
      <c r="J67" s="50">
        <v>65035</v>
      </c>
      <c r="K67" s="7">
        <f>SUM(AD67:AG67)</f>
        <v>-492</v>
      </c>
      <c r="L67" s="7"/>
      <c r="M67" s="50">
        <v>-83452</v>
      </c>
      <c r="N67" s="50">
        <f>-164451+3567-M67</f>
        <v>-77432</v>
      </c>
      <c r="O67" s="50">
        <f>-243808+7574-M67-N67</f>
        <v>-75350</v>
      </c>
      <c r="P67" s="7">
        <f>F67-SUM(M67:O67)</f>
        <v>244720</v>
      </c>
      <c r="Q67" s="50">
        <v>0</v>
      </c>
      <c r="R67" s="50">
        <f>6516+3-Q67</f>
        <v>6519</v>
      </c>
      <c r="S67" s="50">
        <f>3+9518-Q67-R67</f>
        <v>3002</v>
      </c>
      <c r="T67" s="7">
        <f>G67-SUM(Q67:S67)</f>
        <v>2149</v>
      </c>
      <c r="U67" s="50">
        <f>3041</f>
        <v>3041</v>
      </c>
      <c r="V67" s="50">
        <f>7040-13575-U67</f>
        <v>-9576</v>
      </c>
      <c r="W67" s="50">
        <f>53+12737-13575-U67-V67</f>
        <v>5750</v>
      </c>
      <c r="X67" s="7">
        <f t="shared" si="192"/>
        <v>16137</v>
      </c>
      <c r="Y67" s="50">
        <v>31640</v>
      </c>
      <c r="Z67" s="50">
        <f>73032+1315-Y67</f>
        <v>42707</v>
      </c>
      <c r="AA67" s="50">
        <f>1315+87836-Y67-Z67</f>
        <v>14804</v>
      </c>
      <c r="AB67" s="7">
        <f t="shared" si="193"/>
        <v>10710</v>
      </c>
      <c r="AC67" s="50">
        <v>15620</v>
      </c>
      <c r="AD67" s="50">
        <f>28560+8-AC67</f>
        <v>12948</v>
      </c>
      <c r="AE67" s="50">
        <f>50666+8-AC67-AD67</f>
        <v>22106</v>
      </c>
      <c r="AF67" s="7">
        <f t="shared" si="194"/>
        <v>14361</v>
      </c>
      <c r="AG67" s="50">
        <f>7775-57682</f>
        <v>-49907</v>
      </c>
    </row>
    <row r="68" spans="2:35" ht="13.5" customHeight="1">
      <c r="B68" s="59" t="s">
        <v>154</v>
      </c>
      <c r="C68" s="43">
        <f t="shared" ref="C68:D68" si="196">SUM(C62:C67)</f>
        <v>-1529331</v>
      </c>
      <c r="D68" s="43">
        <f t="shared" si="196"/>
        <v>329712</v>
      </c>
      <c r="E68" s="43">
        <f t="shared" ref="E68:F68" si="197">SUM(E62:E67)</f>
        <v>998309</v>
      </c>
      <c r="F68" s="43">
        <f t="shared" si="197"/>
        <v>480925</v>
      </c>
      <c r="G68" s="43">
        <f t="shared" ref="G68:K68" si="198">SUM(G62:G67)</f>
        <v>-1296945</v>
      </c>
      <c r="H68" s="43">
        <f t="shared" ref="H68:I68" si="199">SUM(H62:H67)</f>
        <v>2319373</v>
      </c>
      <c r="I68" s="43">
        <f t="shared" si="199"/>
        <v>2819468</v>
      </c>
      <c r="J68" s="43">
        <f t="shared" ref="J68" si="200">SUM(J62:J67)</f>
        <v>-1013960</v>
      </c>
      <c r="K68" s="43">
        <f t="shared" si="198"/>
        <v>-2287853</v>
      </c>
      <c r="L68" s="43"/>
      <c r="M68" s="43">
        <f t="shared" ref="M68:V68" si="201">SUM(M62:M67)</f>
        <v>-557080</v>
      </c>
      <c r="N68" s="43">
        <f t="shared" si="201"/>
        <v>-518028</v>
      </c>
      <c r="O68" s="43">
        <f t="shared" si="201"/>
        <v>-790481</v>
      </c>
      <c r="P68" s="43">
        <f t="shared" si="201"/>
        <v>2346514</v>
      </c>
      <c r="Q68" s="43">
        <f t="shared" si="201"/>
        <v>291573</v>
      </c>
      <c r="R68" s="43">
        <f t="shared" si="201"/>
        <v>-1637722</v>
      </c>
      <c r="S68" s="43">
        <f t="shared" si="201"/>
        <v>-825151</v>
      </c>
      <c r="T68" s="43">
        <f t="shared" si="201"/>
        <v>874355</v>
      </c>
      <c r="U68" s="43">
        <f t="shared" si="201"/>
        <v>557377</v>
      </c>
      <c r="V68" s="43">
        <f t="shared" si="201"/>
        <v>264142</v>
      </c>
      <c r="W68" s="43">
        <f t="shared" ref="W68:Z68" si="202">SUM(W62:W67)</f>
        <v>2579815</v>
      </c>
      <c r="X68" s="43">
        <f t="shared" si="202"/>
        <v>-1081961</v>
      </c>
      <c r="Y68" s="43">
        <f t="shared" si="202"/>
        <v>234791</v>
      </c>
      <c r="Z68" s="43">
        <f t="shared" si="202"/>
        <v>122367</v>
      </c>
      <c r="AA68" s="43">
        <f t="shared" ref="AA68:AD68" si="203">SUM(AA62:AA67)</f>
        <v>2379997</v>
      </c>
      <c r="AB68" s="43">
        <f t="shared" si="203"/>
        <v>82313</v>
      </c>
      <c r="AC68" s="43">
        <f t="shared" si="203"/>
        <v>2138840</v>
      </c>
      <c r="AD68" s="43">
        <f t="shared" si="203"/>
        <v>-3833478</v>
      </c>
      <c r="AE68" s="43">
        <f t="shared" ref="AE68:AG68" si="204">SUM(AE62:AE67)</f>
        <v>408592</v>
      </c>
      <c r="AF68" s="43">
        <f t="shared" si="204"/>
        <v>272086</v>
      </c>
      <c r="AG68" s="43">
        <f t="shared" si="204"/>
        <v>864947</v>
      </c>
    </row>
    <row r="69" spans="2:35" s="225" customFormat="1" ht="13.5" customHeight="1">
      <c r="B69" s="61" t="s">
        <v>155</v>
      </c>
      <c r="C69" s="224">
        <f>-600672-C68</f>
        <v>928659</v>
      </c>
      <c r="D69" s="224">
        <f>-43249-D68</f>
        <v>-372961</v>
      </c>
      <c r="E69" s="224">
        <f>669919-E68</f>
        <v>-328390</v>
      </c>
      <c r="F69" s="224">
        <f>2081993-F68</f>
        <v>1601068</v>
      </c>
      <c r="G69" s="224">
        <f>-80975-G68</f>
        <v>1215970</v>
      </c>
      <c r="H69" s="224">
        <f>2610322-H68</f>
        <v>290949</v>
      </c>
      <c r="I69" s="224">
        <f>3617788-I68</f>
        <v>798320</v>
      </c>
      <c r="J69" s="224">
        <f>3718649-J68</f>
        <v>4732609</v>
      </c>
      <c r="K69" s="7">
        <f>SUM(AD69:AG69)</f>
        <v>10896688</v>
      </c>
      <c r="L69" s="224"/>
      <c r="M69" s="224">
        <f>-749845-M68</f>
        <v>-192765</v>
      </c>
      <c r="N69" s="224">
        <f>-309638-N68-M68-M69</f>
        <v>958235</v>
      </c>
      <c r="O69" s="224">
        <f>-214012-O68-M68-N68-M69-N69</f>
        <v>886107</v>
      </c>
      <c r="P69" s="224">
        <f>F69-SUM(M69:O69)</f>
        <v>-50509</v>
      </c>
      <c r="Q69" s="224">
        <f>-75218-Q68</f>
        <v>-366791</v>
      </c>
      <c r="R69" s="224">
        <f>-511670-R68-Q68-Q69</f>
        <v>1201270</v>
      </c>
      <c r="S69" s="224">
        <f>-338765-S68-Q68-R68-Q69-R69</f>
        <v>998056</v>
      </c>
      <c r="T69" s="224">
        <f>G69-SUM(Q69:S69)</f>
        <v>-616565</v>
      </c>
      <c r="U69" s="224">
        <f>-82225-U68</f>
        <v>-639602</v>
      </c>
      <c r="V69" s="224">
        <f>1063803-V68-U68-U69</f>
        <v>881886</v>
      </c>
      <c r="W69" s="224">
        <f>2145299-W68-U68-V68-U69-V69</f>
        <v>-1498319</v>
      </c>
      <c r="X69" s="224">
        <f>H69-SUM(U69:W69)</f>
        <v>1546984</v>
      </c>
      <c r="Y69" s="224">
        <f>794066-Y68</f>
        <v>559275</v>
      </c>
      <c r="Z69" s="224">
        <f>346500-Z68-Y68-Y69</f>
        <v>-569933</v>
      </c>
      <c r="AA69" s="224">
        <f>1548359-AA68-Y68-Z68-Y69-Z69</f>
        <v>-1178138</v>
      </c>
      <c r="AB69" s="224">
        <f t="shared" ref="AB69:AB71" si="205">I69-SUM(Y69:AA69)</f>
        <v>1987116</v>
      </c>
      <c r="AC69" s="224">
        <f>1352952-AC68</f>
        <v>-785888</v>
      </c>
      <c r="AD69" s="224">
        <f>-2129806-AD68-AC68-AC69</f>
        <v>350720</v>
      </c>
      <c r="AE69" s="224">
        <f>-390602-AE68-AC68-AD68-AC69-AD69</f>
        <v>1330612</v>
      </c>
      <c r="AF69" s="7">
        <f>J69-SUM(AC69:AE69)</f>
        <v>3837165</v>
      </c>
      <c r="AG69" s="224">
        <f>6243138-AG68</f>
        <v>5378191</v>
      </c>
    </row>
    <row r="70" spans="2:35" ht="13.5" customHeight="1">
      <c r="B70" s="61" t="s">
        <v>156</v>
      </c>
      <c r="C70" s="50">
        <v>-3805</v>
      </c>
      <c r="D70" s="50">
        <v>21283</v>
      </c>
      <c r="E70" s="50">
        <v>-56313</v>
      </c>
      <c r="F70" s="50">
        <v>184309</v>
      </c>
      <c r="G70" s="50">
        <v>200458</v>
      </c>
      <c r="H70" s="50">
        <v>-29987</v>
      </c>
      <c r="I70" s="50">
        <v>530480</v>
      </c>
      <c r="J70" s="50">
        <v>-155234</v>
      </c>
      <c r="K70" s="7">
        <f>SUM(AD70:AG70)</f>
        <v>305288</v>
      </c>
      <c r="L70" s="7"/>
      <c r="M70" s="50">
        <v>28131</v>
      </c>
      <c r="N70" s="50">
        <f>33876-M70</f>
        <v>5745</v>
      </c>
      <c r="O70" s="50">
        <f>164736-M70-N70</f>
        <v>130860</v>
      </c>
      <c r="P70" s="7">
        <f>F70-SUM(M70:O70)</f>
        <v>19573</v>
      </c>
      <c r="Q70" s="50">
        <v>63856</v>
      </c>
      <c r="R70" s="50">
        <f>446255-Q70</f>
        <v>382399</v>
      </c>
      <c r="S70" s="50">
        <f>538334-Q70-R70</f>
        <v>92079</v>
      </c>
      <c r="T70" s="7">
        <f>G70-SUM(Q70:S70)</f>
        <v>-337876</v>
      </c>
      <c r="U70" s="50">
        <v>69110</v>
      </c>
      <c r="V70" s="50">
        <f>50825-U70</f>
        <v>-18285</v>
      </c>
      <c r="W70" s="50">
        <f>116518-U70-V70</f>
        <v>65693</v>
      </c>
      <c r="X70" s="7">
        <f>H70-SUM(U70:W70)</f>
        <v>-146505</v>
      </c>
      <c r="Y70" s="50">
        <v>144583</v>
      </c>
      <c r="Z70" s="50">
        <f>221381-Y70</f>
        <v>76798</v>
      </c>
      <c r="AA70" s="50">
        <f>43502-Y70-Z70</f>
        <v>-177879</v>
      </c>
      <c r="AB70" s="7">
        <f t="shared" si="205"/>
        <v>486978</v>
      </c>
      <c r="AC70" s="50">
        <v>38875</v>
      </c>
      <c r="AD70" s="50">
        <f>-332862-AC70</f>
        <v>-371737</v>
      </c>
      <c r="AE70" s="50">
        <f>-91444-AC70-AD70</f>
        <v>241418</v>
      </c>
      <c r="AF70" s="7">
        <f>J70-SUM(AC70:AE70)</f>
        <v>-63790</v>
      </c>
      <c r="AG70" s="50">
        <v>499397</v>
      </c>
    </row>
    <row r="71" spans="2:35" ht="13.5" customHeight="1">
      <c r="B71" s="61" t="s">
        <v>157</v>
      </c>
      <c r="C71" s="50"/>
      <c r="D71" s="50"/>
      <c r="E71" s="50"/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7">
        <f>SUM(AD71:AG71)</f>
        <v>0</v>
      </c>
      <c r="L71" s="7"/>
      <c r="M71" s="50"/>
      <c r="N71" s="50"/>
      <c r="O71" s="50"/>
      <c r="P71" s="7"/>
      <c r="Q71" s="50"/>
      <c r="R71" s="50"/>
      <c r="S71" s="50"/>
      <c r="T71" s="7"/>
      <c r="U71" s="50">
        <v>0</v>
      </c>
      <c r="V71" s="50">
        <v>0</v>
      </c>
      <c r="W71" s="50">
        <v>0</v>
      </c>
      <c r="X71" s="7">
        <f>H71-SUM(U71:W71)</f>
        <v>0</v>
      </c>
      <c r="Y71" s="50">
        <v>0</v>
      </c>
      <c r="Z71" s="50">
        <f>-82899-Y71</f>
        <v>-82899</v>
      </c>
      <c r="AA71" s="50">
        <f>-104847-Z71-Y71</f>
        <v>-21948</v>
      </c>
      <c r="AB71" s="7">
        <f t="shared" si="205"/>
        <v>104847</v>
      </c>
      <c r="AC71" s="50">
        <v>0</v>
      </c>
      <c r="AD71" s="50">
        <f>-45946-AC71</f>
        <v>-45946</v>
      </c>
      <c r="AE71" s="50">
        <f>0-AD71-AC71</f>
        <v>45946</v>
      </c>
      <c r="AF71" s="7">
        <f>J71-SUM(AC71:AE71)</f>
        <v>0</v>
      </c>
      <c r="AG71" s="50">
        <v>0</v>
      </c>
    </row>
    <row r="72" spans="2:35" ht="13.5" customHeight="1">
      <c r="B72" s="61" t="s">
        <v>158</v>
      </c>
      <c r="C72" s="7">
        <f t="shared" ref="C72:G72" si="206">C68+C69</f>
        <v>-600672</v>
      </c>
      <c r="D72" s="7">
        <f t="shared" si="206"/>
        <v>-43249</v>
      </c>
      <c r="E72" s="7">
        <f>E68+E69</f>
        <v>669919</v>
      </c>
      <c r="F72" s="7">
        <f t="shared" si="206"/>
        <v>2081993</v>
      </c>
      <c r="G72" s="7">
        <f t="shared" si="206"/>
        <v>-80975</v>
      </c>
      <c r="H72" s="7">
        <f t="shared" ref="H72:K72" si="207">H68+H69</f>
        <v>2610322</v>
      </c>
      <c r="I72" s="7">
        <f t="shared" si="207"/>
        <v>3617788</v>
      </c>
      <c r="J72" s="7">
        <f t="shared" ref="J72" si="208">J68+J69</f>
        <v>3718649</v>
      </c>
      <c r="K72" s="7">
        <f t="shared" si="207"/>
        <v>8608835</v>
      </c>
      <c r="L72" s="7"/>
      <c r="M72" s="7">
        <f t="shared" ref="M72:U72" si="209">M68+M69</f>
        <v>-749845</v>
      </c>
      <c r="N72" s="7">
        <f t="shared" si="209"/>
        <v>440207</v>
      </c>
      <c r="O72" s="7">
        <f t="shared" si="209"/>
        <v>95626</v>
      </c>
      <c r="P72" s="7">
        <f t="shared" si="209"/>
        <v>2296005</v>
      </c>
      <c r="Q72" s="7">
        <f t="shared" si="209"/>
        <v>-75218</v>
      </c>
      <c r="R72" s="7">
        <f>R68+R69</f>
        <v>-436452</v>
      </c>
      <c r="S72" s="7">
        <f t="shared" si="209"/>
        <v>172905</v>
      </c>
      <c r="T72" s="7">
        <f t="shared" si="209"/>
        <v>257790</v>
      </c>
      <c r="U72" s="7">
        <f t="shared" si="209"/>
        <v>-82225</v>
      </c>
      <c r="V72" s="7">
        <f>V68+V69</f>
        <v>1146028</v>
      </c>
      <c r="W72" s="7">
        <f t="shared" ref="W72:Y72" si="210">W68+W69</f>
        <v>1081496</v>
      </c>
      <c r="X72" s="7">
        <f t="shared" si="210"/>
        <v>465023</v>
      </c>
      <c r="Y72" s="7">
        <f t="shared" si="210"/>
        <v>794066</v>
      </c>
      <c r="Z72" s="7">
        <f>Z68+Z69</f>
        <v>-447566</v>
      </c>
      <c r="AA72" s="7">
        <f t="shared" ref="AA72:AC72" si="211">AA68+AA69</f>
        <v>1201859</v>
      </c>
      <c r="AB72" s="7">
        <f t="shared" si="211"/>
        <v>2069429</v>
      </c>
      <c r="AC72" s="7">
        <f t="shared" si="211"/>
        <v>1352952</v>
      </c>
      <c r="AD72" s="7">
        <f>AD68+AD69</f>
        <v>-3482758</v>
      </c>
      <c r="AE72" s="7">
        <f t="shared" ref="AE72:AG72" si="212">AE68+AE69</f>
        <v>1739204</v>
      </c>
      <c r="AF72" s="7">
        <f t="shared" si="212"/>
        <v>4109251</v>
      </c>
      <c r="AG72" s="7">
        <f t="shared" si="212"/>
        <v>6243138</v>
      </c>
    </row>
    <row r="73" spans="2:35" ht="13.5" customHeight="1">
      <c r="B73" s="59" t="s">
        <v>159</v>
      </c>
      <c r="C73" s="43">
        <f>2949991+C72</f>
        <v>2349319</v>
      </c>
      <c r="D73" s="43">
        <f t="shared" ref="D73:J73" si="213">C73+D72</f>
        <v>2306070</v>
      </c>
      <c r="E73" s="43">
        <f t="shared" si="213"/>
        <v>2975989</v>
      </c>
      <c r="F73" s="43">
        <f t="shared" si="213"/>
        <v>5057982</v>
      </c>
      <c r="G73" s="43">
        <f t="shared" si="213"/>
        <v>4977007</v>
      </c>
      <c r="H73" s="43">
        <f t="shared" si="213"/>
        <v>7587329</v>
      </c>
      <c r="I73" s="43">
        <f t="shared" si="213"/>
        <v>11205117</v>
      </c>
      <c r="J73" s="43">
        <f t="shared" si="213"/>
        <v>14923766</v>
      </c>
      <c r="K73" s="43">
        <f>AC73+K72</f>
        <v>21166904</v>
      </c>
      <c r="L73" s="207"/>
      <c r="M73" s="43">
        <f>2975989+M72</f>
        <v>2226144</v>
      </c>
      <c r="N73" s="43">
        <f>M73+N72</f>
        <v>2666351</v>
      </c>
      <c r="O73" s="43">
        <f>N73+O72</f>
        <v>2761977</v>
      </c>
      <c r="P73" s="43">
        <f>O73+P72</f>
        <v>5057982</v>
      </c>
      <c r="Q73" s="43">
        <f t="shared" ref="Q73:AG73" si="214">P73+Q72</f>
        <v>4982764</v>
      </c>
      <c r="R73" s="43">
        <f t="shared" si="214"/>
        <v>4546312</v>
      </c>
      <c r="S73" s="43">
        <f t="shared" si="214"/>
        <v>4719217</v>
      </c>
      <c r="T73" s="43">
        <f t="shared" si="214"/>
        <v>4977007</v>
      </c>
      <c r="U73" s="43">
        <f t="shared" si="214"/>
        <v>4894782</v>
      </c>
      <c r="V73" s="43">
        <f t="shared" si="214"/>
        <v>6040810</v>
      </c>
      <c r="W73" s="43">
        <f t="shared" si="214"/>
        <v>7122306</v>
      </c>
      <c r="X73" s="43">
        <f t="shared" si="214"/>
        <v>7587329</v>
      </c>
      <c r="Y73" s="43">
        <f t="shared" si="214"/>
        <v>8381395</v>
      </c>
      <c r="Z73" s="43">
        <f t="shared" si="214"/>
        <v>7933829</v>
      </c>
      <c r="AA73" s="43">
        <f t="shared" si="214"/>
        <v>9135688</v>
      </c>
      <c r="AB73" s="43">
        <f t="shared" si="214"/>
        <v>11205117</v>
      </c>
      <c r="AC73" s="43">
        <f t="shared" si="214"/>
        <v>12558069</v>
      </c>
      <c r="AD73" s="43">
        <f t="shared" si="214"/>
        <v>9075311</v>
      </c>
      <c r="AE73" s="43">
        <f t="shared" si="214"/>
        <v>10814515</v>
      </c>
      <c r="AF73" s="43">
        <f t="shared" si="214"/>
        <v>14923766</v>
      </c>
      <c r="AG73" s="43">
        <f t="shared" si="214"/>
        <v>21166904</v>
      </c>
    </row>
    <row r="74" spans="2:35" ht="13.5" customHeight="1">
      <c r="B74" s="59"/>
      <c r="C74" s="50"/>
      <c r="D74" s="50"/>
      <c r="E74" s="50"/>
      <c r="F74" s="50"/>
      <c r="G74" s="50"/>
      <c r="H74" s="50"/>
      <c r="I74" s="50"/>
      <c r="J74" s="50"/>
      <c r="K74" s="7"/>
      <c r="L74" s="7"/>
      <c r="M74" s="50"/>
      <c r="N74" s="50"/>
      <c r="O74" s="50"/>
      <c r="P74" s="7"/>
      <c r="Q74" s="50"/>
      <c r="R74" s="50"/>
      <c r="S74" s="50"/>
      <c r="T74" s="7"/>
      <c r="U74" s="50"/>
      <c r="V74" s="50"/>
      <c r="W74" s="50"/>
      <c r="X74" s="7"/>
      <c r="Y74" s="50"/>
      <c r="Z74" s="50"/>
      <c r="AA74" s="50"/>
      <c r="AB74" s="7"/>
      <c r="AC74" s="50"/>
      <c r="AD74" s="50"/>
      <c r="AE74" s="50"/>
      <c r="AF74" s="7"/>
      <c r="AG74" s="50"/>
    </row>
    <row r="75" spans="2:35" ht="11.25" customHeight="1">
      <c r="B75" s="60" t="s">
        <v>160</v>
      </c>
      <c r="C75" s="226">
        <f t="shared" ref="C75:K75" si="215">+C73-C115</f>
        <v>0</v>
      </c>
      <c r="D75" s="226">
        <f t="shared" si="215"/>
        <v>0</v>
      </c>
      <c r="E75" s="226">
        <f t="shared" si="215"/>
        <v>0</v>
      </c>
      <c r="F75" s="226">
        <f t="shared" si="215"/>
        <v>0</v>
      </c>
      <c r="G75" s="226">
        <f t="shared" si="215"/>
        <v>0</v>
      </c>
      <c r="H75" s="226">
        <f t="shared" ref="H75:I75" si="216">+H73-H115</f>
        <v>0</v>
      </c>
      <c r="I75" s="226">
        <f t="shared" si="216"/>
        <v>0</v>
      </c>
      <c r="J75" s="226">
        <f t="shared" ref="J75" si="217">+J73-J115</f>
        <v>0</v>
      </c>
      <c r="K75" s="226">
        <f t="shared" si="215"/>
        <v>0</v>
      </c>
      <c r="L75" s="227"/>
      <c r="M75" s="226">
        <f t="shared" ref="M75:V75" si="218">+M73-M115</f>
        <v>0</v>
      </c>
      <c r="N75" s="226">
        <f t="shared" si="218"/>
        <v>0</v>
      </c>
      <c r="O75" s="226">
        <f t="shared" si="218"/>
        <v>0</v>
      </c>
      <c r="P75" s="226">
        <f t="shared" si="218"/>
        <v>0</v>
      </c>
      <c r="Q75" s="226">
        <f t="shared" si="218"/>
        <v>0</v>
      </c>
      <c r="R75" s="226">
        <f t="shared" si="218"/>
        <v>0</v>
      </c>
      <c r="S75" s="226">
        <f t="shared" si="218"/>
        <v>0</v>
      </c>
      <c r="T75" s="226">
        <f t="shared" si="218"/>
        <v>0</v>
      </c>
      <c r="U75" s="226">
        <f t="shared" si="218"/>
        <v>0</v>
      </c>
      <c r="V75" s="226">
        <f t="shared" si="218"/>
        <v>0</v>
      </c>
      <c r="W75" s="226">
        <f t="shared" ref="W75:Z75" si="219">+W73-W115</f>
        <v>0</v>
      </c>
      <c r="X75" s="226">
        <f t="shared" si="219"/>
        <v>0</v>
      </c>
      <c r="Y75" s="226">
        <f t="shared" si="219"/>
        <v>0</v>
      </c>
      <c r="Z75" s="226">
        <f t="shared" si="219"/>
        <v>0</v>
      </c>
      <c r="AA75" s="226">
        <f t="shared" ref="AA75:AD75" si="220">+AA73-AA115</f>
        <v>0</v>
      </c>
      <c r="AB75" s="226">
        <f t="shared" si="220"/>
        <v>0</v>
      </c>
      <c r="AC75" s="226">
        <f t="shared" si="220"/>
        <v>0</v>
      </c>
      <c r="AD75" s="226">
        <f t="shared" si="220"/>
        <v>0</v>
      </c>
      <c r="AE75" s="226">
        <f t="shared" ref="AE75:AG75" si="221">+AE73-AE115</f>
        <v>0</v>
      </c>
      <c r="AF75" s="226">
        <f t="shared" si="221"/>
        <v>0</v>
      </c>
      <c r="AG75" s="226">
        <f t="shared" si="221"/>
        <v>0</v>
      </c>
    </row>
    <row r="76" spans="2:35" ht="13.5" customHeight="1">
      <c r="B76" s="60" t="s">
        <v>161</v>
      </c>
      <c r="C76" s="228">
        <f>22227199-C69-C58+C70</f>
        <v>0</v>
      </c>
      <c r="D76" s="228">
        <f>6549736-D69-D58+D70</f>
        <v>0</v>
      </c>
      <c r="E76" s="228">
        <f>12314571-E69-E58+E70</f>
        <v>0</v>
      </c>
      <c r="F76" s="226">
        <f>19797648-F69-F58+F70</f>
        <v>0</v>
      </c>
      <c r="G76" s="226">
        <f>14780517-G69-G58+G70</f>
        <v>0</v>
      </c>
      <c r="H76" s="226">
        <f>4278191-H69-H58+H70</f>
        <v>0</v>
      </c>
      <c r="I76" s="226">
        <f>29795885-I69-I58+I70</f>
        <v>0</v>
      </c>
      <c r="J76" s="226">
        <f>53373126-J69-J58+J70</f>
        <v>0</v>
      </c>
      <c r="K76" s="228"/>
      <c r="L76" s="229"/>
      <c r="M76" s="226">
        <f>3206762-M69-M58+M70</f>
        <v>0</v>
      </c>
      <c r="N76" s="226">
        <f>7756735-N69-N58+N70-M58-M69+M70</f>
        <v>0</v>
      </c>
      <c r="O76" s="226">
        <f>14023424-O69-O58+O70-N58-N69+N70-M58-M69+M70</f>
        <v>0</v>
      </c>
      <c r="P76" s="230"/>
      <c r="Q76" s="226">
        <f>5141228-Q69-Q58+Q70</f>
        <v>0</v>
      </c>
      <c r="R76" s="226">
        <f>9714893-R69-R58+R70-Q58-Q69+Q70</f>
        <v>0</v>
      </c>
      <c r="S76" s="226">
        <f>13595720-S69-S58+S70-R58-R69+R70-Q58-Q69+Q70</f>
        <v>0</v>
      </c>
      <c r="T76" s="230"/>
      <c r="U76" s="226">
        <f>-2005488-U69-U58+U70</f>
        <v>0</v>
      </c>
      <c r="V76" s="226">
        <f>-694049-V69-U69-V58-U58+V70+U70</f>
        <v>0</v>
      </c>
      <c r="W76" s="226">
        <f>325283-W69-W58+W70-V58-V69+V70-U58-U69+U70</f>
        <v>0</v>
      </c>
      <c r="X76" s="230"/>
      <c r="Y76" s="226">
        <f>5356478-Y69-Y58+Y70</f>
        <v>0</v>
      </c>
      <c r="Z76" s="226">
        <f>11015501-Z69-Y69-Z58-Y58+Z70+Y70+Z71+Y71</f>
        <v>0</v>
      </c>
      <c r="AA76" s="226">
        <f>18774763-AA69-AA58+AA70-Z58-Z69+Z70-Y58-Y69+Y70+AA71+Z71+Y71</f>
        <v>0</v>
      </c>
      <c r="AB76" s="230"/>
      <c r="AC76" s="226">
        <f>9023671-AC69-AC58+AC70</f>
        <v>0</v>
      </c>
      <c r="AD76" s="226">
        <f>18189841-AD69-AC69-AD58-AC58+AD70+AC70+AD71+AC71</f>
        <v>0</v>
      </c>
      <c r="AE76" s="226">
        <f>32511390-AE69-AE58+AE70-AD58-AD69+AD70-AC58-AC69+AC70+AE71+AD71+AC71</f>
        <v>0</v>
      </c>
      <c r="AF76" s="230"/>
      <c r="AG76" s="226">
        <f>26330119-AG69-AG58+AG70</f>
        <v>0</v>
      </c>
    </row>
    <row r="77" spans="2:35" ht="11.25" customHeight="1">
      <c r="C77" s="57"/>
      <c r="D77" s="57"/>
      <c r="E77" s="57"/>
      <c r="F77" s="57"/>
      <c r="G77" s="57"/>
      <c r="H77" s="57"/>
      <c r="I77" s="57"/>
      <c r="J77" s="57"/>
      <c r="K77" s="57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</row>
    <row r="78" spans="2:35" ht="13.5" customHeight="1">
      <c r="B78" s="39" t="s">
        <v>162</v>
      </c>
      <c r="C78" s="44">
        <f t="shared" ref="C78:I78" si="222">C3</f>
        <v>43465</v>
      </c>
      <c r="D78" s="44">
        <f t="shared" si="222"/>
        <v>43830</v>
      </c>
      <c r="E78" s="44">
        <f t="shared" si="222"/>
        <v>44196</v>
      </c>
      <c r="F78" s="44">
        <f t="shared" si="222"/>
        <v>44561</v>
      </c>
      <c r="G78" s="44">
        <f t="shared" si="222"/>
        <v>44926</v>
      </c>
      <c r="H78" s="44">
        <f t="shared" si="222"/>
        <v>45291</v>
      </c>
      <c r="I78" s="44">
        <f t="shared" si="222"/>
        <v>45657</v>
      </c>
      <c r="J78" s="44">
        <f t="shared" ref="J78" si="223">J3</f>
        <v>46022</v>
      </c>
      <c r="K78" s="44" t="str">
        <f>K2</f>
        <v>LTM</v>
      </c>
      <c r="L78" s="203"/>
      <c r="M78" s="44">
        <f t="shared" ref="M78:AB78" si="224">M3</f>
        <v>44286</v>
      </c>
      <c r="N78" s="44">
        <f t="shared" si="224"/>
        <v>44377</v>
      </c>
      <c r="O78" s="44">
        <f t="shared" si="224"/>
        <v>44469</v>
      </c>
      <c r="P78" s="44">
        <f t="shared" si="224"/>
        <v>44561</v>
      </c>
      <c r="Q78" s="44">
        <f t="shared" si="224"/>
        <v>44651</v>
      </c>
      <c r="R78" s="44">
        <f t="shared" si="224"/>
        <v>44742</v>
      </c>
      <c r="S78" s="44">
        <f t="shared" si="224"/>
        <v>44834</v>
      </c>
      <c r="T78" s="44">
        <f t="shared" si="224"/>
        <v>44926</v>
      </c>
      <c r="U78" s="44">
        <f t="shared" si="224"/>
        <v>45016</v>
      </c>
      <c r="V78" s="44">
        <f t="shared" si="224"/>
        <v>45107</v>
      </c>
      <c r="W78" s="44">
        <f t="shared" si="224"/>
        <v>45199</v>
      </c>
      <c r="X78" s="44">
        <f t="shared" si="224"/>
        <v>45291</v>
      </c>
      <c r="Y78" s="44">
        <f t="shared" si="224"/>
        <v>45382</v>
      </c>
      <c r="Z78" s="44">
        <f t="shared" si="224"/>
        <v>45473</v>
      </c>
      <c r="AA78" s="44">
        <f t="shared" si="224"/>
        <v>45565</v>
      </c>
      <c r="AB78" s="44">
        <f t="shared" si="224"/>
        <v>45657</v>
      </c>
      <c r="AC78" s="44">
        <f t="shared" ref="AC78:AF78" si="225">AC3</f>
        <v>45747</v>
      </c>
      <c r="AD78" s="44">
        <f t="shared" si="225"/>
        <v>45838</v>
      </c>
      <c r="AE78" s="44">
        <f t="shared" si="225"/>
        <v>45930</v>
      </c>
      <c r="AF78" s="44">
        <f t="shared" si="225"/>
        <v>46022</v>
      </c>
      <c r="AG78" s="44">
        <f t="shared" ref="AG78" si="226">AG3</f>
        <v>46112</v>
      </c>
    </row>
    <row r="79" spans="2:35" ht="13.5" customHeight="1">
      <c r="B79" s="16" t="str">
        <f t="shared" ref="B79:K79" si="227">B7</f>
        <v>Revenue</v>
      </c>
      <c r="C79" s="7">
        <f t="shared" si="227"/>
        <v>40445066</v>
      </c>
      <c r="D79" s="7">
        <f t="shared" si="227"/>
        <v>26990733</v>
      </c>
      <c r="E79" s="7">
        <f t="shared" si="227"/>
        <v>31900418</v>
      </c>
      <c r="F79" s="7">
        <f t="shared" si="227"/>
        <v>42997792</v>
      </c>
      <c r="G79" s="7">
        <f t="shared" si="227"/>
        <v>44621568</v>
      </c>
      <c r="H79" s="7">
        <f t="shared" si="227"/>
        <v>32765719</v>
      </c>
      <c r="I79" s="7">
        <f t="shared" si="227"/>
        <v>66192960</v>
      </c>
      <c r="J79" s="7">
        <f t="shared" ref="J79" si="228">J7</f>
        <v>97146675</v>
      </c>
      <c r="K79" s="7">
        <f t="shared" si="227"/>
        <v>132083821</v>
      </c>
      <c r="L79" s="7"/>
      <c r="M79" s="115"/>
      <c r="N79" s="115"/>
      <c r="O79" s="115"/>
      <c r="P79" s="7">
        <f t="shared" ref="P79:AG79" si="229">SUM(M7:P7)</f>
        <v>42997792</v>
      </c>
      <c r="Q79" s="7">
        <f t="shared" si="229"/>
        <v>46659257</v>
      </c>
      <c r="R79" s="7">
        <f t="shared" si="229"/>
        <v>50148587</v>
      </c>
      <c r="S79" s="7">
        <f t="shared" si="229"/>
        <v>49326146</v>
      </c>
      <c r="T79" s="7">
        <f t="shared" si="229"/>
        <v>44621568</v>
      </c>
      <c r="U79" s="7">
        <f t="shared" si="229"/>
        <v>37554026</v>
      </c>
      <c r="V79" s="7">
        <f t="shared" si="229"/>
        <v>31048958</v>
      </c>
      <c r="W79" s="7">
        <f t="shared" si="229"/>
        <v>29132246</v>
      </c>
      <c r="X79" s="7">
        <f t="shared" si="229"/>
        <v>32765719</v>
      </c>
      <c r="Y79" s="7">
        <f t="shared" si="229"/>
        <v>40107206</v>
      </c>
      <c r="Z79" s="7">
        <f t="shared" si="229"/>
        <v>49224531</v>
      </c>
      <c r="AA79" s="7">
        <f t="shared" si="229"/>
        <v>57731429</v>
      </c>
      <c r="AB79" s="7">
        <f t="shared" si="229"/>
        <v>66192960</v>
      </c>
      <c r="AC79" s="7">
        <f t="shared" si="229"/>
        <v>71402503</v>
      </c>
      <c r="AD79" s="7">
        <f t="shared" si="229"/>
        <v>77211197</v>
      </c>
      <c r="AE79" s="7">
        <f t="shared" si="229"/>
        <v>84087057</v>
      </c>
      <c r="AF79" s="7">
        <f t="shared" si="229"/>
        <v>97146675</v>
      </c>
      <c r="AG79" s="7">
        <f t="shared" si="229"/>
        <v>132083821</v>
      </c>
    </row>
    <row r="80" spans="2:35" ht="13.5" customHeight="1">
      <c r="B80" s="16" t="s">
        <v>116</v>
      </c>
      <c r="C80" s="7">
        <f t="shared" ref="C80:K80" si="230">C14</f>
        <v>20843750</v>
      </c>
      <c r="D80" s="7">
        <f t="shared" si="230"/>
        <v>2719179</v>
      </c>
      <c r="E80" s="7">
        <f t="shared" si="230"/>
        <v>5012624</v>
      </c>
      <c r="F80" s="7">
        <f t="shared" si="230"/>
        <v>12410340</v>
      </c>
      <c r="G80" s="7">
        <f t="shared" si="230"/>
        <v>6809417</v>
      </c>
      <c r="H80" s="7">
        <f t="shared" si="230"/>
        <v>-7730313</v>
      </c>
      <c r="I80" s="7">
        <f t="shared" si="230"/>
        <v>23467319</v>
      </c>
      <c r="J80" s="7">
        <f t="shared" ref="J80" si="231">J14</f>
        <v>47206319</v>
      </c>
      <c r="K80" s="7">
        <f t="shared" si="230"/>
        <v>77376098</v>
      </c>
      <c r="L80" s="7"/>
      <c r="M80" s="115"/>
      <c r="N80" s="115"/>
      <c r="O80" s="115"/>
      <c r="P80" s="7">
        <f t="shared" ref="P80:AG80" si="232">SUM(M14:P14)</f>
        <v>12410340</v>
      </c>
      <c r="Q80" s="7">
        <f t="shared" si="232"/>
        <v>13949816</v>
      </c>
      <c r="R80" s="7">
        <f t="shared" si="232"/>
        <v>15452468</v>
      </c>
      <c r="S80" s="7">
        <f t="shared" si="232"/>
        <v>12941170</v>
      </c>
      <c r="T80" s="7">
        <f t="shared" si="232"/>
        <v>6809417</v>
      </c>
      <c r="U80" s="7">
        <f t="shared" si="232"/>
        <v>543218</v>
      </c>
      <c r="V80" s="7">
        <f t="shared" si="232"/>
        <v>-6536092</v>
      </c>
      <c r="W80" s="7">
        <f t="shared" si="232"/>
        <v>-9988576</v>
      </c>
      <c r="X80" s="7">
        <f t="shared" si="232"/>
        <v>-7730313</v>
      </c>
      <c r="Y80" s="7">
        <f t="shared" si="232"/>
        <v>-1441982</v>
      </c>
      <c r="Z80" s="7">
        <f t="shared" si="232"/>
        <v>6908638</v>
      </c>
      <c r="AA80" s="7">
        <f t="shared" si="232"/>
        <v>15730557</v>
      </c>
      <c r="AB80" s="7">
        <f t="shared" si="232"/>
        <v>23467319</v>
      </c>
      <c r="AC80" s="7">
        <f t="shared" si="232"/>
        <v>28021794</v>
      </c>
      <c r="AD80" s="7">
        <f t="shared" si="232"/>
        <v>31766109</v>
      </c>
      <c r="AE80" s="7">
        <f t="shared" si="232"/>
        <v>36119541</v>
      </c>
      <c r="AF80" s="7">
        <f t="shared" si="232"/>
        <v>47206319</v>
      </c>
      <c r="AG80" s="7">
        <f t="shared" si="232"/>
        <v>77376098</v>
      </c>
    </row>
    <row r="81" spans="2:33" ht="13.5" customHeight="1">
      <c r="B81" s="16" t="s">
        <v>163</v>
      </c>
      <c r="C81" s="7">
        <f t="shared" ref="C81:E81" si="233">+C41</f>
        <v>27152820</v>
      </c>
      <c r="D81" s="7">
        <f t="shared" si="233"/>
        <v>11324671</v>
      </c>
      <c r="E81" s="7">
        <f t="shared" si="233"/>
        <v>14777400</v>
      </c>
      <c r="F81" s="7">
        <f t="shared" ref="F81:G81" si="234">+F41</f>
        <v>23057227</v>
      </c>
      <c r="G81" s="7">
        <f t="shared" si="234"/>
        <v>20944709</v>
      </c>
      <c r="H81" s="7">
        <f t="shared" ref="H81:I81" si="235">+H41</f>
        <v>5888848</v>
      </c>
      <c r="I81" s="7">
        <f t="shared" si="235"/>
        <v>36012086</v>
      </c>
      <c r="J81" s="7">
        <f t="shared" ref="J81" si="236">+J41</f>
        <v>61095958</v>
      </c>
      <c r="K81" s="7">
        <f t="shared" ref="K81" si="237">+K41</f>
        <v>91657574</v>
      </c>
      <c r="L81" s="7"/>
      <c r="M81" s="115"/>
      <c r="N81" s="115"/>
      <c r="O81" s="115"/>
      <c r="P81" s="7">
        <f t="shared" ref="P81" si="238">SUM(M41:P41)</f>
        <v>23057227</v>
      </c>
      <c r="Q81" s="7">
        <f t="shared" ref="Q81" si="239">SUM(N41:Q41)</f>
        <v>25455412</v>
      </c>
      <c r="R81" s="7">
        <f t="shared" ref="R81" si="240">SUM(O41:R41)</f>
        <v>27821713</v>
      </c>
      <c r="S81" s="7">
        <f t="shared" ref="S81" si="241">SUM(P41:S41)</f>
        <v>26154974</v>
      </c>
      <c r="T81" s="7">
        <f t="shared" ref="T81" si="242">SUM(Q41:T41)</f>
        <v>20944709</v>
      </c>
      <c r="U81" s="7">
        <f t="shared" ref="U81" si="243">SUM(R41:U41)</f>
        <v>14843714</v>
      </c>
      <c r="V81" s="7">
        <f t="shared" ref="V81:AG81" si="244">SUM(S41:V41)</f>
        <v>7779713</v>
      </c>
      <c r="W81" s="7">
        <f t="shared" si="244"/>
        <v>4107094</v>
      </c>
      <c r="X81" s="7">
        <f t="shared" si="244"/>
        <v>5888848</v>
      </c>
      <c r="Y81" s="7">
        <f t="shared" si="244"/>
        <v>11807214</v>
      </c>
      <c r="Z81" s="7">
        <f t="shared" si="244"/>
        <v>19786404</v>
      </c>
      <c r="AA81" s="7">
        <f t="shared" si="244"/>
        <v>28346187</v>
      </c>
      <c r="AB81" s="7">
        <f t="shared" si="244"/>
        <v>36012086</v>
      </c>
      <c r="AC81" s="7">
        <f t="shared" si="244"/>
        <v>40713607</v>
      </c>
      <c r="AD81" s="7">
        <f t="shared" si="244"/>
        <v>44778618</v>
      </c>
      <c r="AE81" s="7">
        <f t="shared" si="244"/>
        <v>49610946</v>
      </c>
      <c r="AF81" s="7">
        <f t="shared" si="244"/>
        <v>61095958</v>
      </c>
      <c r="AG81" s="7">
        <f t="shared" si="244"/>
        <v>91657574</v>
      </c>
    </row>
    <row r="82" spans="2:33" s="19" customFormat="1" ht="13.5" customHeight="1">
      <c r="B82" s="16" t="s">
        <v>164</v>
      </c>
      <c r="C82" s="7">
        <f t="shared" ref="C82:E82" si="245">+C46</f>
        <v>27260000</v>
      </c>
      <c r="D82" s="7">
        <f t="shared" si="245"/>
        <v>11251000</v>
      </c>
      <c r="E82" s="7">
        <f t="shared" si="245"/>
        <v>14803000</v>
      </c>
      <c r="F82" s="7">
        <f t="shared" ref="F82:G82" si="246">+F46</f>
        <v>23057000</v>
      </c>
      <c r="G82" s="7">
        <f t="shared" si="246"/>
        <v>20948000</v>
      </c>
      <c r="H82" s="7">
        <f>+H46</f>
        <v>5889000</v>
      </c>
      <c r="I82" s="7">
        <f>+I46</f>
        <v>36013000</v>
      </c>
      <c r="J82" s="7">
        <f>+J46</f>
        <v>61095000</v>
      </c>
      <c r="K82" s="7">
        <f t="shared" ref="K82" si="247">+K46</f>
        <v>91662000</v>
      </c>
      <c r="L82" s="7"/>
      <c r="M82" s="115"/>
      <c r="N82" s="115"/>
      <c r="O82" s="115"/>
      <c r="P82" s="7">
        <f t="shared" ref="P82" si="248">SUM(M46:P46)</f>
        <v>23057000</v>
      </c>
      <c r="Q82" s="7">
        <f t="shared" ref="Q82" si="249">SUM(N46:Q46)</f>
        <v>25456000</v>
      </c>
      <c r="R82" s="7">
        <f t="shared" ref="R82" si="250">SUM(O46:R46)</f>
        <v>27819000</v>
      </c>
      <c r="S82" s="7">
        <f t="shared" ref="S82" si="251">SUM(P46:S46)</f>
        <v>26159000</v>
      </c>
      <c r="T82" s="7">
        <f t="shared" ref="T82" si="252">SUM(Q46:T46)</f>
        <v>20948000</v>
      </c>
      <c r="U82" s="7">
        <f t="shared" ref="U82" si="253">SUM(R46:U46)</f>
        <v>14846000</v>
      </c>
      <c r="V82" s="7">
        <f t="shared" ref="V82:AG82" si="254">SUM(S46:V46)</f>
        <v>7786000</v>
      </c>
      <c r="W82" s="7">
        <f t="shared" si="254"/>
        <v>4107000</v>
      </c>
      <c r="X82" s="7">
        <f t="shared" si="254"/>
        <v>5889000</v>
      </c>
      <c r="Y82" s="7">
        <f t="shared" si="254"/>
        <v>11808000</v>
      </c>
      <c r="Z82" s="7">
        <f t="shared" si="254"/>
        <v>19787000</v>
      </c>
      <c r="AA82" s="7">
        <f t="shared" si="254"/>
        <v>28346000</v>
      </c>
      <c r="AB82" s="7">
        <f t="shared" si="254"/>
        <v>36013000</v>
      </c>
      <c r="AC82" s="7">
        <f t="shared" si="254"/>
        <v>40709000</v>
      </c>
      <c r="AD82" s="7">
        <f t="shared" si="254"/>
        <v>44763000</v>
      </c>
      <c r="AE82" s="7">
        <f t="shared" si="254"/>
        <v>49612000</v>
      </c>
      <c r="AF82" s="7">
        <f t="shared" si="254"/>
        <v>61095000</v>
      </c>
      <c r="AG82" s="7">
        <f t="shared" si="254"/>
        <v>91662000</v>
      </c>
    </row>
    <row r="83" spans="2:33" ht="13.5" customHeight="1">
      <c r="B83" s="16" t="s">
        <v>143</v>
      </c>
      <c r="C83" s="7">
        <f t="shared" ref="C83:E83" si="255">-C57</f>
        <v>126029</v>
      </c>
      <c r="D83" s="7">
        <f t="shared" si="255"/>
        <v>238314</v>
      </c>
      <c r="E83" s="7">
        <f t="shared" si="255"/>
        <v>288565</v>
      </c>
      <c r="F83" s="7">
        <f t="shared" ref="F83:K83" si="256">-F57</f>
        <v>240942</v>
      </c>
      <c r="G83" s="7">
        <f t="shared" si="256"/>
        <v>494513</v>
      </c>
      <c r="H83" s="7">
        <f t="shared" si="256"/>
        <v>1261540</v>
      </c>
      <c r="I83" s="7">
        <f t="shared" si="256"/>
        <v>1276564</v>
      </c>
      <c r="J83" s="7">
        <f t="shared" si="256"/>
        <v>938849</v>
      </c>
      <c r="K83" s="7">
        <f t="shared" si="256"/>
        <v>974782</v>
      </c>
      <c r="L83" s="7"/>
      <c r="M83" s="115"/>
      <c r="N83" s="115"/>
      <c r="O83" s="115"/>
      <c r="P83" s="7">
        <f>-SUM(M57:P57)</f>
        <v>240942</v>
      </c>
      <c r="Q83" s="7">
        <f t="shared" ref="Q83:AG83" si="257">-SUM(N57:Q57)</f>
        <v>280221</v>
      </c>
      <c r="R83" s="7">
        <f t="shared" si="257"/>
        <v>318041</v>
      </c>
      <c r="S83" s="7">
        <f t="shared" si="257"/>
        <v>366304</v>
      </c>
      <c r="T83" s="7">
        <f t="shared" si="257"/>
        <v>494513</v>
      </c>
      <c r="U83" s="7">
        <f t="shared" si="257"/>
        <v>613317</v>
      </c>
      <c r="V83" s="7">
        <f t="shared" si="257"/>
        <v>825105</v>
      </c>
      <c r="W83" s="7">
        <f t="shared" si="257"/>
        <v>272347</v>
      </c>
      <c r="X83" s="7">
        <f t="shared" si="257"/>
        <v>1261540</v>
      </c>
      <c r="Y83" s="7">
        <f t="shared" si="257"/>
        <v>1463603</v>
      </c>
      <c r="Z83" s="7">
        <f t="shared" si="257"/>
        <v>1459090</v>
      </c>
      <c r="AA83" s="7">
        <f t="shared" si="257"/>
        <v>2241855</v>
      </c>
      <c r="AB83" s="7">
        <f t="shared" si="257"/>
        <v>1276564</v>
      </c>
      <c r="AC83" s="7">
        <f t="shared" si="257"/>
        <v>1179549</v>
      </c>
      <c r="AD83" s="7">
        <f t="shared" si="257"/>
        <v>1060382</v>
      </c>
      <c r="AE83" s="7">
        <f t="shared" si="257"/>
        <v>1014681</v>
      </c>
      <c r="AF83" s="7">
        <f t="shared" si="257"/>
        <v>938849</v>
      </c>
      <c r="AG83" s="7">
        <f t="shared" si="257"/>
        <v>974782</v>
      </c>
    </row>
    <row r="84" spans="2:33" ht="13.5" customHeight="1">
      <c r="B84" s="16" t="s">
        <v>165</v>
      </c>
      <c r="C84" s="7">
        <f t="shared" ref="C84:G84" si="258">+C22</f>
        <v>15539984</v>
      </c>
      <c r="D84" s="7">
        <f t="shared" si="258"/>
        <v>2009078</v>
      </c>
      <c r="E84" s="7">
        <f t="shared" si="258"/>
        <v>4758914</v>
      </c>
      <c r="F84" s="7">
        <f t="shared" si="258"/>
        <v>9616188</v>
      </c>
      <c r="G84" s="7">
        <f t="shared" si="258"/>
        <v>2241669</v>
      </c>
      <c r="H84" s="7">
        <f t="shared" ref="H84:I84" si="259">+H22</f>
        <v>-9137547</v>
      </c>
      <c r="I84" s="7">
        <f t="shared" si="259"/>
        <v>19796902</v>
      </c>
      <c r="J84" s="7">
        <f t="shared" ref="J84" si="260">+J22</f>
        <v>42947902</v>
      </c>
      <c r="K84" s="7">
        <f t="shared" ref="K84" si="261">+K22</f>
        <v>75185616</v>
      </c>
      <c r="L84" s="7"/>
      <c r="M84" s="115"/>
      <c r="N84" s="115"/>
      <c r="O84" s="115"/>
      <c r="P84" s="7">
        <f t="shared" ref="P84" si="262">SUM(M22:P22)</f>
        <v>9616188</v>
      </c>
      <c r="Q84" s="7">
        <f t="shared" ref="Q84" si="263">SUM(N22:Q22)</f>
        <v>10610758</v>
      </c>
      <c r="R84" s="7">
        <f t="shared" ref="R84" si="264">SUM(O22:R22)</f>
        <v>11503764</v>
      </c>
      <c r="S84" s="7">
        <f t="shared" ref="S84" si="265">SUM(P22:S22)</f>
        <v>9296129</v>
      </c>
      <c r="T84" s="7">
        <f t="shared" ref="T84" si="266">SUM(Q22:T22)</f>
        <v>2241669</v>
      </c>
      <c r="U84" s="7">
        <f t="shared" ref="U84" si="267">SUM(R22:U22)</f>
        <v>-2331032</v>
      </c>
      <c r="V84" s="7">
        <f t="shared" ref="V84:AG84" si="268">SUM(S22:V22)</f>
        <v>-8200369</v>
      </c>
      <c r="W84" s="7">
        <f t="shared" si="268"/>
        <v>-11492685</v>
      </c>
      <c r="X84" s="7">
        <f t="shared" si="268"/>
        <v>-9137547</v>
      </c>
      <c r="Y84" s="7">
        <f t="shared" si="268"/>
        <v>-4635017</v>
      </c>
      <c r="Z84" s="7">
        <f t="shared" si="268"/>
        <v>2472893</v>
      </c>
      <c r="AA84" s="7">
        <f t="shared" si="268"/>
        <v>10410965</v>
      </c>
      <c r="AB84" s="7">
        <f t="shared" si="268"/>
        <v>19796902</v>
      </c>
      <c r="AC84" s="7">
        <f t="shared" si="268"/>
        <v>25988058</v>
      </c>
      <c r="AD84" s="7">
        <f t="shared" si="268"/>
        <v>28864271</v>
      </c>
      <c r="AE84" s="7">
        <f t="shared" si="268"/>
        <v>35708436</v>
      </c>
      <c r="AF84" s="7">
        <f t="shared" si="268"/>
        <v>42947902</v>
      </c>
      <c r="AG84" s="7">
        <f t="shared" si="268"/>
        <v>75185616</v>
      </c>
    </row>
    <row r="85" spans="2:33" ht="13.5" customHeight="1">
      <c r="B85" s="16" t="s">
        <v>166</v>
      </c>
      <c r="C85" s="7">
        <f t="shared" ref="C85:E85" si="269">-C59</f>
        <v>15904392</v>
      </c>
      <c r="D85" s="7">
        <f t="shared" si="269"/>
        <v>13866404</v>
      </c>
      <c r="E85" s="7">
        <f t="shared" si="269"/>
        <v>10009573</v>
      </c>
      <c r="F85" s="7">
        <f t="shared" ref="F85:G85" si="270">-F59</f>
        <v>12406695</v>
      </c>
      <c r="G85" s="7">
        <f t="shared" si="270"/>
        <v>18686543</v>
      </c>
      <c r="H85" s="7">
        <f t="shared" ref="H85:I85" si="271">-H59</f>
        <v>6785313</v>
      </c>
      <c r="I85" s="7">
        <f t="shared" si="271"/>
        <v>15898408</v>
      </c>
      <c r="J85" s="7">
        <f t="shared" ref="J85" si="272">-J59</f>
        <v>27374096</v>
      </c>
      <c r="K85" s="7">
        <f t="shared" ref="K85" si="273">-K59</f>
        <v>28778594</v>
      </c>
      <c r="L85" s="7"/>
      <c r="M85" s="115"/>
      <c r="N85" s="115"/>
      <c r="O85" s="115"/>
      <c r="P85" s="7">
        <f>-SUM(M59:P59)</f>
        <v>12406695</v>
      </c>
      <c r="Q85" s="7">
        <f t="shared" ref="Q85:AG85" si="274">-SUM(N59:Q59)</f>
        <v>13634968</v>
      </c>
      <c r="R85" s="7">
        <f t="shared" si="274"/>
        <v>15299363</v>
      </c>
      <c r="S85" s="7">
        <f t="shared" si="274"/>
        <v>17294036</v>
      </c>
      <c r="T85" s="7">
        <f t="shared" si="274"/>
        <v>18686543</v>
      </c>
      <c r="U85" s="7">
        <f t="shared" si="274"/>
        <v>16620655</v>
      </c>
      <c r="V85" s="7">
        <f t="shared" si="274"/>
        <v>13986440</v>
      </c>
      <c r="W85" s="7">
        <f t="shared" si="274"/>
        <v>9339760</v>
      </c>
      <c r="X85" s="7">
        <f t="shared" si="274"/>
        <v>6785313</v>
      </c>
      <c r="Y85" s="7">
        <f t="shared" si="274"/>
        <v>6732914</v>
      </c>
      <c r="Z85" s="7">
        <f t="shared" si="274"/>
        <v>6875080</v>
      </c>
      <c r="AA85" s="7">
        <f t="shared" si="274"/>
        <v>10225532</v>
      </c>
      <c r="AB85" s="7">
        <f t="shared" si="274"/>
        <v>15898408</v>
      </c>
      <c r="AC85" s="7">
        <f t="shared" si="274"/>
        <v>19042370</v>
      </c>
      <c r="AD85" s="7">
        <f t="shared" si="274"/>
        <v>21272857</v>
      </c>
      <c r="AE85" s="7">
        <f t="shared" si="274"/>
        <v>22788587</v>
      </c>
      <c r="AF85" s="7">
        <f t="shared" si="274"/>
        <v>27374096</v>
      </c>
      <c r="AG85" s="7">
        <f t="shared" si="274"/>
        <v>28778594</v>
      </c>
    </row>
    <row r="86" spans="2:33" ht="13.5" customHeight="1">
      <c r="B86" s="16" t="s">
        <v>148</v>
      </c>
      <c r="C86" s="7">
        <f t="shared" ref="C86:E86" si="275">+C62</f>
        <v>4459736</v>
      </c>
      <c r="D86" s="7">
        <f t="shared" si="275"/>
        <v>-7598059</v>
      </c>
      <c r="E86" s="7">
        <f t="shared" si="275"/>
        <v>1777041</v>
      </c>
      <c r="F86" s="7">
        <f t="shared" ref="F86:G86" si="276">+F62</f>
        <v>-2247713</v>
      </c>
      <c r="G86" s="7">
        <f t="shared" si="276"/>
        <v>-6686804</v>
      </c>
      <c r="H86" s="7">
        <f t="shared" ref="H86:I86" si="277">+H62</f>
        <v>-3282284</v>
      </c>
      <c r="I86" s="7">
        <f t="shared" si="277"/>
        <v>12932234</v>
      </c>
      <c r="J86" s="7">
        <f t="shared" ref="J86" si="278">+J62</f>
        <v>16973127</v>
      </c>
      <c r="K86" s="7">
        <f t="shared" ref="K86" si="279">+K62</f>
        <v>27134022</v>
      </c>
      <c r="L86" s="7"/>
      <c r="M86" s="115"/>
      <c r="N86" s="115"/>
      <c r="O86" s="115"/>
      <c r="P86" s="7">
        <f>SUM(M62:P62)</f>
        <v>-2247713</v>
      </c>
      <c r="Q86" s="7">
        <f t="shared" ref="Q86:AG86" si="280">SUM(N62:Q62)</f>
        <v>-1884819</v>
      </c>
      <c r="R86" s="7">
        <f t="shared" si="280"/>
        <v>-3227219</v>
      </c>
      <c r="S86" s="7">
        <f t="shared" si="280"/>
        <v>-8189361</v>
      </c>
      <c r="T86" s="7">
        <f t="shared" si="280"/>
        <v>-6686804</v>
      </c>
      <c r="U86" s="7">
        <f t="shared" si="280"/>
        <v>-10853456</v>
      </c>
      <c r="V86" s="7">
        <f t="shared" si="280"/>
        <v>-11514355</v>
      </c>
      <c r="W86" s="7">
        <f t="shared" si="280"/>
        <v>-6747136</v>
      </c>
      <c r="X86" s="7">
        <f t="shared" si="280"/>
        <v>-3282284</v>
      </c>
      <c r="Y86" s="7">
        <f t="shared" si="280"/>
        <v>3067507</v>
      </c>
      <c r="Z86" s="7">
        <f t="shared" si="280"/>
        <v>8681986</v>
      </c>
      <c r="AA86" s="7">
        <f t="shared" si="280"/>
        <v>11327423</v>
      </c>
      <c r="AB86" s="7">
        <f t="shared" si="280"/>
        <v>12932234</v>
      </c>
      <c r="AC86" s="7">
        <f t="shared" si="280"/>
        <v>14630136</v>
      </c>
      <c r="AD86" s="7">
        <f t="shared" si="280"/>
        <v>14436547</v>
      </c>
      <c r="AE86" s="7">
        <f t="shared" si="280"/>
        <v>14407578</v>
      </c>
      <c r="AF86" s="7">
        <f t="shared" si="280"/>
        <v>16973127</v>
      </c>
      <c r="AG86" s="7">
        <f t="shared" si="280"/>
        <v>27134022</v>
      </c>
    </row>
    <row r="87" spans="2:33" ht="13.5" customHeight="1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2:33" ht="13.5" customHeight="1">
      <c r="B88" s="39" t="s">
        <v>167</v>
      </c>
      <c r="C88" s="44">
        <f t="shared" ref="C88:I88" si="281">C3</f>
        <v>43465</v>
      </c>
      <c r="D88" s="44">
        <f t="shared" si="281"/>
        <v>43830</v>
      </c>
      <c r="E88" s="44">
        <f t="shared" si="281"/>
        <v>44196</v>
      </c>
      <c r="F88" s="44">
        <f t="shared" si="281"/>
        <v>44561</v>
      </c>
      <c r="G88" s="44">
        <f t="shared" si="281"/>
        <v>44926</v>
      </c>
      <c r="H88" s="44">
        <f t="shared" si="281"/>
        <v>45291</v>
      </c>
      <c r="I88" s="44">
        <f t="shared" si="281"/>
        <v>45657</v>
      </c>
      <c r="J88" s="44">
        <f t="shared" ref="J88" si="282">J3</f>
        <v>46022</v>
      </c>
      <c r="K88" s="44" t="str">
        <f>K2</f>
        <v>LTM</v>
      </c>
      <c r="L88" s="203"/>
      <c r="M88" s="44">
        <f t="shared" ref="M88:AB88" si="283">M3</f>
        <v>44286</v>
      </c>
      <c r="N88" s="44">
        <f t="shared" si="283"/>
        <v>44377</v>
      </c>
      <c r="O88" s="44">
        <f t="shared" si="283"/>
        <v>44469</v>
      </c>
      <c r="P88" s="44">
        <f t="shared" si="283"/>
        <v>44561</v>
      </c>
      <c r="Q88" s="44">
        <f t="shared" si="283"/>
        <v>44651</v>
      </c>
      <c r="R88" s="44">
        <f t="shared" si="283"/>
        <v>44742</v>
      </c>
      <c r="S88" s="44">
        <f t="shared" si="283"/>
        <v>44834</v>
      </c>
      <c r="T88" s="44">
        <f t="shared" si="283"/>
        <v>44926</v>
      </c>
      <c r="U88" s="44">
        <f t="shared" si="283"/>
        <v>45016</v>
      </c>
      <c r="V88" s="44">
        <f t="shared" si="283"/>
        <v>45107</v>
      </c>
      <c r="W88" s="44">
        <f t="shared" si="283"/>
        <v>45199</v>
      </c>
      <c r="X88" s="44">
        <f t="shared" si="283"/>
        <v>45291</v>
      </c>
      <c r="Y88" s="44">
        <f t="shared" si="283"/>
        <v>45382</v>
      </c>
      <c r="Z88" s="44">
        <f t="shared" si="283"/>
        <v>45473</v>
      </c>
      <c r="AA88" s="44">
        <f t="shared" si="283"/>
        <v>45565</v>
      </c>
      <c r="AB88" s="44">
        <f t="shared" si="283"/>
        <v>45657</v>
      </c>
      <c r="AC88" s="44">
        <f t="shared" ref="AC88:AF88" si="284">AC3</f>
        <v>45747</v>
      </c>
      <c r="AD88" s="44">
        <f t="shared" si="284"/>
        <v>45838</v>
      </c>
      <c r="AE88" s="44">
        <f t="shared" si="284"/>
        <v>45930</v>
      </c>
      <c r="AF88" s="44">
        <f t="shared" si="284"/>
        <v>46022</v>
      </c>
      <c r="AG88" s="44">
        <f t="shared" ref="AG88" si="285">AG3</f>
        <v>46112</v>
      </c>
    </row>
    <row r="89" spans="2:33" ht="13.5" customHeight="1">
      <c r="C89" s="50"/>
      <c r="D89" s="50"/>
      <c r="E89" s="50"/>
      <c r="F89" s="50"/>
      <c r="G89" s="50"/>
      <c r="H89" s="50"/>
      <c r="I89" s="50"/>
    </row>
    <row r="90" spans="2:33" s="19" customFormat="1" ht="13.5" customHeight="1">
      <c r="B90" s="16" t="s">
        <v>168</v>
      </c>
      <c r="C90" s="50">
        <f>34952617</f>
        <v>34952617</v>
      </c>
      <c r="D90" s="50">
        <f>39949940+1706658</f>
        <v>41656598</v>
      </c>
      <c r="E90" s="50">
        <f>41230562+1707645</f>
        <v>42938207</v>
      </c>
      <c r="F90" s="50">
        <f>53225667+1597344</f>
        <v>54823011</v>
      </c>
      <c r="G90" s="50">
        <f>60228528+1779985</f>
        <v>62008513</v>
      </c>
      <c r="H90" s="50">
        <f>52704853+2694844</f>
        <v>55399697</v>
      </c>
      <c r="I90" s="50">
        <f>60157474+2486871</f>
        <v>62644345</v>
      </c>
      <c r="J90" s="50">
        <f>77502704+2336457</f>
        <v>79839161</v>
      </c>
      <c r="K90" s="7">
        <f>AG90</f>
        <v>84405600</v>
      </c>
      <c r="L90" s="7"/>
      <c r="M90" s="50">
        <f>43328696+1779739</f>
        <v>45108435</v>
      </c>
      <c r="N90" s="50">
        <f>43866891+1644749</f>
        <v>45511640</v>
      </c>
      <c r="O90" s="50">
        <f>44307734+1581465</f>
        <v>45889199</v>
      </c>
      <c r="P90" s="7">
        <f>F90</f>
        <v>54823011</v>
      </c>
      <c r="Q90" s="50">
        <f>55320713+1655699</f>
        <v>56976412</v>
      </c>
      <c r="R90" s="50">
        <f>58113861+1747218</f>
        <v>59861079</v>
      </c>
      <c r="S90" s="50">
        <f>60404219+1758255</f>
        <v>62162474</v>
      </c>
      <c r="T90" s="7">
        <f>G90</f>
        <v>62008513</v>
      </c>
      <c r="U90" s="50">
        <f>59225641+1937844</f>
        <v>61163485</v>
      </c>
      <c r="V90" s="50">
        <f>56597820+1946663</f>
        <v>58544483</v>
      </c>
      <c r="W90" s="50">
        <f>54016964+2683902</f>
        <v>56700866</v>
      </c>
      <c r="X90" s="7">
        <f>H90</f>
        <v>55399697</v>
      </c>
      <c r="Y90" s="50">
        <f>53163891+2715955</f>
        <v>55879846</v>
      </c>
      <c r="Z90" s="50">
        <f>53231992+2509383</f>
        <v>55741375</v>
      </c>
      <c r="AA90" s="50">
        <f>54633704+2474330</f>
        <v>57108034</v>
      </c>
      <c r="AB90" s="7">
        <f>I90</f>
        <v>62644345</v>
      </c>
      <c r="AC90" s="50">
        <f>63015300+2400441</f>
        <v>65415741</v>
      </c>
      <c r="AD90" s="50">
        <f>64472933+2349614</f>
        <v>66822547</v>
      </c>
      <c r="AE90" s="50">
        <f>68145161+2312210</f>
        <v>70457371</v>
      </c>
      <c r="AF90" s="7">
        <f>J90</f>
        <v>79839161</v>
      </c>
      <c r="AG90" s="50">
        <f>82051924+2353676</f>
        <v>84405600</v>
      </c>
    </row>
    <row r="91" spans="2:33" s="19" customFormat="1" ht="13.5" customHeight="1">
      <c r="B91" s="61" t="s">
        <v>169</v>
      </c>
      <c r="C91" s="50">
        <v>4422733</v>
      </c>
      <c r="D91" s="50">
        <v>5295835</v>
      </c>
      <c r="E91" s="50">
        <v>6136318</v>
      </c>
      <c r="F91" s="50">
        <v>8950087</v>
      </c>
      <c r="G91" s="50">
        <v>15664707</v>
      </c>
      <c r="H91" s="50">
        <v>13480659</v>
      </c>
      <c r="I91" s="50">
        <v>13313937</v>
      </c>
      <c r="J91" s="50">
        <v>14289390</v>
      </c>
      <c r="K91" s="7">
        <f>AG91</f>
        <v>15974133</v>
      </c>
      <c r="L91" s="7"/>
      <c r="M91" s="50">
        <v>6182597</v>
      </c>
      <c r="N91" s="50">
        <v>6226651</v>
      </c>
      <c r="O91" s="50">
        <v>6600336</v>
      </c>
      <c r="P91" s="7">
        <f>F91</f>
        <v>8950087</v>
      </c>
      <c r="Q91" s="50">
        <v>10392670</v>
      </c>
      <c r="R91" s="50">
        <v>11878738</v>
      </c>
      <c r="S91" s="50">
        <v>14664974</v>
      </c>
      <c r="T91" s="7">
        <f>G91</f>
        <v>15664707</v>
      </c>
      <c r="U91" s="50">
        <v>17182269</v>
      </c>
      <c r="V91" s="50">
        <v>16420200</v>
      </c>
      <c r="W91" s="50">
        <v>14947895</v>
      </c>
      <c r="X91" s="7">
        <f t="shared" ref="X91:X93" si="286">H91</f>
        <v>13480659</v>
      </c>
      <c r="Y91" s="50">
        <v>13844639</v>
      </c>
      <c r="Z91" s="50">
        <v>13354938</v>
      </c>
      <c r="AA91" s="50">
        <v>13353865</v>
      </c>
      <c r="AB91" s="7">
        <f t="shared" ref="AB91:AB93" si="287">I91</f>
        <v>13313937</v>
      </c>
      <c r="AC91" s="50">
        <v>14551350</v>
      </c>
      <c r="AD91" s="50">
        <v>13408333</v>
      </c>
      <c r="AE91" s="50">
        <v>13156389</v>
      </c>
      <c r="AF91" s="7">
        <f t="shared" ref="AF91:AF93" si="288">J91</f>
        <v>14289390</v>
      </c>
      <c r="AG91" s="50">
        <v>15974133</v>
      </c>
    </row>
    <row r="92" spans="2:33" s="19" customFormat="1" ht="13.5" customHeight="1">
      <c r="B92" s="61" t="s">
        <v>170</v>
      </c>
      <c r="C92" s="50">
        <v>6319994</v>
      </c>
      <c r="D92" s="50">
        <v>4261674</v>
      </c>
      <c r="E92" s="50">
        <v>4931322</v>
      </c>
      <c r="F92" s="50">
        <v>8267111</v>
      </c>
      <c r="G92" s="50">
        <v>5186054</v>
      </c>
      <c r="H92" s="50">
        <v>6600273</v>
      </c>
      <c r="I92" s="50">
        <v>13019006</v>
      </c>
      <c r="J92" s="50">
        <v>18199078</v>
      </c>
      <c r="K92" s="7">
        <f>AG92</f>
        <v>33807843</v>
      </c>
      <c r="L92" s="7"/>
      <c r="M92" s="50">
        <v>5336152</v>
      </c>
      <c r="N92" s="50">
        <v>6500214</v>
      </c>
      <c r="O92" s="50">
        <v>7517462</v>
      </c>
      <c r="P92" s="7">
        <f>F92</f>
        <v>8267111</v>
      </c>
      <c r="Q92" s="50">
        <v>8146418</v>
      </c>
      <c r="R92" s="50">
        <v>9040032</v>
      </c>
      <c r="S92" s="50">
        <v>8519642</v>
      </c>
      <c r="T92" s="7">
        <f>G92</f>
        <v>5186054</v>
      </c>
      <c r="U92" s="50">
        <v>4227451</v>
      </c>
      <c r="V92" s="50">
        <v>4487069</v>
      </c>
      <c r="W92" s="50">
        <v>5515297</v>
      </c>
      <c r="X92" s="7">
        <f t="shared" si="286"/>
        <v>6600273</v>
      </c>
      <c r="Y92" s="50">
        <v>7178507</v>
      </c>
      <c r="Z92" s="50">
        <v>10223675</v>
      </c>
      <c r="AA92" s="50">
        <v>10471229</v>
      </c>
      <c r="AB92" s="7">
        <f t="shared" si="287"/>
        <v>13019006</v>
      </c>
      <c r="AC92" s="50">
        <v>10628589</v>
      </c>
      <c r="AD92" s="50">
        <v>13125210</v>
      </c>
      <c r="AE92" s="50">
        <v>14312462</v>
      </c>
      <c r="AF92" s="7">
        <f t="shared" si="288"/>
        <v>18199078</v>
      </c>
      <c r="AG92" s="50">
        <v>33807843</v>
      </c>
    </row>
    <row r="93" spans="2:33" s="19" customFormat="1" ht="13.5" customHeight="1">
      <c r="B93" s="61" t="s">
        <v>171</v>
      </c>
      <c r="C93" s="50">
        <v>1096380</v>
      </c>
      <c r="D93" s="50">
        <v>1042542</v>
      </c>
      <c r="E93" s="50">
        <v>1046159</v>
      </c>
      <c r="F93" s="50">
        <v>1359247</v>
      </c>
      <c r="G93" s="50">
        <v>2186230</v>
      </c>
      <c r="H93" s="50">
        <v>1845537</v>
      </c>
      <c r="I93" s="50">
        <v>2277347</v>
      </c>
      <c r="J93" s="50">
        <v>2848455</v>
      </c>
      <c r="K93" s="7">
        <f>AG93</f>
        <v>2797840</v>
      </c>
      <c r="L93" s="7"/>
      <c r="M93" s="50">
        <v>1260162</v>
      </c>
      <c r="N93" s="50">
        <v>1168771</v>
      </c>
      <c r="O93" s="50">
        <v>1275837</v>
      </c>
      <c r="P93" s="7">
        <f>F93</f>
        <v>1359247</v>
      </c>
      <c r="Q93" s="50">
        <v>2292070</v>
      </c>
      <c r="R93" s="50">
        <v>2926222</v>
      </c>
      <c r="S93" s="50">
        <v>2476315</v>
      </c>
      <c r="T93" s="7">
        <f>G93</f>
        <v>2186230</v>
      </c>
      <c r="U93" s="50">
        <v>1745905</v>
      </c>
      <c r="V93" s="50">
        <v>1882106</v>
      </c>
      <c r="W93" s="50">
        <v>1916761</v>
      </c>
      <c r="X93" s="7">
        <f t="shared" si="286"/>
        <v>1845537</v>
      </c>
      <c r="Y93" s="50">
        <v>1747205</v>
      </c>
      <c r="Z93" s="50">
        <v>2093222</v>
      </c>
      <c r="AA93" s="50">
        <v>1889926</v>
      </c>
      <c r="AB93" s="7">
        <f t="shared" si="287"/>
        <v>2277347</v>
      </c>
      <c r="AC93" s="50">
        <v>1875167</v>
      </c>
      <c r="AD93" s="50">
        <v>1862417</v>
      </c>
      <c r="AE93" s="50">
        <v>2270386</v>
      </c>
      <c r="AF93" s="7">
        <f t="shared" si="288"/>
        <v>2848455</v>
      </c>
      <c r="AG93" s="50">
        <v>2797840</v>
      </c>
    </row>
    <row r="94" spans="2:33" s="19" customFormat="1" ht="13.5" customHeight="1">
      <c r="B94" s="19" t="s">
        <v>172</v>
      </c>
      <c r="C94" s="43">
        <f t="shared" ref="C94:D94" si="289">+C91+C92-C93</f>
        <v>9646347</v>
      </c>
      <c r="D94" s="43">
        <f t="shared" si="289"/>
        <v>8514967</v>
      </c>
      <c r="E94" s="43">
        <f t="shared" ref="E94:J94" si="290">+E91+E92-E93</f>
        <v>10021481</v>
      </c>
      <c r="F94" s="43">
        <f t="shared" si="290"/>
        <v>15857951</v>
      </c>
      <c r="G94" s="43">
        <f t="shared" si="290"/>
        <v>18664531</v>
      </c>
      <c r="H94" s="43">
        <f t="shared" si="290"/>
        <v>18235395</v>
      </c>
      <c r="I94" s="43">
        <f t="shared" si="290"/>
        <v>24055596</v>
      </c>
      <c r="J94" s="43">
        <f t="shared" si="290"/>
        <v>29640013</v>
      </c>
      <c r="K94" s="43">
        <f>+K91+K92-K93</f>
        <v>46984136</v>
      </c>
      <c r="L94" s="43"/>
      <c r="M94" s="43">
        <f t="shared" ref="M94:O94" si="291">+M91+M92-M93</f>
        <v>10258587</v>
      </c>
      <c r="N94" s="43">
        <f t="shared" si="291"/>
        <v>11558094</v>
      </c>
      <c r="O94" s="43">
        <f t="shared" si="291"/>
        <v>12841961</v>
      </c>
      <c r="P94" s="43">
        <f t="shared" ref="P94:R94" si="292">+P91+P92-P93</f>
        <v>15857951</v>
      </c>
      <c r="Q94" s="43">
        <f t="shared" si="292"/>
        <v>16247018</v>
      </c>
      <c r="R94" s="43">
        <f t="shared" si="292"/>
        <v>17992548</v>
      </c>
      <c r="S94" s="43">
        <f t="shared" ref="S94:V94" si="293">+S91+S92-S93</f>
        <v>20708301</v>
      </c>
      <c r="T94" s="43">
        <f t="shared" si="293"/>
        <v>18664531</v>
      </c>
      <c r="U94" s="43">
        <f t="shared" si="293"/>
        <v>19663815</v>
      </c>
      <c r="V94" s="43">
        <f t="shared" si="293"/>
        <v>19025163</v>
      </c>
      <c r="W94" s="43">
        <f t="shared" ref="W94:Z94" si="294">+W91+W92-W93</f>
        <v>18546431</v>
      </c>
      <c r="X94" s="43">
        <f t="shared" si="294"/>
        <v>18235395</v>
      </c>
      <c r="Y94" s="43">
        <f t="shared" si="294"/>
        <v>19275941</v>
      </c>
      <c r="Z94" s="43">
        <f t="shared" si="294"/>
        <v>21485391</v>
      </c>
      <c r="AA94" s="43">
        <f t="shared" ref="AA94:AD94" si="295">+AA91+AA92-AA93</f>
        <v>21935168</v>
      </c>
      <c r="AB94" s="43">
        <f t="shared" si="295"/>
        <v>24055596</v>
      </c>
      <c r="AC94" s="43">
        <f t="shared" si="295"/>
        <v>23304772</v>
      </c>
      <c r="AD94" s="43">
        <f t="shared" si="295"/>
        <v>24671126</v>
      </c>
      <c r="AE94" s="43">
        <f t="shared" ref="AE94:AG94" si="296">+AE91+AE92-AE93</f>
        <v>25198465</v>
      </c>
      <c r="AF94" s="43">
        <f t="shared" si="296"/>
        <v>29640013</v>
      </c>
      <c r="AG94" s="43">
        <f t="shared" si="296"/>
        <v>46984136</v>
      </c>
    </row>
    <row r="95" spans="2:33" s="29" customFormat="1" ht="13.5" customHeight="1">
      <c r="B95" s="55" t="s">
        <v>173</v>
      </c>
      <c r="C95" s="63">
        <f t="shared" ref="C95:E95" si="297">+C94/C79</f>
        <v>0.23850491429535559</v>
      </c>
      <c r="D95" s="63">
        <f t="shared" si="297"/>
        <v>0.31547742701170806</v>
      </c>
      <c r="E95" s="63">
        <f t="shared" si="297"/>
        <v>0.31414889297061876</v>
      </c>
      <c r="F95" s="63">
        <f t="shared" ref="F95:G95" si="298">+F94/F79</f>
        <v>0.36880849602695875</v>
      </c>
      <c r="G95" s="63">
        <f t="shared" si="298"/>
        <v>0.41828496479549981</v>
      </c>
      <c r="H95" s="63">
        <f t="shared" ref="H95:I95" si="299">+H94/H79</f>
        <v>0.55653883255240022</v>
      </c>
      <c r="I95" s="63">
        <f t="shared" si="299"/>
        <v>0.36341623036649212</v>
      </c>
      <c r="J95" s="63">
        <f t="shared" ref="J95" si="300">+J94/J79</f>
        <v>0.30510578977612973</v>
      </c>
      <c r="K95" s="63">
        <f>+K94/K79</f>
        <v>0.35571454281293091</v>
      </c>
      <c r="L95" s="54"/>
      <c r="M95" s="66"/>
      <c r="N95" s="66"/>
      <c r="O95" s="63"/>
      <c r="P95" s="63">
        <f t="shared" ref="P95:R95" si="301">+P94/P79</f>
        <v>0.36880849602695875</v>
      </c>
      <c r="Q95" s="66">
        <f t="shared" si="301"/>
        <v>0.34820567331365776</v>
      </c>
      <c r="R95" s="66">
        <f t="shared" si="301"/>
        <v>0.35878474502182883</v>
      </c>
      <c r="S95" s="66">
        <f t="shared" ref="S95:V95" si="302">+S94/S79</f>
        <v>0.41982402192946516</v>
      </c>
      <c r="T95" s="63">
        <f t="shared" si="302"/>
        <v>0.41828496479549981</v>
      </c>
      <c r="U95" s="66">
        <f t="shared" si="302"/>
        <v>0.52361403275377183</v>
      </c>
      <c r="V95" s="66">
        <f t="shared" si="302"/>
        <v>0.61274722971379592</v>
      </c>
      <c r="W95" s="66">
        <f t="shared" ref="W95:Z95" si="303">+W94/W79</f>
        <v>0.63662894374844969</v>
      </c>
      <c r="X95" s="63">
        <f t="shared" si="303"/>
        <v>0.55653883255240022</v>
      </c>
      <c r="Y95" s="66">
        <f t="shared" si="303"/>
        <v>0.48061041699090185</v>
      </c>
      <c r="Z95" s="66">
        <f t="shared" si="303"/>
        <v>0.43647731250095606</v>
      </c>
      <c r="AA95" s="66">
        <f t="shared" ref="AA95:AD95" si="304">+AA94/AA79</f>
        <v>0.37995193224820401</v>
      </c>
      <c r="AB95" s="63">
        <f t="shared" si="304"/>
        <v>0.36341623036649212</v>
      </c>
      <c r="AC95" s="66">
        <f t="shared" si="304"/>
        <v>0.32638592515447251</v>
      </c>
      <c r="AD95" s="66">
        <f t="shared" si="304"/>
        <v>0.31952782703265176</v>
      </c>
      <c r="AE95" s="66">
        <f t="shared" ref="AE95:AG95" si="305">+AE94/AE79</f>
        <v>0.29967114915200327</v>
      </c>
      <c r="AF95" s="63">
        <f t="shared" si="305"/>
        <v>0.30510578977612973</v>
      </c>
      <c r="AG95" s="66">
        <f t="shared" si="305"/>
        <v>0.35571454281293091</v>
      </c>
    </row>
    <row r="96" spans="2:33" ht="13.5" customHeight="1">
      <c r="C96" s="58"/>
      <c r="D96" s="58"/>
      <c r="E96" s="58"/>
      <c r="F96" s="58"/>
      <c r="G96" s="58"/>
      <c r="H96" s="58"/>
      <c r="I96" s="58"/>
      <c r="J96" s="58"/>
      <c r="K96" s="7"/>
      <c r="L96" s="7"/>
      <c r="M96" s="50"/>
      <c r="N96" s="50"/>
      <c r="O96" s="50"/>
      <c r="P96" s="7"/>
      <c r="Q96" s="50"/>
      <c r="R96" s="50"/>
      <c r="S96" s="50"/>
      <c r="T96" s="7"/>
      <c r="U96" s="50"/>
      <c r="V96" s="50"/>
      <c r="W96" s="50"/>
      <c r="X96" s="7"/>
      <c r="Y96" s="50"/>
      <c r="Z96" s="50"/>
      <c r="AA96" s="50"/>
      <c r="AB96" s="7"/>
      <c r="AC96" s="50"/>
      <c r="AD96" s="50"/>
      <c r="AE96" s="50"/>
      <c r="AF96" s="7"/>
      <c r="AG96" s="50"/>
    </row>
    <row r="97" spans="2:33" ht="13.5" customHeight="1">
      <c r="B97" s="231" t="s">
        <v>174</v>
      </c>
      <c r="C97" s="232">
        <f t="shared" ref="C97:I97" si="306">IFERROR((C91/-C9)*365,"-")</f>
        <v>106.33784149465266</v>
      </c>
      <c r="D97" s="232">
        <f t="shared" si="306"/>
        <v>102.71528136682791</v>
      </c>
      <c r="E97" s="233">
        <f t="shared" si="306"/>
        <v>106.20097100070561</v>
      </c>
      <c r="F97" s="233">
        <f t="shared" si="306"/>
        <v>135.85777668263634</v>
      </c>
      <c r="G97" s="233">
        <f t="shared" si="306"/>
        <v>197.20199530843115</v>
      </c>
      <c r="H97" s="233">
        <f t="shared" si="306"/>
        <v>147.7646733625499</v>
      </c>
      <c r="I97" s="233">
        <f t="shared" si="306"/>
        <v>141.41170689880644</v>
      </c>
      <c r="J97" s="233">
        <f t="shared" ref="J97" si="307">IFERROR((J91/-J9)*365,"-")</f>
        <v>135.62624680201742</v>
      </c>
      <c r="K97" s="233">
        <f>IFERROR((K91/-K9)*365,"-")</f>
        <v>139.43498190914741</v>
      </c>
      <c r="L97" s="234"/>
      <c r="M97" s="233">
        <f t="shared" ref="M97:AB97" si="308">IFERROR((M91/-M9)*(365/4),"-")</f>
        <v>97.848977086672079</v>
      </c>
      <c r="N97" s="233">
        <f t="shared" si="308"/>
        <v>94.978325588447248</v>
      </c>
      <c r="O97" s="233">
        <f t="shared" si="308"/>
        <v>100.81242729237213</v>
      </c>
      <c r="P97" s="233">
        <f t="shared" si="308"/>
        <v>129.15319323446664</v>
      </c>
      <c r="Q97" s="233">
        <f t="shared" si="308"/>
        <v>140.40079572643663</v>
      </c>
      <c r="R97" s="233">
        <f t="shared" si="308"/>
        <v>145.04021528526735</v>
      </c>
      <c r="S97" s="233">
        <f t="shared" si="308"/>
        <v>188.01769118161752</v>
      </c>
      <c r="T97" s="233">
        <f t="shared" si="308"/>
        <v>186.88414667469775</v>
      </c>
      <c r="U97" s="233">
        <f t="shared" si="308"/>
        <v>232.85111796994391</v>
      </c>
      <c r="V97" s="233">
        <f t="shared" si="308"/>
        <v>176.61309058564945</v>
      </c>
      <c r="W97" s="233">
        <f t="shared" si="308"/>
        <v>151.5206176763169</v>
      </c>
      <c r="X97" s="233">
        <f t="shared" si="308"/>
        <v>135.47541542349734</v>
      </c>
      <c r="Y97" s="233">
        <f t="shared" si="308"/>
        <v>165.46576105314597</v>
      </c>
      <c r="Z97" s="233">
        <f t="shared" si="308"/>
        <v>136.51464260293224</v>
      </c>
      <c r="AA97" s="233">
        <f t="shared" si="308"/>
        <v>145.03521391839851</v>
      </c>
      <c r="AB97" s="233">
        <f t="shared" si="308"/>
        <v>129.22533636544074</v>
      </c>
      <c r="AC97" s="233">
        <f t="shared" ref="AC97:AF97" si="309">IFERROR((AC91/-AC9)*(365/4),"-")</f>
        <v>176.16880219977045</v>
      </c>
      <c r="AD97" s="233">
        <f t="shared" si="309"/>
        <v>119.38284678202781</v>
      </c>
      <c r="AE97" s="233">
        <f t="shared" si="309"/>
        <v>115.21499021241135</v>
      </c>
      <c r="AF97" s="233">
        <f t="shared" si="309"/>
        <v>127.20697306941334</v>
      </c>
      <c r="AG97" s="233">
        <f t="shared" ref="AG97" si="310">IFERROR((AG91/-AG9)*(365/4),"-")</f>
        <v>133.76678210804147</v>
      </c>
    </row>
    <row r="98" spans="2:33" ht="13.5" customHeight="1">
      <c r="B98" s="231" t="s">
        <v>175</v>
      </c>
      <c r="C98" s="232">
        <f t="shared" ref="C98:I98" si="311">IFERROR((C92/C7)*365,"-")</f>
        <v>57.035333061392457</v>
      </c>
      <c r="D98" s="232">
        <f t="shared" si="311"/>
        <v>57.631299231480675</v>
      </c>
      <c r="E98" s="233">
        <f t="shared" si="311"/>
        <v>56.423477899255111</v>
      </c>
      <c r="F98" s="233">
        <f t="shared" si="311"/>
        <v>70.177917856805308</v>
      </c>
      <c r="G98" s="233">
        <f t="shared" si="311"/>
        <v>42.421407288959458</v>
      </c>
      <c r="H98" s="233">
        <f t="shared" si="311"/>
        <v>73.525004746576741</v>
      </c>
      <c r="I98" s="233">
        <f t="shared" si="311"/>
        <v>71.789162926087613</v>
      </c>
      <c r="J98" s="233">
        <f t="shared" ref="J98" si="312">IFERROR((J92/J7)*365,"-")</f>
        <v>68.377671906938659</v>
      </c>
      <c r="K98" s="233">
        <f>IFERROR((K92/K7)*365,"-")</f>
        <v>93.424483040962286</v>
      </c>
      <c r="L98" s="234"/>
      <c r="M98" s="233">
        <f t="shared" ref="M98:AB98" si="313">IFERROR((M92/M7)*(365/4),"-")</f>
        <v>57.324357548949941</v>
      </c>
      <c r="N98" s="233">
        <f t="shared" si="313"/>
        <v>57.465940107953458</v>
      </c>
      <c r="O98" s="233">
        <f t="shared" si="313"/>
        <v>58.106698935158413</v>
      </c>
      <c r="P98" s="233">
        <f t="shared" si="313"/>
        <v>60.951580416736121</v>
      </c>
      <c r="Q98" s="233">
        <f t="shared" si="313"/>
        <v>61.153493152527474</v>
      </c>
      <c r="R98" s="233">
        <f t="shared" si="313"/>
        <v>59.727960341180193</v>
      </c>
      <c r="S98" s="233">
        <f t="shared" si="313"/>
        <v>70.784449993685627</v>
      </c>
      <c r="T98" s="233">
        <f t="shared" si="313"/>
        <v>61.68215789274052</v>
      </c>
      <c r="U98" s="233">
        <f t="shared" si="313"/>
        <v>75.814954459523392</v>
      </c>
      <c r="V98" s="233">
        <f t="shared" si="313"/>
        <v>56.042814278477508</v>
      </c>
      <c r="W98" s="233">
        <f t="shared" si="313"/>
        <v>55.510849205248832</v>
      </c>
      <c r="X98" s="233">
        <f t="shared" si="313"/>
        <v>53.27271665641797</v>
      </c>
      <c r="Y98" s="233">
        <f t="shared" si="313"/>
        <v>52.699915455833732</v>
      </c>
      <c r="Z98" s="233">
        <f t="shared" si="313"/>
        <v>56.80421897713596</v>
      </c>
      <c r="AA98" s="233">
        <f t="shared" si="313"/>
        <v>54.372952513303169</v>
      </c>
      <c r="AB98" s="233">
        <f t="shared" si="313"/>
        <v>60.099266151954509</v>
      </c>
      <c r="AC98" s="233">
        <f t="shared" ref="AC98:AF98" si="314">IFERROR((AC92/AC7)*(365/4),"-")</f>
        <v>54.983332025635491</v>
      </c>
      <c r="AD98" s="233">
        <f t="shared" si="314"/>
        <v>53.871806330816113</v>
      </c>
      <c r="AE98" s="233">
        <f t="shared" si="314"/>
        <v>53.417970067318691</v>
      </c>
      <c r="AF98" s="233">
        <f t="shared" si="314"/>
        <v>50.588948788047325</v>
      </c>
      <c r="AG98" s="233">
        <f t="shared" ref="AG98" si="315">IFERROR((AG92/AG7)*(365/4),"-")</f>
        <v>58.675989686186853</v>
      </c>
    </row>
    <row r="99" spans="2:33" ht="13.5" customHeight="1">
      <c r="B99" s="231" t="s">
        <v>176</v>
      </c>
      <c r="C99" s="232">
        <f t="shared" ref="C99:I99" si="316">IFERROR((C93/-C9)*365,"-")</f>
        <v>26.360777975497793</v>
      </c>
      <c r="D99" s="232">
        <f t="shared" si="316"/>
        <v>20.220606357021225</v>
      </c>
      <c r="E99" s="233">
        <f t="shared" si="316"/>
        <v>18.10582528824731</v>
      </c>
      <c r="F99" s="233">
        <f t="shared" si="316"/>
        <v>20.632679367535019</v>
      </c>
      <c r="G99" s="233">
        <f t="shared" si="316"/>
        <v>27.522309750393131</v>
      </c>
      <c r="H99" s="233">
        <f t="shared" si="316"/>
        <v>20.229365046879401</v>
      </c>
      <c r="I99" s="233">
        <f t="shared" si="316"/>
        <v>24.188452031196793</v>
      </c>
      <c r="J99" s="233">
        <f t="shared" ref="J99" si="317">IFERROR((J93/-J9)*365,"-")</f>
        <v>27.035811943997651</v>
      </c>
      <c r="K99" s="233">
        <f>IFERROR((K93/-K9)*365,"-")</f>
        <v>24.421780498803219</v>
      </c>
      <c r="L99" s="234"/>
      <c r="M99" s="233">
        <f t="shared" ref="M99:AB99" si="318">IFERROR((M93/-M9)*(365/4),"-")</f>
        <v>19.943975430307823</v>
      </c>
      <c r="N99" s="233">
        <f t="shared" si="318"/>
        <v>17.827868074882481</v>
      </c>
      <c r="O99" s="233">
        <f t="shared" si="318"/>
        <v>19.48692078697481</v>
      </c>
      <c r="P99" s="233">
        <f t="shared" si="318"/>
        <v>19.614456311359771</v>
      </c>
      <c r="Q99" s="233">
        <f t="shared" si="318"/>
        <v>30.9649447024387</v>
      </c>
      <c r="R99" s="233">
        <f t="shared" si="318"/>
        <v>35.729373680308939</v>
      </c>
      <c r="S99" s="233">
        <f t="shared" si="318"/>
        <v>31.748506948488775</v>
      </c>
      <c r="T99" s="233">
        <f t="shared" si="318"/>
        <v>26.082308975496602</v>
      </c>
      <c r="U99" s="233">
        <f t="shared" si="318"/>
        <v>23.660200589300221</v>
      </c>
      <c r="V99" s="233">
        <f t="shared" si="318"/>
        <v>20.243636342419361</v>
      </c>
      <c r="W99" s="233">
        <f t="shared" si="318"/>
        <v>19.429412011381856</v>
      </c>
      <c r="X99" s="233">
        <f t="shared" si="318"/>
        <v>18.546933926185286</v>
      </c>
      <c r="Y99" s="233">
        <f t="shared" si="318"/>
        <v>20.881917184035057</v>
      </c>
      <c r="Z99" s="233">
        <f t="shared" si="318"/>
        <v>21.396988381271036</v>
      </c>
      <c r="AA99" s="233">
        <f t="shared" si="318"/>
        <v>20.526328647170182</v>
      </c>
      <c r="AB99" s="233">
        <f t="shared" si="318"/>
        <v>22.103975112382411</v>
      </c>
      <c r="AC99" s="233">
        <f t="shared" ref="AC99:AF99" si="319">IFERROR((AC93/-AC9)*(365/4),"-")</f>
        <v>22.702080859476062</v>
      </c>
      <c r="AD99" s="233">
        <f t="shared" si="319"/>
        <v>16.582273378446363</v>
      </c>
      <c r="AE99" s="233">
        <f t="shared" si="319"/>
        <v>19.882545337356305</v>
      </c>
      <c r="AF99" s="233">
        <f t="shared" si="319"/>
        <v>25.357509206091777</v>
      </c>
      <c r="AG99" s="233">
        <f t="shared" ref="AG99" si="320">IFERROR((AG93/-AG9)*(365/4),"-")</f>
        <v>23.429005734030302</v>
      </c>
    </row>
    <row r="100" spans="2:33" ht="13.5" customHeight="1">
      <c r="C100" s="58"/>
      <c r="D100" s="58"/>
      <c r="E100" s="58"/>
      <c r="F100" s="58"/>
      <c r="G100" s="58"/>
      <c r="H100" s="58"/>
      <c r="I100" s="58"/>
      <c r="J100" s="58"/>
      <c r="K100" s="7"/>
      <c r="L100" s="7"/>
      <c r="M100" s="50"/>
      <c r="N100" s="50"/>
      <c r="O100" s="50"/>
      <c r="P100" s="7"/>
      <c r="Q100" s="50"/>
      <c r="R100" s="50"/>
      <c r="S100" s="50"/>
      <c r="T100" s="7"/>
      <c r="U100" s="50"/>
      <c r="V100" s="50"/>
      <c r="W100" s="50"/>
      <c r="X100" s="7"/>
      <c r="Y100" s="50"/>
      <c r="Z100" s="50"/>
      <c r="AA100" s="50"/>
      <c r="AB100" s="7"/>
      <c r="AC100" s="50"/>
      <c r="AD100" s="50"/>
      <c r="AE100" s="50"/>
      <c r="AF100" s="7"/>
      <c r="AG100" s="50"/>
    </row>
    <row r="101" spans="2:33" ht="13.5" customHeight="1">
      <c r="B101" s="2" t="s">
        <v>177</v>
      </c>
      <c r="C101" s="58"/>
      <c r="D101" s="58"/>
      <c r="E101" s="58"/>
      <c r="F101" s="58"/>
      <c r="G101" s="58"/>
      <c r="H101" s="58"/>
      <c r="I101" s="58"/>
    </row>
    <row r="102" spans="2:33" ht="13.5" customHeight="1">
      <c r="B102" s="6" t="s">
        <v>178</v>
      </c>
      <c r="C102" s="50">
        <v>1614303</v>
      </c>
      <c r="D102" s="50">
        <v>2737770</v>
      </c>
      <c r="E102" s="50">
        <v>3114250</v>
      </c>
      <c r="F102" s="50">
        <v>2880763</v>
      </c>
      <c r="G102" s="50">
        <v>7423247</v>
      </c>
      <c r="H102" s="50">
        <v>9857189</v>
      </c>
      <c r="I102" s="50">
        <v>5252238</v>
      </c>
      <c r="J102" s="50">
        <v>8161757</v>
      </c>
      <c r="K102" s="7">
        <f>AG102</f>
        <v>5890940</v>
      </c>
      <c r="L102" s="7"/>
      <c r="M102" s="50">
        <v>2807051</v>
      </c>
      <c r="N102" s="50">
        <v>2314554</v>
      </c>
      <c r="O102" s="50">
        <f>2523633</f>
        <v>2523633</v>
      </c>
      <c r="P102" s="7">
        <f>F102</f>
        <v>2880763</v>
      </c>
      <c r="Q102" s="50">
        <v>3709094</v>
      </c>
      <c r="R102" s="50">
        <v>4017441</v>
      </c>
      <c r="S102" s="50">
        <v>5429825</v>
      </c>
      <c r="T102" s="7">
        <f>G102</f>
        <v>7423247</v>
      </c>
      <c r="U102" s="50">
        <v>7942755</v>
      </c>
      <c r="V102" s="50">
        <v>10521348</v>
      </c>
      <c r="W102" s="50">
        <v>11229878</v>
      </c>
      <c r="X102" s="7">
        <f t="shared" ref="X102:X103" si="321">H102</f>
        <v>9857189</v>
      </c>
      <c r="Y102" s="50">
        <v>8845236</v>
      </c>
      <c r="Z102" s="50">
        <v>6274350</v>
      </c>
      <c r="AA102" s="50">
        <v>5140835</v>
      </c>
      <c r="AB102" s="7">
        <f t="shared" ref="AB102:AB103" si="322">I102</f>
        <v>5252238</v>
      </c>
      <c r="AC102" s="50">
        <v>9079608</v>
      </c>
      <c r="AD102" s="50">
        <v>8521462</v>
      </c>
      <c r="AE102" s="50">
        <v>9249989</v>
      </c>
      <c r="AF102" s="7">
        <f t="shared" ref="AF102:AF103" si="323">J102</f>
        <v>8161757</v>
      </c>
      <c r="AG102" s="50">
        <v>5890940</v>
      </c>
    </row>
    <row r="103" spans="2:33" ht="13.5" customHeight="1">
      <c r="B103" s="6" t="s">
        <v>179</v>
      </c>
      <c r="C103" s="50">
        <v>3667634</v>
      </c>
      <c r="D103" s="50">
        <v>7785736</v>
      </c>
      <c r="E103" s="50">
        <v>8137398</v>
      </c>
      <c r="F103" s="50">
        <v>14743046</v>
      </c>
      <c r="G103" s="50">
        <v>15571357</v>
      </c>
      <c r="H103" s="50">
        <v>19611443</v>
      </c>
      <c r="I103" s="50">
        <v>17431495</v>
      </c>
      <c r="J103" s="50">
        <v>14086148</v>
      </c>
      <c r="K103" s="7">
        <f>AG103</f>
        <v>13426725</v>
      </c>
      <c r="L103" s="7"/>
      <c r="M103" s="50">
        <v>10785739</v>
      </c>
      <c r="N103" s="50">
        <v>11531414</v>
      </c>
      <c r="O103" s="50">
        <v>11767803</v>
      </c>
      <c r="P103" s="7">
        <f>F103</f>
        <v>14743046</v>
      </c>
      <c r="Q103" s="50">
        <v>14404539</v>
      </c>
      <c r="R103" s="50">
        <v>15364660</v>
      </c>
      <c r="S103" s="50">
        <v>16591648</v>
      </c>
      <c r="T103" s="7">
        <f>G103</f>
        <v>15571357</v>
      </c>
      <c r="U103" s="50">
        <v>20815018</v>
      </c>
      <c r="V103" s="50">
        <v>20285163</v>
      </c>
      <c r="W103" s="50">
        <v>20328737</v>
      </c>
      <c r="X103" s="7">
        <f t="shared" si="321"/>
        <v>19611443</v>
      </c>
      <c r="Y103" s="50">
        <v>20660671</v>
      </c>
      <c r="Z103" s="50">
        <v>18953617</v>
      </c>
      <c r="AA103" s="50">
        <v>16703945</v>
      </c>
      <c r="AB103" s="7">
        <f t="shared" si="322"/>
        <v>17431495</v>
      </c>
      <c r="AC103" s="50">
        <v>14254063</v>
      </c>
      <c r="AD103" s="50">
        <v>13319576</v>
      </c>
      <c r="AE103" s="50">
        <v>14828745</v>
      </c>
      <c r="AF103" s="7">
        <f t="shared" si="323"/>
        <v>14086148</v>
      </c>
      <c r="AG103" s="50">
        <v>13426725</v>
      </c>
    </row>
    <row r="104" spans="2:33" ht="13.5" customHeight="1">
      <c r="B104" s="2" t="s">
        <v>180</v>
      </c>
      <c r="C104" s="43">
        <f t="shared" ref="C104" si="324">SUM(C102:C103)</f>
        <v>5281937</v>
      </c>
      <c r="D104" s="43">
        <f t="shared" ref="D104:E104" si="325">SUM(D102:D103)</f>
        <v>10523506</v>
      </c>
      <c r="E104" s="43">
        <f t="shared" si="325"/>
        <v>11251648</v>
      </c>
      <c r="F104" s="43">
        <f t="shared" ref="F104:G104" si="326">SUM(F102:F103)</f>
        <v>17623809</v>
      </c>
      <c r="G104" s="43">
        <f t="shared" si="326"/>
        <v>22994604</v>
      </c>
      <c r="H104" s="43">
        <f t="shared" ref="H104:I104" si="327">SUM(H102:H103)</f>
        <v>29468632</v>
      </c>
      <c r="I104" s="43">
        <f t="shared" si="327"/>
        <v>22683733</v>
      </c>
      <c r="J104" s="43">
        <f t="shared" ref="J104" si="328">SUM(J102:J103)</f>
        <v>22247905</v>
      </c>
      <c r="K104" s="43">
        <f>SUM(K102:K103)</f>
        <v>19317665</v>
      </c>
      <c r="L104" s="43"/>
      <c r="M104" s="43">
        <f t="shared" ref="M104:O104" si="329">SUM(M102:M103)</f>
        <v>13592790</v>
      </c>
      <c r="N104" s="43">
        <f t="shared" si="329"/>
        <v>13845968</v>
      </c>
      <c r="O104" s="43">
        <f t="shared" si="329"/>
        <v>14291436</v>
      </c>
      <c r="P104" s="43">
        <f t="shared" ref="P104:R104" si="330">SUM(P102:P103)</f>
        <v>17623809</v>
      </c>
      <c r="Q104" s="43">
        <f t="shared" si="330"/>
        <v>18113633</v>
      </c>
      <c r="R104" s="43">
        <f t="shared" si="330"/>
        <v>19382101</v>
      </c>
      <c r="S104" s="43">
        <f t="shared" ref="S104:V104" si="331">SUM(S102:S103)</f>
        <v>22021473</v>
      </c>
      <c r="T104" s="43">
        <f t="shared" si="331"/>
        <v>22994604</v>
      </c>
      <c r="U104" s="43">
        <f t="shared" si="331"/>
        <v>28757773</v>
      </c>
      <c r="V104" s="43">
        <f t="shared" si="331"/>
        <v>30806511</v>
      </c>
      <c r="W104" s="43">
        <f t="shared" ref="W104:Z104" si="332">SUM(W102:W103)</f>
        <v>31558615</v>
      </c>
      <c r="X104" s="43">
        <f t="shared" si="332"/>
        <v>29468632</v>
      </c>
      <c r="Y104" s="43">
        <f t="shared" si="332"/>
        <v>29505907</v>
      </c>
      <c r="Z104" s="43">
        <f t="shared" si="332"/>
        <v>25227967</v>
      </c>
      <c r="AA104" s="43">
        <f t="shared" ref="AA104:AD104" si="333">SUM(AA102:AA103)</f>
        <v>21844780</v>
      </c>
      <c r="AB104" s="43">
        <f t="shared" si="333"/>
        <v>22683733</v>
      </c>
      <c r="AC104" s="43">
        <f t="shared" si="333"/>
        <v>23333671</v>
      </c>
      <c r="AD104" s="43">
        <f t="shared" si="333"/>
        <v>21841038</v>
      </c>
      <c r="AE104" s="43">
        <f t="shared" ref="AE104:AG104" si="334">SUM(AE102:AE103)</f>
        <v>24078734</v>
      </c>
      <c r="AF104" s="43">
        <f t="shared" si="334"/>
        <v>22247905</v>
      </c>
      <c r="AG104" s="43">
        <f t="shared" si="334"/>
        <v>19317665</v>
      </c>
    </row>
    <row r="105" spans="2:33" ht="13.5" customHeight="1">
      <c r="C105" s="50"/>
      <c r="D105" s="50"/>
      <c r="E105" s="50"/>
      <c r="F105" s="50"/>
      <c r="G105" s="50"/>
      <c r="H105" s="50"/>
      <c r="I105" s="50"/>
      <c r="J105" s="50"/>
      <c r="K105" s="7"/>
      <c r="L105" s="7"/>
      <c r="M105" s="50"/>
      <c r="N105" s="50"/>
      <c r="O105" s="50"/>
      <c r="P105" s="7"/>
      <c r="Q105" s="50"/>
      <c r="R105" s="50"/>
      <c r="S105" s="50"/>
      <c r="T105" s="7"/>
      <c r="U105" s="50"/>
      <c r="V105" s="50"/>
      <c r="W105" s="50"/>
      <c r="X105" s="7"/>
      <c r="Y105" s="50"/>
      <c r="Z105" s="50"/>
      <c r="AA105" s="50"/>
      <c r="AB105" s="7"/>
      <c r="AC105" s="50"/>
      <c r="AD105" s="50"/>
      <c r="AE105" s="50"/>
      <c r="AF105" s="7"/>
      <c r="AG105" s="50"/>
    </row>
    <row r="106" spans="2:33" ht="13.5" customHeight="1">
      <c r="B106" s="2" t="s">
        <v>25</v>
      </c>
      <c r="C106" s="50"/>
      <c r="D106" s="50"/>
      <c r="E106" s="50"/>
      <c r="F106" s="50"/>
      <c r="G106" s="50"/>
      <c r="H106" s="50"/>
      <c r="I106" s="50"/>
      <c r="J106" s="50"/>
      <c r="K106" s="7"/>
      <c r="L106" s="7"/>
      <c r="M106" s="50"/>
      <c r="N106" s="50"/>
      <c r="O106" s="50"/>
      <c r="P106" s="7"/>
      <c r="Q106" s="50"/>
      <c r="R106" s="50"/>
      <c r="S106" s="50"/>
      <c r="T106" s="7"/>
      <c r="U106" s="50"/>
      <c r="V106" s="50"/>
      <c r="W106" s="50"/>
      <c r="X106" s="7"/>
      <c r="Y106" s="50"/>
      <c r="Z106" s="50"/>
      <c r="AA106" s="50"/>
      <c r="AB106" s="7"/>
      <c r="AC106" s="50"/>
      <c r="AD106" s="50"/>
      <c r="AE106" s="50"/>
      <c r="AF106" s="7"/>
      <c r="AG106" s="50"/>
    </row>
    <row r="107" spans="2:33" ht="13.5" customHeight="1">
      <c r="B107" s="6" t="s">
        <v>26</v>
      </c>
      <c r="C107" s="50">
        <v>0</v>
      </c>
      <c r="D107" s="50">
        <v>293171</v>
      </c>
      <c r="E107" s="50">
        <v>347464</v>
      </c>
      <c r="F107" s="50">
        <v>302059</v>
      </c>
      <c r="G107" s="50">
        <v>280873</v>
      </c>
      <c r="H107" s="50">
        <v>631497</v>
      </c>
      <c r="I107" s="50">
        <v>588355</v>
      </c>
      <c r="J107" s="50">
        <v>547296</v>
      </c>
      <c r="K107" s="7">
        <f>AG107</f>
        <v>526303</v>
      </c>
      <c r="L107" s="7"/>
      <c r="M107" s="50">
        <v>368708</v>
      </c>
      <c r="N107" s="50">
        <v>325511</v>
      </c>
      <c r="O107" s="50">
        <v>305087</v>
      </c>
      <c r="P107" s="7">
        <f>F107</f>
        <v>302059</v>
      </c>
      <c r="Q107" s="50">
        <v>311566</v>
      </c>
      <c r="R107" s="50">
        <v>333993</v>
      </c>
      <c r="S107" s="50">
        <v>5429825</v>
      </c>
      <c r="T107" s="7">
        <f>G107</f>
        <v>280873</v>
      </c>
      <c r="U107" s="50">
        <v>323891</v>
      </c>
      <c r="V107" s="50">
        <v>339508</v>
      </c>
      <c r="W107" s="50">
        <v>600461</v>
      </c>
      <c r="X107" s="7">
        <f t="shared" ref="X107:X108" si="335">H107</f>
        <v>631497</v>
      </c>
      <c r="Y107" s="50">
        <v>638344</v>
      </c>
      <c r="Z107" s="50">
        <v>592561</v>
      </c>
      <c r="AA107" s="50">
        <v>561346</v>
      </c>
      <c r="AB107" s="7">
        <f t="shared" ref="AB107:AB108" si="336">I107</f>
        <v>588355</v>
      </c>
      <c r="AC107" s="50">
        <v>563533</v>
      </c>
      <c r="AD107" s="50">
        <v>535839</v>
      </c>
      <c r="AE107" s="50">
        <v>539118</v>
      </c>
      <c r="AF107" s="7">
        <f t="shared" ref="AF107:AF108" si="337">J107</f>
        <v>547296</v>
      </c>
      <c r="AG107" s="50">
        <v>526303</v>
      </c>
    </row>
    <row r="108" spans="2:33" ht="13.5" customHeight="1">
      <c r="B108" s="6" t="s">
        <v>27</v>
      </c>
      <c r="C108" s="50">
        <v>0</v>
      </c>
      <c r="D108" s="50">
        <v>1373828</v>
      </c>
      <c r="E108" s="50">
        <v>1296252</v>
      </c>
      <c r="F108" s="50">
        <v>1223703</v>
      </c>
      <c r="G108" s="50">
        <v>1516208</v>
      </c>
      <c r="H108" s="50">
        <v>2398377</v>
      </c>
      <c r="I108" s="50">
        <v>2180021</v>
      </c>
      <c r="J108" s="50">
        <v>1962647</v>
      </c>
      <c r="K108" s="7">
        <f>AG108</f>
        <v>1988448</v>
      </c>
      <c r="L108" s="7"/>
      <c r="M108" s="50">
        <v>1373221</v>
      </c>
      <c r="N108" s="50">
        <v>1287517</v>
      </c>
      <c r="O108" s="50">
        <v>1265752</v>
      </c>
      <c r="P108" s="7">
        <f>F108</f>
        <v>1223703</v>
      </c>
      <c r="Q108" s="50">
        <v>1285763</v>
      </c>
      <c r="R108" s="50">
        <v>1443321</v>
      </c>
      <c r="S108" s="50">
        <v>1492477</v>
      </c>
      <c r="T108" s="7">
        <f>G108</f>
        <v>1516208</v>
      </c>
      <c r="U108" s="50">
        <v>1646030</v>
      </c>
      <c r="V108" s="50">
        <v>1640479</v>
      </c>
      <c r="W108" s="50">
        <v>2423357</v>
      </c>
      <c r="X108" s="7">
        <f t="shared" si="335"/>
        <v>2398377</v>
      </c>
      <c r="Y108" s="50">
        <v>2431065</v>
      </c>
      <c r="Z108" s="50">
        <v>2259454</v>
      </c>
      <c r="AA108" s="50">
        <v>2142200</v>
      </c>
      <c r="AB108" s="7">
        <f t="shared" si="336"/>
        <v>2180021</v>
      </c>
      <c r="AC108" s="50">
        <v>2086562</v>
      </c>
      <c r="AD108" s="50">
        <v>1992294</v>
      </c>
      <c r="AE108" s="50">
        <v>1966072</v>
      </c>
      <c r="AF108" s="7">
        <f t="shared" si="337"/>
        <v>1962647</v>
      </c>
      <c r="AG108" s="50">
        <v>1988448</v>
      </c>
    </row>
    <row r="109" spans="2:33" ht="13.5" customHeight="1">
      <c r="B109" s="2" t="s">
        <v>181</v>
      </c>
      <c r="C109" s="43">
        <f t="shared" ref="C109:E109" si="338">SUM(C107:C108)</f>
        <v>0</v>
      </c>
      <c r="D109" s="43">
        <f t="shared" si="338"/>
        <v>1666999</v>
      </c>
      <c r="E109" s="43">
        <f t="shared" si="338"/>
        <v>1643716</v>
      </c>
      <c r="F109" s="43">
        <f t="shared" ref="F109:G109" si="339">SUM(F107:F108)</f>
        <v>1525762</v>
      </c>
      <c r="G109" s="43">
        <f t="shared" si="339"/>
        <v>1797081</v>
      </c>
      <c r="H109" s="43">
        <f t="shared" ref="H109:I109" si="340">SUM(H107:H108)</f>
        <v>3029874</v>
      </c>
      <c r="I109" s="43">
        <f t="shared" si="340"/>
        <v>2768376</v>
      </c>
      <c r="J109" s="43">
        <f t="shared" ref="J109" si="341">SUM(J107:J108)</f>
        <v>2509943</v>
      </c>
      <c r="K109" s="43">
        <f>SUM(K107:K108)</f>
        <v>2514751</v>
      </c>
      <c r="L109" s="43"/>
      <c r="M109" s="43">
        <f t="shared" ref="M109:O109" si="342">SUM(M107:M108)</f>
        <v>1741929</v>
      </c>
      <c r="N109" s="43">
        <f t="shared" si="342"/>
        <v>1613028</v>
      </c>
      <c r="O109" s="43">
        <f t="shared" si="342"/>
        <v>1570839</v>
      </c>
      <c r="P109" s="43">
        <f t="shared" ref="P109:S109" si="343">SUM(P107:P108)</f>
        <v>1525762</v>
      </c>
      <c r="Q109" s="43">
        <f t="shared" si="343"/>
        <v>1597329</v>
      </c>
      <c r="R109" s="43">
        <f t="shared" si="343"/>
        <v>1777314</v>
      </c>
      <c r="S109" s="43">
        <f t="shared" si="343"/>
        <v>6922302</v>
      </c>
      <c r="T109" s="43">
        <f t="shared" ref="T109:W109" si="344">SUM(T107:T108)</f>
        <v>1797081</v>
      </c>
      <c r="U109" s="43">
        <f t="shared" si="344"/>
        <v>1969921</v>
      </c>
      <c r="V109" s="43">
        <f t="shared" si="344"/>
        <v>1979987</v>
      </c>
      <c r="W109" s="43">
        <f t="shared" si="344"/>
        <v>3023818</v>
      </c>
      <c r="X109" s="43">
        <f t="shared" ref="X109:AA109" si="345">SUM(X107:X108)</f>
        <v>3029874</v>
      </c>
      <c r="Y109" s="43">
        <f t="shared" si="345"/>
        <v>3069409</v>
      </c>
      <c r="Z109" s="43">
        <f t="shared" si="345"/>
        <v>2852015</v>
      </c>
      <c r="AA109" s="43">
        <f t="shared" si="345"/>
        <v>2703546</v>
      </c>
      <c r="AB109" s="43">
        <f t="shared" ref="AB109:AE109" si="346">SUM(AB107:AB108)</f>
        <v>2768376</v>
      </c>
      <c r="AC109" s="43">
        <f t="shared" si="346"/>
        <v>2650095</v>
      </c>
      <c r="AD109" s="43">
        <f t="shared" si="346"/>
        <v>2528133</v>
      </c>
      <c r="AE109" s="43">
        <f t="shared" si="346"/>
        <v>2505190</v>
      </c>
      <c r="AF109" s="43">
        <f t="shared" ref="AF109:AG109" si="347">SUM(AF107:AF108)</f>
        <v>2509943</v>
      </c>
      <c r="AG109" s="43">
        <f t="shared" si="347"/>
        <v>2514751</v>
      </c>
    </row>
    <row r="110" spans="2:33" ht="13.5" customHeight="1">
      <c r="B110" s="19"/>
      <c r="C110" s="50"/>
      <c r="D110" s="50"/>
      <c r="E110" s="50"/>
      <c r="F110" s="50"/>
      <c r="G110" s="50"/>
      <c r="H110" s="50"/>
      <c r="I110" s="50"/>
      <c r="J110" s="50"/>
      <c r="K110" s="7"/>
      <c r="L110" s="7"/>
      <c r="M110" s="50"/>
      <c r="N110" s="50"/>
      <c r="O110" s="50"/>
      <c r="P110" s="7"/>
      <c r="Q110" s="50"/>
      <c r="R110" s="50"/>
      <c r="S110" s="50"/>
      <c r="T110" s="7"/>
      <c r="U110" s="50"/>
      <c r="V110" s="50"/>
      <c r="W110" s="50"/>
      <c r="X110" s="7"/>
      <c r="Y110" s="50"/>
      <c r="Z110" s="50"/>
      <c r="AA110" s="50"/>
      <c r="AB110" s="7"/>
      <c r="AC110" s="50"/>
      <c r="AD110" s="50"/>
      <c r="AE110" s="50"/>
      <c r="AF110" s="7"/>
      <c r="AG110" s="50"/>
    </row>
    <row r="111" spans="2:33" ht="13.5" customHeight="1">
      <c r="B111" s="2" t="s">
        <v>182</v>
      </c>
      <c r="C111" s="50"/>
      <c r="D111" s="50"/>
      <c r="E111" s="50"/>
      <c r="F111" s="50"/>
      <c r="G111" s="50"/>
      <c r="H111" s="50"/>
      <c r="I111" s="50"/>
      <c r="J111" s="50"/>
      <c r="K111" s="7"/>
      <c r="L111" s="7"/>
      <c r="M111" s="50"/>
      <c r="N111" s="50"/>
      <c r="O111" s="50"/>
      <c r="P111" s="7"/>
      <c r="Q111" s="50"/>
      <c r="R111" s="50"/>
      <c r="S111" s="50"/>
      <c r="T111" s="7"/>
      <c r="U111" s="50"/>
      <c r="V111" s="50"/>
      <c r="W111" s="50"/>
      <c r="X111" s="7"/>
      <c r="Y111" s="50"/>
      <c r="Z111" s="50"/>
      <c r="AA111" s="50"/>
      <c r="AB111" s="7"/>
      <c r="AC111" s="50"/>
      <c r="AD111" s="50"/>
      <c r="AE111" s="50"/>
      <c r="AF111" s="7"/>
      <c r="AG111" s="50"/>
    </row>
    <row r="112" spans="2:33" ht="13.5" customHeight="1">
      <c r="B112" s="6" t="s">
        <v>178</v>
      </c>
      <c r="C112" s="7">
        <f t="shared" ref="C112:E113" si="348">C102+C107</f>
        <v>1614303</v>
      </c>
      <c r="D112" s="7">
        <f t="shared" si="348"/>
        <v>3030941</v>
      </c>
      <c r="E112" s="7">
        <f t="shared" si="348"/>
        <v>3461714</v>
      </c>
      <c r="F112" s="7">
        <f t="shared" ref="F112:G112" si="349">F102+F107</f>
        <v>3182822</v>
      </c>
      <c r="G112" s="7">
        <f t="shared" si="349"/>
        <v>7704120</v>
      </c>
      <c r="H112" s="7">
        <f t="shared" ref="H112:I112" si="350">H102+H107</f>
        <v>10488686</v>
      </c>
      <c r="I112" s="7">
        <f t="shared" si="350"/>
        <v>5840593</v>
      </c>
      <c r="J112" s="7">
        <f t="shared" ref="J112" si="351">J102+J107</f>
        <v>8709053</v>
      </c>
      <c r="K112" s="7">
        <f>K102+K107</f>
        <v>6417243</v>
      </c>
      <c r="L112" s="7"/>
      <c r="M112" s="7">
        <f t="shared" ref="M112:O113" si="352">M102+M107</f>
        <v>3175759</v>
      </c>
      <c r="N112" s="7">
        <f t="shared" si="352"/>
        <v>2640065</v>
      </c>
      <c r="O112" s="7">
        <f t="shared" si="352"/>
        <v>2828720</v>
      </c>
      <c r="P112" s="7">
        <f>F112</f>
        <v>3182822</v>
      </c>
      <c r="Q112" s="7">
        <f t="shared" ref="Q112:R112" si="353">Q102+Q107</f>
        <v>4020660</v>
      </c>
      <c r="R112" s="7">
        <f t="shared" si="353"/>
        <v>4351434</v>
      </c>
      <c r="S112" s="7">
        <f t="shared" ref="S112" si="354">S102+S107</f>
        <v>10859650</v>
      </c>
      <c r="T112" s="7">
        <f>G112</f>
        <v>7704120</v>
      </c>
      <c r="U112" s="7">
        <f t="shared" ref="U112:W113" si="355">U102+U107</f>
        <v>8266646</v>
      </c>
      <c r="V112" s="7">
        <f t="shared" si="355"/>
        <v>10860856</v>
      </c>
      <c r="W112" s="7">
        <f t="shared" si="355"/>
        <v>11830339</v>
      </c>
      <c r="X112" s="7">
        <f>H112</f>
        <v>10488686</v>
      </c>
      <c r="Y112" s="7">
        <f t="shared" ref="Y112:AB112" si="356">Y102+Y107</f>
        <v>9483580</v>
      </c>
      <c r="Z112" s="7">
        <f t="shared" si="356"/>
        <v>6866911</v>
      </c>
      <c r="AA112" s="7">
        <f t="shared" si="356"/>
        <v>5702181</v>
      </c>
      <c r="AB112" s="7">
        <f t="shared" si="356"/>
        <v>5840593</v>
      </c>
      <c r="AC112" s="7">
        <f t="shared" ref="AC112:AF112" si="357">AC102+AC107</f>
        <v>9643141</v>
      </c>
      <c r="AD112" s="7">
        <f t="shared" si="357"/>
        <v>9057301</v>
      </c>
      <c r="AE112" s="7">
        <f t="shared" si="357"/>
        <v>9789107</v>
      </c>
      <c r="AF112" s="7">
        <f t="shared" si="357"/>
        <v>8709053</v>
      </c>
      <c r="AG112" s="7">
        <f t="shared" ref="AG112" si="358">AG102+AG107</f>
        <v>6417243</v>
      </c>
    </row>
    <row r="113" spans="2:34" ht="13.5" customHeight="1">
      <c r="B113" s="6" t="s">
        <v>179</v>
      </c>
      <c r="C113" s="7">
        <f t="shared" si="348"/>
        <v>3667634</v>
      </c>
      <c r="D113" s="7">
        <f t="shared" si="348"/>
        <v>9159564</v>
      </c>
      <c r="E113" s="7">
        <f t="shared" si="348"/>
        <v>9433650</v>
      </c>
      <c r="F113" s="7">
        <f t="shared" ref="F113:G113" si="359">F103+F108</f>
        <v>15966749</v>
      </c>
      <c r="G113" s="7">
        <f t="shared" si="359"/>
        <v>17087565</v>
      </c>
      <c r="H113" s="7">
        <f t="shared" ref="H113:I113" si="360">H103+H108</f>
        <v>22009820</v>
      </c>
      <c r="I113" s="7">
        <f t="shared" si="360"/>
        <v>19611516</v>
      </c>
      <c r="J113" s="7">
        <f t="shared" ref="J113" si="361">J103+J108</f>
        <v>16048795</v>
      </c>
      <c r="K113" s="7">
        <f>K103+K108</f>
        <v>15415173</v>
      </c>
      <c r="L113" s="7"/>
      <c r="M113" s="7">
        <f t="shared" si="352"/>
        <v>12158960</v>
      </c>
      <c r="N113" s="7">
        <f t="shared" si="352"/>
        <v>12818931</v>
      </c>
      <c r="O113" s="7">
        <f t="shared" si="352"/>
        <v>13033555</v>
      </c>
      <c r="P113" s="7">
        <f>F113</f>
        <v>15966749</v>
      </c>
      <c r="Q113" s="7">
        <f t="shared" ref="Q113:R113" si="362">Q103+Q108</f>
        <v>15690302</v>
      </c>
      <c r="R113" s="7">
        <f t="shared" si="362"/>
        <v>16807981</v>
      </c>
      <c r="S113" s="7">
        <f t="shared" ref="S113" si="363">S103+S108</f>
        <v>18084125</v>
      </c>
      <c r="T113" s="7">
        <f>G113</f>
        <v>17087565</v>
      </c>
      <c r="U113" s="7">
        <f t="shared" ref="U113:V113" si="364">U103+U108</f>
        <v>22461048</v>
      </c>
      <c r="V113" s="7">
        <f t="shared" si="364"/>
        <v>21925642</v>
      </c>
      <c r="W113" s="7">
        <f t="shared" si="355"/>
        <v>22752094</v>
      </c>
      <c r="X113" s="7">
        <f>H113</f>
        <v>22009820</v>
      </c>
      <c r="Y113" s="7">
        <f t="shared" ref="Y113:AB113" si="365">Y103+Y108</f>
        <v>23091736</v>
      </c>
      <c r="Z113" s="7">
        <f t="shared" si="365"/>
        <v>21213071</v>
      </c>
      <c r="AA113" s="7">
        <f t="shared" si="365"/>
        <v>18846145</v>
      </c>
      <c r="AB113" s="7">
        <f t="shared" si="365"/>
        <v>19611516</v>
      </c>
      <c r="AC113" s="7">
        <f t="shared" ref="AC113:AF113" si="366">AC103+AC108</f>
        <v>16340625</v>
      </c>
      <c r="AD113" s="7">
        <f t="shared" si="366"/>
        <v>15311870</v>
      </c>
      <c r="AE113" s="7">
        <f t="shared" si="366"/>
        <v>16794817</v>
      </c>
      <c r="AF113" s="7">
        <f t="shared" si="366"/>
        <v>16048795</v>
      </c>
      <c r="AG113" s="7">
        <f t="shared" ref="AG113" si="367">AG103+AG108</f>
        <v>15415173</v>
      </c>
    </row>
    <row r="114" spans="2:34" s="19" customFormat="1" ht="13.5" customHeight="1">
      <c r="B114" s="19" t="s">
        <v>183</v>
      </c>
      <c r="C114" s="43">
        <f t="shared" ref="C114:E114" si="368">SUM(C112:C113)</f>
        <v>5281937</v>
      </c>
      <c r="D114" s="43">
        <f t="shared" si="368"/>
        <v>12190505</v>
      </c>
      <c r="E114" s="43">
        <f t="shared" si="368"/>
        <v>12895364</v>
      </c>
      <c r="F114" s="43">
        <f t="shared" ref="F114:G114" si="369">SUM(F112:F113)</f>
        <v>19149571</v>
      </c>
      <c r="G114" s="43">
        <f t="shared" si="369"/>
        <v>24791685</v>
      </c>
      <c r="H114" s="43">
        <f t="shared" ref="H114:I114" si="370">SUM(H112:H113)</f>
        <v>32498506</v>
      </c>
      <c r="I114" s="43">
        <f t="shared" si="370"/>
        <v>25452109</v>
      </c>
      <c r="J114" s="43">
        <f t="shared" ref="J114" si="371">SUM(J112:J113)</f>
        <v>24757848</v>
      </c>
      <c r="K114" s="43">
        <f>SUM(K112:K113)</f>
        <v>21832416</v>
      </c>
      <c r="L114" s="43"/>
      <c r="M114" s="43">
        <f t="shared" ref="M114:O114" si="372">SUM(M112:M113)</f>
        <v>15334719</v>
      </c>
      <c r="N114" s="43">
        <f t="shared" si="372"/>
        <v>15458996</v>
      </c>
      <c r="O114" s="43">
        <f t="shared" si="372"/>
        <v>15862275</v>
      </c>
      <c r="P114" s="43">
        <f t="shared" ref="P114:R114" si="373">SUM(P112:P113)</f>
        <v>19149571</v>
      </c>
      <c r="Q114" s="43">
        <f t="shared" si="373"/>
        <v>19710962</v>
      </c>
      <c r="R114" s="43">
        <f t="shared" si="373"/>
        <v>21159415</v>
      </c>
      <c r="S114" s="43">
        <f t="shared" ref="S114:T114" si="374">SUM(S112:S113)</f>
        <v>28943775</v>
      </c>
      <c r="T114" s="43">
        <f t="shared" si="374"/>
        <v>24791685</v>
      </c>
      <c r="U114" s="43">
        <f>SUM(U112:U113)</f>
        <v>30727694</v>
      </c>
      <c r="V114" s="43">
        <f t="shared" ref="V114:X114" si="375">SUM(V112:V113)</f>
        <v>32786498</v>
      </c>
      <c r="W114" s="43">
        <f t="shared" si="375"/>
        <v>34582433</v>
      </c>
      <c r="X114" s="43">
        <f t="shared" si="375"/>
        <v>32498506</v>
      </c>
      <c r="Y114" s="43">
        <f>SUM(Y112:Y113)</f>
        <v>32575316</v>
      </c>
      <c r="Z114" s="43">
        <f t="shared" ref="Z114:AB114" si="376">SUM(Z112:Z113)</f>
        <v>28079982</v>
      </c>
      <c r="AA114" s="43">
        <f t="shared" si="376"/>
        <v>24548326</v>
      </c>
      <c r="AB114" s="43">
        <f t="shared" si="376"/>
        <v>25452109</v>
      </c>
      <c r="AC114" s="43">
        <f>SUM(AC112:AC113)</f>
        <v>25983766</v>
      </c>
      <c r="AD114" s="43">
        <f t="shared" ref="AD114:AF114" si="377">SUM(AD112:AD113)</f>
        <v>24369171</v>
      </c>
      <c r="AE114" s="43">
        <f t="shared" si="377"/>
        <v>26583924</v>
      </c>
      <c r="AF114" s="43">
        <f t="shared" si="377"/>
        <v>24757848</v>
      </c>
      <c r="AG114" s="43">
        <f>SUM(AG112:AG113)</f>
        <v>21832416</v>
      </c>
    </row>
    <row r="115" spans="2:34" ht="13.5" customHeight="1">
      <c r="B115" s="61" t="s">
        <v>159</v>
      </c>
      <c r="C115" s="50">
        <v>2349319</v>
      </c>
      <c r="D115" s="50">
        <v>2306070</v>
      </c>
      <c r="E115" s="50">
        <v>2975989</v>
      </c>
      <c r="F115" s="50">
        <v>5057982</v>
      </c>
      <c r="G115" s="50">
        <f>4977007</f>
        <v>4977007</v>
      </c>
      <c r="H115" s="50">
        <v>7587329</v>
      </c>
      <c r="I115" s="50">
        <v>11205117</v>
      </c>
      <c r="J115" s="50">
        <v>14923766</v>
      </c>
      <c r="K115" s="7">
        <f>AG115</f>
        <v>21166904</v>
      </c>
      <c r="L115" s="7"/>
      <c r="M115" s="50">
        <v>2226144</v>
      </c>
      <c r="N115" s="50">
        <v>2666351</v>
      </c>
      <c r="O115" s="50">
        <v>2761977</v>
      </c>
      <c r="P115" s="7">
        <f>F115</f>
        <v>5057982</v>
      </c>
      <c r="Q115" s="50">
        <v>4982764</v>
      </c>
      <c r="R115" s="50">
        <v>4546312</v>
      </c>
      <c r="S115" s="50">
        <v>4719217</v>
      </c>
      <c r="T115" s="7">
        <f>G115</f>
        <v>4977007</v>
      </c>
      <c r="U115" s="50">
        <v>4894782</v>
      </c>
      <c r="V115" s="50">
        <v>6040810</v>
      </c>
      <c r="W115" s="50">
        <v>7122306</v>
      </c>
      <c r="X115" s="7">
        <f>H115</f>
        <v>7587329</v>
      </c>
      <c r="Y115" s="50">
        <v>8381395</v>
      </c>
      <c r="Z115" s="50">
        <v>7933829</v>
      </c>
      <c r="AA115" s="50">
        <v>9135688</v>
      </c>
      <c r="AB115" s="7">
        <f t="shared" ref="AB115:AB117" si="378">I115</f>
        <v>11205117</v>
      </c>
      <c r="AC115" s="50">
        <v>12558069</v>
      </c>
      <c r="AD115" s="50">
        <v>9075311</v>
      </c>
      <c r="AE115" s="50">
        <v>10814515</v>
      </c>
      <c r="AF115" s="7">
        <f t="shared" ref="AF115:AF117" si="379">J115</f>
        <v>14923766</v>
      </c>
      <c r="AG115" s="50">
        <v>21166904</v>
      </c>
    </row>
    <row r="116" spans="2:34" ht="13.5" customHeight="1">
      <c r="B116" s="61" t="s">
        <v>30</v>
      </c>
      <c r="C116" s="50">
        <v>523579</v>
      </c>
      <c r="D116" s="50">
        <v>298350</v>
      </c>
      <c r="E116" s="50">
        <v>436708</v>
      </c>
      <c r="F116" s="50">
        <v>474637</v>
      </c>
      <c r="G116" s="50">
        <v>415625</v>
      </c>
      <c r="H116" s="50">
        <v>472617</v>
      </c>
      <c r="I116" s="50">
        <v>2382010</v>
      </c>
      <c r="J116" s="50">
        <v>14679719</v>
      </c>
      <c r="K116" s="7">
        <f>AG116</f>
        <v>18220075</v>
      </c>
      <c r="L116" s="7"/>
      <c r="M116" s="50">
        <v>1355879</v>
      </c>
      <c r="N116" s="50">
        <v>566185</v>
      </c>
      <c r="O116" s="50">
        <v>502864</v>
      </c>
      <c r="P116" s="7">
        <f>F116</f>
        <v>474637</v>
      </c>
      <c r="Q116" s="50">
        <v>408303</v>
      </c>
      <c r="R116" s="50">
        <v>423420</v>
      </c>
      <c r="S116" s="50">
        <v>568249</v>
      </c>
      <c r="T116" s="7">
        <f>G116</f>
        <v>415625</v>
      </c>
      <c r="U116" s="50">
        <v>404058</v>
      </c>
      <c r="V116" s="50">
        <v>441755</v>
      </c>
      <c r="W116" s="50">
        <v>515346</v>
      </c>
      <c r="X116" s="7">
        <f>H116</f>
        <v>472617</v>
      </c>
      <c r="Y116" s="50">
        <v>817910</v>
      </c>
      <c r="Z116" s="50">
        <v>590846</v>
      </c>
      <c r="AA116" s="50">
        <v>480464</v>
      </c>
      <c r="AB116" s="7">
        <f t="shared" si="378"/>
        <v>2382010</v>
      </c>
      <c r="AC116" s="50">
        <v>1051356</v>
      </c>
      <c r="AD116" s="50">
        <v>6219683</v>
      </c>
      <c r="AE116" s="50">
        <v>13325515</v>
      </c>
      <c r="AF116" s="7">
        <f t="shared" si="379"/>
        <v>14679719</v>
      </c>
      <c r="AG116" s="50">
        <v>18220075</v>
      </c>
    </row>
    <row r="117" spans="2:34" ht="13.5" customHeight="1">
      <c r="B117" s="61" t="s">
        <v>31</v>
      </c>
      <c r="C117" s="50">
        <v>5496452</v>
      </c>
      <c r="D117" s="50">
        <v>1390293</v>
      </c>
      <c r="E117" s="50">
        <v>1535518</v>
      </c>
      <c r="F117" s="50">
        <v>3139923</v>
      </c>
      <c r="G117" s="50">
        <v>1016360</v>
      </c>
      <c r="H117" s="50">
        <v>860972</v>
      </c>
      <c r="I117" s="50">
        <v>569236</v>
      </c>
      <c r="J117" s="50">
        <v>5338768</v>
      </c>
      <c r="K117" s="7">
        <f>AG117</f>
        <v>14942782</v>
      </c>
      <c r="L117" s="7"/>
      <c r="M117" s="50">
        <v>2406294</v>
      </c>
      <c r="N117" s="50">
        <v>3404982</v>
      </c>
      <c r="O117" s="50">
        <v>6748327</v>
      </c>
      <c r="P117" s="7">
        <f>F117</f>
        <v>3139923</v>
      </c>
      <c r="Q117" s="50">
        <v>2605089</v>
      </c>
      <c r="R117" s="50">
        <v>2525868</v>
      </c>
      <c r="S117" s="50">
        <v>1924783</v>
      </c>
      <c r="T117" s="7">
        <f>G117</f>
        <v>1016360</v>
      </c>
      <c r="U117" s="50">
        <v>837394</v>
      </c>
      <c r="V117" s="50">
        <v>1008302</v>
      </c>
      <c r="W117" s="50">
        <v>893670</v>
      </c>
      <c r="X117" s="7">
        <f>H117</f>
        <v>860972</v>
      </c>
      <c r="Y117" s="50">
        <v>1119597</v>
      </c>
      <c r="Z117" s="50">
        <v>1163385</v>
      </c>
      <c r="AA117" s="50">
        <v>1241717</v>
      </c>
      <c r="AB117" s="7">
        <f t="shared" si="378"/>
        <v>569236</v>
      </c>
      <c r="AC117" s="50">
        <v>701559</v>
      </c>
      <c r="AD117" s="50">
        <v>1667287</v>
      </c>
      <c r="AE117" s="50">
        <v>3714376</v>
      </c>
      <c r="AF117" s="7">
        <f t="shared" si="379"/>
        <v>5338768</v>
      </c>
      <c r="AG117" s="50">
        <v>14942782</v>
      </c>
    </row>
    <row r="118" spans="2:34" ht="13.5" customHeight="1">
      <c r="B118" s="19" t="s">
        <v>184</v>
      </c>
      <c r="C118" s="43">
        <f t="shared" ref="C118:F118" si="380">C114-C115-C116-C117</f>
        <v>-3087413</v>
      </c>
      <c r="D118" s="43">
        <f t="shared" si="380"/>
        <v>8195792</v>
      </c>
      <c r="E118" s="43">
        <f t="shared" si="380"/>
        <v>7947149</v>
      </c>
      <c r="F118" s="43">
        <f t="shared" si="380"/>
        <v>10477029</v>
      </c>
      <c r="G118" s="43">
        <f>G114-G115-G116-G117</f>
        <v>18382693</v>
      </c>
      <c r="H118" s="43">
        <f>H114-H115-H116-H117</f>
        <v>23577588</v>
      </c>
      <c r="I118" s="43">
        <f>I114-I115-I116-I117</f>
        <v>11295746</v>
      </c>
      <c r="J118" s="43">
        <f>J114-J115-J116-J117</f>
        <v>-10184405</v>
      </c>
      <c r="K118" s="43">
        <f>K114-K115-K116-K117</f>
        <v>-32497345</v>
      </c>
      <c r="L118" s="43"/>
      <c r="M118" s="43">
        <f t="shared" ref="M118:V118" si="381">M114-M115-M116-M117</f>
        <v>9346402</v>
      </c>
      <c r="N118" s="43">
        <f t="shared" si="381"/>
        <v>8821478</v>
      </c>
      <c r="O118" s="43">
        <f t="shared" si="381"/>
        <v>5849107</v>
      </c>
      <c r="P118" s="43">
        <f t="shared" si="381"/>
        <v>10477029</v>
      </c>
      <c r="Q118" s="43">
        <f t="shared" si="381"/>
        <v>11714806</v>
      </c>
      <c r="R118" s="43">
        <f t="shared" si="381"/>
        <v>13663815</v>
      </c>
      <c r="S118" s="43">
        <f t="shared" si="381"/>
        <v>21731526</v>
      </c>
      <c r="T118" s="43">
        <f t="shared" si="381"/>
        <v>18382693</v>
      </c>
      <c r="U118" s="43">
        <f t="shared" si="381"/>
        <v>24591460</v>
      </c>
      <c r="V118" s="43">
        <f t="shared" si="381"/>
        <v>25295631</v>
      </c>
      <c r="W118" s="43">
        <f t="shared" ref="W118:Z118" si="382">W114-W115-W116-W117</f>
        <v>26051111</v>
      </c>
      <c r="X118" s="43">
        <f t="shared" si="382"/>
        <v>23577588</v>
      </c>
      <c r="Y118" s="43">
        <f t="shared" si="382"/>
        <v>22256414</v>
      </c>
      <c r="Z118" s="43">
        <f t="shared" si="382"/>
        <v>18391922</v>
      </c>
      <c r="AA118" s="43">
        <f t="shared" ref="AA118:AD118" si="383">AA114-AA115-AA116-AA117</f>
        <v>13690457</v>
      </c>
      <c r="AB118" s="43">
        <f t="shared" si="383"/>
        <v>11295746</v>
      </c>
      <c r="AC118" s="43">
        <f t="shared" si="383"/>
        <v>11672782</v>
      </c>
      <c r="AD118" s="43">
        <f t="shared" si="383"/>
        <v>7406890</v>
      </c>
      <c r="AE118" s="43">
        <f t="shared" ref="AE118:AG118" si="384">AE114-AE115-AE116-AE117</f>
        <v>-1270482</v>
      </c>
      <c r="AF118" s="43">
        <f t="shared" si="384"/>
        <v>-10184405</v>
      </c>
      <c r="AG118" s="43">
        <f t="shared" si="384"/>
        <v>-32497345</v>
      </c>
    </row>
    <row r="119" spans="2:34" ht="13.5" customHeight="1">
      <c r="C119" s="51"/>
      <c r="D119" s="51"/>
      <c r="E119" s="51"/>
      <c r="F119" s="51"/>
      <c r="G119" s="51"/>
      <c r="H119" s="51"/>
      <c r="I119" s="51"/>
      <c r="J119" s="51"/>
      <c r="K119" s="43"/>
      <c r="L119" s="7"/>
      <c r="M119" s="51"/>
      <c r="N119" s="51"/>
      <c r="O119" s="51"/>
      <c r="P119" s="52"/>
      <c r="Q119" s="51"/>
      <c r="R119" s="51"/>
      <c r="S119" s="51"/>
      <c r="T119" s="52"/>
      <c r="U119" s="51"/>
      <c r="V119" s="51"/>
      <c r="W119" s="51"/>
      <c r="X119" s="52"/>
      <c r="Y119" s="51"/>
      <c r="Z119" s="51"/>
      <c r="AA119" s="51"/>
      <c r="AB119" s="52"/>
      <c r="AC119" s="51"/>
      <c r="AD119" s="51"/>
      <c r="AE119" s="51"/>
      <c r="AF119" s="52"/>
      <c r="AG119" s="51"/>
    </row>
    <row r="120" spans="2:34" ht="13.5" customHeight="1">
      <c r="B120" s="19" t="s">
        <v>185</v>
      </c>
      <c r="C120" s="43">
        <f t="shared" ref="C120:D120" si="385">C118</f>
        <v>-3087413</v>
      </c>
      <c r="D120" s="43">
        <f t="shared" si="385"/>
        <v>8195792</v>
      </c>
      <c r="E120" s="43">
        <f t="shared" ref="E120:I120" si="386">E118</f>
        <v>7947149</v>
      </c>
      <c r="F120" s="43">
        <f t="shared" si="386"/>
        <v>10477029</v>
      </c>
      <c r="G120" s="43">
        <f t="shared" si="386"/>
        <v>18382693</v>
      </c>
      <c r="H120" s="43">
        <f t="shared" si="386"/>
        <v>23577588</v>
      </c>
      <c r="I120" s="43">
        <f t="shared" si="386"/>
        <v>11295746</v>
      </c>
      <c r="J120" s="43">
        <f>J118</f>
        <v>-10184405</v>
      </c>
      <c r="K120" s="43">
        <f>AG120</f>
        <v>-35012096</v>
      </c>
      <c r="L120" s="43"/>
      <c r="M120" s="43">
        <f t="shared" ref="M120:O120" si="387">M118</f>
        <v>9346402</v>
      </c>
      <c r="N120" s="43">
        <f t="shared" si="387"/>
        <v>8821478</v>
      </c>
      <c r="O120" s="43">
        <f t="shared" si="387"/>
        <v>5849107</v>
      </c>
      <c r="P120" s="43">
        <f>F120</f>
        <v>10477029</v>
      </c>
      <c r="Q120" s="43">
        <f t="shared" ref="Q120:R120" si="388">Q118</f>
        <v>11714806</v>
      </c>
      <c r="R120" s="43">
        <f t="shared" si="388"/>
        <v>13663815</v>
      </c>
      <c r="S120" s="43">
        <f t="shared" ref="S120" si="389">S118</f>
        <v>21731526</v>
      </c>
      <c r="T120" s="43">
        <f>G120</f>
        <v>18382693</v>
      </c>
      <c r="U120" s="43">
        <f t="shared" ref="U120:W120" si="390">U118</f>
        <v>24591460</v>
      </c>
      <c r="V120" s="43">
        <f t="shared" si="390"/>
        <v>25295631</v>
      </c>
      <c r="W120" s="43">
        <f t="shared" si="390"/>
        <v>26051111</v>
      </c>
      <c r="X120" s="43">
        <f>H120</f>
        <v>23577588</v>
      </c>
      <c r="Y120" s="43">
        <f t="shared" ref="Y120:AA120" si="391">Y118</f>
        <v>22256414</v>
      </c>
      <c r="Z120" s="43">
        <f t="shared" si="391"/>
        <v>18391922</v>
      </c>
      <c r="AA120" s="43">
        <f t="shared" si="391"/>
        <v>13690457</v>
      </c>
      <c r="AB120" s="43">
        <f t="shared" ref="AB120" si="392">AB118</f>
        <v>11295746</v>
      </c>
      <c r="AC120" s="135">
        <f>23333671-14310984</f>
        <v>9022687</v>
      </c>
      <c r="AD120" s="182">
        <f>21841038-16962281</f>
        <v>4878757</v>
      </c>
      <c r="AE120" s="182">
        <f>24078734-27854406</f>
        <v>-3775672</v>
      </c>
      <c r="AF120" s="43">
        <f t="shared" ref="AF120" si="393">J120</f>
        <v>-10184405</v>
      </c>
      <c r="AG120" s="182">
        <f>19317665-54329761</f>
        <v>-35012096</v>
      </c>
      <c r="AH120" s="7"/>
    </row>
    <row r="121" spans="2:34" ht="13.5" customHeight="1">
      <c r="B121" s="16" t="s">
        <v>186</v>
      </c>
      <c r="C121" s="50">
        <v>46852331</v>
      </c>
      <c r="D121" s="50">
        <v>47935882</v>
      </c>
      <c r="E121" s="50">
        <v>51909097</v>
      </c>
      <c r="F121" s="50">
        <v>62191058</v>
      </c>
      <c r="G121" s="50">
        <v>63290542</v>
      </c>
      <c r="H121" s="50">
        <v>53503752</v>
      </c>
      <c r="I121" s="50">
        <v>73915704</v>
      </c>
      <c r="J121" s="50">
        <v>120666751</v>
      </c>
      <c r="K121" s="7">
        <f>AG121</f>
        <v>164379799</v>
      </c>
      <c r="L121" s="7"/>
      <c r="M121" s="50">
        <v>52378589</v>
      </c>
      <c r="N121" s="50">
        <v>54878014</v>
      </c>
      <c r="O121" s="50">
        <v>58714446</v>
      </c>
      <c r="P121" s="7">
        <f>F121</f>
        <v>62191058</v>
      </c>
      <c r="Q121" s="50">
        <v>63398639</v>
      </c>
      <c r="R121" s="50">
        <v>66760160</v>
      </c>
      <c r="S121" s="50">
        <v>68723186</v>
      </c>
      <c r="T121" s="7">
        <f>G121</f>
        <v>63290542</v>
      </c>
      <c r="U121" s="50">
        <v>61008534</v>
      </c>
      <c r="V121" s="50">
        <v>57459050</v>
      </c>
      <c r="W121" s="50">
        <v>55231560</v>
      </c>
      <c r="X121" s="7">
        <f>H121</f>
        <v>53503752</v>
      </c>
      <c r="Y121" s="50">
        <v>55507402</v>
      </c>
      <c r="Z121" s="50">
        <v>59830020</v>
      </c>
      <c r="AA121" s="50">
        <v>65301520</v>
      </c>
      <c r="AB121" s="7">
        <f t="shared" ref="AB121" si="394">I121</f>
        <v>73915704</v>
      </c>
      <c r="AC121" s="50">
        <v>81438753</v>
      </c>
      <c r="AD121" s="50">
        <v>87142485</v>
      </c>
      <c r="AE121" s="50">
        <v>100006279</v>
      </c>
      <c r="AF121" s="7">
        <f t="shared" ref="AF121" si="395">J121</f>
        <v>120666751</v>
      </c>
      <c r="AG121" s="50">
        <v>164379799</v>
      </c>
    </row>
    <row r="122" spans="2:34" s="19" customFormat="1" ht="13.5" customHeight="1">
      <c r="B122" s="19" t="s">
        <v>187</v>
      </c>
      <c r="C122" s="43">
        <f t="shared" ref="C122:G122" si="396">+C114+C121</f>
        <v>52134268</v>
      </c>
      <c r="D122" s="43">
        <f t="shared" si="396"/>
        <v>60126387</v>
      </c>
      <c r="E122" s="43">
        <f t="shared" si="396"/>
        <v>64804461</v>
      </c>
      <c r="F122" s="43">
        <f t="shared" si="396"/>
        <v>81340629</v>
      </c>
      <c r="G122" s="43">
        <f t="shared" si="396"/>
        <v>88082227</v>
      </c>
      <c r="H122" s="43">
        <f t="shared" ref="H122:I122" si="397">+H114+H121</f>
        <v>86002258</v>
      </c>
      <c r="I122" s="43">
        <f t="shared" si="397"/>
        <v>99367813</v>
      </c>
      <c r="J122" s="43">
        <f t="shared" ref="J122" si="398">+J114+J121</f>
        <v>145424599</v>
      </c>
      <c r="K122" s="43">
        <f>+K114+K121</f>
        <v>186212215</v>
      </c>
      <c r="L122" s="43"/>
      <c r="M122" s="43">
        <f t="shared" ref="M122:V122" si="399">+M114+M121</f>
        <v>67713308</v>
      </c>
      <c r="N122" s="43">
        <f t="shared" si="399"/>
        <v>70337010</v>
      </c>
      <c r="O122" s="43">
        <f t="shared" si="399"/>
        <v>74576721</v>
      </c>
      <c r="P122" s="43">
        <f t="shared" si="399"/>
        <v>81340629</v>
      </c>
      <c r="Q122" s="43">
        <f t="shared" si="399"/>
        <v>83109601</v>
      </c>
      <c r="R122" s="43">
        <f t="shared" si="399"/>
        <v>87919575</v>
      </c>
      <c r="S122" s="43">
        <f t="shared" si="399"/>
        <v>97666961</v>
      </c>
      <c r="T122" s="43">
        <f t="shared" si="399"/>
        <v>88082227</v>
      </c>
      <c r="U122" s="43">
        <f t="shared" si="399"/>
        <v>91736228</v>
      </c>
      <c r="V122" s="43">
        <f t="shared" si="399"/>
        <v>90245548</v>
      </c>
      <c r="W122" s="43">
        <f t="shared" ref="W122:Z122" si="400">+W114+W121</f>
        <v>89813993</v>
      </c>
      <c r="X122" s="43">
        <f t="shared" si="400"/>
        <v>86002258</v>
      </c>
      <c r="Y122" s="43">
        <f t="shared" si="400"/>
        <v>88082718</v>
      </c>
      <c r="Z122" s="43">
        <f t="shared" si="400"/>
        <v>87910002</v>
      </c>
      <c r="AA122" s="43">
        <f t="shared" ref="AA122:AD122" si="401">+AA114+AA121</f>
        <v>89849846</v>
      </c>
      <c r="AB122" s="43">
        <f t="shared" si="401"/>
        <v>99367813</v>
      </c>
      <c r="AC122" s="43">
        <f t="shared" si="401"/>
        <v>107422519</v>
      </c>
      <c r="AD122" s="43">
        <f t="shared" si="401"/>
        <v>111511656</v>
      </c>
      <c r="AE122" s="43">
        <f t="shared" ref="AE122:AG122" si="402">+AE114+AE121</f>
        <v>126590203</v>
      </c>
      <c r="AF122" s="43">
        <f t="shared" si="402"/>
        <v>145424599</v>
      </c>
      <c r="AG122" s="43">
        <f t="shared" si="402"/>
        <v>186212215</v>
      </c>
    </row>
    <row r="123" spans="2:34" ht="13.5" customHeight="1"/>
    <row r="124" spans="2:34" ht="13.5" customHeight="1">
      <c r="B124" s="39" t="s">
        <v>188</v>
      </c>
      <c r="C124" s="44">
        <f t="shared" ref="C124:I124" si="403">C3</f>
        <v>43465</v>
      </c>
      <c r="D124" s="44">
        <f t="shared" si="403"/>
        <v>43830</v>
      </c>
      <c r="E124" s="44">
        <f t="shared" si="403"/>
        <v>44196</v>
      </c>
      <c r="F124" s="44">
        <f t="shared" si="403"/>
        <v>44561</v>
      </c>
      <c r="G124" s="44">
        <f t="shared" si="403"/>
        <v>44926</v>
      </c>
      <c r="H124" s="44">
        <f t="shared" si="403"/>
        <v>45291</v>
      </c>
      <c r="I124" s="44">
        <f t="shared" si="403"/>
        <v>45657</v>
      </c>
      <c r="J124" s="44">
        <f t="shared" ref="J124" si="404">J3</f>
        <v>46022</v>
      </c>
      <c r="K124" s="44" t="str">
        <f>K2</f>
        <v>LTM</v>
      </c>
      <c r="L124" s="203"/>
      <c r="M124" s="44">
        <f t="shared" ref="M124:AB124" si="405">M3</f>
        <v>44286</v>
      </c>
      <c r="N124" s="44">
        <f t="shared" si="405"/>
        <v>44377</v>
      </c>
      <c r="O124" s="44">
        <f t="shared" si="405"/>
        <v>44469</v>
      </c>
      <c r="P124" s="44">
        <f t="shared" si="405"/>
        <v>44561</v>
      </c>
      <c r="Q124" s="44">
        <f t="shared" si="405"/>
        <v>44651</v>
      </c>
      <c r="R124" s="44">
        <f t="shared" si="405"/>
        <v>44742</v>
      </c>
      <c r="S124" s="44">
        <f t="shared" si="405"/>
        <v>44834</v>
      </c>
      <c r="T124" s="44">
        <f t="shared" si="405"/>
        <v>44926</v>
      </c>
      <c r="U124" s="44">
        <f t="shared" si="405"/>
        <v>45016</v>
      </c>
      <c r="V124" s="44">
        <f t="shared" si="405"/>
        <v>45107</v>
      </c>
      <c r="W124" s="44">
        <f t="shared" si="405"/>
        <v>45199</v>
      </c>
      <c r="X124" s="44">
        <f t="shared" si="405"/>
        <v>45291</v>
      </c>
      <c r="Y124" s="44">
        <f t="shared" si="405"/>
        <v>45382</v>
      </c>
      <c r="Z124" s="44">
        <f t="shared" si="405"/>
        <v>45473</v>
      </c>
      <c r="AA124" s="44">
        <f t="shared" si="405"/>
        <v>45565</v>
      </c>
      <c r="AB124" s="44">
        <f t="shared" si="405"/>
        <v>45657</v>
      </c>
      <c r="AC124" s="44">
        <f t="shared" ref="AC124:AF124" si="406">AC3</f>
        <v>45747</v>
      </c>
      <c r="AD124" s="44">
        <f t="shared" si="406"/>
        <v>45838</v>
      </c>
      <c r="AE124" s="44">
        <f t="shared" si="406"/>
        <v>45930</v>
      </c>
      <c r="AF124" s="44">
        <f t="shared" si="406"/>
        <v>46022</v>
      </c>
      <c r="AG124" s="44">
        <f t="shared" ref="AG124" si="407">AG3</f>
        <v>46112</v>
      </c>
    </row>
    <row r="125" spans="2:34" ht="13.5" customHeight="1">
      <c r="B125" s="19"/>
    </row>
    <row r="126" spans="2:34" ht="13.5" customHeight="1">
      <c r="B126" s="2" t="s">
        <v>189</v>
      </c>
      <c r="C126" s="71" t="str">
        <f t="shared" ref="C126:K126" si="408">IF((C118-C109)&lt;0,"net cash",(C118-C109)/C82)</f>
        <v>net cash</v>
      </c>
      <c r="D126" s="71">
        <f t="shared" si="408"/>
        <v>0.58028557461558972</v>
      </c>
      <c r="E126" s="71">
        <f t="shared" si="408"/>
        <v>0.42582132000270217</v>
      </c>
      <c r="F126" s="71">
        <f t="shared" si="408"/>
        <v>0.38822340287114543</v>
      </c>
      <c r="G126" s="71">
        <f t="shared" si="408"/>
        <v>0.791751575329387</v>
      </c>
      <c r="H126" s="71">
        <f t="shared" ref="H126" si="409">IF((H118-H109)&lt;0,"net cash",(H118-H109)/H82)</f>
        <v>3.4891686194600102</v>
      </c>
      <c r="I126" s="71">
        <f>IF((I118-I109)&lt;0,"net cash",(I118-I109)/I82)</f>
        <v>0.23678588287562824</v>
      </c>
      <c r="J126" s="71" t="str">
        <f>IF((J118-J109)&lt;0,"net cash",(J118-J109)/J82)</f>
        <v>net cash</v>
      </c>
      <c r="K126" s="71" t="str">
        <f t="shared" si="408"/>
        <v>net cash</v>
      </c>
      <c r="M126" s="151"/>
      <c r="N126" s="151"/>
      <c r="O126" s="151"/>
      <c r="P126" s="71">
        <f t="shared" ref="P126:V126" si="410">IF((P118-P109)&lt;0,"net cash",(P118-P109)/P82)</f>
        <v>0.38822340287114543</v>
      </c>
      <c r="Q126" s="71">
        <f t="shared" si="410"/>
        <v>0.39744959930861096</v>
      </c>
      <c r="R126" s="71">
        <f t="shared" si="410"/>
        <v>0.42727995255041518</v>
      </c>
      <c r="S126" s="71">
        <f t="shared" si="410"/>
        <v>0.56612347566803012</v>
      </c>
      <c r="T126" s="71">
        <f t="shared" si="410"/>
        <v>0.791751575329387</v>
      </c>
      <c r="U126" s="71">
        <f t="shared" si="410"/>
        <v>1.5237463963357134</v>
      </c>
      <c r="V126" s="71">
        <f t="shared" si="410"/>
        <v>2.9945599794502953</v>
      </c>
      <c r="W126" s="71">
        <f>IF((W118-W109)&lt;0,"net cash",(W118-W109)/W82)</f>
        <v>5.6068402727051376</v>
      </c>
      <c r="X126" s="71">
        <f>IF((X118-X109)&lt;0,"net cash",(X118-X109)/X82)</f>
        <v>3.4891686194600102</v>
      </c>
      <c r="Y126" s="71">
        <f t="shared" ref="Y126:Z126" si="411">IF((Y118-Y109)&lt;0,"net cash",(Y118-Y109)/Y82)</f>
        <v>1.6249157350948509</v>
      </c>
      <c r="Z126" s="71">
        <f t="shared" si="411"/>
        <v>0.7853594279072118</v>
      </c>
      <c r="AA126" s="71">
        <f>IF((AA118-AA109)&lt;0,"net cash",(AA118-AA109)/AA82)</f>
        <v>0.38760004938968462</v>
      </c>
      <c r="AB126" s="71">
        <f>IF((AB118-AB109)&lt;0,"net cash",(AB118-AB109)/AB82)</f>
        <v>0.23678588287562824</v>
      </c>
      <c r="AC126" s="71">
        <f t="shared" ref="AC126:AD126" si="412">IF((AC118-AC109)&lt;0,"net cash",(AC118-AC109)/AC82)</f>
        <v>0.22163863027831684</v>
      </c>
      <c r="AD126" s="71">
        <f t="shared" si="412"/>
        <v>0.10899084064964368</v>
      </c>
      <c r="AE126" s="71" t="str">
        <f>IF((AE118-AE109)&lt;0,"net cash",(AE118-AE109)/AE82)</f>
        <v>net cash</v>
      </c>
      <c r="AF126" s="71" t="str">
        <f>IF((AF118-AF109)&lt;0,"net cash",(AF118-AF109)/AF82)</f>
        <v>net cash</v>
      </c>
      <c r="AG126" s="71" t="str">
        <f t="shared" ref="AG126" si="413">IF((AG118-AG109)&lt;0,"net cash",(AG118-AG109)/AG82)</f>
        <v>net cash</v>
      </c>
    </row>
    <row r="127" spans="2:34" ht="13.5" customHeight="1">
      <c r="B127" s="6" t="s">
        <v>190</v>
      </c>
      <c r="C127" s="49">
        <f t="shared" ref="C127:K127" si="414">(C114-C109)/C82</f>
        <v>0.19376144534115922</v>
      </c>
      <c r="D127" s="49">
        <f t="shared" si="414"/>
        <v>0.93533961425651058</v>
      </c>
      <c r="E127" s="49">
        <f t="shared" si="414"/>
        <v>0.76009241369992564</v>
      </c>
      <c r="F127" s="49">
        <f t="shared" si="414"/>
        <v>0.76435828598690203</v>
      </c>
      <c r="G127" s="49">
        <f t="shared" si="414"/>
        <v>1.0976992552988352</v>
      </c>
      <c r="H127" s="49">
        <f t="shared" ref="H127:I127" si="415">(H114-H109)/H82</f>
        <v>5.0040129054168787</v>
      </c>
      <c r="I127" s="49">
        <f t="shared" si="415"/>
        <v>0.62987623913586765</v>
      </c>
      <c r="J127" s="49">
        <f t="shared" ref="J127" si="416">(J114-J109)/J82</f>
        <v>0.36415263114821178</v>
      </c>
      <c r="K127" s="49">
        <f t="shared" si="414"/>
        <v>0.21074889267089961</v>
      </c>
      <c r="M127" s="131"/>
      <c r="N127" s="131"/>
      <c r="O127" s="131"/>
      <c r="P127" s="49">
        <f t="shared" ref="P127:V127" si="417">(P114-P109)/P82</f>
        <v>0.76435828598690203</v>
      </c>
      <c r="Q127" s="49">
        <f t="shared" si="417"/>
        <v>0.71156634978001254</v>
      </c>
      <c r="R127" s="49">
        <f t="shared" si="417"/>
        <v>0.69672170099572239</v>
      </c>
      <c r="S127" s="49">
        <f t="shared" si="417"/>
        <v>0.84183160671279478</v>
      </c>
      <c r="T127" s="49">
        <f t="shared" si="417"/>
        <v>1.0976992552988352</v>
      </c>
      <c r="U127" s="49">
        <f t="shared" si="417"/>
        <v>1.9370721406439444</v>
      </c>
      <c r="V127" s="49">
        <f t="shared" si="417"/>
        <v>3.9566543796557925</v>
      </c>
      <c r="W127" s="49">
        <f t="shared" ref="W127:Z127" si="418">(W114-W109)/W82</f>
        <v>7.6841039688336989</v>
      </c>
      <c r="X127" s="49">
        <f t="shared" si="418"/>
        <v>5.0040129054168787</v>
      </c>
      <c r="Y127" s="49">
        <f t="shared" si="418"/>
        <v>2.4988064871273714</v>
      </c>
      <c r="Z127" s="49">
        <f t="shared" si="418"/>
        <v>1.2749768534896648</v>
      </c>
      <c r="AA127" s="49">
        <f t="shared" ref="AA127:AD127" si="419">(AA114-AA109)/AA82</f>
        <v>0.77064771043533475</v>
      </c>
      <c r="AB127" s="49">
        <f t="shared" si="419"/>
        <v>0.62987623913586765</v>
      </c>
      <c r="AC127" s="49">
        <f t="shared" si="419"/>
        <v>0.57318212188950846</v>
      </c>
      <c r="AD127" s="49">
        <f t="shared" si="419"/>
        <v>0.48792614436029758</v>
      </c>
      <c r="AE127" s="49">
        <f t="shared" ref="AE127:AG127" si="420">(AE114-AE109)/AE82</f>
        <v>0.48534092558252034</v>
      </c>
      <c r="AF127" s="49">
        <f t="shared" si="420"/>
        <v>0.36415263114821178</v>
      </c>
      <c r="AG127" s="49">
        <f t="shared" si="420"/>
        <v>0.21074889267089961</v>
      </c>
    </row>
    <row r="128" spans="2:34" ht="13.5" customHeight="1">
      <c r="B128" s="2"/>
      <c r="M128" s="152"/>
      <c r="N128" s="152"/>
      <c r="O128" s="152"/>
    </row>
    <row r="129" spans="2:33" s="19" customFormat="1" ht="13.5" customHeight="1">
      <c r="B129" s="2" t="s">
        <v>191</v>
      </c>
      <c r="C129" s="71" t="str">
        <f t="shared" ref="C129:K129" si="421">IF(C118&lt;0,"net cash", C118/C82)</f>
        <v>net cash</v>
      </c>
      <c r="D129" s="71">
        <f t="shared" si="421"/>
        <v>0.72845009332503774</v>
      </c>
      <c r="E129" s="71">
        <f t="shared" si="421"/>
        <v>0.53686070391136931</v>
      </c>
      <c r="F129" s="71">
        <f t="shared" si="421"/>
        <v>0.45439688597822786</v>
      </c>
      <c r="G129" s="71">
        <f t="shared" si="421"/>
        <v>0.87753928776016799</v>
      </c>
      <c r="H129" s="71">
        <f t="shared" ref="H129:I129" si="422">IF(H118&lt;0,"net cash", H118/H82)</f>
        <v>4.0036658176260822</v>
      </c>
      <c r="I129" s="71">
        <f t="shared" si="422"/>
        <v>0.31365745702940606</v>
      </c>
      <c r="J129" s="71" t="str">
        <f t="shared" ref="J129" si="423">IF(J118&lt;0,"net cash", J118/J82)</f>
        <v>net cash</v>
      </c>
      <c r="K129" s="71" t="str">
        <f t="shared" si="421"/>
        <v>net cash</v>
      </c>
      <c r="L129" s="208"/>
      <c r="M129" s="151"/>
      <c r="N129" s="151"/>
      <c r="O129" s="151"/>
      <c r="P129" s="71">
        <f t="shared" ref="P129:V129" si="424">IF(P118&lt;0,"net cash", P118/P82)</f>
        <v>0.45439688597822786</v>
      </c>
      <c r="Q129" s="71">
        <f t="shared" si="424"/>
        <v>0.46019822438717789</v>
      </c>
      <c r="R129" s="71">
        <f t="shared" si="424"/>
        <v>0.49116844602609727</v>
      </c>
      <c r="S129" s="71">
        <f t="shared" si="424"/>
        <v>0.8307475820941167</v>
      </c>
      <c r="T129" s="71">
        <f t="shared" si="424"/>
        <v>0.87753928776016799</v>
      </c>
      <c r="U129" s="71">
        <f t="shared" si="424"/>
        <v>1.6564367506399029</v>
      </c>
      <c r="V129" s="71">
        <f t="shared" si="424"/>
        <v>3.2488609041870022</v>
      </c>
      <c r="W129" s="71">
        <f t="shared" ref="W129:Z129" si="425">IF(W118&lt;0,"net cash", W118/W82)</f>
        <v>6.3430998295592893</v>
      </c>
      <c r="X129" s="71">
        <f t="shared" si="425"/>
        <v>4.0036658176260822</v>
      </c>
      <c r="Y129" s="71">
        <f t="shared" si="425"/>
        <v>1.8848589092140922</v>
      </c>
      <c r="Z129" s="71">
        <f t="shared" si="425"/>
        <v>0.92949522413705965</v>
      </c>
      <c r="AA129" s="71">
        <f t="shared" ref="AA129:AD129" si="426">IF(AA118&lt;0,"net cash", AA118/AA82)</f>
        <v>0.48297668101319408</v>
      </c>
      <c r="AB129" s="71">
        <f t="shared" si="426"/>
        <v>0.31365745702940606</v>
      </c>
      <c r="AC129" s="71">
        <f t="shared" si="426"/>
        <v>0.28673713429462772</v>
      </c>
      <c r="AD129" s="71">
        <f t="shared" si="426"/>
        <v>0.16546902575788039</v>
      </c>
      <c r="AE129" s="71" t="str">
        <f t="shared" ref="AE129:AG129" si="427">IF(AE118&lt;0,"net cash", AE118/AE82)</f>
        <v>net cash</v>
      </c>
      <c r="AF129" s="71" t="str">
        <f t="shared" si="427"/>
        <v>net cash</v>
      </c>
      <c r="AG129" s="71" t="str">
        <f t="shared" si="427"/>
        <v>net cash</v>
      </c>
    </row>
    <row r="130" spans="2:33" ht="13.5" customHeight="1">
      <c r="B130" s="6" t="s">
        <v>192</v>
      </c>
      <c r="C130" s="49">
        <f t="shared" ref="C130:K130" si="428">+C114/C82</f>
        <v>0.19376144534115922</v>
      </c>
      <c r="D130" s="49">
        <f t="shared" si="428"/>
        <v>1.0835041329659585</v>
      </c>
      <c r="E130" s="49">
        <f t="shared" si="428"/>
        <v>0.87113179760859283</v>
      </c>
      <c r="F130" s="49">
        <f t="shared" si="428"/>
        <v>0.83053176909398452</v>
      </c>
      <c r="G130" s="49">
        <f t="shared" si="428"/>
        <v>1.1834869677296163</v>
      </c>
      <c r="H130" s="49">
        <f t="shared" ref="H130:I130" si="429">+H114/H82</f>
        <v>5.5185101035829511</v>
      </c>
      <c r="I130" s="49">
        <f t="shared" si="429"/>
        <v>0.70674781328964542</v>
      </c>
      <c r="J130" s="49">
        <f t="shared" ref="J130" si="430">+J114/J82</f>
        <v>0.40523525656764053</v>
      </c>
      <c r="K130" s="49">
        <f t="shared" si="428"/>
        <v>0.23818393663677423</v>
      </c>
      <c r="L130" s="49"/>
      <c r="M130" s="131"/>
      <c r="N130" s="131"/>
      <c r="O130" s="131"/>
      <c r="P130" s="49">
        <f t="shared" ref="P130:V130" si="431">+P114/P82</f>
        <v>0.83053176909398452</v>
      </c>
      <c r="Q130" s="49">
        <f t="shared" si="431"/>
        <v>0.77431497485857947</v>
      </c>
      <c r="R130" s="49">
        <f t="shared" si="431"/>
        <v>0.76061019447140443</v>
      </c>
      <c r="S130" s="49">
        <f t="shared" si="431"/>
        <v>1.1064557131388815</v>
      </c>
      <c r="T130" s="49">
        <f t="shared" si="431"/>
        <v>1.1834869677296163</v>
      </c>
      <c r="U130" s="49">
        <f t="shared" si="431"/>
        <v>2.0697624949481344</v>
      </c>
      <c r="V130" s="49">
        <f t="shared" si="431"/>
        <v>4.210955304392499</v>
      </c>
      <c r="W130" s="49">
        <f t="shared" ref="W130:Z130" si="432">+W114/W82</f>
        <v>8.4203635256878506</v>
      </c>
      <c r="X130" s="49">
        <f t="shared" si="432"/>
        <v>5.5185101035829511</v>
      </c>
      <c r="Y130" s="49">
        <f t="shared" si="432"/>
        <v>2.7587496612466125</v>
      </c>
      <c r="Z130" s="49">
        <f t="shared" si="432"/>
        <v>1.4191126497195128</v>
      </c>
      <c r="AA130" s="49">
        <f t="shared" ref="AA130:AD130" si="433">+AA114/AA82</f>
        <v>0.86602434205884427</v>
      </c>
      <c r="AB130" s="49">
        <f t="shared" si="433"/>
        <v>0.70674781328964542</v>
      </c>
      <c r="AC130" s="49">
        <f t="shared" si="433"/>
        <v>0.63828062590581935</v>
      </c>
      <c r="AD130" s="49">
        <f t="shared" si="433"/>
        <v>0.54440432946853423</v>
      </c>
      <c r="AE130" s="49">
        <f t="shared" ref="AE130:AG130" si="434">+AE114/AE82</f>
        <v>0.53583657179714583</v>
      </c>
      <c r="AF130" s="49">
        <f t="shared" si="434"/>
        <v>0.40523525656764053</v>
      </c>
      <c r="AG130" s="49">
        <f t="shared" si="434"/>
        <v>0.23818393663677423</v>
      </c>
    </row>
    <row r="131" spans="2:33" ht="13.5" customHeight="1"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131"/>
      <c r="N131" s="131"/>
      <c r="O131" s="131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</row>
    <row r="132" spans="2:33" s="19" customFormat="1" ht="13.5" customHeight="1">
      <c r="B132" s="19" t="s">
        <v>193</v>
      </c>
      <c r="C132" s="235">
        <f t="shared" ref="C132:K132" si="435">C120/C82</f>
        <v>-0.11325799706529714</v>
      </c>
      <c r="D132" s="235">
        <f t="shared" si="435"/>
        <v>0.72845009332503774</v>
      </c>
      <c r="E132" s="235">
        <f t="shared" si="435"/>
        <v>0.53686070391136931</v>
      </c>
      <c r="F132" s="235">
        <f t="shared" si="435"/>
        <v>0.45439688597822786</v>
      </c>
      <c r="G132" s="235">
        <f t="shared" si="435"/>
        <v>0.87753928776016799</v>
      </c>
      <c r="H132" s="235">
        <f t="shared" ref="H132:I132" si="436">H120/H82</f>
        <v>4.0036658176260822</v>
      </c>
      <c r="I132" s="235">
        <f t="shared" si="436"/>
        <v>0.31365745702940606</v>
      </c>
      <c r="J132" s="235">
        <f t="shared" ref="J132" si="437">J120/J82</f>
        <v>-0.16669784761437106</v>
      </c>
      <c r="K132" s="235">
        <f t="shared" si="435"/>
        <v>-0.38196958390608976</v>
      </c>
      <c r="L132" s="235"/>
      <c r="M132" s="236"/>
      <c r="N132" s="236"/>
      <c r="O132" s="236"/>
      <c r="P132" s="235">
        <f t="shared" ref="P132:V132" si="438">P120/P82</f>
        <v>0.45439688597822786</v>
      </c>
      <c r="Q132" s="235">
        <f t="shared" si="438"/>
        <v>0.46019822438717789</v>
      </c>
      <c r="R132" s="235">
        <f t="shared" si="438"/>
        <v>0.49116844602609727</v>
      </c>
      <c r="S132" s="235">
        <f t="shared" si="438"/>
        <v>0.8307475820941167</v>
      </c>
      <c r="T132" s="235">
        <f t="shared" si="438"/>
        <v>0.87753928776016799</v>
      </c>
      <c r="U132" s="235">
        <f t="shared" si="438"/>
        <v>1.6564367506399029</v>
      </c>
      <c r="V132" s="235">
        <f t="shared" si="438"/>
        <v>3.2488609041870022</v>
      </c>
      <c r="W132" s="235">
        <f t="shared" ref="W132:Z132" si="439">W120/W82</f>
        <v>6.3430998295592893</v>
      </c>
      <c r="X132" s="235">
        <f t="shared" si="439"/>
        <v>4.0036658176260822</v>
      </c>
      <c r="Y132" s="235">
        <f t="shared" si="439"/>
        <v>1.8848589092140922</v>
      </c>
      <c r="Z132" s="235">
        <f t="shared" si="439"/>
        <v>0.92949522413705965</v>
      </c>
      <c r="AA132" s="235">
        <f t="shared" ref="AA132:AB132" si="440">AA120/AA82</f>
        <v>0.48297668101319408</v>
      </c>
      <c r="AB132" s="235">
        <f t="shared" si="440"/>
        <v>0.31365745702940606</v>
      </c>
      <c r="AC132" s="235">
        <f>AC120/AC82</f>
        <v>0.22163863027831684</v>
      </c>
      <c r="AD132" s="235">
        <f t="shared" ref="AD132:AF132" si="441">AD120/AD82</f>
        <v>0.10899084064964368</v>
      </c>
      <c r="AE132" s="235">
        <f t="shared" si="441"/>
        <v>-7.6104007095057644E-2</v>
      </c>
      <c r="AF132" s="235">
        <f t="shared" si="441"/>
        <v>-0.16669784761437106</v>
      </c>
      <c r="AG132" s="235">
        <f>AG120/AG82</f>
        <v>-0.38196958390608976</v>
      </c>
    </row>
    <row r="133" spans="2:33" ht="13.5" customHeight="1"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131"/>
      <c r="N133" s="131"/>
      <c r="O133" s="131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</row>
    <row r="134" spans="2:33" s="19" customFormat="1" ht="13.5" customHeight="1">
      <c r="B134" s="19" t="s">
        <v>194</v>
      </c>
      <c r="C134" s="71">
        <f t="shared" ref="C134:K134" si="442">(C82-C85)/C83</f>
        <v>90.103134992739768</v>
      </c>
      <c r="D134" s="71">
        <f t="shared" si="442"/>
        <v>-10.974613325276735</v>
      </c>
      <c r="E134" s="71">
        <f t="shared" si="442"/>
        <v>16.611255696290264</v>
      </c>
      <c r="F134" s="71">
        <f t="shared" si="442"/>
        <v>44.20277494168721</v>
      </c>
      <c r="G134" s="71">
        <f t="shared" si="442"/>
        <v>4.5730991905167304</v>
      </c>
      <c r="H134" s="71">
        <f t="shared" ref="H134:I134" si="443">(H82-H85)/H83</f>
        <v>-0.71049114574250516</v>
      </c>
      <c r="I134" s="71">
        <f t="shared" si="443"/>
        <v>15.756822219645862</v>
      </c>
      <c r="J134" s="71">
        <f t="shared" ref="J134" si="444">(J82-J85)/J83</f>
        <v>35.91728169279618</v>
      </c>
      <c r="K134" s="71">
        <f t="shared" si="442"/>
        <v>64.510224850274213</v>
      </c>
      <c r="L134" s="208"/>
      <c r="M134" s="130"/>
      <c r="N134" s="130"/>
      <c r="O134" s="130"/>
      <c r="P134" s="71">
        <f>(P82-P85)/P83</f>
        <v>44.20277494168721</v>
      </c>
      <c r="Q134" s="71">
        <f t="shared" ref="Q134:V134" si="445">(Q82-Q85)/Q83</f>
        <v>42.184675666705921</v>
      </c>
      <c r="R134" s="71">
        <f t="shared" si="445"/>
        <v>39.364852330359923</v>
      </c>
      <c r="S134" s="71">
        <f t="shared" si="445"/>
        <v>24.201111644972482</v>
      </c>
      <c r="T134" s="71">
        <f t="shared" si="445"/>
        <v>4.5730991905167304</v>
      </c>
      <c r="U134" s="71">
        <f t="shared" si="445"/>
        <v>-2.893536295260037</v>
      </c>
      <c r="V134" s="71">
        <f t="shared" si="445"/>
        <v>-7.5147284285030391</v>
      </c>
      <c r="W134" s="71">
        <f t="shared" ref="W134:Z134" si="446">(W82-W85)/W83</f>
        <v>-19.213576797247629</v>
      </c>
      <c r="X134" s="71">
        <f t="shared" si="446"/>
        <v>-0.71049114574250516</v>
      </c>
      <c r="Y134" s="71">
        <f t="shared" si="446"/>
        <v>3.4675291045454264</v>
      </c>
      <c r="Z134" s="71">
        <f t="shared" si="446"/>
        <v>8.8492964793124482</v>
      </c>
      <c r="AA134" s="71">
        <f t="shared" ref="AA134:AB134" si="447">(AA82-AA85)/AA83</f>
        <v>8.0828010732183841</v>
      </c>
      <c r="AB134" s="71">
        <f t="shared" si="447"/>
        <v>15.756822219645862</v>
      </c>
      <c r="AC134" s="71">
        <f>(AC82-AC85)/AC83</f>
        <v>18.36857137770453</v>
      </c>
      <c r="AD134" s="71">
        <f t="shared" ref="AD134:AF134" si="448">(AD82-AD85)/AD83</f>
        <v>22.152528994268103</v>
      </c>
      <c r="AE134" s="71">
        <f t="shared" si="448"/>
        <v>26.435316123983792</v>
      </c>
      <c r="AF134" s="71">
        <f t="shared" si="448"/>
        <v>35.91728169279618</v>
      </c>
      <c r="AG134" s="71">
        <f>(AG82-AG85)/AG83</f>
        <v>64.510224850274213</v>
      </c>
    </row>
    <row r="135" spans="2:33" ht="13.5" customHeight="1">
      <c r="B135" s="16" t="s">
        <v>195</v>
      </c>
      <c r="C135" s="49">
        <f t="shared" ref="C135:K135" si="449">C82/C83</f>
        <v>216.29942314864039</v>
      </c>
      <c r="D135" s="49">
        <f t="shared" si="449"/>
        <v>47.210822696106817</v>
      </c>
      <c r="E135" s="49">
        <f t="shared" si="449"/>
        <v>51.298667544574016</v>
      </c>
      <c r="F135" s="49">
        <f t="shared" si="449"/>
        <v>95.695229557320843</v>
      </c>
      <c r="G135" s="49">
        <f t="shared" si="449"/>
        <v>42.360868167267597</v>
      </c>
      <c r="H135" s="49">
        <f t="shared" ref="H135:I135" si="450">H82/H83</f>
        <v>4.6681040632877275</v>
      </c>
      <c r="I135" s="49">
        <f t="shared" si="450"/>
        <v>28.210884844003122</v>
      </c>
      <c r="J135" s="49">
        <f t="shared" ref="J135" si="451">J82/J83</f>
        <v>65.074362330896662</v>
      </c>
      <c r="K135" s="49">
        <f t="shared" si="449"/>
        <v>94.033332581028375</v>
      </c>
      <c r="L135" s="49"/>
      <c r="M135" s="131"/>
      <c r="N135" s="131"/>
      <c r="O135" s="131"/>
      <c r="P135" s="49">
        <f>P82/P83</f>
        <v>95.695229557320843</v>
      </c>
      <c r="Q135" s="49">
        <f t="shared" ref="Q135:V135" si="452">Q82/Q83</f>
        <v>90.842584959728214</v>
      </c>
      <c r="R135" s="49">
        <f t="shared" si="452"/>
        <v>87.469854515612766</v>
      </c>
      <c r="S135" s="49">
        <f t="shared" si="452"/>
        <v>71.413361579453138</v>
      </c>
      <c r="T135" s="49">
        <f t="shared" si="452"/>
        <v>42.360868167267597</v>
      </c>
      <c r="U135" s="49">
        <f t="shared" si="452"/>
        <v>24.206079401027527</v>
      </c>
      <c r="V135" s="49">
        <f t="shared" si="452"/>
        <v>9.4363747644239222</v>
      </c>
      <c r="W135" s="49">
        <f t="shared" ref="W135:Z135" si="453">W82/W83</f>
        <v>15.080026583733252</v>
      </c>
      <c r="X135" s="49">
        <f t="shared" si="453"/>
        <v>4.6681040632877275</v>
      </c>
      <c r="Y135" s="49">
        <f t="shared" si="453"/>
        <v>8.0677615446265136</v>
      </c>
      <c r="Z135" s="49">
        <f t="shared" si="453"/>
        <v>13.561192249964019</v>
      </c>
      <c r="AA135" s="49">
        <f t="shared" ref="AA135:AD135" si="454">AA82/AA83</f>
        <v>12.643993478614808</v>
      </c>
      <c r="AB135" s="49">
        <f t="shared" si="454"/>
        <v>28.210884844003122</v>
      </c>
      <c r="AC135" s="49">
        <f t="shared" si="454"/>
        <v>34.51234327696433</v>
      </c>
      <c r="AD135" s="49">
        <f t="shared" si="454"/>
        <v>42.214032301566796</v>
      </c>
      <c r="AE135" s="49">
        <f t="shared" ref="AE135:AG135" si="455">AE82/AE83</f>
        <v>48.894184477683133</v>
      </c>
      <c r="AF135" s="49">
        <f t="shared" si="455"/>
        <v>65.074362330896662</v>
      </c>
      <c r="AG135" s="49">
        <f t="shared" si="455"/>
        <v>94.033332581028375</v>
      </c>
    </row>
    <row r="136" spans="2:33" ht="13.5" customHeight="1"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153"/>
      <c r="N136" s="153"/>
      <c r="O136" s="153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</row>
    <row r="137" spans="2:33" s="19" customFormat="1" ht="13.5" customHeight="1">
      <c r="B137" s="47" t="s">
        <v>196</v>
      </c>
      <c r="C137" s="46">
        <f>C118/C121</f>
        <v>-6.5896678651911678E-2</v>
      </c>
      <c r="D137" s="46">
        <f t="shared" ref="D137:K137" si="456">D118/D121</f>
        <v>0.17097405238105351</v>
      </c>
      <c r="E137" s="46">
        <f t="shared" si="456"/>
        <v>0.15309742336685225</v>
      </c>
      <c r="F137" s="46">
        <f t="shared" si="456"/>
        <v>0.1684651996111724</v>
      </c>
      <c r="G137" s="46">
        <f t="shared" si="456"/>
        <v>0.290449290195682</v>
      </c>
      <c r="H137" s="46">
        <f t="shared" ref="H137:I137" si="457">H118/H121</f>
        <v>0.44067167476404273</v>
      </c>
      <c r="I137" s="46">
        <f t="shared" si="457"/>
        <v>0.15281929804794933</v>
      </c>
      <c r="J137" s="46">
        <f t="shared" ref="J137" si="458">J118/J121</f>
        <v>-8.4401087421339449E-2</v>
      </c>
      <c r="K137" s="46">
        <f t="shared" si="456"/>
        <v>-0.19769670724563912</v>
      </c>
      <c r="L137" s="209"/>
      <c r="M137" s="154"/>
      <c r="N137" s="154"/>
      <c r="O137" s="154"/>
      <c r="P137" s="46">
        <f t="shared" ref="P137:Q137" si="459">P118/P121</f>
        <v>0.1684651996111724</v>
      </c>
      <c r="Q137" s="46">
        <f t="shared" si="459"/>
        <v>0.18478008652520128</v>
      </c>
      <c r="R137" s="46">
        <f t="shared" ref="R137" si="460">R118/R121</f>
        <v>0.20467019551780583</v>
      </c>
      <c r="S137" s="46">
        <f t="shared" ref="S137:V137" si="461">S118/S121</f>
        <v>0.31621825565537665</v>
      </c>
      <c r="T137" s="46">
        <f t="shared" si="461"/>
        <v>0.290449290195682</v>
      </c>
      <c r="U137" s="46">
        <f t="shared" si="461"/>
        <v>0.40308229665049811</v>
      </c>
      <c r="V137" s="46">
        <f t="shared" si="461"/>
        <v>0.44023754308503188</v>
      </c>
      <c r="W137" s="46">
        <f t="shared" ref="W137:Z137" si="462">W118/W121</f>
        <v>0.47167074404561449</v>
      </c>
      <c r="X137" s="46">
        <f t="shared" si="462"/>
        <v>0.44067167476404273</v>
      </c>
      <c r="Y137" s="46">
        <f t="shared" si="462"/>
        <v>0.40096299228704668</v>
      </c>
      <c r="Z137" s="46">
        <f t="shared" si="462"/>
        <v>0.30740290576536661</v>
      </c>
      <c r="AA137" s="46">
        <f t="shared" ref="AA137:AD137" si="463">AA118/AA121</f>
        <v>0.20964989788905372</v>
      </c>
      <c r="AB137" s="46">
        <f t="shared" si="463"/>
        <v>0.15281929804794933</v>
      </c>
      <c r="AC137" s="46">
        <f t="shared" si="463"/>
        <v>0.14333203260123592</v>
      </c>
      <c r="AD137" s="46">
        <f t="shared" si="463"/>
        <v>8.4997461341617703E-2</v>
      </c>
      <c r="AE137" s="46">
        <f t="shared" ref="AE137:AG137" si="464">AE118/AE121</f>
        <v>-1.2704022314438877E-2</v>
      </c>
      <c r="AF137" s="46">
        <f t="shared" si="464"/>
        <v>-8.4401087421339449E-2</v>
      </c>
      <c r="AG137" s="46">
        <f t="shared" si="464"/>
        <v>-0.19769670724563912</v>
      </c>
    </row>
    <row r="138" spans="2:33" s="19" customFormat="1" ht="13.5" customHeight="1"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</row>
    <row r="139" spans="2:33" s="19" customFormat="1" ht="13.5" customHeight="1">
      <c r="C139" s="45"/>
      <c r="D139" s="45"/>
      <c r="E139" s="45"/>
      <c r="F139" s="45"/>
      <c r="G139" s="45"/>
      <c r="H139" s="45"/>
      <c r="I139" s="45"/>
    </row>
    <row r="140" spans="2:33" ht="13.5" customHeight="1">
      <c r="B140" s="36" t="s">
        <v>197</v>
      </c>
      <c r="C140" s="44">
        <f t="shared" ref="C140:I140" si="465">C3</f>
        <v>43465</v>
      </c>
      <c r="D140" s="44">
        <f t="shared" si="465"/>
        <v>43830</v>
      </c>
      <c r="E140" s="44">
        <f t="shared" si="465"/>
        <v>44196</v>
      </c>
      <c r="F140" s="44">
        <f t="shared" si="465"/>
        <v>44561</v>
      </c>
      <c r="G140" s="44">
        <f t="shared" si="465"/>
        <v>44926</v>
      </c>
      <c r="H140" s="44">
        <f t="shared" si="465"/>
        <v>45291</v>
      </c>
      <c r="I140" s="44">
        <f t="shared" si="465"/>
        <v>45657</v>
      </c>
      <c r="J140" s="44">
        <f t="shared" ref="J140" si="466">J3</f>
        <v>46022</v>
      </c>
      <c r="K140" s="44" t="str">
        <f>K2</f>
        <v>LTM</v>
      </c>
      <c r="L140" s="203"/>
      <c r="M140" s="44">
        <f t="shared" ref="M140:AB140" si="467">M3</f>
        <v>44286</v>
      </c>
      <c r="N140" s="44">
        <f t="shared" si="467"/>
        <v>44377</v>
      </c>
      <c r="O140" s="44">
        <f t="shared" si="467"/>
        <v>44469</v>
      </c>
      <c r="P140" s="44">
        <f t="shared" si="467"/>
        <v>44561</v>
      </c>
      <c r="Q140" s="44">
        <f t="shared" si="467"/>
        <v>44651</v>
      </c>
      <c r="R140" s="44">
        <f t="shared" si="467"/>
        <v>44742</v>
      </c>
      <c r="S140" s="44">
        <f t="shared" si="467"/>
        <v>44834</v>
      </c>
      <c r="T140" s="44">
        <f t="shared" si="467"/>
        <v>44926</v>
      </c>
      <c r="U140" s="44">
        <f t="shared" si="467"/>
        <v>45016</v>
      </c>
      <c r="V140" s="44">
        <f t="shared" si="467"/>
        <v>45107</v>
      </c>
      <c r="W140" s="44">
        <f t="shared" si="467"/>
        <v>45199</v>
      </c>
      <c r="X140" s="44">
        <f t="shared" si="467"/>
        <v>45291</v>
      </c>
      <c r="Y140" s="44">
        <f t="shared" si="467"/>
        <v>45382</v>
      </c>
      <c r="Z140" s="44">
        <f t="shared" si="467"/>
        <v>45473</v>
      </c>
      <c r="AA140" s="44">
        <f t="shared" si="467"/>
        <v>45565</v>
      </c>
      <c r="AB140" s="44">
        <f t="shared" si="467"/>
        <v>45657</v>
      </c>
      <c r="AC140" s="44">
        <f t="shared" ref="AC140:AF140" si="468">AC3</f>
        <v>45747</v>
      </c>
      <c r="AD140" s="44">
        <f t="shared" si="468"/>
        <v>45838</v>
      </c>
      <c r="AE140" s="44">
        <f t="shared" si="468"/>
        <v>45930</v>
      </c>
      <c r="AF140" s="44">
        <f t="shared" si="468"/>
        <v>46022</v>
      </c>
      <c r="AG140" s="44">
        <f t="shared" ref="AG140" si="469">AG3</f>
        <v>46112</v>
      </c>
    </row>
    <row r="141" spans="2:33" ht="13.5" customHeight="1">
      <c r="B141" s="16" t="s">
        <v>198</v>
      </c>
      <c r="C141" s="7">
        <f t="shared" ref="C141:K141" si="470">C79</f>
        <v>40445066</v>
      </c>
      <c r="D141" s="7">
        <f t="shared" si="470"/>
        <v>26990733</v>
      </c>
      <c r="E141" s="7">
        <f t="shared" si="470"/>
        <v>31900418</v>
      </c>
      <c r="F141" s="7">
        <f t="shared" si="470"/>
        <v>42997792</v>
      </c>
      <c r="G141" s="7">
        <f t="shared" si="470"/>
        <v>44621568</v>
      </c>
      <c r="H141" s="7">
        <f t="shared" ref="H141:I141" si="471">H79</f>
        <v>32765719</v>
      </c>
      <c r="I141" s="7">
        <f t="shared" si="471"/>
        <v>66192960</v>
      </c>
      <c r="J141" s="7">
        <f t="shared" ref="J141" si="472">J79</f>
        <v>97146675</v>
      </c>
      <c r="K141" s="7">
        <f t="shared" si="470"/>
        <v>132083821</v>
      </c>
      <c r="L141" s="7"/>
      <c r="M141" s="115"/>
      <c r="N141" s="115"/>
      <c r="O141" s="115"/>
      <c r="P141" s="7">
        <f t="shared" ref="P141:V141" si="473">P79</f>
        <v>42997792</v>
      </c>
      <c r="Q141" s="7">
        <f t="shared" si="473"/>
        <v>46659257</v>
      </c>
      <c r="R141" s="7">
        <f t="shared" si="473"/>
        <v>50148587</v>
      </c>
      <c r="S141" s="7">
        <f t="shared" si="473"/>
        <v>49326146</v>
      </c>
      <c r="T141" s="7">
        <f t="shared" si="473"/>
        <v>44621568</v>
      </c>
      <c r="U141" s="7">
        <f t="shared" si="473"/>
        <v>37554026</v>
      </c>
      <c r="V141" s="7">
        <f t="shared" si="473"/>
        <v>31048958</v>
      </c>
      <c r="W141" s="7">
        <f t="shared" ref="W141:Z141" si="474">W79</f>
        <v>29132246</v>
      </c>
      <c r="X141" s="7">
        <f t="shared" si="474"/>
        <v>32765719</v>
      </c>
      <c r="Y141" s="7">
        <f t="shared" si="474"/>
        <v>40107206</v>
      </c>
      <c r="Z141" s="7">
        <f t="shared" si="474"/>
        <v>49224531</v>
      </c>
      <c r="AA141" s="7">
        <f t="shared" ref="AA141:AD141" si="475">AA79</f>
        <v>57731429</v>
      </c>
      <c r="AB141" s="7">
        <f t="shared" si="475"/>
        <v>66192960</v>
      </c>
      <c r="AC141" s="7">
        <f t="shared" si="475"/>
        <v>71402503</v>
      </c>
      <c r="AD141" s="7">
        <f t="shared" si="475"/>
        <v>77211197</v>
      </c>
      <c r="AE141" s="7">
        <f t="shared" ref="AE141:AG141" si="476">AE79</f>
        <v>84087057</v>
      </c>
      <c r="AF141" s="7">
        <f t="shared" si="476"/>
        <v>97146675</v>
      </c>
      <c r="AG141" s="7">
        <f t="shared" si="476"/>
        <v>132083821</v>
      </c>
    </row>
    <row r="142" spans="2:33" ht="13.5" customHeight="1">
      <c r="B142" s="16" t="s">
        <v>199</v>
      </c>
      <c r="C142" s="7">
        <f t="shared" ref="C142:K142" si="477">C82</f>
        <v>27260000</v>
      </c>
      <c r="D142" s="7">
        <f t="shared" si="477"/>
        <v>11251000</v>
      </c>
      <c r="E142" s="7">
        <f t="shared" si="477"/>
        <v>14803000</v>
      </c>
      <c r="F142" s="7">
        <f t="shared" si="477"/>
        <v>23057000</v>
      </c>
      <c r="G142" s="7">
        <f t="shared" si="477"/>
        <v>20948000</v>
      </c>
      <c r="H142" s="7">
        <f t="shared" ref="H142:I142" si="478">H82</f>
        <v>5889000</v>
      </c>
      <c r="I142" s="7">
        <f t="shared" si="478"/>
        <v>36013000</v>
      </c>
      <c r="J142" s="7">
        <f t="shared" ref="J142" si="479">J82</f>
        <v>61095000</v>
      </c>
      <c r="K142" s="7">
        <f t="shared" si="477"/>
        <v>91662000</v>
      </c>
      <c r="L142" s="7"/>
      <c r="M142" s="115"/>
      <c r="N142" s="115"/>
      <c r="O142" s="115"/>
      <c r="P142" s="7">
        <f t="shared" ref="P142:V142" si="480">P82</f>
        <v>23057000</v>
      </c>
      <c r="Q142" s="7">
        <f t="shared" si="480"/>
        <v>25456000</v>
      </c>
      <c r="R142" s="7">
        <f t="shared" si="480"/>
        <v>27819000</v>
      </c>
      <c r="S142" s="7">
        <f t="shared" si="480"/>
        <v>26159000</v>
      </c>
      <c r="T142" s="7">
        <f t="shared" si="480"/>
        <v>20948000</v>
      </c>
      <c r="U142" s="7">
        <f t="shared" si="480"/>
        <v>14846000</v>
      </c>
      <c r="V142" s="7">
        <f t="shared" si="480"/>
        <v>7786000</v>
      </c>
      <c r="W142" s="7">
        <f t="shared" ref="W142:Z142" si="481">W82</f>
        <v>4107000</v>
      </c>
      <c r="X142" s="7">
        <f t="shared" si="481"/>
        <v>5889000</v>
      </c>
      <c r="Y142" s="7">
        <f t="shared" si="481"/>
        <v>11808000</v>
      </c>
      <c r="Z142" s="7">
        <f t="shared" si="481"/>
        <v>19787000</v>
      </c>
      <c r="AA142" s="7">
        <f t="shared" ref="AA142:AD142" si="482">AA82</f>
        <v>28346000</v>
      </c>
      <c r="AB142" s="7">
        <f t="shared" si="482"/>
        <v>36013000</v>
      </c>
      <c r="AC142" s="7">
        <f t="shared" si="482"/>
        <v>40709000</v>
      </c>
      <c r="AD142" s="7">
        <f t="shared" si="482"/>
        <v>44763000</v>
      </c>
      <c r="AE142" s="7">
        <f t="shared" ref="AE142:AG142" si="483">AE82</f>
        <v>49612000</v>
      </c>
      <c r="AF142" s="7">
        <f t="shared" si="483"/>
        <v>61095000</v>
      </c>
      <c r="AG142" s="7">
        <f t="shared" si="483"/>
        <v>91662000</v>
      </c>
    </row>
    <row r="143" spans="2:33" ht="13.5" customHeight="1">
      <c r="B143" s="16" t="s">
        <v>200</v>
      </c>
      <c r="C143" s="17">
        <f t="shared" ref="C143:E143" si="484">C142/C141</f>
        <v>0.6740006308804144</v>
      </c>
      <c r="D143" s="17">
        <f t="shared" si="484"/>
        <v>0.41684677478006987</v>
      </c>
      <c r="E143" s="17">
        <f t="shared" si="484"/>
        <v>0.46403780665193789</v>
      </c>
      <c r="F143" s="17">
        <f t="shared" ref="F143:G143" si="485">F142/F141</f>
        <v>0.53623683746365391</v>
      </c>
      <c r="G143" s="17">
        <f t="shared" si="485"/>
        <v>0.46945907414100735</v>
      </c>
      <c r="H143" s="17">
        <f t="shared" ref="H143:I143" si="486">H142/H141</f>
        <v>0.17973052872729575</v>
      </c>
      <c r="I143" s="17">
        <f t="shared" si="486"/>
        <v>0.54406087898169231</v>
      </c>
      <c r="J143" s="17">
        <f t="shared" ref="J143" si="487">J142/J141</f>
        <v>0.62889440117224804</v>
      </c>
      <c r="K143" s="17">
        <f t="shared" ref="K143" si="488">K142/K141</f>
        <v>0.69396841570778001</v>
      </c>
      <c r="L143" s="17"/>
      <c r="M143" s="155"/>
      <c r="N143" s="155"/>
      <c r="O143" s="155"/>
      <c r="P143" s="17">
        <f t="shared" ref="P143:R143" si="489">P142/P141</f>
        <v>0.53623683746365391</v>
      </c>
      <c r="Q143" s="17">
        <f t="shared" si="489"/>
        <v>0.54557233948238826</v>
      </c>
      <c r="R143" s="17">
        <f t="shared" si="489"/>
        <v>0.5547314822648941</v>
      </c>
      <c r="S143" s="17">
        <f t="shared" ref="S143:V143" si="490">S142/S141</f>
        <v>0.53032726294894394</v>
      </c>
      <c r="T143" s="17">
        <f t="shared" si="490"/>
        <v>0.46945907414100735</v>
      </c>
      <c r="U143" s="17">
        <f t="shared" si="490"/>
        <v>0.39532379298027859</v>
      </c>
      <c r="V143" s="17">
        <f t="shared" si="490"/>
        <v>0.25076525917552533</v>
      </c>
      <c r="W143" s="17">
        <f t="shared" ref="W143:Z143" si="491">W142/W141</f>
        <v>0.14097780171154672</v>
      </c>
      <c r="X143" s="17">
        <f t="shared" si="491"/>
        <v>0.17973052872729575</v>
      </c>
      <c r="Y143" s="17">
        <f t="shared" si="491"/>
        <v>0.29441093453380923</v>
      </c>
      <c r="Z143" s="17">
        <f t="shared" si="491"/>
        <v>0.4019743733058625</v>
      </c>
      <c r="AA143" s="17">
        <f t="shared" ref="AA143:AD143" si="492">AA142/AA141</f>
        <v>0.49099771980354062</v>
      </c>
      <c r="AB143" s="17">
        <f t="shared" si="492"/>
        <v>0.54406087898169231</v>
      </c>
      <c r="AC143" s="17">
        <f t="shared" si="492"/>
        <v>0.57013407499174085</v>
      </c>
      <c r="AD143" s="17">
        <f t="shared" si="492"/>
        <v>0.5797475202981246</v>
      </c>
      <c r="AE143" s="17">
        <f t="shared" ref="AE143:AG143" si="493">AE142/AE141</f>
        <v>0.5900075679899226</v>
      </c>
      <c r="AF143" s="17">
        <f t="shared" si="493"/>
        <v>0.62889440117224804</v>
      </c>
      <c r="AG143" s="17">
        <f t="shared" si="493"/>
        <v>0.69396841570778001</v>
      </c>
    </row>
    <row r="144" spans="2:33" ht="13.5" customHeight="1">
      <c r="B144" s="16" t="s">
        <v>180</v>
      </c>
      <c r="C144" s="7">
        <f t="shared" ref="C144:K145" si="494">C114</f>
        <v>5281937</v>
      </c>
      <c r="D144" s="7">
        <f t="shared" si="494"/>
        <v>12190505</v>
      </c>
      <c r="E144" s="7">
        <f t="shared" si="494"/>
        <v>12895364</v>
      </c>
      <c r="F144" s="7">
        <f t="shared" si="494"/>
        <v>19149571</v>
      </c>
      <c r="G144" s="7">
        <f t="shared" si="494"/>
        <v>24791685</v>
      </c>
      <c r="H144" s="7">
        <f t="shared" ref="H144:I144" si="495">H114</f>
        <v>32498506</v>
      </c>
      <c r="I144" s="7">
        <f t="shared" si="495"/>
        <v>25452109</v>
      </c>
      <c r="J144" s="7">
        <f t="shared" ref="J144" si="496">J114</f>
        <v>24757848</v>
      </c>
      <c r="K144" s="7">
        <f t="shared" si="494"/>
        <v>21832416</v>
      </c>
      <c r="L144" s="7"/>
      <c r="M144" s="7">
        <f t="shared" ref="M144:V144" si="497">M114</f>
        <v>15334719</v>
      </c>
      <c r="N144" s="7">
        <f t="shared" si="497"/>
        <v>15458996</v>
      </c>
      <c r="O144" s="7">
        <f t="shared" si="497"/>
        <v>15862275</v>
      </c>
      <c r="P144" s="7">
        <f t="shared" si="497"/>
        <v>19149571</v>
      </c>
      <c r="Q144" s="7">
        <f t="shared" si="497"/>
        <v>19710962</v>
      </c>
      <c r="R144" s="7">
        <f t="shared" si="497"/>
        <v>21159415</v>
      </c>
      <c r="S144" s="7">
        <f t="shared" si="497"/>
        <v>28943775</v>
      </c>
      <c r="T144" s="7">
        <f t="shared" si="497"/>
        <v>24791685</v>
      </c>
      <c r="U144" s="7">
        <f t="shared" si="497"/>
        <v>30727694</v>
      </c>
      <c r="V144" s="7">
        <f t="shared" si="497"/>
        <v>32786498</v>
      </c>
      <c r="W144" s="7">
        <f t="shared" ref="W144:Z144" si="498">W114</f>
        <v>34582433</v>
      </c>
      <c r="X144" s="7">
        <f t="shared" si="498"/>
        <v>32498506</v>
      </c>
      <c r="Y144" s="7">
        <f t="shared" si="498"/>
        <v>32575316</v>
      </c>
      <c r="Z144" s="7">
        <f t="shared" si="498"/>
        <v>28079982</v>
      </c>
      <c r="AA144" s="7">
        <f t="shared" ref="AA144:AD144" si="499">AA114</f>
        <v>24548326</v>
      </c>
      <c r="AB144" s="7">
        <f t="shared" si="499"/>
        <v>25452109</v>
      </c>
      <c r="AC144" s="7">
        <f t="shared" si="499"/>
        <v>25983766</v>
      </c>
      <c r="AD144" s="7">
        <f t="shared" si="499"/>
        <v>24369171</v>
      </c>
      <c r="AE144" s="7">
        <f t="shared" ref="AE144:AG144" si="500">AE114</f>
        <v>26583924</v>
      </c>
      <c r="AF144" s="7">
        <f t="shared" si="500"/>
        <v>24757848</v>
      </c>
      <c r="AG144" s="7">
        <f t="shared" si="500"/>
        <v>21832416</v>
      </c>
    </row>
    <row r="145" spans="2:33" ht="13.5" customHeight="1">
      <c r="B145" s="16" t="s">
        <v>201</v>
      </c>
      <c r="C145" s="7">
        <f t="shared" si="494"/>
        <v>2349319</v>
      </c>
      <c r="D145" s="7">
        <f t="shared" si="494"/>
        <v>2306070</v>
      </c>
      <c r="E145" s="7">
        <f t="shared" si="494"/>
        <v>2975989</v>
      </c>
      <c r="F145" s="7">
        <f t="shared" si="494"/>
        <v>5057982</v>
      </c>
      <c r="G145" s="7">
        <f t="shared" si="494"/>
        <v>4977007</v>
      </c>
      <c r="H145" s="7">
        <f t="shared" ref="H145:I145" si="501">H115</f>
        <v>7587329</v>
      </c>
      <c r="I145" s="7">
        <f t="shared" si="501"/>
        <v>11205117</v>
      </c>
      <c r="J145" s="7">
        <f t="shared" ref="J145" si="502">J115</f>
        <v>14923766</v>
      </c>
      <c r="K145" s="7">
        <f t="shared" si="494"/>
        <v>21166904</v>
      </c>
      <c r="L145" s="7"/>
      <c r="M145" s="7">
        <f t="shared" ref="M145:V145" si="503">M115</f>
        <v>2226144</v>
      </c>
      <c r="N145" s="7">
        <f t="shared" si="503"/>
        <v>2666351</v>
      </c>
      <c r="O145" s="7">
        <f t="shared" si="503"/>
        <v>2761977</v>
      </c>
      <c r="P145" s="7">
        <f t="shared" si="503"/>
        <v>5057982</v>
      </c>
      <c r="Q145" s="7">
        <f t="shared" si="503"/>
        <v>4982764</v>
      </c>
      <c r="R145" s="7">
        <f t="shared" si="503"/>
        <v>4546312</v>
      </c>
      <c r="S145" s="7">
        <f t="shared" si="503"/>
        <v>4719217</v>
      </c>
      <c r="T145" s="7">
        <f t="shared" si="503"/>
        <v>4977007</v>
      </c>
      <c r="U145" s="7">
        <f t="shared" si="503"/>
        <v>4894782</v>
      </c>
      <c r="V145" s="7">
        <f t="shared" si="503"/>
        <v>6040810</v>
      </c>
      <c r="W145" s="7">
        <f t="shared" ref="W145:Z145" si="504">W115</f>
        <v>7122306</v>
      </c>
      <c r="X145" s="7">
        <f t="shared" si="504"/>
        <v>7587329</v>
      </c>
      <c r="Y145" s="7">
        <f t="shared" si="504"/>
        <v>8381395</v>
      </c>
      <c r="Z145" s="7">
        <f t="shared" si="504"/>
        <v>7933829</v>
      </c>
      <c r="AA145" s="7">
        <f t="shared" ref="AA145:AD145" si="505">AA115</f>
        <v>9135688</v>
      </c>
      <c r="AB145" s="7">
        <f t="shared" si="505"/>
        <v>11205117</v>
      </c>
      <c r="AC145" s="7">
        <f t="shared" si="505"/>
        <v>12558069</v>
      </c>
      <c r="AD145" s="7">
        <f t="shared" si="505"/>
        <v>9075311</v>
      </c>
      <c r="AE145" s="7">
        <f t="shared" ref="AE145:AG145" si="506">AE115</f>
        <v>10814515</v>
      </c>
      <c r="AF145" s="7">
        <f t="shared" si="506"/>
        <v>14923766</v>
      </c>
      <c r="AG145" s="7">
        <f t="shared" si="506"/>
        <v>21166904</v>
      </c>
    </row>
    <row r="146" spans="2:33" ht="13.5" customHeight="1">
      <c r="B146" s="16" t="s">
        <v>202</v>
      </c>
      <c r="C146" s="7">
        <f t="shared" ref="C146:E146" si="507">C144-C145</f>
        <v>2932618</v>
      </c>
      <c r="D146" s="7">
        <f t="shared" si="507"/>
        <v>9884435</v>
      </c>
      <c r="E146" s="7">
        <f t="shared" si="507"/>
        <v>9919375</v>
      </c>
      <c r="F146" s="7">
        <f t="shared" ref="F146:G146" si="508">F144-F145</f>
        <v>14091589</v>
      </c>
      <c r="G146" s="7">
        <f t="shared" si="508"/>
        <v>19814678</v>
      </c>
      <c r="H146" s="7">
        <f t="shared" ref="H146:I146" si="509">H144-H145</f>
        <v>24911177</v>
      </c>
      <c r="I146" s="7">
        <f t="shared" si="509"/>
        <v>14246992</v>
      </c>
      <c r="J146" s="7">
        <f t="shared" ref="J146" si="510">J144-J145</f>
        <v>9834082</v>
      </c>
      <c r="K146" s="7">
        <f t="shared" ref="K146" si="511">K144-K145</f>
        <v>665512</v>
      </c>
      <c r="L146" s="7"/>
      <c r="M146" s="7">
        <f t="shared" ref="M146:O146" si="512">M144-M145</f>
        <v>13108575</v>
      </c>
      <c r="N146" s="7">
        <f t="shared" si="512"/>
        <v>12792645</v>
      </c>
      <c r="O146" s="7">
        <f t="shared" si="512"/>
        <v>13100298</v>
      </c>
      <c r="P146" s="7">
        <f t="shared" ref="P146:R146" si="513">P144-P145</f>
        <v>14091589</v>
      </c>
      <c r="Q146" s="7">
        <f t="shared" si="513"/>
        <v>14728198</v>
      </c>
      <c r="R146" s="7">
        <f t="shared" si="513"/>
        <v>16613103</v>
      </c>
      <c r="S146" s="7">
        <f t="shared" ref="S146:V146" si="514">S144-S145</f>
        <v>24224558</v>
      </c>
      <c r="T146" s="7">
        <f t="shared" si="514"/>
        <v>19814678</v>
      </c>
      <c r="U146" s="7">
        <f t="shared" si="514"/>
        <v>25832912</v>
      </c>
      <c r="V146" s="7">
        <f t="shared" si="514"/>
        <v>26745688</v>
      </c>
      <c r="W146" s="7">
        <f t="shared" ref="W146:Z146" si="515">W144-W145</f>
        <v>27460127</v>
      </c>
      <c r="X146" s="7">
        <f t="shared" si="515"/>
        <v>24911177</v>
      </c>
      <c r="Y146" s="7">
        <f t="shared" si="515"/>
        <v>24193921</v>
      </c>
      <c r="Z146" s="7">
        <f t="shared" si="515"/>
        <v>20146153</v>
      </c>
      <c r="AA146" s="7">
        <f t="shared" ref="AA146:AD146" si="516">AA144-AA145</f>
        <v>15412638</v>
      </c>
      <c r="AB146" s="7">
        <f t="shared" si="516"/>
        <v>14246992</v>
      </c>
      <c r="AC146" s="7">
        <f t="shared" si="516"/>
        <v>13425697</v>
      </c>
      <c r="AD146" s="7">
        <f t="shared" si="516"/>
        <v>15293860</v>
      </c>
      <c r="AE146" s="7">
        <f t="shared" ref="AE146:AG146" si="517">AE144-AE145</f>
        <v>15769409</v>
      </c>
      <c r="AF146" s="7">
        <f t="shared" si="517"/>
        <v>9834082</v>
      </c>
      <c r="AG146" s="7">
        <f t="shared" si="517"/>
        <v>665512</v>
      </c>
    </row>
    <row r="147" spans="2:33" ht="13.5" customHeight="1">
      <c r="B147" s="16" t="s">
        <v>203</v>
      </c>
      <c r="C147" s="21">
        <f t="shared" ref="C147:K147" si="518">C130</f>
        <v>0.19376144534115922</v>
      </c>
      <c r="D147" s="21">
        <f t="shared" si="518"/>
        <v>1.0835041329659585</v>
      </c>
      <c r="E147" s="21">
        <f t="shared" si="518"/>
        <v>0.87113179760859283</v>
      </c>
      <c r="F147" s="21">
        <f t="shared" si="518"/>
        <v>0.83053176909398452</v>
      </c>
      <c r="G147" s="21">
        <f t="shared" si="518"/>
        <v>1.1834869677296163</v>
      </c>
      <c r="H147" s="21">
        <f t="shared" ref="H147:I147" si="519">H130</f>
        <v>5.5185101035829511</v>
      </c>
      <c r="I147" s="21">
        <f t="shared" si="519"/>
        <v>0.70674781328964542</v>
      </c>
      <c r="J147" s="21">
        <f t="shared" ref="J147" si="520">J130</f>
        <v>0.40523525656764053</v>
      </c>
      <c r="K147" s="21">
        <f t="shared" si="518"/>
        <v>0.23818393663677423</v>
      </c>
      <c r="L147" s="21"/>
      <c r="M147" s="132"/>
      <c r="N147" s="132"/>
      <c r="O147" s="132"/>
      <c r="P147" s="21">
        <f t="shared" ref="P147:Q147" si="521">P130</f>
        <v>0.83053176909398452</v>
      </c>
      <c r="Q147" s="21">
        <f t="shared" si="521"/>
        <v>0.77431497485857947</v>
      </c>
      <c r="R147" s="21">
        <f t="shared" ref="R147" si="522">R130</f>
        <v>0.76061019447140443</v>
      </c>
      <c r="S147" s="21">
        <f t="shared" ref="S147:V147" si="523">S130</f>
        <v>1.1064557131388815</v>
      </c>
      <c r="T147" s="21">
        <f t="shared" si="523"/>
        <v>1.1834869677296163</v>
      </c>
      <c r="U147" s="21">
        <f t="shared" si="523"/>
        <v>2.0697624949481344</v>
      </c>
      <c r="V147" s="21">
        <f t="shared" si="523"/>
        <v>4.210955304392499</v>
      </c>
      <c r="W147" s="21">
        <f t="shared" ref="W147:Z147" si="524">W130</f>
        <v>8.4203635256878506</v>
      </c>
      <c r="X147" s="21">
        <f t="shared" si="524"/>
        <v>5.5185101035829511</v>
      </c>
      <c r="Y147" s="21">
        <f t="shared" si="524"/>
        <v>2.7587496612466125</v>
      </c>
      <c r="Z147" s="21">
        <f t="shared" si="524"/>
        <v>1.4191126497195128</v>
      </c>
      <c r="AA147" s="21">
        <f t="shared" ref="AA147:AD147" si="525">AA130</f>
        <v>0.86602434205884427</v>
      </c>
      <c r="AB147" s="21">
        <f t="shared" si="525"/>
        <v>0.70674781328964542</v>
      </c>
      <c r="AC147" s="21">
        <f t="shared" si="525"/>
        <v>0.63828062590581935</v>
      </c>
      <c r="AD147" s="21">
        <f t="shared" si="525"/>
        <v>0.54440432946853423</v>
      </c>
      <c r="AE147" s="21">
        <f t="shared" ref="AE147:AG147" si="526">AE130</f>
        <v>0.53583657179714583</v>
      </c>
      <c r="AF147" s="21">
        <f t="shared" si="526"/>
        <v>0.40523525656764053</v>
      </c>
      <c r="AG147" s="21">
        <f t="shared" si="526"/>
        <v>0.23818393663677423</v>
      </c>
    </row>
    <row r="148" spans="2:33" ht="13.5" customHeight="1">
      <c r="B148" s="16" t="s">
        <v>204</v>
      </c>
      <c r="C148" s="21" t="str">
        <f t="shared" ref="C148:K148" si="527">C129</f>
        <v>net cash</v>
      </c>
      <c r="D148" s="21">
        <f>D129</f>
        <v>0.72845009332503774</v>
      </c>
      <c r="E148" s="21">
        <f t="shared" si="527"/>
        <v>0.53686070391136931</v>
      </c>
      <c r="F148" s="21">
        <f t="shared" si="527"/>
        <v>0.45439688597822786</v>
      </c>
      <c r="G148" s="21">
        <f t="shared" si="527"/>
        <v>0.87753928776016799</v>
      </c>
      <c r="H148" s="21">
        <f t="shared" ref="H148:I148" si="528">H129</f>
        <v>4.0036658176260822</v>
      </c>
      <c r="I148" s="21">
        <f t="shared" si="528"/>
        <v>0.31365745702940606</v>
      </c>
      <c r="J148" s="21" t="str">
        <f t="shared" ref="J148" si="529">J129</f>
        <v>net cash</v>
      </c>
      <c r="K148" s="21" t="str">
        <f t="shared" si="527"/>
        <v>net cash</v>
      </c>
      <c r="L148" s="21"/>
      <c r="M148" s="132"/>
      <c r="N148" s="132"/>
      <c r="O148" s="132"/>
      <c r="P148" s="21">
        <f t="shared" ref="P148:Q148" si="530">P129</f>
        <v>0.45439688597822786</v>
      </c>
      <c r="Q148" s="21">
        <f t="shared" si="530"/>
        <v>0.46019822438717789</v>
      </c>
      <c r="R148" s="21">
        <f t="shared" ref="R148" si="531">R129</f>
        <v>0.49116844602609727</v>
      </c>
      <c r="S148" s="21">
        <f t="shared" ref="S148:V148" si="532">S129</f>
        <v>0.8307475820941167</v>
      </c>
      <c r="T148" s="21">
        <f t="shared" si="532"/>
        <v>0.87753928776016799</v>
      </c>
      <c r="U148" s="21">
        <f t="shared" si="532"/>
        <v>1.6564367506399029</v>
      </c>
      <c r="V148" s="21">
        <f t="shared" si="532"/>
        <v>3.2488609041870022</v>
      </c>
      <c r="W148" s="21">
        <f t="shared" ref="W148:Z148" si="533">W129</f>
        <v>6.3430998295592893</v>
      </c>
      <c r="X148" s="21">
        <f t="shared" si="533"/>
        <v>4.0036658176260822</v>
      </c>
      <c r="Y148" s="21">
        <f t="shared" si="533"/>
        <v>1.8848589092140922</v>
      </c>
      <c r="Z148" s="21">
        <f t="shared" si="533"/>
        <v>0.92949522413705965</v>
      </c>
      <c r="AA148" s="21">
        <f t="shared" ref="AA148:AD148" si="534">AA129</f>
        <v>0.48297668101319408</v>
      </c>
      <c r="AB148" s="21">
        <f t="shared" si="534"/>
        <v>0.31365745702940606</v>
      </c>
      <c r="AC148" s="21">
        <f t="shared" si="534"/>
        <v>0.28673713429462772</v>
      </c>
      <c r="AD148" s="21">
        <f t="shared" si="534"/>
        <v>0.16546902575788039</v>
      </c>
      <c r="AE148" s="21" t="str">
        <f t="shared" ref="AE148:AG148" si="535">AE129</f>
        <v>net cash</v>
      </c>
      <c r="AF148" s="21" t="str">
        <f t="shared" si="535"/>
        <v>net cash</v>
      </c>
      <c r="AG148" s="21" t="str">
        <f t="shared" si="535"/>
        <v>net cash</v>
      </c>
    </row>
    <row r="149" spans="2:33" ht="13.5" customHeight="1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2:33" ht="13.5" customHeight="1">
      <c r="B150" s="39" t="s">
        <v>205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210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</row>
    <row r="151" spans="2:33" s="37" customFormat="1" ht="13.5" customHeight="1">
      <c r="B151" s="36" t="s">
        <v>101</v>
      </c>
      <c r="C151" s="35">
        <f t="shared" ref="C151:I151" si="536">C3</f>
        <v>43465</v>
      </c>
      <c r="D151" s="35">
        <f t="shared" si="536"/>
        <v>43830</v>
      </c>
      <c r="E151" s="35">
        <f t="shared" si="536"/>
        <v>44196</v>
      </c>
      <c r="F151" s="35">
        <f t="shared" si="536"/>
        <v>44561</v>
      </c>
      <c r="G151" s="35">
        <f t="shared" si="536"/>
        <v>44926</v>
      </c>
      <c r="H151" s="35">
        <f t="shared" si="536"/>
        <v>45291</v>
      </c>
      <c r="I151" s="35">
        <f t="shared" si="536"/>
        <v>45657</v>
      </c>
      <c r="J151" s="35">
        <f t="shared" ref="J151" si="537">J3</f>
        <v>46022</v>
      </c>
      <c r="K151" s="35" t="str">
        <f>K2</f>
        <v>LTM</v>
      </c>
      <c r="L151" s="203"/>
      <c r="M151" s="35">
        <f t="shared" ref="M151:AB151" si="538">M3</f>
        <v>44286</v>
      </c>
      <c r="N151" s="35">
        <f t="shared" si="538"/>
        <v>44377</v>
      </c>
      <c r="O151" s="35">
        <f t="shared" si="538"/>
        <v>44469</v>
      </c>
      <c r="P151" s="35">
        <f t="shared" si="538"/>
        <v>44561</v>
      </c>
      <c r="Q151" s="35">
        <f t="shared" si="538"/>
        <v>44651</v>
      </c>
      <c r="R151" s="35">
        <f t="shared" si="538"/>
        <v>44742</v>
      </c>
      <c r="S151" s="35">
        <f t="shared" si="538"/>
        <v>44834</v>
      </c>
      <c r="T151" s="35">
        <f t="shared" si="538"/>
        <v>44926</v>
      </c>
      <c r="U151" s="35">
        <f t="shared" si="538"/>
        <v>45016</v>
      </c>
      <c r="V151" s="35">
        <f t="shared" si="538"/>
        <v>45107</v>
      </c>
      <c r="W151" s="35">
        <f t="shared" si="538"/>
        <v>45199</v>
      </c>
      <c r="X151" s="35">
        <f t="shared" si="538"/>
        <v>45291</v>
      </c>
      <c r="Y151" s="35">
        <f t="shared" si="538"/>
        <v>45382</v>
      </c>
      <c r="Z151" s="35">
        <f t="shared" si="538"/>
        <v>45473</v>
      </c>
      <c r="AA151" s="35">
        <f t="shared" si="538"/>
        <v>45565</v>
      </c>
      <c r="AB151" s="35">
        <f t="shared" si="538"/>
        <v>45657</v>
      </c>
      <c r="AC151" s="35">
        <f t="shared" ref="AC151:AF151" si="539">AC3</f>
        <v>45747</v>
      </c>
      <c r="AD151" s="35">
        <f t="shared" si="539"/>
        <v>45838</v>
      </c>
      <c r="AE151" s="35">
        <f t="shared" si="539"/>
        <v>45930</v>
      </c>
      <c r="AF151" s="35">
        <f t="shared" si="539"/>
        <v>46022</v>
      </c>
      <c r="AG151" s="35">
        <f t="shared" ref="AG151" si="540">AG3</f>
        <v>46112</v>
      </c>
    </row>
    <row r="152" spans="2:33" s="19" customFormat="1" ht="13.5" customHeight="1">
      <c r="B152" s="36"/>
      <c r="C152" s="35" t="s">
        <v>102</v>
      </c>
      <c r="D152" s="35" t="s">
        <v>102</v>
      </c>
      <c r="E152" s="35" t="s">
        <v>102</v>
      </c>
      <c r="F152" s="35" t="s">
        <v>102</v>
      </c>
      <c r="G152" s="35" t="s">
        <v>102</v>
      </c>
      <c r="H152" s="35" t="s">
        <v>102</v>
      </c>
      <c r="I152" s="35" t="s">
        <v>102</v>
      </c>
      <c r="J152" s="35" t="s">
        <v>102</v>
      </c>
      <c r="K152" s="35" t="s">
        <v>206</v>
      </c>
      <c r="L152" s="203"/>
      <c r="M152" s="35" t="s">
        <v>102</v>
      </c>
      <c r="N152" s="35" t="s">
        <v>102</v>
      </c>
      <c r="O152" s="35" t="s">
        <v>102</v>
      </c>
      <c r="P152" s="35" t="s">
        <v>102</v>
      </c>
      <c r="Q152" s="35" t="s">
        <v>102</v>
      </c>
      <c r="R152" s="35" t="s">
        <v>102</v>
      </c>
      <c r="S152" s="35" t="s">
        <v>102</v>
      </c>
      <c r="T152" s="35" t="s">
        <v>102</v>
      </c>
      <c r="U152" s="35" t="s">
        <v>102</v>
      </c>
      <c r="V152" s="35" t="s">
        <v>102</v>
      </c>
      <c r="W152" s="35" t="s">
        <v>102</v>
      </c>
      <c r="X152" s="35" t="s">
        <v>102</v>
      </c>
      <c r="Y152" s="35" t="s">
        <v>102</v>
      </c>
      <c r="Z152" s="35" t="s">
        <v>102</v>
      </c>
      <c r="AA152" s="35" t="s">
        <v>102</v>
      </c>
      <c r="AB152" s="35" t="s">
        <v>102</v>
      </c>
      <c r="AC152" s="35" t="s">
        <v>102</v>
      </c>
      <c r="AD152" s="35" t="s">
        <v>102</v>
      </c>
      <c r="AE152" s="35" t="s">
        <v>102</v>
      </c>
      <c r="AF152" s="35" t="s">
        <v>102</v>
      </c>
      <c r="AG152" s="35" t="s">
        <v>102</v>
      </c>
    </row>
    <row r="153" spans="2:33" ht="13.5" customHeight="1"/>
    <row r="154" spans="2:33" s="19" customFormat="1" ht="13.5" customHeight="1">
      <c r="B154" s="19" t="str">
        <f t="shared" ref="B154:K154" si="541">B7</f>
        <v>Revenue</v>
      </c>
      <c r="C154" s="43">
        <f t="shared" si="541"/>
        <v>40445066</v>
      </c>
      <c r="D154" s="43">
        <f t="shared" si="541"/>
        <v>26990733</v>
      </c>
      <c r="E154" s="43">
        <f t="shared" si="541"/>
        <v>31900418</v>
      </c>
      <c r="F154" s="43">
        <f t="shared" si="541"/>
        <v>42997792</v>
      </c>
      <c r="G154" s="43">
        <f t="shared" si="541"/>
        <v>44621568</v>
      </c>
      <c r="H154" s="43">
        <f t="shared" si="541"/>
        <v>32765719</v>
      </c>
      <c r="I154" s="43">
        <f t="shared" si="541"/>
        <v>66192960</v>
      </c>
      <c r="J154" s="43">
        <f t="shared" ref="J154" si="542">J7</f>
        <v>97146675</v>
      </c>
      <c r="K154" s="43">
        <f t="shared" si="541"/>
        <v>132083821</v>
      </c>
      <c r="L154" s="33"/>
      <c r="M154" s="33">
        <f t="shared" ref="M154:AB154" si="543">M7</f>
        <v>8494188</v>
      </c>
      <c r="N154" s="33">
        <f t="shared" si="543"/>
        <v>10321671</v>
      </c>
      <c r="O154" s="33">
        <f t="shared" si="543"/>
        <v>11805324</v>
      </c>
      <c r="P154" s="33">
        <f t="shared" si="543"/>
        <v>12376609</v>
      </c>
      <c r="Q154" s="33">
        <f t="shared" si="543"/>
        <v>12155653</v>
      </c>
      <c r="R154" s="33">
        <f t="shared" si="543"/>
        <v>13811001</v>
      </c>
      <c r="S154" s="33">
        <f t="shared" si="543"/>
        <v>10982883</v>
      </c>
      <c r="T154" s="33">
        <f t="shared" si="543"/>
        <v>7672031</v>
      </c>
      <c r="U154" s="33">
        <f t="shared" si="543"/>
        <v>5088111</v>
      </c>
      <c r="V154" s="33">
        <f t="shared" si="543"/>
        <v>7305933</v>
      </c>
      <c r="W154" s="33">
        <f t="shared" si="543"/>
        <v>9066171</v>
      </c>
      <c r="X154" s="33">
        <f t="shared" si="543"/>
        <v>11305504</v>
      </c>
      <c r="Y154" s="33">
        <f t="shared" si="543"/>
        <v>12429598</v>
      </c>
      <c r="Z154" s="33">
        <f t="shared" si="543"/>
        <v>16423258</v>
      </c>
      <c r="AA154" s="33">
        <f t="shared" si="543"/>
        <v>17573069</v>
      </c>
      <c r="AB154" s="33">
        <f t="shared" si="543"/>
        <v>19767035</v>
      </c>
      <c r="AC154" s="33">
        <f t="shared" ref="AC154:AF154" si="544">AC7</f>
        <v>17639141</v>
      </c>
      <c r="AD154" s="33">
        <f t="shared" si="544"/>
        <v>22231952</v>
      </c>
      <c r="AE154" s="33">
        <f t="shared" si="544"/>
        <v>24448929</v>
      </c>
      <c r="AF154" s="33">
        <f t="shared" si="544"/>
        <v>32826653</v>
      </c>
      <c r="AG154" s="33">
        <f t="shared" ref="AG154" si="545">AG7</f>
        <v>52576287</v>
      </c>
    </row>
    <row r="155" spans="2:33" s="29" customFormat="1" ht="13.5" customHeight="1">
      <c r="B155" s="34" t="s">
        <v>207</v>
      </c>
      <c r="C155" s="42"/>
      <c r="D155" s="42">
        <f t="shared" ref="D155:J155" si="546">D154/C154-1</f>
        <v>-0.33265696735418848</v>
      </c>
      <c r="E155" s="42">
        <f t="shared" si="546"/>
        <v>0.18190261820603393</v>
      </c>
      <c r="F155" s="42">
        <f t="shared" si="546"/>
        <v>0.34787550432724745</v>
      </c>
      <c r="G155" s="42">
        <f t="shared" si="546"/>
        <v>3.7764171704444793E-2</v>
      </c>
      <c r="H155" s="42">
        <f t="shared" si="546"/>
        <v>-0.26569772267975877</v>
      </c>
      <c r="I155" s="42">
        <f t="shared" si="546"/>
        <v>1.0201894547163759</v>
      </c>
      <c r="J155" s="42">
        <f t="shared" si="546"/>
        <v>0.46762850611303675</v>
      </c>
      <c r="K155" s="42"/>
      <c r="L155" s="211"/>
      <c r="M155" s="42"/>
      <c r="N155" s="42"/>
      <c r="O155" s="42"/>
      <c r="P155" s="42"/>
      <c r="Q155" s="42">
        <f t="shared" ref="Q155:AG155" si="547">Q154/M154-1</f>
        <v>0.43105532865531115</v>
      </c>
      <c r="R155" s="42">
        <f t="shared" si="547"/>
        <v>0.3380586341106977</v>
      </c>
      <c r="S155" s="42">
        <f t="shared" si="547"/>
        <v>-6.9666957044126843E-2</v>
      </c>
      <c r="T155" s="42">
        <f t="shared" si="547"/>
        <v>-0.38011849610826354</v>
      </c>
      <c r="U155" s="42">
        <f t="shared" si="547"/>
        <v>-0.58142018367914905</v>
      </c>
      <c r="V155" s="42">
        <f t="shared" si="547"/>
        <v>-0.471006265222919</v>
      </c>
      <c r="W155" s="42">
        <f t="shared" si="547"/>
        <v>-0.17451811150132435</v>
      </c>
      <c r="X155" s="42">
        <f t="shared" si="547"/>
        <v>0.47359988508909834</v>
      </c>
      <c r="Y155" s="42">
        <f t="shared" si="547"/>
        <v>1.4428708414576645</v>
      </c>
      <c r="Z155" s="42">
        <f t="shared" si="547"/>
        <v>1.2479343842874004</v>
      </c>
      <c r="AA155" s="42">
        <f t="shared" si="547"/>
        <v>0.9383121055184156</v>
      </c>
      <c r="AB155" s="42">
        <f t="shared" si="547"/>
        <v>0.74844350150156957</v>
      </c>
      <c r="AC155" s="42">
        <f t="shared" si="547"/>
        <v>0.41912401350389605</v>
      </c>
      <c r="AD155" s="42">
        <f t="shared" si="547"/>
        <v>0.35368706988588983</v>
      </c>
      <c r="AE155" s="42">
        <f t="shared" si="547"/>
        <v>0.39127257737393517</v>
      </c>
      <c r="AF155" s="42">
        <f t="shared" si="547"/>
        <v>0.66067662651480097</v>
      </c>
      <c r="AG155" s="42">
        <f t="shared" si="547"/>
        <v>1.9806602827201165</v>
      </c>
    </row>
    <row r="156" spans="2:33" ht="13.5" customHeight="1"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</row>
    <row r="157" spans="2:33" s="19" customFormat="1" ht="13.5" customHeight="1" thickBot="1">
      <c r="B157" s="24" t="str">
        <f t="shared" ref="B157:K157" si="548">B46</f>
        <v xml:space="preserve">Adj. EBITDA </v>
      </c>
      <c r="C157" s="32">
        <f t="shared" si="548"/>
        <v>27260000</v>
      </c>
      <c r="D157" s="32">
        <f t="shared" si="548"/>
        <v>11251000</v>
      </c>
      <c r="E157" s="32">
        <f t="shared" si="548"/>
        <v>14803000</v>
      </c>
      <c r="F157" s="32">
        <f t="shared" si="548"/>
        <v>23057000</v>
      </c>
      <c r="G157" s="32">
        <f t="shared" si="548"/>
        <v>20948000</v>
      </c>
      <c r="H157" s="32">
        <f t="shared" ref="H157:I157" si="549">H46</f>
        <v>5889000</v>
      </c>
      <c r="I157" s="32">
        <f t="shared" si="549"/>
        <v>36013000</v>
      </c>
      <c r="J157" s="32">
        <f t="shared" ref="J157" si="550">J46</f>
        <v>61095000</v>
      </c>
      <c r="K157" s="32">
        <f t="shared" si="548"/>
        <v>91662000</v>
      </c>
      <c r="L157" s="43"/>
      <c r="M157" s="32">
        <f t="shared" ref="M157:V157" si="551">M46</f>
        <v>3857000</v>
      </c>
      <c r="N157" s="32">
        <f t="shared" si="551"/>
        <v>5309000</v>
      </c>
      <c r="O157" s="32">
        <f t="shared" si="551"/>
        <v>6880000</v>
      </c>
      <c r="P157" s="32">
        <f t="shared" si="551"/>
        <v>7011000</v>
      </c>
      <c r="Q157" s="32">
        <f t="shared" si="551"/>
        <v>6256000</v>
      </c>
      <c r="R157" s="32">
        <f t="shared" si="551"/>
        <v>7672000</v>
      </c>
      <c r="S157" s="32">
        <f t="shared" si="551"/>
        <v>5220000</v>
      </c>
      <c r="T157" s="32">
        <f t="shared" si="551"/>
        <v>1800000</v>
      </c>
      <c r="U157" s="32">
        <f t="shared" si="551"/>
        <v>154000</v>
      </c>
      <c r="V157" s="32">
        <f t="shared" si="551"/>
        <v>612000</v>
      </c>
      <c r="W157" s="32">
        <f t="shared" ref="W157:Z157" si="552">W46</f>
        <v>1541000</v>
      </c>
      <c r="X157" s="32">
        <f t="shared" si="552"/>
        <v>3582000</v>
      </c>
      <c r="Y157" s="32">
        <f t="shared" si="552"/>
        <v>6073000</v>
      </c>
      <c r="Z157" s="32">
        <f t="shared" si="552"/>
        <v>8591000</v>
      </c>
      <c r="AA157" s="32">
        <f t="shared" ref="AA157:AD157" si="553">AA46</f>
        <v>10100000</v>
      </c>
      <c r="AB157" s="32">
        <f t="shared" si="553"/>
        <v>11249000</v>
      </c>
      <c r="AC157" s="32">
        <f t="shared" si="553"/>
        <v>10769000</v>
      </c>
      <c r="AD157" s="32">
        <f t="shared" si="553"/>
        <v>12645000</v>
      </c>
      <c r="AE157" s="32">
        <f t="shared" ref="AE157:AG157" si="554">AE46</f>
        <v>14949000</v>
      </c>
      <c r="AF157" s="32">
        <f t="shared" si="554"/>
        <v>22732000</v>
      </c>
      <c r="AG157" s="32">
        <f t="shared" si="554"/>
        <v>41336000</v>
      </c>
    </row>
    <row r="158" spans="2:33" s="29" customFormat="1" ht="13.5" customHeight="1" thickTop="1">
      <c r="B158" s="31" t="str">
        <f>B47</f>
        <v xml:space="preserve">% growth </v>
      </c>
      <c r="C158" s="42"/>
      <c r="D158" s="42">
        <f t="shared" ref="D158:G159" si="555">D47</f>
        <v>-0.58727072633895816</v>
      </c>
      <c r="E158" s="42">
        <f t="shared" si="555"/>
        <v>0.31570527064260956</v>
      </c>
      <c r="F158" s="42">
        <f t="shared" si="555"/>
        <v>0.55758967776802004</v>
      </c>
      <c r="G158" s="42">
        <f t="shared" si="555"/>
        <v>-9.146896820922068E-2</v>
      </c>
      <c r="H158" s="42">
        <f t="shared" ref="H158:I158" si="556">H47</f>
        <v>-0.71887531029215201</v>
      </c>
      <c r="I158" s="42">
        <f t="shared" si="556"/>
        <v>5.1152997113262018</v>
      </c>
      <c r="J158" s="42">
        <f t="shared" ref="J158" si="557">J47</f>
        <v>0.69647071890706136</v>
      </c>
      <c r="K158" s="42"/>
      <c r="L158" s="211"/>
      <c r="M158" s="42"/>
      <c r="N158" s="42"/>
      <c r="O158" s="42"/>
      <c r="P158" s="42"/>
      <c r="Q158" s="42">
        <f t="shared" ref="Q158:V159" si="558">Q47</f>
        <v>0.62198599948146227</v>
      </c>
      <c r="R158" s="42">
        <f t="shared" si="558"/>
        <v>0.44509323789790911</v>
      </c>
      <c r="S158" s="42">
        <f t="shared" si="558"/>
        <v>-0.24127906976744184</v>
      </c>
      <c r="T158" s="42">
        <f t="shared" si="558"/>
        <v>-0.74326059050064186</v>
      </c>
      <c r="U158" s="42">
        <f t="shared" si="558"/>
        <v>-0.97538363171355502</v>
      </c>
      <c r="V158" s="42">
        <f t="shared" si="558"/>
        <v>-0.92022940563086553</v>
      </c>
      <c r="W158" s="42">
        <f t="shared" ref="W158:Z158" si="559">W47</f>
        <v>-0.70478927203065134</v>
      </c>
      <c r="X158" s="42">
        <f t="shared" si="559"/>
        <v>0.99</v>
      </c>
      <c r="Y158" s="42">
        <f t="shared" si="559"/>
        <v>38.435064935064936</v>
      </c>
      <c r="Z158" s="42">
        <f t="shared" si="559"/>
        <v>13.037581699346406</v>
      </c>
      <c r="AA158" s="42">
        <f t="shared" ref="AA158:AD158" si="560">AA47</f>
        <v>5.5541855937702787</v>
      </c>
      <c r="AB158" s="42">
        <f t="shared" si="560"/>
        <v>2.1404243439419317</v>
      </c>
      <c r="AC158" s="42">
        <f t="shared" si="560"/>
        <v>0.77325868598715619</v>
      </c>
      <c r="AD158" s="42">
        <f t="shared" si="560"/>
        <v>0.47188918635781629</v>
      </c>
      <c r="AE158" s="42">
        <f t="shared" ref="AE158:AG158" si="561">AE47</f>
        <v>0.48009900990099008</v>
      </c>
      <c r="AF158" s="42">
        <f t="shared" si="561"/>
        <v>1.0208018490532491</v>
      </c>
      <c r="AG158" s="42">
        <f t="shared" si="561"/>
        <v>2.838425109109481</v>
      </c>
    </row>
    <row r="159" spans="2:33" s="29" customFormat="1" ht="13.5" customHeight="1">
      <c r="B159" s="31" t="str">
        <f>B48</f>
        <v>% margin</v>
      </c>
      <c r="C159" s="42">
        <f>C48</f>
        <v>0.6740006308804144</v>
      </c>
      <c r="D159" s="42">
        <f t="shared" si="555"/>
        <v>0.41684677478006987</v>
      </c>
      <c r="E159" s="42">
        <f t="shared" si="555"/>
        <v>0.46403780665193789</v>
      </c>
      <c r="F159" s="42">
        <f t="shared" si="555"/>
        <v>0.53623683746365391</v>
      </c>
      <c r="G159" s="42">
        <f t="shared" si="555"/>
        <v>0.46945907414100735</v>
      </c>
      <c r="H159" s="42">
        <f t="shared" ref="H159:I159" si="562">H48</f>
        <v>0.17973052872729575</v>
      </c>
      <c r="I159" s="42">
        <f t="shared" si="562"/>
        <v>0.54406087898169231</v>
      </c>
      <c r="J159" s="42">
        <f t="shared" ref="J159" si="563">J48</f>
        <v>0.62889440117224804</v>
      </c>
      <c r="K159" s="42">
        <f>K48</f>
        <v>0.69396841570778001</v>
      </c>
      <c r="L159" s="211"/>
      <c r="M159" s="42">
        <f t="shared" ref="M159:O159" si="564">M48</f>
        <v>0.45407518646867717</v>
      </c>
      <c r="N159" s="42">
        <f t="shared" si="564"/>
        <v>0.51435470090065838</v>
      </c>
      <c r="O159" s="42">
        <f t="shared" si="564"/>
        <v>0.58278790145869774</v>
      </c>
      <c r="P159" s="42">
        <f>P48</f>
        <v>0.56647180176735001</v>
      </c>
      <c r="Q159" s="42">
        <f t="shared" si="558"/>
        <v>0.51465766586130746</v>
      </c>
      <c r="R159" s="42">
        <f t="shared" si="558"/>
        <v>0.55549919951493743</v>
      </c>
      <c r="S159" s="42">
        <f t="shared" si="558"/>
        <v>0.47528504127741322</v>
      </c>
      <c r="T159" s="42">
        <f t="shared" si="558"/>
        <v>0.23461844718823477</v>
      </c>
      <c r="U159" s="42">
        <f t="shared" si="558"/>
        <v>3.0266635299426449E-2</v>
      </c>
      <c r="V159" s="42">
        <f t="shared" si="558"/>
        <v>8.3767535234719512E-2</v>
      </c>
      <c r="W159" s="42">
        <f t="shared" ref="W159:Z159" si="565">W48</f>
        <v>0.16997252754222261</v>
      </c>
      <c r="X159" s="42">
        <f t="shared" si="565"/>
        <v>0.3168368256735834</v>
      </c>
      <c r="Y159" s="42">
        <f t="shared" si="565"/>
        <v>0.4885918273463068</v>
      </c>
      <c r="Z159" s="42">
        <f t="shared" si="565"/>
        <v>0.52309961884542033</v>
      </c>
      <c r="AA159" s="42">
        <f t="shared" ref="AA159:AD159" si="566">AA48</f>
        <v>0.57474309126083778</v>
      </c>
      <c r="AB159" s="42">
        <f t="shared" si="566"/>
        <v>0.56907877180366195</v>
      </c>
      <c r="AC159" s="42">
        <f t="shared" si="566"/>
        <v>0.61051725818167679</v>
      </c>
      <c r="AD159" s="42">
        <f t="shared" si="566"/>
        <v>0.56877596713055156</v>
      </c>
      <c r="AE159" s="42">
        <f t="shared" ref="AE159:AG159" si="567">AE48</f>
        <v>0.61143782617226305</v>
      </c>
      <c r="AF159" s="42">
        <f t="shared" si="567"/>
        <v>0.69248607221698777</v>
      </c>
      <c r="AG159" s="42">
        <f t="shared" si="567"/>
        <v>0.78620995050487308</v>
      </c>
    </row>
    <row r="160" spans="2:33" ht="13.5" customHeight="1"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</row>
    <row r="161" spans="2:33" s="19" customFormat="1" ht="13.5" customHeight="1">
      <c r="B161" s="19" t="str">
        <f t="shared" ref="B161:G170" si="568">B54</f>
        <v xml:space="preserve">Adj. EBITDA </v>
      </c>
      <c r="C161" s="27">
        <f t="shared" si="568"/>
        <v>27260000</v>
      </c>
      <c r="D161" s="27">
        <f t="shared" si="568"/>
        <v>11251000</v>
      </c>
      <c r="E161" s="27">
        <f t="shared" si="568"/>
        <v>14803000</v>
      </c>
      <c r="F161" s="27">
        <f t="shared" si="568"/>
        <v>23057000</v>
      </c>
      <c r="G161" s="27">
        <f t="shared" si="568"/>
        <v>20948000</v>
      </c>
      <c r="H161" s="27">
        <f t="shared" ref="H161:I161" si="569">H54</f>
        <v>5889000</v>
      </c>
      <c r="I161" s="27">
        <f t="shared" si="569"/>
        <v>36013000</v>
      </c>
      <c r="J161" s="27">
        <f t="shared" ref="J161" si="570">J54</f>
        <v>61095000</v>
      </c>
      <c r="K161" s="27">
        <f t="shared" ref="K161" si="571">K54</f>
        <v>91662000</v>
      </c>
      <c r="L161" s="9"/>
      <c r="M161" s="27">
        <f t="shared" ref="M161:Y161" si="572">M54</f>
        <v>3857000</v>
      </c>
      <c r="N161" s="27">
        <f t="shared" si="572"/>
        <v>5309000</v>
      </c>
      <c r="O161" s="27">
        <f t="shared" si="572"/>
        <v>6880000</v>
      </c>
      <c r="P161" s="27">
        <f t="shared" si="572"/>
        <v>7011000</v>
      </c>
      <c r="Q161" s="27">
        <f t="shared" si="572"/>
        <v>6256000</v>
      </c>
      <c r="R161" s="27">
        <f t="shared" si="572"/>
        <v>7672000</v>
      </c>
      <c r="S161" s="27">
        <f t="shared" si="572"/>
        <v>5220000</v>
      </c>
      <c r="T161" s="27">
        <f t="shared" si="572"/>
        <v>1800000</v>
      </c>
      <c r="U161" s="27">
        <f t="shared" si="572"/>
        <v>154000</v>
      </c>
      <c r="V161" s="27">
        <f t="shared" si="572"/>
        <v>612000</v>
      </c>
      <c r="W161" s="27">
        <f t="shared" si="572"/>
        <v>1541000</v>
      </c>
      <c r="X161" s="27">
        <f t="shared" si="572"/>
        <v>3582000</v>
      </c>
      <c r="Y161" s="27">
        <f t="shared" si="572"/>
        <v>6073000</v>
      </c>
      <c r="Z161" s="27">
        <f t="shared" ref="Z161" si="573">Z54</f>
        <v>8591000</v>
      </c>
      <c r="AA161" s="27">
        <f t="shared" ref="AA161:AD177" si="574">AA54</f>
        <v>10100000</v>
      </c>
      <c r="AB161" s="27">
        <f t="shared" si="574"/>
        <v>11249000</v>
      </c>
      <c r="AC161" s="27">
        <f t="shared" si="574"/>
        <v>10769000</v>
      </c>
      <c r="AD161" s="27">
        <f t="shared" si="574"/>
        <v>12645000</v>
      </c>
      <c r="AE161" s="27">
        <f t="shared" ref="AE161:AG161" si="575">AE54</f>
        <v>14949000</v>
      </c>
      <c r="AF161" s="27">
        <f t="shared" si="575"/>
        <v>22732000</v>
      </c>
      <c r="AG161" s="27">
        <f t="shared" si="575"/>
        <v>41336000</v>
      </c>
    </row>
    <row r="162" spans="2:33" ht="13.5" customHeight="1">
      <c r="B162" s="16" t="str">
        <f t="shared" si="568"/>
        <v>Working Capital</v>
      </c>
      <c r="C162" s="12">
        <f t="shared" si="568"/>
        <v>-2270866</v>
      </c>
      <c r="D162" s="12">
        <f t="shared" si="568"/>
        <v>1084512</v>
      </c>
      <c r="E162" s="12">
        <f t="shared" si="568"/>
        <v>-1557152</v>
      </c>
      <c r="F162" s="12">
        <f t="shared" si="568"/>
        <v>-3420261</v>
      </c>
      <c r="G162" s="12">
        <f t="shared" si="568"/>
        <v>-2709127</v>
      </c>
      <c r="H162" s="12">
        <f t="shared" ref="H162:I162" si="576">H55</f>
        <v>713737</v>
      </c>
      <c r="I162" s="12">
        <f t="shared" si="576"/>
        <v>-4656303</v>
      </c>
      <c r="J162" s="12">
        <f t="shared" ref="J162" si="577">J55</f>
        <v>-5779713</v>
      </c>
      <c r="K162" s="12">
        <f t="shared" ref="K162" si="578">K55</f>
        <v>-22841101</v>
      </c>
      <c r="L162" s="102"/>
      <c r="M162" s="12">
        <f t="shared" ref="M162:Y162" si="579">M55</f>
        <v>-121987</v>
      </c>
      <c r="N162" s="12">
        <f t="shared" si="579"/>
        <v>-1278158</v>
      </c>
      <c r="O162" s="12">
        <f t="shared" si="579"/>
        <v>-1028161</v>
      </c>
      <c r="P162" s="12">
        <f t="shared" si="579"/>
        <v>-991955</v>
      </c>
      <c r="Q162" s="12">
        <f t="shared" si="579"/>
        <v>-313756</v>
      </c>
      <c r="R162" s="12">
        <f t="shared" si="579"/>
        <v>-1702994</v>
      </c>
      <c r="S162" s="12">
        <f t="shared" si="579"/>
        <v>-1607006</v>
      </c>
      <c r="T162" s="12">
        <f t="shared" si="579"/>
        <v>914629</v>
      </c>
      <c r="U162" s="12">
        <f t="shared" si="579"/>
        <v>-734277</v>
      </c>
      <c r="V162" s="12">
        <f t="shared" si="579"/>
        <v>690673</v>
      </c>
      <c r="W162" s="12">
        <f t="shared" si="579"/>
        <v>739200</v>
      </c>
      <c r="X162" s="12">
        <f t="shared" si="579"/>
        <v>18141</v>
      </c>
      <c r="Y162" s="12">
        <f t="shared" si="579"/>
        <v>-659910</v>
      </c>
      <c r="Z162" s="12">
        <f t="shared" ref="Z162" si="580">Z55</f>
        <v>-1988033</v>
      </c>
      <c r="AA162" s="12">
        <f t="shared" si="574"/>
        <v>-876308</v>
      </c>
      <c r="AB162" s="12">
        <f t="shared" si="574"/>
        <v>-1132052</v>
      </c>
      <c r="AC162" s="12">
        <f t="shared" si="574"/>
        <v>820084</v>
      </c>
      <c r="AD162" s="12">
        <f t="shared" si="574"/>
        <v>-2243455</v>
      </c>
      <c r="AE162" s="12">
        <f t="shared" ref="AE162:AG162" si="581">AE55</f>
        <v>-38989</v>
      </c>
      <c r="AF162" s="12">
        <f t="shared" si="581"/>
        <v>-4317353</v>
      </c>
      <c r="AG162" s="12">
        <f t="shared" si="581"/>
        <v>-16241304</v>
      </c>
    </row>
    <row r="163" spans="2:33" ht="13.5" customHeight="1">
      <c r="B163" s="16" t="str">
        <f t="shared" si="568"/>
        <v>Taxes</v>
      </c>
      <c r="C163" s="12">
        <f t="shared" si="568"/>
        <v>-3568370</v>
      </c>
      <c r="D163" s="12">
        <f t="shared" si="568"/>
        <v>-5153218</v>
      </c>
      <c r="E163" s="12">
        <f t="shared" si="568"/>
        <v>-370635</v>
      </c>
      <c r="F163" s="12">
        <f t="shared" si="568"/>
        <v>-1014908</v>
      </c>
      <c r="G163" s="12">
        <f t="shared" si="568"/>
        <v>-3979355</v>
      </c>
      <c r="H163" s="12">
        <f t="shared" ref="H163:I163" si="582">H56</f>
        <v>-1383942</v>
      </c>
      <c r="I163" s="12">
        <f t="shared" si="582"/>
        <v>-552088</v>
      </c>
      <c r="J163" s="12">
        <f t="shared" ref="J163" si="583">J56</f>
        <v>-5891155</v>
      </c>
      <c r="K163" s="12">
        <f t="shared" ref="K163" si="584">K56</f>
        <v>-7757943</v>
      </c>
      <c r="L163" s="102"/>
      <c r="M163" s="12">
        <f t="shared" ref="M163:Y163" si="585">M56</f>
        <v>-251222</v>
      </c>
      <c r="N163" s="12">
        <f t="shared" si="585"/>
        <v>-384424</v>
      </c>
      <c r="O163" s="12">
        <f t="shared" si="585"/>
        <v>-258130</v>
      </c>
      <c r="P163" s="12">
        <f t="shared" si="585"/>
        <v>-121132</v>
      </c>
      <c r="Q163" s="12">
        <f t="shared" si="585"/>
        <v>-274957</v>
      </c>
      <c r="R163" s="12">
        <f t="shared" si="585"/>
        <v>-2127457</v>
      </c>
      <c r="S163" s="12">
        <f t="shared" si="585"/>
        <v>-507614</v>
      </c>
      <c r="T163" s="12">
        <f t="shared" si="585"/>
        <v>-1069327</v>
      </c>
      <c r="U163" s="12">
        <f t="shared" si="585"/>
        <v>-502283</v>
      </c>
      <c r="V163" s="12">
        <f t="shared" si="585"/>
        <v>-592862</v>
      </c>
      <c r="W163" s="12">
        <f t="shared" si="585"/>
        <v>-119084</v>
      </c>
      <c r="X163" s="12">
        <f t="shared" si="585"/>
        <v>-169713</v>
      </c>
      <c r="Y163" s="12">
        <f t="shared" si="585"/>
        <v>-55025</v>
      </c>
      <c r="Z163" s="12">
        <f t="shared" ref="Z163" si="586">Z56</f>
        <v>-86082</v>
      </c>
      <c r="AA163" s="12">
        <f t="shared" si="574"/>
        <v>-125582</v>
      </c>
      <c r="AB163" s="12">
        <f t="shared" si="574"/>
        <v>-285399</v>
      </c>
      <c r="AC163" s="12">
        <f t="shared" si="574"/>
        <v>-1421386</v>
      </c>
      <c r="AD163" s="12">
        <f t="shared" si="574"/>
        <v>-1828915</v>
      </c>
      <c r="AE163" s="12">
        <f t="shared" ref="AE163:AG163" si="587">AE56</f>
        <v>-1316874</v>
      </c>
      <c r="AF163" s="12">
        <f t="shared" si="587"/>
        <v>-1323980</v>
      </c>
      <c r="AG163" s="12">
        <f t="shared" si="587"/>
        <v>-3288174</v>
      </c>
    </row>
    <row r="164" spans="2:33" ht="13.5" customHeight="1">
      <c r="B164" s="16" t="str">
        <f t="shared" si="568"/>
        <v>Cash interest paid</v>
      </c>
      <c r="C164" s="12">
        <f t="shared" si="568"/>
        <v>-126029</v>
      </c>
      <c r="D164" s="12">
        <f t="shared" si="568"/>
        <v>-238314</v>
      </c>
      <c r="E164" s="12">
        <f t="shared" si="568"/>
        <v>-288565</v>
      </c>
      <c r="F164" s="12">
        <f t="shared" si="568"/>
        <v>-240942</v>
      </c>
      <c r="G164" s="12">
        <f t="shared" si="568"/>
        <v>-494513</v>
      </c>
      <c r="H164" s="12">
        <f t="shared" ref="H164:I164" si="588">H57</f>
        <v>-1261540</v>
      </c>
      <c r="I164" s="12">
        <f t="shared" si="588"/>
        <v>-1276564</v>
      </c>
      <c r="J164" s="12">
        <f t="shared" ref="J164" si="589">J57</f>
        <v>-938849</v>
      </c>
      <c r="K164" s="12">
        <f t="shared" ref="K164" si="590">K57</f>
        <v>-974782</v>
      </c>
      <c r="L164" s="102"/>
      <c r="M164" s="12">
        <f t="shared" ref="M164:Y164" si="591">M57</f>
        <v>-56133</v>
      </c>
      <c r="N164" s="12">
        <f t="shared" si="591"/>
        <v>-48935</v>
      </c>
      <c r="O164" s="12">
        <f t="shared" si="591"/>
        <v>-82267</v>
      </c>
      <c r="P164" s="12">
        <f t="shared" si="591"/>
        <v>-53607</v>
      </c>
      <c r="Q164" s="12">
        <f t="shared" si="591"/>
        <v>-95412</v>
      </c>
      <c r="R164" s="12">
        <f t="shared" si="591"/>
        <v>-86755</v>
      </c>
      <c r="S164" s="12">
        <f t="shared" si="591"/>
        <v>-130530</v>
      </c>
      <c r="T164" s="12">
        <f t="shared" si="591"/>
        <v>-181816</v>
      </c>
      <c r="U164" s="12">
        <f t="shared" si="591"/>
        <v>-214216</v>
      </c>
      <c r="V164" s="12">
        <f t="shared" si="591"/>
        <v>-298543</v>
      </c>
      <c r="W164" s="12">
        <f t="shared" si="591"/>
        <v>422228</v>
      </c>
      <c r="X164" s="12">
        <f t="shared" si="591"/>
        <v>-1171009</v>
      </c>
      <c r="Y164" s="12">
        <f t="shared" si="591"/>
        <v>-416279</v>
      </c>
      <c r="Z164" s="12">
        <f t="shared" ref="Z164" si="592">Z57</f>
        <v>-294030</v>
      </c>
      <c r="AA164" s="12">
        <f t="shared" si="574"/>
        <v>-360537</v>
      </c>
      <c r="AB164" s="12">
        <f t="shared" si="574"/>
        <v>-205718</v>
      </c>
      <c r="AC164" s="12">
        <f t="shared" si="574"/>
        <v>-319264</v>
      </c>
      <c r="AD164" s="12">
        <f t="shared" si="574"/>
        <v>-174863</v>
      </c>
      <c r="AE164" s="12">
        <f t="shared" ref="AE164:AG164" si="593">AE57</f>
        <v>-314836</v>
      </c>
      <c r="AF164" s="12">
        <f t="shared" si="593"/>
        <v>-129886</v>
      </c>
      <c r="AG164" s="12">
        <f t="shared" si="593"/>
        <v>-355197</v>
      </c>
    </row>
    <row r="165" spans="2:33" s="19" customFormat="1" ht="13.5" customHeight="1" thickBot="1">
      <c r="B165" s="24" t="str">
        <f t="shared" si="568"/>
        <v xml:space="preserve">Net cash from operations </v>
      </c>
      <c r="C165" s="23">
        <f t="shared" si="568"/>
        <v>21294735</v>
      </c>
      <c r="D165" s="23">
        <f t="shared" si="568"/>
        <v>6943980</v>
      </c>
      <c r="E165" s="23">
        <f t="shared" si="568"/>
        <v>12586648</v>
      </c>
      <c r="F165" s="23">
        <f t="shared" si="568"/>
        <v>18380889</v>
      </c>
      <c r="G165" s="23">
        <f t="shared" si="568"/>
        <v>13765005</v>
      </c>
      <c r="H165" s="23">
        <f t="shared" ref="H165:I165" si="594">H58</f>
        <v>3957255</v>
      </c>
      <c r="I165" s="23">
        <f t="shared" si="594"/>
        <v>29528045</v>
      </c>
      <c r="J165" s="23">
        <f t="shared" ref="J165" si="595">J58</f>
        <v>48485283</v>
      </c>
      <c r="K165" s="23">
        <f t="shared" ref="K165" si="596">K58</f>
        <v>60088174</v>
      </c>
      <c r="L165" s="25"/>
      <c r="M165" s="23">
        <f t="shared" ref="M165:Y165" si="597">M58</f>
        <v>3427658</v>
      </c>
      <c r="N165" s="23">
        <f t="shared" si="597"/>
        <v>3597483</v>
      </c>
      <c r="O165" s="23">
        <f t="shared" si="597"/>
        <v>5511442</v>
      </c>
      <c r="P165" s="23">
        <f t="shared" si="597"/>
        <v>5844306</v>
      </c>
      <c r="Q165" s="23">
        <f t="shared" si="597"/>
        <v>5571875</v>
      </c>
      <c r="R165" s="23">
        <f t="shared" si="597"/>
        <v>3754794</v>
      </c>
      <c r="S165" s="23">
        <f t="shared" si="597"/>
        <v>2974850</v>
      </c>
      <c r="T165" s="23">
        <f t="shared" si="597"/>
        <v>1463486</v>
      </c>
      <c r="U165" s="23">
        <f t="shared" si="597"/>
        <v>-1296776</v>
      </c>
      <c r="V165" s="23">
        <f t="shared" si="597"/>
        <v>411268</v>
      </c>
      <c r="W165" s="23">
        <f t="shared" si="597"/>
        <v>2583344</v>
      </c>
      <c r="X165" s="23">
        <f t="shared" si="597"/>
        <v>2259419</v>
      </c>
      <c r="Y165" s="23">
        <f t="shared" si="597"/>
        <v>4941786</v>
      </c>
      <c r="Z165" s="23">
        <f t="shared" ref="Z165" si="598">Z58</f>
        <v>6222855</v>
      </c>
      <c r="AA165" s="23">
        <f t="shared" si="574"/>
        <v>8737573</v>
      </c>
      <c r="AB165" s="23">
        <f t="shared" si="574"/>
        <v>9625831</v>
      </c>
      <c r="AC165" s="23">
        <f t="shared" si="574"/>
        <v>9848434</v>
      </c>
      <c r="AD165" s="23">
        <f t="shared" si="574"/>
        <v>8397767</v>
      </c>
      <c r="AE165" s="23">
        <f t="shared" ref="AE165:AG165" si="599">AE58</f>
        <v>13278301</v>
      </c>
      <c r="AF165" s="23">
        <f t="shared" si="599"/>
        <v>16960781</v>
      </c>
      <c r="AG165" s="23">
        <f t="shared" si="599"/>
        <v>21451325</v>
      </c>
    </row>
    <row r="166" spans="2:33" ht="13.5" customHeight="1" thickTop="1">
      <c r="B166" s="16" t="str">
        <f t="shared" si="568"/>
        <v>Net Capex</v>
      </c>
      <c r="C166" s="26">
        <f t="shared" si="568"/>
        <v>-15904392</v>
      </c>
      <c r="D166" s="26">
        <f t="shared" si="568"/>
        <v>-13866404</v>
      </c>
      <c r="E166" s="26">
        <f t="shared" si="568"/>
        <v>-10009573</v>
      </c>
      <c r="F166" s="26">
        <f t="shared" si="568"/>
        <v>-12406695</v>
      </c>
      <c r="G166" s="26">
        <f t="shared" si="568"/>
        <v>-18686543</v>
      </c>
      <c r="H166" s="26">
        <f t="shared" ref="H166:I166" si="600">H59</f>
        <v>-6785313</v>
      </c>
      <c r="I166" s="26">
        <f t="shared" si="600"/>
        <v>-15898408</v>
      </c>
      <c r="J166" s="26">
        <f t="shared" ref="J166" si="601">J59</f>
        <v>-27374096</v>
      </c>
      <c r="K166" s="26">
        <f t="shared" ref="K166" si="602">K59</f>
        <v>-28778594</v>
      </c>
      <c r="L166" s="102"/>
      <c r="M166" s="26">
        <f t="shared" ref="M166:Y166" si="603">M59</f>
        <v>-3984264</v>
      </c>
      <c r="N166" s="26">
        <f t="shared" si="603"/>
        <v>-2899524</v>
      </c>
      <c r="O166" s="26">
        <f t="shared" si="603"/>
        <v>-2787161</v>
      </c>
      <c r="P166" s="26">
        <f t="shared" si="603"/>
        <v>-2735746</v>
      </c>
      <c r="Q166" s="26">
        <f t="shared" si="603"/>
        <v>-5212537</v>
      </c>
      <c r="R166" s="26">
        <f t="shared" si="603"/>
        <v>-4563919</v>
      </c>
      <c r="S166" s="26">
        <f t="shared" si="603"/>
        <v>-4781834</v>
      </c>
      <c r="T166" s="26">
        <f t="shared" si="603"/>
        <v>-4128253</v>
      </c>
      <c r="U166" s="26">
        <f t="shared" si="603"/>
        <v>-3146649</v>
      </c>
      <c r="V166" s="26">
        <f t="shared" si="603"/>
        <v>-1929704</v>
      </c>
      <c r="W166" s="26">
        <f t="shared" si="603"/>
        <v>-135154</v>
      </c>
      <c r="X166" s="26">
        <f t="shared" si="603"/>
        <v>-1573806</v>
      </c>
      <c r="Y166" s="26">
        <f t="shared" si="603"/>
        <v>-3094250</v>
      </c>
      <c r="Z166" s="26">
        <f t="shared" ref="Z166" si="604">Z59</f>
        <v>-2071870</v>
      </c>
      <c r="AA166" s="26">
        <f t="shared" si="574"/>
        <v>-3485606</v>
      </c>
      <c r="AB166" s="26">
        <f t="shared" si="574"/>
        <v>-7246682</v>
      </c>
      <c r="AC166" s="26">
        <f t="shared" si="574"/>
        <v>-6238212</v>
      </c>
      <c r="AD166" s="26">
        <f t="shared" si="574"/>
        <v>-4302357</v>
      </c>
      <c r="AE166" s="26">
        <f t="shared" ref="AE166:AG166" si="605">AE59</f>
        <v>-5001336</v>
      </c>
      <c r="AF166" s="26">
        <f t="shared" si="605"/>
        <v>-11832191</v>
      </c>
      <c r="AG166" s="26">
        <f t="shared" si="605"/>
        <v>-7642710</v>
      </c>
    </row>
    <row r="167" spans="2:33" ht="13.5" customHeight="1">
      <c r="B167" s="16" t="str">
        <f t="shared" si="568"/>
        <v>Purchase of intangible assets</v>
      </c>
      <c r="C167" s="26">
        <f t="shared" si="568"/>
        <v>-930607</v>
      </c>
      <c r="D167" s="26">
        <f t="shared" si="568"/>
        <v>-673173</v>
      </c>
      <c r="E167" s="26">
        <f t="shared" si="568"/>
        <v>-800034</v>
      </c>
      <c r="F167" s="26">
        <f t="shared" si="568"/>
        <v>-971820</v>
      </c>
      <c r="G167" s="26">
        <f t="shared" si="568"/>
        <v>-737603</v>
      </c>
      <c r="H167" s="26">
        <f t="shared" ref="H167:I167" si="606">H60</f>
        <v>-454226</v>
      </c>
      <c r="I167" s="26">
        <f t="shared" si="606"/>
        <v>-697403</v>
      </c>
      <c r="J167" s="26">
        <f t="shared" ref="J167" si="607">J60</f>
        <v>-1058277</v>
      </c>
      <c r="K167" s="26">
        <f t="shared" ref="K167" si="608">K60</f>
        <v>-1095775</v>
      </c>
      <c r="L167" s="102"/>
      <c r="M167" s="26">
        <f t="shared" ref="M167:Y167" si="609">M60</f>
        <v>-247572</v>
      </c>
      <c r="N167" s="26">
        <f t="shared" si="609"/>
        <v>-310112</v>
      </c>
      <c r="O167" s="26">
        <f t="shared" si="609"/>
        <v>-171307</v>
      </c>
      <c r="P167" s="26">
        <f t="shared" si="609"/>
        <v>-242829</v>
      </c>
      <c r="Q167" s="26">
        <f t="shared" si="609"/>
        <v>-198147</v>
      </c>
      <c r="R167" s="26">
        <f t="shared" si="609"/>
        <v>-145428</v>
      </c>
      <c r="S167" s="26">
        <f t="shared" si="609"/>
        <v>-176996</v>
      </c>
      <c r="T167" s="26">
        <f t="shared" si="609"/>
        <v>-217032</v>
      </c>
      <c r="U167" s="26">
        <f t="shared" si="609"/>
        <v>-164511</v>
      </c>
      <c r="V167" s="26">
        <f t="shared" si="609"/>
        <v>-97016</v>
      </c>
      <c r="W167" s="26">
        <f t="shared" si="609"/>
        <v>-90139</v>
      </c>
      <c r="X167" s="26">
        <f t="shared" si="609"/>
        <v>-102560</v>
      </c>
      <c r="Y167" s="26">
        <f t="shared" si="609"/>
        <v>-105681</v>
      </c>
      <c r="Z167" s="26">
        <f t="shared" ref="Z167" si="610">Z60</f>
        <v>-151958</v>
      </c>
      <c r="AA167" s="26">
        <f t="shared" si="574"/>
        <v>-248479</v>
      </c>
      <c r="AB167" s="26">
        <f t="shared" si="574"/>
        <v>-191285</v>
      </c>
      <c r="AC167" s="26">
        <f t="shared" si="574"/>
        <v>-170465</v>
      </c>
      <c r="AD167" s="26">
        <f t="shared" si="574"/>
        <v>-289972</v>
      </c>
      <c r="AE167" s="26">
        <f t="shared" ref="AE167:AG167" si="611">AE60</f>
        <v>-222663</v>
      </c>
      <c r="AF167" s="26">
        <f t="shared" si="611"/>
        <v>-375177</v>
      </c>
      <c r="AG167" s="26">
        <f t="shared" si="611"/>
        <v>-207963</v>
      </c>
    </row>
    <row r="168" spans="2:33" ht="13.5" customHeight="1">
      <c r="B168" s="16" t="str">
        <f t="shared" si="568"/>
        <v>Disposals/ Acquistion, of subsidiaries, businesses</v>
      </c>
      <c r="C168" s="26">
        <f t="shared" si="568"/>
        <v>0</v>
      </c>
      <c r="D168" s="26">
        <f t="shared" si="568"/>
        <v>-2462</v>
      </c>
      <c r="E168" s="26">
        <f t="shared" si="568"/>
        <v>0</v>
      </c>
      <c r="F168" s="26">
        <f t="shared" si="568"/>
        <v>-7250087</v>
      </c>
      <c r="G168" s="26">
        <f t="shared" si="568"/>
        <v>-1027663</v>
      </c>
      <c r="H168" s="26">
        <f t="shared" ref="H168:I168" si="612">H61</f>
        <v>0</v>
      </c>
      <c r="I168" s="26">
        <f t="shared" si="612"/>
        <v>0</v>
      </c>
      <c r="J168" s="26">
        <f t="shared" ref="J168" si="613">J61</f>
        <v>-3079783</v>
      </c>
      <c r="K168" s="26">
        <f t="shared" ref="K168" si="614">K61</f>
        <v>-3079783</v>
      </c>
      <c r="L168" s="102"/>
      <c r="M168" s="26">
        <f t="shared" ref="M168:Y168" si="615">M61</f>
        <v>0</v>
      </c>
      <c r="N168" s="26">
        <f t="shared" si="615"/>
        <v>0</v>
      </c>
      <c r="O168" s="26">
        <f t="shared" si="615"/>
        <v>0</v>
      </c>
      <c r="P168" s="26">
        <f t="shared" si="615"/>
        <v>-7250087</v>
      </c>
      <c r="Q168" s="26">
        <f t="shared" si="615"/>
        <v>-602475</v>
      </c>
      <c r="R168" s="26">
        <f t="shared" si="615"/>
        <v>0</v>
      </c>
      <c r="S168" s="26">
        <f t="shared" si="615"/>
        <v>-425188</v>
      </c>
      <c r="T168" s="26">
        <f t="shared" si="615"/>
        <v>0</v>
      </c>
      <c r="U168" s="26">
        <f t="shared" si="615"/>
        <v>0</v>
      </c>
      <c r="V168" s="26">
        <f t="shared" si="615"/>
        <v>0</v>
      </c>
      <c r="W168" s="26">
        <f t="shared" si="615"/>
        <v>0</v>
      </c>
      <c r="X168" s="26">
        <f t="shared" si="615"/>
        <v>0</v>
      </c>
      <c r="Y168" s="26">
        <f t="shared" si="615"/>
        <v>0</v>
      </c>
      <c r="Z168" s="26">
        <f t="shared" ref="Z168" si="616">Z61</f>
        <v>0</v>
      </c>
      <c r="AA168" s="26">
        <f t="shared" si="574"/>
        <v>0</v>
      </c>
      <c r="AB168" s="26">
        <f t="shared" si="574"/>
        <v>0</v>
      </c>
      <c r="AC168" s="26">
        <f t="shared" si="574"/>
        <v>0</v>
      </c>
      <c r="AD168" s="26">
        <f t="shared" si="574"/>
        <v>0</v>
      </c>
      <c r="AE168" s="26">
        <f t="shared" ref="AE168:AG168" si="617">AE61</f>
        <v>-3079783</v>
      </c>
      <c r="AF168" s="26">
        <f t="shared" si="617"/>
        <v>0</v>
      </c>
      <c r="AG168" s="26">
        <f t="shared" si="617"/>
        <v>0</v>
      </c>
    </row>
    <row r="169" spans="2:33" s="19" customFormat="1" ht="13.5" customHeight="1" thickBot="1">
      <c r="B169" s="24" t="str">
        <f t="shared" si="568"/>
        <v xml:space="preserve">Free cash flow </v>
      </c>
      <c r="C169" s="23">
        <f t="shared" si="568"/>
        <v>4459736</v>
      </c>
      <c r="D169" s="23">
        <f t="shared" si="568"/>
        <v>-7598059</v>
      </c>
      <c r="E169" s="23">
        <f t="shared" si="568"/>
        <v>1777041</v>
      </c>
      <c r="F169" s="23">
        <f t="shared" si="568"/>
        <v>-2247713</v>
      </c>
      <c r="G169" s="23">
        <f t="shared" si="568"/>
        <v>-6686804</v>
      </c>
      <c r="H169" s="23">
        <f t="shared" ref="H169:I169" si="618">H62</f>
        <v>-3282284</v>
      </c>
      <c r="I169" s="23">
        <f t="shared" si="618"/>
        <v>12932234</v>
      </c>
      <c r="J169" s="23">
        <f t="shared" ref="J169" si="619">J62</f>
        <v>16973127</v>
      </c>
      <c r="K169" s="23">
        <f t="shared" ref="K169" si="620">K62</f>
        <v>27134022</v>
      </c>
      <c r="L169" s="25"/>
      <c r="M169" s="23">
        <f t="shared" ref="M169:Y169" si="621">M62</f>
        <v>-804178</v>
      </c>
      <c r="N169" s="23">
        <f t="shared" si="621"/>
        <v>387847</v>
      </c>
      <c r="O169" s="23">
        <f t="shared" si="621"/>
        <v>2552974</v>
      </c>
      <c r="P169" s="23">
        <f t="shared" si="621"/>
        <v>-4384356</v>
      </c>
      <c r="Q169" s="23">
        <f t="shared" si="621"/>
        <v>-441284</v>
      </c>
      <c r="R169" s="23">
        <f t="shared" si="621"/>
        <v>-954553</v>
      </c>
      <c r="S169" s="23">
        <f t="shared" si="621"/>
        <v>-2409168</v>
      </c>
      <c r="T169" s="23">
        <f t="shared" si="621"/>
        <v>-2881799</v>
      </c>
      <c r="U169" s="23">
        <f t="shared" si="621"/>
        <v>-4607936</v>
      </c>
      <c r="V169" s="23">
        <f t="shared" si="621"/>
        <v>-1615452</v>
      </c>
      <c r="W169" s="23">
        <f t="shared" si="621"/>
        <v>2358051</v>
      </c>
      <c r="X169" s="23">
        <f t="shared" si="621"/>
        <v>583053</v>
      </c>
      <c r="Y169" s="23">
        <f t="shared" si="621"/>
        <v>1741855</v>
      </c>
      <c r="Z169" s="23">
        <f t="shared" ref="Z169" si="622">Z62</f>
        <v>3999027</v>
      </c>
      <c r="AA169" s="23">
        <f t="shared" si="574"/>
        <v>5003488</v>
      </c>
      <c r="AB169" s="23">
        <f t="shared" si="574"/>
        <v>2187864</v>
      </c>
      <c r="AC169" s="23">
        <f t="shared" si="574"/>
        <v>3439757</v>
      </c>
      <c r="AD169" s="23">
        <f t="shared" si="574"/>
        <v>3805438</v>
      </c>
      <c r="AE169" s="23">
        <f t="shared" ref="AE169:AG169" si="623">AE62</f>
        <v>4974519</v>
      </c>
      <c r="AF169" s="23">
        <f t="shared" si="623"/>
        <v>4753413</v>
      </c>
      <c r="AG169" s="23">
        <f t="shared" si="623"/>
        <v>13600652</v>
      </c>
    </row>
    <row r="170" spans="2:33" s="19" customFormat="1" ht="13.5" customHeight="1" thickTop="1">
      <c r="B170" s="16" t="str">
        <f t="shared" si="568"/>
        <v xml:space="preserve">Other Investing </v>
      </c>
      <c r="C170" s="26">
        <f t="shared" si="568"/>
        <v>-4593750</v>
      </c>
      <c r="D170" s="26">
        <f t="shared" si="568"/>
        <v>4091103</v>
      </c>
      <c r="E170" s="26">
        <f t="shared" si="568"/>
        <v>-1030786</v>
      </c>
      <c r="F170" s="26">
        <f t="shared" si="568"/>
        <v>-1763675</v>
      </c>
      <c r="G170" s="26">
        <f t="shared" si="568"/>
        <v>2568063</v>
      </c>
      <c r="H170" s="26">
        <f t="shared" ref="H170:I170" si="624">H63</f>
        <v>-95188</v>
      </c>
      <c r="I170" s="26">
        <f t="shared" si="624"/>
        <v>-1408826</v>
      </c>
      <c r="J170" s="26">
        <f t="shared" ref="J170" si="625">J63</f>
        <v>-16542095</v>
      </c>
      <c r="K170" s="26">
        <f t="shared" ref="K170" si="626">K63</f>
        <v>-24516510</v>
      </c>
      <c r="L170" s="102"/>
      <c r="M170" s="26">
        <f t="shared" ref="M170:Y170" si="627">M63</f>
        <v>-1653374</v>
      </c>
      <c r="N170" s="26">
        <f t="shared" si="627"/>
        <v>-274673</v>
      </c>
      <c r="O170" s="26">
        <f t="shared" si="627"/>
        <v>-3392497</v>
      </c>
      <c r="P170" s="26">
        <f t="shared" si="627"/>
        <v>3556869</v>
      </c>
      <c r="Q170" s="26">
        <f t="shared" si="627"/>
        <v>557541</v>
      </c>
      <c r="R170" s="26">
        <f t="shared" si="627"/>
        <v>236071</v>
      </c>
      <c r="S170" s="26">
        <f t="shared" si="627"/>
        <v>737287</v>
      </c>
      <c r="T170" s="26">
        <f t="shared" si="627"/>
        <v>1037164</v>
      </c>
      <c r="U170" s="26">
        <f t="shared" si="627"/>
        <v>183937</v>
      </c>
      <c r="V170" s="26">
        <f t="shared" si="627"/>
        <v>-196976</v>
      </c>
      <c r="W170" s="26">
        <f t="shared" si="627"/>
        <v>-118692</v>
      </c>
      <c r="X170" s="26">
        <f t="shared" si="627"/>
        <v>36543</v>
      </c>
      <c r="Y170" s="26">
        <f t="shared" si="627"/>
        <v>-597394</v>
      </c>
      <c r="Z170" s="26">
        <f t="shared" ref="Z170" si="628">Z63</f>
        <v>246574</v>
      </c>
      <c r="AA170" s="26">
        <f t="shared" si="574"/>
        <v>117345</v>
      </c>
      <c r="AB170" s="26">
        <f t="shared" si="574"/>
        <v>-1175351</v>
      </c>
      <c r="AC170" s="26">
        <f t="shared" si="574"/>
        <v>-1809811</v>
      </c>
      <c r="AD170" s="26">
        <f t="shared" si="574"/>
        <v>-5859126</v>
      </c>
      <c r="AE170" s="26">
        <f t="shared" ref="AE170:AG170" si="629">AE63</f>
        <v>-5940810</v>
      </c>
      <c r="AF170" s="26">
        <f t="shared" si="629"/>
        <v>-2932348</v>
      </c>
      <c r="AG170" s="26">
        <f t="shared" si="629"/>
        <v>-9784226</v>
      </c>
    </row>
    <row r="171" spans="2:33" ht="13.5" customHeight="1">
      <c r="B171" s="16" t="str">
        <f t="shared" ref="B171:G177" si="630">B64</f>
        <v>Equity Issuance</v>
      </c>
      <c r="C171" s="26">
        <f t="shared" si="630"/>
        <v>-1736514</v>
      </c>
      <c r="D171" s="26">
        <f t="shared" si="630"/>
        <v>0</v>
      </c>
      <c r="E171" s="26">
        <f t="shared" si="630"/>
        <v>0</v>
      </c>
      <c r="F171" s="26">
        <f t="shared" si="630"/>
        <v>0</v>
      </c>
      <c r="G171" s="26">
        <f t="shared" si="630"/>
        <v>0</v>
      </c>
      <c r="H171" s="26">
        <f t="shared" ref="H171:I171" si="631">H64</f>
        <v>0</v>
      </c>
      <c r="I171" s="26">
        <f t="shared" si="631"/>
        <v>0</v>
      </c>
      <c r="J171" s="26">
        <f t="shared" ref="J171" si="632">J64</f>
        <v>0</v>
      </c>
      <c r="K171" s="26">
        <f t="shared" ref="K171" si="633">K64</f>
        <v>0</v>
      </c>
      <c r="L171" s="102"/>
      <c r="M171" s="26">
        <f t="shared" ref="M171:Y171" si="634">M64</f>
        <v>0</v>
      </c>
      <c r="N171" s="26">
        <f t="shared" si="634"/>
        <v>0</v>
      </c>
      <c r="O171" s="26">
        <f t="shared" si="634"/>
        <v>0</v>
      </c>
      <c r="P171" s="26">
        <f t="shared" si="634"/>
        <v>0</v>
      </c>
      <c r="Q171" s="26">
        <f t="shared" si="634"/>
        <v>0</v>
      </c>
      <c r="R171" s="26">
        <f t="shared" si="634"/>
        <v>0</v>
      </c>
      <c r="S171" s="26">
        <f t="shared" si="634"/>
        <v>0</v>
      </c>
      <c r="T171" s="26">
        <f t="shared" si="634"/>
        <v>0</v>
      </c>
      <c r="U171" s="26">
        <f t="shared" si="634"/>
        <v>0</v>
      </c>
      <c r="V171" s="26">
        <f t="shared" si="634"/>
        <v>0</v>
      </c>
      <c r="W171" s="26">
        <f t="shared" si="634"/>
        <v>0</v>
      </c>
      <c r="X171" s="26">
        <f t="shared" si="634"/>
        <v>0</v>
      </c>
      <c r="Y171" s="26">
        <f t="shared" si="634"/>
        <v>0</v>
      </c>
      <c r="Z171" s="26">
        <f t="shared" ref="Z171" si="635">Z64</f>
        <v>0</v>
      </c>
      <c r="AA171" s="26">
        <f t="shared" si="574"/>
        <v>0</v>
      </c>
      <c r="AB171" s="26">
        <f t="shared" si="574"/>
        <v>0</v>
      </c>
      <c r="AC171" s="26">
        <f t="shared" si="574"/>
        <v>0</v>
      </c>
      <c r="AD171" s="26">
        <f t="shared" si="574"/>
        <v>0</v>
      </c>
      <c r="AE171" s="26">
        <f t="shared" ref="AE171:AG171" si="636">AE64</f>
        <v>0</v>
      </c>
      <c r="AF171" s="26">
        <f t="shared" si="636"/>
        <v>0</v>
      </c>
      <c r="AG171" s="26">
        <f t="shared" si="636"/>
        <v>0</v>
      </c>
    </row>
    <row r="172" spans="2:33" ht="13.5" customHeight="1">
      <c r="B172" s="16" t="str">
        <f t="shared" si="630"/>
        <v>Dividends</v>
      </c>
      <c r="C172" s="26">
        <f t="shared" si="630"/>
        <v>-706002</v>
      </c>
      <c r="D172" s="26">
        <f t="shared" si="630"/>
        <v>-1026003</v>
      </c>
      <c r="E172" s="26">
        <f t="shared" si="630"/>
        <v>-684002</v>
      </c>
      <c r="F172" s="26">
        <f t="shared" si="630"/>
        <v>-805024</v>
      </c>
      <c r="G172" s="26">
        <f t="shared" si="630"/>
        <v>-1680905</v>
      </c>
      <c r="H172" s="26">
        <f t="shared" ref="H172:I172" si="637">H65</f>
        <v>-825575</v>
      </c>
      <c r="I172" s="26">
        <f t="shared" si="637"/>
        <v>-826323</v>
      </c>
      <c r="J172" s="26">
        <f t="shared" ref="J172" si="638">J65</f>
        <v>-1681166</v>
      </c>
      <c r="K172" s="26">
        <f t="shared" ref="K172" si="639">K65</f>
        <v>-1681166</v>
      </c>
      <c r="L172" s="102"/>
      <c r="M172" s="26">
        <f t="shared" ref="M172:Y172" si="640">M65</f>
        <v>0</v>
      </c>
      <c r="N172" s="26">
        <f t="shared" si="640"/>
        <v>-800282</v>
      </c>
      <c r="O172" s="26">
        <f t="shared" si="640"/>
        <v>0</v>
      </c>
      <c r="P172" s="26">
        <f t="shared" si="640"/>
        <v>-4742</v>
      </c>
      <c r="Q172" s="26">
        <f t="shared" si="640"/>
        <v>0</v>
      </c>
      <c r="R172" s="26">
        <f t="shared" si="640"/>
        <v>-1268314</v>
      </c>
      <c r="S172" s="26">
        <f t="shared" si="640"/>
        <v>-206296</v>
      </c>
      <c r="T172" s="26">
        <f t="shared" si="640"/>
        <v>-206295</v>
      </c>
      <c r="U172" s="26">
        <f t="shared" si="640"/>
        <v>0</v>
      </c>
      <c r="V172" s="26">
        <f t="shared" si="640"/>
        <v>-412712</v>
      </c>
      <c r="W172" s="26">
        <f t="shared" si="640"/>
        <v>-206428</v>
      </c>
      <c r="X172" s="26">
        <f t="shared" si="640"/>
        <v>-206435</v>
      </c>
      <c r="Y172" s="26">
        <f t="shared" si="640"/>
        <v>0</v>
      </c>
      <c r="Z172" s="26">
        <f t="shared" ref="Z172" si="641">Z65</f>
        <v>-413026</v>
      </c>
      <c r="AA172" s="26">
        <f t="shared" si="574"/>
        <v>-206585</v>
      </c>
      <c r="AB172" s="26">
        <f t="shared" si="574"/>
        <v>-206712</v>
      </c>
      <c r="AC172" s="26">
        <f t="shared" si="574"/>
        <v>0</v>
      </c>
      <c r="AD172" s="26">
        <f t="shared" si="574"/>
        <v>-1159114</v>
      </c>
      <c r="AE172" s="26">
        <f t="shared" ref="AE172:AG172" si="642">AE65</f>
        <v>-258921</v>
      </c>
      <c r="AF172" s="26">
        <f t="shared" si="642"/>
        <v>-263131</v>
      </c>
      <c r="AG172" s="26">
        <f t="shared" si="642"/>
        <v>0</v>
      </c>
    </row>
    <row r="173" spans="2:33" ht="13.5" customHeight="1">
      <c r="B173" s="16" t="str">
        <f t="shared" si="630"/>
        <v>Net Change in debt</v>
      </c>
      <c r="C173" s="26">
        <f t="shared" si="630"/>
        <v>1047199</v>
      </c>
      <c r="D173" s="26">
        <f t="shared" si="630"/>
        <v>4857956</v>
      </c>
      <c r="E173" s="26">
        <f t="shared" si="630"/>
        <v>931966</v>
      </c>
      <c r="F173" s="26">
        <f t="shared" si="630"/>
        <v>5288851</v>
      </c>
      <c r="G173" s="26">
        <f t="shared" si="630"/>
        <v>4491031</v>
      </c>
      <c r="H173" s="26">
        <f t="shared" ref="H173:I173" si="643">H66</f>
        <v>6507068</v>
      </c>
      <c r="I173" s="26">
        <f t="shared" si="643"/>
        <v>-7977478</v>
      </c>
      <c r="J173" s="26">
        <f t="shared" ref="J173" si="644">J66</f>
        <v>171139</v>
      </c>
      <c r="K173" s="26">
        <f t="shared" ref="K173" si="645">K66</f>
        <v>-3223707</v>
      </c>
      <c r="L173" s="102"/>
      <c r="M173" s="26">
        <f t="shared" ref="M173:Y173" si="646">M66</f>
        <v>1983924</v>
      </c>
      <c r="N173" s="26">
        <f t="shared" si="646"/>
        <v>246512</v>
      </c>
      <c r="O173" s="26">
        <f t="shared" si="646"/>
        <v>124392</v>
      </c>
      <c r="P173" s="26">
        <f t="shared" si="646"/>
        <v>2934023</v>
      </c>
      <c r="Q173" s="26">
        <f t="shared" si="646"/>
        <v>175316</v>
      </c>
      <c r="R173" s="26">
        <f t="shared" si="646"/>
        <v>342555</v>
      </c>
      <c r="S173" s="26">
        <f t="shared" si="646"/>
        <v>1050024</v>
      </c>
      <c r="T173" s="26">
        <f t="shared" si="646"/>
        <v>2923136</v>
      </c>
      <c r="U173" s="26">
        <f t="shared" si="646"/>
        <v>4978335</v>
      </c>
      <c r="V173" s="26">
        <f t="shared" si="646"/>
        <v>2498858</v>
      </c>
      <c r="W173" s="26">
        <f t="shared" si="646"/>
        <v>541134</v>
      </c>
      <c r="X173" s="26">
        <f t="shared" si="646"/>
        <v>-1511259</v>
      </c>
      <c r="Y173" s="26">
        <f t="shared" si="646"/>
        <v>-941310</v>
      </c>
      <c r="Z173" s="26">
        <f t="shared" ref="Z173" si="647">Z66</f>
        <v>-3752915</v>
      </c>
      <c r="AA173" s="26">
        <f t="shared" si="574"/>
        <v>-2549055</v>
      </c>
      <c r="AB173" s="26">
        <f t="shared" si="574"/>
        <v>-734198</v>
      </c>
      <c r="AC173" s="26">
        <f t="shared" si="574"/>
        <v>493274</v>
      </c>
      <c r="AD173" s="26">
        <f t="shared" si="574"/>
        <v>-633624</v>
      </c>
      <c r="AE173" s="26">
        <f t="shared" ref="AE173:AG173" si="648">AE66</f>
        <v>1611698</v>
      </c>
      <c r="AF173" s="26">
        <f t="shared" si="648"/>
        <v>-1300209</v>
      </c>
      <c r="AG173" s="26">
        <f t="shared" si="648"/>
        <v>-2901572</v>
      </c>
    </row>
    <row r="174" spans="2:33" ht="13.5" customHeight="1">
      <c r="B174" s="16" t="str">
        <f t="shared" si="630"/>
        <v>Other financing activities</v>
      </c>
      <c r="C174" s="26">
        <f t="shared" si="630"/>
        <v>0</v>
      </c>
      <c r="D174" s="26">
        <f t="shared" si="630"/>
        <v>4715</v>
      </c>
      <c r="E174" s="26">
        <f t="shared" si="630"/>
        <v>4090</v>
      </c>
      <c r="F174" s="26">
        <f t="shared" si="630"/>
        <v>8486</v>
      </c>
      <c r="G174" s="26">
        <f t="shared" si="630"/>
        <v>11670</v>
      </c>
      <c r="H174" s="26">
        <f t="shared" ref="H174:I174" si="649">H67</f>
        <v>15352</v>
      </c>
      <c r="I174" s="26">
        <f t="shared" si="649"/>
        <v>99861</v>
      </c>
      <c r="J174" s="26">
        <f t="shared" ref="J174" si="650">J67</f>
        <v>65035</v>
      </c>
      <c r="K174" s="26">
        <f t="shared" ref="K174" si="651">K67</f>
        <v>-492</v>
      </c>
      <c r="L174" s="102"/>
      <c r="M174" s="26">
        <f t="shared" ref="M174:Y174" si="652">M67</f>
        <v>-83452</v>
      </c>
      <c r="N174" s="26">
        <f t="shared" si="652"/>
        <v>-77432</v>
      </c>
      <c r="O174" s="26">
        <f t="shared" si="652"/>
        <v>-75350</v>
      </c>
      <c r="P174" s="26">
        <f t="shared" si="652"/>
        <v>244720</v>
      </c>
      <c r="Q174" s="26">
        <f t="shared" si="652"/>
        <v>0</v>
      </c>
      <c r="R174" s="26">
        <f t="shared" si="652"/>
        <v>6519</v>
      </c>
      <c r="S174" s="26">
        <f t="shared" si="652"/>
        <v>3002</v>
      </c>
      <c r="T174" s="26">
        <f t="shared" si="652"/>
        <v>2149</v>
      </c>
      <c r="U174" s="26">
        <f t="shared" si="652"/>
        <v>3041</v>
      </c>
      <c r="V174" s="26">
        <f t="shared" si="652"/>
        <v>-9576</v>
      </c>
      <c r="W174" s="26">
        <f t="shared" si="652"/>
        <v>5750</v>
      </c>
      <c r="X174" s="26">
        <f t="shared" si="652"/>
        <v>16137</v>
      </c>
      <c r="Y174" s="26">
        <f t="shared" si="652"/>
        <v>31640</v>
      </c>
      <c r="Z174" s="26">
        <f t="shared" ref="Z174" si="653">Z67</f>
        <v>42707</v>
      </c>
      <c r="AA174" s="26">
        <f t="shared" si="574"/>
        <v>14804</v>
      </c>
      <c r="AB174" s="26">
        <f t="shared" si="574"/>
        <v>10710</v>
      </c>
      <c r="AC174" s="26">
        <f t="shared" si="574"/>
        <v>15620</v>
      </c>
      <c r="AD174" s="26">
        <f t="shared" si="574"/>
        <v>12948</v>
      </c>
      <c r="AE174" s="26">
        <f t="shared" ref="AE174:AG174" si="654">AE67</f>
        <v>22106</v>
      </c>
      <c r="AF174" s="26">
        <f t="shared" si="654"/>
        <v>14361</v>
      </c>
      <c r="AG174" s="26">
        <f t="shared" si="654"/>
        <v>-49907</v>
      </c>
    </row>
    <row r="175" spans="2:33" s="19" customFormat="1" ht="13.5" customHeight="1" thickBot="1">
      <c r="B175" s="24" t="str">
        <f t="shared" si="630"/>
        <v>Cash flow after financing activities</v>
      </c>
      <c r="C175" s="23">
        <f t="shared" si="630"/>
        <v>-1529331</v>
      </c>
      <c r="D175" s="23">
        <f t="shared" si="630"/>
        <v>329712</v>
      </c>
      <c r="E175" s="23">
        <f t="shared" si="630"/>
        <v>998309</v>
      </c>
      <c r="F175" s="23">
        <f t="shared" si="630"/>
        <v>480925</v>
      </c>
      <c r="G175" s="23">
        <f t="shared" si="630"/>
        <v>-1296945</v>
      </c>
      <c r="H175" s="23">
        <f t="shared" ref="H175:I175" si="655">H68</f>
        <v>2319373</v>
      </c>
      <c r="I175" s="23">
        <f t="shared" si="655"/>
        <v>2819468</v>
      </c>
      <c r="J175" s="23">
        <f t="shared" ref="J175" si="656">J68</f>
        <v>-1013960</v>
      </c>
      <c r="K175" s="23">
        <f t="shared" ref="K175" si="657">K68</f>
        <v>-2287853</v>
      </c>
      <c r="L175" s="25"/>
      <c r="M175" s="23">
        <f t="shared" ref="M175:Y175" si="658">M68</f>
        <v>-557080</v>
      </c>
      <c r="N175" s="23">
        <f t="shared" si="658"/>
        <v>-518028</v>
      </c>
      <c r="O175" s="23">
        <f t="shared" si="658"/>
        <v>-790481</v>
      </c>
      <c r="P175" s="23">
        <f t="shared" si="658"/>
        <v>2346514</v>
      </c>
      <c r="Q175" s="23">
        <f t="shared" si="658"/>
        <v>291573</v>
      </c>
      <c r="R175" s="23">
        <f t="shared" si="658"/>
        <v>-1637722</v>
      </c>
      <c r="S175" s="23">
        <f t="shared" si="658"/>
        <v>-825151</v>
      </c>
      <c r="T175" s="23">
        <f t="shared" si="658"/>
        <v>874355</v>
      </c>
      <c r="U175" s="23">
        <f t="shared" si="658"/>
        <v>557377</v>
      </c>
      <c r="V175" s="23">
        <f t="shared" si="658"/>
        <v>264142</v>
      </c>
      <c r="W175" s="23">
        <f t="shared" si="658"/>
        <v>2579815</v>
      </c>
      <c r="X175" s="23">
        <f t="shared" si="658"/>
        <v>-1081961</v>
      </c>
      <c r="Y175" s="23">
        <f t="shared" si="658"/>
        <v>234791</v>
      </c>
      <c r="Z175" s="23">
        <f t="shared" ref="Z175" si="659">Z68</f>
        <v>122367</v>
      </c>
      <c r="AA175" s="23">
        <f t="shared" si="574"/>
        <v>2379997</v>
      </c>
      <c r="AB175" s="23">
        <f t="shared" si="574"/>
        <v>82313</v>
      </c>
      <c r="AC175" s="23">
        <f t="shared" si="574"/>
        <v>2138840</v>
      </c>
      <c r="AD175" s="23">
        <f t="shared" si="574"/>
        <v>-3833478</v>
      </c>
      <c r="AE175" s="23">
        <f t="shared" ref="AE175:AG175" si="660">AE68</f>
        <v>408592</v>
      </c>
      <c r="AF175" s="23">
        <f t="shared" si="660"/>
        <v>272086</v>
      </c>
      <c r="AG175" s="23">
        <f t="shared" si="660"/>
        <v>864947</v>
      </c>
    </row>
    <row r="176" spans="2:33" s="19" customFormat="1" ht="13.5" customHeight="1" thickTop="1">
      <c r="B176" s="16" t="str">
        <f t="shared" si="630"/>
        <v>Balancing figure</v>
      </c>
      <c r="C176" s="26">
        <f t="shared" si="630"/>
        <v>928659</v>
      </c>
      <c r="D176" s="26">
        <f t="shared" si="630"/>
        <v>-372961</v>
      </c>
      <c r="E176" s="26">
        <f t="shared" si="630"/>
        <v>-328390</v>
      </c>
      <c r="F176" s="26">
        <f t="shared" si="630"/>
        <v>1601068</v>
      </c>
      <c r="G176" s="26">
        <f t="shared" si="630"/>
        <v>1215970</v>
      </c>
      <c r="H176" s="26">
        <f t="shared" ref="H176:I176" si="661">H69</f>
        <v>290949</v>
      </c>
      <c r="I176" s="26">
        <f t="shared" si="661"/>
        <v>798320</v>
      </c>
      <c r="J176" s="26">
        <f t="shared" ref="J176" si="662">J69</f>
        <v>4732609</v>
      </c>
      <c r="K176" s="26">
        <f t="shared" ref="K176" si="663">K69</f>
        <v>10896688</v>
      </c>
      <c r="L176" s="102"/>
      <c r="M176" s="26">
        <f t="shared" ref="M176:Y176" si="664">M69</f>
        <v>-192765</v>
      </c>
      <c r="N176" s="26">
        <f t="shared" si="664"/>
        <v>958235</v>
      </c>
      <c r="O176" s="26">
        <f t="shared" si="664"/>
        <v>886107</v>
      </c>
      <c r="P176" s="26">
        <f t="shared" si="664"/>
        <v>-50509</v>
      </c>
      <c r="Q176" s="26">
        <f t="shared" si="664"/>
        <v>-366791</v>
      </c>
      <c r="R176" s="26">
        <f t="shared" si="664"/>
        <v>1201270</v>
      </c>
      <c r="S176" s="26">
        <f t="shared" si="664"/>
        <v>998056</v>
      </c>
      <c r="T176" s="26">
        <f t="shared" si="664"/>
        <v>-616565</v>
      </c>
      <c r="U176" s="26">
        <f t="shared" si="664"/>
        <v>-639602</v>
      </c>
      <c r="V176" s="26">
        <f t="shared" si="664"/>
        <v>881886</v>
      </c>
      <c r="W176" s="26">
        <f t="shared" si="664"/>
        <v>-1498319</v>
      </c>
      <c r="X176" s="26">
        <f t="shared" si="664"/>
        <v>1546984</v>
      </c>
      <c r="Y176" s="26">
        <f t="shared" si="664"/>
        <v>559275</v>
      </c>
      <c r="Z176" s="26">
        <f t="shared" ref="Z176" si="665">Z69</f>
        <v>-569933</v>
      </c>
      <c r="AA176" s="26">
        <f t="shared" si="574"/>
        <v>-1178138</v>
      </c>
      <c r="AB176" s="26">
        <f t="shared" si="574"/>
        <v>1987116</v>
      </c>
      <c r="AC176" s="26">
        <f t="shared" si="574"/>
        <v>-785888</v>
      </c>
      <c r="AD176" s="26">
        <f t="shared" si="574"/>
        <v>350720</v>
      </c>
      <c r="AE176" s="26">
        <f t="shared" ref="AE176:AG176" si="666">AE69</f>
        <v>1330612</v>
      </c>
      <c r="AF176" s="26">
        <f t="shared" si="666"/>
        <v>3837165</v>
      </c>
      <c r="AG176" s="26">
        <f t="shared" si="666"/>
        <v>5378191</v>
      </c>
    </row>
    <row r="177" spans="2:33" ht="13.5" customHeight="1">
      <c r="B177" s="16" t="str">
        <f t="shared" si="630"/>
        <v xml:space="preserve">FX </v>
      </c>
      <c r="C177" s="26">
        <f t="shared" si="630"/>
        <v>-3805</v>
      </c>
      <c r="D177" s="26">
        <f t="shared" si="630"/>
        <v>21283</v>
      </c>
      <c r="E177" s="26">
        <f t="shared" si="630"/>
        <v>-56313</v>
      </c>
      <c r="F177" s="26">
        <f t="shared" si="630"/>
        <v>184309</v>
      </c>
      <c r="G177" s="26">
        <f t="shared" si="630"/>
        <v>200458</v>
      </c>
      <c r="H177" s="26">
        <f t="shared" ref="H177:I177" si="667">H70</f>
        <v>-29987</v>
      </c>
      <c r="I177" s="26">
        <f t="shared" si="667"/>
        <v>530480</v>
      </c>
      <c r="J177" s="26">
        <f t="shared" ref="J177" si="668">J70</f>
        <v>-155234</v>
      </c>
      <c r="K177" s="26">
        <f t="shared" ref="K177" si="669">K70</f>
        <v>305288</v>
      </c>
      <c r="L177" s="102"/>
      <c r="M177" s="26">
        <f t="shared" ref="M177:Y177" si="670">M70</f>
        <v>28131</v>
      </c>
      <c r="N177" s="26">
        <f t="shared" si="670"/>
        <v>5745</v>
      </c>
      <c r="O177" s="26">
        <f t="shared" si="670"/>
        <v>130860</v>
      </c>
      <c r="P177" s="26">
        <f t="shared" si="670"/>
        <v>19573</v>
      </c>
      <c r="Q177" s="26">
        <f t="shared" si="670"/>
        <v>63856</v>
      </c>
      <c r="R177" s="26">
        <f t="shared" si="670"/>
        <v>382399</v>
      </c>
      <c r="S177" s="26">
        <f t="shared" si="670"/>
        <v>92079</v>
      </c>
      <c r="T177" s="26">
        <f t="shared" si="670"/>
        <v>-337876</v>
      </c>
      <c r="U177" s="26">
        <f t="shared" si="670"/>
        <v>69110</v>
      </c>
      <c r="V177" s="26">
        <f t="shared" si="670"/>
        <v>-18285</v>
      </c>
      <c r="W177" s="26">
        <f t="shared" si="670"/>
        <v>65693</v>
      </c>
      <c r="X177" s="26">
        <f t="shared" si="670"/>
        <v>-146505</v>
      </c>
      <c r="Y177" s="26">
        <f t="shared" si="670"/>
        <v>144583</v>
      </c>
      <c r="Z177" s="26">
        <f t="shared" ref="Z177" si="671">Z70</f>
        <v>76798</v>
      </c>
      <c r="AA177" s="26">
        <f t="shared" si="574"/>
        <v>-177879</v>
      </c>
      <c r="AB177" s="26">
        <f t="shared" si="574"/>
        <v>486978</v>
      </c>
      <c r="AC177" s="26">
        <f t="shared" si="574"/>
        <v>38875</v>
      </c>
      <c r="AD177" s="26">
        <f t="shared" si="574"/>
        <v>-371737</v>
      </c>
      <c r="AE177" s="26">
        <f t="shared" ref="AE177:AG177" si="672">AE70</f>
        <v>241418</v>
      </c>
      <c r="AF177" s="26">
        <f t="shared" si="672"/>
        <v>-63790</v>
      </c>
      <c r="AG177" s="26">
        <f t="shared" si="672"/>
        <v>499397</v>
      </c>
    </row>
    <row r="178" spans="2:33" s="19" customFormat="1" ht="13.5" customHeight="1" thickBot="1">
      <c r="B178" s="24" t="str">
        <f t="shared" ref="B178:G178" si="673">B72</f>
        <v xml:space="preserve">Net change in cash </v>
      </c>
      <c r="C178" s="23">
        <f t="shared" si="673"/>
        <v>-600672</v>
      </c>
      <c r="D178" s="23">
        <f t="shared" si="673"/>
        <v>-43249</v>
      </c>
      <c r="E178" s="23">
        <f t="shared" si="673"/>
        <v>669919</v>
      </c>
      <c r="F178" s="23">
        <f t="shared" si="673"/>
        <v>2081993</v>
      </c>
      <c r="G178" s="23">
        <f t="shared" si="673"/>
        <v>-80975</v>
      </c>
      <c r="H178" s="23">
        <f t="shared" ref="H178:I178" si="674">H72</f>
        <v>2610322</v>
      </c>
      <c r="I178" s="23">
        <f t="shared" si="674"/>
        <v>3617788</v>
      </c>
      <c r="J178" s="23">
        <f t="shared" ref="J178" si="675">J72</f>
        <v>3718649</v>
      </c>
      <c r="K178" s="23">
        <f t="shared" ref="K178" si="676">K72</f>
        <v>8608835</v>
      </c>
      <c r="L178" s="25"/>
      <c r="M178" s="23">
        <f t="shared" ref="M178:U178" si="677">M72</f>
        <v>-749845</v>
      </c>
      <c r="N178" s="23">
        <f t="shared" si="677"/>
        <v>440207</v>
      </c>
      <c r="O178" s="23">
        <f t="shared" si="677"/>
        <v>95626</v>
      </c>
      <c r="P178" s="23">
        <f t="shared" si="677"/>
        <v>2296005</v>
      </c>
      <c r="Q178" s="23">
        <f t="shared" si="677"/>
        <v>-75218</v>
      </c>
      <c r="R178" s="23">
        <f t="shared" si="677"/>
        <v>-436452</v>
      </c>
      <c r="S178" s="23">
        <f t="shared" si="677"/>
        <v>172905</v>
      </c>
      <c r="T178" s="23">
        <f t="shared" si="677"/>
        <v>257790</v>
      </c>
      <c r="U178" s="23">
        <f t="shared" si="677"/>
        <v>-82225</v>
      </c>
      <c r="V178" s="23">
        <f t="shared" ref="V178:Y178" si="678">V72</f>
        <v>1146028</v>
      </c>
      <c r="W178" s="23">
        <f t="shared" si="678"/>
        <v>1081496</v>
      </c>
      <c r="X178" s="23">
        <f t="shared" si="678"/>
        <v>465023</v>
      </c>
      <c r="Y178" s="23">
        <f t="shared" si="678"/>
        <v>794066</v>
      </c>
      <c r="Z178" s="23">
        <f t="shared" ref="Z178:AC178" si="679">Z72</f>
        <v>-447566</v>
      </c>
      <c r="AA178" s="23">
        <f t="shared" si="679"/>
        <v>1201859</v>
      </c>
      <c r="AB178" s="23">
        <f t="shared" si="679"/>
        <v>2069429</v>
      </c>
      <c r="AC178" s="23">
        <f t="shared" si="679"/>
        <v>1352952</v>
      </c>
      <c r="AD178" s="23">
        <f t="shared" ref="AD178:AG178" si="680">AD72</f>
        <v>-3482758</v>
      </c>
      <c r="AE178" s="23">
        <f t="shared" si="680"/>
        <v>1739204</v>
      </c>
      <c r="AF178" s="23">
        <f t="shared" si="680"/>
        <v>4109251</v>
      </c>
      <c r="AG178" s="23">
        <f t="shared" si="680"/>
        <v>6243138</v>
      </c>
    </row>
    <row r="179" spans="2:33" ht="13.5" customHeight="1" thickTop="1"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</row>
    <row r="180" spans="2:33" s="19" customFormat="1" ht="13.5" customHeight="1">
      <c r="B180" s="19" t="str">
        <f>+B114</f>
        <v>Total debt</v>
      </c>
      <c r="C180" s="25">
        <f t="shared" ref="C180:K181" si="681">C114</f>
        <v>5281937</v>
      </c>
      <c r="D180" s="25">
        <f t="shared" si="681"/>
        <v>12190505</v>
      </c>
      <c r="E180" s="25">
        <f t="shared" si="681"/>
        <v>12895364</v>
      </c>
      <c r="F180" s="25">
        <f t="shared" si="681"/>
        <v>19149571</v>
      </c>
      <c r="G180" s="25">
        <f t="shared" si="681"/>
        <v>24791685</v>
      </c>
      <c r="H180" s="25">
        <f t="shared" ref="H180:I180" si="682">H114</f>
        <v>32498506</v>
      </c>
      <c r="I180" s="25">
        <f t="shared" si="682"/>
        <v>25452109</v>
      </c>
      <c r="J180" s="25">
        <f t="shared" ref="J180" si="683">J114</f>
        <v>24757848</v>
      </c>
      <c r="K180" s="25">
        <f t="shared" si="681"/>
        <v>21832416</v>
      </c>
      <c r="L180" s="25"/>
      <c r="M180" s="25">
        <f t="shared" ref="M180:V180" si="684">M114</f>
        <v>15334719</v>
      </c>
      <c r="N180" s="25">
        <f t="shared" si="684"/>
        <v>15458996</v>
      </c>
      <c r="O180" s="25">
        <f t="shared" si="684"/>
        <v>15862275</v>
      </c>
      <c r="P180" s="25">
        <f t="shared" si="684"/>
        <v>19149571</v>
      </c>
      <c r="Q180" s="25">
        <f t="shared" si="684"/>
        <v>19710962</v>
      </c>
      <c r="R180" s="25">
        <f t="shared" si="684"/>
        <v>21159415</v>
      </c>
      <c r="S180" s="25">
        <f t="shared" si="684"/>
        <v>28943775</v>
      </c>
      <c r="T180" s="25">
        <f t="shared" si="684"/>
        <v>24791685</v>
      </c>
      <c r="U180" s="25">
        <f t="shared" si="684"/>
        <v>30727694</v>
      </c>
      <c r="V180" s="25">
        <f t="shared" si="684"/>
        <v>32786498</v>
      </c>
      <c r="W180" s="25">
        <f t="shared" ref="W180:Z180" si="685">W114</f>
        <v>34582433</v>
      </c>
      <c r="X180" s="25">
        <f t="shared" si="685"/>
        <v>32498506</v>
      </c>
      <c r="Y180" s="25">
        <f t="shared" si="685"/>
        <v>32575316</v>
      </c>
      <c r="Z180" s="25">
        <f t="shared" si="685"/>
        <v>28079982</v>
      </c>
      <c r="AA180" s="25">
        <f t="shared" ref="AA180:AD180" si="686">AA114</f>
        <v>24548326</v>
      </c>
      <c r="AB180" s="25">
        <f t="shared" si="686"/>
        <v>25452109</v>
      </c>
      <c r="AC180" s="25">
        <f t="shared" si="686"/>
        <v>25983766</v>
      </c>
      <c r="AD180" s="25">
        <f t="shared" si="686"/>
        <v>24369171</v>
      </c>
      <c r="AE180" s="25">
        <f t="shared" ref="AE180:AG180" si="687">AE114</f>
        <v>26583924</v>
      </c>
      <c r="AF180" s="25">
        <f t="shared" si="687"/>
        <v>24757848</v>
      </c>
      <c r="AG180" s="25">
        <f t="shared" si="687"/>
        <v>21832416</v>
      </c>
    </row>
    <row r="181" spans="2:33" ht="13.5" customHeight="1">
      <c r="B181" s="16" t="str">
        <f>+B115</f>
        <v>Cash and cash equivalents</v>
      </c>
      <c r="C181" s="22">
        <f t="shared" si="681"/>
        <v>2349319</v>
      </c>
      <c r="D181" s="22">
        <f t="shared" si="681"/>
        <v>2306070</v>
      </c>
      <c r="E181" s="22">
        <f t="shared" si="681"/>
        <v>2975989</v>
      </c>
      <c r="F181" s="22">
        <f t="shared" si="681"/>
        <v>5057982</v>
      </c>
      <c r="G181" s="22">
        <f t="shared" si="681"/>
        <v>4977007</v>
      </c>
      <c r="H181" s="22">
        <f t="shared" ref="H181:I181" si="688">H115</f>
        <v>7587329</v>
      </c>
      <c r="I181" s="22">
        <f t="shared" si="688"/>
        <v>11205117</v>
      </c>
      <c r="J181" s="22">
        <f t="shared" ref="J181" si="689">J115</f>
        <v>14923766</v>
      </c>
      <c r="K181" s="22">
        <f t="shared" si="681"/>
        <v>21166904</v>
      </c>
      <c r="L181" s="22"/>
      <c r="M181" s="22">
        <f t="shared" ref="M181:V181" si="690">M115</f>
        <v>2226144</v>
      </c>
      <c r="N181" s="22">
        <f t="shared" si="690"/>
        <v>2666351</v>
      </c>
      <c r="O181" s="22">
        <f t="shared" si="690"/>
        <v>2761977</v>
      </c>
      <c r="P181" s="22">
        <f t="shared" si="690"/>
        <v>5057982</v>
      </c>
      <c r="Q181" s="22">
        <f t="shared" si="690"/>
        <v>4982764</v>
      </c>
      <c r="R181" s="22">
        <f t="shared" si="690"/>
        <v>4546312</v>
      </c>
      <c r="S181" s="22">
        <f t="shared" si="690"/>
        <v>4719217</v>
      </c>
      <c r="T181" s="22">
        <f t="shared" si="690"/>
        <v>4977007</v>
      </c>
      <c r="U181" s="22">
        <f t="shared" si="690"/>
        <v>4894782</v>
      </c>
      <c r="V181" s="22">
        <f t="shared" si="690"/>
        <v>6040810</v>
      </c>
      <c r="W181" s="22">
        <f t="shared" ref="W181:Z181" si="691">W115</f>
        <v>7122306</v>
      </c>
      <c r="X181" s="22">
        <f t="shared" si="691"/>
        <v>7587329</v>
      </c>
      <c r="Y181" s="22">
        <f t="shared" si="691"/>
        <v>8381395</v>
      </c>
      <c r="Z181" s="22">
        <f t="shared" si="691"/>
        <v>7933829</v>
      </c>
      <c r="AA181" s="22">
        <f t="shared" ref="AA181:AD181" si="692">AA115</f>
        <v>9135688</v>
      </c>
      <c r="AB181" s="22">
        <f t="shared" si="692"/>
        <v>11205117</v>
      </c>
      <c r="AC181" s="22">
        <f t="shared" si="692"/>
        <v>12558069</v>
      </c>
      <c r="AD181" s="22">
        <f t="shared" si="692"/>
        <v>9075311</v>
      </c>
      <c r="AE181" s="22">
        <f t="shared" ref="AE181:AG181" si="693">AE115</f>
        <v>10814515</v>
      </c>
      <c r="AF181" s="22">
        <f t="shared" si="693"/>
        <v>14923766</v>
      </c>
      <c r="AG181" s="22">
        <f t="shared" si="693"/>
        <v>21166904</v>
      </c>
    </row>
    <row r="182" spans="2:33" ht="13.5" customHeight="1">
      <c r="B182" s="16" t="str">
        <f>+B116</f>
        <v>Short-term financial instruments</v>
      </c>
      <c r="C182" s="22">
        <f t="shared" ref="C182:K182" si="694">C116</f>
        <v>523579</v>
      </c>
      <c r="D182" s="22">
        <f t="shared" si="694"/>
        <v>298350</v>
      </c>
      <c r="E182" s="22">
        <f t="shared" si="694"/>
        <v>436708</v>
      </c>
      <c r="F182" s="22">
        <f t="shared" si="694"/>
        <v>474637</v>
      </c>
      <c r="G182" s="22">
        <f t="shared" si="694"/>
        <v>415625</v>
      </c>
      <c r="H182" s="22">
        <f t="shared" ref="H182:I182" si="695">H116</f>
        <v>472617</v>
      </c>
      <c r="I182" s="22">
        <f t="shared" si="695"/>
        <v>2382010</v>
      </c>
      <c r="J182" s="22">
        <f t="shared" ref="J182" si="696">J116</f>
        <v>14679719</v>
      </c>
      <c r="K182" s="22">
        <f t="shared" si="694"/>
        <v>18220075</v>
      </c>
      <c r="L182" s="22"/>
      <c r="M182" s="22">
        <f t="shared" ref="M182:V182" si="697">M116</f>
        <v>1355879</v>
      </c>
      <c r="N182" s="22">
        <f t="shared" si="697"/>
        <v>566185</v>
      </c>
      <c r="O182" s="22">
        <f t="shared" si="697"/>
        <v>502864</v>
      </c>
      <c r="P182" s="22">
        <f t="shared" si="697"/>
        <v>474637</v>
      </c>
      <c r="Q182" s="22">
        <f t="shared" si="697"/>
        <v>408303</v>
      </c>
      <c r="R182" s="22">
        <f t="shared" si="697"/>
        <v>423420</v>
      </c>
      <c r="S182" s="22">
        <f t="shared" si="697"/>
        <v>568249</v>
      </c>
      <c r="T182" s="22">
        <f t="shared" si="697"/>
        <v>415625</v>
      </c>
      <c r="U182" s="22">
        <f t="shared" si="697"/>
        <v>404058</v>
      </c>
      <c r="V182" s="22">
        <f t="shared" si="697"/>
        <v>441755</v>
      </c>
      <c r="W182" s="22">
        <f t="shared" ref="W182:Z182" si="698">W116</f>
        <v>515346</v>
      </c>
      <c r="X182" s="22">
        <f t="shared" si="698"/>
        <v>472617</v>
      </c>
      <c r="Y182" s="22">
        <f t="shared" si="698"/>
        <v>817910</v>
      </c>
      <c r="Z182" s="22">
        <f t="shared" si="698"/>
        <v>590846</v>
      </c>
      <c r="AA182" s="22">
        <f t="shared" ref="AA182:AD182" si="699">AA116</f>
        <v>480464</v>
      </c>
      <c r="AB182" s="22">
        <f t="shared" si="699"/>
        <v>2382010</v>
      </c>
      <c r="AC182" s="22">
        <f t="shared" si="699"/>
        <v>1051356</v>
      </c>
      <c r="AD182" s="22">
        <f t="shared" si="699"/>
        <v>6219683</v>
      </c>
      <c r="AE182" s="22">
        <f t="shared" ref="AE182:AG182" si="700">AE116</f>
        <v>13325515</v>
      </c>
      <c r="AF182" s="22">
        <f t="shared" si="700"/>
        <v>14679719</v>
      </c>
      <c r="AG182" s="22">
        <f t="shared" si="700"/>
        <v>18220075</v>
      </c>
    </row>
    <row r="183" spans="2:33" ht="13.5" customHeight="1">
      <c r="B183" s="16" t="str">
        <f>+B117</f>
        <v>Short-term investment assets</v>
      </c>
      <c r="C183" s="22">
        <f t="shared" ref="C183:K183" si="701">C117</f>
        <v>5496452</v>
      </c>
      <c r="D183" s="22">
        <f t="shared" si="701"/>
        <v>1390293</v>
      </c>
      <c r="E183" s="22">
        <f t="shared" si="701"/>
        <v>1535518</v>
      </c>
      <c r="F183" s="22">
        <f t="shared" si="701"/>
        <v>3139923</v>
      </c>
      <c r="G183" s="22">
        <f t="shared" si="701"/>
        <v>1016360</v>
      </c>
      <c r="H183" s="22">
        <f t="shared" ref="H183:I183" si="702">H117</f>
        <v>860972</v>
      </c>
      <c r="I183" s="22">
        <f t="shared" si="702"/>
        <v>569236</v>
      </c>
      <c r="J183" s="22">
        <f t="shared" ref="J183" si="703">J117</f>
        <v>5338768</v>
      </c>
      <c r="K183" s="22">
        <f t="shared" si="701"/>
        <v>14942782</v>
      </c>
      <c r="L183" s="22"/>
      <c r="M183" s="22">
        <f t="shared" ref="M183:V183" si="704">M117</f>
        <v>2406294</v>
      </c>
      <c r="N183" s="22">
        <f t="shared" si="704"/>
        <v>3404982</v>
      </c>
      <c r="O183" s="22">
        <f t="shared" si="704"/>
        <v>6748327</v>
      </c>
      <c r="P183" s="22">
        <f t="shared" si="704"/>
        <v>3139923</v>
      </c>
      <c r="Q183" s="22">
        <f t="shared" si="704"/>
        <v>2605089</v>
      </c>
      <c r="R183" s="22">
        <f t="shared" si="704"/>
        <v>2525868</v>
      </c>
      <c r="S183" s="22">
        <f t="shared" si="704"/>
        <v>1924783</v>
      </c>
      <c r="T183" s="22">
        <f t="shared" si="704"/>
        <v>1016360</v>
      </c>
      <c r="U183" s="22">
        <f t="shared" si="704"/>
        <v>837394</v>
      </c>
      <c r="V183" s="22">
        <f t="shared" si="704"/>
        <v>1008302</v>
      </c>
      <c r="W183" s="22">
        <f t="shared" ref="W183:Z183" si="705">W117</f>
        <v>893670</v>
      </c>
      <c r="X183" s="22">
        <f t="shared" si="705"/>
        <v>860972</v>
      </c>
      <c r="Y183" s="22">
        <f t="shared" si="705"/>
        <v>1119597</v>
      </c>
      <c r="Z183" s="22">
        <f t="shared" si="705"/>
        <v>1163385</v>
      </c>
      <c r="AA183" s="22">
        <f t="shared" ref="AA183:AD183" si="706">AA117</f>
        <v>1241717</v>
      </c>
      <c r="AB183" s="22">
        <f t="shared" si="706"/>
        <v>569236</v>
      </c>
      <c r="AC183" s="22">
        <f t="shared" si="706"/>
        <v>701559</v>
      </c>
      <c r="AD183" s="22">
        <f t="shared" si="706"/>
        <v>1667287</v>
      </c>
      <c r="AE183" s="22">
        <f t="shared" ref="AE183:AG183" si="707">AE117</f>
        <v>3714376</v>
      </c>
      <c r="AF183" s="22">
        <f t="shared" si="707"/>
        <v>5338768</v>
      </c>
      <c r="AG183" s="22">
        <f t="shared" si="707"/>
        <v>14942782</v>
      </c>
    </row>
    <row r="184" spans="2:33" s="19" customFormat="1" ht="13.5" customHeight="1" thickBot="1">
      <c r="B184" s="24" t="str">
        <f>+B118</f>
        <v xml:space="preserve">Net debt </v>
      </c>
      <c r="C184" s="23">
        <f t="shared" ref="C184:E184" si="708">C118</f>
        <v>-3087413</v>
      </c>
      <c r="D184" s="23">
        <f t="shared" si="708"/>
        <v>8195792</v>
      </c>
      <c r="E184" s="23">
        <f t="shared" si="708"/>
        <v>7947149</v>
      </c>
      <c r="F184" s="23">
        <f t="shared" ref="F184" si="709">F118</f>
        <v>10477029</v>
      </c>
      <c r="G184" s="23">
        <f t="shared" ref="G184:H184" si="710">G118</f>
        <v>18382693</v>
      </c>
      <c r="H184" s="23">
        <f t="shared" si="710"/>
        <v>23577588</v>
      </c>
      <c r="I184" s="23">
        <f t="shared" ref="I184:J184" si="711">I118</f>
        <v>11295746</v>
      </c>
      <c r="J184" s="23">
        <f t="shared" si="711"/>
        <v>-10184405</v>
      </c>
      <c r="K184" s="23">
        <f t="shared" ref="K184" si="712">K118</f>
        <v>-32497345</v>
      </c>
      <c r="L184" s="25"/>
      <c r="M184" s="23">
        <f t="shared" ref="M184:O184" si="713">M118</f>
        <v>9346402</v>
      </c>
      <c r="N184" s="23">
        <f t="shared" si="713"/>
        <v>8821478</v>
      </c>
      <c r="O184" s="23">
        <f t="shared" si="713"/>
        <v>5849107</v>
      </c>
      <c r="P184" s="23">
        <f t="shared" ref="P184:R184" si="714">P118</f>
        <v>10477029</v>
      </c>
      <c r="Q184" s="23">
        <f t="shared" si="714"/>
        <v>11714806</v>
      </c>
      <c r="R184" s="23">
        <f t="shared" si="714"/>
        <v>13663815</v>
      </c>
      <c r="S184" s="23">
        <f t="shared" ref="S184:V184" si="715">S118</f>
        <v>21731526</v>
      </c>
      <c r="T184" s="23">
        <f t="shared" si="715"/>
        <v>18382693</v>
      </c>
      <c r="U184" s="23">
        <f t="shared" si="715"/>
        <v>24591460</v>
      </c>
      <c r="V184" s="23">
        <f t="shared" si="715"/>
        <v>25295631</v>
      </c>
      <c r="W184" s="23">
        <f t="shared" ref="W184:Z184" si="716">W118</f>
        <v>26051111</v>
      </c>
      <c r="X184" s="23">
        <f t="shared" si="716"/>
        <v>23577588</v>
      </c>
      <c r="Y184" s="23">
        <f t="shared" si="716"/>
        <v>22256414</v>
      </c>
      <c r="Z184" s="23">
        <f t="shared" si="716"/>
        <v>18391922</v>
      </c>
      <c r="AA184" s="23">
        <f t="shared" ref="AA184:AD184" si="717">AA118</f>
        <v>13690457</v>
      </c>
      <c r="AB184" s="23">
        <f t="shared" si="717"/>
        <v>11295746</v>
      </c>
      <c r="AC184" s="23">
        <f t="shared" si="717"/>
        <v>11672782</v>
      </c>
      <c r="AD184" s="23">
        <f t="shared" si="717"/>
        <v>7406890</v>
      </c>
      <c r="AE184" s="23">
        <f t="shared" ref="AE184:AG184" si="718">AE118</f>
        <v>-1270482</v>
      </c>
      <c r="AF184" s="23">
        <f t="shared" si="718"/>
        <v>-10184405</v>
      </c>
      <c r="AG184" s="23">
        <f t="shared" si="718"/>
        <v>-32497345</v>
      </c>
    </row>
    <row r="185" spans="2:33" ht="13.5" customHeight="1" thickTop="1"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spans="2:33" ht="13.5" customHeight="1">
      <c r="B186" s="19" t="str">
        <f t="shared" ref="B186:F186" si="719">B120</f>
        <v>Company reported net debt</v>
      </c>
      <c r="C186" s="40">
        <f t="shared" si="719"/>
        <v>-3087413</v>
      </c>
      <c r="D186" s="40">
        <f t="shared" si="719"/>
        <v>8195792</v>
      </c>
      <c r="E186" s="40">
        <f t="shared" si="719"/>
        <v>7947149</v>
      </c>
      <c r="F186" s="40">
        <f t="shared" si="719"/>
        <v>10477029</v>
      </c>
      <c r="G186" s="40">
        <f t="shared" ref="G186:H186" si="720">G120</f>
        <v>18382693</v>
      </c>
      <c r="H186" s="40">
        <f t="shared" si="720"/>
        <v>23577588</v>
      </c>
      <c r="I186" s="40">
        <f t="shared" ref="I186:J186" si="721">I120</f>
        <v>11295746</v>
      </c>
      <c r="J186" s="40">
        <f t="shared" si="721"/>
        <v>-10184405</v>
      </c>
      <c r="K186" s="40">
        <f t="shared" ref="K186" si="722">K120</f>
        <v>-35012096</v>
      </c>
      <c r="L186" s="22"/>
      <c r="M186" s="40">
        <f t="shared" ref="M186:O186" si="723">M120</f>
        <v>9346402</v>
      </c>
      <c r="N186" s="40">
        <f t="shared" si="723"/>
        <v>8821478</v>
      </c>
      <c r="O186" s="40">
        <f t="shared" si="723"/>
        <v>5849107</v>
      </c>
      <c r="P186" s="40">
        <f t="shared" ref="P186:R186" si="724">P120</f>
        <v>10477029</v>
      </c>
      <c r="Q186" s="40">
        <f t="shared" si="724"/>
        <v>11714806</v>
      </c>
      <c r="R186" s="40">
        <f t="shared" si="724"/>
        <v>13663815</v>
      </c>
      <c r="S186" s="40">
        <f t="shared" ref="S186:V186" si="725">S120</f>
        <v>21731526</v>
      </c>
      <c r="T186" s="40">
        <f t="shared" si="725"/>
        <v>18382693</v>
      </c>
      <c r="U186" s="40">
        <f t="shared" si="725"/>
        <v>24591460</v>
      </c>
      <c r="V186" s="40">
        <f t="shared" si="725"/>
        <v>25295631</v>
      </c>
      <c r="W186" s="40">
        <f t="shared" ref="W186:Z186" si="726">W120</f>
        <v>26051111</v>
      </c>
      <c r="X186" s="40">
        <f t="shared" si="726"/>
        <v>23577588</v>
      </c>
      <c r="Y186" s="40">
        <f t="shared" si="726"/>
        <v>22256414</v>
      </c>
      <c r="Z186" s="40">
        <f t="shared" si="726"/>
        <v>18391922</v>
      </c>
      <c r="AA186" s="40">
        <f t="shared" ref="AA186:AD186" si="727">AA120</f>
        <v>13690457</v>
      </c>
      <c r="AB186" s="40">
        <f t="shared" si="727"/>
        <v>11295746</v>
      </c>
      <c r="AC186" s="40">
        <f t="shared" si="727"/>
        <v>9022687</v>
      </c>
      <c r="AD186" s="40">
        <f t="shared" si="727"/>
        <v>4878757</v>
      </c>
      <c r="AE186" s="40">
        <f t="shared" ref="AE186:AG186" si="728">AE120</f>
        <v>-3775672</v>
      </c>
      <c r="AF186" s="40">
        <f t="shared" si="728"/>
        <v>-10184405</v>
      </c>
      <c r="AG186" s="40">
        <f t="shared" si="728"/>
        <v>-35012096</v>
      </c>
    </row>
    <row r="187" spans="2:33" ht="13.5" customHeight="1"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spans="2:33" ht="13.5" customHeight="1">
      <c r="B188" s="19" t="str">
        <f>+B126</f>
        <v>Net Leverage excluding lease obligations</v>
      </c>
      <c r="C188" s="20" t="str">
        <f t="shared" ref="C188:E189" si="729">C126</f>
        <v>net cash</v>
      </c>
      <c r="D188" s="20">
        <f t="shared" si="729"/>
        <v>0.58028557461558972</v>
      </c>
      <c r="E188" s="20">
        <f t="shared" si="729"/>
        <v>0.42582132000270217</v>
      </c>
      <c r="F188" s="20">
        <f t="shared" ref="F188:G188" si="730">F126</f>
        <v>0.38822340287114543</v>
      </c>
      <c r="G188" s="20">
        <f t="shared" si="730"/>
        <v>0.791751575329387</v>
      </c>
      <c r="H188" s="20">
        <f t="shared" ref="H188:I188" si="731">H126</f>
        <v>3.4891686194600102</v>
      </c>
      <c r="I188" s="20">
        <f t="shared" si="731"/>
        <v>0.23678588287562824</v>
      </c>
      <c r="J188" s="20" t="str">
        <f t="shared" ref="J188" si="732">J126</f>
        <v>net cash</v>
      </c>
      <c r="K188" s="20" t="str">
        <f t="shared" ref="K188" si="733">K126</f>
        <v>net cash</v>
      </c>
      <c r="L188" s="20"/>
      <c r="M188" s="133"/>
      <c r="N188" s="133"/>
      <c r="O188" s="133"/>
      <c r="P188" s="20">
        <f t="shared" ref="P188:R188" si="734">P126</f>
        <v>0.38822340287114543</v>
      </c>
      <c r="Q188" s="20">
        <f t="shared" si="734"/>
        <v>0.39744959930861096</v>
      </c>
      <c r="R188" s="20">
        <f t="shared" si="734"/>
        <v>0.42727995255041518</v>
      </c>
      <c r="S188" s="20">
        <f t="shared" ref="S188:V188" si="735">S126</f>
        <v>0.56612347566803012</v>
      </c>
      <c r="T188" s="20">
        <f t="shared" si="735"/>
        <v>0.791751575329387</v>
      </c>
      <c r="U188" s="20">
        <f t="shared" si="735"/>
        <v>1.5237463963357134</v>
      </c>
      <c r="V188" s="20">
        <f t="shared" si="735"/>
        <v>2.9945599794502953</v>
      </c>
      <c r="W188" s="20">
        <f t="shared" ref="W188:Z188" si="736">W126</f>
        <v>5.6068402727051376</v>
      </c>
      <c r="X188" s="20">
        <f t="shared" si="736"/>
        <v>3.4891686194600102</v>
      </c>
      <c r="Y188" s="20">
        <f t="shared" si="736"/>
        <v>1.6249157350948509</v>
      </c>
      <c r="Z188" s="20">
        <f t="shared" si="736"/>
        <v>0.7853594279072118</v>
      </c>
      <c r="AA188" s="20">
        <f t="shared" ref="AA188:AD188" si="737">AA126</f>
        <v>0.38760004938968462</v>
      </c>
      <c r="AB188" s="20">
        <f t="shared" si="737"/>
        <v>0.23678588287562824</v>
      </c>
      <c r="AC188" s="20">
        <f t="shared" si="737"/>
        <v>0.22163863027831684</v>
      </c>
      <c r="AD188" s="20">
        <f t="shared" si="737"/>
        <v>0.10899084064964368</v>
      </c>
      <c r="AE188" s="20" t="str">
        <f t="shared" ref="AE188:AG188" si="738">AE126</f>
        <v>net cash</v>
      </c>
      <c r="AF188" s="20" t="str">
        <f t="shared" si="738"/>
        <v>net cash</v>
      </c>
      <c r="AG188" s="20" t="str">
        <f t="shared" si="738"/>
        <v>net cash</v>
      </c>
    </row>
    <row r="189" spans="2:33" ht="13.5" customHeight="1">
      <c r="B189" s="16" t="str">
        <f>+B127</f>
        <v>Gross Leverage  excluding lease obligations</v>
      </c>
      <c r="C189" s="21">
        <f t="shared" si="729"/>
        <v>0.19376144534115922</v>
      </c>
      <c r="D189" s="21">
        <f t="shared" si="729"/>
        <v>0.93533961425651058</v>
      </c>
      <c r="E189" s="21">
        <f t="shared" si="729"/>
        <v>0.76009241369992564</v>
      </c>
      <c r="F189" s="21">
        <f t="shared" ref="F189:G189" si="739">F127</f>
        <v>0.76435828598690203</v>
      </c>
      <c r="G189" s="21">
        <f t="shared" si="739"/>
        <v>1.0976992552988352</v>
      </c>
      <c r="H189" s="21">
        <f t="shared" ref="H189:I189" si="740">H127</f>
        <v>5.0040129054168787</v>
      </c>
      <c r="I189" s="21">
        <f t="shared" si="740"/>
        <v>0.62987623913586765</v>
      </c>
      <c r="J189" s="21">
        <f t="shared" ref="J189" si="741">J127</f>
        <v>0.36415263114821178</v>
      </c>
      <c r="K189" s="21">
        <f t="shared" ref="K189" si="742">K127</f>
        <v>0.21074889267089961</v>
      </c>
      <c r="L189" s="21"/>
      <c r="M189" s="132"/>
      <c r="N189" s="132"/>
      <c r="O189" s="132"/>
      <c r="P189" s="21">
        <f t="shared" ref="P189:R189" si="743">P127</f>
        <v>0.76435828598690203</v>
      </c>
      <c r="Q189" s="21">
        <f t="shared" si="743"/>
        <v>0.71156634978001254</v>
      </c>
      <c r="R189" s="21">
        <f t="shared" si="743"/>
        <v>0.69672170099572239</v>
      </c>
      <c r="S189" s="21">
        <f t="shared" ref="S189:V189" si="744">S127</f>
        <v>0.84183160671279478</v>
      </c>
      <c r="T189" s="21">
        <f t="shared" si="744"/>
        <v>1.0976992552988352</v>
      </c>
      <c r="U189" s="21">
        <f t="shared" si="744"/>
        <v>1.9370721406439444</v>
      </c>
      <c r="V189" s="21">
        <f t="shared" si="744"/>
        <v>3.9566543796557925</v>
      </c>
      <c r="W189" s="21">
        <f t="shared" ref="W189:Z189" si="745">W127</f>
        <v>7.6841039688336989</v>
      </c>
      <c r="X189" s="21">
        <f t="shared" si="745"/>
        <v>5.0040129054168787</v>
      </c>
      <c r="Y189" s="21">
        <f t="shared" si="745"/>
        <v>2.4988064871273714</v>
      </c>
      <c r="Z189" s="21">
        <f t="shared" si="745"/>
        <v>1.2749768534896648</v>
      </c>
      <c r="AA189" s="21">
        <f t="shared" ref="AA189:AD189" si="746">AA127</f>
        <v>0.77064771043533475</v>
      </c>
      <c r="AB189" s="21">
        <f t="shared" si="746"/>
        <v>0.62987623913586765</v>
      </c>
      <c r="AC189" s="21">
        <f t="shared" si="746"/>
        <v>0.57318212188950846</v>
      </c>
      <c r="AD189" s="21">
        <f t="shared" si="746"/>
        <v>0.48792614436029758</v>
      </c>
      <c r="AE189" s="21">
        <f t="shared" ref="AE189:AG189" si="747">AE127</f>
        <v>0.48534092558252034</v>
      </c>
      <c r="AF189" s="21">
        <f t="shared" si="747"/>
        <v>0.36415263114821178</v>
      </c>
      <c r="AG189" s="21">
        <f t="shared" si="747"/>
        <v>0.21074889267089961</v>
      </c>
    </row>
    <row r="190" spans="2:33" ht="13.5" customHeight="1"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56"/>
      <c r="N190" s="156"/>
      <c r="O190" s="156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spans="2:33" s="19" customFormat="1" ht="13.5" customHeight="1">
      <c r="B191" s="19" t="str">
        <f>+B129</f>
        <v>Net Leverage including lease obligations</v>
      </c>
      <c r="C191" s="20" t="str">
        <f t="shared" ref="C191:E192" si="748">C129</f>
        <v>net cash</v>
      </c>
      <c r="D191" s="20">
        <f t="shared" si="748"/>
        <v>0.72845009332503774</v>
      </c>
      <c r="E191" s="20">
        <f t="shared" si="748"/>
        <v>0.53686070391136931</v>
      </c>
      <c r="F191" s="20">
        <f t="shared" ref="F191:G191" si="749">F129</f>
        <v>0.45439688597822786</v>
      </c>
      <c r="G191" s="20">
        <f t="shared" si="749"/>
        <v>0.87753928776016799</v>
      </c>
      <c r="H191" s="20">
        <f t="shared" ref="H191:I191" si="750">H129</f>
        <v>4.0036658176260822</v>
      </c>
      <c r="I191" s="20">
        <f t="shared" si="750"/>
        <v>0.31365745702940606</v>
      </c>
      <c r="J191" s="20" t="str">
        <f t="shared" ref="J191" si="751">J129</f>
        <v>net cash</v>
      </c>
      <c r="K191" s="20" t="str">
        <f t="shared" ref="K191" si="752">K129</f>
        <v>net cash</v>
      </c>
      <c r="L191" s="20"/>
      <c r="M191" s="133"/>
      <c r="N191" s="133"/>
      <c r="O191" s="133"/>
      <c r="P191" s="20">
        <f t="shared" ref="P191:R191" si="753">P129</f>
        <v>0.45439688597822786</v>
      </c>
      <c r="Q191" s="20">
        <f t="shared" si="753"/>
        <v>0.46019822438717789</v>
      </c>
      <c r="R191" s="20">
        <f t="shared" si="753"/>
        <v>0.49116844602609727</v>
      </c>
      <c r="S191" s="20">
        <f t="shared" ref="S191:V191" si="754">S129</f>
        <v>0.8307475820941167</v>
      </c>
      <c r="T191" s="20">
        <f t="shared" si="754"/>
        <v>0.87753928776016799</v>
      </c>
      <c r="U191" s="20">
        <f t="shared" si="754"/>
        <v>1.6564367506399029</v>
      </c>
      <c r="V191" s="20">
        <f t="shared" si="754"/>
        <v>3.2488609041870022</v>
      </c>
      <c r="W191" s="20">
        <f t="shared" ref="W191:Z191" si="755">W129</f>
        <v>6.3430998295592893</v>
      </c>
      <c r="X191" s="20">
        <f t="shared" si="755"/>
        <v>4.0036658176260822</v>
      </c>
      <c r="Y191" s="20">
        <f t="shared" si="755"/>
        <v>1.8848589092140922</v>
      </c>
      <c r="Z191" s="20">
        <f t="shared" si="755"/>
        <v>0.92949522413705965</v>
      </c>
      <c r="AA191" s="20">
        <f t="shared" ref="AA191:AD191" si="756">AA129</f>
        <v>0.48297668101319408</v>
      </c>
      <c r="AB191" s="20">
        <f t="shared" si="756"/>
        <v>0.31365745702940606</v>
      </c>
      <c r="AC191" s="20">
        <f t="shared" si="756"/>
        <v>0.28673713429462772</v>
      </c>
      <c r="AD191" s="20">
        <f t="shared" si="756"/>
        <v>0.16546902575788039</v>
      </c>
      <c r="AE191" s="20" t="str">
        <f t="shared" ref="AE191:AG191" si="757">AE129</f>
        <v>net cash</v>
      </c>
      <c r="AF191" s="20" t="str">
        <f t="shared" si="757"/>
        <v>net cash</v>
      </c>
      <c r="AG191" s="20" t="str">
        <f t="shared" si="757"/>
        <v>net cash</v>
      </c>
    </row>
    <row r="192" spans="2:33" ht="13.5" customHeight="1">
      <c r="B192" s="16" t="str">
        <f>+B130</f>
        <v>Gross Leverage  including lease obligations</v>
      </c>
      <c r="C192" s="21">
        <f t="shared" si="748"/>
        <v>0.19376144534115922</v>
      </c>
      <c r="D192" s="21">
        <f t="shared" si="748"/>
        <v>1.0835041329659585</v>
      </c>
      <c r="E192" s="21">
        <f t="shared" si="748"/>
        <v>0.87113179760859283</v>
      </c>
      <c r="F192" s="21">
        <f t="shared" ref="F192:G192" si="758">F130</f>
        <v>0.83053176909398452</v>
      </c>
      <c r="G192" s="21">
        <f t="shared" si="758"/>
        <v>1.1834869677296163</v>
      </c>
      <c r="H192" s="21">
        <f t="shared" ref="H192:I192" si="759">H130</f>
        <v>5.5185101035829511</v>
      </c>
      <c r="I192" s="21">
        <f t="shared" si="759"/>
        <v>0.70674781328964542</v>
      </c>
      <c r="J192" s="21">
        <f t="shared" ref="J192" si="760">J130</f>
        <v>0.40523525656764053</v>
      </c>
      <c r="K192" s="21">
        <f t="shared" ref="K192" si="761">K130</f>
        <v>0.23818393663677423</v>
      </c>
      <c r="L192" s="21"/>
      <c r="M192" s="132"/>
      <c r="N192" s="132"/>
      <c r="O192" s="132"/>
      <c r="P192" s="21">
        <f t="shared" ref="P192:R192" si="762">P130</f>
        <v>0.83053176909398452</v>
      </c>
      <c r="Q192" s="21">
        <f t="shared" si="762"/>
        <v>0.77431497485857947</v>
      </c>
      <c r="R192" s="21">
        <f t="shared" si="762"/>
        <v>0.76061019447140443</v>
      </c>
      <c r="S192" s="21">
        <f t="shared" ref="S192:V192" si="763">S130</f>
        <v>1.1064557131388815</v>
      </c>
      <c r="T192" s="21">
        <f t="shared" si="763"/>
        <v>1.1834869677296163</v>
      </c>
      <c r="U192" s="21">
        <f t="shared" si="763"/>
        <v>2.0697624949481344</v>
      </c>
      <c r="V192" s="21">
        <f t="shared" si="763"/>
        <v>4.210955304392499</v>
      </c>
      <c r="W192" s="21">
        <f t="shared" ref="W192:Z192" si="764">W130</f>
        <v>8.4203635256878506</v>
      </c>
      <c r="X192" s="21">
        <f t="shared" si="764"/>
        <v>5.5185101035829511</v>
      </c>
      <c r="Y192" s="21">
        <f t="shared" si="764"/>
        <v>2.7587496612466125</v>
      </c>
      <c r="Z192" s="21">
        <f t="shared" si="764"/>
        <v>1.4191126497195128</v>
      </c>
      <c r="AA192" s="21">
        <f t="shared" ref="AA192:AD192" si="765">AA130</f>
        <v>0.86602434205884427</v>
      </c>
      <c r="AB192" s="21">
        <f t="shared" si="765"/>
        <v>0.70674781328964542</v>
      </c>
      <c r="AC192" s="21">
        <f t="shared" si="765"/>
        <v>0.63828062590581935</v>
      </c>
      <c r="AD192" s="21">
        <f t="shared" si="765"/>
        <v>0.54440432946853423</v>
      </c>
      <c r="AE192" s="21">
        <f t="shared" ref="AE192:AG192" si="766">AE130</f>
        <v>0.53583657179714583</v>
      </c>
      <c r="AF192" s="21">
        <f t="shared" si="766"/>
        <v>0.40523525656764053</v>
      </c>
      <c r="AG192" s="21">
        <f t="shared" si="766"/>
        <v>0.23818393663677423</v>
      </c>
    </row>
    <row r="193" spans="2:33" ht="13.5" customHeight="1"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132"/>
      <c r="N193" s="132"/>
      <c r="O193" s="132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 spans="2:33" ht="13.5" customHeight="1">
      <c r="B194" s="19" t="str">
        <f>+B132</f>
        <v>Company reported net leverage</v>
      </c>
      <c r="C194" s="20">
        <f t="shared" ref="C194:K194" si="767">C132</f>
        <v>-0.11325799706529714</v>
      </c>
      <c r="D194" s="20">
        <f t="shared" si="767"/>
        <v>0.72845009332503774</v>
      </c>
      <c r="E194" s="20">
        <f t="shared" si="767"/>
        <v>0.53686070391136931</v>
      </c>
      <c r="F194" s="20">
        <f t="shared" si="767"/>
        <v>0.45439688597822786</v>
      </c>
      <c r="G194" s="20">
        <f t="shared" si="767"/>
        <v>0.87753928776016799</v>
      </c>
      <c r="H194" s="20">
        <f t="shared" ref="H194:I194" si="768">H132</f>
        <v>4.0036658176260822</v>
      </c>
      <c r="I194" s="20">
        <f t="shared" si="768"/>
        <v>0.31365745702940606</v>
      </c>
      <c r="J194" s="20">
        <f t="shared" ref="J194" si="769">J132</f>
        <v>-0.16669784761437106</v>
      </c>
      <c r="K194" s="20">
        <f t="shared" si="767"/>
        <v>-0.38196958390608976</v>
      </c>
      <c r="L194" s="21"/>
      <c r="M194" s="133"/>
      <c r="N194" s="133"/>
      <c r="O194" s="133"/>
      <c r="P194" s="20">
        <f t="shared" ref="P194:Q194" si="770">P132</f>
        <v>0.45439688597822786</v>
      </c>
      <c r="Q194" s="20">
        <f t="shared" si="770"/>
        <v>0.46019822438717789</v>
      </c>
      <c r="R194" s="20">
        <f t="shared" ref="R194" si="771">R132</f>
        <v>0.49116844602609727</v>
      </c>
      <c r="S194" s="20">
        <f t="shared" ref="S194:V194" si="772">S132</f>
        <v>0.8307475820941167</v>
      </c>
      <c r="T194" s="20">
        <f t="shared" si="772"/>
        <v>0.87753928776016799</v>
      </c>
      <c r="U194" s="20">
        <f t="shared" si="772"/>
        <v>1.6564367506399029</v>
      </c>
      <c r="V194" s="20">
        <f t="shared" si="772"/>
        <v>3.2488609041870022</v>
      </c>
      <c r="W194" s="20">
        <f t="shared" ref="W194:Z194" si="773">W132</f>
        <v>6.3430998295592893</v>
      </c>
      <c r="X194" s="20">
        <f t="shared" si="773"/>
        <v>4.0036658176260822</v>
      </c>
      <c r="Y194" s="20">
        <f t="shared" si="773"/>
        <v>1.8848589092140922</v>
      </c>
      <c r="Z194" s="20">
        <f t="shared" si="773"/>
        <v>0.92949522413705965</v>
      </c>
      <c r="AA194" s="20">
        <f t="shared" ref="AA194:AD194" si="774">AA132</f>
        <v>0.48297668101319408</v>
      </c>
      <c r="AB194" s="20">
        <f t="shared" si="774"/>
        <v>0.31365745702940606</v>
      </c>
      <c r="AC194" s="20">
        <f t="shared" si="774"/>
        <v>0.22163863027831684</v>
      </c>
      <c r="AD194" s="20">
        <f t="shared" si="774"/>
        <v>0.10899084064964368</v>
      </c>
      <c r="AE194" s="20">
        <f t="shared" ref="AE194:AG194" si="775">AE132</f>
        <v>-7.6104007095057644E-2</v>
      </c>
      <c r="AF194" s="20">
        <f t="shared" si="775"/>
        <v>-0.16669784761437106</v>
      </c>
      <c r="AG194" s="20">
        <f t="shared" si="775"/>
        <v>-0.38196958390608976</v>
      </c>
    </row>
    <row r="195" spans="2:33" ht="13.5" customHeight="1"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132"/>
      <c r="N195" s="132"/>
      <c r="O195" s="132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 spans="2:33" s="19" customFormat="1" ht="13.5" customHeight="1">
      <c r="B196" s="19" t="str">
        <f>+B134</f>
        <v>EBITDA - Capex / Interest</v>
      </c>
      <c r="C196" s="20">
        <f>C134</f>
        <v>90.103134992739768</v>
      </c>
      <c r="D196" s="20">
        <f t="shared" ref="D196:E196" si="776">D134</f>
        <v>-10.974613325276735</v>
      </c>
      <c r="E196" s="20">
        <f t="shared" si="776"/>
        <v>16.611255696290264</v>
      </c>
      <c r="F196" s="20">
        <f t="shared" ref="F196:G196" si="777">F134</f>
        <v>44.20277494168721</v>
      </c>
      <c r="G196" s="20">
        <f t="shared" si="777"/>
        <v>4.5730991905167304</v>
      </c>
      <c r="H196" s="20">
        <f t="shared" ref="H196:I196" si="778">H134</f>
        <v>-0.71049114574250516</v>
      </c>
      <c r="I196" s="20">
        <f t="shared" si="778"/>
        <v>15.756822219645862</v>
      </c>
      <c r="J196" s="20">
        <f t="shared" ref="J196" si="779">J134</f>
        <v>35.91728169279618</v>
      </c>
      <c r="K196" s="20">
        <f t="shared" ref="K196" si="780">K134</f>
        <v>64.510224850274213</v>
      </c>
      <c r="L196" s="20"/>
      <c r="M196" s="133"/>
      <c r="N196" s="133"/>
      <c r="O196" s="133"/>
      <c r="P196" s="20">
        <f>P134</f>
        <v>44.20277494168721</v>
      </c>
      <c r="Q196" s="20">
        <f t="shared" ref="Q196:V196" si="781">Q134</f>
        <v>42.184675666705921</v>
      </c>
      <c r="R196" s="20">
        <f t="shared" si="781"/>
        <v>39.364852330359923</v>
      </c>
      <c r="S196" s="20">
        <f t="shared" si="781"/>
        <v>24.201111644972482</v>
      </c>
      <c r="T196" s="20">
        <f t="shared" si="781"/>
        <v>4.5730991905167304</v>
      </c>
      <c r="U196" s="20">
        <f t="shared" si="781"/>
        <v>-2.893536295260037</v>
      </c>
      <c r="V196" s="20">
        <f t="shared" si="781"/>
        <v>-7.5147284285030391</v>
      </c>
      <c r="W196" s="20">
        <f t="shared" ref="W196:Z196" si="782">W134</f>
        <v>-19.213576797247629</v>
      </c>
      <c r="X196" s="20">
        <f t="shared" si="782"/>
        <v>-0.71049114574250516</v>
      </c>
      <c r="Y196" s="20">
        <f t="shared" si="782"/>
        <v>3.4675291045454264</v>
      </c>
      <c r="Z196" s="20">
        <f t="shared" si="782"/>
        <v>8.8492964793124482</v>
      </c>
      <c r="AA196" s="20">
        <f t="shared" ref="AA196:AD196" si="783">AA134</f>
        <v>8.0828010732183841</v>
      </c>
      <c r="AB196" s="20">
        <f t="shared" si="783"/>
        <v>15.756822219645862</v>
      </c>
      <c r="AC196" s="20">
        <f t="shared" si="783"/>
        <v>18.36857137770453</v>
      </c>
      <c r="AD196" s="20">
        <f t="shared" si="783"/>
        <v>22.152528994268103</v>
      </c>
      <c r="AE196" s="20">
        <f t="shared" ref="AE196:AG196" si="784">AE134</f>
        <v>26.435316123983792</v>
      </c>
      <c r="AF196" s="20">
        <f t="shared" si="784"/>
        <v>35.91728169279618</v>
      </c>
      <c r="AG196" s="20">
        <f t="shared" si="784"/>
        <v>64.510224850274213</v>
      </c>
    </row>
    <row r="197" spans="2:33" ht="12.75" customHeight="1">
      <c r="B197" s="16" t="str">
        <f>+B135</f>
        <v>EBITDA/Interest</v>
      </c>
      <c r="C197" s="21">
        <f>C135</f>
        <v>216.29942314864039</v>
      </c>
      <c r="D197" s="21">
        <f t="shared" ref="D197:E197" si="785">D135</f>
        <v>47.210822696106817</v>
      </c>
      <c r="E197" s="21">
        <f t="shared" si="785"/>
        <v>51.298667544574016</v>
      </c>
      <c r="F197" s="21">
        <f t="shared" ref="F197:G197" si="786">F135</f>
        <v>95.695229557320843</v>
      </c>
      <c r="G197" s="21">
        <f t="shared" si="786"/>
        <v>42.360868167267597</v>
      </c>
      <c r="H197" s="21">
        <f t="shared" ref="H197:I197" si="787">H135</f>
        <v>4.6681040632877275</v>
      </c>
      <c r="I197" s="21">
        <f t="shared" si="787"/>
        <v>28.210884844003122</v>
      </c>
      <c r="J197" s="21">
        <f t="shared" ref="J197" si="788">J135</f>
        <v>65.074362330896662</v>
      </c>
      <c r="K197" s="21">
        <f t="shared" ref="K197" si="789">K135</f>
        <v>94.033332581028375</v>
      </c>
      <c r="L197" s="21"/>
      <c r="M197" s="132"/>
      <c r="N197" s="132"/>
      <c r="O197" s="132"/>
      <c r="P197" s="21">
        <f>P135</f>
        <v>95.695229557320843</v>
      </c>
      <c r="Q197" s="21">
        <f t="shared" ref="Q197:V197" si="790">Q135</f>
        <v>90.842584959728214</v>
      </c>
      <c r="R197" s="21">
        <f t="shared" si="790"/>
        <v>87.469854515612766</v>
      </c>
      <c r="S197" s="21">
        <f t="shared" si="790"/>
        <v>71.413361579453138</v>
      </c>
      <c r="T197" s="21">
        <f t="shared" si="790"/>
        <v>42.360868167267597</v>
      </c>
      <c r="U197" s="21">
        <f t="shared" si="790"/>
        <v>24.206079401027527</v>
      </c>
      <c r="V197" s="21">
        <f t="shared" si="790"/>
        <v>9.4363747644239222</v>
      </c>
      <c r="W197" s="21">
        <f t="shared" ref="W197:Z197" si="791">W135</f>
        <v>15.080026583733252</v>
      </c>
      <c r="X197" s="21">
        <f t="shared" si="791"/>
        <v>4.6681040632877275</v>
      </c>
      <c r="Y197" s="21">
        <f t="shared" si="791"/>
        <v>8.0677615446265136</v>
      </c>
      <c r="Z197" s="21">
        <f t="shared" si="791"/>
        <v>13.561192249964019</v>
      </c>
      <c r="AA197" s="21">
        <f t="shared" ref="AA197:AD197" si="792">AA135</f>
        <v>12.643993478614808</v>
      </c>
      <c r="AB197" s="21">
        <f t="shared" si="792"/>
        <v>28.210884844003122</v>
      </c>
      <c r="AC197" s="21">
        <f t="shared" si="792"/>
        <v>34.51234327696433</v>
      </c>
      <c r="AD197" s="21">
        <f t="shared" si="792"/>
        <v>42.214032301566796</v>
      </c>
      <c r="AE197" s="21">
        <f t="shared" ref="AE197:AG197" si="793">AE135</f>
        <v>48.894184477683133</v>
      </c>
      <c r="AF197" s="21">
        <f t="shared" si="793"/>
        <v>65.074362330896662</v>
      </c>
      <c r="AG197" s="21">
        <f t="shared" si="793"/>
        <v>94.033332581028375</v>
      </c>
    </row>
    <row r="198" spans="2:33" ht="13.5" customHeight="1"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56"/>
      <c r="N198" s="156"/>
      <c r="O198" s="156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spans="2:33" s="19" customFormat="1" ht="13.5" customHeight="1">
      <c r="B199" s="47" t="str">
        <f t="shared" ref="B199:E199" si="794">+B137</f>
        <v xml:space="preserve">Gearing (Net debt / Equity) </v>
      </c>
      <c r="C199" s="237">
        <f t="shared" si="794"/>
        <v>-6.5896678651911678E-2</v>
      </c>
      <c r="D199" s="237">
        <f t="shared" si="794"/>
        <v>0.17097405238105351</v>
      </c>
      <c r="E199" s="237">
        <f t="shared" si="794"/>
        <v>0.15309742336685225</v>
      </c>
      <c r="F199" s="237">
        <f t="shared" ref="F199:G199" si="795">+F137</f>
        <v>0.1684651996111724</v>
      </c>
      <c r="G199" s="237">
        <f t="shared" si="795"/>
        <v>0.290449290195682</v>
      </c>
      <c r="H199" s="237">
        <f t="shared" ref="H199:I199" si="796">+H137</f>
        <v>0.44067167476404273</v>
      </c>
      <c r="I199" s="237">
        <f t="shared" si="796"/>
        <v>0.15281929804794933</v>
      </c>
      <c r="J199" s="237">
        <f t="shared" ref="J199" si="797">+J137</f>
        <v>-8.4401087421339449E-2</v>
      </c>
      <c r="K199" s="237">
        <f t="shared" ref="K199" si="798">+K137</f>
        <v>-0.19769670724563912</v>
      </c>
      <c r="L199" s="238"/>
      <c r="M199" s="239"/>
      <c r="N199" s="239"/>
      <c r="O199" s="239"/>
      <c r="P199" s="237">
        <f t="shared" ref="P199:R199" si="799">+P137</f>
        <v>0.1684651996111724</v>
      </c>
      <c r="Q199" s="237">
        <f t="shared" si="799"/>
        <v>0.18478008652520128</v>
      </c>
      <c r="R199" s="237">
        <f t="shared" si="799"/>
        <v>0.20467019551780583</v>
      </c>
      <c r="S199" s="237">
        <f t="shared" ref="S199:V199" si="800">+S137</f>
        <v>0.31621825565537665</v>
      </c>
      <c r="T199" s="237">
        <f t="shared" si="800"/>
        <v>0.290449290195682</v>
      </c>
      <c r="U199" s="237">
        <f t="shared" si="800"/>
        <v>0.40308229665049811</v>
      </c>
      <c r="V199" s="237">
        <f t="shared" si="800"/>
        <v>0.44023754308503188</v>
      </c>
      <c r="W199" s="237">
        <f t="shared" ref="W199:Z199" si="801">+W137</f>
        <v>0.47167074404561449</v>
      </c>
      <c r="X199" s="237">
        <f t="shared" si="801"/>
        <v>0.44067167476404273</v>
      </c>
      <c r="Y199" s="237">
        <f t="shared" si="801"/>
        <v>0.40096299228704668</v>
      </c>
      <c r="Z199" s="237">
        <f t="shared" si="801"/>
        <v>0.30740290576536661</v>
      </c>
      <c r="AA199" s="237">
        <f t="shared" ref="AA199:AD199" si="802">+AA137</f>
        <v>0.20964989788905372</v>
      </c>
      <c r="AB199" s="237">
        <f t="shared" si="802"/>
        <v>0.15281929804794933</v>
      </c>
      <c r="AC199" s="237">
        <f t="shared" si="802"/>
        <v>0.14333203260123592</v>
      </c>
      <c r="AD199" s="237">
        <f t="shared" si="802"/>
        <v>8.4997461341617703E-2</v>
      </c>
      <c r="AE199" s="237">
        <f t="shared" ref="AE199:AG199" si="803">+AE137</f>
        <v>-1.2704022314438877E-2</v>
      </c>
      <c r="AF199" s="237">
        <f t="shared" si="803"/>
        <v>-8.4401087421339449E-2</v>
      </c>
      <c r="AG199" s="237">
        <f t="shared" si="803"/>
        <v>-0.19769670724563912</v>
      </c>
    </row>
    <row r="200" spans="2:33" ht="13.5" customHeight="1"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2:33" ht="13.5" customHeight="1">
      <c r="C201" s="7"/>
      <c r="D201" s="7"/>
      <c r="E201" s="7"/>
      <c r="F201" s="7"/>
      <c r="G201" s="7"/>
      <c r="H201" s="7"/>
      <c r="I201" s="7"/>
      <c r="J201" s="1"/>
      <c r="K201" s="1"/>
      <c r="L201" s="20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2:33" ht="13.5" customHeight="1">
      <c r="B202" s="240" t="s">
        <v>208</v>
      </c>
      <c r="C202" s="213">
        <v>9.0899999999999998E-4</v>
      </c>
      <c r="D202" s="213">
        <v>8.5899999999999995E-4</v>
      </c>
      <c r="E202" s="213">
        <v>8.4900000000000004E-4</v>
      </c>
      <c r="F202" s="213">
        <v>8.7399999999999999E-4</v>
      </c>
      <c r="G202" s="213">
        <v>7.76E-4</v>
      </c>
      <c r="H202" s="213">
        <f>1/1305.76</f>
        <v>7.6583751991177553E-4</v>
      </c>
      <c r="I202" s="214">
        <f>AVERAGE(Y202:AB202)</f>
        <v>7.2741068287800301E-4</v>
      </c>
      <c r="J202" s="214">
        <f>AVERAGE(AC202:AF202)</f>
        <v>7.0378647739068837E-4</v>
      </c>
      <c r="K202" s="214">
        <f>AVERAGE(AD202:AG202)</f>
        <v>7.0219616485706418E-4</v>
      </c>
      <c r="L202" s="7"/>
      <c r="M202" s="213">
        <v>8.9800000000000004E-4</v>
      </c>
      <c r="N202" s="213">
        <v>8.92E-4</v>
      </c>
      <c r="O202" s="213">
        <v>8.6300000000000005E-4</v>
      </c>
      <c r="P202" s="213">
        <v>8.4500000000000005E-4</v>
      </c>
      <c r="Q202" s="213">
        <v>8.3000000000000001E-4</v>
      </c>
      <c r="R202" s="213">
        <v>7.94E-4</v>
      </c>
      <c r="S202" s="213">
        <v>7.4700000000000005E-4</v>
      </c>
      <c r="T202" s="213">
        <v>7.3700000000000002E-4</v>
      </c>
      <c r="U202" s="213">
        <v>7.85E-4</v>
      </c>
      <c r="V202" s="213">
        <v>7.6000000000000004E-4</v>
      </c>
      <c r="W202" s="213">
        <v>7.6199999999999998E-4</v>
      </c>
      <c r="X202" s="213">
        <f>1/1319.02</f>
        <v>7.5813861806492704E-4</v>
      </c>
      <c r="Y202" s="213">
        <f>1/1329.2</f>
        <v>7.5233222991272946E-4</v>
      </c>
      <c r="Z202" s="213">
        <f>1/1370.21</f>
        <v>7.2981513782558881E-4</v>
      </c>
      <c r="AA202" s="213">
        <f>1/1354.33</f>
        <v>7.3837247938094851E-4</v>
      </c>
      <c r="AB202" s="213">
        <f>1/1451.12</f>
        <v>6.8912288439274493E-4</v>
      </c>
      <c r="AC202" s="213">
        <f>1/1451.12</f>
        <v>6.8912288439274493E-4</v>
      </c>
      <c r="AD202" s="213">
        <f>1/1399.13</f>
        <v>7.1472986784644737E-4</v>
      </c>
      <c r="AE202" s="213">
        <f>1/1386.77</f>
        <v>7.2110011032831692E-4</v>
      </c>
      <c r="AF202" s="213">
        <f>1/1448.87</f>
        <v>6.9019304699524458E-4</v>
      </c>
      <c r="AG202" s="213">
        <f>1/1464.64</f>
        <v>6.8276163425824775E-4</v>
      </c>
    </row>
    <row r="203" spans="2:33" ht="13.5" customHeight="1">
      <c r="B203" s="240" t="s">
        <v>209</v>
      </c>
      <c r="C203" s="213">
        <v>8.9499999999999996E-4</v>
      </c>
      <c r="D203" s="213">
        <v>8.6399999999999997E-4</v>
      </c>
      <c r="E203" s="213">
        <v>9.19E-4</v>
      </c>
      <c r="F203" s="213">
        <v>8.4000000000000003E-4</v>
      </c>
      <c r="G203" s="213">
        <v>7.94E-4</v>
      </c>
      <c r="H203" s="213">
        <f>1/1294.4</f>
        <v>7.7255871446229912E-4</v>
      </c>
      <c r="I203" s="214">
        <f>AB203</f>
        <v>6.793247511973099E-4</v>
      </c>
      <c r="J203" s="214">
        <f>AF203</f>
        <v>6.9414557621024289E-4</v>
      </c>
      <c r="K203" s="214">
        <f>AG203</f>
        <v>6.6367129688008129E-4</v>
      </c>
      <c r="L203" s="7"/>
      <c r="M203" s="213">
        <v>8.8199999999999997E-4</v>
      </c>
      <c r="N203" s="213">
        <v>8.8400000000000002E-4</v>
      </c>
      <c r="O203" s="213">
        <v>8.4099999999999995E-4</v>
      </c>
      <c r="P203" s="213">
        <v>8.4000000000000003E-4</v>
      </c>
      <c r="Q203" s="213">
        <v>8.2600000000000002E-4</v>
      </c>
      <c r="R203" s="213">
        <v>7.6800000000000002E-4</v>
      </c>
      <c r="S203" s="213">
        <v>6.9899999999999997E-4</v>
      </c>
      <c r="T203" s="213">
        <v>7.94E-4</v>
      </c>
      <c r="U203" s="213">
        <v>7.7099999999999998E-4</v>
      </c>
      <c r="V203" s="213">
        <v>7.5600000000000005E-4</v>
      </c>
      <c r="W203" s="213">
        <v>7.3899999999999997E-4</v>
      </c>
      <c r="X203" s="213">
        <f>H203</f>
        <v>7.7255871446229912E-4</v>
      </c>
      <c r="Y203" s="213">
        <f>1/1345.09</f>
        <v>7.4344467656439349E-4</v>
      </c>
      <c r="Z203" s="213">
        <f>1/1380.73</f>
        <v>7.2425456099309781E-4</v>
      </c>
      <c r="AA203" s="213">
        <f>1/1317.01</f>
        <v>7.5929567732970892E-4</v>
      </c>
      <c r="AB203" s="213">
        <f>1/1472.05</f>
        <v>6.793247511973099E-4</v>
      </c>
      <c r="AC203" s="213">
        <f>1/1472.05</f>
        <v>6.793247511973099E-4</v>
      </c>
      <c r="AD203" s="213">
        <f>1/1352.74</f>
        <v>7.3924035660954805E-4</v>
      </c>
      <c r="AE203" s="213">
        <f>1/1404.14</f>
        <v>7.1217969718119273E-4</v>
      </c>
      <c r="AF203" s="213">
        <f>1/1440.62</f>
        <v>6.9414557621024289E-4</v>
      </c>
      <c r="AG203" s="213">
        <f>1/1506.77</f>
        <v>6.6367129688008129E-4</v>
      </c>
    </row>
    <row r="204" spans="2:33" ht="13.5" customHeight="1">
      <c r="B204" s="240" t="s">
        <v>210</v>
      </c>
      <c r="C204" s="214">
        <f t="shared" ref="C204:H204" si="804">C202</f>
        <v>9.0899999999999998E-4</v>
      </c>
      <c r="D204" s="214">
        <f t="shared" si="804"/>
        <v>8.5899999999999995E-4</v>
      </c>
      <c r="E204" s="214">
        <f t="shared" si="804"/>
        <v>8.4900000000000004E-4</v>
      </c>
      <c r="F204" s="214">
        <f t="shared" si="804"/>
        <v>8.7399999999999999E-4</v>
      </c>
      <c r="G204" s="214">
        <f t="shared" si="804"/>
        <v>7.76E-4</v>
      </c>
      <c r="H204" s="214">
        <f t="shared" si="804"/>
        <v>7.6583751991177553E-4</v>
      </c>
      <c r="I204" s="214">
        <f t="shared" ref="I204:K204" si="805">I202</f>
        <v>7.2741068287800301E-4</v>
      </c>
      <c r="J204" s="214">
        <f t="shared" ref="J204" si="806">J202</f>
        <v>7.0378647739068837E-4</v>
      </c>
      <c r="K204" s="214">
        <f t="shared" si="805"/>
        <v>7.0219616485706418E-4</v>
      </c>
      <c r="L204" s="7"/>
      <c r="M204" s="214">
        <f>AVERAGE(M202:M202)</f>
        <v>8.9800000000000004E-4</v>
      </c>
      <c r="N204" s="214">
        <f>AVERAGE(M202:N202)</f>
        <v>8.9499999999999996E-4</v>
      </c>
      <c r="O204" s="214">
        <f>AVERAGE(M202:O202)</f>
        <v>8.8433333333333333E-4</v>
      </c>
      <c r="P204" s="214">
        <f t="shared" ref="P204:S204" si="807">AVERAGE(M202:P202)</f>
        <v>8.7450000000000006E-4</v>
      </c>
      <c r="Q204" s="214">
        <f t="shared" si="807"/>
        <v>8.5749999999999997E-4</v>
      </c>
      <c r="R204" s="214">
        <f t="shared" si="807"/>
        <v>8.3300000000000008E-4</v>
      </c>
      <c r="S204" s="214">
        <f t="shared" si="807"/>
        <v>8.0400000000000003E-4</v>
      </c>
      <c r="T204" s="214">
        <f>K204</f>
        <v>7.0219616485706418E-4</v>
      </c>
      <c r="U204" s="214">
        <f>AVERAGE(R202:U202)</f>
        <v>7.6575000000000005E-4</v>
      </c>
      <c r="V204" s="214">
        <f t="shared" ref="V204:W204" si="808">AVERAGE(S202:V202)</f>
        <v>7.5725000000000011E-4</v>
      </c>
      <c r="W204" s="214">
        <f t="shared" si="808"/>
        <v>7.6100000000000007E-4</v>
      </c>
      <c r="X204" s="214">
        <f>O204</f>
        <v>8.8433333333333333E-4</v>
      </c>
      <c r="Y204" s="214">
        <f>AVERAGE(V202:Y202)</f>
        <v>7.5811771199441416E-4</v>
      </c>
      <c r="Z204" s="214">
        <f t="shared" ref="Z204:AA204" si="809">AVERAGE(W202:Z202)</f>
        <v>7.5057149645081124E-4</v>
      </c>
      <c r="AA204" s="214">
        <f t="shared" si="809"/>
        <v>7.446646162960484E-4</v>
      </c>
      <c r="AB204" s="214">
        <f>AVERAGE(Y202:AB202)</f>
        <v>7.2741068287800301E-4</v>
      </c>
      <c r="AC204" s="214">
        <f>AVERAGE(Z202:AC202)</f>
        <v>7.1160834649800679E-4</v>
      </c>
      <c r="AD204" s="214">
        <f t="shared" ref="AD204:AE204" si="810">AVERAGE(AA202:AD202)</f>
        <v>7.0783702900322149E-4</v>
      </c>
      <c r="AE204" s="214">
        <f t="shared" si="810"/>
        <v>7.0351893674006354E-4</v>
      </c>
      <c r="AF204" s="214">
        <f>AVERAGE(AC202:AF202)</f>
        <v>7.0378647739068837E-4</v>
      </c>
      <c r="AG204" s="214">
        <f>AVERAGE(AD202:AG202)</f>
        <v>7.0219616485706418E-4</v>
      </c>
    </row>
    <row r="205" spans="2:33" ht="13.5" customHeight="1">
      <c r="B205" s="220" t="s">
        <v>211</v>
      </c>
      <c r="C205" s="241">
        <f>1/C203</f>
        <v>1117.31843575419</v>
      </c>
      <c r="D205" s="241">
        <f t="shared" ref="D205:AF205" si="811">1/D203</f>
        <v>1157.4074074074074</v>
      </c>
      <c r="E205" s="241">
        <f t="shared" si="811"/>
        <v>1088.139281828074</v>
      </c>
      <c r="F205" s="241">
        <f t="shared" si="811"/>
        <v>1190.4761904761904</v>
      </c>
      <c r="G205" s="241">
        <f t="shared" si="811"/>
        <v>1259.4458438287154</v>
      </c>
      <c r="H205" s="241">
        <f t="shared" si="811"/>
        <v>1294.4000000000001</v>
      </c>
      <c r="I205" s="241">
        <f t="shared" si="811"/>
        <v>1472.05</v>
      </c>
      <c r="J205" s="241">
        <f t="shared" si="811"/>
        <v>1440.62</v>
      </c>
      <c r="K205" s="241">
        <f t="shared" si="811"/>
        <v>1506.7699999999998</v>
      </c>
      <c r="L205" s="7"/>
      <c r="M205" s="241">
        <f t="shared" si="811"/>
        <v>1133.7868480725624</v>
      </c>
      <c r="N205" s="241">
        <f t="shared" si="811"/>
        <v>1131.2217194570135</v>
      </c>
      <c r="O205" s="241">
        <f t="shared" si="811"/>
        <v>1189.0606420927468</v>
      </c>
      <c r="P205" s="241">
        <f t="shared" si="811"/>
        <v>1190.4761904761904</v>
      </c>
      <c r="Q205" s="241">
        <f t="shared" si="811"/>
        <v>1210.6537530266344</v>
      </c>
      <c r="R205" s="241">
        <f t="shared" si="811"/>
        <v>1302.0833333333333</v>
      </c>
      <c r="S205" s="241">
        <f t="shared" si="811"/>
        <v>1430.615164520744</v>
      </c>
      <c r="T205" s="241">
        <f t="shared" si="811"/>
        <v>1259.4458438287154</v>
      </c>
      <c r="U205" s="241">
        <f t="shared" si="811"/>
        <v>1297.0168612191958</v>
      </c>
      <c r="V205" s="241">
        <f t="shared" si="811"/>
        <v>1322.7513227513227</v>
      </c>
      <c r="W205" s="241">
        <f t="shared" si="811"/>
        <v>1353.1799729364006</v>
      </c>
      <c r="X205" s="241">
        <f t="shared" si="811"/>
        <v>1294.4000000000001</v>
      </c>
      <c r="Y205" s="241">
        <f t="shared" si="811"/>
        <v>1345.09</v>
      </c>
      <c r="Z205" s="241">
        <f t="shared" si="811"/>
        <v>1380.73</v>
      </c>
      <c r="AA205" s="241">
        <f t="shared" si="811"/>
        <v>1317.01</v>
      </c>
      <c r="AB205" s="241">
        <f t="shared" si="811"/>
        <v>1472.05</v>
      </c>
      <c r="AC205" s="241">
        <f t="shared" si="811"/>
        <v>1472.05</v>
      </c>
      <c r="AD205" s="241">
        <f t="shared" si="811"/>
        <v>1352.74</v>
      </c>
      <c r="AE205" s="241">
        <f t="shared" si="811"/>
        <v>1404.14</v>
      </c>
      <c r="AF205" s="241">
        <f t="shared" si="811"/>
        <v>1440.62</v>
      </c>
      <c r="AG205" s="241">
        <f t="shared" ref="AG205" si="812">1/AG203</f>
        <v>1506.7699999999998</v>
      </c>
    </row>
    <row r="206" spans="2:33" ht="13.5" customHeight="1"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2:33" ht="13.5" customHeight="1">
      <c r="B207" s="36" t="s">
        <v>212</v>
      </c>
      <c r="C207" s="35">
        <f t="shared" ref="C207:I207" si="813">C3</f>
        <v>43465</v>
      </c>
      <c r="D207" s="35">
        <f t="shared" si="813"/>
        <v>43830</v>
      </c>
      <c r="E207" s="35">
        <f t="shared" si="813"/>
        <v>44196</v>
      </c>
      <c r="F207" s="35">
        <f t="shared" si="813"/>
        <v>44561</v>
      </c>
      <c r="G207" s="35">
        <f t="shared" si="813"/>
        <v>44926</v>
      </c>
      <c r="H207" s="35">
        <f t="shared" si="813"/>
        <v>45291</v>
      </c>
      <c r="I207" s="35">
        <f t="shared" si="813"/>
        <v>45657</v>
      </c>
      <c r="J207" s="35">
        <f t="shared" ref="J207" si="814">J3</f>
        <v>46022</v>
      </c>
      <c r="K207" s="35" t="str">
        <f>K2</f>
        <v>LTM</v>
      </c>
      <c r="L207" s="7"/>
      <c r="M207" s="35">
        <f t="shared" ref="M207:AB207" si="815">M3</f>
        <v>44286</v>
      </c>
      <c r="N207" s="35">
        <f t="shared" si="815"/>
        <v>44377</v>
      </c>
      <c r="O207" s="35">
        <f t="shared" si="815"/>
        <v>44469</v>
      </c>
      <c r="P207" s="35">
        <f t="shared" si="815"/>
        <v>44561</v>
      </c>
      <c r="Q207" s="35">
        <f t="shared" si="815"/>
        <v>44651</v>
      </c>
      <c r="R207" s="35">
        <f t="shared" si="815"/>
        <v>44742</v>
      </c>
      <c r="S207" s="35">
        <f t="shared" si="815"/>
        <v>44834</v>
      </c>
      <c r="T207" s="35">
        <f t="shared" si="815"/>
        <v>44926</v>
      </c>
      <c r="U207" s="35">
        <f t="shared" si="815"/>
        <v>45016</v>
      </c>
      <c r="V207" s="35">
        <f t="shared" si="815"/>
        <v>45107</v>
      </c>
      <c r="W207" s="35">
        <f t="shared" si="815"/>
        <v>45199</v>
      </c>
      <c r="X207" s="35">
        <f t="shared" si="815"/>
        <v>45291</v>
      </c>
      <c r="Y207" s="35">
        <f t="shared" si="815"/>
        <v>45382</v>
      </c>
      <c r="Z207" s="35">
        <f t="shared" si="815"/>
        <v>45473</v>
      </c>
      <c r="AA207" s="35">
        <f t="shared" si="815"/>
        <v>45565</v>
      </c>
      <c r="AB207" s="35">
        <f t="shared" si="815"/>
        <v>45657</v>
      </c>
      <c r="AC207" s="35">
        <f t="shared" ref="AC207:AF207" si="816">AC3</f>
        <v>45747</v>
      </c>
      <c r="AD207" s="35">
        <f t="shared" si="816"/>
        <v>45838</v>
      </c>
      <c r="AE207" s="35">
        <f t="shared" si="816"/>
        <v>45930</v>
      </c>
      <c r="AF207" s="35">
        <f t="shared" si="816"/>
        <v>46022</v>
      </c>
      <c r="AG207" s="35">
        <f t="shared" ref="AG207" si="817">AG3</f>
        <v>46112</v>
      </c>
    </row>
    <row r="208" spans="2:33" ht="13.5" customHeight="1">
      <c r="B208" s="16" t="s">
        <v>198</v>
      </c>
      <c r="C208" s="7">
        <f t="shared" ref="C208:AA208" si="818">C141*C$204</f>
        <v>36764.564994</v>
      </c>
      <c r="D208" s="7">
        <f t="shared" si="818"/>
        <v>23185.039646999998</v>
      </c>
      <c r="E208" s="7">
        <f t="shared" si="818"/>
        <v>27083.454882000002</v>
      </c>
      <c r="F208" s="7">
        <f t="shared" si="818"/>
        <v>37580.070207999997</v>
      </c>
      <c r="G208" s="7">
        <f t="shared" si="818"/>
        <v>34626.336768000001</v>
      </c>
      <c r="H208" s="7">
        <f t="shared" si="818"/>
        <v>25093.21697708614</v>
      </c>
      <c r="I208" s="7">
        <f t="shared" si="818"/>
        <v>48149.466235316337</v>
      </c>
      <c r="J208" s="7">
        <f t="shared" si="818"/>
        <v>68370.516188468056</v>
      </c>
      <c r="K208" s="7">
        <f t="shared" si="818"/>
        <v>92748.752545866955</v>
      </c>
      <c r="L208" s="7"/>
      <c r="M208" s="7">
        <f t="shared" si="818"/>
        <v>0</v>
      </c>
      <c r="N208" s="7">
        <f t="shared" si="818"/>
        <v>0</v>
      </c>
      <c r="O208" s="7">
        <f t="shared" si="818"/>
        <v>0</v>
      </c>
      <c r="P208" s="7">
        <f t="shared" si="818"/>
        <v>37601.569104000002</v>
      </c>
      <c r="Q208" s="7">
        <f t="shared" si="818"/>
        <v>40010.3128775</v>
      </c>
      <c r="R208" s="7">
        <f t="shared" si="818"/>
        <v>41773.772971000006</v>
      </c>
      <c r="S208" s="7">
        <f t="shared" si="818"/>
        <v>39658.221384000004</v>
      </c>
      <c r="T208" s="7">
        <f t="shared" si="818"/>
        <v>31333.093919508701</v>
      </c>
      <c r="U208" s="7">
        <f t="shared" si="818"/>
        <v>28756.995409500003</v>
      </c>
      <c r="V208" s="7">
        <f t="shared" si="818"/>
        <v>23511.823445500002</v>
      </c>
      <c r="W208" s="7">
        <f t="shared" si="818"/>
        <v>22169.639206000003</v>
      </c>
      <c r="X208" s="7">
        <f t="shared" si="818"/>
        <v>28975.817502333332</v>
      </c>
      <c r="Y208" s="7">
        <f t="shared" si="818"/>
        <v>30405.983247208638</v>
      </c>
      <c r="Z208" s="7">
        <f t="shared" si="818"/>
        <v>36946.529894759347</v>
      </c>
      <c r="AA208" s="7">
        <f t="shared" si="818"/>
        <v>42990.552424507558</v>
      </c>
      <c r="AB208" s="7">
        <f>AB141*AB$204</f>
        <v>48149.466235316337</v>
      </c>
      <c r="AC208" s="7">
        <f t="shared" ref="AC208" si="819">AC141*AC$204</f>
        <v>50810.617095648973</v>
      </c>
      <c r="AD208" s="7">
        <f>AD141*AD$204</f>
        <v>54652.944290262451</v>
      </c>
      <c r="AE208" s="7">
        <f>AE141*AE$204</f>
        <v>59156.836934241117</v>
      </c>
      <c r="AF208" s="7">
        <f>AF141*AF$204</f>
        <v>68370.516188468056</v>
      </c>
      <c r="AG208" s="7">
        <f t="shared" ref="AG208" si="820">AG141*AG$204</f>
        <v>92748.752545866955</v>
      </c>
    </row>
    <row r="209" spans="2:33" ht="13.5" customHeight="1">
      <c r="B209" s="16" t="s">
        <v>199</v>
      </c>
      <c r="C209" s="7">
        <f t="shared" ref="C209:AA209" si="821">C142*C$204</f>
        <v>24779.34</v>
      </c>
      <c r="D209" s="7">
        <f t="shared" si="821"/>
        <v>9664.6090000000004</v>
      </c>
      <c r="E209" s="7">
        <f t="shared" si="821"/>
        <v>12567.747000000001</v>
      </c>
      <c r="F209" s="7">
        <f t="shared" si="821"/>
        <v>20151.817999999999</v>
      </c>
      <c r="G209" s="7">
        <f t="shared" si="821"/>
        <v>16255.647999999999</v>
      </c>
      <c r="H209" s="7">
        <f t="shared" si="821"/>
        <v>4510.0171547604459</v>
      </c>
      <c r="I209" s="7">
        <f t="shared" si="821"/>
        <v>26196.240922485522</v>
      </c>
      <c r="J209" s="7">
        <f t="shared" si="821"/>
        <v>42997.834836184105</v>
      </c>
      <c r="K209" s="7">
        <f t="shared" si="821"/>
        <v>64364.704863128216</v>
      </c>
      <c r="L209" s="7"/>
      <c r="M209" s="7">
        <f t="shared" si="821"/>
        <v>0</v>
      </c>
      <c r="N209" s="7">
        <f t="shared" si="821"/>
        <v>0</v>
      </c>
      <c r="O209" s="7">
        <f t="shared" si="821"/>
        <v>0</v>
      </c>
      <c r="P209" s="7">
        <f t="shared" si="821"/>
        <v>20163.3465</v>
      </c>
      <c r="Q209" s="7">
        <f t="shared" si="821"/>
        <v>21828.52</v>
      </c>
      <c r="R209" s="7">
        <f t="shared" si="821"/>
        <v>23173.227000000003</v>
      </c>
      <c r="S209" s="7">
        <f t="shared" si="821"/>
        <v>21031.835999999999</v>
      </c>
      <c r="T209" s="7">
        <f t="shared" si="821"/>
        <v>14709.605261425781</v>
      </c>
      <c r="U209" s="7">
        <f t="shared" si="821"/>
        <v>11368.324500000001</v>
      </c>
      <c r="V209" s="7">
        <f t="shared" si="821"/>
        <v>5895.9485000000004</v>
      </c>
      <c r="W209" s="7">
        <f t="shared" si="821"/>
        <v>3125.4270000000001</v>
      </c>
      <c r="X209" s="7">
        <f t="shared" si="821"/>
        <v>5207.8389999999999</v>
      </c>
      <c r="Y209" s="7">
        <f t="shared" si="821"/>
        <v>8951.8539432300422</v>
      </c>
      <c r="Z209" s="7">
        <f t="shared" si="821"/>
        <v>14851.558200272202</v>
      </c>
      <c r="AA209" s="7">
        <f t="shared" si="821"/>
        <v>21108.263213527789</v>
      </c>
      <c r="AB209" s="7">
        <f>AB142*AB$204</f>
        <v>26196.240922485522</v>
      </c>
      <c r="AC209" s="7">
        <f t="shared" ref="AC209:AD209" si="822">AC142*AC$204</f>
        <v>28968.864177587358</v>
      </c>
      <c r="AD209" s="7">
        <f t="shared" si="822"/>
        <v>31684.908929271205</v>
      </c>
      <c r="AE209" s="7">
        <f>AE142*AE$204</f>
        <v>34902.98148954803</v>
      </c>
      <c r="AF209" s="7">
        <f>AF142*AF$204</f>
        <v>42997.834836184105</v>
      </c>
      <c r="AG209" s="7">
        <f t="shared" ref="AG209" si="823">AG142*AG$204</f>
        <v>64364.704863128216</v>
      </c>
    </row>
    <row r="210" spans="2:33" ht="13.5" customHeight="1">
      <c r="B210" s="16" t="s">
        <v>200</v>
      </c>
      <c r="C210" s="17">
        <f t="shared" ref="C210:E210" si="824">C209/C208</f>
        <v>0.6740006308804144</v>
      </c>
      <c r="D210" s="17">
        <f t="shared" si="824"/>
        <v>0.41684677478006993</v>
      </c>
      <c r="E210" s="17">
        <f t="shared" si="824"/>
        <v>0.46403780665193795</v>
      </c>
      <c r="F210" s="17">
        <f t="shared" ref="F210:G210" si="825">F209/F208</f>
        <v>0.53623683746365391</v>
      </c>
      <c r="G210" s="17">
        <f t="shared" si="825"/>
        <v>0.46945907414100729</v>
      </c>
      <c r="H210" s="17">
        <f t="shared" ref="H210:I210" si="826">H209/H208</f>
        <v>0.17973052872729575</v>
      </c>
      <c r="I210" s="17">
        <f t="shared" si="826"/>
        <v>0.54406087898169231</v>
      </c>
      <c r="J210" s="17">
        <f t="shared" ref="J210" si="827">J209/J208</f>
        <v>0.62889440117224804</v>
      </c>
      <c r="K210" s="17">
        <f t="shared" ref="K210" si="828">K209/K208</f>
        <v>0.69396841570778001</v>
      </c>
      <c r="L210" s="7"/>
      <c r="M210" s="155"/>
      <c r="N210" s="155"/>
      <c r="O210" s="155"/>
      <c r="P210" s="17">
        <f t="shared" ref="P210:R210" si="829">P209/P208</f>
        <v>0.53623683746365391</v>
      </c>
      <c r="Q210" s="17">
        <f t="shared" si="829"/>
        <v>0.54557233948238826</v>
      </c>
      <c r="R210" s="17">
        <f t="shared" si="829"/>
        <v>0.5547314822648941</v>
      </c>
      <c r="S210" s="17">
        <f t="shared" ref="S210:V210" si="830">S209/S208</f>
        <v>0.53032726294894383</v>
      </c>
      <c r="T210" s="17">
        <f t="shared" si="830"/>
        <v>0.46945907414100729</v>
      </c>
      <c r="U210" s="17">
        <f t="shared" si="830"/>
        <v>0.39532379298027859</v>
      </c>
      <c r="V210" s="17">
        <f t="shared" si="830"/>
        <v>0.25076525917552533</v>
      </c>
      <c r="W210" s="17">
        <f t="shared" ref="W210:Z210" si="831">W209/W208</f>
        <v>0.1409778017115467</v>
      </c>
      <c r="X210" s="17">
        <f t="shared" si="831"/>
        <v>0.17973052872729575</v>
      </c>
      <c r="Y210" s="17">
        <f t="shared" si="831"/>
        <v>0.29441093453380923</v>
      </c>
      <c r="Z210" s="17">
        <f t="shared" si="831"/>
        <v>0.4019743733058625</v>
      </c>
      <c r="AA210" s="17">
        <f t="shared" ref="AA210:AD210" si="832">AA209/AA208</f>
        <v>0.49099771980354068</v>
      </c>
      <c r="AB210" s="17">
        <f t="shared" si="832"/>
        <v>0.54406087898169231</v>
      </c>
      <c r="AC210" s="17">
        <f t="shared" si="832"/>
        <v>0.57013407499174085</v>
      </c>
      <c r="AD210" s="17">
        <f t="shared" si="832"/>
        <v>0.5797475202981246</v>
      </c>
      <c r="AE210" s="17">
        <f t="shared" ref="AE210:AG210" si="833">AE209/AE208</f>
        <v>0.5900075679899226</v>
      </c>
      <c r="AF210" s="17">
        <f t="shared" si="833"/>
        <v>0.62889440117224804</v>
      </c>
      <c r="AG210" s="17">
        <f t="shared" si="833"/>
        <v>0.69396841570778001</v>
      </c>
    </row>
    <row r="211" spans="2:33" ht="13.5" customHeight="1">
      <c r="B211" s="16" t="s">
        <v>180</v>
      </c>
      <c r="C211" s="7">
        <f t="shared" ref="C211:E213" si="834">C144*C$203</f>
        <v>4727.3336149999996</v>
      </c>
      <c r="D211" s="7">
        <f t="shared" si="834"/>
        <v>10532.596319999999</v>
      </c>
      <c r="E211" s="7">
        <f t="shared" si="834"/>
        <v>11850.839516</v>
      </c>
      <c r="F211" s="7">
        <f t="shared" ref="F211:G211" si="835">F144*F$203</f>
        <v>16085.639640000001</v>
      </c>
      <c r="G211" s="7">
        <f t="shared" si="835"/>
        <v>19684.597890000001</v>
      </c>
      <c r="H211" s="7">
        <f t="shared" ref="H211:I211" si="836">H144*H$203</f>
        <v>25107.004017305313</v>
      </c>
      <c r="I211" s="7">
        <f t="shared" si="836"/>
        <v>17290.247613871812</v>
      </c>
      <c r="J211" s="7">
        <f t="shared" ref="J211" si="837">J144*J$203</f>
        <v>17185.550665685609</v>
      </c>
      <c r="K211" s="7">
        <f t="shared" ref="K211" si="838">K144*K$203</f>
        <v>14489.547840745437</v>
      </c>
      <c r="L211" s="7"/>
      <c r="M211" s="7">
        <f t="shared" ref="M211:O213" si="839">M144*M$203</f>
        <v>13525.222157999999</v>
      </c>
      <c r="N211" s="7">
        <f t="shared" si="839"/>
        <v>13665.752464000001</v>
      </c>
      <c r="O211" s="7">
        <f t="shared" si="839"/>
        <v>13340.173274999999</v>
      </c>
      <c r="P211" s="7">
        <f t="shared" ref="P211:R211" si="840">P144*P$203</f>
        <v>16085.639640000001</v>
      </c>
      <c r="Q211" s="7">
        <f t="shared" si="840"/>
        <v>16281.254612000001</v>
      </c>
      <c r="R211" s="7">
        <f t="shared" si="840"/>
        <v>16250.43072</v>
      </c>
      <c r="S211" s="7">
        <f t="shared" ref="S211:V211" si="841">S144*S$203</f>
        <v>20231.698724999998</v>
      </c>
      <c r="T211" s="7">
        <f t="shared" si="841"/>
        <v>19684.597890000001</v>
      </c>
      <c r="U211" s="7">
        <f t="shared" si="841"/>
        <v>23691.052073999999</v>
      </c>
      <c r="V211" s="7">
        <f t="shared" si="841"/>
        <v>24786.592488000002</v>
      </c>
      <c r="W211" s="7">
        <f t="shared" ref="W211:Z211" si="842">W144*W$203</f>
        <v>25556.417986999997</v>
      </c>
      <c r="X211" s="7">
        <f t="shared" si="842"/>
        <v>25107.004017305313</v>
      </c>
      <c r="Y211" s="7">
        <f t="shared" si="842"/>
        <v>24217.945267602914</v>
      </c>
      <c r="Z211" s="7">
        <f t="shared" si="842"/>
        <v>20337.055036104088</v>
      </c>
      <c r="AA211" s="7">
        <f t="shared" ref="AA211:AD213" si="843">AA144*AA$203</f>
        <v>18639.437817480502</v>
      </c>
      <c r="AB211" s="7">
        <f t="shared" si="843"/>
        <v>17290.247613871812</v>
      </c>
      <c r="AC211" s="7">
        <f t="shared" si="843"/>
        <v>17651.415373119122</v>
      </c>
      <c r="AD211" s="7">
        <f t="shared" si="843"/>
        <v>18014.674660319055</v>
      </c>
      <c r="AE211" s="7">
        <f t="shared" ref="AE211:AG211" si="844">AE144*AE$203</f>
        <v>18932.530944207843</v>
      </c>
      <c r="AF211" s="7">
        <f t="shared" si="844"/>
        <v>17185.550665685609</v>
      </c>
      <c r="AG211" s="7">
        <f t="shared" si="844"/>
        <v>14489.547840745437</v>
      </c>
    </row>
    <row r="212" spans="2:33" ht="13.5" customHeight="1">
      <c r="B212" s="16" t="s">
        <v>201</v>
      </c>
      <c r="C212" s="7">
        <f t="shared" si="834"/>
        <v>2102.6405049999998</v>
      </c>
      <c r="D212" s="7">
        <f t="shared" si="834"/>
        <v>1992.4444799999999</v>
      </c>
      <c r="E212" s="7">
        <f t="shared" si="834"/>
        <v>2734.9338910000001</v>
      </c>
      <c r="F212" s="7">
        <f t="shared" ref="F212:G212" si="845">F145*F$203</f>
        <v>4248.7048800000002</v>
      </c>
      <c r="G212" s="7">
        <f t="shared" si="845"/>
        <v>3951.7435580000001</v>
      </c>
      <c r="H212" s="7">
        <f t="shared" ref="H212:I212" si="846">H145*H$203</f>
        <v>5861.6571384425215</v>
      </c>
      <c r="I212" s="7">
        <f t="shared" si="846"/>
        <v>7611.9133181617472</v>
      </c>
      <c r="J212" s="7">
        <f t="shared" ref="J212" si="847">J145*J$203</f>
        <v>10359.266149296831</v>
      </c>
      <c r="K212" s="7">
        <f t="shared" ref="K212" si="848">K145*K$203</f>
        <v>14047.866628616181</v>
      </c>
      <c r="L212" s="7"/>
      <c r="M212" s="7">
        <f t="shared" si="839"/>
        <v>1963.459008</v>
      </c>
      <c r="N212" s="7">
        <f t="shared" si="839"/>
        <v>2357.0542840000003</v>
      </c>
      <c r="O212" s="7">
        <f t="shared" si="839"/>
        <v>2322.8226569999997</v>
      </c>
      <c r="P212" s="7">
        <f t="shared" ref="P212:R212" si="849">P145*P$203</f>
        <v>4248.7048800000002</v>
      </c>
      <c r="Q212" s="7">
        <f t="shared" si="849"/>
        <v>4115.7630639999998</v>
      </c>
      <c r="R212" s="7">
        <f t="shared" si="849"/>
        <v>3491.5676160000003</v>
      </c>
      <c r="S212" s="7">
        <f t="shared" ref="S212:V212" si="850">S145*S$203</f>
        <v>3298.7326829999997</v>
      </c>
      <c r="T212" s="7">
        <f t="shared" si="850"/>
        <v>3951.7435580000001</v>
      </c>
      <c r="U212" s="7">
        <f t="shared" si="850"/>
        <v>3773.8769219999999</v>
      </c>
      <c r="V212" s="7">
        <f t="shared" si="850"/>
        <v>4566.8523600000008</v>
      </c>
      <c r="W212" s="7">
        <f t="shared" ref="W212:Z212" si="851">W145*W$203</f>
        <v>5263.3841339999999</v>
      </c>
      <c r="X212" s="7">
        <f t="shared" si="851"/>
        <v>5861.6571384425215</v>
      </c>
      <c r="Y212" s="7">
        <f t="shared" si="851"/>
        <v>6231.1034949334244</v>
      </c>
      <c r="Z212" s="7">
        <f t="shared" si="851"/>
        <v>5746.1118393893084</v>
      </c>
      <c r="AA212" s="7">
        <f t="shared" si="843"/>
        <v>6936.688407832894</v>
      </c>
      <c r="AB212" s="7">
        <f t="shared" si="843"/>
        <v>7611.9133181617472</v>
      </c>
      <c r="AC212" s="7">
        <f t="shared" si="843"/>
        <v>8531.0070989436499</v>
      </c>
      <c r="AD212" s="7">
        <f t="shared" si="843"/>
        <v>6708.8361399825544</v>
      </c>
      <c r="AE212" s="7">
        <f t="shared" ref="AE212:AG212" si="852">AE145*AE$203</f>
        <v>7701.8780178614661</v>
      </c>
      <c r="AF212" s="7">
        <f t="shared" si="852"/>
        <v>10359.266149296831</v>
      </c>
      <c r="AG212" s="7">
        <f t="shared" si="852"/>
        <v>14047.866628616181</v>
      </c>
    </row>
    <row r="213" spans="2:33" ht="13.5" customHeight="1">
      <c r="B213" s="16" t="s">
        <v>202</v>
      </c>
      <c r="C213" s="7">
        <f t="shared" si="834"/>
        <v>2624.6931099999997</v>
      </c>
      <c r="D213" s="7">
        <f t="shared" si="834"/>
        <v>8540.1518400000004</v>
      </c>
      <c r="E213" s="7">
        <f t="shared" si="834"/>
        <v>9115.9056249999994</v>
      </c>
      <c r="F213" s="7">
        <f t="shared" ref="F213:G213" si="853">F146*F$203</f>
        <v>11836.93476</v>
      </c>
      <c r="G213" s="7">
        <f t="shared" si="853"/>
        <v>15732.854332000001</v>
      </c>
      <c r="H213" s="7">
        <f t="shared" ref="H213:I213" si="854">H146*H$203</f>
        <v>19245.346878862794</v>
      </c>
      <c r="I213" s="7">
        <f t="shared" si="854"/>
        <v>9678.3342957100649</v>
      </c>
      <c r="J213" s="7">
        <f t="shared" ref="J213" si="855">J146*J$203</f>
        <v>6826.2845163887778</v>
      </c>
      <c r="K213" s="7">
        <f t="shared" ref="K213" si="856">K146*K$203</f>
        <v>441.68121212925666</v>
      </c>
      <c r="L213" s="7"/>
      <c r="M213" s="7">
        <f t="shared" si="839"/>
        <v>11561.763149999999</v>
      </c>
      <c r="N213" s="7">
        <f t="shared" si="839"/>
        <v>11308.698179999999</v>
      </c>
      <c r="O213" s="7">
        <f t="shared" si="839"/>
        <v>11017.350617999999</v>
      </c>
      <c r="P213" s="7">
        <f t="shared" ref="P213:R213" si="857">P146*P$203</f>
        <v>11836.93476</v>
      </c>
      <c r="Q213" s="7">
        <f t="shared" si="857"/>
        <v>12165.491548</v>
      </c>
      <c r="R213" s="7">
        <f t="shared" si="857"/>
        <v>12758.863104</v>
      </c>
      <c r="S213" s="7">
        <f t="shared" ref="S213:V213" si="858">S146*S$203</f>
        <v>16932.966042</v>
      </c>
      <c r="T213" s="7">
        <f t="shared" si="858"/>
        <v>15732.854332000001</v>
      </c>
      <c r="U213" s="7">
        <f t="shared" si="858"/>
        <v>19917.175152</v>
      </c>
      <c r="V213" s="7">
        <f t="shared" si="858"/>
        <v>20219.740128000001</v>
      </c>
      <c r="W213" s="7">
        <f t="shared" ref="W213:Z213" si="859">W146*W$203</f>
        <v>20293.033853000001</v>
      </c>
      <c r="X213" s="7">
        <f t="shared" si="859"/>
        <v>19245.346878862794</v>
      </c>
      <c r="Y213" s="7">
        <f t="shared" si="859"/>
        <v>17986.841772669486</v>
      </c>
      <c r="Z213" s="7">
        <f t="shared" si="859"/>
        <v>14590.943196714781</v>
      </c>
      <c r="AA213" s="7">
        <f t="shared" si="843"/>
        <v>11702.749409647609</v>
      </c>
      <c r="AB213" s="7">
        <f t="shared" si="843"/>
        <v>9678.3342957100649</v>
      </c>
      <c r="AC213" s="7">
        <f t="shared" si="843"/>
        <v>9120.4082741754701</v>
      </c>
      <c r="AD213" s="7">
        <f t="shared" si="843"/>
        <v>11305.838520336503</v>
      </c>
      <c r="AE213" s="7">
        <f t="shared" ref="AE213:AG213" si="860">AE146*AE$203</f>
        <v>11230.652926346374</v>
      </c>
      <c r="AF213" s="7">
        <f t="shared" si="860"/>
        <v>6826.2845163887778</v>
      </c>
      <c r="AG213" s="7">
        <f t="shared" si="860"/>
        <v>441.68121212925666</v>
      </c>
    </row>
    <row r="214" spans="2:33" ht="13.5" customHeight="1">
      <c r="B214" s="16" t="s">
        <v>203</v>
      </c>
      <c r="C214" s="21">
        <f t="shared" ref="C214:E214" si="861">C211/C209</f>
        <v>0.19077722066043726</v>
      </c>
      <c r="D214" s="21">
        <f t="shared" si="861"/>
        <v>1.0898109090600561</v>
      </c>
      <c r="E214" s="21">
        <f t="shared" si="861"/>
        <v>0.94295656301801734</v>
      </c>
      <c r="F214" s="21">
        <f t="shared" ref="F214:G214" si="862">F211/F209</f>
        <v>0.79822275290497369</v>
      </c>
      <c r="G214" s="21">
        <f t="shared" si="862"/>
        <v>1.2109389850223136</v>
      </c>
      <c r="H214" s="21">
        <f t="shared" ref="H214:I214" si="863">H211/H209</f>
        <v>5.5669420216737286</v>
      </c>
      <c r="I214" s="21">
        <f t="shared" si="863"/>
        <v>0.66002781334289617</v>
      </c>
      <c r="J214" s="21">
        <f t="shared" ref="J214" si="864">J211/J209</f>
        <v>0.39968409412148814</v>
      </c>
      <c r="K214" s="21">
        <f t="shared" ref="K214" si="865">K211/K209</f>
        <v>0.22511635641859176</v>
      </c>
      <c r="L214" s="21"/>
      <c r="M214" s="132"/>
      <c r="N214" s="132"/>
      <c r="O214" s="132"/>
      <c r="P214" s="21">
        <f t="shared" ref="P214:R214" si="866">P211/P209</f>
        <v>0.79776636482441055</v>
      </c>
      <c r="Q214" s="21">
        <f t="shared" si="866"/>
        <v>0.74587075129234603</v>
      </c>
      <c r="R214" s="21">
        <f t="shared" si="866"/>
        <v>0.70125885876835359</v>
      </c>
      <c r="S214" s="21">
        <f t="shared" ref="S214:V214" si="867">S211/S209</f>
        <v>0.96195589985581853</v>
      </c>
      <c r="T214" s="21">
        <f t="shared" si="867"/>
        <v>1.3382138772697427</v>
      </c>
      <c r="U214" s="21">
        <f t="shared" si="867"/>
        <v>2.0839528352660937</v>
      </c>
      <c r="V214" s="21">
        <f t="shared" si="867"/>
        <v>4.2040042391822112</v>
      </c>
      <c r="W214" s="21">
        <f t="shared" ref="W214:Z214" si="868">W211/W209</f>
        <v>8.1769364592422082</v>
      </c>
      <c r="X214" s="21">
        <f t="shared" si="868"/>
        <v>4.8210023422969321</v>
      </c>
      <c r="Y214" s="21">
        <f t="shared" si="868"/>
        <v>2.7053552729061288</v>
      </c>
      <c r="Z214" s="21">
        <f t="shared" si="868"/>
        <v>1.3693549701560168</v>
      </c>
      <c r="AA214" s="21">
        <f t="shared" ref="AA214:AD214" si="869">AA211/AA209</f>
        <v>0.88303986116370414</v>
      </c>
      <c r="AB214" s="21">
        <f t="shared" si="869"/>
        <v>0.66002781334289617</v>
      </c>
      <c r="AC214" s="21">
        <f t="shared" si="869"/>
        <v>0.60932369543075404</v>
      </c>
      <c r="AD214" s="21">
        <f t="shared" si="869"/>
        <v>0.56855693353995118</v>
      </c>
      <c r="AE214" s="21">
        <f t="shared" ref="AE214:AG214" si="870">AE211/AE209</f>
        <v>0.54243305689736954</v>
      </c>
      <c r="AF214" s="21">
        <f t="shared" si="870"/>
        <v>0.39968409412148814</v>
      </c>
      <c r="AG214" s="21">
        <f t="shared" si="870"/>
        <v>0.22511635641859176</v>
      </c>
    </row>
    <row r="215" spans="2:33" ht="13.5" customHeight="1">
      <c r="B215" s="16" t="s">
        <v>204</v>
      </c>
      <c r="C215" s="21">
        <f t="shared" ref="C215:E215" si="871">C213/C209</f>
        <v>0.10592263998960423</v>
      </c>
      <c r="D215" s="21">
        <f t="shared" si="871"/>
        <v>0.88365207945815505</v>
      </c>
      <c r="E215" s="21">
        <f t="shared" si="871"/>
        <v>0.72534127437479434</v>
      </c>
      <c r="F215" s="21">
        <f t="shared" ref="F215:G215" si="872">F213/F209</f>
        <v>0.58738793492477948</v>
      </c>
      <c r="G215" s="21">
        <f t="shared" si="872"/>
        <v>0.96783926005287524</v>
      </c>
      <c r="H215" s="21">
        <f t="shared" ref="H215:I215" si="873">H213/H209</f>
        <v>4.2672447173618409</v>
      </c>
      <c r="I215" s="21">
        <f t="shared" si="873"/>
        <v>0.36945508038150138</v>
      </c>
      <c r="J215" s="21">
        <f t="shared" ref="J215" si="874">J213/J209</f>
        <v>0.15875879663234188</v>
      </c>
      <c r="K215" s="21">
        <f t="shared" ref="K215" si="875">K213/K209</f>
        <v>6.8621648008562056E-3</v>
      </c>
      <c r="L215" s="21"/>
      <c r="M215" s="132"/>
      <c r="N215" s="132"/>
      <c r="O215" s="132"/>
      <c r="P215" s="21">
        <f t="shared" ref="P215:R215" si="876">P213/P209</f>
        <v>0.58705209276644632</v>
      </c>
      <c r="Q215" s="21">
        <f t="shared" si="876"/>
        <v>0.5573209520388922</v>
      </c>
      <c r="R215" s="21">
        <f t="shared" si="876"/>
        <v>0.55058637728789339</v>
      </c>
      <c r="S215" s="21">
        <f t="shared" ref="S215:V215" si="877">S213/S209</f>
        <v>0.80511116775539715</v>
      </c>
      <c r="T215" s="21">
        <f t="shared" si="877"/>
        <v>1.0695633263020028</v>
      </c>
      <c r="U215" s="21">
        <f t="shared" si="877"/>
        <v>1.7519886199589041</v>
      </c>
      <c r="V215" s="21">
        <f t="shared" si="877"/>
        <v>3.4294295698139154</v>
      </c>
      <c r="W215" s="21">
        <f t="shared" ref="W215:Z215" si="878">W213/W209</f>
        <v>6.4928836453387007</v>
      </c>
      <c r="X215" s="21">
        <f t="shared" si="878"/>
        <v>3.6954573439890894</v>
      </c>
      <c r="Y215" s="21">
        <f t="shared" si="878"/>
        <v>2.0092867786646891</v>
      </c>
      <c r="Z215" s="21">
        <f t="shared" si="878"/>
        <v>0.9824520094091781</v>
      </c>
      <c r="AA215" s="21">
        <f t="shared" ref="AA215:AD215" si="879">AA213/AA209</f>
        <v>0.55441555239597318</v>
      </c>
      <c r="AB215" s="21">
        <f t="shared" si="879"/>
        <v>0.36945508038150138</v>
      </c>
      <c r="AC215" s="21">
        <f t="shared" si="879"/>
        <v>0.31483485918760151</v>
      </c>
      <c r="AD215" s="21">
        <f t="shared" si="879"/>
        <v>0.35682092524154063</v>
      </c>
      <c r="AE215" s="21">
        <f t="shared" ref="AE215:AG215" si="880">AE213/AE209</f>
        <v>0.32176772433350659</v>
      </c>
      <c r="AF215" s="21">
        <f t="shared" si="880"/>
        <v>0.15875879663234188</v>
      </c>
      <c r="AG215" s="21">
        <f t="shared" si="880"/>
        <v>6.8621648008562056E-3</v>
      </c>
    </row>
    <row r="216" spans="2:33" ht="13.5" customHeight="1"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2:33" ht="13.5" customHeight="1">
      <c r="B217" s="39" t="s">
        <v>205</v>
      </c>
      <c r="C217" s="38"/>
      <c r="D217" s="38"/>
      <c r="E217" s="38"/>
      <c r="F217" s="38"/>
      <c r="G217" s="38"/>
      <c r="H217" s="38"/>
      <c r="I217" s="38"/>
      <c r="J217" s="38"/>
      <c r="K217" s="38"/>
      <c r="L217" s="210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</row>
    <row r="218" spans="2:33" s="37" customFormat="1" ht="13.5" customHeight="1">
      <c r="B218" s="36" t="s">
        <v>213</v>
      </c>
      <c r="C218" s="35">
        <f t="shared" ref="C218:I218" si="881">C3</f>
        <v>43465</v>
      </c>
      <c r="D218" s="35">
        <f t="shared" si="881"/>
        <v>43830</v>
      </c>
      <c r="E218" s="35">
        <f t="shared" si="881"/>
        <v>44196</v>
      </c>
      <c r="F218" s="35">
        <f t="shared" si="881"/>
        <v>44561</v>
      </c>
      <c r="G218" s="35">
        <f t="shared" si="881"/>
        <v>44926</v>
      </c>
      <c r="H218" s="35">
        <f t="shared" si="881"/>
        <v>45291</v>
      </c>
      <c r="I218" s="35">
        <f t="shared" si="881"/>
        <v>45657</v>
      </c>
      <c r="J218" s="35">
        <f t="shared" ref="J218" si="882">J3</f>
        <v>46022</v>
      </c>
      <c r="K218" s="35" t="str">
        <f>K2</f>
        <v>LTM</v>
      </c>
      <c r="L218" s="203"/>
      <c r="M218" s="35">
        <f t="shared" ref="M218:AB218" si="883">M3</f>
        <v>44286</v>
      </c>
      <c r="N218" s="35">
        <f t="shared" si="883"/>
        <v>44377</v>
      </c>
      <c r="O218" s="35">
        <f t="shared" si="883"/>
        <v>44469</v>
      </c>
      <c r="P218" s="35">
        <f t="shared" si="883"/>
        <v>44561</v>
      </c>
      <c r="Q218" s="35">
        <f t="shared" si="883"/>
        <v>44651</v>
      </c>
      <c r="R218" s="35">
        <f t="shared" si="883"/>
        <v>44742</v>
      </c>
      <c r="S218" s="35">
        <f t="shared" si="883"/>
        <v>44834</v>
      </c>
      <c r="T218" s="35">
        <f t="shared" si="883"/>
        <v>44926</v>
      </c>
      <c r="U218" s="35">
        <f t="shared" si="883"/>
        <v>45016</v>
      </c>
      <c r="V218" s="35">
        <f t="shared" si="883"/>
        <v>45107</v>
      </c>
      <c r="W218" s="35">
        <f t="shared" si="883"/>
        <v>45199</v>
      </c>
      <c r="X218" s="35">
        <f t="shared" si="883"/>
        <v>45291</v>
      </c>
      <c r="Y218" s="35">
        <f t="shared" si="883"/>
        <v>45382</v>
      </c>
      <c r="Z218" s="35">
        <f t="shared" si="883"/>
        <v>45473</v>
      </c>
      <c r="AA218" s="35">
        <f t="shared" si="883"/>
        <v>45565</v>
      </c>
      <c r="AB218" s="35">
        <f t="shared" si="883"/>
        <v>45657</v>
      </c>
      <c r="AC218" s="35">
        <f t="shared" ref="AC218:AF218" si="884">AC3</f>
        <v>45747</v>
      </c>
      <c r="AD218" s="35">
        <f t="shared" si="884"/>
        <v>45838</v>
      </c>
      <c r="AE218" s="35">
        <f t="shared" si="884"/>
        <v>45930</v>
      </c>
      <c r="AF218" s="35">
        <f t="shared" si="884"/>
        <v>46022</v>
      </c>
      <c r="AG218" s="35">
        <f t="shared" ref="AG218" si="885">AG3</f>
        <v>46112</v>
      </c>
    </row>
    <row r="219" spans="2:33" s="19" customFormat="1" ht="13.5" customHeight="1">
      <c r="B219" s="36"/>
      <c r="C219" s="35" t="s">
        <v>102</v>
      </c>
      <c r="D219" s="35" t="s">
        <v>102</v>
      </c>
      <c r="E219" s="35" t="s">
        <v>102</v>
      </c>
      <c r="F219" s="35" t="s">
        <v>102</v>
      </c>
      <c r="G219" s="35" t="s">
        <v>102</v>
      </c>
      <c r="H219" s="35" t="s">
        <v>102</v>
      </c>
      <c r="I219" s="35" t="s">
        <v>102</v>
      </c>
      <c r="J219" s="35" t="s">
        <v>102</v>
      </c>
      <c r="K219" s="35" t="s">
        <v>206</v>
      </c>
      <c r="L219" s="203"/>
      <c r="M219" s="35" t="s">
        <v>102</v>
      </c>
      <c r="N219" s="35" t="s">
        <v>102</v>
      </c>
      <c r="O219" s="35" t="s">
        <v>102</v>
      </c>
      <c r="P219" s="35" t="s">
        <v>102</v>
      </c>
      <c r="Q219" s="35" t="s">
        <v>102</v>
      </c>
      <c r="R219" s="35" t="s">
        <v>102</v>
      </c>
      <c r="S219" s="35" t="s">
        <v>102</v>
      </c>
      <c r="T219" s="35" t="s">
        <v>102</v>
      </c>
      <c r="U219" s="35" t="s">
        <v>102</v>
      </c>
      <c r="V219" s="35" t="s">
        <v>102</v>
      </c>
      <c r="W219" s="35" t="s">
        <v>102</v>
      </c>
      <c r="X219" s="35" t="s">
        <v>102</v>
      </c>
      <c r="Y219" s="35" t="s">
        <v>102</v>
      </c>
      <c r="Z219" s="35" t="s">
        <v>102</v>
      </c>
      <c r="AA219" s="35" t="s">
        <v>102</v>
      </c>
      <c r="AB219" s="35" t="s">
        <v>102</v>
      </c>
      <c r="AC219" s="35" t="s">
        <v>102</v>
      </c>
      <c r="AD219" s="35" t="s">
        <v>102</v>
      </c>
      <c r="AE219" s="35" t="s">
        <v>102</v>
      </c>
      <c r="AF219" s="35" t="s">
        <v>102</v>
      </c>
      <c r="AG219" s="35" t="s">
        <v>102</v>
      </c>
    </row>
    <row r="220" spans="2:33" ht="13.5" customHeight="1"/>
    <row r="221" spans="2:33" s="19" customFormat="1" ht="13.5" customHeight="1">
      <c r="B221" s="19" t="str">
        <f>B7</f>
        <v>Revenue</v>
      </c>
      <c r="C221" s="33">
        <f t="shared" ref="C221:K221" si="886">C7*C$202</f>
        <v>36764.564994</v>
      </c>
      <c r="D221" s="33">
        <f t="shared" si="886"/>
        <v>23185.039646999998</v>
      </c>
      <c r="E221" s="33">
        <f t="shared" si="886"/>
        <v>27083.454882000002</v>
      </c>
      <c r="F221" s="33">
        <f t="shared" si="886"/>
        <v>37580.070207999997</v>
      </c>
      <c r="G221" s="33">
        <f t="shared" si="886"/>
        <v>34626.336768000001</v>
      </c>
      <c r="H221" s="33">
        <f t="shared" si="886"/>
        <v>25093.21697708614</v>
      </c>
      <c r="I221" s="33">
        <f t="shared" si="886"/>
        <v>48149.466235316337</v>
      </c>
      <c r="J221" s="33">
        <f t="shared" ref="J221" si="887">J7*J$202</f>
        <v>68370.516188468056</v>
      </c>
      <c r="K221" s="33">
        <f t="shared" si="886"/>
        <v>92748.752545866955</v>
      </c>
      <c r="L221" s="33"/>
      <c r="M221" s="33">
        <f t="shared" ref="M221:AB221" si="888">M7*M$202</f>
        <v>7627.7808240000004</v>
      </c>
      <c r="N221" s="33">
        <f t="shared" si="888"/>
        <v>9206.9305320000003</v>
      </c>
      <c r="O221" s="33">
        <f t="shared" si="888"/>
        <v>10187.994612</v>
      </c>
      <c r="P221" s="33">
        <f t="shared" si="888"/>
        <v>10458.234605000001</v>
      </c>
      <c r="Q221" s="33">
        <f t="shared" si="888"/>
        <v>10089.191989999999</v>
      </c>
      <c r="R221" s="33">
        <f t="shared" si="888"/>
        <v>10965.934794000001</v>
      </c>
      <c r="S221" s="33">
        <f t="shared" si="888"/>
        <v>8204.2136010000013</v>
      </c>
      <c r="T221" s="33">
        <f t="shared" si="888"/>
        <v>5654.2868470000003</v>
      </c>
      <c r="U221" s="33">
        <f t="shared" si="888"/>
        <v>3994.1671350000001</v>
      </c>
      <c r="V221" s="33">
        <f t="shared" si="888"/>
        <v>5552.5090800000007</v>
      </c>
      <c r="W221" s="33">
        <f t="shared" si="888"/>
        <v>6908.4223019999999</v>
      </c>
      <c r="X221" s="33">
        <f t="shared" si="888"/>
        <v>8571.1391790875041</v>
      </c>
      <c r="Y221" s="33">
        <f t="shared" si="888"/>
        <v>9351.187180258803</v>
      </c>
      <c r="Z221" s="33">
        <f t="shared" si="888"/>
        <v>11985.942300815204</v>
      </c>
      <c r="AA221" s="33">
        <f t="shared" si="888"/>
        <v>12975.470527862486</v>
      </c>
      <c r="AB221" s="33">
        <f t="shared" si="888"/>
        <v>13621.916175092343</v>
      </c>
      <c r="AC221" s="33">
        <f t="shared" ref="AC221:AF221" si="889">AC7*AC$202</f>
        <v>12155.535724130326</v>
      </c>
      <c r="AD221" s="33">
        <f t="shared" si="889"/>
        <v>15889.840114928562</v>
      </c>
      <c r="AE221" s="33">
        <f t="shared" si="889"/>
        <v>17630.125399309189</v>
      </c>
      <c r="AF221" s="33">
        <f t="shared" si="889"/>
        <v>22656.727656725587</v>
      </c>
      <c r="AG221" s="33">
        <f t="shared" ref="AG221" si="890">AG7*AG$202</f>
        <v>35897.071635350665</v>
      </c>
    </row>
    <row r="222" spans="2:33" s="29" customFormat="1" ht="13.5" customHeight="1">
      <c r="B222" s="34" t="s">
        <v>207</v>
      </c>
      <c r="C222" s="30"/>
      <c r="D222" s="30">
        <f t="shared" ref="D222:J222" si="891">D221/C221-1</f>
        <v>-0.36936450490346318</v>
      </c>
      <c r="E222" s="30">
        <f t="shared" si="891"/>
        <v>0.16814356560759358</v>
      </c>
      <c r="F222" s="30">
        <f t="shared" si="891"/>
        <v>0.38756559573853244</v>
      </c>
      <c r="G222" s="30">
        <f t="shared" si="891"/>
        <v>-7.859840132420004E-2</v>
      </c>
      <c r="H222" s="30">
        <f t="shared" si="891"/>
        <v>-0.27531413024677542</v>
      </c>
      <c r="I222" s="30">
        <f t="shared" si="891"/>
        <v>0.91882397060863097</v>
      </c>
      <c r="J222" s="30">
        <f t="shared" si="891"/>
        <v>0.41996415607864246</v>
      </c>
      <c r="K222" s="30"/>
      <c r="L222" s="33"/>
      <c r="M222" s="30"/>
      <c r="N222" s="30"/>
      <c r="O222" s="30"/>
      <c r="P222" s="30"/>
      <c r="Q222" s="30">
        <f t="shared" ref="Q222:AG222" si="892">Q221/M221-1</f>
        <v>0.32269033717584428</v>
      </c>
      <c r="R222" s="30">
        <f t="shared" si="892"/>
        <v>0.19105219224651804</v>
      </c>
      <c r="S222" s="30">
        <f t="shared" si="892"/>
        <v>-0.19471751669984094</v>
      </c>
      <c r="T222" s="30">
        <f t="shared" si="892"/>
        <v>-0.45934595459383465</v>
      </c>
      <c r="U222" s="30">
        <f t="shared" si="892"/>
        <v>-0.60411427010618324</v>
      </c>
      <c r="V222" s="30">
        <f t="shared" si="892"/>
        <v>-0.49365838988591748</v>
      </c>
      <c r="W222" s="30">
        <f t="shared" si="892"/>
        <v>-0.15794216996520649</v>
      </c>
      <c r="X222" s="30">
        <f t="shared" si="892"/>
        <v>0.51586564513172872</v>
      </c>
      <c r="Y222" s="30">
        <f t="shared" si="892"/>
        <v>1.3412107866785106</v>
      </c>
      <c r="Z222" s="30">
        <f t="shared" si="892"/>
        <v>1.1586533453836698</v>
      </c>
      <c r="AA222" s="30">
        <f t="shared" si="892"/>
        <v>0.87821038735661339</v>
      </c>
      <c r="AB222" s="30">
        <f t="shared" si="892"/>
        <v>0.58927721163694269</v>
      </c>
      <c r="AC222" s="30">
        <f t="shared" si="892"/>
        <v>0.29989224788396451</v>
      </c>
      <c r="AD222" s="30">
        <f t="shared" si="892"/>
        <v>0.32570637469595032</v>
      </c>
      <c r="AE222" s="30">
        <f t="shared" si="892"/>
        <v>0.35872725088864166</v>
      </c>
      <c r="AF222" s="30">
        <f t="shared" si="892"/>
        <v>0.66325554830188915</v>
      </c>
      <c r="AG222" s="30">
        <f t="shared" si="892"/>
        <v>1.953145994552119</v>
      </c>
    </row>
    <row r="223" spans="2:33" ht="13.5" customHeight="1"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</row>
    <row r="224" spans="2:33" s="19" customFormat="1" ht="13.5" customHeight="1" thickBot="1">
      <c r="B224" s="24" t="str">
        <f>B46</f>
        <v xml:space="preserve">Adj. EBITDA </v>
      </c>
      <c r="C224" s="32">
        <f t="shared" ref="C224:K224" si="893">C46*C$202</f>
        <v>24779.34</v>
      </c>
      <c r="D224" s="32">
        <f t="shared" si="893"/>
        <v>9664.6090000000004</v>
      </c>
      <c r="E224" s="32">
        <f t="shared" si="893"/>
        <v>12567.747000000001</v>
      </c>
      <c r="F224" s="32">
        <f t="shared" si="893"/>
        <v>20151.817999999999</v>
      </c>
      <c r="G224" s="32">
        <f t="shared" si="893"/>
        <v>16255.647999999999</v>
      </c>
      <c r="H224" s="32">
        <f t="shared" ref="H224:I224" si="894">H46*H$202</f>
        <v>4510.0171547604459</v>
      </c>
      <c r="I224" s="32">
        <f t="shared" si="894"/>
        <v>26196.240922485522</v>
      </c>
      <c r="J224" s="32">
        <f t="shared" ref="J224" si="895">J46*J$202</f>
        <v>42997.834836184105</v>
      </c>
      <c r="K224" s="32">
        <f t="shared" si="893"/>
        <v>64364.704863128216</v>
      </c>
      <c r="L224" s="43"/>
      <c r="M224" s="32">
        <f t="shared" ref="M224:V224" si="896">M46*M$202</f>
        <v>3463.5860000000002</v>
      </c>
      <c r="N224" s="32">
        <f t="shared" si="896"/>
        <v>4735.6279999999997</v>
      </c>
      <c r="O224" s="32">
        <f t="shared" si="896"/>
        <v>5937.4400000000005</v>
      </c>
      <c r="P224" s="32">
        <f t="shared" si="896"/>
        <v>5924.2950000000001</v>
      </c>
      <c r="Q224" s="32">
        <f t="shared" si="896"/>
        <v>5192.4800000000005</v>
      </c>
      <c r="R224" s="32">
        <f t="shared" si="896"/>
        <v>6091.5680000000002</v>
      </c>
      <c r="S224" s="32">
        <f t="shared" si="896"/>
        <v>3899.34</v>
      </c>
      <c r="T224" s="32">
        <f t="shared" si="896"/>
        <v>1326.6000000000001</v>
      </c>
      <c r="U224" s="32">
        <f t="shared" si="896"/>
        <v>120.89</v>
      </c>
      <c r="V224" s="32">
        <f t="shared" si="896"/>
        <v>465.12</v>
      </c>
      <c r="W224" s="32">
        <f t="shared" ref="W224:Z224" si="897">W46*W$202</f>
        <v>1174.242</v>
      </c>
      <c r="X224" s="32">
        <f t="shared" si="897"/>
        <v>2715.6525299085688</v>
      </c>
      <c r="Y224" s="32">
        <f t="shared" si="897"/>
        <v>4568.9136322600061</v>
      </c>
      <c r="Z224" s="32">
        <f t="shared" si="897"/>
        <v>6269.8418490596332</v>
      </c>
      <c r="AA224" s="32">
        <f>AA46*AA$202</f>
        <v>7457.5620417475802</v>
      </c>
      <c r="AB224" s="32">
        <f>AB46*AB$202</f>
        <v>7751.9433265339876</v>
      </c>
      <c r="AC224" s="32">
        <f t="shared" ref="AC224:AD224" si="898">AC46*AC$202</f>
        <v>7421.1643420254704</v>
      </c>
      <c r="AD224" s="32">
        <f t="shared" si="898"/>
        <v>9037.7591789183261</v>
      </c>
      <c r="AE224" s="32">
        <f>AE46*AE$202</f>
        <v>10779.725549298009</v>
      </c>
      <c r="AF224" s="32">
        <f>AF46*AF$202</f>
        <v>15689.468344295899</v>
      </c>
      <c r="AG224" s="32">
        <f t="shared" ref="AG224" si="899">AG46*AG$202</f>
        <v>28222.63491369893</v>
      </c>
    </row>
    <row r="225" spans="2:33" s="29" customFormat="1" ht="13.5" customHeight="1" thickTop="1">
      <c r="B225" s="31" t="str">
        <f>B47</f>
        <v xml:space="preserve">% growth </v>
      </c>
      <c r="C225" s="30"/>
      <c r="D225" s="30">
        <f t="shared" ref="D225:J225" si="900">D224/C224-1</f>
        <v>-0.60997310662834447</v>
      </c>
      <c r="E225" s="30">
        <f t="shared" si="900"/>
        <v>0.30038856202046049</v>
      </c>
      <c r="F225" s="30">
        <f t="shared" si="900"/>
        <v>0.60345509819699572</v>
      </c>
      <c r="G225" s="30">
        <f t="shared" si="900"/>
        <v>-0.19334086879903345</v>
      </c>
      <c r="H225" s="30">
        <f t="shared" si="900"/>
        <v>-0.72255691346414208</v>
      </c>
      <c r="I225" s="30">
        <f t="shared" si="900"/>
        <v>4.8084570465180327</v>
      </c>
      <c r="J225" s="30">
        <f t="shared" si="900"/>
        <v>0.6413742324104581</v>
      </c>
      <c r="K225" s="30"/>
      <c r="L225" s="212"/>
      <c r="M225" s="30"/>
      <c r="N225" s="30"/>
      <c r="O225" s="30"/>
      <c r="P225" s="30"/>
      <c r="Q225" s="30">
        <f t="shared" ref="Q225:AG225" si="901">Q224/M224-1</f>
        <v>0.49916300620224252</v>
      </c>
      <c r="R225" s="30">
        <f t="shared" si="901"/>
        <v>0.28632738889118836</v>
      </c>
      <c r="S225" s="30">
        <f t="shared" si="901"/>
        <v>-0.34326241612546826</v>
      </c>
      <c r="T225" s="30">
        <f t="shared" si="901"/>
        <v>-0.77607462153724616</v>
      </c>
      <c r="U225" s="30">
        <f t="shared" si="901"/>
        <v>-0.97671825409053092</v>
      </c>
      <c r="V225" s="30">
        <f t="shared" si="901"/>
        <v>-0.92364527491115589</v>
      </c>
      <c r="W225" s="30">
        <f t="shared" si="901"/>
        <v>-0.69886134576620662</v>
      </c>
      <c r="X225" s="30">
        <f t="shared" si="901"/>
        <v>1.0470771369731406</v>
      </c>
      <c r="Y225" s="30">
        <f t="shared" si="901"/>
        <v>36.793974954586865</v>
      </c>
      <c r="Z225" s="30">
        <f t="shared" si="901"/>
        <v>12.480052135061131</v>
      </c>
      <c r="AA225" s="30">
        <f t="shared" si="901"/>
        <v>5.3509583558990226</v>
      </c>
      <c r="AB225" s="30">
        <f t="shared" si="901"/>
        <v>1.8545416768746117</v>
      </c>
      <c r="AC225" s="30">
        <f t="shared" si="901"/>
        <v>0.62427328230203449</v>
      </c>
      <c r="AD225" s="30">
        <f t="shared" si="901"/>
        <v>0.44146525486505417</v>
      </c>
      <c r="AE225" s="30">
        <f t="shared" si="901"/>
        <v>0.44547581219611598</v>
      </c>
      <c r="AF225" s="30">
        <f t="shared" si="901"/>
        <v>1.0239400216707852</v>
      </c>
      <c r="AG225" s="30">
        <f t="shared" si="901"/>
        <v>2.8029928476150792</v>
      </c>
    </row>
    <row r="226" spans="2:33" s="29" customFormat="1" ht="13.5" customHeight="1">
      <c r="B226" s="31" t="str">
        <f>B48</f>
        <v>% margin</v>
      </c>
      <c r="C226" s="30">
        <f t="shared" ref="C226:E226" si="902">C224/C221</f>
        <v>0.6740006308804144</v>
      </c>
      <c r="D226" s="30">
        <f t="shared" si="902"/>
        <v>0.41684677478006993</v>
      </c>
      <c r="E226" s="30">
        <f t="shared" si="902"/>
        <v>0.46403780665193795</v>
      </c>
      <c r="F226" s="30">
        <f t="shared" ref="F226:G226" si="903">F224/F221</f>
        <v>0.53623683746365391</v>
      </c>
      <c r="G226" s="30">
        <f t="shared" si="903"/>
        <v>0.46945907414100729</v>
      </c>
      <c r="H226" s="30">
        <f t="shared" ref="H226:I226" si="904">H224/H221</f>
        <v>0.17973052872729575</v>
      </c>
      <c r="I226" s="30">
        <f t="shared" si="904"/>
        <v>0.54406087898169231</v>
      </c>
      <c r="J226" s="30">
        <f t="shared" ref="J226" si="905">J224/J221</f>
        <v>0.62889440117224804</v>
      </c>
      <c r="K226" s="30">
        <f t="shared" ref="K226" si="906">K224/K221</f>
        <v>0.69396841570778001</v>
      </c>
      <c r="L226" s="212"/>
      <c r="M226" s="30">
        <f t="shared" ref="M226:O226" si="907">M224/M221</f>
        <v>0.45407518646867717</v>
      </c>
      <c r="N226" s="30">
        <f t="shared" si="907"/>
        <v>0.51435470090065838</v>
      </c>
      <c r="O226" s="30">
        <f t="shared" si="907"/>
        <v>0.58278790145869785</v>
      </c>
      <c r="P226" s="30">
        <f t="shared" ref="P226:R226" si="908">P224/P221</f>
        <v>0.5664718017673499</v>
      </c>
      <c r="Q226" s="30">
        <f t="shared" si="908"/>
        <v>0.51465766586130757</v>
      </c>
      <c r="R226" s="30">
        <f t="shared" si="908"/>
        <v>0.55549919951493743</v>
      </c>
      <c r="S226" s="30">
        <f t="shared" ref="S226:V226" si="909">S224/S221</f>
        <v>0.47528504127741317</v>
      </c>
      <c r="T226" s="30">
        <f t="shared" si="909"/>
        <v>0.23461844718823477</v>
      </c>
      <c r="U226" s="30">
        <f t="shared" si="909"/>
        <v>3.0266635299426446E-2</v>
      </c>
      <c r="V226" s="30">
        <f t="shared" si="909"/>
        <v>8.3767535234719498E-2</v>
      </c>
      <c r="W226" s="30">
        <f t="shared" ref="W226:Z226" si="910">W224/W221</f>
        <v>0.16997252754222261</v>
      </c>
      <c r="X226" s="30">
        <f t="shared" si="910"/>
        <v>0.31683682567358346</v>
      </c>
      <c r="Y226" s="30">
        <f t="shared" si="910"/>
        <v>0.48859182734630674</v>
      </c>
      <c r="Z226" s="30">
        <f t="shared" si="910"/>
        <v>0.52309961884542033</v>
      </c>
      <c r="AA226" s="30">
        <f t="shared" ref="AA226:AD226" si="911">AA224/AA221</f>
        <v>0.57474309126083778</v>
      </c>
      <c r="AB226" s="30">
        <f t="shared" si="911"/>
        <v>0.56907877180366195</v>
      </c>
      <c r="AC226" s="30">
        <f t="shared" si="911"/>
        <v>0.61051725818167679</v>
      </c>
      <c r="AD226" s="30">
        <f t="shared" si="911"/>
        <v>0.56877596713055145</v>
      </c>
      <c r="AE226" s="30">
        <f t="shared" ref="AE226:AG226" si="912">AE224/AE221</f>
        <v>0.61143782617226294</v>
      </c>
      <c r="AF226" s="30">
        <f t="shared" si="912"/>
        <v>0.69248607221698777</v>
      </c>
      <c r="AG226" s="30">
        <f t="shared" si="912"/>
        <v>0.78620995050487308</v>
      </c>
    </row>
    <row r="227" spans="2:33" ht="13.5" customHeight="1"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</row>
    <row r="228" spans="2:33" s="19" customFormat="1" ht="13.5" customHeight="1">
      <c r="B228" s="19" t="str">
        <f t="shared" ref="B228:B244" si="913">B54</f>
        <v xml:space="preserve">Adj. EBITDA </v>
      </c>
      <c r="C228" s="27">
        <f t="shared" ref="C228:G237" si="914">C54*C$202</f>
        <v>24779.34</v>
      </c>
      <c r="D228" s="27">
        <f t="shared" si="914"/>
        <v>9664.6090000000004</v>
      </c>
      <c r="E228" s="27">
        <f t="shared" si="914"/>
        <v>12567.747000000001</v>
      </c>
      <c r="F228" s="27">
        <f t="shared" si="914"/>
        <v>20151.817999999999</v>
      </c>
      <c r="G228" s="27">
        <f t="shared" si="914"/>
        <v>16255.647999999999</v>
      </c>
      <c r="H228" s="27">
        <f t="shared" ref="H228:I228" si="915">H54*H$202</f>
        <v>4510.0171547604459</v>
      </c>
      <c r="I228" s="27">
        <f t="shared" si="915"/>
        <v>26196.240922485522</v>
      </c>
      <c r="J228" s="27">
        <f t="shared" ref="J228" si="916">J54*J$202</f>
        <v>42997.834836184105</v>
      </c>
      <c r="K228" s="27">
        <f t="shared" ref="K228" si="917">K54*K$202</f>
        <v>64364.704863128216</v>
      </c>
      <c r="L228" s="9"/>
      <c r="M228" s="27">
        <f t="shared" ref="M228:Y228" si="918">M54*M$202</f>
        <v>3463.5860000000002</v>
      </c>
      <c r="N228" s="27">
        <f t="shared" si="918"/>
        <v>4735.6279999999997</v>
      </c>
      <c r="O228" s="27">
        <f t="shared" si="918"/>
        <v>5937.4400000000005</v>
      </c>
      <c r="P228" s="27">
        <f t="shared" si="918"/>
        <v>5924.2950000000001</v>
      </c>
      <c r="Q228" s="27">
        <f t="shared" si="918"/>
        <v>5192.4800000000005</v>
      </c>
      <c r="R228" s="27">
        <f t="shared" si="918"/>
        <v>6091.5680000000002</v>
      </c>
      <c r="S228" s="27">
        <f t="shared" si="918"/>
        <v>3899.34</v>
      </c>
      <c r="T228" s="27">
        <f t="shared" si="918"/>
        <v>1326.6000000000001</v>
      </c>
      <c r="U228" s="27">
        <f t="shared" si="918"/>
        <v>120.89</v>
      </c>
      <c r="V228" s="27">
        <f t="shared" si="918"/>
        <v>465.12</v>
      </c>
      <c r="W228" s="27">
        <f t="shared" si="918"/>
        <v>1174.242</v>
      </c>
      <c r="X228" s="27">
        <f t="shared" si="918"/>
        <v>2715.6525299085688</v>
      </c>
      <c r="Y228" s="27">
        <f t="shared" si="918"/>
        <v>4568.9136322600061</v>
      </c>
      <c r="Z228" s="27">
        <f t="shared" ref="Z228" si="919">Z54*Z$202</f>
        <v>6269.8418490596332</v>
      </c>
      <c r="AA228" s="27">
        <f t="shared" ref="AA228:AD244" si="920">AA54*AA$202</f>
        <v>7457.5620417475802</v>
      </c>
      <c r="AB228" s="27">
        <f t="shared" si="920"/>
        <v>7751.9433265339876</v>
      </c>
      <c r="AC228" s="27">
        <f t="shared" si="920"/>
        <v>7421.1643420254704</v>
      </c>
      <c r="AD228" s="27">
        <f t="shared" si="920"/>
        <v>9037.7591789183261</v>
      </c>
      <c r="AE228" s="27">
        <f t="shared" ref="AE228:AG228" si="921">AE54*AE$202</f>
        <v>10779.725549298009</v>
      </c>
      <c r="AF228" s="27">
        <f t="shared" si="921"/>
        <v>15689.468344295899</v>
      </c>
      <c r="AG228" s="27">
        <f t="shared" si="921"/>
        <v>28222.63491369893</v>
      </c>
    </row>
    <row r="229" spans="2:33" ht="13.5" customHeight="1">
      <c r="B229" s="16" t="str">
        <f t="shared" si="913"/>
        <v>Working Capital</v>
      </c>
      <c r="C229" s="12">
        <f t="shared" si="914"/>
        <v>-2064.2171939999998</v>
      </c>
      <c r="D229" s="12">
        <f t="shared" si="914"/>
        <v>931.59580799999992</v>
      </c>
      <c r="E229" s="12">
        <f t="shared" si="914"/>
        <v>-1322.022048</v>
      </c>
      <c r="F229" s="12">
        <f t="shared" si="914"/>
        <v>-2989.3081139999999</v>
      </c>
      <c r="G229" s="12">
        <f t="shared" si="914"/>
        <v>-2102.2825520000001</v>
      </c>
      <c r="H229" s="12">
        <f t="shared" ref="H229:I229" si="922">H55*H$202</f>
        <v>546.60657394927091</v>
      </c>
      <c r="I229" s="12">
        <f t="shared" si="922"/>
        <v>-3387.0445449168942</v>
      </c>
      <c r="J229" s="12">
        <f t="shared" ref="J229" si="923">J55*J$202</f>
        <v>-4067.6838525991675</v>
      </c>
      <c r="K229" s="12">
        <f>K55*K$202</f>
        <v>-16038.933523312853</v>
      </c>
      <c r="L229" s="102"/>
      <c r="M229" s="12">
        <f t="shared" ref="M229:Y229" si="924">M55*M$202</f>
        <v>-109.544326</v>
      </c>
      <c r="N229" s="12">
        <f t="shared" si="924"/>
        <v>-1140.1169359999999</v>
      </c>
      <c r="O229" s="12">
        <f t="shared" si="924"/>
        <v>-887.30294300000003</v>
      </c>
      <c r="P229" s="12">
        <f t="shared" si="924"/>
        <v>-838.20197500000006</v>
      </c>
      <c r="Q229" s="12">
        <f t="shared" si="924"/>
        <v>-260.41748000000001</v>
      </c>
      <c r="R229" s="12">
        <f t="shared" si="924"/>
        <v>-1352.177236</v>
      </c>
      <c r="S229" s="12">
        <f t="shared" si="924"/>
        <v>-1200.4334820000001</v>
      </c>
      <c r="T229" s="12">
        <f t="shared" si="924"/>
        <v>674.08157300000005</v>
      </c>
      <c r="U229" s="12">
        <f t="shared" si="924"/>
        <v>-576.40744500000005</v>
      </c>
      <c r="V229" s="12">
        <f t="shared" si="924"/>
        <v>524.91147999999998</v>
      </c>
      <c r="W229" s="12">
        <f t="shared" si="924"/>
        <v>563.2704</v>
      </c>
      <c r="X229" s="12">
        <f t="shared" si="924"/>
        <v>13.753392670315842</v>
      </c>
      <c r="Y229" s="12">
        <f t="shared" si="924"/>
        <v>-496.47156184170927</v>
      </c>
      <c r="Z229" s="12">
        <f t="shared" ref="Z229" si="925">Z55*Z$202</f>
        <v>-1450.8965778968188</v>
      </c>
      <c r="AA229" s="12">
        <f t="shared" si="920"/>
        <v>-647.04171066136018</v>
      </c>
      <c r="AB229" s="12">
        <f t="shared" si="920"/>
        <v>-780.12293952257573</v>
      </c>
      <c r="AC229" s="12">
        <f t="shared" si="920"/>
        <v>565.13865152433982</v>
      </c>
      <c r="AD229" s="12">
        <f t="shared" si="920"/>
        <v>-1603.4642956694515</v>
      </c>
      <c r="AE229" s="12">
        <f t="shared" ref="AE229" si="926">AE55*AE$202</f>
        <v>-28.114972201590749</v>
      </c>
      <c r="AF229" s="12">
        <f>AF55*AF$202</f>
        <v>-2979.8070220240602</v>
      </c>
      <c r="AG229" s="12">
        <f>AG55*AG$202</f>
        <v>-11088.939261525016</v>
      </c>
    </row>
    <row r="230" spans="2:33" ht="13.5" customHeight="1">
      <c r="B230" s="16" t="str">
        <f t="shared" si="913"/>
        <v>Taxes</v>
      </c>
      <c r="C230" s="12">
        <f t="shared" si="914"/>
        <v>-3243.64833</v>
      </c>
      <c r="D230" s="12">
        <f t="shared" si="914"/>
        <v>-4426.6142620000001</v>
      </c>
      <c r="E230" s="12">
        <f t="shared" si="914"/>
        <v>-314.66911500000003</v>
      </c>
      <c r="F230" s="12">
        <f t="shared" si="914"/>
        <v>-887.02959199999998</v>
      </c>
      <c r="G230" s="12">
        <f t="shared" si="914"/>
        <v>-3087.97948</v>
      </c>
      <c r="H230" s="12">
        <f t="shared" ref="H230:I230" si="927">H56*H$202</f>
        <v>-1059.8747089817425</v>
      </c>
      <c r="I230" s="12">
        <f t="shared" si="927"/>
        <v>-401.5947090887509</v>
      </c>
      <c r="J230" s="12">
        <f t="shared" ref="J230" si="928">J56*J$202</f>
        <v>-4146.1152252125412</v>
      </c>
      <c r="K230" s="12">
        <f t="shared" ref="K230" si="929">K56*K$202</f>
        <v>-5447.5978217797074</v>
      </c>
      <c r="L230" s="102"/>
      <c r="M230" s="12">
        <f t="shared" ref="M230:Y230" si="930">M56*M$202</f>
        <v>-225.59735600000002</v>
      </c>
      <c r="N230" s="12">
        <f t="shared" si="930"/>
        <v>-342.90620799999999</v>
      </c>
      <c r="O230" s="12">
        <f t="shared" si="930"/>
        <v>-222.76619000000002</v>
      </c>
      <c r="P230" s="12">
        <f t="shared" si="930"/>
        <v>-102.35654000000001</v>
      </c>
      <c r="Q230" s="12">
        <f t="shared" si="930"/>
        <v>-228.21431000000001</v>
      </c>
      <c r="R230" s="12">
        <f t="shared" si="930"/>
        <v>-1689.2008579999999</v>
      </c>
      <c r="S230" s="12">
        <f t="shared" si="930"/>
        <v>-379.187658</v>
      </c>
      <c r="T230" s="12">
        <f t="shared" si="930"/>
        <v>-788.09399900000005</v>
      </c>
      <c r="U230" s="12">
        <f t="shared" si="930"/>
        <v>-394.29215499999998</v>
      </c>
      <c r="V230" s="12">
        <f t="shared" si="930"/>
        <v>-450.57512000000003</v>
      </c>
      <c r="W230" s="12">
        <f t="shared" si="930"/>
        <v>-90.742007999999998</v>
      </c>
      <c r="X230" s="12">
        <f t="shared" si="930"/>
        <v>-128.66597928765296</v>
      </c>
      <c r="Y230" s="12">
        <f t="shared" si="930"/>
        <v>-41.397080950947938</v>
      </c>
      <c r="Z230" s="12">
        <f t="shared" ref="Z230" si="931">Z56*Z$202</f>
        <v>-62.823946694302336</v>
      </c>
      <c r="AA230" s="12">
        <f t="shared" si="920"/>
        <v>-92.726292705618278</v>
      </c>
      <c r="AB230" s="12">
        <f t="shared" si="920"/>
        <v>-196.674982082805</v>
      </c>
      <c r="AC230" s="12">
        <f t="shared" si="920"/>
        <v>-979.50962015546611</v>
      </c>
      <c r="AD230" s="12">
        <f t="shared" si="920"/>
        <v>-1307.1801762523853</v>
      </c>
      <c r="AE230" s="12">
        <f t="shared" ref="AE230:AG230" si="932">AE56*AE$202</f>
        <v>-949.59798668849203</v>
      </c>
      <c r="AF230" s="12">
        <f t="shared" si="932"/>
        <v>-913.8017903607639</v>
      </c>
      <c r="AG230" s="12">
        <f t="shared" si="932"/>
        <v>-2245.0390539654795</v>
      </c>
    </row>
    <row r="231" spans="2:33" ht="13.5" customHeight="1">
      <c r="B231" s="16" t="str">
        <f t="shared" si="913"/>
        <v>Cash interest paid</v>
      </c>
      <c r="C231" s="12">
        <f t="shared" si="914"/>
        <v>-114.560361</v>
      </c>
      <c r="D231" s="12">
        <f t="shared" si="914"/>
        <v>-204.711726</v>
      </c>
      <c r="E231" s="12">
        <f t="shared" si="914"/>
        <v>-244.99168500000002</v>
      </c>
      <c r="F231" s="12">
        <f t="shared" si="914"/>
        <v>-210.58330799999999</v>
      </c>
      <c r="G231" s="12">
        <f t="shared" si="914"/>
        <v>-383.74208800000002</v>
      </c>
      <c r="H231" s="12">
        <f t="shared" ref="H231:I231" si="933">H57*H$202</f>
        <v>-966.13466486950131</v>
      </c>
      <c r="I231" s="12">
        <f t="shared" si="933"/>
        <v>-928.58629097747507</v>
      </c>
      <c r="J231" s="12">
        <f t="shared" ref="J231" si="934">J57*J$202</f>
        <v>-660.74923051177041</v>
      </c>
      <c r="K231" s="12">
        <f t="shared" ref="K231" si="935">K57*K$202</f>
        <v>-684.48818197169874</v>
      </c>
      <c r="L231" s="102"/>
      <c r="M231" s="12">
        <f t="shared" ref="M231:Y231" si="936">M57*M$202</f>
        <v>-50.407434000000002</v>
      </c>
      <c r="N231" s="12">
        <f t="shared" si="936"/>
        <v>-43.650019999999998</v>
      </c>
      <c r="O231" s="12">
        <f t="shared" si="936"/>
        <v>-70.996420999999998</v>
      </c>
      <c r="P231" s="12">
        <f t="shared" si="936"/>
        <v>-45.297915000000003</v>
      </c>
      <c r="Q231" s="12">
        <f t="shared" si="936"/>
        <v>-79.191959999999995</v>
      </c>
      <c r="R231" s="12">
        <f t="shared" si="936"/>
        <v>-68.883470000000003</v>
      </c>
      <c r="S231" s="12">
        <f t="shared" si="936"/>
        <v>-97.50591</v>
      </c>
      <c r="T231" s="12">
        <f t="shared" si="936"/>
        <v>-133.998392</v>
      </c>
      <c r="U231" s="12">
        <f t="shared" si="936"/>
        <v>-168.15956</v>
      </c>
      <c r="V231" s="12">
        <f t="shared" si="936"/>
        <v>-226.89268000000001</v>
      </c>
      <c r="W231" s="12">
        <f t="shared" si="936"/>
        <v>321.73773599999998</v>
      </c>
      <c r="X231" s="12">
        <f t="shared" si="936"/>
        <v>-887.78714500159219</v>
      </c>
      <c r="Y231" s="12">
        <f t="shared" si="936"/>
        <v>-313.18010833584111</v>
      </c>
      <c r="Z231" s="12">
        <f t="shared" ref="Z231" si="937">Z57*Z$202</f>
        <v>-214.58754497485788</v>
      </c>
      <c r="AA231" s="12">
        <f t="shared" si="920"/>
        <v>-266.21059859856905</v>
      </c>
      <c r="AB231" s="12">
        <f t="shared" si="920"/>
        <v>-141.76498153150669</v>
      </c>
      <c r="AC231" s="12">
        <f t="shared" si="920"/>
        <v>-220.01212856276533</v>
      </c>
      <c r="AD231" s="12">
        <f t="shared" si="920"/>
        <v>-124.97980888123332</v>
      </c>
      <c r="AE231" s="12">
        <f t="shared" ref="AE231:AG231" si="938">AE57*AE$202</f>
        <v>-227.02827433532599</v>
      </c>
      <c r="AF231" s="12">
        <f t="shared" si="938"/>
        <v>-89.646414102024337</v>
      </c>
      <c r="AG231" s="12">
        <f t="shared" si="938"/>
        <v>-242.51488420362682</v>
      </c>
    </row>
    <row r="232" spans="2:33" s="19" customFormat="1" ht="13.5" customHeight="1" thickBot="1">
      <c r="B232" s="24" t="str">
        <f t="shared" si="913"/>
        <v xml:space="preserve">Net cash from operations </v>
      </c>
      <c r="C232" s="23">
        <f t="shared" si="914"/>
        <v>19356.914115</v>
      </c>
      <c r="D232" s="23">
        <f t="shared" si="914"/>
        <v>5964.8788199999999</v>
      </c>
      <c r="E232" s="23">
        <f t="shared" si="914"/>
        <v>10686.064152000001</v>
      </c>
      <c r="F232" s="23">
        <f t="shared" si="914"/>
        <v>16064.896986</v>
      </c>
      <c r="G232" s="23">
        <f t="shared" si="914"/>
        <v>10681.64388</v>
      </c>
      <c r="H232" s="23">
        <f t="shared" ref="H232:I232" si="939">H58*H$202</f>
        <v>3030.6143548584732</v>
      </c>
      <c r="I232" s="23">
        <f t="shared" si="939"/>
        <v>21479.015377502401</v>
      </c>
      <c r="J232" s="23">
        <f t="shared" ref="J232" si="940">J58*J$202</f>
        <v>34123.286527860626</v>
      </c>
      <c r="K232" s="23">
        <f t="shared" ref="K232" si="941">K58*K$202</f>
        <v>42193.685336063958</v>
      </c>
      <c r="L232" s="25"/>
      <c r="M232" s="23">
        <f t="shared" ref="M232:Y232" si="942">M58*M$202</f>
        <v>3078.0368840000001</v>
      </c>
      <c r="N232" s="23">
        <f t="shared" si="942"/>
        <v>3208.9548359999999</v>
      </c>
      <c r="O232" s="23">
        <f t="shared" si="942"/>
        <v>4756.3744460000007</v>
      </c>
      <c r="P232" s="23">
        <f t="shared" si="942"/>
        <v>4938.4385700000003</v>
      </c>
      <c r="Q232" s="23">
        <f t="shared" si="942"/>
        <v>4624.65625</v>
      </c>
      <c r="R232" s="23">
        <f t="shared" si="942"/>
        <v>2981.3064359999998</v>
      </c>
      <c r="S232" s="23">
        <f t="shared" si="942"/>
        <v>2222.2129500000001</v>
      </c>
      <c r="T232" s="23">
        <f t="shared" si="942"/>
        <v>1078.5891819999999</v>
      </c>
      <c r="U232" s="23">
        <f t="shared" si="942"/>
        <v>-1017.96916</v>
      </c>
      <c r="V232" s="23">
        <f t="shared" si="942"/>
        <v>312.56368000000003</v>
      </c>
      <c r="W232" s="23">
        <f t="shared" si="942"/>
        <v>1968.5081279999999</v>
      </c>
      <c r="X232" s="23">
        <f t="shared" si="942"/>
        <v>1712.9527982896393</v>
      </c>
      <c r="Y232" s="23">
        <f t="shared" si="942"/>
        <v>3717.8648811315074</v>
      </c>
      <c r="Z232" s="23">
        <f t="shared" ref="Z232" si="943">Z58*Z$202</f>
        <v>4541.533779493654</v>
      </c>
      <c r="AA232" s="23">
        <f t="shared" si="920"/>
        <v>6451.5834397820327</v>
      </c>
      <c r="AB232" s="23">
        <f t="shared" si="920"/>
        <v>6633.3804233971005</v>
      </c>
      <c r="AC232" s="23">
        <f t="shared" si="920"/>
        <v>6786.7812448315781</v>
      </c>
      <c r="AD232" s="23">
        <f t="shared" si="920"/>
        <v>6002.1348981152569</v>
      </c>
      <c r="AE232" s="23">
        <f t="shared" ref="AE232:AG232" si="944">AE58*AE$202</f>
        <v>9574.9843160726014</v>
      </c>
      <c r="AF232" s="23">
        <f t="shared" si="944"/>
        <v>11706.213117809051</v>
      </c>
      <c r="AG232" s="23">
        <f t="shared" si="944"/>
        <v>14646.141714004807</v>
      </c>
    </row>
    <row r="233" spans="2:33" ht="13.5" customHeight="1" thickTop="1">
      <c r="B233" s="16" t="str">
        <f t="shared" si="913"/>
        <v>Net Capex</v>
      </c>
      <c r="C233" s="26">
        <f t="shared" si="914"/>
        <v>-14457.092327999999</v>
      </c>
      <c r="D233" s="26">
        <f t="shared" si="914"/>
        <v>-11911.241035999999</v>
      </c>
      <c r="E233" s="26">
        <f t="shared" si="914"/>
        <v>-8498.127477</v>
      </c>
      <c r="F233" s="26">
        <f t="shared" si="914"/>
        <v>-10843.451429999999</v>
      </c>
      <c r="G233" s="26">
        <f t="shared" si="914"/>
        <v>-14500.757368</v>
      </c>
      <c r="H233" s="26">
        <f t="shared" ref="H233:I233" si="945">H59*H$202</f>
        <v>-5196.447279745129</v>
      </c>
      <c r="I233" s="26">
        <f t="shared" si="945"/>
        <v>-11564.671819953106</v>
      </c>
      <c r="J233" s="26">
        <f t="shared" ref="J233" si="946">J59*J$202</f>
        <v>-19265.518595594534</v>
      </c>
      <c r="K233" s="26">
        <f t="shared" ref="K233" si="947">K59*K$202</f>
        <v>-20208.218336778518</v>
      </c>
      <c r="L233" s="102"/>
      <c r="M233" s="26">
        <f t="shared" ref="M233:Y233" si="948">M59*M$202</f>
        <v>-3577.869072</v>
      </c>
      <c r="N233" s="26">
        <f t="shared" si="948"/>
        <v>-2586.3754079999999</v>
      </c>
      <c r="O233" s="26">
        <f t="shared" si="948"/>
        <v>-2405.319943</v>
      </c>
      <c r="P233" s="26">
        <f t="shared" si="948"/>
        <v>-2311.7053700000001</v>
      </c>
      <c r="Q233" s="26">
        <f t="shared" si="948"/>
        <v>-4326.40571</v>
      </c>
      <c r="R233" s="26">
        <f t="shared" si="948"/>
        <v>-3623.7516860000001</v>
      </c>
      <c r="S233" s="26">
        <f t="shared" si="948"/>
        <v>-3572.0299980000004</v>
      </c>
      <c r="T233" s="26">
        <f t="shared" si="948"/>
        <v>-3042.522461</v>
      </c>
      <c r="U233" s="26">
        <f t="shared" si="948"/>
        <v>-2470.1194650000002</v>
      </c>
      <c r="V233" s="26">
        <f t="shared" si="948"/>
        <v>-1466.5750400000002</v>
      </c>
      <c r="W233" s="26">
        <f t="shared" si="948"/>
        <v>-102.987348</v>
      </c>
      <c r="X233" s="26">
        <f t="shared" si="948"/>
        <v>-1193.1631059422905</v>
      </c>
      <c r="Y233" s="26">
        <f t="shared" si="948"/>
        <v>-2327.9040024074629</v>
      </c>
      <c r="Z233" s="26">
        <f t="shared" ref="Z233" si="949">Z59*Z$202</f>
        <v>-1512.0820896067028</v>
      </c>
      <c r="AA233" s="26">
        <f t="shared" si="920"/>
        <v>-2573.6755443651105</v>
      </c>
      <c r="AB233" s="26">
        <f t="shared" si="920"/>
        <v>-4993.8544021169855</v>
      </c>
      <c r="AC233" s="26">
        <f t="shared" si="920"/>
        <v>-4298.8946468934346</v>
      </c>
      <c r="AD233" s="26">
        <f t="shared" si="920"/>
        <v>-3075.0230500382377</v>
      </c>
      <c r="AE233" s="26">
        <f t="shared" ref="AE233:AG233" si="950">AE59*AE$202</f>
        <v>-3606.4639413889831</v>
      </c>
      <c r="AF233" s="26">
        <f t="shared" si="950"/>
        <v>-8166.4959589197097</v>
      </c>
      <c r="AG233" s="26">
        <f t="shared" si="950"/>
        <v>-5218.149169761853</v>
      </c>
    </row>
    <row r="234" spans="2:33" ht="13.5" customHeight="1">
      <c r="B234" s="16" t="str">
        <f t="shared" si="913"/>
        <v>Purchase of intangible assets</v>
      </c>
      <c r="C234" s="26">
        <f t="shared" si="914"/>
        <v>-845.92176299999994</v>
      </c>
      <c r="D234" s="26">
        <f t="shared" si="914"/>
        <v>-578.25560699999994</v>
      </c>
      <c r="E234" s="26">
        <f t="shared" si="914"/>
        <v>-679.22886600000004</v>
      </c>
      <c r="F234" s="26">
        <f t="shared" si="914"/>
        <v>-849.37067999999999</v>
      </c>
      <c r="G234" s="26">
        <f t="shared" si="914"/>
        <v>-572.37992799999995</v>
      </c>
      <c r="H234" s="26">
        <f t="shared" ref="H234:I234" si="951">H60*H$202</f>
        <v>-347.86331331944615</v>
      </c>
      <c r="I234" s="26">
        <f t="shared" si="951"/>
        <v>-507.29839247116792</v>
      </c>
      <c r="J234" s="26">
        <f t="shared" ref="J234" si="952">J60*J$202</f>
        <v>-744.80104193358557</v>
      </c>
      <c r="K234" s="26">
        <f t="shared" ref="K234" si="953">K60*K$202</f>
        <v>-769.44900254624952</v>
      </c>
      <c r="L234" s="102"/>
      <c r="M234" s="26">
        <f t="shared" ref="M234:Y234" si="954">M60*M$202</f>
        <v>-222.31965600000001</v>
      </c>
      <c r="N234" s="26">
        <f t="shared" si="954"/>
        <v>-276.61990400000002</v>
      </c>
      <c r="O234" s="26">
        <f t="shared" si="954"/>
        <v>-147.837941</v>
      </c>
      <c r="P234" s="26">
        <f t="shared" si="954"/>
        <v>-205.190505</v>
      </c>
      <c r="Q234" s="26">
        <f t="shared" si="954"/>
        <v>-164.46200999999999</v>
      </c>
      <c r="R234" s="26">
        <f t="shared" si="954"/>
        <v>-115.469832</v>
      </c>
      <c r="S234" s="26">
        <f t="shared" si="954"/>
        <v>-132.21601200000001</v>
      </c>
      <c r="T234" s="26">
        <f t="shared" si="954"/>
        <v>-159.952584</v>
      </c>
      <c r="U234" s="26">
        <f t="shared" si="954"/>
        <v>-129.14113499999999</v>
      </c>
      <c r="V234" s="26">
        <f t="shared" si="954"/>
        <v>-73.732160000000007</v>
      </c>
      <c r="W234" s="26">
        <f t="shared" si="954"/>
        <v>-68.685918000000001</v>
      </c>
      <c r="X234" s="26">
        <f t="shared" si="954"/>
        <v>-77.754696668738916</v>
      </c>
      <c r="Y234" s="26">
        <f t="shared" si="954"/>
        <v>-79.507222389407161</v>
      </c>
      <c r="Z234" s="26">
        <f t="shared" ref="Z234" si="955">Z60*Z$202</f>
        <v>-110.90124871370082</v>
      </c>
      <c r="AA234" s="26">
        <f t="shared" si="920"/>
        <v>-183.47005530409871</v>
      </c>
      <c r="AB234" s="26">
        <f t="shared" si="920"/>
        <v>-131.81887094106622</v>
      </c>
      <c r="AC234" s="26">
        <f t="shared" si="920"/>
        <v>-117.47133248800927</v>
      </c>
      <c r="AD234" s="26">
        <f t="shared" si="920"/>
        <v>-207.25164923917004</v>
      </c>
      <c r="AE234" s="26">
        <f t="shared" ref="AE234:AG234" si="956">AE60*AE$202</f>
        <v>-160.56231386603403</v>
      </c>
      <c r="AF234" s="26">
        <f t="shared" si="956"/>
        <v>-258.94455679253485</v>
      </c>
      <c r="AG234" s="26">
        <f t="shared" si="956"/>
        <v>-141.98915774524798</v>
      </c>
    </row>
    <row r="235" spans="2:33" ht="13.5" customHeight="1">
      <c r="B235" s="16" t="str">
        <f t="shared" si="913"/>
        <v>Disposals/ Acquistion, of subsidiaries, businesses</v>
      </c>
      <c r="C235" s="26">
        <f t="shared" si="914"/>
        <v>0</v>
      </c>
      <c r="D235" s="26">
        <f t="shared" si="914"/>
        <v>-2.1148579999999999</v>
      </c>
      <c r="E235" s="26">
        <f t="shared" si="914"/>
        <v>0</v>
      </c>
      <c r="F235" s="26">
        <f t="shared" si="914"/>
        <v>-6336.5760380000002</v>
      </c>
      <c r="G235" s="26">
        <f t="shared" si="914"/>
        <v>-797.46648800000003</v>
      </c>
      <c r="H235" s="26">
        <f t="shared" ref="H235:I235" si="957">H61*H$202</f>
        <v>0</v>
      </c>
      <c r="I235" s="26">
        <f t="shared" si="957"/>
        <v>0</v>
      </c>
      <c r="J235" s="26">
        <f t="shared" ref="J235" si="958">J61*J$202</f>
        <v>-2167.5096286977264</v>
      </c>
      <c r="K235" s="26">
        <f t="shared" ref="K235" si="959">K61*K$202</f>
        <v>-2162.6118111919836</v>
      </c>
      <c r="L235" s="102"/>
      <c r="M235" s="26">
        <f t="shared" ref="M235:Y235" si="960">M61*M$202</f>
        <v>0</v>
      </c>
      <c r="N235" s="26">
        <f t="shared" si="960"/>
        <v>0</v>
      </c>
      <c r="O235" s="26">
        <f t="shared" si="960"/>
        <v>0</v>
      </c>
      <c r="P235" s="26">
        <f t="shared" si="960"/>
        <v>-6126.323515</v>
      </c>
      <c r="Q235" s="26">
        <f t="shared" si="960"/>
        <v>-500.05425000000002</v>
      </c>
      <c r="R235" s="26">
        <f t="shared" si="960"/>
        <v>0</v>
      </c>
      <c r="S235" s="26">
        <f t="shared" si="960"/>
        <v>-317.61543600000005</v>
      </c>
      <c r="T235" s="26">
        <f t="shared" si="960"/>
        <v>0</v>
      </c>
      <c r="U235" s="26">
        <f t="shared" si="960"/>
        <v>0</v>
      </c>
      <c r="V235" s="26">
        <f t="shared" si="960"/>
        <v>0</v>
      </c>
      <c r="W235" s="26">
        <f t="shared" si="960"/>
        <v>0</v>
      </c>
      <c r="X235" s="26">
        <f t="shared" si="960"/>
        <v>0</v>
      </c>
      <c r="Y235" s="26">
        <f t="shared" si="960"/>
        <v>0</v>
      </c>
      <c r="Z235" s="26">
        <f t="shared" ref="Z235" si="961">Z61*Z$202</f>
        <v>0</v>
      </c>
      <c r="AA235" s="26">
        <f t="shared" si="920"/>
        <v>0</v>
      </c>
      <c r="AB235" s="26">
        <f t="shared" si="920"/>
        <v>0</v>
      </c>
      <c r="AC235" s="26">
        <f t="shared" si="920"/>
        <v>0</v>
      </c>
      <c r="AD235" s="26">
        <f t="shared" si="920"/>
        <v>0</v>
      </c>
      <c r="AE235" s="26">
        <f t="shared" ref="AE235:AG235" si="962">AE61*AE$202</f>
        <v>-2220.8318610872748</v>
      </c>
      <c r="AF235" s="26">
        <f t="shared" si="962"/>
        <v>0</v>
      </c>
      <c r="AG235" s="26">
        <f t="shared" si="962"/>
        <v>0</v>
      </c>
    </row>
    <row r="236" spans="2:33" s="19" customFormat="1" ht="13.5" customHeight="1" thickBot="1">
      <c r="B236" s="24" t="str">
        <f t="shared" si="913"/>
        <v xml:space="preserve">Free cash flow </v>
      </c>
      <c r="C236" s="23">
        <f t="shared" si="914"/>
        <v>4053.900024</v>
      </c>
      <c r="D236" s="23">
        <f t="shared" si="914"/>
        <v>-6526.7326809999995</v>
      </c>
      <c r="E236" s="23">
        <f t="shared" si="914"/>
        <v>1508.707809</v>
      </c>
      <c r="F236" s="23">
        <f t="shared" si="914"/>
        <v>-1964.501162</v>
      </c>
      <c r="G236" s="23">
        <f t="shared" si="914"/>
        <v>-5188.9599040000003</v>
      </c>
      <c r="H236" s="23">
        <f t="shared" ref="H236:I236" si="963">H62*H$202</f>
        <v>-2513.6962382061024</v>
      </c>
      <c r="I236" s="23">
        <f t="shared" si="963"/>
        <v>9407.0451650781288</v>
      </c>
      <c r="J236" s="23">
        <f t="shared" ref="J236" si="964">J62*J$202</f>
        <v>11945.457261634781</v>
      </c>
      <c r="K236" s="23">
        <f t="shared" ref="K236" si="965">K62*K$202</f>
        <v>19053.406185547206</v>
      </c>
      <c r="L236" s="25"/>
      <c r="M236" s="23">
        <f t="shared" ref="M236:Y236" si="966">M62*M$202</f>
        <v>-722.15184399999998</v>
      </c>
      <c r="N236" s="23">
        <f t="shared" si="966"/>
        <v>345.95952399999999</v>
      </c>
      <c r="O236" s="23">
        <f t="shared" si="966"/>
        <v>2203.2165620000001</v>
      </c>
      <c r="P236" s="23">
        <f t="shared" si="966"/>
        <v>-3704.7808200000004</v>
      </c>
      <c r="Q236" s="23">
        <f t="shared" si="966"/>
        <v>-366.26571999999999</v>
      </c>
      <c r="R236" s="23">
        <f t="shared" si="966"/>
        <v>-757.91508199999998</v>
      </c>
      <c r="S236" s="23">
        <f t="shared" si="966"/>
        <v>-1799.648496</v>
      </c>
      <c r="T236" s="23">
        <f t="shared" si="966"/>
        <v>-2123.885863</v>
      </c>
      <c r="U236" s="23">
        <f t="shared" si="966"/>
        <v>-3617.2297600000002</v>
      </c>
      <c r="V236" s="23">
        <f t="shared" si="966"/>
        <v>-1227.74352</v>
      </c>
      <c r="W236" s="23">
        <f t="shared" si="966"/>
        <v>1796.8348619999999</v>
      </c>
      <c r="X236" s="23">
        <f t="shared" si="966"/>
        <v>442.0349956786099</v>
      </c>
      <c r="Y236" s="23">
        <f t="shared" si="966"/>
        <v>1310.4536563346373</v>
      </c>
      <c r="Z236" s="23">
        <f t="shared" ref="Z236" si="967">Z62*Z$202</f>
        <v>2918.5504411732509</v>
      </c>
      <c r="AA236" s="23">
        <f t="shared" si="920"/>
        <v>3694.4378401128233</v>
      </c>
      <c r="AB236" s="23">
        <f t="shared" si="920"/>
        <v>1507.7071503390484</v>
      </c>
      <c r="AC236" s="23">
        <f t="shared" si="920"/>
        <v>2370.4152654501349</v>
      </c>
      <c r="AD236" s="23">
        <f t="shared" si="920"/>
        <v>2719.8601988378491</v>
      </c>
      <c r="AE236" s="23">
        <f t="shared" ref="AE236:AG236" si="968">AE62*AE$202</f>
        <v>3587.1261997303086</v>
      </c>
      <c r="AF236" s="23">
        <f t="shared" si="968"/>
        <v>3280.7726020968066</v>
      </c>
      <c r="AG236" s="23">
        <f t="shared" si="968"/>
        <v>9286.0033864977049</v>
      </c>
    </row>
    <row r="237" spans="2:33" s="19" customFormat="1" ht="13.5" customHeight="1" thickTop="1">
      <c r="B237" s="16" t="str">
        <f t="shared" si="913"/>
        <v xml:space="preserve">Other Investing </v>
      </c>
      <c r="C237" s="26">
        <f t="shared" si="914"/>
        <v>-4175.71875</v>
      </c>
      <c r="D237" s="26">
        <f t="shared" si="914"/>
        <v>3514.2574769999997</v>
      </c>
      <c r="E237" s="26">
        <f t="shared" si="914"/>
        <v>-875.13731400000006</v>
      </c>
      <c r="F237" s="26">
        <f t="shared" si="914"/>
        <v>-1541.4519499999999</v>
      </c>
      <c r="G237" s="26">
        <f t="shared" si="914"/>
        <v>1992.8168880000001</v>
      </c>
      <c r="H237" s="26">
        <f t="shared" ref="H237:I237" si="969">H63*H$202</f>
        <v>-72.898541845362089</v>
      </c>
      <c r="I237" s="26">
        <f t="shared" si="969"/>
        <v>-1024.7950827162854</v>
      </c>
      <c r="J237" s="26">
        <f t="shared" ref="J237" si="970">J63*J$202</f>
        <v>-11642.102768712119</v>
      </c>
      <c r="K237" s="26">
        <f t="shared" ref="K237" si="971">K63*K$202</f>
        <v>-17215.399297679862</v>
      </c>
      <c r="L237" s="102"/>
      <c r="M237" s="26">
        <f t="shared" ref="M237:Y237" si="972">M63*M$202</f>
        <v>-1484.7298520000002</v>
      </c>
      <c r="N237" s="26">
        <f t="shared" si="972"/>
        <v>-245.00831600000001</v>
      </c>
      <c r="O237" s="26">
        <f t="shared" si="972"/>
        <v>-2927.7249110000002</v>
      </c>
      <c r="P237" s="26">
        <f t="shared" si="972"/>
        <v>3005.5543050000001</v>
      </c>
      <c r="Q237" s="26">
        <f t="shared" si="972"/>
        <v>462.75903</v>
      </c>
      <c r="R237" s="26">
        <f t="shared" si="972"/>
        <v>187.44037399999999</v>
      </c>
      <c r="S237" s="26">
        <f t="shared" si="972"/>
        <v>550.75338900000008</v>
      </c>
      <c r="T237" s="26">
        <f t="shared" si="972"/>
        <v>764.38986799999998</v>
      </c>
      <c r="U237" s="26">
        <f t="shared" si="972"/>
        <v>144.390545</v>
      </c>
      <c r="V237" s="26">
        <f t="shared" si="972"/>
        <v>-149.70176000000001</v>
      </c>
      <c r="W237" s="26">
        <f t="shared" si="972"/>
        <v>-90.443303999999998</v>
      </c>
      <c r="X237" s="26">
        <f t="shared" si="972"/>
        <v>27.704659519946627</v>
      </c>
      <c r="Y237" s="26">
        <f t="shared" si="972"/>
        <v>-449.4387601564851</v>
      </c>
      <c r="Z237" s="26">
        <f t="shared" ref="Z237" si="973">Z63*Z$202</f>
        <v>179.95343779420674</v>
      </c>
      <c r="AA237" s="26">
        <f t="shared" si="920"/>
        <v>86.644318592957404</v>
      </c>
      <c r="AB237" s="26">
        <f t="shared" si="920"/>
        <v>-809.9612712938972</v>
      </c>
      <c r="AC237" s="26">
        <f t="shared" si="920"/>
        <v>-1247.1821765257182</v>
      </c>
      <c r="AD237" s="26">
        <f t="shared" si="920"/>
        <v>-4187.6923516756842</v>
      </c>
      <c r="AE237" s="26">
        <f t="shared" ref="AE237:AG237" si="974">AE63*AE$202</f>
        <v>-4283.9187464395682</v>
      </c>
      <c r="AF237" s="26">
        <f t="shared" si="974"/>
        <v>-2023.8862009704114</v>
      </c>
      <c r="AG237" s="26">
        <f t="shared" si="974"/>
        <v>-6680.2941337120383</v>
      </c>
    </row>
    <row r="238" spans="2:33" ht="13.5" customHeight="1">
      <c r="B238" s="16" t="str">
        <f t="shared" si="913"/>
        <v>Equity Issuance</v>
      </c>
      <c r="C238" s="26">
        <f t="shared" ref="C238:G244" si="975">C64*C$202</f>
        <v>-1578.4912259999999</v>
      </c>
      <c r="D238" s="26">
        <f t="shared" si="975"/>
        <v>0</v>
      </c>
      <c r="E238" s="26">
        <f t="shared" si="975"/>
        <v>0</v>
      </c>
      <c r="F238" s="26">
        <f t="shared" si="975"/>
        <v>0</v>
      </c>
      <c r="G238" s="26">
        <f t="shared" si="975"/>
        <v>0</v>
      </c>
      <c r="H238" s="26">
        <f t="shared" ref="H238:I238" si="976">H64*H$202</f>
        <v>0</v>
      </c>
      <c r="I238" s="26">
        <f t="shared" si="976"/>
        <v>0</v>
      </c>
      <c r="J238" s="26">
        <f t="shared" ref="J238" si="977">J64*J$202</f>
        <v>0</v>
      </c>
      <c r="K238" s="26">
        <f t="shared" ref="K238" si="978">K64*K$202</f>
        <v>0</v>
      </c>
      <c r="L238" s="102"/>
      <c r="M238" s="26">
        <f t="shared" ref="M238:Y238" si="979">M64*M$202</f>
        <v>0</v>
      </c>
      <c r="N238" s="26">
        <f t="shared" si="979"/>
        <v>0</v>
      </c>
      <c r="O238" s="26">
        <f t="shared" si="979"/>
        <v>0</v>
      </c>
      <c r="P238" s="26">
        <f t="shared" si="979"/>
        <v>0</v>
      </c>
      <c r="Q238" s="26">
        <f t="shared" si="979"/>
        <v>0</v>
      </c>
      <c r="R238" s="26">
        <f t="shared" si="979"/>
        <v>0</v>
      </c>
      <c r="S238" s="26">
        <f t="shared" si="979"/>
        <v>0</v>
      </c>
      <c r="T238" s="26">
        <f t="shared" si="979"/>
        <v>0</v>
      </c>
      <c r="U238" s="26">
        <f t="shared" si="979"/>
        <v>0</v>
      </c>
      <c r="V238" s="26">
        <f t="shared" si="979"/>
        <v>0</v>
      </c>
      <c r="W238" s="26">
        <f t="shared" si="979"/>
        <v>0</v>
      </c>
      <c r="X238" s="26">
        <f t="shared" si="979"/>
        <v>0</v>
      </c>
      <c r="Y238" s="26">
        <f t="shared" si="979"/>
        <v>0</v>
      </c>
      <c r="Z238" s="26">
        <f t="shared" ref="Z238" si="980">Z64*Z$202</f>
        <v>0</v>
      </c>
      <c r="AA238" s="26">
        <f t="shared" si="920"/>
        <v>0</v>
      </c>
      <c r="AB238" s="26">
        <f t="shared" si="920"/>
        <v>0</v>
      </c>
      <c r="AC238" s="26">
        <f t="shared" si="920"/>
        <v>0</v>
      </c>
      <c r="AD238" s="26">
        <f t="shared" si="920"/>
        <v>0</v>
      </c>
      <c r="AE238" s="26">
        <f t="shared" ref="AE238:AG238" si="981">AE64*AE$202</f>
        <v>0</v>
      </c>
      <c r="AF238" s="26">
        <f t="shared" si="981"/>
        <v>0</v>
      </c>
      <c r="AG238" s="26">
        <f t="shared" si="981"/>
        <v>0</v>
      </c>
    </row>
    <row r="239" spans="2:33" ht="13.5" customHeight="1">
      <c r="B239" s="16" t="str">
        <f t="shared" si="913"/>
        <v>Dividends</v>
      </c>
      <c r="C239" s="26">
        <f t="shared" si="975"/>
        <v>-641.75581799999998</v>
      </c>
      <c r="D239" s="26">
        <f t="shared" si="975"/>
        <v>-881.33657699999992</v>
      </c>
      <c r="E239" s="26">
        <f t="shared" si="975"/>
        <v>-580.71769800000004</v>
      </c>
      <c r="F239" s="26">
        <f t="shared" si="975"/>
        <v>-703.59097599999996</v>
      </c>
      <c r="G239" s="26">
        <f t="shared" si="975"/>
        <v>-1304.38228</v>
      </c>
      <c r="H239" s="26">
        <f t="shared" ref="H239:I239" si="982">H65*H$202</f>
        <v>-632.25631050116408</v>
      </c>
      <c r="I239" s="26">
        <f t="shared" si="982"/>
        <v>-601.07617770780007</v>
      </c>
      <c r="J239" s="26">
        <f t="shared" ref="J239" si="983">J65*J$202</f>
        <v>-1183.181897048994</v>
      </c>
      <c r="K239" s="26">
        <f t="shared" ref="K239" si="984">K65*K$202</f>
        <v>-1180.5083176880912</v>
      </c>
      <c r="L239" s="102"/>
      <c r="M239" s="26">
        <f t="shared" ref="M239:Y239" si="985">M65*M$202</f>
        <v>0</v>
      </c>
      <c r="N239" s="26">
        <f t="shared" si="985"/>
        <v>-713.85154399999999</v>
      </c>
      <c r="O239" s="26">
        <f t="shared" si="985"/>
        <v>0</v>
      </c>
      <c r="P239" s="26">
        <f t="shared" si="985"/>
        <v>-4.0069900000000001</v>
      </c>
      <c r="Q239" s="26">
        <f t="shared" si="985"/>
        <v>0</v>
      </c>
      <c r="R239" s="26">
        <f t="shared" si="985"/>
        <v>-1007.0413160000001</v>
      </c>
      <c r="S239" s="26">
        <f t="shared" si="985"/>
        <v>-154.10311200000001</v>
      </c>
      <c r="T239" s="26">
        <f t="shared" si="985"/>
        <v>-152.03941499999999</v>
      </c>
      <c r="U239" s="26">
        <f t="shared" si="985"/>
        <v>0</v>
      </c>
      <c r="V239" s="26">
        <f t="shared" si="985"/>
        <v>-313.66112000000004</v>
      </c>
      <c r="W239" s="26">
        <f t="shared" si="985"/>
        <v>-157.298136</v>
      </c>
      <c r="X239" s="26">
        <f t="shared" si="985"/>
        <v>-156.50634562023322</v>
      </c>
      <c r="Y239" s="26">
        <f t="shared" si="985"/>
        <v>0</v>
      </c>
      <c r="Z239" s="26">
        <f t="shared" ref="Z239" si="986">Z65*Z$202</f>
        <v>-301.43262711555167</v>
      </c>
      <c r="AA239" s="26">
        <f t="shared" si="920"/>
        <v>-152.53667865291325</v>
      </c>
      <c r="AB239" s="26">
        <f t="shared" si="920"/>
        <v>-142.44996967859308</v>
      </c>
      <c r="AC239" s="26">
        <f t="shared" si="920"/>
        <v>0</v>
      </c>
      <c r="AD239" s="26">
        <f t="shared" si="920"/>
        <v>-828.45339603896696</v>
      </c>
      <c r="AE239" s="26">
        <f t="shared" ref="AE239:AG239" si="987">AE65*AE$202</f>
        <v>-186.70796166631814</v>
      </c>
      <c r="AF239" s="26">
        <f t="shared" si="987"/>
        <v>-181.61118664890571</v>
      </c>
      <c r="AG239" s="26">
        <f t="shared" si="987"/>
        <v>0</v>
      </c>
    </row>
    <row r="240" spans="2:33" ht="13.5" customHeight="1">
      <c r="B240" s="16" t="str">
        <f t="shared" si="913"/>
        <v>Net Change in debt</v>
      </c>
      <c r="C240" s="26">
        <f t="shared" si="975"/>
        <v>951.90389099999993</v>
      </c>
      <c r="D240" s="26">
        <f t="shared" si="975"/>
        <v>4172.9842039999994</v>
      </c>
      <c r="E240" s="26">
        <f t="shared" si="975"/>
        <v>791.23913400000004</v>
      </c>
      <c r="F240" s="26">
        <f t="shared" si="975"/>
        <v>4622.455774</v>
      </c>
      <c r="G240" s="26">
        <f t="shared" si="975"/>
        <v>3485.0400559999998</v>
      </c>
      <c r="H240" s="26">
        <f t="shared" ref="H240:I240" si="988">H66*H$202</f>
        <v>4983.3568190172773</v>
      </c>
      <c r="I240" s="26">
        <f t="shared" si="988"/>
        <v>-5802.9027196242459</v>
      </c>
      <c r="J240" s="26">
        <f t="shared" ref="J240" si="989">J66*J$202</f>
        <v>120.44531395416502</v>
      </c>
      <c r="K240" s="26">
        <f t="shared" ref="K240" si="990">K66*K$202</f>
        <v>-2263.674692022872</v>
      </c>
      <c r="L240" s="102"/>
      <c r="M240" s="26">
        <f t="shared" ref="M240:Y240" si="991">M66*M$202</f>
        <v>1781.563752</v>
      </c>
      <c r="N240" s="26">
        <f t="shared" si="991"/>
        <v>219.88870399999999</v>
      </c>
      <c r="O240" s="26">
        <f t="shared" si="991"/>
        <v>107.350296</v>
      </c>
      <c r="P240" s="26">
        <f t="shared" si="991"/>
        <v>2479.2494350000002</v>
      </c>
      <c r="Q240" s="26">
        <f t="shared" si="991"/>
        <v>145.51228</v>
      </c>
      <c r="R240" s="26">
        <f t="shared" si="991"/>
        <v>271.98867000000001</v>
      </c>
      <c r="S240" s="26">
        <f t="shared" si="991"/>
        <v>784.36792800000001</v>
      </c>
      <c r="T240" s="26">
        <f t="shared" si="991"/>
        <v>2154.351232</v>
      </c>
      <c r="U240" s="26">
        <f t="shared" si="991"/>
        <v>3907.9929750000001</v>
      </c>
      <c r="V240" s="26">
        <f t="shared" si="991"/>
        <v>1899.1320800000001</v>
      </c>
      <c r="W240" s="26">
        <f t="shared" si="991"/>
        <v>412.34410800000001</v>
      </c>
      <c r="X240" s="26">
        <f t="shared" si="991"/>
        <v>-1145.7438097981835</v>
      </c>
      <c r="Y240" s="26">
        <f t="shared" si="991"/>
        <v>-708.1778513391514</v>
      </c>
      <c r="Z240" s="26">
        <f t="shared" ref="Z240" si="992">Z66*Z$202</f>
        <v>-2738.9341779727197</v>
      </c>
      <c r="AA240" s="26">
        <f t="shared" si="920"/>
        <v>-1882.1520604284037</v>
      </c>
      <c r="AB240" s="26">
        <f t="shared" si="920"/>
        <v>-505.95264347538455</v>
      </c>
      <c r="AC240" s="26">
        <f t="shared" si="920"/>
        <v>339.92640167594686</v>
      </c>
      <c r="AD240" s="26">
        <f t="shared" si="920"/>
        <v>-452.86999778433739</v>
      </c>
      <c r="AE240" s="26">
        <f t="shared" ref="AE240:AG240" si="993">AE66*AE$202</f>
        <v>1162.1956056159277</v>
      </c>
      <c r="AF240" s="26">
        <f t="shared" si="993"/>
        <v>-897.39521144063997</v>
      </c>
      <c r="AG240" s="26">
        <f t="shared" si="993"/>
        <v>-1981.0820406379723</v>
      </c>
    </row>
    <row r="241" spans="2:33" ht="13.5" customHeight="1">
      <c r="B241" s="16" t="str">
        <f t="shared" si="913"/>
        <v>Other financing activities</v>
      </c>
      <c r="C241" s="26">
        <f t="shared" si="975"/>
        <v>0</v>
      </c>
      <c r="D241" s="26">
        <f t="shared" si="975"/>
        <v>4.0501849999999999</v>
      </c>
      <c r="E241" s="26">
        <f t="shared" si="975"/>
        <v>3.47241</v>
      </c>
      <c r="F241" s="26">
        <f t="shared" si="975"/>
        <v>7.4167639999999997</v>
      </c>
      <c r="G241" s="26">
        <f t="shared" si="975"/>
        <v>9.0559200000000004</v>
      </c>
      <c r="H241" s="26">
        <f t="shared" ref="H241:I241" si="994">H67*H$202</f>
        <v>11.757137605685578</v>
      </c>
      <c r="I241" s="26">
        <f t="shared" si="994"/>
        <v>72.639958202880266</v>
      </c>
      <c r="J241" s="26">
        <f t="shared" ref="J241" si="995">J67*J$202</f>
        <v>45.770753557103419</v>
      </c>
      <c r="K241" s="26">
        <f t="shared" ref="K241" si="996">K67*K$202</f>
        <v>-0.34548051310967559</v>
      </c>
      <c r="L241" s="102"/>
      <c r="M241" s="26">
        <f t="shared" ref="M241:Y241" si="997">M67*M$202</f>
        <v>-74.939896000000005</v>
      </c>
      <c r="N241" s="26">
        <f t="shared" si="997"/>
        <v>-69.069344000000001</v>
      </c>
      <c r="O241" s="26">
        <f t="shared" si="997"/>
        <v>-65.027050000000003</v>
      </c>
      <c r="P241" s="26">
        <f t="shared" si="997"/>
        <v>206.78840000000002</v>
      </c>
      <c r="Q241" s="26">
        <f t="shared" si="997"/>
        <v>0</v>
      </c>
      <c r="R241" s="26">
        <f t="shared" si="997"/>
        <v>5.1760859999999997</v>
      </c>
      <c r="S241" s="26">
        <f t="shared" si="997"/>
        <v>2.2424940000000002</v>
      </c>
      <c r="T241" s="26">
        <f t="shared" si="997"/>
        <v>1.5838130000000001</v>
      </c>
      <c r="U241" s="26">
        <f t="shared" si="997"/>
        <v>2.3871850000000001</v>
      </c>
      <c r="V241" s="26">
        <f t="shared" si="997"/>
        <v>-7.2777600000000007</v>
      </c>
      <c r="W241" s="26">
        <f t="shared" si="997"/>
        <v>4.3815</v>
      </c>
      <c r="X241" s="26">
        <f t="shared" si="997"/>
        <v>12.234082879713728</v>
      </c>
      <c r="Y241" s="26">
        <f t="shared" si="997"/>
        <v>23.803791754438759</v>
      </c>
      <c r="Z241" s="26">
        <f t="shared" ref="Z241" si="998">Z67*Z$202</f>
        <v>31.168215091117421</v>
      </c>
      <c r="AA241" s="26">
        <f t="shared" si="920"/>
        <v>10.930866184755562</v>
      </c>
      <c r="AB241" s="26">
        <f t="shared" si="920"/>
        <v>7.3805060918462981</v>
      </c>
      <c r="AC241" s="26">
        <f t="shared" si="920"/>
        <v>10.764099454214676</v>
      </c>
      <c r="AD241" s="26">
        <f t="shared" si="920"/>
        <v>9.2543223288757996</v>
      </c>
      <c r="AE241" s="26">
        <f t="shared" ref="AE241:AG241" si="999">AE67*AE$202</f>
        <v>15.940639038917773</v>
      </c>
      <c r="AF241" s="26">
        <f t="shared" si="999"/>
        <v>9.9118623478987082</v>
      </c>
      <c r="AG241" s="26">
        <f t="shared" si="999"/>
        <v>-34.074584880926373</v>
      </c>
    </row>
    <row r="242" spans="2:33" s="19" customFormat="1" ht="13.5" customHeight="1" thickBot="1">
      <c r="B242" s="24" t="str">
        <f t="shared" si="913"/>
        <v>Cash flow after financing activities</v>
      </c>
      <c r="C242" s="23">
        <f t="shared" si="975"/>
        <v>-1390.161879</v>
      </c>
      <c r="D242" s="23">
        <f t="shared" si="975"/>
        <v>283.22260799999998</v>
      </c>
      <c r="E242" s="23">
        <f t="shared" si="975"/>
        <v>847.56434100000001</v>
      </c>
      <c r="F242" s="23">
        <f t="shared" si="975"/>
        <v>420.32844999999998</v>
      </c>
      <c r="G242" s="23">
        <f t="shared" si="975"/>
        <v>-1006.42932</v>
      </c>
      <c r="H242" s="23">
        <f t="shared" ref="H242:I242" si="1000">H68*H$202</f>
        <v>1776.2628660703344</v>
      </c>
      <c r="I242" s="23">
        <f t="shared" si="1000"/>
        <v>2050.9111432326772</v>
      </c>
      <c r="J242" s="23">
        <f t="shared" ref="J242" si="1001">J68*J$202</f>
        <v>-713.61133661506233</v>
      </c>
      <c r="K242" s="23">
        <f t="shared" ref="K242" si="1002">K68*K$202</f>
        <v>-1606.5216023567289</v>
      </c>
      <c r="L242" s="25"/>
      <c r="M242" s="23">
        <f t="shared" ref="M242:Y242" si="1003">M68*M$202</f>
        <v>-500.25784000000004</v>
      </c>
      <c r="N242" s="23">
        <f t="shared" si="1003"/>
        <v>-462.08097600000002</v>
      </c>
      <c r="O242" s="23">
        <f t="shared" si="1003"/>
        <v>-682.18510300000003</v>
      </c>
      <c r="P242" s="23">
        <f t="shared" si="1003"/>
        <v>1982.8043300000002</v>
      </c>
      <c r="Q242" s="23">
        <f t="shared" si="1003"/>
        <v>242.00559000000001</v>
      </c>
      <c r="R242" s="23">
        <f t="shared" si="1003"/>
        <v>-1300.3512679999999</v>
      </c>
      <c r="S242" s="23">
        <f t="shared" si="1003"/>
        <v>-616.38779700000009</v>
      </c>
      <c r="T242" s="23">
        <f t="shared" si="1003"/>
        <v>644.39963499999999</v>
      </c>
      <c r="U242" s="23">
        <f t="shared" si="1003"/>
        <v>437.54094500000002</v>
      </c>
      <c r="V242" s="23">
        <f t="shared" si="1003"/>
        <v>200.74792000000002</v>
      </c>
      <c r="W242" s="23">
        <f t="shared" si="1003"/>
        <v>1965.8190299999999</v>
      </c>
      <c r="X242" s="23">
        <f t="shared" si="1003"/>
        <v>-820.27641734014651</v>
      </c>
      <c r="Y242" s="23">
        <f t="shared" si="1003"/>
        <v>176.64083659343967</v>
      </c>
      <c r="Z242" s="23">
        <f t="shared" ref="Z242" si="1004">Z68*Z$202</f>
        <v>89.30528897030382</v>
      </c>
      <c r="AA242" s="23">
        <f t="shared" si="920"/>
        <v>1757.3242858092194</v>
      </c>
      <c r="AB242" s="23">
        <f t="shared" si="920"/>
        <v>56.723771983020015</v>
      </c>
      <c r="AC242" s="23">
        <f t="shared" si="920"/>
        <v>1473.9235900545787</v>
      </c>
      <c r="AD242" s="23">
        <f t="shared" si="920"/>
        <v>-2739.9012243322632</v>
      </c>
      <c r="AE242" s="23">
        <f t="shared" ref="AE242:AG242" si="1005">AE68*AE$202</f>
        <v>294.63573627926769</v>
      </c>
      <c r="AF242" s="23">
        <f t="shared" si="1005"/>
        <v>187.79186538474812</v>
      </c>
      <c r="AG242" s="23">
        <f t="shared" si="1005"/>
        <v>590.55262726676858</v>
      </c>
    </row>
    <row r="243" spans="2:33" s="19" customFormat="1" ht="13.5" customHeight="1" thickTop="1">
      <c r="B243" s="16" t="str">
        <f t="shared" si="913"/>
        <v>Balancing figure</v>
      </c>
      <c r="C243" s="26">
        <f t="shared" si="975"/>
        <v>844.15103099999999</v>
      </c>
      <c r="D243" s="26">
        <f t="shared" si="975"/>
        <v>-320.37349899999998</v>
      </c>
      <c r="E243" s="26">
        <f t="shared" si="975"/>
        <v>-278.80311</v>
      </c>
      <c r="F243" s="26">
        <f t="shared" si="975"/>
        <v>1399.3334319999999</v>
      </c>
      <c r="G243" s="26">
        <f t="shared" si="975"/>
        <v>943.59271999999999</v>
      </c>
      <c r="H243" s="26">
        <f t="shared" ref="H243:I243" si="1006">H69*H$202</f>
        <v>222.81966058081119</v>
      </c>
      <c r="I243" s="26">
        <f t="shared" si="1006"/>
        <v>580.70649635516736</v>
      </c>
      <c r="J243" s="26">
        <f t="shared" ref="J243" si="1007">J69*J$202</f>
        <v>3330.7462169774681</v>
      </c>
      <c r="K243" s="26">
        <f t="shared" ref="K243" si="1008">K69*K$202</f>
        <v>7651.6125232439927</v>
      </c>
      <c r="L243" s="102"/>
      <c r="M243" s="26">
        <f t="shared" ref="M243:Y243" si="1009">M69*M$202</f>
        <v>-173.10297</v>
      </c>
      <c r="N243" s="26">
        <f t="shared" si="1009"/>
        <v>854.74562000000003</v>
      </c>
      <c r="O243" s="26">
        <f t="shared" si="1009"/>
        <v>764.71034100000008</v>
      </c>
      <c r="P243" s="26">
        <f t="shared" si="1009"/>
        <v>-42.680105000000005</v>
      </c>
      <c r="Q243" s="26">
        <f t="shared" si="1009"/>
        <v>-304.43653</v>
      </c>
      <c r="R243" s="26">
        <f t="shared" si="1009"/>
        <v>953.80838000000006</v>
      </c>
      <c r="S243" s="26">
        <f t="shared" si="1009"/>
        <v>745.54783200000008</v>
      </c>
      <c r="T243" s="26">
        <f t="shared" si="1009"/>
        <v>-454.40840500000002</v>
      </c>
      <c r="U243" s="26">
        <f t="shared" si="1009"/>
        <v>-502.08756999999997</v>
      </c>
      <c r="V243" s="26">
        <f t="shared" si="1009"/>
        <v>670.23336000000006</v>
      </c>
      <c r="W243" s="26">
        <f t="shared" si="1009"/>
        <v>-1141.7190780000001</v>
      </c>
      <c r="X243" s="26">
        <f t="shared" si="1009"/>
        <v>1172.8283119285531</v>
      </c>
      <c r="Y243" s="26">
        <f t="shared" si="1009"/>
        <v>420.76060788444175</v>
      </c>
      <c r="Z243" s="26">
        <f t="shared" ref="Z243" si="1010">Z69*Z$202</f>
        <v>-415.94573094635132</v>
      </c>
      <c r="AA243" s="26">
        <f t="shared" si="920"/>
        <v>-869.90467611291194</v>
      </c>
      <c r="AB243" s="26">
        <f t="shared" si="920"/>
        <v>1369.3671095429738</v>
      </c>
      <c r="AC243" s="26">
        <f t="shared" si="920"/>
        <v>-541.57340536964557</v>
      </c>
      <c r="AD243" s="26">
        <f t="shared" si="920"/>
        <v>250.67005925110601</v>
      </c>
      <c r="AE243" s="26">
        <f t="shared" ref="AE243:AG243" si="1011">AE69*AE$202</f>
        <v>959.50446000418242</v>
      </c>
      <c r="AF243" s="26">
        <f t="shared" si="1011"/>
        <v>2648.3846031735075</v>
      </c>
      <c r="AG243" s="26">
        <f t="shared" si="1011"/>
        <v>3672.0224765129997</v>
      </c>
    </row>
    <row r="244" spans="2:33" ht="13.5" customHeight="1">
      <c r="B244" s="16" t="str">
        <f t="shared" si="913"/>
        <v xml:space="preserve">FX </v>
      </c>
      <c r="C244" s="26">
        <f t="shared" si="975"/>
        <v>-3.458745</v>
      </c>
      <c r="D244" s="26">
        <f t="shared" si="975"/>
        <v>18.282097</v>
      </c>
      <c r="E244" s="26">
        <f t="shared" si="975"/>
        <v>-47.809737000000005</v>
      </c>
      <c r="F244" s="26">
        <f t="shared" si="975"/>
        <v>161.08606599999999</v>
      </c>
      <c r="G244" s="26">
        <f t="shared" si="975"/>
        <v>155.555408</v>
      </c>
      <c r="H244" s="26">
        <f t="shared" ref="H244:I244" si="1012">H70*H$202</f>
        <v>-22.965169709594413</v>
      </c>
      <c r="I244" s="26">
        <f t="shared" si="1012"/>
        <v>385.87681905312303</v>
      </c>
      <c r="J244" s="26">
        <f t="shared" ref="J244" si="1013">J70*J$202</f>
        <v>-109.25159003126612</v>
      </c>
      <c r="K244" s="26">
        <f t="shared" ref="K244" si="1014">K70*K$202</f>
        <v>214.37206277688341</v>
      </c>
      <c r="L244" s="102"/>
      <c r="M244" s="26">
        <f t="shared" ref="M244:Y244" si="1015">M70*M$202</f>
        <v>25.261638000000001</v>
      </c>
      <c r="N244" s="26">
        <f t="shared" si="1015"/>
        <v>5.1245399999999997</v>
      </c>
      <c r="O244" s="26">
        <f t="shared" si="1015"/>
        <v>112.93218</v>
      </c>
      <c r="P244" s="26">
        <f t="shared" si="1015"/>
        <v>16.539185</v>
      </c>
      <c r="Q244" s="26">
        <f t="shared" si="1015"/>
        <v>53.000480000000003</v>
      </c>
      <c r="R244" s="26">
        <f t="shared" si="1015"/>
        <v>303.62480599999998</v>
      </c>
      <c r="S244" s="26">
        <f t="shared" si="1015"/>
        <v>68.783013000000011</v>
      </c>
      <c r="T244" s="26">
        <f t="shared" si="1015"/>
        <v>-249.014612</v>
      </c>
      <c r="U244" s="26">
        <f t="shared" si="1015"/>
        <v>54.251350000000002</v>
      </c>
      <c r="V244" s="26">
        <f t="shared" si="1015"/>
        <v>-13.896600000000001</v>
      </c>
      <c r="W244" s="26">
        <f t="shared" si="1015"/>
        <v>50.058065999999997</v>
      </c>
      <c r="X244" s="26">
        <f t="shared" si="1015"/>
        <v>-111.07109823960214</v>
      </c>
      <c r="Y244" s="26">
        <f t="shared" si="1015"/>
        <v>108.77445079747217</v>
      </c>
      <c r="Z244" s="26">
        <f t="shared" ref="Z244" si="1016">Z70*Z$202</f>
        <v>56.04834295472957</v>
      </c>
      <c r="AA244" s="26">
        <f t="shared" si="920"/>
        <v>-131.34095825980373</v>
      </c>
      <c r="AB244" s="26">
        <f t="shared" si="920"/>
        <v>335.58768399581015</v>
      </c>
      <c r="AC244" s="26">
        <f t="shared" si="920"/>
        <v>26.789652130767958</v>
      </c>
      <c r="AD244" s="26">
        <f t="shared" si="920"/>
        <v>-265.6915368836348</v>
      </c>
      <c r="AE244" s="26">
        <f t="shared" ref="AE244:AG244" si="1017">AE70*AE$202</f>
        <v>174.08654643524162</v>
      </c>
      <c r="AF244" s="26">
        <f t="shared" si="1017"/>
        <v>-44.027414467826652</v>
      </c>
      <c r="AG244" s="26">
        <f t="shared" si="1017"/>
        <v>340.96911186366617</v>
      </c>
    </row>
    <row r="245" spans="2:33" s="19" customFormat="1" ht="13.5" customHeight="1" thickBot="1">
      <c r="B245" s="24" t="str">
        <f t="shared" ref="B245" si="1018">B72</f>
        <v xml:space="preserve">Net change in cash </v>
      </c>
      <c r="C245" s="23">
        <f>C72*C$202</f>
        <v>-546.01084800000001</v>
      </c>
      <c r="D245" s="23">
        <f>D72*D$202</f>
        <v>-37.150891000000001</v>
      </c>
      <c r="E245" s="23">
        <f>E72*E$202</f>
        <v>568.76123100000007</v>
      </c>
      <c r="F245" s="23">
        <f>F72*F$202</f>
        <v>1819.6618819999999</v>
      </c>
      <c r="G245" s="23">
        <f>G72*G$202</f>
        <v>-62.836599999999997</v>
      </c>
      <c r="H245" s="23">
        <f t="shared" ref="H245:I245" si="1019">H72*H$202</f>
        <v>1999.0825266511458</v>
      </c>
      <c r="I245" s="23">
        <f t="shared" si="1019"/>
        <v>2631.6176395878447</v>
      </c>
      <c r="J245" s="23">
        <f t="shared" ref="J245" si="1020">J72*J$202</f>
        <v>2617.134880362406</v>
      </c>
      <c r="K245" s="23">
        <f t="shared" ref="K245" si="1021">K72*K$202</f>
        <v>6045.0909208872645</v>
      </c>
      <c r="L245" s="25"/>
      <c r="M245" s="23">
        <f t="shared" ref="M245:Y245" si="1022">M72*M$202</f>
        <v>-673.36081000000001</v>
      </c>
      <c r="N245" s="23">
        <f t="shared" si="1022"/>
        <v>392.66464400000001</v>
      </c>
      <c r="O245" s="23">
        <f t="shared" si="1022"/>
        <v>82.525238000000002</v>
      </c>
      <c r="P245" s="23">
        <f t="shared" si="1022"/>
        <v>1940.124225</v>
      </c>
      <c r="Q245" s="23">
        <f t="shared" si="1022"/>
        <v>-62.43094</v>
      </c>
      <c r="R245" s="23">
        <f t="shared" si="1022"/>
        <v>-346.542888</v>
      </c>
      <c r="S245" s="23">
        <f t="shared" si="1022"/>
        <v>129.16003500000002</v>
      </c>
      <c r="T245" s="23">
        <f t="shared" si="1022"/>
        <v>189.99123</v>
      </c>
      <c r="U245" s="23">
        <f t="shared" si="1022"/>
        <v>-64.546625000000006</v>
      </c>
      <c r="V245" s="23">
        <f t="shared" si="1022"/>
        <v>870.98128000000008</v>
      </c>
      <c r="W245" s="23">
        <f t="shared" si="1022"/>
        <v>824.09995200000003</v>
      </c>
      <c r="X245" s="23">
        <f t="shared" si="1022"/>
        <v>352.55189458840658</v>
      </c>
      <c r="Y245" s="23">
        <f t="shared" si="1022"/>
        <v>597.40144447788145</v>
      </c>
      <c r="Z245" s="23">
        <f t="shared" ref="Z245" si="1023">Z72*Z$202</f>
        <v>-326.6404419760475</v>
      </c>
      <c r="AA245" s="23">
        <f>AA72*AA$202</f>
        <v>887.41960969630736</v>
      </c>
      <c r="AB245" s="23">
        <f>AB72*AB$202</f>
        <v>1426.0908815259938</v>
      </c>
      <c r="AC245" s="23">
        <f t="shared" ref="AC245:AD245" si="1024">AC72*AC$202</f>
        <v>932.35018468493308</v>
      </c>
      <c r="AD245" s="23">
        <f t="shared" si="1024"/>
        <v>-2489.2311650811575</v>
      </c>
      <c r="AE245" s="23">
        <f>AE72*AE$202</f>
        <v>1254.14019628345</v>
      </c>
      <c r="AF245" s="23">
        <f>AF72*AF$202</f>
        <v>2836.1764685582557</v>
      </c>
      <c r="AG245" s="23">
        <f t="shared" ref="AG245" si="1025">AG72*AG$202</f>
        <v>4262.5751037797681</v>
      </c>
    </row>
    <row r="246" spans="2:33" ht="13.5" customHeight="1" thickTop="1"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</row>
    <row r="247" spans="2:33" s="19" customFormat="1" ht="13.5" customHeight="1">
      <c r="B247" s="19" t="str">
        <f>+B114</f>
        <v>Total debt</v>
      </c>
      <c r="C247" s="25">
        <f t="shared" ref="C247:K247" si="1026">C114*C$203</f>
        <v>4727.3336149999996</v>
      </c>
      <c r="D247" s="25">
        <f t="shared" si="1026"/>
        <v>10532.596319999999</v>
      </c>
      <c r="E247" s="25">
        <f t="shared" si="1026"/>
        <v>11850.839516</v>
      </c>
      <c r="F247" s="25">
        <f t="shared" si="1026"/>
        <v>16085.639640000001</v>
      </c>
      <c r="G247" s="25">
        <f t="shared" si="1026"/>
        <v>19684.597890000001</v>
      </c>
      <c r="H247" s="25">
        <f t="shared" ref="H247:I247" si="1027">H114*H$203</f>
        <v>25107.004017305313</v>
      </c>
      <c r="I247" s="25">
        <f t="shared" si="1027"/>
        <v>17290.247613871812</v>
      </c>
      <c r="J247" s="25">
        <f t="shared" ref="J247" si="1028">J114*J$203</f>
        <v>17185.550665685609</v>
      </c>
      <c r="K247" s="25">
        <f t="shared" si="1026"/>
        <v>14489.547840745437</v>
      </c>
      <c r="L247" s="25"/>
      <c r="M247" s="25">
        <f t="shared" ref="M247:V247" si="1029">M114*M$203</f>
        <v>13525.222157999999</v>
      </c>
      <c r="N247" s="25">
        <f t="shared" si="1029"/>
        <v>13665.752464000001</v>
      </c>
      <c r="O247" s="25">
        <f t="shared" si="1029"/>
        <v>13340.173274999999</v>
      </c>
      <c r="P247" s="25">
        <f t="shared" si="1029"/>
        <v>16085.639640000001</v>
      </c>
      <c r="Q247" s="25">
        <f t="shared" si="1029"/>
        <v>16281.254612000001</v>
      </c>
      <c r="R247" s="25">
        <f t="shared" si="1029"/>
        <v>16250.43072</v>
      </c>
      <c r="S247" s="25">
        <f t="shared" si="1029"/>
        <v>20231.698724999998</v>
      </c>
      <c r="T247" s="25">
        <f t="shared" si="1029"/>
        <v>19684.597890000001</v>
      </c>
      <c r="U247" s="25">
        <f t="shared" si="1029"/>
        <v>23691.052073999999</v>
      </c>
      <c r="V247" s="25">
        <f t="shared" si="1029"/>
        <v>24786.592488000002</v>
      </c>
      <c r="W247" s="25">
        <f t="shared" ref="W247:Z247" si="1030">W114*W$203</f>
        <v>25556.417986999997</v>
      </c>
      <c r="X247" s="25">
        <f t="shared" si="1030"/>
        <v>25107.004017305313</v>
      </c>
      <c r="Y247" s="25">
        <f t="shared" si="1030"/>
        <v>24217.945267602914</v>
      </c>
      <c r="Z247" s="25">
        <f t="shared" si="1030"/>
        <v>20337.055036104088</v>
      </c>
      <c r="AA247" s="25">
        <f>AA114*AA$203</f>
        <v>18639.437817480502</v>
      </c>
      <c r="AB247" s="25">
        <f>AB114*AB$203</f>
        <v>17290.247613871812</v>
      </c>
      <c r="AC247" s="25">
        <f t="shared" ref="AC247:AD247" si="1031">AC114*AC$203</f>
        <v>17651.415373119122</v>
      </c>
      <c r="AD247" s="25">
        <f t="shared" si="1031"/>
        <v>18014.674660319055</v>
      </c>
      <c r="AE247" s="25">
        <f>AE114*AE$203</f>
        <v>18932.530944207843</v>
      </c>
      <c r="AF247" s="25">
        <f>AF114*AF$203</f>
        <v>17185.550665685609</v>
      </c>
      <c r="AG247" s="25">
        <f t="shared" ref="AG247" si="1032">AG114*AG$203</f>
        <v>14489.547840745437</v>
      </c>
    </row>
    <row r="248" spans="2:33" ht="13.5" customHeight="1">
      <c r="B248" s="16" t="str">
        <f>+B115</f>
        <v>Cash and cash equivalents</v>
      </c>
      <c r="C248" s="22">
        <f t="shared" ref="C248:K248" si="1033">(C115)*C$203</f>
        <v>2102.6405049999998</v>
      </c>
      <c r="D248" s="22">
        <f t="shared" si="1033"/>
        <v>1992.4444799999999</v>
      </c>
      <c r="E248" s="22">
        <f t="shared" si="1033"/>
        <v>2734.9338910000001</v>
      </c>
      <c r="F248" s="22">
        <f t="shared" si="1033"/>
        <v>4248.7048800000002</v>
      </c>
      <c r="G248" s="22">
        <f t="shared" si="1033"/>
        <v>3951.7435580000001</v>
      </c>
      <c r="H248" s="22">
        <f t="shared" ref="H248:I248" si="1034">(H115)*H$203</f>
        <v>5861.6571384425215</v>
      </c>
      <c r="I248" s="22">
        <f t="shared" si="1034"/>
        <v>7611.9133181617472</v>
      </c>
      <c r="J248" s="22">
        <f t="shared" ref="J248" si="1035">(J115)*J$203</f>
        <v>10359.266149296831</v>
      </c>
      <c r="K248" s="22">
        <f t="shared" si="1033"/>
        <v>14047.866628616181</v>
      </c>
      <c r="L248" s="22"/>
      <c r="M248" s="22">
        <f t="shared" ref="M248:V248" si="1036">(M115)*M$203</f>
        <v>1963.459008</v>
      </c>
      <c r="N248" s="22">
        <f t="shared" si="1036"/>
        <v>2357.0542840000003</v>
      </c>
      <c r="O248" s="22">
        <f t="shared" si="1036"/>
        <v>2322.8226569999997</v>
      </c>
      <c r="P248" s="22">
        <f t="shared" si="1036"/>
        <v>4248.7048800000002</v>
      </c>
      <c r="Q248" s="22">
        <f t="shared" si="1036"/>
        <v>4115.7630639999998</v>
      </c>
      <c r="R248" s="22">
        <f t="shared" si="1036"/>
        <v>3491.5676160000003</v>
      </c>
      <c r="S248" s="22">
        <f t="shared" si="1036"/>
        <v>3298.7326829999997</v>
      </c>
      <c r="T248" s="22">
        <f t="shared" si="1036"/>
        <v>3951.7435580000001</v>
      </c>
      <c r="U248" s="22">
        <f t="shared" si="1036"/>
        <v>3773.8769219999999</v>
      </c>
      <c r="V248" s="22">
        <f t="shared" si="1036"/>
        <v>4566.8523600000008</v>
      </c>
      <c r="W248" s="22">
        <f t="shared" ref="W248:Z248" si="1037">(W115)*W$203</f>
        <v>5263.3841339999999</v>
      </c>
      <c r="X248" s="22">
        <f t="shared" si="1037"/>
        <v>5861.6571384425215</v>
      </c>
      <c r="Y248" s="22">
        <f t="shared" si="1037"/>
        <v>6231.1034949334244</v>
      </c>
      <c r="Z248" s="22">
        <f t="shared" si="1037"/>
        <v>5746.1118393893084</v>
      </c>
      <c r="AA248" s="22">
        <f t="shared" ref="AA248:AD250" si="1038">(AA115)*AA$203</f>
        <v>6936.688407832894</v>
      </c>
      <c r="AB248" s="22">
        <f t="shared" si="1038"/>
        <v>7611.9133181617472</v>
      </c>
      <c r="AC248" s="22">
        <f t="shared" si="1038"/>
        <v>8531.0070989436499</v>
      </c>
      <c r="AD248" s="22">
        <f t="shared" si="1038"/>
        <v>6708.8361399825544</v>
      </c>
      <c r="AE248" s="22">
        <f t="shared" ref="AE248:AG248" si="1039">(AE115)*AE$203</f>
        <v>7701.8780178614661</v>
      </c>
      <c r="AF248" s="22">
        <f t="shared" si="1039"/>
        <v>10359.266149296831</v>
      </c>
      <c r="AG248" s="22">
        <f t="shared" si="1039"/>
        <v>14047.866628616181</v>
      </c>
    </row>
    <row r="249" spans="2:33" ht="13.5" customHeight="1">
      <c r="B249" s="16" t="str">
        <f>+B116</f>
        <v>Short-term financial instruments</v>
      </c>
      <c r="C249" s="22">
        <f t="shared" ref="C249:K249" si="1040">(C116)*C$203</f>
        <v>468.603205</v>
      </c>
      <c r="D249" s="22">
        <f t="shared" si="1040"/>
        <v>257.77440000000001</v>
      </c>
      <c r="E249" s="22">
        <f t="shared" si="1040"/>
        <v>401.33465200000001</v>
      </c>
      <c r="F249" s="22">
        <f t="shared" si="1040"/>
        <v>398.69508000000002</v>
      </c>
      <c r="G249" s="22">
        <f t="shared" si="1040"/>
        <v>330.00625000000002</v>
      </c>
      <c r="H249" s="22">
        <f t="shared" ref="H249:I249" si="1041">(H116)*H$203</f>
        <v>365.12438195302843</v>
      </c>
      <c r="I249" s="22">
        <f t="shared" si="1041"/>
        <v>1618.158350599504</v>
      </c>
      <c r="J249" s="22">
        <f t="shared" ref="J249" si="1042">(J116)*J$203</f>
        <v>10189.862003859451</v>
      </c>
      <c r="K249" s="22">
        <f t="shared" si="1040"/>
        <v>12092.140804502347</v>
      </c>
      <c r="L249" s="22"/>
      <c r="M249" s="22">
        <f t="shared" ref="M249:V249" si="1043">(M116)*M$203</f>
        <v>1195.885278</v>
      </c>
      <c r="N249" s="22">
        <f t="shared" si="1043"/>
        <v>500.50754000000001</v>
      </c>
      <c r="O249" s="22">
        <f t="shared" si="1043"/>
        <v>422.90862399999997</v>
      </c>
      <c r="P249" s="22">
        <f t="shared" si="1043"/>
        <v>398.69508000000002</v>
      </c>
      <c r="Q249" s="22">
        <f t="shared" si="1043"/>
        <v>337.25827800000002</v>
      </c>
      <c r="R249" s="22">
        <f t="shared" si="1043"/>
        <v>325.18655999999999</v>
      </c>
      <c r="S249" s="22">
        <f t="shared" si="1043"/>
        <v>397.206051</v>
      </c>
      <c r="T249" s="22">
        <f t="shared" si="1043"/>
        <v>330.00625000000002</v>
      </c>
      <c r="U249" s="22">
        <f t="shared" si="1043"/>
        <v>311.52871799999997</v>
      </c>
      <c r="V249" s="22">
        <f t="shared" si="1043"/>
        <v>333.96678000000003</v>
      </c>
      <c r="W249" s="22">
        <f t="shared" ref="W249:Z249" si="1044">(W116)*W$203</f>
        <v>380.84069399999998</v>
      </c>
      <c r="X249" s="22">
        <f t="shared" si="1044"/>
        <v>365.12438195302843</v>
      </c>
      <c r="Y249" s="22">
        <f t="shared" si="1044"/>
        <v>608.07083540878307</v>
      </c>
      <c r="Z249" s="22">
        <f t="shared" si="1044"/>
        <v>427.92291034452785</v>
      </c>
      <c r="AA249" s="22">
        <f t="shared" si="1038"/>
        <v>364.81423831254125</v>
      </c>
      <c r="AB249" s="22">
        <f t="shared" si="1038"/>
        <v>1618.158350599504</v>
      </c>
      <c r="AC249" s="22">
        <f t="shared" si="1038"/>
        <v>714.21215311979893</v>
      </c>
      <c r="AD249" s="22">
        <f t="shared" si="1038"/>
        <v>4597.8406789183437</v>
      </c>
      <c r="AE249" s="22">
        <f t="shared" ref="AE249:AG249" si="1045">(AE116)*AE$203</f>
        <v>9490.1612374834422</v>
      </c>
      <c r="AF249" s="22">
        <f t="shared" si="1045"/>
        <v>10189.862003859451</v>
      </c>
      <c r="AG249" s="22">
        <f t="shared" si="1045"/>
        <v>12092.140804502347</v>
      </c>
    </row>
    <row r="250" spans="2:33" ht="13.5" customHeight="1">
      <c r="B250" s="16" t="str">
        <f>+B117</f>
        <v>Short-term investment assets</v>
      </c>
      <c r="C250" s="22">
        <f t="shared" ref="C250:K250" si="1046">(C117)*C$203</f>
        <v>4919.3245399999996</v>
      </c>
      <c r="D250" s="22">
        <f t="shared" si="1046"/>
        <v>1201.213152</v>
      </c>
      <c r="E250" s="22">
        <f t="shared" si="1046"/>
        <v>1411.141042</v>
      </c>
      <c r="F250" s="22">
        <f t="shared" si="1046"/>
        <v>2637.53532</v>
      </c>
      <c r="G250" s="22">
        <f t="shared" si="1046"/>
        <v>806.98983999999996</v>
      </c>
      <c r="H250" s="22">
        <f t="shared" ref="H250:I250" si="1047">(H117)*H$203</f>
        <v>665.15142150803456</v>
      </c>
      <c r="I250" s="22">
        <f t="shared" si="1047"/>
        <v>386.69610407255192</v>
      </c>
      <c r="J250" s="22">
        <f t="shared" ref="J250" si="1048">(J117)*J$203</f>
        <v>3705.8821896128061</v>
      </c>
      <c r="K250" s="22">
        <f t="shared" si="1046"/>
        <v>9917.0955089363342</v>
      </c>
      <c r="L250" s="22"/>
      <c r="M250" s="22">
        <f t="shared" ref="M250:V250" si="1049">(M117)*M$203</f>
        <v>2122.3513079999998</v>
      </c>
      <c r="N250" s="22">
        <f t="shared" si="1049"/>
        <v>3010.0040880000001</v>
      </c>
      <c r="O250" s="22">
        <f t="shared" si="1049"/>
        <v>5675.3430069999995</v>
      </c>
      <c r="P250" s="22">
        <f t="shared" si="1049"/>
        <v>2637.53532</v>
      </c>
      <c r="Q250" s="22">
        <f t="shared" si="1049"/>
        <v>2151.8035140000002</v>
      </c>
      <c r="R250" s="22">
        <f t="shared" si="1049"/>
        <v>1939.866624</v>
      </c>
      <c r="S250" s="22">
        <f t="shared" si="1049"/>
        <v>1345.423317</v>
      </c>
      <c r="T250" s="22">
        <f t="shared" si="1049"/>
        <v>806.98983999999996</v>
      </c>
      <c r="U250" s="22">
        <f t="shared" si="1049"/>
        <v>645.63077399999997</v>
      </c>
      <c r="V250" s="22">
        <f t="shared" si="1049"/>
        <v>762.27631200000008</v>
      </c>
      <c r="W250" s="22">
        <f t="shared" ref="W250:Z250" si="1050">(W117)*W$203</f>
        <v>660.42212999999992</v>
      </c>
      <c r="X250" s="22">
        <f t="shared" si="1050"/>
        <v>665.15142150803456</v>
      </c>
      <c r="Y250" s="22">
        <f t="shared" si="1050"/>
        <v>832.35842954746522</v>
      </c>
      <c r="Z250" s="22">
        <f t="shared" si="1050"/>
        <v>842.58689244095513</v>
      </c>
      <c r="AA250" s="22">
        <f t="shared" si="1038"/>
        <v>942.83035056681422</v>
      </c>
      <c r="AB250" s="22">
        <f t="shared" si="1038"/>
        <v>386.69610407255192</v>
      </c>
      <c r="AC250" s="22">
        <f t="shared" si="1038"/>
        <v>476.58639312523354</v>
      </c>
      <c r="AD250" s="22">
        <f t="shared" si="1038"/>
        <v>1232.5258364504634</v>
      </c>
      <c r="AE250" s="22">
        <f t="shared" ref="AE250:AG250" si="1051">(AE117)*AE$203</f>
        <v>2645.3031748970898</v>
      </c>
      <c r="AF250" s="22">
        <f t="shared" si="1051"/>
        <v>3705.8821896128061</v>
      </c>
      <c r="AG250" s="22">
        <f t="shared" si="1051"/>
        <v>9917.0955089363342</v>
      </c>
    </row>
    <row r="251" spans="2:33" s="19" customFormat="1" ht="13.5" customHeight="1" thickBot="1">
      <c r="B251" s="24" t="str">
        <f>+B118</f>
        <v xml:space="preserve">Net debt </v>
      </c>
      <c r="C251" s="23">
        <f t="shared" ref="C251:F251" si="1052">C247-C248-C249-C250</f>
        <v>-2763.2346349999998</v>
      </c>
      <c r="D251" s="23">
        <f t="shared" si="1052"/>
        <v>7081.1642879999981</v>
      </c>
      <c r="E251" s="23">
        <f t="shared" si="1052"/>
        <v>7303.4299309999997</v>
      </c>
      <c r="F251" s="23">
        <f t="shared" si="1052"/>
        <v>8800.7043599999997</v>
      </c>
      <c r="G251" s="23">
        <f>G247-G248-G249-G250</f>
        <v>14595.858242</v>
      </c>
      <c r="H251" s="23">
        <f>H247-H248-H249-H250</f>
        <v>18215.071075401727</v>
      </c>
      <c r="I251" s="23">
        <f>I247-I248-I249-I250</f>
        <v>7673.479841038009</v>
      </c>
      <c r="J251" s="23">
        <f>J247-J248-J249-J250</f>
        <v>-7069.4596770834796</v>
      </c>
      <c r="K251" s="23">
        <f t="shared" ref="K251" si="1053">K247-K248-K249-K250</f>
        <v>-21567.555101309423</v>
      </c>
      <c r="L251" s="25"/>
      <c r="M251" s="23">
        <f t="shared" ref="M251:V251" si="1054">M247-M248-M249-M250</f>
        <v>8243.5265639999998</v>
      </c>
      <c r="N251" s="23">
        <f t="shared" si="1054"/>
        <v>7798.186552000001</v>
      </c>
      <c r="O251" s="23">
        <f t="shared" si="1054"/>
        <v>4919.0989870000012</v>
      </c>
      <c r="P251" s="23">
        <f t="shared" si="1054"/>
        <v>8800.7043599999997</v>
      </c>
      <c r="Q251" s="23">
        <f t="shared" si="1054"/>
        <v>9676.4297560000014</v>
      </c>
      <c r="R251" s="23">
        <f t="shared" si="1054"/>
        <v>10493.80992</v>
      </c>
      <c r="S251" s="23">
        <f t="shared" si="1054"/>
        <v>15190.336673999998</v>
      </c>
      <c r="T251" s="23">
        <f t="shared" si="1054"/>
        <v>14595.858242</v>
      </c>
      <c r="U251" s="23">
        <f t="shared" si="1054"/>
        <v>18960.015659999997</v>
      </c>
      <c r="V251" s="23">
        <f t="shared" si="1054"/>
        <v>19123.497036000001</v>
      </c>
      <c r="W251" s="23">
        <f t="shared" ref="W251:Z251" si="1055">W247-W248-W249-W250</f>
        <v>19251.771029</v>
      </c>
      <c r="X251" s="23">
        <f t="shared" si="1055"/>
        <v>18215.071075401727</v>
      </c>
      <c r="Y251" s="23">
        <f t="shared" si="1055"/>
        <v>16546.412507713241</v>
      </c>
      <c r="Z251" s="23">
        <f t="shared" si="1055"/>
        <v>13320.433393929296</v>
      </c>
      <c r="AA251" s="23">
        <f t="shared" ref="AA251:AD251" si="1056">AA247-AA248-AA249-AA250</f>
        <v>10395.104820768252</v>
      </c>
      <c r="AB251" s="23">
        <f t="shared" si="1056"/>
        <v>7673.479841038009</v>
      </c>
      <c r="AC251" s="23">
        <f t="shared" si="1056"/>
        <v>7929.6097279304395</v>
      </c>
      <c r="AD251" s="23">
        <f t="shared" si="1056"/>
        <v>5475.4720049676926</v>
      </c>
      <c r="AE251" s="23">
        <f t="shared" ref="AE251:AG251" si="1057">AE247-AE248-AE249-AE250</f>
        <v>-904.81148603415386</v>
      </c>
      <c r="AF251" s="23">
        <f t="shared" si="1057"/>
        <v>-7069.4596770834796</v>
      </c>
      <c r="AG251" s="23">
        <f t="shared" si="1057"/>
        <v>-21567.555101309423</v>
      </c>
    </row>
    <row r="252" spans="2:33" ht="13.5" customHeight="1" thickTop="1"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spans="2:33" ht="13.5" customHeight="1">
      <c r="B253" s="19" t="str">
        <f>B120</f>
        <v>Company reported net debt</v>
      </c>
      <c r="C253" s="40">
        <f t="shared" ref="C253:K253" si="1058">C120*C203</f>
        <v>-2763.2346349999998</v>
      </c>
      <c r="D253" s="40">
        <f t="shared" si="1058"/>
        <v>7081.1642879999999</v>
      </c>
      <c r="E253" s="40">
        <f t="shared" si="1058"/>
        <v>7303.4299309999997</v>
      </c>
      <c r="F253" s="40">
        <f t="shared" si="1058"/>
        <v>8800.7043599999997</v>
      </c>
      <c r="G253" s="40">
        <f t="shared" si="1058"/>
        <v>14595.858242</v>
      </c>
      <c r="H253" s="40">
        <f t="shared" ref="H253:I253" si="1059">H120*H203</f>
        <v>18215.071075401731</v>
      </c>
      <c r="I253" s="40">
        <f t="shared" si="1059"/>
        <v>7673.4798410380081</v>
      </c>
      <c r="J253" s="40">
        <f t="shared" ref="J253" si="1060">J120*J203</f>
        <v>-7069.4596770834787</v>
      </c>
      <c r="K253" s="40">
        <f t="shared" si="1058"/>
        <v>-23236.523158809905</v>
      </c>
      <c r="L253" s="22"/>
      <c r="M253" s="40">
        <f t="shared" ref="M253:O253" si="1061">M120*M203</f>
        <v>8243.5265639999998</v>
      </c>
      <c r="N253" s="40">
        <f t="shared" si="1061"/>
        <v>7798.1865520000001</v>
      </c>
      <c r="O253" s="40">
        <f t="shared" si="1061"/>
        <v>4919.0989869999994</v>
      </c>
      <c r="P253" s="40">
        <f t="shared" ref="P253:R253" si="1062">P120*P203</f>
        <v>8800.7043599999997</v>
      </c>
      <c r="Q253" s="40">
        <f t="shared" si="1062"/>
        <v>9676.4297559999995</v>
      </c>
      <c r="R253" s="40">
        <f t="shared" si="1062"/>
        <v>10493.80992</v>
      </c>
      <c r="S253" s="40">
        <f t="shared" ref="S253:V253" si="1063">S120*S203</f>
        <v>15190.336674</v>
      </c>
      <c r="T253" s="40">
        <f t="shared" si="1063"/>
        <v>14595.858242</v>
      </c>
      <c r="U253" s="40">
        <f t="shared" si="1063"/>
        <v>18960.015660000001</v>
      </c>
      <c r="V253" s="40">
        <f t="shared" si="1063"/>
        <v>19123.497036000001</v>
      </c>
      <c r="W253" s="40">
        <f t="shared" ref="W253:Z253" si="1064">W120*W203</f>
        <v>19251.771029</v>
      </c>
      <c r="X253" s="40">
        <f t="shared" si="1064"/>
        <v>18215.071075401731</v>
      </c>
      <c r="Y253" s="40">
        <f t="shared" si="1064"/>
        <v>16546.412507713238</v>
      </c>
      <c r="Z253" s="40">
        <f t="shared" si="1064"/>
        <v>13320.433393929297</v>
      </c>
      <c r="AA253" s="40">
        <f t="shared" ref="AA253:AD253" si="1065">AA120*AA203</f>
        <v>10395.104820768254</v>
      </c>
      <c r="AB253" s="40">
        <f t="shared" si="1065"/>
        <v>7673.4798410380081</v>
      </c>
      <c r="AC253" s="40">
        <f t="shared" si="1065"/>
        <v>6129.3346014062026</v>
      </c>
      <c r="AD253" s="40">
        <f t="shared" si="1065"/>
        <v>3606.574064491329</v>
      </c>
      <c r="AE253" s="40">
        <f t="shared" ref="AE253:AG253" si="1066">AE120*AE203</f>
        <v>-2688.9569416155082</v>
      </c>
      <c r="AF253" s="40">
        <f t="shared" si="1066"/>
        <v>-7069.4596770834787</v>
      </c>
      <c r="AG253" s="40">
        <f t="shared" si="1066"/>
        <v>-23236.523158809905</v>
      </c>
    </row>
    <row r="254" spans="2:33" ht="13.5" customHeight="1">
      <c r="B254" s="19"/>
      <c r="C254" s="40"/>
      <c r="D254" s="40"/>
      <c r="E254" s="40"/>
      <c r="F254" s="40"/>
      <c r="G254" s="40"/>
      <c r="H254" s="40"/>
      <c r="I254" s="40"/>
      <c r="J254" s="40"/>
      <c r="K254" s="40"/>
      <c r="L254" s="22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</row>
    <row r="255" spans="2:33" ht="13.5" customHeight="1">
      <c r="B255" s="2" t="s">
        <v>25</v>
      </c>
      <c r="C255" s="40"/>
      <c r="D255" s="40"/>
      <c r="E255" s="40"/>
      <c r="F255" s="40"/>
      <c r="G255" s="40"/>
      <c r="H255" s="40"/>
      <c r="I255" s="40"/>
      <c r="J255" s="40"/>
      <c r="K255" s="40"/>
      <c r="L255" s="22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</row>
    <row r="256" spans="2:33" ht="13.5" customHeight="1">
      <c r="B256" s="6" t="s">
        <v>26</v>
      </c>
      <c r="C256" s="41">
        <f>C107*C$203</f>
        <v>0</v>
      </c>
      <c r="D256" s="41">
        <f t="shared" ref="D256:K256" si="1067">D107*D$203</f>
        <v>253.299744</v>
      </c>
      <c r="E256" s="41">
        <f t="shared" si="1067"/>
        <v>319.31941599999999</v>
      </c>
      <c r="F256" s="41">
        <f t="shared" si="1067"/>
        <v>253.72956000000002</v>
      </c>
      <c r="G256" s="41">
        <f t="shared" si="1067"/>
        <v>223.01316199999999</v>
      </c>
      <c r="H256" s="41">
        <f t="shared" si="1067"/>
        <v>487.86851050679849</v>
      </c>
      <c r="I256" s="41">
        <f t="shared" si="1067"/>
        <v>399.68411399069328</v>
      </c>
      <c r="J256" s="41">
        <f t="shared" ref="J256" si="1068">J107*J$203</f>
        <v>379.90309727756107</v>
      </c>
      <c r="K256" s="41">
        <f t="shared" si="1067"/>
        <v>349.29219456187741</v>
      </c>
      <c r="L256" s="22"/>
      <c r="M256" s="41">
        <f t="shared" ref="M256:AB256" si="1069">M107*M$203</f>
        <v>325.20045599999997</v>
      </c>
      <c r="N256" s="41">
        <f t="shared" si="1069"/>
        <v>287.75172400000002</v>
      </c>
      <c r="O256" s="41">
        <f t="shared" si="1069"/>
        <v>256.57816700000001</v>
      </c>
      <c r="P256" s="41">
        <f t="shared" si="1069"/>
        <v>253.72956000000002</v>
      </c>
      <c r="Q256" s="41">
        <f t="shared" si="1069"/>
        <v>257.35351600000001</v>
      </c>
      <c r="R256" s="41">
        <f t="shared" si="1069"/>
        <v>256.50662399999999</v>
      </c>
      <c r="S256" s="41">
        <f t="shared" si="1069"/>
        <v>3795.4476749999999</v>
      </c>
      <c r="T256" s="41">
        <f t="shared" si="1069"/>
        <v>223.01316199999999</v>
      </c>
      <c r="U256" s="41">
        <f t="shared" si="1069"/>
        <v>249.71996099999998</v>
      </c>
      <c r="V256" s="41">
        <f t="shared" si="1069"/>
        <v>256.668048</v>
      </c>
      <c r="W256" s="41">
        <f t="shared" si="1069"/>
        <v>443.740679</v>
      </c>
      <c r="X256" s="41">
        <f t="shared" si="1069"/>
        <v>487.86851050679849</v>
      </c>
      <c r="Y256" s="41">
        <f t="shared" si="1069"/>
        <v>474.57344861682122</v>
      </c>
      <c r="Z256" s="41">
        <f t="shared" si="1069"/>
        <v>429.16500691663106</v>
      </c>
      <c r="AA256" s="41">
        <f t="shared" si="1069"/>
        <v>426.22759128632276</v>
      </c>
      <c r="AB256" s="41">
        <f t="shared" si="1069"/>
        <v>399.68411399069328</v>
      </c>
      <c r="AC256" s="41">
        <f t="shared" ref="AC256:AF256" si="1070">AC107*AC$203</f>
        <v>382.82191501647367</v>
      </c>
      <c r="AD256" s="41">
        <f t="shared" si="1070"/>
        <v>396.11381344530361</v>
      </c>
      <c r="AE256" s="41">
        <f t="shared" si="1070"/>
        <v>383.94889398493024</v>
      </c>
      <c r="AF256" s="41">
        <f t="shared" si="1070"/>
        <v>379.90309727756107</v>
      </c>
      <c r="AG256" s="41">
        <f t="shared" ref="AG256" si="1071">AG107*AG$203</f>
        <v>349.29219456187741</v>
      </c>
    </row>
    <row r="257" spans="2:35" ht="13.5" customHeight="1">
      <c r="B257" s="6" t="s">
        <v>27</v>
      </c>
      <c r="C257" s="41">
        <f>C108*C$203</f>
        <v>0</v>
      </c>
      <c r="D257" s="41">
        <f t="shared" ref="D257:K257" si="1072">D108*D$203</f>
        <v>1186.987392</v>
      </c>
      <c r="E257" s="41">
        <f t="shared" si="1072"/>
        <v>1191.255588</v>
      </c>
      <c r="F257" s="41">
        <f t="shared" si="1072"/>
        <v>1027.9105200000001</v>
      </c>
      <c r="G257" s="41">
        <f t="shared" si="1072"/>
        <v>1203.869152</v>
      </c>
      <c r="H257" s="41">
        <f t="shared" si="1072"/>
        <v>1852.8870519159457</v>
      </c>
      <c r="I257" s="41">
        <f t="shared" si="1072"/>
        <v>1480.9422234299107</v>
      </c>
      <c r="J257" s="41">
        <f t="shared" ref="J257" si="1073">J108*J$203</f>
        <v>1362.3627327123045</v>
      </c>
      <c r="K257" s="41">
        <f t="shared" si="1072"/>
        <v>1319.6758629386038</v>
      </c>
      <c r="L257" s="22"/>
      <c r="M257" s="41">
        <f t="shared" ref="M257:AB257" si="1074">M108*M$203</f>
        <v>1211.180922</v>
      </c>
      <c r="N257" s="41">
        <f t="shared" si="1074"/>
        <v>1138.1650280000001</v>
      </c>
      <c r="O257" s="41">
        <f t="shared" si="1074"/>
        <v>1064.4974319999999</v>
      </c>
      <c r="P257" s="41">
        <f t="shared" si="1074"/>
        <v>1027.9105200000001</v>
      </c>
      <c r="Q257" s="41">
        <f t="shared" si="1074"/>
        <v>1062.040238</v>
      </c>
      <c r="R257" s="41">
        <f t="shared" si="1074"/>
        <v>1108.4705280000001</v>
      </c>
      <c r="S257" s="41">
        <f t="shared" si="1074"/>
        <v>1043.2414229999999</v>
      </c>
      <c r="T257" s="41">
        <f t="shared" si="1074"/>
        <v>1203.869152</v>
      </c>
      <c r="U257" s="41">
        <f t="shared" si="1074"/>
        <v>1269.0891300000001</v>
      </c>
      <c r="V257" s="41">
        <f t="shared" si="1074"/>
        <v>1240.2021240000001</v>
      </c>
      <c r="W257" s="41">
        <f t="shared" si="1074"/>
        <v>1790.860823</v>
      </c>
      <c r="X257" s="41">
        <f t="shared" si="1074"/>
        <v>1852.8870519159457</v>
      </c>
      <c r="Y257" s="41">
        <f t="shared" si="1074"/>
        <v>1807.3623326320173</v>
      </c>
      <c r="Z257" s="41">
        <f t="shared" si="1074"/>
        <v>1636.4198648540987</v>
      </c>
      <c r="AA257" s="41">
        <f t="shared" si="1074"/>
        <v>1626.5631999757024</v>
      </c>
      <c r="AB257" s="41">
        <f t="shared" si="1074"/>
        <v>1480.9422234299107</v>
      </c>
      <c r="AC257" s="41">
        <f t="shared" ref="AC257:AF257" si="1075">AC108*AC$203</f>
        <v>1417.4532115077614</v>
      </c>
      <c r="AD257" s="41">
        <f t="shared" si="1075"/>
        <v>1472.784127031063</v>
      </c>
      <c r="AE257" s="41">
        <f t="shared" si="1075"/>
        <v>1400.196561596422</v>
      </c>
      <c r="AF257" s="41">
        <f t="shared" si="1075"/>
        <v>1362.3627327123045</v>
      </c>
      <c r="AG257" s="41">
        <f t="shared" ref="AG257" si="1076">AG108*AG$203</f>
        <v>1319.6758629386038</v>
      </c>
    </row>
    <row r="258" spans="2:35" ht="13.5" customHeight="1">
      <c r="B258" s="2" t="s">
        <v>181</v>
      </c>
      <c r="C258" s="163">
        <f>SUM(C256:C257)</f>
        <v>0</v>
      </c>
      <c r="D258" s="163">
        <f t="shared" ref="D258:M258" si="1077">SUM(D256:D257)</f>
        <v>1440.2871359999999</v>
      </c>
      <c r="E258" s="163">
        <f t="shared" si="1077"/>
        <v>1510.575004</v>
      </c>
      <c r="F258" s="163">
        <f t="shared" si="1077"/>
        <v>1281.6400800000001</v>
      </c>
      <c r="G258" s="163">
        <f t="shared" si="1077"/>
        <v>1426.882314</v>
      </c>
      <c r="H258" s="163">
        <f t="shared" si="1077"/>
        <v>2340.7555624227443</v>
      </c>
      <c r="I258" s="163">
        <f t="shared" si="1077"/>
        <v>1880.6263374206039</v>
      </c>
      <c r="J258" s="163">
        <f t="shared" ref="J258" si="1078">SUM(J256:J257)</f>
        <v>1742.2658299898656</v>
      </c>
      <c r="K258" s="163">
        <f t="shared" si="1077"/>
        <v>1668.9680575004813</v>
      </c>
      <c r="L258" s="18"/>
      <c r="M258" s="163">
        <f t="shared" si="1077"/>
        <v>1536.381378</v>
      </c>
      <c r="N258" s="163">
        <f t="shared" ref="N258" si="1079">SUM(N256:N257)</f>
        <v>1425.9167520000001</v>
      </c>
      <c r="O258" s="163">
        <f t="shared" ref="O258" si="1080">SUM(O256:O257)</f>
        <v>1321.0755989999998</v>
      </c>
      <c r="P258" s="163">
        <f t="shared" ref="P258" si="1081">SUM(P256:P257)</f>
        <v>1281.6400800000001</v>
      </c>
      <c r="Q258" s="163">
        <f t="shared" ref="Q258" si="1082">SUM(Q256:Q257)</f>
        <v>1319.3937540000002</v>
      </c>
      <c r="R258" s="163">
        <f t="shared" ref="R258" si="1083">SUM(R256:R257)</f>
        <v>1364.9771519999999</v>
      </c>
      <c r="S258" s="163">
        <f t="shared" ref="S258" si="1084">SUM(S256:S257)</f>
        <v>4838.6890979999998</v>
      </c>
      <c r="T258" s="163">
        <f t="shared" ref="T258" si="1085">SUM(T256:T257)</f>
        <v>1426.882314</v>
      </c>
      <c r="U258" s="163">
        <f t="shared" ref="U258" si="1086">SUM(U256:U257)</f>
        <v>1518.8090910000001</v>
      </c>
      <c r="V258" s="163">
        <f t="shared" ref="V258" si="1087">SUM(V256:V257)</f>
        <v>1496.8701720000001</v>
      </c>
      <c r="W258" s="163">
        <f t="shared" ref="W258" si="1088">SUM(W256:W257)</f>
        <v>2234.601502</v>
      </c>
      <c r="X258" s="163">
        <f t="shared" ref="X258" si="1089">SUM(X256:X257)</f>
        <v>2340.7555624227443</v>
      </c>
      <c r="Y258" s="163">
        <f t="shared" ref="Y258" si="1090">SUM(Y256:Y257)</f>
        <v>2281.9357812488388</v>
      </c>
      <c r="Z258" s="163">
        <f t="shared" ref="Z258" si="1091">SUM(Z256:Z257)</f>
        <v>2065.5848717707299</v>
      </c>
      <c r="AA258" s="163">
        <f t="shared" ref="AA258" si="1092">SUM(AA256:AA257)</f>
        <v>2052.7907912620253</v>
      </c>
      <c r="AB258" s="163">
        <f t="shared" ref="AB258:AE258" si="1093">SUM(AB256:AB257)</f>
        <v>1880.6263374206039</v>
      </c>
      <c r="AC258" s="163">
        <f t="shared" si="1093"/>
        <v>1800.275126524235</v>
      </c>
      <c r="AD258" s="163">
        <f t="shared" si="1093"/>
        <v>1868.8979404763666</v>
      </c>
      <c r="AE258" s="163">
        <f t="shared" si="1093"/>
        <v>1784.1454555813523</v>
      </c>
      <c r="AF258" s="163">
        <f t="shared" ref="AF258:AG258" si="1094">SUM(AF256:AF257)</f>
        <v>1742.2658299898656</v>
      </c>
      <c r="AG258" s="163">
        <f t="shared" si="1094"/>
        <v>1668.9680575004813</v>
      </c>
    </row>
    <row r="259" spans="2:35" ht="13.5" customHeight="1">
      <c r="B259" s="2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spans="2:35" ht="13.5" customHeight="1">
      <c r="B260" s="16" t="s">
        <v>186</v>
      </c>
      <c r="C260" s="26">
        <f>C121*C$203</f>
        <v>41932.836244999999</v>
      </c>
      <c r="D260" s="26">
        <f t="shared" ref="D260:AB260" si="1095">D121*D$203</f>
        <v>41416.602048000001</v>
      </c>
      <c r="E260" s="26">
        <f t="shared" si="1095"/>
        <v>47704.460142999997</v>
      </c>
      <c r="F260" s="26">
        <f t="shared" si="1095"/>
        <v>52240.488720000001</v>
      </c>
      <c r="G260" s="26">
        <f t="shared" si="1095"/>
        <v>50252.690347999996</v>
      </c>
      <c r="H260" s="26">
        <f t="shared" si="1095"/>
        <v>41334.789864029663</v>
      </c>
      <c r="I260" s="26">
        <f t="shared" si="1095"/>
        <v>50212.767229374003</v>
      </c>
      <c r="J260" s="26">
        <f t="shared" ref="J260" si="1096">J121*J$203</f>
        <v>83760.291402312898</v>
      </c>
      <c r="K260" s="26">
        <f t="shared" si="1095"/>
        <v>109094.15438321709</v>
      </c>
      <c r="L260" s="18"/>
      <c r="M260" s="26">
        <f t="shared" si="1095"/>
        <v>46197.915498000002</v>
      </c>
      <c r="N260" s="26">
        <f t="shared" si="1095"/>
        <v>48512.164376000001</v>
      </c>
      <c r="O260" s="26">
        <f t="shared" si="1095"/>
        <v>49378.849085999995</v>
      </c>
      <c r="P260" s="26">
        <f t="shared" si="1095"/>
        <v>52240.488720000001</v>
      </c>
      <c r="Q260" s="26">
        <f t="shared" si="1095"/>
        <v>52367.275814000001</v>
      </c>
      <c r="R260" s="26">
        <f t="shared" si="1095"/>
        <v>51271.802880000003</v>
      </c>
      <c r="S260" s="26">
        <f t="shared" si="1095"/>
        <v>48037.507013999995</v>
      </c>
      <c r="T260" s="26">
        <f t="shared" si="1095"/>
        <v>50252.690347999996</v>
      </c>
      <c r="U260" s="26">
        <f t="shared" si="1095"/>
        <v>47037.579714</v>
      </c>
      <c r="V260" s="26">
        <f t="shared" si="1095"/>
        <v>43439.041800000006</v>
      </c>
      <c r="W260" s="26">
        <f t="shared" si="1095"/>
        <v>40816.122839999996</v>
      </c>
      <c r="X260" s="26">
        <f t="shared" si="1095"/>
        <v>41334.789864029663</v>
      </c>
      <c r="Y260" s="26">
        <f t="shared" si="1095"/>
        <v>41266.682526819772</v>
      </c>
      <c r="Z260" s="26">
        <f t="shared" si="1095"/>
        <v>43332.164869308261</v>
      </c>
      <c r="AA260" s="26">
        <f t="shared" si="1095"/>
        <v>49583.161859059532</v>
      </c>
      <c r="AB260" s="26">
        <f t="shared" si="1095"/>
        <v>50212.767229374003</v>
      </c>
      <c r="AC260" s="26">
        <f t="shared" ref="AC260:AF260" si="1097">AC121*AC$203</f>
        <v>55323.360619544175</v>
      </c>
      <c r="AD260" s="26">
        <f t="shared" si="1097"/>
        <v>64419.241687242189</v>
      </c>
      <c r="AE260" s="26">
        <f t="shared" si="1097"/>
        <v>71222.44149443788</v>
      </c>
      <c r="AF260" s="26">
        <f t="shared" si="1097"/>
        <v>83760.291402312898</v>
      </c>
      <c r="AG260" s="26">
        <f t="shared" ref="AG260" si="1098">AG121*AG$203</f>
        <v>109094.15438321709</v>
      </c>
      <c r="AH260" s="26"/>
      <c r="AI260" s="26"/>
    </row>
    <row r="261" spans="2:35" ht="13.5" customHeight="1">
      <c r="C261" s="164"/>
      <c r="D261" s="164"/>
      <c r="E261" s="164"/>
      <c r="F261" s="164"/>
      <c r="G261" s="164"/>
      <c r="H261" s="164"/>
      <c r="I261" s="164"/>
      <c r="J261" s="164"/>
      <c r="K261" s="164"/>
      <c r="L261" s="18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  <c r="AD261" s="164"/>
      <c r="AE261" s="164"/>
      <c r="AF261" s="164"/>
      <c r="AG261" s="164"/>
    </row>
    <row r="262" spans="2:35" s="19" customFormat="1" ht="13.5" customHeight="1">
      <c r="B262" s="19" t="s">
        <v>214</v>
      </c>
      <c r="C262" s="242">
        <f t="shared" ref="C262:I262" si="1099">C224</f>
        <v>24779.34</v>
      </c>
      <c r="D262" s="242">
        <f t="shared" si="1099"/>
        <v>9664.6090000000004</v>
      </c>
      <c r="E262" s="242">
        <f t="shared" si="1099"/>
        <v>12567.747000000001</v>
      </c>
      <c r="F262" s="242">
        <f t="shared" si="1099"/>
        <v>20151.817999999999</v>
      </c>
      <c r="G262" s="242">
        <f t="shared" si="1099"/>
        <v>16255.647999999999</v>
      </c>
      <c r="H262" s="242">
        <f t="shared" si="1099"/>
        <v>4510.0171547604459</v>
      </c>
      <c r="I262" s="242">
        <f t="shared" si="1099"/>
        <v>26196.240922485522</v>
      </c>
      <c r="J262" s="242">
        <f t="shared" ref="J262" si="1100">J224</f>
        <v>42997.834836184105</v>
      </c>
      <c r="K262" s="242">
        <f>K224</f>
        <v>64364.704863128216</v>
      </c>
      <c r="L262" s="243"/>
      <c r="M262" s="244"/>
      <c r="N262" s="244"/>
      <c r="O262" s="244"/>
      <c r="P262" s="242">
        <f t="shared" ref="P262:AE262" si="1101">SUM(M224:P224)</f>
        <v>20060.949000000001</v>
      </c>
      <c r="Q262" s="242">
        <f t="shared" si="1101"/>
        <v>21789.842999999997</v>
      </c>
      <c r="R262" s="242">
        <f t="shared" si="1101"/>
        <v>23145.782999999999</v>
      </c>
      <c r="S262" s="242">
        <f t="shared" si="1101"/>
        <v>21107.683000000001</v>
      </c>
      <c r="T262" s="242">
        <f t="shared" si="1101"/>
        <v>16509.988000000001</v>
      </c>
      <c r="U262" s="242">
        <f t="shared" si="1101"/>
        <v>11438.397999999999</v>
      </c>
      <c r="V262" s="242">
        <f t="shared" si="1101"/>
        <v>5811.9500000000007</v>
      </c>
      <c r="W262" s="242">
        <f t="shared" si="1101"/>
        <v>3086.8519999999999</v>
      </c>
      <c r="X262" s="242">
        <f t="shared" si="1101"/>
        <v>4475.9045299085683</v>
      </c>
      <c r="Y262" s="242">
        <f t="shared" si="1101"/>
        <v>8923.928162168575</v>
      </c>
      <c r="Z262" s="242">
        <f t="shared" si="1101"/>
        <v>14728.650011228208</v>
      </c>
      <c r="AA262" s="242">
        <f t="shared" si="1101"/>
        <v>21011.97005297579</v>
      </c>
      <c r="AB262" s="242">
        <f>SUM(Y224:AB224)</f>
        <v>26048.260849601207</v>
      </c>
      <c r="AC262" s="242">
        <f t="shared" si="1101"/>
        <v>28900.511559366671</v>
      </c>
      <c r="AD262" s="242">
        <f t="shared" si="1101"/>
        <v>31668.428889225361</v>
      </c>
      <c r="AE262" s="242">
        <f t="shared" si="1101"/>
        <v>34990.592396775792</v>
      </c>
      <c r="AF262" s="242">
        <f>SUM(AC224:AF224)</f>
        <v>42928.117414537708</v>
      </c>
      <c r="AG262" s="242">
        <f>SUM(AD224:AG224)</f>
        <v>63729.587986211161</v>
      </c>
    </row>
    <row r="263" spans="2:35" ht="13.5" customHeight="1">
      <c r="B263" s="2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spans="2:35" ht="13.5" customHeight="1">
      <c r="B264" s="19" t="str">
        <f>+B126</f>
        <v>Net Leverage excluding lease obligations</v>
      </c>
      <c r="C264" s="20" t="str">
        <f t="shared" ref="C264:I264" si="1102">IF((C251-C258)&lt;0,"net cash",(C251-C258)/C262)</f>
        <v>net cash</v>
      </c>
      <c r="D264" s="20">
        <f t="shared" si="1102"/>
        <v>0.58366325549228093</v>
      </c>
      <c r="E264" s="20">
        <f t="shared" si="1102"/>
        <v>0.46093026275910859</v>
      </c>
      <c r="F264" s="20">
        <f t="shared" si="1102"/>
        <v>0.37312089063130682</v>
      </c>
      <c r="G264" s="20">
        <f t="shared" si="1102"/>
        <v>0.81011694692207903</v>
      </c>
      <c r="H264" s="20">
        <f t="shared" si="1102"/>
        <v>3.5197904948594729</v>
      </c>
      <c r="I264" s="20">
        <f t="shared" si="1102"/>
        <v>0.22113300609650122</v>
      </c>
      <c r="J264" s="20" t="str">
        <f t="shared" ref="J264" si="1103">IF((J251-J258)&lt;0,"net cash",(J251-J258)/J262)</f>
        <v>net cash</v>
      </c>
      <c r="K264" s="20" t="str">
        <f>IF((K251-K258)&lt;0,"net cash",(K251-K258)/K262)</f>
        <v>net cash</v>
      </c>
      <c r="L264" s="20"/>
      <c r="M264" s="133"/>
      <c r="N264" s="133"/>
      <c r="O264" s="133"/>
      <c r="P264" s="20">
        <f t="shared" ref="P264:X264" si="1104">IF((P251-P258)&lt;0,"net cash",(P251-P258)/P262)</f>
        <v>0.37481099622954028</v>
      </c>
      <c r="Q264" s="20">
        <f t="shared" si="1104"/>
        <v>0.38352896815273069</v>
      </c>
      <c r="R264" s="20">
        <f t="shared" si="1104"/>
        <v>0.39440587376110803</v>
      </c>
      <c r="S264" s="20">
        <f t="shared" si="1104"/>
        <v>0.49042083756895527</v>
      </c>
      <c r="T264" s="20">
        <f t="shared" si="1104"/>
        <v>0.79763691699836481</v>
      </c>
      <c r="U264" s="20">
        <f t="shared" si="1104"/>
        <v>1.5247945183407676</v>
      </c>
      <c r="V264" s="20">
        <f t="shared" si="1104"/>
        <v>3.0328249320795946</v>
      </c>
      <c r="W264" s="20">
        <f t="shared" si="1104"/>
        <v>5.5127908714120402</v>
      </c>
      <c r="X264" s="20">
        <f t="shared" si="1104"/>
        <v>3.5466161994530423</v>
      </c>
      <c r="Y264" s="20">
        <f t="shared" ref="Y264:AD264" si="1105">IF((Y251-Y258)&lt;0,"net cash",(Y251-Y258)/Y262)</f>
        <v>1.5984526620167276</v>
      </c>
      <c r="Z264" s="20">
        <f t="shared" si="1105"/>
        <v>0.76414664708432667</v>
      </c>
      <c r="AA264" s="20">
        <f t="shared" si="1105"/>
        <v>0.39702674277915978</v>
      </c>
      <c r="AB264" s="20">
        <f t="shared" si="1105"/>
        <v>0.22238926188064845</v>
      </c>
      <c r="AC264" s="20">
        <f t="shared" si="1105"/>
        <v>0.21208394836940817</v>
      </c>
      <c r="AD264" s="20">
        <f t="shared" si="1105"/>
        <v>0.1138854749348933</v>
      </c>
      <c r="AE264" s="20" t="str">
        <f>IF((AE251-AE258)&lt;0,"net cash",(AE251-AE258)/AE262)</f>
        <v>net cash</v>
      </c>
      <c r="AF264" s="20" t="str">
        <f t="shared" ref="AF264:AG264" si="1106">IF((AF251-AF258)&lt;0,"net cash",(AF251-AF258)/AF262)</f>
        <v>net cash</v>
      </c>
      <c r="AG264" s="20" t="str">
        <f t="shared" si="1106"/>
        <v>net cash</v>
      </c>
    </row>
    <row r="265" spans="2:35" ht="13.5" customHeight="1">
      <c r="B265" s="16" t="str">
        <f>+B127</f>
        <v>Gross Leverage  excluding lease obligations</v>
      </c>
      <c r="C265" s="21">
        <f t="shared" ref="C265:I265" si="1107">IF((C247-C258)&lt;0," net cash",(C247-C258)/C262)</f>
        <v>0.19077722066043726</v>
      </c>
      <c r="D265" s="21">
        <f t="shared" si="1107"/>
        <v>0.94078396591108837</v>
      </c>
      <c r="E265" s="21">
        <f t="shared" si="1107"/>
        <v>0.82276198844550252</v>
      </c>
      <c r="F265" s="21">
        <f t="shared" si="1107"/>
        <v>0.73462352428947109</v>
      </c>
      <c r="G265" s="21">
        <f t="shared" si="1107"/>
        <v>1.1231613514269012</v>
      </c>
      <c r="H265" s="21">
        <f t="shared" si="1107"/>
        <v>5.0479294587277064</v>
      </c>
      <c r="I265" s="21">
        <f t="shared" si="1107"/>
        <v>0.58823788199414406</v>
      </c>
      <c r="J265" s="21">
        <f t="shared" ref="J265" si="1108">IF((J247-J258)&lt;0," net cash",(J247-J258)/J262)</f>
        <v>0.35916424384001089</v>
      </c>
      <c r="K265" s="21">
        <f>IF((K247-K258)&lt;0," net cash",(K247-K258)/K262)</f>
        <v>0.19918649220109014</v>
      </c>
      <c r="L265" s="21"/>
      <c r="M265" s="132"/>
      <c r="N265" s="132"/>
      <c r="O265" s="132"/>
      <c r="P265" s="21">
        <f t="shared" ref="P265:AD265" si="1109">IF((P247-P258)&lt;0," net cash",(P247-P258)/P262)</f>
        <v>0.73795110889320337</v>
      </c>
      <c r="Q265" s="21">
        <f t="shared" si="1109"/>
        <v>0.6866438118897874</v>
      </c>
      <c r="R265" s="21">
        <f t="shared" si="1109"/>
        <v>0.64311730426229263</v>
      </c>
      <c r="S265" s="21">
        <f t="shared" si="1109"/>
        <v>0.72926098174773601</v>
      </c>
      <c r="T265" s="21">
        <f t="shared" si="1109"/>
        <v>1.1058588035315351</v>
      </c>
      <c r="U265" s="21">
        <f t="shared" si="1109"/>
        <v>1.9384045723011214</v>
      </c>
      <c r="V265" s="21">
        <f t="shared" si="1109"/>
        <v>4.0072131239945286</v>
      </c>
      <c r="W265" s="21">
        <f t="shared" si="1109"/>
        <v>7.555210449027034</v>
      </c>
      <c r="X265" s="21">
        <f t="shared" si="1109"/>
        <v>5.0864017100354966</v>
      </c>
      <c r="Y265" s="21">
        <f t="shared" si="1109"/>
        <v>2.4581113930687981</v>
      </c>
      <c r="Z265" s="21">
        <f t="shared" si="1109"/>
        <v>1.2405393671792271</v>
      </c>
      <c r="AA265" s="21">
        <f t="shared" si="1109"/>
        <v>0.78939038007382922</v>
      </c>
      <c r="AB265" s="21">
        <f t="shared" si="1109"/>
        <v>0.59157965921118782</v>
      </c>
      <c r="AC265" s="21">
        <f t="shared" si="1109"/>
        <v>0.548472652950585</v>
      </c>
      <c r="AD265" s="21">
        <f t="shared" si="1109"/>
        <v>0.50983826120076359</v>
      </c>
      <c r="AE265" s="21">
        <f>IF((AE247-AE258)&lt;0," net cash",(AE247-AE258)/AE262)</f>
        <v>0.49008560055721234</v>
      </c>
      <c r="AF265" s="21">
        <f t="shared" ref="AF265:AG265" si="1110">IF((AF247-AF258)&lt;0," net cash",(AF247-AF258)/AF262)</f>
        <v>0.35974754463529862</v>
      </c>
      <c r="AG265" s="21">
        <f t="shared" si="1110"/>
        <v>0.20117154666085207</v>
      </c>
    </row>
    <row r="266" spans="2:35" ht="13.5" customHeight="1"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spans="2:35" s="19" customFormat="1" ht="13.5" customHeight="1">
      <c r="B267" s="19" t="str">
        <f>+B129</f>
        <v>Net Leverage including lease obligations</v>
      </c>
      <c r="C267" s="20" t="str">
        <f t="shared" ref="C267:I267" si="1111">IF(C251&lt;0,"net cash", C251/C262)</f>
        <v>net cash</v>
      </c>
      <c r="D267" s="20">
        <f t="shared" si="1111"/>
        <v>0.73269019864124851</v>
      </c>
      <c r="E267" s="20">
        <f t="shared" si="1111"/>
        <v>0.58112483733162346</v>
      </c>
      <c r="F267" s="20">
        <f t="shared" si="1111"/>
        <v>0.43672011924680937</v>
      </c>
      <c r="G267" s="20">
        <f t="shared" si="1111"/>
        <v>0.8978945805174916</v>
      </c>
      <c r="H267" s="20">
        <f t="shared" si="1111"/>
        <v>4.0388030578054952</v>
      </c>
      <c r="I267" s="20">
        <f t="shared" si="1111"/>
        <v>0.29292293744525322</v>
      </c>
      <c r="J267" s="20" t="str">
        <f t="shared" ref="J267" si="1112">IF(J251&lt;0,"net cash", J251/J262)</f>
        <v>net cash</v>
      </c>
      <c r="K267" s="20" t="str">
        <f>IF(K251&lt;0,"net cash", K251/K262)</f>
        <v>net cash</v>
      </c>
      <c r="L267" s="20"/>
      <c r="M267" s="133"/>
      <c r="N267" s="133"/>
      <c r="O267" s="133"/>
      <c r="P267" s="20">
        <f t="shared" ref="P267:AD267" si="1113">IF(P251&lt;0,"net cash", P251/P262)</f>
        <v>0.43869830684480576</v>
      </c>
      <c r="Q267" s="20">
        <f t="shared" si="1113"/>
        <v>0.44407982912038435</v>
      </c>
      <c r="R267" s="20">
        <f t="shared" si="1113"/>
        <v>0.45337891226233307</v>
      </c>
      <c r="S267" s="20">
        <f t="shared" si="1113"/>
        <v>0.71965912478408922</v>
      </c>
      <c r="T267" s="20">
        <f t="shared" si="1113"/>
        <v>0.88406231682300429</v>
      </c>
      <c r="U267" s="20">
        <f t="shared" si="1113"/>
        <v>1.6575761448412618</v>
      </c>
      <c r="V267" s="20">
        <f t="shared" si="1113"/>
        <v>3.2903753535388294</v>
      </c>
      <c r="W267" s="20">
        <f t="shared" si="1113"/>
        <v>6.2367003759817443</v>
      </c>
      <c r="X267" s="20">
        <f t="shared" si="1113"/>
        <v>4.0695843608116045</v>
      </c>
      <c r="Y267" s="20">
        <f t="shared" si="1113"/>
        <v>1.8541624503275194</v>
      </c>
      <c r="Z267" s="20">
        <f t="shared" si="1113"/>
        <v>0.90438929459078898</v>
      </c>
      <c r="AA267" s="20">
        <f t="shared" si="1113"/>
        <v>0.4947229981082169</v>
      </c>
      <c r="AB267" s="20">
        <f t="shared" si="1113"/>
        <v>0.29458703156205102</v>
      </c>
      <c r="AC267" s="20">
        <f t="shared" si="1113"/>
        <v>0.27437610270813523</v>
      </c>
      <c r="AD267" s="20">
        <f t="shared" si="1113"/>
        <v>0.17290002052582495</v>
      </c>
      <c r="AE267" s="20" t="str">
        <f>IF(AE251&lt;0,"net cash", AE251/AE262)</f>
        <v>net cash</v>
      </c>
      <c r="AF267" s="20" t="str">
        <f t="shared" ref="AF267:AG267" si="1114">IF(AF251&lt;0,"net cash", AF251/AF262)</f>
        <v>net cash</v>
      </c>
      <c r="AG267" s="20" t="str">
        <f t="shared" si="1114"/>
        <v>net cash</v>
      </c>
    </row>
    <row r="268" spans="2:35" ht="13.5" customHeight="1">
      <c r="B268" s="16" t="str">
        <f>+B130</f>
        <v>Gross Leverage  including lease obligations</v>
      </c>
      <c r="C268" s="21">
        <f t="shared" ref="C268:I268" si="1115">IF(C247&lt;0," net cash", C247/C262)</f>
        <v>0.19077722066043726</v>
      </c>
      <c r="D268" s="21">
        <f t="shared" si="1115"/>
        <v>1.0898109090600561</v>
      </c>
      <c r="E268" s="21">
        <f t="shared" si="1115"/>
        <v>0.94295656301801734</v>
      </c>
      <c r="F268" s="21">
        <f t="shared" si="1115"/>
        <v>0.79822275290497369</v>
      </c>
      <c r="G268" s="21">
        <f t="shared" si="1115"/>
        <v>1.2109389850223136</v>
      </c>
      <c r="H268" s="21">
        <f t="shared" si="1115"/>
        <v>5.5669420216737286</v>
      </c>
      <c r="I268" s="21">
        <f t="shared" si="1115"/>
        <v>0.66002781334289617</v>
      </c>
      <c r="J268" s="21">
        <f t="shared" ref="J268" si="1116">IF(J247&lt;0," net cash", J247/J262)</f>
        <v>0.39968409412148814</v>
      </c>
      <c r="K268" s="21">
        <f>IF(K247&lt;0," net cash", K247/K262)</f>
        <v>0.22511635641859176</v>
      </c>
      <c r="L268" s="21"/>
      <c r="M268" s="132"/>
      <c r="N268" s="132"/>
      <c r="O268" s="132"/>
      <c r="P268" s="21">
        <f t="shared" ref="P268:AD268" si="1117">IF(P247&lt;0," net cash", P247/P262)</f>
        <v>0.8018384195084689</v>
      </c>
      <c r="Q268" s="21">
        <f t="shared" si="1117"/>
        <v>0.74719467285744112</v>
      </c>
      <c r="R268" s="21">
        <f t="shared" si="1117"/>
        <v>0.70209034276351767</v>
      </c>
      <c r="S268" s="21">
        <f t="shared" si="1117"/>
        <v>0.95849926896286997</v>
      </c>
      <c r="T268" s="21">
        <f t="shared" si="1117"/>
        <v>1.1922842033561745</v>
      </c>
      <c r="U268" s="21">
        <f t="shared" si="1117"/>
        <v>2.0711861988016156</v>
      </c>
      <c r="V268" s="21">
        <f t="shared" si="1117"/>
        <v>4.2647635454537633</v>
      </c>
      <c r="W268" s="21">
        <f t="shared" si="1117"/>
        <v>8.2791199535967372</v>
      </c>
      <c r="X268" s="21">
        <f t="shared" si="1117"/>
        <v>5.6093698713940592</v>
      </c>
      <c r="Y268" s="21">
        <f t="shared" si="1117"/>
        <v>2.7138211813795898</v>
      </c>
      <c r="Z268" s="21">
        <f t="shared" si="1117"/>
        <v>1.3807820146856895</v>
      </c>
      <c r="AA268" s="21">
        <f t="shared" si="1117"/>
        <v>0.88708663540288635</v>
      </c>
      <c r="AB268" s="21">
        <f t="shared" si="1117"/>
        <v>0.66377742889259039</v>
      </c>
      <c r="AC268" s="21">
        <f t="shared" si="1117"/>
        <v>0.61076480728931215</v>
      </c>
      <c r="AD268" s="21">
        <f t="shared" si="1117"/>
        <v>0.56885280679169525</v>
      </c>
      <c r="AE268" s="21">
        <f>IF(AE247&lt;0," net cash", AE247/AE262)</f>
        <v>0.54107489034545131</v>
      </c>
      <c r="AF268" s="21">
        <f t="shared" ref="AF268:AG268" si="1118">IF(AF247&lt;0," net cash", AF247/AF262)</f>
        <v>0.40033320119148019</v>
      </c>
      <c r="AG268" s="21">
        <f t="shared" si="1118"/>
        <v>0.22735982294253126</v>
      </c>
    </row>
    <row r="269" spans="2:35" ht="13.5" customHeight="1"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</row>
    <row r="270" spans="2:35" ht="13.5" customHeight="1">
      <c r="B270" s="19" t="str">
        <f>+B132</f>
        <v>Company reported net leverage</v>
      </c>
      <c r="C270" s="20">
        <f t="shared" ref="C270:J270" si="1119">(C253/C262)</f>
        <v>-0.1115136494757326</v>
      </c>
      <c r="D270" s="20">
        <f t="shared" si="1119"/>
        <v>0.73269019864124862</v>
      </c>
      <c r="E270" s="20">
        <f t="shared" si="1119"/>
        <v>0.58112483733162346</v>
      </c>
      <c r="F270" s="20">
        <f t="shared" si="1119"/>
        <v>0.43672011924680937</v>
      </c>
      <c r="G270" s="20">
        <f t="shared" si="1119"/>
        <v>0.8978945805174916</v>
      </c>
      <c r="H270" s="20">
        <f t="shared" si="1119"/>
        <v>4.0388030578054961</v>
      </c>
      <c r="I270" s="20">
        <f t="shared" si="1119"/>
        <v>0.29292293744525316</v>
      </c>
      <c r="J270" s="20">
        <f t="shared" si="1119"/>
        <v>-0.16441431769802264</v>
      </c>
      <c r="K270" s="20">
        <f>(K253/K262)</f>
        <v>-0.36101343443153289</v>
      </c>
      <c r="L270" s="21"/>
      <c r="M270" s="133"/>
      <c r="N270" s="133"/>
      <c r="O270" s="133"/>
      <c r="P270" s="20">
        <f>(P253/P262)</f>
        <v>0.43869830684480576</v>
      </c>
      <c r="Q270" s="20">
        <f t="shared" ref="Q270:AF270" si="1120">(Q253/Q262)</f>
        <v>0.44407982912038424</v>
      </c>
      <c r="R270" s="20">
        <f t="shared" si="1120"/>
        <v>0.45337891226233307</v>
      </c>
      <c r="S270" s="20">
        <f t="shared" si="1120"/>
        <v>0.71965912478408922</v>
      </c>
      <c r="T270" s="20">
        <f t="shared" si="1120"/>
        <v>0.88406231682300429</v>
      </c>
      <c r="U270" s="20">
        <f t="shared" si="1120"/>
        <v>1.657576144841262</v>
      </c>
      <c r="V270" s="20">
        <f t="shared" si="1120"/>
        <v>3.2903753535388294</v>
      </c>
      <c r="W270" s="20">
        <f t="shared" si="1120"/>
        <v>6.2367003759817443</v>
      </c>
      <c r="X270" s="20">
        <f t="shared" si="1120"/>
        <v>4.0695843608116054</v>
      </c>
      <c r="Y270" s="20">
        <f t="shared" si="1120"/>
        <v>1.8541624503275189</v>
      </c>
      <c r="Z270" s="20">
        <f t="shared" si="1120"/>
        <v>0.90438929459078909</v>
      </c>
      <c r="AA270" s="20">
        <f t="shared" si="1120"/>
        <v>0.49472299810821702</v>
      </c>
      <c r="AB270" s="20">
        <f t="shared" si="1120"/>
        <v>0.29458703156205102</v>
      </c>
      <c r="AC270" s="20">
        <f t="shared" si="1120"/>
        <v>0.21208394836940808</v>
      </c>
      <c r="AD270" s="20">
        <f t="shared" si="1120"/>
        <v>0.1138854749348934</v>
      </c>
      <c r="AE270" s="20">
        <f t="shared" si="1120"/>
        <v>-7.6847997059440523E-2</v>
      </c>
      <c r="AF270" s="20">
        <f t="shared" si="1120"/>
        <v>-0.16468133481878219</v>
      </c>
      <c r="AG270" s="20">
        <f t="shared" ref="AG270" si="1121">(AG253/AG262)</f>
        <v>-0.3646112252261457</v>
      </c>
    </row>
    <row r="271" spans="2:35" ht="13.5" customHeight="1"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</row>
    <row r="272" spans="2:35" s="19" customFormat="1" ht="13.5" customHeight="1">
      <c r="B272" s="19" t="str">
        <f>+B134</f>
        <v>EBITDA - Capex / Interest</v>
      </c>
      <c r="C272" s="20">
        <f t="shared" ref="C272:I272" si="1122">(C262+C233)/-C231</f>
        <v>90.103134992739783</v>
      </c>
      <c r="D272" s="20">
        <f t="shared" si="1122"/>
        <v>-10.974613325276732</v>
      </c>
      <c r="E272" s="20">
        <f t="shared" si="1122"/>
        <v>16.611255696290268</v>
      </c>
      <c r="F272" s="20">
        <f t="shared" si="1122"/>
        <v>44.202774941687217</v>
      </c>
      <c r="G272" s="20">
        <f t="shared" si="1122"/>
        <v>4.5730991905167269</v>
      </c>
      <c r="H272" s="20">
        <f t="shared" si="1122"/>
        <v>-0.71049114574250494</v>
      </c>
      <c r="I272" s="20">
        <f t="shared" si="1122"/>
        <v>15.75682221964586</v>
      </c>
      <c r="J272" s="20">
        <f t="shared" ref="J272" si="1123">(J262+J233)/-J231</f>
        <v>35.917281692796173</v>
      </c>
      <c r="K272" s="20">
        <f>(K262+K233)/-K231</f>
        <v>64.510224850274213</v>
      </c>
      <c r="L272" s="20"/>
      <c r="M272" s="158"/>
      <c r="N272" s="133"/>
      <c r="O272" s="158"/>
      <c r="P272" s="20">
        <f t="shared" ref="P272:AG272" si="1124">(P262+SUM(M233:P233))/-SUM(M231:P231)</f>
        <v>43.639653396816833</v>
      </c>
      <c r="Q272" s="20">
        <f t="shared" si="1124"/>
        <v>42.486380734409224</v>
      </c>
      <c r="R272" s="20">
        <f t="shared" si="1124"/>
        <v>39.636152233080992</v>
      </c>
      <c r="S272" s="20">
        <f t="shared" si="1124"/>
        <v>25.006218597472689</v>
      </c>
      <c r="T272" s="20">
        <f t="shared" si="1124"/>
        <v>5.1248209032404297</v>
      </c>
      <c r="U272" s="20">
        <f t="shared" si="1124"/>
        <v>-2.7105599013420494</v>
      </c>
      <c r="V272" s="20">
        <f t="shared" si="1124"/>
        <v>-7.56403715596349</v>
      </c>
      <c r="W272" s="20">
        <f t="shared" si="1124"/>
        <v>-19.272087704568065</v>
      </c>
      <c r="X272" s="20">
        <f t="shared" si="1124"/>
        <v>-0.78757583011125232</v>
      </c>
      <c r="Y272" s="20">
        <f t="shared" si="1124"/>
        <v>3.465529102522328</v>
      </c>
      <c r="Z272" s="20">
        <f t="shared" si="1124"/>
        <v>8.76976031530676</v>
      </c>
      <c r="AA272" s="20">
        <f t="shared" si="1124"/>
        <v>7.970877112394736</v>
      </c>
      <c r="AB272" s="20">
        <f>(AB262+SUM(Y233:AB233))/-SUM(Y231:AB231)</f>
        <v>15.646113472036761</v>
      </c>
      <c r="AC272" s="20">
        <f t="shared" si="1124"/>
        <v>18.422099164220317</v>
      </c>
      <c r="AD272" s="20">
        <f t="shared" si="1124"/>
        <v>22.214744800284226</v>
      </c>
      <c r="AE272" s="20">
        <f t="shared" si="1124"/>
        <v>26.641567427495112</v>
      </c>
      <c r="AF272" s="20">
        <f>(AF262+SUM(AC233:AF233))/-SUM(AC231:AF231)</f>
        <v>35.941422594226218</v>
      </c>
      <c r="AG272" s="20">
        <f t="shared" si="1124"/>
        <v>63.819657887868978</v>
      </c>
    </row>
    <row r="273" spans="2:33" ht="12.75" customHeight="1">
      <c r="B273" s="16" t="str">
        <f>+B135</f>
        <v>EBITDA/Interest</v>
      </c>
      <c r="C273" s="21">
        <f t="shared" ref="C273:I273" si="1125">(C262)/-C231</f>
        <v>216.29942314864039</v>
      </c>
      <c r="D273" s="21">
        <f t="shared" si="1125"/>
        <v>47.210822696106817</v>
      </c>
      <c r="E273" s="21">
        <f t="shared" si="1125"/>
        <v>51.298667544574016</v>
      </c>
      <c r="F273" s="21">
        <f t="shared" si="1125"/>
        <v>95.695229557320857</v>
      </c>
      <c r="G273" s="21">
        <f t="shared" si="1125"/>
        <v>42.36086816726759</v>
      </c>
      <c r="H273" s="21">
        <f t="shared" si="1125"/>
        <v>4.6681040632877275</v>
      </c>
      <c r="I273" s="21">
        <f t="shared" si="1125"/>
        <v>28.210884844003118</v>
      </c>
      <c r="J273" s="21">
        <f t="shared" ref="J273" si="1126">(J262)/-J231</f>
        <v>65.074362330896662</v>
      </c>
      <c r="K273" s="21">
        <f>(K262)/-K231</f>
        <v>94.033332581028375</v>
      </c>
      <c r="L273" s="21"/>
      <c r="M273" s="157"/>
      <c r="N273" s="132"/>
      <c r="O273" s="157"/>
      <c r="P273" s="21">
        <f t="shared" ref="P273:AG273" si="1127">P262/-SUM(M231:P231)</f>
        <v>95.368568054495768</v>
      </c>
      <c r="Q273" s="21">
        <f t="shared" si="1127"/>
        <v>91.118920641062303</v>
      </c>
      <c r="R273" s="21">
        <f t="shared" si="1127"/>
        <v>87.550794291658917</v>
      </c>
      <c r="S273" s="21">
        <f t="shared" si="1127"/>
        <v>72.56510265745834</v>
      </c>
      <c r="T273" s="21">
        <f t="shared" si="1127"/>
        <v>43.495441426783039</v>
      </c>
      <c r="U273" s="21">
        <f t="shared" si="1127"/>
        <v>24.412470670092297</v>
      </c>
      <c r="V273" s="21">
        <f t="shared" si="1127"/>
        <v>9.2760183804768257</v>
      </c>
      <c r="W273" s="21">
        <f t="shared" si="1127"/>
        <v>14.88982142239718</v>
      </c>
      <c r="X273" s="21">
        <f t="shared" si="1127"/>
        <v>4.6570563421238633</v>
      </c>
      <c r="Y273" s="21">
        <f t="shared" si="1127"/>
        <v>8.0677597679980781</v>
      </c>
      <c r="Z273" s="21">
        <f t="shared" si="1127"/>
        <v>13.465368678828574</v>
      </c>
      <c r="AA273" s="21">
        <f t="shared" si="1127"/>
        <v>12.493995947099098</v>
      </c>
      <c r="AB273" s="21">
        <f>AB262/-SUM(Y231:AB231)</f>
        <v>27.83697484385802</v>
      </c>
      <c r="AC273" s="21">
        <f t="shared" si="1127"/>
        <v>34.300214056327682</v>
      </c>
      <c r="AD273" s="21">
        <f>AD262/-SUM(AA231:AD231)</f>
        <v>42.058160744111944</v>
      </c>
      <c r="AE273" s="21">
        <f t="shared" si="1127"/>
        <v>49.021179935766014</v>
      </c>
      <c r="AF273" s="21">
        <f>AF262/-SUM(AC231:AF231)</f>
        <v>64.878770872502244</v>
      </c>
      <c r="AG273" s="21">
        <f t="shared" si="1127"/>
        <v>93.148845457566395</v>
      </c>
    </row>
    <row r="274" spans="2:33" ht="13.5" customHeight="1"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spans="2:33" s="19" customFormat="1" ht="13.5" customHeight="1">
      <c r="B275" s="47" t="str">
        <f>+B137</f>
        <v xml:space="preserve">Gearing (Net debt / Equity) </v>
      </c>
      <c r="C275" s="237">
        <f t="shared" ref="C275:I275" si="1128">C251/C260</f>
        <v>-6.5896678651911678E-2</v>
      </c>
      <c r="D275" s="237">
        <f t="shared" si="1128"/>
        <v>0.17097405238105345</v>
      </c>
      <c r="E275" s="237">
        <f t="shared" si="1128"/>
        <v>0.15309742336685225</v>
      </c>
      <c r="F275" s="237">
        <f t="shared" si="1128"/>
        <v>0.1684651996111724</v>
      </c>
      <c r="G275" s="237">
        <f t="shared" si="1128"/>
        <v>0.29044929019568205</v>
      </c>
      <c r="H275" s="237">
        <f t="shared" si="1128"/>
        <v>0.44067167476404268</v>
      </c>
      <c r="I275" s="237">
        <f t="shared" si="1128"/>
        <v>0.15281929804794933</v>
      </c>
      <c r="J275" s="237">
        <f t="shared" ref="J275" si="1129">J251/J260</f>
        <v>-8.4401087421339463E-2</v>
      </c>
      <c r="K275" s="237">
        <f>K251/K260</f>
        <v>-0.19769670724563909</v>
      </c>
      <c r="L275" s="238"/>
      <c r="M275" s="239"/>
      <c r="N275" s="239"/>
      <c r="O275" s="239"/>
      <c r="P275" s="237">
        <f t="shared" ref="P275:AA275" si="1130">P251/P260</f>
        <v>0.1684651996111724</v>
      </c>
      <c r="Q275" s="237">
        <f t="shared" si="1130"/>
        <v>0.18478008652520131</v>
      </c>
      <c r="R275" s="237">
        <f t="shared" si="1130"/>
        <v>0.20467019551780583</v>
      </c>
      <c r="S275" s="237">
        <f t="shared" si="1130"/>
        <v>0.31621825565537665</v>
      </c>
      <c r="T275" s="237">
        <f t="shared" si="1130"/>
        <v>0.29044929019568205</v>
      </c>
      <c r="U275" s="237">
        <f t="shared" si="1130"/>
        <v>0.40308229665049805</v>
      </c>
      <c r="V275" s="237">
        <f t="shared" si="1130"/>
        <v>0.44023754308503182</v>
      </c>
      <c r="W275" s="237">
        <f t="shared" si="1130"/>
        <v>0.47167074404561454</v>
      </c>
      <c r="X275" s="237">
        <f t="shared" si="1130"/>
        <v>0.44067167476404268</v>
      </c>
      <c r="Y275" s="237">
        <f t="shared" si="1130"/>
        <v>0.40096299228704668</v>
      </c>
      <c r="Z275" s="237">
        <f t="shared" si="1130"/>
        <v>0.30740290576536661</v>
      </c>
      <c r="AA275" s="237">
        <f t="shared" si="1130"/>
        <v>0.20964989788905369</v>
      </c>
      <c r="AB275" s="237">
        <f>AB251/AB260</f>
        <v>0.15281929804794933</v>
      </c>
      <c r="AC275" s="237">
        <f t="shared" ref="AC275:AE275" si="1131">AC251/AC260</f>
        <v>0.14333203260123595</v>
      </c>
      <c r="AD275" s="237">
        <f t="shared" si="1131"/>
        <v>8.4997461341617661E-2</v>
      </c>
      <c r="AE275" s="237">
        <f t="shared" si="1131"/>
        <v>-1.2704022314438844E-2</v>
      </c>
      <c r="AF275" s="237">
        <f>AF251/AF260</f>
        <v>-8.4401087421339463E-2</v>
      </c>
      <c r="AG275" s="237">
        <f t="shared" ref="AG275" si="1132">AG251/AG260</f>
        <v>-0.19769670724563909</v>
      </c>
    </row>
    <row r="276" spans="2:33" ht="13.5" customHeight="1"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U276" s="17"/>
      <c r="V276" s="17"/>
      <c r="W276" s="17"/>
      <c r="Y276" s="17"/>
      <c r="Z276" s="17"/>
      <c r="AA276" s="17"/>
      <c r="AC276" s="17"/>
      <c r="AD276" s="17"/>
      <c r="AE276" s="17"/>
      <c r="AG276" s="17"/>
    </row>
    <row r="277" spans="2:33" ht="13.5" customHeight="1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U277" s="7"/>
      <c r="V277" s="7"/>
      <c r="W277" s="7"/>
      <c r="Y277" s="7"/>
      <c r="Z277" s="7"/>
      <c r="AA277" s="7"/>
      <c r="AC277" s="7"/>
      <c r="AD277" s="7"/>
      <c r="AE277" s="7"/>
      <c r="AG277" s="7"/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ignoredErrors>
    <ignoredError sqref="L84 C84:F84 K14 M45:O45 M77:T78 M87:T87 M112:T114 P16 Q8:T8 T16 P10:T12 P9 T9 P14:T14 P13 T13 P74:S74 M119:T120 P115 T115" formula="1"/>
    <ignoredError sqref="M138:O138 L143:L144 L188:L195 M211:O213 L225:L226 L264:L265 L198:L199 L275 L196:L197 L272:L273 L146:L148 L145 L155:L159 D158:E158 C159:E159 C146:E147 C198:E199 C225:E226 C210:E215 C188:E195 C155:E157 C143:E144 C126:E133 M144:O144 M226:O226 M146:O146 M156:O157 C148 E148 M159:O159 L267:L268 L270" evalError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CF51-F237-4253-A7D6-7A87AAC121F6}">
  <dimension ref="B2:AI69"/>
  <sheetViews>
    <sheetView showGridLines="0" zoomScaleNormal="100" workbookViewId="0">
      <pane xSplit="2" ySplit="6" topLeftCell="H7" activePane="bottomRight" state="frozen"/>
      <selection pane="bottomRight" activeCell="AJ2" sqref="AJ2"/>
      <selection pane="bottomLeft" activeCell="J22" sqref="J22"/>
      <selection pane="topRight" activeCell="J22" sqref="J22"/>
    </sheetView>
  </sheetViews>
  <sheetFormatPr defaultRowHeight="12.75" outlineLevelCol="1"/>
  <cols>
    <col min="1" max="1" width="2.7109375" style="141" customWidth="1"/>
    <col min="2" max="2" width="50.7109375" style="141" customWidth="1"/>
    <col min="3" max="4" width="13.7109375" style="141" hidden="1" customWidth="1" outlineLevel="1"/>
    <col min="5" max="5" width="13.7109375" style="141" hidden="1" customWidth="1" outlineLevel="1" collapsed="1"/>
    <col min="6" max="7" width="13.7109375" style="141" hidden="1" customWidth="1" outlineLevel="1"/>
    <col min="8" max="8" width="13.7109375" style="141" customWidth="1" collapsed="1"/>
    <col min="9" max="12" width="13.7109375" style="141" customWidth="1"/>
    <col min="13" max="15" width="13.7109375" style="141" hidden="1" customWidth="1" outlineLevel="1"/>
    <col min="16" max="16" width="13.7109375" style="128" hidden="1" customWidth="1" outlineLevel="1"/>
    <col min="17" max="17" width="13.7109375" style="141" hidden="1" customWidth="1" outlineLevel="1" collapsed="1"/>
    <col min="18" max="27" width="13.7109375" style="141" hidden="1" customWidth="1" outlineLevel="1"/>
    <col min="28" max="28" width="13.7109375" style="141" customWidth="1" collapsed="1"/>
    <col min="29" max="34" width="13.7109375" style="141" customWidth="1"/>
    <col min="35" max="36" width="12.7109375" style="141" customWidth="1"/>
    <col min="37" max="263" width="9.140625" style="141"/>
    <col min="264" max="264" width="2.5703125" style="141" customWidth="1"/>
    <col min="265" max="265" width="29.42578125" style="141" customWidth="1"/>
    <col min="266" max="270" width="11.28515625" style="141" customWidth="1"/>
    <col min="271" max="271" width="6.140625" style="141" customWidth="1"/>
    <col min="272" max="275" width="11.28515625" style="141" customWidth="1"/>
    <col min="276" max="519" width="9.140625" style="141"/>
    <col min="520" max="520" width="2.5703125" style="141" customWidth="1"/>
    <col min="521" max="521" width="29.42578125" style="141" customWidth="1"/>
    <col min="522" max="526" width="11.28515625" style="141" customWidth="1"/>
    <col min="527" max="527" width="6.140625" style="141" customWidth="1"/>
    <col min="528" max="531" width="11.28515625" style="141" customWidth="1"/>
    <col min="532" max="775" width="9.140625" style="141"/>
    <col min="776" max="776" width="2.5703125" style="141" customWidth="1"/>
    <col min="777" max="777" width="29.42578125" style="141" customWidth="1"/>
    <col min="778" max="782" width="11.28515625" style="141" customWidth="1"/>
    <col min="783" max="783" width="6.140625" style="141" customWidth="1"/>
    <col min="784" max="787" width="11.28515625" style="141" customWidth="1"/>
    <col min="788" max="1031" width="9.140625" style="141"/>
    <col min="1032" max="1032" width="2.5703125" style="141" customWidth="1"/>
    <col min="1033" max="1033" width="29.42578125" style="141" customWidth="1"/>
    <col min="1034" max="1038" width="11.28515625" style="141" customWidth="1"/>
    <col min="1039" max="1039" width="6.140625" style="141" customWidth="1"/>
    <col min="1040" max="1043" width="11.28515625" style="141" customWidth="1"/>
    <col min="1044" max="1287" width="9.140625" style="141"/>
    <col min="1288" max="1288" width="2.5703125" style="141" customWidth="1"/>
    <col min="1289" max="1289" width="29.42578125" style="141" customWidth="1"/>
    <col min="1290" max="1294" width="11.28515625" style="141" customWidth="1"/>
    <col min="1295" max="1295" width="6.140625" style="141" customWidth="1"/>
    <col min="1296" max="1299" width="11.28515625" style="141" customWidth="1"/>
    <col min="1300" max="1543" width="9.140625" style="141"/>
    <col min="1544" max="1544" width="2.5703125" style="141" customWidth="1"/>
    <col min="1545" max="1545" width="29.42578125" style="141" customWidth="1"/>
    <col min="1546" max="1550" width="11.28515625" style="141" customWidth="1"/>
    <col min="1551" max="1551" width="6.140625" style="141" customWidth="1"/>
    <col min="1552" max="1555" width="11.28515625" style="141" customWidth="1"/>
    <col min="1556" max="1799" width="9.140625" style="141"/>
    <col min="1800" max="1800" width="2.5703125" style="141" customWidth="1"/>
    <col min="1801" max="1801" width="29.42578125" style="141" customWidth="1"/>
    <col min="1802" max="1806" width="11.28515625" style="141" customWidth="1"/>
    <col min="1807" max="1807" width="6.140625" style="141" customWidth="1"/>
    <col min="1808" max="1811" width="11.28515625" style="141" customWidth="1"/>
    <col min="1812" max="2055" width="9.140625" style="141"/>
    <col min="2056" max="2056" width="2.5703125" style="141" customWidth="1"/>
    <col min="2057" max="2057" width="29.42578125" style="141" customWidth="1"/>
    <col min="2058" max="2062" width="11.28515625" style="141" customWidth="1"/>
    <col min="2063" max="2063" width="6.140625" style="141" customWidth="1"/>
    <col min="2064" max="2067" width="11.28515625" style="141" customWidth="1"/>
    <col min="2068" max="2311" width="9.140625" style="141"/>
    <col min="2312" max="2312" width="2.5703125" style="141" customWidth="1"/>
    <col min="2313" max="2313" width="29.42578125" style="141" customWidth="1"/>
    <col min="2314" max="2318" width="11.28515625" style="141" customWidth="1"/>
    <col min="2319" max="2319" width="6.140625" style="141" customWidth="1"/>
    <col min="2320" max="2323" width="11.28515625" style="141" customWidth="1"/>
    <col min="2324" max="2567" width="9.140625" style="141"/>
    <col min="2568" max="2568" width="2.5703125" style="141" customWidth="1"/>
    <col min="2569" max="2569" width="29.42578125" style="141" customWidth="1"/>
    <col min="2570" max="2574" width="11.28515625" style="141" customWidth="1"/>
    <col min="2575" max="2575" width="6.140625" style="141" customWidth="1"/>
    <col min="2576" max="2579" width="11.28515625" style="141" customWidth="1"/>
    <col min="2580" max="2823" width="9.140625" style="141"/>
    <col min="2824" max="2824" width="2.5703125" style="141" customWidth="1"/>
    <col min="2825" max="2825" width="29.42578125" style="141" customWidth="1"/>
    <col min="2826" max="2830" width="11.28515625" style="141" customWidth="1"/>
    <col min="2831" max="2831" width="6.140625" style="141" customWidth="1"/>
    <col min="2832" max="2835" width="11.28515625" style="141" customWidth="1"/>
    <col min="2836" max="3079" width="9.140625" style="141"/>
    <col min="3080" max="3080" width="2.5703125" style="141" customWidth="1"/>
    <col min="3081" max="3081" width="29.42578125" style="141" customWidth="1"/>
    <col min="3082" max="3086" width="11.28515625" style="141" customWidth="1"/>
    <col min="3087" max="3087" width="6.140625" style="141" customWidth="1"/>
    <col min="3088" max="3091" width="11.28515625" style="141" customWidth="1"/>
    <col min="3092" max="3335" width="9.140625" style="141"/>
    <col min="3336" max="3336" width="2.5703125" style="141" customWidth="1"/>
    <col min="3337" max="3337" width="29.42578125" style="141" customWidth="1"/>
    <col min="3338" max="3342" width="11.28515625" style="141" customWidth="1"/>
    <col min="3343" max="3343" width="6.140625" style="141" customWidth="1"/>
    <col min="3344" max="3347" width="11.28515625" style="141" customWidth="1"/>
    <col min="3348" max="3591" width="9.140625" style="141"/>
    <col min="3592" max="3592" width="2.5703125" style="141" customWidth="1"/>
    <col min="3593" max="3593" width="29.42578125" style="141" customWidth="1"/>
    <col min="3594" max="3598" width="11.28515625" style="141" customWidth="1"/>
    <col min="3599" max="3599" width="6.140625" style="141" customWidth="1"/>
    <col min="3600" max="3603" width="11.28515625" style="141" customWidth="1"/>
    <col min="3604" max="3847" width="9.140625" style="141"/>
    <col min="3848" max="3848" width="2.5703125" style="141" customWidth="1"/>
    <col min="3849" max="3849" width="29.42578125" style="141" customWidth="1"/>
    <col min="3850" max="3854" width="11.28515625" style="141" customWidth="1"/>
    <col min="3855" max="3855" width="6.140625" style="141" customWidth="1"/>
    <col min="3856" max="3859" width="11.28515625" style="141" customWidth="1"/>
    <col min="3860" max="4103" width="9.140625" style="141"/>
    <col min="4104" max="4104" width="2.5703125" style="141" customWidth="1"/>
    <col min="4105" max="4105" width="29.42578125" style="141" customWidth="1"/>
    <col min="4106" max="4110" width="11.28515625" style="141" customWidth="1"/>
    <col min="4111" max="4111" width="6.140625" style="141" customWidth="1"/>
    <col min="4112" max="4115" width="11.28515625" style="141" customWidth="1"/>
    <col min="4116" max="4359" width="9.140625" style="141"/>
    <col min="4360" max="4360" width="2.5703125" style="141" customWidth="1"/>
    <col min="4361" max="4361" width="29.42578125" style="141" customWidth="1"/>
    <col min="4362" max="4366" width="11.28515625" style="141" customWidth="1"/>
    <col min="4367" max="4367" width="6.140625" style="141" customWidth="1"/>
    <col min="4368" max="4371" width="11.28515625" style="141" customWidth="1"/>
    <col min="4372" max="4615" width="9.140625" style="141"/>
    <col min="4616" max="4616" width="2.5703125" style="141" customWidth="1"/>
    <col min="4617" max="4617" width="29.42578125" style="141" customWidth="1"/>
    <col min="4618" max="4622" width="11.28515625" style="141" customWidth="1"/>
    <col min="4623" max="4623" width="6.140625" style="141" customWidth="1"/>
    <col min="4624" max="4627" width="11.28515625" style="141" customWidth="1"/>
    <col min="4628" max="4871" width="9.140625" style="141"/>
    <col min="4872" max="4872" width="2.5703125" style="141" customWidth="1"/>
    <col min="4873" max="4873" width="29.42578125" style="141" customWidth="1"/>
    <col min="4874" max="4878" width="11.28515625" style="141" customWidth="1"/>
    <col min="4879" max="4879" width="6.140625" style="141" customWidth="1"/>
    <col min="4880" max="4883" width="11.28515625" style="141" customWidth="1"/>
    <col min="4884" max="5127" width="9.140625" style="141"/>
    <col min="5128" max="5128" width="2.5703125" style="141" customWidth="1"/>
    <col min="5129" max="5129" width="29.42578125" style="141" customWidth="1"/>
    <col min="5130" max="5134" width="11.28515625" style="141" customWidth="1"/>
    <col min="5135" max="5135" width="6.140625" style="141" customWidth="1"/>
    <col min="5136" max="5139" width="11.28515625" style="141" customWidth="1"/>
    <col min="5140" max="5383" width="9.140625" style="141"/>
    <col min="5384" max="5384" width="2.5703125" style="141" customWidth="1"/>
    <col min="5385" max="5385" width="29.42578125" style="141" customWidth="1"/>
    <col min="5386" max="5390" width="11.28515625" style="141" customWidth="1"/>
    <col min="5391" max="5391" width="6.140625" style="141" customWidth="1"/>
    <col min="5392" max="5395" width="11.28515625" style="141" customWidth="1"/>
    <col min="5396" max="5639" width="9.140625" style="141"/>
    <col min="5640" max="5640" width="2.5703125" style="141" customWidth="1"/>
    <col min="5641" max="5641" width="29.42578125" style="141" customWidth="1"/>
    <col min="5642" max="5646" width="11.28515625" style="141" customWidth="1"/>
    <col min="5647" max="5647" width="6.140625" style="141" customWidth="1"/>
    <col min="5648" max="5651" width="11.28515625" style="141" customWidth="1"/>
    <col min="5652" max="5895" width="9.140625" style="141"/>
    <col min="5896" max="5896" width="2.5703125" style="141" customWidth="1"/>
    <col min="5897" max="5897" width="29.42578125" style="141" customWidth="1"/>
    <col min="5898" max="5902" width="11.28515625" style="141" customWidth="1"/>
    <col min="5903" max="5903" width="6.140625" style="141" customWidth="1"/>
    <col min="5904" max="5907" width="11.28515625" style="141" customWidth="1"/>
    <col min="5908" max="6151" width="9.140625" style="141"/>
    <col min="6152" max="6152" width="2.5703125" style="141" customWidth="1"/>
    <col min="6153" max="6153" width="29.42578125" style="141" customWidth="1"/>
    <col min="6154" max="6158" width="11.28515625" style="141" customWidth="1"/>
    <col min="6159" max="6159" width="6.140625" style="141" customWidth="1"/>
    <col min="6160" max="6163" width="11.28515625" style="141" customWidth="1"/>
    <col min="6164" max="6407" width="9.140625" style="141"/>
    <col min="6408" max="6408" width="2.5703125" style="141" customWidth="1"/>
    <col min="6409" max="6409" width="29.42578125" style="141" customWidth="1"/>
    <col min="6410" max="6414" width="11.28515625" style="141" customWidth="1"/>
    <col min="6415" max="6415" width="6.140625" style="141" customWidth="1"/>
    <col min="6416" max="6419" width="11.28515625" style="141" customWidth="1"/>
    <col min="6420" max="6663" width="9.140625" style="141"/>
    <col min="6664" max="6664" width="2.5703125" style="141" customWidth="1"/>
    <col min="6665" max="6665" width="29.42578125" style="141" customWidth="1"/>
    <col min="6666" max="6670" width="11.28515625" style="141" customWidth="1"/>
    <col min="6671" max="6671" width="6.140625" style="141" customWidth="1"/>
    <col min="6672" max="6675" width="11.28515625" style="141" customWidth="1"/>
    <col min="6676" max="6919" width="9.140625" style="141"/>
    <col min="6920" max="6920" width="2.5703125" style="141" customWidth="1"/>
    <col min="6921" max="6921" width="29.42578125" style="141" customWidth="1"/>
    <col min="6922" max="6926" width="11.28515625" style="141" customWidth="1"/>
    <col min="6927" max="6927" width="6.140625" style="141" customWidth="1"/>
    <col min="6928" max="6931" width="11.28515625" style="141" customWidth="1"/>
    <col min="6932" max="7175" width="9.140625" style="141"/>
    <col min="7176" max="7176" width="2.5703125" style="141" customWidth="1"/>
    <col min="7177" max="7177" width="29.42578125" style="141" customWidth="1"/>
    <col min="7178" max="7182" width="11.28515625" style="141" customWidth="1"/>
    <col min="7183" max="7183" width="6.140625" style="141" customWidth="1"/>
    <col min="7184" max="7187" width="11.28515625" style="141" customWidth="1"/>
    <col min="7188" max="7431" width="9.140625" style="141"/>
    <col min="7432" max="7432" width="2.5703125" style="141" customWidth="1"/>
    <col min="7433" max="7433" width="29.42578125" style="141" customWidth="1"/>
    <col min="7434" max="7438" width="11.28515625" style="141" customWidth="1"/>
    <col min="7439" max="7439" width="6.140625" style="141" customWidth="1"/>
    <col min="7440" max="7443" width="11.28515625" style="141" customWidth="1"/>
    <col min="7444" max="7687" width="9.140625" style="141"/>
    <col min="7688" max="7688" width="2.5703125" style="141" customWidth="1"/>
    <col min="7689" max="7689" width="29.42578125" style="141" customWidth="1"/>
    <col min="7690" max="7694" width="11.28515625" style="141" customWidth="1"/>
    <col min="7695" max="7695" width="6.140625" style="141" customWidth="1"/>
    <col min="7696" max="7699" width="11.28515625" style="141" customWidth="1"/>
    <col min="7700" max="7943" width="9.140625" style="141"/>
    <col min="7944" max="7944" width="2.5703125" style="141" customWidth="1"/>
    <col min="7945" max="7945" width="29.42578125" style="141" customWidth="1"/>
    <col min="7946" max="7950" width="11.28515625" style="141" customWidth="1"/>
    <col min="7951" max="7951" width="6.140625" style="141" customWidth="1"/>
    <col min="7952" max="7955" width="11.28515625" style="141" customWidth="1"/>
    <col min="7956" max="8199" width="9.140625" style="141"/>
    <col min="8200" max="8200" width="2.5703125" style="141" customWidth="1"/>
    <col min="8201" max="8201" width="29.42578125" style="141" customWidth="1"/>
    <col min="8202" max="8206" width="11.28515625" style="141" customWidth="1"/>
    <col min="8207" max="8207" width="6.140625" style="141" customWidth="1"/>
    <col min="8208" max="8211" width="11.28515625" style="141" customWidth="1"/>
    <col min="8212" max="8455" width="9.140625" style="141"/>
    <col min="8456" max="8456" width="2.5703125" style="141" customWidth="1"/>
    <col min="8457" max="8457" width="29.42578125" style="141" customWidth="1"/>
    <col min="8458" max="8462" width="11.28515625" style="141" customWidth="1"/>
    <col min="8463" max="8463" width="6.140625" style="141" customWidth="1"/>
    <col min="8464" max="8467" width="11.28515625" style="141" customWidth="1"/>
    <col min="8468" max="8711" width="9.140625" style="141"/>
    <col min="8712" max="8712" width="2.5703125" style="141" customWidth="1"/>
    <col min="8713" max="8713" width="29.42578125" style="141" customWidth="1"/>
    <col min="8714" max="8718" width="11.28515625" style="141" customWidth="1"/>
    <col min="8719" max="8719" width="6.140625" style="141" customWidth="1"/>
    <col min="8720" max="8723" width="11.28515625" style="141" customWidth="1"/>
    <col min="8724" max="8967" width="9.140625" style="141"/>
    <col min="8968" max="8968" width="2.5703125" style="141" customWidth="1"/>
    <col min="8969" max="8969" width="29.42578125" style="141" customWidth="1"/>
    <col min="8970" max="8974" width="11.28515625" style="141" customWidth="1"/>
    <col min="8975" max="8975" width="6.140625" style="141" customWidth="1"/>
    <col min="8976" max="8979" width="11.28515625" style="141" customWidth="1"/>
    <col min="8980" max="9223" width="9.140625" style="141"/>
    <col min="9224" max="9224" width="2.5703125" style="141" customWidth="1"/>
    <col min="9225" max="9225" width="29.42578125" style="141" customWidth="1"/>
    <col min="9226" max="9230" width="11.28515625" style="141" customWidth="1"/>
    <col min="9231" max="9231" width="6.140625" style="141" customWidth="1"/>
    <col min="9232" max="9235" width="11.28515625" style="141" customWidth="1"/>
    <col min="9236" max="9479" width="9.140625" style="141"/>
    <col min="9480" max="9480" width="2.5703125" style="141" customWidth="1"/>
    <col min="9481" max="9481" width="29.42578125" style="141" customWidth="1"/>
    <col min="9482" max="9486" width="11.28515625" style="141" customWidth="1"/>
    <col min="9487" max="9487" width="6.140625" style="141" customWidth="1"/>
    <col min="9488" max="9491" width="11.28515625" style="141" customWidth="1"/>
    <col min="9492" max="9735" width="9.140625" style="141"/>
    <col min="9736" max="9736" width="2.5703125" style="141" customWidth="1"/>
    <col min="9737" max="9737" width="29.42578125" style="141" customWidth="1"/>
    <col min="9738" max="9742" width="11.28515625" style="141" customWidth="1"/>
    <col min="9743" max="9743" width="6.140625" style="141" customWidth="1"/>
    <col min="9744" max="9747" width="11.28515625" style="141" customWidth="1"/>
    <col min="9748" max="9991" width="9.140625" style="141"/>
    <col min="9992" max="9992" width="2.5703125" style="141" customWidth="1"/>
    <col min="9993" max="9993" width="29.42578125" style="141" customWidth="1"/>
    <col min="9994" max="9998" width="11.28515625" style="141" customWidth="1"/>
    <col min="9999" max="9999" width="6.140625" style="141" customWidth="1"/>
    <col min="10000" max="10003" width="11.28515625" style="141" customWidth="1"/>
    <col min="10004" max="10247" width="9.140625" style="141"/>
    <col min="10248" max="10248" width="2.5703125" style="141" customWidth="1"/>
    <col min="10249" max="10249" width="29.42578125" style="141" customWidth="1"/>
    <col min="10250" max="10254" width="11.28515625" style="141" customWidth="1"/>
    <col min="10255" max="10255" width="6.140625" style="141" customWidth="1"/>
    <col min="10256" max="10259" width="11.28515625" style="141" customWidth="1"/>
    <col min="10260" max="10503" width="9.140625" style="141"/>
    <col min="10504" max="10504" width="2.5703125" style="141" customWidth="1"/>
    <col min="10505" max="10505" width="29.42578125" style="141" customWidth="1"/>
    <col min="10506" max="10510" width="11.28515625" style="141" customWidth="1"/>
    <col min="10511" max="10511" width="6.140625" style="141" customWidth="1"/>
    <col min="10512" max="10515" width="11.28515625" style="141" customWidth="1"/>
    <col min="10516" max="10759" width="9.140625" style="141"/>
    <col min="10760" max="10760" width="2.5703125" style="141" customWidth="1"/>
    <col min="10761" max="10761" width="29.42578125" style="141" customWidth="1"/>
    <col min="10762" max="10766" width="11.28515625" style="141" customWidth="1"/>
    <col min="10767" max="10767" width="6.140625" style="141" customWidth="1"/>
    <col min="10768" max="10771" width="11.28515625" style="141" customWidth="1"/>
    <col min="10772" max="11015" width="9.140625" style="141"/>
    <col min="11016" max="11016" width="2.5703125" style="141" customWidth="1"/>
    <col min="11017" max="11017" width="29.42578125" style="141" customWidth="1"/>
    <col min="11018" max="11022" width="11.28515625" style="141" customWidth="1"/>
    <col min="11023" max="11023" width="6.140625" style="141" customWidth="1"/>
    <col min="11024" max="11027" width="11.28515625" style="141" customWidth="1"/>
    <col min="11028" max="11271" width="9.140625" style="141"/>
    <col min="11272" max="11272" width="2.5703125" style="141" customWidth="1"/>
    <col min="11273" max="11273" width="29.42578125" style="141" customWidth="1"/>
    <col min="11274" max="11278" width="11.28515625" style="141" customWidth="1"/>
    <col min="11279" max="11279" width="6.140625" style="141" customWidth="1"/>
    <col min="11280" max="11283" width="11.28515625" style="141" customWidth="1"/>
    <col min="11284" max="11527" width="9.140625" style="141"/>
    <col min="11528" max="11528" width="2.5703125" style="141" customWidth="1"/>
    <col min="11529" max="11529" width="29.42578125" style="141" customWidth="1"/>
    <col min="11530" max="11534" width="11.28515625" style="141" customWidth="1"/>
    <col min="11535" max="11535" width="6.140625" style="141" customWidth="1"/>
    <col min="11536" max="11539" width="11.28515625" style="141" customWidth="1"/>
    <col min="11540" max="11783" width="9.140625" style="141"/>
    <col min="11784" max="11784" width="2.5703125" style="141" customWidth="1"/>
    <col min="11785" max="11785" width="29.42578125" style="141" customWidth="1"/>
    <col min="11786" max="11790" width="11.28515625" style="141" customWidth="1"/>
    <col min="11791" max="11791" width="6.140625" style="141" customWidth="1"/>
    <col min="11792" max="11795" width="11.28515625" style="141" customWidth="1"/>
    <col min="11796" max="12039" width="9.140625" style="141"/>
    <col min="12040" max="12040" width="2.5703125" style="141" customWidth="1"/>
    <col min="12041" max="12041" width="29.42578125" style="141" customWidth="1"/>
    <col min="12042" max="12046" width="11.28515625" style="141" customWidth="1"/>
    <col min="12047" max="12047" width="6.140625" style="141" customWidth="1"/>
    <col min="12048" max="12051" width="11.28515625" style="141" customWidth="1"/>
    <col min="12052" max="12295" width="9.140625" style="141"/>
    <col min="12296" max="12296" width="2.5703125" style="141" customWidth="1"/>
    <col min="12297" max="12297" width="29.42578125" style="141" customWidth="1"/>
    <col min="12298" max="12302" width="11.28515625" style="141" customWidth="1"/>
    <col min="12303" max="12303" width="6.140625" style="141" customWidth="1"/>
    <col min="12304" max="12307" width="11.28515625" style="141" customWidth="1"/>
    <col min="12308" max="12551" width="9.140625" style="141"/>
    <col min="12552" max="12552" width="2.5703125" style="141" customWidth="1"/>
    <col min="12553" max="12553" width="29.42578125" style="141" customWidth="1"/>
    <col min="12554" max="12558" width="11.28515625" style="141" customWidth="1"/>
    <col min="12559" max="12559" width="6.140625" style="141" customWidth="1"/>
    <col min="12560" max="12563" width="11.28515625" style="141" customWidth="1"/>
    <col min="12564" max="12807" width="9.140625" style="141"/>
    <col min="12808" max="12808" width="2.5703125" style="141" customWidth="1"/>
    <col min="12809" max="12809" width="29.42578125" style="141" customWidth="1"/>
    <col min="12810" max="12814" width="11.28515625" style="141" customWidth="1"/>
    <col min="12815" max="12815" width="6.140625" style="141" customWidth="1"/>
    <col min="12816" max="12819" width="11.28515625" style="141" customWidth="1"/>
    <col min="12820" max="13063" width="9.140625" style="141"/>
    <col min="13064" max="13064" width="2.5703125" style="141" customWidth="1"/>
    <col min="13065" max="13065" width="29.42578125" style="141" customWidth="1"/>
    <col min="13066" max="13070" width="11.28515625" style="141" customWidth="1"/>
    <col min="13071" max="13071" width="6.140625" style="141" customWidth="1"/>
    <col min="13072" max="13075" width="11.28515625" style="141" customWidth="1"/>
    <col min="13076" max="13319" width="9.140625" style="141"/>
    <col min="13320" max="13320" width="2.5703125" style="141" customWidth="1"/>
    <col min="13321" max="13321" width="29.42578125" style="141" customWidth="1"/>
    <col min="13322" max="13326" width="11.28515625" style="141" customWidth="1"/>
    <col min="13327" max="13327" width="6.140625" style="141" customWidth="1"/>
    <col min="13328" max="13331" width="11.28515625" style="141" customWidth="1"/>
    <col min="13332" max="13575" width="9.140625" style="141"/>
    <col min="13576" max="13576" width="2.5703125" style="141" customWidth="1"/>
    <col min="13577" max="13577" width="29.42578125" style="141" customWidth="1"/>
    <col min="13578" max="13582" width="11.28515625" style="141" customWidth="1"/>
    <col min="13583" max="13583" width="6.140625" style="141" customWidth="1"/>
    <col min="13584" max="13587" width="11.28515625" style="141" customWidth="1"/>
    <col min="13588" max="13831" width="9.140625" style="141"/>
    <col min="13832" max="13832" width="2.5703125" style="141" customWidth="1"/>
    <col min="13833" max="13833" width="29.42578125" style="141" customWidth="1"/>
    <col min="13834" max="13838" width="11.28515625" style="141" customWidth="1"/>
    <col min="13839" max="13839" width="6.140625" style="141" customWidth="1"/>
    <col min="13840" max="13843" width="11.28515625" style="141" customWidth="1"/>
    <col min="13844" max="14087" width="9.140625" style="141"/>
    <col min="14088" max="14088" width="2.5703125" style="141" customWidth="1"/>
    <col min="14089" max="14089" width="29.42578125" style="141" customWidth="1"/>
    <col min="14090" max="14094" width="11.28515625" style="141" customWidth="1"/>
    <col min="14095" max="14095" width="6.140625" style="141" customWidth="1"/>
    <col min="14096" max="14099" width="11.28515625" style="141" customWidth="1"/>
    <col min="14100" max="14343" width="9.140625" style="141"/>
    <col min="14344" max="14344" width="2.5703125" style="141" customWidth="1"/>
    <col min="14345" max="14345" width="29.42578125" style="141" customWidth="1"/>
    <col min="14346" max="14350" width="11.28515625" style="141" customWidth="1"/>
    <col min="14351" max="14351" width="6.140625" style="141" customWidth="1"/>
    <col min="14352" max="14355" width="11.28515625" style="141" customWidth="1"/>
    <col min="14356" max="14599" width="9.140625" style="141"/>
    <col min="14600" max="14600" width="2.5703125" style="141" customWidth="1"/>
    <col min="14601" max="14601" width="29.42578125" style="141" customWidth="1"/>
    <col min="14602" max="14606" width="11.28515625" style="141" customWidth="1"/>
    <col min="14607" max="14607" width="6.140625" style="141" customWidth="1"/>
    <col min="14608" max="14611" width="11.28515625" style="141" customWidth="1"/>
    <col min="14612" max="14855" width="9.140625" style="141"/>
    <col min="14856" max="14856" width="2.5703125" style="141" customWidth="1"/>
    <col min="14857" max="14857" width="29.42578125" style="141" customWidth="1"/>
    <col min="14858" max="14862" width="11.28515625" style="141" customWidth="1"/>
    <col min="14863" max="14863" width="6.140625" style="141" customWidth="1"/>
    <col min="14864" max="14867" width="11.28515625" style="141" customWidth="1"/>
    <col min="14868" max="15111" width="9.140625" style="141"/>
    <col min="15112" max="15112" width="2.5703125" style="141" customWidth="1"/>
    <col min="15113" max="15113" width="29.42578125" style="141" customWidth="1"/>
    <col min="15114" max="15118" width="11.28515625" style="141" customWidth="1"/>
    <col min="15119" max="15119" width="6.140625" style="141" customWidth="1"/>
    <col min="15120" max="15123" width="11.28515625" style="141" customWidth="1"/>
    <col min="15124" max="15367" width="9.140625" style="141"/>
    <col min="15368" max="15368" width="2.5703125" style="141" customWidth="1"/>
    <col min="15369" max="15369" width="29.42578125" style="141" customWidth="1"/>
    <col min="15370" max="15374" width="11.28515625" style="141" customWidth="1"/>
    <col min="15375" max="15375" width="6.140625" style="141" customWidth="1"/>
    <col min="15376" max="15379" width="11.28515625" style="141" customWidth="1"/>
    <col min="15380" max="15623" width="9.140625" style="141"/>
    <col min="15624" max="15624" width="2.5703125" style="141" customWidth="1"/>
    <col min="15625" max="15625" width="29.42578125" style="141" customWidth="1"/>
    <col min="15626" max="15630" width="11.28515625" style="141" customWidth="1"/>
    <col min="15631" max="15631" width="6.140625" style="141" customWidth="1"/>
    <col min="15632" max="15635" width="11.28515625" style="141" customWidth="1"/>
    <col min="15636" max="15879" width="9.140625" style="141"/>
    <col min="15880" max="15880" width="2.5703125" style="141" customWidth="1"/>
    <col min="15881" max="15881" width="29.42578125" style="141" customWidth="1"/>
    <col min="15882" max="15886" width="11.28515625" style="141" customWidth="1"/>
    <col min="15887" max="15887" width="6.140625" style="141" customWidth="1"/>
    <col min="15888" max="15891" width="11.28515625" style="141" customWidth="1"/>
    <col min="15892" max="16135" width="9.140625" style="141"/>
    <col min="16136" max="16136" width="2.5703125" style="141" customWidth="1"/>
    <col min="16137" max="16137" width="29.42578125" style="141" customWidth="1"/>
    <col min="16138" max="16142" width="11.28515625" style="141" customWidth="1"/>
    <col min="16143" max="16143" width="6.140625" style="141" customWidth="1"/>
    <col min="16144" max="16147" width="11.28515625" style="141" customWidth="1"/>
    <col min="16148" max="16384" width="9.140625" style="141"/>
  </cols>
  <sheetData>
    <row r="2" spans="2:33" s="137" customFormat="1" ht="24.75" customHeight="1">
      <c r="B2" s="271" t="s">
        <v>96</v>
      </c>
      <c r="C2" s="280" t="s">
        <v>97</v>
      </c>
      <c r="D2" s="280" t="s">
        <v>97</v>
      </c>
      <c r="E2" s="280" t="s">
        <v>97</v>
      </c>
      <c r="F2" s="280" t="s">
        <v>97</v>
      </c>
      <c r="G2" s="280" t="s">
        <v>97</v>
      </c>
      <c r="H2" s="280" t="s">
        <v>97</v>
      </c>
      <c r="I2" s="280" t="s">
        <v>97</v>
      </c>
      <c r="J2" s="280" t="s">
        <v>97</v>
      </c>
      <c r="K2" s="280" t="s">
        <v>98</v>
      </c>
      <c r="L2" s="281"/>
      <c r="M2" s="282" t="s">
        <v>99</v>
      </c>
      <c r="N2" s="280" t="s">
        <v>99</v>
      </c>
      <c r="O2" s="280" t="s">
        <v>99</v>
      </c>
      <c r="P2" s="283" t="s">
        <v>99</v>
      </c>
      <c r="Q2" s="282" t="s">
        <v>99</v>
      </c>
      <c r="R2" s="280" t="s">
        <v>99</v>
      </c>
      <c r="S2" s="280" t="s">
        <v>99</v>
      </c>
      <c r="T2" s="280" t="s">
        <v>99</v>
      </c>
      <c r="U2" s="282" t="s">
        <v>99</v>
      </c>
      <c r="V2" s="280" t="s">
        <v>99</v>
      </c>
      <c r="W2" s="280" t="s">
        <v>99</v>
      </c>
      <c r="X2" s="280" t="s">
        <v>99</v>
      </c>
      <c r="Y2" s="282" t="s">
        <v>99</v>
      </c>
      <c r="Z2" s="280" t="s">
        <v>99</v>
      </c>
      <c r="AA2" s="280" t="s">
        <v>99</v>
      </c>
      <c r="AB2" s="280" t="s">
        <v>99</v>
      </c>
      <c r="AC2" s="282" t="s">
        <v>99</v>
      </c>
      <c r="AD2" s="280" t="s">
        <v>99</v>
      </c>
      <c r="AE2" s="280" t="s">
        <v>99</v>
      </c>
      <c r="AF2" s="280" t="s">
        <v>99</v>
      </c>
      <c r="AG2" s="282" t="s">
        <v>99</v>
      </c>
    </row>
    <row r="3" spans="2:33" s="137" customFormat="1" ht="13.5" customHeight="1">
      <c r="B3" s="274" t="s">
        <v>101</v>
      </c>
      <c r="C3" s="284">
        <v>43465</v>
      </c>
      <c r="D3" s="284">
        <v>43830</v>
      </c>
      <c r="E3" s="284">
        <v>44196</v>
      </c>
      <c r="F3" s="284">
        <v>44561</v>
      </c>
      <c r="G3" s="284">
        <v>44926</v>
      </c>
      <c r="H3" s="284">
        <v>45291</v>
      </c>
      <c r="I3" s="284">
        <v>45657</v>
      </c>
      <c r="J3" s="284">
        <v>46022</v>
      </c>
      <c r="K3" s="284">
        <f>AG3</f>
        <v>46112</v>
      </c>
      <c r="L3" s="285"/>
      <c r="M3" s="284">
        <v>44286</v>
      </c>
      <c r="N3" s="284">
        <v>44377</v>
      </c>
      <c r="O3" s="284">
        <v>44469</v>
      </c>
      <c r="P3" s="284">
        <v>44561</v>
      </c>
      <c r="Q3" s="284">
        <v>44651</v>
      </c>
      <c r="R3" s="284">
        <v>44742</v>
      </c>
      <c r="S3" s="284">
        <v>44834</v>
      </c>
      <c r="T3" s="284">
        <v>44926</v>
      </c>
      <c r="U3" s="284">
        <v>45016</v>
      </c>
      <c r="V3" s="284">
        <v>45107</v>
      </c>
      <c r="W3" s="284">
        <v>45199</v>
      </c>
      <c r="X3" s="284">
        <v>45291</v>
      </c>
      <c r="Y3" s="284">
        <v>45382</v>
      </c>
      <c r="Z3" s="284">
        <v>45473</v>
      </c>
      <c r="AA3" s="284">
        <v>45565</v>
      </c>
      <c r="AB3" s="284">
        <v>45657</v>
      </c>
      <c r="AC3" s="284">
        <v>45747</v>
      </c>
      <c r="AD3" s="284">
        <v>45838</v>
      </c>
      <c r="AE3" s="284">
        <v>45930</v>
      </c>
      <c r="AF3" s="284">
        <v>46022</v>
      </c>
      <c r="AG3" s="284">
        <v>46112</v>
      </c>
    </row>
    <row r="4" spans="2:33" s="138" customFormat="1" ht="13.5" customHeight="1">
      <c r="B4" s="286"/>
      <c r="C4" s="284" t="s">
        <v>102</v>
      </c>
      <c r="D4" s="284" t="s">
        <v>102</v>
      </c>
      <c r="E4" s="284" t="s">
        <v>102</v>
      </c>
      <c r="F4" s="284" t="s">
        <v>102</v>
      </c>
      <c r="G4" s="284" t="s">
        <v>102</v>
      </c>
      <c r="H4" s="284" t="s">
        <v>102</v>
      </c>
      <c r="I4" s="284" t="s">
        <v>102</v>
      </c>
      <c r="J4" s="284" t="s">
        <v>102</v>
      </c>
      <c r="K4" s="284" t="s">
        <v>102</v>
      </c>
      <c r="L4" s="285"/>
      <c r="M4" s="284" t="s">
        <v>102</v>
      </c>
      <c r="N4" s="284" t="s">
        <v>102</v>
      </c>
      <c r="O4" s="284" t="s">
        <v>102</v>
      </c>
      <c r="P4" s="287" t="s">
        <v>102</v>
      </c>
      <c r="Q4" s="284" t="s">
        <v>102</v>
      </c>
      <c r="R4" s="284" t="s">
        <v>102</v>
      </c>
      <c r="S4" s="284" t="s">
        <v>102</v>
      </c>
      <c r="T4" s="284" t="s">
        <v>102</v>
      </c>
      <c r="U4" s="284" t="s">
        <v>102</v>
      </c>
      <c r="V4" s="284" t="s">
        <v>102</v>
      </c>
      <c r="W4" s="284" t="s">
        <v>102</v>
      </c>
      <c r="X4" s="284" t="s">
        <v>102</v>
      </c>
      <c r="Y4" s="284" t="s">
        <v>102</v>
      </c>
      <c r="Z4" s="284" t="s">
        <v>102</v>
      </c>
      <c r="AA4" s="284" t="s">
        <v>102</v>
      </c>
      <c r="AB4" s="284" t="s">
        <v>102</v>
      </c>
      <c r="AC4" s="284" t="s">
        <v>102</v>
      </c>
      <c r="AD4" s="284" t="s">
        <v>102</v>
      </c>
      <c r="AE4" s="284" t="s">
        <v>102</v>
      </c>
      <c r="AF4" s="284" t="s">
        <v>102</v>
      </c>
      <c r="AG4" s="284" t="s">
        <v>102</v>
      </c>
    </row>
    <row r="5" spans="2:33" s="139" customFormat="1" ht="13.5" customHeight="1">
      <c r="B5" s="288"/>
      <c r="C5" s="289" t="s">
        <v>103</v>
      </c>
      <c r="D5" s="289" t="s">
        <v>103</v>
      </c>
      <c r="E5" s="289" t="s">
        <v>103</v>
      </c>
      <c r="F5" s="289" t="s">
        <v>103</v>
      </c>
      <c r="G5" s="289" t="s">
        <v>103</v>
      </c>
      <c r="H5" s="289" t="s">
        <v>103</v>
      </c>
      <c r="I5" s="289" t="s">
        <v>103</v>
      </c>
      <c r="J5" s="289" t="s">
        <v>103</v>
      </c>
      <c r="K5" s="290" t="s">
        <v>103</v>
      </c>
      <c r="L5" s="285"/>
      <c r="M5" s="289" t="s">
        <v>104</v>
      </c>
      <c r="N5" s="289" t="s">
        <v>105</v>
      </c>
      <c r="O5" s="289" t="s">
        <v>106</v>
      </c>
      <c r="P5" s="291" t="s">
        <v>107</v>
      </c>
      <c r="Q5" s="289" t="s">
        <v>104</v>
      </c>
      <c r="R5" s="289" t="s">
        <v>105</v>
      </c>
      <c r="S5" s="289" t="s">
        <v>106</v>
      </c>
      <c r="T5" s="290" t="s">
        <v>107</v>
      </c>
      <c r="U5" s="289" t="s">
        <v>104</v>
      </c>
      <c r="V5" s="289" t="s">
        <v>105</v>
      </c>
      <c r="W5" s="289" t="s">
        <v>106</v>
      </c>
      <c r="X5" s="290" t="s">
        <v>107</v>
      </c>
      <c r="Y5" s="289" t="s">
        <v>104</v>
      </c>
      <c r="Z5" s="289" t="s">
        <v>105</v>
      </c>
      <c r="AA5" s="289" t="s">
        <v>106</v>
      </c>
      <c r="AB5" s="290" t="s">
        <v>107</v>
      </c>
      <c r="AC5" s="289" t="s">
        <v>104</v>
      </c>
      <c r="AD5" s="289" t="s">
        <v>105</v>
      </c>
      <c r="AE5" s="289" t="s">
        <v>106</v>
      </c>
      <c r="AF5" s="290" t="s">
        <v>107</v>
      </c>
      <c r="AG5" s="289" t="s">
        <v>104</v>
      </c>
    </row>
    <row r="6" spans="2:33" s="139" customFormat="1" ht="13.5" customHeight="1">
      <c r="B6" s="198"/>
      <c r="C6" s="199"/>
      <c r="D6" s="199"/>
      <c r="E6" s="199"/>
      <c r="F6" s="199"/>
      <c r="G6" s="199"/>
      <c r="H6" s="199"/>
      <c r="I6" s="199"/>
      <c r="J6" s="199"/>
      <c r="K6" s="200"/>
      <c r="L6" s="260"/>
      <c r="M6" s="199"/>
      <c r="N6" s="199"/>
      <c r="O6" s="199"/>
      <c r="P6" s="124"/>
      <c r="Q6" s="199"/>
      <c r="R6" s="199"/>
      <c r="S6" s="199"/>
      <c r="T6" s="200"/>
      <c r="U6" s="199"/>
      <c r="V6" s="199"/>
      <c r="W6" s="199"/>
      <c r="X6" s="200"/>
      <c r="Y6" s="199"/>
      <c r="Z6" s="199"/>
      <c r="AA6" s="199"/>
      <c r="AB6" s="200"/>
      <c r="AC6" s="199"/>
      <c r="AD6" s="199"/>
      <c r="AE6" s="199"/>
      <c r="AF6" s="200"/>
      <c r="AG6" s="199"/>
    </row>
    <row r="7" spans="2:33">
      <c r="B7" s="245" t="s">
        <v>215</v>
      </c>
      <c r="C7" s="246"/>
      <c r="D7" s="246"/>
      <c r="E7" s="247"/>
      <c r="F7" s="247"/>
      <c r="G7" s="247"/>
      <c r="H7" s="247"/>
      <c r="I7" s="247"/>
      <c r="J7" s="247"/>
      <c r="K7" s="246"/>
      <c r="L7" s="260"/>
      <c r="M7" s="248"/>
      <c r="N7" s="248"/>
      <c r="O7" s="248"/>
      <c r="P7" s="249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</row>
    <row r="8" spans="2:33">
      <c r="B8" s="142" t="s">
        <v>216</v>
      </c>
      <c r="C8" s="143">
        <v>40388846</v>
      </c>
      <c r="D8" s="143">
        <v>26922416</v>
      </c>
      <c r="E8" s="143">
        <v>31837538</v>
      </c>
      <c r="F8" s="143">
        <v>42932963</v>
      </c>
      <c r="G8" s="143">
        <v>44540140</v>
      </c>
      <c r="H8" s="143">
        <v>32680033</v>
      </c>
      <c r="I8" s="143">
        <v>66100890</v>
      </c>
      <c r="J8" s="143">
        <v>97024278</v>
      </c>
      <c r="K8" s="144">
        <f>SUM(AD8:AG8)</f>
        <v>131961631</v>
      </c>
      <c r="L8" s="260"/>
      <c r="M8" s="143">
        <v>8479145</v>
      </c>
      <c r="N8" s="143">
        <v>10303146</v>
      </c>
      <c r="O8" s="143">
        <v>11789903</v>
      </c>
      <c r="P8" s="125">
        <f>F8-SUM(M8:O8)</f>
        <v>12360769</v>
      </c>
      <c r="Q8" s="143">
        <v>12139578</v>
      </c>
      <c r="R8" s="143">
        <v>13789311</v>
      </c>
      <c r="S8" s="143">
        <v>10962408</v>
      </c>
      <c r="T8" s="125">
        <f>G8-SUM(Q8:S8)</f>
        <v>7648843</v>
      </c>
      <c r="U8" s="143">
        <v>5073063</v>
      </c>
      <c r="V8" s="143">
        <v>7255332</v>
      </c>
      <c r="W8" s="143">
        <v>9047470</v>
      </c>
      <c r="X8" s="125">
        <f>H8-SUM(U8:W8)</f>
        <v>11304168</v>
      </c>
      <c r="Y8" s="143">
        <v>12408716</v>
      </c>
      <c r="Z8" s="143">
        <v>16402538</v>
      </c>
      <c r="AA8" s="143">
        <v>17552396</v>
      </c>
      <c r="AB8" s="125">
        <f>I8-SUM(Y8:AA8)</f>
        <v>19737240</v>
      </c>
      <c r="AC8" s="143">
        <v>17608044</v>
      </c>
      <c r="AD8" s="143">
        <v>22201681</v>
      </c>
      <c r="AE8" s="143">
        <v>24417726</v>
      </c>
      <c r="AF8" s="125">
        <f>J8-SUM(AC8:AE8)</f>
        <v>32796827</v>
      </c>
      <c r="AG8" s="143">
        <v>52545397</v>
      </c>
    </row>
    <row r="9" spans="2:33">
      <c r="B9" s="142" t="s">
        <v>217</v>
      </c>
      <c r="C9" s="143">
        <v>56220</v>
      </c>
      <c r="D9" s="143">
        <v>68317</v>
      </c>
      <c r="E9" s="143">
        <v>62880</v>
      </c>
      <c r="F9" s="143">
        <v>64829</v>
      </c>
      <c r="G9" s="143">
        <v>81428</v>
      </c>
      <c r="H9" s="143">
        <v>85686</v>
      </c>
      <c r="I9" s="143">
        <v>92070</v>
      </c>
      <c r="J9" s="143">
        <v>122397</v>
      </c>
      <c r="K9" s="144">
        <f>SUM(AD9:AG9)</f>
        <v>122190</v>
      </c>
      <c r="L9" s="260"/>
      <c r="M9" s="143">
        <v>15043</v>
      </c>
      <c r="N9" s="143">
        <v>18525</v>
      </c>
      <c r="O9" s="143">
        <v>15421</v>
      </c>
      <c r="P9" s="125">
        <f>F9-SUM(M9:O9)</f>
        <v>15840</v>
      </c>
      <c r="Q9" s="143">
        <v>16075</v>
      </c>
      <c r="R9" s="143">
        <v>21690</v>
      </c>
      <c r="S9" s="143">
        <v>20475</v>
      </c>
      <c r="T9" s="125">
        <f>G9-SUM(Q9:S9)</f>
        <v>23188</v>
      </c>
      <c r="U9" s="143">
        <v>15048</v>
      </c>
      <c r="V9" s="143">
        <v>50601</v>
      </c>
      <c r="W9" s="143">
        <v>18701</v>
      </c>
      <c r="X9" s="125">
        <f>H9-SUM(U9:W9)</f>
        <v>1336</v>
      </c>
      <c r="Y9" s="143">
        <v>20882</v>
      </c>
      <c r="Z9" s="143">
        <v>20720</v>
      </c>
      <c r="AA9" s="143">
        <v>20673</v>
      </c>
      <c r="AB9" s="125">
        <f>I9-SUM(Y9:AA9)</f>
        <v>29795</v>
      </c>
      <c r="AC9" s="143">
        <v>31097</v>
      </c>
      <c r="AD9" s="143">
        <v>30271</v>
      </c>
      <c r="AE9" s="143">
        <v>31203</v>
      </c>
      <c r="AF9" s="125">
        <f>J9-SUM(AC9:AE9)</f>
        <v>29826</v>
      </c>
      <c r="AG9" s="143">
        <v>30890</v>
      </c>
    </row>
    <row r="10" spans="2:33" s="147" customFormat="1">
      <c r="B10" s="138" t="s">
        <v>218</v>
      </c>
      <c r="C10" s="145">
        <f t="shared" ref="C10:K10" si="0">SUM(C8:C9)</f>
        <v>40445066</v>
      </c>
      <c r="D10" s="145">
        <f t="shared" si="0"/>
        <v>26990733</v>
      </c>
      <c r="E10" s="145">
        <f t="shared" si="0"/>
        <v>31900418</v>
      </c>
      <c r="F10" s="145">
        <f t="shared" si="0"/>
        <v>42997792</v>
      </c>
      <c r="G10" s="145">
        <f t="shared" si="0"/>
        <v>44621568</v>
      </c>
      <c r="H10" s="145">
        <f t="shared" ref="H10:I10" si="1">SUM(H8:H9)</f>
        <v>32765719</v>
      </c>
      <c r="I10" s="145">
        <f t="shared" si="1"/>
        <v>66192960</v>
      </c>
      <c r="J10" s="145">
        <f t="shared" ref="J10" si="2">SUM(J8:J9)</f>
        <v>97146675</v>
      </c>
      <c r="K10" s="146">
        <f t="shared" si="0"/>
        <v>132083821</v>
      </c>
      <c r="L10" s="145"/>
      <c r="M10" s="145">
        <f t="shared" ref="M10:V10" si="3">SUM(M8:M9)</f>
        <v>8494188</v>
      </c>
      <c r="N10" s="145">
        <f t="shared" si="3"/>
        <v>10321671</v>
      </c>
      <c r="O10" s="145">
        <f t="shared" si="3"/>
        <v>11805324</v>
      </c>
      <c r="P10" s="126">
        <f t="shared" si="3"/>
        <v>12376609</v>
      </c>
      <c r="Q10" s="145">
        <f t="shared" si="3"/>
        <v>12155653</v>
      </c>
      <c r="R10" s="145">
        <f t="shared" si="3"/>
        <v>13811001</v>
      </c>
      <c r="S10" s="145">
        <f t="shared" si="3"/>
        <v>10982883</v>
      </c>
      <c r="T10" s="126">
        <f t="shared" si="3"/>
        <v>7672031</v>
      </c>
      <c r="U10" s="145">
        <f t="shared" si="3"/>
        <v>5088111</v>
      </c>
      <c r="V10" s="145">
        <f t="shared" si="3"/>
        <v>7305933</v>
      </c>
      <c r="W10" s="145">
        <f t="shared" ref="W10:Z10" si="4">SUM(W8:W9)</f>
        <v>9066171</v>
      </c>
      <c r="X10" s="126">
        <f t="shared" si="4"/>
        <v>11305504</v>
      </c>
      <c r="Y10" s="145">
        <f t="shared" si="4"/>
        <v>12429598</v>
      </c>
      <c r="Z10" s="145">
        <f t="shared" si="4"/>
        <v>16423258</v>
      </c>
      <c r="AA10" s="145">
        <f t="shared" ref="AA10:AD10" si="5">SUM(AA8:AA9)</f>
        <v>17573069</v>
      </c>
      <c r="AB10" s="126">
        <f t="shared" si="5"/>
        <v>19767035</v>
      </c>
      <c r="AC10" s="145">
        <f t="shared" si="5"/>
        <v>17639141</v>
      </c>
      <c r="AD10" s="145">
        <f t="shared" si="5"/>
        <v>22231952</v>
      </c>
      <c r="AE10" s="145">
        <f t="shared" ref="AE10:AG10" si="6">SUM(AE8:AE9)</f>
        <v>24448929</v>
      </c>
      <c r="AF10" s="126">
        <f t="shared" si="6"/>
        <v>32826653</v>
      </c>
      <c r="AG10" s="145">
        <f t="shared" si="6"/>
        <v>52576287</v>
      </c>
    </row>
    <row r="11" spans="2:33" s="127" customFormat="1">
      <c r="B11" s="127" t="s">
        <v>35</v>
      </c>
      <c r="C11" s="127">
        <f>C10-Model!C7</f>
        <v>0</v>
      </c>
      <c r="D11" s="127">
        <f>D10-Model!D7</f>
        <v>0</v>
      </c>
      <c r="E11" s="127">
        <f>E10-Model!E7</f>
        <v>0</v>
      </c>
      <c r="F11" s="127">
        <f>F10-Model!F7</f>
        <v>0</v>
      </c>
      <c r="G11" s="127">
        <f>G10-Model!G7</f>
        <v>0</v>
      </c>
      <c r="H11" s="127">
        <f>H10-Model!H7</f>
        <v>0</v>
      </c>
      <c r="I11" s="127">
        <f>I10-Model!I7</f>
        <v>0</v>
      </c>
      <c r="J11" s="127">
        <f>J10-Model!J7</f>
        <v>0</v>
      </c>
      <c r="K11" s="127">
        <f>K10-Model!K7</f>
        <v>0</v>
      </c>
      <c r="L11" s="261"/>
      <c r="M11" s="127">
        <f>M10-Model!M7</f>
        <v>0</v>
      </c>
      <c r="N11" s="127">
        <f>N10-Model!N7</f>
        <v>0</v>
      </c>
      <c r="O11" s="127">
        <f>O10-Model!O7</f>
        <v>0</v>
      </c>
      <c r="P11" s="127">
        <f>P10-Model!P7</f>
        <v>0</v>
      </c>
      <c r="Q11" s="127">
        <f>Q10-Model!Q7</f>
        <v>0</v>
      </c>
      <c r="R11" s="127">
        <f>R10-Model!R7</f>
        <v>0</v>
      </c>
      <c r="S11" s="127">
        <f>S10-Model!S7</f>
        <v>0</v>
      </c>
      <c r="T11" s="127">
        <f>T10-Model!T7</f>
        <v>0</v>
      </c>
      <c r="U11" s="127">
        <f>U10-Model!U7</f>
        <v>0</v>
      </c>
      <c r="V11" s="127">
        <f>V10-Model!V7</f>
        <v>0</v>
      </c>
      <c r="W11" s="127">
        <f>W10-Model!W7</f>
        <v>0</v>
      </c>
      <c r="X11" s="127">
        <f>X10-Model!X7</f>
        <v>0</v>
      </c>
      <c r="Y11" s="127">
        <f>Y10-Model!Y7</f>
        <v>0</v>
      </c>
      <c r="Z11" s="127">
        <f>Z10-Model!Z7</f>
        <v>0</v>
      </c>
      <c r="AA11" s="127">
        <f>AA10-Model!AA7</f>
        <v>0</v>
      </c>
      <c r="AB11" s="127">
        <f>AB10-Model!AB7</f>
        <v>0</v>
      </c>
      <c r="AC11" s="127">
        <f>AC10-Model!AC7</f>
        <v>0</v>
      </c>
      <c r="AD11" s="127">
        <f>AD10-Model!AD7</f>
        <v>0</v>
      </c>
      <c r="AE11" s="127">
        <f>AE10-Model!AE7</f>
        <v>0</v>
      </c>
      <c r="AF11" s="127">
        <f>AF10-Model!AF7</f>
        <v>0</v>
      </c>
      <c r="AG11" s="127">
        <f>AG10-Model!AG7</f>
        <v>0</v>
      </c>
    </row>
    <row r="12" spans="2:33" s="127" customFormat="1">
      <c r="L12" s="261"/>
    </row>
    <row r="13" spans="2:33" s="127" customFormat="1">
      <c r="B13" s="250" t="s">
        <v>219</v>
      </c>
      <c r="L13" s="261"/>
    </row>
    <row r="14" spans="2:33" s="127" customFormat="1">
      <c r="B14" s="142" t="s">
        <v>216</v>
      </c>
      <c r="C14" s="251">
        <f>C8/C$10</f>
        <v>0.99860996641716449</v>
      </c>
      <c r="D14" s="251">
        <f t="shared" ref="D14:AF14" si="7">D8/D$10</f>
        <v>0.99746887200136436</v>
      </c>
      <c r="E14" s="251">
        <f t="shared" si="7"/>
        <v>0.99802886595404483</v>
      </c>
      <c r="F14" s="251">
        <f t="shared" si="7"/>
        <v>0.99849227141709973</v>
      </c>
      <c r="G14" s="251">
        <f t="shared" si="7"/>
        <v>0.99817514256782724</v>
      </c>
      <c r="H14" s="251">
        <f t="shared" si="7"/>
        <v>0.99738488876133014</v>
      </c>
      <c r="I14" s="251">
        <f t="shared" si="7"/>
        <v>0.99860906658351578</v>
      </c>
      <c r="J14" s="251">
        <f t="shared" si="7"/>
        <v>0.99874008039904605</v>
      </c>
      <c r="K14" s="251">
        <f>K8/K$10</f>
        <v>0.99907490562375534</v>
      </c>
      <c r="L14" s="261"/>
      <c r="M14" s="251">
        <f t="shared" si="7"/>
        <v>0.99822902436348238</v>
      </c>
      <c r="N14" s="251">
        <f t="shared" si="7"/>
        <v>0.99820523246671977</v>
      </c>
      <c r="O14" s="251">
        <f t="shared" si="7"/>
        <v>0.99869372496680309</v>
      </c>
      <c r="P14" s="251">
        <f t="shared" si="7"/>
        <v>0.99872016640422268</v>
      </c>
      <c r="Q14" s="251">
        <f t="shared" si="7"/>
        <v>0.99867757001618918</v>
      </c>
      <c r="R14" s="251">
        <f t="shared" si="7"/>
        <v>0.99842951282097514</v>
      </c>
      <c r="S14" s="251">
        <f t="shared" si="7"/>
        <v>0.9981357353984377</v>
      </c>
      <c r="T14" s="251">
        <f t="shared" si="7"/>
        <v>0.9969775930258884</v>
      </c>
      <c r="U14" s="251">
        <f t="shared" si="7"/>
        <v>0.99704251735074179</v>
      </c>
      <c r="V14" s="251">
        <f t="shared" si="7"/>
        <v>0.99307398521174506</v>
      </c>
      <c r="W14" s="251">
        <f t="shared" si="7"/>
        <v>0.99793727693863266</v>
      </c>
      <c r="X14" s="251">
        <f t="shared" si="7"/>
        <v>0.99988182747093801</v>
      </c>
      <c r="Y14" s="251">
        <f t="shared" si="7"/>
        <v>0.99831997784642756</v>
      </c>
      <c r="Z14" s="251">
        <f t="shared" si="7"/>
        <v>0.99873837456611836</v>
      </c>
      <c r="AA14" s="251">
        <f t="shared" si="7"/>
        <v>0.99882359763112527</v>
      </c>
      <c r="AB14" s="251">
        <f t="shared" si="7"/>
        <v>0.9984926925054769</v>
      </c>
      <c r="AC14" s="251">
        <f t="shared" si="7"/>
        <v>0.99823704567019445</v>
      </c>
      <c r="AD14" s="251">
        <f t="shared" si="7"/>
        <v>0.99863840116243507</v>
      </c>
      <c r="AE14" s="251">
        <f t="shared" si="7"/>
        <v>0.99872374777643635</v>
      </c>
      <c r="AF14" s="251">
        <f t="shared" si="7"/>
        <v>0.99909140904496108</v>
      </c>
      <c r="AG14" s="251">
        <f>AG8/AG$10</f>
        <v>0.99941247277503642</v>
      </c>
    </row>
    <row r="15" spans="2:33" s="127" customFormat="1">
      <c r="B15" s="142" t="s">
        <v>217</v>
      </c>
      <c r="C15" s="251">
        <f t="shared" ref="C15:AF15" si="8">C9/C$10</f>
        <v>1.390033582835543E-3</v>
      </c>
      <c r="D15" s="251">
        <f t="shared" si="8"/>
        <v>2.53112799863568E-3</v>
      </c>
      <c r="E15" s="251">
        <f t="shared" si="8"/>
        <v>1.9711340459551345E-3</v>
      </c>
      <c r="F15" s="251">
        <f t="shared" si="8"/>
        <v>1.5077285829002568E-3</v>
      </c>
      <c r="G15" s="251">
        <f t="shared" si="8"/>
        <v>1.8248574321727106E-3</v>
      </c>
      <c r="H15" s="251">
        <f t="shared" si="8"/>
        <v>2.6151112386699035E-3</v>
      </c>
      <c r="I15" s="251">
        <f t="shared" si="8"/>
        <v>1.3909334164841699E-3</v>
      </c>
      <c r="J15" s="251">
        <f t="shared" si="8"/>
        <v>1.2599196009539183E-3</v>
      </c>
      <c r="K15" s="251">
        <f>K9/K$10</f>
        <v>9.2509437624461207E-4</v>
      </c>
      <c r="L15" s="261"/>
      <c r="M15" s="251">
        <f t="shared" si="8"/>
        <v>1.7709756365175812E-3</v>
      </c>
      <c r="N15" s="251">
        <f t="shared" si="8"/>
        <v>1.7947675332802217E-3</v>
      </c>
      <c r="O15" s="251">
        <f t="shared" si="8"/>
        <v>1.3062750331968864E-3</v>
      </c>
      <c r="P15" s="251">
        <f t="shared" si="8"/>
        <v>1.2798335957773248E-3</v>
      </c>
      <c r="Q15" s="251">
        <f t="shared" si="8"/>
        <v>1.3224299838108244E-3</v>
      </c>
      <c r="R15" s="251">
        <f t="shared" si="8"/>
        <v>1.5704871790248947E-3</v>
      </c>
      <c r="S15" s="251">
        <f t="shared" si="8"/>
        <v>1.8642646015622675E-3</v>
      </c>
      <c r="T15" s="251">
        <f t="shared" si="8"/>
        <v>3.0224069741115489E-3</v>
      </c>
      <c r="U15" s="251">
        <f t="shared" si="8"/>
        <v>2.9574826492582413E-3</v>
      </c>
      <c r="V15" s="251">
        <f t="shared" si="8"/>
        <v>6.9260147882549703E-3</v>
      </c>
      <c r="W15" s="251">
        <f t="shared" si="8"/>
        <v>2.0627230613673624E-3</v>
      </c>
      <c r="X15" s="251">
        <f t="shared" si="8"/>
        <v>1.1817252906195071E-4</v>
      </c>
      <c r="Y15" s="251">
        <f t="shared" si="8"/>
        <v>1.6800221535724646E-3</v>
      </c>
      <c r="Z15" s="251">
        <f t="shared" si="8"/>
        <v>1.261625433881633E-3</v>
      </c>
      <c r="AA15" s="251">
        <f t="shared" si="8"/>
        <v>1.1764023688747823E-3</v>
      </c>
      <c r="AB15" s="251">
        <f t="shared" si="8"/>
        <v>1.5073074945230784E-3</v>
      </c>
      <c r="AC15" s="251">
        <f t="shared" si="8"/>
        <v>1.762954329805516E-3</v>
      </c>
      <c r="AD15" s="251">
        <f t="shared" si="8"/>
        <v>1.3615988375649606E-3</v>
      </c>
      <c r="AE15" s="251">
        <f t="shared" si="8"/>
        <v>1.2762522235636579E-3</v>
      </c>
      <c r="AF15" s="251">
        <f t="shared" si="8"/>
        <v>9.0859095503888253E-4</v>
      </c>
      <c r="AG15" s="251">
        <f>AG9/AG$10</f>
        <v>5.8752722496360386E-4</v>
      </c>
    </row>
    <row r="16" spans="2:33" s="127" customFormat="1">
      <c r="B16" s="138" t="s">
        <v>218</v>
      </c>
      <c r="C16" s="252">
        <f>SUM(C14:C15)</f>
        <v>1</v>
      </c>
      <c r="D16" s="252">
        <f t="shared" ref="D16:AF16" si="9">SUM(D14:D15)</f>
        <v>1</v>
      </c>
      <c r="E16" s="252">
        <f t="shared" si="9"/>
        <v>1</v>
      </c>
      <c r="F16" s="252">
        <f t="shared" si="9"/>
        <v>1</v>
      </c>
      <c r="G16" s="252">
        <f t="shared" si="9"/>
        <v>1</v>
      </c>
      <c r="H16" s="252">
        <f t="shared" si="9"/>
        <v>1</v>
      </c>
      <c r="I16" s="252">
        <f t="shared" si="9"/>
        <v>1</v>
      </c>
      <c r="J16" s="252">
        <f t="shared" si="9"/>
        <v>1</v>
      </c>
      <c r="K16" s="252">
        <f>SUM(K14:K15)</f>
        <v>1</v>
      </c>
      <c r="L16" s="261"/>
      <c r="M16" s="252">
        <f t="shared" si="9"/>
        <v>1</v>
      </c>
      <c r="N16" s="252">
        <f t="shared" si="9"/>
        <v>1</v>
      </c>
      <c r="O16" s="252">
        <f t="shared" si="9"/>
        <v>1</v>
      </c>
      <c r="P16" s="252">
        <f t="shared" si="9"/>
        <v>1</v>
      </c>
      <c r="Q16" s="252">
        <f t="shared" si="9"/>
        <v>1</v>
      </c>
      <c r="R16" s="252">
        <f t="shared" si="9"/>
        <v>1</v>
      </c>
      <c r="S16" s="252">
        <f t="shared" si="9"/>
        <v>1</v>
      </c>
      <c r="T16" s="252">
        <f t="shared" si="9"/>
        <v>1</v>
      </c>
      <c r="U16" s="252">
        <f t="shared" si="9"/>
        <v>1</v>
      </c>
      <c r="V16" s="252">
        <f t="shared" si="9"/>
        <v>1</v>
      </c>
      <c r="W16" s="252">
        <f t="shared" si="9"/>
        <v>1</v>
      </c>
      <c r="X16" s="252">
        <f t="shared" si="9"/>
        <v>1</v>
      </c>
      <c r="Y16" s="252">
        <f t="shared" si="9"/>
        <v>1</v>
      </c>
      <c r="Z16" s="252">
        <f t="shared" si="9"/>
        <v>1</v>
      </c>
      <c r="AA16" s="252">
        <f t="shared" si="9"/>
        <v>1</v>
      </c>
      <c r="AB16" s="252">
        <f t="shared" si="9"/>
        <v>1</v>
      </c>
      <c r="AC16" s="252">
        <f t="shared" si="9"/>
        <v>1</v>
      </c>
      <c r="AD16" s="252">
        <f t="shared" si="9"/>
        <v>1</v>
      </c>
      <c r="AE16" s="252">
        <f t="shared" si="9"/>
        <v>1</v>
      </c>
      <c r="AF16" s="252">
        <f t="shared" si="9"/>
        <v>1</v>
      </c>
      <c r="AG16" s="252">
        <f>SUM(AG14:AG15)</f>
        <v>1</v>
      </c>
    </row>
    <row r="17" spans="2:33" s="127" customFormat="1">
      <c r="L17" s="261"/>
    </row>
    <row r="18" spans="2:33" s="127" customFormat="1">
      <c r="B18" s="250" t="s">
        <v>220</v>
      </c>
      <c r="L18" s="261"/>
    </row>
    <row r="19" spans="2:33" s="127" customFormat="1">
      <c r="B19" s="142" t="s">
        <v>216</v>
      </c>
      <c r="C19" s="253"/>
      <c r="D19" s="251">
        <f>D8/C8-1</f>
        <v>-0.33341952874811032</v>
      </c>
      <c r="E19" s="251">
        <f t="shared" ref="E19:J19" si="10">E8/D8-1</f>
        <v>0.18256615602403592</v>
      </c>
      <c r="F19" s="251">
        <f t="shared" si="10"/>
        <v>0.34850135082681333</v>
      </c>
      <c r="G19" s="251">
        <f t="shared" si="10"/>
        <v>3.7434569796638506E-2</v>
      </c>
      <c r="H19" s="251">
        <f t="shared" si="10"/>
        <v>-0.26627906872317864</v>
      </c>
      <c r="I19" s="251">
        <f t="shared" si="10"/>
        <v>1.0226690101567524</v>
      </c>
      <c r="J19" s="251">
        <f t="shared" si="10"/>
        <v>0.46782105354405967</v>
      </c>
      <c r="K19" s="253"/>
      <c r="L19" s="261"/>
      <c r="M19" s="253"/>
      <c r="N19" s="253"/>
      <c r="O19" s="253"/>
      <c r="P19" s="253"/>
      <c r="Q19" s="251">
        <f>Q8/M8-1</f>
        <v>0.43169836109654924</v>
      </c>
      <c r="R19" s="251">
        <f t="shared" ref="R19:AF21" si="11">R8/N8-1</f>
        <v>0.33835927395380017</v>
      </c>
      <c r="S19" s="251">
        <f t="shared" si="11"/>
        <v>-7.0186752172600619E-2</v>
      </c>
      <c r="T19" s="251">
        <f t="shared" si="11"/>
        <v>-0.3812000693484362</v>
      </c>
      <c r="U19" s="251">
        <f t="shared" si="11"/>
        <v>-0.58210548999314482</v>
      </c>
      <c r="V19" s="251">
        <f t="shared" si="11"/>
        <v>-0.47384376202697875</v>
      </c>
      <c r="W19" s="251">
        <f t="shared" si="11"/>
        <v>-0.17468224134697408</v>
      </c>
      <c r="X19" s="251">
        <f t="shared" si="11"/>
        <v>0.47789253878004812</v>
      </c>
      <c r="Y19" s="251">
        <f t="shared" si="11"/>
        <v>1.4460007691605643</v>
      </c>
      <c r="Z19" s="251">
        <f t="shared" si="11"/>
        <v>1.2607563651118929</v>
      </c>
      <c r="AA19" s="251">
        <f t="shared" si="11"/>
        <v>0.94003362265915213</v>
      </c>
      <c r="AB19" s="251">
        <f t="shared" si="11"/>
        <v>0.74601439044430329</v>
      </c>
      <c r="AC19" s="251">
        <f t="shared" si="11"/>
        <v>0.41900612440481355</v>
      </c>
      <c r="AD19" s="251">
        <f t="shared" si="11"/>
        <v>0.35355156622712891</v>
      </c>
      <c r="AE19" s="251">
        <f t="shared" si="11"/>
        <v>0.39113349539287978</v>
      </c>
      <c r="AF19" s="251">
        <f t="shared" si="11"/>
        <v>0.66167240201770872</v>
      </c>
      <c r="AG19" s="251">
        <f>AG8/AC8-1</f>
        <v>1.9841700191117195</v>
      </c>
    </row>
    <row r="20" spans="2:33" s="127" customFormat="1">
      <c r="B20" s="142" t="s">
        <v>217</v>
      </c>
      <c r="C20" s="253"/>
      <c r="D20" s="251">
        <f t="shared" ref="D20:J21" si="12">D9/C9-1</f>
        <v>0.21517253646389189</v>
      </c>
      <c r="E20" s="251">
        <f t="shared" si="12"/>
        <v>-7.9584876385087155E-2</v>
      </c>
      <c r="F20" s="251">
        <f t="shared" si="12"/>
        <v>3.0995547073791263E-2</v>
      </c>
      <c r="G20" s="251">
        <f t="shared" si="12"/>
        <v>0.25604282034274783</v>
      </c>
      <c r="H20" s="251">
        <f t="shared" si="12"/>
        <v>5.2291595028737037E-2</v>
      </c>
      <c r="I20" s="251">
        <f t="shared" si="12"/>
        <v>7.4504586513549409E-2</v>
      </c>
      <c r="J20" s="251">
        <f t="shared" si="12"/>
        <v>0.32939068100358426</v>
      </c>
      <c r="K20" s="253"/>
      <c r="L20" s="261"/>
      <c r="M20" s="253"/>
      <c r="N20" s="253"/>
      <c r="O20" s="253"/>
      <c r="P20" s="253"/>
      <c r="Q20" s="251">
        <f t="shared" ref="Q20:Q21" si="13">Q9/M9-1</f>
        <v>6.8603337100312523E-2</v>
      </c>
      <c r="R20" s="251">
        <f t="shared" si="11"/>
        <v>0.17085020242914983</v>
      </c>
      <c r="S20" s="251">
        <f t="shared" si="11"/>
        <v>0.32773490694507479</v>
      </c>
      <c r="T20" s="251">
        <f t="shared" si="11"/>
        <v>0.4638888888888888</v>
      </c>
      <c r="U20" s="251">
        <f t="shared" si="11"/>
        <v>-6.3888024883359207E-2</v>
      </c>
      <c r="V20" s="251">
        <f t="shared" si="11"/>
        <v>1.3329183955739974</v>
      </c>
      <c r="W20" s="251">
        <f t="shared" si="11"/>
        <v>-8.6642246642246623E-2</v>
      </c>
      <c r="X20" s="251">
        <f t="shared" si="11"/>
        <v>-0.9423839917198551</v>
      </c>
      <c r="Y20" s="251">
        <f t="shared" si="11"/>
        <v>0.38769271664008498</v>
      </c>
      <c r="Z20" s="251">
        <f t="shared" si="11"/>
        <v>-0.59052192644414148</v>
      </c>
      <c r="AA20" s="251">
        <f t="shared" si="11"/>
        <v>0.10544890647558947</v>
      </c>
      <c r="AB20" s="251">
        <f t="shared" si="11"/>
        <v>21.301646706586826</v>
      </c>
      <c r="AC20" s="251">
        <f t="shared" si="11"/>
        <v>0.48917728186955278</v>
      </c>
      <c r="AD20" s="251">
        <f t="shared" si="11"/>
        <v>0.46095559845559841</v>
      </c>
      <c r="AE20" s="251">
        <f t="shared" si="11"/>
        <v>0.50936003482803649</v>
      </c>
      <c r="AF20" s="251">
        <f t="shared" si="11"/>
        <v>1.0404430273536214E-3</v>
      </c>
      <c r="AG20" s="251">
        <f>AG9/AC9-1</f>
        <v>-6.6565906679101339E-3</v>
      </c>
    </row>
    <row r="21" spans="2:33" s="127" customFormat="1">
      <c r="B21" s="138" t="s">
        <v>218</v>
      </c>
      <c r="C21" s="253"/>
      <c r="D21" s="252">
        <f t="shared" si="12"/>
        <v>-0.33265696735418848</v>
      </c>
      <c r="E21" s="252">
        <f t="shared" si="12"/>
        <v>0.18190261820603393</v>
      </c>
      <c r="F21" s="252">
        <f t="shared" si="12"/>
        <v>0.34787550432724745</v>
      </c>
      <c r="G21" s="252">
        <f t="shared" si="12"/>
        <v>3.7764171704444793E-2</v>
      </c>
      <c r="H21" s="252">
        <f t="shared" si="12"/>
        <v>-0.26569772267975877</v>
      </c>
      <c r="I21" s="252">
        <f t="shared" si="12"/>
        <v>1.0201894547163759</v>
      </c>
      <c r="J21" s="252">
        <f t="shared" si="12"/>
        <v>0.46762850611303675</v>
      </c>
      <c r="K21" s="253"/>
      <c r="L21" s="261"/>
      <c r="M21" s="253"/>
      <c r="N21" s="253"/>
      <c r="O21" s="253"/>
      <c r="P21" s="253"/>
      <c r="Q21" s="252">
        <f t="shared" si="13"/>
        <v>0.43105532865531115</v>
      </c>
      <c r="R21" s="252">
        <f t="shared" si="11"/>
        <v>0.3380586341106977</v>
      </c>
      <c r="S21" s="252">
        <f t="shared" si="11"/>
        <v>-6.9666957044126843E-2</v>
      </c>
      <c r="T21" s="252">
        <f t="shared" si="11"/>
        <v>-0.38011849610826354</v>
      </c>
      <c r="U21" s="252">
        <f t="shared" si="11"/>
        <v>-0.58142018367914905</v>
      </c>
      <c r="V21" s="252">
        <f t="shared" si="11"/>
        <v>-0.471006265222919</v>
      </c>
      <c r="W21" s="252">
        <f t="shared" si="11"/>
        <v>-0.17451811150132435</v>
      </c>
      <c r="X21" s="252">
        <f t="shared" si="11"/>
        <v>0.47359988508909834</v>
      </c>
      <c r="Y21" s="252">
        <f t="shared" si="11"/>
        <v>1.4428708414576645</v>
      </c>
      <c r="Z21" s="252">
        <f t="shared" si="11"/>
        <v>1.2479343842874004</v>
      </c>
      <c r="AA21" s="252">
        <f t="shared" si="11"/>
        <v>0.9383121055184156</v>
      </c>
      <c r="AB21" s="252">
        <f t="shared" si="11"/>
        <v>0.74844350150156957</v>
      </c>
      <c r="AC21" s="252">
        <f t="shared" si="11"/>
        <v>0.41912401350389605</v>
      </c>
      <c r="AD21" s="252">
        <f t="shared" si="11"/>
        <v>0.35368706988588983</v>
      </c>
      <c r="AE21" s="252">
        <f t="shared" si="11"/>
        <v>0.39127257737393517</v>
      </c>
      <c r="AF21" s="252">
        <f t="shared" si="11"/>
        <v>0.66067662651480097</v>
      </c>
      <c r="AG21" s="252">
        <f>AG10/AC10-1</f>
        <v>1.9806602827201165</v>
      </c>
    </row>
    <row r="22" spans="2:33" s="127" customFormat="1">
      <c r="B22" s="138"/>
      <c r="D22" s="252"/>
      <c r="E22" s="252"/>
      <c r="F22" s="252"/>
      <c r="G22" s="252"/>
      <c r="H22" s="252"/>
      <c r="I22" s="252"/>
      <c r="J22" s="252"/>
      <c r="L22" s="261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</row>
    <row r="23" spans="2:33" s="127" customFormat="1">
      <c r="L23" s="261"/>
    </row>
    <row r="24" spans="2:33">
      <c r="B24" s="254"/>
      <c r="C24" s="254"/>
      <c r="D24" s="254"/>
      <c r="E24" s="254"/>
      <c r="F24" s="254"/>
      <c r="G24" s="254"/>
      <c r="H24" s="254"/>
      <c r="I24" s="254"/>
      <c r="J24" s="254"/>
      <c r="K24" s="255"/>
      <c r="M24" s="254"/>
      <c r="N24" s="254"/>
      <c r="O24" s="254"/>
      <c r="P24" s="256"/>
      <c r="Q24" s="254"/>
      <c r="R24" s="254"/>
      <c r="S24" s="254"/>
      <c r="T24" s="256"/>
      <c r="U24" s="254"/>
      <c r="V24" s="254"/>
      <c r="W24" s="254"/>
      <c r="X24" s="256"/>
      <c r="Y24" s="254"/>
      <c r="Z24" s="254"/>
      <c r="AA24" s="254"/>
      <c r="AB24" s="256"/>
      <c r="AC24" s="254"/>
      <c r="AD24" s="254"/>
      <c r="AE24" s="254"/>
      <c r="AF24" s="256"/>
      <c r="AG24" s="254"/>
    </row>
    <row r="25" spans="2:33">
      <c r="B25" s="138" t="s">
        <v>221</v>
      </c>
      <c r="K25" s="148"/>
      <c r="T25" s="128"/>
      <c r="X25" s="128"/>
      <c r="AB25" s="128"/>
      <c r="AF25" s="128"/>
    </row>
    <row r="26" spans="2:33">
      <c r="B26" s="141" t="s">
        <v>222</v>
      </c>
      <c r="C26" s="143">
        <v>32370936</v>
      </c>
      <c r="D26" s="143">
        <v>20292687</v>
      </c>
      <c r="E26" s="143">
        <v>22536404</v>
      </c>
      <c r="F26" s="143">
        <v>30599711</v>
      </c>
      <c r="G26" s="143">
        <v>28168802</v>
      </c>
      <c r="H26" s="143">
        <v>20768662</v>
      </c>
      <c r="I26" s="143">
        <v>44731664</v>
      </c>
      <c r="J26" s="143">
        <v>74904134</v>
      </c>
      <c r="K26" s="144">
        <f t="shared" ref="K26:K28" si="14">SUM(AD26:AG26)</f>
        <v>101525900</v>
      </c>
      <c r="M26" s="143">
        <v>6062469</v>
      </c>
      <c r="N26" s="143">
        <v>7505783</v>
      </c>
      <c r="O26" s="143">
        <v>8312960</v>
      </c>
      <c r="P26" s="125">
        <f>F26-SUM(M26:O26)</f>
        <v>8718499</v>
      </c>
      <c r="Q26" s="143">
        <v>7857576</v>
      </c>
      <c r="R26" s="143">
        <v>8781735</v>
      </c>
      <c r="S26" s="143">
        <v>6954326</v>
      </c>
      <c r="T26" s="125">
        <f>G26-SUM(Q26:S26)</f>
        <v>4575165</v>
      </c>
      <c r="U26" s="143">
        <v>2918692</v>
      </c>
      <c r="V26" s="143">
        <v>4414132</v>
      </c>
      <c r="W26" s="143">
        <v>6085615</v>
      </c>
      <c r="X26" s="125">
        <f t="shared" ref="X26:X28" si="15">H26-SUM(U26:W26)</f>
        <v>7350223</v>
      </c>
      <c r="Y26" s="143">
        <v>7493448</v>
      </c>
      <c r="Z26" s="143">
        <v>10700356</v>
      </c>
      <c r="AA26" s="143">
        <v>12048412</v>
      </c>
      <c r="AB26" s="125">
        <f t="shared" ref="AB26:AB28" si="16">I26-SUM(Y26:AA26)</f>
        <v>14489448</v>
      </c>
      <c r="AC26" s="143">
        <v>14036870</v>
      </c>
      <c r="AD26" s="143">
        <v>17123990</v>
      </c>
      <c r="AE26" s="143">
        <v>19083916</v>
      </c>
      <c r="AF26" s="125">
        <f t="shared" ref="AF26:AF28" si="17">J26-SUM(AC26:AE26)</f>
        <v>24659358</v>
      </c>
      <c r="AG26" s="143">
        <v>40658636</v>
      </c>
    </row>
    <row r="27" spans="2:33">
      <c r="B27" s="141" t="s">
        <v>223</v>
      </c>
      <c r="C27" s="143">
        <v>7420857</v>
      </c>
      <c r="D27" s="143">
        <v>5139563</v>
      </c>
      <c r="E27" s="143">
        <v>7471242</v>
      </c>
      <c r="F27" s="143">
        <v>10529447</v>
      </c>
      <c r="G27" s="143">
        <v>14183923</v>
      </c>
      <c r="H27" s="143">
        <v>9653061</v>
      </c>
      <c r="I27" s="143">
        <v>19274112</v>
      </c>
      <c r="J27" s="143">
        <v>20690084</v>
      </c>
      <c r="K27" s="144">
        <f t="shared" si="14"/>
        <v>29035484</v>
      </c>
      <c r="M27" s="143">
        <v>2007523</v>
      </c>
      <c r="N27" s="143">
        <v>2305681</v>
      </c>
      <c r="O27" s="143">
        <v>3044004</v>
      </c>
      <c r="P27" s="125">
        <f>F27-SUM(M27:O27)</f>
        <v>3172239</v>
      </c>
      <c r="Q27" s="143">
        <v>3913395</v>
      </c>
      <c r="R27" s="143">
        <v>4517859</v>
      </c>
      <c r="S27" s="143">
        <v>3388185</v>
      </c>
      <c r="T27" s="125">
        <f>G27-SUM(Q27:S27)</f>
        <v>2364484</v>
      </c>
      <c r="U27" s="143">
        <v>1688034</v>
      </c>
      <c r="V27" s="143">
        <v>2240211</v>
      </c>
      <c r="W27" s="143">
        <v>2426210</v>
      </c>
      <c r="X27" s="125">
        <f t="shared" si="15"/>
        <v>3298606</v>
      </c>
      <c r="Y27" s="143">
        <v>4407213</v>
      </c>
      <c r="Z27" s="143">
        <v>5184707</v>
      </c>
      <c r="AA27" s="143">
        <v>4980518</v>
      </c>
      <c r="AB27" s="125">
        <f t="shared" si="16"/>
        <v>4701674</v>
      </c>
      <c r="AC27" s="143">
        <v>3228835</v>
      </c>
      <c r="AD27" s="143">
        <v>4727806</v>
      </c>
      <c r="AE27" s="143">
        <v>4989186</v>
      </c>
      <c r="AF27" s="125">
        <f t="shared" si="17"/>
        <v>7744257</v>
      </c>
      <c r="AG27" s="143">
        <v>11574235</v>
      </c>
    </row>
    <row r="28" spans="2:33">
      <c r="B28" s="141" t="s">
        <v>224</v>
      </c>
      <c r="C28" s="143">
        <v>653273</v>
      </c>
      <c r="D28" s="143">
        <v>1558483</v>
      </c>
      <c r="E28" s="143">
        <v>1892772</v>
      </c>
      <c r="F28" s="143">
        <v>1868634</v>
      </c>
      <c r="G28" s="143">
        <v>2268843</v>
      </c>
      <c r="H28" s="143">
        <v>2343996</v>
      </c>
      <c r="I28" s="143">
        <v>2187184</v>
      </c>
      <c r="J28" s="143">
        <v>1552457</v>
      </c>
      <c r="K28" s="144">
        <f t="shared" si="14"/>
        <v>1522437</v>
      </c>
      <c r="M28" s="143">
        <v>424196</v>
      </c>
      <c r="N28" s="143">
        <v>510207</v>
      </c>
      <c r="O28" s="143">
        <v>448360</v>
      </c>
      <c r="P28" s="125">
        <f>F28-SUM(M28:O28)</f>
        <v>485871</v>
      </c>
      <c r="Q28" s="143">
        <v>384682</v>
      </c>
      <c r="R28" s="143">
        <v>511407</v>
      </c>
      <c r="S28" s="143">
        <v>640372</v>
      </c>
      <c r="T28" s="125">
        <f>G28-SUM(Q28:S28)</f>
        <v>732382</v>
      </c>
      <c r="U28" s="143">
        <v>481385</v>
      </c>
      <c r="V28" s="143">
        <v>651590</v>
      </c>
      <c r="W28" s="143">
        <v>554346</v>
      </c>
      <c r="X28" s="125">
        <f t="shared" si="15"/>
        <v>656675</v>
      </c>
      <c r="Y28" s="143">
        <v>528937</v>
      </c>
      <c r="Z28" s="143">
        <v>538195</v>
      </c>
      <c r="AA28" s="143">
        <v>544139</v>
      </c>
      <c r="AB28" s="125">
        <f t="shared" si="16"/>
        <v>575913</v>
      </c>
      <c r="AC28" s="143">
        <v>373436</v>
      </c>
      <c r="AD28" s="143">
        <v>380156</v>
      </c>
      <c r="AE28" s="143">
        <v>375827</v>
      </c>
      <c r="AF28" s="125">
        <f t="shared" si="17"/>
        <v>423038</v>
      </c>
      <c r="AG28" s="143">
        <v>343416</v>
      </c>
    </row>
    <row r="29" spans="2:33" s="147" customFormat="1">
      <c r="B29" s="138" t="s">
        <v>218</v>
      </c>
      <c r="C29" s="145">
        <f t="shared" ref="C29:K29" si="18">SUM(C26:C28)</f>
        <v>40445066</v>
      </c>
      <c r="D29" s="145">
        <f t="shared" si="18"/>
        <v>26990733</v>
      </c>
      <c r="E29" s="145">
        <f t="shared" si="18"/>
        <v>31900418</v>
      </c>
      <c r="F29" s="145">
        <f t="shared" si="18"/>
        <v>42997792</v>
      </c>
      <c r="G29" s="145">
        <f t="shared" si="18"/>
        <v>44621568</v>
      </c>
      <c r="H29" s="145">
        <f t="shared" ref="H29:I29" si="19">SUM(H26:H28)</f>
        <v>32765719</v>
      </c>
      <c r="I29" s="145">
        <f t="shared" si="19"/>
        <v>66192960</v>
      </c>
      <c r="J29" s="145">
        <f t="shared" ref="J29" si="20">SUM(J26:J28)</f>
        <v>97146675</v>
      </c>
      <c r="K29" s="146">
        <f t="shared" si="18"/>
        <v>132083821</v>
      </c>
      <c r="L29" s="145"/>
      <c r="M29" s="145">
        <f t="shared" ref="M29:O29" si="21">SUM(M26:M28)</f>
        <v>8494188</v>
      </c>
      <c r="N29" s="145">
        <f t="shared" si="21"/>
        <v>10321671</v>
      </c>
      <c r="O29" s="145">
        <f t="shared" si="21"/>
        <v>11805324</v>
      </c>
      <c r="P29" s="126">
        <f>SUM(P26:P28)</f>
        <v>12376609</v>
      </c>
      <c r="Q29" s="145">
        <f t="shared" ref="Q29:S29" si="22">SUM(Q26:Q28)</f>
        <v>12155653</v>
      </c>
      <c r="R29" s="145">
        <f t="shared" si="22"/>
        <v>13811001</v>
      </c>
      <c r="S29" s="145">
        <f t="shared" si="22"/>
        <v>10982883</v>
      </c>
      <c r="T29" s="126">
        <f>SUM(T26:T28)</f>
        <v>7672031</v>
      </c>
      <c r="U29" s="145">
        <f>SUM(U26:U28)</f>
        <v>5088111</v>
      </c>
      <c r="V29" s="145">
        <f t="shared" ref="V29:W29" si="23">SUM(V26:V28)</f>
        <v>7305933</v>
      </c>
      <c r="W29" s="145">
        <f t="shared" si="23"/>
        <v>9066171</v>
      </c>
      <c r="X29" s="126">
        <f>SUM(X26:X28)</f>
        <v>11305504</v>
      </c>
      <c r="Y29" s="145">
        <f>SUM(Y26:Y28)</f>
        <v>12429598</v>
      </c>
      <c r="Z29" s="145">
        <f t="shared" ref="Z29:AA29" si="24">SUM(Z26:Z28)</f>
        <v>16423258</v>
      </c>
      <c r="AA29" s="145">
        <f t="shared" si="24"/>
        <v>17573069</v>
      </c>
      <c r="AB29" s="126">
        <f>SUM(AB26:AB28)</f>
        <v>19767035</v>
      </c>
      <c r="AC29" s="145">
        <f>SUM(AC26:AC28)</f>
        <v>17639141</v>
      </c>
      <c r="AD29" s="145">
        <f t="shared" ref="AD29:AE29" si="25">SUM(AD26:AD28)</f>
        <v>22231952</v>
      </c>
      <c r="AE29" s="145">
        <f t="shared" si="25"/>
        <v>24448929</v>
      </c>
      <c r="AF29" s="126">
        <f>SUM(AF26:AF28)</f>
        <v>32826653</v>
      </c>
      <c r="AG29" s="145">
        <f>SUM(AG26:AG28)</f>
        <v>52576287</v>
      </c>
    </row>
    <row r="30" spans="2:33" s="123" customFormat="1">
      <c r="B30" s="123" t="s">
        <v>35</v>
      </c>
      <c r="C30" s="123">
        <f>C29-Model!C7</f>
        <v>0</v>
      </c>
      <c r="D30" s="123">
        <f>D29-Model!D7</f>
        <v>0</v>
      </c>
      <c r="E30" s="123">
        <f>E29-Model!E7</f>
        <v>0</v>
      </c>
      <c r="F30" s="123">
        <f>F29-Model!F7</f>
        <v>0</v>
      </c>
      <c r="G30" s="123">
        <f>G29-Model!G7</f>
        <v>0</v>
      </c>
      <c r="H30" s="123">
        <f>H29-Model!H7</f>
        <v>0</v>
      </c>
      <c r="I30" s="123">
        <f>I29-Model!I7</f>
        <v>0</v>
      </c>
      <c r="J30" s="123">
        <f>J29-Model!J7</f>
        <v>0</v>
      </c>
      <c r="K30" s="123">
        <f>K29-Model!K7</f>
        <v>0</v>
      </c>
      <c r="L30" s="262"/>
      <c r="M30" s="123">
        <f>M29-Model!M7</f>
        <v>0</v>
      </c>
      <c r="N30" s="123">
        <f>N29-Model!N7</f>
        <v>0</v>
      </c>
      <c r="O30" s="123">
        <f>O29-Model!O7</f>
        <v>0</v>
      </c>
      <c r="P30" s="123">
        <f>P29-Model!P7</f>
        <v>0</v>
      </c>
      <c r="Q30" s="123">
        <f>Q29-Model!Q7</f>
        <v>0</v>
      </c>
      <c r="R30" s="123">
        <f>R29-Model!R7</f>
        <v>0</v>
      </c>
      <c r="S30" s="123">
        <f>S29-Model!S7</f>
        <v>0</v>
      </c>
      <c r="T30" s="123">
        <f>T29-Model!T7</f>
        <v>0</v>
      </c>
      <c r="U30" s="123">
        <f>U29-Model!U7</f>
        <v>0</v>
      </c>
      <c r="V30" s="123">
        <f>V29-Model!V7</f>
        <v>0</v>
      </c>
      <c r="W30" s="123">
        <f>W29-Model!W7</f>
        <v>0</v>
      </c>
      <c r="X30" s="123">
        <f>X29-Model!X7</f>
        <v>0</v>
      </c>
      <c r="Y30" s="123">
        <f>Y29-Model!Y7</f>
        <v>0</v>
      </c>
      <c r="Z30" s="123">
        <f>Z29-Model!Z7</f>
        <v>0</v>
      </c>
      <c r="AA30" s="123">
        <f>AA29-Model!AA7</f>
        <v>0</v>
      </c>
      <c r="AB30" s="123">
        <f>AB29-Model!AB7</f>
        <v>0</v>
      </c>
      <c r="AC30" s="123">
        <f>AC29-Model!AC7</f>
        <v>0</v>
      </c>
      <c r="AD30" s="123">
        <f>AD29-Model!AD7</f>
        <v>0</v>
      </c>
      <c r="AE30" s="123">
        <f>AE29-Model!AE7</f>
        <v>0</v>
      </c>
      <c r="AF30" s="123">
        <f>AF29-Model!AF7</f>
        <v>0</v>
      </c>
      <c r="AG30" s="123">
        <f>AG29-Model!AG7</f>
        <v>0</v>
      </c>
    </row>
    <row r="31" spans="2:33" s="123" customFormat="1">
      <c r="L31" s="262"/>
    </row>
    <row r="32" spans="2:33" s="123" customFormat="1">
      <c r="B32" s="250" t="s">
        <v>225</v>
      </c>
      <c r="L32" s="262"/>
    </row>
    <row r="33" spans="2:35" s="123" customFormat="1">
      <c r="B33" s="141" t="s">
        <v>222</v>
      </c>
      <c r="C33" s="251">
        <f>C26/C$29</f>
        <v>0.80036798555354072</v>
      </c>
      <c r="D33" s="251">
        <f t="shared" ref="D33:AF35" si="26">D26/D$29</f>
        <v>0.75183904786876299</v>
      </c>
      <c r="E33" s="251">
        <f t="shared" si="26"/>
        <v>0.70646108775126393</v>
      </c>
      <c r="F33" s="251">
        <f t="shared" si="26"/>
        <v>0.71165772884337875</v>
      </c>
      <c r="G33" s="251">
        <f t="shared" si="26"/>
        <v>0.63128220863955298</v>
      </c>
      <c r="H33" s="251">
        <f t="shared" si="26"/>
        <v>0.63385338804864921</v>
      </c>
      <c r="I33" s="251">
        <f t="shared" si="26"/>
        <v>0.67577675934117465</v>
      </c>
      <c r="J33" s="251">
        <f t="shared" si="26"/>
        <v>0.77104166457575618</v>
      </c>
      <c r="K33" s="251">
        <f t="shared" si="26"/>
        <v>0.76864750906925994</v>
      </c>
      <c r="L33" s="262"/>
      <c r="M33" s="251">
        <f t="shared" si="26"/>
        <v>0.7137196633745333</v>
      </c>
      <c r="N33" s="251">
        <f t="shared" si="26"/>
        <v>0.72718680919010115</v>
      </c>
      <c r="O33" s="251">
        <f t="shared" si="26"/>
        <v>0.70417042344623493</v>
      </c>
      <c r="P33" s="251">
        <f t="shared" si="26"/>
        <v>0.70443358112064458</v>
      </c>
      <c r="Q33" s="251">
        <f t="shared" si="26"/>
        <v>0.64641331897183973</v>
      </c>
      <c r="R33" s="251">
        <f t="shared" si="26"/>
        <v>0.6358507250850246</v>
      </c>
      <c r="S33" s="251">
        <f t="shared" si="26"/>
        <v>0.63319676627712418</v>
      </c>
      <c r="T33" s="251">
        <f t="shared" si="26"/>
        <v>0.59634339329442232</v>
      </c>
      <c r="U33" s="251">
        <f t="shared" si="26"/>
        <v>0.5736297812685297</v>
      </c>
      <c r="V33" s="251">
        <f t="shared" si="26"/>
        <v>0.60418457163513539</v>
      </c>
      <c r="W33" s="251">
        <f t="shared" si="26"/>
        <v>0.67124423309465486</v>
      </c>
      <c r="X33" s="251">
        <f t="shared" si="26"/>
        <v>0.65014553973002887</v>
      </c>
      <c r="Y33" s="251">
        <f t="shared" si="26"/>
        <v>0.60287130766417385</v>
      </c>
      <c r="Z33" s="251">
        <f t="shared" si="26"/>
        <v>0.65153674137007411</v>
      </c>
      <c r="AA33" s="251">
        <f t="shared" si="26"/>
        <v>0.68561797600635377</v>
      </c>
      <c r="AB33" s="251">
        <f t="shared" si="26"/>
        <v>0.73301069179065048</v>
      </c>
      <c r="AC33" s="251">
        <f t="shared" si="26"/>
        <v>0.79577968110805397</v>
      </c>
      <c r="AD33" s="251">
        <f t="shared" si="26"/>
        <v>0.7702423071082557</v>
      </c>
      <c r="AE33" s="251">
        <f t="shared" si="26"/>
        <v>0.78056245326738039</v>
      </c>
      <c r="AF33" s="251">
        <f t="shared" si="26"/>
        <v>0.75119927700213607</v>
      </c>
      <c r="AG33" s="251">
        <f t="shared" ref="AG33" si="27">AG26/AG$29</f>
        <v>0.77332649983442159</v>
      </c>
    </row>
    <row r="34" spans="2:35" s="123" customFormat="1">
      <c r="B34" s="141" t="s">
        <v>223</v>
      </c>
      <c r="C34" s="251">
        <f t="shared" ref="C34:R35" si="28">C27/C$29</f>
        <v>0.18347990827855246</v>
      </c>
      <c r="D34" s="251">
        <f t="shared" si="28"/>
        <v>0.19041954140334016</v>
      </c>
      <c r="E34" s="251">
        <f t="shared" si="28"/>
        <v>0.2342051442711503</v>
      </c>
      <c r="F34" s="251">
        <f t="shared" si="28"/>
        <v>0.24488343494475251</v>
      </c>
      <c r="G34" s="251">
        <f t="shared" si="28"/>
        <v>0.31787146072500189</v>
      </c>
      <c r="H34" s="251">
        <f t="shared" si="28"/>
        <v>0.29460855108963119</v>
      </c>
      <c r="I34" s="251">
        <f t="shared" si="28"/>
        <v>0.2911806935359893</v>
      </c>
      <c r="J34" s="251">
        <f t="shared" si="28"/>
        <v>0.21297778848323939</v>
      </c>
      <c r="K34" s="251">
        <f t="shared" si="28"/>
        <v>0.21982619657861049</v>
      </c>
      <c r="L34" s="262"/>
      <c r="M34" s="251">
        <f t="shared" si="28"/>
        <v>0.23634077795311334</v>
      </c>
      <c r="N34" s="251">
        <f t="shared" si="28"/>
        <v>0.22338253176254116</v>
      </c>
      <c r="O34" s="251">
        <f t="shared" si="28"/>
        <v>0.25785010220812238</v>
      </c>
      <c r="P34" s="251">
        <f t="shared" si="28"/>
        <v>0.2563092200779713</v>
      </c>
      <c r="Q34" s="251">
        <f t="shared" si="28"/>
        <v>0.321940335085248</v>
      </c>
      <c r="R34" s="251">
        <f t="shared" si="28"/>
        <v>0.32712031517483781</v>
      </c>
      <c r="S34" s="251">
        <f t="shared" si="26"/>
        <v>0.30849686735258858</v>
      </c>
      <c r="T34" s="251">
        <f t="shared" si="26"/>
        <v>0.30819531360079228</v>
      </c>
      <c r="U34" s="251">
        <f t="shared" si="26"/>
        <v>0.33176045098072743</v>
      </c>
      <c r="V34" s="251">
        <f t="shared" si="26"/>
        <v>0.30662900960082717</v>
      </c>
      <c r="W34" s="251">
        <f t="shared" si="26"/>
        <v>0.26761132125127574</v>
      </c>
      <c r="X34" s="251">
        <f t="shared" si="26"/>
        <v>0.29176992020877618</v>
      </c>
      <c r="Y34" s="251">
        <f t="shared" si="26"/>
        <v>0.35457405782552259</v>
      </c>
      <c r="Z34" s="251">
        <f t="shared" si="26"/>
        <v>0.31569296420965925</v>
      </c>
      <c r="AA34" s="251">
        <f t="shared" si="26"/>
        <v>0.28341765459408369</v>
      </c>
      <c r="AB34" s="251">
        <f t="shared" si="26"/>
        <v>0.2378542861891022</v>
      </c>
      <c r="AC34" s="251">
        <f t="shared" si="26"/>
        <v>0.18304944668223924</v>
      </c>
      <c r="AD34" s="251">
        <f t="shared" si="26"/>
        <v>0.21265815975133448</v>
      </c>
      <c r="AE34" s="251">
        <f t="shared" si="26"/>
        <v>0.2040656259421425</v>
      </c>
      <c r="AF34" s="251">
        <f t="shared" si="26"/>
        <v>0.23591369488689573</v>
      </c>
      <c r="AG34" s="251">
        <f t="shared" ref="AG34" si="29">AG27/AG$29</f>
        <v>0.22014173423847902</v>
      </c>
    </row>
    <row r="35" spans="2:35" s="123" customFormat="1">
      <c r="B35" s="141" t="s">
        <v>224</v>
      </c>
      <c r="C35" s="251">
        <f t="shared" si="28"/>
        <v>1.6152106167906858E-2</v>
      </c>
      <c r="D35" s="251">
        <f t="shared" si="26"/>
        <v>5.7741410727896868E-2</v>
      </c>
      <c r="E35" s="251">
        <f t="shared" si="26"/>
        <v>5.9333767977585751E-2</v>
      </c>
      <c r="F35" s="251">
        <f t="shared" si="26"/>
        <v>4.3458836211868739E-2</v>
      </c>
      <c r="G35" s="251">
        <f t="shared" si="26"/>
        <v>5.0846330635445171E-2</v>
      </c>
      <c r="H35" s="251">
        <f t="shared" si="26"/>
        <v>7.153806086171953E-2</v>
      </c>
      <c r="I35" s="251">
        <f t="shared" si="26"/>
        <v>3.3042547122836025E-2</v>
      </c>
      <c r="J35" s="251">
        <f t="shared" si="26"/>
        <v>1.5980546941004415E-2</v>
      </c>
      <c r="K35" s="251">
        <f t="shared" si="26"/>
        <v>1.1526294352129622E-2</v>
      </c>
      <c r="L35" s="262"/>
      <c r="M35" s="251">
        <f t="shared" si="26"/>
        <v>4.9939558672353376E-2</v>
      </c>
      <c r="N35" s="251">
        <f t="shared" si="26"/>
        <v>4.9430659047357738E-2</v>
      </c>
      <c r="O35" s="251">
        <f t="shared" si="26"/>
        <v>3.7979474345642694E-2</v>
      </c>
      <c r="P35" s="251">
        <f t="shared" si="26"/>
        <v>3.9257198801384126E-2</v>
      </c>
      <c r="Q35" s="251">
        <f t="shared" si="26"/>
        <v>3.1646345942912324E-2</v>
      </c>
      <c r="R35" s="251">
        <f t="shared" si="26"/>
        <v>3.702895974013759E-2</v>
      </c>
      <c r="S35" s="251">
        <f t="shared" si="26"/>
        <v>5.8306366370287292E-2</v>
      </c>
      <c r="T35" s="251">
        <f t="shared" si="26"/>
        <v>9.5461293104785419E-2</v>
      </c>
      <c r="U35" s="251">
        <f t="shared" si="26"/>
        <v>9.4609767750742854E-2</v>
      </c>
      <c r="V35" s="251">
        <f t="shared" si="26"/>
        <v>8.9186418764037392E-2</v>
      </c>
      <c r="W35" s="251">
        <f t="shared" si="26"/>
        <v>6.1144445654069395E-2</v>
      </c>
      <c r="X35" s="251">
        <f t="shared" si="26"/>
        <v>5.808454006119497E-2</v>
      </c>
      <c r="Y35" s="251">
        <f t="shared" si="26"/>
        <v>4.255463451030355E-2</v>
      </c>
      <c r="Z35" s="251">
        <f t="shared" si="26"/>
        <v>3.2770294420266674E-2</v>
      </c>
      <c r="AA35" s="251">
        <f t="shared" si="26"/>
        <v>3.0964369399562479E-2</v>
      </c>
      <c r="AB35" s="251">
        <f t="shared" si="26"/>
        <v>2.9135022020247345E-2</v>
      </c>
      <c r="AC35" s="251">
        <f t="shared" si="26"/>
        <v>2.1170872209706811E-2</v>
      </c>
      <c r="AD35" s="251">
        <f t="shared" si="26"/>
        <v>1.7099533140409802E-2</v>
      </c>
      <c r="AE35" s="251">
        <f t="shared" si="26"/>
        <v>1.5371920790477162E-2</v>
      </c>
      <c r="AF35" s="251">
        <f t="shared" si="26"/>
        <v>1.2887028110968243E-2</v>
      </c>
      <c r="AG35" s="251">
        <f t="shared" ref="AG35" si="30">AG28/AG$29</f>
        <v>6.5317659270994165E-3</v>
      </c>
    </row>
    <row r="36" spans="2:35" s="123" customFormat="1">
      <c r="B36" s="138" t="s">
        <v>218</v>
      </c>
      <c r="C36" s="252">
        <f>SUM(C33:C35)</f>
        <v>1</v>
      </c>
      <c r="D36" s="252">
        <f t="shared" ref="D36:AF36" si="31">SUM(D33:D35)</f>
        <v>1</v>
      </c>
      <c r="E36" s="252">
        <f t="shared" si="31"/>
        <v>0.99999999999999989</v>
      </c>
      <c r="F36" s="252">
        <f t="shared" si="31"/>
        <v>1</v>
      </c>
      <c r="G36" s="252">
        <f t="shared" si="31"/>
        <v>1</v>
      </c>
      <c r="H36" s="252">
        <f t="shared" si="31"/>
        <v>1</v>
      </c>
      <c r="I36" s="252">
        <f t="shared" si="31"/>
        <v>1</v>
      </c>
      <c r="J36" s="252">
        <f t="shared" si="31"/>
        <v>1</v>
      </c>
      <c r="K36" s="252">
        <f t="shared" si="31"/>
        <v>1</v>
      </c>
      <c r="L36" s="262"/>
      <c r="M36" s="252">
        <f t="shared" si="31"/>
        <v>1</v>
      </c>
      <c r="N36" s="252">
        <f t="shared" si="31"/>
        <v>1</v>
      </c>
      <c r="O36" s="252">
        <f t="shared" si="31"/>
        <v>1</v>
      </c>
      <c r="P36" s="252">
        <f t="shared" si="31"/>
        <v>1</v>
      </c>
      <c r="Q36" s="252">
        <f t="shared" si="31"/>
        <v>1</v>
      </c>
      <c r="R36" s="252">
        <f t="shared" si="31"/>
        <v>1</v>
      </c>
      <c r="S36" s="252">
        <f t="shared" si="31"/>
        <v>1</v>
      </c>
      <c r="T36" s="252">
        <f t="shared" si="31"/>
        <v>1</v>
      </c>
      <c r="U36" s="252">
        <f t="shared" si="31"/>
        <v>0.99999999999999989</v>
      </c>
      <c r="V36" s="252">
        <f t="shared" si="31"/>
        <v>1</v>
      </c>
      <c r="W36" s="252">
        <f t="shared" si="31"/>
        <v>1</v>
      </c>
      <c r="X36" s="252">
        <f t="shared" si="31"/>
        <v>1</v>
      </c>
      <c r="Y36" s="252">
        <f t="shared" si="31"/>
        <v>0.99999999999999989</v>
      </c>
      <c r="Z36" s="252">
        <f t="shared" si="31"/>
        <v>1</v>
      </c>
      <c r="AA36" s="252">
        <f t="shared" si="31"/>
        <v>1</v>
      </c>
      <c r="AB36" s="252">
        <f t="shared" si="31"/>
        <v>1</v>
      </c>
      <c r="AC36" s="252">
        <f t="shared" si="31"/>
        <v>1</v>
      </c>
      <c r="AD36" s="252">
        <f t="shared" si="31"/>
        <v>1</v>
      </c>
      <c r="AE36" s="252">
        <f t="shared" si="31"/>
        <v>1</v>
      </c>
      <c r="AF36" s="252">
        <f t="shared" si="31"/>
        <v>1</v>
      </c>
      <c r="AG36" s="252">
        <f t="shared" ref="AG36" si="32">SUM(AG33:AG35)</f>
        <v>1</v>
      </c>
    </row>
    <row r="37" spans="2:35" s="123" customFormat="1">
      <c r="L37" s="262"/>
    </row>
    <row r="38" spans="2:35" s="123" customFormat="1">
      <c r="B38" s="250" t="s">
        <v>226</v>
      </c>
      <c r="L38" s="262"/>
    </row>
    <row r="39" spans="2:35" s="123" customFormat="1">
      <c r="B39" s="141" t="s">
        <v>222</v>
      </c>
      <c r="C39" s="253"/>
      <c r="D39" s="251">
        <f>D26/C26-1</f>
        <v>-0.37312016557074534</v>
      </c>
      <c r="E39" s="251">
        <f t="shared" ref="E39:J39" si="33">E26/D26-1</f>
        <v>0.11056776266248036</v>
      </c>
      <c r="F39" s="251">
        <f t="shared" si="33"/>
        <v>0.35779031117830518</v>
      </c>
      <c r="G39" s="251">
        <f t="shared" si="33"/>
        <v>-7.9442220875876934E-2</v>
      </c>
      <c r="H39" s="251">
        <f t="shared" si="33"/>
        <v>-0.26270694792061089</v>
      </c>
      <c r="I39" s="251">
        <f t="shared" si="33"/>
        <v>1.1538057675549824</v>
      </c>
      <c r="J39" s="251">
        <f t="shared" si="33"/>
        <v>0.67452152014733913</v>
      </c>
      <c r="K39" s="253"/>
      <c r="L39" s="262"/>
      <c r="M39" s="253"/>
      <c r="N39" s="253"/>
      <c r="O39" s="253"/>
      <c r="P39" s="253"/>
      <c r="Q39" s="251">
        <f>Q26/M26-1</f>
        <v>0.29610163779806542</v>
      </c>
      <c r="R39" s="251">
        <f t="shared" ref="R39:AG42" si="34">R26/N26-1</f>
        <v>0.1699958551959202</v>
      </c>
      <c r="S39" s="251">
        <f t="shared" si="34"/>
        <v>-0.16343564747093697</v>
      </c>
      <c r="T39" s="251">
        <f t="shared" si="34"/>
        <v>-0.47523478525374607</v>
      </c>
      <c r="U39" s="251">
        <f t="shared" si="34"/>
        <v>-0.62855058608405434</v>
      </c>
      <c r="V39" s="251">
        <f t="shared" si="34"/>
        <v>-0.4973508082400574</v>
      </c>
      <c r="W39" s="251">
        <f t="shared" si="34"/>
        <v>-0.12491663462426117</v>
      </c>
      <c r="X39" s="251">
        <f t="shared" si="34"/>
        <v>0.60654817913670867</v>
      </c>
      <c r="Y39" s="251">
        <f t="shared" si="34"/>
        <v>1.5673993693065249</v>
      </c>
      <c r="Z39" s="251">
        <f t="shared" si="34"/>
        <v>1.4241132798022353</v>
      </c>
      <c r="AA39" s="251">
        <f t="shared" si="34"/>
        <v>0.97981830924236912</v>
      </c>
      <c r="AB39" s="251">
        <f t="shared" si="34"/>
        <v>0.97129366006990536</v>
      </c>
      <c r="AC39" s="251">
        <f t="shared" si="34"/>
        <v>0.87321911088193316</v>
      </c>
      <c r="AD39" s="251">
        <f t="shared" si="34"/>
        <v>0.60031965291622069</v>
      </c>
      <c r="AE39" s="251">
        <f t="shared" si="34"/>
        <v>0.58393620669678303</v>
      </c>
      <c r="AF39" s="251">
        <f t="shared" si="34"/>
        <v>0.70188388129071577</v>
      </c>
      <c r="AG39" s="251">
        <f t="shared" si="34"/>
        <v>1.8965599880885127</v>
      </c>
    </row>
    <row r="40" spans="2:35" s="123" customFormat="1">
      <c r="B40" s="141" t="s">
        <v>223</v>
      </c>
      <c r="C40" s="253"/>
      <c r="D40" s="251">
        <f t="shared" ref="D40:J42" si="35">D27/C27-1</f>
        <v>-0.30741651537012504</v>
      </c>
      <c r="E40" s="251">
        <f t="shared" si="35"/>
        <v>0.45367261769142631</v>
      </c>
      <c r="F40" s="251">
        <f t="shared" si="35"/>
        <v>0.40933020239472895</v>
      </c>
      <c r="G40" s="251">
        <f t="shared" si="35"/>
        <v>0.3470719782339946</v>
      </c>
      <c r="H40" s="251">
        <f t="shared" si="35"/>
        <v>-0.31943644928134485</v>
      </c>
      <c r="I40" s="251">
        <f t="shared" si="35"/>
        <v>0.99668395341125482</v>
      </c>
      <c r="J40" s="251">
        <f t="shared" si="35"/>
        <v>7.3464966894454031E-2</v>
      </c>
      <c r="K40" s="253"/>
      <c r="L40" s="262"/>
      <c r="M40" s="253"/>
      <c r="N40" s="253"/>
      <c r="O40" s="253"/>
      <c r="P40" s="253"/>
      <c r="Q40" s="251">
        <f t="shared" ref="Q40:Q42" si="36">Q27/M27-1</f>
        <v>0.94936496368908352</v>
      </c>
      <c r="R40" s="251">
        <f t="shared" si="34"/>
        <v>0.95944668841873626</v>
      </c>
      <c r="S40" s="251">
        <f t="shared" si="34"/>
        <v>0.11306851107948601</v>
      </c>
      <c r="T40" s="251">
        <f t="shared" si="34"/>
        <v>-0.25463245360768849</v>
      </c>
      <c r="U40" s="251">
        <f t="shared" si="34"/>
        <v>-0.56865228273660084</v>
      </c>
      <c r="V40" s="251">
        <f t="shared" si="34"/>
        <v>-0.50414322359329944</v>
      </c>
      <c r="W40" s="251">
        <f t="shared" si="34"/>
        <v>-0.28392044708302533</v>
      </c>
      <c r="X40" s="251">
        <f t="shared" si="34"/>
        <v>0.39506378558704558</v>
      </c>
      <c r="Y40" s="251">
        <f t="shared" si="34"/>
        <v>1.6108555870320149</v>
      </c>
      <c r="Z40" s="251">
        <f t="shared" si="34"/>
        <v>1.3143833326414343</v>
      </c>
      <c r="AA40" s="251">
        <f t="shared" si="34"/>
        <v>1.0527975731696761</v>
      </c>
      <c r="AB40" s="251">
        <f t="shared" si="34"/>
        <v>0.42535180012405238</v>
      </c>
      <c r="AC40" s="251">
        <f t="shared" si="34"/>
        <v>-0.26737486933352217</v>
      </c>
      <c r="AD40" s="251">
        <f t="shared" si="34"/>
        <v>-8.8124748418763055E-2</v>
      </c>
      <c r="AE40" s="251">
        <f t="shared" si="34"/>
        <v>1.7403812213909742E-3</v>
      </c>
      <c r="AF40" s="251">
        <f t="shared" si="34"/>
        <v>0.64712759753228322</v>
      </c>
      <c r="AG40" s="251">
        <f t="shared" si="34"/>
        <v>2.5846474037849565</v>
      </c>
    </row>
    <row r="41" spans="2:35" s="123" customFormat="1">
      <c r="B41" s="141" t="s">
        <v>224</v>
      </c>
      <c r="C41" s="253"/>
      <c r="D41" s="251">
        <f t="shared" si="35"/>
        <v>1.3856534710603379</v>
      </c>
      <c r="E41" s="251">
        <f t="shared" si="35"/>
        <v>0.21449640451644325</v>
      </c>
      <c r="F41" s="251">
        <f t="shared" si="35"/>
        <v>-1.2752724575384677E-2</v>
      </c>
      <c r="G41" s="251">
        <f t="shared" si="35"/>
        <v>0.2141719566271405</v>
      </c>
      <c r="H41" s="251">
        <f t="shared" si="35"/>
        <v>3.3123931448760358E-2</v>
      </c>
      <c r="I41" s="251">
        <f t="shared" si="35"/>
        <v>-6.6899431568995804E-2</v>
      </c>
      <c r="J41" s="251">
        <f t="shared" si="35"/>
        <v>-0.2902028361582748</v>
      </c>
      <c r="K41" s="253"/>
      <c r="L41" s="262"/>
      <c r="M41" s="253"/>
      <c r="N41" s="253"/>
      <c r="O41" s="253"/>
      <c r="P41" s="253"/>
      <c r="Q41" s="251">
        <f t="shared" si="36"/>
        <v>-9.3150336165357506E-2</v>
      </c>
      <c r="R41" s="251">
        <f t="shared" si="34"/>
        <v>2.3519865466370415E-3</v>
      </c>
      <c r="S41" s="251">
        <f t="shared" si="34"/>
        <v>0.42825408154161826</v>
      </c>
      <c r="T41" s="251">
        <f t="shared" si="34"/>
        <v>0.5073589491861008</v>
      </c>
      <c r="U41" s="251">
        <f t="shared" si="34"/>
        <v>0.25138426024612537</v>
      </c>
      <c r="V41" s="251">
        <f t="shared" si="34"/>
        <v>0.27411239971294887</v>
      </c>
      <c r="W41" s="251">
        <f t="shared" si="34"/>
        <v>-0.13433754130411701</v>
      </c>
      <c r="X41" s="251">
        <f t="shared" si="34"/>
        <v>-0.10337091845512314</v>
      </c>
      <c r="Y41" s="251">
        <f t="shared" si="34"/>
        <v>9.8781640474879806E-2</v>
      </c>
      <c r="Z41" s="251">
        <f t="shared" si="34"/>
        <v>-0.17402814653386334</v>
      </c>
      <c r="AA41" s="251">
        <f t="shared" si="34"/>
        <v>-1.8412688104541219E-2</v>
      </c>
      <c r="AB41" s="251">
        <f t="shared" si="34"/>
        <v>-0.12298625651958728</v>
      </c>
      <c r="AC41" s="251">
        <f t="shared" si="34"/>
        <v>-0.29398775279475631</v>
      </c>
      <c r="AD41" s="251">
        <f t="shared" si="34"/>
        <v>-0.29364635494569813</v>
      </c>
      <c r="AE41" s="251">
        <f t="shared" si="34"/>
        <v>-0.3093180235197257</v>
      </c>
      <c r="AF41" s="251">
        <f t="shared" si="34"/>
        <v>-0.26544807983150231</v>
      </c>
      <c r="AG41" s="251">
        <f t="shared" si="34"/>
        <v>-8.0388607418674152E-2</v>
      </c>
    </row>
    <row r="42" spans="2:35" s="123" customFormat="1">
      <c r="B42" s="138" t="s">
        <v>218</v>
      </c>
      <c r="C42" s="253"/>
      <c r="D42" s="252">
        <f t="shared" si="35"/>
        <v>-0.33265696735418848</v>
      </c>
      <c r="E42" s="252">
        <f t="shared" si="35"/>
        <v>0.18190261820603393</v>
      </c>
      <c r="F42" s="252">
        <f t="shared" si="35"/>
        <v>0.34787550432724745</v>
      </c>
      <c r="G42" s="252">
        <f t="shared" si="35"/>
        <v>3.7764171704444793E-2</v>
      </c>
      <c r="H42" s="252">
        <f t="shared" si="35"/>
        <v>-0.26569772267975877</v>
      </c>
      <c r="I42" s="252">
        <f t="shared" si="35"/>
        <v>1.0201894547163759</v>
      </c>
      <c r="J42" s="252">
        <f t="shared" si="35"/>
        <v>0.46762850611303675</v>
      </c>
      <c r="K42" s="253"/>
      <c r="L42" s="262"/>
      <c r="M42" s="253"/>
      <c r="N42" s="253"/>
      <c r="O42" s="253"/>
      <c r="P42" s="253"/>
      <c r="Q42" s="252">
        <f t="shared" si="36"/>
        <v>0.43105532865531115</v>
      </c>
      <c r="R42" s="252">
        <f t="shared" si="34"/>
        <v>0.3380586341106977</v>
      </c>
      <c r="S42" s="252">
        <f t="shared" si="34"/>
        <v>-6.9666957044126843E-2</v>
      </c>
      <c r="T42" s="252">
        <f t="shared" si="34"/>
        <v>-0.38011849610826354</v>
      </c>
      <c r="U42" s="252">
        <f t="shared" si="34"/>
        <v>-0.58142018367914905</v>
      </c>
      <c r="V42" s="252">
        <f t="shared" si="34"/>
        <v>-0.471006265222919</v>
      </c>
      <c r="W42" s="252">
        <f t="shared" si="34"/>
        <v>-0.17451811150132435</v>
      </c>
      <c r="X42" s="252">
        <f t="shared" si="34"/>
        <v>0.47359988508909834</v>
      </c>
      <c r="Y42" s="252">
        <f t="shared" si="34"/>
        <v>1.4428708414576645</v>
      </c>
      <c r="Z42" s="252">
        <f t="shared" si="34"/>
        <v>1.2479343842874004</v>
      </c>
      <c r="AA42" s="252">
        <f t="shared" si="34"/>
        <v>0.9383121055184156</v>
      </c>
      <c r="AB42" s="252">
        <f t="shared" si="34"/>
        <v>0.74844350150156957</v>
      </c>
      <c r="AC42" s="252">
        <f t="shared" si="34"/>
        <v>0.41912401350389605</v>
      </c>
      <c r="AD42" s="252">
        <f t="shared" si="34"/>
        <v>0.35368706988588983</v>
      </c>
      <c r="AE42" s="252">
        <f t="shared" si="34"/>
        <v>0.39127257737393517</v>
      </c>
      <c r="AF42" s="252">
        <f t="shared" si="34"/>
        <v>0.66067662651480097</v>
      </c>
      <c r="AG42" s="252">
        <f t="shared" si="34"/>
        <v>1.9806602827201165</v>
      </c>
    </row>
    <row r="43" spans="2:35" s="123" customFormat="1">
      <c r="L43" s="262"/>
    </row>
    <row r="44" spans="2:35" s="123" customFormat="1">
      <c r="B44" s="138"/>
      <c r="L44" s="262"/>
    </row>
    <row r="45" spans="2:35">
      <c r="B45" s="254"/>
      <c r="C45" s="254"/>
      <c r="D45" s="254"/>
      <c r="E45" s="254"/>
      <c r="F45" s="254"/>
      <c r="G45" s="254"/>
      <c r="H45" s="254"/>
      <c r="I45" s="254"/>
      <c r="J45" s="254"/>
      <c r="K45" s="255"/>
      <c r="M45" s="254"/>
      <c r="N45" s="254"/>
      <c r="O45" s="254"/>
      <c r="P45" s="256"/>
      <c r="Q45" s="254"/>
      <c r="R45" s="254"/>
      <c r="S45" s="254"/>
      <c r="T45" s="256"/>
      <c r="U45" s="254"/>
      <c r="V45" s="254"/>
      <c r="W45" s="254"/>
      <c r="X45" s="256"/>
      <c r="Y45" s="254"/>
      <c r="Z45" s="254"/>
      <c r="AA45" s="254"/>
      <c r="AB45" s="256"/>
      <c r="AC45" s="254"/>
      <c r="AD45" s="254"/>
      <c r="AE45" s="254"/>
      <c r="AF45" s="256"/>
      <c r="AG45" s="254"/>
    </row>
    <row r="46" spans="2:35">
      <c r="B46" s="138" t="s">
        <v>227</v>
      </c>
      <c r="K46" s="148"/>
      <c r="T46" s="128"/>
      <c r="X46" s="128"/>
      <c r="AB46" s="128"/>
      <c r="AF46" s="128"/>
    </row>
    <row r="47" spans="2:35">
      <c r="B47" s="142" t="s">
        <v>228</v>
      </c>
      <c r="C47" s="143">
        <v>840491</v>
      </c>
      <c r="D47" s="143">
        <v>1446997</v>
      </c>
      <c r="E47" s="143">
        <v>1452006</v>
      </c>
      <c r="F47" s="143">
        <v>1461982</v>
      </c>
      <c r="G47" s="143">
        <v>1225765</v>
      </c>
      <c r="H47" s="143">
        <v>2033857</v>
      </c>
      <c r="I47" s="143">
        <v>1904112</v>
      </c>
      <c r="J47" s="143">
        <v>1932342</v>
      </c>
      <c r="K47" s="144">
        <f>SUM(AD47:AG47)</f>
        <v>1668489</v>
      </c>
      <c r="L47" s="140"/>
      <c r="M47" s="143">
        <v>321150</v>
      </c>
      <c r="N47" s="143">
        <v>398880</v>
      </c>
      <c r="O47" s="143">
        <v>344933</v>
      </c>
      <c r="P47" s="129">
        <f>F47-SUM(M47:O47)</f>
        <v>397019</v>
      </c>
      <c r="Q47" s="143">
        <v>253540</v>
      </c>
      <c r="R47" s="143">
        <v>292987</v>
      </c>
      <c r="S47" s="143">
        <v>397823</v>
      </c>
      <c r="T47" s="129">
        <f>G47-SUM(Q47:S47)</f>
        <v>281415</v>
      </c>
      <c r="U47" s="143">
        <v>394307</v>
      </c>
      <c r="V47" s="143">
        <v>467047</v>
      </c>
      <c r="W47" s="143">
        <v>600930</v>
      </c>
      <c r="X47" s="125">
        <f t="shared" ref="X47:X51" si="37">H47-SUM(U47:W47)</f>
        <v>571573</v>
      </c>
      <c r="Y47" s="143">
        <v>485931</v>
      </c>
      <c r="Z47" s="143">
        <v>481626</v>
      </c>
      <c r="AA47" s="143">
        <v>375675</v>
      </c>
      <c r="AB47" s="125">
        <f t="shared" ref="AB47:AB51" si="38">I47-SUM(Y47:AA47)</f>
        <v>560880</v>
      </c>
      <c r="AC47" s="143">
        <v>442620</v>
      </c>
      <c r="AD47" s="143">
        <v>408005</v>
      </c>
      <c r="AE47" s="143">
        <v>472452</v>
      </c>
      <c r="AF47" s="125">
        <f t="shared" ref="AF47:AF51" si="39">J47-SUM(AC47:AE47)</f>
        <v>609265</v>
      </c>
      <c r="AG47" s="143">
        <v>178767</v>
      </c>
      <c r="AH47" s="149"/>
      <c r="AI47" s="149"/>
    </row>
    <row r="48" spans="2:35">
      <c r="B48" s="142" t="s">
        <v>229</v>
      </c>
      <c r="C48" s="143">
        <v>14278161</v>
      </c>
      <c r="D48" s="143">
        <v>8141151</v>
      </c>
      <c r="E48" s="143">
        <v>12686108</v>
      </c>
      <c r="F48" s="143">
        <v>17144323</v>
      </c>
      <c r="G48" s="143">
        <v>23960980</v>
      </c>
      <c r="H48" s="143">
        <v>15390229</v>
      </c>
      <c r="I48" s="143">
        <v>41961072</v>
      </c>
      <c r="J48" s="143">
        <v>66885115</v>
      </c>
      <c r="K48" s="144">
        <f t="shared" ref="K48:K51" si="40">SUM(AD48:AG48)</f>
        <v>88089740</v>
      </c>
      <c r="L48" s="140"/>
      <c r="M48" s="143">
        <v>3197159</v>
      </c>
      <c r="N48" s="143">
        <v>3888759</v>
      </c>
      <c r="O48" s="143">
        <v>4601148</v>
      </c>
      <c r="P48" s="129">
        <f>F48-SUM(M48:O48)</f>
        <v>5457257</v>
      </c>
      <c r="Q48" s="143">
        <v>5992764</v>
      </c>
      <c r="R48" s="143">
        <v>7087906</v>
      </c>
      <c r="S48" s="143">
        <v>6167748</v>
      </c>
      <c r="T48" s="129">
        <f>G48-SUM(Q48:S48)</f>
        <v>4712562</v>
      </c>
      <c r="U48" s="143">
        <v>2290112</v>
      </c>
      <c r="V48" s="143">
        <v>3150488</v>
      </c>
      <c r="W48" s="143">
        <v>4268604</v>
      </c>
      <c r="X48" s="125">
        <f t="shared" si="37"/>
        <v>5681025</v>
      </c>
      <c r="Y48" s="143">
        <v>6312614</v>
      </c>
      <c r="Z48" s="143">
        <v>9666130</v>
      </c>
      <c r="AA48" s="143">
        <v>11327116</v>
      </c>
      <c r="AB48" s="125">
        <f t="shared" si="38"/>
        <v>14655212</v>
      </c>
      <c r="AC48" s="143">
        <v>12794533</v>
      </c>
      <c r="AD48" s="143">
        <v>15039907</v>
      </c>
      <c r="AE48" s="143">
        <v>17345742</v>
      </c>
      <c r="AF48" s="125">
        <f t="shared" si="39"/>
        <v>21704933</v>
      </c>
      <c r="AG48" s="143">
        <v>33999158</v>
      </c>
      <c r="AH48" s="149"/>
      <c r="AI48" s="149"/>
    </row>
    <row r="49" spans="2:35">
      <c r="B49" s="142" t="s">
        <v>230</v>
      </c>
      <c r="C49" s="143">
        <v>15785993</v>
      </c>
      <c r="D49" s="143">
        <v>12570278</v>
      </c>
      <c r="E49" s="143">
        <v>12217634</v>
      </c>
      <c r="F49" s="143">
        <v>15730223</v>
      </c>
      <c r="G49" s="143">
        <v>12210470</v>
      </c>
      <c r="H49" s="143">
        <v>10110084</v>
      </c>
      <c r="I49" s="143">
        <v>15533563</v>
      </c>
      <c r="J49" s="143">
        <v>19136237</v>
      </c>
      <c r="K49" s="144">
        <f t="shared" si="40"/>
        <v>29238463</v>
      </c>
      <c r="L49" s="263"/>
      <c r="M49" s="143">
        <v>3234700</v>
      </c>
      <c r="N49" s="143">
        <v>3891709</v>
      </c>
      <c r="O49" s="143">
        <v>4456709</v>
      </c>
      <c r="P49" s="129">
        <f>F49-SUM(M49:O49)</f>
        <v>4147105</v>
      </c>
      <c r="Q49" s="143">
        <v>3818525</v>
      </c>
      <c r="R49" s="143">
        <v>4206358</v>
      </c>
      <c r="S49" s="143">
        <v>2753335</v>
      </c>
      <c r="T49" s="129">
        <f>G49-SUM(Q49:S49)</f>
        <v>1432252</v>
      </c>
      <c r="U49" s="143">
        <v>1546079</v>
      </c>
      <c r="V49" s="143">
        <v>2362645</v>
      </c>
      <c r="W49" s="143">
        <v>2738825</v>
      </c>
      <c r="X49" s="125">
        <f t="shared" si="37"/>
        <v>3462535</v>
      </c>
      <c r="Y49" s="143">
        <v>4091101</v>
      </c>
      <c r="Z49" s="143">
        <v>4515011</v>
      </c>
      <c r="AA49" s="143">
        <v>4156213</v>
      </c>
      <c r="AB49" s="125">
        <f t="shared" si="38"/>
        <v>2771238</v>
      </c>
      <c r="AC49" s="143">
        <v>2694352</v>
      </c>
      <c r="AD49" s="143">
        <v>4670650</v>
      </c>
      <c r="AE49" s="143">
        <v>4383924</v>
      </c>
      <c r="AF49" s="125">
        <f t="shared" si="39"/>
        <v>7387311</v>
      </c>
      <c r="AG49" s="143">
        <v>12796578</v>
      </c>
      <c r="AH49" s="149"/>
      <c r="AI49" s="149"/>
    </row>
    <row r="50" spans="2:35">
      <c r="B50" s="142" t="s">
        <v>231</v>
      </c>
      <c r="C50" s="143">
        <f>4609601+2950067</f>
        <v>7559668</v>
      </c>
      <c r="D50" s="143">
        <f>2301314+1444188</f>
        <v>3745502</v>
      </c>
      <c r="E50" s="143">
        <f>2416321+1905650</f>
        <v>4321971</v>
      </c>
      <c r="F50" s="143">
        <f>4033614+2989315</f>
        <v>7022929</v>
      </c>
      <c r="G50" s="143">
        <f>5615384</f>
        <v>5615384</v>
      </c>
      <c r="H50" s="143">
        <v>4296937</v>
      </c>
      <c r="I50" s="143">
        <v>5381439</v>
      </c>
      <c r="J50" s="143">
        <v>7215598</v>
      </c>
      <c r="K50" s="144">
        <f t="shared" si="40"/>
        <v>10430593</v>
      </c>
      <c r="L50" s="263"/>
      <c r="M50" s="143">
        <v>1410774</v>
      </c>
      <c r="N50" s="143">
        <v>1744920</v>
      </c>
      <c r="O50" s="143">
        <v>1992788</v>
      </c>
      <c r="P50" s="129">
        <f>F50-SUM(M50:O50)</f>
        <v>1874447</v>
      </c>
      <c r="Q50" s="143">
        <v>1647717</v>
      </c>
      <c r="R50" s="143">
        <v>1822087</v>
      </c>
      <c r="S50" s="143">
        <v>1219391</v>
      </c>
      <c r="T50" s="129">
        <f>G50-SUM(Q50:S50)</f>
        <v>926189</v>
      </c>
      <c r="U50" s="143">
        <v>711623</v>
      </c>
      <c r="V50" s="143">
        <v>1119770</v>
      </c>
      <c r="W50" s="143">
        <v>1228031</v>
      </c>
      <c r="X50" s="125">
        <f t="shared" si="37"/>
        <v>1237513</v>
      </c>
      <c r="Y50" s="143">
        <v>1170251</v>
      </c>
      <c r="Z50" s="143">
        <v>1378600</v>
      </c>
      <c r="AA50" s="143">
        <v>1374216</v>
      </c>
      <c r="AB50" s="125">
        <f t="shared" si="38"/>
        <v>1458372</v>
      </c>
      <c r="AC50" s="143">
        <v>1258292</v>
      </c>
      <c r="AD50" s="143">
        <v>1739197</v>
      </c>
      <c r="AE50" s="143">
        <v>1777843</v>
      </c>
      <c r="AF50" s="125">
        <f t="shared" si="39"/>
        <v>2440266</v>
      </c>
      <c r="AG50" s="143">
        <v>4473287</v>
      </c>
      <c r="AH50" s="149"/>
      <c r="AI50" s="149"/>
    </row>
    <row r="51" spans="2:35">
      <c r="B51" s="150" t="s">
        <v>232</v>
      </c>
      <c r="C51" s="143">
        <v>1980753</v>
      </c>
      <c r="D51" s="143">
        <v>1086805</v>
      </c>
      <c r="E51" s="143">
        <v>1222699</v>
      </c>
      <c r="F51" s="143">
        <v>1638335</v>
      </c>
      <c r="G51" s="143">
        <v>1608969</v>
      </c>
      <c r="H51" s="143">
        <v>934612</v>
      </c>
      <c r="I51" s="143">
        <v>1412774</v>
      </c>
      <c r="J51" s="143">
        <v>1977383</v>
      </c>
      <c r="K51" s="144">
        <f t="shared" si="40"/>
        <v>2656536</v>
      </c>
      <c r="L51" s="263"/>
      <c r="M51" s="143">
        <v>330405</v>
      </c>
      <c r="N51" s="143">
        <v>397403</v>
      </c>
      <c r="O51" s="143">
        <v>409746</v>
      </c>
      <c r="P51" s="129">
        <f>F51-SUM(M51:O51)</f>
        <v>500781</v>
      </c>
      <c r="Q51" s="143">
        <v>443107</v>
      </c>
      <c r="R51" s="143">
        <v>401663</v>
      </c>
      <c r="S51" s="143">
        <v>444586</v>
      </c>
      <c r="T51" s="129">
        <f>G51-SUM(Q51:S51)</f>
        <v>319613</v>
      </c>
      <c r="U51" s="143">
        <v>145990</v>
      </c>
      <c r="V51" s="143">
        <v>205983</v>
      </c>
      <c r="W51" s="143">
        <v>229781</v>
      </c>
      <c r="X51" s="125">
        <f t="shared" si="37"/>
        <v>352858</v>
      </c>
      <c r="Y51" s="143">
        <v>369701</v>
      </c>
      <c r="Z51" s="143">
        <v>381891</v>
      </c>
      <c r="AA51" s="143">
        <v>339849</v>
      </c>
      <c r="AB51" s="125">
        <f t="shared" si="38"/>
        <v>321333</v>
      </c>
      <c r="AC51" s="143">
        <v>449344</v>
      </c>
      <c r="AD51" s="143">
        <v>374193</v>
      </c>
      <c r="AE51" s="143">
        <v>468968</v>
      </c>
      <c r="AF51" s="125">
        <f t="shared" si="39"/>
        <v>684878</v>
      </c>
      <c r="AG51" s="143">
        <v>1128497</v>
      </c>
      <c r="AH51" s="149"/>
      <c r="AI51" s="149"/>
    </row>
    <row r="52" spans="2:35" s="147" customFormat="1">
      <c r="B52" s="138" t="s">
        <v>233</v>
      </c>
      <c r="C52" s="145">
        <f t="shared" ref="C52:K52" si="41">SUM(C47:C51)</f>
        <v>40445066</v>
      </c>
      <c r="D52" s="145">
        <f t="shared" si="41"/>
        <v>26990733</v>
      </c>
      <c r="E52" s="145">
        <f t="shared" si="41"/>
        <v>31900418</v>
      </c>
      <c r="F52" s="145">
        <f t="shared" si="41"/>
        <v>42997792</v>
      </c>
      <c r="G52" s="145">
        <f t="shared" si="41"/>
        <v>44621568</v>
      </c>
      <c r="H52" s="145">
        <f t="shared" ref="H52:I52" si="42">SUM(H47:H51)</f>
        <v>32765719</v>
      </c>
      <c r="I52" s="145">
        <f t="shared" si="42"/>
        <v>66192960</v>
      </c>
      <c r="J52" s="145">
        <f t="shared" ref="J52" si="43">SUM(J47:J51)</f>
        <v>97146675</v>
      </c>
      <c r="K52" s="146">
        <f t="shared" si="41"/>
        <v>132083821</v>
      </c>
      <c r="L52" s="145"/>
      <c r="M52" s="145">
        <f t="shared" ref="M52:V52" si="44">SUM(M47:M51)</f>
        <v>8494188</v>
      </c>
      <c r="N52" s="145">
        <f t="shared" si="44"/>
        <v>10321671</v>
      </c>
      <c r="O52" s="145">
        <f t="shared" si="44"/>
        <v>11805324</v>
      </c>
      <c r="P52" s="126">
        <f t="shared" si="44"/>
        <v>12376609</v>
      </c>
      <c r="Q52" s="145">
        <f t="shared" si="44"/>
        <v>12155653</v>
      </c>
      <c r="R52" s="145">
        <f t="shared" si="44"/>
        <v>13811001</v>
      </c>
      <c r="S52" s="145">
        <f t="shared" si="44"/>
        <v>10982883</v>
      </c>
      <c r="T52" s="126">
        <f t="shared" si="44"/>
        <v>7672031</v>
      </c>
      <c r="U52" s="145">
        <f t="shared" si="44"/>
        <v>5088111</v>
      </c>
      <c r="V52" s="145">
        <f t="shared" si="44"/>
        <v>7305933</v>
      </c>
      <c r="W52" s="145">
        <f t="shared" ref="W52:Z52" si="45">SUM(W47:W51)</f>
        <v>9066171</v>
      </c>
      <c r="X52" s="126">
        <f t="shared" si="45"/>
        <v>11305504</v>
      </c>
      <c r="Y52" s="145">
        <f t="shared" si="45"/>
        <v>12429598</v>
      </c>
      <c r="Z52" s="145">
        <f t="shared" si="45"/>
        <v>16423258</v>
      </c>
      <c r="AA52" s="145">
        <f t="shared" ref="AA52:AD52" si="46">SUM(AA47:AA51)</f>
        <v>17573069</v>
      </c>
      <c r="AB52" s="126">
        <f t="shared" si="46"/>
        <v>19767035</v>
      </c>
      <c r="AC52" s="145">
        <f t="shared" si="46"/>
        <v>17639141</v>
      </c>
      <c r="AD52" s="145">
        <f t="shared" si="46"/>
        <v>22231952</v>
      </c>
      <c r="AE52" s="145">
        <f t="shared" ref="AE52:AG52" si="47">SUM(AE47:AE51)</f>
        <v>24448929</v>
      </c>
      <c r="AF52" s="126">
        <f t="shared" si="47"/>
        <v>32826653</v>
      </c>
      <c r="AG52" s="145">
        <f t="shared" si="47"/>
        <v>52576287</v>
      </c>
    </row>
    <row r="53" spans="2:35" s="123" customFormat="1">
      <c r="B53" s="123" t="s">
        <v>35</v>
      </c>
      <c r="C53" s="123">
        <f>C52-Model!C7</f>
        <v>0</v>
      </c>
      <c r="D53" s="123">
        <f>D52-Model!D7</f>
        <v>0</v>
      </c>
      <c r="E53" s="123">
        <f>E52-Model!E7</f>
        <v>0</v>
      </c>
      <c r="F53" s="123">
        <f>F52-Model!F7</f>
        <v>0</v>
      </c>
      <c r="G53" s="123">
        <f>G52-Model!G7</f>
        <v>0</v>
      </c>
      <c r="H53" s="123">
        <f>H52-Model!H7</f>
        <v>0</v>
      </c>
      <c r="I53" s="123">
        <f>I52-Model!I7</f>
        <v>0</v>
      </c>
      <c r="J53" s="123">
        <f>J52-Model!J7</f>
        <v>0</v>
      </c>
      <c r="K53" s="123">
        <f>K52-Model!K7</f>
        <v>0</v>
      </c>
      <c r="L53" s="262"/>
      <c r="M53" s="123">
        <f>M52-Model!M7</f>
        <v>0</v>
      </c>
      <c r="N53" s="123">
        <f>N52-Model!N7</f>
        <v>0</v>
      </c>
      <c r="O53" s="123">
        <f>O52-Model!O7</f>
        <v>0</v>
      </c>
      <c r="P53" s="123">
        <f>P52-Model!P7</f>
        <v>0</v>
      </c>
      <c r="Q53" s="123">
        <f>Q52-Model!Q7</f>
        <v>0</v>
      </c>
      <c r="R53" s="123">
        <f>R52-Model!R7</f>
        <v>0</v>
      </c>
      <c r="S53" s="123">
        <f>S52-Model!S7</f>
        <v>0</v>
      </c>
      <c r="T53" s="123">
        <f>T52-Model!T7</f>
        <v>0</v>
      </c>
      <c r="U53" s="123">
        <f>U52-Model!U7</f>
        <v>0</v>
      </c>
      <c r="V53" s="123">
        <f>V52-Model!V7</f>
        <v>0</v>
      </c>
      <c r="W53" s="123">
        <f>W52-Model!W7</f>
        <v>0</v>
      </c>
      <c r="X53" s="123">
        <f>X52-Model!X7</f>
        <v>0</v>
      </c>
      <c r="Y53" s="123">
        <f>Y52-Model!Y7</f>
        <v>0</v>
      </c>
      <c r="Z53" s="123">
        <f>Z52-Model!Z7</f>
        <v>0</v>
      </c>
      <c r="AA53" s="123">
        <f>AA52-Model!AA7</f>
        <v>0</v>
      </c>
      <c r="AB53" s="123">
        <f>AB52-Model!AB7</f>
        <v>0</v>
      </c>
      <c r="AC53" s="123">
        <f>AC52-Model!AC7</f>
        <v>0</v>
      </c>
      <c r="AD53" s="123">
        <f>AD52-Model!AD7</f>
        <v>0</v>
      </c>
      <c r="AE53" s="123">
        <f>AE52-Model!AE7</f>
        <v>0</v>
      </c>
      <c r="AF53" s="123">
        <f>AF52-Model!AF7</f>
        <v>0</v>
      </c>
      <c r="AG53" s="123">
        <f>AG52-Model!AG7</f>
        <v>0</v>
      </c>
    </row>
    <row r="54" spans="2:35">
      <c r="K54" s="148"/>
      <c r="T54" s="128"/>
      <c r="X54" s="128"/>
      <c r="AB54" s="128"/>
      <c r="AF54" s="128"/>
    </row>
    <row r="55" spans="2:35">
      <c r="B55" s="138" t="s">
        <v>234</v>
      </c>
    </row>
    <row r="56" spans="2:35">
      <c r="B56" s="142" t="s">
        <v>228</v>
      </c>
      <c r="C56" s="257">
        <f>C47/C$52</f>
        <v>2.0781051513180868E-2</v>
      </c>
      <c r="D56" s="257">
        <f t="shared" ref="D56:AF60" si="48">D47/D$52</f>
        <v>5.3610881927511934E-2</v>
      </c>
      <c r="E56" s="257">
        <f t="shared" si="48"/>
        <v>4.5516833039617226E-2</v>
      </c>
      <c r="F56" s="257">
        <f t="shared" si="48"/>
        <v>3.4001327323970494E-2</v>
      </c>
      <c r="G56" s="257">
        <f t="shared" si="48"/>
        <v>2.7470235918199915E-2</v>
      </c>
      <c r="H56" s="257">
        <f t="shared" si="48"/>
        <v>6.2072710810954584E-2</v>
      </c>
      <c r="I56" s="257">
        <f t="shared" si="48"/>
        <v>2.8766080259894709E-2</v>
      </c>
      <c r="J56" s="257">
        <f t="shared" si="48"/>
        <v>1.9890974137817891E-2</v>
      </c>
      <c r="K56" s="257">
        <f t="shared" si="48"/>
        <v>1.2632046736443216E-2</v>
      </c>
      <c r="M56" s="257">
        <f t="shared" si="48"/>
        <v>3.780820485725063E-2</v>
      </c>
      <c r="N56" s="257">
        <f t="shared" si="48"/>
        <v>3.8644905461528468E-2</v>
      </c>
      <c r="O56" s="257">
        <f t="shared" si="48"/>
        <v>2.9218427211315845E-2</v>
      </c>
      <c r="P56" s="257">
        <f t="shared" si="48"/>
        <v>3.2078172623858439E-2</v>
      </c>
      <c r="Q56" s="257">
        <f t="shared" si="48"/>
        <v>2.0857785262544101E-2</v>
      </c>
      <c r="R56" s="257">
        <f t="shared" si="48"/>
        <v>2.1214030757075463E-2</v>
      </c>
      <c r="S56" s="257">
        <f t="shared" si="48"/>
        <v>3.6222092141016161E-2</v>
      </c>
      <c r="T56" s="257">
        <f t="shared" si="48"/>
        <v>3.668063906415394E-2</v>
      </c>
      <c r="U56" s="257">
        <f t="shared" si="48"/>
        <v>7.7495754318252882E-2</v>
      </c>
      <c r="V56" s="257">
        <f t="shared" si="48"/>
        <v>6.3927085014330129E-2</v>
      </c>
      <c r="W56" s="257">
        <f t="shared" si="48"/>
        <v>6.6282667732607298E-2</v>
      </c>
      <c r="X56" s="257">
        <f t="shared" si="48"/>
        <v>5.055705610293889E-2</v>
      </c>
      <c r="Y56" s="257">
        <f t="shared" si="48"/>
        <v>3.9094667422067873E-2</v>
      </c>
      <c r="Z56" s="257">
        <f t="shared" si="48"/>
        <v>2.9325849962291282E-2</v>
      </c>
      <c r="AA56" s="257">
        <f t="shared" si="48"/>
        <v>2.1377882258357947E-2</v>
      </c>
      <c r="AB56" s="257">
        <f t="shared" si="48"/>
        <v>2.8374513426014575E-2</v>
      </c>
      <c r="AC56" s="257">
        <f t="shared" si="48"/>
        <v>2.5093058669920492E-2</v>
      </c>
      <c r="AD56" s="257">
        <f t="shared" si="48"/>
        <v>1.8352189677271702E-2</v>
      </c>
      <c r="AE56" s="257">
        <f t="shared" si="48"/>
        <v>1.9324036647985685E-2</v>
      </c>
      <c r="AF56" s="257">
        <f t="shared" si="48"/>
        <v>1.8560070684026177E-2</v>
      </c>
      <c r="AG56" s="257">
        <f>AG47/AG$52</f>
        <v>3.400145012142071E-3</v>
      </c>
    </row>
    <row r="57" spans="2:35">
      <c r="B57" s="142" t="s">
        <v>229</v>
      </c>
      <c r="C57" s="257">
        <f t="shared" ref="C57:R60" si="49">C48/C$52</f>
        <v>0.35302602794615295</v>
      </c>
      <c r="D57" s="257">
        <f t="shared" si="49"/>
        <v>0.30162763641876639</v>
      </c>
      <c r="E57" s="257">
        <f t="shared" si="49"/>
        <v>0.39767842540495862</v>
      </c>
      <c r="F57" s="257">
        <f t="shared" si="49"/>
        <v>0.39872566014552563</v>
      </c>
      <c r="G57" s="257">
        <f t="shared" si="49"/>
        <v>0.5369820262703453</v>
      </c>
      <c r="H57" s="257">
        <f t="shared" si="49"/>
        <v>0.46970521232877571</v>
      </c>
      <c r="I57" s="257">
        <f t="shared" si="49"/>
        <v>0.63392046525793677</v>
      </c>
      <c r="J57" s="257">
        <f t="shared" si="49"/>
        <v>0.68849618373454369</v>
      </c>
      <c r="K57" s="257">
        <f t="shared" si="49"/>
        <v>0.6669230139851875</v>
      </c>
      <c r="M57" s="257">
        <f t="shared" si="49"/>
        <v>0.37639371768084245</v>
      </c>
      <c r="N57" s="257">
        <f t="shared" si="49"/>
        <v>0.37675672863434612</v>
      </c>
      <c r="O57" s="257">
        <f t="shared" si="49"/>
        <v>0.38975194581698902</v>
      </c>
      <c r="P57" s="257">
        <f t="shared" si="49"/>
        <v>0.44093313443124849</v>
      </c>
      <c r="Q57" s="257">
        <f t="shared" si="49"/>
        <v>0.49300222702967911</v>
      </c>
      <c r="R57" s="257">
        <f t="shared" si="49"/>
        <v>0.51320726137084482</v>
      </c>
      <c r="S57" s="257">
        <f t="shared" si="48"/>
        <v>0.56157823041545651</v>
      </c>
      <c r="T57" s="257">
        <f t="shared" si="48"/>
        <v>0.61425221039904554</v>
      </c>
      <c r="U57" s="257">
        <f t="shared" si="48"/>
        <v>0.45009080973272791</v>
      </c>
      <c r="V57" s="257">
        <f t="shared" si="48"/>
        <v>0.4312232263832696</v>
      </c>
      <c r="W57" s="257">
        <f t="shared" si="48"/>
        <v>0.47082765149697708</v>
      </c>
      <c r="X57" s="257">
        <f t="shared" si="48"/>
        <v>0.50250081730102436</v>
      </c>
      <c r="Y57" s="257">
        <f t="shared" si="48"/>
        <v>0.50786952240933292</v>
      </c>
      <c r="Z57" s="257">
        <f t="shared" si="48"/>
        <v>0.58856348722037977</v>
      </c>
      <c r="AA57" s="257">
        <f t="shared" si="48"/>
        <v>0.64457244207030651</v>
      </c>
      <c r="AB57" s="257">
        <f t="shared" si="48"/>
        <v>0.74139657262710368</v>
      </c>
      <c r="AC57" s="257">
        <f t="shared" si="48"/>
        <v>0.72534898383090196</v>
      </c>
      <c r="AD57" s="257">
        <f t="shared" si="48"/>
        <v>0.67649961640795198</v>
      </c>
      <c r="AE57" s="257">
        <f t="shared" si="48"/>
        <v>0.70946837793999074</v>
      </c>
      <c r="AF57" s="257">
        <f t="shared" si="48"/>
        <v>0.66119847795631193</v>
      </c>
      <c r="AG57" s="257">
        <f>AG48/AG$52</f>
        <v>0.64666335224471061</v>
      </c>
    </row>
    <row r="58" spans="2:35">
      <c r="B58" s="142" t="s">
        <v>230</v>
      </c>
      <c r="C58" s="257">
        <f t="shared" si="49"/>
        <v>0.39030701544658131</v>
      </c>
      <c r="D58" s="257">
        <f t="shared" si="48"/>
        <v>0.46572569926129831</v>
      </c>
      <c r="E58" s="257">
        <f t="shared" si="48"/>
        <v>0.38299291250666373</v>
      </c>
      <c r="F58" s="257">
        <f t="shared" si="48"/>
        <v>0.36583792488693373</v>
      </c>
      <c r="G58" s="257">
        <f t="shared" si="48"/>
        <v>0.27364502296288645</v>
      </c>
      <c r="H58" s="257">
        <f t="shared" si="48"/>
        <v>0.30855675713998526</v>
      </c>
      <c r="I58" s="257">
        <f t="shared" si="48"/>
        <v>0.23467092270839679</v>
      </c>
      <c r="J58" s="257">
        <f t="shared" si="48"/>
        <v>0.19698293328104127</v>
      </c>
      <c r="K58" s="257">
        <f t="shared" si="48"/>
        <v>0.22136294043159155</v>
      </c>
      <c r="M58" s="257">
        <f t="shared" si="48"/>
        <v>0.38081332788961109</v>
      </c>
      <c r="N58" s="257">
        <f t="shared" si="48"/>
        <v>0.37704253507014512</v>
      </c>
      <c r="O58" s="257">
        <f t="shared" si="48"/>
        <v>0.37751687289565283</v>
      </c>
      <c r="P58" s="257">
        <f t="shared" si="48"/>
        <v>0.33507602930657338</v>
      </c>
      <c r="Q58" s="257">
        <f t="shared" si="48"/>
        <v>0.31413573585886334</v>
      </c>
      <c r="R58" s="257">
        <f t="shared" si="48"/>
        <v>0.30456575884687864</v>
      </c>
      <c r="S58" s="257">
        <f t="shared" si="48"/>
        <v>0.25069328335738439</v>
      </c>
      <c r="T58" s="257">
        <f t="shared" si="48"/>
        <v>0.18668485567902424</v>
      </c>
      <c r="U58" s="257">
        <f t="shared" si="48"/>
        <v>0.30386109894222041</v>
      </c>
      <c r="V58" s="257">
        <f t="shared" si="48"/>
        <v>0.32338717039972853</v>
      </c>
      <c r="W58" s="257">
        <f t="shared" si="48"/>
        <v>0.3020928019116339</v>
      </c>
      <c r="X58" s="257">
        <f t="shared" si="48"/>
        <v>0.3062698487391628</v>
      </c>
      <c r="Y58" s="257">
        <f t="shared" si="48"/>
        <v>0.32914185961605519</v>
      </c>
      <c r="Z58" s="257">
        <f t="shared" si="48"/>
        <v>0.27491567142159001</v>
      </c>
      <c r="AA58" s="257">
        <f t="shared" si="48"/>
        <v>0.23651036708499806</v>
      </c>
      <c r="AB58" s="257">
        <f t="shared" si="48"/>
        <v>0.14019492554143806</v>
      </c>
      <c r="AC58" s="257">
        <f t="shared" si="48"/>
        <v>0.15274848134611543</v>
      </c>
      <c r="AD58" s="257">
        <f t="shared" si="48"/>
        <v>0.2100872653917209</v>
      </c>
      <c r="AE58" s="257">
        <f t="shared" si="48"/>
        <v>0.17930944950594768</v>
      </c>
      <c r="AF58" s="257">
        <f t="shared" si="48"/>
        <v>0.22504003073356277</v>
      </c>
      <c r="AG58" s="257">
        <f>AG49/AG$52</f>
        <v>0.24339067534381043</v>
      </c>
    </row>
    <row r="59" spans="2:35">
      <c r="B59" s="142" t="s">
        <v>231</v>
      </c>
      <c r="C59" s="257">
        <f t="shared" si="49"/>
        <v>0.18691199564367134</v>
      </c>
      <c r="D59" s="257">
        <f t="shared" si="48"/>
        <v>0.13876992521840736</v>
      </c>
      <c r="E59" s="257">
        <f t="shared" si="48"/>
        <v>0.13548320902879704</v>
      </c>
      <c r="F59" s="257">
        <f t="shared" si="48"/>
        <v>0.16333231715712285</v>
      </c>
      <c r="G59" s="257">
        <f t="shared" si="48"/>
        <v>0.12584461397681049</v>
      </c>
      <c r="H59" s="257">
        <f t="shared" si="48"/>
        <v>0.13114123941550007</v>
      </c>
      <c r="I59" s="257">
        <f t="shared" si="48"/>
        <v>8.1299265057794667E-2</v>
      </c>
      <c r="J59" s="257">
        <f t="shared" si="48"/>
        <v>7.4275295577537787E-2</v>
      </c>
      <c r="K59" s="257">
        <f t="shared" si="48"/>
        <v>7.8969497710094261E-2</v>
      </c>
      <c r="M59" s="257">
        <f t="shared" si="48"/>
        <v>0.16608697617712251</v>
      </c>
      <c r="N59" s="257">
        <f t="shared" si="48"/>
        <v>0.16905402235742642</v>
      </c>
      <c r="O59" s="257">
        <f t="shared" si="48"/>
        <v>0.16880417682733656</v>
      </c>
      <c r="P59" s="257">
        <f t="shared" si="48"/>
        <v>0.15145077298636483</v>
      </c>
      <c r="Q59" s="257">
        <f t="shared" si="48"/>
        <v>0.13555150019501214</v>
      </c>
      <c r="R59" s="257">
        <f t="shared" si="48"/>
        <v>0.1319301186061749</v>
      </c>
      <c r="S59" s="257">
        <f t="shared" si="48"/>
        <v>0.11102649459162954</v>
      </c>
      <c r="T59" s="257">
        <f t="shared" si="48"/>
        <v>0.12072279165712443</v>
      </c>
      <c r="U59" s="257">
        <f t="shared" si="48"/>
        <v>0.13985995981612823</v>
      </c>
      <c r="V59" s="257">
        <f t="shared" si="48"/>
        <v>0.15326858321859782</v>
      </c>
      <c r="W59" s="257">
        <f t="shared" si="48"/>
        <v>0.13545200062959326</v>
      </c>
      <c r="X59" s="257">
        <f t="shared" si="48"/>
        <v>0.10946110850077979</v>
      </c>
      <c r="Y59" s="257">
        <f t="shared" si="48"/>
        <v>9.4150349834322883E-2</v>
      </c>
      <c r="Z59" s="257">
        <f t="shared" si="48"/>
        <v>8.3941931619170809E-2</v>
      </c>
      <c r="AA59" s="257">
        <f t="shared" si="48"/>
        <v>7.8200114049515199E-2</v>
      </c>
      <c r="AB59" s="257">
        <f t="shared" si="48"/>
        <v>7.3777984406867295E-2</v>
      </c>
      <c r="AC59" s="257">
        <f t="shared" si="48"/>
        <v>7.1335219781961043E-2</v>
      </c>
      <c r="AD59" s="257">
        <f t="shared" si="48"/>
        <v>7.822961294626761E-2</v>
      </c>
      <c r="AE59" s="257">
        <f t="shared" si="48"/>
        <v>7.2716600387689789E-2</v>
      </c>
      <c r="AF59" s="257">
        <f t="shared" si="48"/>
        <v>7.4337947277171385E-2</v>
      </c>
      <c r="AG59" s="257">
        <f>AG50/AG$52</f>
        <v>8.508183546700436E-2</v>
      </c>
    </row>
    <row r="60" spans="2:35">
      <c r="B60" s="150" t="s">
        <v>232</v>
      </c>
      <c r="C60" s="257">
        <f t="shared" si="49"/>
        <v>4.8973909450413557E-2</v>
      </c>
      <c r="D60" s="257">
        <f t="shared" si="48"/>
        <v>4.0265857174015984E-2</v>
      </c>
      <c r="E60" s="257">
        <f t="shared" si="48"/>
        <v>3.8328620019963372E-2</v>
      </c>
      <c r="F60" s="257">
        <f t="shared" si="48"/>
        <v>3.8102770486447307E-2</v>
      </c>
      <c r="G60" s="257">
        <f t="shared" si="48"/>
        <v>3.6058100871757801E-2</v>
      </c>
      <c r="H60" s="257">
        <f t="shared" si="48"/>
        <v>2.8524080304784399E-2</v>
      </c>
      <c r="I60" s="257">
        <f t="shared" si="48"/>
        <v>2.1343266715977048E-2</v>
      </c>
      <c r="J60" s="257">
        <f t="shared" si="48"/>
        <v>2.035461326905939E-2</v>
      </c>
      <c r="K60" s="257">
        <f t="shared" si="48"/>
        <v>2.0112501136683499E-2</v>
      </c>
      <c r="M60" s="257">
        <f t="shared" si="48"/>
        <v>3.8897773395173266E-2</v>
      </c>
      <c r="N60" s="257">
        <f t="shared" si="48"/>
        <v>3.8501808476553843E-2</v>
      </c>
      <c r="O60" s="257">
        <f t="shared" si="48"/>
        <v>3.4708577248705755E-2</v>
      </c>
      <c r="P60" s="257">
        <f t="shared" si="48"/>
        <v>4.0461890651954831E-2</v>
      </c>
      <c r="Q60" s="257">
        <f t="shared" si="48"/>
        <v>3.6452751653901279E-2</v>
      </c>
      <c r="R60" s="257">
        <f t="shared" si="48"/>
        <v>2.9082830419026109E-2</v>
      </c>
      <c r="S60" s="257">
        <f t="shared" si="48"/>
        <v>4.0479899494513416E-2</v>
      </c>
      <c r="T60" s="257">
        <f t="shared" si="48"/>
        <v>4.1659503200651822E-2</v>
      </c>
      <c r="U60" s="257">
        <f t="shared" si="48"/>
        <v>2.8692377190670564E-2</v>
      </c>
      <c r="V60" s="257">
        <f t="shared" si="48"/>
        <v>2.8193934984073903E-2</v>
      </c>
      <c r="W60" s="257">
        <f t="shared" si="48"/>
        <v>2.5344878229188485E-2</v>
      </c>
      <c r="X60" s="257">
        <f t="shared" si="48"/>
        <v>3.1211169356094165E-2</v>
      </c>
      <c r="Y60" s="257">
        <f t="shared" si="48"/>
        <v>2.9743600718221137E-2</v>
      </c>
      <c r="Z60" s="257">
        <f t="shared" si="48"/>
        <v>2.3253059776568084E-2</v>
      </c>
      <c r="AA60" s="257">
        <f t="shared" si="48"/>
        <v>1.9339194536822226E-2</v>
      </c>
      <c r="AB60" s="257">
        <f t="shared" si="48"/>
        <v>1.6256003998576418E-2</v>
      </c>
      <c r="AC60" s="257">
        <f t="shared" si="48"/>
        <v>2.5474256371101064E-2</v>
      </c>
      <c r="AD60" s="257">
        <f t="shared" si="48"/>
        <v>1.683131557678786E-2</v>
      </c>
      <c r="AE60" s="257">
        <f t="shared" si="48"/>
        <v>1.9181535518386101E-2</v>
      </c>
      <c r="AF60" s="257">
        <f t="shared" si="48"/>
        <v>2.0863473348927776E-2</v>
      </c>
      <c r="AG60" s="257">
        <f>AG51/AG$52</f>
        <v>2.1463991932332536E-2</v>
      </c>
    </row>
    <row r="61" spans="2:35">
      <c r="B61" s="138" t="s">
        <v>233</v>
      </c>
      <c r="C61" s="258">
        <f>SUM(C56:C60)</f>
        <v>1</v>
      </c>
      <c r="D61" s="258">
        <f t="shared" ref="D61:AF61" si="50">SUM(D56:D60)</f>
        <v>1</v>
      </c>
      <c r="E61" s="258">
        <f t="shared" si="50"/>
        <v>1</v>
      </c>
      <c r="F61" s="258">
        <f t="shared" si="50"/>
        <v>0.99999999999999989</v>
      </c>
      <c r="G61" s="258">
        <f t="shared" si="50"/>
        <v>0.99999999999999989</v>
      </c>
      <c r="H61" s="258">
        <f t="shared" si="50"/>
        <v>1</v>
      </c>
      <c r="I61" s="258">
        <f t="shared" si="50"/>
        <v>0.99999999999999989</v>
      </c>
      <c r="J61" s="258">
        <f t="shared" si="50"/>
        <v>1</v>
      </c>
      <c r="K61" s="258">
        <f t="shared" si="50"/>
        <v>1</v>
      </c>
      <c r="M61" s="258">
        <f t="shared" si="50"/>
        <v>1</v>
      </c>
      <c r="N61" s="258">
        <f t="shared" si="50"/>
        <v>1</v>
      </c>
      <c r="O61" s="258">
        <f t="shared" si="50"/>
        <v>1</v>
      </c>
      <c r="P61" s="258">
        <f t="shared" si="50"/>
        <v>0.99999999999999989</v>
      </c>
      <c r="Q61" s="258">
        <f t="shared" si="50"/>
        <v>1</v>
      </c>
      <c r="R61" s="258">
        <f t="shared" si="50"/>
        <v>1</v>
      </c>
      <c r="S61" s="258">
        <f t="shared" si="50"/>
        <v>1</v>
      </c>
      <c r="T61" s="258">
        <f t="shared" si="50"/>
        <v>1</v>
      </c>
      <c r="U61" s="258">
        <f t="shared" si="50"/>
        <v>1</v>
      </c>
      <c r="V61" s="258">
        <f t="shared" si="50"/>
        <v>1</v>
      </c>
      <c r="W61" s="258">
        <f t="shared" si="50"/>
        <v>1</v>
      </c>
      <c r="X61" s="258">
        <f t="shared" si="50"/>
        <v>1.0000000000000002</v>
      </c>
      <c r="Y61" s="258">
        <f t="shared" si="50"/>
        <v>1</v>
      </c>
      <c r="Z61" s="258">
        <f t="shared" si="50"/>
        <v>1</v>
      </c>
      <c r="AA61" s="258">
        <f t="shared" si="50"/>
        <v>0.99999999999999989</v>
      </c>
      <c r="AB61" s="258">
        <f t="shared" si="50"/>
        <v>1.0000000000000002</v>
      </c>
      <c r="AC61" s="258">
        <f t="shared" si="50"/>
        <v>0.99999999999999989</v>
      </c>
      <c r="AD61" s="258">
        <f t="shared" si="50"/>
        <v>1</v>
      </c>
      <c r="AE61" s="258">
        <f t="shared" si="50"/>
        <v>0.99999999999999989</v>
      </c>
      <c r="AF61" s="258">
        <f t="shared" si="50"/>
        <v>1</v>
      </c>
      <c r="AG61" s="258">
        <f>SUM(AG56:AG60)</f>
        <v>0.99999999999999989</v>
      </c>
    </row>
    <row r="63" spans="2:35">
      <c r="B63" s="138" t="s">
        <v>235</v>
      </c>
    </row>
    <row r="64" spans="2:35">
      <c r="B64" s="142" t="s">
        <v>228</v>
      </c>
      <c r="C64" s="259"/>
      <c r="D64" s="257">
        <f>D47/C47-1</f>
        <v>0.72160915464888986</v>
      </c>
      <c r="E64" s="257">
        <f t="shared" ref="E64:J64" si="51">E47/D47-1</f>
        <v>3.4616519591954553E-3</v>
      </c>
      <c r="F64" s="257">
        <f t="shared" si="51"/>
        <v>6.870495025502743E-3</v>
      </c>
      <c r="G64" s="257">
        <f t="shared" si="51"/>
        <v>-0.16157312470331375</v>
      </c>
      <c r="H64" s="257">
        <f t="shared" si="51"/>
        <v>0.65925524060484686</v>
      </c>
      <c r="I64" s="257">
        <f t="shared" si="51"/>
        <v>-6.3792587187791461E-2</v>
      </c>
      <c r="J64" s="257">
        <f t="shared" si="51"/>
        <v>1.4825808565882781E-2</v>
      </c>
      <c r="K64" s="259"/>
      <c r="M64" s="259"/>
      <c r="N64" s="259"/>
      <c r="O64" s="259"/>
      <c r="P64" s="259"/>
      <c r="Q64" s="257">
        <f>Q47/M47-1</f>
        <v>-0.21052467694223886</v>
      </c>
      <c r="R64" s="257">
        <f t="shared" ref="R64:AF69" si="52">R47/N47-1</f>
        <v>-0.26547583233052552</v>
      </c>
      <c r="S64" s="257">
        <f t="shared" si="52"/>
        <v>0.15333412575775585</v>
      </c>
      <c r="T64" s="257">
        <f t="shared" si="52"/>
        <v>-0.2911800190922853</v>
      </c>
      <c r="U64" s="257">
        <f t="shared" si="52"/>
        <v>0.55520627908811226</v>
      </c>
      <c r="V64" s="257">
        <f t="shared" si="52"/>
        <v>0.59408779229112563</v>
      </c>
      <c r="W64" s="257">
        <f t="shared" si="52"/>
        <v>0.51054614740726412</v>
      </c>
      <c r="X64" s="257">
        <f t="shared" si="52"/>
        <v>1.0310679956647655</v>
      </c>
      <c r="Y64" s="257">
        <f t="shared" si="52"/>
        <v>0.23236716568562055</v>
      </c>
      <c r="Z64" s="257">
        <f t="shared" si="52"/>
        <v>3.1215273837536639E-2</v>
      </c>
      <c r="AA64" s="257">
        <f t="shared" si="52"/>
        <v>-0.37484399181269035</v>
      </c>
      <c r="AB64" s="257">
        <f t="shared" si="52"/>
        <v>-1.870802154755391E-2</v>
      </c>
      <c r="AC64" s="257">
        <f t="shared" si="52"/>
        <v>-8.9129938201102599E-2</v>
      </c>
      <c r="AD64" s="257">
        <f t="shared" si="52"/>
        <v>-0.15285927254757836</v>
      </c>
      <c r="AE64" s="257">
        <f t="shared" si="52"/>
        <v>0.25760830505090837</v>
      </c>
      <c r="AF64" s="257">
        <f t="shared" si="52"/>
        <v>8.6266224504350397E-2</v>
      </c>
      <c r="AG64" s="257">
        <f t="shared" ref="AG64:AG69" si="53">AG47/AC47-1</f>
        <v>-0.59611630744204969</v>
      </c>
    </row>
    <row r="65" spans="2:33">
      <c r="B65" s="142" t="s">
        <v>229</v>
      </c>
      <c r="C65" s="259"/>
      <c r="D65" s="257">
        <f t="shared" ref="D65:J69" si="54">D48/C48-1</f>
        <v>-0.42981795764874764</v>
      </c>
      <c r="E65" s="257">
        <f t="shared" si="54"/>
        <v>0.55826958620470246</v>
      </c>
      <c r="F65" s="257">
        <f t="shared" si="54"/>
        <v>0.35142496027938597</v>
      </c>
      <c r="G65" s="257">
        <f t="shared" si="54"/>
        <v>0.39760432651671351</v>
      </c>
      <c r="H65" s="257">
        <f t="shared" si="54"/>
        <v>-0.35769617937162834</v>
      </c>
      <c r="I65" s="257">
        <f t="shared" si="54"/>
        <v>1.7264748302315711</v>
      </c>
      <c r="J65" s="257">
        <f t="shared" si="54"/>
        <v>0.59398012996426774</v>
      </c>
      <c r="K65" s="259"/>
      <c r="M65" s="259"/>
      <c r="N65" s="259"/>
      <c r="O65" s="259"/>
      <c r="P65" s="259"/>
      <c r="Q65" s="257">
        <f t="shared" ref="Q65:Q69" si="55">Q48/M48-1</f>
        <v>0.87440286829650948</v>
      </c>
      <c r="R65" s="257">
        <f t="shared" si="52"/>
        <v>0.82266527702025249</v>
      </c>
      <c r="S65" s="257">
        <f t="shared" si="52"/>
        <v>0.34048024536485233</v>
      </c>
      <c r="T65" s="257">
        <f t="shared" si="52"/>
        <v>-0.13645958033495587</v>
      </c>
      <c r="U65" s="257">
        <f t="shared" si="52"/>
        <v>-0.61785379834747367</v>
      </c>
      <c r="V65" s="257">
        <f t="shared" si="52"/>
        <v>-0.55551216395928504</v>
      </c>
      <c r="W65" s="257">
        <f t="shared" si="52"/>
        <v>-0.30791530393265099</v>
      </c>
      <c r="X65" s="257">
        <f t="shared" si="52"/>
        <v>0.20550668617198031</v>
      </c>
      <c r="Y65" s="257">
        <f t="shared" si="52"/>
        <v>1.7564651859821705</v>
      </c>
      <c r="Z65" s="257">
        <f t="shared" si="52"/>
        <v>2.068137380621669</v>
      </c>
      <c r="AA65" s="257">
        <f t="shared" si="52"/>
        <v>1.653587917736103</v>
      </c>
      <c r="AB65" s="257">
        <f t="shared" si="52"/>
        <v>1.5796774349699216</v>
      </c>
      <c r="AC65" s="257">
        <f t="shared" si="52"/>
        <v>1.0268201097041576</v>
      </c>
      <c r="AD65" s="257">
        <f t="shared" si="52"/>
        <v>0.55593882970744235</v>
      </c>
      <c r="AE65" s="257">
        <f t="shared" si="52"/>
        <v>0.53134672585678477</v>
      </c>
      <c r="AF65" s="257">
        <f t="shared" si="52"/>
        <v>0.48103848651251169</v>
      </c>
      <c r="AG65" s="257">
        <f t="shared" si="53"/>
        <v>1.657319184686147</v>
      </c>
    </row>
    <row r="66" spans="2:33">
      <c r="B66" s="142" t="s">
        <v>230</v>
      </c>
      <c r="C66" s="259"/>
      <c r="D66" s="257">
        <f t="shared" si="54"/>
        <v>-0.20370685581831949</v>
      </c>
      <c r="E66" s="257">
        <f t="shared" si="54"/>
        <v>-2.8053794832540668E-2</v>
      </c>
      <c r="F66" s="257">
        <f t="shared" si="54"/>
        <v>0.28750157354525441</v>
      </c>
      <c r="G66" s="257">
        <f t="shared" si="54"/>
        <v>-0.22375734914883283</v>
      </c>
      <c r="H66" s="257">
        <f t="shared" si="54"/>
        <v>-0.1720151640354548</v>
      </c>
      <c r="I66" s="257">
        <f t="shared" si="54"/>
        <v>0.53644252609572773</v>
      </c>
      <c r="J66" s="257">
        <f t="shared" si="54"/>
        <v>0.2319283734195432</v>
      </c>
      <c r="K66" s="259"/>
      <c r="M66" s="259"/>
      <c r="N66" s="259"/>
      <c r="O66" s="259"/>
      <c r="P66" s="259"/>
      <c r="Q66" s="257">
        <f t="shared" si="55"/>
        <v>0.18048814418647785</v>
      </c>
      <c r="R66" s="257">
        <f t="shared" si="52"/>
        <v>8.0851111940795084E-2</v>
      </c>
      <c r="S66" s="257">
        <f t="shared" si="52"/>
        <v>-0.38220444727263991</v>
      </c>
      <c r="T66" s="257">
        <f t="shared" si="52"/>
        <v>-0.65463811502240721</v>
      </c>
      <c r="U66" s="257">
        <f t="shared" si="52"/>
        <v>-0.59511093943341997</v>
      </c>
      <c r="V66" s="257">
        <f t="shared" si="52"/>
        <v>-0.43831575914365828</v>
      </c>
      <c r="W66" s="257">
        <f t="shared" si="52"/>
        <v>-5.2699725968688993E-3</v>
      </c>
      <c r="X66" s="257">
        <f t="shared" si="52"/>
        <v>1.4175459346539574</v>
      </c>
      <c r="Y66" s="257">
        <f t="shared" si="52"/>
        <v>1.6461138143652425</v>
      </c>
      <c r="Z66" s="257">
        <f t="shared" si="52"/>
        <v>0.9109984784002676</v>
      </c>
      <c r="AA66" s="257">
        <f t="shared" si="52"/>
        <v>0.51751681834363272</v>
      </c>
      <c r="AB66" s="257">
        <f t="shared" si="52"/>
        <v>-0.1996505450486421</v>
      </c>
      <c r="AC66" s="257">
        <f t="shared" si="52"/>
        <v>-0.34141151733970876</v>
      </c>
      <c r="AD66" s="257">
        <f t="shared" si="52"/>
        <v>3.447145532978757E-2</v>
      </c>
      <c r="AE66" s="257">
        <f t="shared" si="52"/>
        <v>5.4788096760199689E-2</v>
      </c>
      <c r="AF66" s="257">
        <f t="shared" si="52"/>
        <v>1.6657078893981678</v>
      </c>
      <c r="AG66" s="257">
        <f t="shared" si="53"/>
        <v>3.7494083920734926</v>
      </c>
    </row>
    <row r="67" spans="2:33">
      <c r="B67" s="142" t="s">
        <v>231</v>
      </c>
      <c r="C67" s="259"/>
      <c r="D67" s="257">
        <f t="shared" si="54"/>
        <v>-0.50454146928145516</v>
      </c>
      <c r="E67" s="257">
        <f t="shared" si="54"/>
        <v>0.15390967619293749</v>
      </c>
      <c r="F67" s="257">
        <f t="shared" si="54"/>
        <v>0.62493663192094528</v>
      </c>
      <c r="G67" s="257">
        <f t="shared" si="54"/>
        <v>-0.20042136265367338</v>
      </c>
      <c r="H67" s="257">
        <f t="shared" si="54"/>
        <v>-0.23479195723747481</v>
      </c>
      <c r="I67" s="257">
        <f t="shared" si="54"/>
        <v>0.2523895509754972</v>
      </c>
      <c r="J67" s="257">
        <f t="shared" si="54"/>
        <v>0.34083058453324466</v>
      </c>
      <c r="K67" s="259"/>
      <c r="M67" s="259"/>
      <c r="N67" s="259"/>
      <c r="O67" s="259"/>
      <c r="P67" s="259"/>
      <c r="Q67" s="257">
        <f t="shared" si="55"/>
        <v>0.16795248565680976</v>
      </c>
      <c r="R67" s="257">
        <f t="shared" si="52"/>
        <v>4.4223803956628283E-2</v>
      </c>
      <c r="S67" s="257">
        <f t="shared" si="52"/>
        <v>-0.38809798132064222</v>
      </c>
      <c r="T67" s="257">
        <f t="shared" si="52"/>
        <v>-0.50588680288106302</v>
      </c>
      <c r="U67" s="257">
        <f t="shared" si="52"/>
        <v>-0.56811576259758201</v>
      </c>
      <c r="V67" s="257">
        <f t="shared" si="52"/>
        <v>-0.38544646880198363</v>
      </c>
      <c r="W67" s="257">
        <f t="shared" si="52"/>
        <v>7.0855041574031663E-3</v>
      </c>
      <c r="X67" s="257">
        <f t="shared" si="52"/>
        <v>0.33613441748930284</v>
      </c>
      <c r="Y67" s="257">
        <f t="shared" si="52"/>
        <v>0.64448169887707385</v>
      </c>
      <c r="Z67" s="257">
        <f t="shared" si="52"/>
        <v>0.23114568170249239</v>
      </c>
      <c r="AA67" s="257">
        <f t="shared" si="52"/>
        <v>0.11904015452378647</v>
      </c>
      <c r="AB67" s="257">
        <f t="shared" si="52"/>
        <v>0.17847004435508951</v>
      </c>
      <c r="AC67" s="257">
        <f t="shared" si="52"/>
        <v>7.523257831012331E-2</v>
      </c>
      <c r="AD67" s="257">
        <f t="shared" si="52"/>
        <v>0.26156753227912377</v>
      </c>
      <c r="AE67" s="257">
        <f t="shared" si="52"/>
        <v>0.29371437968994685</v>
      </c>
      <c r="AF67" s="257">
        <f t="shared" si="52"/>
        <v>0.67328089129522506</v>
      </c>
      <c r="AG67" s="257">
        <f t="shared" si="53"/>
        <v>2.5550468412737266</v>
      </c>
    </row>
    <row r="68" spans="2:33">
      <c r="B68" s="150" t="s">
        <v>232</v>
      </c>
      <c r="C68" s="259"/>
      <c r="D68" s="257">
        <f t="shared" si="54"/>
        <v>-0.45131725157048863</v>
      </c>
      <c r="E68" s="257">
        <f t="shared" si="54"/>
        <v>0.12503991056353247</v>
      </c>
      <c r="F68" s="257">
        <f t="shared" si="54"/>
        <v>0.33993321332560189</v>
      </c>
      <c r="G68" s="257">
        <f t="shared" si="54"/>
        <v>-1.7924295092273557E-2</v>
      </c>
      <c r="H68" s="257">
        <f t="shared" si="54"/>
        <v>-0.41912367485016799</v>
      </c>
      <c r="I68" s="257">
        <f t="shared" si="54"/>
        <v>0.51161551531544647</v>
      </c>
      <c r="J68" s="257">
        <f t="shared" si="54"/>
        <v>0.39964566165572135</v>
      </c>
      <c r="K68" s="259"/>
      <c r="M68" s="259"/>
      <c r="N68" s="259"/>
      <c r="O68" s="259"/>
      <c r="P68" s="259"/>
      <c r="Q68" s="257">
        <f t="shared" si="55"/>
        <v>0.34110258621994216</v>
      </c>
      <c r="R68" s="257">
        <f t="shared" si="52"/>
        <v>1.0719596983414847E-2</v>
      </c>
      <c r="S68" s="257">
        <f t="shared" si="52"/>
        <v>8.5028285816090898E-2</v>
      </c>
      <c r="T68" s="257">
        <f t="shared" si="52"/>
        <v>-0.36177091383259352</v>
      </c>
      <c r="U68" s="257">
        <f t="shared" si="52"/>
        <v>-0.67053104554881782</v>
      </c>
      <c r="V68" s="257">
        <f t="shared" si="52"/>
        <v>-0.48717457171808209</v>
      </c>
      <c r="W68" s="257">
        <f t="shared" si="52"/>
        <v>-0.48315736437944512</v>
      </c>
      <c r="X68" s="257">
        <f t="shared" si="52"/>
        <v>0.10401641985776555</v>
      </c>
      <c r="Y68" s="257">
        <f t="shared" si="52"/>
        <v>1.5323720802794711</v>
      </c>
      <c r="Z68" s="257">
        <f t="shared" si="52"/>
        <v>0.85399280523149979</v>
      </c>
      <c r="AA68" s="257">
        <f t="shared" si="52"/>
        <v>0.47901262506473552</v>
      </c>
      <c r="AB68" s="257">
        <f t="shared" si="52"/>
        <v>-8.9341888238328115E-2</v>
      </c>
      <c r="AC68" s="257">
        <f t="shared" si="52"/>
        <v>0.21542543839481088</v>
      </c>
      <c r="AD68" s="257">
        <f t="shared" si="52"/>
        <v>-2.0157584232149972E-2</v>
      </c>
      <c r="AE68" s="257">
        <f t="shared" si="52"/>
        <v>0.3799304985449421</v>
      </c>
      <c r="AF68" s="257">
        <f t="shared" si="52"/>
        <v>1.1313652814992547</v>
      </c>
      <c r="AG68" s="257">
        <f t="shared" si="53"/>
        <v>1.5114322211935622</v>
      </c>
    </row>
    <row r="69" spans="2:33">
      <c r="B69" s="138" t="s">
        <v>233</v>
      </c>
      <c r="C69" s="259"/>
      <c r="D69" s="258">
        <f t="shared" si="54"/>
        <v>-0.33265696735418848</v>
      </c>
      <c r="E69" s="258">
        <f t="shared" si="54"/>
        <v>0.18190261820603393</v>
      </c>
      <c r="F69" s="258">
        <f t="shared" si="54"/>
        <v>0.34787550432724745</v>
      </c>
      <c r="G69" s="258">
        <f t="shared" si="54"/>
        <v>3.7764171704444793E-2</v>
      </c>
      <c r="H69" s="258">
        <f t="shared" si="54"/>
        <v>-0.26569772267975877</v>
      </c>
      <c r="I69" s="258">
        <f t="shared" si="54"/>
        <v>1.0201894547163759</v>
      </c>
      <c r="J69" s="258">
        <f t="shared" si="54"/>
        <v>0.46762850611303675</v>
      </c>
      <c r="K69" s="259"/>
      <c r="M69" s="259"/>
      <c r="N69" s="259"/>
      <c r="O69" s="259"/>
      <c r="P69" s="259"/>
      <c r="Q69" s="258">
        <f t="shared" si="55"/>
        <v>0.43105532865531115</v>
      </c>
      <c r="R69" s="258">
        <f t="shared" si="52"/>
        <v>0.3380586341106977</v>
      </c>
      <c r="S69" s="258">
        <f t="shared" si="52"/>
        <v>-6.9666957044126843E-2</v>
      </c>
      <c r="T69" s="258">
        <f t="shared" si="52"/>
        <v>-0.38011849610826354</v>
      </c>
      <c r="U69" s="258">
        <f t="shared" si="52"/>
        <v>-0.58142018367914905</v>
      </c>
      <c r="V69" s="258">
        <f t="shared" si="52"/>
        <v>-0.471006265222919</v>
      </c>
      <c r="W69" s="258">
        <f t="shared" si="52"/>
        <v>-0.17451811150132435</v>
      </c>
      <c r="X69" s="258">
        <f t="shared" si="52"/>
        <v>0.47359988508909834</v>
      </c>
      <c r="Y69" s="258">
        <f t="shared" si="52"/>
        <v>1.4428708414576645</v>
      </c>
      <c r="Z69" s="258">
        <f t="shared" si="52"/>
        <v>1.2479343842874004</v>
      </c>
      <c r="AA69" s="258">
        <f t="shared" si="52"/>
        <v>0.9383121055184156</v>
      </c>
      <c r="AB69" s="258">
        <f t="shared" si="52"/>
        <v>0.74844350150156957</v>
      </c>
      <c r="AC69" s="258">
        <f t="shared" si="52"/>
        <v>0.41912401350389605</v>
      </c>
      <c r="AD69" s="258">
        <f t="shared" si="52"/>
        <v>0.35368706988588983</v>
      </c>
      <c r="AE69" s="258">
        <f t="shared" si="52"/>
        <v>0.39127257737393517</v>
      </c>
      <c r="AF69" s="258">
        <f t="shared" si="52"/>
        <v>0.66067662651480097</v>
      </c>
      <c r="AG69" s="258">
        <f t="shared" si="53"/>
        <v>1.9806602827201165</v>
      </c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8828-D92C-4C4F-A0A8-8E1869628889}">
  <sheetPr>
    <tabColor rgb="FF92D050"/>
  </sheetPr>
  <dimension ref="B2:L85"/>
  <sheetViews>
    <sheetView showGridLines="0" tabSelected="1" zoomScaleNormal="100" workbookViewId="0">
      <pane xSplit="2" ySplit="6" topLeftCell="C7" activePane="bottomRight" state="frozen"/>
      <selection pane="bottomRight" activeCell="N52" sqref="N52"/>
      <selection pane="bottomLeft" activeCell="J22" sqref="J22"/>
      <selection pane="topRight" activeCell="J22" sqref="J22"/>
    </sheetView>
  </sheetViews>
  <sheetFormatPr defaultRowHeight="12.75"/>
  <cols>
    <col min="1" max="1" width="2.7109375" customWidth="1"/>
    <col min="2" max="2" width="50.7109375" customWidth="1"/>
    <col min="3" max="18" width="13.7109375" customWidth="1"/>
  </cols>
  <sheetData>
    <row r="2" spans="2:12" ht="21">
      <c r="B2" s="271" t="s">
        <v>96</v>
      </c>
      <c r="C2" s="272" t="s">
        <v>99</v>
      </c>
      <c r="D2" s="272" t="s">
        <v>99</v>
      </c>
      <c r="E2" s="272" t="s">
        <v>99</v>
      </c>
      <c r="F2" s="272" t="s">
        <v>99</v>
      </c>
      <c r="G2" s="272" t="s">
        <v>99</v>
      </c>
      <c r="H2" s="272" t="s">
        <v>99</v>
      </c>
      <c r="I2" s="272" t="s">
        <v>99</v>
      </c>
      <c r="J2" s="272" t="s">
        <v>99</v>
      </c>
      <c r="K2" s="272" t="s">
        <v>99</v>
      </c>
      <c r="L2" s="272" t="s">
        <v>99</v>
      </c>
    </row>
    <row r="3" spans="2:12">
      <c r="B3" s="274" t="s">
        <v>236</v>
      </c>
      <c r="C3" s="275">
        <v>45382</v>
      </c>
      <c r="D3" s="275">
        <v>45473</v>
      </c>
      <c r="E3" s="275">
        <v>45565</v>
      </c>
      <c r="F3" s="275">
        <v>45657</v>
      </c>
      <c r="G3" s="275">
        <v>45747</v>
      </c>
      <c r="H3" s="275">
        <v>45838</v>
      </c>
      <c r="I3" s="275">
        <v>45930</v>
      </c>
      <c r="J3" s="275">
        <v>46022</v>
      </c>
      <c r="K3" s="275">
        <v>46112</v>
      </c>
      <c r="L3" s="275">
        <v>46203</v>
      </c>
    </row>
    <row r="4" spans="2:12">
      <c r="B4" s="286"/>
      <c r="C4" s="275" t="s">
        <v>102</v>
      </c>
      <c r="D4" s="275" t="s">
        <v>102</v>
      </c>
      <c r="E4" s="275" t="s">
        <v>102</v>
      </c>
      <c r="F4" s="275" t="s">
        <v>102</v>
      </c>
      <c r="G4" s="275" t="s">
        <v>102</v>
      </c>
      <c r="H4" s="275" t="s">
        <v>102</v>
      </c>
      <c r="I4" s="275" t="s">
        <v>102</v>
      </c>
      <c r="J4" s="275" t="s">
        <v>102</v>
      </c>
      <c r="K4" s="275" t="s">
        <v>102</v>
      </c>
      <c r="L4" s="275" t="s">
        <v>102</v>
      </c>
    </row>
    <row r="5" spans="2:12">
      <c r="B5" s="277"/>
      <c r="C5" s="278" t="s">
        <v>104</v>
      </c>
      <c r="D5" s="292" t="s">
        <v>105</v>
      </c>
      <c r="E5" s="292" t="s">
        <v>106</v>
      </c>
      <c r="F5" s="292" t="s">
        <v>107</v>
      </c>
      <c r="G5" s="278" t="s">
        <v>104</v>
      </c>
      <c r="H5" s="292" t="s">
        <v>105</v>
      </c>
      <c r="I5" s="292" t="s">
        <v>106</v>
      </c>
      <c r="J5" s="292" t="s">
        <v>107</v>
      </c>
      <c r="K5" s="278" t="s">
        <v>104</v>
      </c>
      <c r="L5" s="292" t="s">
        <v>105</v>
      </c>
    </row>
    <row r="6" spans="2:12">
      <c r="B6" s="39" t="s">
        <v>108</v>
      </c>
      <c r="C6" s="69"/>
      <c r="D6" s="69"/>
      <c r="E6" s="69"/>
      <c r="F6" s="69"/>
      <c r="G6" s="69"/>
      <c r="H6" s="69"/>
      <c r="I6" s="69"/>
      <c r="J6" s="69"/>
      <c r="K6" s="69"/>
      <c r="L6" s="69"/>
    </row>
    <row r="8" spans="2:12" s="215" customFormat="1">
      <c r="B8" s="165" t="s">
        <v>109</v>
      </c>
      <c r="C8" s="135">
        <v>12430</v>
      </c>
      <c r="D8" s="135">
        <v>16423</v>
      </c>
      <c r="E8" s="135">
        <v>17573</v>
      </c>
      <c r="F8" s="135">
        <v>19767</v>
      </c>
      <c r="G8" s="135">
        <v>17639</v>
      </c>
      <c r="H8" s="135">
        <v>22232</v>
      </c>
      <c r="I8" s="135">
        <v>24449</v>
      </c>
      <c r="J8" s="135">
        <v>32827</v>
      </c>
      <c r="K8" s="135">
        <v>52576</v>
      </c>
      <c r="L8" s="135">
        <v>79319</v>
      </c>
    </row>
    <row r="9" spans="2:12">
      <c r="B9" s="166" t="s">
        <v>237</v>
      </c>
      <c r="C9" s="50">
        <v>-7635</v>
      </c>
      <c r="D9" s="50">
        <v>-8927</v>
      </c>
      <c r="E9" s="50">
        <v>-8402</v>
      </c>
      <c r="F9" s="50">
        <v>-9401</v>
      </c>
      <c r="G9" s="50">
        <v>-7537</v>
      </c>
      <c r="H9" s="50">
        <v>-10249</v>
      </c>
      <c r="I9" s="50">
        <v>-10420</v>
      </c>
      <c r="J9" s="50">
        <v>-10250</v>
      </c>
      <c r="K9" s="50">
        <v>-10897</v>
      </c>
      <c r="L9" s="50">
        <v>-13327</v>
      </c>
    </row>
    <row r="10" spans="2:12" s="215" customFormat="1">
      <c r="B10" s="165" t="s">
        <v>112</v>
      </c>
      <c r="C10" s="135">
        <v>4795</v>
      </c>
      <c r="D10" s="135">
        <v>7496</v>
      </c>
      <c r="E10" s="135">
        <v>9171</v>
      </c>
      <c r="F10" s="135">
        <v>10366</v>
      </c>
      <c r="G10" s="135">
        <v>10102</v>
      </c>
      <c r="H10" s="135">
        <v>11983</v>
      </c>
      <c r="I10" s="135">
        <v>14029</v>
      </c>
      <c r="J10" s="135">
        <v>22576</v>
      </c>
      <c r="K10" s="135">
        <v>41679</v>
      </c>
      <c r="L10" s="135">
        <v>65991</v>
      </c>
    </row>
    <row r="11" spans="2:12">
      <c r="B11" s="166" t="s">
        <v>238</v>
      </c>
      <c r="C11" s="50">
        <v>-1909</v>
      </c>
      <c r="D11" s="50">
        <v>-2028</v>
      </c>
      <c r="E11" s="50">
        <v>-2141</v>
      </c>
      <c r="F11" s="50">
        <v>-2283</v>
      </c>
      <c r="G11" s="50">
        <v>-2661</v>
      </c>
      <c r="H11" s="50">
        <v>-2770</v>
      </c>
      <c r="I11" s="50">
        <v>-2646</v>
      </c>
      <c r="J11" s="50">
        <v>-3407</v>
      </c>
      <c r="K11" s="50">
        <v>-4069</v>
      </c>
      <c r="L11" s="50">
        <v>-5449</v>
      </c>
    </row>
    <row r="12" spans="2:12" s="215" customFormat="1">
      <c r="B12" s="165" t="s">
        <v>239</v>
      </c>
      <c r="C12" s="135">
        <v>2886</v>
      </c>
      <c r="D12" s="135">
        <v>5469</v>
      </c>
      <c r="E12" s="135">
        <v>7030</v>
      </c>
      <c r="F12" s="135">
        <v>8083</v>
      </c>
      <c r="G12" s="135">
        <v>7441</v>
      </c>
      <c r="H12" s="135">
        <v>9213</v>
      </c>
      <c r="I12" s="135">
        <v>11383</v>
      </c>
      <c r="J12" s="135">
        <v>19170</v>
      </c>
      <c r="K12" s="135">
        <v>37610</v>
      </c>
      <c r="L12" s="135">
        <v>60543</v>
      </c>
    </row>
    <row r="13" spans="2:12">
      <c r="B13" s="166" t="s">
        <v>240</v>
      </c>
      <c r="C13" s="50">
        <v>-322</v>
      </c>
      <c r="D13" s="50">
        <v>-275</v>
      </c>
      <c r="E13" s="50">
        <v>-233</v>
      </c>
      <c r="F13" s="50">
        <v>-170</v>
      </c>
      <c r="G13" s="50">
        <v>-152</v>
      </c>
      <c r="H13" s="50">
        <v>-129</v>
      </c>
      <c r="I13" s="50">
        <v>-103</v>
      </c>
      <c r="J13" s="50">
        <v>-46</v>
      </c>
      <c r="K13" s="50">
        <v>22</v>
      </c>
      <c r="L13" s="50">
        <v>150</v>
      </c>
    </row>
    <row r="14" spans="2:12">
      <c r="B14" s="166" t="s">
        <v>241</v>
      </c>
      <c r="C14" s="50">
        <v>-215</v>
      </c>
      <c r="D14" s="50">
        <v>-159</v>
      </c>
      <c r="E14" s="50">
        <v>18</v>
      </c>
      <c r="F14" s="50">
        <v>625</v>
      </c>
      <c r="G14" s="50">
        <v>122</v>
      </c>
      <c r="H14" s="50">
        <v>-613</v>
      </c>
      <c r="I14" s="50">
        <v>209</v>
      </c>
      <c r="J14" s="50">
        <v>-166</v>
      </c>
      <c r="K14" s="50">
        <v>1573</v>
      </c>
      <c r="L14" s="50">
        <v>1147</v>
      </c>
    </row>
    <row r="15" spans="2:12">
      <c r="B15" s="166" t="s">
        <v>242</v>
      </c>
      <c r="C15" s="50">
        <v>6</v>
      </c>
      <c r="D15" s="50">
        <v>1</v>
      </c>
      <c r="E15" s="50">
        <v>7</v>
      </c>
      <c r="F15" s="50">
        <v>-27</v>
      </c>
      <c r="G15" s="50">
        <v>-41</v>
      </c>
      <c r="H15" s="50">
        <v>17</v>
      </c>
      <c r="I15" s="50">
        <v>-23</v>
      </c>
      <c r="J15" s="50">
        <v>-47</v>
      </c>
      <c r="K15" s="50">
        <v>-27</v>
      </c>
      <c r="L15" s="50">
        <v>-20</v>
      </c>
    </row>
    <row r="16" spans="2:12">
      <c r="B16" s="166" t="s">
        <v>224</v>
      </c>
      <c r="C16" s="50">
        <v>17</v>
      </c>
      <c r="D16" s="50">
        <v>17</v>
      </c>
      <c r="E16" s="50">
        <v>57</v>
      </c>
      <c r="F16" s="50">
        <v>1071</v>
      </c>
      <c r="G16" s="50">
        <v>1930</v>
      </c>
      <c r="H16" s="50">
        <v>234</v>
      </c>
      <c r="I16" s="50">
        <v>3324</v>
      </c>
      <c r="J16" s="50">
        <v>-1258</v>
      </c>
      <c r="K16" s="50">
        <v>12438</v>
      </c>
      <c r="L16" s="50">
        <v>60889</v>
      </c>
    </row>
    <row r="17" spans="2:12">
      <c r="B17" s="166"/>
      <c r="C17" s="50"/>
      <c r="D17" s="50"/>
      <c r="E17" s="50"/>
      <c r="F17" s="50"/>
      <c r="G17" s="50"/>
      <c r="H17" s="50"/>
      <c r="I17" s="50"/>
      <c r="J17" s="50"/>
      <c r="K17" s="50"/>
      <c r="L17" s="50"/>
    </row>
    <row r="18" spans="2:12">
      <c r="B18" s="116" t="s">
        <v>163</v>
      </c>
      <c r="C18" s="135">
        <v>6073</v>
      </c>
      <c r="D18" s="135">
        <v>8591</v>
      </c>
      <c r="E18" s="135">
        <v>10100</v>
      </c>
      <c r="F18" s="135">
        <v>11249</v>
      </c>
      <c r="G18" s="135">
        <v>10769</v>
      </c>
      <c r="H18" s="135">
        <v>12645</v>
      </c>
      <c r="I18" s="135">
        <v>14949</v>
      </c>
      <c r="J18" s="135">
        <v>22732</v>
      </c>
      <c r="K18" s="135">
        <v>41336</v>
      </c>
      <c r="L18" s="135">
        <v>64563</v>
      </c>
    </row>
    <row r="19" spans="2:12">
      <c r="B19" s="116"/>
      <c r="C19" s="135"/>
      <c r="D19" s="135"/>
      <c r="E19" s="135"/>
      <c r="F19" s="135"/>
      <c r="G19" s="135"/>
      <c r="H19" s="135"/>
      <c r="I19" s="135"/>
      <c r="J19" s="135"/>
      <c r="K19" s="135"/>
      <c r="L19" s="135"/>
    </row>
    <row r="20" spans="2:12" s="215" customFormat="1">
      <c r="B20" s="165" t="s">
        <v>243</v>
      </c>
      <c r="C20" s="135">
        <v>2373</v>
      </c>
      <c r="D20" s="135">
        <v>5052</v>
      </c>
      <c r="E20" s="135">
        <v>6879</v>
      </c>
      <c r="F20" s="135">
        <v>9581</v>
      </c>
      <c r="G20" s="135">
        <v>9299</v>
      </c>
      <c r="H20" s="135">
        <v>8723</v>
      </c>
      <c r="I20" s="135">
        <v>14790</v>
      </c>
      <c r="J20" s="135">
        <v>17653</v>
      </c>
      <c r="K20" s="135">
        <v>51617</v>
      </c>
      <c r="L20" s="135">
        <v>122708</v>
      </c>
    </row>
    <row r="21" spans="2:12">
      <c r="B21" s="166" t="s">
        <v>244</v>
      </c>
      <c r="C21" s="135">
        <v>-456</v>
      </c>
      <c r="D21" s="135">
        <v>-932</v>
      </c>
      <c r="E21" s="135">
        <v>-1126</v>
      </c>
      <c r="F21" s="135">
        <v>-1575</v>
      </c>
      <c r="G21" s="50">
        <v>-1191</v>
      </c>
      <c r="H21" s="135">
        <v>-1726</v>
      </c>
      <c r="I21" s="50">
        <v>-2193</v>
      </c>
      <c r="J21" s="50">
        <v>-2407</v>
      </c>
      <c r="K21" s="50">
        <v>-11271</v>
      </c>
      <c r="L21" s="50">
        <v>-28786</v>
      </c>
    </row>
    <row r="22" spans="2:12">
      <c r="B22" s="116" t="s">
        <v>245</v>
      </c>
      <c r="C22" s="135">
        <v>1917</v>
      </c>
      <c r="D22" s="135">
        <v>4120</v>
      </c>
      <c r="E22" s="135">
        <v>5753</v>
      </c>
      <c r="F22" s="135">
        <v>8006</v>
      </c>
      <c r="G22" s="135">
        <v>8108</v>
      </c>
      <c r="H22" s="135">
        <v>6996</v>
      </c>
      <c r="I22" s="135">
        <v>12598</v>
      </c>
      <c r="J22" s="135">
        <v>15246</v>
      </c>
      <c r="K22" s="135">
        <v>40346</v>
      </c>
      <c r="L22" s="135">
        <v>93923</v>
      </c>
    </row>
    <row r="23" spans="2:12">
      <c r="B23" s="116"/>
    </row>
    <row r="24" spans="2:12">
      <c r="B24" s="39" t="s">
        <v>246</v>
      </c>
      <c r="C24" s="69"/>
      <c r="D24" s="69"/>
      <c r="E24" s="69"/>
      <c r="F24" s="69"/>
      <c r="G24" s="69"/>
      <c r="H24" s="69"/>
      <c r="I24" s="69"/>
      <c r="J24" s="69"/>
      <c r="K24" s="69"/>
      <c r="L24" s="69"/>
    </row>
    <row r="25" spans="2:12">
      <c r="B25" s="116"/>
    </row>
    <row r="26" spans="2:12">
      <c r="B26" s="165" t="s">
        <v>247</v>
      </c>
      <c r="C26" s="135">
        <v>8921</v>
      </c>
      <c r="D26" s="135">
        <v>10319</v>
      </c>
      <c r="E26" s="135">
        <v>9688</v>
      </c>
      <c r="F26" s="135">
        <v>10858</v>
      </c>
      <c r="G26" s="135">
        <v>14156</v>
      </c>
      <c r="H26" s="135">
        <v>14311</v>
      </c>
      <c r="I26" s="135">
        <v>16962</v>
      </c>
      <c r="J26" s="135">
        <v>27854</v>
      </c>
      <c r="K26" s="135">
        <v>34942</v>
      </c>
      <c r="L26" s="135">
        <v>54330</v>
      </c>
    </row>
    <row r="27" spans="2:12">
      <c r="B27" s="165"/>
      <c r="C27" s="135"/>
      <c r="D27" s="135"/>
      <c r="E27" s="135"/>
      <c r="F27" s="135"/>
      <c r="G27" s="135"/>
      <c r="H27" s="135"/>
      <c r="I27" s="135"/>
      <c r="J27" s="135"/>
      <c r="K27" s="135"/>
      <c r="L27" s="135"/>
    </row>
    <row r="28" spans="2:12">
      <c r="B28" s="165" t="s">
        <v>248</v>
      </c>
      <c r="C28" s="135">
        <v>5385</v>
      </c>
      <c r="D28" s="135">
        <v>5697</v>
      </c>
      <c r="E28" s="135">
        <v>7804</v>
      </c>
      <c r="F28" s="135">
        <v>11081</v>
      </c>
      <c r="G28" s="135">
        <v>9075</v>
      </c>
      <c r="H28" s="135">
        <v>9208</v>
      </c>
      <c r="I28" s="135">
        <v>14368</v>
      </c>
      <c r="J28" s="135">
        <v>20939</v>
      </c>
      <c r="K28" s="135">
        <v>26430</v>
      </c>
      <c r="L28" s="135">
        <v>65710</v>
      </c>
    </row>
    <row r="29" spans="2:12">
      <c r="B29" s="166" t="s">
        <v>249</v>
      </c>
      <c r="C29" s="50">
        <v>1917</v>
      </c>
      <c r="D29" s="50">
        <v>4120</v>
      </c>
      <c r="E29" s="50">
        <v>5753</v>
      </c>
      <c r="F29" s="50">
        <v>8006</v>
      </c>
      <c r="G29" s="50">
        <v>8108</v>
      </c>
      <c r="H29" s="50">
        <v>6996</v>
      </c>
      <c r="I29" s="50">
        <v>12598</v>
      </c>
      <c r="J29" s="50">
        <v>15246</v>
      </c>
      <c r="K29" s="50">
        <v>40346</v>
      </c>
      <c r="L29" s="50">
        <v>93923</v>
      </c>
    </row>
    <row r="30" spans="2:12">
      <c r="B30" s="166" t="s">
        <v>250</v>
      </c>
      <c r="C30" s="50">
        <v>3194</v>
      </c>
      <c r="D30" s="50">
        <v>3132</v>
      </c>
      <c r="E30" s="50">
        <v>3082</v>
      </c>
      <c r="F30" s="50">
        <v>3173</v>
      </c>
      <c r="G30" s="50">
        <v>3346</v>
      </c>
      <c r="H30" s="50">
        <v>3454</v>
      </c>
      <c r="I30" s="50">
        <v>3560</v>
      </c>
      <c r="J30" s="50">
        <v>3571</v>
      </c>
      <c r="K30" s="50">
        <v>3729</v>
      </c>
      <c r="L30" s="50">
        <v>4030</v>
      </c>
    </row>
    <row r="31" spans="2:12">
      <c r="B31" s="166" t="s">
        <v>251</v>
      </c>
      <c r="C31" s="50">
        <v>274</v>
      </c>
      <c r="D31" s="50">
        <v>-1554</v>
      </c>
      <c r="E31" s="50">
        <v>-1032</v>
      </c>
      <c r="F31" s="50">
        <v>-99</v>
      </c>
      <c r="G31" s="50">
        <v>-2378</v>
      </c>
      <c r="H31" s="50">
        <v>-1243</v>
      </c>
      <c r="I31" s="50">
        <v>-1789</v>
      </c>
      <c r="J31" s="50">
        <v>2122</v>
      </c>
      <c r="K31" s="50">
        <v>-17645</v>
      </c>
      <c r="L31" s="50">
        <v>-32243</v>
      </c>
    </row>
    <row r="32" spans="2:12">
      <c r="B32" s="166"/>
      <c r="C32" s="50"/>
      <c r="D32" s="50"/>
      <c r="E32" s="50"/>
      <c r="F32" s="50"/>
      <c r="G32" s="50"/>
      <c r="H32" s="50"/>
      <c r="I32" s="50"/>
      <c r="J32" s="50"/>
      <c r="K32" s="50"/>
      <c r="L32" s="50"/>
    </row>
    <row r="33" spans="2:12">
      <c r="B33" s="165" t="s">
        <v>252</v>
      </c>
      <c r="C33" s="135">
        <v>-3226</v>
      </c>
      <c r="D33" s="135">
        <v>-2207</v>
      </c>
      <c r="E33" s="135">
        <v>-3688</v>
      </c>
      <c r="F33" s="135">
        <v>-7469</v>
      </c>
      <c r="G33" s="135">
        <v>-9470</v>
      </c>
      <c r="H33" s="135">
        <v>-4329</v>
      </c>
      <c r="I33" s="135">
        <v>-5154</v>
      </c>
      <c r="J33" s="135">
        <v>-12258</v>
      </c>
      <c r="K33" s="135">
        <v>-7228</v>
      </c>
      <c r="L33" s="135">
        <v>-28747</v>
      </c>
    </row>
    <row r="34" spans="2:12">
      <c r="B34" s="166" t="s">
        <v>253</v>
      </c>
      <c r="C34" s="50">
        <v>-3103</v>
      </c>
      <c r="D34" s="50">
        <v>-2079</v>
      </c>
      <c r="E34" s="50">
        <v>-3516</v>
      </c>
      <c r="F34" s="50">
        <v>-7248</v>
      </c>
      <c r="G34" s="50">
        <v>-6284</v>
      </c>
      <c r="H34" s="50">
        <v>-4332</v>
      </c>
      <c r="I34" s="50">
        <v>-5033</v>
      </c>
      <c r="J34" s="50">
        <v>-11871</v>
      </c>
      <c r="K34" s="50">
        <v>-7657</v>
      </c>
      <c r="L34" s="50">
        <v>-10671</v>
      </c>
    </row>
    <row r="35" spans="2:12">
      <c r="B35" s="166"/>
      <c r="C35" s="50"/>
      <c r="D35" s="50"/>
      <c r="E35" s="50"/>
      <c r="F35" s="50"/>
      <c r="G35" s="50"/>
      <c r="H35" s="50"/>
      <c r="I35" s="50"/>
      <c r="J35" s="50"/>
      <c r="K35" s="50"/>
      <c r="L35" s="50"/>
    </row>
    <row r="36" spans="2:12">
      <c r="B36" s="165" t="s">
        <v>254</v>
      </c>
      <c r="C36" s="135">
        <v>-913</v>
      </c>
      <c r="D36" s="135">
        <v>-4120</v>
      </c>
      <c r="E36" s="135">
        <v>-2741</v>
      </c>
      <c r="F36" s="135">
        <v>-930</v>
      </c>
      <c r="G36" s="135">
        <v>509</v>
      </c>
      <c r="H36" s="135">
        <v>-1780</v>
      </c>
      <c r="I36" s="135">
        <v>1375</v>
      </c>
      <c r="J36" s="135">
        <v>-1549</v>
      </c>
      <c r="K36" s="135">
        <v>-2951</v>
      </c>
      <c r="L36" s="135">
        <v>-4666</v>
      </c>
    </row>
    <row r="37" spans="2:12">
      <c r="B37" s="166" t="s">
        <v>255</v>
      </c>
      <c r="C37" s="50">
        <v>-783</v>
      </c>
      <c r="D37" s="50">
        <v>-3601</v>
      </c>
      <c r="E37" s="50">
        <v>-2401</v>
      </c>
      <c r="F37" s="50">
        <v>-591</v>
      </c>
      <c r="G37" s="50">
        <v>645</v>
      </c>
      <c r="H37" s="50">
        <v>-484</v>
      </c>
      <c r="I37" s="50">
        <v>1757</v>
      </c>
      <c r="J37" s="50">
        <v>-1151</v>
      </c>
      <c r="K37" s="50">
        <v>-2754</v>
      </c>
      <c r="L37" s="50">
        <v>-3032</v>
      </c>
    </row>
    <row r="38" spans="2:12">
      <c r="B38" s="166" t="s">
        <v>256</v>
      </c>
      <c r="C38" s="50">
        <v>-161</v>
      </c>
      <c r="D38" s="50">
        <v>-149</v>
      </c>
      <c r="E38" s="50">
        <v>-149</v>
      </c>
      <c r="F38" s="50">
        <v>-143</v>
      </c>
      <c r="G38" s="50">
        <v>-152</v>
      </c>
      <c r="H38" s="50">
        <v>-150</v>
      </c>
      <c r="I38" s="50">
        <v>-145</v>
      </c>
      <c r="J38" s="50">
        <v>-150</v>
      </c>
      <c r="K38" s="50">
        <v>-148</v>
      </c>
      <c r="L38" s="50">
        <v>-139</v>
      </c>
    </row>
    <row r="39" spans="2:12">
      <c r="B39" s="166" t="s">
        <v>257</v>
      </c>
      <c r="C39" s="50">
        <v>0</v>
      </c>
      <c r="D39" s="50">
        <v>-413</v>
      </c>
      <c r="E39" s="50">
        <v>-207</v>
      </c>
      <c r="F39" s="50">
        <v>-207</v>
      </c>
      <c r="G39" s="50">
        <v>0</v>
      </c>
      <c r="H39" s="50">
        <v>-1159</v>
      </c>
      <c r="I39" s="50">
        <v>-259</v>
      </c>
      <c r="J39" s="50">
        <v>-263</v>
      </c>
      <c r="K39" s="50">
        <v>0</v>
      </c>
      <c r="L39" s="50">
        <v>-1594</v>
      </c>
    </row>
    <row r="40" spans="2:12">
      <c r="B40" s="166" t="s">
        <v>258</v>
      </c>
      <c r="C40" s="50">
        <v>151</v>
      </c>
      <c r="D40" s="50">
        <v>-1</v>
      </c>
      <c r="E40" s="50">
        <v>-205</v>
      </c>
      <c r="F40" s="50">
        <v>617</v>
      </c>
      <c r="G40" s="50">
        <v>41</v>
      </c>
      <c r="H40" s="50">
        <v>-447</v>
      </c>
      <c r="I40" s="50">
        <v>303</v>
      </c>
      <c r="J40" s="50">
        <v>-45</v>
      </c>
      <c r="K40" s="50">
        <v>3138</v>
      </c>
      <c r="L40" s="50">
        <v>1332</v>
      </c>
    </row>
    <row r="41" spans="2:12">
      <c r="B41" s="166"/>
      <c r="C41" s="50"/>
      <c r="D41" s="50"/>
      <c r="E41" s="50"/>
      <c r="F41" s="50"/>
      <c r="G41" s="50"/>
      <c r="H41" s="50"/>
      <c r="I41" s="50"/>
      <c r="J41" s="50"/>
      <c r="K41" s="50"/>
      <c r="L41" s="50"/>
    </row>
    <row r="42" spans="2:12">
      <c r="B42" s="165" t="s">
        <v>259</v>
      </c>
      <c r="C42" s="135">
        <v>1398</v>
      </c>
      <c r="D42" s="135">
        <v>-631</v>
      </c>
      <c r="E42" s="135">
        <v>1170</v>
      </c>
      <c r="F42" s="135">
        <v>3298</v>
      </c>
      <c r="G42" s="135">
        <v>155</v>
      </c>
      <c r="H42" s="135">
        <v>2651</v>
      </c>
      <c r="I42" s="135">
        <v>10892</v>
      </c>
      <c r="J42" s="135">
        <v>7088</v>
      </c>
      <c r="K42" s="135">
        <v>19388</v>
      </c>
      <c r="L42" s="135">
        <v>33628</v>
      </c>
    </row>
    <row r="43" spans="2:12">
      <c r="B43" s="165" t="s">
        <v>260</v>
      </c>
      <c r="C43" s="43">
        <f>C26+C42</f>
        <v>10319</v>
      </c>
      <c r="D43" s="43">
        <f>D26+D42</f>
        <v>9688</v>
      </c>
      <c r="E43" s="43">
        <v>10858</v>
      </c>
      <c r="F43" s="43">
        <f>F26+F42</f>
        <v>14156</v>
      </c>
      <c r="G43" s="43">
        <f>G26+G42</f>
        <v>14311</v>
      </c>
      <c r="H43" s="43">
        <f>H26+H42</f>
        <v>16962</v>
      </c>
      <c r="I43" s="43">
        <v>27854</v>
      </c>
      <c r="J43" s="43">
        <f>J26+J42</f>
        <v>34942</v>
      </c>
      <c r="K43" s="43">
        <f>K26+K42</f>
        <v>54330</v>
      </c>
      <c r="L43" s="43">
        <f>L26+L42</f>
        <v>87958</v>
      </c>
    </row>
    <row r="44" spans="2:12">
      <c r="B44" s="116"/>
    </row>
    <row r="45" spans="2:12">
      <c r="B45" s="39" t="s">
        <v>261</v>
      </c>
      <c r="C45" s="69"/>
      <c r="D45" s="69"/>
      <c r="E45" s="69"/>
      <c r="F45" s="69"/>
      <c r="G45" s="69"/>
      <c r="H45" s="69"/>
      <c r="I45" s="69"/>
      <c r="J45" s="69"/>
      <c r="K45" s="69"/>
      <c r="L45" s="69"/>
    </row>
    <row r="46" spans="2:12">
      <c r="B46" s="116"/>
    </row>
    <row r="47" spans="2:12">
      <c r="B47" s="165" t="s">
        <v>262</v>
      </c>
      <c r="C47" s="135">
        <v>33026</v>
      </c>
      <c r="D47" s="135">
        <v>35684</v>
      </c>
      <c r="E47" s="135">
        <v>37078</v>
      </c>
      <c r="F47" s="135">
        <v>42279</v>
      </c>
      <c r="G47" s="135">
        <v>41228</v>
      </c>
      <c r="H47" s="135">
        <v>45203</v>
      </c>
      <c r="I47" s="135">
        <v>57140</v>
      </c>
      <c r="J47" s="135">
        <v>69458</v>
      </c>
      <c r="K47" s="135">
        <v>106506</v>
      </c>
      <c r="L47" s="135">
        <v>156156</v>
      </c>
    </row>
    <row r="48" spans="2:12">
      <c r="B48" s="166" t="s">
        <v>263</v>
      </c>
      <c r="C48" s="50">
        <v>10319</v>
      </c>
      <c r="D48" s="50">
        <v>9688</v>
      </c>
      <c r="E48" s="50">
        <v>10858</v>
      </c>
      <c r="F48" s="50">
        <v>14156</v>
      </c>
      <c r="G48" s="50">
        <v>14311</v>
      </c>
      <c r="H48" s="50">
        <v>16962</v>
      </c>
      <c r="I48" s="50">
        <v>27854</v>
      </c>
      <c r="J48" s="50">
        <v>34942</v>
      </c>
      <c r="K48" s="50">
        <v>54330</v>
      </c>
      <c r="L48" s="50">
        <v>87958</v>
      </c>
    </row>
    <row r="49" spans="2:12">
      <c r="B49" s="166" t="s">
        <v>264</v>
      </c>
      <c r="C49" s="50">
        <v>7179</v>
      </c>
      <c r="D49" s="50">
        <v>10224</v>
      </c>
      <c r="E49" s="50">
        <v>10471</v>
      </c>
      <c r="F49" s="50">
        <v>13019</v>
      </c>
      <c r="G49" s="50">
        <v>10629</v>
      </c>
      <c r="H49" s="50">
        <v>13125</v>
      </c>
      <c r="I49" s="50">
        <v>14312</v>
      </c>
      <c r="J49" s="50">
        <v>18199</v>
      </c>
      <c r="K49" s="50">
        <v>33808</v>
      </c>
      <c r="L49" s="50">
        <v>47821</v>
      </c>
    </row>
    <row r="50" spans="2:12">
      <c r="B50" s="166" t="s">
        <v>265</v>
      </c>
      <c r="C50" s="50">
        <v>13845</v>
      </c>
      <c r="D50" s="50">
        <v>13355</v>
      </c>
      <c r="E50" s="50">
        <v>13354</v>
      </c>
      <c r="F50" s="50">
        <v>13314</v>
      </c>
      <c r="G50" s="50">
        <v>14551</v>
      </c>
      <c r="H50" s="50">
        <v>13408</v>
      </c>
      <c r="I50" s="50">
        <v>13156</v>
      </c>
      <c r="J50" s="50">
        <v>14289</v>
      </c>
      <c r="K50" s="50">
        <v>15974</v>
      </c>
      <c r="L50" s="50">
        <v>17986</v>
      </c>
    </row>
    <row r="51" spans="2:12">
      <c r="B51" s="116"/>
      <c r="C51" s="116"/>
      <c r="D51" s="116"/>
      <c r="E51" s="116"/>
      <c r="F51" s="116"/>
      <c r="J51" s="116"/>
    </row>
    <row r="52" spans="2:12">
      <c r="B52" s="165" t="s">
        <v>266</v>
      </c>
      <c r="C52" s="135">
        <v>70171</v>
      </c>
      <c r="D52" s="135">
        <v>69941</v>
      </c>
      <c r="E52" s="135">
        <v>71289</v>
      </c>
      <c r="F52" s="135">
        <v>77576</v>
      </c>
      <c r="G52" s="135">
        <v>82757</v>
      </c>
      <c r="H52" s="135">
        <v>83885</v>
      </c>
      <c r="I52" s="135">
        <v>91295</v>
      </c>
      <c r="J52" s="135">
        <v>106650</v>
      </c>
      <c r="K52" s="135">
        <v>116323</v>
      </c>
      <c r="L52" s="135">
        <v>192706</v>
      </c>
    </row>
    <row r="53" spans="2:12">
      <c r="B53" s="166" t="s">
        <v>267</v>
      </c>
      <c r="C53" s="50">
        <v>53164</v>
      </c>
      <c r="D53" s="50">
        <v>53232</v>
      </c>
      <c r="E53" s="50">
        <v>54634</v>
      </c>
      <c r="F53" s="50">
        <v>60157</v>
      </c>
      <c r="G53" s="50">
        <v>63015</v>
      </c>
      <c r="H53" s="50">
        <v>64473</v>
      </c>
      <c r="I53" s="50">
        <v>68145</v>
      </c>
      <c r="J53" s="50">
        <v>77503</v>
      </c>
      <c r="K53" s="50">
        <v>82052</v>
      </c>
      <c r="L53" s="50">
        <v>88889</v>
      </c>
    </row>
    <row r="54" spans="2:12">
      <c r="B54" s="166" t="s">
        <v>268</v>
      </c>
      <c r="C54" s="50">
        <v>3830</v>
      </c>
      <c r="D54" s="50">
        <v>3840</v>
      </c>
      <c r="E54" s="50">
        <v>3926</v>
      </c>
      <c r="F54" s="50">
        <v>4019</v>
      </c>
      <c r="G54" s="50">
        <v>3963</v>
      </c>
      <c r="H54" s="50">
        <v>3945</v>
      </c>
      <c r="I54" s="50">
        <v>3954</v>
      </c>
      <c r="J54" s="50">
        <v>4049</v>
      </c>
      <c r="K54" s="50">
        <v>4051</v>
      </c>
      <c r="L54" s="50">
        <v>4283</v>
      </c>
    </row>
    <row r="55" spans="2:12" s="215" customFormat="1">
      <c r="B55" s="165" t="s">
        <v>269</v>
      </c>
      <c r="C55" s="135">
        <v>103198</v>
      </c>
      <c r="D55" s="135">
        <v>105624</v>
      </c>
      <c r="E55" s="135">
        <v>108367</v>
      </c>
      <c r="F55" s="135">
        <v>119855</v>
      </c>
      <c r="G55" s="135">
        <v>123985</v>
      </c>
      <c r="H55" s="135">
        <v>129088</v>
      </c>
      <c r="I55" s="135">
        <v>148435</v>
      </c>
      <c r="J55" s="135">
        <v>176108</v>
      </c>
      <c r="K55" s="135">
        <v>222829</v>
      </c>
      <c r="L55" s="135">
        <v>348862</v>
      </c>
    </row>
    <row r="56" spans="2:12">
      <c r="B56" s="116"/>
      <c r="C56" s="116"/>
      <c r="D56" s="116"/>
      <c r="E56" s="116"/>
      <c r="F56" s="116"/>
      <c r="J56" s="116"/>
    </row>
    <row r="57" spans="2:12">
      <c r="B57" s="116"/>
      <c r="C57" s="116"/>
      <c r="D57" s="116"/>
      <c r="E57" s="116"/>
      <c r="F57" s="116"/>
      <c r="J57" s="116"/>
    </row>
    <row r="58" spans="2:12">
      <c r="B58" s="165" t="s">
        <v>270</v>
      </c>
    </row>
    <row r="59" spans="2:12">
      <c r="B59" s="116" t="s">
        <v>271</v>
      </c>
      <c r="C59" s="135">
        <v>29506</v>
      </c>
      <c r="D59" s="135">
        <v>25228</v>
      </c>
      <c r="E59" s="135">
        <v>21845</v>
      </c>
      <c r="F59" s="135">
        <v>22684</v>
      </c>
      <c r="G59" s="135">
        <v>23334</v>
      </c>
      <c r="H59" s="135">
        <v>21841</v>
      </c>
      <c r="I59" s="135">
        <v>24079</v>
      </c>
      <c r="J59" s="135">
        <v>22248</v>
      </c>
      <c r="K59" s="135">
        <v>19318</v>
      </c>
      <c r="L59" s="135">
        <v>18587</v>
      </c>
    </row>
    <row r="60" spans="2:12">
      <c r="B60" s="166" t="s">
        <v>272</v>
      </c>
      <c r="C60" s="50">
        <v>3139</v>
      </c>
      <c r="D60" s="50">
        <v>1548</v>
      </c>
      <c r="E60" s="50">
        <v>1742</v>
      </c>
      <c r="F60" s="50">
        <v>1283</v>
      </c>
      <c r="G60" s="50">
        <v>2018</v>
      </c>
      <c r="H60" s="50">
        <v>1573</v>
      </c>
      <c r="I60" s="50">
        <v>2180</v>
      </c>
      <c r="J60" s="50">
        <v>2396</v>
      </c>
      <c r="K60" s="50">
        <v>2522</v>
      </c>
      <c r="L60" s="50">
        <v>2664</v>
      </c>
    </row>
    <row r="61" spans="2:12">
      <c r="B61" s="166" t="s">
        <v>273</v>
      </c>
      <c r="C61" s="50">
        <v>5707</v>
      </c>
      <c r="D61" s="50">
        <v>4727</v>
      </c>
      <c r="E61" s="50">
        <v>3399</v>
      </c>
      <c r="F61" s="50">
        <v>3969</v>
      </c>
      <c r="G61" s="50">
        <v>7061</v>
      </c>
      <c r="H61" s="50">
        <v>6949</v>
      </c>
      <c r="I61" s="50">
        <v>7070</v>
      </c>
      <c r="J61" s="50">
        <v>5766</v>
      </c>
      <c r="K61" s="50">
        <v>3369</v>
      </c>
      <c r="L61" s="50">
        <v>3194</v>
      </c>
    </row>
    <row r="62" spans="2:12">
      <c r="B62" s="166" t="s">
        <v>274</v>
      </c>
      <c r="C62" s="50">
        <v>11407</v>
      </c>
      <c r="D62" s="50">
        <v>12424</v>
      </c>
      <c r="E62" s="50">
        <v>11905</v>
      </c>
      <c r="F62" s="50">
        <v>12409</v>
      </c>
      <c r="G62" s="50">
        <v>10100</v>
      </c>
      <c r="H62" s="50">
        <v>9161</v>
      </c>
      <c r="I62" s="50">
        <v>11025</v>
      </c>
      <c r="J62" s="50">
        <v>11206</v>
      </c>
      <c r="K62" s="50">
        <v>10751</v>
      </c>
      <c r="L62" s="50">
        <v>10544</v>
      </c>
    </row>
    <row r="63" spans="2:12">
      <c r="B63" s="166" t="s">
        <v>275</v>
      </c>
      <c r="C63" s="50">
        <v>9254</v>
      </c>
      <c r="D63" s="50">
        <v>6530</v>
      </c>
      <c r="E63" s="50">
        <v>4799</v>
      </c>
      <c r="F63" s="50">
        <v>5022</v>
      </c>
      <c r="G63" s="50">
        <v>4154</v>
      </c>
      <c r="H63" s="50">
        <v>4158</v>
      </c>
      <c r="I63" s="50">
        <v>3804</v>
      </c>
      <c r="J63" s="50">
        <v>2880</v>
      </c>
      <c r="K63" s="50">
        <v>2676</v>
      </c>
      <c r="L63" s="50">
        <v>2184</v>
      </c>
    </row>
    <row r="64" spans="2:12">
      <c r="B64" s="116" t="s">
        <v>276</v>
      </c>
      <c r="C64" s="50">
        <v>1747</v>
      </c>
      <c r="D64" s="50">
        <v>2093</v>
      </c>
      <c r="E64" s="50">
        <v>1890</v>
      </c>
      <c r="F64" s="50">
        <v>2277</v>
      </c>
      <c r="G64" s="50">
        <v>1875</v>
      </c>
      <c r="H64" s="50">
        <v>1806</v>
      </c>
      <c r="I64" s="50">
        <v>2270</v>
      </c>
      <c r="J64" s="50">
        <v>2848</v>
      </c>
      <c r="K64" s="50">
        <v>2798</v>
      </c>
      <c r="L64" s="50">
        <v>3043</v>
      </c>
    </row>
    <row r="65" spans="2:12">
      <c r="B65" s="165" t="s">
        <v>277</v>
      </c>
      <c r="C65" s="135">
        <v>47690</v>
      </c>
      <c r="D65" s="135">
        <v>45794</v>
      </c>
      <c r="E65" s="135">
        <v>43066</v>
      </c>
      <c r="F65" s="135">
        <v>45940</v>
      </c>
      <c r="G65" s="135">
        <v>42547</v>
      </c>
      <c r="H65" s="135">
        <v>41945</v>
      </c>
      <c r="I65" s="135">
        <v>48429</v>
      </c>
      <c r="J65" s="135">
        <v>55441</v>
      </c>
      <c r="K65" s="135">
        <v>58449</v>
      </c>
      <c r="L65" s="135">
        <v>86169</v>
      </c>
    </row>
    <row r="66" spans="2:12">
      <c r="B66" s="116"/>
      <c r="C66" s="116"/>
      <c r="D66" s="116"/>
      <c r="E66" s="116"/>
      <c r="F66" s="116"/>
      <c r="J66" s="116"/>
    </row>
    <row r="67" spans="2:12">
      <c r="B67" s="165" t="s">
        <v>278</v>
      </c>
    </row>
    <row r="68" spans="2:12">
      <c r="B68" s="166" t="s">
        <v>279</v>
      </c>
      <c r="C68" s="50">
        <v>3658</v>
      </c>
      <c r="D68" s="50">
        <v>3658</v>
      </c>
      <c r="E68" s="50">
        <v>3658</v>
      </c>
      <c r="F68" s="50">
        <v>3658</v>
      </c>
      <c r="G68" s="50">
        <v>3658</v>
      </c>
      <c r="H68" s="50">
        <v>3658</v>
      </c>
      <c r="I68" s="50">
        <v>3658</v>
      </c>
      <c r="J68" s="50">
        <v>3658</v>
      </c>
      <c r="K68" s="50">
        <v>3658</v>
      </c>
      <c r="L68" s="50">
        <v>3658</v>
      </c>
    </row>
    <row r="69" spans="2:12">
      <c r="B69" s="166" t="s">
        <v>280</v>
      </c>
      <c r="C69" s="50">
        <v>4406</v>
      </c>
      <c r="D69" s="50">
        <v>4420</v>
      </c>
      <c r="E69" s="50">
        <v>4479</v>
      </c>
      <c r="F69" s="50">
        <v>4487</v>
      </c>
      <c r="G69" s="50">
        <v>4715</v>
      </c>
      <c r="H69" s="50">
        <v>4726</v>
      </c>
      <c r="I69" s="50">
        <v>4757</v>
      </c>
      <c r="J69" s="50">
        <v>8954</v>
      </c>
      <c r="K69" s="50">
        <v>8510</v>
      </c>
      <c r="L69" s="50">
        <v>11876</v>
      </c>
    </row>
    <row r="70" spans="2:12">
      <c r="B70" s="166" t="s">
        <v>281</v>
      </c>
      <c r="C70" s="50">
        <v>48392</v>
      </c>
      <c r="D70" s="50">
        <v>52302</v>
      </c>
      <c r="E70" s="50">
        <v>57842</v>
      </c>
      <c r="F70" s="50">
        <v>65418</v>
      </c>
      <c r="G70" s="50">
        <v>72622</v>
      </c>
      <c r="H70" s="50">
        <v>79358</v>
      </c>
      <c r="I70" s="50">
        <v>91691</v>
      </c>
      <c r="J70" s="50">
        <v>106577</v>
      </c>
      <c r="K70" s="50">
        <v>148746</v>
      </c>
      <c r="L70" s="50">
        <v>242270</v>
      </c>
    </row>
    <row r="71" spans="2:12">
      <c r="B71" s="165" t="s">
        <v>282</v>
      </c>
      <c r="C71" s="135">
        <v>55507</v>
      </c>
      <c r="D71" s="135">
        <v>59830</v>
      </c>
      <c r="E71" s="135">
        <v>65302</v>
      </c>
      <c r="F71" s="135">
        <v>73916</v>
      </c>
      <c r="G71" s="135">
        <v>81439</v>
      </c>
      <c r="H71" s="135">
        <v>87142</v>
      </c>
      <c r="I71" s="135">
        <v>100006</v>
      </c>
      <c r="J71" s="135">
        <v>120667</v>
      </c>
      <c r="K71" s="135">
        <v>164380</v>
      </c>
      <c r="L71" s="135">
        <v>262693</v>
      </c>
    </row>
    <row r="75" spans="2:12">
      <c r="B75" s="116" t="s">
        <v>283</v>
      </c>
      <c r="C75" s="7">
        <f>C59</f>
        <v>29506</v>
      </c>
      <c r="D75" s="7">
        <f t="shared" ref="D75:E75" si="0">D59</f>
        <v>25228</v>
      </c>
      <c r="E75" s="7">
        <f t="shared" si="0"/>
        <v>21845</v>
      </c>
      <c r="F75" s="7">
        <f t="shared" ref="F75:K75" si="1">F59</f>
        <v>22684</v>
      </c>
      <c r="G75" s="7">
        <f t="shared" si="1"/>
        <v>23334</v>
      </c>
      <c r="H75" s="7">
        <f t="shared" si="1"/>
        <v>21841</v>
      </c>
      <c r="I75" s="7">
        <f t="shared" si="1"/>
        <v>24079</v>
      </c>
      <c r="J75" s="7">
        <f t="shared" si="1"/>
        <v>22248</v>
      </c>
      <c r="K75" s="7">
        <f t="shared" si="1"/>
        <v>19318</v>
      </c>
      <c r="L75" s="7">
        <f t="shared" ref="L75" si="2">L59</f>
        <v>18587</v>
      </c>
    </row>
    <row r="76" spans="2:12">
      <c r="B76" s="116" t="s">
        <v>18</v>
      </c>
      <c r="C76" s="33">
        <f t="shared" ref="C76:E76" si="3">IF((C75-C48)&lt;0,"net cash", (C75-C48))</f>
        <v>19187</v>
      </c>
      <c r="D76" s="33">
        <f t="shared" si="3"/>
        <v>15540</v>
      </c>
      <c r="E76" s="33">
        <f t="shared" si="3"/>
        <v>10987</v>
      </c>
      <c r="F76" s="33">
        <f t="shared" ref="F76:H76" si="4">IF((F75-F48)&lt;0,"net cash", (F75-F48))</f>
        <v>8528</v>
      </c>
      <c r="G76" s="33">
        <f t="shared" si="4"/>
        <v>9023</v>
      </c>
      <c r="H76" s="33">
        <f t="shared" si="4"/>
        <v>4879</v>
      </c>
      <c r="I76" s="33" t="str">
        <f>IF((I75-I48)&lt;0,"net cash", (I75-I48))</f>
        <v>net cash</v>
      </c>
      <c r="J76" s="33" t="str">
        <f t="shared" ref="J76:L76" si="5">IF((J75-J48)&lt;0,"net cash", (J75-J48))</f>
        <v>net cash</v>
      </c>
      <c r="K76" s="33" t="str">
        <f t="shared" si="5"/>
        <v>net cash</v>
      </c>
      <c r="L76" s="33" t="str">
        <f t="shared" si="5"/>
        <v>net cash</v>
      </c>
    </row>
    <row r="77" spans="2:12">
      <c r="C77" s="7"/>
      <c r="F77" s="7"/>
      <c r="G77" s="7"/>
      <c r="H77" s="7"/>
      <c r="I77" s="7"/>
      <c r="J77" s="7"/>
      <c r="K77" s="7"/>
      <c r="L77" s="7"/>
    </row>
    <row r="78" spans="2:12">
      <c r="B78" s="116" t="s">
        <v>284</v>
      </c>
      <c r="C78" s="7">
        <f>C18*4</f>
        <v>24292</v>
      </c>
      <c r="D78" s="7">
        <f t="shared" ref="D78:I78" si="6">D18*4</f>
        <v>34364</v>
      </c>
      <c r="E78" s="7">
        <f t="shared" si="6"/>
        <v>40400</v>
      </c>
      <c r="F78" s="7">
        <f t="shared" si="6"/>
        <v>44996</v>
      </c>
      <c r="G78" s="7">
        <f t="shared" si="6"/>
        <v>43076</v>
      </c>
      <c r="H78" s="7">
        <f t="shared" si="6"/>
        <v>50580</v>
      </c>
      <c r="I78" s="7">
        <f t="shared" si="6"/>
        <v>59796</v>
      </c>
      <c r="J78" s="7">
        <f t="shared" ref="J78:L78" si="7">J18*4</f>
        <v>90928</v>
      </c>
      <c r="K78" s="7">
        <f t="shared" si="7"/>
        <v>165344</v>
      </c>
      <c r="L78" s="7">
        <f t="shared" si="7"/>
        <v>258252</v>
      </c>
    </row>
    <row r="79" spans="2:12">
      <c r="B79" s="116" t="s">
        <v>214</v>
      </c>
      <c r="C79" s="197"/>
      <c r="D79" s="197"/>
      <c r="E79" s="197"/>
      <c r="F79" s="7">
        <f t="shared" ref="F79:L79" si="8">SUM(C18:F18)</f>
        <v>36013</v>
      </c>
      <c r="G79" s="7">
        <f t="shared" si="8"/>
        <v>40709</v>
      </c>
      <c r="H79" s="7">
        <f t="shared" si="8"/>
        <v>44763</v>
      </c>
      <c r="I79" s="7">
        <f t="shared" si="8"/>
        <v>49612</v>
      </c>
      <c r="J79" s="7">
        <f t="shared" si="8"/>
        <v>61095</v>
      </c>
      <c r="K79" s="7">
        <f t="shared" si="8"/>
        <v>91662</v>
      </c>
      <c r="L79" s="7">
        <f t="shared" si="8"/>
        <v>143580</v>
      </c>
    </row>
    <row r="80" spans="2:12">
      <c r="C80" s="7"/>
      <c r="D80" s="7"/>
      <c r="E80" s="7"/>
      <c r="F80" s="7"/>
      <c r="G80" s="7"/>
      <c r="H80" s="7"/>
      <c r="I80" s="7"/>
      <c r="J80" s="7"/>
      <c r="K80" s="7"/>
      <c r="L80" s="7"/>
    </row>
    <row r="81" spans="2:12">
      <c r="B81" s="116" t="s">
        <v>285</v>
      </c>
      <c r="C81" s="202">
        <f>C59/(C18*4)</f>
        <v>1.2146385641363411</v>
      </c>
      <c r="D81" s="202">
        <f t="shared" ref="D81:E81" si="9">D59/(D18*4)</f>
        <v>0.73414037946688393</v>
      </c>
      <c r="E81" s="202">
        <f t="shared" si="9"/>
        <v>0.5407178217821782</v>
      </c>
      <c r="F81" s="202">
        <f t="shared" ref="F81:K81" si="10">F59/(F18*4)</f>
        <v>0.50413370077340203</v>
      </c>
      <c r="G81" s="202">
        <f t="shared" si="10"/>
        <v>0.54169375058036962</v>
      </c>
      <c r="H81" s="202">
        <f t="shared" si="10"/>
        <v>0.43181099248714905</v>
      </c>
      <c r="I81" s="202">
        <f t="shared" si="10"/>
        <v>0.40268579838116264</v>
      </c>
      <c r="J81" s="202">
        <f t="shared" si="10"/>
        <v>0.24467710716171037</v>
      </c>
      <c r="K81" s="202">
        <f t="shared" si="10"/>
        <v>0.11683520418037546</v>
      </c>
      <c r="L81" s="202">
        <f t="shared" ref="L81" si="11">L59/(L18*4)</f>
        <v>7.1972337097098951E-2</v>
      </c>
    </row>
    <row r="82" spans="2:12">
      <c r="B82" s="165" t="s">
        <v>286</v>
      </c>
      <c r="C82" s="201">
        <f t="shared" ref="C82:H82" si="12">C76/C78</f>
        <v>0.78984850979746424</v>
      </c>
      <c r="D82" s="201">
        <f t="shared" ref="D82:E82" si="13">D76/D78</f>
        <v>0.45221743685252008</v>
      </c>
      <c r="E82" s="201">
        <f t="shared" si="13"/>
        <v>0.27195544554455447</v>
      </c>
      <c r="F82" s="201">
        <f t="shared" si="12"/>
        <v>0.18952795804071473</v>
      </c>
      <c r="G82" s="201">
        <f t="shared" si="12"/>
        <v>0.20946698857832668</v>
      </c>
      <c r="H82" s="201">
        <f t="shared" si="12"/>
        <v>9.6461051799130088E-2</v>
      </c>
      <c r="I82" s="33" t="str">
        <f>I76</f>
        <v>net cash</v>
      </c>
      <c r="J82" s="33" t="str">
        <f>J76</f>
        <v>net cash</v>
      </c>
      <c r="K82" s="33" t="str">
        <f>K76</f>
        <v>net cash</v>
      </c>
      <c r="L82" s="33" t="str">
        <f>L76</f>
        <v>net cash</v>
      </c>
    </row>
    <row r="83" spans="2:12">
      <c r="B83" s="116"/>
      <c r="C83" s="202"/>
      <c r="D83" s="202"/>
      <c r="E83" s="202"/>
      <c r="F83" s="202"/>
      <c r="G83" s="202"/>
      <c r="H83" s="202"/>
      <c r="I83" s="202"/>
      <c r="J83" s="202"/>
      <c r="K83" s="202"/>
      <c r="L83" s="202"/>
    </row>
    <row r="84" spans="2:12">
      <c r="B84" s="116" t="s">
        <v>287</v>
      </c>
      <c r="C84" s="197"/>
      <c r="D84" s="197"/>
      <c r="E84" s="197"/>
      <c r="F84" s="202">
        <f t="shared" ref="F84:H84" si="14">F59/F79</f>
        <v>0.62988365312526029</v>
      </c>
      <c r="G84" s="202">
        <f t="shared" si="14"/>
        <v>0.57319020364047257</v>
      </c>
      <c r="H84" s="202">
        <f t="shared" si="14"/>
        <v>0.48792529544489871</v>
      </c>
      <c r="I84" s="202">
        <f>I59/I79</f>
        <v>0.48534628718858341</v>
      </c>
      <c r="J84" s="202">
        <f>J59/J79</f>
        <v>0.36415418610360911</v>
      </c>
      <c r="K84" s="202">
        <f t="shared" ref="K84:L84" si="15">K59/K79</f>
        <v>0.21075254740241323</v>
      </c>
      <c r="L84" s="202">
        <f t="shared" si="15"/>
        <v>0.12945396294748573</v>
      </c>
    </row>
    <row r="85" spans="2:12">
      <c r="B85" s="165" t="s">
        <v>288</v>
      </c>
      <c r="C85" s="197"/>
      <c r="D85" s="197"/>
      <c r="E85" s="197"/>
      <c r="F85" s="202">
        <f t="shared" ref="F85:G85" si="16">F76/F79</f>
        <v>0.23680337655846501</v>
      </c>
      <c r="G85" s="202">
        <f t="shared" si="16"/>
        <v>0.22164631899579945</v>
      </c>
      <c r="H85" s="202">
        <f>H76/H79</f>
        <v>0.10899626924022071</v>
      </c>
      <c r="I85" s="33" t="str">
        <f>I76</f>
        <v>net cash</v>
      </c>
      <c r="J85" s="33" t="str">
        <f>J76</f>
        <v>net cash</v>
      </c>
      <c r="K85" s="33" t="str">
        <f>K76</f>
        <v>net cash</v>
      </c>
      <c r="L85" s="33" t="str">
        <f>L76</f>
        <v>net cash</v>
      </c>
    </row>
  </sheetData>
  <pageMargins left="0.7" right="0.7" top="0.75" bottom="0.75" header="0.3" footer="0.3"/>
  <headerFooter>
    <oddFooter>&amp;C_x000D_&amp;1#&amp;"Aptos"&amp;10&amp;K000000 Barings-Corporate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F7F3C3-8D3C-4D76-B560-B94D6F360E2F}"/>
</file>

<file path=customXml/itemProps2.xml><?xml version="1.0" encoding="utf-8"?>
<ds:datastoreItem xmlns:ds="http://schemas.openxmlformats.org/officeDocument/2006/customXml" ds:itemID="{734232F0-77AC-4E36-BBC8-63CD9298426B}"/>
</file>

<file path=customXml/itemProps3.xml><?xml version="1.0" encoding="utf-8"?>
<ds:datastoreItem xmlns:ds="http://schemas.openxmlformats.org/officeDocument/2006/customXml" ds:itemID="{75058B0A-EBD0-492F-B2E4-F1EDA6762B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MassMutual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</dc:creator>
  <cp:keywords/>
  <dc:description/>
  <cp:lastModifiedBy/>
  <cp:revision/>
  <dcterms:created xsi:type="dcterms:W3CDTF">2008-03-12T15:44:19Z</dcterms:created>
  <dcterms:modified xsi:type="dcterms:W3CDTF">2026-09-03T10:55:30Z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{7259EA4D-B0FF-4B67-B3B9-C4BFD77D0FED}</vt:lpwstr>
  </property>
  <property fmtid="{D5CDD505-2E9C-101B-9397-08002B2CF9AE}" pid="3" name="MSIP_Label_8c63c790-1b4f-473b-b88f-a693ca173b52_Enabled">
    <vt:lpwstr>true</vt:lpwstr>
  </property>
  <property fmtid="{D5CDD505-2E9C-101B-9397-08002B2CF9AE}" pid="4" name="MSIP_Label_8c63c790-1b4f-473b-b88f-a693ca173b52_SetDate">
    <vt:lpwstr>2021-11-30T06:38:54Z</vt:lpwstr>
  </property>
  <property fmtid="{D5CDD505-2E9C-101B-9397-08002B2CF9AE}" pid="5" name="MSIP_Label_8c63c790-1b4f-473b-b88f-a693ca173b52_Method">
    <vt:lpwstr>Privileged</vt:lpwstr>
  </property>
  <property fmtid="{D5CDD505-2E9C-101B-9397-08002B2CF9AE}" pid="6" name="MSIP_Label_8c63c790-1b4f-473b-b88f-a693ca173b52_Name">
    <vt:lpwstr>Internal</vt:lpwstr>
  </property>
  <property fmtid="{D5CDD505-2E9C-101B-9397-08002B2CF9AE}" pid="7" name="MSIP_Label_8c63c790-1b4f-473b-b88f-a693ca173b52_SiteId">
    <vt:lpwstr>4d8b04bf-7a7c-48a0-b6e3-38da5008297e</vt:lpwstr>
  </property>
  <property fmtid="{D5CDD505-2E9C-101B-9397-08002B2CF9AE}" pid="8" name="MSIP_Label_8c63c790-1b4f-473b-b88f-a693ca173b52_ActionId">
    <vt:lpwstr>74457a9d-0305-4b27-87c3-c6cf249b8cfb</vt:lpwstr>
  </property>
  <property fmtid="{D5CDD505-2E9C-101B-9397-08002B2CF9AE}" pid="9" name="MSIP_Label_8c63c790-1b4f-473b-b88f-a693ca173b52_ContentBits">
    <vt:lpwstr>0</vt:lpwstr>
  </property>
  <property fmtid="{D5CDD505-2E9C-101B-9397-08002B2CF9AE}" pid="10" name="WorkbookGuid">
    <vt:lpwstr>afbb2044-5f7f-4069-b80f-39a20339b747</vt:lpwstr>
  </property>
  <property fmtid="{D5CDD505-2E9C-101B-9397-08002B2CF9AE}" pid="11" name="ContentTypeId">
    <vt:lpwstr>0x0101003A00EECCAA3DB94895FACE15614ECBE0</vt:lpwstr>
  </property>
  <property fmtid="{D5CDD505-2E9C-101B-9397-08002B2CF9AE}" pid="12" name="MSIP_Label_e23aaa83-1940-48a9-a4d6-4a193a1929ec_Enabled">
    <vt:lpwstr>true</vt:lpwstr>
  </property>
  <property fmtid="{D5CDD505-2E9C-101B-9397-08002B2CF9AE}" pid="13" name="MSIP_Label_e23aaa83-1940-48a9-a4d6-4a193a1929ec_SetDate">
    <vt:lpwstr>2026-09-03T10:54:38Z</vt:lpwstr>
  </property>
  <property fmtid="{D5CDD505-2E9C-101B-9397-08002B2CF9AE}" pid="14" name="MSIP_Label_e23aaa83-1940-48a9-a4d6-4a193a1929ec_Method">
    <vt:lpwstr>Standard</vt:lpwstr>
  </property>
  <property fmtid="{D5CDD505-2E9C-101B-9397-08002B2CF9AE}" pid="15" name="MSIP_Label_e23aaa83-1940-48a9-a4d6-4a193a1929ec_Name">
    <vt:lpwstr>Corporate</vt:lpwstr>
  </property>
  <property fmtid="{D5CDD505-2E9C-101B-9397-08002B2CF9AE}" pid="16" name="MSIP_Label_e23aaa83-1940-48a9-a4d6-4a193a1929ec_SiteId">
    <vt:lpwstr>ce78e7b0-e32a-4428-9390-1c2ec8a59c47</vt:lpwstr>
  </property>
  <property fmtid="{D5CDD505-2E9C-101B-9397-08002B2CF9AE}" pid="17" name="MSIP_Label_e23aaa83-1940-48a9-a4d6-4a193a1929ec_ActionId">
    <vt:lpwstr>7582277d-7ea5-4f7f-86a3-7f9919fa7264</vt:lpwstr>
  </property>
  <property fmtid="{D5CDD505-2E9C-101B-9397-08002B2CF9AE}" pid="18" name="MSIP_Label_e23aaa83-1940-48a9-a4d6-4a193a1929ec_ContentBits">
    <vt:lpwstr>2</vt:lpwstr>
  </property>
  <property fmtid="{D5CDD505-2E9C-101B-9397-08002B2CF9AE}" pid="19" name="MSIP_Label_e23aaa83-1940-48a9-a4d6-4a193a1929ec_Tag">
    <vt:lpwstr>10, 3, 0, 2</vt:lpwstr>
  </property>
</Properties>
</file>