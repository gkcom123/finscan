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risil-my.sharepoint.com/personal/lokeshk_ad_crisil_com/Documents/1_Team_Fixed Income (Credit)/Bara Model Work/Bara - Model Update/WIP/Apr 2026 - Arcelik/1Q26/"/>
    </mc:Choice>
  </mc:AlternateContent>
  <xr:revisionPtr revIDLastSave="0" documentId="8_{BA551299-D650-4045-9208-6086F0D586E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pitalisation" sheetId="2" r:id="rId1"/>
    <sheet name="Model" sheetId="1" r:id="rId2"/>
    <sheet name="KPIS" sheetId="3" r:id="rId3"/>
  </sheets>
  <functionGroups builtInGroupCount="19"/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</externalReferences>
  <definedNames>
    <definedName name="\A">#REF!</definedName>
    <definedName name="\B">#REF!</definedName>
    <definedName name="\C">#REF!</definedName>
    <definedName name="\L">#REF!</definedName>
    <definedName name="\M">#REF!</definedName>
    <definedName name="\P">#REF!</definedName>
    <definedName name="\Y">#REF!</definedName>
    <definedName name="__FDS_HYPERLINK_TOGGLE_STATE__" hidden="1">"ON"</definedName>
    <definedName name="_01_30_04" localSheetId="0">MonthlyOpStats</definedName>
    <definedName name="_01_30_04" localSheetId="2">MonthlyOpStats</definedName>
    <definedName name="_01_30_04" localSheetId="1">MonthlyOpStats</definedName>
    <definedName name="_01_30_04">MonthlyOpStats</definedName>
    <definedName name="_1_30_01" localSheetId="0">MonthlyOpStats</definedName>
    <definedName name="_1_30_01" localSheetId="2">MonthlyOpStats</definedName>
    <definedName name="_1_30_01" localSheetId="1">MonthlyOpStats</definedName>
    <definedName name="_1_30_01">MonthlyOpStats</definedName>
    <definedName name="_1_30_02" localSheetId="0">MonthlyOpStats</definedName>
    <definedName name="_1_30_02" localSheetId="2">MonthlyOpStats</definedName>
    <definedName name="_1_30_02" localSheetId="1">MonthlyOpStats</definedName>
    <definedName name="_1_30_02">MonthlyOpStats</definedName>
    <definedName name="_1_31_01" localSheetId="0">MonthlyOpStats</definedName>
    <definedName name="_1_31_01" localSheetId="2">MonthlyOpStats</definedName>
    <definedName name="_1_31_01" localSheetId="1">MonthlyOpStats</definedName>
    <definedName name="_1_31_01">MonthlyOpStats</definedName>
    <definedName name="_1_31_02" localSheetId="0">MonthlyOpStats</definedName>
    <definedName name="_1_31_02" localSheetId="2">MonthlyOpStats</definedName>
    <definedName name="_1_31_02" localSheetId="1">MonthlyOpStats</definedName>
    <definedName name="_1_31_02">MonthlyOpStats</definedName>
    <definedName name="_12_31_05" localSheetId="0">MonthlyOpStats</definedName>
    <definedName name="_12_31_05" localSheetId="2">MonthlyOpStats</definedName>
    <definedName name="_12_31_05" localSheetId="1">MonthlyOpStats</definedName>
    <definedName name="_12_31_05">MonthlyOpStats</definedName>
    <definedName name="_A">#REF!</definedName>
    <definedName name="_A___0">#REF!</definedName>
    <definedName name="_B">#REF!</definedName>
    <definedName name="_B___0">#REF!</definedName>
    <definedName name="_C">#REF!</definedName>
    <definedName name="_C___0">#REF!</definedName>
    <definedName name="_Common_Size_Income_Statement" localSheetId="1" function="1" xlm="1">[1]Model!#REF!</definedName>
    <definedName name="_Common_Size_Income_Statement" function="1" xlm="1">[1]Model!#REF!</definedName>
    <definedName name="_ent1">[2]Inputs!$J$17</definedName>
    <definedName name="_ent10">[2]Inputs!$J$476</definedName>
    <definedName name="_ent11">[2]Inputs!$J$527</definedName>
    <definedName name="_ent12">[2]Inputs!$J$578</definedName>
    <definedName name="_ent13">[2]Inputs!$J$629</definedName>
    <definedName name="_ent14">[2]Inputs!$J$680</definedName>
    <definedName name="_ent15">[2]Inputs!$J$731</definedName>
    <definedName name="_ent2">[2]Inputs!$J$68</definedName>
    <definedName name="_ent3">[2]Inputs!$J$119</definedName>
    <definedName name="_ent4">[2]Inputs!$J$170</definedName>
    <definedName name="_ent5">[2]Inputs!$J$221</definedName>
    <definedName name="_ent6">[2]Inputs!$J$272</definedName>
    <definedName name="_ent7">[2]Inputs!$J$323</definedName>
    <definedName name="_ent8">[2]Inputs!$J$374</definedName>
    <definedName name="_ent9">[2]Inputs!$J$425</definedName>
    <definedName name="_eps1">[2]Inputs!$P$42</definedName>
    <definedName name="_eps10">[2]Inputs!$P$501</definedName>
    <definedName name="_eps11">[2]Inputs!$P$552</definedName>
    <definedName name="_eps12">[2]Inputs!$P$603</definedName>
    <definedName name="_eps13">[2]Inputs!$P$654</definedName>
    <definedName name="_eps14">[2]Inputs!$P$705</definedName>
    <definedName name="_eps15">[2]Inputs!$P$756</definedName>
    <definedName name="_eps2">[2]Inputs!$P$93</definedName>
    <definedName name="_eps3">[2]Inputs!$P$144</definedName>
    <definedName name="_eps4">[2]Inputs!$P$195</definedName>
    <definedName name="_eps5">[2]Inputs!$P$246</definedName>
    <definedName name="_eps6">[2]Inputs!$P$297</definedName>
    <definedName name="_eps7">[2]Inputs!$P$348</definedName>
    <definedName name="_eps8">[2]Inputs!$P$399</definedName>
    <definedName name="_eps9">[2]Inputs!$P$450</definedName>
    <definedName name="_Fill" localSheetId="1" hidden="1">[3]FxdChg!#REF!</definedName>
    <definedName name="_Fill" hidden="1">[3]FxdChg!#REF!</definedName>
    <definedName name="_xlnm._FilterDatabase" localSheetId="1" hidden="1">Model!$T$2:$AR$328</definedName>
    <definedName name="_fye1">[2]Inputs!$E$12</definedName>
    <definedName name="_fye10">[2]Inputs!$E$471</definedName>
    <definedName name="_fye11">[2]Inputs!$E$522</definedName>
    <definedName name="_fye12">[2]Inputs!$E$573</definedName>
    <definedName name="_fye13">[2]Inputs!$E$624</definedName>
    <definedName name="_fye14">[2]Inputs!$E$675</definedName>
    <definedName name="_fye15">[2]Inputs!$E$726</definedName>
    <definedName name="_fye2">[2]Inputs!$E$63</definedName>
    <definedName name="_fye3">[2]Inputs!$E$114</definedName>
    <definedName name="_fye4">[2]Inputs!$E$165</definedName>
    <definedName name="_fye5">[2]Inputs!$E$216</definedName>
    <definedName name="_fye6">[2]Inputs!$E$267</definedName>
    <definedName name="_fye7">[2]Inputs!$E$318</definedName>
    <definedName name="_fye8">[2]Inputs!$E$369</definedName>
    <definedName name="_fye9">[2]Inputs!$E$420</definedName>
    <definedName name="_GEI_Returns" localSheetId="1">[1]Model!#REF!</definedName>
    <definedName name="_GEI_Returns">[1]Model!#REF!</definedName>
    <definedName name="_L">#REF!</definedName>
    <definedName name="_L___0">#REF!</definedName>
    <definedName name="_mv1">[2]Inputs!$J$16</definedName>
    <definedName name="_mv10">[2]Inputs!$J$475</definedName>
    <definedName name="_mv11">[2]Inputs!$J$526</definedName>
    <definedName name="_mv12">[2]Inputs!$J$577</definedName>
    <definedName name="_mv13">[2]Inputs!$J$628</definedName>
    <definedName name="_mv14">[2]Inputs!$J$679</definedName>
    <definedName name="_mv15">[2]Inputs!$J$730</definedName>
    <definedName name="_mv2">[2]Inputs!$J$67</definedName>
    <definedName name="_mv3">[2]Inputs!$J$118</definedName>
    <definedName name="_mv4">[2]Inputs!$J$169</definedName>
    <definedName name="_mv5">[2]Inputs!$J$220</definedName>
    <definedName name="_mv6">[2]Inputs!$J$271</definedName>
    <definedName name="_mv7">[2]Inputs!$J$322</definedName>
    <definedName name="_mv8">[2]Inputs!$J$373</definedName>
    <definedName name="_mv9">[2]Inputs!$J$424</definedName>
    <definedName name="_Order1" hidden="1">0</definedName>
    <definedName name="_Order2" hidden="1">0</definedName>
    <definedName name="_P">#REF!</definedName>
    <definedName name="_P___0">#REF!</definedName>
    <definedName name="_Returns" localSheetId="1" function="1" xlm="1">[1]Model!#REF!</definedName>
    <definedName name="_Returns" function="1" xlm="1">[1]Model!#REF!</definedName>
    <definedName name="_Table2_Out" hidden="1">#REF!</definedName>
    <definedName name="_xleta.N" hidden="1" xlm="1">#NAME?</definedName>
    <definedName name="_xleta.T" hidden="1" xlm="1">#NAME?</definedName>
    <definedName name="_Y">#REF!</definedName>
    <definedName name="_Y___0">#REF!</definedName>
    <definedName name="Aa_Recovery">#REF!</definedName>
    <definedName name="AAA_DOCTOPS" hidden="1">"AAA_SET"</definedName>
    <definedName name="AAA_duser" hidden="1">"OFF"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ccrued_Comp_Sales" localSheetId="1">'[4]Tanning Assumptions'!#REF!</definedName>
    <definedName name="Accrued_Comp_Sales">'[4]Tanning Assumptions'!#REF!</definedName>
    <definedName name="acq">#REF!</definedName>
    <definedName name="acquiror">#REF!</definedName>
    <definedName name="AdSalesCash">#REF!</definedName>
    <definedName name="AdSalesTrade">#REF!</definedName>
    <definedName name="AdSalesWebsite">#REF!</definedName>
    <definedName name="AICORR" localSheetId="1">#REF!</definedName>
    <definedName name="AICORR">#REF!</definedName>
    <definedName name="AllBH">#REF!</definedName>
    <definedName name="allProjects">#REF!</definedName>
    <definedName name="amort" localSheetId="1">[5]Inputs!#REF!</definedName>
    <definedName name="amort">[5]Inputs!#REF!</definedName>
    <definedName name="AP_Sales" localSheetId="1">'[4]Tanning Assumptions'!#REF!</definedName>
    <definedName name="AP_Sales">'[4]Tanning Assumptions'!#REF!</definedName>
    <definedName name="AR_Other_Sales" localSheetId="1">'[4]Tanning Assumptions'!#REF!</definedName>
    <definedName name="AR_Other_Sales">'[4]Tanning Assumptions'!#REF!</definedName>
    <definedName name="AR_Trade_Sales" localSheetId="1">'[4]Tanning Assumptions'!#REF!</definedName>
    <definedName name="AR_Trade_Sales">'[4]Tanning Assumptions'!#REF!</definedName>
    <definedName name="As_Of_Date">[6]Selections!$C$2</definedName>
    <definedName name="asdfa">#REF!</definedName>
    <definedName name="AsOfDate">'[7]AUM YTD 2000'!$W$1</definedName>
    <definedName name="AssetPur" localSheetId="1" function="1" xlm="1">[1]Model!#REF!</definedName>
    <definedName name="AssetPur" function="1" xlm="1">[1]Model!#REF!</definedName>
    <definedName name="ASSUMPTIONS">#REF!</definedName>
    <definedName name="B_S" localSheetId="1">#REF!</definedName>
    <definedName name="B_S">#REF!</definedName>
    <definedName name="Baa_Recovery">#REF!</definedName>
    <definedName name="bal">#REF!</definedName>
    <definedName name="banner2">[8]CONTROL!$D$10</definedName>
    <definedName name="banner2___0">[8]CONTROL!$D$10</definedName>
    <definedName name="Base_Case">#REF!</definedName>
    <definedName name="Billable">#REF!</definedName>
    <definedName name="BillableHeadcount">#REF!</definedName>
    <definedName name="body">#REF!</definedName>
    <definedName name="BREAK_EVEN">#REF!</definedName>
    <definedName name="BREAK_EVEN___0">#REF!</definedName>
    <definedName name="Broadwing__Inc__Cincinnati_Bell">#REF!</definedName>
    <definedName name="brob">#REF!</definedName>
    <definedName name="bs" localSheetId="1">[5]Inputs!#REF!</definedName>
    <definedName name="bs">[5]Inputs!#REF!</definedName>
    <definedName name="case">#REF!</definedName>
    <definedName name="case1">[9]CONTROL!$A$12</definedName>
    <definedName name="case2">[9]CONTROL!$A$13</definedName>
    <definedName name="case3">[9]CONTROL!$A$14</definedName>
    <definedName name="CASH_FLOW" localSheetId="1">#REF!</definedName>
    <definedName name="CASH_FLOW">#REF!</definedName>
    <definedName name="Cash_Sales" localSheetId="1">'[4]Tanning Assumptions'!#REF!</definedName>
    <definedName name="Cash_Sales">'[4]Tanning Assumptions'!#REF!</definedName>
    <definedName name="CASHBUDGET" localSheetId="1">#REF!</definedName>
    <definedName name="CASHBUDGET">#REF!</definedName>
    <definedName name="CASHBUDGET___0" localSheetId="1">#REF!</definedName>
    <definedName name="CASHBUDGET___0">#REF!</definedName>
    <definedName name="CASHFLOWS_MONTH">#REF!</definedName>
    <definedName name="CASHFLOWS_MONTH___0">#REF!</definedName>
    <definedName name="CASHFLOWS_YEARS">#REF!</definedName>
    <definedName name="CASHFLOWS_YEARS___0">#REF!</definedName>
    <definedName name="cashint" localSheetId="1">#REF!</definedName>
    <definedName name="cashint">#REF!</definedName>
    <definedName name="cashint___0" localSheetId="1">#REF!</definedName>
    <definedName name="cashint___0">#REF!</definedName>
    <definedName name="CBHC">#REF!</definedName>
    <definedName name="cfl">#REF!</definedName>
    <definedName name="ChartDataRange">#REF!</definedName>
    <definedName name="CINC" localSheetId="1">#REF!</definedName>
    <definedName name="CINC">#REF!</definedName>
    <definedName name="CIQWBGuid" hidden="1">"fe0dfdb4-206b-4e5b-a01c-c2e94030ead8"</definedName>
    <definedName name="circ" localSheetId="1">[5]Inputs!#REF!</definedName>
    <definedName name="circ">[5]Inputs!#REF!</definedName>
    <definedName name="CircRev">#REF!</definedName>
    <definedName name="Class_3_Agg_Cash" localSheetId="1">[10]Revolver!#REF!</definedName>
    <definedName name="Class_3_Agg_Cash">[10]Revolver!#REF!</definedName>
    <definedName name="Class_3_Amt_BET" localSheetId="1">[10]Revolver!#REF!</definedName>
    <definedName name="Class_3_Amt_BET">[10]Revolver!#REF!</definedName>
    <definedName name="Class_A_Interest">#REF!</definedName>
    <definedName name="Class_A_Principal">#REF!</definedName>
    <definedName name="Class_B_Interest">#REF!</definedName>
    <definedName name="Class_B_Principal">#REF!</definedName>
    <definedName name="Class_C_Payment">#REF!</definedName>
    <definedName name="ClassABC">'[6]Debt Structure'!$AN$7</definedName>
    <definedName name="ClassABCD">'[6]Debt Structure'!$AN$8</definedName>
    <definedName name="ClassABCDE">'[6]Debt Structure'!$AN$9</definedName>
    <definedName name="Clients" localSheetId="1">#REF!</definedName>
    <definedName name="Clients">#REF!</definedName>
    <definedName name="closing_date">#REF!</definedName>
    <definedName name="closingttmrevenue">#REF!</definedName>
    <definedName name="CMBSIG" localSheetId="1">#REF!</definedName>
    <definedName name="CMBSIG">#REF!</definedName>
    <definedName name="Column_Lookup">'[11]MASTER DRIVER'!$C$5:$D$29</definedName>
    <definedName name="COMBINED_J_W__3_111403_JUP_IND_PROFORMA_List">#REF!</definedName>
    <definedName name="company">[12]CONTROL!$D$7</definedName>
    <definedName name="company___0">[8]CONTROL!$D$7</definedName>
    <definedName name="cons">#REF!</definedName>
    <definedName name="consultants">#REF!</definedName>
    <definedName name="contrib2" localSheetId="0" hidden="1">{"page1",#N/A,FALSE,"Temp";"page2",#N/A,FALSE,"Temp";"page3",#N/A,FALSE,"Temp";"page4",#N/A,FALSE,"Temp";"page5",#N/A,FALSE,"Temp";"page6",#N/A,FALSE,"Temp"}</definedName>
    <definedName name="contrib2" localSheetId="2" hidden="1">{"page1",#N/A,FALSE,"Temp";"page2",#N/A,FALSE,"Temp";"page3",#N/A,FALSE,"Temp";"page4",#N/A,FALSE,"Temp";"page5",#N/A,FALSE,"Temp";"page6",#N/A,FALSE,"Temp"}</definedName>
    <definedName name="contrib2" hidden="1">{"page1",#N/A,FALSE,"Temp";"page2",#N/A,FALSE,"Temp";"page3",#N/A,FALSE,"Temp";"page4",#N/A,FALSE,"Temp";"page5",#N/A,FALSE,"Temp";"page6",#N/A,FALSE,"Temp"}</definedName>
    <definedName name="contrib3" localSheetId="0" hidden="1">{"page1",#N/A,FALSE,"Temp";"page2",#N/A,FALSE,"Temp";"page3",#N/A,FALSE,"Temp";"page4",#N/A,FALSE,"Temp";"page5",#N/A,FALSE,"Temp";"page6",#N/A,FALSE,"Temp"}</definedName>
    <definedName name="contrib3" localSheetId="2" hidden="1">{"page1",#N/A,FALSE,"Temp";"page2",#N/A,FALSE,"Temp";"page3",#N/A,FALSE,"Temp";"page4",#N/A,FALSE,"Temp";"page5",#N/A,FALSE,"Temp";"page6",#N/A,FALSE,"Temp"}</definedName>
    <definedName name="contrib3" hidden="1">{"page1",#N/A,FALSE,"Temp";"page2",#N/A,FALSE,"Temp";"page3",#N/A,FALSE,"Temp";"page4",#N/A,FALSE,"Temp";"page5",#N/A,FALSE,"Temp";"page6",#N/A,FALSE,"Temp"}</definedName>
    <definedName name="convertamt">#REF!</definedName>
    <definedName name="convertamt___0">#REF!</definedName>
    <definedName name="convertper">#REF!</definedName>
    <definedName name="convertper___0">#REF!</definedName>
    <definedName name="CorpName">'[13]MASTER DRIVERS'!$A$1</definedName>
    <definedName name="COSTREPORT">#REF!</definedName>
    <definedName name="COSTREPORT___0">#REF!</definedName>
    <definedName name="counter" localSheetId="1">'[14]Portfolio Input'!#REF!</definedName>
    <definedName name="counter">'[14]Portfolio Input'!#REF!</definedName>
    <definedName name="counter2" localSheetId="1">'[14]Portfolio Input'!#REF!</definedName>
    <definedName name="counter2">'[14]Portfolio Input'!#REF!</definedName>
    <definedName name="Coupon">[15]Inputs!$J$30</definedName>
    <definedName name="CSEnd">#REF!</definedName>
    <definedName name="CSHO" localSheetId="1">#REF!</definedName>
    <definedName name="CSHO">#REF!</definedName>
    <definedName name="CSHPRI" localSheetId="1">#REF!</definedName>
    <definedName name="CSHPRI">#REF!</definedName>
    <definedName name="current1">[2]Inputs!$E$21</definedName>
    <definedName name="current10">[2]Inputs!$E$480</definedName>
    <definedName name="current11">[2]Inputs!$E$531</definedName>
    <definedName name="current12">[2]Inputs!$E$582</definedName>
    <definedName name="current13">[2]Inputs!$E$633</definedName>
    <definedName name="current14">[2]Inputs!$E$684</definedName>
    <definedName name="current15">[2]Inputs!$E$735</definedName>
    <definedName name="current2">[2]Inputs!$E$72</definedName>
    <definedName name="current3">[2]Inputs!$E$123</definedName>
    <definedName name="current4">[2]Inputs!$E$174</definedName>
    <definedName name="current5">[2]Inputs!$E$225</definedName>
    <definedName name="current6">[2]Inputs!$E$276</definedName>
    <definedName name="current7">[2]Inputs!$E$327</definedName>
    <definedName name="current8">[2]Inputs!$E$378</definedName>
    <definedName name="current9">[2]Inputs!$E$429</definedName>
    <definedName name="CustomPubSales">#REF!</definedName>
    <definedName name="Date" localSheetId="1">[16]Comps!#REF!</definedName>
    <definedName name="Date">[16]Comps!#REF!</definedName>
    <definedName name="Date_OC1">OFFSET([6]OCTrends!$B$2,0,0,COUNTA([6]OCTrends!$B$1:$B$65536)-1)</definedName>
    <definedName name="Date_OC2">OFFSET([6]OCTrends!$G$2,0,0,COUNTA([6]OCTrends!$G$1:$G$65536)-1)</definedName>
    <definedName name="Date_OC3">OFFSET([6]OCTrends!$L$2,0,0,COUNTA([6]OCTrends!$L$1:$L$65536)-1)</definedName>
    <definedName name="debtsched" localSheetId="1">[5]Inputs!#REF!</definedName>
    <definedName name="debtsched">[5]Inputs!#REF!</definedName>
    <definedName name="decconsultants">#REF!</definedName>
    <definedName name="decemberemployees">#REF!</definedName>
    <definedName name="decemployees">#REF!</definedName>
    <definedName name="default">#REF!</definedName>
    <definedName name="Default_Scenario">#REF!</definedName>
    <definedName name="Default_Table" localSheetId="1">#REF!</definedName>
    <definedName name="Default_Table">#REF!</definedName>
    <definedName name="Default_Timing">#REF!</definedName>
    <definedName name="depsched" localSheetId="1">[5]Inputs!#REF!</definedName>
    <definedName name="depsched">[5]Inputs!#REF!</definedName>
    <definedName name="DivActual">OFFSET([6]DivTrends!$C$2,0,0,COUNTA([6]DivTrends!$C$1:$C$65536)-1)</definedName>
    <definedName name="DivCovenant">OFFSET([6]DivTrends!$D$2,0,0,COUNTA([6]DivTrends!$D$1:$D$65536)-1)</definedName>
    <definedName name="DivDate">OFFSET([6]DivTrends!$B$2,0,0,COUNTA([6]DivTrends!$B$1:$B$65536)-1)</definedName>
    <definedName name="Diversity">'[7]Actual vs Covenant'!$P$41:$Q$48</definedName>
    <definedName name="DiversityScore">#REF!</definedName>
    <definedName name="earnout">#REF!</definedName>
    <definedName name="earnout___0">#REF!</definedName>
    <definedName name="EBIT" localSheetId="2">[17]Model!#REF!</definedName>
    <definedName name="EBIT">Model!#REF!</definedName>
    <definedName name="EBITDA">#REF!</definedName>
    <definedName name="ebitda1">[2]Inputs!$P$46</definedName>
    <definedName name="ebitda10">[2]Inputs!$P$505</definedName>
    <definedName name="ebitda11">[2]Inputs!$P$556</definedName>
    <definedName name="ebitda12">[2]Inputs!$P$607</definedName>
    <definedName name="ebitda13">[2]Inputs!$P$658</definedName>
    <definedName name="ebitda14">[2]Inputs!$P$709</definedName>
    <definedName name="ebitda15">[2]Inputs!$P$760</definedName>
    <definedName name="ebitda2">[2]Inputs!$P$97</definedName>
    <definedName name="ebitda3">[2]Inputs!$P$148</definedName>
    <definedName name="ebitda4">[2]Inputs!$P$199</definedName>
    <definedName name="ebitda5">[2]Inputs!$P$250</definedName>
    <definedName name="ebitda6">[2]Inputs!$P$301</definedName>
    <definedName name="ebitda7">[2]Inputs!$P$352</definedName>
    <definedName name="ebitda8">[2]Inputs!$P$403</definedName>
    <definedName name="ebitda9">[2]Inputs!$P$454</definedName>
    <definedName name="effective_date">#REF!</definedName>
    <definedName name="ELC1_Top3">[7]TOP10!$D$3</definedName>
    <definedName name="ELC1_Top4">[7]TOP10!$D$8</definedName>
    <definedName name="ELC1FitchRatingChartData">[7]ELC1!$G$2:$H$11</definedName>
    <definedName name="ELC1FitchRatingChartSerial1">[7]ELC1!$H$2:$H$11</definedName>
    <definedName name="ELC1FitchRatingChartXScale">[7]ELC1!$G$2:$G$11</definedName>
    <definedName name="ELC1MoodyRatingChartData">[7]ELC1!$A$2:$B$14</definedName>
    <definedName name="ELC1MoodyRatingChartSerial1">[7]ELC1!$B$2:$B$14</definedName>
    <definedName name="ELC1MoodyRatingChartXScale">[7]ELC1!$A$2:$A$14</definedName>
    <definedName name="ELC1SPRatingChartData">[7]ELC1!$D$2:$E$14</definedName>
    <definedName name="ELC1SPRatingChartSerial1">[7]ELC1!$E$2:$E$14</definedName>
    <definedName name="ELC1SPRatingChartXScale">[7]ELC1!$D$2:$D$14</definedName>
    <definedName name="ELC2_Top3">[7]TOP10!$G$3</definedName>
    <definedName name="ELC2_Top4">[7]TOP10!$G$8</definedName>
    <definedName name="ELC2FitchRatingChartData">[7]ELC2!$G$2:$H$12</definedName>
    <definedName name="ELC2FitchRatingChartSerial1">[7]ELC2!$H$2:$H$12</definedName>
    <definedName name="ELC2FitchRatingChartXScale">[7]ELC2!$G$2:$G$12</definedName>
    <definedName name="ELC2MoodyRatingChartData">[7]ELC2!$A$2:$B$15</definedName>
    <definedName name="ELC2MoodyRatingChartSerial1">[7]ELC2!$B$2:$B$15</definedName>
    <definedName name="ELC2MoodyRatingChartXScale">[7]ELC2!$A$2:$A$15</definedName>
    <definedName name="ELC2SPRatingChartData">[7]ELC2!$D$2:$E$15</definedName>
    <definedName name="ELC2SPRatingChartSerial1">[7]ELC2!$E$2:$E$15</definedName>
    <definedName name="ELC2SPRatingChartXScale">[7]ELC2!$D$2:$D$15</definedName>
    <definedName name="ELC3_Top3">[7]TOP10!$J$3</definedName>
    <definedName name="ELC3_Top4">[7]TOP10!$J$8</definedName>
    <definedName name="ELC3FitchRatingChartData">[7]ELC3!$G$2:$H$14</definedName>
    <definedName name="ELC3FitchRatingChartSerial1">[7]ELC3!$H$2:$H$14</definedName>
    <definedName name="ELC3FitchRatingChartXScale">[7]ELC3!$G$2:$G$14</definedName>
    <definedName name="ELC3MoodyRatingChartData">[7]ELC3!$A$2:$B$15</definedName>
    <definedName name="ELC3MoodyRatingChartSerial1">[7]ELC3!$B$2:$B$15</definedName>
    <definedName name="ELC3MoodyRatingChartXScale">[7]ELC3!$A$2:$A$15</definedName>
    <definedName name="ELC3SPRatingChartData">[7]ELC3!$D$2:$E$16</definedName>
    <definedName name="ELC3SPRatingChartSerial1">[7]ELC3!$E$2:$E$16</definedName>
    <definedName name="ELC3SPRatingChartXScale">[7]ELC3!$D$2:$D$16</definedName>
    <definedName name="ELC4_Top3">[7]TOP10!$M$3</definedName>
    <definedName name="ELC4_Top4">[7]TOP10!$M$8</definedName>
    <definedName name="ELC4FitchRatingChartData">[7]ELC4!$G$2:$H$8</definedName>
    <definedName name="ELC4FitchRatingChartSerial1">[7]ELC4!$H$2:$H$8</definedName>
    <definedName name="ELC4FitchRatingChartXScale">[7]ELC4!$G$2:$G$8</definedName>
    <definedName name="ELC4MoodyRatingChartData">[7]ELC4!$A$2:$B$13</definedName>
    <definedName name="ELC4MoodyRatingChartSerial1">[7]ELC4!$B$2:$B$13</definedName>
    <definedName name="ELC4MoodyRatingChartXScale">[7]ELC4!$A$2:$A$13</definedName>
    <definedName name="ELC4SPRatingChartData">[7]ELC4!$D$2:$E$14</definedName>
    <definedName name="ELC4SPRatingChartSerial1">[7]ELC4!$E$2:$E$14</definedName>
    <definedName name="ELC4SPRatingChartXScale">[7]ELC4!$D$2:$D$14</definedName>
    <definedName name="ELC5_Top3">[7]TOP10!$P$3</definedName>
    <definedName name="ELC5_Top4">[7]TOP10!$P$8</definedName>
    <definedName name="ELC5FitchRatingChartData">[7]ELC5!$G$2:$H$9</definedName>
    <definedName name="ELC5FitchRatingChartSerial1">[7]ELC5!$H$2:$H$9</definedName>
    <definedName name="ELC5FitchRatingChartXScale">[7]ELC5!$G$2:$G$9</definedName>
    <definedName name="ELC5MoodyRatingChartData">[7]ELC5!$A$2:$B$14</definedName>
    <definedName name="ELC5MoodyRatingChartSerial1">[7]ELC5!$B$2:$B$14</definedName>
    <definedName name="ELC5MoodyRatingChartXScale">[7]ELC5!$A$2:$A$14</definedName>
    <definedName name="ELC5SPRatingChartData">[7]ELC5!$D$2:$E$14</definedName>
    <definedName name="ELC5SPRatingChartSerial1">[7]ELC5!$E$2:$E$14</definedName>
    <definedName name="ELC5SPRatingChartXScale">[7]ELC5!$D$2:$D$14</definedName>
    <definedName name="employees">#REF!</definedName>
    <definedName name="EndDay">[6]Selections!$R$3</definedName>
    <definedName name="EndMonth">[6]Selections!$R$2</definedName>
    <definedName name="EndYear">[6]Selections!$R$1</definedName>
    <definedName name="ePrint" localSheetId="1">[18]Consolidated!#REF!</definedName>
    <definedName name="ePrint">[18]Consolidated!#REF!</definedName>
    <definedName name="EQUITY">'[9]S&amp;U'!$E$12</definedName>
    <definedName name="equityamt">#REF!</definedName>
    <definedName name="equityamt___0">#REF!</definedName>
    <definedName name="equityper">#REF!</definedName>
    <definedName name="equityper___0">#REF!</definedName>
    <definedName name="ev.Calculation" hidden="1">-4105</definedName>
    <definedName name="ev.Initialized" hidden="1">FALSE</definedName>
    <definedName name="exe">#REF!</definedName>
    <definedName name="fianal">[19]Preliminary!$A$1:$D$65</definedName>
    <definedName name="filename">[6]Selections!$U$2</definedName>
    <definedName name="Final_Number">#REF!</definedName>
    <definedName name="FinanceRev">#REF!</definedName>
    <definedName name="FinanceRev2">#REF!</definedName>
    <definedName name="firstHourDate">#REF!</definedName>
    <definedName name="firstProject">#REF!</definedName>
    <definedName name="Flat_Swap">#REF!</definedName>
    <definedName name="FSoPacific" localSheetId="0" hidden="1">{"BS",#N/A,FALSE,"USA"}</definedName>
    <definedName name="FSoPacific" localSheetId="2" hidden="1">{"BS",#N/A,FALSE,"USA"}</definedName>
    <definedName name="FSoPacific" hidden="1">{"BS",#N/A,FALSE,"USA"}</definedName>
    <definedName name="Fund">[6]Selections!$A$1</definedName>
    <definedName name="Fwd_Curve">#REF!</definedName>
    <definedName name="FYEMarker">#REF!</definedName>
    <definedName name="FYEMonth">#REF!</definedName>
    <definedName name="G_A_SUMMARY">#REF!</definedName>
    <definedName name="group_quarterly">#REF!</definedName>
    <definedName name="Header1">[20]_01_05_v_Wicks_xls__01_05_v_Wic!$N$1</definedName>
    <definedName name="high1">[2]Inputs!$E$23</definedName>
    <definedName name="high10">[2]Inputs!$E$482</definedName>
    <definedName name="high11">[2]Inputs!$E$533</definedName>
    <definedName name="high12">[2]Inputs!$E$584</definedName>
    <definedName name="high13">[2]Inputs!$E$635</definedName>
    <definedName name="high14">[2]Inputs!$E$686</definedName>
    <definedName name="high15">[2]Inputs!$E$737</definedName>
    <definedName name="high2">[2]Inputs!$E$74</definedName>
    <definedName name="high3">[2]Inputs!$E$125</definedName>
    <definedName name="high4">[2]Inputs!$E$176</definedName>
    <definedName name="high5">[2]Inputs!$E$227</definedName>
    <definedName name="high6">[2]Inputs!$E$278</definedName>
    <definedName name="high7">[2]Inputs!$E$329</definedName>
    <definedName name="high8">[2]Inputs!$E$380</definedName>
    <definedName name="high9">[2]Inputs!$E$431</definedName>
    <definedName name="hl" localSheetId="1">'[21]LBO Summary'!#REF!</definedName>
    <definedName name="hl">'[21]LBO Summary'!#REF!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IC1Actual">OFFSET([6]ICTrends!$C$2,0,0,COUNTA([6]ICTrends!$C$1:$C$65536)-1)</definedName>
    <definedName name="IC1ChartTitle">[6]ICTrends!$W$1</definedName>
    <definedName name="IC1Covenant">OFFSET([6]ICTrends!$D$2,0,0,COUNTA([6]ICTrends!$D$1:$D$65536)-1)</definedName>
    <definedName name="IC1Date">OFFSET([6]ICTrends!$B$2,0,0,COUNTA([6]ICTrends!$B$1:$B$65536)-1)</definedName>
    <definedName name="IC2Actual">OFFSET([6]ICTrends!$H$2,0,0,COUNTA([6]ICTrends!$H$1:$H$65536)-1)</definedName>
    <definedName name="IC2Covenant">OFFSET([6]ICTrends!$I$2,0,0,COUNTA([6]ICTrends!$I$1:$I$65536)-1)</definedName>
    <definedName name="IC2Date">OFFSET([6]ICTrends!$G$2,0,0,COUNTA([6]ICTrends!$G$1:$G$65536)-1)</definedName>
    <definedName name="IC3Actual">OFFSET([6]ICTrends!$M$2,0,0,COUNTA([6]ICTrends!$M$1:$M$65536)-1)</definedName>
    <definedName name="IC3Covenant">OFFSET([6]ICTrends!$N$2,0,0,COUNTA([6]ICTrends!$N$1:$N$65536)-1)</definedName>
    <definedName name="IC3Date">OFFSET([6]ICTrends!$L$2,0,0,COUNTA([6]ICTrends!$L$1:$L$65536)-1)</definedName>
    <definedName name="IC4Actual">OFFSET([6]ICTrends!$R$2,0,0,COUNTA([6]ICTrends!$R$1:$R$65536)-1)</definedName>
    <definedName name="IC4Covenant">OFFSET([6]ICTrends!$S$2,0,0,COUNTA([6]ICTrends!$S$1:$S$65536)-1)</definedName>
    <definedName name="IC4Date">OFFSET([6]ICTrends!$Q$2,0,0,COUNTA([6]ICTrends!$Q$1:$Q$65536)-1)</definedName>
    <definedName name="inc">#REF!</definedName>
    <definedName name="incsyntog">#REF!</definedName>
    <definedName name="incsyntog___0">#REF!</definedName>
    <definedName name="inputs">#REF!</definedName>
    <definedName name="IQ_AE_BR" hidden="1">"c10"</definedName>
    <definedName name="IQ_AP_BR" hidden="1">"c34"</definedName>
    <definedName name="IQ_AR_BR" hidden="1">"c41"</definedName>
    <definedName name="IQ_ASSET_WRITEDOWN_BR" hidden="1">"c50"</definedName>
    <definedName name="IQ_ASSET_WRITEDOWN_CF_BR" hidden="1">"c53"</definedName>
    <definedName name="IQ_AVG_PRICE_TARGET" hidden="1">"c82"</definedName>
    <definedName name="IQ_BONDRATING_FITCH" hidden="1">"IQ_BONDRATING_FITCH"</definedName>
    <definedName name="IQ_BONDRATING_SP" hidden="1">"IQ_BONDRATING_SP"</definedName>
    <definedName name="IQ_BOOK_VALUE" hidden="1">"IQ_BOOK_VALUE"</definedName>
    <definedName name="IQ_CAPEX_BR" hidden="1">"c111"</definedName>
    <definedName name="IQ_CH">110000</definedName>
    <definedName name="IQ_CHANGE_AP_BR" hidden="1">"c135"</definedName>
    <definedName name="IQ_CHANGE_AR_BR" hidden="1">"c142"</definedName>
    <definedName name="IQ_CHANGE_OTHER_NET_OPER_ASSETS_BR" hidden="1">"c3595"</definedName>
    <definedName name="IQ_CHANGE_OTHER_WORK_CAP_BR" hidden="1">"c154"</definedName>
    <definedName name="IQ_COMMERCIAL_DOM" hidden="1">"c177"</definedName>
    <definedName name="IQ_COMMERCIAL_MORT" hidden="1">"c179"</definedName>
    <definedName name="IQ_COMMON_APIC_BR" hidden="1">"c185"</definedName>
    <definedName name="IQ_COMMON_ISSUED_BR" hidden="1">"c199"</definedName>
    <definedName name="IQ_COMMON_REP_BR" hidden="1">"c208"</definedName>
    <definedName name="IQ_CONV_RATE" hidden="1">"c2192"</definedName>
    <definedName name="IQ_CQ">5000</definedName>
    <definedName name="IQ_CURRENCY_GAIN_BR" hidden="1">"c236"</definedName>
    <definedName name="IQ_CURRENT_PORT_DEBT_BR" hidden="1">"c1567"</definedName>
    <definedName name="IQ_CY">10000</definedName>
    <definedName name="IQ_DA_BR" hidden="1">"c248"</definedName>
    <definedName name="IQ_DA_CF_BR" hidden="1">"c251"</definedName>
    <definedName name="IQ_DA_SUPPL_BR" hidden="1">"c260"</definedName>
    <definedName name="IQ_DA_SUPPL_CF_BR" hidden="1">"c263"</definedName>
    <definedName name="IQ_DAILY">500000</definedName>
    <definedName name="IQ_DEF_AMORT_BR" hidden="1">"c278"</definedName>
    <definedName name="IQ_DEF_CHARGES_BR" hidden="1">"c288"</definedName>
    <definedName name="IQ_DEF_CHARGES_LT_BR" hidden="1">"c294"</definedName>
    <definedName name="IQ_DEF_TAX_ASSET_LT_BR" hidden="1">"c304"</definedName>
    <definedName name="IQ_DEF_TAX_LIAB_LT_BR" hidden="1">"c315"</definedName>
    <definedName name="IQ_DNTM" hidden="1">700000</definedName>
    <definedName name="IQ_EBIT_10K" hidden="1">"IQ_EBIT_10K"</definedName>
    <definedName name="IQ_EBIT_10Q" hidden="1">"IQ_EBIT_10Q"</definedName>
    <definedName name="IQ_EBIT_10Q1" hidden="1">"IQ_EBIT_10Q1"</definedName>
    <definedName name="IQ_EBIT_GROWTH_1" hidden="1">"IQ_EBIT_GROWTH_1"</definedName>
    <definedName name="IQ_EBIT_GROWTH_2" hidden="1">"IQ_EBIT_GROWTH_2"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GROWTH_1" hidden="1">"IQ_EBITDA_GROWTH_1"</definedName>
    <definedName name="IQ_EBITDA_GROWTH_2" hidden="1">"IQ_EBITDA_GROWTH_2"</definedName>
    <definedName name="IQ_EBT_BR" hidden="1">"c378"</definedName>
    <definedName name="IQ_EBT_EXCL_BR" hidden="1">"c381"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EST_1" hidden="1">"IQ_EPS_EST_1"</definedName>
    <definedName name="IQ_EST_EPS_SURPRISE" hidden="1">"c1635"</definedName>
    <definedName name="IQ_EV_OVER_REVENUE_EST" hidden="1">"IQ_EV_OVER_REVENUE_EST"</definedName>
    <definedName name="IQ_EV_OVER_REVENUE_EST_1" hidden="1">"IQ_EV_OVER_REVENUE_EST_1"</definedName>
    <definedName name="IQ_EXTRA_ACC_ITEMS_BR" hidden="1">"c412"</definedName>
    <definedName name="IQ_FH">100000</definedName>
    <definedName name="IQ_FQ">500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1" hidden="1">"LTM"</definedName>
    <definedName name="IQ_FY">1000</definedName>
    <definedName name="IQ_FY_DATE" hidden="1">"IQ_FY_DATE"</definedName>
    <definedName name="IQ_GAIN_ASSETS_BR" hidden="1">"c454"</definedName>
    <definedName name="IQ_GAIN_ASSETS_CF_BR" hidden="1">"c457"</definedName>
    <definedName name="IQ_GAIN_ASSETS_REV_BR" hidden="1">"c474"</definedName>
    <definedName name="IQ_GAIN_INVEST_BR" hidden="1">"c1464"</definedName>
    <definedName name="IQ_GAIN_INVEST_CF_BR" hidden="1">"c482"</definedName>
    <definedName name="IQ_GAIN_INVEST_REV_BR" hidden="1">"c496"</definedName>
    <definedName name="IQ_GW_AMORT_BR" hidden="1">"c532"</definedName>
    <definedName name="IQ_GW_INTAN_AMORT_BR" hidden="1">"c1470"</definedName>
    <definedName name="IQ_GW_INTAN_AMORT_CF_BR" hidden="1">"c1473"</definedName>
    <definedName name="IQ_INC_EQUITY_BR" hidden="1">"c550"</definedName>
    <definedName name="IQ_INS_SETTLE_BR" hidden="1">"c572"</definedName>
    <definedName name="IQ_INT_EXP_BR" hidden="1">"c586"</definedName>
    <definedName name="IQ_INT_INC_BR" hidden="1">"c593"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VEST_LOANS_CF_BR" hidden="1">"c630"</definedName>
    <definedName name="IQ_INVEST_SECURITY_CF_BR" hidden="1">"c639"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TEST" hidden="1">"1"</definedName>
    <definedName name="IQ_LATESTK" hidden="1">1000</definedName>
    <definedName name="IQ_LATESTKFR" hidden="1">"50"</definedName>
    <definedName name="IQ_LATESTQ" hidden="1">500</definedName>
    <definedName name="IQ_LATESTQFR" hidden="1">"100"</definedName>
    <definedName name="IQ_LEGAL_SETTLE_BR" hidden="1">"c649"</definedName>
    <definedName name="IQ_LOANS_CF_BR" hidden="1">"c661"</definedName>
    <definedName name="IQ_LT_DEBT_BR" hidden="1">"c676"</definedName>
    <definedName name="IQ_LT_DEBT_ISSUED_BR" hidden="1">"c683"</definedName>
    <definedName name="IQ_LT_DEBT_REPAID_BR" hidden="1">"c691"</definedName>
    <definedName name="IQ_LT_INVEST_BR" hidden="1">"c698"</definedName>
    <definedName name="IQ_LTM">2000</definedName>
    <definedName name="IQ_LTM_DATE" hidden="1">"IQ_LTM_DATE"</definedName>
    <definedName name="IQ_LTMMONTH" hidden="1">120000</definedName>
    <definedName name="IQ_MERGER_BR" hidden="1">"c715"</definedName>
    <definedName name="IQ_MERGER_RESTRUCTURE_BR" hidden="1">"c721"</definedName>
    <definedName name="IQ_MINORITY_INTEREST_BR" hidden="1">"c729"</definedName>
    <definedName name="IQ_MONTH">15000</definedName>
    <definedName name="IQ_MTD" hidden="1">800000</definedName>
    <definedName name="IQ_NAMES_REVISION_DATE_" hidden="1">44229.1709606481</definedName>
    <definedName name="IQ_NET_DEBT_ISSUED_BR" hidden="1">"c753"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GROWTH_1" hidden="1">"IQ_NET_INC_GROWTH_1"</definedName>
    <definedName name="IQ_NET_INC_GROWTH_2" hidden="1">"IQ_NET_INC_GROWTH_2"</definedName>
    <definedName name="IQ_NET_INT_INC_BR" hidden="1">"c765"</definedName>
    <definedName name="IQ_NTM">6000</definedName>
    <definedName name="IQ_OG_TOTAL_OIL_PRODUCTON" hidden="1">"c2059"</definedName>
    <definedName name="IQ_OPER_INC_BR" hidden="1">"c850"</definedName>
    <definedName name="IQ_OTHER_ASSETS_BR" hidden="1">"c862"</definedName>
    <definedName name="IQ_OTHER_CA_SUPPL_BR" hidden="1">"c871"</definedName>
    <definedName name="IQ_OTHER_CL_SUPPL_BR" hidden="1">"c880"</definedName>
    <definedName name="IQ_OTHER_EQUITY_BR" hidden="1">"c888"</definedName>
    <definedName name="IQ_OTHER_FINANCE_ACT_BR" hidden="1">"c895"</definedName>
    <definedName name="IQ_OTHER_FINANCE_ACT_SUPPL_BR" hidden="1">"c901"</definedName>
    <definedName name="IQ_OTHER_INTAN_BR" hidden="1">"c909"</definedName>
    <definedName name="IQ_OTHER_INVEST_ACT_BR" hidden="1">"c918"</definedName>
    <definedName name="IQ_OTHER_INVEST_ACT_SUPPL_BR" hidden="1">"c924"</definedName>
    <definedName name="IQ_OTHER_LIAB_BR" hidden="1">"c932"</definedName>
    <definedName name="IQ_OTHER_LIAB_LT_BR" hidden="1">"c937"</definedName>
    <definedName name="IQ_OTHER_LT_ASSETS_BR" hidden="1">"c948"</definedName>
    <definedName name="IQ_OTHER_NON_OPER_EXP_BR" hidden="1">"c957"</definedName>
    <definedName name="IQ_OTHER_NON_OPER_EXP_SUPPL_BR" hidden="1">"c962"</definedName>
    <definedName name="IQ_OTHER_OPER_ACT_BR" hidden="1">"c985"</definedName>
    <definedName name="IQ_OTHER_OPER_BR" hidden="1">"c990"</definedName>
    <definedName name="IQ_OTHER_OPER_SUPPL_BR" hidden="1">"c994"</definedName>
    <definedName name="IQ_OTHER_OPER_TOT_BR" hidden="1">"c1000"</definedName>
    <definedName name="IQ_OTHER_REV_BR" hidden="1">"c1011"</definedName>
    <definedName name="IQ_OTHER_REV_SUPPL_BR" hidden="1">"c1016"</definedName>
    <definedName name="IQ_OTHER_UNUSUAL_BR" hidden="1">"c1561"</definedName>
    <definedName name="IQ_OTHER_UNUSUAL_SUPPL_BR" hidden="1">"c1496"</definedName>
    <definedName name="IQ_PC_WRITTEN" hidden="1">"c1027"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REF_ISSUED_BR" hidden="1">"c1047"</definedName>
    <definedName name="IQ_PREF_OTHER_BR" hidden="1">"c1055"</definedName>
    <definedName name="IQ_PREF_REP_BR" hidden="1">"c1062"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ICE_OVER_EPS_EST" hidden="1">"IQ_PRICE_OVER_EPS_EST"</definedName>
    <definedName name="IQ_PRICE_OVER_EPS_EST_1" hidden="1">"IQ_PRICE_OVER_EPS_EST_1"</definedName>
    <definedName name="IQ_PRICEDATETIME" hidden="1">"IQ_PRICEDATETIME"</definedName>
    <definedName name="IQ_QTD" hidden="1">750000</definedName>
    <definedName name="IQ_RESIDENTIAL_LOANS" hidden="1">"c1102"</definedName>
    <definedName name="IQ_RESTRUCTURE_BR" hidden="1">"c1106"</definedName>
    <definedName name="IQ_RETURN_ASSETS_BROK" hidden="1">"c1115"</definedName>
    <definedName name="IQ_RETURN_EQUITY_BROK" hidden="1">"c1120"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EST_1" hidden="1">"IQ_REVENUE_EST_1"</definedName>
    <definedName name="IQ_REVENUE_GROWTH_1" hidden="1">"IQ_REVENUE_GROWTH_1"</definedName>
    <definedName name="IQ_REVENUE_GROWTH_2" hidden="1">"IQ_REVENUE_GROWTH_2"</definedName>
    <definedName name="IQ_SALE_INTAN_CF_BR" hidden="1">"c1133"</definedName>
    <definedName name="IQ_SALE_PPE_CF_BR" hidden="1">"c1139"</definedName>
    <definedName name="IQ_SALE_REAL_ESTATE_CF_BR" hidden="1">"c1145"</definedName>
    <definedName name="IQ_SHAREOUTSTANDING" hidden="1">"c1347"</definedName>
    <definedName name="IQ_SPECIAL_DIV_CF_BR" hidden="1">"c1171"</definedName>
    <definedName name="IQ_ST_DEBT_BR" hidden="1">"c1178"</definedName>
    <definedName name="IQ_ST_DEBT_ISSUED_BR" hidden="1">"c1183"</definedName>
    <definedName name="IQ_ST_DEBT_REPAID_BR" hidden="1">"c1191"</definedName>
    <definedName name="IQ_TODAY" hidden="1">0</definedName>
    <definedName name="IQ_TOTAL_AR_BR" hidden="1">"c1231"</definedName>
    <definedName name="IQ_TOTAL_DEBT_ISSUED_BR" hidden="1">"c1253"</definedName>
    <definedName name="IQ_TOTAL_DEBT_REPAID_BR" hidden="1">"c1260"</definedName>
    <definedName name="IQ_TOTAL_LIAB_BR" hidden="1">"c1278"</definedName>
    <definedName name="IQ_TOTAL_OPER_EXP_BR" hidden="1">"c1284"</definedName>
    <definedName name="IQ_TOTAL_PENSION_OBLIGATION" hidden="1">"c1292"</definedName>
    <definedName name="IQ_TOTAL_REV_BR" hidden="1">"c1303"</definedName>
    <definedName name="IQ_TREASURY_OTHER_EQUITY_BR" hidden="1">"c1314"</definedName>
    <definedName name="IQ_UNEARN_REV_CURRENT_BR" hidden="1">"c1324"</definedName>
    <definedName name="IQ_WEEK">50000</definedName>
    <definedName name="IQ_YTD">3000</definedName>
    <definedName name="IQ_YTDMONTH" hidden="1">130000</definedName>
    <definedName name="IsColHidden" hidden="1">FALSE</definedName>
    <definedName name="IsLTMColHidden" hidden="1">FALSE</definedName>
    <definedName name="Item">#REF!</definedName>
    <definedName name="K2_WBEVMODE" hidden="1">-1</definedName>
    <definedName name="lastCol">#REF!</definedName>
    <definedName name="latest1">[2]Inputs!$E$13</definedName>
    <definedName name="latest10">[2]Inputs!$E$472</definedName>
    <definedName name="latest11">[2]Inputs!$E$523</definedName>
    <definedName name="latest12">[2]Inputs!$E$574</definedName>
    <definedName name="latest13">[2]Inputs!$E$625</definedName>
    <definedName name="latest14">[2]Inputs!$E$676</definedName>
    <definedName name="latest15">[2]Inputs!$E$727</definedName>
    <definedName name="latest2">[2]Inputs!$E$64</definedName>
    <definedName name="latest3">[2]Inputs!$E$115</definedName>
    <definedName name="latest4">[2]Inputs!$E$166</definedName>
    <definedName name="latest5">[2]Inputs!$E$217</definedName>
    <definedName name="latest6">[2]Inputs!$E$268</definedName>
    <definedName name="latest7">[2]Inputs!$E$319</definedName>
    <definedName name="latest8">[2]Inputs!$E$370</definedName>
    <definedName name="latest9">[2]Inputs!$E$421</definedName>
    <definedName name="LBO" localSheetId="1">'[9]S&amp;U'!#REF!</definedName>
    <definedName name="LBO">'[9]S&amp;U'!#REF!</definedName>
    <definedName name="left">#REF!</definedName>
    <definedName name="lett" localSheetId="1">#REF!</definedName>
    <definedName name="lett">#REF!</definedName>
    <definedName name="LIBOR">[22]Portfolio!$E$2</definedName>
    <definedName name="Libor_Assumptions">#REF!</definedName>
    <definedName name="Libor_Curve">#REF!</definedName>
    <definedName name="Libor_Down">#REF!</definedName>
    <definedName name="Libor_Down_Up">#REF!</definedName>
    <definedName name="LIBOR_Minus_1SD" localSheetId="1">[10]Revolver!#REF!</definedName>
    <definedName name="LIBOR_Minus_1SD">[10]Revolver!#REF!</definedName>
    <definedName name="Libor_Minus_2SD" localSheetId="1">[10]Revolver!#REF!</definedName>
    <definedName name="Libor_Minus_2SD">[10]Revolver!#REF!</definedName>
    <definedName name="Libor_Plus_0SD" localSheetId="1">[10]Revolver!#REF!</definedName>
    <definedName name="Libor_Plus_0SD">[10]Revolver!#REF!</definedName>
    <definedName name="Libor_Plus_1SD" localSheetId="1">[10]Revolver!#REF!</definedName>
    <definedName name="Libor_Plus_1SD">[10]Revolver!#REF!</definedName>
    <definedName name="Libor_Plus_2SD" localSheetId="1">[10]Revolver!#REF!</definedName>
    <definedName name="Libor_Plus_2SD">[10]Revolver!#REF!</definedName>
    <definedName name="Libor_Scenario">#REF!</definedName>
    <definedName name="Libor_Up">#REF!</definedName>
    <definedName name="longterm" localSheetId="1">[5]Inputs!#REF!</definedName>
    <definedName name="longterm">[5]Inputs!#REF!</definedName>
    <definedName name="LTM_DATE">#REF!</definedName>
    <definedName name="Marketable_securities" localSheetId="1">'[23]Fly-by-night - problem 5'!#REF!</definedName>
    <definedName name="Marketable_securities">'[23]Fly-by-night - problem 5'!#REF!</definedName>
    <definedName name="MaxMarkDate">[7]SaleData!$M$3</definedName>
    <definedName name="mcs03g.ReqArray" localSheetId="0">{"Price","ICTG","TS131","D","0","0","H"}</definedName>
    <definedName name="mcs03g.ReqArray" localSheetId="2">{"Price","ICTG","TS131","D","0","0","H"}</definedName>
    <definedName name="mcs03g.ReqArray">{"Price","ICTG","TS131","D","0","0","H"}</definedName>
    <definedName name="mcs03g.ReqArray___0">#N/A</definedName>
    <definedName name="mcs03g.ReqArray___12">#N/A</definedName>
    <definedName name="mcs03g.ReqArray___2">#N/A</definedName>
    <definedName name="MKVALM" localSheetId="1">#REF!</definedName>
    <definedName name="MKVALM">#REF!</definedName>
    <definedName name="MONTHLYSALES" localSheetId="1">#REF!</definedName>
    <definedName name="MONTHLYSALES">#REF!</definedName>
    <definedName name="MONTHLYSALES___0" localSheetId="1">#REF!</definedName>
    <definedName name="MONTHLYSALES___0">#REF!</definedName>
    <definedName name="moodys">#REF!</definedName>
    <definedName name="mu">'[24]LBO Summary'!$G$130</definedName>
    <definedName name="Name">[5]Info!$C$8</definedName>
    <definedName name="name1">[2]Inputs!$E$10</definedName>
    <definedName name="name10">[2]Inputs!$E$469</definedName>
    <definedName name="name11">[2]Inputs!$E$520</definedName>
    <definedName name="name12">[2]Inputs!$E$571</definedName>
    <definedName name="name13">[2]Inputs!$E$622</definedName>
    <definedName name="name14">[2]Inputs!$E$673</definedName>
    <definedName name="name15">[2]Inputs!$E$724</definedName>
    <definedName name="name2">[2]Inputs!$E$61</definedName>
    <definedName name="name3">[2]Inputs!$E$112</definedName>
    <definedName name="name4">[2]Inputs!$E$163</definedName>
    <definedName name="name5">[2]Inputs!$E$214</definedName>
    <definedName name="name6">[2]Inputs!$E$265</definedName>
    <definedName name="name7">[2]Inputs!$E$316</definedName>
    <definedName name="name8">[2]Inputs!$E$367</definedName>
    <definedName name="name9">[2]Inputs!$E$418</definedName>
    <definedName name="NDY" localSheetId="1">#REF!</definedName>
    <definedName name="NDY">#REF!</definedName>
    <definedName name="NDYWGT" localSheetId="1">#REF!</definedName>
    <definedName name="NDYWGT">#REF!</definedName>
    <definedName name="OC1Actual">OFFSET([6]OCTrends!$C$2,0,0,COUNTA([6]OCTrends!$C$1:$C$65536)-1)</definedName>
    <definedName name="OC1ChartTitle">[6]OCTrends!$W$1</definedName>
    <definedName name="OC1Covenant">OFFSET([6]OCTrends!$D$2,0,0,COUNTA([6]OCTrends!$D$1:$D$65536)-1)</definedName>
    <definedName name="OC1Date">OFFSET([6]OCTrends!$B$2,0,0,COUNTA([6]OCTrends!$B$1:$B$65536)-1)</definedName>
    <definedName name="OC2Actual">OFFSET([6]OCTrends!$H$2,0,0,COUNTA([6]OCTrends!$H$1:$H$65536)-1)</definedName>
    <definedName name="OC2Covenant">OFFSET([6]OCTrends!$I$2,0,0,COUNTA([6]OCTrends!$I$1:$I$65536)-1)</definedName>
    <definedName name="OC2Date">OFFSET([6]OCTrends!$G$2,0,0,COUNTA([6]OCTrends!$G$1:$G$65536)-1)</definedName>
    <definedName name="OC3Actual">OFFSET([6]OCTrends!$M$2,0,0,COUNTA([6]OCTrends!$M$1:$M$65536)-1)</definedName>
    <definedName name="OC3Covenant">OFFSET([6]OCTrends!$N$2,0,0,COUNTA([6]OCTrends!$N$1:$N$65536)-1)</definedName>
    <definedName name="OC3Date">OFFSET([6]OCTrends!$L$2,0,0,COUNTA([6]OCTrends!$L$1:$L$65536)-1)</definedName>
    <definedName name="OC4Actual">OFFSET([6]OCTrends!$R$2,0,0,COUNTA([6]OCTrends!$R$1:$R$65536)-1)</definedName>
    <definedName name="OC4Covenant">OFFSET([6]OCTrends!$S$2,0,0,COUNTA([6]OCTrends!$S$1:$S$65536)-1)</definedName>
    <definedName name="OC4Date">OFFSET([6]OCTrends!$Q$2,0,0,COUNTA([6]OCTrends!$Q$1:$Q$65536)-1)</definedName>
    <definedName name="Order">#REF!</definedName>
    <definedName name="Other_assets" localSheetId="1">'[23]Fly-by-night - problem 5'!#REF!</definedName>
    <definedName name="Other_assets">'[23]Fly-by-night - problem 5'!#REF!</definedName>
    <definedName name="Other_current_liabilities_Sales" localSheetId="1">'[4]Tanning Assumptions'!#REF!</definedName>
    <definedName name="Other_current_liabilities_Sales">'[4]Tanning Assumptions'!#REF!</definedName>
    <definedName name="Other_long_term_liabilities" localSheetId="1">'[4]Tanning Assumptions'!#REF!</definedName>
    <definedName name="Other_long_term_liabilities">'[4]Tanning Assumptions'!#REF!</definedName>
    <definedName name="OtherRev">#REF!</definedName>
    <definedName name="P_L" localSheetId="1">#REF!</definedName>
    <definedName name="P_L">#REF!</definedName>
    <definedName name="PCV">[6]Calcs!$B$1</definedName>
    <definedName name="Percentage">#REF!</definedName>
    <definedName name="Period">#REF!</definedName>
    <definedName name="Period1">#REF!</definedName>
    <definedName name="Period2">#REF!</definedName>
    <definedName name="Period3">#REF!</definedName>
    <definedName name="Period4">#REF!</definedName>
    <definedName name="Period5">#REF!</definedName>
    <definedName name="Period6">#REF!</definedName>
    <definedName name="Period7">#REF!</definedName>
    <definedName name="Period8">#REF!</definedName>
    <definedName name="PERSONAL_FINANCIAL" localSheetId="1">#REF!</definedName>
    <definedName name="PERSONAL_FINANCIAL">#REF!</definedName>
    <definedName name="PERSONAL_FINANCIAL___0" localSheetId="1">#REF!</definedName>
    <definedName name="PERSONAL_FINANCIAL___0">#REF!</definedName>
    <definedName name="PFLTM" localSheetId="1">'[25]VeCTOR Import'!#REF!</definedName>
    <definedName name="PFLTM">'[25]VeCTOR Import'!#REF!</definedName>
    <definedName name="pik" localSheetId="1">'[9]S&amp;U'!#REF!</definedName>
    <definedName name="pik">'[9]S&amp;U'!#REF!</definedName>
    <definedName name="portion1">[2]Inputs!$E$14</definedName>
    <definedName name="portion10">[2]Inputs!$E$473</definedName>
    <definedName name="portion11">[2]Inputs!$E$524</definedName>
    <definedName name="portion12">[2]Inputs!$E$575</definedName>
    <definedName name="portion13">[2]Inputs!$E$626</definedName>
    <definedName name="portion14">[2]Inputs!$E$677</definedName>
    <definedName name="portion15">[2]Inputs!$E$728</definedName>
    <definedName name="portion2">[2]Inputs!$E$65</definedName>
    <definedName name="portion3">[2]Inputs!$E$116</definedName>
    <definedName name="portion4">[2]Inputs!$E$167</definedName>
    <definedName name="portion5">[2]Inputs!$E$218</definedName>
    <definedName name="portion6">[2]Inputs!$E$269</definedName>
    <definedName name="portion7">[2]Inputs!$E$320</definedName>
    <definedName name="portion8">[2]Inputs!$E$371</definedName>
    <definedName name="portion9">[2]Inputs!$E$422</definedName>
    <definedName name="PP_E_Sales" localSheetId="1">'[4]Tanning Assumptions'!#REF!</definedName>
    <definedName name="PP_E_Sales">'[4]Tanning Assumptions'!#REF!</definedName>
    <definedName name="prefbamt">#REF!</definedName>
    <definedName name="prefbamt___0">#REF!</definedName>
    <definedName name="prefbper">#REF!</definedName>
    <definedName name="prefbper___0">#REF!</definedName>
    <definedName name="Preliminary">#REF!</definedName>
    <definedName name="Prepaids_Sales" localSheetId="1">'[4]Tanning Assumptions'!#REF!</definedName>
    <definedName name="Prepaids_Sales">'[4]Tanning Assumptions'!#REF!</definedName>
    <definedName name="PRICES">#REF!</definedName>
    <definedName name="PRICES___0">#REF!</definedName>
    <definedName name="_xlnm.Print_Area" localSheetId="1">Model!$B$275:$D$328</definedName>
    <definedName name="_xlnm.Print_Area">#REF!</definedName>
    <definedName name="_xlnm.Print_Titles" localSheetId="1">Model!$2:$5</definedName>
    <definedName name="_xlnm.Print_Titles">#REF!</definedName>
    <definedName name="project">[12]CONTROL!$D$8</definedName>
    <definedName name="project___0">[8]CONTROL!$D$8</definedName>
    <definedName name="ProjList">#REF!</definedName>
    <definedName name="PublicCompany" localSheetId="1">#REF!</definedName>
    <definedName name="PublicCompany">#REF!</definedName>
    <definedName name="purchase">[26]TRANSACTION!$Q$2</definedName>
    <definedName name="PURCHASE_PRICE">[27]Sheet5:D!$A$1:$H$23</definedName>
    <definedName name="qryWSO_Positions_ByFunds_CrossTab">#REF!</definedName>
    <definedName name="quarterly">#REF!</definedName>
    <definedName name="rate">#REF!</definedName>
    <definedName name="RateTable" localSheetId="1">[28]MASTER!#REF!</definedName>
    <definedName name="RateTable">[28]MASTER!#REF!</definedName>
    <definedName name="Rating">'[7]Actual vs Covenant'!$P$11:$Q$18</definedName>
    <definedName name="RatingFactors">#REF!</definedName>
    <definedName name="RATIOS">#REF!</definedName>
    <definedName name="RATIOS___0">#REF!</definedName>
    <definedName name="recovery">#REF!</definedName>
    <definedName name="refi">'[29]OBS - REFI'!$AP$5</definedName>
    <definedName name="REPORT">#REF!</definedName>
    <definedName name="REPORT___0">#REF!</definedName>
    <definedName name="ReprintRev">#REF!</definedName>
    <definedName name="ret">#REF!</definedName>
    <definedName name="rhl" localSheetId="1">'[21]LBO Summary'!#REF!</definedName>
    <definedName name="rhl">'[21]LBO Summary'!#REF!</definedName>
    <definedName name="RoyaltyRev">#REF!</definedName>
    <definedName name="rptData">#REF!</definedName>
    <definedName name="rr" localSheetId="1">'[21]LBO Summary'!#REF!</definedName>
    <definedName name="rr">'[21]LBO Summary'!#REF!</definedName>
    <definedName name="s" localSheetId="1">#REF!</definedName>
    <definedName name="s">#REF!</definedName>
    <definedName name="s.outstand" localSheetId="1">[5]Inputs!#REF!</definedName>
    <definedName name="s.outstand">[5]Inputs!#REF!</definedName>
    <definedName name="SALES" localSheetId="1">#REF!</definedName>
    <definedName name="SALES">#REF!</definedName>
    <definedName name="SALES___0" localSheetId="1">#REF!</definedName>
    <definedName name="SALES___0">#REF!</definedName>
    <definedName name="sales1">[2]Inputs!$P$29</definedName>
    <definedName name="sales10">[2]Inputs!$P$488</definedName>
    <definedName name="sales11">[2]Inputs!$P$539</definedName>
    <definedName name="sales12">[2]Inputs!$P$590</definedName>
    <definedName name="sales13">[2]Inputs!$P$641</definedName>
    <definedName name="sales14">[2]Inputs!$P$692</definedName>
    <definedName name="sales15">[2]Inputs!$P$743</definedName>
    <definedName name="sales2">[2]Inputs!$P$80</definedName>
    <definedName name="sales3">[2]Inputs!$P$131</definedName>
    <definedName name="sales4">[2]Inputs!$P$182</definedName>
    <definedName name="sales5">[2]Inputs!$P$233</definedName>
    <definedName name="sales6">[2]Inputs!$P$284</definedName>
    <definedName name="sales7">[2]Inputs!$P$335</definedName>
    <definedName name="sales8">[2]Inputs!$P$386</definedName>
    <definedName name="sales9">[2]Inputs!$P$437</definedName>
    <definedName name="scen">#REF!</definedName>
    <definedName name="Scenario_11">#REF!</definedName>
    <definedName name="Scenario_12">#REF!</definedName>
    <definedName name="Scenario_13">#REF!</definedName>
    <definedName name="Scenario_14">#REF!</definedName>
    <definedName name="Scenario_15">#REF!</definedName>
    <definedName name="Scenario_16">#REF!</definedName>
    <definedName name="Scenario_17">#REF!</definedName>
    <definedName name="Scenario_18">#REF!</definedName>
    <definedName name="Scenario_19">#REF!</definedName>
    <definedName name="Scenario_20">#REF!</definedName>
    <definedName name="Scenario_21">#REF!</definedName>
    <definedName name="Scenario_22">#REF!</definedName>
    <definedName name="Scenario_23">#REF!</definedName>
    <definedName name="Scenario_24">#REF!</definedName>
    <definedName name="Scenario_25">#REF!</definedName>
    <definedName name="Scenario_26">#REF!</definedName>
    <definedName name="Scenario_27">#REF!</definedName>
    <definedName name="Scenario_28">#REF!</definedName>
    <definedName name="Scenario_31">#REF!</definedName>
    <definedName name="Scenario_32">#REF!</definedName>
    <definedName name="Scenario_33">#REF!</definedName>
    <definedName name="Scenario_34">#REF!</definedName>
    <definedName name="Scenario_35">#REF!</definedName>
    <definedName name="Scenario_36">#REF!</definedName>
    <definedName name="Scenario_37">#REF!</definedName>
    <definedName name="Scenario_38">#REF!</definedName>
    <definedName name="Scenario_39" localSheetId="1">#REF!</definedName>
    <definedName name="Scenario_39">#REF!</definedName>
    <definedName name="Scenario_41" localSheetId="1">#REF!</definedName>
    <definedName name="Scenario_41">#REF!</definedName>
    <definedName name="Scenario_42" localSheetId="1">#REF!</definedName>
    <definedName name="Scenario_42">#REF!</definedName>
    <definedName name="Scenario_43" localSheetId="1">#REF!</definedName>
    <definedName name="Scenario_43">#REF!</definedName>
    <definedName name="Scenario_44" localSheetId="1">#REF!</definedName>
    <definedName name="Scenario_44">#REF!</definedName>
    <definedName name="Scenario_51">#REF!</definedName>
    <definedName name="Scenario_52">#REF!</definedName>
    <definedName name="Scenario_53">#REF!</definedName>
    <definedName name="Section">#REF!</definedName>
    <definedName name="SENSITIVITY">#REF!</definedName>
    <definedName name="SENSITIVITY___0">#REF!</definedName>
    <definedName name="sh.equity" localSheetId="1">[5]Inputs!#REF!</definedName>
    <definedName name="sh.equity">[5]Inputs!#REF!</definedName>
    <definedName name="sl" localSheetId="1">'[21]LBO Summary'!#REF!</definedName>
    <definedName name="sl">'[21]LBO Summary'!#REF!</definedName>
    <definedName name="snapshotdate">#REF!</definedName>
    <definedName name="sort_range">#REF!</definedName>
    <definedName name="sponsor">'[9]S&amp;U'!$J$21</definedName>
    <definedName name="Start">#REF!</definedName>
    <definedName name="Start_Date">[6]Selections!$C$1</definedName>
    <definedName name="StartDay">[6]Selections!$P$3</definedName>
    <definedName name="StartMonth">[6]Selections!$P$2</definedName>
    <definedName name="StartRefresh" localSheetId="1">'[14]Portfolio Input'!#REF!</definedName>
    <definedName name="StartRefresh">'[14]Portfolio Input'!#REF!</definedName>
    <definedName name="StartYear">[6]Selections!$P$1</definedName>
    <definedName name="Strip_Amount">#REF!</definedName>
    <definedName name="Strip_PV" localSheetId="1">#REF!</definedName>
    <definedName name="Strip_PV">#REF!</definedName>
    <definedName name="stub">#REF!</definedName>
    <definedName name="stubmonths">'[30]D&amp;A'!$C$5</definedName>
    <definedName name="sub" localSheetId="1">'[21]LBO Summary'!#REF!</definedName>
    <definedName name="sub">'[21]LBO Summary'!#REF!</definedName>
    <definedName name="subdebtamount">[15]Inputs!$J$26</definedName>
    <definedName name="subdebtdate">[15]Inputs!$J$28</definedName>
    <definedName name="Subhead1">[20]_01_05_v_Wicks_xls__01_05_v_Wic!$N$2</definedName>
    <definedName name="subHeading" localSheetId="1">#REF!</definedName>
    <definedName name="subHeading">#REF!</definedName>
    <definedName name="summary">#REF!</definedName>
    <definedName name="support">#REF!</definedName>
    <definedName name="sweep___9" localSheetId="1">[31]COVS_ACTUAL!#REF!</definedName>
    <definedName name="sweep___9">[31]COVS_ACTUAL!#REF!</definedName>
    <definedName name="target">#REF!</definedName>
    <definedName name="tax" localSheetId="1">[32]ISCF!#REF!</definedName>
    <definedName name="tax">[32]ISCF!#REF!</definedName>
    <definedName name="Taxes_Receivable_Sales" localSheetId="1">'[4]Tanning Assumptions'!#REF!</definedName>
    <definedName name="Taxes_Receivable_Sales">'[4]Tanning Assumptions'!#REF!</definedName>
    <definedName name="Test">#REF!</definedName>
    <definedName name="tgt">#REF!</definedName>
    <definedName name="ticker1">[2]Inputs!$E$11</definedName>
    <definedName name="ticker10">[2]Inputs!$E$470</definedName>
    <definedName name="ticker11">[2]Inputs!$E$521</definedName>
    <definedName name="ticker12">[2]Inputs!$E$572</definedName>
    <definedName name="ticker13">[2]Inputs!$E$623</definedName>
    <definedName name="ticker14">[2]Inputs!$E$674</definedName>
    <definedName name="ticker15">[2]Inputs!$E$725</definedName>
    <definedName name="ticker2">[2]Inputs!$E$62</definedName>
    <definedName name="ticker3">[2]Inputs!$E$113</definedName>
    <definedName name="ticker4">[2]Inputs!$E$164</definedName>
    <definedName name="ticker5">[2]Inputs!$E$215</definedName>
    <definedName name="ticker6">[2]Inputs!$E$266</definedName>
    <definedName name="ticker7">[2]Inputs!$E$317</definedName>
    <definedName name="ticker8">[2]Inputs!$E$368</definedName>
    <definedName name="ticker9">[2]Inputs!$E$419</definedName>
    <definedName name="TimeEnd">[6]Selections!$L$3</definedName>
    <definedName name="TimeStart">[6]Selections!$L$2</definedName>
    <definedName name="title">[29]SUM!$A$2</definedName>
    <definedName name="today">#REF!</definedName>
    <definedName name="top">#REF!</definedName>
    <definedName name="TopIC">'[7]Actual vs Covenant'!$P$31:$Q$38</definedName>
    <definedName name="TopOC">'[7]Actual vs Covenant'!$P$21:$Q$28</definedName>
    <definedName name="TOTAL">#REF!</definedName>
    <definedName name="TOTAL___0">#REF!</definedName>
    <definedName name="Total_Europe" localSheetId="1">#REF!</definedName>
    <definedName name="Total_Europe">#REF!</definedName>
    <definedName name="TotalRev">#REF!</definedName>
    <definedName name="TradedCash">[6]Principal!$G$5</definedName>
    <definedName name="trigger">[8]OBS!$U$5</definedName>
    <definedName name="TRYN_Top3">[7]TOP10!$S$3</definedName>
    <definedName name="TRYN_Top4">[7]TOP10!$S$8</definedName>
    <definedName name="TryonFitchRatingChartData">[7]TRYN!$G$2:$H$9</definedName>
    <definedName name="TryonFitchRatingChartSerial1">[7]TRYN!$H$2:$H$9</definedName>
    <definedName name="TryonFitchRatingChartXScale">[7]TRYN!$G$2:$G$9</definedName>
    <definedName name="TryonMoodyRatingChartData">[7]TRYN!$A$2:$B$15</definedName>
    <definedName name="TryonMoodyRatingChartSerial1">[7]TRYN!$B$2:$B$15</definedName>
    <definedName name="TryonMoodyRatingChartXScale">[7]TRYN!$A$2:$A$15</definedName>
    <definedName name="TryonSPRatingChartData">[7]TRYN!$D$2:$E$15</definedName>
    <definedName name="TryonSPRatingChartSerial1">[7]TRYN!$E$2:$E$15</definedName>
    <definedName name="TryonSPRatingChartXScale">[7]TRYN!$D$2:$D$15</definedName>
    <definedName name="units">'[9]S&amp;U'!$K$2</definedName>
    <definedName name="version">[29]SUM!$AE$2</definedName>
    <definedName name="version___0">[8]CONTROL!$D$9</definedName>
    <definedName name="WACActual">OFFSET([6]WACTrends!$C$2,0,0,COUNTA([6]WACTrends!$C$1:$C$65536)-1)</definedName>
    <definedName name="WACCovenant">OFFSET([6]WACTrends!$D$2,0,0,COUNTA([6]WACTrends!$D$1:$D$65536)-1)</definedName>
    <definedName name="WACDate">OFFSET([6]WACTrends!$B$2,0,0,COUNTA([6]WACTrends!$B$1:$B$65536)-1)</definedName>
    <definedName name="WALActual">OFFSET([6]WALTrends!$C$2,0,0,COUNTA([6]WALTrends!$C$1:$C$65536)-1)</definedName>
    <definedName name="WALCovenant">OFFSET([6]WALTrends!$D$2,0,0,COUNTA([6]WALTrends!$D$1:$D$65536)-1)</definedName>
    <definedName name="WALDate">OFFSET([6]WALTrends!$B$2,0,0,COUNTA([6]WALTrends!$B$1:$B$65536)-1)</definedName>
    <definedName name="WARFActual">OFFSET([6]WARFTrends!$C$2,0,0,COUNTA([6]WARFTrends!$C$1:$C$65536)-1)</definedName>
    <definedName name="WARFCovenant">OFFSET([6]WARFTrends!$D$2,0,0,COUNTA([6]WARFTrends!$D$1:$D$65536)-1)</definedName>
    <definedName name="WARFDate">OFFSET([6]WARFTrends!$B$2,0,0,COUNTA([6]WARFTrends!$B$1:$B$65536)-1)</definedName>
    <definedName name="WARFFitchActual">OFFSET([6]WARFFitchTrends!$C$2,0,0,COUNTA([6]WARFFitchTrends!$C$1:$C$65536)-1)</definedName>
    <definedName name="WARFFitchCovenant">OFFSET([6]WARFFitchTrends!$D$2,0,0,COUNTA([6]WARFFitchTrends!$D$1:$D$65536)-1)</definedName>
    <definedName name="WARFFitchDate">OFFSET([6]WARFFitchTrends!$B$2,0,0,COUNTA([6]WARFFitchTrends!$B$1:$B$65536)-1)</definedName>
    <definedName name="warrants">[15]Inputs!$O$13</definedName>
    <definedName name="WASActual">OFFSET([6]WASTrends!$C$2,0,0,COUNTA([6]WASTrends!$C$1:$C$65536)-1)</definedName>
    <definedName name="WASCovenant">OFFSET([6]WASTrends!$D$2,0,0,COUNTA([6]WASTrends!$D$1:$D$65536)-1)</definedName>
    <definedName name="WASDate">OFFSET([6]WASTrends!$B$2,0,0,COUNTA([6]WASTrends!$B$1:$B$65536)-1)</definedName>
    <definedName name="WBMIN" localSheetId="1">'[14]Portfolio Input'!#REF!</definedName>
    <definedName name="WBMIN">'[14]Portfolio Input'!#REF!</definedName>
    <definedName name="WHAT_IF">#REF!</definedName>
    <definedName name="WHAT_IF___0">#REF!</definedName>
    <definedName name="whec">[29]WHEC!$AX$2</definedName>
    <definedName name="wicksequity">[15]Inputs!$E$35</definedName>
    <definedName name="WORKING_CAPITAL" localSheetId="1">#REF!</definedName>
    <definedName name="WORKING_CAPITAL">#REF!</definedName>
    <definedName name="WORKING_CAPITAL___0" localSheetId="1">#REF!</definedName>
    <definedName name="WORKING_CAPITAL___0">#REF!</definedName>
    <definedName name="wrn.Alloutput." localSheetId="0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Alloutput." localSheetId="2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Alloutput.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CGIC._.PLICO._.Statutory._.Results." localSheetId="0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GIC._.PLICO._.Statutory._.Results." localSheetId="2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GIC._.PLICO._.Statutory._.Results.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IS." localSheetId="0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IS." localSheetId="2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IS.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rossroads." localSheetId="0" hidden="1">{#N/A,#N/A,FALSE,"RENT ROLL";#N/A,#N/A,FALSE,"CAM";#N/A,#N/A,FALSE,"TAXES";#N/A,#N/A,FALSE,"INSURANCE";#N/A,#N/A,FALSE,"HVAC";#N/A,#N/A,FALSE,"MARKETING"}</definedName>
    <definedName name="wrn.crossroads." localSheetId="2" hidden="1">{#N/A,#N/A,FALSE,"RENT ROLL";#N/A,#N/A,FALSE,"CAM";#N/A,#N/A,FALSE,"TAXES";#N/A,#N/A,FALSE,"INSURANCE";#N/A,#N/A,FALSE,"HVAC";#N/A,#N/A,FALSE,"MARKETING"}</definedName>
    <definedName name="wrn.crossroads." hidden="1">{#N/A,#N/A,FALSE,"RENT ROLL";#N/A,#N/A,FALSE,"CAM";#N/A,#N/A,FALSE,"TAXES";#N/A,#N/A,FALSE,"INSURANCE";#N/A,#N/A,FALSE,"HVAC";#N/A,#N/A,FALSE,"MARKETING"}</definedName>
    <definedName name="wrn.crossroads2" localSheetId="0" hidden="1">{#N/A,#N/A,FALSE,"RENT ROLL";#N/A,#N/A,FALSE,"CAM";#N/A,#N/A,FALSE,"TAXES";#N/A,#N/A,FALSE,"INSURANCE";#N/A,#N/A,FALSE,"HVAC";#N/A,#N/A,FALSE,"MARKETING"}</definedName>
    <definedName name="wrn.crossroads2" localSheetId="2" hidden="1">{#N/A,#N/A,FALSE,"RENT ROLL";#N/A,#N/A,FALSE,"CAM";#N/A,#N/A,FALSE,"TAXES";#N/A,#N/A,FALSE,"INSURANCE";#N/A,#N/A,FALSE,"HVAC";#N/A,#N/A,FALSE,"MARKETING"}</definedName>
    <definedName name="wrn.crossroads2" hidden="1">{#N/A,#N/A,FALSE,"RENT ROLL";#N/A,#N/A,FALSE,"CAM";#N/A,#N/A,FALSE,"TAXES";#N/A,#N/A,FALSE,"INSURANCE";#N/A,#N/A,FALSE,"HVAC";#N/A,#N/A,FALSE,"MARKETING"}</definedName>
    <definedName name="wrn.dcf." localSheetId="0" hidden="1">{"mgmt forecast",#N/A,FALSE,"Mgmt Forecast";"dcf table",#N/A,FALSE,"Mgmt Forecast";"sensitivity",#N/A,FALSE,"Mgmt Forecast";"table inputs",#N/A,FALSE,"Mgmt Forecast";"calculations",#N/A,FALSE,"Mgmt Forecast"}</definedName>
    <definedName name="wrn.dcf." localSheetId="2" hidden="1">{"mgmt forecast",#N/A,FALSE,"Mgmt Forecast";"dcf table",#N/A,FALSE,"Mgmt Forecast";"sensitivity",#N/A,FALSE,"Mgmt Forecast";"table inputs",#N/A,FALSE,"Mgmt Forecast";"calculations",#N/A,FALSE,"Mgmt Forecast"}</definedName>
    <definedName name="wrn.dcf." hidden="1">{"mgmt forecast",#N/A,FALSE,"Mgmt Forecast";"dcf table",#N/A,FALSE,"Mgmt Forecast";"sensitivity",#N/A,FALSE,"Mgmt Forecast";"table inputs",#N/A,FALSE,"Mgmt Forecast";"calculations",#N/A,FALSE,"Mgmt Forecast"}</definedName>
    <definedName name="wrn.print._.graphs." localSheetId="0" hidden="1">{"cap_structure",#N/A,FALSE,"Graph-Mkt Cap";"price",#N/A,FALSE,"Graph-Price";"ebit",#N/A,FALSE,"Graph-EBITDA";"ebitda",#N/A,FALSE,"Graph-EBITDA"}</definedName>
    <definedName name="wrn.print._.graphs." localSheetId="2" hidden="1">{"cap_structure",#N/A,FALSE,"Graph-Mkt Cap";"price",#N/A,FALSE,"Graph-Price";"ebit",#N/A,FALSE,"Graph-EBITDA";"ebitda",#N/A,FALSE,"Graph-EBITDA"}</definedName>
    <definedName name="wrn.print._.graphs." hidden="1">{"cap_structure",#N/A,FALSE,"Graph-Mkt Cap";"price",#N/A,FALSE,"Graph-Price";"ebit",#N/A,FALSE,"Graph-EBITDA";"ebitda",#N/A,FALSE,"Graph-EBITDA"}</definedName>
    <definedName name="wrn.print._.raw._.data._.entry." localSheetId="0" hidden="1">{"inputs raw data",#N/A,TRUE,"INPUT"}</definedName>
    <definedName name="wrn.print._.raw._.data._.entry." localSheetId="2" hidden="1">{"inputs raw data",#N/A,TRUE,"INPUT"}</definedName>
    <definedName name="wrn.print._.raw._.data._.entry." hidden="1">{"inputs raw data",#N/A,TRUE,"INPUT"}</definedName>
    <definedName name="wrn.print._.summary._.sheets." localSheetId="0" hidden="1">{"summary1",#N/A,TRUE,"Comps";"summary2",#N/A,TRUE,"Comps";"summary3",#N/A,TRUE,"Comps"}</definedName>
    <definedName name="wrn.print._.summary._.sheets." localSheetId="2" hidden="1">{"summary1",#N/A,TRUE,"Comps";"summary2",#N/A,TRUE,"Comps";"summary3",#N/A,TRUE,"Comps"}</definedName>
    <definedName name="wrn.print._.summary._.sheets." hidden="1">{"summary1",#N/A,TRUE,"Comps";"summary2",#N/A,TRUE,"Comps";"summary3",#N/A,TRUE,"Comps"}</definedName>
    <definedName name="wrn.quick." localSheetId="0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quick." localSheetId="2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quick.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Sales._.Activity." localSheetId="0" hidden="1">{#N/A,#N/A,FALSE,"Integration Systems"}</definedName>
    <definedName name="wrn.Sales._.Activity." localSheetId="2" hidden="1">{#N/A,#N/A,FALSE,"Integration Systems"}</definedName>
    <definedName name="wrn.Sales._.Activity." hidden="1">{#N/A,#N/A,FALSE,"Integration Systems"}</definedName>
    <definedName name="wrn.Summary." localSheetId="0" hidden="1">{#N/A,#N/A,FALSE,"Deal Summary";#N/A,#N/A,FALSE,"CGIC &amp;PLICO Results";#N/A,#N/A,FALSE,"Consolidated Results";#N/A,#N/A,FALSE,"Consolidated Source_Uses&amp;Debt ";#N/A,#N/A,FALSE,"Bal_Sht";#N/A,#N/A,FALSE,"Income Statement";#N/A,#N/A,FALSE,"Accretion_Dilution";#N/A,#N/A,FALSE,"Matrix";#N/A,#N/A,FALSE,"Purchase_sensitivity"}</definedName>
    <definedName name="wrn.Summary." localSheetId="2" hidden="1">{#N/A,#N/A,FALSE,"Deal Summary";#N/A,#N/A,FALSE,"CGIC &amp;PLICO Results";#N/A,#N/A,FALSE,"Consolidated Results";#N/A,#N/A,FALSE,"Consolidated Source_Uses&amp;Debt ";#N/A,#N/A,FALSE,"Bal_Sht";#N/A,#N/A,FALSE,"Income Statement";#N/A,#N/A,FALSE,"Accretion_Dilution";#N/A,#N/A,FALSE,"Matrix";#N/A,#N/A,FALSE,"Purchase_sensitivity"}</definedName>
    <definedName name="wrn.Summary." hidden="1">{#N/A,#N/A,FALSE,"Deal Summary";#N/A,#N/A,FALSE,"CGIC &amp;PLICO Results";#N/A,#N/A,FALSE,"Consolidated Results";#N/A,#N/A,FALSE,"Consolidated Source_Uses&amp;Debt ";#N/A,#N/A,FALSE,"Bal_Sht";#N/A,#N/A,FALSE,"Income Statement";#N/A,#N/A,FALSE,"Accretion_Dilution";#N/A,#N/A,FALSE,"Matrix";#N/A,#N/A,FALSE,"Purchase_sensitivity"}</definedName>
    <definedName name="wrn.UHCO._.Statutory._.Results." localSheetId="0" hidden="1">{#N/A,#N/A,FALSE,"UHCO Statutory Info ----&gt;";#N/A,#N/A,FALSE,"UHCO Source_Use";#N/A,#N/A,FALSE,"UHCO_Debt Paydown";#N/A,#N/A,FALSE,"Union Bankers";#N/A,#N/A,FALSE,"Penn Life";#N/A,#N/A,FALSE,"Constitution"}</definedName>
    <definedName name="wrn.UHCO._.Statutory._.Results." localSheetId="2" hidden="1">{#N/A,#N/A,FALSE,"UHCO Statutory Info ----&gt;";#N/A,#N/A,FALSE,"UHCO Source_Use";#N/A,#N/A,FALSE,"UHCO_Debt Paydown";#N/A,#N/A,FALSE,"Union Bankers";#N/A,#N/A,FALSE,"Penn Life";#N/A,#N/A,FALSE,"Constitution"}</definedName>
    <definedName name="wrn.UHCO._.Statutory._.Results." hidden="1">{#N/A,#N/A,FALSE,"UHCO Statutory Info ----&gt;";#N/A,#N/A,FALSE,"UHCO Source_Use";#N/A,#N/A,FALSE,"UHCO_Debt Paydown";#N/A,#N/A,FALSE,"Union Bankers";#N/A,#N/A,FALSE,"Penn Life";#N/A,#N/A,FALSE,"Constitution"}</definedName>
    <definedName name="wrn.Weekly._.Inventory._.Report." localSheetId="0" hidden="1">{#N/A,#N/A,FALSE,"Combo"}</definedName>
    <definedName name="wrn.Weekly._.Inventory._.Report." localSheetId="2" hidden="1">{#N/A,#N/A,FALSE,"Combo"}</definedName>
    <definedName name="wrn.Weekly._.Inventory._.Report." hidden="1">{#N/A,#N/A,FALSE,"Combo"}</definedName>
    <definedName name="wvu.inputs._.raw._.data." localSheetId="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localSheetId="2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summary1." localSheetId="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localSheetId="2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localSheetId="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localSheetId="2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localSheetId="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localSheetId="2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Z_46EB06C9_2753_4B8D_B228_9BDD8DF82F27_.wvu.PrintArea" localSheetId="1" hidden="1">Model!$B$275:$D$328</definedName>
    <definedName name="Z_46EB06C9_2753_4B8D_B228_9BDD8DF82F27_.wvu.PrintTitles" localSheetId="1" hidden="1">Model!$2:$5</definedName>
    <definedName name="Z_46EB06C9_2753_4B8D_B228_9BDD8DF82F27_.wvu.Rows" localSheetId="1" hidden="1">Model!#REF!,Model!$277:$279</definedName>
    <definedName name="zip" localSheetId="1">#REF!</definedName>
    <definedName name="zip">#REF!</definedName>
  </definedNames>
  <calcPr calcId="191028"/>
  <customWorkbookViews>
    <customWorkbookView name="Crisil GR&amp;A - Personal View" guid="{46EB06C9-2753-4B8D-B228-9BDD8DF82F27}" mergeInterval="0" personalView="1" maximized="1" xWindow="-8" yWindow="-8" windowWidth="1296" windowHeight="1000" activeSheetId="1"/>
  </customWorkbookView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3" i="2" l="1"/>
  <c r="J24" i="2"/>
  <c r="J22" i="2"/>
  <c r="J19" i="2"/>
  <c r="J17" i="2"/>
  <c r="J16" i="2"/>
  <c r="J15" i="2"/>
  <c r="I11" i="2"/>
  <c r="D64" i="2"/>
  <c r="D63" i="2"/>
  <c r="D62" i="2"/>
  <c r="D61" i="2"/>
  <c r="C64" i="2"/>
  <c r="C63" i="2"/>
  <c r="C62" i="2"/>
  <c r="C61" i="2"/>
  <c r="C57" i="2"/>
  <c r="C55" i="2"/>
  <c r="C54" i="2"/>
  <c r="D48" i="2"/>
  <c r="D47" i="2"/>
  <c r="D46" i="2"/>
  <c r="D45" i="2"/>
  <c r="C50" i="2"/>
  <c r="C48" i="2"/>
  <c r="C47" i="2"/>
  <c r="C46" i="2"/>
  <c r="C45" i="2"/>
  <c r="C41" i="2"/>
  <c r="D8" i="2"/>
  <c r="D39" i="2"/>
  <c r="D38" i="2"/>
  <c r="D37" i="2"/>
  <c r="D36" i="2"/>
  <c r="C39" i="2"/>
  <c r="C38" i="2"/>
  <c r="C37" i="2"/>
  <c r="C36" i="2"/>
  <c r="D20" i="2"/>
  <c r="D18" i="2"/>
  <c r="D15" i="2"/>
  <c r="D14" i="2"/>
  <c r="D13" i="2"/>
  <c r="D10" i="2"/>
  <c r="C92" i="2"/>
  <c r="C26" i="2"/>
  <c r="C8" i="2"/>
  <c r="C22" i="2"/>
  <c r="I24" i="2" s="1"/>
  <c r="C20" i="2"/>
  <c r="I22" i="2" s="1"/>
  <c r="C18" i="2"/>
  <c r="C31" i="2" s="1"/>
  <c r="C15" i="2"/>
  <c r="C14" i="2"/>
  <c r="C13" i="2"/>
  <c r="C10" i="2"/>
  <c r="E65" i="2"/>
  <c r="E56" i="2"/>
  <c r="E49" i="2"/>
  <c r="E44" i="2"/>
  <c r="E40" i="2"/>
  <c r="D30" i="2"/>
  <c r="D35" i="2" s="1"/>
  <c r="D44" i="2" s="1"/>
  <c r="C30" i="2"/>
  <c r="C35" i="2" s="1"/>
  <c r="C44" i="2" s="1"/>
  <c r="I18" i="2"/>
  <c r="I4" i="2"/>
  <c r="D22" i="2" s="1"/>
  <c r="I3" i="2"/>
  <c r="BG46" i="3"/>
  <c r="BG45" i="3"/>
  <c r="BG44" i="3"/>
  <c r="BG43" i="3"/>
  <c r="BG33" i="3"/>
  <c r="BG32" i="3"/>
  <c r="BG31" i="3"/>
  <c r="BG30" i="3"/>
  <c r="BG29" i="3"/>
  <c r="BG28" i="3"/>
  <c r="BQ145" i="3"/>
  <c r="BQ91" i="3"/>
  <c r="BQ90" i="3"/>
  <c r="BQ89" i="3"/>
  <c r="BQ86" i="3"/>
  <c r="BQ78" i="3"/>
  <c r="BQ77" i="3"/>
  <c r="BQ76" i="3"/>
  <c r="BQ72" i="3"/>
  <c r="BQ64" i="3"/>
  <c r="BQ63" i="3"/>
  <c r="BQ62" i="3"/>
  <c r="BQ58" i="3"/>
  <c r="BQ45" i="3"/>
  <c r="BQ44" i="3"/>
  <c r="BQ43" i="3"/>
  <c r="BQ39" i="3"/>
  <c r="BQ32" i="3"/>
  <c r="BQ31" i="3"/>
  <c r="BQ30" i="3"/>
  <c r="BQ29" i="3"/>
  <c r="BQ28" i="3"/>
  <c r="BQ24" i="3"/>
  <c r="BG158" i="3"/>
  <c r="BG152" i="3"/>
  <c r="BG145" i="3"/>
  <c r="BG91" i="3"/>
  <c r="BG90" i="3"/>
  <c r="BG89" i="3"/>
  <c r="BG86" i="3"/>
  <c r="BG78" i="3"/>
  <c r="BG77" i="3"/>
  <c r="BG76" i="3"/>
  <c r="BG72" i="3"/>
  <c r="BG64" i="3"/>
  <c r="BG63" i="3"/>
  <c r="BG62" i="3"/>
  <c r="BG58" i="3"/>
  <c r="BG39" i="3"/>
  <c r="BG24" i="3"/>
  <c r="R327" i="1"/>
  <c r="BQ314" i="1"/>
  <c r="BR314" i="1"/>
  <c r="BQ316" i="1"/>
  <c r="BR316" i="1"/>
  <c r="BQ317" i="1"/>
  <c r="BR317" i="1"/>
  <c r="BQ319" i="1"/>
  <c r="BR319" i="1"/>
  <c r="BQ321" i="1"/>
  <c r="BR321" i="1"/>
  <c r="BQ322" i="1"/>
  <c r="BR322" i="1"/>
  <c r="BQ324" i="1"/>
  <c r="BR324" i="1"/>
  <c r="BQ325" i="1"/>
  <c r="BR325" i="1"/>
  <c r="BQ327" i="1"/>
  <c r="BR327" i="1"/>
  <c r="BQ328" i="1"/>
  <c r="BR328" i="1"/>
  <c r="BP328" i="1"/>
  <c r="BP327" i="1"/>
  <c r="BP325" i="1"/>
  <c r="BP324" i="1"/>
  <c r="BP322" i="1"/>
  <c r="BP321" i="1"/>
  <c r="BP319" i="1"/>
  <c r="BP317" i="1"/>
  <c r="BP316" i="1"/>
  <c r="BH324" i="1"/>
  <c r="BR253" i="1"/>
  <c r="BR254" i="1"/>
  <c r="BR256" i="1" s="1"/>
  <c r="BR255" i="1"/>
  <c r="BR257" i="1"/>
  <c r="BR258" i="1"/>
  <c r="BR259" i="1"/>
  <c r="BR260" i="1"/>
  <c r="BR261" i="1"/>
  <c r="BR262" i="1"/>
  <c r="BR263" i="1"/>
  <c r="BR264" i="1"/>
  <c r="BR267" i="1" s="1"/>
  <c r="BR265" i="1"/>
  <c r="BR269" i="1" s="1"/>
  <c r="BR266" i="1"/>
  <c r="BR268" i="1"/>
  <c r="BQ260" i="1"/>
  <c r="BQ259" i="1"/>
  <c r="BQ258" i="1"/>
  <c r="BQ257" i="1"/>
  <c r="BQ255" i="1"/>
  <c r="BQ254" i="1"/>
  <c r="BQ253" i="1"/>
  <c r="BH276" i="1"/>
  <c r="BE249" i="1"/>
  <c r="BE250" i="1"/>
  <c r="R250" i="1"/>
  <c r="BR175" i="1"/>
  <c r="R172" i="1"/>
  <c r="R162" i="1"/>
  <c r="R161" i="1"/>
  <c r="BR149" i="1"/>
  <c r="BQ149" i="1"/>
  <c r="BP149" i="1"/>
  <c r="BO149" i="1"/>
  <c r="BN149" i="1"/>
  <c r="BM149" i="1"/>
  <c r="BL149" i="1"/>
  <c r="BK149" i="1"/>
  <c r="BJ149" i="1"/>
  <c r="BH149" i="1"/>
  <c r="BG149" i="1"/>
  <c r="BF149" i="1"/>
  <c r="BE149" i="1"/>
  <c r="BD149" i="1"/>
  <c r="BC149" i="1"/>
  <c r="BB149" i="1"/>
  <c r="BA149" i="1"/>
  <c r="AZ149" i="1"/>
  <c r="AY149" i="1"/>
  <c r="AX149" i="1"/>
  <c r="AW149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P151" i="1"/>
  <c r="Q124" i="1"/>
  <c r="R154" i="1"/>
  <c r="R150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BH145" i="1"/>
  <c r="BH124" i="1"/>
  <c r="BH109" i="1"/>
  <c r="BH108" i="1"/>
  <c r="R109" i="1"/>
  <c r="R108" i="1"/>
  <c r="R107" i="1"/>
  <c r="R106" i="1"/>
  <c r="R105" i="1"/>
  <c r="BR87" i="1"/>
  <c r="BR84" i="1"/>
  <c r="BR80" i="1"/>
  <c r="BR77" i="1"/>
  <c r="BR225" i="1" s="1"/>
  <c r="BR75" i="1"/>
  <c r="BR76" i="1"/>
  <c r="BR73" i="1"/>
  <c r="BR221" i="1" s="1"/>
  <c r="BR69" i="1"/>
  <c r="BR65" i="1"/>
  <c r="BR213" i="1" s="1"/>
  <c r="R88" i="1"/>
  <c r="R84" i="1"/>
  <c r="R81" i="1"/>
  <c r="R80" i="1"/>
  <c r="R79" i="1"/>
  <c r="R77" i="1"/>
  <c r="R76" i="1"/>
  <c r="R75" i="1"/>
  <c r="R74" i="1"/>
  <c r="R73" i="1"/>
  <c r="R71" i="1"/>
  <c r="R70" i="1"/>
  <c r="R69" i="1"/>
  <c r="R67" i="1"/>
  <c r="R66" i="1"/>
  <c r="R65" i="1"/>
  <c r="BH77" i="1"/>
  <c r="BH225" i="1" s="1"/>
  <c r="BH76" i="1"/>
  <c r="BH224" i="1" s="1"/>
  <c r="BH297" i="1" s="1"/>
  <c r="BR68" i="1"/>
  <c r="BQ68" i="1"/>
  <c r="BP68" i="1"/>
  <c r="BO68" i="1"/>
  <c r="BN68" i="1"/>
  <c r="BM68" i="1"/>
  <c r="BL68" i="1"/>
  <c r="BK68" i="1"/>
  <c r="BJ68" i="1"/>
  <c r="BH68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BH73" i="1"/>
  <c r="BH221" i="1"/>
  <c r="BH69" i="1"/>
  <c r="BH65" i="1"/>
  <c r="BH213" i="1" s="1"/>
  <c r="BH57" i="1"/>
  <c r="BH8" i="1"/>
  <c r="BR274" i="1"/>
  <c r="BR273" i="1"/>
  <c r="BR272" i="1"/>
  <c r="BR252" i="1"/>
  <c r="BR228" i="1"/>
  <c r="BR224" i="1"/>
  <c r="BR223" i="1"/>
  <c r="BR222" i="1"/>
  <c r="BR219" i="1"/>
  <c r="BR218" i="1"/>
  <c r="BR217" i="1"/>
  <c r="BR216" i="1"/>
  <c r="BR214" i="1"/>
  <c r="BR212" i="1"/>
  <c r="BR208" i="1"/>
  <c r="BR206" i="1"/>
  <c r="BR205" i="1"/>
  <c r="BR204" i="1"/>
  <c r="BR203" i="1"/>
  <c r="BR188" i="1"/>
  <c r="BR183" i="1"/>
  <c r="BR172" i="1"/>
  <c r="BR166" i="1"/>
  <c r="BR162" i="1"/>
  <c r="BR161" i="1"/>
  <c r="BR156" i="1"/>
  <c r="BR154" i="1"/>
  <c r="BR150" i="1"/>
  <c r="BR148" i="1"/>
  <c r="BR147" i="1"/>
  <c r="BR146" i="1"/>
  <c r="BR145" i="1"/>
  <c r="BR144" i="1"/>
  <c r="BR143" i="1"/>
  <c r="BR142" i="1"/>
  <c r="BR141" i="1"/>
  <c r="BR140" i="1"/>
  <c r="BR139" i="1"/>
  <c r="BR138" i="1"/>
  <c r="BR137" i="1"/>
  <c r="BR136" i="1"/>
  <c r="BR135" i="1"/>
  <c r="BR134" i="1"/>
  <c r="BR133" i="1"/>
  <c r="BR132" i="1"/>
  <c r="BR131" i="1"/>
  <c r="BR130" i="1"/>
  <c r="BR129" i="1"/>
  <c r="BR128" i="1"/>
  <c r="BR127" i="1"/>
  <c r="BR126" i="1"/>
  <c r="BR125" i="1"/>
  <c r="BR107" i="1"/>
  <c r="BR106" i="1"/>
  <c r="BR105" i="1"/>
  <c r="BR103" i="1"/>
  <c r="BR90" i="1"/>
  <c r="BR64" i="1"/>
  <c r="BR63" i="1"/>
  <c r="BR60" i="1"/>
  <c r="BR58" i="1"/>
  <c r="BR57" i="1"/>
  <c r="BR48" i="1"/>
  <c r="BR46" i="1"/>
  <c r="BR45" i="1"/>
  <c r="BR38" i="1"/>
  <c r="BR37" i="1"/>
  <c r="BR36" i="1"/>
  <c r="BR35" i="1"/>
  <c r="BR34" i="1"/>
  <c r="BR33" i="1"/>
  <c r="BR10" i="1"/>
  <c r="BR8" i="1"/>
  <c r="R3" i="1"/>
  <c r="BH274" i="1"/>
  <c r="BH273" i="1"/>
  <c r="BH272" i="1"/>
  <c r="BH252" i="1"/>
  <c r="BH250" i="1"/>
  <c r="BH249" i="1"/>
  <c r="BH230" i="1"/>
  <c r="BH303" i="1" s="1"/>
  <c r="BH228" i="1"/>
  <c r="BH301" i="1" s="1"/>
  <c r="BH223" i="1"/>
  <c r="BH296" i="1" s="1"/>
  <c r="BH222" i="1"/>
  <c r="BH295" i="1" s="1"/>
  <c r="BH219" i="1"/>
  <c r="BH292" i="1" s="1"/>
  <c r="BH217" i="1"/>
  <c r="BH290" i="1" s="1"/>
  <c r="BH214" i="1"/>
  <c r="BH208" i="1"/>
  <c r="BH206" i="1"/>
  <c r="BH205" i="1"/>
  <c r="BH204" i="1"/>
  <c r="BH203" i="1"/>
  <c r="BH192" i="1"/>
  <c r="BH188" i="1"/>
  <c r="BH183" i="1"/>
  <c r="BH166" i="1"/>
  <c r="BH156" i="1"/>
  <c r="BH119" i="1"/>
  <c r="BH103" i="1"/>
  <c r="BH90" i="1"/>
  <c r="BH218" i="1"/>
  <c r="BH291" i="1" s="1"/>
  <c r="BH64" i="1"/>
  <c r="BH63" i="1"/>
  <c r="BH60" i="1"/>
  <c r="BH58" i="1"/>
  <c r="BH48" i="1"/>
  <c r="BH46" i="1"/>
  <c r="BH38" i="1"/>
  <c r="BH37" i="1"/>
  <c r="BH36" i="1"/>
  <c r="BH35" i="1"/>
  <c r="BH34" i="1"/>
  <c r="BH33" i="1"/>
  <c r="BH10" i="1"/>
  <c r="I85" i="2"/>
  <c r="E122" i="2"/>
  <c r="E131" i="2"/>
  <c r="E110" i="2"/>
  <c r="E119" i="2" s="1"/>
  <c r="E115" i="2"/>
  <c r="E106" i="2"/>
  <c r="D96" i="2"/>
  <c r="D101" i="2" s="1"/>
  <c r="D110" i="2" s="1"/>
  <c r="D126" i="2" s="1"/>
  <c r="C96" i="2"/>
  <c r="C101" i="2" s="1"/>
  <c r="C110" i="2" s="1"/>
  <c r="C126" i="2" s="1"/>
  <c r="BP85" i="3"/>
  <c r="BP84" i="3"/>
  <c r="BP83" i="3"/>
  <c r="BP71" i="3"/>
  <c r="BP70" i="3"/>
  <c r="BP69" i="3"/>
  <c r="BP57" i="3"/>
  <c r="BP56" i="3"/>
  <c r="BP55" i="3"/>
  <c r="BP38" i="3"/>
  <c r="BP37" i="3"/>
  <c r="BP36" i="3"/>
  <c r="BP23" i="3"/>
  <c r="BP22" i="3"/>
  <c r="BP21" i="3"/>
  <c r="BP20" i="3"/>
  <c r="BP19" i="3"/>
  <c r="BF85" i="3"/>
  <c r="BF84" i="3"/>
  <c r="BF83" i="3"/>
  <c r="BF71" i="3"/>
  <c r="BF70" i="3"/>
  <c r="BF69" i="3"/>
  <c r="BF57" i="3"/>
  <c r="BF56" i="3"/>
  <c r="BF55" i="3"/>
  <c r="BF38" i="3"/>
  <c r="BF45" i="3" s="1"/>
  <c r="BF37" i="3"/>
  <c r="BF44" i="3" s="1"/>
  <c r="BF36" i="3"/>
  <c r="BF62" i="3" s="1"/>
  <c r="BF23" i="3"/>
  <c r="BF22" i="3"/>
  <c r="BF31" i="3" s="1"/>
  <c r="BF21" i="3"/>
  <c r="BF30" i="3" s="1"/>
  <c r="BF20" i="3"/>
  <c r="BF19" i="3"/>
  <c r="P45" i="3"/>
  <c r="P44" i="3"/>
  <c r="P43" i="3"/>
  <c r="P32" i="3"/>
  <c r="P31" i="3"/>
  <c r="P30" i="3"/>
  <c r="P29" i="3"/>
  <c r="P28" i="3"/>
  <c r="K18" i="2" l="1"/>
  <c r="E60" i="2"/>
  <c r="E53" i="2"/>
  <c r="C32" i="2"/>
  <c r="D31" i="2"/>
  <c r="D32" i="2" s="1"/>
  <c r="D53" i="2"/>
  <c r="D60" i="2"/>
  <c r="C60" i="2"/>
  <c r="C53" i="2"/>
  <c r="I19" i="2"/>
  <c r="C11" i="2"/>
  <c r="C17" i="2" s="1"/>
  <c r="C23" i="2" s="1"/>
  <c r="BQ92" i="3"/>
  <c r="BQ79" i="3"/>
  <c r="BG79" i="3"/>
  <c r="BG92" i="3"/>
  <c r="BQ65" i="3"/>
  <c r="BQ59" i="3"/>
  <c r="BQ49" i="3"/>
  <c r="BQ40" i="3"/>
  <c r="BQ51" i="3"/>
  <c r="BQ50" i="3"/>
  <c r="BQ25" i="3"/>
  <c r="BF43" i="3"/>
  <c r="BF32" i="3"/>
  <c r="BF28" i="3"/>
  <c r="BG59" i="3"/>
  <c r="BG65" i="3"/>
  <c r="BG40" i="3"/>
  <c r="BG49" i="3"/>
  <c r="BG51" i="3"/>
  <c r="BG50" i="3"/>
  <c r="BG25" i="3"/>
  <c r="R68" i="1"/>
  <c r="BH294" i="1"/>
  <c r="BH298" i="1"/>
  <c r="BH216" i="1"/>
  <c r="BH289" i="1" s="1"/>
  <c r="BH45" i="1"/>
  <c r="BH287" i="1"/>
  <c r="BH281" i="1"/>
  <c r="BH261" i="1"/>
  <c r="BH286" i="1"/>
  <c r="BR192" i="1"/>
  <c r="BR230" i="1"/>
  <c r="BH310" i="1"/>
  <c r="BH308" i="1"/>
  <c r="BR210" i="1"/>
  <c r="BR119" i="1"/>
  <c r="BR72" i="1"/>
  <c r="BR215" i="1"/>
  <c r="BR17" i="1"/>
  <c r="BR11" i="1"/>
  <c r="BH282" i="1"/>
  <c r="BH210" i="1"/>
  <c r="BH209" i="1"/>
  <c r="BH275" i="1"/>
  <c r="BH207" i="1"/>
  <c r="BH312" i="1"/>
  <c r="BH153" i="1"/>
  <c r="BH151" i="1"/>
  <c r="BH158" i="1" s="1"/>
  <c r="BH121" i="1"/>
  <c r="BH120" i="1"/>
  <c r="BH110" i="1"/>
  <c r="BH212" i="1"/>
  <c r="BH285" i="1" s="1"/>
  <c r="BH17" i="1"/>
  <c r="BH11" i="1"/>
  <c r="E126" i="2"/>
  <c r="D119" i="2"/>
  <c r="C119" i="2"/>
  <c r="BF29" i="3"/>
  <c r="BP145" i="3"/>
  <c r="BP91" i="3"/>
  <c r="BP90" i="3"/>
  <c r="BP78" i="3"/>
  <c r="BP77" i="3"/>
  <c r="BP76" i="3"/>
  <c r="BP64" i="3"/>
  <c r="BP63" i="3"/>
  <c r="BP39" i="3"/>
  <c r="BF158" i="3"/>
  <c r="BF152" i="3"/>
  <c r="BF145" i="3"/>
  <c r="BF91" i="3"/>
  <c r="BF78" i="3"/>
  <c r="BF64" i="3"/>
  <c r="BF58" i="3"/>
  <c r="Q158" i="3"/>
  <c r="Q152" i="3"/>
  <c r="Q145" i="3"/>
  <c r="Q106" i="3"/>
  <c r="Q91" i="3"/>
  <c r="Q90" i="3"/>
  <c r="Q89" i="3"/>
  <c r="Q86" i="3"/>
  <c r="Q78" i="3"/>
  <c r="Q77" i="3"/>
  <c r="Q76" i="3"/>
  <c r="Q72" i="3"/>
  <c r="Q64" i="3"/>
  <c r="Q63" i="3"/>
  <c r="Q62" i="3"/>
  <c r="Q58" i="3"/>
  <c r="Q45" i="3"/>
  <c r="Q44" i="3"/>
  <c r="Q43" i="3"/>
  <c r="Q39" i="3"/>
  <c r="Q51" i="3" s="1"/>
  <c r="Q32" i="3"/>
  <c r="Q31" i="3"/>
  <c r="Q30" i="3"/>
  <c r="Q29" i="3"/>
  <c r="Q28" i="3"/>
  <c r="Q24" i="3"/>
  <c r="Q117" i="3" s="1"/>
  <c r="P158" i="3"/>
  <c r="P152" i="3"/>
  <c r="P145" i="3"/>
  <c r="P106" i="3"/>
  <c r="P91" i="3"/>
  <c r="P90" i="3"/>
  <c r="P89" i="3"/>
  <c r="P86" i="3"/>
  <c r="P78" i="3"/>
  <c r="P77" i="3"/>
  <c r="P76" i="3"/>
  <c r="P72" i="3"/>
  <c r="P64" i="3"/>
  <c r="P63" i="3"/>
  <c r="P62" i="3"/>
  <c r="P58" i="3"/>
  <c r="P39" i="3"/>
  <c r="P24" i="3"/>
  <c r="BG249" i="1"/>
  <c r="BG250" i="1"/>
  <c r="BQ172" i="1"/>
  <c r="BQ162" i="1"/>
  <c r="BG162" i="1"/>
  <c r="P161" i="1"/>
  <c r="BQ161" i="1" s="1"/>
  <c r="Q161" i="1"/>
  <c r="BG161" i="1" s="1"/>
  <c r="BQ154" i="1"/>
  <c r="BQ150" i="1"/>
  <c r="BQ148" i="1"/>
  <c r="BQ147" i="1"/>
  <c r="BQ146" i="1"/>
  <c r="BQ145" i="1"/>
  <c r="BQ144" i="1"/>
  <c r="BQ143" i="1"/>
  <c r="BQ142" i="1"/>
  <c r="BQ141" i="1"/>
  <c r="BQ140" i="1"/>
  <c r="BQ139" i="1"/>
  <c r="BQ138" i="1"/>
  <c r="BQ137" i="1"/>
  <c r="BQ136" i="1"/>
  <c r="BQ135" i="1"/>
  <c r="BQ134" i="1"/>
  <c r="BQ133" i="1"/>
  <c r="BQ132" i="1"/>
  <c r="BQ131" i="1"/>
  <c r="BQ130" i="1"/>
  <c r="BQ129" i="1"/>
  <c r="BQ128" i="1"/>
  <c r="BQ127" i="1"/>
  <c r="BQ126" i="1"/>
  <c r="BQ125" i="1"/>
  <c r="BG154" i="1"/>
  <c r="BG150" i="1"/>
  <c r="BG148" i="1"/>
  <c r="BG147" i="1"/>
  <c r="C81" i="2" s="1"/>
  <c r="BG146" i="1"/>
  <c r="C80" i="2" s="1"/>
  <c r="BG145" i="1"/>
  <c r="BG144" i="1"/>
  <c r="BG143" i="1"/>
  <c r="BG142" i="1"/>
  <c r="BG141" i="1"/>
  <c r="BG140" i="1"/>
  <c r="BG139" i="1"/>
  <c r="BG138" i="1"/>
  <c r="BG137" i="1"/>
  <c r="BG136" i="1"/>
  <c r="BG135" i="1"/>
  <c r="BG134" i="1"/>
  <c r="BG133" i="1"/>
  <c r="BG132" i="1"/>
  <c r="BG131" i="1"/>
  <c r="BG130" i="1"/>
  <c r="BG129" i="1"/>
  <c r="BG128" i="1"/>
  <c r="BG127" i="1"/>
  <c r="BG126" i="1"/>
  <c r="BG125" i="1"/>
  <c r="P149" i="1"/>
  <c r="N149" i="1"/>
  <c r="P124" i="1"/>
  <c r="BQ124" i="1" s="1"/>
  <c r="BQ107" i="1"/>
  <c r="BQ106" i="1"/>
  <c r="BQ105" i="1"/>
  <c r="BG107" i="1"/>
  <c r="BG106" i="1"/>
  <c r="BG105" i="1"/>
  <c r="P109" i="1"/>
  <c r="BQ109" i="1" s="1"/>
  <c r="Q109" i="1"/>
  <c r="BG109" i="1" s="1"/>
  <c r="P108" i="1"/>
  <c r="BQ108" i="1" s="1"/>
  <c r="Q108" i="1"/>
  <c r="BG108" i="1" s="1"/>
  <c r="BG88" i="1"/>
  <c r="P77" i="1"/>
  <c r="P225" i="1" s="1"/>
  <c r="P75" i="1"/>
  <c r="P223" i="1" s="1"/>
  <c r="P76" i="1"/>
  <c r="Q75" i="1"/>
  <c r="Q223" i="1" s="1"/>
  <c r="Q77" i="1"/>
  <c r="Q225" i="1" s="1"/>
  <c r="Q74" i="1"/>
  <c r="Q222" i="1" s="1"/>
  <c r="Q76" i="1"/>
  <c r="Q224" i="1" s="1"/>
  <c r="P73" i="1"/>
  <c r="P69" i="1"/>
  <c r="P100" i="1" s="1"/>
  <c r="P190" i="1" s="1"/>
  <c r="Q73" i="1"/>
  <c r="Q221" i="1" s="1"/>
  <c r="Q69" i="1"/>
  <c r="Q216" i="1" s="1"/>
  <c r="P65" i="1"/>
  <c r="Q65" i="1"/>
  <c r="Q213" i="1" s="1"/>
  <c r="BU57" i="1"/>
  <c r="BP57" i="1"/>
  <c r="BP209" i="1" s="1"/>
  <c r="BO57" i="1"/>
  <c r="BN57" i="1"/>
  <c r="BL57" i="1"/>
  <c r="BK57" i="1"/>
  <c r="BJ57" i="1"/>
  <c r="BF57" i="1"/>
  <c r="BF209" i="1" s="1"/>
  <c r="BE57" i="1"/>
  <c r="BE209" i="1" s="1"/>
  <c r="BD57" i="1"/>
  <c r="BB57" i="1"/>
  <c r="BA57" i="1"/>
  <c r="AZ57" i="1"/>
  <c r="AX57" i="1"/>
  <c r="AW57" i="1"/>
  <c r="AV57" i="1"/>
  <c r="AT57" i="1"/>
  <c r="AS57" i="1"/>
  <c r="AR57" i="1"/>
  <c r="AP57" i="1"/>
  <c r="AO57" i="1"/>
  <c r="AN57" i="1"/>
  <c r="AL57" i="1"/>
  <c r="AK57" i="1"/>
  <c r="AJ57" i="1"/>
  <c r="AH57" i="1"/>
  <c r="AG57" i="1"/>
  <c r="AF57" i="1"/>
  <c r="AD57" i="1"/>
  <c r="AC57" i="1"/>
  <c r="AB57" i="1"/>
  <c r="Z57" i="1"/>
  <c r="Y57" i="1"/>
  <c r="X57" i="1"/>
  <c r="Q57" i="1"/>
  <c r="Q209" i="1" s="1"/>
  <c r="P57" i="1"/>
  <c r="P209" i="1" s="1"/>
  <c r="BX56" i="1"/>
  <c r="BW56" i="1"/>
  <c r="BQ56" i="1"/>
  <c r="BR95" i="1" s="1"/>
  <c r="BG56" i="1"/>
  <c r="R56" i="1" s="1"/>
  <c r="BX50" i="1"/>
  <c r="BW50" i="1"/>
  <c r="BX28" i="1"/>
  <c r="BW28" i="1"/>
  <c r="BX27" i="1"/>
  <c r="BW27" i="1"/>
  <c r="BX25" i="1"/>
  <c r="BW25" i="1"/>
  <c r="BX24" i="1"/>
  <c r="BW24" i="1"/>
  <c r="BX23" i="1"/>
  <c r="BW23" i="1"/>
  <c r="BX22" i="1"/>
  <c r="BW22" i="1"/>
  <c r="BX21" i="1"/>
  <c r="BW21" i="1"/>
  <c r="BX20" i="1"/>
  <c r="BW20" i="1"/>
  <c r="BX19" i="1"/>
  <c r="BW19" i="1"/>
  <c r="BX18" i="1"/>
  <c r="BW18" i="1"/>
  <c r="BX16" i="1"/>
  <c r="BW16" i="1"/>
  <c r="BX15" i="1"/>
  <c r="BW15" i="1"/>
  <c r="BX14" i="1"/>
  <c r="BW14" i="1"/>
  <c r="BX13" i="1"/>
  <c r="BW13" i="1"/>
  <c r="BX12" i="1"/>
  <c r="BW12" i="1"/>
  <c r="BX9" i="1"/>
  <c r="BW9" i="1"/>
  <c r="BX7" i="1"/>
  <c r="BW7" i="1"/>
  <c r="BX48" i="1"/>
  <c r="BQ28" i="1"/>
  <c r="BQ27" i="1"/>
  <c r="BQ25" i="1"/>
  <c r="BQ24" i="1"/>
  <c r="BQ23" i="1"/>
  <c r="BQ22" i="1"/>
  <c r="BQ21" i="1"/>
  <c r="BQ20" i="1"/>
  <c r="BQ19" i="1"/>
  <c r="BQ18" i="1"/>
  <c r="BQ16" i="1"/>
  <c r="BQ15" i="1"/>
  <c r="BQ14" i="1"/>
  <c r="BQ13" i="1"/>
  <c r="BQ12" i="1"/>
  <c r="BQ9" i="1"/>
  <c r="BR92" i="1" s="1"/>
  <c r="BR114" i="1" s="1"/>
  <c r="BQ7" i="1"/>
  <c r="BR91" i="1" s="1"/>
  <c r="BR184" i="1" s="1"/>
  <c r="BG28" i="1"/>
  <c r="R28" i="1" s="1"/>
  <c r="BG27" i="1"/>
  <c r="R27" i="1" s="1"/>
  <c r="BG25" i="1"/>
  <c r="R25" i="1" s="1"/>
  <c r="BG24" i="1"/>
  <c r="R24" i="1" s="1"/>
  <c r="BG23" i="1"/>
  <c r="R23" i="1" s="1"/>
  <c r="BG22" i="1"/>
  <c r="R22" i="1" s="1"/>
  <c r="BG21" i="1"/>
  <c r="R21" i="1" s="1"/>
  <c r="BG20" i="1"/>
  <c r="R20" i="1" s="1"/>
  <c r="BG19" i="1"/>
  <c r="R19" i="1" s="1"/>
  <c r="BG18" i="1"/>
  <c r="R18" i="1" s="1"/>
  <c r="BG16" i="1"/>
  <c r="R16" i="1" s="1"/>
  <c r="BG15" i="1"/>
  <c r="R15" i="1" s="1"/>
  <c r="BG14" i="1"/>
  <c r="R14" i="1" s="1"/>
  <c r="BG13" i="1"/>
  <c r="R13" i="1" s="1"/>
  <c r="BG12" i="1"/>
  <c r="R12" i="1" s="1"/>
  <c r="BG9" i="1"/>
  <c r="R9" i="1" s="1"/>
  <c r="BG7" i="1"/>
  <c r="R7" i="1" s="1"/>
  <c r="Q8" i="1"/>
  <c r="Q207" i="1" s="1"/>
  <c r="BW48" i="1"/>
  <c r="BQ274" i="1"/>
  <c r="BQ273" i="1"/>
  <c r="BQ272" i="1"/>
  <c r="BQ252" i="1"/>
  <c r="BQ205" i="1"/>
  <c r="BQ204" i="1"/>
  <c r="BQ203" i="1"/>
  <c r="BQ188" i="1"/>
  <c r="BQ183" i="1"/>
  <c r="BQ166" i="1"/>
  <c r="BQ156" i="1"/>
  <c r="BQ103" i="1"/>
  <c r="BQ90" i="1"/>
  <c r="BQ63" i="1"/>
  <c r="BQ48" i="1"/>
  <c r="BG274" i="1"/>
  <c r="BG273" i="1"/>
  <c r="BG272" i="1"/>
  <c r="BG252" i="1"/>
  <c r="BG205" i="1"/>
  <c r="BG204" i="1"/>
  <c r="BG203" i="1"/>
  <c r="BG188" i="1"/>
  <c r="BG183" i="1"/>
  <c r="BG166" i="1"/>
  <c r="BG156" i="1"/>
  <c r="R156" i="1" s="1"/>
  <c r="BG192" i="1"/>
  <c r="BG103" i="1"/>
  <c r="BG90" i="1"/>
  <c r="BG63" i="1"/>
  <c r="BG48" i="1"/>
  <c r="BG92" i="1"/>
  <c r="BG206" i="1"/>
  <c r="Q272" i="1"/>
  <c r="Q252" i="1"/>
  <c r="Q230" i="1"/>
  <c r="Q228" i="1"/>
  <c r="Q219" i="1"/>
  <c r="Q218" i="1"/>
  <c r="Q217" i="1"/>
  <c r="Q214" i="1"/>
  <c r="Q208" i="1"/>
  <c r="Q206" i="1"/>
  <c r="Q203" i="1"/>
  <c r="Q192" i="1"/>
  <c r="Q188" i="1"/>
  <c r="Q183" i="1"/>
  <c r="Q166" i="1"/>
  <c r="Q156" i="1"/>
  <c r="Q103" i="1"/>
  <c r="Q98" i="1"/>
  <c r="Q189" i="1" s="1"/>
  <c r="Q95" i="1"/>
  <c r="Q171" i="1" s="1"/>
  <c r="Q238" i="1" s="1"/>
  <c r="Q92" i="1"/>
  <c r="Q114" i="1" s="1"/>
  <c r="Q91" i="1"/>
  <c r="Q184" i="1" s="1"/>
  <c r="Q90" i="1"/>
  <c r="Q64" i="1"/>
  <c r="Q212" i="1" s="1"/>
  <c r="Q63" i="1"/>
  <c r="Q61" i="1"/>
  <c r="Q60" i="1"/>
  <c r="Q96" i="1" s="1"/>
  <c r="Q186" i="1" s="1"/>
  <c r="Q58" i="1"/>
  <c r="Q48" i="1"/>
  <c r="Q46" i="1"/>
  <c r="Q40" i="1"/>
  <c r="Q38" i="1"/>
  <c r="Q37" i="1"/>
  <c r="Q36" i="1"/>
  <c r="Q35" i="1"/>
  <c r="Q34" i="1"/>
  <c r="Q33" i="1"/>
  <c r="Q10" i="1"/>
  <c r="Q11" i="1" s="1"/>
  <c r="P272" i="1"/>
  <c r="P252" i="1"/>
  <c r="P230" i="1"/>
  <c r="P228" i="1"/>
  <c r="P222" i="1"/>
  <c r="P219" i="1"/>
  <c r="P218" i="1"/>
  <c r="P217" i="1"/>
  <c r="P214" i="1"/>
  <c r="P208" i="1"/>
  <c r="P206" i="1"/>
  <c r="P203" i="1"/>
  <c r="P192" i="1"/>
  <c r="P188" i="1"/>
  <c r="P183" i="1"/>
  <c r="P166" i="1"/>
  <c r="P156" i="1"/>
  <c r="P103" i="1"/>
  <c r="P98" i="1"/>
  <c r="P189" i="1" s="1"/>
  <c r="P95" i="1"/>
  <c r="P171" i="1" s="1"/>
  <c r="P238" i="1" s="1"/>
  <c r="P92" i="1"/>
  <c r="P91" i="1"/>
  <c r="P184" i="1" s="1"/>
  <c r="P90" i="1"/>
  <c r="P221" i="1"/>
  <c r="P213" i="1"/>
  <c r="P64" i="1"/>
  <c r="P63" i="1"/>
  <c r="P61" i="1"/>
  <c r="P60" i="1"/>
  <c r="P96" i="1" s="1"/>
  <c r="P186" i="1" s="1"/>
  <c r="P58" i="1"/>
  <c r="P48" i="1"/>
  <c r="P46" i="1"/>
  <c r="P40" i="1"/>
  <c r="P38" i="1"/>
  <c r="P37" i="1"/>
  <c r="P36" i="1"/>
  <c r="P35" i="1"/>
  <c r="P34" i="1"/>
  <c r="P33" i="1"/>
  <c r="P10" i="1"/>
  <c r="P17" i="1" s="1"/>
  <c r="P49" i="1" s="1"/>
  <c r="P51" i="1" s="1"/>
  <c r="P8" i="1"/>
  <c r="P207" i="1" s="1"/>
  <c r="D163" i="2"/>
  <c r="D169" i="2" s="1"/>
  <c r="C163" i="2"/>
  <c r="C169" i="2" s="1"/>
  <c r="C153" i="2"/>
  <c r="C151" i="2"/>
  <c r="I146" i="2" s="1"/>
  <c r="C149" i="2"/>
  <c r="C148" i="2"/>
  <c r="C147" i="2"/>
  <c r="E175" i="2"/>
  <c r="I145" i="2"/>
  <c r="BT45" i="3"/>
  <c r="BT44" i="3"/>
  <c r="BT43" i="3"/>
  <c r="BT29" i="3"/>
  <c r="BT30" i="3"/>
  <c r="BT31" i="3"/>
  <c r="BT32" i="3"/>
  <c r="BT28" i="3"/>
  <c r="BT145" i="3"/>
  <c r="BT91" i="3"/>
  <c r="BT90" i="3"/>
  <c r="BT89" i="3"/>
  <c r="BT86" i="3"/>
  <c r="BT78" i="3"/>
  <c r="BT77" i="3"/>
  <c r="BT76" i="3"/>
  <c r="BT72" i="3"/>
  <c r="BT64" i="3"/>
  <c r="BT63" i="3"/>
  <c r="BT62" i="3"/>
  <c r="BT58" i="3"/>
  <c r="BT39" i="3"/>
  <c r="BT40" i="3" s="1"/>
  <c r="BT24" i="3"/>
  <c r="BT25" i="3" s="1"/>
  <c r="BS145" i="3"/>
  <c r="BS91" i="3"/>
  <c r="BS90" i="3"/>
  <c r="BS89" i="3"/>
  <c r="BS86" i="3"/>
  <c r="BS78" i="3"/>
  <c r="BS77" i="3"/>
  <c r="BS76" i="3"/>
  <c r="BS72" i="3"/>
  <c r="BS64" i="3"/>
  <c r="BS63" i="3"/>
  <c r="BS62" i="3"/>
  <c r="BS58" i="3"/>
  <c r="BS39" i="3"/>
  <c r="BS40" i="3" s="1"/>
  <c r="BS24" i="3"/>
  <c r="BS25" i="3" s="1"/>
  <c r="BF50" i="1"/>
  <c r="BO43" i="3"/>
  <c r="BO45" i="3"/>
  <c r="BO44" i="3"/>
  <c r="BE45" i="3"/>
  <c r="BE44" i="3"/>
  <c r="BE43" i="3"/>
  <c r="BO32" i="3"/>
  <c r="BO31" i="3"/>
  <c r="BO30" i="3"/>
  <c r="BO29" i="3"/>
  <c r="BO28" i="3"/>
  <c r="BE32" i="3"/>
  <c r="BE31" i="3"/>
  <c r="BE30" i="3"/>
  <c r="BE29" i="3"/>
  <c r="BE28" i="3"/>
  <c r="BO145" i="3"/>
  <c r="BO91" i="3"/>
  <c r="BO90" i="3"/>
  <c r="BO89" i="3"/>
  <c r="BO86" i="3"/>
  <c r="BO78" i="3"/>
  <c r="BO77" i="3"/>
  <c r="BO76" i="3"/>
  <c r="BO72" i="3"/>
  <c r="BO64" i="3"/>
  <c r="BO63" i="3"/>
  <c r="BO62" i="3"/>
  <c r="BO58" i="3"/>
  <c r="BO39" i="3"/>
  <c r="BO24" i="3"/>
  <c r="BO25" i="3" s="1"/>
  <c r="BE158" i="3"/>
  <c r="BE152" i="3"/>
  <c r="BE145" i="3"/>
  <c r="BE91" i="3"/>
  <c r="BE90" i="3"/>
  <c r="BE89" i="3"/>
  <c r="BE86" i="3"/>
  <c r="BE78" i="3"/>
  <c r="BE77" i="3"/>
  <c r="BE76" i="3"/>
  <c r="BE72" i="3"/>
  <c r="BE64" i="3"/>
  <c r="BE63" i="3"/>
  <c r="BE62" i="3"/>
  <c r="BE58" i="3"/>
  <c r="BE39" i="3"/>
  <c r="BE40" i="3" s="1"/>
  <c r="BE24" i="3"/>
  <c r="BE25" i="3" s="1"/>
  <c r="BF249" i="1"/>
  <c r="BF250" i="1"/>
  <c r="BP162" i="1"/>
  <c r="BP161" i="1"/>
  <c r="BP154" i="1"/>
  <c r="BP124" i="1"/>
  <c r="BF126" i="1"/>
  <c r="C145" i="2" s="1"/>
  <c r="BF124" i="1"/>
  <c r="BF109" i="1"/>
  <c r="BF121" i="1" s="1"/>
  <c r="BF108" i="1"/>
  <c r="BP50" i="1"/>
  <c r="BP46" i="1" s="1"/>
  <c r="BU8" i="1"/>
  <c r="BP8" i="1"/>
  <c r="BP207" i="1" s="1"/>
  <c r="BF8" i="1"/>
  <c r="BF207" i="1" s="1"/>
  <c r="BU60" i="1"/>
  <c r="BU58" i="1"/>
  <c r="BU48" i="1"/>
  <c r="BU46" i="1"/>
  <c r="BU38" i="1"/>
  <c r="BU37" i="1"/>
  <c r="BU36" i="1"/>
  <c r="BU35" i="1"/>
  <c r="BU34" i="1"/>
  <c r="BU33" i="1"/>
  <c r="BU10" i="1"/>
  <c r="BU17" i="1" s="1"/>
  <c r="BT60" i="1"/>
  <c r="BT58" i="1"/>
  <c r="BT48" i="1"/>
  <c r="BT46" i="1"/>
  <c r="BT38" i="1"/>
  <c r="BT37" i="1"/>
  <c r="BT36" i="1"/>
  <c r="BT35" i="1"/>
  <c r="BT34" i="1"/>
  <c r="BT33" i="1"/>
  <c r="BT10" i="1"/>
  <c r="BT17" i="1" s="1"/>
  <c r="BP274" i="1"/>
  <c r="BP273" i="1"/>
  <c r="BP272" i="1"/>
  <c r="BP252" i="1"/>
  <c r="BP230" i="1"/>
  <c r="BP208" i="1"/>
  <c r="BP206" i="1"/>
  <c r="BP205" i="1"/>
  <c r="BP204" i="1"/>
  <c r="BP203" i="1"/>
  <c r="BP192" i="1"/>
  <c r="BP188" i="1"/>
  <c r="BP183" i="1"/>
  <c r="BP166" i="1"/>
  <c r="BP156" i="1"/>
  <c r="BP119" i="1"/>
  <c r="BP109" i="1"/>
  <c r="BP108" i="1"/>
  <c r="BP120" i="1" s="1"/>
  <c r="BP103" i="1"/>
  <c r="BP90" i="1"/>
  <c r="BP64" i="1"/>
  <c r="BP212" i="1" s="1"/>
  <c r="BP63" i="1"/>
  <c r="BP60" i="1"/>
  <c r="BP58" i="1"/>
  <c r="BP48" i="1"/>
  <c r="BP38" i="1"/>
  <c r="BP37" i="1"/>
  <c r="BP36" i="1"/>
  <c r="BP35" i="1"/>
  <c r="BP34" i="1"/>
  <c r="BP33" i="1"/>
  <c r="BP10" i="1"/>
  <c r="BP17" i="1" s="1"/>
  <c r="BF274" i="1"/>
  <c r="BF273" i="1"/>
  <c r="BF272" i="1"/>
  <c r="BF252" i="1"/>
  <c r="BF230" i="1"/>
  <c r="BF208" i="1"/>
  <c r="BF206" i="1"/>
  <c r="BF205" i="1"/>
  <c r="BF204" i="1"/>
  <c r="BF203" i="1"/>
  <c r="BF192" i="1"/>
  <c r="BF188" i="1"/>
  <c r="BF183" i="1"/>
  <c r="BF166" i="1"/>
  <c r="BF156" i="1"/>
  <c r="BF119" i="1"/>
  <c r="BF103" i="1"/>
  <c r="BF90" i="1"/>
  <c r="BF64" i="1"/>
  <c r="BF212" i="1" s="1"/>
  <c r="BF63" i="1"/>
  <c r="BF60" i="1"/>
  <c r="BF58" i="1"/>
  <c r="BF48" i="1"/>
  <c r="BF38" i="1"/>
  <c r="BF37" i="1"/>
  <c r="BF36" i="1"/>
  <c r="BF35" i="1"/>
  <c r="BF34" i="1"/>
  <c r="BF33" i="1"/>
  <c r="BF10" i="1"/>
  <c r="BF11" i="1" s="1"/>
  <c r="C198" i="2"/>
  <c r="C196" i="2"/>
  <c r="C210" i="2" s="1"/>
  <c r="C194" i="2"/>
  <c r="C193" i="2"/>
  <c r="C192" i="2"/>
  <c r="C190" i="2"/>
  <c r="C191" i="2" s="1"/>
  <c r="E221" i="2"/>
  <c r="BD45" i="3"/>
  <c r="BD44" i="3"/>
  <c r="BD43" i="3"/>
  <c r="BD32" i="3"/>
  <c r="BD31" i="3"/>
  <c r="BD30" i="3"/>
  <c r="BD29" i="3"/>
  <c r="BD28" i="3"/>
  <c r="BN145" i="3"/>
  <c r="BN91" i="3"/>
  <c r="BN90" i="3"/>
  <c r="BN89" i="3"/>
  <c r="BN86" i="3"/>
  <c r="BN76" i="3"/>
  <c r="BN78" i="3"/>
  <c r="BN77" i="3"/>
  <c r="BN64" i="3"/>
  <c r="BN63" i="3"/>
  <c r="BN62" i="3"/>
  <c r="BN58" i="3"/>
  <c r="BN45" i="3"/>
  <c r="BN44" i="3"/>
  <c r="BN43" i="3"/>
  <c r="BN39" i="3"/>
  <c r="BN50" i="3" s="1"/>
  <c r="BN32" i="3"/>
  <c r="BN31" i="3"/>
  <c r="BN30" i="3"/>
  <c r="BN29" i="3"/>
  <c r="BN28" i="3"/>
  <c r="BN24" i="3"/>
  <c r="BD158" i="3"/>
  <c r="BD152" i="3"/>
  <c r="BD145" i="3"/>
  <c r="BD91" i="3"/>
  <c r="BD90" i="3"/>
  <c r="BD89" i="3"/>
  <c r="BD86" i="3"/>
  <c r="BD78" i="3"/>
  <c r="BD77" i="3"/>
  <c r="BD64" i="3"/>
  <c r="BD63" i="3"/>
  <c r="BD58" i="3"/>
  <c r="BD39" i="3"/>
  <c r="BD50" i="3" s="1"/>
  <c r="BD24" i="3"/>
  <c r="BE8" i="1"/>
  <c r="BE207" i="1" s="1"/>
  <c r="BO154" i="1"/>
  <c r="BO79" i="1"/>
  <c r="BP79" i="1" s="1"/>
  <c r="BO71" i="1"/>
  <c r="BO218" i="1" s="1"/>
  <c r="BO81" i="1"/>
  <c r="BO228" i="1" s="1"/>
  <c r="BO74" i="1"/>
  <c r="BP74" i="1" s="1"/>
  <c r="BP222" i="1" s="1"/>
  <c r="BO67" i="1"/>
  <c r="BO70" i="1"/>
  <c r="BO217" i="1" s="1"/>
  <c r="BO69" i="1"/>
  <c r="BO66" i="1"/>
  <c r="BO214" i="1" s="1"/>
  <c r="BO274" i="1"/>
  <c r="BO273" i="1"/>
  <c r="BO272" i="1"/>
  <c r="BO252" i="1"/>
  <c r="BO208" i="1"/>
  <c r="BO206" i="1"/>
  <c r="BO205" i="1"/>
  <c r="BO204" i="1"/>
  <c r="BO203" i="1"/>
  <c r="BO188" i="1"/>
  <c r="BO183" i="1"/>
  <c r="BO172" i="1"/>
  <c r="BO166" i="1"/>
  <c r="BO162" i="1"/>
  <c r="BO161" i="1"/>
  <c r="BO156" i="1"/>
  <c r="BO150" i="1"/>
  <c r="BO230" i="1" s="1"/>
  <c r="BO121" i="1"/>
  <c r="BO120" i="1"/>
  <c r="BO110" i="1"/>
  <c r="BO103" i="1"/>
  <c r="BO90" i="1"/>
  <c r="BO64" i="1"/>
  <c r="BO63" i="1"/>
  <c r="BO60" i="1"/>
  <c r="BO58" i="1"/>
  <c r="BO48" i="1"/>
  <c r="BO46" i="1"/>
  <c r="BO38" i="1"/>
  <c r="BO37" i="1"/>
  <c r="BO36" i="1"/>
  <c r="BO35" i="1"/>
  <c r="BO34" i="1"/>
  <c r="BO33" i="1"/>
  <c r="BO10" i="1"/>
  <c r="BO11" i="1" s="1"/>
  <c r="BO8" i="1"/>
  <c r="BE124" i="1"/>
  <c r="BE109" i="1"/>
  <c r="BE121" i="1" s="1"/>
  <c r="BE81" i="1"/>
  <c r="BE228" i="1" s="1"/>
  <c r="BE79" i="1"/>
  <c r="BF79" i="1" s="1"/>
  <c r="BE74" i="1"/>
  <c r="BE222" i="1" s="1"/>
  <c r="BE75" i="1"/>
  <c r="BE223" i="1" s="1"/>
  <c r="BE67" i="1"/>
  <c r="BE70" i="1"/>
  <c r="BE217" i="1" s="1"/>
  <c r="BE69" i="1"/>
  <c r="BE66" i="1"/>
  <c r="BE214" i="1" s="1"/>
  <c r="BD65" i="1"/>
  <c r="BE65" i="1" s="1"/>
  <c r="BF65" i="1" s="1"/>
  <c r="BE274" i="1"/>
  <c r="BE273" i="1"/>
  <c r="BE272" i="1"/>
  <c r="BE252" i="1"/>
  <c r="BE310" i="1"/>
  <c r="BE230" i="1"/>
  <c r="BE208" i="1"/>
  <c r="BE206" i="1"/>
  <c r="BE205" i="1"/>
  <c r="BE204" i="1"/>
  <c r="BE203" i="1"/>
  <c r="BE192" i="1"/>
  <c r="BE188" i="1"/>
  <c r="BE183" i="1"/>
  <c r="BE166" i="1"/>
  <c r="BE156" i="1"/>
  <c r="BE119" i="1"/>
  <c r="BE120" i="1"/>
  <c r="BE103" i="1"/>
  <c r="BE90" i="1"/>
  <c r="BE64" i="1"/>
  <c r="BE212" i="1" s="1"/>
  <c r="BE63" i="1"/>
  <c r="BE60" i="1"/>
  <c r="BE58" i="1"/>
  <c r="BE48" i="1"/>
  <c r="BE46" i="1"/>
  <c r="BE38" i="1"/>
  <c r="BE37" i="1"/>
  <c r="BE36" i="1"/>
  <c r="BE35" i="1"/>
  <c r="BE34" i="1"/>
  <c r="BE33" i="1"/>
  <c r="BE10" i="1"/>
  <c r="BE17" i="1" s="1"/>
  <c r="I21" i="2" l="1"/>
  <c r="K21" i="2" s="1"/>
  <c r="E11" i="2"/>
  <c r="BF46" i="1"/>
  <c r="BR78" i="1"/>
  <c r="BR220" i="1"/>
  <c r="BR26" i="1"/>
  <c r="BR49" i="1"/>
  <c r="BR51" i="1" s="1"/>
  <c r="BR39" i="1"/>
  <c r="BR171" i="1"/>
  <c r="BR238" i="1" s="1"/>
  <c r="BR185" i="1"/>
  <c r="BO216" i="1"/>
  <c r="BH196" i="1"/>
  <c r="BH265" i="1" s="1"/>
  <c r="BH163" i="1"/>
  <c r="BH193" i="1"/>
  <c r="BH262" i="1" s="1"/>
  <c r="BH159" i="1"/>
  <c r="BH232" i="1"/>
  <c r="BH305" i="1" s="1"/>
  <c r="BH195" i="1"/>
  <c r="BH264" i="1" s="1"/>
  <c r="BH164" i="1"/>
  <c r="BH181" i="1"/>
  <c r="BH247" i="1" s="1"/>
  <c r="BH233" i="1"/>
  <c r="BH306" i="1" s="1"/>
  <c r="BH72" i="1"/>
  <c r="BH215" i="1"/>
  <c r="BH288" i="1" s="1"/>
  <c r="BH26" i="1"/>
  <c r="BH39" i="1"/>
  <c r="BH49" i="1"/>
  <c r="BH51" i="1" s="1"/>
  <c r="BH52" i="1" s="1"/>
  <c r="Q59" i="3"/>
  <c r="BX8" i="1"/>
  <c r="BH283" i="1"/>
  <c r="Q250" i="1"/>
  <c r="I72" i="2"/>
  <c r="C86" i="2"/>
  <c r="C84" i="2"/>
  <c r="C82" i="2"/>
  <c r="C78" i="2"/>
  <c r="Q149" i="1"/>
  <c r="BG124" i="1"/>
  <c r="BH95" i="1"/>
  <c r="BH41" i="1"/>
  <c r="BH40" i="1"/>
  <c r="BH92" i="1"/>
  <c r="BH91" i="1"/>
  <c r="C142" i="2"/>
  <c r="C143" i="2" s="1"/>
  <c r="BF151" i="1"/>
  <c r="BE219" i="1"/>
  <c r="BE45" i="1"/>
  <c r="P117" i="3"/>
  <c r="P51" i="3"/>
  <c r="BP89" i="3"/>
  <c r="BP62" i="3"/>
  <c r="BP40" i="3"/>
  <c r="BP50" i="3"/>
  <c r="BP51" i="3"/>
  <c r="P65" i="3"/>
  <c r="P92" i="3"/>
  <c r="Q79" i="3"/>
  <c r="Q121" i="3"/>
  <c r="BF89" i="3"/>
  <c r="BP58" i="3"/>
  <c r="BF72" i="3"/>
  <c r="BP24" i="3"/>
  <c r="BP72" i="3"/>
  <c r="BP79" i="3" s="1"/>
  <c r="BP86" i="3"/>
  <c r="BP92" i="3" s="1"/>
  <c r="P50" i="3"/>
  <c r="Q46" i="3"/>
  <c r="BP49" i="3"/>
  <c r="P79" i="3"/>
  <c r="P121" i="3"/>
  <c r="BF76" i="3"/>
  <c r="P25" i="3"/>
  <c r="BF86" i="3"/>
  <c r="BF77" i="3"/>
  <c r="P40" i="3"/>
  <c r="BF24" i="3"/>
  <c r="BF90" i="3"/>
  <c r="Q50" i="3"/>
  <c r="Q108" i="3"/>
  <c r="BF39" i="3"/>
  <c r="BF51" i="3" s="1"/>
  <c r="BF63" i="3"/>
  <c r="P49" i="3"/>
  <c r="Q65" i="3"/>
  <c r="Q112" i="3"/>
  <c r="Q114" i="3"/>
  <c r="Q40" i="3"/>
  <c r="Q92" i="3"/>
  <c r="Q119" i="3"/>
  <c r="Q25" i="3"/>
  <c r="Q120" i="3"/>
  <c r="Q118" i="3"/>
  <c r="P118" i="3"/>
  <c r="Q113" i="3"/>
  <c r="Q122" i="3"/>
  <c r="Q49" i="3"/>
  <c r="Q115" i="3"/>
  <c r="Q33" i="3"/>
  <c r="Q116" i="3"/>
  <c r="P59" i="3"/>
  <c r="P108" i="3"/>
  <c r="P119" i="3"/>
  <c r="P112" i="3"/>
  <c r="P120" i="3"/>
  <c r="P113" i="3"/>
  <c r="P114" i="3"/>
  <c r="P122" i="3"/>
  <c r="P115" i="3"/>
  <c r="P116" i="3"/>
  <c r="Q100" i="1"/>
  <c r="Q190" i="1" s="1"/>
  <c r="BQ79" i="1"/>
  <c r="Q45" i="1"/>
  <c r="BX57" i="1"/>
  <c r="BG50" i="1"/>
  <c r="R50" i="1" s="1"/>
  <c r="BQ50" i="1"/>
  <c r="BQ74" i="1"/>
  <c r="P116" i="1"/>
  <c r="BG65" i="1"/>
  <c r="BG8" i="1"/>
  <c r="BG207" i="1" s="1"/>
  <c r="BG57" i="1"/>
  <c r="BG209" i="1" s="1"/>
  <c r="P224" i="1"/>
  <c r="BG79" i="1"/>
  <c r="P45" i="1"/>
  <c r="P216" i="1"/>
  <c r="BG37" i="1"/>
  <c r="BG35" i="1"/>
  <c r="P11" i="1"/>
  <c r="P210" i="1"/>
  <c r="BG308" i="1"/>
  <c r="BG40" i="1"/>
  <c r="BG261" i="1"/>
  <c r="BG312" i="1"/>
  <c r="BG116" i="1"/>
  <c r="BQ230" i="1"/>
  <c r="BQ192" i="1"/>
  <c r="BG10" i="1"/>
  <c r="BG34" i="1"/>
  <c r="BG310" i="1"/>
  <c r="BG119" i="1"/>
  <c r="Q17" i="1"/>
  <c r="Q49" i="1" s="1"/>
  <c r="Q51" i="1" s="1"/>
  <c r="BG58" i="1"/>
  <c r="BG230" i="1"/>
  <c r="BG303" i="1" s="1"/>
  <c r="BF303" i="1"/>
  <c r="BG38" i="1"/>
  <c r="BG121" i="1"/>
  <c r="BF308" i="1"/>
  <c r="BG120" i="1"/>
  <c r="BG275" i="1"/>
  <c r="BG46" i="1"/>
  <c r="BG60" i="1"/>
  <c r="BH96" i="1" s="1"/>
  <c r="BG208" i="1"/>
  <c r="BE261" i="1"/>
  <c r="BG33" i="1"/>
  <c r="BG91" i="1"/>
  <c r="BG184" i="1" s="1"/>
  <c r="BG110" i="1"/>
  <c r="Q115" i="1"/>
  <c r="BG64" i="1"/>
  <c r="Q116" i="1"/>
  <c r="BG213" i="1"/>
  <c r="BG286" i="1" s="1"/>
  <c r="BG114" i="1"/>
  <c r="Q119" i="1"/>
  <c r="BG36" i="1"/>
  <c r="P120" i="1"/>
  <c r="BG95" i="1"/>
  <c r="Q215" i="1"/>
  <c r="Q210" i="1"/>
  <c r="P41" i="1"/>
  <c r="P153" i="1"/>
  <c r="P169" i="1" s="1"/>
  <c r="P236" i="1" s="1"/>
  <c r="P181" i="1"/>
  <c r="P247" i="1" s="1"/>
  <c r="P215" i="1"/>
  <c r="P114" i="1"/>
  <c r="Q185" i="1"/>
  <c r="Q120" i="1"/>
  <c r="BT59" i="3"/>
  <c r="Q121" i="1"/>
  <c r="Q177" i="1"/>
  <c r="Q243" i="1" s="1"/>
  <c r="Q110" i="1"/>
  <c r="Q111" i="1" s="1"/>
  <c r="Q178" i="1"/>
  <c r="Q244" i="1" s="1"/>
  <c r="P26" i="1"/>
  <c r="P42" i="1" s="1"/>
  <c r="P39" i="1"/>
  <c r="P121" i="1"/>
  <c r="P212" i="1"/>
  <c r="P110" i="1"/>
  <c r="P111" i="1" s="1"/>
  <c r="P94" i="1"/>
  <c r="P55" i="1"/>
  <c r="P53" i="1"/>
  <c r="C146" i="2"/>
  <c r="I137" i="2"/>
  <c r="P93" i="1"/>
  <c r="P119" i="1"/>
  <c r="P185" i="1"/>
  <c r="P115" i="1"/>
  <c r="P177" i="1"/>
  <c r="P243" i="1" s="1"/>
  <c r="BQ110" i="1"/>
  <c r="P178" i="1"/>
  <c r="P244" i="1" s="1"/>
  <c r="I149" i="2"/>
  <c r="I150" i="2" s="1"/>
  <c r="C164" i="2"/>
  <c r="C165" i="2" s="1"/>
  <c r="I148" i="2"/>
  <c r="BE59" i="3"/>
  <c r="BP81" i="1"/>
  <c r="BQ81" i="1" s="1"/>
  <c r="BS79" i="3"/>
  <c r="BT33" i="3"/>
  <c r="BT46" i="3"/>
  <c r="BO59" i="3"/>
  <c r="BS59" i="3"/>
  <c r="BO45" i="1"/>
  <c r="BF69" i="1"/>
  <c r="BT49" i="3"/>
  <c r="BS92" i="3"/>
  <c r="BT79" i="3"/>
  <c r="BT65" i="3"/>
  <c r="BT50" i="3"/>
  <c r="BT51" i="3"/>
  <c r="BT92" i="3"/>
  <c r="BS49" i="3"/>
  <c r="BS65" i="3"/>
  <c r="BS50" i="3"/>
  <c r="BS51" i="3"/>
  <c r="BE33" i="3"/>
  <c r="BE46" i="3"/>
  <c r="BO92" i="3"/>
  <c r="BO50" i="3"/>
  <c r="BO79" i="3"/>
  <c r="BO40" i="3"/>
  <c r="BE50" i="3"/>
  <c r="BE92" i="3"/>
  <c r="BO49" i="3"/>
  <c r="BO65" i="3"/>
  <c r="BE79" i="3"/>
  <c r="BO51" i="3"/>
  <c r="BE49" i="3"/>
  <c r="BE65" i="3"/>
  <c r="BE51" i="3"/>
  <c r="BN65" i="3"/>
  <c r="BD46" i="3"/>
  <c r="BD33" i="3"/>
  <c r="BF67" i="1"/>
  <c r="BP66" i="1"/>
  <c r="BQ66" i="1" s="1"/>
  <c r="BE303" i="1"/>
  <c r="BP69" i="1"/>
  <c r="BP70" i="1"/>
  <c r="BQ70" i="1" s="1"/>
  <c r="BF110" i="1"/>
  <c r="BF70" i="1"/>
  <c r="BF74" i="1"/>
  <c r="BF222" i="1" s="1"/>
  <c r="BF295" i="1" s="1"/>
  <c r="BF81" i="1"/>
  <c r="BF228" i="1" s="1"/>
  <c r="BF301" i="1" s="1"/>
  <c r="BP71" i="1"/>
  <c r="BQ71" i="1" s="1"/>
  <c r="BF75" i="1"/>
  <c r="BF66" i="1"/>
  <c r="BF214" i="1" s="1"/>
  <c r="BF287" i="1" s="1"/>
  <c r="BP67" i="1"/>
  <c r="BU49" i="1"/>
  <c r="BU39" i="1"/>
  <c r="BU26" i="1"/>
  <c r="BU11" i="1"/>
  <c r="BT49" i="1"/>
  <c r="BT39" i="1"/>
  <c r="BT26" i="1"/>
  <c r="BE312" i="1"/>
  <c r="BF285" i="1"/>
  <c r="BF312" i="1"/>
  <c r="BF210" i="1"/>
  <c r="BT11" i="1"/>
  <c r="BF17" i="1"/>
  <c r="BF49" i="1" s="1"/>
  <c r="BF51" i="1" s="1"/>
  <c r="BP49" i="1"/>
  <c r="BP51" i="1" s="1"/>
  <c r="BP39" i="1"/>
  <c r="BP26" i="1"/>
  <c r="BP110" i="1"/>
  <c r="BF310" i="1"/>
  <c r="BP121" i="1"/>
  <c r="BO222" i="1"/>
  <c r="BP151" i="1"/>
  <c r="BF261" i="1"/>
  <c r="BP153" i="1"/>
  <c r="BF281" i="1"/>
  <c r="BP210" i="1"/>
  <c r="I182" i="2"/>
  <c r="BP11" i="1"/>
  <c r="BF213" i="1"/>
  <c r="BF286" i="1" s="1"/>
  <c r="BF275" i="1"/>
  <c r="BO192" i="1"/>
  <c r="BE210" i="1"/>
  <c r="BF120" i="1"/>
  <c r="C187" i="2"/>
  <c r="I190" i="2"/>
  <c r="I191" i="2"/>
  <c r="C211" i="2"/>
  <c r="I194" i="2"/>
  <c r="BN51" i="3"/>
  <c r="BN59" i="3"/>
  <c r="BN72" i="3"/>
  <c r="BN79" i="3" s="1"/>
  <c r="BN92" i="3"/>
  <c r="BN25" i="3"/>
  <c r="BD49" i="3"/>
  <c r="BN49" i="3"/>
  <c r="BN40" i="3"/>
  <c r="BD65" i="3"/>
  <c r="BD25" i="3"/>
  <c r="BD59" i="3"/>
  <c r="BD72" i="3"/>
  <c r="BD79" i="3" s="1"/>
  <c r="BD62" i="3"/>
  <c r="BD76" i="3"/>
  <c r="BD51" i="3"/>
  <c r="BD92" i="3"/>
  <c r="BD40" i="3"/>
  <c r="BO219" i="1"/>
  <c r="BO17" i="1"/>
  <c r="BO210" i="1"/>
  <c r="BO151" i="1"/>
  <c r="BO153" i="1"/>
  <c r="BO119" i="1"/>
  <c r="BO212" i="1"/>
  <c r="BE39" i="1"/>
  <c r="BE49" i="1"/>
  <c r="BE26" i="1"/>
  <c r="BE153" i="1"/>
  <c r="BE151" i="1"/>
  <c r="BE158" i="1" s="1"/>
  <c r="BE216" i="1"/>
  <c r="BE110" i="1"/>
  <c r="BE308" i="1"/>
  <c r="BE11" i="1"/>
  <c r="C239" i="2"/>
  <c r="I235" i="2" s="1"/>
  <c r="C237" i="2"/>
  <c r="C251" i="2" s="1"/>
  <c r="C235" i="2"/>
  <c r="C234" i="2"/>
  <c r="C233" i="2"/>
  <c r="C231" i="2"/>
  <c r="E262" i="2"/>
  <c r="I231" i="2"/>
  <c r="BC62" i="3"/>
  <c r="BM45" i="3"/>
  <c r="BM44" i="3"/>
  <c r="BM43" i="3"/>
  <c r="BC45" i="3"/>
  <c r="BC44" i="3"/>
  <c r="BC43" i="3"/>
  <c r="BM32" i="3"/>
  <c r="BM31" i="3"/>
  <c r="BM30" i="3"/>
  <c r="BM29" i="3"/>
  <c r="BM28" i="3"/>
  <c r="BC32" i="3"/>
  <c r="BC31" i="3"/>
  <c r="BC30" i="3"/>
  <c r="BC29" i="3"/>
  <c r="BC28" i="3"/>
  <c r="BM145" i="3"/>
  <c r="BM91" i="3"/>
  <c r="BM90" i="3"/>
  <c r="BM89" i="3"/>
  <c r="BM86" i="3"/>
  <c r="BM78" i="3"/>
  <c r="BM77" i="3"/>
  <c r="BM76" i="3"/>
  <c r="BM72" i="3"/>
  <c r="BM64" i="3"/>
  <c r="BM63" i="3"/>
  <c r="BM62" i="3"/>
  <c r="BM58" i="3"/>
  <c r="BM39" i="3"/>
  <c r="BQ46" i="3" s="1"/>
  <c r="BM24" i="3"/>
  <c r="BC158" i="3"/>
  <c r="BC152" i="3"/>
  <c r="BC145" i="3"/>
  <c r="BC91" i="3"/>
  <c r="BC90" i="3"/>
  <c r="BC89" i="3"/>
  <c r="BC86" i="3"/>
  <c r="BC78" i="3"/>
  <c r="BC77" i="3"/>
  <c r="BC76" i="3"/>
  <c r="BC72" i="3"/>
  <c r="BC64" i="3"/>
  <c r="BC63" i="3"/>
  <c r="BC58" i="3"/>
  <c r="BC39" i="3"/>
  <c r="BC24" i="3"/>
  <c r="BC25" i="3" s="1"/>
  <c r="BJ308" i="1"/>
  <c r="AV308" i="1"/>
  <c r="AS308" i="1"/>
  <c r="AP308" i="1"/>
  <c r="AL308" i="1"/>
  <c r="AK308" i="1"/>
  <c r="AH308" i="1"/>
  <c r="AG308" i="1"/>
  <c r="AF308" i="1"/>
  <c r="K308" i="1"/>
  <c r="J308" i="1"/>
  <c r="I308" i="1"/>
  <c r="H308" i="1"/>
  <c r="BJ310" i="1"/>
  <c r="AV310" i="1"/>
  <c r="AS310" i="1"/>
  <c r="K310" i="1"/>
  <c r="BN172" i="1"/>
  <c r="BD249" i="1"/>
  <c r="BR249" i="1" s="1"/>
  <c r="BD250" i="1"/>
  <c r="BR250" i="1" s="1"/>
  <c r="BN162" i="1"/>
  <c r="BN161" i="1"/>
  <c r="BN154" i="1"/>
  <c r="BN150" i="1"/>
  <c r="BN148" i="1"/>
  <c r="BN147" i="1"/>
  <c r="BN146" i="1"/>
  <c r="BN144" i="1"/>
  <c r="BN143" i="1"/>
  <c r="BN142" i="1"/>
  <c r="BN141" i="1"/>
  <c r="BN140" i="1"/>
  <c r="BN139" i="1"/>
  <c r="BN138" i="1"/>
  <c r="BN137" i="1"/>
  <c r="BN136" i="1"/>
  <c r="BN135" i="1"/>
  <c r="BN134" i="1"/>
  <c r="BN133" i="1"/>
  <c r="BN132" i="1"/>
  <c r="BN131" i="1"/>
  <c r="BN130" i="1"/>
  <c r="BN129" i="1"/>
  <c r="BN128" i="1"/>
  <c r="BN127" i="1"/>
  <c r="BN126" i="1"/>
  <c r="BN125" i="1"/>
  <c r="BD124" i="1"/>
  <c r="BJ119" i="1"/>
  <c r="BK119" i="1"/>
  <c r="BL119" i="1"/>
  <c r="BB119" i="1"/>
  <c r="BA119" i="1"/>
  <c r="AX119" i="1"/>
  <c r="AW119" i="1"/>
  <c r="AV119" i="1"/>
  <c r="AT119" i="1"/>
  <c r="AS119" i="1"/>
  <c r="AR119" i="1"/>
  <c r="AP119" i="1"/>
  <c r="AO119" i="1"/>
  <c r="AN119" i="1"/>
  <c r="AL119" i="1"/>
  <c r="AK119" i="1"/>
  <c r="AJ119" i="1"/>
  <c r="AH119" i="1"/>
  <c r="AG119" i="1"/>
  <c r="AF119" i="1"/>
  <c r="AD119" i="1"/>
  <c r="AC119" i="1"/>
  <c r="AB119" i="1"/>
  <c r="Z119" i="1"/>
  <c r="Y119" i="1"/>
  <c r="X119" i="1"/>
  <c r="V119" i="1"/>
  <c r="U119" i="1"/>
  <c r="T119" i="1"/>
  <c r="BD119" i="1"/>
  <c r="BD109" i="1"/>
  <c r="BD108" i="1"/>
  <c r="BN77" i="1"/>
  <c r="BN76" i="1"/>
  <c r="BN75" i="1"/>
  <c r="BN73" i="1"/>
  <c r="BN65" i="1"/>
  <c r="BD77" i="1"/>
  <c r="BD76" i="1"/>
  <c r="BD73" i="1"/>
  <c r="BD71" i="1"/>
  <c r="BN8" i="1"/>
  <c r="BD8" i="1"/>
  <c r="BN274" i="1"/>
  <c r="BN273" i="1"/>
  <c r="BN272" i="1"/>
  <c r="BN252" i="1"/>
  <c r="BN228" i="1"/>
  <c r="BN222" i="1"/>
  <c r="BN219" i="1"/>
  <c r="BN218" i="1"/>
  <c r="BN217" i="1"/>
  <c r="BN214" i="1"/>
  <c r="BN208" i="1"/>
  <c r="BR209" i="1" s="1"/>
  <c r="BN206" i="1"/>
  <c r="BR207" i="1" s="1"/>
  <c r="BN205" i="1"/>
  <c r="BN204" i="1"/>
  <c r="BN203" i="1"/>
  <c r="BN188" i="1"/>
  <c r="BN183" i="1"/>
  <c r="BN166" i="1"/>
  <c r="BN156" i="1"/>
  <c r="BN103" i="1"/>
  <c r="BN90" i="1"/>
  <c r="BN216" i="1"/>
  <c r="BN64" i="1"/>
  <c r="BN212" i="1" s="1"/>
  <c r="BN63" i="1"/>
  <c r="BN60" i="1"/>
  <c r="BN58" i="1"/>
  <c r="BN48" i="1"/>
  <c r="BN46" i="1"/>
  <c r="BN45" i="1"/>
  <c r="BN38" i="1"/>
  <c r="BN37" i="1"/>
  <c r="BN36" i="1"/>
  <c r="BN35" i="1"/>
  <c r="BN34" i="1"/>
  <c r="BN33" i="1"/>
  <c r="BN10" i="1"/>
  <c r="BN11" i="1" s="1"/>
  <c r="BD274" i="1"/>
  <c r="BD273" i="1"/>
  <c r="BD272" i="1"/>
  <c r="BD252" i="1"/>
  <c r="BD230" i="1"/>
  <c r="BD228" i="1"/>
  <c r="BD222" i="1"/>
  <c r="BD219" i="1"/>
  <c r="BD217" i="1"/>
  <c r="BD214" i="1"/>
  <c r="BD208" i="1"/>
  <c r="BD206" i="1"/>
  <c r="BD205" i="1"/>
  <c r="BD204" i="1"/>
  <c r="BD203" i="1"/>
  <c r="BD192" i="1"/>
  <c r="BD188" i="1"/>
  <c r="BD183" i="1"/>
  <c r="BD166" i="1"/>
  <c r="BD156" i="1"/>
  <c r="BD103" i="1"/>
  <c r="BD90" i="1"/>
  <c r="BD223" i="1"/>
  <c r="BD216" i="1"/>
  <c r="BD64" i="1"/>
  <c r="BD63" i="1"/>
  <c r="BD60" i="1"/>
  <c r="BD58" i="1"/>
  <c r="BD48" i="1"/>
  <c r="BD46" i="1"/>
  <c r="BD45" i="1"/>
  <c r="BD38" i="1"/>
  <c r="BD37" i="1"/>
  <c r="BD36" i="1"/>
  <c r="BD35" i="1"/>
  <c r="BD34" i="1"/>
  <c r="BD33" i="1"/>
  <c r="BD10" i="1"/>
  <c r="BD17" i="1" s="1"/>
  <c r="BD49" i="1" s="1"/>
  <c r="BK45" i="3"/>
  <c r="BJ45" i="3"/>
  <c r="BK44" i="3"/>
  <c r="BJ44" i="3"/>
  <c r="BK43" i="3"/>
  <c r="BJ43" i="3"/>
  <c r="BA45" i="3"/>
  <c r="AZ45" i="3"/>
  <c r="BA44" i="3"/>
  <c r="AZ44" i="3"/>
  <c r="BA43" i="3"/>
  <c r="BA32" i="3"/>
  <c r="AZ32" i="3"/>
  <c r="BA31" i="3"/>
  <c r="AZ31" i="3"/>
  <c r="BA30" i="3"/>
  <c r="AZ30" i="3"/>
  <c r="BA29" i="3"/>
  <c r="AZ29" i="3"/>
  <c r="BA28" i="3"/>
  <c r="AZ28" i="3"/>
  <c r="AY32" i="3"/>
  <c r="AY31" i="3"/>
  <c r="AY30" i="3"/>
  <c r="AY29" i="3"/>
  <c r="AY28" i="3"/>
  <c r="BK32" i="3"/>
  <c r="BJ32" i="3"/>
  <c r="BK31" i="3"/>
  <c r="BJ31" i="3"/>
  <c r="BK30" i="3"/>
  <c r="BJ30" i="3"/>
  <c r="BK29" i="3"/>
  <c r="BJ29" i="3"/>
  <c r="BK28" i="3"/>
  <c r="BJ28" i="3"/>
  <c r="E303" i="2"/>
  <c r="I272" i="2"/>
  <c r="O45" i="3"/>
  <c r="O44" i="3"/>
  <c r="O43" i="3"/>
  <c r="N45" i="3"/>
  <c r="N44" i="3"/>
  <c r="N43" i="3"/>
  <c r="O32" i="3"/>
  <c r="O31" i="3"/>
  <c r="O30" i="3"/>
  <c r="O29" i="3"/>
  <c r="O28" i="3"/>
  <c r="N32" i="3"/>
  <c r="N31" i="3"/>
  <c r="N30" i="3"/>
  <c r="N29" i="3"/>
  <c r="N28" i="3"/>
  <c r="BL85" i="3"/>
  <c r="BL84" i="3"/>
  <c r="BL83" i="3"/>
  <c r="BL57" i="3"/>
  <c r="BL56" i="3"/>
  <c r="BL55" i="3"/>
  <c r="BL38" i="3"/>
  <c r="BP45" i="3" s="1"/>
  <c r="BL37" i="3"/>
  <c r="BP44" i="3" s="1"/>
  <c r="BL36" i="3"/>
  <c r="BP43" i="3" s="1"/>
  <c r="BL23" i="3"/>
  <c r="BP32" i="3" s="1"/>
  <c r="BL22" i="3"/>
  <c r="BP31" i="3" s="1"/>
  <c r="BL21" i="3"/>
  <c r="BP30" i="3" s="1"/>
  <c r="BL20" i="3"/>
  <c r="BP29" i="3" s="1"/>
  <c r="BL19" i="3"/>
  <c r="BP28" i="3" s="1"/>
  <c r="BL145" i="3"/>
  <c r="N106" i="3"/>
  <c r="N145" i="3"/>
  <c r="N91" i="3"/>
  <c r="N90" i="3"/>
  <c r="N89" i="3"/>
  <c r="N86" i="3"/>
  <c r="N78" i="3"/>
  <c r="N77" i="3"/>
  <c r="N76" i="3"/>
  <c r="N72" i="3"/>
  <c r="N64" i="3"/>
  <c r="N63" i="3"/>
  <c r="N62" i="3"/>
  <c r="N58" i="3"/>
  <c r="N39" i="3"/>
  <c r="N40" i="3" s="1"/>
  <c r="N24" i="3"/>
  <c r="N117" i="3" s="1"/>
  <c r="BB158" i="3"/>
  <c r="BB152" i="3"/>
  <c r="BB145" i="3"/>
  <c r="BB85" i="3"/>
  <c r="BB84" i="3"/>
  <c r="BB83" i="3"/>
  <c r="BB57" i="3"/>
  <c r="BB56" i="3"/>
  <c r="BB55" i="3"/>
  <c r="BB38" i="3"/>
  <c r="BB37" i="3"/>
  <c r="BB23" i="3"/>
  <c r="BB22" i="3"/>
  <c r="BB21" i="3"/>
  <c r="BB20" i="3"/>
  <c r="BB19" i="3"/>
  <c r="O106" i="3"/>
  <c r="O158" i="3"/>
  <c r="O152" i="3"/>
  <c r="O145" i="3"/>
  <c r="O91" i="3"/>
  <c r="O90" i="3"/>
  <c r="O89" i="3"/>
  <c r="O86" i="3"/>
  <c r="O78" i="3"/>
  <c r="O77" i="3"/>
  <c r="O76" i="3"/>
  <c r="O72" i="3"/>
  <c r="O64" i="3"/>
  <c r="O63" i="3"/>
  <c r="O62" i="3"/>
  <c r="O58" i="3"/>
  <c r="O39" i="3"/>
  <c r="O24" i="3"/>
  <c r="BM172" i="1"/>
  <c r="BM162" i="1"/>
  <c r="BM161" i="1"/>
  <c r="BM154" i="1"/>
  <c r="BM150" i="1"/>
  <c r="BM192" i="1" s="1"/>
  <c r="BM148" i="1"/>
  <c r="BM147" i="1"/>
  <c r="BM146" i="1"/>
  <c r="BM145" i="1"/>
  <c r="BM144" i="1"/>
  <c r="BM143" i="1"/>
  <c r="BM142" i="1"/>
  <c r="BM141" i="1"/>
  <c r="BM140" i="1"/>
  <c r="BM139" i="1"/>
  <c r="BM138" i="1"/>
  <c r="BM137" i="1"/>
  <c r="BM136" i="1"/>
  <c r="BM135" i="1"/>
  <c r="BM134" i="1"/>
  <c r="BM133" i="1"/>
  <c r="BM132" i="1"/>
  <c r="BM131" i="1"/>
  <c r="BM130" i="1"/>
  <c r="BM129" i="1"/>
  <c r="BM128" i="1"/>
  <c r="BM127" i="1"/>
  <c r="BM126" i="1"/>
  <c r="BM125" i="1"/>
  <c r="BM107" i="1"/>
  <c r="BM106" i="1"/>
  <c r="BM105" i="1"/>
  <c r="BM56" i="1"/>
  <c r="BM50" i="1"/>
  <c r="BM28" i="1"/>
  <c r="BM27" i="1"/>
  <c r="BM20" i="1"/>
  <c r="BM19" i="1"/>
  <c r="BM18" i="1"/>
  <c r="BM16" i="1"/>
  <c r="BM15" i="1"/>
  <c r="BM14" i="1"/>
  <c r="BM13" i="1"/>
  <c r="BM12" i="1"/>
  <c r="BM9" i="1"/>
  <c r="BM7" i="1"/>
  <c r="BP91" i="1" s="1"/>
  <c r="BM274" i="1"/>
  <c r="BM273" i="1"/>
  <c r="BM272" i="1"/>
  <c r="BM252" i="1"/>
  <c r="BM205" i="1"/>
  <c r="BM204" i="1"/>
  <c r="BM203" i="1"/>
  <c r="BM188" i="1"/>
  <c r="BM183" i="1"/>
  <c r="BM166" i="1"/>
  <c r="BM156" i="1"/>
  <c r="BM103" i="1"/>
  <c r="BM90" i="1"/>
  <c r="BM63" i="1"/>
  <c r="BM48" i="1"/>
  <c r="N124" i="1"/>
  <c r="N109" i="1"/>
  <c r="BM109" i="1" s="1"/>
  <c r="N108" i="1"/>
  <c r="BM108" i="1" s="1"/>
  <c r="N73" i="1"/>
  <c r="N221" i="1" s="1"/>
  <c r="N77" i="1"/>
  <c r="N225" i="1" s="1"/>
  <c r="N76" i="1"/>
  <c r="N224" i="1" s="1"/>
  <c r="N75" i="1"/>
  <c r="N223" i="1" s="1"/>
  <c r="N65" i="1"/>
  <c r="N213" i="1" s="1"/>
  <c r="N272" i="1"/>
  <c r="N252" i="1"/>
  <c r="N222" i="1"/>
  <c r="N218" i="1"/>
  <c r="N216" i="1"/>
  <c r="N214" i="1"/>
  <c r="N208" i="1"/>
  <c r="N206" i="1"/>
  <c r="N203" i="1"/>
  <c r="N188" i="1"/>
  <c r="N183" i="1"/>
  <c r="N166" i="1"/>
  <c r="N156" i="1"/>
  <c r="N230" i="1"/>
  <c r="N103" i="1"/>
  <c r="N100" i="1"/>
  <c r="N95" i="1"/>
  <c r="N185" i="1" s="1"/>
  <c r="N92" i="1"/>
  <c r="N114" i="1" s="1"/>
  <c r="N91" i="1"/>
  <c r="N184" i="1" s="1"/>
  <c r="N90" i="1"/>
  <c r="N88" i="1"/>
  <c r="BM88" i="1" s="1"/>
  <c r="N228" i="1"/>
  <c r="N98" i="1"/>
  <c r="N217" i="1"/>
  <c r="N64" i="1"/>
  <c r="N212" i="1" s="1"/>
  <c r="N63" i="1"/>
  <c r="N61" i="1"/>
  <c r="N60" i="1"/>
  <c r="N96" i="1" s="1"/>
  <c r="N186" i="1" s="1"/>
  <c r="N58" i="1"/>
  <c r="N57" i="1"/>
  <c r="N46" i="1"/>
  <c r="N48" i="1"/>
  <c r="N45" i="1"/>
  <c r="N40" i="1"/>
  <c r="N38" i="1"/>
  <c r="N37" i="1"/>
  <c r="N36" i="1"/>
  <c r="N35" i="1"/>
  <c r="N34" i="1"/>
  <c r="N33" i="1"/>
  <c r="N10" i="1"/>
  <c r="N11" i="1" s="1"/>
  <c r="N8" i="1"/>
  <c r="BC249" i="1"/>
  <c r="BQ249" i="1" s="1"/>
  <c r="BC250" i="1"/>
  <c r="BQ250" i="1" s="1"/>
  <c r="BC172" i="1"/>
  <c r="BC162" i="1"/>
  <c r="BC161" i="1"/>
  <c r="BC154" i="1"/>
  <c r="BC150" i="1"/>
  <c r="BC192" i="1" s="1"/>
  <c r="BC148" i="1"/>
  <c r="BC147" i="1"/>
  <c r="BC146" i="1"/>
  <c r="BC145" i="1"/>
  <c r="BC144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07" i="1"/>
  <c r="BC106" i="1"/>
  <c r="BC105" i="1"/>
  <c r="BC88" i="1"/>
  <c r="BQ88" i="1" s="1"/>
  <c r="BC56" i="1"/>
  <c r="BC50" i="1"/>
  <c r="BC28" i="1"/>
  <c r="BC27" i="1"/>
  <c r="BC20" i="1"/>
  <c r="BC19" i="1"/>
  <c r="BC18" i="1"/>
  <c r="BC16" i="1"/>
  <c r="BC15" i="1"/>
  <c r="BC14" i="1"/>
  <c r="BQ36" i="1" s="1"/>
  <c r="BC13" i="1"/>
  <c r="BC12" i="1"/>
  <c r="BC9" i="1"/>
  <c r="BC7" i="1"/>
  <c r="BC274" i="1"/>
  <c r="BC273" i="1"/>
  <c r="BC272" i="1"/>
  <c r="BC252" i="1"/>
  <c r="BC205" i="1"/>
  <c r="BC204" i="1"/>
  <c r="BC203" i="1"/>
  <c r="BC188" i="1"/>
  <c r="BC183" i="1"/>
  <c r="BC166" i="1"/>
  <c r="BC156" i="1"/>
  <c r="BC103" i="1"/>
  <c r="BC90" i="1"/>
  <c r="BC63" i="1"/>
  <c r="BC48" i="1"/>
  <c r="AY144" i="1"/>
  <c r="O124" i="1"/>
  <c r="BC124" i="1" s="1"/>
  <c r="O109" i="1"/>
  <c r="BC109" i="1" s="1"/>
  <c r="O108" i="1"/>
  <c r="BC108" i="1" s="1"/>
  <c r="O77" i="1"/>
  <c r="O225" i="1" s="1"/>
  <c r="O76" i="1"/>
  <c r="O224" i="1" s="1"/>
  <c r="O75" i="1"/>
  <c r="O223" i="1" s="1"/>
  <c r="O73" i="1"/>
  <c r="O221" i="1" s="1"/>
  <c r="O65" i="1"/>
  <c r="O272" i="1"/>
  <c r="O252" i="1"/>
  <c r="O222" i="1"/>
  <c r="O218" i="1"/>
  <c r="O217" i="1"/>
  <c r="O216" i="1"/>
  <c r="O214" i="1"/>
  <c r="O208" i="1"/>
  <c r="O206" i="1"/>
  <c r="O203" i="1"/>
  <c r="O188" i="1"/>
  <c r="O183" i="1"/>
  <c r="O166" i="1"/>
  <c r="O156" i="1"/>
  <c r="O230" i="1"/>
  <c r="O103" i="1"/>
  <c r="O100" i="1"/>
  <c r="O95" i="1"/>
  <c r="O185" i="1" s="1"/>
  <c r="O92" i="1"/>
  <c r="O114" i="1" s="1"/>
  <c r="O91" i="1"/>
  <c r="O184" i="1" s="1"/>
  <c r="O90" i="1"/>
  <c r="O228" i="1"/>
  <c r="O98" i="1"/>
  <c r="O64" i="1"/>
  <c r="O212" i="1" s="1"/>
  <c r="O63" i="1"/>
  <c r="O61" i="1"/>
  <c r="O60" i="1"/>
  <c r="O96" i="1" s="1"/>
  <c r="O186" i="1" s="1"/>
  <c r="O58" i="1"/>
  <c r="O57" i="1"/>
  <c r="O209" i="1" s="1"/>
  <c r="O46" i="1"/>
  <c r="O48" i="1"/>
  <c r="O45" i="1"/>
  <c r="O38" i="1"/>
  <c r="O37" i="1"/>
  <c r="O36" i="1"/>
  <c r="O35" i="1"/>
  <c r="O34" i="1"/>
  <c r="O33" i="1"/>
  <c r="O10" i="1"/>
  <c r="O11" i="1" s="1"/>
  <c r="O8" i="1"/>
  <c r="O207" i="1" s="1"/>
  <c r="E17" i="2" l="1"/>
  <c r="C19" i="2"/>
  <c r="C21" i="2"/>
  <c r="D11" i="2"/>
  <c r="D55" i="2"/>
  <c r="BM25" i="3"/>
  <c r="BQ33" i="3"/>
  <c r="D82" i="2"/>
  <c r="BG69" i="1"/>
  <c r="BH100" i="1"/>
  <c r="BH190" i="1" s="1"/>
  <c r="BQ69" i="1"/>
  <c r="BR100" i="1"/>
  <c r="BR83" i="1"/>
  <c r="BR226" i="1"/>
  <c r="BR299" i="1" s="1"/>
  <c r="BR43" i="1"/>
  <c r="BR29" i="1"/>
  <c r="BR42" i="1"/>
  <c r="BR53" i="1"/>
  <c r="BR55" i="1"/>
  <c r="BR187" i="1"/>
  <c r="C150" i="2"/>
  <c r="BC57" i="1"/>
  <c r="BC153" i="1"/>
  <c r="BR190" i="1"/>
  <c r="Q303" i="1"/>
  <c r="Q312" i="1"/>
  <c r="Q261" i="1"/>
  <c r="Q310" i="1"/>
  <c r="Q308" i="1"/>
  <c r="Q41" i="1"/>
  <c r="Q151" i="1"/>
  <c r="Q153" i="1"/>
  <c r="BQ67" i="1"/>
  <c r="BR98" i="1" s="1"/>
  <c r="BR177" i="1" s="1"/>
  <c r="BR243" i="1" s="1"/>
  <c r="BR293" i="1"/>
  <c r="BR288" i="1"/>
  <c r="BR281" i="1"/>
  <c r="BR285" i="1"/>
  <c r="BR286" i="1"/>
  <c r="BR287" i="1"/>
  <c r="BR289" i="1"/>
  <c r="BR290" i="1"/>
  <c r="BR291" i="1"/>
  <c r="BR292" i="1"/>
  <c r="BR294" i="1"/>
  <c r="BR295" i="1"/>
  <c r="BR296" i="1"/>
  <c r="BR297" i="1"/>
  <c r="BR298" i="1"/>
  <c r="BR301" i="1"/>
  <c r="BR275" i="1"/>
  <c r="BR310" i="1"/>
  <c r="BR312" i="1"/>
  <c r="BR308" i="1"/>
  <c r="BR303" i="1"/>
  <c r="BR124" i="1"/>
  <c r="BD121" i="1"/>
  <c r="BR109" i="1"/>
  <c r="BD120" i="1"/>
  <c r="BR108" i="1"/>
  <c r="BH175" i="1"/>
  <c r="BH194" i="1"/>
  <c r="BH263" i="1" s="1"/>
  <c r="BH328" i="1"/>
  <c r="BH78" i="1"/>
  <c r="BH80" i="1" s="1"/>
  <c r="BH87" i="1" s="1"/>
  <c r="BH220" i="1"/>
  <c r="BH293" i="1" s="1"/>
  <c r="BH43" i="1"/>
  <c r="BH29" i="1"/>
  <c r="BH42" i="1"/>
  <c r="BH53" i="1"/>
  <c r="BH55" i="1"/>
  <c r="D80" i="2"/>
  <c r="D81" i="2"/>
  <c r="J82" i="2"/>
  <c r="J84" i="2"/>
  <c r="J83" i="2"/>
  <c r="D86" i="2"/>
  <c r="I89" i="2"/>
  <c r="J89" i="2" s="1"/>
  <c r="C97" i="2"/>
  <c r="D84" i="2"/>
  <c r="C129" i="2"/>
  <c r="D129" i="2" s="1"/>
  <c r="C128" i="2"/>
  <c r="D128" i="2" s="1"/>
  <c r="C130" i="2"/>
  <c r="D130" i="2" s="1"/>
  <c r="C127" i="2"/>
  <c r="I86" i="2"/>
  <c r="C79" i="2"/>
  <c r="C102" i="2"/>
  <c r="D102" i="2" s="1"/>
  <c r="C105" i="2"/>
  <c r="D105" i="2" s="1"/>
  <c r="C104" i="2"/>
  <c r="D104" i="2" s="1"/>
  <c r="C103" i="2"/>
  <c r="D103" i="2" s="1"/>
  <c r="C114" i="2"/>
  <c r="D114" i="2" s="1"/>
  <c r="C113" i="2"/>
  <c r="D113" i="2" s="1"/>
  <c r="C111" i="2"/>
  <c r="C112" i="2"/>
  <c r="D112" i="2" s="1"/>
  <c r="D78" i="2"/>
  <c r="D79" i="2" s="1"/>
  <c r="C120" i="2"/>
  <c r="C121" i="2"/>
  <c r="D121" i="2" s="1"/>
  <c r="BG153" i="1"/>
  <c r="BH171" i="1"/>
  <c r="BH238" i="1" s="1"/>
  <c r="BH185" i="1"/>
  <c r="BH116" i="1"/>
  <c r="BH114" i="1"/>
  <c r="BH111" i="1"/>
  <c r="BH115" i="1"/>
  <c r="BH184" i="1"/>
  <c r="BH169" i="1"/>
  <c r="BH168" i="1"/>
  <c r="BG11" i="1"/>
  <c r="BF59" i="3"/>
  <c r="BH174" i="1"/>
  <c r="BH186" i="1"/>
  <c r="BG171" i="1"/>
  <c r="BG238" i="1" s="1"/>
  <c r="C88" i="2"/>
  <c r="BE51" i="1"/>
  <c r="D145" i="2"/>
  <c r="D146" i="2" s="1"/>
  <c r="P46" i="3"/>
  <c r="BF33" i="3"/>
  <c r="BF46" i="3"/>
  <c r="BF79" i="3"/>
  <c r="P33" i="3"/>
  <c r="BP25" i="3"/>
  <c r="BP65" i="3"/>
  <c r="BF25" i="3"/>
  <c r="BF40" i="3"/>
  <c r="BF49" i="3"/>
  <c r="BF50" i="3"/>
  <c r="BF65" i="3"/>
  <c r="BF92" i="3"/>
  <c r="O117" i="3"/>
  <c r="O40" i="3"/>
  <c r="BG70" i="1"/>
  <c r="BG74" i="1"/>
  <c r="BG111" i="1"/>
  <c r="Q55" i="1"/>
  <c r="Q52" i="1"/>
  <c r="BP95" i="1"/>
  <c r="BP168" i="1" s="1"/>
  <c r="BP235" i="1" s="1"/>
  <c r="BF55" i="1"/>
  <c r="BF52" i="1"/>
  <c r="BF223" i="1"/>
  <c r="BF296" i="1" s="1"/>
  <c r="BG75" i="1"/>
  <c r="BG223" i="1" s="1"/>
  <c r="BG296" i="1" s="1"/>
  <c r="BG81" i="1"/>
  <c r="BQ57" i="1"/>
  <c r="BQ209" i="1" s="1"/>
  <c r="BC119" i="1"/>
  <c r="BG67" i="1"/>
  <c r="BG66" i="1"/>
  <c r="P233" i="1"/>
  <c r="P158" i="1"/>
  <c r="P196" i="1" s="1"/>
  <c r="BU51" i="1"/>
  <c r="BQ8" i="1"/>
  <c r="BQ207" i="1" s="1"/>
  <c r="BG17" i="1"/>
  <c r="BG26" i="1" s="1"/>
  <c r="Q26" i="1"/>
  <c r="Q29" i="1" s="1"/>
  <c r="Q99" i="1" s="1"/>
  <c r="Q39" i="1"/>
  <c r="Q94" i="1"/>
  <c r="Q93" i="1"/>
  <c r="Q53" i="1"/>
  <c r="BT51" i="1"/>
  <c r="BT53" i="1" s="1"/>
  <c r="BQ34" i="1"/>
  <c r="BG96" i="1"/>
  <c r="BG186" i="1" s="1"/>
  <c r="P72" i="1"/>
  <c r="P101" i="1" s="1"/>
  <c r="BQ35" i="1"/>
  <c r="P232" i="1"/>
  <c r="BQ46" i="1"/>
  <c r="BQ37" i="1"/>
  <c r="BQ95" i="1"/>
  <c r="BQ64" i="1"/>
  <c r="BQ58" i="1"/>
  <c r="BQ208" i="1"/>
  <c r="BQ60" i="1"/>
  <c r="BQ38" i="1"/>
  <c r="BP219" i="1"/>
  <c r="O250" i="1"/>
  <c r="O308" i="1" s="1"/>
  <c r="BQ261" i="1"/>
  <c r="Q72" i="1"/>
  <c r="Q101" i="1" s="1"/>
  <c r="BQ206" i="1"/>
  <c r="BQ10" i="1"/>
  <c r="BP59" i="3" s="1"/>
  <c r="BQ91" i="1"/>
  <c r="P164" i="1"/>
  <c r="BQ92" i="1"/>
  <c r="BQ114" i="1" s="1"/>
  <c r="BQ33" i="1"/>
  <c r="BG100" i="1"/>
  <c r="BG190" i="1" s="1"/>
  <c r="BQ121" i="1"/>
  <c r="BQ120" i="1"/>
  <c r="BQ119" i="1"/>
  <c r="BF217" i="1"/>
  <c r="BF290" i="1" s="1"/>
  <c r="BE73" i="1"/>
  <c r="BF73" i="1" s="1"/>
  <c r="BF221" i="1" s="1"/>
  <c r="BF294" i="1" s="1"/>
  <c r="P163" i="1"/>
  <c r="BG212" i="1"/>
  <c r="BG285" i="1" s="1"/>
  <c r="BE71" i="1"/>
  <c r="BE77" i="1"/>
  <c r="BF77" i="1" s="1"/>
  <c r="BF225" i="1" s="1"/>
  <c r="BF298" i="1" s="1"/>
  <c r="D149" i="2"/>
  <c r="BG281" i="1"/>
  <c r="BG210" i="1"/>
  <c r="BG45" i="1"/>
  <c r="BG216" i="1"/>
  <c r="BG289" i="1" s="1"/>
  <c r="BD51" i="1"/>
  <c r="BE76" i="1"/>
  <c r="BG185" i="1"/>
  <c r="BF219" i="1"/>
  <c r="BF292" i="1" s="1"/>
  <c r="BG115" i="1"/>
  <c r="Q187" i="1"/>
  <c r="P159" i="1"/>
  <c r="P194" i="1" s="1"/>
  <c r="P197" i="1"/>
  <c r="D142" i="2"/>
  <c r="D143" i="2" s="1"/>
  <c r="P193" i="1"/>
  <c r="P43" i="1"/>
  <c r="P29" i="1"/>
  <c r="P99" i="1" s="1"/>
  <c r="P168" i="1"/>
  <c r="P198" i="1" s="1"/>
  <c r="P195" i="1"/>
  <c r="J144" i="2"/>
  <c r="J143" i="2"/>
  <c r="J142" i="2"/>
  <c r="D153" i="2"/>
  <c r="D147" i="2"/>
  <c r="D148" i="2"/>
  <c r="D151" i="2"/>
  <c r="P187" i="1"/>
  <c r="J146" i="2"/>
  <c r="D164" i="2"/>
  <c r="D165" i="2" s="1"/>
  <c r="J149" i="2"/>
  <c r="J189" i="2"/>
  <c r="BF215" i="1"/>
  <c r="BF288" i="1" s="1"/>
  <c r="BF153" i="1"/>
  <c r="BB31" i="3"/>
  <c r="BB30" i="3"/>
  <c r="BB90" i="3"/>
  <c r="BO92" i="1"/>
  <c r="BO114" i="1" s="1"/>
  <c r="BP92" i="1"/>
  <c r="BU42" i="1"/>
  <c r="BU29" i="1"/>
  <c r="BU43" i="1"/>
  <c r="BU45" i="1"/>
  <c r="BP214" i="1"/>
  <c r="BP228" i="1"/>
  <c r="BT45" i="1"/>
  <c r="BF39" i="1"/>
  <c r="BP218" i="1"/>
  <c r="BF26" i="1"/>
  <c r="BF42" i="1" s="1"/>
  <c r="BT42" i="1"/>
  <c r="BT29" i="1"/>
  <c r="BT43" i="1"/>
  <c r="BP217" i="1"/>
  <c r="BF53" i="1"/>
  <c r="J191" i="2"/>
  <c r="D193" i="2"/>
  <c r="BP181" i="1"/>
  <c r="BP247" i="1" s="1"/>
  <c r="BP233" i="1"/>
  <c r="BP164" i="1"/>
  <c r="BP195" i="1"/>
  <c r="BP216" i="1"/>
  <c r="BP45" i="1"/>
  <c r="D198" i="2"/>
  <c r="BP42" i="1"/>
  <c r="BP29" i="1"/>
  <c r="BP43" i="1"/>
  <c r="J194" i="2"/>
  <c r="D210" i="2"/>
  <c r="D211" i="2" s="1"/>
  <c r="J188" i="2"/>
  <c r="BP53" i="1"/>
  <c r="BP55" i="1"/>
  <c r="D194" i="2"/>
  <c r="J187" i="2"/>
  <c r="BP158" i="1"/>
  <c r="D192" i="2"/>
  <c r="D196" i="2"/>
  <c r="D190" i="2"/>
  <c r="BP159" i="1"/>
  <c r="BP193" i="1"/>
  <c r="BP232" i="1"/>
  <c r="BP163" i="1"/>
  <c r="BF95" i="1"/>
  <c r="BN213" i="1"/>
  <c r="BO65" i="1"/>
  <c r="BP65" i="1" s="1"/>
  <c r="BC59" i="3"/>
  <c r="BN221" i="1"/>
  <c r="BO73" i="1"/>
  <c r="BO221" i="1" s="1"/>
  <c r="BD310" i="1"/>
  <c r="R249" i="1"/>
  <c r="BM95" i="1"/>
  <c r="BM171" i="1" s="1"/>
  <c r="BM238" i="1" s="1"/>
  <c r="BO95" i="1"/>
  <c r="BO168" i="1" s="1"/>
  <c r="BN223" i="1"/>
  <c r="BO75" i="1"/>
  <c r="BO223" i="1" s="1"/>
  <c r="C228" i="2"/>
  <c r="C229" i="2" s="1"/>
  <c r="BF164" i="1"/>
  <c r="BF195" i="1"/>
  <c r="BF264" i="1" s="1"/>
  <c r="BF158" i="1"/>
  <c r="BF181" i="1"/>
  <c r="BF247" i="1" s="1"/>
  <c r="BF233" i="1"/>
  <c r="BF306" i="1" s="1"/>
  <c r="BM91" i="1"/>
  <c r="BM184" i="1" s="1"/>
  <c r="BO91" i="1"/>
  <c r="BF45" i="1"/>
  <c r="BF216" i="1"/>
  <c r="BF289" i="1" s="1"/>
  <c r="BE91" i="1"/>
  <c r="BE184" i="1" s="1"/>
  <c r="BF91" i="1"/>
  <c r="BN224" i="1"/>
  <c r="BO76" i="1"/>
  <c r="C188" i="2"/>
  <c r="D187" i="2"/>
  <c r="BF92" i="1"/>
  <c r="BN225" i="1"/>
  <c r="BO77" i="1"/>
  <c r="BO225" i="1" s="1"/>
  <c r="BF283" i="1"/>
  <c r="I193" i="2"/>
  <c r="I195" i="2"/>
  <c r="I232" i="2"/>
  <c r="I234" i="2" s="1"/>
  <c r="BB91" i="3"/>
  <c r="BB28" i="3"/>
  <c r="BB63" i="3"/>
  <c r="BL39" i="3"/>
  <c r="BL49" i="3" s="1"/>
  <c r="BB29" i="3"/>
  <c r="BB64" i="3"/>
  <c r="BC46" i="3"/>
  <c r="BM92" i="3"/>
  <c r="BM79" i="3"/>
  <c r="BC33" i="3"/>
  <c r="BM40" i="3"/>
  <c r="BB32" i="3"/>
  <c r="BM49" i="3"/>
  <c r="BO49" i="1"/>
  <c r="BO39" i="1"/>
  <c r="BO26" i="1"/>
  <c r="BO159" i="1"/>
  <c r="BO163" i="1"/>
  <c r="BO193" i="1"/>
  <c r="BO232" i="1"/>
  <c r="BO181" i="1"/>
  <c r="BO247" i="1" s="1"/>
  <c r="BO158" i="1"/>
  <c r="BO233" i="1"/>
  <c r="BO195" i="1"/>
  <c r="BO164" i="1"/>
  <c r="BE42" i="1"/>
  <c r="BE29" i="1"/>
  <c r="BE43" i="1"/>
  <c r="BD213" i="1"/>
  <c r="BD286" i="1" s="1"/>
  <c r="C232" i="2"/>
  <c r="BD218" i="1"/>
  <c r="BD291" i="1" s="1"/>
  <c r="BC95" i="1"/>
  <c r="C282" i="2" s="1"/>
  <c r="I278" i="2" s="1"/>
  <c r="K272" i="2" s="1"/>
  <c r="BE95" i="1"/>
  <c r="BE169" i="1" s="1"/>
  <c r="BD221" i="1"/>
  <c r="BD294" i="1" s="1"/>
  <c r="BN192" i="1"/>
  <c r="BD224" i="1"/>
  <c r="BD297" i="1" s="1"/>
  <c r="BD312" i="1"/>
  <c r="BD225" i="1"/>
  <c r="BD298" i="1" s="1"/>
  <c r="BM59" i="3"/>
  <c r="I223" i="2"/>
  <c r="D231" i="2" s="1"/>
  <c r="BE195" i="1"/>
  <c r="BE264" i="1" s="1"/>
  <c r="BE181" i="1"/>
  <c r="BE247" i="1" s="1"/>
  <c r="BE233" i="1"/>
  <c r="BE306" i="1" s="1"/>
  <c r="BE164" i="1"/>
  <c r="BE159" i="1"/>
  <c r="BE193" i="1"/>
  <c r="BE262" i="1" s="1"/>
  <c r="BE163" i="1"/>
  <c r="BE232" i="1"/>
  <c r="BE305" i="1" s="1"/>
  <c r="BC92" i="1"/>
  <c r="BC116" i="1" s="1"/>
  <c r="BE92" i="1"/>
  <c r="C252" i="2"/>
  <c r="I236" i="2"/>
  <c r="BM65" i="3"/>
  <c r="BC79" i="3"/>
  <c r="BC51" i="3"/>
  <c r="BM50" i="3"/>
  <c r="BM51" i="3"/>
  <c r="BL62" i="3"/>
  <c r="BL64" i="3"/>
  <c r="BC49" i="3"/>
  <c r="BC65" i="3"/>
  <c r="BL90" i="3"/>
  <c r="BB44" i="3"/>
  <c r="BC50" i="3"/>
  <c r="BC40" i="3"/>
  <c r="BB45" i="3"/>
  <c r="BL58" i="3"/>
  <c r="BC92" i="3"/>
  <c r="BL63" i="3"/>
  <c r="O33" i="3"/>
  <c r="O46" i="3"/>
  <c r="BD308" i="1"/>
  <c r="BC308" i="1"/>
  <c r="BM38" i="1"/>
  <c r="BD292" i="1"/>
  <c r="BC310" i="1"/>
  <c r="BD301" i="1"/>
  <c r="BD295" i="1"/>
  <c r="BD290" i="1"/>
  <c r="BM37" i="1"/>
  <c r="BD289" i="1"/>
  <c r="BM119" i="1"/>
  <c r="BD110" i="1"/>
  <c r="BC312" i="1"/>
  <c r="BD296" i="1"/>
  <c r="BM10" i="1"/>
  <c r="BM34" i="1"/>
  <c r="BD207" i="1"/>
  <c r="BD303" i="1"/>
  <c r="BM206" i="1"/>
  <c r="BM35" i="1"/>
  <c r="BD281" i="1"/>
  <c r="BC8" i="1"/>
  <c r="BM120" i="1"/>
  <c r="BM230" i="1"/>
  <c r="BN210" i="1"/>
  <c r="BM121" i="1"/>
  <c r="BM33" i="1"/>
  <c r="BC120" i="1"/>
  <c r="BN91" i="1"/>
  <c r="BN230" i="1"/>
  <c r="BD92" i="1"/>
  <c r="BD114" i="1" s="1"/>
  <c r="BN92" i="1"/>
  <c r="BD91" i="1"/>
  <c r="BD184" i="1" s="1"/>
  <c r="BC208" i="1"/>
  <c r="BC281" i="1" s="1"/>
  <c r="N215" i="1"/>
  <c r="BM36" i="1"/>
  <c r="BM46" i="1"/>
  <c r="BC121" i="1"/>
  <c r="BD209" i="1"/>
  <c r="BC64" i="1"/>
  <c r="BC212" i="1" s="1"/>
  <c r="BC285" i="1" s="1"/>
  <c r="BN95" i="1"/>
  <c r="BD261" i="1"/>
  <c r="BD72" i="1"/>
  <c r="BN17" i="1"/>
  <c r="BN49" i="1" s="1"/>
  <c r="BD11" i="1"/>
  <c r="C272" i="2"/>
  <c r="C273" i="2" s="1"/>
  <c r="BD210" i="1"/>
  <c r="BM92" i="1"/>
  <c r="BM116" i="1" s="1"/>
  <c r="C274" i="2"/>
  <c r="BD287" i="1"/>
  <c r="C275" i="2"/>
  <c r="O149" i="1"/>
  <c r="O153" i="1" s="1"/>
  <c r="BD212" i="1"/>
  <c r="BD285" i="1" s="1"/>
  <c r="N59" i="3"/>
  <c r="BD26" i="1"/>
  <c r="BD39" i="1"/>
  <c r="C276" i="2"/>
  <c r="O59" i="3"/>
  <c r="N110" i="1"/>
  <c r="N111" i="1" s="1"/>
  <c r="I264" i="2"/>
  <c r="C278" i="2"/>
  <c r="BD275" i="1"/>
  <c r="BC60" i="1"/>
  <c r="BF96" i="1" s="1"/>
  <c r="BF186" i="1" s="1"/>
  <c r="C280" i="2"/>
  <c r="BD95" i="1"/>
  <c r="C241" i="2" s="1"/>
  <c r="R308" i="1"/>
  <c r="C269" i="2"/>
  <c r="BL91" i="3"/>
  <c r="BL86" i="3"/>
  <c r="BL89" i="3"/>
  <c r="BL24" i="3"/>
  <c r="BP33" i="3" s="1"/>
  <c r="N92" i="3"/>
  <c r="N65" i="3"/>
  <c r="N49" i="3"/>
  <c r="N122" i="3"/>
  <c r="N112" i="3"/>
  <c r="N113" i="3"/>
  <c r="N120" i="3"/>
  <c r="N121" i="3"/>
  <c r="N79" i="3"/>
  <c r="N118" i="3"/>
  <c r="N108" i="3"/>
  <c r="N119" i="3"/>
  <c r="N50" i="3"/>
  <c r="N114" i="3"/>
  <c r="N51" i="3"/>
  <c r="N115" i="3"/>
  <c r="N25" i="3"/>
  <c r="N116" i="3"/>
  <c r="BB58" i="3"/>
  <c r="BB24" i="3"/>
  <c r="BB86" i="3"/>
  <c r="O25" i="3"/>
  <c r="O79" i="3"/>
  <c r="O92" i="3"/>
  <c r="O121" i="3"/>
  <c r="O122" i="3"/>
  <c r="O118" i="3"/>
  <c r="O119" i="3"/>
  <c r="O112" i="3"/>
  <c r="O120" i="3"/>
  <c r="O108" i="3"/>
  <c r="O49" i="3"/>
  <c r="O65" i="3"/>
  <c r="O113" i="3"/>
  <c r="O50" i="3"/>
  <c r="O114" i="3"/>
  <c r="O51" i="3"/>
  <c r="O115" i="3"/>
  <c r="O116" i="3"/>
  <c r="N171" i="1"/>
  <c r="N238" i="1" s="1"/>
  <c r="BM110" i="1"/>
  <c r="BM124" i="1"/>
  <c r="BM208" i="1"/>
  <c r="BM58" i="1"/>
  <c r="BM60" i="1"/>
  <c r="BP96" i="1" s="1"/>
  <c r="BM64" i="1"/>
  <c r="BM153" i="1"/>
  <c r="BM151" i="1"/>
  <c r="N119" i="1"/>
  <c r="N120" i="1"/>
  <c r="N17" i="1"/>
  <c r="N178" i="1"/>
  <c r="N244" i="1" s="1"/>
  <c r="N189" i="1"/>
  <c r="N187" i="1"/>
  <c r="N153" i="1"/>
  <c r="N151" i="1"/>
  <c r="N233" i="1" s="1"/>
  <c r="N41" i="1"/>
  <c r="N177" i="1"/>
  <c r="N243" i="1" s="1"/>
  <c r="N115" i="1"/>
  <c r="N190" i="1"/>
  <c r="N210" i="1"/>
  <c r="N219" i="1"/>
  <c r="N121" i="1"/>
  <c r="N116" i="1"/>
  <c r="N192" i="1"/>
  <c r="BC110" i="1"/>
  <c r="BC261" i="1"/>
  <c r="BC46" i="1"/>
  <c r="BC35" i="1"/>
  <c r="BC37" i="1"/>
  <c r="BC58" i="1"/>
  <c r="BC36" i="1"/>
  <c r="BC38" i="1"/>
  <c r="BC91" i="1"/>
  <c r="BC184" i="1" s="1"/>
  <c r="BC10" i="1"/>
  <c r="BC230" i="1"/>
  <c r="BC303" i="1" s="1"/>
  <c r="BC206" i="1"/>
  <c r="BC33" i="1"/>
  <c r="BC34" i="1"/>
  <c r="O215" i="1"/>
  <c r="O40" i="1"/>
  <c r="O110" i="1"/>
  <c r="O111" i="1" s="1"/>
  <c r="O177" i="1"/>
  <c r="O243" i="1" s="1"/>
  <c r="O213" i="1"/>
  <c r="O119" i="1"/>
  <c r="O121" i="1"/>
  <c r="O17" i="1"/>
  <c r="O120" i="1"/>
  <c r="O187" i="1"/>
  <c r="O178" i="1"/>
  <c r="O244" i="1" s="1"/>
  <c r="O189" i="1"/>
  <c r="O115" i="1"/>
  <c r="O190" i="1"/>
  <c r="O210" i="1"/>
  <c r="O219" i="1"/>
  <c r="O116" i="1"/>
  <c r="O171" i="1"/>
  <c r="O238" i="1" s="1"/>
  <c r="O192" i="1"/>
  <c r="BJ65" i="1"/>
  <c r="E19" i="2" l="1"/>
  <c r="C27" i="2"/>
  <c r="F11" i="2"/>
  <c r="D17" i="2"/>
  <c r="D65" i="2"/>
  <c r="C65" i="2"/>
  <c r="C66" i="2" s="1"/>
  <c r="C49" i="2"/>
  <c r="D49" i="2"/>
  <c r="D40" i="2"/>
  <c r="C40" i="2"/>
  <c r="D54" i="2"/>
  <c r="D56" i="2" s="1"/>
  <c r="C56" i="2"/>
  <c r="J18" i="2"/>
  <c r="BG151" i="1"/>
  <c r="BG158" i="1" s="1"/>
  <c r="BG196" i="1" s="1"/>
  <c r="BG265" i="1" s="1"/>
  <c r="BG41" i="1"/>
  <c r="BH253" i="1"/>
  <c r="BH255" i="1"/>
  <c r="BD153" i="1"/>
  <c r="BD232" i="1" s="1"/>
  <c r="BD305" i="1" s="1"/>
  <c r="BD151" i="1"/>
  <c r="BD164" i="1" s="1"/>
  <c r="Q249" i="1"/>
  <c r="I73" i="2"/>
  <c r="BR227" i="1"/>
  <c r="BR300" i="1" s="1"/>
  <c r="BR229" i="1"/>
  <c r="BR302" i="1" s="1"/>
  <c r="BR178" i="1"/>
  <c r="BR244" i="1" s="1"/>
  <c r="BR189" i="1"/>
  <c r="BR283" i="1"/>
  <c r="BR151" i="1"/>
  <c r="BR153" i="1"/>
  <c r="BR116" i="1"/>
  <c r="BR121" i="1"/>
  <c r="BR110" i="1"/>
  <c r="BR111" i="1" s="1"/>
  <c r="BR115" i="1"/>
  <c r="BR120" i="1"/>
  <c r="C157" i="2"/>
  <c r="C174" i="2"/>
  <c r="D174" i="2" s="1"/>
  <c r="C173" i="2"/>
  <c r="D173" i="2" s="1"/>
  <c r="C172" i="2"/>
  <c r="D172" i="2" s="1"/>
  <c r="C171" i="2"/>
  <c r="D171" i="2" s="1"/>
  <c r="C170" i="2"/>
  <c r="D170" i="2" s="1"/>
  <c r="C152" i="2"/>
  <c r="C159" i="2" s="1"/>
  <c r="C154" i="2"/>
  <c r="Q181" i="1"/>
  <c r="Q247" i="1" s="1"/>
  <c r="Q168" i="1"/>
  <c r="Q164" i="1"/>
  <c r="Q233" i="1"/>
  <c r="Q306" i="1" s="1"/>
  <c r="Q195" i="1"/>
  <c r="Q264" i="1" s="1"/>
  <c r="Q158" i="1"/>
  <c r="Q169" i="1"/>
  <c r="Q232" i="1"/>
  <c r="Q305" i="1" s="1"/>
  <c r="Q159" i="1"/>
  <c r="Q163" i="1"/>
  <c r="Q193" i="1"/>
  <c r="Q262" i="1" s="1"/>
  <c r="BE53" i="1"/>
  <c r="BE55" i="1"/>
  <c r="BQ96" i="1"/>
  <c r="BQ186" i="1" s="1"/>
  <c r="BR96" i="1"/>
  <c r="BR186" i="1" s="1"/>
  <c r="BE218" i="1"/>
  <c r="BF71" i="1"/>
  <c r="BF72" i="1" s="1"/>
  <c r="BH199" i="1"/>
  <c r="BH241" i="1"/>
  <c r="BH83" i="1"/>
  <c r="BH226" i="1"/>
  <c r="BH299" i="1" s="1"/>
  <c r="D97" i="2"/>
  <c r="D98" i="2" s="1"/>
  <c r="C98" i="2"/>
  <c r="C131" i="2"/>
  <c r="C132" i="2" s="1"/>
  <c r="D127" i="2"/>
  <c r="D131" i="2" s="1"/>
  <c r="I88" i="2"/>
  <c r="J86" i="2"/>
  <c r="E79" i="2"/>
  <c r="C83" i="2"/>
  <c r="C90" i="2" s="1"/>
  <c r="C115" i="2"/>
  <c r="C116" i="2" s="1"/>
  <c r="D111" i="2"/>
  <c r="D115" i="2" s="1"/>
  <c r="C122" i="2"/>
  <c r="C123" i="2" s="1"/>
  <c r="D120" i="2"/>
  <c r="D122" i="2" s="1"/>
  <c r="BH187" i="1"/>
  <c r="BH254" i="1"/>
  <c r="BH197" i="1"/>
  <c r="BH236" i="1"/>
  <c r="BH198" i="1"/>
  <c r="BH235" i="1"/>
  <c r="BH200" i="1"/>
  <c r="BH240" i="1"/>
  <c r="I91" i="2"/>
  <c r="J85" i="2"/>
  <c r="BG217" i="1"/>
  <c r="BG290" i="1" s="1"/>
  <c r="BG222" i="1"/>
  <c r="BG295" i="1" s="1"/>
  <c r="BH98" i="1"/>
  <c r="BG214" i="1"/>
  <c r="BG287" i="1" s="1"/>
  <c r="BU53" i="1"/>
  <c r="BU55" i="1"/>
  <c r="O310" i="1"/>
  <c r="P250" i="1"/>
  <c r="BG257" i="1"/>
  <c r="BH257" i="1"/>
  <c r="BH259" i="1"/>
  <c r="BG193" i="1"/>
  <c r="BG262" i="1" s="1"/>
  <c r="D83" i="2"/>
  <c r="C106" i="2"/>
  <c r="C107" i="2" s="1"/>
  <c r="D106" i="2"/>
  <c r="BL51" i="3"/>
  <c r="BP46" i="3"/>
  <c r="P174" i="1"/>
  <c r="BU52" i="1"/>
  <c r="BG228" i="1"/>
  <c r="BG301" i="1" s="1"/>
  <c r="BG219" i="1"/>
  <c r="BG292" i="1" s="1"/>
  <c r="BM185" i="1"/>
  <c r="BM187" i="1" s="1"/>
  <c r="BG98" i="1"/>
  <c r="BG177" i="1" s="1"/>
  <c r="BG243" i="1" s="1"/>
  <c r="BG168" i="1"/>
  <c r="BG73" i="1"/>
  <c r="BQ65" i="1"/>
  <c r="BO224" i="1"/>
  <c r="BG164" i="1"/>
  <c r="BG77" i="1"/>
  <c r="BG225" i="1" s="1"/>
  <c r="BG298" i="1" s="1"/>
  <c r="BG163" i="1"/>
  <c r="BG232" i="1"/>
  <c r="BG305" i="1" s="1"/>
  <c r="BG181" i="1"/>
  <c r="BG247" i="1" s="1"/>
  <c r="P220" i="1"/>
  <c r="P78" i="1"/>
  <c r="BT55" i="1"/>
  <c r="BG195" i="1"/>
  <c r="BG264" i="1" s="1"/>
  <c r="P235" i="1"/>
  <c r="BG174" i="1"/>
  <c r="BG240" i="1" s="1"/>
  <c r="BQ303" i="1"/>
  <c r="BG39" i="1"/>
  <c r="BG49" i="1"/>
  <c r="Q43" i="1"/>
  <c r="Q42" i="1"/>
  <c r="Q220" i="1"/>
  <c r="Q78" i="1"/>
  <c r="BG169" i="1"/>
  <c r="BG197" i="1" s="1"/>
  <c r="BE221" i="1"/>
  <c r="BE294" i="1" s="1"/>
  <c r="BG159" i="1"/>
  <c r="BG175" i="1" s="1"/>
  <c r="BE291" i="1"/>
  <c r="BG233" i="1"/>
  <c r="BG306" i="1" s="1"/>
  <c r="BG328" i="1" s="1"/>
  <c r="BQ116" i="1"/>
  <c r="BQ212" i="1"/>
  <c r="BQ285" i="1" s="1"/>
  <c r="P175" i="1"/>
  <c r="P241" i="1" s="1"/>
  <c r="BQ275" i="1"/>
  <c r="BQ185" i="1"/>
  <c r="BQ171" i="1"/>
  <c r="BQ238" i="1" s="1"/>
  <c r="BQ184" i="1"/>
  <c r="BQ115" i="1"/>
  <c r="BQ17" i="1"/>
  <c r="BQ11" i="1"/>
  <c r="BN51" i="1"/>
  <c r="BE225" i="1"/>
  <c r="BE298" i="1" s="1"/>
  <c r="BE111" i="1"/>
  <c r="O312" i="1"/>
  <c r="BQ281" i="1"/>
  <c r="BQ210" i="1"/>
  <c r="BM115" i="1"/>
  <c r="BQ312" i="1"/>
  <c r="BQ308" i="1"/>
  <c r="BQ310" i="1"/>
  <c r="BQ111" i="1"/>
  <c r="BF76" i="1"/>
  <c r="BF224" i="1" s="1"/>
  <c r="BF297" i="1" s="1"/>
  <c r="BG283" i="1"/>
  <c r="BG255" i="1"/>
  <c r="BD53" i="1"/>
  <c r="BG254" i="1"/>
  <c r="BG187" i="1"/>
  <c r="BD55" i="1"/>
  <c r="BG42" i="1"/>
  <c r="BG29" i="1"/>
  <c r="BG43" i="1"/>
  <c r="BF232" i="1"/>
  <c r="BF305" i="1" s="1"/>
  <c r="I138" i="2"/>
  <c r="BE224" i="1"/>
  <c r="BE297" i="1" s="1"/>
  <c r="BG253" i="1"/>
  <c r="BG259" i="1"/>
  <c r="Q175" i="1"/>
  <c r="Q194" i="1"/>
  <c r="Q263" i="1" s="1"/>
  <c r="Q236" i="1"/>
  <c r="Q197" i="1"/>
  <c r="Q198" i="1"/>
  <c r="Q235" i="1"/>
  <c r="BF193" i="1"/>
  <c r="BF262" i="1" s="1"/>
  <c r="Q328" i="1"/>
  <c r="BF163" i="1"/>
  <c r="Q191" i="1"/>
  <c r="Q180" i="1"/>
  <c r="Q246" i="1" s="1"/>
  <c r="BF159" i="1"/>
  <c r="BF194" i="1" s="1"/>
  <c r="BF263" i="1" s="1"/>
  <c r="Q196" i="1"/>
  <c r="Q265" i="1" s="1"/>
  <c r="Q174" i="1"/>
  <c r="BF168" i="1"/>
  <c r="BF235" i="1" s="1"/>
  <c r="C155" i="2"/>
  <c r="BP75" i="1"/>
  <c r="BP223" i="1" s="1"/>
  <c r="P180" i="1"/>
  <c r="P246" i="1" s="1"/>
  <c r="P191" i="1"/>
  <c r="BE115" i="1"/>
  <c r="BO116" i="1"/>
  <c r="J145" i="2"/>
  <c r="D150" i="2"/>
  <c r="BP76" i="1"/>
  <c r="BQ76" i="1" s="1"/>
  <c r="BP77" i="1"/>
  <c r="BQ77" i="1" s="1"/>
  <c r="BL50" i="3"/>
  <c r="BL40" i="3"/>
  <c r="BM111" i="1"/>
  <c r="BP73" i="1"/>
  <c r="BQ73" i="1" s="1"/>
  <c r="BF43" i="1"/>
  <c r="BF255" i="1"/>
  <c r="BE289" i="1"/>
  <c r="BF29" i="1"/>
  <c r="BP213" i="1"/>
  <c r="BP196" i="1"/>
  <c r="BC185" i="1"/>
  <c r="BC187" i="1" s="1"/>
  <c r="BP194" i="1"/>
  <c r="BO169" i="1"/>
  <c r="BO197" i="1" s="1"/>
  <c r="BC171" i="1"/>
  <c r="BC238" i="1" s="1"/>
  <c r="BC114" i="1"/>
  <c r="C195" i="2"/>
  <c r="BO184" i="1"/>
  <c r="BO115" i="1"/>
  <c r="BO111" i="1"/>
  <c r="J232" i="2"/>
  <c r="BF184" i="1"/>
  <c r="BF253" i="1" s="1"/>
  <c r="BF111" i="1"/>
  <c r="BF115" i="1"/>
  <c r="BO213" i="1"/>
  <c r="C236" i="2"/>
  <c r="C238" i="2" s="1"/>
  <c r="C245" i="2" s="1"/>
  <c r="C246" i="2" s="1"/>
  <c r="BF328" i="1"/>
  <c r="BE295" i="1"/>
  <c r="BE290" i="1"/>
  <c r="BE287" i="1"/>
  <c r="BE292" i="1"/>
  <c r="BE275" i="1"/>
  <c r="BE281" i="1"/>
  <c r="BE296" i="1"/>
  <c r="BE285" i="1"/>
  <c r="BE301" i="1"/>
  <c r="BE168" i="1"/>
  <c r="BE235" i="1" s="1"/>
  <c r="C200" i="2"/>
  <c r="BO171" i="1"/>
  <c r="BO238" i="1" s="1"/>
  <c r="BO185" i="1"/>
  <c r="BF114" i="1"/>
  <c r="BF116" i="1"/>
  <c r="BF185" i="1"/>
  <c r="BF171" i="1"/>
  <c r="BF238" i="1" s="1"/>
  <c r="BF196" i="1"/>
  <c r="BF265" i="1" s="1"/>
  <c r="BF174" i="1"/>
  <c r="BF169" i="1"/>
  <c r="BF257" i="1"/>
  <c r="E273" i="2"/>
  <c r="J235" i="2"/>
  <c r="J190" i="2"/>
  <c r="J193" i="2" s="1"/>
  <c r="D188" i="2"/>
  <c r="D191" i="2"/>
  <c r="BL65" i="3"/>
  <c r="BO43" i="1"/>
  <c r="BO42" i="1"/>
  <c r="BO29" i="1"/>
  <c r="BO51" i="1"/>
  <c r="BO194" i="1"/>
  <c r="BO196" i="1"/>
  <c r="BO235" i="1"/>
  <c r="BO198" i="1"/>
  <c r="D251" i="2"/>
  <c r="D252" i="2" s="1"/>
  <c r="BE185" i="1"/>
  <c r="BE171" i="1"/>
  <c r="BE238" i="1" s="1"/>
  <c r="D234" i="2"/>
  <c r="BE236" i="1"/>
  <c r="BE197" i="1"/>
  <c r="BE328" i="1"/>
  <c r="BE213" i="1"/>
  <c r="BE286" i="1" s="1"/>
  <c r="D233" i="2"/>
  <c r="E229" i="2"/>
  <c r="BE194" i="1"/>
  <c r="BE263" i="1" s="1"/>
  <c r="I237" i="2"/>
  <c r="BE196" i="1"/>
  <c r="BE265" i="1" s="1"/>
  <c r="D228" i="2"/>
  <c r="D229" i="2" s="1"/>
  <c r="E232" i="2"/>
  <c r="BE114" i="1"/>
  <c r="BE116" i="1"/>
  <c r="D239" i="2"/>
  <c r="D237" i="2"/>
  <c r="D235" i="2"/>
  <c r="J230" i="2"/>
  <c r="J229" i="2"/>
  <c r="J228" i="2"/>
  <c r="D232" i="2"/>
  <c r="BL59" i="3"/>
  <c r="BL92" i="3"/>
  <c r="BB33" i="3"/>
  <c r="N72" i="1"/>
  <c r="N78" i="1" s="1"/>
  <c r="N80" i="1" s="1"/>
  <c r="BC207" i="1"/>
  <c r="BC209" i="1"/>
  <c r="BD215" i="1"/>
  <c r="BD288" i="1" s="1"/>
  <c r="R310" i="1"/>
  <c r="BD111" i="1"/>
  <c r="BM11" i="1"/>
  <c r="BM17" i="1"/>
  <c r="BM49" i="1" s="1"/>
  <c r="O151" i="1"/>
  <c r="O158" i="1" s="1"/>
  <c r="O41" i="1"/>
  <c r="BD116" i="1"/>
  <c r="BM114" i="1"/>
  <c r="BM164" i="1"/>
  <c r="BM233" i="1"/>
  <c r="BC151" i="1"/>
  <c r="BC181" i="1" s="1"/>
  <c r="BC247" i="1" s="1"/>
  <c r="BN171" i="1"/>
  <c r="BN238" i="1" s="1"/>
  <c r="BD115" i="1"/>
  <c r="BD233" i="1"/>
  <c r="BD306" i="1" s="1"/>
  <c r="BD195" i="1"/>
  <c r="BD264" i="1" s="1"/>
  <c r="D275" i="2"/>
  <c r="BN39" i="1"/>
  <c r="BN26" i="1"/>
  <c r="BN29" i="1" s="1"/>
  <c r="BD283" i="1"/>
  <c r="BC210" i="1"/>
  <c r="BN215" i="1"/>
  <c r="BN72" i="1"/>
  <c r="C270" i="2"/>
  <c r="D269" i="2"/>
  <c r="BD78" i="1"/>
  <c r="BD80" i="1" s="1"/>
  <c r="BD220" i="1"/>
  <c r="BD293" i="1" s="1"/>
  <c r="BD169" i="1"/>
  <c r="BD159" i="1"/>
  <c r="BD163" i="1"/>
  <c r="BD193" i="1"/>
  <c r="BD262" i="1" s="1"/>
  <c r="BD171" i="1"/>
  <c r="BD238" i="1" s="1"/>
  <c r="BD185" i="1"/>
  <c r="D280" i="2"/>
  <c r="I276" i="2"/>
  <c r="J271" i="2"/>
  <c r="D274" i="2"/>
  <c r="J270" i="2"/>
  <c r="J269" i="2"/>
  <c r="D276" i="2"/>
  <c r="D272" i="2"/>
  <c r="I273" i="2"/>
  <c r="D278" i="2"/>
  <c r="C292" i="2"/>
  <c r="BD43" i="1"/>
  <c r="BD42" i="1"/>
  <c r="BD29" i="1"/>
  <c r="BL25" i="3"/>
  <c r="BB59" i="3"/>
  <c r="BB25" i="3"/>
  <c r="BM212" i="1"/>
  <c r="BM210" i="1"/>
  <c r="BM181" i="1"/>
  <c r="BM247" i="1" s="1"/>
  <c r="BM168" i="1"/>
  <c r="BM195" i="1"/>
  <c r="BM169" i="1"/>
  <c r="BM232" i="1"/>
  <c r="BM163" i="1"/>
  <c r="BM159" i="1"/>
  <c r="BM193" i="1"/>
  <c r="BM158" i="1"/>
  <c r="N93" i="1"/>
  <c r="N49" i="1"/>
  <c r="N51" i="1" s="1"/>
  <c r="P52" i="1" s="1"/>
  <c r="N26" i="1"/>
  <c r="N39" i="1"/>
  <c r="N193" i="1"/>
  <c r="N163" i="1"/>
  <c r="N159" i="1"/>
  <c r="N169" i="1"/>
  <c r="N232" i="1"/>
  <c r="N164" i="1"/>
  <c r="N195" i="1"/>
  <c r="N181" i="1"/>
  <c r="N247" i="1" s="1"/>
  <c r="N168" i="1"/>
  <c r="N158" i="1"/>
  <c r="BC115" i="1"/>
  <c r="BC111" i="1"/>
  <c r="BC275" i="1"/>
  <c r="BC11" i="1"/>
  <c r="BC17" i="1"/>
  <c r="BC159" i="1"/>
  <c r="BC169" i="1"/>
  <c r="BC232" i="1"/>
  <c r="BC305" i="1" s="1"/>
  <c r="BC163" i="1"/>
  <c r="BC193" i="1"/>
  <c r="BC262" i="1" s="1"/>
  <c r="O72" i="1"/>
  <c r="O78" i="1" s="1"/>
  <c r="O80" i="1" s="1"/>
  <c r="O26" i="1"/>
  <c r="O93" i="1"/>
  <c r="O39" i="1"/>
  <c r="O49" i="1"/>
  <c r="O51" i="1" s="1"/>
  <c r="O163" i="1"/>
  <c r="O232" i="1"/>
  <c r="O159" i="1"/>
  <c r="O193" i="1"/>
  <c r="O169" i="1"/>
  <c r="BA8" i="1"/>
  <c r="BL8" i="1"/>
  <c r="I310" i="2"/>
  <c r="I313" i="2" s="1"/>
  <c r="C321" i="2"/>
  <c r="I317" i="2" s="1"/>
  <c r="C319" i="2"/>
  <c r="C333" i="2" s="1"/>
  <c r="C317" i="2"/>
  <c r="C316" i="2"/>
  <c r="C315" i="2"/>
  <c r="C313" i="2"/>
  <c r="C314" i="2" s="1"/>
  <c r="E343" i="2"/>
  <c r="E344" i="2" s="1"/>
  <c r="BK158" i="3"/>
  <c r="BK152" i="3"/>
  <c r="BK145" i="3"/>
  <c r="BK91" i="3"/>
  <c r="BK90" i="3"/>
  <c r="BK89" i="3"/>
  <c r="BK86" i="3"/>
  <c r="BK78" i="3"/>
  <c r="BK77" i="3"/>
  <c r="BK76" i="3"/>
  <c r="BK72" i="3"/>
  <c r="BK64" i="3"/>
  <c r="BK63" i="3"/>
  <c r="BK62" i="3"/>
  <c r="BK58" i="3"/>
  <c r="BK39" i="3"/>
  <c r="BO46" i="3" s="1"/>
  <c r="BK24" i="3"/>
  <c r="BO33" i="3" s="1"/>
  <c r="BA158" i="3"/>
  <c r="BA152" i="3"/>
  <c r="BA145" i="3"/>
  <c r="BA91" i="3"/>
  <c r="BA90" i="3"/>
  <c r="BA89" i="3"/>
  <c r="BA86" i="3"/>
  <c r="BA78" i="3"/>
  <c r="BA77" i="3"/>
  <c r="BA76" i="3"/>
  <c r="BA72" i="3"/>
  <c r="BA64" i="3"/>
  <c r="BA63" i="3"/>
  <c r="BA62" i="3"/>
  <c r="BA58" i="3"/>
  <c r="BA39" i="3"/>
  <c r="BA24" i="3"/>
  <c r="R230" i="1"/>
  <c r="R252" i="1"/>
  <c r="BB249" i="1"/>
  <c r="BB250" i="1"/>
  <c r="BB124" i="1"/>
  <c r="BB109" i="1"/>
  <c r="BB121" i="1" s="1"/>
  <c r="BB108" i="1"/>
  <c r="BB120" i="1" s="1"/>
  <c r="BB8" i="1"/>
  <c r="BL23" i="1"/>
  <c r="BB23" i="1"/>
  <c r="BL25" i="1"/>
  <c r="BB25" i="1"/>
  <c r="BL22" i="1"/>
  <c r="BB22" i="1"/>
  <c r="BL21" i="1"/>
  <c r="BB21" i="1"/>
  <c r="BL274" i="1"/>
  <c r="BL273" i="1"/>
  <c r="BL272" i="1"/>
  <c r="BL252" i="1"/>
  <c r="BL230" i="1"/>
  <c r="BL208" i="1"/>
  <c r="BL206" i="1"/>
  <c r="BL205" i="1"/>
  <c r="BL204" i="1"/>
  <c r="BL203" i="1"/>
  <c r="BL192" i="1"/>
  <c r="BL188" i="1"/>
  <c r="BL183" i="1"/>
  <c r="BL166" i="1"/>
  <c r="BL156" i="1"/>
  <c r="BL124" i="1"/>
  <c r="BL153" i="1" s="1"/>
  <c r="BL109" i="1"/>
  <c r="BL121" i="1" s="1"/>
  <c r="BL108" i="1"/>
  <c r="BL120" i="1" s="1"/>
  <c r="BL103" i="1"/>
  <c r="BL90" i="1"/>
  <c r="BL64" i="1"/>
  <c r="BL212" i="1" s="1"/>
  <c r="BL63" i="1"/>
  <c r="BL60" i="1"/>
  <c r="BO96" i="1" s="1"/>
  <c r="BO186" i="1" s="1"/>
  <c r="BL58" i="1"/>
  <c r="BL48" i="1"/>
  <c r="BL46" i="1"/>
  <c r="BL38" i="1"/>
  <c r="BL37" i="1"/>
  <c r="BL36" i="1"/>
  <c r="BL35" i="1"/>
  <c r="BL34" i="1"/>
  <c r="BL33" i="1"/>
  <c r="BL10" i="1"/>
  <c r="BL11" i="1" s="1"/>
  <c r="BB274" i="1"/>
  <c r="BB273" i="1"/>
  <c r="BB272" i="1"/>
  <c r="BB252" i="1"/>
  <c r="BB230" i="1"/>
  <c r="BB208" i="1"/>
  <c r="BB206" i="1"/>
  <c r="BB205" i="1"/>
  <c r="BB204" i="1"/>
  <c r="BB203" i="1"/>
  <c r="BB192" i="1"/>
  <c r="BB188" i="1"/>
  <c r="BB183" i="1"/>
  <c r="BB166" i="1"/>
  <c r="BB156" i="1"/>
  <c r="BB103" i="1"/>
  <c r="BB90" i="1"/>
  <c r="BB64" i="1"/>
  <c r="BB212" i="1" s="1"/>
  <c r="BB63" i="1"/>
  <c r="BB60" i="1"/>
  <c r="BB58" i="1"/>
  <c r="BB48" i="1"/>
  <c r="BB46" i="1"/>
  <c r="BB38" i="1"/>
  <c r="BB37" i="1"/>
  <c r="BB36" i="1"/>
  <c r="BB35" i="1"/>
  <c r="BB34" i="1"/>
  <c r="BB33" i="1"/>
  <c r="BB10" i="1"/>
  <c r="BB17" i="1" s="1"/>
  <c r="BB49" i="1" s="1"/>
  <c r="I351" i="2"/>
  <c r="C362" i="2"/>
  <c r="I358" i="2" s="1"/>
  <c r="C360" i="2"/>
  <c r="C374" i="2" s="1"/>
  <c r="C358" i="2"/>
  <c r="C357" i="2"/>
  <c r="C356" i="2"/>
  <c r="C354" i="2"/>
  <c r="E386" i="2"/>
  <c r="AZ36" i="3"/>
  <c r="BJ91" i="3"/>
  <c r="BJ71" i="3"/>
  <c r="BL71" i="3" s="1"/>
  <c r="BL78" i="3" s="1"/>
  <c r="BJ70" i="3"/>
  <c r="BL70" i="3" s="1"/>
  <c r="BL77" i="3" s="1"/>
  <c r="BJ69" i="3"/>
  <c r="AZ71" i="3"/>
  <c r="BB71" i="3" s="1"/>
  <c r="BB78" i="3" s="1"/>
  <c r="AZ70" i="3"/>
  <c r="BB70" i="3" s="1"/>
  <c r="BB77" i="3" s="1"/>
  <c r="AZ69" i="3"/>
  <c r="BB69" i="3" s="1"/>
  <c r="BJ58" i="3"/>
  <c r="BJ62" i="3"/>
  <c r="BJ158" i="3"/>
  <c r="BJ152" i="3"/>
  <c r="BJ145" i="3"/>
  <c r="BJ24" i="3"/>
  <c r="AZ158" i="3"/>
  <c r="AZ152" i="3"/>
  <c r="AZ145" i="3"/>
  <c r="AZ24" i="3"/>
  <c r="R188" i="1"/>
  <c r="BK81" i="1"/>
  <c r="BK79" i="1"/>
  <c r="BK67" i="1"/>
  <c r="BK71" i="1"/>
  <c r="BK70" i="1"/>
  <c r="BK66" i="1"/>
  <c r="BK74" i="1"/>
  <c r="F17" i="2" l="1"/>
  <c r="D19" i="2"/>
  <c r="F19" i="2" s="1"/>
  <c r="D21" i="2"/>
  <c r="J21" i="2"/>
  <c r="J23" i="2"/>
  <c r="E152" i="2"/>
  <c r="D88" i="2"/>
  <c r="F79" i="2" s="1"/>
  <c r="BG266" i="1"/>
  <c r="BD158" i="1"/>
  <c r="BD181" i="1"/>
  <c r="BD247" i="1" s="1"/>
  <c r="BD168" i="1"/>
  <c r="BH229" i="1"/>
  <c r="BH302" i="1" s="1"/>
  <c r="BH84" i="1"/>
  <c r="BH99" i="1"/>
  <c r="BR52" i="1"/>
  <c r="BN53" i="1"/>
  <c r="BR158" i="1"/>
  <c r="BR164" i="1"/>
  <c r="BR168" i="1"/>
  <c r="BR181" i="1"/>
  <c r="BR247" i="1" s="1"/>
  <c r="BR195" i="1"/>
  <c r="BR233" i="1"/>
  <c r="BR306" i="1" s="1"/>
  <c r="BR159" i="1"/>
  <c r="BR163" i="1"/>
  <c r="BR169" i="1"/>
  <c r="BR193" i="1"/>
  <c r="BR232" i="1"/>
  <c r="BR305" i="1" s="1"/>
  <c r="J88" i="2"/>
  <c r="BF218" i="1"/>
  <c r="BF291" i="1" s="1"/>
  <c r="BG71" i="1"/>
  <c r="BG198" i="1"/>
  <c r="BG235" i="1"/>
  <c r="BH227" i="1"/>
  <c r="BH300" i="1" s="1"/>
  <c r="C87" i="2"/>
  <c r="E83" i="2"/>
  <c r="C85" i="2"/>
  <c r="BH268" i="1"/>
  <c r="BH267" i="1"/>
  <c r="BH266" i="1"/>
  <c r="BH269" i="1"/>
  <c r="BH256" i="1"/>
  <c r="K85" i="2"/>
  <c r="J91" i="2"/>
  <c r="BH177" i="1"/>
  <c r="BH243" i="1" s="1"/>
  <c r="BH178" i="1"/>
  <c r="BH244" i="1" s="1"/>
  <c r="BH189" i="1"/>
  <c r="BH258" i="1" s="1"/>
  <c r="P303" i="1"/>
  <c r="P308" i="1"/>
  <c r="P310" i="1"/>
  <c r="P312" i="1"/>
  <c r="P264" i="1"/>
  <c r="P262" i="1"/>
  <c r="P263" i="1"/>
  <c r="P305" i="1"/>
  <c r="P306" i="1"/>
  <c r="P328" i="1" s="1"/>
  <c r="P265" i="1"/>
  <c r="P261" i="1"/>
  <c r="K88" i="2"/>
  <c r="BG189" i="1"/>
  <c r="BG258" i="1" s="1"/>
  <c r="BG178" i="1"/>
  <c r="BG244" i="1" s="1"/>
  <c r="BG51" i="1"/>
  <c r="BH93" i="1"/>
  <c r="BG276" i="1"/>
  <c r="BG282" i="1"/>
  <c r="BG314" i="1"/>
  <c r="BG325" i="1" s="1"/>
  <c r="BH314" i="1"/>
  <c r="C310" i="2"/>
  <c r="C311" i="2" s="1"/>
  <c r="C318" i="2" s="1"/>
  <c r="BB151" i="1"/>
  <c r="BB233" i="1" s="1"/>
  <c r="BB306" i="1" s="1"/>
  <c r="BG194" i="1"/>
  <c r="BG263" i="1" s="1"/>
  <c r="BG268" i="1" s="1"/>
  <c r="J90" i="2"/>
  <c r="I90" i="2"/>
  <c r="D85" i="2"/>
  <c r="F85" i="2" s="1"/>
  <c r="F83" i="2"/>
  <c r="D87" i="2"/>
  <c r="BG76" i="1"/>
  <c r="BG224" i="1" s="1"/>
  <c r="BG297" i="1" s="1"/>
  <c r="BF78" i="1"/>
  <c r="BF226" i="1" s="1"/>
  <c r="BF299" i="1" s="1"/>
  <c r="BG93" i="1"/>
  <c r="P240" i="1"/>
  <c r="P200" i="1"/>
  <c r="BG94" i="1"/>
  <c r="BE52" i="1"/>
  <c r="Q80" i="1"/>
  <c r="BQ75" i="1"/>
  <c r="BD52" i="1"/>
  <c r="BG221" i="1"/>
  <c r="BG294" i="1" s="1"/>
  <c r="P226" i="1"/>
  <c r="P80" i="1"/>
  <c r="Q226" i="1"/>
  <c r="P227" i="1"/>
  <c r="BG200" i="1"/>
  <c r="BG236" i="1"/>
  <c r="BG99" i="1"/>
  <c r="BF198" i="1"/>
  <c r="BQ283" i="1"/>
  <c r="BQ49" i="1"/>
  <c r="BR93" i="1" s="1"/>
  <c r="BQ39" i="1"/>
  <c r="BN55" i="1"/>
  <c r="P199" i="1"/>
  <c r="BQ187" i="1"/>
  <c r="BG215" i="1"/>
  <c r="BG288" i="1" s="1"/>
  <c r="BD87" i="1"/>
  <c r="BG256" i="1"/>
  <c r="BG241" i="1"/>
  <c r="BG199" i="1"/>
  <c r="BG269" i="1"/>
  <c r="BG267" i="1"/>
  <c r="BF175" i="1"/>
  <c r="BP249" i="1"/>
  <c r="Q200" i="1"/>
  <c r="Q240" i="1"/>
  <c r="Q241" i="1"/>
  <c r="Q199" i="1"/>
  <c r="D155" i="2"/>
  <c r="F150" i="2" s="1"/>
  <c r="I151" i="2"/>
  <c r="E143" i="2"/>
  <c r="E146" i="2"/>
  <c r="E150" i="2"/>
  <c r="C160" i="2"/>
  <c r="J148" i="2"/>
  <c r="J150" i="2"/>
  <c r="D152" i="2"/>
  <c r="D154" i="2"/>
  <c r="BO236" i="1"/>
  <c r="BF220" i="1"/>
  <c r="BF293" i="1" s="1"/>
  <c r="BM51" i="1"/>
  <c r="BM55" i="1" s="1"/>
  <c r="BP93" i="1"/>
  <c r="BP250" i="1"/>
  <c r="BP303" i="1" s="1"/>
  <c r="E238" i="2"/>
  <c r="E236" i="2"/>
  <c r="C243" i="2"/>
  <c r="C260" i="2"/>
  <c r="D260" i="2" s="1"/>
  <c r="C261" i="2"/>
  <c r="D261" i="2" s="1"/>
  <c r="C259" i="2"/>
  <c r="D259" i="2" s="1"/>
  <c r="N101" i="1"/>
  <c r="N180" i="1" s="1"/>
  <c r="N246" i="1" s="1"/>
  <c r="BE198" i="1"/>
  <c r="BE96" i="1"/>
  <c r="BE186" i="1" s="1"/>
  <c r="BE255" i="1" s="1"/>
  <c r="BP224" i="1"/>
  <c r="C240" i="2"/>
  <c r="BP221" i="1"/>
  <c r="BP225" i="1"/>
  <c r="N220" i="1"/>
  <c r="C257" i="2"/>
  <c r="D257" i="2" s="1"/>
  <c r="BP72" i="1"/>
  <c r="BP215" i="1"/>
  <c r="C258" i="2"/>
  <c r="D258" i="2" s="1"/>
  <c r="BO174" i="1"/>
  <c r="BO240" i="1" s="1"/>
  <c r="BE283" i="1"/>
  <c r="BF236" i="1"/>
  <c r="BF197" i="1"/>
  <c r="BF254" i="1"/>
  <c r="BF187" i="1"/>
  <c r="BO175" i="1"/>
  <c r="BO199" i="1" s="1"/>
  <c r="BF240" i="1"/>
  <c r="BF200" i="1"/>
  <c r="I196" i="2"/>
  <c r="E191" i="2"/>
  <c r="E188" i="2"/>
  <c r="BF314" i="1"/>
  <c r="BO187" i="1"/>
  <c r="C220" i="2"/>
  <c r="D220" i="2" s="1"/>
  <c r="C219" i="2"/>
  <c r="D219" i="2" s="1"/>
  <c r="C218" i="2"/>
  <c r="D218" i="2" s="1"/>
  <c r="C217" i="2"/>
  <c r="D217" i="2" s="1"/>
  <c r="C216" i="2"/>
  <c r="D216" i="2" s="1"/>
  <c r="C202" i="2"/>
  <c r="C197" i="2"/>
  <c r="E195" i="2"/>
  <c r="C199" i="2"/>
  <c r="BE257" i="1"/>
  <c r="I183" i="2"/>
  <c r="BO72" i="1"/>
  <c r="BO215" i="1"/>
  <c r="D195" i="2"/>
  <c r="BO53" i="1"/>
  <c r="BO55" i="1"/>
  <c r="BE254" i="1"/>
  <c r="BE268" i="1" s="1"/>
  <c r="BE187" i="1"/>
  <c r="BD328" i="1"/>
  <c r="K231" i="2"/>
  <c r="K234" i="2"/>
  <c r="BE72" i="1"/>
  <c r="BE215" i="1"/>
  <c r="BE288" i="1" s="1"/>
  <c r="BB51" i="1"/>
  <c r="BC168" i="1"/>
  <c r="BC198" i="1" s="1"/>
  <c r="BE253" i="1"/>
  <c r="D236" i="2"/>
  <c r="J231" i="2"/>
  <c r="BK40" i="3"/>
  <c r="AZ25" i="3"/>
  <c r="AZ33" i="3"/>
  <c r="BB36" i="3"/>
  <c r="BB43" i="3" s="1"/>
  <c r="AZ43" i="3"/>
  <c r="BA25" i="3"/>
  <c r="BA33" i="3"/>
  <c r="BJ25" i="3"/>
  <c r="BA46" i="3"/>
  <c r="BJ76" i="3"/>
  <c r="BL69" i="3"/>
  <c r="BK25" i="3"/>
  <c r="BB310" i="1"/>
  <c r="BB308" i="1"/>
  <c r="O195" i="1"/>
  <c r="O181" i="1"/>
  <c r="O247" i="1" s="1"/>
  <c r="O164" i="1"/>
  <c r="O168" i="1"/>
  <c r="O235" i="1" s="1"/>
  <c r="O233" i="1"/>
  <c r="BM39" i="1"/>
  <c r="O196" i="1"/>
  <c r="O174" i="1"/>
  <c r="O200" i="1" s="1"/>
  <c r="BB312" i="1"/>
  <c r="BC195" i="1"/>
  <c r="BC264" i="1" s="1"/>
  <c r="BC233" i="1"/>
  <c r="BC306" i="1" s="1"/>
  <c r="BC158" i="1"/>
  <c r="BC196" i="1" s="1"/>
  <c r="BC265" i="1" s="1"/>
  <c r="BC164" i="1"/>
  <c r="BN43" i="1"/>
  <c r="BN42" i="1"/>
  <c r="BN78" i="1"/>
  <c r="BN80" i="1" s="1"/>
  <c r="BN87" i="1" s="1"/>
  <c r="BN220" i="1"/>
  <c r="BB261" i="1"/>
  <c r="D292" i="2"/>
  <c r="D293" i="2" s="1"/>
  <c r="C293" i="2"/>
  <c r="BD187" i="1"/>
  <c r="BD236" i="1"/>
  <c r="BD197" i="1"/>
  <c r="BD194" i="1"/>
  <c r="BD263" i="1" s="1"/>
  <c r="BD226" i="1"/>
  <c r="BD299" i="1" s="1"/>
  <c r="BD83" i="1"/>
  <c r="J273" i="2"/>
  <c r="I275" i="2"/>
  <c r="K275" i="2" s="1"/>
  <c r="BD235" i="1"/>
  <c r="BD198" i="1"/>
  <c r="J276" i="2"/>
  <c r="I277" i="2"/>
  <c r="BB303" i="1"/>
  <c r="BD196" i="1"/>
  <c r="BD265" i="1" s="1"/>
  <c r="E270" i="2"/>
  <c r="C277" i="2"/>
  <c r="BB72" i="3"/>
  <c r="BL74" i="1"/>
  <c r="BM74" i="1" s="1"/>
  <c r="BM222" i="1" s="1"/>
  <c r="BL66" i="1"/>
  <c r="BM66" i="1" s="1"/>
  <c r="BM214" i="1" s="1"/>
  <c r="BL70" i="1"/>
  <c r="BM70" i="1" s="1"/>
  <c r="BM217" i="1" s="1"/>
  <c r="N87" i="1"/>
  <c r="BL71" i="1"/>
  <c r="BM71" i="1" s="1"/>
  <c r="BM218" i="1" s="1"/>
  <c r="BL81" i="1"/>
  <c r="BM81" i="1" s="1"/>
  <c r="BM228" i="1" s="1"/>
  <c r="BL67" i="1"/>
  <c r="BL79" i="1"/>
  <c r="BM79" i="1" s="1"/>
  <c r="BM194" i="1"/>
  <c r="BM236" i="1"/>
  <c r="BM197" i="1"/>
  <c r="BM196" i="1"/>
  <c r="BM235" i="1"/>
  <c r="BM198" i="1"/>
  <c r="N29" i="1"/>
  <c r="N99" i="1" s="1"/>
  <c r="N43" i="1"/>
  <c r="N42" i="1"/>
  <c r="N55" i="1"/>
  <c r="N53" i="1"/>
  <c r="N94" i="1"/>
  <c r="N196" i="1"/>
  <c r="N174" i="1"/>
  <c r="N236" i="1"/>
  <c r="N197" i="1"/>
  <c r="N194" i="1"/>
  <c r="N175" i="1"/>
  <c r="N226" i="1"/>
  <c r="N235" i="1"/>
  <c r="N198" i="1"/>
  <c r="O87" i="1"/>
  <c r="BC283" i="1"/>
  <c r="BC49" i="1"/>
  <c r="BC39" i="1"/>
  <c r="BC236" i="1"/>
  <c r="BC197" i="1"/>
  <c r="BC194" i="1"/>
  <c r="BC263" i="1" s="1"/>
  <c r="BB207" i="1"/>
  <c r="BA59" i="3"/>
  <c r="O220" i="1"/>
  <c r="O101" i="1"/>
  <c r="O180" i="1" s="1"/>
  <c r="O246" i="1" s="1"/>
  <c r="BB209" i="1"/>
  <c r="O43" i="1"/>
  <c r="O42" i="1"/>
  <c r="O29" i="1"/>
  <c r="O99" i="1" s="1"/>
  <c r="O53" i="1"/>
  <c r="O55" i="1"/>
  <c r="O94" i="1"/>
  <c r="O236" i="1"/>
  <c r="O197" i="1"/>
  <c r="O83" i="1"/>
  <c r="O226" i="1"/>
  <c r="O194" i="1"/>
  <c r="O175" i="1"/>
  <c r="I305" i="2"/>
  <c r="BA92" i="3"/>
  <c r="BK59" i="3"/>
  <c r="I314" i="2"/>
  <c r="C334" i="2"/>
  <c r="I318" i="2"/>
  <c r="BA79" i="3"/>
  <c r="BK50" i="3"/>
  <c r="BK92" i="3"/>
  <c r="BK79" i="3"/>
  <c r="BA49" i="3"/>
  <c r="BK49" i="3"/>
  <c r="BK65" i="3"/>
  <c r="BK51" i="3"/>
  <c r="BA40" i="3"/>
  <c r="BA65" i="3"/>
  <c r="BJ72" i="3"/>
  <c r="BA50" i="3"/>
  <c r="BA51" i="3"/>
  <c r="BB285" i="1"/>
  <c r="BL210" i="1"/>
  <c r="BL232" i="1"/>
  <c r="BL163" i="1"/>
  <c r="BL159" i="1"/>
  <c r="BL193" i="1"/>
  <c r="BL17" i="1"/>
  <c r="BL110" i="1"/>
  <c r="BB11" i="1"/>
  <c r="BB210" i="1"/>
  <c r="BL151" i="1"/>
  <c r="BB281" i="1"/>
  <c r="BE314" i="1" s="1"/>
  <c r="BE316" i="1" s="1"/>
  <c r="BB110" i="1"/>
  <c r="BB275" i="1"/>
  <c r="BB26" i="1"/>
  <c r="BB39" i="1"/>
  <c r="I354" i="2"/>
  <c r="I359" i="2" s="1"/>
  <c r="C355" i="2"/>
  <c r="C375" i="2"/>
  <c r="I355" i="2"/>
  <c r="BJ86" i="3"/>
  <c r="AZ91" i="3"/>
  <c r="AZ90" i="3"/>
  <c r="AZ86" i="3"/>
  <c r="BJ77" i="3"/>
  <c r="AZ72" i="3"/>
  <c r="AZ58" i="3"/>
  <c r="AZ63" i="3"/>
  <c r="AZ62" i="3"/>
  <c r="BJ78" i="3"/>
  <c r="BJ64" i="3"/>
  <c r="BJ63" i="3"/>
  <c r="BJ90" i="3"/>
  <c r="BJ89" i="3"/>
  <c r="BJ39" i="3"/>
  <c r="AZ64" i="3"/>
  <c r="AZ78" i="3"/>
  <c r="AZ77" i="3"/>
  <c r="AZ76" i="3"/>
  <c r="AZ89" i="3"/>
  <c r="AZ39" i="3"/>
  <c r="R192" i="1"/>
  <c r="BK25" i="1"/>
  <c r="BK24" i="1"/>
  <c r="BK23" i="1"/>
  <c r="BK22" i="1"/>
  <c r="BK21" i="1"/>
  <c r="BK10" i="1"/>
  <c r="BK11" i="1" s="1"/>
  <c r="BK8" i="1"/>
  <c r="BA249" i="1"/>
  <c r="BA250" i="1"/>
  <c r="BO250" i="1" s="1"/>
  <c r="BO263" i="1" s="1"/>
  <c r="BG72" i="1" l="1"/>
  <c r="BH101" i="1" s="1"/>
  <c r="BG218" i="1"/>
  <c r="BG291" i="1" s="1"/>
  <c r="BR196" i="1"/>
  <c r="BR174" i="1"/>
  <c r="BR198" i="1"/>
  <c r="BR235" i="1"/>
  <c r="BR194" i="1"/>
  <c r="BR197" i="1"/>
  <c r="BR236" i="1"/>
  <c r="BP298" i="1"/>
  <c r="BG324" i="1"/>
  <c r="BG319" i="1"/>
  <c r="BG317" i="1"/>
  <c r="BG316" i="1"/>
  <c r="BG322" i="1"/>
  <c r="BG321" i="1"/>
  <c r="BP296" i="1"/>
  <c r="BP292" i="1"/>
  <c r="BP281" i="1"/>
  <c r="BF282" i="1" s="1"/>
  <c r="BP286" i="1"/>
  <c r="E85" i="2"/>
  <c r="C93" i="2"/>
  <c r="BH94" i="1"/>
  <c r="BG55" i="1"/>
  <c r="BG53" i="1"/>
  <c r="BH321" i="1"/>
  <c r="BH316" i="1"/>
  <c r="BH322" i="1"/>
  <c r="BH317" i="1"/>
  <c r="BH319" i="1"/>
  <c r="BH325" i="1"/>
  <c r="BF199" i="1"/>
  <c r="BF241" i="1"/>
  <c r="BH180" i="1"/>
  <c r="BH246" i="1" s="1"/>
  <c r="BH191" i="1"/>
  <c r="BH260" i="1" s="1"/>
  <c r="BP265" i="1"/>
  <c r="N191" i="1"/>
  <c r="BP291" i="1"/>
  <c r="Q87" i="1"/>
  <c r="Q83" i="1"/>
  <c r="Q229" i="1" s="1"/>
  <c r="Q302" i="1" s="1"/>
  <c r="Q227" i="1"/>
  <c r="Q300" i="1" s="1"/>
  <c r="P87" i="1"/>
  <c r="BP94" i="1"/>
  <c r="P83" i="1"/>
  <c r="BM53" i="1"/>
  <c r="BQ51" i="1"/>
  <c r="BR94" i="1" s="1" a="1"/>
  <c r="BR94" i="1" s="1"/>
  <c r="BQ93" i="1"/>
  <c r="BP290" i="1"/>
  <c r="BP285" i="1"/>
  <c r="BG101" i="1"/>
  <c r="BG220" i="1"/>
  <c r="BG293" i="1" s="1"/>
  <c r="BG78" i="1"/>
  <c r="Q296" i="1"/>
  <c r="Q297" i="1"/>
  <c r="Q295" i="1"/>
  <c r="Q298" i="1"/>
  <c r="Q292" i="1"/>
  <c r="Q257" i="1"/>
  <c r="Q259" i="1"/>
  <c r="Q281" i="1"/>
  <c r="Q286" i="1"/>
  <c r="Q289" i="1"/>
  <c r="Q275" i="1"/>
  <c r="Q290" i="1"/>
  <c r="Q287" i="1"/>
  <c r="Q301" i="1"/>
  <c r="Q255" i="1"/>
  <c r="Q294" i="1"/>
  <c r="Q285" i="1"/>
  <c r="Q253" i="1"/>
  <c r="Q291" i="1"/>
  <c r="Q258" i="1"/>
  <c r="Q288" i="1"/>
  <c r="Q254" i="1"/>
  <c r="Q293" i="1"/>
  <c r="Q327" i="1" s="1"/>
  <c r="Q260" i="1"/>
  <c r="BP312" i="1"/>
  <c r="F152" i="2"/>
  <c r="BP289" i="1"/>
  <c r="BP308" i="1"/>
  <c r="Q299" i="1"/>
  <c r="BP310" i="1"/>
  <c r="BP305" i="1"/>
  <c r="J151" i="2"/>
  <c r="K145" i="2"/>
  <c r="K148" i="2"/>
  <c r="F146" i="2"/>
  <c r="F143" i="2"/>
  <c r="BP306" i="1"/>
  <c r="C175" i="2"/>
  <c r="D175" i="2"/>
  <c r="D200" i="2"/>
  <c r="F191" i="2" s="1"/>
  <c r="BO200" i="1"/>
  <c r="BE175" i="1"/>
  <c r="BE241" i="1" s="1"/>
  <c r="BE174" i="1"/>
  <c r="BE200" i="1" s="1"/>
  <c r="BP263" i="1"/>
  <c r="BP262" i="1"/>
  <c r="BP264" i="1"/>
  <c r="BP261" i="1"/>
  <c r="BB55" i="1"/>
  <c r="BP275" i="1"/>
  <c r="BP297" i="1"/>
  <c r="BP295" i="1"/>
  <c r="BP294" i="1"/>
  <c r="BP288" i="1"/>
  <c r="BP287" i="1"/>
  <c r="BP301" i="1"/>
  <c r="BO249" i="1"/>
  <c r="BO286" i="1" s="1"/>
  <c r="BC235" i="1"/>
  <c r="BP220" i="1"/>
  <c r="BP293" i="1" s="1"/>
  <c r="BP78" i="1"/>
  <c r="BO241" i="1"/>
  <c r="D221" i="2"/>
  <c r="C221" i="2"/>
  <c r="BF256" i="1"/>
  <c r="BF267" i="1"/>
  <c r="BF266" i="1"/>
  <c r="BB53" i="1"/>
  <c r="BE93" i="1"/>
  <c r="BF93" i="1"/>
  <c r="C204" i="2"/>
  <c r="C205" i="2" s="1"/>
  <c r="E197" i="2"/>
  <c r="BF319" i="1"/>
  <c r="BF316" i="1"/>
  <c r="BF322" i="1"/>
  <c r="BF317" i="1"/>
  <c r="BF321" i="1"/>
  <c r="J196" i="2"/>
  <c r="K190" i="2"/>
  <c r="K193" i="2"/>
  <c r="BF268" i="1"/>
  <c r="BO310" i="1"/>
  <c r="BO308" i="1"/>
  <c r="BO312" i="1"/>
  <c r="BO303" i="1"/>
  <c r="BO261" i="1"/>
  <c r="BO264" i="1"/>
  <c r="BO306" i="1"/>
  <c r="BO262" i="1"/>
  <c r="BO305" i="1"/>
  <c r="BO78" i="1"/>
  <c r="BO220" i="1"/>
  <c r="BF269" i="1"/>
  <c r="BO265" i="1"/>
  <c r="D197" i="2"/>
  <c r="D199" i="2"/>
  <c r="BB76" i="3"/>
  <c r="O240" i="1"/>
  <c r="BE269" i="1"/>
  <c r="BB328" i="1"/>
  <c r="BC328" i="1"/>
  <c r="BD254" i="1"/>
  <c r="BD267" i="1" s="1"/>
  <c r="I224" i="2"/>
  <c r="BE319" i="1"/>
  <c r="BE322" i="1"/>
  <c r="BE321" i="1"/>
  <c r="BE317" i="1"/>
  <c r="BE220" i="1"/>
  <c r="BE293" i="1" s="1"/>
  <c r="BE78" i="1"/>
  <c r="BE80" i="1" s="1"/>
  <c r="BE256" i="1"/>
  <c r="BE267" i="1"/>
  <c r="BE266" i="1"/>
  <c r="J234" i="2"/>
  <c r="D238" i="2"/>
  <c r="D240" i="2"/>
  <c r="BB89" i="3"/>
  <c r="AZ46" i="3"/>
  <c r="BL72" i="3"/>
  <c r="BL79" i="3" s="1"/>
  <c r="BL76" i="3"/>
  <c r="BB62" i="3"/>
  <c r="BB39" i="3"/>
  <c r="BB50" i="3" s="1"/>
  <c r="O198" i="1"/>
  <c r="BA310" i="1"/>
  <c r="BA308" i="1"/>
  <c r="BL158" i="1"/>
  <c r="BL196" i="1" s="1"/>
  <c r="BL233" i="1"/>
  <c r="BL164" i="1"/>
  <c r="BB153" i="1"/>
  <c r="BB232" i="1" s="1"/>
  <c r="BB305" i="1" s="1"/>
  <c r="BN226" i="1"/>
  <c r="BN83" i="1"/>
  <c r="BN84" i="1" s="1"/>
  <c r="BD227" i="1"/>
  <c r="BD300" i="1" s="1"/>
  <c r="BD229" i="1"/>
  <c r="BD302" i="1" s="1"/>
  <c r="I347" i="2"/>
  <c r="BD257" i="1"/>
  <c r="BD253" i="1"/>
  <c r="C302" i="2"/>
  <c r="D302" i="2" s="1"/>
  <c r="C301" i="2"/>
  <c r="D301" i="2" s="1"/>
  <c r="C300" i="2"/>
  <c r="D300" i="2" s="1"/>
  <c r="C299" i="2"/>
  <c r="D299" i="2" s="1"/>
  <c r="C298" i="2"/>
  <c r="D298" i="2" s="1"/>
  <c r="C284" i="2"/>
  <c r="E277" i="2"/>
  <c r="C281" i="2"/>
  <c r="C279" i="2"/>
  <c r="J312" i="2"/>
  <c r="D273" i="2"/>
  <c r="D270" i="2"/>
  <c r="BM67" i="1"/>
  <c r="N241" i="1"/>
  <c r="N199" i="1"/>
  <c r="N227" i="1"/>
  <c r="N200" i="1"/>
  <c r="N240" i="1"/>
  <c r="N83" i="1"/>
  <c r="N84" i="1" s="1"/>
  <c r="BC51" i="1"/>
  <c r="BC52" i="1" s="1"/>
  <c r="D317" i="2"/>
  <c r="D333" i="2"/>
  <c r="D334" i="2" s="1"/>
  <c r="D310" i="2"/>
  <c r="O191" i="1"/>
  <c r="J311" i="2"/>
  <c r="J310" i="2"/>
  <c r="J314" i="2"/>
  <c r="D319" i="2"/>
  <c r="D315" i="2"/>
  <c r="D313" i="2"/>
  <c r="J317" i="2"/>
  <c r="D316" i="2"/>
  <c r="O229" i="1"/>
  <c r="O241" i="1"/>
  <c r="O199" i="1"/>
  <c r="O227" i="1"/>
  <c r="D321" i="2"/>
  <c r="C339" i="2"/>
  <c r="D339" i="2" s="1"/>
  <c r="C343" i="2"/>
  <c r="D343" i="2" s="1"/>
  <c r="C342" i="2"/>
  <c r="D342" i="2" s="1"/>
  <c r="C340" i="2"/>
  <c r="D340" i="2" s="1"/>
  <c r="C341" i="2"/>
  <c r="D341" i="2" s="1"/>
  <c r="I316" i="2"/>
  <c r="I357" i="2"/>
  <c r="C322" i="2"/>
  <c r="C320" i="2"/>
  <c r="C327" i="2" s="1"/>
  <c r="BL181" i="1"/>
  <c r="BL247" i="1" s="1"/>
  <c r="BL195" i="1"/>
  <c r="BL49" i="1"/>
  <c r="BL39" i="1"/>
  <c r="BL26" i="1"/>
  <c r="BL194" i="1"/>
  <c r="BB43" i="1"/>
  <c r="BB29" i="1"/>
  <c r="BB42" i="1"/>
  <c r="BJ59" i="3"/>
  <c r="BB181" i="1"/>
  <c r="BB247" i="1" s="1"/>
  <c r="BB158" i="1"/>
  <c r="BB164" i="1"/>
  <c r="BB195" i="1"/>
  <c r="BB264" i="1" s="1"/>
  <c r="R303" i="1"/>
  <c r="I346" i="2"/>
  <c r="J355" i="2" s="1"/>
  <c r="BB283" i="1"/>
  <c r="BJ51" i="3"/>
  <c r="BJ40" i="3"/>
  <c r="AZ51" i="3"/>
  <c r="AZ40" i="3"/>
  <c r="BJ92" i="3"/>
  <c r="BJ65" i="3"/>
  <c r="BJ79" i="3"/>
  <c r="BJ50" i="3"/>
  <c r="BJ49" i="3"/>
  <c r="AZ65" i="3"/>
  <c r="AZ49" i="3"/>
  <c r="AZ50" i="3"/>
  <c r="AZ79" i="3"/>
  <c r="AZ92" i="3"/>
  <c r="BK17" i="1"/>
  <c r="BK26" i="1" s="1"/>
  <c r="BK29" i="1" s="1"/>
  <c r="BA124" i="1"/>
  <c r="BA109" i="1"/>
  <c r="BA121" i="1" s="1"/>
  <c r="BA108" i="1"/>
  <c r="BA120" i="1" s="1"/>
  <c r="BA81" i="1"/>
  <c r="BA79" i="1"/>
  <c r="BA70" i="1"/>
  <c r="BA67" i="1"/>
  <c r="BA71" i="1"/>
  <c r="BA66" i="1"/>
  <c r="AZ65" i="1"/>
  <c r="BA25" i="1"/>
  <c r="BA24" i="1"/>
  <c r="BA23" i="1"/>
  <c r="BA22" i="1"/>
  <c r="BA21" i="1"/>
  <c r="BK274" i="1"/>
  <c r="BK273" i="1"/>
  <c r="BK272" i="1"/>
  <c r="BK252" i="1"/>
  <c r="BK250" i="1"/>
  <c r="BK249" i="1"/>
  <c r="BK230" i="1"/>
  <c r="BK208" i="1"/>
  <c r="BO209" i="1" s="1"/>
  <c r="BK206" i="1"/>
  <c r="BO207" i="1" s="1"/>
  <c r="BK205" i="1"/>
  <c r="BK204" i="1"/>
  <c r="BK203" i="1"/>
  <c r="BK192" i="1"/>
  <c r="BK188" i="1"/>
  <c r="BK183" i="1"/>
  <c r="BK166" i="1"/>
  <c r="BK156" i="1"/>
  <c r="BK124" i="1"/>
  <c r="BK153" i="1" s="1"/>
  <c r="BK109" i="1"/>
  <c r="BK121" i="1" s="1"/>
  <c r="BK108" i="1"/>
  <c r="BK120" i="1" s="1"/>
  <c r="BK103" i="1"/>
  <c r="BK90" i="1"/>
  <c r="BK228" i="1"/>
  <c r="BK222" i="1"/>
  <c r="BK219" i="1"/>
  <c r="BK218" i="1"/>
  <c r="BK217" i="1"/>
  <c r="BK214" i="1"/>
  <c r="BK64" i="1"/>
  <c r="BK63" i="1"/>
  <c r="BK60" i="1"/>
  <c r="BN96" i="1" s="1"/>
  <c r="BK58" i="1"/>
  <c r="BK48" i="1"/>
  <c r="BK46" i="1"/>
  <c r="BK38" i="1"/>
  <c r="BK37" i="1"/>
  <c r="BK36" i="1"/>
  <c r="BK35" i="1"/>
  <c r="BK34" i="1"/>
  <c r="BK33" i="1"/>
  <c r="BH327" i="1" l="1"/>
  <c r="BR200" i="1"/>
  <c r="BR240" i="1"/>
  <c r="BR199" i="1"/>
  <c r="BR241" i="1"/>
  <c r="BQ52" i="1"/>
  <c r="BG52" i="1"/>
  <c r="P229" i="1"/>
  <c r="P84" i="1"/>
  <c r="BQ84" i="1" s="1"/>
  <c r="F197" i="2"/>
  <c r="F195" i="2"/>
  <c r="BE240" i="1"/>
  <c r="F188" i="2"/>
  <c r="BG327" i="1"/>
  <c r="BQ53" i="1"/>
  <c r="BQ55" i="1"/>
  <c r="BQ94" i="1"/>
  <c r="BG226" i="1"/>
  <c r="BG299" i="1" s="1"/>
  <c r="BG180" i="1"/>
  <c r="BG246" i="1" s="1"/>
  <c r="BG191" i="1"/>
  <c r="BG260" i="1" s="1"/>
  <c r="BF80" i="1"/>
  <c r="BF87" i="1" s="1"/>
  <c r="BE199" i="1"/>
  <c r="Q283" i="1"/>
  <c r="Q319" i="1"/>
  <c r="Q316" i="1"/>
  <c r="Q321" i="1"/>
  <c r="Q322" i="1"/>
  <c r="Q317" i="1"/>
  <c r="BO301" i="1"/>
  <c r="Q256" i="1"/>
  <c r="Q267" i="1"/>
  <c r="Q266" i="1"/>
  <c r="Q268" i="1"/>
  <c r="Q269" i="1"/>
  <c r="Q314" i="1"/>
  <c r="Q325" i="1"/>
  <c r="Q324" i="1"/>
  <c r="BO285" i="1"/>
  <c r="BB65" i="3"/>
  <c r="BB79" i="3"/>
  <c r="BO291" i="1"/>
  <c r="BO288" i="1"/>
  <c r="BO275" i="1"/>
  <c r="BE276" i="1" s="1"/>
  <c r="BM219" i="1"/>
  <c r="BP98" i="1"/>
  <c r="BO297" i="1"/>
  <c r="BO295" i="1"/>
  <c r="BP283" i="1"/>
  <c r="BF276" i="1"/>
  <c r="BO294" i="1"/>
  <c r="BO281" i="1"/>
  <c r="BO296" i="1"/>
  <c r="BO298" i="1"/>
  <c r="BO292" i="1"/>
  <c r="BO293" i="1"/>
  <c r="BO290" i="1"/>
  <c r="BD268" i="1"/>
  <c r="BO289" i="1"/>
  <c r="BD269" i="1"/>
  <c r="BO287" i="1"/>
  <c r="BD266" i="1"/>
  <c r="C325" i="2"/>
  <c r="BP226" i="1"/>
  <c r="BP299" i="1" s="1"/>
  <c r="BK312" i="1"/>
  <c r="BD256" i="1"/>
  <c r="BO328" i="1"/>
  <c r="BF94" i="1"/>
  <c r="BO98" i="1"/>
  <c r="BL51" i="1"/>
  <c r="BO93" i="1"/>
  <c r="BO80" i="1"/>
  <c r="BO226" i="1"/>
  <c r="BO299" i="1" s="1"/>
  <c r="BE87" i="1"/>
  <c r="BB40" i="3"/>
  <c r="BB92" i="3"/>
  <c r="D241" i="2"/>
  <c r="J237" i="2"/>
  <c r="BE226" i="1"/>
  <c r="BE299" i="1" s="1"/>
  <c r="BE94" i="1"/>
  <c r="D262" i="2"/>
  <c r="C262" i="2"/>
  <c r="BB49" i="3"/>
  <c r="BB46" i="3"/>
  <c r="BB51" i="3"/>
  <c r="BB159" i="1"/>
  <c r="BB194" i="1" s="1"/>
  <c r="BB263" i="1" s="1"/>
  <c r="BK310" i="1"/>
  <c r="BK308" i="1"/>
  <c r="BB193" i="1"/>
  <c r="BB262" i="1" s="1"/>
  <c r="BB163" i="1"/>
  <c r="BN98" i="1"/>
  <c r="BN178" i="1" s="1"/>
  <c r="BN229" i="1"/>
  <c r="BN227" i="1"/>
  <c r="C286" i="2"/>
  <c r="C287" i="2" s="1"/>
  <c r="E279" i="2"/>
  <c r="C303" i="2"/>
  <c r="D303" i="2"/>
  <c r="D277" i="2"/>
  <c r="J272" i="2"/>
  <c r="O84" i="1"/>
  <c r="BM84" i="1"/>
  <c r="BM86" i="1" s="1"/>
  <c r="BM98" i="1"/>
  <c r="N229" i="1"/>
  <c r="N86" i="1"/>
  <c r="BB79" i="1"/>
  <c r="BA65" i="1"/>
  <c r="BC53" i="1"/>
  <c r="BC55" i="1"/>
  <c r="BK290" i="1"/>
  <c r="BK261" i="1"/>
  <c r="BB67" i="1"/>
  <c r="BB70" i="1"/>
  <c r="BB81" i="1"/>
  <c r="BB71" i="1"/>
  <c r="BB66" i="1"/>
  <c r="R261" i="1"/>
  <c r="BK301" i="1"/>
  <c r="BL43" i="1"/>
  <c r="BL42" i="1"/>
  <c r="BL29" i="1"/>
  <c r="R149" i="1"/>
  <c r="C351" i="2"/>
  <c r="D362" i="2"/>
  <c r="D360" i="2"/>
  <c r="D358" i="2"/>
  <c r="J353" i="2"/>
  <c r="J352" i="2"/>
  <c r="D356" i="2"/>
  <c r="J358" i="2"/>
  <c r="D354" i="2"/>
  <c r="D357" i="2"/>
  <c r="D374" i="2"/>
  <c r="D375" i="2" s="1"/>
  <c r="J351" i="2"/>
  <c r="BB196" i="1"/>
  <c r="BB265" i="1" s="1"/>
  <c r="BK292" i="1"/>
  <c r="R110" i="1"/>
  <c r="BK291" i="1"/>
  <c r="BK212" i="1"/>
  <c r="BK285" i="1" s="1"/>
  <c r="BK295" i="1"/>
  <c r="BK281" i="1"/>
  <c r="BK287" i="1"/>
  <c r="BK303" i="1"/>
  <c r="BK49" i="1"/>
  <c r="BN93" i="1" s="1"/>
  <c r="BK210" i="1"/>
  <c r="BK232" i="1"/>
  <c r="BK305" i="1" s="1"/>
  <c r="BK163" i="1"/>
  <c r="BK193" i="1"/>
  <c r="BK262" i="1" s="1"/>
  <c r="BK159" i="1"/>
  <c r="BK110" i="1"/>
  <c r="BK151" i="1"/>
  <c r="BK275" i="1"/>
  <c r="BK39" i="1"/>
  <c r="BA274" i="1"/>
  <c r="BA273" i="1"/>
  <c r="BA272" i="1"/>
  <c r="BA252" i="1"/>
  <c r="BA230" i="1"/>
  <c r="BA303" i="1" s="1"/>
  <c r="BA208" i="1"/>
  <c r="BA206" i="1"/>
  <c r="BA205" i="1"/>
  <c r="BA204" i="1"/>
  <c r="BA203" i="1"/>
  <c r="BA192" i="1"/>
  <c r="BA261" i="1" s="1"/>
  <c r="BA188" i="1"/>
  <c r="BA183" i="1"/>
  <c r="BA166" i="1"/>
  <c r="BA156" i="1"/>
  <c r="BA153" i="1"/>
  <c r="BA103" i="1"/>
  <c r="BA90" i="1"/>
  <c r="BA228" i="1"/>
  <c r="BA301" i="1" s="1"/>
  <c r="BA74" i="1"/>
  <c r="BA219" i="1"/>
  <c r="BA292" i="1" s="1"/>
  <c r="BA218" i="1"/>
  <c r="BA291" i="1" s="1"/>
  <c r="BA217" i="1"/>
  <c r="BA290" i="1" s="1"/>
  <c r="BA214" i="1"/>
  <c r="BA287" i="1" s="1"/>
  <c r="BA64" i="1"/>
  <c r="BA63" i="1"/>
  <c r="BA60" i="1"/>
  <c r="BA58" i="1"/>
  <c r="BA48" i="1"/>
  <c r="BA46" i="1"/>
  <c r="BA38" i="1"/>
  <c r="BA37" i="1"/>
  <c r="BA36" i="1"/>
  <c r="BA35" i="1"/>
  <c r="BA34" i="1"/>
  <c r="BA33" i="1"/>
  <c r="BA10" i="1"/>
  <c r="AZ249" i="1"/>
  <c r="AZ250" i="1"/>
  <c r="AZ308" i="1" s="1"/>
  <c r="BE282" i="1" l="1"/>
  <c r="BO282" i="1"/>
  <c r="BG80" i="1"/>
  <c r="BP52" i="1"/>
  <c r="BB52" i="1"/>
  <c r="BO83" i="1"/>
  <c r="BO84" i="1" s="1"/>
  <c r="R153" i="1"/>
  <c r="R163" i="1" s="1"/>
  <c r="BO276" i="1"/>
  <c r="BN249" i="1"/>
  <c r="BG227" i="1"/>
  <c r="BG300" i="1" s="1"/>
  <c r="BP80" i="1"/>
  <c r="BP87" i="1" s="1"/>
  <c r="O86" i="1"/>
  <c r="BO283" i="1"/>
  <c r="BL55" i="1"/>
  <c r="BA207" i="1"/>
  <c r="BA209" i="1"/>
  <c r="BD96" i="1"/>
  <c r="BD174" i="1" s="1"/>
  <c r="BL53" i="1"/>
  <c r="BO87" i="1"/>
  <c r="BO227" i="1"/>
  <c r="BO300" i="1" s="1"/>
  <c r="BB218" i="1"/>
  <c r="BB291" i="1" s="1"/>
  <c r="BF227" i="1"/>
  <c r="BF300" i="1" s="1"/>
  <c r="BF83" i="1"/>
  <c r="BB228" i="1"/>
  <c r="BB301" i="1" s="1"/>
  <c r="BC79" i="1"/>
  <c r="BO94" i="1" a="1"/>
  <c r="BO94" i="1" s="1"/>
  <c r="BB217" i="1"/>
  <c r="BB290" i="1" s="1"/>
  <c r="BO189" i="1"/>
  <c r="BO178" i="1"/>
  <c r="BO244" i="1" s="1"/>
  <c r="BB65" i="1"/>
  <c r="BC65" i="1" s="1"/>
  <c r="F232" i="2"/>
  <c r="F229" i="2"/>
  <c r="F236" i="2"/>
  <c r="F238" i="2"/>
  <c r="BB219" i="1"/>
  <c r="BB292" i="1" s="1"/>
  <c r="BE227" i="1"/>
  <c r="BE300" i="1" s="1"/>
  <c r="BE83" i="1"/>
  <c r="BE84" i="1" s="1"/>
  <c r="BN250" i="1"/>
  <c r="BN308" i="1" s="1"/>
  <c r="AZ310" i="1"/>
  <c r="R312" i="1"/>
  <c r="BA312" i="1"/>
  <c r="BK233" i="1"/>
  <c r="BK306" i="1" s="1"/>
  <c r="BK164" i="1"/>
  <c r="I265" i="2"/>
  <c r="D281" i="2"/>
  <c r="D279" i="2"/>
  <c r="J277" i="2"/>
  <c r="J275" i="2"/>
  <c r="BM189" i="1"/>
  <c r="BM178" i="1"/>
  <c r="BM244" i="1" s="1"/>
  <c r="BC71" i="1"/>
  <c r="O249" i="1"/>
  <c r="P249" i="1" s="1"/>
  <c r="BC257" i="1"/>
  <c r="BC253" i="1"/>
  <c r="BC254" i="1"/>
  <c r="BC81" i="1"/>
  <c r="BQ228" i="1" s="1"/>
  <c r="BQ301" i="1" s="1"/>
  <c r="BC66" i="1"/>
  <c r="BC70" i="1"/>
  <c r="BC67" i="1"/>
  <c r="O306" i="1"/>
  <c r="O303" i="1"/>
  <c r="O261" i="1"/>
  <c r="O305" i="1"/>
  <c r="O265" i="1"/>
  <c r="O262" i="1"/>
  <c r="O264" i="1"/>
  <c r="O263" i="1"/>
  <c r="BB214" i="1"/>
  <c r="BB287" i="1" s="1"/>
  <c r="R151" i="1"/>
  <c r="BA17" i="1"/>
  <c r="BA49" i="1" s="1"/>
  <c r="AZ59" i="3"/>
  <c r="C352" i="2"/>
  <c r="D351" i="2"/>
  <c r="BA222" i="1"/>
  <c r="BA295" i="1" s="1"/>
  <c r="BB74" i="1"/>
  <c r="BA212" i="1"/>
  <c r="BA285" i="1" s="1"/>
  <c r="BK51" i="1"/>
  <c r="BA281" i="1"/>
  <c r="BK209" i="1"/>
  <c r="BA11" i="1"/>
  <c r="BA210" i="1"/>
  <c r="BK207" i="1"/>
  <c r="BK43" i="1"/>
  <c r="BK42" i="1"/>
  <c r="BK283" i="1"/>
  <c r="BK194" i="1"/>
  <c r="BK263" i="1" s="1"/>
  <c r="BK181" i="1"/>
  <c r="BK247" i="1" s="1"/>
  <c r="BK195" i="1"/>
  <c r="BK264" i="1" s="1"/>
  <c r="BK158" i="1"/>
  <c r="BA163" i="1"/>
  <c r="BA232" i="1"/>
  <c r="BA305" i="1" s="1"/>
  <c r="BA159" i="1"/>
  <c r="BA193" i="1"/>
  <c r="BA262" i="1" s="1"/>
  <c r="BA110" i="1"/>
  <c r="BA151" i="1"/>
  <c r="BA275" i="1"/>
  <c r="I395" i="2"/>
  <c r="I398" i="2" s="1"/>
  <c r="C400" i="2"/>
  <c r="C401" i="2"/>
  <c r="C402" i="2"/>
  <c r="C404" i="2"/>
  <c r="C418" i="2" s="1"/>
  <c r="C406" i="2"/>
  <c r="I402" i="2" s="1"/>
  <c r="I391" i="2"/>
  <c r="I390" i="2"/>
  <c r="E430" i="2"/>
  <c r="AY144" i="3"/>
  <c r="AY145" i="3" s="1"/>
  <c r="AY45" i="3"/>
  <c r="AY44" i="3"/>
  <c r="AY43" i="3"/>
  <c r="BI45" i="3"/>
  <c r="BI44" i="3"/>
  <c r="BI43" i="3"/>
  <c r="AZ8" i="1"/>
  <c r="BI32" i="3"/>
  <c r="BI31" i="3"/>
  <c r="BI30" i="3"/>
  <c r="BI29" i="3"/>
  <c r="BI28" i="3"/>
  <c r="BI158" i="3"/>
  <c r="BI152" i="3"/>
  <c r="BI145" i="3"/>
  <c r="BI91" i="3"/>
  <c r="BI90" i="3"/>
  <c r="BI89" i="3"/>
  <c r="BI86" i="3"/>
  <c r="BI78" i="3"/>
  <c r="BI77" i="3"/>
  <c r="BI76" i="3"/>
  <c r="BI72" i="3"/>
  <c r="BI64" i="3"/>
  <c r="BI63" i="3"/>
  <c r="BI62" i="3"/>
  <c r="BI58" i="3"/>
  <c r="BI39" i="3"/>
  <c r="BI24" i="3"/>
  <c r="AY158" i="3"/>
  <c r="AY152" i="3"/>
  <c r="AY91" i="3"/>
  <c r="AY90" i="3"/>
  <c r="AY89" i="3"/>
  <c r="AY86" i="3"/>
  <c r="AY78" i="3"/>
  <c r="AY77" i="3"/>
  <c r="AY76" i="3"/>
  <c r="AY72" i="3"/>
  <c r="AY64" i="3"/>
  <c r="AY63" i="3"/>
  <c r="AY62" i="3"/>
  <c r="AY58" i="3"/>
  <c r="AY39" i="3"/>
  <c r="AY51" i="3" s="1"/>
  <c r="AY24" i="3"/>
  <c r="AZ145" i="1"/>
  <c r="AZ124" i="1"/>
  <c r="AX124" i="1"/>
  <c r="AZ109" i="1"/>
  <c r="AZ108" i="1"/>
  <c r="AZ107" i="1"/>
  <c r="AZ106" i="1"/>
  <c r="BN106" i="1" s="1"/>
  <c r="AZ105" i="1"/>
  <c r="BN105" i="1" s="1"/>
  <c r="BJ77" i="1"/>
  <c r="BJ76" i="1"/>
  <c r="AZ77" i="1"/>
  <c r="AZ76" i="1"/>
  <c r="BJ75" i="1"/>
  <c r="BJ73" i="1"/>
  <c r="BJ69" i="1"/>
  <c r="AZ75" i="1"/>
  <c r="AZ73" i="1"/>
  <c r="AZ69" i="1"/>
  <c r="BJ24" i="1"/>
  <c r="AZ24" i="1"/>
  <c r="BJ25" i="1"/>
  <c r="AZ25" i="1"/>
  <c r="BJ23" i="1"/>
  <c r="BM23" i="1" s="1"/>
  <c r="AZ23" i="1"/>
  <c r="BJ22" i="1"/>
  <c r="BM22" i="1" s="1"/>
  <c r="AZ22" i="1"/>
  <c r="BJ21" i="1"/>
  <c r="BM21" i="1" s="1"/>
  <c r="AZ21" i="1"/>
  <c r="BJ8" i="1"/>
  <c r="BJ274" i="1"/>
  <c r="BJ273" i="1"/>
  <c r="BJ272" i="1"/>
  <c r="BJ252" i="1"/>
  <c r="BJ249" i="1"/>
  <c r="BJ230" i="1"/>
  <c r="BJ303" i="1" s="1"/>
  <c r="BJ228" i="1"/>
  <c r="BJ222" i="1"/>
  <c r="BJ219" i="1"/>
  <c r="BJ218" i="1"/>
  <c r="BJ217" i="1"/>
  <c r="BJ214" i="1"/>
  <c r="BJ208" i="1"/>
  <c r="BN209" i="1" s="1"/>
  <c r="BJ206" i="1"/>
  <c r="BN207" i="1" s="1"/>
  <c r="BJ205" i="1"/>
  <c r="BJ204" i="1"/>
  <c r="BJ203" i="1"/>
  <c r="BJ192" i="1"/>
  <c r="BJ261" i="1" s="1"/>
  <c r="BJ188" i="1"/>
  <c r="BJ183" i="1"/>
  <c r="BJ166" i="1"/>
  <c r="BJ156" i="1"/>
  <c r="BJ312" i="1" s="1"/>
  <c r="BJ124" i="1"/>
  <c r="BJ109" i="1"/>
  <c r="BJ121" i="1" s="1"/>
  <c r="BJ108" i="1"/>
  <c r="BJ120" i="1" s="1"/>
  <c r="BJ103" i="1"/>
  <c r="BJ90" i="1"/>
  <c r="BJ64" i="1"/>
  <c r="BJ63" i="1"/>
  <c r="BJ60" i="1"/>
  <c r="BM96" i="1" s="1"/>
  <c r="BJ58" i="1"/>
  <c r="BJ48" i="1"/>
  <c r="BJ46" i="1"/>
  <c r="BJ38" i="1"/>
  <c r="BJ37" i="1"/>
  <c r="BJ36" i="1"/>
  <c r="BJ35" i="1"/>
  <c r="BJ34" i="1"/>
  <c r="BJ33" i="1"/>
  <c r="BJ10" i="1"/>
  <c r="BJ17" i="1" s="1"/>
  <c r="AZ274" i="1"/>
  <c r="AZ273" i="1"/>
  <c r="AZ272" i="1"/>
  <c r="AZ252" i="1"/>
  <c r="AZ230" i="1"/>
  <c r="AZ303" i="1" s="1"/>
  <c r="AZ228" i="1"/>
  <c r="AZ301" i="1" s="1"/>
  <c r="AZ222" i="1"/>
  <c r="AZ295" i="1" s="1"/>
  <c r="AZ219" i="1"/>
  <c r="AZ292" i="1" s="1"/>
  <c r="AZ218" i="1"/>
  <c r="AZ291" i="1" s="1"/>
  <c r="AZ217" i="1"/>
  <c r="AZ290" i="1" s="1"/>
  <c r="AZ214" i="1"/>
  <c r="AZ287" i="1" s="1"/>
  <c r="AZ208" i="1"/>
  <c r="AZ206" i="1"/>
  <c r="AZ205" i="1"/>
  <c r="AZ204" i="1"/>
  <c r="AZ203" i="1"/>
  <c r="AZ192" i="1"/>
  <c r="AZ261" i="1" s="1"/>
  <c r="AZ188" i="1"/>
  <c r="AZ183" i="1"/>
  <c r="AZ166" i="1"/>
  <c r="AZ156" i="1"/>
  <c r="AZ312" i="1" s="1"/>
  <c r="AZ103" i="1"/>
  <c r="AZ90" i="1"/>
  <c r="AZ64" i="1"/>
  <c r="AZ63" i="1"/>
  <c r="AZ60" i="1"/>
  <c r="BC96" i="1" s="1"/>
  <c r="AZ58" i="1"/>
  <c r="AZ48" i="1"/>
  <c r="AZ46" i="1"/>
  <c r="AZ38" i="1"/>
  <c r="AZ37" i="1"/>
  <c r="AZ36" i="1"/>
  <c r="AZ35" i="1"/>
  <c r="AZ34" i="1"/>
  <c r="AZ33" i="1"/>
  <c r="AZ10" i="1"/>
  <c r="AZ17" i="1" s="1"/>
  <c r="L57" i="1"/>
  <c r="AU154" i="1"/>
  <c r="AY154" i="1"/>
  <c r="L8" i="1"/>
  <c r="AU7" i="1"/>
  <c r="BM8" i="1" s="1"/>
  <c r="L136" i="1"/>
  <c r="L129" i="1"/>
  <c r="L125" i="1"/>
  <c r="L126" i="1"/>
  <c r="AT85" i="3"/>
  <c r="AT84" i="3"/>
  <c r="AT83" i="3"/>
  <c r="AT71" i="3"/>
  <c r="AT70" i="3"/>
  <c r="AT69" i="3"/>
  <c r="AT57" i="3"/>
  <c r="AT56" i="3"/>
  <c r="AT55" i="3"/>
  <c r="AT38" i="3"/>
  <c r="BL45" i="3" s="1"/>
  <c r="AT37" i="3"/>
  <c r="BL44" i="3" s="1"/>
  <c r="AT36" i="3"/>
  <c r="BL43" i="3" s="1"/>
  <c r="AT23" i="3"/>
  <c r="BL32" i="3" s="1"/>
  <c r="AT22" i="3"/>
  <c r="BL31" i="3" s="1"/>
  <c r="AT21" i="3"/>
  <c r="BL30" i="3" s="1"/>
  <c r="AT20" i="3"/>
  <c r="BL29" i="3" s="1"/>
  <c r="AT19" i="3"/>
  <c r="BL28" i="3" s="1"/>
  <c r="M107" i="3"/>
  <c r="L107" i="3"/>
  <c r="L106" i="3"/>
  <c r="M106" i="3"/>
  <c r="AU140" i="1"/>
  <c r="AU139" i="1"/>
  <c r="AU138" i="1"/>
  <c r="P302" i="1" l="1"/>
  <c r="P260" i="1"/>
  <c r="P293" i="1"/>
  <c r="P327" i="1" s="1"/>
  <c r="P288" i="1"/>
  <c r="P254" i="1"/>
  <c r="P285" i="1"/>
  <c r="P255" i="1"/>
  <c r="P300" i="1"/>
  <c r="P295" i="1"/>
  <c r="P286" i="1"/>
  <c r="P275" i="1"/>
  <c r="P259" i="1"/>
  <c r="P281" i="1"/>
  <c r="P289" i="1"/>
  <c r="P287" i="1"/>
  <c r="P301" i="1"/>
  <c r="P258" i="1"/>
  <c r="P257" i="1"/>
  <c r="P253" i="1"/>
  <c r="P292" i="1"/>
  <c r="P297" i="1"/>
  <c r="P296" i="1"/>
  <c r="P291" i="1"/>
  <c r="P298" i="1"/>
  <c r="P294" i="1"/>
  <c r="P290" i="1"/>
  <c r="P299" i="1"/>
  <c r="BQ80" i="1"/>
  <c r="BO52" i="1"/>
  <c r="BO229" i="1"/>
  <c r="BO302" i="1" s="1"/>
  <c r="R232" i="1"/>
  <c r="R305" i="1" s="1"/>
  <c r="R193" i="1"/>
  <c r="R262" i="1" s="1"/>
  <c r="BG83" i="1"/>
  <c r="BG229" i="1" s="1"/>
  <c r="BG302" i="1" s="1"/>
  <c r="BQ256" i="1"/>
  <c r="BQ213" i="1"/>
  <c r="BQ286" i="1" s="1"/>
  <c r="BQ153" i="1"/>
  <c r="BQ151" i="1"/>
  <c r="P86" i="1"/>
  <c r="Q84" i="1"/>
  <c r="Q86" i="1" s="1"/>
  <c r="BF84" i="1"/>
  <c r="BG84" i="1" s="1"/>
  <c r="BD175" i="1"/>
  <c r="BD199" i="1" s="1"/>
  <c r="BE98" i="1"/>
  <c r="BE189" i="1" s="1"/>
  <c r="BE258" i="1" s="1"/>
  <c r="BC218" i="1"/>
  <c r="BC291" i="1" s="1"/>
  <c r="BQ218" i="1"/>
  <c r="BQ291" i="1" s="1"/>
  <c r="BC217" i="1"/>
  <c r="BC290" i="1" s="1"/>
  <c r="BQ217" i="1"/>
  <c r="BQ290" i="1" s="1"/>
  <c r="BD186" i="1"/>
  <c r="BD255" i="1" s="1"/>
  <c r="BC214" i="1"/>
  <c r="BC287" i="1" s="1"/>
  <c r="BQ214" i="1"/>
  <c r="BQ287" i="1" s="1"/>
  <c r="BD314" i="1"/>
  <c r="BD316" i="1" s="1"/>
  <c r="AZ275" i="1"/>
  <c r="AZ281" i="1"/>
  <c r="BN303" i="1"/>
  <c r="BP227" i="1"/>
  <c r="BP300" i="1" s="1"/>
  <c r="BP83" i="1"/>
  <c r="BP84" i="1" s="1"/>
  <c r="BB213" i="1"/>
  <c r="BB286" i="1" s="1"/>
  <c r="BF86" i="1"/>
  <c r="BF229" i="1"/>
  <c r="BF302" i="1" s="1"/>
  <c r="BB215" i="1"/>
  <c r="BB288" i="1" s="1"/>
  <c r="BB222" i="1"/>
  <c r="BB295" i="1" s="1"/>
  <c r="BC219" i="1"/>
  <c r="BC292" i="1" s="1"/>
  <c r="BF325" i="1" s="1"/>
  <c r="BF98" i="1"/>
  <c r="BN261" i="1"/>
  <c r="BI25" i="3"/>
  <c r="BM33" i="3"/>
  <c r="BI51" i="3"/>
  <c r="BM46" i="3"/>
  <c r="BE229" i="1"/>
  <c r="BE302" i="1" s="1"/>
  <c r="BE86" i="1"/>
  <c r="BC228" i="1"/>
  <c r="BC301" i="1" s="1"/>
  <c r="AY25" i="3"/>
  <c r="AY33" i="3"/>
  <c r="O328" i="1"/>
  <c r="BN312" i="1"/>
  <c r="BN310" i="1"/>
  <c r="R164" i="1"/>
  <c r="R233" i="1"/>
  <c r="R306" i="1" s="1"/>
  <c r="R328" i="1" s="1"/>
  <c r="BN107" i="1"/>
  <c r="AZ119" i="1"/>
  <c r="C398" i="2"/>
  <c r="C399" i="2" s="1"/>
  <c r="BN145" i="1"/>
  <c r="AZ120" i="1"/>
  <c r="BN108" i="1"/>
  <c r="BN120" i="1" s="1"/>
  <c r="BN109" i="1"/>
  <c r="BN121" i="1" s="1"/>
  <c r="AZ121" i="1"/>
  <c r="BA158" i="1"/>
  <c r="BA196" i="1" s="1"/>
  <c r="BA265" i="1" s="1"/>
  <c r="BA233" i="1"/>
  <c r="BA306" i="1" s="1"/>
  <c r="BC213" i="1"/>
  <c r="BC286" i="1" s="1"/>
  <c r="C395" i="2"/>
  <c r="C396" i="2" s="1"/>
  <c r="BN124" i="1"/>
  <c r="BK55" i="1"/>
  <c r="BN94" i="1" a="1"/>
  <c r="BN94" i="1" s="1"/>
  <c r="BD98" i="1"/>
  <c r="BD189" i="1" s="1"/>
  <c r="BD258" i="1" s="1"/>
  <c r="BM25" i="1"/>
  <c r="BM24" i="1"/>
  <c r="BA51" i="1"/>
  <c r="BA52" i="1" s="1"/>
  <c r="BD93" i="1"/>
  <c r="D282" i="2"/>
  <c r="J278" i="2"/>
  <c r="BD200" i="1"/>
  <c r="BD240" i="1"/>
  <c r="BC22" i="1"/>
  <c r="BC23" i="1"/>
  <c r="BM186" i="1"/>
  <c r="BM175" i="1"/>
  <c r="BM174" i="1"/>
  <c r="BC21" i="1"/>
  <c r="BC186" i="1"/>
  <c r="BC255" i="1" s="1"/>
  <c r="BC174" i="1"/>
  <c r="BC175" i="1"/>
  <c r="BC24" i="1"/>
  <c r="AZ224" i="1"/>
  <c r="AZ297" i="1" s="1"/>
  <c r="BC98" i="1"/>
  <c r="AZ225" i="1"/>
  <c r="AZ298" i="1" s="1"/>
  <c r="BC256" i="1"/>
  <c r="BC266" i="1"/>
  <c r="BC267" i="1"/>
  <c r="BC269" i="1"/>
  <c r="BC268" i="1"/>
  <c r="BC25" i="1"/>
  <c r="BA69" i="1"/>
  <c r="BC74" i="1"/>
  <c r="BQ222" i="1" s="1"/>
  <c r="BQ295" i="1" s="1"/>
  <c r="BK75" i="1"/>
  <c r="BK223" i="1" s="1"/>
  <c r="BK296" i="1" s="1"/>
  <c r="BK282" i="1"/>
  <c r="BA282" i="1"/>
  <c r="BK76" i="1"/>
  <c r="BK224" i="1" s="1"/>
  <c r="BK297" i="1" s="1"/>
  <c r="BK77" i="1"/>
  <c r="BL77" i="1" s="1"/>
  <c r="BK276" i="1"/>
  <c r="BA276" i="1"/>
  <c r="BJ45" i="1"/>
  <c r="BJ91" i="1"/>
  <c r="BJ184" i="1" s="1"/>
  <c r="BJ253" i="1" s="1"/>
  <c r="BK91" i="1"/>
  <c r="BL91" i="1"/>
  <c r="AY40" i="3"/>
  <c r="AY49" i="3"/>
  <c r="R195" i="1"/>
  <c r="R264" i="1" s="1"/>
  <c r="R181" i="1"/>
  <c r="R247" i="1" s="1"/>
  <c r="BJ224" i="1"/>
  <c r="BJ297" i="1" s="1"/>
  <c r="AZ153" i="1"/>
  <c r="AZ232" i="1" s="1"/>
  <c r="AZ305" i="1" s="1"/>
  <c r="BA39" i="1"/>
  <c r="BJ216" i="1"/>
  <c r="BJ289" i="1" s="1"/>
  <c r="BK41" i="1"/>
  <c r="BK40" i="1"/>
  <c r="BJ281" i="1"/>
  <c r="BJ290" i="1"/>
  <c r="BA26" i="1"/>
  <c r="BA42" i="1" s="1"/>
  <c r="C359" i="2"/>
  <c r="J397" i="2"/>
  <c r="D352" i="2"/>
  <c r="D355" i="2"/>
  <c r="AY46" i="3"/>
  <c r="BJ72" i="1"/>
  <c r="BJ291" i="1"/>
  <c r="BJ110" i="1"/>
  <c r="BJ295" i="1"/>
  <c r="BJ223" i="1"/>
  <c r="BJ296" i="1" s="1"/>
  <c r="BA76" i="1"/>
  <c r="BK257" i="1"/>
  <c r="BJ213" i="1"/>
  <c r="BJ286" i="1" s="1"/>
  <c r="BK65" i="1"/>
  <c r="BA77" i="1"/>
  <c r="AZ45" i="1"/>
  <c r="BA73" i="1"/>
  <c r="BJ225" i="1"/>
  <c r="BJ298" i="1" s="1"/>
  <c r="BA75" i="1"/>
  <c r="I399" i="2"/>
  <c r="I401" i="2" s="1"/>
  <c r="BK69" i="1"/>
  <c r="BJ221" i="1"/>
  <c r="BJ294" i="1" s="1"/>
  <c r="BK73" i="1"/>
  <c r="BL73" i="1" s="1"/>
  <c r="AY59" i="3"/>
  <c r="AZ26" i="1"/>
  <c r="BK53" i="1"/>
  <c r="D401" i="2"/>
  <c r="BK196" i="1"/>
  <c r="BK265" i="1" s="1"/>
  <c r="AZ223" i="1"/>
  <c r="AZ296" i="1" s="1"/>
  <c r="BJ212" i="1"/>
  <c r="BJ285" i="1" s="1"/>
  <c r="AZ216" i="1"/>
  <c r="AZ289" i="1" s="1"/>
  <c r="AZ207" i="1"/>
  <c r="AZ209" i="1"/>
  <c r="BJ257" i="1"/>
  <c r="BJ287" i="1"/>
  <c r="BJ301" i="1"/>
  <c r="AZ221" i="1"/>
  <c r="AZ294" i="1" s="1"/>
  <c r="AZ110" i="1"/>
  <c r="BA195" i="1"/>
  <c r="BA264" i="1" s="1"/>
  <c r="BA181" i="1"/>
  <c r="BA247" i="1" s="1"/>
  <c r="BA164" i="1"/>
  <c r="BJ292" i="1"/>
  <c r="BI59" i="3"/>
  <c r="BA194" i="1"/>
  <c r="BA263" i="1" s="1"/>
  <c r="BJ275" i="1"/>
  <c r="AZ213" i="1"/>
  <c r="AZ286" i="1" s="1"/>
  <c r="BA283" i="1"/>
  <c r="J396" i="2"/>
  <c r="D400" i="2"/>
  <c r="D406" i="2"/>
  <c r="J402" i="2"/>
  <c r="D402" i="2"/>
  <c r="J395" i="2"/>
  <c r="D404" i="2"/>
  <c r="C419" i="2"/>
  <c r="D418" i="2"/>
  <c r="D419" i="2" s="1"/>
  <c r="I403" i="2"/>
  <c r="BI40" i="3"/>
  <c r="BI79" i="3"/>
  <c r="BI92" i="3"/>
  <c r="AY92" i="3"/>
  <c r="AY79" i="3"/>
  <c r="BI49" i="3"/>
  <c r="BI65" i="3"/>
  <c r="BI50" i="3"/>
  <c r="AY65" i="3"/>
  <c r="AY50" i="3"/>
  <c r="AZ72" i="1"/>
  <c r="BJ210" i="1"/>
  <c r="BJ153" i="1"/>
  <c r="BJ151" i="1"/>
  <c r="BJ49" i="1"/>
  <c r="BM93" i="1" s="1"/>
  <c r="BJ39" i="1"/>
  <c r="BJ26" i="1"/>
  <c r="BJ11" i="1"/>
  <c r="AZ49" i="1"/>
  <c r="BC93" i="1" s="1"/>
  <c r="AZ39" i="1"/>
  <c r="AZ210" i="1"/>
  <c r="AZ212" i="1"/>
  <c r="AZ285" i="1" s="1"/>
  <c r="AZ11" i="1"/>
  <c r="L124" i="1"/>
  <c r="L149" i="1" s="1"/>
  <c r="L41" i="1" s="1"/>
  <c r="L69" i="1"/>
  <c r="L216" i="1" s="1"/>
  <c r="M69" i="1"/>
  <c r="M216" i="1" s="1"/>
  <c r="AU250" i="1"/>
  <c r="AU310" i="1" s="1"/>
  <c r="AU162" i="1"/>
  <c r="AU161" i="1"/>
  <c r="AU150" i="1"/>
  <c r="AU192" i="1" s="1"/>
  <c r="AU148" i="1"/>
  <c r="AU147" i="1"/>
  <c r="AU146" i="1"/>
  <c r="AU145" i="1"/>
  <c r="AU141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07" i="1"/>
  <c r="AU106" i="1"/>
  <c r="AU105" i="1"/>
  <c r="AU88" i="1"/>
  <c r="AU56" i="1"/>
  <c r="AU50" i="1"/>
  <c r="AU28" i="1"/>
  <c r="AU27" i="1"/>
  <c r="AU24" i="1"/>
  <c r="AU20" i="1"/>
  <c r="AU19" i="1"/>
  <c r="AU18" i="1"/>
  <c r="AU16" i="1"/>
  <c r="AU15" i="1"/>
  <c r="AU14" i="1"/>
  <c r="AU13" i="1"/>
  <c r="AU12" i="1"/>
  <c r="AU9" i="1"/>
  <c r="AU91" i="1"/>
  <c r="AU184" i="1" s="1"/>
  <c r="C450" i="2"/>
  <c r="C446" i="2"/>
  <c r="C445" i="2"/>
  <c r="C444" i="2"/>
  <c r="C442" i="2"/>
  <c r="M79" i="1"/>
  <c r="L79" i="1"/>
  <c r="AY143" i="1"/>
  <c r="AY142" i="1"/>
  <c r="M124" i="1"/>
  <c r="M149" i="1" s="1"/>
  <c r="I441" i="2"/>
  <c r="I440" i="2"/>
  <c r="I439" i="2"/>
  <c r="E474" i="2"/>
  <c r="M45" i="3"/>
  <c r="M44" i="3"/>
  <c r="M43" i="3"/>
  <c r="M32" i="3"/>
  <c r="M31" i="3"/>
  <c r="M30" i="3"/>
  <c r="M29" i="3"/>
  <c r="M28" i="3"/>
  <c r="L145" i="3"/>
  <c r="L91" i="3"/>
  <c r="L90" i="3"/>
  <c r="L89" i="3"/>
  <c r="L86" i="3"/>
  <c r="L78" i="3"/>
  <c r="L77" i="3"/>
  <c r="L76" i="3"/>
  <c r="L72" i="3"/>
  <c r="L64" i="3"/>
  <c r="L63" i="3"/>
  <c r="L62" i="3"/>
  <c r="L58" i="3"/>
  <c r="L39" i="3"/>
  <c r="L24" i="3"/>
  <c r="M150" i="1"/>
  <c r="M230" i="1" s="1"/>
  <c r="L150" i="1"/>
  <c r="L230" i="1" s="1"/>
  <c r="L108" i="1"/>
  <c r="L109" i="1"/>
  <c r="M109" i="1"/>
  <c r="M108" i="1"/>
  <c r="L107" i="1"/>
  <c r="M107" i="1"/>
  <c r="AY107" i="1" s="1"/>
  <c r="L106" i="1"/>
  <c r="M106" i="1"/>
  <c r="AY106" i="1" s="1"/>
  <c r="L105" i="1"/>
  <c r="M105" i="1"/>
  <c r="AY105" i="1" s="1"/>
  <c r="AY249" i="1"/>
  <c r="AY250" i="1"/>
  <c r="BM250" i="1" s="1"/>
  <c r="BM308" i="1" s="1"/>
  <c r="L250" i="1"/>
  <c r="L161" i="1"/>
  <c r="M88" i="1"/>
  <c r="AY88" i="1" s="1"/>
  <c r="M65" i="1"/>
  <c r="M213" i="1" s="1"/>
  <c r="L65" i="1"/>
  <c r="L213" i="1" s="1"/>
  <c r="M81" i="1"/>
  <c r="M228" i="1" s="1"/>
  <c r="L81" i="1"/>
  <c r="L228" i="1" s="1"/>
  <c r="L74" i="1"/>
  <c r="L222" i="1" s="1"/>
  <c r="L77" i="1"/>
  <c r="L225" i="1" s="1"/>
  <c r="L67" i="1"/>
  <c r="L219" i="1" s="1"/>
  <c r="L75" i="1"/>
  <c r="L223" i="1" s="1"/>
  <c r="L76" i="1"/>
  <c r="L224" i="1" s="1"/>
  <c r="M77" i="1"/>
  <c r="M225" i="1" s="1"/>
  <c r="M67" i="1"/>
  <c r="M219" i="1" s="1"/>
  <c r="M75" i="1"/>
  <c r="M223" i="1" s="1"/>
  <c r="M76" i="1"/>
  <c r="M224" i="1" s="1"/>
  <c r="M70" i="1"/>
  <c r="M217" i="1" s="1"/>
  <c r="L73" i="1"/>
  <c r="L221" i="1" s="1"/>
  <c r="L70" i="1"/>
  <c r="L217" i="1" s="1"/>
  <c r="M73" i="1"/>
  <c r="M221" i="1" s="1"/>
  <c r="L50" i="1"/>
  <c r="L46" i="1" s="1"/>
  <c r="M50" i="1"/>
  <c r="M46" i="1" s="1"/>
  <c r="L28" i="1"/>
  <c r="M28" i="1"/>
  <c r="AY28" i="1" s="1"/>
  <c r="M23" i="1"/>
  <c r="L23" i="1"/>
  <c r="L15" i="1"/>
  <c r="L37" i="1" s="1"/>
  <c r="M272" i="1"/>
  <c r="M252" i="1"/>
  <c r="M222" i="1"/>
  <c r="M218" i="1"/>
  <c r="M214" i="1"/>
  <c r="M208" i="1"/>
  <c r="M206" i="1"/>
  <c r="M203" i="1"/>
  <c r="M188" i="1"/>
  <c r="M183" i="1"/>
  <c r="M166" i="1"/>
  <c r="M156" i="1"/>
  <c r="M103" i="1"/>
  <c r="M95" i="1"/>
  <c r="C452" i="2" s="1"/>
  <c r="M92" i="1"/>
  <c r="M91" i="1"/>
  <c r="M184" i="1" s="1"/>
  <c r="M90" i="1"/>
  <c r="M64" i="1"/>
  <c r="M212" i="1" s="1"/>
  <c r="M63" i="1"/>
  <c r="M61" i="1"/>
  <c r="M60" i="1"/>
  <c r="M96" i="1" s="1"/>
  <c r="M186" i="1" s="1"/>
  <c r="M58" i="1"/>
  <c r="M57" i="1"/>
  <c r="M48" i="1"/>
  <c r="M38" i="1"/>
  <c r="M37" i="1"/>
  <c r="M36" i="1"/>
  <c r="M35" i="1"/>
  <c r="M34" i="1"/>
  <c r="M33" i="1"/>
  <c r="M10" i="1"/>
  <c r="M17" i="1" s="1"/>
  <c r="M93" i="1" s="1"/>
  <c r="M8" i="1"/>
  <c r="L272" i="1"/>
  <c r="L252" i="1"/>
  <c r="L218" i="1"/>
  <c r="L214" i="1"/>
  <c r="L208" i="1"/>
  <c r="L206" i="1"/>
  <c r="L203" i="1"/>
  <c r="L188" i="1"/>
  <c r="L183" i="1"/>
  <c r="L166" i="1"/>
  <c r="L156" i="1"/>
  <c r="L103" i="1"/>
  <c r="L95" i="1"/>
  <c r="L185" i="1" s="1"/>
  <c r="L92" i="1"/>
  <c r="L91" i="1"/>
  <c r="L184" i="1" s="1"/>
  <c r="L90" i="1"/>
  <c r="L64" i="1"/>
  <c r="L212" i="1" s="1"/>
  <c r="L63" i="1"/>
  <c r="L61" i="1"/>
  <c r="L60" i="1"/>
  <c r="L96" i="1" s="1"/>
  <c r="L186" i="1" s="1"/>
  <c r="L58" i="1"/>
  <c r="L48" i="1"/>
  <c r="L38" i="1"/>
  <c r="L36" i="1"/>
  <c r="L35" i="1"/>
  <c r="L34" i="1"/>
  <c r="L33" i="1"/>
  <c r="L10" i="1"/>
  <c r="L11" i="1" s="1"/>
  <c r="AU274" i="1"/>
  <c r="AU273" i="1"/>
  <c r="AU272" i="1"/>
  <c r="AU252" i="1"/>
  <c r="AU205" i="1"/>
  <c r="AU204" i="1"/>
  <c r="AU203" i="1"/>
  <c r="AU188" i="1"/>
  <c r="AU183" i="1"/>
  <c r="AU166" i="1"/>
  <c r="AU156" i="1"/>
  <c r="AU103" i="1"/>
  <c r="AU90" i="1"/>
  <c r="AU63" i="1"/>
  <c r="AU48" i="1"/>
  <c r="M158" i="3"/>
  <c r="M152" i="3"/>
  <c r="M145" i="3"/>
  <c r="M91" i="3"/>
  <c r="M90" i="3"/>
  <c r="M89" i="3"/>
  <c r="M86" i="3"/>
  <c r="M78" i="3"/>
  <c r="M77" i="3"/>
  <c r="M76" i="3"/>
  <c r="M72" i="3"/>
  <c r="M64" i="3"/>
  <c r="M63" i="3"/>
  <c r="M62" i="3"/>
  <c r="M58" i="3"/>
  <c r="M39" i="3"/>
  <c r="M24" i="3"/>
  <c r="AX85" i="3"/>
  <c r="AX84" i="3"/>
  <c r="AX83" i="3"/>
  <c r="AX71" i="3"/>
  <c r="AX70" i="3"/>
  <c r="AX69" i="3"/>
  <c r="AX57" i="3"/>
  <c r="AX56" i="3"/>
  <c r="AX55" i="3"/>
  <c r="AX38" i="3"/>
  <c r="AX37" i="3"/>
  <c r="AX36" i="3"/>
  <c r="AX23" i="3"/>
  <c r="AX22" i="3"/>
  <c r="AX21" i="3"/>
  <c r="AX20" i="3"/>
  <c r="AX19" i="3"/>
  <c r="AY274" i="1"/>
  <c r="AY273" i="1"/>
  <c r="AY272" i="1"/>
  <c r="AY252" i="1"/>
  <c r="AY205" i="1"/>
  <c r="AY204" i="1"/>
  <c r="AY203" i="1"/>
  <c r="AY188" i="1"/>
  <c r="AY183" i="1"/>
  <c r="AY166" i="1"/>
  <c r="AY162" i="1"/>
  <c r="AY161" i="1"/>
  <c r="AY156" i="1"/>
  <c r="AY148" i="1"/>
  <c r="AY147" i="1"/>
  <c r="AY146" i="1"/>
  <c r="AY145" i="1"/>
  <c r="AY141" i="1"/>
  <c r="AY140" i="1"/>
  <c r="AY139" i="1"/>
  <c r="AY138" i="1"/>
  <c r="AY137" i="1"/>
  <c r="AY136" i="1"/>
  <c r="AY135" i="1"/>
  <c r="AY134" i="1"/>
  <c r="AY133" i="1"/>
  <c r="AY132" i="1"/>
  <c r="AY131" i="1"/>
  <c r="AY130" i="1"/>
  <c r="AY129" i="1"/>
  <c r="AY128" i="1"/>
  <c r="AY127" i="1"/>
  <c r="AY126" i="1"/>
  <c r="AY125" i="1"/>
  <c r="AY103" i="1"/>
  <c r="AY90" i="1"/>
  <c r="AY63" i="1"/>
  <c r="AY56" i="1"/>
  <c r="AY48" i="1"/>
  <c r="AY27" i="1"/>
  <c r="AY20" i="1"/>
  <c r="AY19" i="1"/>
  <c r="AY18" i="1"/>
  <c r="AY16" i="1"/>
  <c r="AY15" i="1"/>
  <c r="AY14" i="1"/>
  <c r="AY13" i="1"/>
  <c r="AY12" i="1"/>
  <c r="AY9" i="1"/>
  <c r="AY7" i="1"/>
  <c r="C493" i="2"/>
  <c r="I489" i="2" s="1"/>
  <c r="C491" i="2"/>
  <c r="C505" i="2" s="1"/>
  <c r="C489" i="2"/>
  <c r="C488" i="2"/>
  <c r="C487" i="2"/>
  <c r="C485" i="2"/>
  <c r="C486" i="2" s="1"/>
  <c r="I482" i="2"/>
  <c r="I485" i="2" s="1"/>
  <c r="E515" i="2"/>
  <c r="E516" i="2" s="1"/>
  <c r="AW158" i="3"/>
  <c r="AW152" i="3"/>
  <c r="AW145" i="3"/>
  <c r="AW91" i="3"/>
  <c r="AW90" i="3"/>
  <c r="AW89" i="3"/>
  <c r="AW86" i="3"/>
  <c r="AW78" i="3"/>
  <c r="AW77" i="3"/>
  <c r="AW76" i="3"/>
  <c r="AW72" i="3"/>
  <c r="AW64" i="3"/>
  <c r="AW63" i="3"/>
  <c r="AW62" i="3"/>
  <c r="AW58" i="3"/>
  <c r="AW45" i="3"/>
  <c r="AW44" i="3"/>
  <c r="AW43" i="3"/>
  <c r="AW39" i="3"/>
  <c r="AW32" i="3"/>
  <c r="AW31" i="3"/>
  <c r="AW30" i="3"/>
  <c r="AW29" i="3"/>
  <c r="AW28" i="3"/>
  <c r="AW24" i="3"/>
  <c r="AX249" i="1"/>
  <c r="BL249" i="1" s="1"/>
  <c r="AX250" i="1"/>
  <c r="AX308" i="1" s="1"/>
  <c r="AX109" i="1"/>
  <c r="AX121" i="1" s="1"/>
  <c r="AX108" i="1"/>
  <c r="AX120" i="1" s="1"/>
  <c r="AX25" i="1"/>
  <c r="AX23" i="1"/>
  <c r="AX22" i="1"/>
  <c r="AX21" i="1"/>
  <c r="AX274" i="1"/>
  <c r="AX273" i="1"/>
  <c r="AX272" i="1"/>
  <c r="AX252" i="1"/>
  <c r="AX230" i="1"/>
  <c r="AX208" i="1"/>
  <c r="AX206" i="1"/>
  <c r="AX205" i="1"/>
  <c r="AX204" i="1"/>
  <c r="AX203" i="1"/>
  <c r="AX192" i="1"/>
  <c r="AX188" i="1"/>
  <c r="AX183" i="1"/>
  <c r="AX166" i="1"/>
  <c r="AX156" i="1"/>
  <c r="AX103" i="1"/>
  <c r="AX90" i="1"/>
  <c r="AX64" i="1"/>
  <c r="AX212" i="1" s="1"/>
  <c r="AX63" i="1"/>
  <c r="AX60" i="1"/>
  <c r="AX58" i="1"/>
  <c r="AX48" i="1"/>
  <c r="AX46" i="1"/>
  <c r="AX38" i="1"/>
  <c r="AX37" i="1"/>
  <c r="AX36" i="1"/>
  <c r="AX35" i="1"/>
  <c r="AX34" i="1"/>
  <c r="AX33" i="1"/>
  <c r="AX10" i="1"/>
  <c r="AX17" i="1" s="1"/>
  <c r="AX8" i="1"/>
  <c r="I525" i="2"/>
  <c r="I528" i="2" s="1"/>
  <c r="E559" i="2"/>
  <c r="C536" i="2"/>
  <c r="I532" i="2" s="1"/>
  <c r="C534" i="2"/>
  <c r="C548" i="2" s="1"/>
  <c r="C532" i="2"/>
  <c r="C531" i="2"/>
  <c r="C530" i="2"/>
  <c r="C528" i="2"/>
  <c r="C529" i="2" s="1"/>
  <c r="AV28" i="3"/>
  <c r="AV158" i="3"/>
  <c r="AV152" i="3"/>
  <c r="AV145" i="3"/>
  <c r="AV91" i="3"/>
  <c r="AV90" i="3"/>
  <c r="AV89" i="3"/>
  <c r="AV86" i="3"/>
  <c r="AV78" i="3"/>
  <c r="AV77" i="3"/>
  <c r="AV76" i="3"/>
  <c r="AV72" i="3"/>
  <c r="AV64" i="3"/>
  <c r="AV63" i="3"/>
  <c r="AV62" i="3"/>
  <c r="AV58" i="3"/>
  <c r="AV45" i="3"/>
  <c r="AV44" i="3"/>
  <c r="AV43" i="3"/>
  <c r="AV39" i="3"/>
  <c r="BN46" i="3" s="1"/>
  <c r="AV32" i="3"/>
  <c r="AV31" i="3"/>
  <c r="AV30" i="3"/>
  <c r="AV29" i="3"/>
  <c r="AV24" i="3"/>
  <c r="BN33" i="3" s="1"/>
  <c r="AW249" i="1"/>
  <c r="AW250" i="1"/>
  <c r="AW124" i="1"/>
  <c r="AW109" i="1"/>
  <c r="AW121" i="1" s="1"/>
  <c r="AW108" i="1"/>
  <c r="AW120" i="1" s="1"/>
  <c r="AW81" i="1"/>
  <c r="BL228" i="1" s="1"/>
  <c r="AW67" i="1"/>
  <c r="AW75" i="1"/>
  <c r="AW74" i="1"/>
  <c r="BL222" i="1" s="1"/>
  <c r="AW73" i="1"/>
  <c r="AW71" i="1"/>
  <c r="AW70" i="1"/>
  <c r="AW69" i="1"/>
  <c r="AW66" i="1"/>
  <c r="BL214" i="1" s="1"/>
  <c r="AW24" i="1"/>
  <c r="AW25" i="1"/>
  <c r="AW23" i="1"/>
  <c r="AW22" i="1"/>
  <c r="AW21" i="1"/>
  <c r="AW274" i="1"/>
  <c r="AW273" i="1"/>
  <c r="AW272" i="1"/>
  <c r="AW252" i="1"/>
  <c r="AW230" i="1"/>
  <c r="AW208" i="1"/>
  <c r="AW206" i="1"/>
  <c r="AW205" i="1"/>
  <c r="AW204" i="1"/>
  <c r="AW203" i="1"/>
  <c r="AW192" i="1"/>
  <c r="AW188" i="1"/>
  <c r="AW183" i="1"/>
  <c r="AW166" i="1"/>
  <c r="AW156" i="1"/>
  <c r="AW312" i="1" s="1"/>
  <c r="AW103" i="1"/>
  <c r="AW90" i="1"/>
  <c r="AW64" i="1"/>
  <c r="AW212" i="1" s="1"/>
  <c r="AW63" i="1"/>
  <c r="AW60" i="1"/>
  <c r="AW58" i="1"/>
  <c r="AW48" i="1"/>
  <c r="AW46" i="1"/>
  <c r="AW38" i="1"/>
  <c r="AW37" i="1"/>
  <c r="AW36" i="1"/>
  <c r="AW35" i="1"/>
  <c r="AW34" i="1"/>
  <c r="AW33" i="1"/>
  <c r="AW10" i="1"/>
  <c r="AW17" i="1" s="1"/>
  <c r="AW8" i="1"/>
  <c r="C579" i="2"/>
  <c r="C577" i="2"/>
  <c r="I572" i="2" s="1"/>
  <c r="C574" i="2"/>
  <c r="C575" i="2"/>
  <c r="C573" i="2"/>
  <c r="C571" i="2"/>
  <c r="C572" i="2" s="1"/>
  <c r="I563" i="2"/>
  <c r="E600" i="2"/>
  <c r="I571" i="2"/>
  <c r="AU158" i="3"/>
  <c r="AU152" i="3"/>
  <c r="AU145" i="3"/>
  <c r="AU91" i="3"/>
  <c r="AU90" i="3"/>
  <c r="AU89" i="3"/>
  <c r="AU86" i="3"/>
  <c r="AU78" i="3"/>
  <c r="AU77" i="3"/>
  <c r="AU76" i="3"/>
  <c r="AU72" i="3"/>
  <c r="AU64" i="3"/>
  <c r="AU63" i="3"/>
  <c r="AU62" i="3"/>
  <c r="AU58" i="3"/>
  <c r="AU45" i="3"/>
  <c r="AU44" i="3"/>
  <c r="AU43" i="3"/>
  <c r="AU39" i="3"/>
  <c r="AU32" i="3"/>
  <c r="AU31" i="3"/>
  <c r="AU30" i="3"/>
  <c r="AU29" i="3"/>
  <c r="AU28" i="3"/>
  <c r="AU24" i="3"/>
  <c r="AV124" i="1"/>
  <c r="AV153" i="1" s="1"/>
  <c r="AV109" i="1"/>
  <c r="AV121" i="1" s="1"/>
  <c r="AV108" i="1"/>
  <c r="AV120" i="1" s="1"/>
  <c r="AV77" i="1"/>
  <c r="AW77" i="1" s="1"/>
  <c r="AV76" i="1"/>
  <c r="AV224" i="1" s="1"/>
  <c r="AV65" i="1"/>
  <c r="AV25" i="1"/>
  <c r="AV23" i="1"/>
  <c r="AV22" i="1"/>
  <c r="AV21" i="1"/>
  <c r="AV274" i="1"/>
  <c r="AV273" i="1"/>
  <c r="AV272" i="1"/>
  <c r="AV252" i="1"/>
  <c r="AV230" i="1"/>
  <c r="AV303" i="1" s="1"/>
  <c r="AV228" i="1"/>
  <c r="AV222" i="1"/>
  <c r="AV221" i="1"/>
  <c r="AV219" i="1"/>
  <c r="AV218" i="1"/>
  <c r="AV217" i="1"/>
  <c r="AV216" i="1"/>
  <c r="AV214" i="1"/>
  <c r="AV208" i="1"/>
  <c r="AV206" i="1"/>
  <c r="AV205" i="1"/>
  <c r="AV204" i="1"/>
  <c r="AV203" i="1"/>
  <c r="AV192" i="1"/>
  <c r="AV261" i="1" s="1"/>
  <c r="AV188" i="1"/>
  <c r="AV183" i="1"/>
  <c r="AV166" i="1"/>
  <c r="AV156" i="1"/>
  <c r="AV312" i="1" s="1"/>
  <c r="AV103" i="1"/>
  <c r="AV90" i="1"/>
  <c r="AV223" i="1"/>
  <c r="AV64" i="1"/>
  <c r="AV212" i="1" s="1"/>
  <c r="AV63" i="1"/>
  <c r="AV60" i="1"/>
  <c r="AV58" i="1"/>
  <c r="AV48" i="1"/>
  <c r="AV46" i="1"/>
  <c r="AV45" i="1"/>
  <c r="AV38" i="1"/>
  <c r="AV37" i="1"/>
  <c r="AV36" i="1"/>
  <c r="AV35" i="1"/>
  <c r="AV34" i="1"/>
  <c r="AV33" i="1"/>
  <c r="AV10" i="1"/>
  <c r="AV11" i="1" s="1"/>
  <c r="AV8" i="1"/>
  <c r="P269" i="1" l="1"/>
  <c r="P268" i="1"/>
  <c r="P267" i="1"/>
  <c r="P266" i="1"/>
  <c r="P256" i="1"/>
  <c r="P324" i="1"/>
  <c r="P325" i="1"/>
  <c r="P314" i="1"/>
  <c r="Q276" i="1"/>
  <c r="P316" i="1"/>
  <c r="P317" i="1"/>
  <c r="P322" i="1"/>
  <c r="P319" i="1"/>
  <c r="P321" i="1"/>
  <c r="P283" i="1"/>
  <c r="Q282" i="1"/>
  <c r="R86" i="1"/>
  <c r="BH86" i="1"/>
  <c r="BM57" i="1"/>
  <c r="AY57" i="1"/>
  <c r="BK52" i="1"/>
  <c r="BQ26" i="1"/>
  <c r="BQ43" i="1" s="1"/>
  <c r="BQ232" i="1"/>
  <c r="BQ305" i="1" s="1"/>
  <c r="BQ163" i="1"/>
  <c r="BQ193" i="1"/>
  <c r="BQ262" i="1" s="1"/>
  <c r="BQ266" i="1" s="1"/>
  <c r="BQ159" i="1"/>
  <c r="BQ169" i="1"/>
  <c r="BQ195" i="1"/>
  <c r="BQ264" i="1" s="1"/>
  <c r="BQ164" i="1"/>
  <c r="BQ168" i="1"/>
  <c r="BQ233" i="1"/>
  <c r="BQ306" i="1" s="1"/>
  <c r="BQ181" i="1"/>
  <c r="BQ247" i="1" s="1"/>
  <c r="BQ158" i="1"/>
  <c r="BQ219" i="1"/>
  <c r="BQ292" i="1" s="1"/>
  <c r="BQ98" i="1"/>
  <c r="BD241" i="1"/>
  <c r="BG86" i="1"/>
  <c r="BE178" i="1"/>
  <c r="BE244" i="1" s="1"/>
  <c r="AZ276" i="1"/>
  <c r="AZ283" i="1"/>
  <c r="BD317" i="1"/>
  <c r="BD319" i="1"/>
  <c r="BD321" i="1"/>
  <c r="BD322" i="1"/>
  <c r="AY308" i="1"/>
  <c r="BD94" i="1"/>
  <c r="BE325" i="1"/>
  <c r="BC314" i="1"/>
  <c r="BP184" i="1"/>
  <c r="BP253" i="1" s="1"/>
  <c r="BP115" i="1"/>
  <c r="BP111" i="1"/>
  <c r="BP114" i="1"/>
  <c r="BP116" i="1"/>
  <c r="BP229" i="1"/>
  <c r="BP302" i="1" s="1"/>
  <c r="BP185" i="1"/>
  <c r="BP171" i="1"/>
  <c r="BP238" i="1" s="1"/>
  <c r="BP169" i="1"/>
  <c r="BM249" i="1"/>
  <c r="BP257" i="1"/>
  <c r="BD325" i="1"/>
  <c r="BF41" i="1"/>
  <c r="BF40" i="1"/>
  <c r="BF189" i="1"/>
  <c r="BF258" i="1" s="1"/>
  <c r="BF178" i="1"/>
  <c r="BF244" i="1" s="1"/>
  <c r="AZ282" i="1"/>
  <c r="BD41" i="1"/>
  <c r="BE41" i="1"/>
  <c r="BE40" i="1"/>
  <c r="BB76" i="1"/>
  <c r="BA328" i="1"/>
  <c r="BB73" i="1"/>
  <c r="BB221" i="1" s="1"/>
  <c r="BB294" i="1" s="1"/>
  <c r="AU308" i="1"/>
  <c r="AU25" i="3"/>
  <c r="L116" i="3"/>
  <c r="N33" i="3"/>
  <c r="L40" i="3"/>
  <c r="N46" i="3"/>
  <c r="AW310" i="1"/>
  <c r="AW308" i="1"/>
  <c r="L310" i="1"/>
  <c r="L308" i="1"/>
  <c r="AU312" i="1"/>
  <c r="D395" i="2"/>
  <c r="D396" i="2" s="1"/>
  <c r="BL250" i="1"/>
  <c r="BL308" i="1" s="1"/>
  <c r="AX310" i="1"/>
  <c r="BM312" i="1"/>
  <c r="BM310" i="1"/>
  <c r="AY310" i="1"/>
  <c r="C403" i="2"/>
  <c r="C429" i="2" s="1"/>
  <c r="D429" i="2" s="1"/>
  <c r="D398" i="2"/>
  <c r="D399" i="2" s="1"/>
  <c r="AY312" i="1"/>
  <c r="BM26" i="1"/>
  <c r="BM43" i="1" s="1"/>
  <c r="L312" i="1"/>
  <c r="AX312" i="1"/>
  <c r="BL69" i="1"/>
  <c r="AY119" i="1"/>
  <c r="AU119" i="1"/>
  <c r="BA55" i="1"/>
  <c r="BN119" i="1"/>
  <c r="BN110" i="1"/>
  <c r="BN111" i="1" s="1"/>
  <c r="BJ233" i="1"/>
  <c r="BJ306" i="1" s="1"/>
  <c r="BJ164" i="1"/>
  <c r="BA53" i="1"/>
  <c r="BD178" i="1"/>
  <c r="BD244" i="1" s="1"/>
  <c r="BN114" i="1"/>
  <c r="BN116" i="1"/>
  <c r="BN185" i="1"/>
  <c r="BN291" i="1"/>
  <c r="BN298" i="1"/>
  <c r="BN287" i="1"/>
  <c r="BN275" i="1"/>
  <c r="BR276" i="1" s="1"/>
  <c r="BN301" i="1"/>
  <c r="BN292" i="1"/>
  <c r="BN295" i="1"/>
  <c r="BN281" i="1"/>
  <c r="BN290" i="1"/>
  <c r="BN289" i="1"/>
  <c r="BN294" i="1"/>
  <c r="BN285" i="1"/>
  <c r="BN296" i="1"/>
  <c r="BN286" i="1"/>
  <c r="BN297" i="1"/>
  <c r="BN288" i="1"/>
  <c r="BN293" i="1"/>
  <c r="BN299" i="1"/>
  <c r="BN300" i="1"/>
  <c r="BN302" i="1"/>
  <c r="BN184" i="1"/>
  <c r="BN115" i="1"/>
  <c r="BC40" i="1"/>
  <c r="BD40" i="1"/>
  <c r="BJ40" i="1"/>
  <c r="F273" i="2"/>
  <c r="F270" i="2"/>
  <c r="F277" i="2"/>
  <c r="F279" i="2"/>
  <c r="BB69" i="1"/>
  <c r="M117" i="3"/>
  <c r="M40" i="3"/>
  <c r="BM200" i="1"/>
  <c r="BM240" i="1"/>
  <c r="BC222" i="1"/>
  <c r="BC295" i="1" s="1"/>
  <c r="BM306" i="1"/>
  <c r="BM261" i="1"/>
  <c r="BM303" i="1"/>
  <c r="BM262" i="1"/>
  <c r="BM264" i="1"/>
  <c r="BM305" i="1"/>
  <c r="BM265" i="1"/>
  <c r="BM263" i="1"/>
  <c r="BC26" i="1"/>
  <c r="BC43" i="1" s="1"/>
  <c r="BM77" i="1"/>
  <c r="BM225" i="1" s="1"/>
  <c r="BM73" i="1"/>
  <c r="BM221" i="1" s="1"/>
  <c r="BM199" i="1"/>
  <c r="BM241" i="1"/>
  <c r="BL75" i="1"/>
  <c r="BL223" i="1" s="1"/>
  <c r="BL296" i="1" s="1"/>
  <c r="N207" i="1"/>
  <c r="N209" i="1"/>
  <c r="M250" i="1"/>
  <c r="M308" i="1" s="1"/>
  <c r="N250" i="1"/>
  <c r="N308" i="1" s="1"/>
  <c r="BJ41" i="1"/>
  <c r="BL76" i="1"/>
  <c r="BM76" i="1" s="1"/>
  <c r="BM224" i="1" s="1"/>
  <c r="BC41" i="1"/>
  <c r="BC241" i="1"/>
  <c r="BC199" i="1"/>
  <c r="R91" i="1"/>
  <c r="BC200" i="1"/>
  <c r="BC240" i="1"/>
  <c r="BC189" i="1"/>
  <c r="BC258" i="1" s="1"/>
  <c r="BC178" i="1"/>
  <c r="BC244" i="1" s="1"/>
  <c r="BC215" i="1"/>
  <c r="BC288" i="1" s="1"/>
  <c r="BJ115" i="1"/>
  <c r="BL295" i="1"/>
  <c r="O255" i="1"/>
  <c r="BL287" i="1"/>
  <c r="BA43" i="1"/>
  <c r="O298" i="1"/>
  <c r="O281" i="1"/>
  <c r="O296" i="1"/>
  <c r="O275" i="1"/>
  <c r="O286" i="1"/>
  <c r="O288" i="1"/>
  <c r="O260" i="1"/>
  <c r="BL301" i="1"/>
  <c r="BL285" i="1"/>
  <c r="BL281" i="1"/>
  <c r="BP282" i="1" s="1"/>
  <c r="BL275" i="1"/>
  <c r="BB257" i="1"/>
  <c r="I306" i="2"/>
  <c r="BJ283" i="1"/>
  <c r="BL65" i="1"/>
  <c r="BJ215" i="1"/>
  <c r="BJ288" i="1" s="1"/>
  <c r="BJ111" i="1"/>
  <c r="BL219" i="1"/>
  <c r="BL292" i="1" s="1"/>
  <c r="AX67" i="1"/>
  <c r="J399" i="2"/>
  <c r="AU208" i="1"/>
  <c r="BM209" i="1" s="1"/>
  <c r="BL95" i="1"/>
  <c r="BJ95" i="1"/>
  <c r="BJ168" i="1" s="1"/>
  <c r="BK95" i="1"/>
  <c r="BL217" i="1"/>
  <c r="BL290" i="1" s="1"/>
  <c r="AX70" i="1"/>
  <c r="AZ159" i="1"/>
  <c r="AZ194" i="1" s="1"/>
  <c r="AZ263" i="1" s="1"/>
  <c r="BB75" i="1"/>
  <c r="BL184" i="1"/>
  <c r="BL115" i="1"/>
  <c r="BL111" i="1"/>
  <c r="BB77" i="1"/>
  <c r="BL218" i="1"/>
  <c r="BL291" i="1" s="1"/>
  <c r="AX71" i="1"/>
  <c r="AY71" i="1" s="1"/>
  <c r="AU92" i="1"/>
  <c r="AU114" i="1" s="1"/>
  <c r="BJ92" i="1"/>
  <c r="BK92" i="1"/>
  <c r="BL92" i="1"/>
  <c r="BK184" i="1"/>
  <c r="BK253" i="1" s="1"/>
  <c r="BK115" i="1"/>
  <c r="BK111" i="1"/>
  <c r="J398" i="2"/>
  <c r="AW40" i="3"/>
  <c r="AW25" i="3"/>
  <c r="AZ193" i="1"/>
  <c r="AZ262" i="1" s="1"/>
  <c r="AZ163" i="1"/>
  <c r="AZ151" i="1"/>
  <c r="BJ220" i="1"/>
  <c r="BJ293" i="1" s="1"/>
  <c r="BJ78" i="1"/>
  <c r="L40" i="1"/>
  <c r="BK221" i="1"/>
  <c r="BK294" i="1" s="1"/>
  <c r="BL221" i="1"/>
  <c r="BL294" i="1" s="1"/>
  <c r="BK225" i="1"/>
  <c r="BK298" i="1" s="1"/>
  <c r="BL225" i="1"/>
  <c r="BL298" i="1" s="1"/>
  <c r="BA29" i="1"/>
  <c r="R64" i="1"/>
  <c r="BB95" i="1"/>
  <c r="C323" i="2" s="1"/>
  <c r="BA224" i="1"/>
  <c r="BA297" i="1" s="1"/>
  <c r="C366" i="2"/>
  <c r="C363" i="2"/>
  <c r="C361" i="2"/>
  <c r="R257" i="1"/>
  <c r="BA223" i="1"/>
  <c r="BA296" i="1" s="1"/>
  <c r="BA225" i="1"/>
  <c r="BA298" i="1" s="1"/>
  <c r="BB91" i="1"/>
  <c r="BB92" i="1"/>
  <c r="BA221" i="1"/>
  <c r="BA294" i="1" s="1"/>
  <c r="D359" i="2"/>
  <c r="J354" i="2"/>
  <c r="AV40" i="3"/>
  <c r="AV25" i="3"/>
  <c r="R92" i="1"/>
  <c r="AZ257" i="1"/>
  <c r="R208" i="1"/>
  <c r="R95" i="1"/>
  <c r="R169" i="1" s="1"/>
  <c r="AZ215" i="1"/>
  <c r="AZ288" i="1" s="1"/>
  <c r="BK213" i="1"/>
  <c r="BK286" i="1" s="1"/>
  <c r="BK45" i="1"/>
  <c r="BK216" i="1"/>
  <c r="BK289" i="1" s="1"/>
  <c r="R158" i="1"/>
  <c r="R159" i="1"/>
  <c r="AW219" i="1"/>
  <c r="AW292" i="1" s="1"/>
  <c r="AW214" i="1"/>
  <c r="AW287" i="1" s="1"/>
  <c r="AX69" i="1"/>
  <c r="AY69" i="1" s="1"/>
  <c r="BA92" i="1"/>
  <c r="AZ92" i="1"/>
  <c r="AX77" i="1"/>
  <c r="AW222" i="1"/>
  <c r="AW295" i="1" s="1"/>
  <c r="AW217" i="1"/>
  <c r="AW290" i="1" s="1"/>
  <c r="BA45" i="1"/>
  <c r="BA216" i="1"/>
  <c r="BA289" i="1" s="1"/>
  <c r="AX73" i="1"/>
  <c r="AX75" i="1"/>
  <c r="AY75" i="1" s="1"/>
  <c r="BA95" i="1"/>
  <c r="C364" i="2" s="1"/>
  <c r="E359" i="2" s="1"/>
  <c r="AZ95" i="1"/>
  <c r="AZ78" i="1"/>
  <c r="AY206" i="1"/>
  <c r="BA91" i="1"/>
  <c r="AZ91" i="1"/>
  <c r="AY24" i="1"/>
  <c r="BA257" i="1"/>
  <c r="BA213" i="1"/>
  <c r="BA286" i="1" s="1"/>
  <c r="I442" i="2"/>
  <c r="BJ181" i="1"/>
  <c r="BJ247" i="1" s="1"/>
  <c r="BJ195" i="1"/>
  <c r="BJ264" i="1" s="1"/>
  <c r="BJ232" i="1"/>
  <c r="BJ305" i="1" s="1"/>
  <c r="BJ163" i="1"/>
  <c r="BJ159" i="1"/>
  <c r="BJ193" i="1"/>
  <c r="BJ262" i="1" s="1"/>
  <c r="BJ158" i="1"/>
  <c r="BJ43" i="1"/>
  <c r="BJ42" i="1"/>
  <c r="BJ29" i="1"/>
  <c r="BJ51" i="1"/>
  <c r="AZ220" i="1"/>
  <c r="AZ293" i="1" s="1"/>
  <c r="AZ29" i="1"/>
  <c r="AZ43" i="1"/>
  <c r="AZ42" i="1"/>
  <c r="AZ51" i="1"/>
  <c r="AY79" i="1"/>
  <c r="L151" i="1"/>
  <c r="L233" i="1" s="1"/>
  <c r="C439" i="2"/>
  <c r="L192" i="1"/>
  <c r="L261" i="1" s="1"/>
  <c r="C448" i="2"/>
  <c r="M98" i="1"/>
  <c r="M189" i="1" s="1"/>
  <c r="M100" i="1"/>
  <c r="M190" i="1" s="1"/>
  <c r="L114" i="1"/>
  <c r="AY50" i="1"/>
  <c r="M40" i="1"/>
  <c r="L98" i="1"/>
  <c r="L178" i="1" s="1"/>
  <c r="L244" i="1" s="1"/>
  <c r="AY150" i="1"/>
  <c r="AY192" i="1" s="1"/>
  <c r="AY261" i="1" s="1"/>
  <c r="M119" i="1"/>
  <c r="M192" i="1"/>
  <c r="AU46" i="1"/>
  <c r="L45" i="1"/>
  <c r="L100" i="1"/>
  <c r="L190" i="1" s="1"/>
  <c r="M45" i="1"/>
  <c r="L303" i="1"/>
  <c r="I446" i="2"/>
  <c r="M46" i="3"/>
  <c r="M110" i="1"/>
  <c r="M111" i="1" s="1"/>
  <c r="AU37" i="1"/>
  <c r="L59" i="3"/>
  <c r="C443" i="2"/>
  <c r="M49" i="3"/>
  <c r="M50" i="3"/>
  <c r="M51" i="3"/>
  <c r="M33" i="3"/>
  <c r="L25" i="3"/>
  <c r="L79" i="3"/>
  <c r="L50" i="3"/>
  <c r="L121" i="3"/>
  <c r="L112" i="3"/>
  <c r="L117" i="3"/>
  <c r="L92" i="3"/>
  <c r="L114" i="3"/>
  <c r="L118" i="3"/>
  <c r="L120" i="3"/>
  <c r="L65" i="3"/>
  <c r="L122" i="3"/>
  <c r="L108" i="3"/>
  <c r="L119" i="3"/>
  <c r="L49" i="3"/>
  <c r="L113" i="3"/>
  <c r="L51" i="3"/>
  <c r="L115" i="3"/>
  <c r="AX72" i="3"/>
  <c r="AX86" i="3"/>
  <c r="AX76" i="3"/>
  <c r="M79" i="3"/>
  <c r="M121" i="3"/>
  <c r="M65" i="3"/>
  <c r="M92" i="3"/>
  <c r="AU40" i="1"/>
  <c r="M215" i="1"/>
  <c r="AU36" i="1"/>
  <c r="L17" i="1"/>
  <c r="L93" i="1" s="1"/>
  <c r="M121" i="1"/>
  <c r="M114" i="1"/>
  <c r="M11" i="1"/>
  <c r="M39" i="1"/>
  <c r="M26" i="1"/>
  <c r="M43" i="1" s="1"/>
  <c r="M49" i="1"/>
  <c r="M51" i="1" s="1"/>
  <c r="N52" i="1" s="1"/>
  <c r="M207" i="1"/>
  <c r="AU35" i="1"/>
  <c r="M151" i="1"/>
  <c r="M233" i="1" s="1"/>
  <c r="M41" i="1"/>
  <c r="M153" i="1"/>
  <c r="M115" i="1"/>
  <c r="M209" i="1"/>
  <c r="M116" i="1"/>
  <c r="M210" i="1"/>
  <c r="M120" i="1"/>
  <c r="M185" i="1"/>
  <c r="AY124" i="1"/>
  <c r="L110" i="1"/>
  <c r="L111" i="1" s="1"/>
  <c r="L215" i="1"/>
  <c r="L119" i="1"/>
  <c r="AU58" i="1"/>
  <c r="L120" i="1"/>
  <c r="L121" i="1"/>
  <c r="L187" i="1"/>
  <c r="L153" i="1"/>
  <c r="AU38" i="1"/>
  <c r="AU261" i="1"/>
  <c r="L115" i="1"/>
  <c r="L116" i="1"/>
  <c r="L210" i="1"/>
  <c r="AU60" i="1"/>
  <c r="AU230" i="1"/>
  <c r="AU303" i="1" s="1"/>
  <c r="AU33" i="1"/>
  <c r="AU34" i="1"/>
  <c r="AU10" i="1"/>
  <c r="AU95" i="1"/>
  <c r="AU206" i="1"/>
  <c r="BM207" i="1" s="1"/>
  <c r="AU64" i="1"/>
  <c r="AY38" i="1"/>
  <c r="M59" i="3"/>
  <c r="M118" i="3"/>
  <c r="M108" i="3"/>
  <c r="M119" i="3"/>
  <c r="M112" i="3"/>
  <c r="M120" i="3"/>
  <c r="AX62" i="3"/>
  <c r="M113" i="3"/>
  <c r="M114" i="3"/>
  <c r="M122" i="3"/>
  <c r="M115" i="3"/>
  <c r="M116" i="3"/>
  <c r="M25" i="3"/>
  <c r="AX63" i="3"/>
  <c r="AX89" i="3"/>
  <c r="AX64" i="3"/>
  <c r="AX24" i="3"/>
  <c r="AX58" i="3"/>
  <c r="AX91" i="3"/>
  <c r="AX77" i="3"/>
  <c r="AX39" i="3"/>
  <c r="AX78" i="3"/>
  <c r="AX90" i="3"/>
  <c r="AY21" i="1"/>
  <c r="AY37" i="1"/>
  <c r="AY108" i="1"/>
  <c r="AY120" i="1" s="1"/>
  <c r="AY33" i="1"/>
  <c r="AY34" i="1"/>
  <c r="AY22" i="1"/>
  <c r="AY109" i="1"/>
  <c r="AY121" i="1" s="1"/>
  <c r="AY23" i="1"/>
  <c r="AY36" i="1"/>
  <c r="AY25" i="1"/>
  <c r="AY92" i="1"/>
  <c r="AY10" i="1"/>
  <c r="AY17" i="1" s="1"/>
  <c r="AY39" i="1" s="1"/>
  <c r="AY35" i="1"/>
  <c r="AW275" i="1"/>
  <c r="AY58" i="1"/>
  <c r="AY60" i="1"/>
  <c r="AY91" i="1"/>
  <c r="AY184" i="1" s="1"/>
  <c r="AY64" i="1"/>
  <c r="AY208" i="1"/>
  <c r="AY95" i="1"/>
  <c r="AX151" i="1"/>
  <c r="AX233" i="1" s="1"/>
  <c r="I477" i="2"/>
  <c r="C482" i="2"/>
  <c r="C483" i="2" s="1"/>
  <c r="C490" i="2" s="1"/>
  <c r="AW45" i="1"/>
  <c r="AW59" i="3"/>
  <c r="C506" i="2"/>
  <c r="I490" i="2"/>
  <c r="I486" i="2"/>
  <c r="I533" i="2"/>
  <c r="AW79" i="3"/>
  <c r="AW92" i="3"/>
  <c r="AW65" i="3"/>
  <c r="AW49" i="3"/>
  <c r="AW50" i="3"/>
  <c r="AW51" i="3"/>
  <c r="AW218" i="1"/>
  <c r="AW291" i="1" s="1"/>
  <c r="AX26" i="1"/>
  <c r="C568" i="2"/>
  <c r="C569" i="2" s="1"/>
  <c r="C576" i="2" s="1"/>
  <c r="AW221" i="1"/>
  <c r="AW294" i="1" s="1"/>
  <c r="AX281" i="1"/>
  <c r="AW110" i="1"/>
  <c r="AW285" i="1"/>
  <c r="AX81" i="1"/>
  <c r="AW223" i="1"/>
  <c r="AW296" i="1" s="1"/>
  <c r="AX303" i="1"/>
  <c r="AV215" i="1"/>
  <c r="AX261" i="1"/>
  <c r="AV225" i="1"/>
  <c r="AX66" i="1"/>
  <c r="AX210" i="1"/>
  <c r="AW225" i="1"/>
  <c r="AW298" i="1" s="1"/>
  <c r="AX49" i="1"/>
  <c r="AX39" i="1"/>
  <c r="AW261" i="1"/>
  <c r="C525" i="2"/>
  <c r="C526" i="2" s="1"/>
  <c r="C533" i="2" s="1"/>
  <c r="I520" i="2"/>
  <c r="J532" i="2" s="1"/>
  <c r="AX11" i="1"/>
  <c r="AX74" i="1"/>
  <c r="AX110" i="1"/>
  <c r="AW228" i="1"/>
  <c r="AW301" i="1" s="1"/>
  <c r="AW76" i="1"/>
  <c r="AV59" i="3"/>
  <c r="AW153" i="1"/>
  <c r="AW163" i="1" s="1"/>
  <c r="AW65" i="1"/>
  <c r="AU59" i="3"/>
  <c r="I529" i="2"/>
  <c r="AW303" i="1"/>
  <c r="J570" i="2"/>
  <c r="AV92" i="3"/>
  <c r="AV65" i="3"/>
  <c r="AV49" i="3"/>
  <c r="AV79" i="3"/>
  <c r="AV50" i="3"/>
  <c r="AV51" i="3"/>
  <c r="AW281" i="1"/>
  <c r="AW210" i="1"/>
  <c r="AW49" i="1"/>
  <c r="AW39" i="1"/>
  <c r="AW26" i="1"/>
  <c r="AW29" i="1" s="1"/>
  <c r="AW11" i="1"/>
  <c r="AW216" i="1"/>
  <c r="AW289" i="1" s="1"/>
  <c r="D571" i="2"/>
  <c r="J568" i="2"/>
  <c r="J569" i="2"/>
  <c r="D573" i="2"/>
  <c r="J572" i="2"/>
  <c r="D574" i="2"/>
  <c r="D575" i="2"/>
  <c r="D577" i="2"/>
  <c r="D579" i="2"/>
  <c r="I574" i="2"/>
  <c r="I575" i="2"/>
  <c r="J575" i="2" s="1"/>
  <c r="C591" i="2"/>
  <c r="AU79" i="3"/>
  <c r="AU92" i="3"/>
  <c r="AU49" i="3"/>
  <c r="AU65" i="3"/>
  <c r="AU50" i="3"/>
  <c r="AU51" i="3"/>
  <c r="AU40" i="3"/>
  <c r="AV213" i="1"/>
  <c r="AV210" i="1"/>
  <c r="AV232" i="1"/>
  <c r="AV305" i="1" s="1"/>
  <c r="AV163" i="1"/>
  <c r="AV159" i="1"/>
  <c r="AV193" i="1"/>
  <c r="AV262" i="1" s="1"/>
  <c r="AV110" i="1"/>
  <c r="AV17" i="1"/>
  <c r="AV151" i="1"/>
  <c r="AV233" i="1" s="1"/>
  <c r="BO254" i="1" l="1"/>
  <c r="BO267" i="1" s="1"/>
  <c r="BO316" i="1" s="1"/>
  <c r="BM285" i="1"/>
  <c r="BR282" i="1"/>
  <c r="AZ52" i="1"/>
  <c r="BN52" i="1"/>
  <c r="BQ42" i="1"/>
  <c r="BQ29" i="1"/>
  <c r="BQ215" i="1"/>
  <c r="BQ288" i="1" s="1"/>
  <c r="BQ267" i="1"/>
  <c r="BQ189" i="1"/>
  <c r="BQ178" i="1"/>
  <c r="BQ244" i="1" s="1"/>
  <c r="BQ197" i="1"/>
  <c r="BQ236" i="1"/>
  <c r="BQ235" i="1"/>
  <c r="BQ198" i="1"/>
  <c r="BQ194" i="1"/>
  <c r="BQ263" i="1" s="1"/>
  <c r="BQ268" i="1" s="1"/>
  <c r="BQ175" i="1"/>
  <c r="BQ196" i="1"/>
  <c r="BQ265" i="1" s="1"/>
  <c r="BQ269" i="1" s="1"/>
  <c r="BQ174" i="1"/>
  <c r="D403" i="2"/>
  <c r="D407" i="2" s="1"/>
  <c r="BM298" i="1"/>
  <c r="BB276" i="1"/>
  <c r="BP276" i="1"/>
  <c r="BO319" i="1"/>
  <c r="BC94" i="1"/>
  <c r="BC325" i="1"/>
  <c r="BC319" i="1"/>
  <c r="BC322" i="1"/>
  <c r="BC316" i="1"/>
  <c r="BC321" i="1"/>
  <c r="BC317" i="1"/>
  <c r="BM281" i="1"/>
  <c r="BN253" i="1"/>
  <c r="BO268" i="1"/>
  <c r="BO322" i="1" s="1"/>
  <c r="BN257" i="1"/>
  <c r="BM292" i="1"/>
  <c r="BM275" i="1"/>
  <c r="BP236" i="1"/>
  <c r="BP197" i="1"/>
  <c r="BM287" i="1"/>
  <c r="BO255" i="1"/>
  <c r="BP198" i="1"/>
  <c r="BM297" i="1"/>
  <c r="BM295" i="1"/>
  <c r="BO257" i="1"/>
  <c r="BM291" i="1"/>
  <c r="BO258" i="1"/>
  <c r="BO325" i="1" s="1"/>
  <c r="BO269" i="1"/>
  <c r="BO321" i="1" s="1"/>
  <c r="BM290" i="1"/>
  <c r="BO266" i="1"/>
  <c r="BP187" i="1"/>
  <c r="BP254" i="1"/>
  <c r="BP186" i="1"/>
  <c r="BP255" i="1" s="1"/>
  <c r="BP174" i="1"/>
  <c r="BP175" i="1"/>
  <c r="BM294" i="1"/>
  <c r="BM301" i="1"/>
  <c r="BO253" i="1"/>
  <c r="BO256" i="1" s="1"/>
  <c r="BC76" i="1"/>
  <c r="BM29" i="1"/>
  <c r="BM69" i="1"/>
  <c r="BB223" i="1"/>
  <c r="BB296" i="1" s="1"/>
  <c r="BB224" i="1"/>
  <c r="BB297" i="1" s="1"/>
  <c r="BL45" i="1"/>
  <c r="BC73" i="1"/>
  <c r="BQ221" i="1" s="1"/>
  <c r="BQ294" i="1" s="1"/>
  <c r="BB216" i="1"/>
  <c r="BB289" i="1" s="1"/>
  <c r="C405" i="2"/>
  <c r="C412" i="2" s="1"/>
  <c r="C426" i="2"/>
  <c r="D426" i="2" s="1"/>
  <c r="C428" i="2"/>
  <c r="D428" i="2" s="1"/>
  <c r="C380" i="2"/>
  <c r="D380" i="2" s="1"/>
  <c r="C425" i="2"/>
  <c r="D425" i="2" s="1"/>
  <c r="C385" i="2"/>
  <c r="D385" i="2" s="1"/>
  <c r="C424" i="2"/>
  <c r="D424" i="2" s="1"/>
  <c r="C384" i="2"/>
  <c r="D384" i="2" s="1"/>
  <c r="BL265" i="1"/>
  <c r="BL262" i="1"/>
  <c r="BL306" i="1"/>
  <c r="BL303" i="1"/>
  <c r="O319" i="1"/>
  <c r="O316" i="1"/>
  <c r="O321" i="1"/>
  <c r="O317" i="1"/>
  <c r="O322" i="1"/>
  <c r="BL261" i="1"/>
  <c r="BL264" i="1"/>
  <c r="BL263" i="1"/>
  <c r="BM42" i="1"/>
  <c r="BL305" i="1"/>
  <c r="N312" i="1"/>
  <c r="N310" i="1"/>
  <c r="C407" i="2"/>
  <c r="C381" i="2"/>
  <c r="D381" i="2" s="1"/>
  <c r="BL216" i="1"/>
  <c r="BL289" i="1" s="1"/>
  <c r="I434" i="2"/>
  <c r="J441" i="2" s="1"/>
  <c r="M310" i="1"/>
  <c r="C427" i="2"/>
  <c r="D427" i="2" s="1"/>
  <c r="C383" i="2"/>
  <c r="D383" i="2" s="1"/>
  <c r="C410" i="2"/>
  <c r="C382" i="2"/>
  <c r="D382" i="2" s="1"/>
  <c r="BL312" i="1"/>
  <c r="BL310" i="1"/>
  <c r="M312" i="1"/>
  <c r="BN276" i="1"/>
  <c r="BD276" i="1"/>
  <c r="BC69" i="1"/>
  <c r="AZ158" i="1"/>
  <c r="AZ196" i="1" s="1"/>
  <c r="AZ265" i="1" s="1"/>
  <c r="AZ233" i="1"/>
  <c r="AZ306" i="1" s="1"/>
  <c r="AZ168" i="1"/>
  <c r="AZ235" i="1" s="1"/>
  <c r="BB72" i="1"/>
  <c r="BM94" i="1"/>
  <c r="J401" i="2"/>
  <c r="BN282" i="1"/>
  <c r="BD282" i="1"/>
  <c r="BN186" i="1"/>
  <c r="BN255" i="1" s="1"/>
  <c r="BN187" i="1"/>
  <c r="BN254" i="1"/>
  <c r="BN283" i="1"/>
  <c r="BM65" i="1"/>
  <c r="BB45" i="1"/>
  <c r="AX25" i="3"/>
  <c r="M303" i="1"/>
  <c r="BM328" i="1"/>
  <c r="BC42" i="1"/>
  <c r="BC29" i="1"/>
  <c r="BF99" i="1" s="1"/>
  <c r="M261" i="1"/>
  <c r="BM75" i="1"/>
  <c r="BM223" i="1" s="1"/>
  <c r="BM296" i="1" s="1"/>
  <c r="N306" i="1"/>
  <c r="N303" i="1"/>
  <c r="N261" i="1"/>
  <c r="N262" i="1"/>
  <c r="N264" i="1"/>
  <c r="N305" i="1"/>
  <c r="N265" i="1"/>
  <c r="N263" i="1"/>
  <c r="BL224" i="1"/>
  <c r="BL297" i="1" s="1"/>
  <c r="AX216" i="1"/>
  <c r="AX289" i="1" s="1"/>
  <c r="AY275" i="1"/>
  <c r="BC75" i="1"/>
  <c r="BB225" i="1"/>
  <c r="BB298" i="1" s="1"/>
  <c r="BC77" i="1"/>
  <c r="O300" i="1"/>
  <c r="O295" i="1"/>
  <c r="O289" i="1"/>
  <c r="O293" i="1"/>
  <c r="O327" i="1" s="1"/>
  <c r="O257" i="1"/>
  <c r="O285" i="1"/>
  <c r="O314" i="1" s="1"/>
  <c r="O290" i="1"/>
  <c r="AX218" i="1"/>
  <c r="AX291" i="1" s="1"/>
  <c r="O299" i="1"/>
  <c r="O253" i="1"/>
  <c r="O294" i="1"/>
  <c r="O259" i="1"/>
  <c r="O301" i="1"/>
  <c r="O291" i="1"/>
  <c r="O258" i="1"/>
  <c r="O254" i="1"/>
  <c r="O297" i="1"/>
  <c r="O302" i="1"/>
  <c r="O292" i="1"/>
  <c r="O287" i="1"/>
  <c r="O283" i="1"/>
  <c r="BJ169" i="1"/>
  <c r="BJ197" i="1" s="1"/>
  <c r="BL213" i="1"/>
  <c r="BL286" i="1" s="1"/>
  <c r="M55" i="1"/>
  <c r="O52" i="1"/>
  <c r="BB282" i="1"/>
  <c r="BL283" i="1"/>
  <c r="BJ80" i="1"/>
  <c r="BJ227" i="1" s="1"/>
  <c r="BJ300" i="1" s="1"/>
  <c r="J403" i="2"/>
  <c r="AY218" i="1"/>
  <c r="AY291" i="1" s="1"/>
  <c r="R218" i="1"/>
  <c r="R291" i="1" s="1"/>
  <c r="BJ116" i="1"/>
  <c r="BJ114" i="1"/>
  <c r="BJ171" i="1"/>
  <c r="BJ238" i="1" s="1"/>
  <c r="BJ185" i="1"/>
  <c r="AY223" i="1"/>
  <c r="AY296" i="1" s="1"/>
  <c r="BL185" i="1"/>
  <c r="BL171" i="1"/>
  <c r="BL238" i="1" s="1"/>
  <c r="BL169" i="1"/>
  <c r="BL168" i="1"/>
  <c r="BJ226" i="1"/>
  <c r="BJ299" i="1" s="1"/>
  <c r="BK114" i="1"/>
  <c r="BK116" i="1"/>
  <c r="AZ195" i="1"/>
  <c r="AZ264" i="1" s="1"/>
  <c r="AU210" i="1"/>
  <c r="AZ164" i="1"/>
  <c r="BK171" i="1"/>
  <c r="BK238" i="1" s="1"/>
  <c r="BK185" i="1"/>
  <c r="BK169" i="1"/>
  <c r="BK168" i="1"/>
  <c r="BL96" i="1"/>
  <c r="AZ181" i="1"/>
  <c r="AZ247" i="1" s="1"/>
  <c r="BL114" i="1"/>
  <c r="BL116" i="1"/>
  <c r="I319" i="2"/>
  <c r="E311" i="2"/>
  <c r="E314" i="2"/>
  <c r="D323" i="2"/>
  <c r="E318" i="2"/>
  <c r="C328" i="2"/>
  <c r="E320" i="2"/>
  <c r="D314" i="2"/>
  <c r="D311" i="2"/>
  <c r="R60" i="1"/>
  <c r="R96" i="1" s="1"/>
  <c r="R186" i="1" s="1"/>
  <c r="R255" i="1" s="1"/>
  <c r="R33" i="1"/>
  <c r="BL215" i="1"/>
  <c r="BL288" i="1" s="1"/>
  <c r="BL72" i="1"/>
  <c r="R206" i="1"/>
  <c r="R275" i="1" s="1"/>
  <c r="C368" i="2"/>
  <c r="C369" i="2" s="1"/>
  <c r="E361" i="2"/>
  <c r="AZ41" i="1"/>
  <c r="BB41" i="1"/>
  <c r="R58" i="1"/>
  <c r="R34" i="1"/>
  <c r="R10" i="1"/>
  <c r="R11" i="1" s="1"/>
  <c r="BB184" i="1"/>
  <c r="BB253" i="1" s="1"/>
  <c r="BB115" i="1"/>
  <c r="BB111" i="1"/>
  <c r="AY45" i="1"/>
  <c r="BB100" i="1"/>
  <c r="BB190" i="1" s="1"/>
  <c r="BB259" i="1" s="1"/>
  <c r="R40" i="1"/>
  <c r="BB40" i="1"/>
  <c r="I360" i="2"/>
  <c r="E355" i="2"/>
  <c r="D364" i="2"/>
  <c r="F359" i="2" s="1"/>
  <c r="E352" i="2"/>
  <c r="R61" i="1"/>
  <c r="AY40" i="1"/>
  <c r="R36" i="1"/>
  <c r="R35" i="1"/>
  <c r="BB114" i="1"/>
  <c r="BB116" i="1"/>
  <c r="BB171" i="1"/>
  <c r="BB238" i="1" s="1"/>
  <c r="BB185" i="1"/>
  <c r="BB169" i="1"/>
  <c r="BB168" i="1"/>
  <c r="AY96" i="1"/>
  <c r="AY186" i="1" s="1"/>
  <c r="BB96" i="1"/>
  <c r="R37" i="1"/>
  <c r="R38" i="1"/>
  <c r="D363" i="2"/>
  <c r="D361" i="2"/>
  <c r="J357" i="2"/>
  <c r="J359" i="2"/>
  <c r="AZ100" i="1"/>
  <c r="AZ190" i="1" s="1"/>
  <c r="AZ259" i="1" s="1"/>
  <c r="R119" i="1"/>
  <c r="R114" i="1"/>
  <c r="R116" i="1"/>
  <c r="R121" i="1"/>
  <c r="AX222" i="1"/>
  <c r="AX295" i="1" s="1"/>
  <c r="AX221" i="1"/>
  <c r="AX294" i="1" s="1"/>
  <c r="R212" i="1"/>
  <c r="R285" i="1" s="1"/>
  <c r="R314" i="1" s="1"/>
  <c r="R41" i="1"/>
  <c r="AX217" i="1"/>
  <c r="AX290" i="1" s="1"/>
  <c r="R196" i="1"/>
  <c r="R265" i="1" s="1"/>
  <c r="R185" i="1"/>
  <c r="R171" i="1"/>
  <c r="R238" i="1" s="1"/>
  <c r="R168" i="1"/>
  <c r="BK72" i="1"/>
  <c r="BK215" i="1"/>
  <c r="BK288" i="1" s="1"/>
  <c r="R194" i="1"/>
  <c r="R263" i="1" s="1"/>
  <c r="AX223" i="1"/>
  <c r="AX296" i="1" s="1"/>
  <c r="R184" i="1"/>
  <c r="R253" i="1" s="1"/>
  <c r="R115" i="1"/>
  <c r="R120" i="1"/>
  <c r="R111" i="1"/>
  <c r="R281" i="1"/>
  <c r="R46" i="1"/>
  <c r="AX45" i="1"/>
  <c r="AX228" i="1"/>
  <c r="AX301" i="1" s="1"/>
  <c r="AZ80" i="1"/>
  <c r="AX51" i="1"/>
  <c r="AX225" i="1"/>
  <c r="AX298" i="1" s="1"/>
  <c r="AX219" i="1"/>
  <c r="AX292" i="1" s="1"/>
  <c r="AY77" i="1"/>
  <c r="BA215" i="1"/>
  <c r="BA288" i="1" s="1"/>
  <c r="BA72" i="1"/>
  <c r="BA96" i="1"/>
  <c r="AW213" i="1"/>
  <c r="AW286" i="1" s="1"/>
  <c r="AX65" i="1"/>
  <c r="AX213" i="1" s="1"/>
  <c r="AX286" i="1" s="1"/>
  <c r="BA41" i="1"/>
  <c r="AZ184" i="1"/>
  <c r="AZ253" i="1" s="1"/>
  <c r="AZ115" i="1"/>
  <c r="C408" i="2"/>
  <c r="AZ169" i="1"/>
  <c r="AZ185" i="1"/>
  <c r="AZ171" i="1"/>
  <c r="AZ238" i="1" s="1"/>
  <c r="AZ116" i="1"/>
  <c r="AZ114" i="1"/>
  <c r="AY73" i="1"/>
  <c r="BA184" i="1"/>
  <c r="BA253" i="1" s="1"/>
  <c r="BA115" i="1"/>
  <c r="BA111" i="1"/>
  <c r="BA171" i="1"/>
  <c r="BA238" i="1" s="1"/>
  <c r="BA185" i="1"/>
  <c r="BA169" i="1"/>
  <c r="BA168" i="1"/>
  <c r="BA114" i="1"/>
  <c r="BA116" i="1"/>
  <c r="BA100" i="1"/>
  <c r="BA190" i="1" s="1"/>
  <c r="BA259" i="1" s="1"/>
  <c r="AZ96" i="1"/>
  <c r="BA40" i="1"/>
  <c r="AZ40" i="1"/>
  <c r="AZ111" i="1"/>
  <c r="BJ55" i="1"/>
  <c r="BJ53" i="1"/>
  <c r="BJ196" i="1"/>
  <c r="BJ265" i="1" s="1"/>
  <c r="BJ235" i="1"/>
  <c r="BJ198" i="1"/>
  <c r="BJ194" i="1"/>
  <c r="BJ263" i="1" s="1"/>
  <c r="AZ226" i="1"/>
  <c r="AZ299" i="1" s="1"/>
  <c r="AZ55" i="1"/>
  <c r="AZ53" i="1"/>
  <c r="M178" i="1"/>
  <c r="M244" i="1" s="1"/>
  <c r="AY230" i="1"/>
  <c r="AY303" i="1" s="1"/>
  <c r="AY46" i="1"/>
  <c r="M177" i="1"/>
  <c r="M243" i="1" s="1"/>
  <c r="L189" i="1"/>
  <c r="I447" i="2"/>
  <c r="L177" i="1"/>
  <c r="L243" i="1" s="1"/>
  <c r="AY153" i="1"/>
  <c r="AY193" i="1" s="1"/>
  <c r="AY262" i="1" s="1"/>
  <c r="M72" i="1"/>
  <c r="M220" i="1" s="1"/>
  <c r="M94" i="1"/>
  <c r="L49" i="1"/>
  <c r="L51" i="1" s="1"/>
  <c r="L26" i="1"/>
  <c r="L39" i="1"/>
  <c r="M29" i="1"/>
  <c r="M99" i="1" s="1"/>
  <c r="M42" i="1"/>
  <c r="M53" i="1"/>
  <c r="M232" i="1"/>
  <c r="M305" i="1" s="1"/>
  <c r="M163" i="1"/>
  <c r="M193" i="1"/>
  <c r="M262" i="1" s="1"/>
  <c r="M159" i="1"/>
  <c r="M169" i="1"/>
  <c r="M187" i="1"/>
  <c r="M195" i="1"/>
  <c r="M264" i="1" s="1"/>
  <c r="M164" i="1"/>
  <c r="M158" i="1"/>
  <c r="M181" i="1"/>
  <c r="M247" i="1" s="1"/>
  <c r="M168" i="1"/>
  <c r="L72" i="1"/>
  <c r="L220" i="1" s="1"/>
  <c r="L232" i="1"/>
  <c r="L305" i="1" s="1"/>
  <c r="L163" i="1"/>
  <c r="L193" i="1"/>
  <c r="L262" i="1" s="1"/>
  <c r="L159" i="1"/>
  <c r="L169" i="1"/>
  <c r="L195" i="1"/>
  <c r="L264" i="1" s="1"/>
  <c r="L164" i="1"/>
  <c r="L158" i="1"/>
  <c r="L181" i="1"/>
  <c r="L247" i="1" s="1"/>
  <c r="L168" i="1"/>
  <c r="AU185" i="1"/>
  <c r="AU17" i="1"/>
  <c r="AU11" i="1"/>
  <c r="AU212" i="1"/>
  <c r="AW283" i="1"/>
  <c r="AY11" i="1"/>
  <c r="AX59" i="3"/>
  <c r="AX153" i="1"/>
  <c r="AX163" i="1" s="1"/>
  <c r="AX49" i="3"/>
  <c r="AX40" i="3"/>
  <c r="AX50" i="3"/>
  <c r="AX92" i="3"/>
  <c r="AX65" i="3"/>
  <c r="AX51" i="3"/>
  <c r="AX79" i="3"/>
  <c r="AY49" i="1"/>
  <c r="AY110" i="1"/>
  <c r="AY111" i="1" s="1"/>
  <c r="AY115" i="1"/>
  <c r="AY67" i="1"/>
  <c r="AY116" i="1"/>
  <c r="AY216" i="1"/>
  <c r="AY289" i="1" s="1"/>
  <c r="AY114" i="1"/>
  <c r="AX214" i="1"/>
  <c r="AX287" i="1" s="1"/>
  <c r="AY66" i="1"/>
  <c r="AY70" i="1"/>
  <c r="AY74" i="1"/>
  <c r="AY100" i="1"/>
  <c r="AY190" i="1" s="1"/>
  <c r="AY26" i="1"/>
  <c r="AY43" i="1" s="1"/>
  <c r="AX76" i="1"/>
  <c r="AY81" i="1"/>
  <c r="AY185" i="1"/>
  <c r="AY281" i="1"/>
  <c r="AY210" i="1"/>
  <c r="AY212" i="1"/>
  <c r="AY285" i="1" s="1"/>
  <c r="D485" i="2"/>
  <c r="D486" i="2" s="1"/>
  <c r="J484" i="2"/>
  <c r="J483" i="2"/>
  <c r="J489" i="2"/>
  <c r="J486" i="2"/>
  <c r="D491" i="2"/>
  <c r="D505" i="2"/>
  <c r="D506" i="2" s="1"/>
  <c r="D489" i="2"/>
  <c r="D488" i="2"/>
  <c r="D487" i="2"/>
  <c r="J482" i="2"/>
  <c r="D493" i="2"/>
  <c r="D482" i="2"/>
  <c r="D483" i="2" s="1"/>
  <c r="AW159" i="1"/>
  <c r="AW194" i="1" s="1"/>
  <c r="AW263" i="1" s="1"/>
  <c r="I488" i="2"/>
  <c r="C515" i="2"/>
  <c r="D515" i="2" s="1"/>
  <c r="C511" i="2"/>
  <c r="D511" i="2" s="1"/>
  <c r="C514" i="2"/>
  <c r="D514" i="2" s="1"/>
  <c r="C512" i="2"/>
  <c r="D512" i="2" s="1"/>
  <c r="C513" i="2"/>
  <c r="D513" i="2" s="1"/>
  <c r="C494" i="2"/>
  <c r="C492" i="2"/>
  <c r="C499" i="2" s="1"/>
  <c r="J527" i="2"/>
  <c r="AX285" i="1"/>
  <c r="AX275" i="1"/>
  <c r="D568" i="2"/>
  <c r="AV72" i="1"/>
  <c r="AV78" i="1" s="1"/>
  <c r="AV80" i="1" s="1"/>
  <c r="D534" i="2"/>
  <c r="J526" i="2"/>
  <c r="D532" i="2"/>
  <c r="AW72" i="1"/>
  <c r="AW232" i="1"/>
  <c r="AW305" i="1" s="1"/>
  <c r="D536" i="2"/>
  <c r="AW193" i="1"/>
  <c r="AW262" i="1" s="1"/>
  <c r="J529" i="2"/>
  <c r="I531" i="2"/>
  <c r="AX181" i="1"/>
  <c r="AX247" i="1" s="1"/>
  <c r="AX164" i="1"/>
  <c r="AX195" i="1"/>
  <c r="AX264" i="1" s="1"/>
  <c r="AX158" i="1"/>
  <c r="AX29" i="1"/>
  <c r="AX43" i="1"/>
  <c r="AX42" i="1"/>
  <c r="D531" i="2"/>
  <c r="D528" i="2"/>
  <c r="D529" i="2" s="1"/>
  <c r="D525" i="2"/>
  <c r="D526" i="2" s="1"/>
  <c r="AW224" i="1"/>
  <c r="AW297" i="1" s="1"/>
  <c r="C540" i="2"/>
  <c r="C557" i="2"/>
  <c r="D557" i="2" s="1"/>
  <c r="C558" i="2"/>
  <c r="D558" i="2" s="1"/>
  <c r="C554" i="2"/>
  <c r="D554" i="2" s="1"/>
  <c r="C556" i="2"/>
  <c r="D556" i="2" s="1"/>
  <c r="C555" i="2"/>
  <c r="D555" i="2" s="1"/>
  <c r="D530" i="2"/>
  <c r="AW151" i="1"/>
  <c r="AW233" i="1" s="1"/>
  <c r="AW306" i="1" s="1"/>
  <c r="J525" i="2"/>
  <c r="C549" i="2"/>
  <c r="D548" i="2"/>
  <c r="D549" i="2" s="1"/>
  <c r="C535" i="2"/>
  <c r="C542" i="2" s="1"/>
  <c r="C537" i="2"/>
  <c r="C598" i="2"/>
  <c r="D598" i="2" s="1"/>
  <c r="C597" i="2"/>
  <c r="D597" i="2" s="1"/>
  <c r="C583" i="2"/>
  <c r="C599" i="2"/>
  <c r="D599" i="2" s="1"/>
  <c r="AW43" i="1"/>
  <c r="AW42" i="1"/>
  <c r="AW51" i="1"/>
  <c r="C580" i="2"/>
  <c r="C578" i="2"/>
  <c r="C585" i="2" s="1"/>
  <c r="D591" i="2"/>
  <c r="D592" i="2" s="1"/>
  <c r="C592" i="2"/>
  <c r="I576" i="2"/>
  <c r="AV194" i="1"/>
  <c r="AV263" i="1" s="1"/>
  <c r="AV306" i="1"/>
  <c r="AV181" i="1"/>
  <c r="AV247" i="1" s="1"/>
  <c r="AV164" i="1"/>
  <c r="AV195" i="1"/>
  <c r="AV264" i="1" s="1"/>
  <c r="AV158" i="1"/>
  <c r="AV26" i="1"/>
  <c r="AV49" i="1"/>
  <c r="AV51" i="1" s="1"/>
  <c r="AV39" i="1"/>
  <c r="K106" i="3"/>
  <c r="J106" i="3"/>
  <c r="BQ99" i="1" l="1"/>
  <c r="BR99" i="1"/>
  <c r="BM314" i="1"/>
  <c r="BQ282" i="1"/>
  <c r="BC276" i="1"/>
  <c r="BQ276" i="1"/>
  <c r="D405" i="2"/>
  <c r="BC282" i="1"/>
  <c r="BO314" i="1"/>
  <c r="BQ241" i="1"/>
  <c r="BQ199" i="1"/>
  <c r="BQ240" i="1"/>
  <c r="BQ200" i="1"/>
  <c r="BB314" i="1"/>
  <c r="BB321" i="1" s="1"/>
  <c r="BM283" i="1"/>
  <c r="BE100" i="1"/>
  <c r="BE177" i="1" s="1"/>
  <c r="BE243" i="1" s="1"/>
  <c r="BC224" i="1"/>
  <c r="BC297" i="1" s="1"/>
  <c r="BQ224" i="1"/>
  <c r="BQ297" i="1" s="1"/>
  <c r="BC225" i="1"/>
  <c r="BC298" i="1" s="1"/>
  <c r="BC223" i="1"/>
  <c r="BC296" i="1" s="1"/>
  <c r="BQ223" i="1"/>
  <c r="BQ296" i="1" s="1"/>
  <c r="BN314" i="1"/>
  <c r="BP314" i="1"/>
  <c r="BN100" i="1"/>
  <c r="BN177" i="1" s="1"/>
  <c r="BN243" i="1" s="1"/>
  <c r="BP100" i="1"/>
  <c r="BP190" i="1" s="1"/>
  <c r="BP259" i="1" s="1"/>
  <c r="BM99" i="1"/>
  <c r="BP99" i="1"/>
  <c r="BO317" i="1"/>
  <c r="C413" i="2"/>
  <c r="BP189" i="1"/>
  <c r="BP258" i="1" s="1"/>
  <c r="BP178" i="1"/>
  <c r="BP244" i="1" s="1"/>
  <c r="BC216" i="1"/>
  <c r="BC289" i="1" s="1"/>
  <c r="BF324" i="1" s="1"/>
  <c r="BP241" i="1"/>
  <c r="BP199" i="1"/>
  <c r="BP240" i="1"/>
  <c r="BP200" i="1"/>
  <c r="BP256" i="1"/>
  <c r="BP266" i="1"/>
  <c r="BP268" i="1"/>
  <c r="BP267" i="1"/>
  <c r="BP269" i="1"/>
  <c r="BM216" i="1"/>
  <c r="BM289" i="1" s="1"/>
  <c r="BC221" i="1"/>
  <c r="BC294" i="1" s="1"/>
  <c r="BM45" i="1"/>
  <c r="BM100" i="1"/>
  <c r="BM177" i="1" s="1"/>
  <c r="BM243" i="1" s="1"/>
  <c r="BC72" i="1"/>
  <c r="BC101" i="1" s="1"/>
  <c r="BC191" i="1" s="1"/>
  <c r="BC260" i="1" s="1"/>
  <c r="BF100" i="1"/>
  <c r="BO100" i="1"/>
  <c r="BN99" i="1"/>
  <c r="BO99" i="1"/>
  <c r="BB316" i="1"/>
  <c r="BB220" i="1"/>
  <c r="BB293" i="1" s="1"/>
  <c r="AZ328" i="1"/>
  <c r="AZ314" i="1"/>
  <c r="AZ316" i="1" s="1"/>
  <c r="BD99" i="1"/>
  <c r="BE99" i="1"/>
  <c r="AW328" i="1"/>
  <c r="AV328" i="1"/>
  <c r="BA314" i="1"/>
  <c r="BC100" i="1"/>
  <c r="BC177" i="1" s="1"/>
  <c r="BC243" i="1" s="1"/>
  <c r="D386" i="2"/>
  <c r="D442" i="2"/>
  <c r="D443" i="2" s="1"/>
  <c r="N328" i="1"/>
  <c r="O325" i="1"/>
  <c r="O324" i="1"/>
  <c r="D446" i="2"/>
  <c r="D445" i="2"/>
  <c r="C430" i="2"/>
  <c r="J440" i="2"/>
  <c r="R319" i="1"/>
  <c r="R322" i="1"/>
  <c r="R321" i="1"/>
  <c r="D450" i="2"/>
  <c r="D430" i="2"/>
  <c r="BC45" i="1"/>
  <c r="J446" i="2"/>
  <c r="C386" i="2"/>
  <c r="BD100" i="1"/>
  <c r="BD190" i="1" s="1"/>
  <c r="BD259" i="1" s="1"/>
  <c r="J439" i="2"/>
  <c r="D444" i="2"/>
  <c r="BJ236" i="1"/>
  <c r="R317" i="1"/>
  <c r="R316" i="1"/>
  <c r="BM213" i="1"/>
  <c r="BM286" i="1" s="1"/>
  <c r="AZ198" i="1"/>
  <c r="BB78" i="1"/>
  <c r="BB226" i="1" s="1"/>
  <c r="BB299" i="1" s="1"/>
  <c r="BN189" i="1"/>
  <c r="BN258" i="1" s="1"/>
  <c r="BN325" i="1" s="1"/>
  <c r="BN244" i="1"/>
  <c r="BN319" i="1"/>
  <c r="BN256" i="1"/>
  <c r="BC99" i="1"/>
  <c r="BJ87" i="1"/>
  <c r="BM72" i="1"/>
  <c r="BM215" i="1"/>
  <c r="BM288" i="1" s="1"/>
  <c r="BJ83" i="1"/>
  <c r="BJ229" i="1" s="1"/>
  <c r="BJ302" i="1" s="1"/>
  <c r="AZ87" i="1"/>
  <c r="O256" i="1"/>
  <c r="BJ276" i="1"/>
  <c r="O268" i="1"/>
  <c r="O267" i="1"/>
  <c r="O266" i="1"/>
  <c r="O269" i="1"/>
  <c r="R174" i="1"/>
  <c r="R240" i="1" s="1"/>
  <c r="R175" i="1"/>
  <c r="R241" i="1" s="1"/>
  <c r="BK187" i="1"/>
  <c r="BK254" i="1"/>
  <c r="R221" i="1"/>
  <c r="R294" i="1" s="1"/>
  <c r="AY217" i="1"/>
  <c r="AY290" i="1" s="1"/>
  <c r="R217" i="1"/>
  <c r="R290" i="1" s="1"/>
  <c r="BL175" i="1"/>
  <c r="BL174" i="1"/>
  <c r="BL186" i="1"/>
  <c r="AY222" i="1"/>
  <c r="AY295" i="1" s="1"/>
  <c r="R222" i="1"/>
  <c r="R295" i="1" s="1"/>
  <c r="BL187" i="1"/>
  <c r="AY225" i="1"/>
  <c r="AY298" i="1" s="1"/>
  <c r="BK198" i="1"/>
  <c r="BK235" i="1"/>
  <c r="BL235" i="1"/>
  <c r="BL198" i="1"/>
  <c r="BK236" i="1"/>
  <c r="BK197" i="1"/>
  <c r="BL197" i="1"/>
  <c r="BL236" i="1"/>
  <c r="BJ254" i="1"/>
  <c r="BJ269" i="1" s="1"/>
  <c r="BJ187" i="1"/>
  <c r="F311" i="2"/>
  <c r="J319" i="2"/>
  <c r="K313" i="2"/>
  <c r="K316" i="2"/>
  <c r="J313" i="2"/>
  <c r="J318" i="2" s="1"/>
  <c r="F314" i="2"/>
  <c r="D318" i="2"/>
  <c r="C344" i="2"/>
  <c r="D344" i="2"/>
  <c r="R210" i="1"/>
  <c r="R17" i="1"/>
  <c r="R49" i="1" s="1"/>
  <c r="R51" i="1" s="1"/>
  <c r="F361" i="2"/>
  <c r="R283" i="1"/>
  <c r="BL78" i="1"/>
  <c r="BL220" i="1"/>
  <c r="BL293" i="1" s="1"/>
  <c r="AX283" i="1"/>
  <c r="BB186" i="1"/>
  <c r="BB255" i="1" s="1"/>
  <c r="BB174" i="1"/>
  <c r="BB175" i="1"/>
  <c r="BB98" i="1"/>
  <c r="BB235" i="1"/>
  <c r="BB198" i="1"/>
  <c r="BB236" i="1"/>
  <c r="BB197" i="1"/>
  <c r="AY51" i="1"/>
  <c r="BB93" i="1"/>
  <c r="F355" i="2"/>
  <c r="F352" i="2"/>
  <c r="BB187" i="1"/>
  <c r="BB254" i="1"/>
  <c r="J360" i="2"/>
  <c r="K354" i="2"/>
  <c r="K357" i="2"/>
  <c r="E405" i="2"/>
  <c r="R219" i="1"/>
  <c r="R292" i="1" s="1"/>
  <c r="R325" i="1" s="1"/>
  <c r="R98" i="1"/>
  <c r="R197" i="1"/>
  <c r="R236" i="1"/>
  <c r="R198" i="1"/>
  <c r="R235" i="1"/>
  <c r="R228" i="1"/>
  <c r="R301" i="1" s="1"/>
  <c r="R254" i="1"/>
  <c r="R187" i="1"/>
  <c r="BK78" i="1"/>
  <c r="BK80" i="1" s="1"/>
  <c r="BK87" i="1" s="1"/>
  <c r="BK220" i="1"/>
  <c r="BK293" i="1" s="1"/>
  <c r="AY76" i="1"/>
  <c r="R214" i="1"/>
  <c r="R287" i="1" s="1"/>
  <c r="AW78" i="1"/>
  <c r="AW80" i="1" s="1"/>
  <c r="BA254" i="1"/>
  <c r="BA187" i="1"/>
  <c r="BA186" i="1"/>
  <c r="BA255" i="1" s="1"/>
  <c r="BA174" i="1"/>
  <c r="BA175" i="1"/>
  <c r="BA78" i="1"/>
  <c r="BA80" i="1" s="1"/>
  <c r="BA220" i="1"/>
  <c r="BA293" i="1" s="1"/>
  <c r="AY219" i="1"/>
  <c r="AY292" i="1" s="1"/>
  <c r="BB325" i="1" s="1"/>
  <c r="AZ98" i="1"/>
  <c r="BA93" i="1"/>
  <c r="AZ236" i="1"/>
  <c r="AZ197" i="1"/>
  <c r="AY221" i="1"/>
  <c r="AY294" i="1" s="1"/>
  <c r="BA235" i="1"/>
  <c r="BA198" i="1"/>
  <c r="AX53" i="1"/>
  <c r="BA236" i="1"/>
  <c r="BA197" i="1"/>
  <c r="I404" i="2"/>
  <c r="E396" i="2"/>
  <c r="E399" i="2"/>
  <c r="D408" i="2"/>
  <c r="E403" i="2"/>
  <c r="BA98" i="1"/>
  <c r="BA177" i="1" s="1"/>
  <c r="BA243" i="1" s="1"/>
  <c r="AZ187" i="1"/>
  <c r="AZ254" i="1"/>
  <c r="AX55" i="1"/>
  <c r="AZ186" i="1"/>
  <c r="AZ255" i="1" s="1"/>
  <c r="AZ174" i="1"/>
  <c r="AZ175" i="1"/>
  <c r="AZ93" i="1"/>
  <c r="AZ227" i="1"/>
  <c r="AZ300" i="1" s="1"/>
  <c r="AZ83" i="1"/>
  <c r="AZ84" i="1" s="1"/>
  <c r="L94" i="1"/>
  <c r="C462" i="2"/>
  <c r="D448" i="2"/>
  <c r="I443" i="2"/>
  <c r="AX232" i="1"/>
  <c r="AX305" i="1" s="1"/>
  <c r="L53" i="1"/>
  <c r="C440" i="2"/>
  <c r="C447" i="2" s="1"/>
  <c r="C454" i="2" s="1"/>
  <c r="D439" i="2"/>
  <c r="D440" i="2" s="1"/>
  <c r="AY169" i="1"/>
  <c r="AY236" i="1" s="1"/>
  <c r="AY159" i="1"/>
  <c r="AY194" i="1" s="1"/>
  <c r="AY263" i="1" s="1"/>
  <c r="AY151" i="1"/>
  <c r="AY163" i="1"/>
  <c r="AY232" i="1"/>
  <c r="AY305" i="1" s="1"/>
  <c r="AY41" i="1"/>
  <c r="M78" i="1"/>
  <c r="M80" i="1" s="1"/>
  <c r="M101" i="1"/>
  <c r="M191" i="1" s="1"/>
  <c r="L78" i="1"/>
  <c r="L80" i="1" s="1"/>
  <c r="L101" i="1"/>
  <c r="L191" i="1" s="1"/>
  <c r="L55" i="1"/>
  <c r="L43" i="1"/>
  <c r="L42" i="1"/>
  <c r="L29" i="1"/>
  <c r="L99" i="1" s="1"/>
  <c r="M52" i="1"/>
  <c r="M198" i="1"/>
  <c r="M235" i="1"/>
  <c r="M174" i="1"/>
  <c r="M196" i="1"/>
  <c r="M265" i="1" s="1"/>
  <c r="M236" i="1"/>
  <c r="M197" i="1"/>
  <c r="M306" i="1"/>
  <c r="M171" i="1"/>
  <c r="M194" i="1"/>
  <c r="M263" i="1" s="1"/>
  <c r="M175" i="1"/>
  <c r="L306" i="1"/>
  <c r="L171" i="1"/>
  <c r="L236" i="1"/>
  <c r="L197" i="1"/>
  <c r="L198" i="1"/>
  <c r="L235" i="1"/>
  <c r="L194" i="1"/>
  <c r="L263" i="1" s="1"/>
  <c r="L175" i="1"/>
  <c r="L174" i="1"/>
  <c r="L196" i="1"/>
  <c r="L265" i="1" s="1"/>
  <c r="C497" i="2"/>
  <c r="AX306" i="1"/>
  <c r="AU187" i="1"/>
  <c r="AU49" i="1"/>
  <c r="AU39" i="1"/>
  <c r="AX224" i="1"/>
  <c r="AX297" i="1" s="1"/>
  <c r="AX193" i="1"/>
  <c r="AX262" i="1" s="1"/>
  <c r="AX159" i="1"/>
  <c r="AX194" i="1" s="1"/>
  <c r="AX263" i="1" s="1"/>
  <c r="AY98" i="1"/>
  <c r="AY189" i="1" s="1"/>
  <c r="AV220" i="1"/>
  <c r="AY214" i="1"/>
  <c r="AY287" i="1" s="1"/>
  <c r="AY65" i="1"/>
  <c r="AY228" i="1"/>
  <c r="AY301" i="1" s="1"/>
  <c r="AV87" i="1"/>
  <c r="AY93" i="1"/>
  <c r="AY42" i="1"/>
  <c r="AY29" i="1"/>
  <c r="AY187" i="1"/>
  <c r="AY283" i="1"/>
  <c r="AX72" i="1"/>
  <c r="J528" i="2"/>
  <c r="J531" i="2" s="1"/>
  <c r="D559" i="2"/>
  <c r="D516" i="2"/>
  <c r="J485" i="2"/>
  <c r="J490" i="2" s="1"/>
  <c r="D490" i="2"/>
  <c r="D492" i="2" s="1"/>
  <c r="C516" i="2"/>
  <c r="AW215" i="1"/>
  <c r="AW288" i="1" s="1"/>
  <c r="AW158" i="1"/>
  <c r="AW196" i="1" s="1"/>
  <c r="AW265" i="1" s="1"/>
  <c r="AW164" i="1"/>
  <c r="C559" i="2"/>
  <c r="AX196" i="1"/>
  <c r="AX265" i="1" s="1"/>
  <c r="AW195" i="1"/>
  <c r="AW264" i="1" s="1"/>
  <c r="AW181" i="1"/>
  <c r="AW247" i="1" s="1"/>
  <c r="D533" i="2"/>
  <c r="D535" i="2" s="1"/>
  <c r="AW220" i="1"/>
  <c r="AW293" i="1" s="1"/>
  <c r="AW55" i="1"/>
  <c r="AW53" i="1"/>
  <c r="AV42" i="1"/>
  <c r="AV43" i="1"/>
  <c r="AV29" i="1"/>
  <c r="AV196" i="1"/>
  <c r="AV265" i="1" s="1"/>
  <c r="AV83" i="1"/>
  <c r="AV229" i="1" s="1"/>
  <c r="AV226" i="1"/>
  <c r="AV55" i="1"/>
  <c r="AV53" i="1"/>
  <c r="AV249" i="1"/>
  <c r="AT158" i="3"/>
  <c r="K158" i="3"/>
  <c r="K152" i="3"/>
  <c r="AT152" i="3"/>
  <c r="AP83" i="3"/>
  <c r="AP69" i="3"/>
  <c r="AX45" i="3"/>
  <c r="AX44" i="3"/>
  <c r="AX43" i="3"/>
  <c r="AS32" i="3"/>
  <c r="AX32" i="3"/>
  <c r="AX31" i="3"/>
  <c r="AX30" i="3"/>
  <c r="AX29" i="3"/>
  <c r="AP19" i="3"/>
  <c r="AT145" i="3"/>
  <c r="K145" i="3"/>
  <c r="K108" i="3"/>
  <c r="K86" i="3"/>
  <c r="K91" i="3"/>
  <c r="K90" i="3"/>
  <c r="K89" i="3"/>
  <c r="K78" i="3"/>
  <c r="K77" i="3"/>
  <c r="K76" i="3"/>
  <c r="K72" i="3"/>
  <c r="K58" i="3"/>
  <c r="K64" i="3"/>
  <c r="K63" i="3"/>
  <c r="K62" i="3"/>
  <c r="K45" i="3"/>
  <c r="K44" i="3"/>
  <c r="K43" i="3"/>
  <c r="K39" i="3"/>
  <c r="K32" i="3"/>
  <c r="K31" i="3"/>
  <c r="K30" i="3"/>
  <c r="K29" i="3"/>
  <c r="K28" i="3"/>
  <c r="K24" i="3"/>
  <c r="E645" i="2"/>
  <c r="I616" i="2"/>
  <c r="C624" i="2"/>
  <c r="C620" i="2"/>
  <c r="C618" i="2"/>
  <c r="AT250" i="1"/>
  <c r="AT308" i="1" s="1"/>
  <c r="I249" i="1"/>
  <c r="J249" i="1"/>
  <c r="K65" i="1"/>
  <c r="J65" i="1"/>
  <c r="AQ50" i="1"/>
  <c r="AQ7" i="1"/>
  <c r="AU8" i="1" s="1"/>
  <c r="K272" i="1"/>
  <c r="K252" i="1"/>
  <c r="K230" i="1"/>
  <c r="K303" i="1" s="1"/>
  <c r="K228" i="1"/>
  <c r="K222" i="1"/>
  <c r="K219" i="1"/>
  <c r="K218" i="1"/>
  <c r="K217" i="1"/>
  <c r="K216" i="1"/>
  <c r="K214" i="1"/>
  <c r="K208" i="1"/>
  <c r="K206" i="1"/>
  <c r="K203" i="1"/>
  <c r="K192" i="1"/>
  <c r="K188" i="1"/>
  <c r="K183" i="1"/>
  <c r="K166" i="1"/>
  <c r="K156" i="1"/>
  <c r="K312" i="1" s="1"/>
  <c r="K124" i="1"/>
  <c r="AU124" i="1" s="1"/>
  <c r="K109" i="1"/>
  <c r="AU109" i="1" s="1"/>
  <c r="AU121" i="1" s="1"/>
  <c r="K108" i="1"/>
  <c r="AU108" i="1" s="1"/>
  <c r="AU120" i="1" s="1"/>
  <c r="K77" i="1"/>
  <c r="K76" i="1"/>
  <c r="K75" i="1"/>
  <c r="K73" i="1"/>
  <c r="K63" i="1"/>
  <c r="K64" i="1"/>
  <c r="K48" i="1"/>
  <c r="K103" i="1"/>
  <c r="K100" i="1"/>
  <c r="K190" i="1" s="1"/>
  <c r="K98" i="1"/>
  <c r="K189" i="1" s="1"/>
  <c r="K95" i="1"/>
  <c r="K92" i="1"/>
  <c r="K91" i="1"/>
  <c r="K90" i="1"/>
  <c r="K61" i="1"/>
  <c r="K60" i="1"/>
  <c r="K96" i="1" s="1"/>
  <c r="K58" i="1"/>
  <c r="K57" i="1"/>
  <c r="K46" i="1"/>
  <c r="K45" i="1"/>
  <c r="K40" i="1"/>
  <c r="K38" i="1"/>
  <c r="K37" i="1"/>
  <c r="K36" i="1"/>
  <c r="K35" i="1"/>
  <c r="K34" i="1"/>
  <c r="K33" i="1"/>
  <c r="J33" i="1"/>
  <c r="K25" i="1"/>
  <c r="AU25" i="1" s="1"/>
  <c r="K23" i="1"/>
  <c r="K22" i="1"/>
  <c r="K21" i="1"/>
  <c r="K10" i="1"/>
  <c r="K8" i="1"/>
  <c r="J8" i="1"/>
  <c r="C669" i="2"/>
  <c r="C667" i="2"/>
  <c r="I662" i="2" s="1"/>
  <c r="C665" i="2"/>
  <c r="C664" i="2"/>
  <c r="C663" i="2"/>
  <c r="C661" i="2"/>
  <c r="E690" i="2"/>
  <c r="I661" i="2"/>
  <c r="AS31" i="3"/>
  <c r="AS158" i="3"/>
  <c r="AS152" i="3"/>
  <c r="AS145" i="3"/>
  <c r="AS91" i="3"/>
  <c r="AS90" i="3"/>
  <c r="AS89" i="3"/>
  <c r="AS86" i="3"/>
  <c r="AS78" i="3"/>
  <c r="AS77" i="3"/>
  <c r="AS76" i="3"/>
  <c r="AS72" i="3"/>
  <c r="AS64" i="3"/>
  <c r="AS63" i="3"/>
  <c r="AS62" i="3"/>
  <c r="AS58" i="3"/>
  <c r="AS45" i="3"/>
  <c r="AS44" i="3"/>
  <c r="AS43" i="3"/>
  <c r="AS39" i="3"/>
  <c r="BK46" i="3" s="1"/>
  <c r="AS30" i="3"/>
  <c r="AS29" i="3"/>
  <c r="AS28" i="3"/>
  <c r="AS24" i="3"/>
  <c r="BK33" i="3" s="1"/>
  <c r="AT124" i="1"/>
  <c r="AT109" i="1"/>
  <c r="AT121" i="1" s="1"/>
  <c r="AT108" i="1"/>
  <c r="AT120" i="1" s="1"/>
  <c r="AT23" i="1"/>
  <c r="AT22" i="1"/>
  <c r="AT21" i="1"/>
  <c r="AT274" i="1"/>
  <c r="AT273" i="1"/>
  <c r="AT272" i="1"/>
  <c r="AT252" i="1"/>
  <c r="AT230" i="1"/>
  <c r="AT208" i="1"/>
  <c r="AT206" i="1"/>
  <c r="AT205" i="1"/>
  <c r="AT204" i="1"/>
  <c r="AT203" i="1"/>
  <c r="AT192" i="1"/>
  <c r="AT188" i="1"/>
  <c r="AT183" i="1"/>
  <c r="AT166" i="1"/>
  <c r="AT156" i="1"/>
  <c r="AT103" i="1"/>
  <c r="AT90" i="1"/>
  <c r="AT64" i="1"/>
  <c r="AT63" i="1"/>
  <c r="AT60" i="1"/>
  <c r="BK96" i="1" s="1"/>
  <c r="AT58" i="1"/>
  <c r="AT48" i="1"/>
  <c r="AT46" i="1"/>
  <c r="AT38" i="1"/>
  <c r="AT37" i="1"/>
  <c r="AT36" i="1"/>
  <c r="AT35" i="1"/>
  <c r="AT34" i="1"/>
  <c r="AT33" i="1"/>
  <c r="AT10" i="1"/>
  <c r="AT11" i="1" s="1"/>
  <c r="AT8" i="1"/>
  <c r="AR158" i="3"/>
  <c r="AR152" i="3"/>
  <c r="AR145" i="3"/>
  <c r="AR91" i="3"/>
  <c r="AR90" i="3"/>
  <c r="AR89" i="3"/>
  <c r="AR86" i="3"/>
  <c r="AR78" i="3"/>
  <c r="AR77" i="3"/>
  <c r="AR76" i="3"/>
  <c r="AR72" i="3"/>
  <c r="AR64" i="3"/>
  <c r="AR63" i="3"/>
  <c r="AR62" i="3"/>
  <c r="AR58" i="3"/>
  <c r="AR45" i="3"/>
  <c r="AR44" i="3"/>
  <c r="AR43" i="3"/>
  <c r="AR39" i="3"/>
  <c r="BJ46" i="3" s="1"/>
  <c r="AR32" i="3"/>
  <c r="AR31" i="3"/>
  <c r="AR30" i="3"/>
  <c r="AR29" i="3"/>
  <c r="AR28" i="3"/>
  <c r="AR24" i="3"/>
  <c r="BJ33" i="3" s="1"/>
  <c r="C706" i="2"/>
  <c r="I702" i="2" s="1"/>
  <c r="I698" i="2"/>
  <c r="AS124" i="1"/>
  <c r="AS153" i="1" s="1"/>
  <c r="J696" i="2"/>
  <c r="C704" i="2"/>
  <c r="C701" i="2"/>
  <c r="C702" i="2"/>
  <c r="C700" i="2"/>
  <c r="C698" i="2"/>
  <c r="C699" i="2" s="1"/>
  <c r="E727" i="2"/>
  <c r="AS109" i="1"/>
  <c r="AS121" i="1" s="1"/>
  <c r="AS108" i="1"/>
  <c r="AS120" i="1" s="1"/>
  <c r="AS81" i="1"/>
  <c r="AS74" i="1"/>
  <c r="AS73" i="1"/>
  <c r="AS67" i="1"/>
  <c r="AS71" i="1"/>
  <c r="AS70" i="1"/>
  <c r="AS69" i="1"/>
  <c r="AS66" i="1"/>
  <c r="AS23" i="1"/>
  <c r="AS22" i="1"/>
  <c r="AS21" i="1"/>
  <c r="AS274" i="1"/>
  <c r="AS273" i="1"/>
  <c r="AS272" i="1"/>
  <c r="AS252" i="1"/>
  <c r="AS230" i="1"/>
  <c r="AS303" i="1" s="1"/>
  <c r="AS208" i="1"/>
  <c r="AW209" i="1" s="1"/>
  <c r="AS206" i="1"/>
  <c r="AW207" i="1" s="1"/>
  <c r="AS205" i="1"/>
  <c r="AS204" i="1"/>
  <c r="AS203" i="1"/>
  <c r="AS192" i="1"/>
  <c r="AS261" i="1" s="1"/>
  <c r="AS188" i="1"/>
  <c r="AS183" i="1"/>
  <c r="AS166" i="1"/>
  <c r="AS156" i="1"/>
  <c r="AS312" i="1" s="1"/>
  <c r="AS103" i="1"/>
  <c r="AS90" i="1"/>
  <c r="AS64" i="1"/>
  <c r="AS63" i="1"/>
  <c r="AS60" i="1"/>
  <c r="AS58" i="1"/>
  <c r="AS48" i="1"/>
  <c r="AS46" i="1"/>
  <c r="AS38" i="1"/>
  <c r="AS37" i="1"/>
  <c r="AS36" i="1"/>
  <c r="AS35" i="1"/>
  <c r="AS34" i="1"/>
  <c r="AS33" i="1"/>
  <c r="AS10" i="1"/>
  <c r="AS17" i="1" s="1"/>
  <c r="AS49" i="1" s="1"/>
  <c r="AS8" i="1"/>
  <c r="F405" i="2" l="1"/>
  <c r="R223" i="1"/>
  <c r="R296" i="1" s="1"/>
  <c r="BB319" i="1"/>
  <c r="BB317" i="1"/>
  <c r="BB322" i="1"/>
  <c r="R225" i="1"/>
  <c r="R298" i="1" s="1"/>
  <c r="BQ225" i="1"/>
  <c r="BQ298" i="1" s="1"/>
  <c r="R100" i="1"/>
  <c r="R177" i="1" s="1"/>
  <c r="R243" i="1" s="1"/>
  <c r="BE190" i="1"/>
  <c r="BE259" i="1" s="1"/>
  <c r="BN101" i="1"/>
  <c r="BP101" i="1"/>
  <c r="BP177" i="1"/>
  <c r="BP243" i="1" s="1"/>
  <c r="BN190" i="1"/>
  <c r="BN259" i="1" s="1"/>
  <c r="BN324" i="1" s="1"/>
  <c r="BE324" i="1"/>
  <c r="BM190" i="1"/>
  <c r="BM259" i="1" s="1"/>
  <c r="BC324" i="1"/>
  <c r="BD324" i="1"/>
  <c r="BD101" i="1"/>
  <c r="BD191" i="1" s="1"/>
  <c r="BD260" i="1" s="1"/>
  <c r="BO101" i="1"/>
  <c r="BC220" i="1"/>
  <c r="BC293" i="1" s="1"/>
  <c r="BF327" i="1" s="1"/>
  <c r="BF101" i="1"/>
  <c r="BE101" i="1"/>
  <c r="BE191" i="1" s="1"/>
  <c r="BE260" i="1" s="1"/>
  <c r="BC78" i="1"/>
  <c r="BC226" i="1" s="1"/>
  <c r="BC299" i="1" s="1"/>
  <c r="BO190" i="1"/>
  <c r="BO259" i="1" s="1"/>
  <c r="BO324" i="1" s="1"/>
  <c r="BO177" i="1"/>
  <c r="BO243" i="1" s="1"/>
  <c r="BF190" i="1"/>
  <c r="BF259" i="1" s="1"/>
  <c r="BF177" i="1"/>
  <c r="BF243" i="1" s="1"/>
  <c r="AX328" i="1"/>
  <c r="AZ325" i="1"/>
  <c r="AZ324" i="1"/>
  <c r="AZ319" i="1"/>
  <c r="AZ322" i="1"/>
  <c r="AZ317" i="1"/>
  <c r="BC190" i="1"/>
  <c r="BC259" i="1" s="1"/>
  <c r="BB324" i="1"/>
  <c r="BD327" i="1"/>
  <c r="J442" i="2"/>
  <c r="J447" i="2" s="1"/>
  <c r="BA325" i="1"/>
  <c r="BA324" i="1"/>
  <c r="BA319" i="1"/>
  <c r="BA322" i="1"/>
  <c r="BA317" i="1"/>
  <c r="BA321" i="1"/>
  <c r="BA316" i="1"/>
  <c r="AZ321" i="1"/>
  <c r="L328" i="1"/>
  <c r="M328" i="1"/>
  <c r="D447" i="2"/>
  <c r="D451" i="2" s="1"/>
  <c r="BD177" i="1"/>
  <c r="BD243" i="1" s="1"/>
  <c r="AU249" i="1"/>
  <c r="BL253" i="1" s="1"/>
  <c r="AT310" i="1"/>
  <c r="BB80" i="1"/>
  <c r="R216" i="1"/>
  <c r="R289" i="1" s="1"/>
  <c r="R324" i="1" s="1"/>
  <c r="AT312" i="1"/>
  <c r="R45" i="1"/>
  <c r="BJ84" i="1"/>
  <c r="BJ86" i="1" s="1"/>
  <c r="AY181" i="1"/>
  <c r="AY247" i="1" s="1"/>
  <c r="AY233" i="1"/>
  <c r="AY306" i="1" s="1"/>
  <c r="BC180" i="1"/>
  <c r="BC246" i="1" s="1"/>
  <c r="N249" i="1"/>
  <c r="N286" i="1" s="1"/>
  <c r="BM253" i="1"/>
  <c r="BM257" i="1"/>
  <c r="BM254" i="1"/>
  <c r="BM258" i="1"/>
  <c r="BM255" i="1"/>
  <c r="BM220" i="1"/>
  <c r="BM293" i="1" s="1"/>
  <c r="BM78" i="1"/>
  <c r="BM101" i="1"/>
  <c r="BB94" i="1"/>
  <c r="AY55" i="1"/>
  <c r="AY53" i="1"/>
  <c r="AY94" i="1"/>
  <c r="R199" i="1"/>
  <c r="R200" i="1"/>
  <c r="BJ96" i="1"/>
  <c r="BJ175" i="1" s="1"/>
  <c r="AZ94" i="1"/>
  <c r="BL80" i="1"/>
  <c r="AW33" i="3"/>
  <c r="AY224" i="1"/>
  <c r="AY297" i="1" s="1"/>
  <c r="R224" i="1"/>
  <c r="R297" i="1" s="1"/>
  <c r="BL241" i="1"/>
  <c r="BL199" i="1"/>
  <c r="AX209" i="1"/>
  <c r="BL209" i="1"/>
  <c r="BL240" i="1"/>
  <c r="BL200" i="1"/>
  <c r="BK186" i="1"/>
  <c r="BK255" i="1" s="1"/>
  <c r="BK174" i="1"/>
  <c r="BK175" i="1"/>
  <c r="BL93" i="1"/>
  <c r="BJ256" i="1"/>
  <c r="BJ266" i="1"/>
  <c r="BJ267" i="1"/>
  <c r="BK267" i="1"/>
  <c r="BK266" i="1"/>
  <c r="BK269" i="1"/>
  <c r="BK268" i="1"/>
  <c r="BK256" i="1"/>
  <c r="AX207" i="1"/>
  <c r="BL207" i="1"/>
  <c r="BA94" i="1"/>
  <c r="BJ268" i="1"/>
  <c r="BL255" i="1"/>
  <c r="J316" i="2"/>
  <c r="F318" i="2"/>
  <c r="D320" i="2"/>
  <c r="F320" i="2" s="1"/>
  <c r="D322" i="2"/>
  <c r="R39" i="1"/>
  <c r="R93" i="1"/>
  <c r="R26" i="1"/>
  <c r="BL226" i="1"/>
  <c r="BL299" i="1" s="1"/>
  <c r="BB189" i="1"/>
  <c r="BB258" i="1" s="1"/>
  <c r="BB178" i="1"/>
  <c r="BB244" i="1" s="1"/>
  <c r="BB177" i="1"/>
  <c r="BB243" i="1" s="1"/>
  <c r="BB199" i="1"/>
  <c r="BB241" i="1"/>
  <c r="BB200" i="1"/>
  <c r="BB240" i="1"/>
  <c r="AZ99" i="1"/>
  <c r="BB99" i="1"/>
  <c r="BB256" i="1"/>
  <c r="BB267" i="1"/>
  <c r="BB266" i="1"/>
  <c r="BB269" i="1"/>
  <c r="BB268" i="1"/>
  <c r="R94" i="1"/>
  <c r="R53" i="1"/>
  <c r="R55" i="1"/>
  <c r="R256" i="1"/>
  <c r="R266" i="1"/>
  <c r="R267" i="1"/>
  <c r="R269" i="1"/>
  <c r="R268" i="1"/>
  <c r="BK226" i="1"/>
  <c r="BK299" i="1" s="1"/>
  <c r="R190" i="1"/>
  <c r="R259" i="1" s="1"/>
  <c r="R189" i="1"/>
  <c r="R258" i="1" s="1"/>
  <c r="R178" i="1"/>
  <c r="R244" i="1" s="1"/>
  <c r="BA83" i="1"/>
  <c r="BA84" i="1" s="1"/>
  <c r="BA87" i="1"/>
  <c r="AZ240" i="1"/>
  <c r="AZ200" i="1"/>
  <c r="BA199" i="1"/>
  <c r="BA241" i="1"/>
  <c r="F396" i="2"/>
  <c r="F399" i="2"/>
  <c r="F403" i="2"/>
  <c r="BA200" i="1"/>
  <c r="BA240" i="1"/>
  <c r="AW87" i="1"/>
  <c r="AZ269" i="1"/>
  <c r="AZ267" i="1"/>
  <c r="AZ266" i="1"/>
  <c r="AZ256" i="1"/>
  <c r="AZ268" i="1"/>
  <c r="J404" i="2"/>
  <c r="K398" i="2"/>
  <c r="K401" i="2"/>
  <c r="AZ189" i="1"/>
  <c r="AZ258" i="1" s="1"/>
  <c r="AZ178" i="1"/>
  <c r="AZ244" i="1" s="1"/>
  <c r="AZ177" i="1"/>
  <c r="AZ243" i="1" s="1"/>
  <c r="BA256" i="1"/>
  <c r="BA266" i="1"/>
  <c r="BA269" i="1"/>
  <c r="BA268" i="1"/>
  <c r="BA267" i="1"/>
  <c r="AZ199" i="1"/>
  <c r="AZ241" i="1"/>
  <c r="BA189" i="1"/>
  <c r="BA258" i="1" s="1"/>
  <c r="BA178" i="1"/>
  <c r="BA244" i="1" s="1"/>
  <c r="BA99" i="1"/>
  <c r="BA226" i="1"/>
  <c r="BA299" i="1" s="1"/>
  <c r="AZ86" i="1"/>
  <c r="AZ229" i="1"/>
  <c r="AZ302" i="1" s="1"/>
  <c r="AY213" i="1"/>
  <c r="AY286" i="1" s="1"/>
  <c r="AU151" i="1"/>
  <c r="K225" i="1"/>
  <c r="AU116" i="1"/>
  <c r="K213" i="1"/>
  <c r="AU110" i="1"/>
  <c r="AU111" i="1" s="1"/>
  <c r="AU115" i="1"/>
  <c r="K224" i="1"/>
  <c r="AU41" i="1"/>
  <c r="J443" i="2"/>
  <c r="I445" i="2"/>
  <c r="D462" i="2"/>
  <c r="D463" i="2" s="1"/>
  <c r="C463" i="2"/>
  <c r="M83" i="1"/>
  <c r="C468" i="2"/>
  <c r="C473" i="2"/>
  <c r="D473" i="2" s="1"/>
  <c r="C469" i="2"/>
  <c r="D469" i="2" s="1"/>
  <c r="C472" i="2"/>
  <c r="D472" i="2" s="1"/>
  <c r="C471" i="2"/>
  <c r="D471" i="2" s="1"/>
  <c r="C470" i="2"/>
  <c r="D470" i="2" s="1"/>
  <c r="C451" i="2"/>
  <c r="C449" i="2"/>
  <c r="C456" i="2" s="1"/>
  <c r="K40" i="3"/>
  <c r="AY168" i="1"/>
  <c r="AY198" i="1" s="1"/>
  <c r="AY197" i="1"/>
  <c r="AY164" i="1"/>
  <c r="AY175" i="1"/>
  <c r="AY199" i="1" s="1"/>
  <c r="AY171" i="1"/>
  <c r="AY238" i="1" s="1"/>
  <c r="AY158" i="1"/>
  <c r="AY196" i="1" s="1"/>
  <c r="AY265" i="1" s="1"/>
  <c r="AY195" i="1"/>
  <c r="AY264" i="1" s="1"/>
  <c r="M249" i="1"/>
  <c r="M226" i="1"/>
  <c r="M87" i="1"/>
  <c r="L87" i="1"/>
  <c r="M180" i="1"/>
  <c r="M246" i="1" s="1"/>
  <c r="L226" i="1"/>
  <c r="L180" i="1"/>
  <c r="L246" i="1" s="1"/>
  <c r="M241" i="1"/>
  <c r="M199" i="1"/>
  <c r="M200" i="1"/>
  <c r="M240" i="1"/>
  <c r="M238" i="1"/>
  <c r="L227" i="1"/>
  <c r="L238" i="1"/>
  <c r="L241" i="1"/>
  <c r="L199" i="1"/>
  <c r="L200" i="1"/>
  <c r="L240" i="1"/>
  <c r="AU275" i="1"/>
  <c r="BM276" i="1" s="1"/>
  <c r="AS222" i="1"/>
  <c r="AT73" i="1"/>
  <c r="AS228" i="1"/>
  <c r="AT71" i="1"/>
  <c r="AT218" i="1" s="1"/>
  <c r="AS214" i="1"/>
  <c r="AS217" i="1"/>
  <c r="AU51" i="1"/>
  <c r="AY178" i="1"/>
  <c r="AY244" i="1" s="1"/>
  <c r="AY177" i="1"/>
  <c r="AY243" i="1" s="1"/>
  <c r="AY259" i="1"/>
  <c r="AT28" i="3"/>
  <c r="AX28" i="3"/>
  <c r="AT77" i="3"/>
  <c r="AT78" i="3"/>
  <c r="AT62" i="3"/>
  <c r="K65" i="3"/>
  <c r="K92" i="3"/>
  <c r="AT63" i="3"/>
  <c r="AT64" i="3"/>
  <c r="AT91" i="3"/>
  <c r="AT76" i="3"/>
  <c r="AS51" i="3"/>
  <c r="AW46" i="3"/>
  <c r="AT89" i="3"/>
  <c r="K79" i="3"/>
  <c r="AR40" i="3"/>
  <c r="AV46" i="3"/>
  <c r="AT90" i="3"/>
  <c r="AR25" i="3"/>
  <c r="AV33" i="3"/>
  <c r="AS92" i="3"/>
  <c r="AY257" i="1"/>
  <c r="AY253" i="1"/>
  <c r="AY255" i="1"/>
  <c r="AY8" i="1"/>
  <c r="AY258" i="1"/>
  <c r="AY254" i="1"/>
  <c r="AY99" i="1"/>
  <c r="AX215" i="1"/>
  <c r="AX288" i="1" s="1"/>
  <c r="AT303" i="1"/>
  <c r="J533" i="2"/>
  <c r="J488" i="2"/>
  <c r="D494" i="2"/>
  <c r="D537" i="2"/>
  <c r="K121" i="1"/>
  <c r="K72" i="1"/>
  <c r="I608" i="2"/>
  <c r="D620" i="2" s="1"/>
  <c r="AV41" i="1"/>
  <c r="AX41" i="1"/>
  <c r="AW41" i="1"/>
  <c r="K177" i="1"/>
  <c r="K243" i="1" s="1"/>
  <c r="AT249" i="1"/>
  <c r="I564" i="2"/>
  <c r="AX78" i="1"/>
  <c r="AX220" i="1"/>
  <c r="AX293" i="1" s="1"/>
  <c r="AW91" i="1"/>
  <c r="AX91" i="1"/>
  <c r="AW92" i="1"/>
  <c r="AX92" i="1"/>
  <c r="AX40" i="1"/>
  <c r="AW40" i="1"/>
  <c r="AX95" i="1"/>
  <c r="AW95" i="1"/>
  <c r="C538" i="2" s="1"/>
  <c r="AW226" i="1"/>
  <c r="AW299" i="1" s="1"/>
  <c r="AW83" i="1"/>
  <c r="AV302" i="1"/>
  <c r="D572" i="2"/>
  <c r="D569" i="2"/>
  <c r="AT24" i="3"/>
  <c r="BL33" i="3" s="1"/>
  <c r="K49" i="3"/>
  <c r="K50" i="3"/>
  <c r="K51" i="3"/>
  <c r="AT39" i="3"/>
  <c r="BL46" i="3" s="1"/>
  <c r="AT58" i="3"/>
  <c r="AT72" i="3"/>
  <c r="AT86" i="3"/>
  <c r="K210" i="1"/>
  <c r="AX96" i="1"/>
  <c r="AV95" i="1"/>
  <c r="C581" i="2" s="1"/>
  <c r="AV91" i="1"/>
  <c r="AV292" i="1"/>
  <c r="AV287" i="1"/>
  <c r="AV290" i="1"/>
  <c r="AV275" i="1"/>
  <c r="AV297" i="1"/>
  <c r="AV295" i="1"/>
  <c r="AV281" i="1"/>
  <c r="AY314" i="1" s="1"/>
  <c r="AY317" i="1" s="1"/>
  <c r="AV285" i="1"/>
  <c r="AV286" i="1"/>
  <c r="AV301" i="1"/>
  <c r="AV296" i="1"/>
  <c r="AV288" i="1"/>
  <c r="AV291" i="1"/>
  <c r="AV289" i="1"/>
  <c r="AV298" i="1"/>
  <c r="AV294" i="1"/>
  <c r="AV293" i="1"/>
  <c r="C619" i="2"/>
  <c r="AS216" i="1"/>
  <c r="AS219" i="1"/>
  <c r="AV299" i="1"/>
  <c r="AV92" i="1"/>
  <c r="AV40" i="1"/>
  <c r="AV227" i="1"/>
  <c r="AV300" i="1" s="1"/>
  <c r="C613" i="2"/>
  <c r="C614" i="2" s="1"/>
  <c r="K221" i="1"/>
  <c r="K212" i="1"/>
  <c r="AY209" i="1"/>
  <c r="K115" i="1"/>
  <c r="K110" i="1"/>
  <c r="K111" i="1" s="1"/>
  <c r="K223" i="1"/>
  <c r="C622" i="2"/>
  <c r="K119" i="1"/>
  <c r="C616" i="2"/>
  <c r="K149" i="1"/>
  <c r="K151" i="1" s="1"/>
  <c r="K17" i="1"/>
  <c r="K93" i="1" s="1"/>
  <c r="K59" i="3"/>
  <c r="AT81" i="1"/>
  <c r="AT228" i="1" s="1"/>
  <c r="K120" i="3"/>
  <c r="K25" i="3"/>
  <c r="K117" i="3"/>
  <c r="K113" i="3"/>
  <c r="K114" i="3"/>
  <c r="K118" i="3"/>
  <c r="K122" i="3"/>
  <c r="K115" i="3"/>
  <c r="K119" i="3"/>
  <c r="K121" i="3"/>
  <c r="K112" i="3"/>
  <c r="K116" i="3"/>
  <c r="K11" i="1"/>
  <c r="K116" i="1"/>
  <c r="AY207" i="1"/>
  <c r="K114" i="1"/>
  <c r="K120" i="1"/>
  <c r="K184" i="1"/>
  <c r="I620" i="2"/>
  <c r="K261" i="1"/>
  <c r="K186" i="1"/>
  <c r="K185" i="1"/>
  <c r="K178" i="1"/>
  <c r="K244" i="1" s="1"/>
  <c r="AS45" i="1"/>
  <c r="AT153" i="1"/>
  <c r="C658" i="2"/>
  <c r="I653" i="2"/>
  <c r="D663" i="2" s="1"/>
  <c r="AS59" i="3"/>
  <c r="I664" i="2"/>
  <c r="C662" i="2"/>
  <c r="I665" i="2"/>
  <c r="C681" i="2"/>
  <c r="D701" i="2"/>
  <c r="D704" i="2"/>
  <c r="AS65" i="3"/>
  <c r="AS49" i="3"/>
  <c r="AS40" i="3"/>
  <c r="AS79" i="3"/>
  <c r="AS25" i="3"/>
  <c r="AS50" i="3"/>
  <c r="AT261" i="1"/>
  <c r="AS221" i="1"/>
  <c r="J702" i="2"/>
  <c r="D700" i="2"/>
  <c r="D702" i="2"/>
  <c r="AT70" i="1"/>
  <c r="AU70" i="1" s="1"/>
  <c r="D698" i="2"/>
  <c r="AT66" i="1"/>
  <c r="AT69" i="1"/>
  <c r="AU69" i="1" s="1"/>
  <c r="AS218" i="1"/>
  <c r="AT74" i="1"/>
  <c r="AU74" i="1" s="1"/>
  <c r="AT67" i="1"/>
  <c r="AU67" i="1" s="1"/>
  <c r="D706" i="2"/>
  <c r="AT210" i="1"/>
  <c r="AT212" i="1"/>
  <c r="AT17" i="1"/>
  <c r="AT110" i="1"/>
  <c r="AR59" i="3"/>
  <c r="C695" i="2"/>
  <c r="J697" i="2"/>
  <c r="J695" i="2"/>
  <c r="AR92" i="3"/>
  <c r="AR49" i="3"/>
  <c r="AR79" i="3"/>
  <c r="AR65" i="3"/>
  <c r="AR50" i="3"/>
  <c r="AR51" i="3"/>
  <c r="I699" i="2"/>
  <c r="J699" i="2" s="1"/>
  <c r="I703" i="2"/>
  <c r="C718" i="2"/>
  <c r="AS11" i="1"/>
  <c r="AS51" i="1"/>
  <c r="AS232" i="1"/>
  <c r="AS305" i="1" s="1"/>
  <c r="AS163" i="1"/>
  <c r="AS159" i="1"/>
  <c r="AS193" i="1"/>
  <c r="AS262" i="1" s="1"/>
  <c r="AS210" i="1"/>
  <c r="AS212" i="1"/>
  <c r="AS110" i="1"/>
  <c r="AS151" i="1"/>
  <c r="AS26" i="1"/>
  <c r="AS39" i="1"/>
  <c r="C741" i="2"/>
  <c r="C746" i="2"/>
  <c r="C744" i="2"/>
  <c r="I739" i="2" s="1"/>
  <c r="C742" i="2"/>
  <c r="C740" i="2"/>
  <c r="C738" i="2"/>
  <c r="E767" i="2"/>
  <c r="I738" i="2"/>
  <c r="AQ158" i="3"/>
  <c r="AQ152" i="3"/>
  <c r="AQ145" i="3"/>
  <c r="AQ91" i="3"/>
  <c r="AQ90" i="3"/>
  <c r="AQ89" i="3"/>
  <c r="AQ86" i="3"/>
  <c r="AQ78" i="3"/>
  <c r="AQ77" i="3"/>
  <c r="AQ76" i="3"/>
  <c r="AQ72" i="3"/>
  <c r="AQ64" i="3"/>
  <c r="AQ63" i="3"/>
  <c r="AQ62" i="3"/>
  <c r="AQ58" i="3"/>
  <c r="AQ45" i="3"/>
  <c r="AQ44" i="3"/>
  <c r="AQ43" i="3"/>
  <c r="AQ39" i="3"/>
  <c r="AQ32" i="3"/>
  <c r="AQ31" i="3"/>
  <c r="AQ30" i="3"/>
  <c r="AQ29" i="3"/>
  <c r="AQ28" i="3"/>
  <c r="AQ24" i="3"/>
  <c r="AQ25" i="3" s="1"/>
  <c r="AQ141" i="1"/>
  <c r="AR250" i="1"/>
  <c r="AR124" i="1"/>
  <c r="J108" i="1"/>
  <c r="J109" i="1"/>
  <c r="AQ109" i="1" s="1"/>
  <c r="AR109" i="1"/>
  <c r="AR121" i="1" s="1"/>
  <c r="AR108" i="1"/>
  <c r="AR120" i="1" s="1"/>
  <c r="AR77" i="1"/>
  <c r="AR76" i="1"/>
  <c r="AR75" i="1"/>
  <c r="AR65" i="1"/>
  <c r="AR23" i="1"/>
  <c r="AU23" i="1" s="1"/>
  <c r="AR22" i="1"/>
  <c r="AU22" i="1" s="1"/>
  <c r="AR21" i="1"/>
  <c r="AU21" i="1" s="1"/>
  <c r="AR274" i="1"/>
  <c r="AR273" i="1"/>
  <c r="AR272" i="1"/>
  <c r="AR252" i="1"/>
  <c r="AR230" i="1"/>
  <c r="AR228" i="1"/>
  <c r="AR222" i="1"/>
  <c r="AR221" i="1"/>
  <c r="AR219" i="1"/>
  <c r="AR218" i="1"/>
  <c r="AR217" i="1"/>
  <c r="AR216" i="1"/>
  <c r="AR214" i="1"/>
  <c r="AR208" i="1"/>
  <c r="AR206" i="1"/>
  <c r="AR205" i="1"/>
  <c r="AR204" i="1"/>
  <c r="AR203" i="1"/>
  <c r="AR192" i="1"/>
  <c r="AR188" i="1"/>
  <c r="AR183" i="1"/>
  <c r="AR166" i="1"/>
  <c r="AR156" i="1"/>
  <c r="AR103" i="1"/>
  <c r="AR90" i="1"/>
  <c r="AR64" i="1"/>
  <c r="AR212" i="1" s="1"/>
  <c r="AR63" i="1"/>
  <c r="AR60" i="1"/>
  <c r="AU96" i="1" s="1"/>
  <c r="AR58" i="1"/>
  <c r="AR48" i="1"/>
  <c r="AR46" i="1"/>
  <c r="AR45" i="1"/>
  <c r="AR38" i="1"/>
  <c r="AR37" i="1"/>
  <c r="AR36" i="1"/>
  <c r="AR35" i="1"/>
  <c r="AR34" i="1"/>
  <c r="AR33" i="1"/>
  <c r="AR10" i="1"/>
  <c r="AR11" i="1" s="1"/>
  <c r="AR8" i="1"/>
  <c r="C11" i="3"/>
  <c r="C16" i="3" s="1"/>
  <c r="D11" i="3"/>
  <c r="E11" i="3"/>
  <c r="E16" i="3" s="1"/>
  <c r="F11" i="3"/>
  <c r="F16" i="3" s="1"/>
  <c r="V19" i="3"/>
  <c r="Z19" i="3"/>
  <c r="AD19" i="3"/>
  <c r="AH19" i="3"/>
  <c r="AL19" i="3"/>
  <c r="AP28" i="3" s="1"/>
  <c r="V20" i="3"/>
  <c r="Z20" i="3"/>
  <c r="AD20" i="3"/>
  <c r="AH20" i="3"/>
  <c r="AL20" i="3"/>
  <c r="AP20" i="3"/>
  <c r="V21" i="3"/>
  <c r="Z21" i="3"/>
  <c r="AD21" i="3"/>
  <c r="AH21" i="3"/>
  <c r="AL21" i="3"/>
  <c r="AP21" i="3"/>
  <c r="AT30" i="3" s="1"/>
  <c r="Z22" i="3"/>
  <c r="Z31" i="3" s="1"/>
  <c r="AD22" i="3"/>
  <c r="AH22" i="3"/>
  <c r="AL22" i="3"/>
  <c r="AP22" i="3"/>
  <c r="AT31" i="3" s="1"/>
  <c r="V23" i="3"/>
  <c r="Z23" i="3"/>
  <c r="AD23" i="3"/>
  <c r="AH23" i="3"/>
  <c r="AL23" i="3"/>
  <c r="AP23" i="3"/>
  <c r="AT32" i="3" s="1"/>
  <c r="C24" i="3"/>
  <c r="C113" i="3" s="1"/>
  <c r="D24" i="3"/>
  <c r="D119" i="3" s="1"/>
  <c r="E24" i="3"/>
  <c r="E117" i="3" s="1"/>
  <c r="F24" i="3"/>
  <c r="F25" i="3" s="1"/>
  <c r="G24" i="3"/>
  <c r="G115" i="3" s="1"/>
  <c r="H24" i="3"/>
  <c r="H113" i="3" s="1"/>
  <c r="I24" i="3"/>
  <c r="I25" i="3" s="1"/>
  <c r="J24" i="3"/>
  <c r="J113" i="3" s="1"/>
  <c r="S24" i="3"/>
  <c r="S25" i="3" s="1"/>
  <c r="T24" i="3"/>
  <c r="T25" i="3" s="1"/>
  <c r="U24" i="3"/>
  <c r="U25" i="3" s="1"/>
  <c r="W24" i="3"/>
  <c r="W25" i="3" s="1"/>
  <c r="X24" i="3"/>
  <c r="X25" i="3" s="1"/>
  <c r="Y24" i="3"/>
  <c r="Y25" i="3" s="1"/>
  <c r="AA24" i="3"/>
  <c r="AA25" i="3" s="1"/>
  <c r="AB24" i="3"/>
  <c r="AC24" i="3"/>
  <c r="AC25" i="3" s="1"/>
  <c r="AE24" i="3"/>
  <c r="AE25" i="3" s="1"/>
  <c r="AF24" i="3"/>
  <c r="AG24" i="3"/>
  <c r="AG25" i="3" s="1"/>
  <c r="AI24" i="3"/>
  <c r="AI25" i="3" s="1"/>
  <c r="AJ24" i="3"/>
  <c r="AJ25" i="3" s="1"/>
  <c r="AK24" i="3"/>
  <c r="AK25" i="3" s="1"/>
  <c r="AM24" i="3"/>
  <c r="AM25" i="3" s="1"/>
  <c r="AN24" i="3"/>
  <c r="AR33" i="3" s="1"/>
  <c r="AO24" i="3"/>
  <c r="AO25" i="3" s="1"/>
  <c r="D28" i="3"/>
  <c r="E28" i="3"/>
  <c r="F28" i="3"/>
  <c r="G28" i="3"/>
  <c r="H28" i="3"/>
  <c r="I28" i="3"/>
  <c r="J28" i="3"/>
  <c r="W28" i="3"/>
  <c r="X28" i="3"/>
  <c r="Y28" i="3"/>
  <c r="AA28" i="3"/>
  <c r="AB28" i="3"/>
  <c r="AC28" i="3"/>
  <c r="AE28" i="3"/>
  <c r="AF28" i="3"/>
  <c r="AG28" i="3"/>
  <c r="AI28" i="3"/>
  <c r="AJ28" i="3"/>
  <c r="AK28" i="3"/>
  <c r="AM28" i="3"/>
  <c r="AN28" i="3"/>
  <c r="AO28" i="3"/>
  <c r="D29" i="3"/>
  <c r="E29" i="3"/>
  <c r="F29" i="3"/>
  <c r="G29" i="3"/>
  <c r="H29" i="3"/>
  <c r="I29" i="3"/>
  <c r="J29" i="3"/>
  <c r="W29" i="3"/>
  <c r="X29" i="3"/>
  <c r="Y29" i="3"/>
  <c r="AA29" i="3"/>
  <c r="AB29" i="3"/>
  <c r="AC29" i="3"/>
  <c r="AE29" i="3"/>
  <c r="AF29" i="3"/>
  <c r="AG29" i="3"/>
  <c r="AI29" i="3"/>
  <c r="AJ29" i="3"/>
  <c r="AK29" i="3"/>
  <c r="AM29" i="3"/>
  <c r="AN29" i="3"/>
  <c r="AO29" i="3"/>
  <c r="D30" i="3"/>
  <c r="E30" i="3"/>
  <c r="F30" i="3"/>
  <c r="G30" i="3"/>
  <c r="H30" i="3"/>
  <c r="I30" i="3"/>
  <c r="J30" i="3"/>
  <c r="W30" i="3"/>
  <c r="X30" i="3"/>
  <c r="Y30" i="3"/>
  <c r="AA30" i="3"/>
  <c r="AB30" i="3"/>
  <c r="AC30" i="3"/>
  <c r="AE30" i="3"/>
  <c r="AF30" i="3"/>
  <c r="AG30" i="3"/>
  <c r="AI30" i="3"/>
  <c r="AJ30" i="3"/>
  <c r="AK30" i="3"/>
  <c r="AM30" i="3"/>
  <c r="AN30" i="3"/>
  <c r="AO30" i="3"/>
  <c r="G31" i="3"/>
  <c r="H31" i="3"/>
  <c r="I31" i="3"/>
  <c r="J31" i="3"/>
  <c r="AJ31" i="3"/>
  <c r="AK31" i="3"/>
  <c r="AM31" i="3"/>
  <c r="AN31" i="3"/>
  <c r="AO31" i="3"/>
  <c r="D32" i="3"/>
  <c r="E32" i="3"/>
  <c r="F32" i="3"/>
  <c r="G32" i="3"/>
  <c r="H32" i="3"/>
  <c r="I32" i="3"/>
  <c r="J32" i="3"/>
  <c r="W32" i="3"/>
  <c r="X32" i="3"/>
  <c r="Y32" i="3"/>
  <c r="AA32" i="3"/>
  <c r="AB32" i="3"/>
  <c r="AC32" i="3"/>
  <c r="AE32" i="3"/>
  <c r="AF32" i="3"/>
  <c r="AG32" i="3"/>
  <c r="AI32" i="3"/>
  <c r="AJ32" i="3"/>
  <c r="AK32" i="3"/>
  <c r="AM32" i="3"/>
  <c r="AN32" i="3"/>
  <c r="AO32" i="3"/>
  <c r="V36" i="3"/>
  <c r="Z36" i="3"/>
  <c r="AD36" i="3"/>
  <c r="AH36" i="3"/>
  <c r="AL36" i="3"/>
  <c r="AP36" i="3"/>
  <c r="AP89" i="3" s="1"/>
  <c r="V37" i="3"/>
  <c r="Z37" i="3"/>
  <c r="AD37" i="3"/>
  <c r="AH37" i="3"/>
  <c r="AL37" i="3"/>
  <c r="AP37" i="3"/>
  <c r="V38" i="3"/>
  <c r="Z38" i="3"/>
  <c r="AD38" i="3"/>
  <c r="AH38" i="3"/>
  <c r="AL38" i="3"/>
  <c r="AP38" i="3"/>
  <c r="AT45" i="3" s="1"/>
  <c r="C39" i="3"/>
  <c r="D39" i="3"/>
  <c r="E39" i="3"/>
  <c r="E51" i="3" s="1"/>
  <c r="F39" i="3"/>
  <c r="F40" i="3" s="1"/>
  <c r="G39" i="3"/>
  <c r="G50" i="3" s="1"/>
  <c r="H39" i="3"/>
  <c r="H51" i="3" s="1"/>
  <c r="I39" i="3"/>
  <c r="I50" i="3" s="1"/>
  <c r="J39" i="3"/>
  <c r="J49" i="3" s="1"/>
  <c r="S39" i="3"/>
  <c r="S49" i="3" s="1"/>
  <c r="T39" i="3"/>
  <c r="U39" i="3"/>
  <c r="U51" i="3" s="1"/>
  <c r="W39" i="3"/>
  <c r="X39" i="3"/>
  <c r="X40" i="3" s="1"/>
  <c r="Y39" i="3"/>
  <c r="Y50" i="3" s="1"/>
  <c r="AA39" i="3"/>
  <c r="AB39" i="3"/>
  <c r="AB51" i="3" s="1"/>
  <c r="AC39" i="3"/>
  <c r="AC51" i="3" s="1"/>
  <c r="AE39" i="3"/>
  <c r="AE40" i="3" s="1"/>
  <c r="AF39" i="3"/>
  <c r="AF40" i="3" s="1"/>
  <c r="AG39" i="3"/>
  <c r="AG50" i="3" s="1"/>
  <c r="AI39" i="3"/>
  <c r="AJ39" i="3"/>
  <c r="AJ51" i="3" s="1"/>
  <c r="AK39" i="3"/>
  <c r="AK51" i="3" s="1"/>
  <c r="AM39" i="3"/>
  <c r="AM40" i="3" s="1"/>
  <c r="AN39" i="3"/>
  <c r="AR46" i="3" s="1"/>
  <c r="AO39" i="3"/>
  <c r="AO49" i="3" s="1"/>
  <c r="B43" i="3"/>
  <c r="B49" i="3" s="1"/>
  <c r="D43" i="3"/>
  <c r="E43" i="3"/>
  <c r="F43" i="3"/>
  <c r="G43" i="3"/>
  <c r="H43" i="3"/>
  <c r="I43" i="3"/>
  <c r="J43" i="3"/>
  <c r="W43" i="3"/>
  <c r="X43" i="3"/>
  <c r="Y43" i="3"/>
  <c r="AA43" i="3"/>
  <c r="AB43" i="3"/>
  <c r="AC43" i="3"/>
  <c r="AE43" i="3"/>
  <c r="AF43" i="3"/>
  <c r="AG43" i="3"/>
  <c r="AI43" i="3"/>
  <c r="AJ43" i="3"/>
  <c r="AK43" i="3"/>
  <c r="AM43" i="3"/>
  <c r="AN43" i="3"/>
  <c r="AO43" i="3"/>
  <c r="B44" i="3"/>
  <c r="B50" i="3" s="1"/>
  <c r="D44" i="3"/>
  <c r="E44" i="3"/>
  <c r="F44" i="3"/>
  <c r="G44" i="3"/>
  <c r="H44" i="3"/>
  <c r="I44" i="3"/>
  <c r="J44" i="3"/>
  <c r="W44" i="3"/>
  <c r="X44" i="3"/>
  <c r="Y44" i="3"/>
  <c r="AA44" i="3"/>
  <c r="AB44" i="3"/>
  <c r="AC44" i="3"/>
  <c r="AE44" i="3"/>
  <c r="AF44" i="3"/>
  <c r="AG44" i="3"/>
  <c r="AI44" i="3"/>
  <c r="AJ44" i="3"/>
  <c r="AK44" i="3"/>
  <c r="AM44" i="3"/>
  <c r="AN44" i="3"/>
  <c r="AO44" i="3"/>
  <c r="D45" i="3"/>
  <c r="E45" i="3"/>
  <c r="F45" i="3"/>
  <c r="G45" i="3"/>
  <c r="H45" i="3"/>
  <c r="I45" i="3"/>
  <c r="J45" i="3"/>
  <c r="W45" i="3"/>
  <c r="X45" i="3"/>
  <c r="Y45" i="3"/>
  <c r="AA45" i="3"/>
  <c r="AB45" i="3"/>
  <c r="AC45" i="3"/>
  <c r="AE45" i="3"/>
  <c r="AF45" i="3"/>
  <c r="AG45" i="3"/>
  <c r="AI45" i="3"/>
  <c r="AJ45" i="3"/>
  <c r="AK45" i="3"/>
  <c r="AM45" i="3"/>
  <c r="AN45" i="3"/>
  <c r="AO45" i="3"/>
  <c r="B51" i="3"/>
  <c r="V55" i="3"/>
  <c r="Z55" i="3"/>
  <c r="AD55" i="3"/>
  <c r="AH55" i="3"/>
  <c r="AL55" i="3"/>
  <c r="AP55" i="3"/>
  <c r="V56" i="3"/>
  <c r="Z56" i="3"/>
  <c r="AD56" i="3"/>
  <c r="AH56" i="3"/>
  <c r="AL56" i="3"/>
  <c r="AP56" i="3"/>
  <c r="V57" i="3"/>
  <c r="Z57" i="3"/>
  <c r="AD57" i="3"/>
  <c r="AH57" i="3"/>
  <c r="AL57" i="3"/>
  <c r="AP57" i="3"/>
  <c r="C58" i="3"/>
  <c r="D58" i="3"/>
  <c r="E58" i="3"/>
  <c r="F58" i="3"/>
  <c r="G58" i="3"/>
  <c r="H58" i="3"/>
  <c r="I58" i="3"/>
  <c r="J58" i="3"/>
  <c r="S58" i="3"/>
  <c r="T58" i="3"/>
  <c r="U58" i="3"/>
  <c r="W58" i="3"/>
  <c r="X58" i="3"/>
  <c r="Y58" i="3"/>
  <c r="AA58" i="3"/>
  <c r="AB58" i="3"/>
  <c r="AC58" i="3"/>
  <c r="AE58" i="3"/>
  <c r="AF58" i="3"/>
  <c r="AG58" i="3"/>
  <c r="AI58" i="3"/>
  <c r="AJ58" i="3"/>
  <c r="AK58" i="3"/>
  <c r="AM58" i="3"/>
  <c r="AN58" i="3"/>
  <c r="AO58" i="3"/>
  <c r="AO59" i="3" s="1"/>
  <c r="C62" i="3"/>
  <c r="D62" i="3"/>
  <c r="E62" i="3"/>
  <c r="F62" i="3"/>
  <c r="G62" i="3"/>
  <c r="H62" i="3"/>
  <c r="I62" i="3"/>
  <c r="J62" i="3"/>
  <c r="S62" i="3"/>
  <c r="T62" i="3"/>
  <c r="U62" i="3"/>
  <c r="W62" i="3"/>
  <c r="X62" i="3"/>
  <c r="Y62" i="3"/>
  <c r="AA62" i="3"/>
  <c r="AB62" i="3"/>
  <c r="AC62" i="3"/>
  <c r="AE62" i="3"/>
  <c r="AF62" i="3"/>
  <c r="AG62" i="3"/>
  <c r="AI62" i="3"/>
  <c r="AJ62" i="3"/>
  <c r="AK62" i="3"/>
  <c r="AM62" i="3"/>
  <c r="AN62" i="3"/>
  <c r="AO62" i="3"/>
  <c r="C63" i="3"/>
  <c r="D63" i="3"/>
  <c r="E63" i="3"/>
  <c r="F63" i="3"/>
  <c r="G63" i="3"/>
  <c r="H63" i="3"/>
  <c r="I63" i="3"/>
  <c r="J63" i="3"/>
  <c r="S63" i="3"/>
  <c r="T63" i="3"/>
  <c r="U63" i="3"/>
  <c r="W63" i="3"/>
  <c r="X63" i="3"/>
  <c r="Y63" i="3"/>
  <c r="AA63" i="3"/>
  <c r="AB63" i="3"/>
  <c r="AC63" i="3"/>
  <c r="AE63" i="3"/>
  <c r="AF63" i="3"/>
  <c r="AG63" i="3"/>
  <c r="AI63" i="3"/>
  <c r="AJ63" i="3"/>
  <c r="AK63" i="3"/>
  <c r="AM63" i="3"/>
  <c r="AN63" i="3"/>
  <c r="AO63" i="3"/>
  <c r="C64" i="3"/>
  <c r="D64" i="3"/>
  <c r="E64" i="3"/>
  <c r="F64" i="3"/>
  <c r="G64" i="3"/>
  <c r="H64" i="3"/>
  <c r="I64" i="3"/>
  <c r="J64" i="3"/>
  <c r="S64" i="3"/>
  <c r="T64" i="3"/>
  <c r="U64" i="3"/>
  <c r="W64" i="3"/>
  <c r="X64" i="3"/>
  <c r="Y64" i="3"/>
  <c r="AA64" i="3"/>
  <c r="AB64" i="3"/>
  <c r="AC64" i="3"/>
  <c r="AE64" i="3"/>
  <c r="AF64" i="3"/>
  <c r="AG64" i="3"/>
  <c r="AI64" i="3"/>
  <c r="AJ64" i="3"/>
  <c r="AK64" i="3"/>
  <c r="AM64" i="3"/>
  <c r="AN64" i="3"/>
  <c r="AO64" i="3"/>
  <c r="V69" i="3"/>
  <c r="Z69" i="3"/>
  <c r="AD69" i="3"/>
  <c r="AH69" i="3"/>
  <c r="AL69" i="3"/>
  <c r="V70" i="3"/>
  <c r="Z70" i="3"/>
  <c r="AD70" i="3"/>
  <c r="AH70" i="3"/>
  <c r="AL70" i="3"/>
  <c r="AP70" i="3"/>
  <c r="V71" i="3"/>
  <c r="Z71" i="3"/>
  <c r="AD71" i="3"/>
  <c r="AH71" i="3"/>
  <c r="AL71" i="3"/>
  <c r="AP71" i="3"/>
  <c r="C72" i="3"/>
  <c r="D72" i="3"/>
  <c r="E72" i="3"/>
  <c r="F72" i="3"/>
  <c r="G72" i="3"/>
  <c r="H72" i="3"/>
  <c r="I72" i="3"/>
  <c r="J72" i="3"/>
  <c r="S72" i="3"/>
  <c r="T72" i="3"/>
  <c r="U72" i="3"/>
  <c r="W72" i="3"/>
  <c r="X72" i="3"/>
  <c r="Y72" i="3"/>
  <c r="AA72" i="3"/>
  <c r="AB72" i="3"/>
  <c r="AC72" i="3"/>
  <c r="AE72" i="3"/>
  <c r="AF72" i="3"/>
  <c r="AG72" i="3"/>
  <c r="AI72" i="3"/>
  <c r="AJ72" i="3"/>
  <c r="AK72" i="3"/>
  <c r="AM72" i="3"/>
  <c r="AN72" i="3"/>
  <c r="AO72" i="3"/>
  <c r="C76" i="3"/>
  <c r="D76" i="3"/>
  <c r="E76" i="3"/>
  <c r="F76" i="3"/>
  <c r="G76" i="3"/>
  <c r="H76" i="3"/>
  <c r="I76" i="3"/>
  <c r="J76" i="3"/>
  <c r="S76" i="3"/>
  <c r="T76" i="3"/>
  <c r="U76" i="3"/>
  <c r="W76" i="3"/>
  <c r="X76" i="3"/>
  <c r="Y76" i="3"/>
  <c r="AA76" i="3"/>
  <c r="AB76" i="3"/>
  <c r="AC76" i="3"/>
  <c r="AE76" i="3"/>
  <c r="AF76" i="3"/>
  <c r="AG76" i="3"/>
  <c r="AI76" i="3"/>
  <c r="AJ76" i="3"/>
  <c r="AK76" i="3"/>
  <c r="AM76" i="3"/>
  <c r="AN76" i="3"/>
  <c r="AO76" i="3"/>
  <c r="C77" i="3"/>
  <c r="D77" i="3"/>
  <c r="E77" i="3"/>
  <c r="F77" i="3"/>
  <c r="G77" i="3"/>
  <c r="H77" i="3"/>
  <c r="I77" i="3"/>
  <c r="J77" i="3"/>
  <c r="S77" i="3"/>
  <c r="T77" i="3"/>
  <c r="U77" i="3"/>
  <c r="W77" i="3"/>
  <c r="X77" i="3"/>
  <c r="Y77" i="3"/>
  <c r="AA77" i="3"/>
  <c r="AB77" i="3"/>
  <c r="AC77" i="3"/>
  <c r="AE77" i="3"/>
  <c r="AF77" i="3"/>
  <c r="AG77" i="3"/>
  <c r="AI77" i="3"/>
  <c r="AJ77" i="3"/>
  <c r="AK77" i="3"/>
  <c r="AM77" i="3"/>
  <c r="AN77" i="3"/>
  <c r="AO77" i="3"/>
  <c r="C78" i="3"/>
  <c r="D78" i="3"/>
  <c r="E78" i="3"/>
  <c r="F78" i="3"/>
  <c r="G78" i="3"/>
  <c r="H78" i="3"/>
  <c r="I78" i="3"/>
  <c r="J78" i="3"/>
  <c r="S78" i="3"/>
  <c r="T78" i="3"/>
  <c r="U78" i="3"/>
  <c r="W78" i="3"/>
  <c r="X78" i="3"/>
  <c r="Y78" i="3"/>
  <c r="AA78" i="3"/>
  <c r="AB78" i="3"/>
  <c r="AC78" i="3"/>
  <c r="AE78" i="3"/>
  <c r="AF78" i="3"/>
  <c r="AG78" i="3"/>
  <c r="AI78" i="3"/>
  <c r="AJ78" i="3"/>
  <c r="AK78" i="3"/>
  <c r="AM78" i="3"/>
  <c r="AN78" i="3"/>
  <c r="AO78" i="3"/>
  <c r="V83" i="3"/>
  <c r="Z83" i="3"/>
  <c r="AD83" i="3"/>
  <c r="AH83" i="3"/>
  <c r="AL83" i="3"/>
  <c r="V84" i="3"/>
  <c r="Z84" i="3"/>
  <c r="AD84" i="3"/>
  <c r="AH84" i="3"/>
  <c r="AL84" i="3"/>
  <c r="AP84" i="3"/>
  <c r="V85" i="3"/>
  <c r="Z85" i="3"/>
  <c r="AD85" i="3"/>
  <c r="AH85" i="3"/>
  <c r="AL85" i="3"/>
  <c r="AP85" i="3"/>
  <c r="C86" i="3"/>
  <c r="D86" i="3"/>
  <c r="E86" i="3"/>
  <c r="F86" i="3"/>
  <c r="G86" i="3"/>
  <c r="H86" i="3"/>
  <c r="I86" i="3"/>
  <c r="J86" i="3"/>
  <c r="S86" i="3"/>
  <c r="T86" i="3"/>
  <c r="U86" i="3"/>
  <c r="W86" i="3"/>
  <c r="X86" i="3"/>
  <c r="Y86" i="3"/>
  <c r="AA86" i="3"/>
  <c r="AB86" i="3"/>
  <c r="AC86" i="3"/>
  <c r="AE86" i="3"/>
  <c r="AF86" i="3"/>
  <c r="AG86" i="3"/>
  <c r="AI86" i="3"/>
  <c r="AJ86" i="3"/>
  <c r="AK86" i="3"/>
  <c r="AM86" i="3"/>
  <c r="AN86" i="3"/>
  <c r="AO86" i="3"/>
  <c r="C89" i="3"/>
  <c r="D89" i="3"/>
  <c r="E89" i="3"/>
  <c r="F89" i="3"/>
  <c r="G89" i="3"/>
  <c r="H89" i="3"/>
  <c r="I89" i="3"/>
  <c r="J89" i="3"/>
  <c r="S89" i="3"/>
  <c r="T89" i="3"/>
  <c r="U89" i="3"/>
  <c r="W89" i="3"/>
  <c r="X89" i="3"/>
  <c r="Y89" i="3"/>
  <c r="AA89" i="3"/>
  <c r="AB89" i="3"/>
  <c r="AC89" i="3"/>
  <c r="AE89" i="3"/>
  <c r="AF89" i="3"/>
  <c r="AG89" i="3"/>
  <c r="AI89" i="3"/>
  <c r="AJ89" i="3"/>
  <c r="AK89" i="3"/>
  <c r="AM89" i="3"/>
  <c r="AN89" i="3"/>
  <c r="AO89" i="3"/>
  <c r="C90" i="3"/>
  <c r="D90" i="3"/>
  <c r="E90" i="3"/>
  <c r="F90" i="3"/>
  <c r="G90" i="3"/>
  <c r="H90" i="3"/>
  <c r="I90" i="3"/>
  <c r="J90" i="3"/>
  <c r="S90" i="3"/>
  <c r="T90" i="3"/>
  <c r="U90" i="3"/>
  <c r="W90" i="3"/>
  <c r="X90" i="3"/>
  <c r="Y90" i="3"/>
  <c r="AA90" i="3"/>
  <c r="AB90" i="3"/>
  <c r="AC90" i="3"/>
  <c r="AE90" i="3"/>
  <c r="AF90" i="3"/>
  <c r="AG90" i="3"/>
  <c r="AI90" i="3"/>
  <c r="AJ90" i="3"/>
  <c r="AK90" i="3"/>
  <c r="AM90" i="3"/>
  <c r="AN90" i="3"/>
  <c r="AO90" i="3"/>
  <c r="C91" i="3"/>
  <c r="D91" i="3"/>
  <c r="E91" i="3"/>
  <c r="F91" i="3"/>
  <c r="G91" i="3"/>
  <c r="H91" i="3"/>
  <c r="I91" i="3"/>
  <c r="J91" i="3"/>
  <c r="S91" i="3"/>
  <c r="T91" i="3"/>
  <c r="U91" i="3"/>
  <c r="W91" i="3"/>
  <c r="X91" i="3"/>
  <c r="Y91" i="3"/>
  <c r="AA91" i="3"/>
  <c r="AB91" i="3"/>
  <c r="AC91" i="3"/>
  <c r="AE91" i="3"/>
  <c r="AF91" i="3"/>
  <c r="AG91" i="3"/>
  <c r="AI91" i="3"/>
  <c r="AJ91" i="3"/>
  <c r="AK91" i="3"/>
  <c r="AM91" i="3"/>
  <c r="AN91" i="3"/>
  <c r="AO91" i="3"/>
  <c r="F106" i="3"/>
  <c r="I106" i="3"/>
  <c r="I108" i="3" s="1"/>
  <c r="J107" i="3"/>
  <c r="J108" i="3" s="1"/>
  <c r="C108" i="3"/>
  <c r="D108" i="3"/>
  <c r="E108" i="3"/>
  <c r="G108" i="3"/>
  <c r="H108" i="3"/>
  <c r="F126" i="3"/>
  <c r="G126" i="3"/>
  <c r="F127" i="3"/>
  <c r="G127" i="3"/>
  <c r="F128" i="3"/>
  <c r="G128" i="3"/>
  <c r="F129" i="3"/>
  <c r="G129" i="3"/>
  <c r="F130" i="3"/>
  <c r="G130" i="3"/>
  <c r="F131" i="3"/>
  <c r="G131" i="3"/>
  <c r="C132" i="3"/>
  <c r="D132" i="3"/>
  <c r="E132" i="3"/>
  <c r="S132" i="3"/>
  <c r="T132" i="3"/>
  <c r="U132" i="3"/>
  <c r="V132" i="3"/>
  <c r="W132" i="3"/>
  <c r="X132" i="3"/>
  <c r="Y132" i="3"/>
  <c r="Z132" i="3"/>
  <c r="AA132" i="3"/>
  <c r="AB132" i="3"/>
  <c r="AC132" i="3"/>
  <c r="AD132" i="3"/>
  <c r="I144" i="3"/>
  <c r="I145" i="3" s="1"/>
  <c r="AL144" i="3"/>
  <c r="AL145" i="3" s="1"/>
  <c r="C145" i="3"/>
  <c r="D145" i="3"/>
  <c r="E145" i="3"/>
  <c r="F145" i="3"/>
  <c r="G145" i="3"/>
  <c r="H145" i="3"/>
  <c r="J145" i="3"/>
  <c r="S145" i="3"/>
  <c r="T145" i="3"/>
  <c r="U145" i="3"/>
  <c r="V145" i="3"/>
  <c r="W145" i="3"/>
  <c r="X145" i="3"/>
  <c r="Y145" i="3"/>
  <c r="Z145" i="3"/>
  <c r="AA145" i="3"/>
  <c r="AB145" i="3"/>
  <c r="AC145" i="3"/>
  <c r="AD145" i="3"/>
  <c r="AE145" i="3"/>
  <c r="AF145" i="3"/>
  <c r="AG145" i="3"/>
  <c r="AH145" i="3"/>
  <c r="AI145" i="3"/>
  <c r="AJ145" i="3"/>
  <c r="AK145" i="3"/>
  <c r="AM145" i="3"/>
  <c r="AN145" i="3"/>
  <c r="AO145" i="3"/>
  <c r="AP145" i="3"/>
  <c r="C152" i="3"/>
  <c r="D152" i="3"/>
  <c r="E152" i="3"/>
  <c r="H152" i="3"/>
  <c r="J152" i="3"/>
  <c r="S152" i="3"/>
  <c r="T152" i="3"/>
  <c r="U152" i="3"/>
  <c r="V152" i="3"/>
  <c r="W152" i="3"/>
  <c r="X152" i="3"/>
  <c r="Y152" i="3"/>
  <c r="Z152" i="3"/>
  <c r="AA152" i="3"/>
  <c r="AB152" i="3"/>
  <c r="AC152" i="3"/>
  <c r="AD152" i="3"/>
  <c r="AE152" i="3"/>
  <c r="AF152" i="3"/>
  <c r="AG152" i="3"/>
  <c r="AH152" i="3"/>
  <c r="AI152" i="3"/>
  <c r="AJ152" i="3"/>
  <c r="AK152" i="3"/>
  <c r="AL152" i="3"/>
  <c r="AM152" i="3"/>
  <c r="AN152" i="3"/>
  <c r="AO152" i="3"/>
  <c r="AP152" i="3"/>
  <c r="C158" i="3"/>
  <c r="D158" i="3"/>
  <c r="E158" i="3"/>
  <c r="H158" i="3"/>
  <c r="J158" i="3"/>
  <c r="S158" i="3"/>
  <c r="T158" i="3"/>
  <c r="U158" i="3"/>
  <c r="V158" i="3"/>
  <c r="W158" i="3"/>
  <c r="X158" i="3"/>
  <c r="Y158" i="3"/>
  <c r="Z158" i="3"/>
  <c r="AA158" i="3"/>
  <c r="AB158" i="3"/>
  <c r="AC158" i="3"/>
  <c r="AD158" i="3"/>
  <c r="AE158" i="3"/>
  <c r="AF158" i="3"/>
  <c r="AG158" i="3"/>
  <c r="AH158" i="3"/>
  <c r="AI158" i="3"/>
  <c r="AJ158" i="3"/>
  <c r="AK158" i="3"/>
  <c r="AL158" i="3"/>
  <c r="AM158" i="3"/>
  <c r="AN158" i="3"/>
  <c r="AO158" i="3"/>
  <c r="AP158" i="3"/>
  <c r="C164" i="3"/>
  <c r="D164" i="3"/>
  <c r="E164" i="3"/>
  <c r="H164" i="3"/>
  <c r="W7" i="1"/>
  <c r="AA7" i="1"/>
  <c r="AA206" i="1" s="1"/>
  <c r="AC7" i="1"/>
  <c r="AC36" i="1" s="1"/>
  <c r="AI7" i="1"/>
  <c r="AM7" i="1"/>
  <c r="AP91" i="1" s="1"/>
  <c r="AQ206" i="1"/>
  <c r="AU207" i="1" s="1"/>
  <c r="D8" i="1"/>
  <c r="E8" i="1"/>
  <c r="F8" i="1"/>
  <c r="G8" i="1"/>
  <c r="H8" i="1"/>
  <c r="I8" i="1"/>
  <c r="X8" i="1"/>
  <c r="Y8" i="1"/>
  <c r="Z8" i="1"/>
  <c r="AB8" i="1"/>
  <c r="AD8" i="1"/>
  <c r="AF8" i="1"/>
  <c r="AH8" i="1"/>
  <c r="AJ8" i="1"/>
  <c r="AK8" i="1"/>
  <c r="AL8" i="1"/>
  <c r="AN8" i="1"/>
  <c r="AO8" i="1"/>
  <c r="AP8" i="1"/>
  <c r="W9" i="1"/>
  <c r="AA9" i="1"/>
  <c r="AE9" i="1"/>
  <c r="AF92" i="1" s="1"/>
  <c r="AI9" i="1"/>
  <c r="AI92" i="1" s="1"/>
  <c r="AM9" i="1"/>
  <c r="AM92" i="1" s="1"/>
  <c r="AQ9" i="1"/>
  <c r="AR92" i="1" s="1"/>
  <c r="C10" i="1"/>
  <c r="C11" i="1" s="1"/>
  <c r="D10" i="1"/>
  <c r="D17" i="1" s="1"/>
  <c r="D39" i="1" s="1"/>
  <c r="E10" i="1"/>
  <c r="E11" i="1" s="1"/>
  <c r="F10" i="1"/>
  <c r="F11" i="1" s="1"/>
  <c r="G10" i="1"/>
  <c r="H10" i="1"/>
  <c r="H17" i="1" s="1"/>
  <c r="H49" i="1" s="1"/>
  <c r="H51" i="1" s="1"/>
  <c r="I10" i="1"/>
  <c r="I11" i="1" s="1"/>
  <c r="J10" i="1"/>
  <c r="T10" i="1"/>
  <c r="T17" i="1" s="1"/>
  <c r="T49" i="1" s="1"/>
  <c r="T51" i="1" s="1"/>
  <c r="U10" i="1"/>
  <c r="V10" i="1"/>
  <c r="V11" i="1" s="1"/>
  <c r="X10" i="1"/>
  <c r="Y10" i="1"/>
  <c r="Y11" i="1" s="1"/>
  <c r="Z10" i="1"/>
  <c r="Z17" i="1" s="1"/>
  <c r="Z49" i="1" s="1"/>
  <c r="Z51" i="1" s="1"/>
  <c r="AB10" i="1"/>
  <c r="AD10" i="1"/>
  <c r="AD11" i="1" s="1"/>
  <c r="AF10" i="1"/>
  <c r="AF17" i="1" s="1"/>
  <c r="AF49" i="1" s="1"/>
  <c r="AF51" i="1" s="1"/>
  <c r="AG10" i="1"/>
  <c r="AH10" i="1"/>
  <c r="AH11" i="1" s="1"/>
  <c r="AJ10" i="1"/>
  <c r="AJ11" i="1" s="1"/>
  <c r="AK10" i="1"/>
  <c r="AL10" i="1"/>
  <c r="AL11" i="1" s="1"/>
  <c r="AN10" i="1"/>
  <c r="AO10" i="1"/>
  <c r="AO17" i="1" s="1"/>
  <c r="AP10" i="1"/>
  <c r="AP17" i="1" s="1"/>
  <c r="AP39" i="1" s="1"/>
  <c r="W12" i="1"/>
  <c r="AA12" i="1"/>
  <c r="AE12" i="1"/>
  <c r="AI12" i="1"/>
  <c r="AM12" i="1"/>
  <c r="AM34" i="1" s="1"/>
  <c r="AQ12" i="1"/>
  <c r="W13" i="1"/>
  <c r="BX35" i="1" s="1"/>
  <c r="AA13" i="1"/>
  <c r="AE13" i="1"/>
  <c r="AI13" i="1"/>
  <c r="AM13" i="1"/>
  <c r="AQ13" i="1"/>
  <c r="W14" i="1"/>
  <c r="AA14" i="1"/>
  <c r="AE14" i="1"/>
  <c r="AI14" i="1"/>
  <c r="AM14" i="1"/>
  <c r="AQ14" i="1"/>
  <c r="W15" i="1"/>
  <c r="AA15" i="1"/>
  <c r="AE15" i="1"/>
  <c r="AI15" i="1"/>
  <c r="AM15" i="1"/>
  <c r="AQ15" i="1"/>
  <c r="W16" i="1"/>
  <c r="AA16" i="1"/>
  <c r="AA38" i="1" s="1"/>
  <c r="AE16" i="1"/>
  <c r="AI16" i="1"/>
  <c r="AM16" i="1"/>
  <c r="AQ16" i="1"/>
  <c r="W18" i="1"/>
  <c r="AA18" i="1"/>
  <c r="AE18" i="1"/>
  <c r="AI18" i="1"/>
  <c r="AM18" i="1"/>
  <c r="AQ18" i="1"/>
  <c r="W19" i="1"/>
  <c r="AA19" i="1"/>
  <c r="AE19" i="1"/>
  <c r="AI19" i="1"/>
  <c r="AM19" i="1"/>
  <c r="AQ19" i="1"/>
  <c r="W20" i="1"/>
  <c r="AA20" i="1"/>
  <c r="AE20" i="1"/>
  <c r="AI20" i="1"/>
  <c r="AM20" i="1"/>
  <c r="AQ20" i="1"/>
  <c r="D21" i="1"/>
  <c r="E21" i="1"/>
  <c r="F21" i="1"/>
  <c r="G21" i="1"/>
  <c r="H21" i="1"/>
  <c r="I21" i="1"/>
  <c r="J21" i="1"/>
  <c r="T21" i="1"/>
  <c r="U21" i="1"/>
  <c r="V21" i="1"/>
  <c r="X21" i="1"/>
  <c r="Y21" i="1"/>
  <c r="Z21" i="1"/>
  <c r="AB21" i="1"/>
  <c r="AC21" i="1"/>
  <c r="AD21" i="1"/>
  <c r="AF21" i="1"/>
  <c r="AG21" i="1"/>
  <c r="AH21" i="1"/>
  <c r="AJ21" i="1"/>
  <c r="AK21" i="1"/>
  <c r="AL21" i="1"/>
  <c r="AN21" i="1"/>
  <c r="AO21" i="1"/>
  <c r="AP21" i="1"/>
  <c r="D22" i="1"/>
  <c r="E22" i="1"/>
  <c r="F22" i="1"/>
  <c r="G22" i="1"/>
  <c r="H22" i="1"/>
  <c r="I22" i="1"/>
  <c r="J22" i="1"/>
  <c r="T22" i="1"/>
  <c r="U22" i="1"/>
  <c r="V22" i="1"/>
  <c r="X22" i="1"/>
  <c r="Y22" i="1"/>
  <c r="Z22" i="1"/>
  <c r="AB22" i="1"/>
  <c r="AC22" i="1"/>
  <c r="AD22" i="1"/>
  <c r="AF22" i="1"/>
  <c r="AG22" i="1"/>
  <c r="AH22" i="1"/>
  <c r="AJ22" i="1"/>
  <c r="AK22" i="1"/>
  <c r="AL22" i="1"/>
  <c r="AN22" i="1"/>
  <c r="AO22" i="1"/>
  <c r="AP22" i="1"/>
  <c r="D23" i="1"/>
  <c r="E23" i="1"/>
  <c r="F23" i="1"/>
  <c r="G23" i="1"/>
  <c r="H23" i="1"/>
  <c r="I23" i="1"/>
  <c r="J23" i="1"/>
  <c r="T23" i="1"/>
  <c r="U23" i="1"/>
  <c r="V23" i="1"/>
  <c r="X23" i="1"/>
  <c r="Y23" i="1"/>
  <c r="Z23" i="1"/>
  <c r="AB23" i="1"/>
  <c r="AC23" i="1"/>
  <c r="AD23" i="1"/>
  <c r="AF23" i="1"/>
  <c r="AG23" i="1"/>
  <c r="AH23" i="1"/>
  <c r="AJ23" i="1"/>
  <c r="AK23" i="1"/>
  <c r="AL23" i="1"/>
  <c r="AN23" i="1"/>
  <c r="AO23" i="1"/>
  <c r="AP23" i="1"/>
  <c r="T24" i="1"/>
  <c r="W24" i="1" s="1"/>
  <c r="AA24" i="1"/>
  <c r="AB40" i="1" s="1"/>
  <c r="AE24" i="1"/>
  <c r="AH40" i="1" s="1"/>
  <c r="AI24" i="1"/>
  <c r="AK40" i="1" s="1"/>
  <c r="AM24" i="1"/>
  <c r="AQ24" i="1"/>
  <c r="W25" i="1"/>
  <c r="AA25" i="1"/>
  <c r="AE25" i="1"/>
  <c r="AI25" i="1"/>
  <c r="AM25" i="1"/>
  <c r="AQ25" i="1"/>
  <c r="W27" i="1"/>
  <c r="AA27" i="1"/>
  <c r="AE27" i="1"/>
  <c r="AI27" i="1"/>
  <c r="AM27" i="1"/>
  <c r="AQ27" i="1"/>
  <c r="W28" i="1"/>
  <c r="AA28" i="1"/>
  <c r="AE28" i="1"/>
  <c r="AI28" i="1"/>
  <c r="AM28" i="1"/>
  <c r="AQ28" i="1"/>
  <c r="B33" i="1"/>
  <c r="C33" i="1"/>
  <c r="D33" i="1"/>
  <c r="E33" i="1"/>
  <c r="F33" i="1"/>
  <c r="G33" i="1"/>
  <c r="H33" i="1"/>
  <c r="I33" i="1"/>
  <c r="T33" i="1"/>
  <c r="U33" i="1"/>
  <c r="V33" i="1"/>
  <c r="X33" i="1"/>
  <c r="Y33" i="1"/>
  <c r="Z33" i="1"/>
  <c r="AB33" i="1"/>
  <c r="AD33" i="1"/>
  <c r="AF33" i="1"/>
  <c r="AG33" i="1"/>
  <c r="AH33" i="1"/>
  <c r="AJ33" i="1"/>
  <c r="AK33" i="1"/>
  <c r="AL33" i="1"/>
  <c r="AN33" i="1"/>
  <c r="AO33" i="1"/>
  <c r="AP33" i="1"/>
  <c r="B34" i="1"/>
  <c r="C34" i="1"/>
  <c r="D34" i="1"/>
  <c r="E34" i="1"/>
  <c r="F34" i="1"/>
  <c r="G34" i="1"/>
  <c r="H34" i="1"/>
  <c r="I34" i="1"/>
  <c r="J34" i="1"/>
  <c r="T34" i="1"/>
  <c r="U34" i="1"/>
  <c r="V34" i="1"/>
  <c r="X34" i="1"/>
  <c r="Y34" i="1"/>
  <c r="Z34" i="1"/>
  <c r="AB34" i="1"/>
  <c r="AD34" i="1"/>
  <c r="AF34" i="1"/>
  <c r="AG34" i="1"/>
  <c r="AH34" i="1"/>
  <c r="AJ34" i="1"/>
  <c r="AK34" i="1"/>
  <c r="AL34" i="1"/>
  <c r="AN34" i="1"/>
  <c r="AO34" i="1"/>
  <c r="AP34" i="1"/>
  <c r="B35" i="1"/>
  <c r="C35" i="1"/>
  <c r="D35" i="1"/>
  <c r="E35" i="1"/>
  <c r="F35" i="1"/>
  <c r="G35" i="1"/>
  <c r="H35" i="1"/>
  <c r="I35" i="1"/>
  <c r="J35" i="1"/>
  <c r="T35" i="1"/>
  <c r="U35" i="1"/>
  <c r="V35" i="1"/>
  <c r="X35" i="1"/>
  <c r="Y35" i="1"/>
  <c r="Z35" i="1"/>
  <c r="AB35" i="1"/>
  <c r="AD35" i="1"/>
  <c r="AF35" i="1"/>
  <c r="AG35" i="1"/>
  <c r="AH35" i="1"/>
  <c r="AJ35" i="1"/>
  <c r="AK35" i="1"/>
  <c r="AL35" i="1"/>
  <c r="AN35" i="1"/>
  <c r="AO35" i="1"/>
  <c r="AP35" i="1"/>
  <c r="B36" i="1"/>
  <c r="C36" i="1"/>
  <c r="D36" i="1"/>
  <c r="E36" i="1"/>
  <c r="F36" i="1"/>
  <c r="G36" i="1"/>
  <c r="H36" i="1"/>
  <c r="I36" i="1"/>
  <c r="J36" i="1"/>
  <c r="T36" i="1"/>
  <c r="U36" i="1"/>
  <c r="V36" i="1"/>
  <c r="X36" i="1"/>
  <c r="Y36" i="1"/>
  <c r="Z36" i="1"/>
  <c r="AB36" i="1"/>
  <c r="AD36" i="1"/>
  <c r="AF36" i="1"/>
  <c r="AG36" i="1"/>
  <c r="AH36" i="1"/>
  <c r="AJ36" i="1"/>
  <c r="AK36" i="1"/>
  <c r="AL36" i="1"/>
  <c r="AN36" i="1"/>
  <c r="AO36" i="1"/>
  <c r="AP36" i="1"/>
  <c r="B37" i="1"/>
  <c r="C37" i="1"/>
  <c r="D37" i="1"/>
  <c r="E37" i="1"/>
  <c r="F37" i="1"/>
  <c r="G37" i="1"/>
  <c r="H37" i="1"/>
  <c r="I37" i="1"/>
  <c r="J37" i="1"/>
  <c r="T37" i="1"/>
  <c r="U37" i="1"/>
  <c r="V37" i="1"/>
  <c r="X37" i="1"/>
  <c r="Y37" i="1"/>
  <c r="Z37" i="1"/>
  <c r="AB37" i="1"/>
  <c r="AD37" i="1"/>
  <c r="AF37" i="1"/>
  <c r="AG37" i="1"/>
  <c r="AH37" i="1"/>
  <c r="AJ37" i="1"/>
  <c r="AK37" i="1"/>
  <c r="AL37" i="1"/>
  <c r="AN37" i="1"/>
  <c r="AO37" i="1"/>
  <c r="AP37" i="1"/>
  <c r="B38" i="1"/>
  <c r="C38" i="1"/>
  <c r="D38" i="1"/>
  <c r="E38" i="1"/>
  <c r="F38" i="1"/>
  <c r="G38" i="1"/>
  <c r="H38" i="1"/>
  <c r="I38" i="1"/>
  <c r="J38" i="1"/>
  <c r="T38" i="1"/>
  <c r="U38" i="1"/>
  <c r="V38" i="1"/>
  <c r="X38" i="1"/>
  <c r="Y38" i="1"/>
  <c r="Z38" i="1"/>
  <c r="AB38" i="1"/>
  <c r="AD38" i="1"/>
  <c r="AF38" i="1"/>
  <c r="AG38" i="1"/>
  <c r="AH38" i="1"/>
  <c r="AJ38" i="1"/>
  <c r="AK38" i="1"/>
  <c r="AL38" i="1"/>
  <c r="AN38" i="1"/>
  <c r="AO38" i="1"/>
  <c r="AP38" i="1"/>
  <c r="B39" i="1"/>
  <c r="C40" i="1"/>
  <c r="D40" i="1"/>
  <c r="E40" i="1"/>
  <c r="F40" i="1"/>
  <c r="G40" i="1"/>
  <c r="H40" i="1"/>
  <c r="I40" i="1"/>
  <c r="J40" i="1"/>
  <c r="B42" i="1"/>
  <c r="C45" i="1"/>
  <c r="D45" i="1"/>
  <c r="E45" i="1"/>
  <c r="F45" i="1"/>
  <c r="G45" i="1"/>
  <c r="H45" i="1"/>
  <c r="I45" i="1"/>
  <c r="J45" i="1"/>
  <c r="T45" i="1"/>
  <c r="AB45" i="1"/>
  <c r="AF45" i="1"/>
  <c r="AJ45" i="1"/>
  <c r="AN45" i="1"/>
  <c r="C46" i="1"/>
  <c r="D46" i="1"/>
  <c r="E46" i="1"/>
  <c r="F46" i="1"/>
  <c r="G46" i="1"/>
  <c r="H46" i="1"/>
  <c r="I46" i="1"/>
  <c r="J46" i="1"/>
  <c r="T46" i="1"/>
  <c r="U46" i="1"/>
  <c r="V46" i="1"/>
  <c r="X46" i="1"/>
  <c r="Y46" i="1"/>
  <c r="Z46" i="1"/>
  <c r="AB46" i="1"/>
  <c r="AD46" i="1"/>
  <c r="AF46" i="1"/>
  <c r="AG46" i="1"/>
  <c r="AH46" i="1"/>
  <c r="AJ46" i="1"/>
  <c r="AK46" i="1"/>
  <c r="AL46" i="1"/>
  <c r="AN46" i="1"/>
  <c r="AO46" i="1"/>
  <c r="AP46" i="1"/>
  <c r="C48" i="1"/>
  <c r="D48" i="1"/>
  <c r="E48" i="1"/>
  <c r="F48" i="1"/>
  <c r="G48" i="1"/>
  <c r="H48" i="1"/>
  <c r="I48" i="1"/>
  <c r="J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W50" i="1"/>
  <c r="AA50" i="1"/>
  <c r="AC50" i="1"/>
  <c r="AE50" i="1" s="1"/>
  <c r="AI50" i="1"/>
  <c r="AM50" i="1"/>
  <c r="W56" i="1"/>
  <c r="AA56" i="1"/>
  <c r="AE56" i="1"/>
  <c r="AI56" i="1"/>
  <c r="AM56" i="1"/>
  <c r="AQ56" i="1"/>
  <c r="D57" i="1"/>
  <c r="E57" i="1"/>
  <c r="F57" i="1"/>
  <c r="G57" i="1"/>
  <c r="H57" i="1"/>
  <c r="I57" i="1"/>
  <c r="J57" i="1"/>
  <c r="C58" i="1"/>
  <c r="D58" i="1"/>
  <c r="E58" i="1"/>
  <c r="F58" i="1"/>
  <c r="G58" i="1"/>
  <c r="H58" i="1"/>
  <c r="I58" i="1"/>
  <c r="J58" i="1"/>
  <c r="T58" i="1"/>
  <c r="U58" i="1"/>
  <c r="V58" i="1"/>
  <c r="X58" i="1"/>
  <c r="Y58" i="1"/>
  <c r="Z58" i="1"/>
  <c r="AB58" i="1"/>
  <c r="AD58" i="1"/>
  <c r="AF58" i="1"/>
  <c r="AG58" i="1"/>
  <c r="AH58" i="1"/>
  <c r="AJ58" i="1"/>
  <c r="AK58" i="1"/>
  <c r="AL58" i="1"/>
  <c r="AN58" i="1"/>
  <c r="AO58" i="1"/>
  <c r="AP58" i="1"/>
  <c r="T59" i="1"/>
  <c r="T60" i="1" s="1"/>
  <c r="U59" i="1"/>
  <c r="U61" i="1" s="1"/>
  <c r="V59" i="1"/>
  <c r="X59" i="1"/>
  <c r="X156" i="1" s="1"/>
  <c r="Y59" i="1"/>
  <c r="Y60" i="1" s="1"/>
  <c r="Z59" i="1"/>
  <c r="Z156" i="1" s="1"/>
  <c r="AC59" i="1"/>
  <c r="AC156" i="1" s="1"/>
  <c r="AD59" i="1"/>
  <c r="AD60" i="1" s="1"/>
  <c r="C60" i="1"/>
  <c r="C96" i="1" s="1"/>
  <c r="C186" i="1" s="1"/>
  <c r="C255" i="1" s="1"/>
  <c r="D60" i="1"/>
  <c r="D96" i="1" s="1"/>
  <c r="E60" i="1"/>
  <c r="E96" i="1" s="1"/>
  <c r="F60" i="1"/>
  <c r="F96" i="1" s="1"/>
  <c r="F186" i="1" s="1"/>
  <c r="G60" i="1"/>
  <c r="G96" i="1" s="1"/>
  <c r="G186" i="1" s="1"/>
  <c r="G255" i="1" s="1"/>
  <c r="H60" i="1"/>
  <c r="H96" i="1" s="1"/>
  <c r="H186" i="1" s="1"/>
  <c r="H255" i="1" s="1"/>
  <c r="I60" i="1"/>
  <c r="I96" i="1" s="1"/>
  <c r="I186" i="1" s="1"/>
  <c r="I255" i="1" s="1"/>
  <c r="J60" i="1"/>
  <c r="J96" i="1" s="1"/>
  <c r="J186" i="1" s="1"/>
  <c r="AF60" i="1"/>
  <c r="AG60" i="1"/>
  <c r="AH60" i="1"/>
  <c r="AJ60" i="1"/>
  <c r="AK60" i="1"/>
  <c r="AL60" i="1"/>
  <c r="AN60" i="1"/>
  <c r="AO60" i="1"/>
  <c r="AP60" i="1"/>
  <c r="C61" i="1"/>
  <c r="D61" i="1"/>
  <c r="E61" i="1"/>
  <c r="F61" i="1"/>
  <c r="G61" i="1"/>
  <c r="H61" i="1"/>
  <c r="I61" i="1"/>
  <c r="J61" i="1"/>
  <c r="C63" i="1"/>
  <c r="D63" i="1"/>
  <c r="E63" i="1"/>
  <c r="F63" i="1"/>
  <c r="G63" i="1"/>
  <c r="H63" i="1"/>
  <c r="I63" i="1"/>
  <c r="J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C64" i="1"/>
  <c r="C212" i="1" s="1"/>
  <c r="C285" i="1" s="1"/>
  <c r="C314" i="1" s="1"/>
  <c r="D64" i="1"/>
  <c r="D212" i="1" s="1"/>
  <c r="D285" i="1" s="1"/>
  <c r="D314" i="1" s="1"/>
  <c r="E64" i="1"/>
  <c r="E212" i="1" s="1"/>
  <c r="E285" i="1" s="1"/>
  <c r="E314" i="1" s="1"/>
  <c r="F64" i="1"/>
  <c r="F212" i="1" s="1"/>
  <c r="G64" i="1"/>
  <c r="G212" i="1" s="1"/>
  <c r="G285" i="1" s="1"/>
  <c r="G314" i="1" s="1"/>
  <c r="H64" i="1"/>
  <c r="H212" i="1" s="1"/>
  <c r="H285" i="1" s="1"/>
  <c r="H314" i="1" s="1"/>
  <c r="I64" i="1"/>
  <c r="J64" i="1"/>
  <c r="T64" i="1"/>
  <c r="T212" i="1" s="1"/>
  <c r="T285" i="1" s="1"/>
  <c r="U64" i="1"/>
  <c r="U212" i="1" s="1"/>
  <c r="U285" i="1" s="1"/>
  <c r="V64" i="1"/>
  <c r="V212" i="1" s="1"/>
  <c r="V285" i="1" s="1"/>
  <c r="X64" i="1"/>
  <c r="X212" i="1" s="1"/>
  <c r="X285" i="1" s="1"/>
  <c r="Y64" i="1"/>
  <c r="Y212" i="1" s="1"/>
  <c r="Y285" i="1" s="1"/>
  <c r="Z64" i="1"/>
  <c r="Z212" i="1" s="1"/>
  <c r="Z285" i="1" s="1"/>
  <c r="AB64" i="1"/>
  <c r="AC64" i="1"/>
  <c r="AC212" i="1" s="1"/>
  <c r="AC285" i="1" s="1"/>
  <c r="AD64" i="1"/>
  <c r="AD212" i="1" s="1"/>
  <c r="AD285" i="1" s="1"/>
  <c r="AF64" i="1"/>
  <c r="AF212" i="1" s="1"/>
  <c r="AF285" i="1" s="1"/>
  <c r="AG64" i="1"/>
  <c r="AG212" i="1" s="1"/>
  <c r="AG285" i="1" s="1"/>
  <c r="AH64" i="1"/>
  <c r="AH212" i="1" s="1"/>
  <c r="AH285" i="1" s="1"/>
  <c r="AJ64" i="1"/>
  <c r="AJ212" i="1" s="1"/>
  <c r="AK64" i="1"/>
  <c r="AL64" i="1"/>
  <c r="AL212" i="1" s="1"/>
  <c r="AL285" i="1" s="1"/>
  <c r="AN64" i="1"/>
  <c r="AN212" i="1" s="1"/>
  <c r="AO64" i="1"/>
  <c r="AO212" i="1" s="1"/>
  <c r="AP64" i="1"/>
  <c r="AP212" i="1" s="1"/>
  <c r="AP285" i="1" s="1"/>
  <c r="C65" i="1"/>
  <c r="D65" i="1"/>
  <c r="D213" i="1" s="1"/>
  <c r="D286" i="1" s="1"/>
  <c r="E65" i="1"/>
  <c r="F65" i="1"/>
  <c r="G65" i="1"/>
  <c r="G213" i="1" s="1"/>
  <c r="G286" i="1" s="1"/>
  <c r="H65" i="1"/>
  <c r="H213" i="1" s="1"/>
  <c r="H286" i="1" s="1"/>
  <c r="I65" i="1"/>
  <c r="J213" i="1"/>
  <c r="T65" i="1"/>
  <c r="U65" i="1" s="1"/>
  <c r="V65" i="1" s="1"/>
  <c r="V213" i="1" s="1"/>
  <c r="V286" i="1" s="1"/>
  <c r="X65" i="1"/>
  <c r="AB65" i="1"/>
  <c r="AF65" i="1"/>
  <c r="AF213" i="1" s="1"/>
  <c r="AF286" i="1" s="1"/>
  <c r="AJ65" i="1"/>
  <c r="AN65" i="1"/>
  <c r="AO65" i="1" s="1"/>
  <c r="U66" i="1"/>
  <c r="U214" i="1" s="1"/>
  <c r="U287" i="1" s="1"/>
  <c r="Y66" i="1"/>
  <c r="Z66" i="1" s="1"/>
  <c r="Z214" i="1" s="1"/>
  <c r="Z287" i="1" s="1"/>
  <c r="AC66" i="1"/>
  <c r="AD66" i="1" s="1"/>
  <c r="AD214" i="1" s="1"/>
  <c r="AD287" i="1" s="1"/>
  <c r="AG66" i="1"/>
  <c r="AH66" i="1" s="1"/>
  <c r="AI66" i="1" s="1"/>
  <c r="AK66" i="1"/>
  <c r="AO66" i="1"/>
  <c r="AP66" i="1" s="1"/>
  <c r="AQ66" i="1" s="1"/>
  <c r="U69" i="1"/>
  <c r="U45" i="1" s="1"/>
  <c r="X69" i="1"/>
  <c r="AC69" i="1"/>
  <c r="AC216" i="1" s="1"/>
  <c r="AC289" i="1" s="1"/>
  <c r="AG69" i="1"/>
  <c r="AG45" i="1" s="1"/>
  <c r="AK69" i="1"/>
  <c r="AK45" i="1" s="1"/>
  <c r="AO69" i="1"/>
  <c r="AO216" i="1" s="1"/>
  <c r="U70" i="1"/>
  <c r="V70" i="1" s="1"/>
  <c r="V217" i="1" s="1"/>
  <c r="V290" i="1" s="1"/>
  <c r="Y70" i="1"/>
  <c r="AC70" i="1"/>
  <c r="AD70" i="1" s="1"/>
  <c r="AD217" i="1" s="1"/>
  <c r="AD290" i="1" s="1"/>
  <c r="AG70" i="1"/>
  <c r="AH70" i="1" s="1"/>
  <c r="AH217" i="1" s="1"/>
  <c r="AH290" i="1" s="1"/>
  <c r="AK70" i="1"/>
  <c r="AK217" i="1" s="1"/>
  <c r="AK290" i="1" s="1"/>
  <c r="AO70" i="1"/>
  <c r="U71" i="1"/>
  <c r="Y71" i="1"/>
  <c r="AC71" i="1"/>
  <c r="AC218" i="1" s="1"/>
  <c r="AC291" i="1" s="1"/>
  <c r="AG71" i="1"/>
  <c r="AK71" i="1"/>
  <c r="AL71" i="1" s="1"/>
  <c r="AL218" i="1" s="1"/>
  <c r="AL291" i="1" s="1"/>
  <c r="AO71" i="1"/>
  <c r="U67" i="1"/>
  <c r="V67" i="1" s="1"/>
  <c r="V219" i="1" s="1"/>
  <c r="V292" i="1" s="1"/>
  <c r="Y67" i="1"/>
  <c r="AC67" i="1"/>
  <c r="AG67" i="1"/>
  <c r="AG219" i="1" s="1"/>
  <c r="AG292" i="1" s="1"/>
  <c r="AK67" i="1"/>
  <c r="AL67" i="1" s="1"/>
  <c r="AL219" i="1" s="1"/>
  <c r="AL292" i="1" s="1"/>
  <c r="AO67" i="1"/>
  <c r="AO219" i="1" s="1"/>
  <c r="G73" i="1"/>
  <c r="G221" i="1" s="1"/>
  <c r="G294" i="1" s="1"/>
  <c r="I73" i="1"/>
  <c r="I221" i="1" s="1"/>
  <c r="J73" i="1"/>
  <c r="J221" i="1" s="1"/>
  <c r="U73" i="1"/>
  <c r="U221" i="1" s="1"/>
  <c r="U294" i="1" s="1"/>
  <c r="Y73" i="1"/>
  <c r="Z73" i="1" s="1"/>
  <c r="AA73" i="1" s="1"/>
  <c r="AA221" i="1" s="1"/>
  <c r="AC73" i="1"/>
  <c r="AG73" i="1"/>
  <c r="AK73" i="1"/>
  <c r="AL73" i="1" s="1"/>
  <c r="AL221" i="1" s="1"/>
  <c r="AL294" i="1" s="1"/>
  <c r="AO73" i="1"/>
  <c r="AP73" i="1" s="1"/>
  <c r="AP221" i="1" s="1"/>
  <c r="AP294" i="1" s="1"/>
  <c r="U74" i="1"/>
  <c r="V74" i="1" s="1"/>
  <c r="W74" i="1" s="1"/>
  <c r="Y74" i="1"/>
  <c r="Y222" i="1" s="1"/>
  <c r="Y295" i="1" s="1"/>
  <c r="AC74" i="1"/>
  <c r="AE74" i="1" s="1"/>
  <c r="AE222" i="1" s="1"/>
  <c r="AE295" i="1" s="1"/>
  <c r="AG74" i="1"/>
  <c r="AK74" i="1"/>
  <c r="AO74" i="1"/>
  <c r="AO222" i="1" s="1"/>
  <c r="C75" i="1"/>
  <c r="C223" i="1" s="1"/>
  <c r="C296" i="1" s="1"/>
  <c r="D75" i="1"/>
  <c r="D223" i="1" s="1"/>
  <c r="D296" i="1" s="1"/>
  <c r="E75" i="1"/>
  <c r="E223" i="1" s="1"/>
  <c r="E296" i="1" s="1"/>
  <c r="F75" i="1"/>
  <c r="F223" i="1" s="1"/>
  <c r="G75" i="1"/>
  <c r="G223" i="1" s="1"/>
  <c r="G296" i="1" s="1"/>
  <c r="J75" i="1"/>
  <c r="J223" i="1" s="1"/>
  <c r="U75" i="1"/>
  <c r="Y75" i="1"/>
  <c r="Z75" i="1" s="1"/>
  <c r="Z223" i="1" s="1"/>
  <c r="Z296" i="1" s="1"/>
  <c r="AB75" i="1"/>
  <c r="AC75" i="1" s="1"/>
  <c r="AG75" i="1"/>
  <c r="AH75" i="1" s="1"/>
  <c r="AK75" i="1"/>
  <c r="AL75" i="1" s="1"/>
  <c r="AO75" i="1"/>
  <c r="AO223" i="1" s="1"/>
  <c r="C76" i="1"/>
  <c r="C224" i="1" s="1"/>
  <c r="C297" i="1" s="1"/>
  <c r="D76" i="1"/>
  <c r="D224" i="1" s="1"/>
  <c r="D297" i="1" s="1"/>
  <c r="E76" i="1"/>
  <c r="E224" i="1" s="1"/>
  <c r="E297" i="1" s="1"/>
  <c r="F76" i="1"/>
  <c r="F224" i="1" s="1"/>
  <c r="G76" i="1"/>
  <c r="G224" i="1" s="1"/>
  <c r="G297" i="1" s="1"/>
  <c r="H76" i="1"/>
  <c r="H224" i="1" s="1"/>
  <c r="H297" i="1" s="1"/>
  <c r="I76" i="1"/>
  <c r="I224" i="1" s="1"/>
  <c r="J76" i="1"/>
  <c r="J224" i="1" s="1"/>
  <c r="T76" i="1"/>
  <c r="X76" i="1"/>
  <c r="AB76" i="1"/>
  <c r="AC76" i="1" s="1"/>
  <c r="AC224" i="1" s="1"/>
  <c r="AC297" i="1" s="1"/>
  <c r="AF76" i="1"/>
  <c r="AJ76" i="1"/>
  <c r="AJ224" i="1" s="1"/>
  <c r="AN76" i="1"/>
  <c r="AO76" i="1" s="1"/>
  <c r="C77" i="1"/>
  <c r="C225" i="1" s="1"/>
  <c r="C298" i="1" s="1"/>
  <c r="D77" i="1"/>
  <c r="D225" i="1" s="1"/>
  <c r="D298" i="1" s="1"/>
  <c r="E77" i="1"/>
  <c r="E225" i="1" s="1"/>
  <c r="E298" i="1" s="1"/>
  <c r="F77" i="1"/>
  <c r="F225" i="1" s="1"/>
  <c r="G77" i="1"/>
  <c r="G225" i="1" s="1"/>
  <c r="G298" i="1" s="1"/>
  <c r="H77" i="1"/>
  <c r="H225" i="1" s="1"/>
  <c r="H298" i="1" s="1"/>
  <c r="I77" i="1"/>
  <c r="I225" i="1" s="1"/>
  <c r="J77" i="1"/>
  <c r="J225" i="1" s="1"/>
  <c r="T77" i="1"/>
  <c r="U77" i="1" s="1"/>
  <c r="U225" i="1" s="1"/>
  <c r="U298" i="1" s="1"/>
  <c r="X77" i="1"/>
  <c r="AB77" i="1"/>
  <c r="AB225" i="1" s="1"/>
  <c r="AB298" i="1" s="1"/>
  <c r="AF77" i="1"/>
  <c r="AG77" i="1" s="1"/>
  <c r="AJ77" i="1"/>
  <c r="AK77" i="1" s="1"/>
  <c r="AK225" i="1" s="1"/>
  <c r="AK298" i="1" s="1"/>
  <c r="AN77" i="1"/>
  <c r="AO77" i="1" s="1"/>
  <c r="U81" i="1"/>
  <c r="Y81" i="1"/>
  <c r="AC81" i="1"/>
  <c r="AC228" i="1" s="1"/>
  <c r="AC301" i="1" s="1"/>
  <c r="AG81" i="1"/>
  <c r="AH81" i="1" s="1"/>
  <c r="AH228" i="1" s="1"/>
  <c r="AH301" i="1" s="1"/>
  <c r="AK81" i="1"/>
  <c r="AK228" i="1" s="1"/>
  <c r="AK301" i="1" s="1"/>
  <c r="AO81" i="1"/>
  <c r="AP81" i="1" s="1"/>
  <c r="U88" i="1"/>
  <c r="V88" i="1" s="1"/>
  <c r="W88" i="1" s="1"/>
  <c r="Y88" i="1"/>
  <c r="Z88" i="1" s="1"/>
  <c r="AA88" i="1" s="1"/>
  <c r="AE88" i="1"/>
  <c r="AI88" i="1"/>
  <c r="AM88" i="1"/>
  <c r="AQ88" i="1"/>
  <c r="C90" i="1"/>
  <c r="D90" i="1"/>
  <c r="E90" i="1"/>
  <c r="F90" i="1"/>
  <c r="G90" i="1"/>
  <c r="H90" i="1"/>
  <c r="I90" i="1"/>
  <c r="J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B91" i="1"/>
  <c r="B184" i="1" s="1"/>
  <c r="C91" i="1"/>
  <c r="C184" i="1" s="1"/>
  <c r="C253" i="1" s="1"/>
  <c r="D91" i="1"/>
  <c r="E91" i="1"/>
  <c r="E184" i="1" s="1"/>
  <c r="E253" i="1" s="1"/>
  <c r="F91" i="1"/>
  <c r="F184" i="1" s="1"/>
  <c r="G91" i="1"/>
  <c r="H91" i="1"/>
  <c r="H184" i="1" s="1"/>
  <c r="H253" i="1" s="1"/>
  <c r="I91" i="1"/>
  <c r="I184" i="1" s="1"/>
  <c r="J91" i="1"/>
  <c r="J184" i="1" s="1"/>
  <c r="X91" i="1"/>
  <c r="Y91" i="1"/>
  <c r="Y184" i="1" s="1"/>
  <c r="Y253" i="1" s="1"/>
  <c r="Z91" i="1"/>
  <c r="Z184" i="1" s="1"/>
  <c r="Z253" i="1" s="1"/>
  <c r="AB91" i="1"/>
  <c r="B92" i="1"/>
  <c r="C92" i="1"/>
  <c r="D92" i="1"/>
  <c r="D114" i="1" s="1"/>
  <c r="E92" i="1"/>
  <c r="E114" i="1" s="1"/>
  <c r="F92" i="1"/>
  <c r="G92" i="1"/>
  <c r="H92" i="1"/>
  <c r="H119" i="1" s="1"/>
  <c r="I92" i="1"/>
  <c r="I114" i="1" s="1"/>
  <c r="J92" i="1"/>
  <c r="J114" i="1" s="1"/>
  <c r="X92" i="1"/>
  <c r="X114" i="1" s="1"/>
  <c r="Y92" i="1"/>
  <c r="Y114" i="1" s="1"/>
  <c r="Z92" i="1"/>
  <c r="Z114" i="1" s="1"/>
  <c r="AB92" i="1"/>
  <c r="C95" i="1"/>
  <c r="C185" i="1" s="1"/>
  <c r="C254" i="1" s="1"/>
  <c r="D95" i="1"/>
  <c r="E95" i="1"/>
  <c r="F95" i="1"/>
  <c r="F185" i="1" s="1"/>
  <c r="G95" i="1"/>
  <c r="H95" i="1"/>
  <c r="H185" i="1" s="1"/>
  <c r="I95" i="1"/>
  <c r="J95" i="1"/>
  <c r="J185" i="1" s="1"/>
  <c r="X95" i="1"/>
  <c r="Y95" i="1"/>
  <c r="Y185" i="1" s="1"/>
  <c r="Z95" i="1"/>
  <c r="Z185" i="1" s="1"/>
  <c r="Z254" i="1" s="1"/>
  <c r="AB95" i="1"/>
  <c r="AB185" i="1" s="1"/>
  <c r="C97" i="1"/>
  <c r="C188" i="1" s="1"/>
  <c r="C257" i="1" s="1"/>
  <c r="D97" i="1"/>
  <c r="D188" i="1" s="1"/>
  <c r="D257" i="1" s="1"/>
  <c r="E97" i="1"/>
  <c r="F97" i="1"/>
  <c r="AA97" i="1" s="1"/>
  <c r="AA188" i="1" s="1"/>
  <c r="G97" i="1"/>
  <c r="G188" i="1" s="1"/>
  <c r="G257" i="1" s="1"/>
  <c r="C98" i="1"/>
  <c r="D98" i="1"/>
  <c r="D189" i="1" s="1"/>
  <c r="D258" i="1" s="1"/>
  <c r="E98" i="1"/>
  <c r="E189" i="1" s="1"/>
  <c r="E258" i="1" s="1"/>
  <c r="F98" i="1"/>
  <c r="G98" i="1"/>
  <c r="G189" i="1" s="1"/>
  <c r="G258" i="1" s="1"/>
  <c r="H98" i="1"/>
  <c r="H189" i="1" s="1"/>
  <c r="H258" i="1" s="1"/>
  <c r="I98" i="1"/>
  <c r="I189" i="1" s="1"/>
  <c r="J98" i="1"/>
  <c r="X98" i="1"/>
  <c r="X189" i="1" s="1"/>
  <c r="X258" i="1" s="1"/>
  <c r="AB98" i="1"/>
  <c r="AB189" i="1" s="1"/>
  <c r="C100" i="1"/>
  <c r="D100" i="1"/>
  <c r="D190" i="1" s="1"/>
  <c r="D259" i="1" s="1"/>
  <c r="E100" i="1"/>
  <c r="F100" i="1"/>
  <c r="G100" i="1"/>
  <c r="G190" i="1" s="1"/>
  <c r="G259" i="1" s="1"/>
  <c r="H100" i="1"/>
  <c r="H190" i="1" s="1"/>
  <c r="H259" i="1" s="1"/>
  <c r="I100" i="1"/>
  <c r="I190" i="1" s="1"/>
  <c r="J100" i="1"/>
  <c r="C103" i="1"/>
  <c r="D103" i="1"/>
  <c r="E103" i="1"/>
  <c r="F103" i="1"/>
  <c r="G103" i="1"/>
  <c r="H103" i="1"/>
  <c r="I103" i="1"/>
  <c r="J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W105" i="1"/>
  <c r="AA105" i="1"/>
  <c r="AE105" i="1"/>
  <c r="AI105" i="1"/>
  <c r="AM105" i="1"/>
  <c r="AQ105" i="1"/>
  <c r="W106" i="1"/>
  <c r="AA106" i="1"/>
  <c r="AE106" i="1"/>
  <c r="AI106" i="1"/>
  <c r="AM106" i="1"/>
  <c r="AQ106" i="1"/>
  <c r="W107" i="1"/>
  <c r="AA107" i="1"/>
  <c r="AE107" i="1"/>
  <c r="AI107" i="1"/>
  <c r="AM107" i="1"/>
  <c r="AQ107" i="1"/>
  <c r="C108" i="1"/>
  <c r="D108" i="1"/>
  <c r="E108" i="1"/>
  <c r="W108" i="1" s="1"/>
  <c r="F108" i="1"/>
  <c r="G108" i="1"/>
  <c r="AE108" i="1" s="1"/>
  <c r="H108" i="1"/>
  <c r="I108" i="1"/>
  <c r="T108" i="1"/>
  <c r="T120" i="1" s="1"/>
  <c r="U108" i="1"/>
  <c r="U120" i="1" s="1"/>
  <c r="V108" i="1"/>
  <c r="V120" i="1" s="1"/>
  <c r="X108" i="1"/>
  <c r="Y108" i="1"/>
  <c r="Y120" i="1" s="1"/>
  <c r="Z108" i="1"/>
  <c r="Z120" i="1" s="1"/>
  <c r="AB108" i="1"/>
  <c r="AB120" i="1" s="1"/>
  <c r="AC108" i="1"/>
  <c r="AD108" i="1"/>
  <c r="AD120" i="1" s="1"/>
  <c r="AF108" i="1"/>
  <c r="AF120" i="1" s="1"/>
  <c r="AG108" i="1"/>
  <c r="AG120" i="1" s="1"/>
  <c r="AH108" i="1"/>
  <c r="AH120" i="1" s="1"/>
  <c r="AJ108" i="1"/>
  <c r="AJ120" i="1" s="1"/>
  <c r="AK108" i="1"/>
  <c r="AK120" i="1" s="1"/>
  <c r="AL108" i="1"/>
  <c r="AL120" i="1" s="1"/>
  <c r="AN108" i="1"/>
  <c r="AN120" i="1" s="1"/>
  <c r="AO108" i="1"/>
  <c r="AO120" i="1" s="1"/>
  <c r="AP108" i="1"/>
  <c r="AP120" i="1" s="1"/>
  <c r="C109" i="1"/>
  <c r="D109" i="1"/>
  <c r="E109" i="1"/>
  <c r="F109" i="1"/>
  <c r="AA109" i="1" s="1"/>
  <c r="G109" i="1"/>
  <c r="H109" i="1"/>
  <c r="I109" i="1"/>
  <c r="T109" i="1"/>
  <c r="T121" i="1" s="1"/>
  <c r="U109" i="1"/>
  <c r="U121" i="1" s="1"/>
  <c r="V109" i="1"/>
  <c r="V121" i="1" s="1"/>
  <c r="X109" i="1"/>
  <c r="Y109" i="1"/>
  <c r="Y121" i="1" s="1"/>
  <c r="Z109" i="1"/>
  <c r="Z121" i="1" s="1"/>
  <c r="AB109" i="1"/>
  <c r="AB121" i="1" s="1"/>
  <c r="AC109" i="1"/>
  <c r="AC121" i="1" s="1"/>
  <c r="AD109" i="1"/>
  <c r="AD121" i="1" s="1"/>
  <c r="AF109" i="1"/>
  <c r="AF121" i="1" s="1"/>
  <c r="AG109" i="1"/>
  <c r="AG121" i="1" s="1"/>
  <c r="AH109" i="1"/>
  <c r="AH121" i="1" s="1"/>
  <c r="AJ109" i="1"/>
  <c r="AJ121" i="1" s="1"/>
  <c r="AK109" i="1"/>
  <c r="AK121" i="1" s="1"/>
  <c r="AL109" i="1"/>
  <c r="AL121" i="1" s="1"/>
  <c r="AN109" i="1"/>
  <c r="AN121" i="1" s="1"/>
  <c r="AO109" i="1"/>
  <c r="AO121" i="1" s="1"/>
  <c r="AP109" i="1"/>
  <c r="AP121" i="1" s="1"/>
  <c r="H124" i="1"/>
  <c r="AI124" i="1" s="1"/>
  <c r="I124" i="1"/>
  <c r="J124" i="1"/>
  <c r="AQ124" i="1" s="1"/>
  <c r="AJ124" i="1"/>
  <c r="AK124" i="1"/>
  <c r="AN124" i="1"/>
  <c r="AO124" i="1"/>
  <c r="AO151" i="1" s="1"/>
  <c r="AO233" i="1" s="1"/>
  <c r="AP124" i="1"/>
  <c r="W125" i="1"/>
  <c r="AA125" i="1"/>
  <c r="AE125" i="1"/>
  <c r="AI125" i="1"/>
  <c r="AM125" i="1"/>
  <c r="AQ125" i="1"/>
  <c r="W126" i="1"/>
  <c r="AA126" i="1"/>
  <c r="AE126" i="1"/>
  <c r="AI126" i="1"/>
  <c r="AM126" i="1"/>
  <c r="AQ126" i="1"/>
  <c r="W127" i="1"/>
  <c r="AA127" i="1"/>
  <c r="AE127" i="1"/>
  <c r="AI127" i="1"/>
  <c r="AM127" i="1"/>
  <c r="AQ127" i="1"/>
  <c r="W128" i="1"/>
  <c r="AA128" i="1"/>
  <c r="AE128" i="1"/>
  <c r="AI128" i="1"/>
  <c r="AM128" i="1"/>
  <c r="AQ128" i="1"/>
  <c r="W129" i="1"/>
  <c r="AA129" i="1"/>
  <c r="AE129" i="1"/>
  <c r="AI129" i="1"/>
  <c r="AM129" i="1"/>
  <c r="AQ129" i="1"/>
  <c r="W130" i="1"/>
  <c r="AA130" i="1"/>
  <c r="AE130" i="1"/>
  <c r="AI130" i="1"/>
  <c r="AM130" i="1"/>
  <c r="AQ130" i="1"/>
  <c r="W131" i="1"/>
  <c r="AA131" i="1"/>
  <c r="AE131" i="1"/>
  <c r="AI131" i="1"/>
  <c r="AM131" i="1"/>
  <c r="AQ131" i="1"/>
  <c r="W132" i="1"/>
  <c r="AA132" i="1"/>
  <c r="AE132" i="1"/>
  <c r="AI132" i="1"/>
  <c r="AM132" i="1"/>
  <c r="AQ132" i="1"/>
  <c r="AI133" i="1"/>
  <c r="AM133" i="1"/>
  <c r="AQ133" i="1"/>
  <c r="W134" i="1"/>
  <c r="AA134" i="1"/>
  <c r="AE134" i="1"/>
  <c r="AI134" i="1"/>
  <c r="AM134" i="1"/>
  <c r="AQ134" i="1"/>
  <c r="AI135" i="1"/>
  <c r="AM135" i="1"/>
  <c r="AQ135" i="1"/>
  <c r="W136" i="1"/>
  <c r="AA136" i="1"/>
  <c r="AE136" i="1"/>
  <c r="AI136" i="1"/>
  <c r="AM136" i="1"/>
  <c r="AQ136" i="1"/>
  <c r="AI137" i="1"/>
  <c r="AM137" i="1"/>
  <c r="AQ137" i="1"/>
  <c r="W145" i="1"/>
  <c r="AA145" i="1"/>
  <c r="AE145" i="1"/>
  <c r="AI145" i="1"/>
  <c r="AM145" i="1"/>
  <c r="AQ145" i="1"/>
  <c r="W146" i="1"/>
  <c r="AA146" i="1"/>
  <c r="AE146" i="1"/>
  <c r="C1275" i="2" s="1"/>
  <c r="AI146" i="1"/>
  <c r="C1104" i="2" s="1"/>
  <c r="AM146" i="1"/>
  <c r="C941" i="2" s="1"/>
  <c r="AQ146" i="1"/>
  <c r="C779" i="2" s="1"/>
  <c r="W147" i="1"/>
  <c r="AA147" i="1"/>
  <c r="AE147" i="1"/>
  <c r="C1276" i="2" s="1"/>
  <c r="AI147" i="1"/>
  <c r="C1105" i="2" s="1"/>
  <c r="AM147" i="1"/>
  <c r="C942" i="2" s="1"/>
  <c r="AQ147" i="1"/>
  <c r="C780" i="2" s="1"/>
  <c r="AI148" i="1"/>
  <c r="C1106" i="2" s="1"/>
  <c r="AM148" i="1"/>
  <c r="C943" i="2" s="1"/>
  <c r="AQ148" i="1"/>
  <c r="C781" i="2" s="1"/>
  <c r="C149" i="1"/>
  <c r="C41" i="1" s="1"/>
  <c r="D149" i="1"/>
  <c r="D41" i="1" s="1"/>
  <c r="E149" i="1"/>
  <c r="F149" i="1"/>
  <c r="F151" i="1" s="1"/>
  <c r="F233" i="1" s="1"/>
  <c r="G149" i="1"/>
  <c r="G153" i="1" s="1"/>
  <c r="T149" i="1"/>
  <c r="T153" i="1" s="1"/>
  <c r="T232" i="1" s="1"/>
  <c r="AC151" i="1"/>
  <c r="AC233" i="1" s="1"/>
  <c r="AD153" i="1"/>
  <c r="AH151" i="1"/>
  <c r="AH233" i="1" s="1"/>
  <c r="AL151" i="1"/>
  <c r="AL233" i="1" s="1"/>
  <c r="W150" i="1"/>
  <c r="AA150" i="1"/>
  <c r="AA230" i="1" s="1"/>
  <c r="AE150" i="1"/>
  <c r="AE230" i="1" s="1"/>
  <c r="AI150" i="1"/>
  <c r="AM150" i="1"/>
  <c r="C945" i="2" s="1"/>
  <c r="I940" i="2" s="1"/>
  <c r="AQ150" i="1"/>
  <c r="C783" i="2" s="1"/>
  <c r="I778" i="2" s="1"/>
  <c r="C156" i="1"/>
  <c r="D156" i="1"/>
  <c r="E156" i="1"/>
  <c r="F156" i="1"/>
  <c r="G156" i="1"/>
  <c r="H156" i="1"/>
  <c r="H312" i="1" s="1"/>
  <c r="I156" i="1"/>
  <c r="I312" i="1" s="1"/>
  <c r="J156" i="1"/>
  <c r="J312" i="1" s="1"/>
  <c r="AF156" i="1"/>
  <c r="AF312" i="1" s="1"/>
  <c r="AG156" i="1"/>
  <c r="AG312" i="1" s="1"/>
  <c r="AH156" i="1"/>
  <c r="AH312" i="1" s="1"/>
  <c r="AI156" i="1"/>
  <c r="AI312" i="1" s="1"/>
  <c r="AJ156" i="1"/>
  <c r="AK156" i="1"/>
  <c r="AK312" i="1" s="1"/>
  <c r="AL156" i="1"/>
  <c r="AL312" i="1" s="1"/>
  <c r="AM156" i="1"/>
  <c r="AN156" i="1"/>
  <c r="AO156" i="1"/>
  <c r="AP156" i="1"/>
  <c r="AP312" i="1" s="1"/>
  <c r="AQ156" i="1"/>
  <c r="W161" i="1"/>
  <c r="AA161" i="1"/>
  <c r="AE161" i="1"/>
  <c r="AI161" i="1"/>
  <c r="AM161" i="1"/>
  <c r="AQ161" i="1"/>
  <c r="W162" i="1"/>
  <c r="AA162" i="1"/>
  <c r="AE162" i="1"/>
  <c r="AI162" i="1"/>
  <c r="AM162" i="1"/>
  <c r="AQ162" i="1"/>
  <c r="C166" i="1"/>
  <c r="D166" i="1"/>
  <c r="E166" i="1"/>
  <c r="F166" i="1"/>
  <c r="G166" i="1"/>
  <c r="H166" i="1"/>
  <c r="I166" i="1"/>
  <c r="J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AP166" i="1"/>
  <c r="AQ166" i="1"/>
  <c r="C183" i="1"/>
  <c r="D183" i="1"/>
  <c r="E183" i="1"/>
  <c r="F183" i="1"/>
  <c r="G183" i="1"/>
  <c r="H183" i="1"/>
  <c r="I183" i="1"/>
  <c r="J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AN183" i="1"/>
  <c r="AO183" i="1"/>
  <c r="AP183" i="1"/>
  <c r="AQ183" i="1"/>
  <c r="B185" i="1"/>
  <c r="B186" i="1"/>
  <c r="B188" i="1"/>
  <c r="H188" i="1"/>
  <c r="H257" i="1" s="1"/>
  <c r="I188" i="1"/>
  <c r="J188" i="1"/>
  <c r="AF188" i="1"/>
  <c r="AF257" i="1" s="1"/>
  <c r="AG188" i="1"/>
  <c r="AG257" i="1" s="1"/>
  <c r="AH188" i="1"/>
  <c r="AH257" i="1" s="1"/>
  <c r="AI188" i="1"/>
  <c r="AJ188" i="1"/>
  <c r="AK188" i="1"/>
  <c r="AL188" i="1"/>
  <c r="AM188" i="1"/>
  <c r="AN188" i="1"/>
  <c r="AO188" i="1"/>
  <c r="AP188" i="1"/>
  <c r="AQ188" i="1"/>
  <c r="B189" i="1"/>
  <c r="B190" i="1"/>
  <c r="B191" i="1"/>
  <c r="C192" i="1"/>
  <c r="D192" i="1"/>
  <c r="E192" i="1"/>
  <c r="F192" i="1"/>
  <c r="G192" i="1"/>
  <c r="H192" i="1"/>
  <c r="H261" i="1" s="1"/>
  <c r="I192" i="1"/>
  <c r="I261" i="1" s="1"/>
  <c r="J192" i="1"/>
  <c r="J261" i="1" s="1"/>
  <c r="T192" i="1"/>
  <c r="U192" i="1"/>
  <c r="V192" i="1"/>
  <c r="X192" i="1"/>
  <c r="Y192" i="1"/>
  <c r="Z192" i="1"/>
  <c r="AB192" i="1"/>
  <c r="AC192" i="1"/>
  <c r="AD192" i="1"/>
  <c r="AF192" i="1"/>
  <c r="AF261" i="1" s="1"/>
  <c r="AG192" i="1"/>
  <c r="AG261" i="1" s="1"/>
  <c r="AH192" i="1"/>
  <c r="AH261" i="1" s="1"/>
  <c r="AJ192" i="1"/>
  <c r="AK192" i="1"/>
  <c r="AK261" i="1" s="1"/>
  <c r="AL192" i="1"/>
  <c r="AL261" i="1" s="1"/>
  <c r="AN192" i="1"/>
  <c r="AO192" i="1"/>
  <c r="AP192" i="1"/>
  <c r="AP261" i="1" s="1"/>
  <c r="C203" i="1"/>
  <c r="D203" i="1"/>
  <c r="E203" i="1"/>
  <c r="F203" i="1"/>
  <c r="G203" i="1"/>
  <c r="H203" i="1"/>
  <c r="I203" i="1"/>
  <c r="J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AN203" i="1"/>
  <c r="AO203" i="1"/>
  <c r="AP203" i="1"/>
  <c r="AQ203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AN204" i="1"/>
  <c r="AO204" i="1"/>
  <c r="AP204" i="1"/>
  <c r="AQ204" i="1"/>
  <c r="X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AN205" i="1"/>
  <c r="AO205" i="1"/>
  <c r="AP205" i="1"/>
  <c r="AQ205" i="1"/>
  <c r="B206" i="1"/>
  <c r="B275" i="1" s="1"/>
  <c r="C206" i="1"/>
  <c r="D206" i="1"/>
  <c r="D275" i="1" s="1"/>
  <c r="E206" i="1"/>
  <c r="F206" i="1"/>
  <c r="G206" i="1"/>
  <c r="H206" i="1"/>
  <c r="I206" i="1"/>
  <c r="J206" i="1"/>
  <c r="L207" i="1" s="1"/>
  <c r="T206" i="1"/>
  <c r="U206" i="1"/>
  <c r="U275" i="1" s="1"/>
  <c r="V206" i="1"/>
  <c r="X206" i="1"/>
  <c r="Y206" i="1"/>
  <c r="Z206" i="1"/>
  <c r="Z275" i="1" s="1"/>
  <c r="AB206" i="1"/>
  <c r="AD206" i="1"/>
  <c r="AF206" i="1"/>
  <c r="AF275" i="1" s="1"/>
  <c r="AG206" i="1"/>
  <c r="AG275" i="1" s="1"/>
  <c r="AH206" i="1"/>
  <c r="AH275" i="1" s="1"/>
  <c r="AJ206" i="1"/>
  <c r="AK206" i="1"/>
  <c r="AL206" i="1"/>
  <c r="AL275" i="1" s="1"/>
  <c r="AN206" i="1"/>
  <c r="AO206" i="1"/>
  <c r="AS207" i="1" s="1"/>
  <c r="AP206" i="1"/>
  <c r="AT207" i="1" s="1"/>
  <c r="B207" i="1"/>
  <c r="B276" i="1" s="1"/>
  <c r="B208" i="1"/>
  <c r="B281" i="1" s="1"/>
  <c r="C208" i="1"/>
  <c r="C281" i="1" s="1"/>
  <c r="D208" i="1"/>
  <c r="E208" i="1"/>
  <c r="E281" i="1" s="1"/>
  <c r="F208" i="1"/>
  <c r="G208" i="1"/>
  <c r="H208" i="1"/>
  <c r="I208" i="1"/>
  <c r="J208" i="1"/>
  <c r="L209" i="1" s="1"/>
  <c r="T208" i="1"/>
  <c r="T281" i="1" s="1"/>
  <c r="U208" i="1"/>
  <c r="U281" i="1" s="1"/>
  <c r="V208" i="1"/>
  <c r="V281" i="1" s="1"/>
  <c r="X208" i="1"/>
  <c r="X281" i="1" s="1"/>
  <c r="Y208" i="1"/>
  <c r="Y281" i="1" s="1"/>
  <c r="Z208" i="1"/>
  <c r="AB208" i="1"/>
  <c r="AB281" i="1" s="1"/>
  <c r="AC208" i="1"/>
  <c r="AC281" i="1" s="1"/>
  <c r="AD208" i="1"/>
  <c r="AF208" i="1"/>
  <c r="AF281" i="1" s="1"/>
  <c r="AG208" i="1"/>
  <c r="AH208" i="1"/>
  <c r="AH281" i="1" s="1"/>
  <c r="AJ208" i="1"/>
  <c r="AK208" i="1"/>
  <c r="AL208" i="1"/>
  <c r="AL281" i="1" s="1"/>
  <c r="AN208" i="1"/>
  <c r="AO208" i="1"/>
  <c r="AS209" i="1" s="1"/>
  <c r="AP208" i="1"/>
  <c r="B209" i="1"/>
  <c r="B282" i="1" s="1"/>
  <c r="B210" i="1"/>
  <c r="B283" i="1" s="1"/>
  <c r="B212" i="1"/>
  <c r="B285" i="1" s="1"/>
  <c r="B213" i="1"/>
  <c r="B286" i="1" s="1"/>
  <c r="B214" i="1"/>
  <c r="B287" i="1" s="1"/>
  <c r="C214" i="1"/>
  <c r="C287" i="1" s="1"/>
  <c r="D214" i="1"/>
  <c r="D287" i="1" s="1"/>
  <c r="E214" i="1"/>
  <c r="E287" i="1" s="1"/>
  <c r="F214" i="1"/>
  <c r="G214" i="1"/>
  <c r="G287" i="1" s="1"/>
  <c r="H214" i="1"/>
  <c r="H287" i="1" s="1"/>
  <c r="I214" i="1"/>
  <c r="I287" i="1" s="1"/>
  <c r="J214" i="1"/>
  <c r="T214" i="1"/>
  <c r="T287" i="1" s="1"/>
  <c r="X214" i="1"/>
  <c r="X287" i="1" s="1"/>
  <c r="AB214" i="1"/>
  <c r="AB287" i="1" s="1"/>
  <c r="AF214" i="1"/>
  <c r="AF287" i="1" s="1"/>
  <c r="AJ214" i="1"/>
  <c r="AN214" i="1"/>
  <c r="B215" i="1"/>
  <c r="B288" i="1" s="1"/>
  <c r="B216" i="1"/>
  <c r="B289" i="1" s="1"/>
  <c r="C216" i="1"/>
  <c r="C289" i="1" s="1"/>
  <c r="D216" i="1"/>
  <c r="D289" i="1" s="1"/>
  <c r="E216" i="1"/>
  <c r="E289" i="1" s="1"/>
  <c r="F216" i="1"/>
  <c r="G216" i="1"/>
  <c r="G289" i="1" s="1"/>
  <c r="H216" i="1"/>
  <c r="H289" i="1" s="1"/>
  <c r="I216" i="1"/>
  <c r="J216" i="1"/>
  <c r="T216" i="1"/>
  <c r="T289" i="1" s="1"/>
  <c r="AB216" i="1"/>
  <c r="AB289" i="1" s="1"/>
  <c r="AF216" i="1"/>
  <c r="AF289" i="1" s="1"/>
  <c r="AJ216" i="1"/>
  <c r="AN216" i="1"/>
  <c r="B217" i="1"/>
  <c r="B290" i="1" s="1"/>
  <c r="C217" i="1"/>
  <c r="C290" i="1" s="1"/>
  <c r="D217" i="1"/>
  <c r="D290" i="1" s="1"/>
  <c r="E217" i="1"/>
  <c r="E290" i="1" s="1"/>
  <c r="F217" i="1"/>
  <c r="G217" i="1"/>
  <c r="G290" i="1" s="1"/>
  <c r="H217" i="1"/>
  <c r="H290" i="1" s="1"/>
  <c r="I217" i="1"/>
  <c r="J217" i="1"/>
  <c r="T217" i="1"/>
  <c r="T290" i="1" s="1"/>
  <c r="X217" i="1"/>
  <c r="X290" i="1" s="1"/>
  <c r="AB217" i="1"/>
  <c r="AB290" i="1" s="1"/>
  <c r="AF217" i="1"/>
  <c r="AF290" i="1" s="1"/>
  <c r="AJ217" i="1"/>
  <c r="AN217" i="1"/>
  <c r="B218" i="1"/>
  <c r="B291" i="1" s="1"/>
  <c r="C218" i="1"/>
  <c r="C291" i="1" s="1"/>
  <c r="D218" i="1"/>
  <c r="D291" i="1" s="1"/>
  <c r="E218" i="1"/>
  <c r="E291" i="1" s="1"/>
  <c r="F218" i="1"/>
  <c r="G218" i="1"/>
  <c r="G291" i="1" s="1"/>
  <c r="H218" i="1"/>
  <c r="H291" i="1" s="1"/>
  <c r="I218" i="1"/>
  <c r="J218" i="1"/>
  <c r="T218" i="1"/>
  <c r="T291" i="1" s="1"/>
  <c r="X218" i="1"/>
  <c r="X291" i="1" s="1"/>
  <c r="AB218" i="1"/>
  <c r="AB291" i="1" s="1"/>
  <c r="AF218" i="1"/>
  <c r="AF291" i="1" s="1"/>
  <c r="AJ218" i="1"/>
  <c r="AN218" i="1"/>
  <c r="B219" i="1"/>
  <c r="B292" i="1" s="1"/>
  <c r="C219" i="1"/>
  <c r="C292" i="1" s="1"/>
  <c r="D219" i="1"/>
  <c r="D292" i="1" s="1"/>
  <c r="E219" i="1"/>
  <c r="E292" i="1" s="1"/>
  <c r="F219" i="1"/>
  <c r="G219" i="1"/>
  <c r="G292" i="1" s="1"/>
  <c r="H219" i="1"/>
  <c r="H292" i="1" s="1"/>
  <c r="I219" i="1"/>
  <c r="I292" i="1" s="1"/>
  <c r="J219" i="1"/>
  <c r="T219" i="1"/>
  <c r="T292" i="1" s="1"/>
  <c r="X219" i="1"/>
  <c r="X292" i="1" s="1"/>
  <c r="AB219" i="1"/>
  <c r="AB292" i="1" s="1"/>
  <c r="AF219" i="1"/>
  <c r="AF292" i="1" s="1"/>
  <c r="AJ219" i="1"/>
  <c r="AN219" i="1"/>
  <c r="B220" i="1"/>
  <c r="B293" i="1" s="1"/>
  <c r="B221" i="1"/>
  <c r="B294" i="1" s="1"/>
  <c r="C221" i="1"/>
  <c r="C294" i="1" s="1"/>
  <c r="D221" i="1"/>
  <c r="D294" i="1" s="1"/>
  <c r="E221" i="1"/>
  <c r="E294" i="1" s="1"/>
  <c r="F221" i="1"/>
  <c r="H221" i="1"/>
  <c r="H294" i="1" s="1"/>
  <c r="T221" i="1"/>
  <c r="T294" i="1" s="1"/>
  <c r="X221" i="1"/>
  <c r="X294" i="1" s="1"/>
  <c r="AB221" i="1"/>
  <c r="AB294" i="1" s="1"/>
  <c r="AF221" i="1"/>
  <c r="AF294" i="1" s="1"/>
  <c r="AJ221" i="1"/>
  <c r="AN221" i="1"/>
  <c r="B222" i="1"/>
  <c r="B295" i="1" s="1"/>
  <c r="C222" i="1"/>
  <c r="C295" i="1" s="1"/>
  <c r="D222" i="1"/>
  <c r="D295" i="1" s="1"/>
  <c r="E222" i="1"/>
  <c r="E295" i="1" s="1"/>
  <c r="F222" i="1"/>
  <c r="G222" i="1"/>
  <c r="G295" i="1" s="1"/>
  <c r="H222" i="1"/>
  <c r="H295" i="1" s="1"/>
  <c r="I222" i="1"/>
  <c r="J222" i="1"/>
  <c r="T222" i="1"/>
  <c r="T295" i="1" s="1"/>
  <c r="X222" i="1"/>
  <c r="X295" i="1" s="1"/>
  <c r="AB222" i="1"/>
  <c r="AB295" i="1" s="1"/>
  <c r="AD222" i="1"/>
  <c r="AD295" i="1" s="1"/>
  <c r="AF222" i="1"/>
  <c r="AF295" i="1" s="1"/>
  <c r="AJ222" i="1"/>
  <c r="AN222" i="1"/>
  <c r="B223" i="1"/>
  <c r="B296" i="1" s="1"/>
  <c r="H223" i="1"/>
  <c r="H296" i="1" s="1"/>
  <c r="I223" i="1"/>
  <c r="T223" i="1"/>
  <c r="T296" i="1" s="1"/>
  <c r="X223" i="1"/>
  <c r="X296" i="1" s="1"/>
  <c r="AF223" i="1"/>
  <c r="AF296" i="1" s="1"/>
  <c r="AJ223" i="1"/>
  <c r="AN223" i="1"/>
  <c r="B224" i="1"/>
  <c r="B297" i="1" s="1"/>
  <c r="B225" i="1"/>
  <c r="B298" i="1" s="1"/>
  <c r="B226" i="1"/>
  <c r="B299" i="1" s="1"/>
  <c r="B227" i="1"/>
  <c r="B300" i="1" s="1"/>
  <c r="B228" i="1"/>
  <c r="B301" i="1" s="1"/>
  <c r="C228" i="1"/>
  <c r="C301" i="1" s="1"/>
  <c r="D228" i="1"/>
  <c r="D301" i="1" s="1"/>
  <c r="E228" i="1"/>
  <c r="E301" i="1" s="1"/>
  <c r="F228" i="1"/>
  <c r="G228" i="1"/>
  <c r="G301" i="1" s="1"/>
  <c r="H228" i="1"/>
  <c r="H301" i="1" s="1"/>
  <c r="I228" i="1"/>
  <c r="J228" i="1"/>
  <c r="T228" i="1"/>
  <c r="T301" i="1" s="1"/>
  <c r="X228" i="1"/>
  <c r="X301" i="1" s="1"/>
  <c r="AB228" i="1"/>
  <c r="AB301" i="1" s="1"/>
  <c r="AF228" i="1"/>
  <c r="AF301" i="1" s="1"/>
  <c r="AJ228" i="1"/>
  <c r="AN228" i="1"/>
  <c r="B229" i="1"/>
  <c r="B302" i="1" s="1"/>
  <c r="B230" i="1"/>
  <c r="C230" i="1"/>
  <c r="D230" i="1"/>
  <c r="E230" i="1"/>
  <c r="F230" i="1"/>
  <c r="G230" i="1"/>
  <c r="H230" i="1"/>
  <c r="H303" i="1" s="1"/>
  <c r="I230" i="1"/>
  <c r="I303" i="1" s="1"/>
  <c r="J230" i="1"/>
  <c r="J303" i="1" s="1"/>
  <c r="T230" i="1"/>
  <c r="U230" i="1"/>
  <c r="V230" i="1"/>
  <c r="X230" i="1"/>
  <c r="Y230" i="1"/>
  <c r="Z230" i="1"/>
  <c r="AB230" i="1"/>
  <c r="AC230" i="1"/>
  <c r="AD230" i="1"/>
  <c r="AF230" i="1"/>
  <c r="AF303" i="1" s="1"/>
  <c r="AG230" i="1"/>
  <c r="AG303" i="1" s="1"/>
  <c r="AH230" i="1"/>
  <c r="AH303" i="1" s="1"/>
  <c r="AJ230" i="1"/>
  <c r="AK230" i="1"/>
  <c r="AK303" i="1" s="1"/>
  <c r="AL230" i="1"/>
  <c r="AL303" i="1" s="1"/>
  <c r="AN230" i="1"/>
  <c r="AO230" i="1"/>
  <c r="AP230" i="1"/>
  <c r="AP303" i="1" s="1"/>
  <c r="B235" i="1"/>
  <c r="B316" i="1" s="1"/>
  <c r="B236" i="1"/>
  <c r="B317" i="1" s="1"/>
  <c r="B238" i="1"/>
  <c r="B319" i="1" s="1"/>
  <c r="B240" i="1"/>
  <c r="B321" i="1" s="1"/>
  <c r="B241" i="1"/>
  <c r="B322" i="1" s="1"/>
  <c r="B243" i="1"/>
  <c r="B324" i="1" s="1"/>
  <c r="B244" i="1"/>
  <c r="B325" i="1" s="1"/>
  <c r="B246" i="1"/>
  <c r="B327" i="1" s="1"/>
  <c r="B247" i="1"/>
  <c r="B328" i="1" s="1"/>
  <c r="AA249" i="1"/>
  <c r="AI249" i="1"/>
  <c r="I1095" i="2" s="1"/>
  <c r="C250" i="1"/>
  <c r="C308" i="1" s="1"/>
  <c r="D250" i="1"/>
  <c r="D308" i="1" s="1"/>
  <c r="E250" i="1"/>
  <c r="F250" i="1"/>
  <c r="F308" i="1" s="1"/>
  <c r="G250" i="1"/>
  <c r="T250" i="1"/>
  <c r="T308" i="1" s="1"/>
  <c r="U250" i="1"/>
  <c r="U308" i="1" s="1"/>
  <c r="V250" i="1"/>
  <c r="V308" i="1" s="1"/>
  <c r="X250" i="1"/>
  <c r="X308" i="1" s="1"/>
  <c r="Y250" i="1"/>
  <c r="Y308" i="1" s="1"/>
  <c r="Z250" i="1"/>
  <c r="Z308" i="1" s="1"/>
  <c r="AB250" i="1"/>
  <c r="AC250" i="1"/>
  <c r="AC308" i="1" s="1"/>
  <c r="AD250" i="1"/>
  <c r="AJ250" i="1"/>
  <c r="AJ308" i="1" s="1"/>
  <c r="AM250" i="1"/>
  <c r="AN250" i="1"/>
  <c r="AO250" i="1"/>
  <c r="AO308" i="1" s="1"/>
  <c r="AQ250" i="1"/>
  <c r="I769" i="2" s="1"/>
  <c r="J775" i="2" s="1"/>
  <c r="C252" i="1"/>
  <c r="D252" i="1"/>
  <c r="E252" i="1"/>
  <c r="F252" i="1"/>
  <c r="G252" i="1"/>
  <c r="H252" i="1"/>
  <c r="I252" i="1"/>
  <c r="J252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/>
  <c r="AN252" i="1"/>
  <c r="AO252" i="1"/>
  <c r="AP252" i="1"/>
  <c r="AQ252" i="1"/>
  <c r="C272" i="1"/>
  <c r="D272" i="1"/>
  <c r="E272" i="1"/>
  <c r="F272" i="1"/>
  <c r="G272" i="1"/>
  <c r="H272" i="1"/>
  <c r="I272" i="1"/>
  <c r="J272" i="1"/>
  <c r="T272" i="1"/>
  <c r="U272" i="1"/>
  <c r="V272" i="1"/>
  <c r="W272" i="1"/>
  <c r="X272" i="1"/>
  <c r="Y272" i="1"/>
  <c r="Z272" i="1"/>
  <c r="AA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/>
  <c r="AN272" i="1"/>
  <c r="AO272" i="1"/>
  <c r="AP272" i="1"/>
  <c r="AQ272" i="1"/>
  <c r="X273" i="1"/>
  <c r="Y273" i="1"/>
  <c r="Z273" i="1"/>
  <c r="AA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/>
  <c r="AN273" i="1"/>
  <c r="AO273" i="1"/>
  <c r="AP273" i="1"/>
  <c r="AQ273" i="1"/>
  <c r="X274" i="1"/>
  <c r="Y274" i="1"/>
  <c r="Z274" i="1"/>
  <c r="AA274" i="1"/>
  <c r="AB274" i="1"/>
  <c r="AC274" i="1"/>
  <c r="AD274" i="1"/>
  <c r="AE274" i="1"/>
  <c r="AF274" i="1"/>
  <c r="AG274" i="1"/>
  <c r="AH274" i="1"/>
  <c r="AI274" i="1"/>
  <c r="AJ274" i="1"/>
  <c r="AK274" i="1"/>
  <c r="AL274" i="1"/>
  <c r="AM274" i="1"/>
  <c r="AN274" i="1"/>
  <c r="AO274" i="1"/>
  <c r="AP274" i="1"/>
  <c r="AQ274" i="1"/>
  <c r="I777" i="2"/>
  <c r="E809" i="2"/>
  <c r="I811" i="2"/>
  <c r="J816" i="2" s="1"/>
  <c r="C819" i="2"/>
  <c r="C820" i="2" s="1"/>
  <c r="I819" i="2"/>
  <c r="C821" i="2"/>
  <c r="C822" i="2"/>
  <c r="C823" i="2"/>
  <c r="C825" i="2"/>
  <c r="I820" i="2" s="1"/>
  <c r="C827" i="2"/>
  <c r="I823" i="2" s="1"/>
  <c r="E849" i="2"/>
  <c r="C859" i="2"/>
  <c r="C860" i="2" s="1"/>
  <c r="I859" i="2"/>
  <c r="C861" i="2"/>
  <c r="C862" i="2"/>
  <c r="C863" i="2"/>
  <c r="C865" i="2"/>
  <c r="I860" i="2" s="1"/>
  <c r="C867" i="2"/>
  <c r="I863" i="2" s="1"/>
  <c r="E889" i="2"/>
  <c r="C899" i="2"/>
  <c r="C900" i="2" s="1"/>
  <c r="I899" i="2"/>
  <c r="C901" i="2"/>
  <c r="C902" i="2"/>
  <c r="C903" i="2"/>
  <c r="C905" i="2"/>
  <c r="I900" i="2" s="1"/>
  <c r="C907" i="2"/>
  <c r="I903" i="2" s="1"/>
  <c r="E929" i="2"/>
  <c r="I939" i="2"/>
  <c r="E969" i="2"/>
  <c r="I971" i="2"/>
  <c r="J977" i="2" s="1"/>
  <c r="C976" i="2"/>
  <c r="C977" i="2" s="1"/>
  <c r="C979" i="2"/>
  <c r="C980" i="2" s="1"/>
  <c r="I979" i="2"/>
  <c r="C981" i="2"/>
  <c r="C982" i="2"/>
  <c r="C983" i="2"/>
  <c r="C985" i="2"/>
  <c r="I980" i="2" s="1"/>
  <c r="C987" i="2"/>
  <c r="I983" i="2" s="1"/>
  <c r="E1010" i="2"/>
  <c r="I1011" i="2"/>
  <c r="J1016" i="2" s="1"/>
  <c r="C1019" i="2"/>
  <c r="C1020" i="2" s="1"/>
  <c r="I1019" i="2"/>
  <c r="C1021" i="2"/>
  <c r="C1022" i="2"/>
  <c r="C1023" i="2"/>
  <c r="C1025" i="2"/>
  <c r="C1027" i="2"/>
  <c r="I1023" i="2" s="1"/>
  <c r="E1050" i="2"/>
  <c r="C1060" i="2"/>
  <c r="I1060" i="2"/>
  <c r="C1062" i="2"/>
  <c r="C1063" i="2"/>
  <c r="C1064" i="2"/>
  <c r="C1066" i="2"/>
  <c r="C1080" i="2" s="1"/>
  <c r="C1068" i="2"/>
  <c r="I1064" i="2" s="1"/>
  <c r="E1091" i="2"/>
  <c r="I1094" i="2"/>
  <c r="J1099" i="2" s="1"/>
  <c r="I1102" i="2"/>
  <c r="E1133" i="2"/>
  <c r="I1138" i="2"/>
  <c r="I1139" i="2"/>
  <c r="C1143" i="2"/>
  <c r="C1144" i="2" s="1"/>
  <c r="C1146" i="2"/>
  <c r="C1147" i="2" s="1"/>
  <c r="I1146" i="2"/>
  <c r="C1148" i="2"/>
  <c r="C1149" i="2"/>
  <c r="C1150" i="2"/>
  <c r="C1152" i="2"/>
  <c r="I1147" i="2" s="1"/>
  <c r="C1154" i="2"/>
  <c r="I1150" i="2" s="1"/>
  <c r="E1178" i="2"/>
  <c r="I1183" i="2"/>
  <c r="J1190" i="2" s="1"/>
  <c r="I1184" i="2"/>
  <c r="C1188" i="2"/>
  <c r="C1189" i="2" s="1"/>
  <c r="C1191" i="2"/>
  <c r="C1192" i="2" s="1"/>
  <c r="I1191" i="2"/>
  <c r="C1193" i="2"/>
  <c r="C1194" i="2"/>
  <c r="C1195" i="2"/>
  <c r="C1197" i="2"/>
  <c r="I1192" i="2" s="1"/>
  <c r="C1199" i="2"/>
  <c r="I1195" i="2" s="1"/>
  <c r="E1223" i="2"/>
  <c r="I1229" i="2"/>
  <c r="I1230" i="2"/>
  <c r="C1231" i="2"/>
  <c r="C1234" i="2"/>
  <c r="C1235" i="2" s="1"/>
  <c r="C1236" i="2"/>
  <c r="C1237" i="2"/>
  <c r="C1238" i="2"/>
  <c r="I1239" i="2"/>
  <c r="I1242" i="2" s="1"/>
  <c r="C1240" i="2"/>
  <c r="C1242" i="2"/>
  <c r="I1243" i="2" s="1"/>
  <c r="I1271" i="2"/>
  <c r="I1278" i="2"/>
  <c r="I1280" i="2" s="1"/>
  <c r="I1298" i="2"/>
  <c r="C1309" i="2"/>
  <c r="C1310" i="2" s="1"/>
  <c r="C1311" i="2"/>
  <c r="C1312" i="2"/>
  <c r="C1314" i="2"/>
  <c r="I1314" i="2"/>
  <c r="I1316" i="2" s="1"/>
  <c r="C1316" i="2"/>
  <c r="I1317" i="2" s="1"/>
  <c r="C1346" i="2"/>
  <c r="C1347" i="2" s="1"/>
  <c r="C1348" i="2"/>
  <c r="C1349" i="2"/>
  <c r="C1351" i="2"/>
  <c r="C1365" i="2" s="1"/>
  <c r="C1353" i="2"/>
  <c r="C1371" i="2"/>
  <c r="C1377" i="2" s="1"/>
  <c r="C1388" i="2"/>
  <c r="C1389" i="2" s="1"/>
  <c r="C1390" i="2"/>
  <c r="C1391" i="2"/>
  <c r="C1393" i="2"/>
  <c r="C1395" i="2"/>
  <c r="C1407" i="2"/>
  <c r="C1413" i="2"/>
  <c r="C40" i="3" l="1"/>
  <c r="C51" i="3"/>
  <c r="T40" i="3"/>
  <c r="T51" i="3"/>
  <c r="AE95" i="1"/>
  <c r="AE185" i="1" s="1"/>
  <c r="AE254" i="1" s="1"/>
  <c r="AE57" i="1"/>
  <c r="AW52" i="1"/>
  <c r="BM52" i="1"/>
  <c r="AA64" i="1"/>
  <c r="AA212" i="1" s="1"/>
  <c r="AA57" i="1"/>
  <c r="AQ57" i="1"/>
  <c r="AU57" i="1"/>
  <c r="AP95" i="1"/>
  <c r="C829" i="2" s="1"/>
  <c r="I825" i="2" s="1"/>
  <c r="K819" i="2" s="1"/>
  <c r="AM57" i="1"/>
  <c r="AF53" i="1"/>
  <c r="AI60" i="1"/>
  <c r="AI96" i="1" s="1"/>
  <c r="AI186" i="1" s="1"/>
  <c r="AI255" i="1" s="1"/>
  <c r="AI57" i="1"/>
  <c r="AY52" i="1"/>
  <c r="X120" i="1"/>
  <c r="X224" i="1"/>
  <c r="X297" i="1" s="1"/>
  <c r="BW37" i="1"/>
  <c r="BX37" i="1"/>
  <c r="Y77" i="1"/>
  <c r="Z77" i="1" s="1"/>
  <c r="Z225" i="1" s="1"/>
  <c r="Z298" i="1" s="1"/>
  <c r="X100" i="1"/>
  <c r="BW38" i="1"/>
  <c r="BX38" i="1"/>
  <c r="BW34" i="1"/>
  <c r="BX34" i="1"/>
  <c r="BW46" i="1"/>
  <c r="BX46" i="1"/>
  <c r="X151" i="1"/>
  <c r="X121" i="1"/>
  <c r="X213" i="1"/>
  <c r="X286" i="1" s="1"/>
  <c r="BW36" i="1"/>
  <c r="BX36" i="1"/>
  <c r="BW60" i="1"/>
  <c r="BW58" i="1"/>
  <c r="X40" i="1"/>
  <c r="BW33" i="1"/>
  <c r="W222" i="1"/>
  <c r="W295" i="1" s="1"/>
  <c r="BW10" i="1"/>
  <c r="W230" i="1"/>
  <c r="BW35" i="1"/>
  <c r="BQ216" i="1"/>
  <c r="BQ289" i="1" s="1"/>
  <c r="BQ45" i="1"/>
  <c r="BQ100" i="1"/>
  <c r="BQ72" i="1"/>
  <c r="BR101" i="1" s="1"/>
  <c r="BD180" i="1"/>
  <c r="BD246" i="1" s="1"/>
  <c r="BE327" i="1"/>
  <c r="BC327" i="1"/>
  <c r="BE180" i="1"/>
  <c r="BE246" i="1" s="1"/>
  <c r="R29" i="1"/>
  <c r="R99" i="1" s="1"/>
  <c r="BB87" i="1"/>
  <c r="BF191" i="1"/>
  <c r="BF260" i="1" s="1"/>
  <c r="BF180" i="1"/>
  <c r="BF246" i="1" s="1"/>
  <c r="BL257" i="1"/>
  <c r="BO191" i="1"/>
  <c r="BO260" i="1" s="1"/>
  <c r="BO327" i="1" s="1"/>
  <c r="BO180" i="1"/>
  <c r="BO246" i="1" s="1"/>
  <c r="J445" i="2"/>
  <c r="AY325" i="1"/>
  <c r="AY324" i="1"/>
  <c r="AY319" i="1"/>
  <c r="AY322" i="1"/>
  <c r="V314" i="1"/>
  <c r="T314" i="1"/>
  <c r="U314" i="1"/>
  <c r="AY328" i="1"/>
  <c r="AY321" i="1"/>
  <c r="AY316" i="1"/>
  <c r="AM119" i="1"/>
  <c r="I1307" i="2"/>
  <c r="J1317" i="2" s="1"/>
  <c r="AD308" i="1"/>
  <c r="G324" i="1"/>
  <c r="G325" i="1"/>
  <c r="I891" i="2"/>
  <c r="J897" i="2" s="1"/>
  <c r="AN308" i="1"/>
  <c r="AE250" i="1"/>
  <c r="I1270" i="2" s="1"/>
  <c r="J1276" i="2" s="1"/>
  <c r="G308" i="1"/>
  <c r="C785" i="2"/>
  <c r="I781" i="2" s="1"/>
  <c r="I782" i="2" s="1"/>
  <c r="AQ308" i="1"/>
  <c r="H325" i="1"/>
  <c r="H324" i="1"/>
  <c r="I1386" i="2"/>
  <c r="D1417" i="2" s="1"/>
  <c r="AB308" i="1"/>
  <c r="C947" i="2"/>
  <c r="I943" i="2" s="1"/>
  <c r="I944" i="2" s="1"/>
  <c r="AM308" i="1"/>
  <c r="W120" i="1"/>
  <c r="E324" i="1"/>
  <c r="E325" i="1"/>
  <c r="W250" i="1"/>
  <c r="W308" i="1" s="1"/>
  <c r="E308" i="1"/>
  <c r="C1110" i="2"/>
  <c r="D1110" i="2" s="1"/>
  <c r="AI308" i="1"/>
  <c r="D324" i="1"/>
  <c r="D325" i="1"/>
  <c r="D449" i="2"/>
  <c r="C1280" i="2"/>
  <c r="I1281" i="2" s="1"/>
  <c r="I1282" i="2" s="1"/>
  <c r="C324" i="1"/>
  <c r="C325" i="1"/>
  <c r="AR310" i="1"/>
  <c r="AR308" i="1"/>
  <c r="BC80" i="1"/>
  <c r="BB83" i="1"/>
  <c r="BB229" i="1" s="1"/>
  <c r="BB302" i="1" s="1"/>
  <c r="BB227" i="1"/>
  <c r="BB300" i="1" s="1"/>
  <c r="BL254" i="1"/>
  <c r="BL267" i="1" s="1"/>
  <c r="AU285" i="1"/>
  <c r="AU281" i="1"/>
  <c r="AQ119" i="1"/>
  <c r="AR312" i="1"/>
  <c r="W119" i="1"/>
  <c r="X312" i="1"/>
  <c r="AJ312" i="1"/>
  <c r="G312" i="1"/>
  <c r="AQ312" i="1"/>
  <c r="F312" i="1"/>
  <c r="E312" i="1"/>
  <c r="AC120" i="1"/>
  <c r="AO312" i="1"/>
  <c r="D312" i="1"/>
  <c r="AC312" i="1"/>
  <c r="AN312" i="1"/>
  <c r="C312" i="1"/>
  <c r="AA121" i="1"/>
  <c r="Z312" i="1"/>
  <c r="AM312" i="1"/>
  <c r="AA119" i="1"/>
  <c r="AQ121" i="1"/>
  <c r="N275" i="1"/>
  <c r="P276" i="1" s="1"/>
  <c r="AS158" i="1"/>
  <c r="AS196" i="1" s="1"/>
  <c r="AS265" i="1" s="1"/>
  <c r="AS233" i="1"/>
  <c r="AS306" i="1" s="1"/>
  <c r="N258" i="1"/>
  <c r="N301" i="1"/>
  <c r="N255" i="1"/>
  <c r="N294" i="1"/>
  <c r="N292" i="1"/>
  <c r="N254" i="1"/>
  <c r="N266" i="1" s="1"/>
  <c r="N295" i="1"/>
  <c r="N299" i="1"/>
  <c r="AU181" i="1"/>
  <c r="AU247" i="1" s="1"/>
  <c r="AU233" i="1"/>
  <c r="N257" i="1"/>
  <c r="N297" i="1"/>
  <c r="AI119" i="1"/>
  <c r="K164" i="1"/>
  <c r="K233" i="1"/>
  <c r="N302" i="1"/>
  <c r="N289" i="1"/>
  <c r="N298" i="1"/>
  <c r="N290" i="1"/>
  <c r="X164" i="1"/>
  <c r="X233" i="1"/>
  <c r="AE119" i="1"/>
  <c r="N300" i="1"/>
  <c r="N253" i="1"/>
  <c r="N260" i="1"/>
  <c r="N285" i="1"/>
  <c r="N314" i="1" s="1"/>
  <c r="N281" i="1"/>
  <c r="P282" i="1" s="1"/>
  <c r="N293" i="1"/>
  <c r="N327" i="1" s="1"/>
  <c r="N291" i="1"/>
  <c r="N287" i="1"/>
  <c r="N296" i="1"/>
  <c r="N259" i="1"/>
  <c r="N288" i="1"/>
  <c r="BM226" i="1"/>
  <c r="BM299" i="1" s="1"/>
  <c r="BM319" i="1"/>
  <c r="BM325" i="1"/>
  <c r="BM256" i="1"/>
  <c r="BM324" i="1"/>
  <c r="BM269" i="1"/>
  <c r="BM321" i="1" s="1"/>
  <c r="BM266" i="1"/>
  <c r="BM317" i="1" s="1"/>
  <c r="BM268" i="1"/>
  <c r="BM322" i="1" s="1"/>
  <c r="BM267" i="1"/>
  <c r="BM316" i="1" s="1"/>
  <c r="BL87" i="1"/>
  <c r="BM80" i="1"/>
  <c r="BM227" i="1" s="1"/>
  <c r="BM300" i="1" s="1"/>
  <c r="BM191" i="1"/>
  <c r="BM260" i="1" s="1"/>
  <c r="BM327" i="1" s="1"/>
  <c r="BM180" i="1"/>
  <c r="BM246" i="1" s="1"/>
  <c r="AA34" i="1"/>
  <c r="BJ174" i="1"/>
  <c r="BJ200" i="1" s="1"/>
  <c r="BJ186" i="1"/>
  <c r="BJ255" i="1" s="1"/>
  <c r="BL98" i="1"/>
  <c r="BK98" i="1"/>
  <c r="BJ98" i="1"/>
  <c r="BK240" i="1"/>
  <c r="BK200" i="1"/>
  <c r="BK199" i="1"/>
  <c r="BK241" i="1"/>
  <c r="BK100" i="1"/>
  <c r="BL100" i="1"/>
  <c r="BJ100" i="1"/>
  <c r="BL94" i="1"/>
  <c r="BJ241" i="1"/>
  <c r="BJ199" i="1"/>
  <c r="R43" i="1"/>
  <c r="R42" i="1"/>
  <c r="BA229" i="1"/>
  <c r="BA302" i="1" s="1"/>
  <c r="AE51" i="3"/>
  <c r="AH89" i="3"/>
  <c r="I120" i="3"/>
  <c r="AB50" i="3"/>
  <c r="AQ50" i="3"/>
  <c r="BI46" i="3"/>
  <c r="AU33" i="3"/>
  <c r="BI33" i="3"/>
  <c r="BK227" i="1"/>
  <c r="BK300" i="1" s="1"/>
  <c r="BK83" i="1"/>
  <c r="BK84" i="1" s="1"/>
  <c r="R213" i="1"/>
  <c r="R286" i="1" s="1"/>
  <c r="AU164" i="1"/>
  <c r="AX80" i="1"/>
  <c r="AV209" i="1"/>
  <c r="BJ209" i="1"/>
  <c r="BA86" i="1"/>
  <c r="BA227" i="1"/>
  <c r="BA300" i="1" s="1"/>
  <c r="AV207" i="1"/>
  <c r="BJ207" i="1"/>
  <c r="C116" i="3"/>
  <c r="F51" i="3"/>
  <c r="AP62" i="3"/>
  <c r="AU158" i="1"/>
  <c r="AU196" i="1" s="1"/>
  <c r="AP72" i="3"/>
  <c r="AL30" i="3"/>
  <c r="W38" i="1"/>
  <c r="AU168" i="1"/>
  <c r="AU198" i="1" s="1"/>
  <c r="AU195" i="1"/>
  <c r="AH95" i="1"/>
  <c r="AH185" i="1" s="1"/>
  <c r="AH254" i="1" s="1"/>
  <c r="AU71" i="1"/>
  <c r="AU218" i="1" s="1"/>
  <c r="AU291" i="1" s="1"/>
  <c r="AU217" i="1"/>
  <c r="AU290" i="1" s="1"/>
  <c r="AU66" i="1"/>
  <c r="AU214" i="1" s="1"/>
  <c r="AU287" i="1" s="1"/>
  <c r="AU222" i="1"/>
  <c r="AU295" i="1" s="1"/>
  <c r="AU81" i="1"/>
  <c r="AU228" i="1" s="1"/>
  <c r="AU301" i="1" s="1"/>
  <c r="AU73" i="1"/>
  <c r="AU221" i="1" s="1"/>
  <c r="AU294" i="1" s="1"/>
  <c r="M260" i="1"/>
  <c r="I435" i="2"/>
  <c r="AT221" i="1"/>
  <c r="AT294" i="1" s="1"/>
  <c r="AG40" i="1"/>
  <c r="AF40" i="1"/>
  <c r="U217" i="1"/>
  <c r="U290" i="1" s="1"/>
  <c r="AD71" i="1"/>
  <c r="AD218" i="1" s="1"/>
  <c r="AD291" i="1" s="1"/>
  <c r="AK219" i="1"/>
  <c r="AK292" i="1" s="1"/>
  <c r="Z60" i="1"/>
  <c r="Y223" i="1"/>
  <c r="Y296" i="1" s="1"/>
  <c r="M299" i="1"/>
  <c r="AO79" i="3"/>
  <c r="AE79" i="3"/>
  <c r="T79" i="3"/>
  <c r="I79" i="3"/>
  <c r="AD29" i="3"/>
  <c r="AH32" i="3"/>
  <c r="C474" i="2"/>
  <c r="D468" i="2"/>
  <c r="D474" i="2" s="1"/>
  <c r="AE65" i="3"/>
  <c r="T65" i="3"/>
  <c r="AE49" i="3"/>
  <c r="AD45" i="3"/>
  <c r="F65" i="3"/>
  <c r="AQ51" i="3"/>
  <c r="E122" i="3"/>
  <c r="F33" i="3"/>
  <c r="AL91" i="3"/>
  <c r="AQ79" i="3"/>
  <c r="E116" i="3"/>
  <c r="I51" i="3"/>
  <c r="V89" i="3"/>
  <c r="F119" i="3"/>
  <c r="I49" i="3"/>
  <c r="D118" i="3"/>
  <c r="F116" i="3"/>
  <c r="AL78" i="3"/>
  <c r="AD77" i="3"/>
  <c r="AK50" i="3"/>
  <c r="AK40" i="3"/>
  <c r="V76" i="3"/>
  <c r="F115" i="3"/>
  <c r="AJ79" i="3"/>
  <c r="Y79" i="3"/>
  <c r="AH78" i="3"/>
  <c r="Z77" i="3"/>
  <c r="AK65" i="3"/>
  <c r="AL64" i="3"/>
  <c r="AD63" i="3"/>
  <c r="V62" i="3"/>
  <c r="F118" i="3"/>
  <c r="E121" i="3"/>
  <c r="F117" i="3"/>
  <c r="Y49" i="3"/>
  <c r="F122" i="3"/>
  <c r="F114" i="3"/>
  <c r="AK49" i="3"/>
  <c r="AD90" i="3"/>
  <c r="Y40" i="3"/>
  <c r="E25" i="3"/>
  <c r="Y51" i="3"/>
  <c r="E118" i="3"/>
  <c r="I40" i="3"/>
  <c r="AJ92" i="3"/>
  <c r="T59" i="3"/>
  <c r="F113" i="3"/>
  <c r="AD76" i="3"/>
  <c r="I92" i="3"/>
  <c r="Y65" i="3"/>
  <c r="G33" i="3"/>
  <c r="E114" i="3"/>
  <c r="E115" i="3"/>
  <c r="F120" i="3"/>
  <c r="F112" i="3"/>
  <c r="K46" i="3"/>
  <c r="AY172" i="1"/>
  <c r="AY235" i="1"/>
  <c r="AY174" i="1"/>
  <c r="AY240" i="1" s="1"/>
  <c r="AY241" i="1"/>
  <c r="AY267" i="1"/>
  <c r="M294" i="1"/>
  <c r="M285" i="1"/>
  <c r="M314" i="1" s="1"/>
  <c r="M298" i="1"/>
  <c r="M258" i="1"/>
  <c r="M295" i="1"/>
  <c r="M275" i="1"/>
  <c r="O276" i="1" s="1"/>
  <c r="M255" i="1"/>
  <c r="M259" i="1"/>
  <c r="M290" i="1"/>
  <c r="M253" i="1"/>
  <c r="M286" i="1"/>
  <c r="M296" i="1"/>
  <c r="M281" i="1"/>
  <c r="O282" i="1" s="1"/>
  <c r="M292" i="1"/>
  <c r="M289" i="1"/>
  <c r="M291" i="1"/>
  <c r="M301" i="1"/>
  <c r="M297" i="1"/>
  <c r="M287" i="1"/>
  <c r="M257" i="1"/>
  <c r="M254" i="1"/>
  <c r="M288" i="1"/>
  <c r="M293" i="1"/>
  <c r="M327" i="1" s="1"/>
  <c r="M229" i="1"/>
  <c r="M302" i="1" s="1"/>
  <c r="L83" i="1"/>
  <c r="M227" i="1"/>
  <c r="M300" i="1" s="1"/>
  <c r="AU45" i="1"/>
  <c r="AU216" i="1"/>
  <c r="AU289" i="1" s="1"/>
  <c r="AK221" i="1"/>
  <c r="AK294" i="1" s="1"/>
  <c r="AG65" i="1"/>
  <c r="AH65" i="1" s="1"/>
  <c r="AH213" i="1" s="1"/>
  <c r="AH286" i="1" s="1"/>
  <c r="AU186" i="1"/>
  <c r="AJ95" i="1"/>
  <c r="AJ185" i="1" s="1"/>
  <c r="AA91" i="1"/>
  <c r="AA184" i="1" s="1"/>
  <c r="AA253" i="1" s="1"/>
  <c r="AU219" i="1"/>
  <c r="AU292" i="1" s="1"/>
  <c r="AD17" i="1"/>
  <c r="AD26" i="1" s="1"/>
  <c r="AD43" i="1" s="1"/>
  <c r="AU26" i="1"/>
  <c r="AU100" i="1"/>
  <c r="AL95" i="1"/>
  <c r="C989" i="2" s="1"/>
  <c r="I985" i="2" s="1"/>
  <c r="K979" i="2" s="1"/>
  <c r="AO11" i="1"/>
  <c r="AU55" i="1"/>
  <c r="AU53" i="1"/>
  <c r="W192" i="1"/>
  <c r="AO91" i="1"/>
  <c r="AO184" i="1" s="1"/>
  <c r="H114" i="1"/>
  <c r="K209" i="1"/>
  <c r="K207" i="1"/>
  <c r="AC153" i="1"/>
  <c r="AC232" i="1" s="1"/>
  <c r="AC305" i="1" s="1"/>
  <c r="AR95" i="1"/>
  <c r="C748" i="2" s="1"/>
  <c r="I744" i="2" s="1"/>
  <c r="K738" i="2" s="1"/>
  <c r="H149" i="1"/>
  <c r="H153" i="1" s="1"/>
  <c r="H154" i="1" s="1"/>
  <c r="AT50" i="3"/>
  <c r="AX46" i="3"/>
  <c r="H115" i="3"/>
  <c r="H122" i="3"/>
  <c r="H118" i="3"/>
  <c r="S92" i="3"/>
  <c r="H121" i="3"/>
  <c r="AN79" i="3"/>
  <c r="AC79" i="3"/>
  <c r="S40" i="3"/>
  <c r="AD31" i="3"/>
  <c r="AN50" i="3"/>
  <c r="S65" i="3"/>
  <c r="C65" i="3"/>
  <c r="AL63" i="3"/>
  <c r="AD62" i="3"/>
  <c r="AT25" i="3"/>
  <c r="AX33" i="3"/>
  <c r="S79" i="3"/>
  <c r="AN40" i="3"/>
  <c r="V64" i="3"/>
  <c r="AT51" i="3"/>
  <c r="AT40" i="3"/>
  <c r="E92" i="3"/>
  <c r="AC59" i="3"/>
  <c r="F92" i="3"/>
  <c r="Z91" i="3"/>
  <c r="AD78" i="3"/>
  <c r="AJ65" i="3"/>
  <c r="AP44" i="3"/>
  <c r="AH43" i="3"/>
  <c r="Y92" i="3"/>
  <c r="AM59" i="3"/>
  <c r="E112" i="3"/>
  <c r="F79" i="3"/>
  <c r="U79" i="3"/>
  <c r="E79" i="3"/>
  <c r="AF79" i="3"/>
  <c r="C117" i="3"/>
  <c r="E65" i="3"/>
  <c r="F46" i="3"/>
  <c r="E120" i="3"/>
  <c r="AF65" i="3"/>
  <c r="U65" i="3"/>
  <c r="Z28" i="3"/>
  <c r="E49" i="3"/>
  <c r="U92" i="3"/>
  <c r="E119" i="3"/>
  <c r="E113" i="3"/>
  <c r="AH63" i="3"/>
  <c r="Z62" i="3"/>
  <c r="G59" i="3"/>
  <c r="AJ49" i="3"/>
  <c r="U50" i="3"/>
  <c r="V91" i="3"/>
  <c r="AF51" i="3"/>
  <c r="AT92" i="3"/>
  <c r="J46" i="3"/>
  <c r="J65" i="3"/>
  <c r="J79" i="3"/>
  <c r="Z39" i="3"/>
  <c r="Z50" i="3" s="1"/>
  <c r="I33" i="3"/>
  <c r="AD32" i="3"/>
  <c r="J40" i="3"/>
  <c r="I113" i="3"/>
  <c r="Z89" i="3"/>
  <c r="AP91" i="3"/>
  <c r="AH90" i="3"/>
  <c r="I118" i="3"/>
  <c r="AO40" i="3"/>
  <c r="AH30" i="3"/>
  <c r="AH44" i="3"/>
  <c r="AP45" i="3"/>
  <c r="AM79" i="3"/>
  <c r="AB79" i="3"/>
  <c r="AH77" i="3"/>
  <c r="J33" i="3"/>
  <c r="AH31" i="3"/>
  <c r="AT79" i="3"/>
  <c r="G122" i="3"/>
  <c r="AG51" i="3"/>
  <c r="J122" i="3"/>
  <c r="AA92" i="3"/>
  <c r="AP64" i="3"/>
  <c r="AE50" i="3"/>
  <c r="Z32" i="3"/>
  <c r="AT65" i="3"/>
  <c r="J121" i="3"/>
  <c r="AG65" i="3"/>
  <c r="X65" i="3"/>
  <c r="H65" i="3"/>
  <c r="AG40" i="3"/>
  <c r="G51" i="3"/>
  <c r="AK79" i="3"/>
  <c r="W65" i="3"/>
  <c r="G65" i="3"/>
  <c r="Z58" i="3"/>
  <c r="AN51" i="3"/>
  <c r="AD91" i="3"/>
  <c r="V90" i="3"/>
  <c r="AP78" i="3"/>
  <c r="Z76" i="3"/>
  <c r="J50" i="3"/>
  <c r="AL77" i="3"/>
  <c r="AD43" i="3"/>
  <c r="AB33" i="3"/>
  <c r="K33" i="3"/>
  <c r="J92" i="3"/>
  <c r="AL86" i="3"/>
  <c r="C92" i="3"/>
  <c r="AK46" i="3"/>
  <c r="AG92" i="3"/>
  <c r="AJ59" i="3"/>
  <c r="J118" i="3"/>
  <c r="AG79" i="3"/>
  <c r="W79" i="3"/>
  <c r="G79" i="3"/>
  <c r="J51" i="3"/>
  <c r="AP29" i="3"/>
  <c r="Z40" i="1"/>
  <c r="AA37" i="1"/>
  <c r="AY72" i="1"/>
  <c r="AY215" i="1"/>
  <c r="AY288" i="1" s="1"/>
  <c r="AK223" i="1"/>
  <c r="AK296" i="1" s="1"/>
  <c r="U11" i="1"/>
  <c r="AY268" i="1"/>
  <c r="F187" i="1"/>
  <c r="AY266" i="1"/>
  <c r="AY269" i="1"/>
  <c r="U222" i="1"/>
  <c r="U295" i="1" s="1"/>
  <c r="Y69" i="1"/>
  <c r="Y216" i="1" s="1"/>
  <c r="Y289" i="1" s="1"/>
  <c r="K49" i="1"/>
  <c r="K51" i="1" s="1"/>
  <c r="K53" i="1" s="1"/>
  <c r="AY256" i="1"/>
  <c r="AN91" i="1"/>
  <c r="AO45" i="1"/>
  <c r="AJ225" i="1"/>
  <c r="Y156" i="1"/>
  <c r="Y312" i="1" s="1"/>
  <c r="Y17" i="1"/>
  <c r="Y39" i="1" s="1"/>
  <c r="AD95" i="1"/>
  <c r="C1318" i="2" s="1"/>
  <c r="I1319" i="2" s="1"/>
  <c r="K1314" i="2" s="1"/>
  <c r="AM8" i="1"/>
  <c r="AM91" i="1"/>
  <c r="AM184" i="1" s="1"/>
  <c r="AB224" i="1"/>
  <c r="AB297" i="1" s="1"/>
  <c r="AR116" i="1"/>
  <c r="AM206" i="1"/>
  <c r="AQ207" i="1" s="1"/>
  <c r="F215" i="1"/>
  <c r="AP69" i="1"/>
  <c r="AP45" i="1" s="1"/>
  <c r="AE92" i="1"/>
  <c r="AL153" i="1"/>
  <c r="AL154" i="1" s="1"/>
  <c r="AK41" i="1"/>
  <c r="AH17" i="1"/>
  <c r="AH39" i="1" s="1"/>
  <c r="T72" i="1"/>
  <c r="AF116" i="1"/>
  <c r="AF114" i="1"/>
  <c r="AH92" i="1"/>
  <c r="AK11" i="1"/>
  <c r="Y40" i="1"/>
  <c r="W33" i="1"/>
  <c r="AI81" i="1"/>
  <c r="AI228" i="1" s="1"/>
  <c r="AI301" i="1" s="1"/>
  <c r="AG92" i="1"/>
  <c r="AG228" i="1"/>
  <c r="AG301" i="1" s="1"/>
  <c r="AR72" i="1"/>
  <c r="G17" i="1"/>
  <c r="G93" i="1" s="1"/>
  <c r="C151" i="1"/>
  <c r="AK17" i="1"/>
  <c r="AK39" i="1" s="1"/>
  <c r="G11" i="1"/>
  <c r="D119" i="1"/>
  <c r="AA36" i="1"/>
  <c r="AF225" i="1"/>
  <c r="AF298" i="1" s="1"/>
  <c r="AD69" i="1"/>
  <c r="AD45" i="1" s="1"/>
  <c r="Y41" i="1"/>
  <c r="F209" i="1"/>
  <c r="K39" i="1"/>
  <c r="AQ40" i="1"/>
  <c r="V210" i="1"/>
  <c r="E210" i="1"/>
  <c r="AC46" i="1"/>
  <c r="AI33" i="1"/>
  <c r="K26" i="1"/>
  <c r="K29" i="1" s="1"/>
  <c r="K99" i="1" s="1"/>
  <c r="AN215" i="1"/>
  <c r="AG95" i="1"/>
  <c r="C1201" i="2" s="1"/>
  <c r="I1197" i="2" s="1"/>
  <c r="K1191" i="2" s="1"/>
  <c r="T61" i="1"/>
  <c r="X45" i="1"/>
  <c r="AN213" i="1"/>
  <c r="D11" i="1"/>
  <c r="AN225" i="1"/>
  <c r="AB41" i="1"/>
  <c r="K41" i="1"/>
  <c r="AX257" i="1"/>
  <c r="I478" i="2"/>
  <c r="I521" i="2"/>
  <c r="D538" i="2" s="1"/>
  <c r="C495" i="2"/>
  <c r="D59" i="3"/>
  <c r="AO153" i="1"/>
  <c r="AO163" i="1" s="1"/>
  <c r="AQ95" i="1"/>
  <c r="AQ185" i="1" s="1"/>
  <c r="AF95" i="1"/>
  <c r="AF185" i="1" s="1"/>
  <c r="AF254" i="1" s="1"/>
  <c r="W10" i="1"/>
  <c r="W11" i="1" s="1"/>
  <c r="W206" i="1"/>
  <c r="W275" i="1" s="1"/>
  <c r="AQ60" i="1"/>
  <c r="AT96" i="1" s="1"/>
  <c r="AT186" i="1" s="1"/>
  <c r="D49" i="1"/>
  <c r="D51" i="1" s="1"/>
  <c r="D55" i="1" s="1"/>
  <c r="U17" i="1"/>
  <c r="U39" i="1" s="1"/>
  <c r="D93" i="1"/>
  <c r="C303" i="1"/>
  <c r="AQ208" i="1"/>
  <c r="AU209" i="1" s="1"/>
  <c r="AP74" i="1"/>
  <c r="AP222" i="1" s="1"/>
  <c r="AP295" i="1" s="1"/>
  <c r="AA8" i="1"/>
  <c r="AE208" i="1"/>
  <c r="AE281" i="1" s="1"/>
  <c r="AE64" i="1"/>
  <c r="AE212" i="1" s="1"/>
  <c r="AE285" i="1" s="1"/>
  <c r="W70" i="1"/>
  <c r="Z61" i="1"/>
  <c r="Y303" i="1"/>
  <c r="D261" i="1"/>
  <c r="J615" i="2"/>
  <c r="J614" i="2"/>
  <c r="D622" i="2"/>
  <c r="D619" i="2"/>
  <c r="K215" i="1"/>
  <c r="J613" i="2"/>
  <c r="D624" i="2"/>
  <c r="J620" i="2"/>
  <c r="D618" i="2"/>
  <c r="D616" i="2"/>
  <c r="D617" i="2" s="1"/>
  <c r="H215" i="1"/>
  <c r="H288" i="1" s="1"/>
  <c r="AL96" i="1"/>
  <c r="AL186" i="1" s="1"/>
  <c r="W46" i="1"/>
  <c r="AC164" i="1"/>
  <c r="AC195" i="1"/>
  <c r="AC264" i="1" s="1"/>
  <c r="AC181" i="1"/>
  <c r="AC247" i="1" s="1"/>
  <c r="AO164" i="1"/>
  <c r="AO181" i="1"/>
  <c r="AO247" i="1" s="1"/>
  <c r="AC158" i="1"/>
  <c r="AC196" i="1" s="1"/>
  <c r="AC265" i="1" s="1"/>
  <c r="AP26" i="1"/>
  <c r="AP42" i="1" s="1"/>
  <c r="J209" i="1"/>
  <c r="U216" i="1"/>
  <c r="U289" i="1" s="1"/>
  <c r="AI208" i="1"/>
  <c r="AK76" i="1"/>
  <c r="AL76" i="1" s="1"/>
  <c r="AL224" i="1" s="1"/>
  <c r="AL297" i="1" s="1"/>
  <c r="AH210" i="1"/>
  <c r="AK95" i="1"/>
  <c r="C1029" i="2" s="1"/>
  <c r="I1025" i="2" s="1"/>
  <c r="K1019" i="2" s="1"/>
  <c r="C856" i="2"/>
  <c r="C857" i="2" s="1"/>
  <c r="C864" i="2" s="1"/>
  <c r="AP185" i="1"/>
  <c r="V275" i="1"/>
  <c r="V283" i="1" s="1"/>
  <c r="F207" i="1"/>
  <c r="AB261" i="1"/>
  <c r="AN110" i="1"/>
  <c r="AC110" i="1"/>
  <c r="I116" i="1"/>
  <c r="AT275" i="1"/>
  <c r="AT291" i="1"/>
  <c r="AA192" i="1"/>
  <c r="E275" i="1"/>
  <c r="E283" i="1" s="1"/>
  <c r="AO214" i="1"/>
  <c r="G41" i="1"/>
  <c r="AT285" i="1"/>
  <c r="Y225" i="1"/>
  <c r="Y298" i="1" s="1"/>
  <c r="F213" i="1"/>
  <c r="AP67" i="1"/>
  <c r="AP219" i="1" s="1"/>
  <c r="AP292" i="1" s="1"/>
  <c r="AI95" i="1"/>
  <c r="G151" i="1"/>
  <c r="AI64" i="1"/>
  <c r="AI212" i="1" s="1"/>
  <c r="AI285" i="1" s="1"/>
  <c r="AB223" i="1"/>
  <c r="AB296" i="1" s="1"/>
  <c r="I119" i="1"/>
  <c r="W23" i="1"/>
  <c r="AT281" i="1"/>
  <c r="AA46" i="1"/>
  <c r="AA35" i="1"/>
  <c r="AT222" i="1"/>
  <c r="AT295" i="1" s="1"/>
  <c r="I534" i="2"/>
  <c r="E529" i="2"/>
  <c r="E526" i="2"/>
  <c r="E533" i="2"/>
  <c r="C543" i="2"/>
  <c r="E535" i="2"/>
  <c r="AF282" i="1"/>
  <c r="AX184" i="1"/>
  <c r="AX253" i="1" s="1"/>
  <c r="AX115" i="1"/>
  <c r="AX111" i="1"/>
  <c r="AW100" i="1"/>
  <c r="AW190" i="1" s="1"/>
  <c r="AW259" i="1" s="1"/>
  <c r="AX185" i="1"/>
  <c r="AX169" i="1"/>
  <c r="AX168" i="1"/>
  <c r="AX171" i="1"/>
  <c r="AX238" i="1" s="1"/>
  <c r="AW257" i="1"/>
  <c r="AO249" i="1"/>
  <c r="AO285" i="1" s="1"/>
  <c r="AP214" i="1"/>
  <c r="AP287" i="1" s="1"/>
  <c r="W36" i="1"/>
  <c r="AT301" i="1"/>
  <c r="AW184" i="1"/>
  <c r="AW253" i="1" s="1"/>
  <c r="AW115" i="1"/>
  <c r="AW111" i="1"/>
  <c r="AF210" i="1"/>
  <c r="AG217" i="1"/>
  <c r="AG290" i="1" s="1"/>
  <c r="AR110" i="1"/>
  <c r="C626" i="2"/>
  <c r="I622" i="2" s="1"/>
  <c r="K616" i="2" s="1"/>
  <c r="AX226" i="1"/>
  <c r="AX299" i="1" s="1"/>
  <c r="AT219" i="1"/>
  <c r="AT292" i="1" s="1"/>
  <c r="AT217" i="1"/>
  <c r="AT290" i="1" s="1"/>
  <c r="AX116" i="1"/>
  <c r="AX114" i="1"/>
  <c r="AX186" i="1"/>
  <c r="AX255" i="1" s="1"/>
  <c r="AX174" i="1"/>
  <c r="AX175" i="1"/>
  <c r="AW114" i="1"/>
  <c r="AW116" i="1"/>
  <c r="I577" i="2"/>
  <c r="J577" i="2" s="1"/>
  <c r="E569" i="2"/>
  <c r="E572" i="2"/>
  <c r="E576" i="2"/>
  <c r="C586" i="2"/>
  <c r="E578" i="2"/>
  <c r="AV96" i="1"/>
  <c r="AV186" i="1" s="1"/>
  <c r="AW96" i="1"/>
  <c r="AW185" i="1"/>
  <c r="AW169" i="1"/>
  <c r="AW168" i="1"/>
  <c r="AW171" i="1"/>
  <c r="AW238" i="1" s="1"/>
  <c r="AW229" i="1"/>
  <c r="AW302" i="1" s="1"/>
  <c r="AW227" i="1"/>
  <c r="AW300" i="1" s="1"/>
  <c r="D581" i="2"/>
  <c r="F569" i="2" s="1"/>
  <c r="D576" i="2"/>
  <c r="J571" i="2"/>
  <c r="AM65" i="3"/>
  <c r="AH76" i="3"/>
  <c r="AM92" i="3"/>
  <c r="AD30" i="3"/>
  <c r="D25" i="3"/>
  <c r="D116" i="3"/>
  <c r="C119" i="3"/>
  <c r="C112" i="3"/>
  <c r="AB92" i="3"/>
  <c r="AL90" i="3"/>
  <c r="V24" i="3"/>
  <c r="V25" i="3" s="1"/>
  <c r="AL28" i="3"/>
  <c r="C13" i="3"/>
  <c r="C14" i="3" s="1"/>
  <c r="AQ46" i="3"/>
  <c r="AU46" i="3"/>
  <c r="C59" i="3"/>
  <c r="AC46" i="3"/>
  <c r="AD89" i="3"/>
  <c r="AF46" i="3"/>
  <c r="D33" i="3"/>
  <c r="D115" i="3"/>
  <c r="C121" i="3"/>
  <c r="AC50" i="3"/>
  <c r="AL32" i="3"/>
  <c r="D117" i="3"/>
  <c r="AP31" i="3"/>
  <c r="AL44" i="3"/>
  <c r="C122" i="3"/>
  <c r="D122" i="3"/>
  <c r="D114" i="3"/>
  <c r="AH39" i="3"/>
  <c r="AH40" i="3" s="1"/>
  <c r="AT44" i="3"/>
  <c r="G132" i="3"/>
  <c r="V39" i="3"/>
  <c r="V51" i="3" s="1"/>
  <c r="AQ33" i="3"/>
  <c r="AB49" i="3"/>
  <c r="C114" i="3"/>
  <c r="D121" i="3"/>
  <c r="D113" i="3"/>
  <c r="J59" i="3"/>
  <c r="AH86" i="3"/>
  <c r="C50" i="3"/>
  <c r="V77" i="3"/>
  <c r="AT29" i="3"/>
  <c r="AM49" i="3"/>
  <c r="S50" i="3"/>
  <c r="E33" i="3"/>
  <c r="C115" i="3"/>
  <c r="D120" i="3"/>
  <c r="D112" i="3"/>
  <c r="AA59" i="3"/>
  <c r="C118" i="3"/>
  <c r="C79" i="3"/>
  <c r="AH72" i="3"/>
  <c r="AP39" i="3"/>
  <c r="AT46" i="3" s="1"/>
  <c r="AT49" i="3"/>
  <c r="AT43" i="3"/>
  <c r="AP90" i="3"/>
  <c r="AM50" i="3"/>
  <c r="S51" i="3"/>
  <c r="AE92" i="3"/>
  <c r="C25" i="3"/>
  <c r="AK59" i="3"/>
  <c r="C120" i="3"/>
  <c r="AP86" i="3"/>
  <c r="C49" i="3"/>
  <c r="AM51" i="3"/>
  <c r="AL76" i="3"/>
  <c r="AT193" i="1"/>
  <c r="AT262" i="1" s="1"/>
  <c r="AT151" i="1"/>
  <c r="AT233" i="1" s="1"/>
  <c r="AT306" i="1" s="1"/>
  <c r="AT159" i="1"/>
  <c r="AT194" i="1" s="1"/>
  <c r="AT263" i="1" s="1"/>
  <c r="AT232" i="1"/>
  <c r="AT305" i="1" s="1"/>
  <c r="K168" i="1"/>
  <c r="K235" i="1" s="1"/>
  <c r="K181" i="1"/>
  <c r="K247" i="1" s="1"/>
  <c r="AV283" i="1"/>
  <c r="AV184" i="1"/>
  <c r="AV115" i="1"/>
  <c r="AV111" i="1"/>
  <c r="K153" i="1"/>
  <c r="I178" i="1"/>
  <c r="I244" i="1" s="1"/>
  <c r="AQ23" i="1"/>
  <c r="D26" i="1"/>
  <c r="D29" i="1" s="1"/>
  <c r="D99" i="1" s="1"/>
  <c r="W22" i="1"/>
  <c r="W37" i="1"/>
  <c r="AM35" i="1"/>
  <c r="AR303" i="1"/>
  <c r="AV185" i="1"/>
  <c r="AV169" i="1"/>
  <c r="AV168" i="1"/>
  <c r="AV171" i="1"/>
  <c r="AV238" i="1" s="1"/>
  <c r="AP209" i="1"/>
  <c r="AP110" i="1"/>
  <c r="AP111" i="1" s="1"/>
  <c r="W21" i="1"/>
  <c r="K195" i="1"/>
  <c r="K264" i="1" s="1"/>
  <c r="AV116" i="1"/>
  <c r="AV114" i="1"/>
  <c r="AJ261" i="1"/>
  <c r="AM37" i="1"/>
  <c r="K158" i="1"/>
  <c r="K196" i="1" s="1"/>
  <c r="K265" i="1" s="1"/>
  <c r="AD91" i="1"/>
  <c r="AD115" i="1" s="1"/>
  <c r="AB209" i="1"/>
  <c r="E119" i="1"/>
  <c r="AF11" i="1"/>
  <c r="AM64" i="1"/>
  <c r="AM212" i="1" s="1"/>
  <c r="AN224" i="1"/>
  <c r="AD110" i="1"/>
  <c r="AS76" i="1"/>
  <c r="AS224" i="1" s="1"/>
  <c r="AS75" i="1"/>
  <c r="AS223" i="1" s="1"/>
  <c r="AG8" i="1"/>
  <c r="AN95" i="1"/>
  <c r="AS77" i="1"/>
  <c r="AS225" i="1" s="1"/>
  <c r="AP49" i="1"/>
  <c r="AP51" i="1" s="1"/>
  <c r="AC222" i="1"/>
  <c r="AC295" i="1" s="1"/>
  <c r="T39" i="1"/>
  <c r="AI59" i="3"/>
  <c r="AJ17" i="1"/>
  <c r="AJ39" i="1" s="1"/>
  <c r="T11" i="1"/>
  <c r="AF283" i="1"/>
  <c r="C617" i="2"/>
  <c r="C621" i="2" s="1"/>
  <c r="I617" i="2"/>
  <c r="C636" i="2"/>
  <c r="AC37" i="1"/>
  <c r="AM58" i="1"/>
  <c r="AG223" i="1"/>
  <c r="AG296" i="1" s="1"/>
  <c r="G72" i="1"/>
  <c r="G78" i="1" s="1"/>
  <c r="G80" i="1" s="1"/>
  <c r="S59" i="3"/>
  <c r="AE59" i="3"/>
  <c r="AD61" i="1"/>
  <c r="AM46" i="1"/>
  <c r="AM60" i="1"/>
  <c r="AN96" i="1" s="1"/>
  <c r="AN186" i="1" s="1"/>
  <c r="AB25" i="3"/>
  <c r="AC35" i="1"/>
  <c r="AO41" i="1"/>
  <c r="AT216" i="1"/>
  <c r="AT289" i="1" s="1"/>
  <c r="D613" i="2"/>
  <c r="D614" i="2" s="1"/>
  <c r="AF209" i="1"/>
  <c r="V73" i="1"/>
  <c r="W73" i="1" s="1"/>
  <c r="AK218" i="1"/>
  <c r="AK291" i="1" s="1"/>
  <c r="AC206" i="1"/>
  <c r="AC210" i="1" s="1"/>
  <c r="C17" i="1"/>
  <c r="C39" i="1" s="1"/>
  <c r="AD156" i="1"/>
  <c r="AC8" i="1"/>
  <c r="AA21" i="1"/>
  <c r="AI21" i="1"/>
  <c r="AE70" i="1"/>
  <c r="AE217" i="1" s="1"/>
  <c r="AE290" i="1" s="1"/>
  <c r="AP11" i="1"/>
  <c r="AC91" i="1"/>
  <c r="AC115" i="1" s="1"/>
  <c r="AO221" i="1"/>
  <c r="W92" i="1"/>
  <c r="W114" i="1" s="1"/>
  <c r="AM208" i="1"/>
  <c r="AM95" i="1"/>
  <c r="AC217" i="1"/>
  <c r="AC290" i="1" s="1"/>
  <c r="AS65" i="1"/>
  <c r="AS213" i="1" s="1"/>
  <c r="AT214" i="1"/>
  <c r="AT287" i="1" s="1"/>
  <c r="AY276" i="1"/>
  <c r="AT40" i="1"/>
  <c r="AT59" i="3"/>
  <c r="Z44" i="3"/>
  <c r="J119" i="3"/>
  <c r="J116" i="3"/>
  <c r="AH64" i="3"/>
  <c r="I116" i="3"/>
  <c r="V63" i="3"/>
  <c r="Z30" i="3"/>
  <c r="AG49" i="3"/>
  <c r="U49" i="3"/>
  <c r="J112" i="3"/>
  <c r="J114" i="3"/>
  <c r="AI92" i="3"/>
  <c r="W59" i="3"/>
  <c r="AN65" i="3"/>
  <c r="Z64" i="3"/>
  <c r="AL29" i="3"/>
  <c r="AG59" i="3"/>
  <c r="E50" i="3"/>
  <c r="AM33" i="3"/>
  <c r="AD39" i="3"/>
  <c r="AO50" i="3"/>
  <c r="X51" i="3"/>
  <c r="AO33" i="3"/>
  <c r="AO92" i="3"/>
  <c r="AG33" i="3"/>
  <c r="Y33" i="3"/>
  <c r="AF49" i="3"/>
  <c r="AC33" i="3"/>
  <c r="AN92" i="3"/>
  <c r="I119" i="3"/>
  <c r="J117" i="3"/>
  <c r="I115" i="3"/>
  <c r="AL62" i="3"/>
  <c r="AS46" i="3"/>
  <c r="AL31" i="3"/>
  <c r="Z63" i="3"/>
  <c r="J115" i="3"/>
  <c r="J25" i="3"/>
  <c r="AL58" i="3"/>
  <c r="X49" i="3"/>
  <c r="I121" i="3"/>
  <c r="E13" i="3"/>
  <c r="E14" i="3" s="1"/>
  <c r="J120" i="3"/>
  <c r="AI33" i="3"/>
  <c r="AO46" i="3"/>
  <c r="AD44" i="3"/>
  <c r="G121" i="3"/>
  <c r="AO51" i="3"/>
  <c r="H114" i="3"/>
  <c r="AH91" i="3"/>
  <c r="AA33" i="3"/>
  <c r="H46" i="3"/>
  <c r="AN49" i="3"/>
  <c r="I46" i="3"/>
  <c r="I122" i="3"/>
  <c r="I117" i="3"/>
  <c r="I112" i="3"/>
  <c r="W92" i="3"/>
  <c r="T49" i="3"/>
  <c r="AE33" i="3"/>
  <c r="AB46" i="3"/>
  <c r="G46" i="3"/>
  <c r="AD58" i="3"/>
  <c r="X50" i="3"/>
  <c r="AF92" i="3"/>
  <c r="AN46" i="3"/>
  <c r="H25" i="3"/>
  <c r="E40" i="3"/>
  <c r="Y46" i="3"/>
  <c r="AQ40" i="3"/>
  <c r="V72" i="3"/>
  <c r="AL24" i="3"/>
  <c r="AL25" i="3" s="1"/>
  <c r="X46" i="3"/>
  <c r="H116" i="3"/>
  <c r="H119" i="3"/>
  <c r="G92" i="3"/>
  <c r="Z24" i="3"/>
  <c r="Z25" i="3" s="1"/>
  <c r="AJ33" i="3"/>
  <c r="H49" i="3"/>
  <c r="AK33" i="3"/>
  <c r="F132" i="3"/>
  <c r="H117" i="3"/>
  <c r="H112" i="3"/>
  <c r="G49" i="3"/>
  <c r="Z43" i="3"/>
  <c r="AH45" i="3"/>
  <c r="AQ49" i="3"/>
  <c r="AO65" i="3"/>
  <c r="H120" i="3"/>
  <c r="U40" i="3"/>
  <c r="AN33" i="3"/>
  <c r="X92" i="3"/>
  <c r="F50" i="3"/>
  <c r="AL45" i="3"/>
  <c r="I114" i="3"/>
  <c r="H92" i="3"/>
  <c r="AI79" i="3"/>
  <c r="X79" i="3"/>
  <c r="AF50" i="3"/>
  <c r="F49" i="3"/>
  <c r="G40" i="3"/>
  <c r="F13" i="3"/>
  <c r="F14" i="3" s="1"/>
  <c r="AS33" i="3"/>
  <c r="I621" i="2"/>
  <c r="D664" i="2"/>
  <c r="D667" i="2"/>
  <c r="J665" i="2"/>
  <c r="D658" i="2"/>
  <c r="D659" i="2" s="1"/>
  <c r="K187" i="1"/>
  <c r="K78" i="1"/>
  <c r="K80" i="1" s="1"/>
  <c r="K220" i="1"/>
  <c r="K101" i="1"/>
  <c r="Y76" i="1"/>
  <c r="Z76" i="1" s="1"/>
  <c r="AA76" i="1" s="1"/>
  <c r="AA224" i="1" s="1"/>
  <c r="AA297" i="1" s="1"/>
  <c r="C120" i="1"/>
  <c r="C187" i="1"/>
  <c r="H177" i="1"/>
  <c r="H243" i="1" s="1"/>
  <c r="Y221" i="1"/>
  <c r="Y294" i="1" s="1"/>
  <c r="AE66" i="1"/>
  <c r="AE214" i="1" s="1"/>
  <c r="AE287" i="1" s="1"/>
  <c r="AO110" i="1"/>
  <c r="T213" i="1"/>
  <c r="T286" i="1" s="1"/>
  <c r="AB116" i="1"/>
  <c r="AR210" i="1"/>
  <c r="AB114" i="1"/>
  <c r="AN92" i="1"/>
  <c r="AN114" i="1" s="1"/>
  <c r="AO228" i="1"/>
  <c r="AQ38" i="1"/>
  <c r="AK216" i="1"/>
  <c r="AK289" i="1" s="1"/>
  <c r="C115" i="1"/>
  <c r="X209" i="1"/>
  <c r="AO209" i="1"/>
  <c r="X261" i="1"/>
  <c r="F261" i="1"/>
  <c r="AE40" i="1"/>
  <c r="T151" i="1"/>
  <c r="AB17" i="1"/>
  <c r="AB26" i="1" s="1"/>
  <c r="AB42" i="1" s="1"/>
  <c r="AJ210" i="1"/>
  <c r="AB11" i="1"/>
  <c r="AN17" i="1"/>
  <c r="AN26" i="1" s="1"/>
  <c r="AR207" i="1"/>
  <c r="T163" i="1"/>
  <c r="AM10" i="1"/>
  <c r="AM17" i="1" s="1"/>
  <c r="AM39" i="1" s="1"/>
  <c r="U213" i="1"/>
  <c r="U286" i="1" s="1"/>
  <c r="AL69" i="1"/>
  <c r="AL216" i="1" s="1"/>
  <c r="AL289" i="1" s="1"/>
  <c r="AN11" i="1"/>
  <c r="AP92" i="1"/>
  <c r="AP116" i="1" s="1"/>
  <c r="I17" i="1"/>
  <c r="I26" i="1" s="1"/>
  <c r="I29" i="1" s="1"/>
  <c r="I99" i="1" s="1"/>
  <c r="AM33" i="1"/>
  <c r="T110" i="1"/>
  <c r="AO92" i="1"/>
  <c r="AO116" i="1" s="1"/>
  <c r="AT163" i="1"/>
  <c r="Z53" i="1"/>
  <c r="Z55" i="1"/>
  <c r="AK209" i="1"/>
  <c r="C1016" i="2"/>
  <c r="C1017" i="2" s="1"/>
  <c r="AQ91" i="1"/>
  <c r="AQ184" i="1" s="1"/>
  <c r="AK281" i="1"/>
  <c r="T225" i="1"/>
  <c r="T298" i="1" s="1"/>
  <c r="H209" i="1"/>
  <c r="AI257" i="1"/>
  <c r="F110" i="1"/>
  <c r="F111" i="1" s="1"/>
  <c r="J178" i="1"/>
  <c r="J244" i="1" s="1"/>
  <c r="G120" i="1"/>
  <c r="W40" i="1"/>
  <c r="Y59" i="3"/>
  <c r="AL92" i="1"/>
  <c r="AL114" i="1" s="1"/>
  <c r="H187" i="1"/>
  <c r="AQ8" i="1"/>
  <c r="AT95" i="1"/>
  <c r="C671" i="2" s="1"/>
  <c r="I667" i="2" s="1"/>
  <c r="K661" i="2" s="1"/>
  <c r="AC40" i="1"/>
  <c r="AQ35" i="1"/>
  <c r="Z303" i="1"/>
  <c r="V303" i="1"/>
  <c r="AT91" i="1"/>
  <c r="AT184" i="1" s="1"/>
  <c r="Y98" i="1"/>
  <c r="Y189" i="1" s="1"/>
  <c r="Y258" i="1" s="1"/>
  <c r="Z187" i="1"/>
  <c r="AJ92" i="1"/>
  <c r="AR91" i="1"/>
  <c r="AR115" i="1" s="1"/>
  <c r="AO158" i="1"/>
  <c r="AO196" i="1" s="1"/>
  <c r="AO265" i="1" s="1"/>
  <c r="Z39" i="1"/>
  <c r="Z11" i="1"/>
  <c r="AK92" i="1"/>
  <c r="AQ10" i="1"/>
  <c r="AQ17" i="1" s="1"/>
  <c r="AQ49" i="1" s="1"/>
  <c r="AQ51" i="1" s="1"/>
  <c r="AU52" i="1" s="1"/>
  <c r="X178" i="1"/>
  <c r="X244" i="1" s="1"/>
  <c r="AQ36" i="1"/>
  <c r="Z115" i="1"/>
  <c r="AD40" i="1"/>
  <c r="AD81" i="1"/>
  <c r="AD228" i="1" s="1"/>
  <c r="AD301" i="1" s="1"/>
  <c r="J660" i="2"/>
  <c r="J659" i="2"/>
  <c r="J658" i="2"/>
  <c r="D669" i="2"/>
  <c r="AL17" i="1"/>
  <c r="AR209" i="1"/>
  <c r="AT41" i="1"/>
  <c r="AT92" i="1"/>
  <c r="AT114" i="1" s="1"/>
  <c r="AD261" i="1"/>
  <c r="AP210" i="1"/>
  <c r="AA40" i="1"/>
  <c r="AK110" i="1"/>
  <c r="H120" i="1"/>
  <c r="C659" i="2"/>
  <c r="C666" i="2" s="1"/>
  <c r="D661" i="2"/>
  <c r="D662" i="2" s="1"/>
  <c r="D665" i="2"/>
  <c r="J662" i="2"/>
  <c r="I666" i="2"/>
  <c r="D681" i="2"/>
  <c r="D682" i="2" s="1"/>
  <c r="C682" i="2"/>
  <c r="AL158" i="1"/>
  <c r="AL196" i="1" s="1"/>
  <c r="AL265" i="1" s="1"/>
  <c r="AO195" i="1"/>
  <c r="AO264" i="1" s="1"/>
  <c r="AA96" i="1"/>
  <c r="AA186" i="1" s="1"/>
  <c r="AA255" i="1" s="1"/>
  <c r="I289" i="1"/>
  <c r="X60" i="1"/>
  <c r="I294" i="1"/>
  <c r="C1057" i="2"/>
  <c r="C1058" i="2" s="1"/>
  <c r="D116" i="1"/>
  <c r="X97" i="1"/>
  <c r="X188" i="1" s="1"/>
  <c r="X257" i="1" s="1"/>
  <c r="D151" i="1"/>
  <c r="D153" i="1"/>
  <c r="D232" i="1" s="1"/>
  <c r="D305" i="1" s="1"/>
  <c r="Z207" i="1"/>
  <c r="C261" i="1"/>
  <c r="AJ96" i="1"/>
  <c r="AJ186" i="1" s="1"/>
  <c r="AQ214" i="1"/>
  <c r="G209" i="1"/>
  <c r="I291" i="1"/>
  <c r="U283" i="1"/>
  <c r="D210" i="1"/>
  <c r="G210" i="1"/>
  <c r="AN261" i="1"/>
  <c r="G281" i="1"/>
  <c r="J189" i="1"/>
  <c r="J258" i="1" s="1"/>
  <c r="J255" i="1"/>
  <c r="G184" i="1"/>
  <c r="G253" i="1" s="1"/>
  <c r="I290" i="1"/>
  <c r="AO210" i="1"/>
  <c r="H39" i="1"/>
  <c r="AJ209" i="1"/>
  <c r="F120" i="1"/>
  <c r="Z26" i="1"/>
  <c r="Z42" i="1" s="1"/>
  <c r="H26" i="1"/>
  <c r="H29" i="1" s="1"/>
  <c r="H99" i="1" s="1"/>
  <c r="AE22" i="1"/>
  <c r="AQ21" i="1"/>
  <c r="AO39" i="1"/>
  <c r="AO49" i="1"/>
  <c r="AO51" i="1" s="1"/>
  <c r="AO26" i="1"/>
  <c r="AH195" i="1"/>
  <c r="AH264" i="1" s="1"/>
  <c r="AC95" i="1"/>
  <c r="G177" i="1"/>
  <c r="G243" i="1" s="1"/>
  <c r="AN210" i="1"/>
  <c r="AQ33" i="1"/>
  <c r="AN209" i="1"/>
  <c r="D110" i="1"/>
  <c r="D111" i="1" s="1"/>
  <c r="C110" i="1"/>
  <c r="C111" i="1" s="1"/>
  <c r="AL195" i="1"/>
  <c r="AL264" i="1" s="1"/>
  <c r="AA77" i="1"/>
  <c r="AA225" i="1" s="1"/>
  <c r="AA298" i="1" s="1"/>
  <c r="AR114" i="1"/>
  <c r="D121" i="1"/>
  <c r="Y61" i="1"/>
  <c r="AI40" i="1"/>
  <c r="J17" i="1"/>
  <c r="J26" i="1" s="1"/>
  <c r="AG216" i="1"/>
  <c r="AG289" i="1" s="1"/>
  <c r="U219" i="1"/>
  <c r="U292" i="1" s="1"/>
  <c r="V110" i="1"/>
  <c r="AR17" i="1"/>
  <c r="AR49" i="1" s="1"/>
  <c r="AD303" i="1"/>
  <c r="J210" i="1"/>
  <c r="AL41" i="1"/>
  <c r="AA22" i="1"/>
  <c r="AM21" i="1"/>
  <c r="AM38" i="1"/>
  <c r="AA208" i="1"/>
  <c r="AA210" i="1" s="1"/>
  <c r="V222" i="1"/>
  <c r="V295" i="1" s="1"/>
  <c r="AA58" i="1"/>
  <c r="G115" i="1"/>
  <c r="F188" i="1"/>
  <c r="X181" i="1"/>
  <c r="X247" i="1" s="1"/>
  <c r="X110" i="1"/>
  <c r="X111" i="1" s="1"/>
  <c r="X41" i="1"/>
  <c r="AB303" i="1"/>
  <c r="Z209" i="1"/>
  <c r="Y261" i="1"/>
  <c r="G261" i="1"/>
  <c r="I110" i="1"/>
  <c r="I111" i="1" s="1"/>
  <c r="AO95" i="1"/>
  <c r="AO168" i="1" s="1"/>
  <c r="AO198" i="1" s="1"/>
  <c r="J149" i="1"/>
  <c r="J151" i="1" s="1"/>
  <c r="J233" i="1" s="1"/>
  <c r="W67" i="1"/>
  <c r="J11" i="1"/>
  <c r="Z74" i="1"/>
  <c r="AA74" i="1" s="1"/>
  <c r="AA222" i="1" s="1"/>
  <c r="AA295" i="1" s="1"/>
  <c r="AI114" i="1"/>
  <c r="AL77" i="1"/>
  <c r="AL225" i="1" s="1"/>
  <c r="AL298" i="1" s="1"/>
  <c r="Y209" i="1"/>
  <c r="AN59" i="3"/>
  <c r="AA59" i="1"/>
  <c r="Y214" i="1"/>
  <c r="Y287" i="1" s="1"/>
  <c r="X153" i="1"/>
  <c r="X169" i="1" s="1"/>
  <c r="AH69" i="1"/>
  <c r="AH216" i="1" s="1"/>
  <c r="AH289" i="1" s="1"/>
  <c r="AB282" i="1"/>
  <c r="V261" i="1"/>
  <c r="AM36" i="1"/>
  <c r="C153" i="1"/>
  <c r="C169" i="1" s="1"/>
  <c r="C197" i="1" s="1"/>
  <c r="AK96" i="1"/>
  <c r="AK186" i="1" s="1"/>
  <c r="C189" i="1"/>
  <c r="C258" i="1" s="1"/>
  <c r="C178" i="1"/>
  <c r="C244" i="1" s="1"/>
  <c r="C1397" i="2"/>
  <c r="D1389" i="2" s="1"/>
  <c r="AA95" i="1"/>
  <c r="AA185" i="1" s="1"/>
  <c r="F178" i="1"/>
  <c r="F244" i="1" s="1"/>
  <c r="AA75" i="1"/>
  <c r="AA223" i="1" s="1"/>
  <c r="AA296" i="1" s="1"/>
  <c r="AQ230" i="1"/>
  <c r="AQ303" i="1" s="1"/>
  <c r="AQ192" i="1"/>
  <c r="AQ261" i="1" s="1"/>
  <c r="W109" i="1"/>
  <c r="E121" i="1"/>
  <c r="X303" i="1"/>
  <c r="H281" i="1"/>
  <c r="H210" i="1"/>
  <c r="AM67" i="1"/>
  <c r="AM98" i="1" s="1"/>
  <c r="AM189" i="1" s="1"/>
  <c r="AI192" i="1"/>
  <c r="AI261" i="1" s="1"/>
  <c r="AI230" i="1"/>
  <c r="AI303" i="1" s="1"/>
  <c r="C1108" i="2"/>
  <c r="I1103" i="2" s="1"/>
  <c r="J1103" i="2" s="1"/>
  <c r="AF110" i="1"/>
  <c r="AA100" i="1"/>
  <c r="AA190" i="1" s="1"/>
  <c r="AA259" i="1" s="1"/>
  <c r="F190" i="1"/>
  <c r="AH214" i="1"/>
  <c r="AH287" i="1" s="1"/>
  <c r="AB178" i="1"/>
  <c r="AB244" i="1" s="1"/>
  <c r="AT209" i="1"/>
  <c r="AP281" i="1"/>
  <c r="AG281" i="1"/>
  <c r="AG210" i="1"/>
  <c r="AG209" i="1"/>
  <c r="AO225" i="1"/>
  <c r="AP77" i="1"/>
  <c r="AI75" i="1"/>
  <c r="AI223" i="1" s="1"/>
  <c r="AI296" i="1" s="1"/>
  <c r="AH223" i="1"/>
  <c r="AH296" i="1" s="1"/>
  <c r="AQ73" i="1"/>
  <c r="W96" i="1"/>
  <c r="W186" i="1" s="1"/>
  <c r="W255" i="1" s="1"/>
  <c r="E186" i="1"/>
  <c r="E255" i="1" s="1"/>
  <c r="AA23" i="1"/>
  <c r="F164" i="1"/>
  <c r="F168" i="1"/>
  <c r="H93" i="1"/>
  <c r="D177" i="1"/>
  <c r="D243" i="1" s="1"/>
  <c r="AN303" i="1"/>
  <c r="AB153" i="1"/>
  <c r="AB151" i="1"/>
  <c r="AB233" i="1" s="1"/>
  <c r="F41" i="1"/>
  <c r="F153" i="1"/>
  <c r="F159" i="1" s="1"/>
  <c r="AN41" i="1"/>
  <c r="C896" i="2"/>
  <c r="C897" i="2" s="1"/>
  <c r="G114" i="1"/>
  <c r="G119" i="1"/>
  <c r="AH71" i="1"/>
  <c r="AH218" i="1" s="1"/>
  <c r="AH291" i="1" s="1"/>
  <c r="AG218" i="1"/>
  <c r="AG291" i="1" s="1"/>
  <c r="Y217" i="1"/>
  <c r="Y290" i="1" s="1"/>
  <c r="Z70" i="1"/>
  <c r="AK65" i="1"/>
  <c r="AJ213" i="1"/>
  <c r="Z116" i="1"/>
  <c r="Z110" i="1"/>
  <c r="Z111" i="1" s="1"/>
  <c r="AF55" i="1"/>
  <c r="AN249" i="1"/>
  <c r="I931" i="2"/>
  <c r="D943" i="2" s="1"/>
  <c r="AM249" i="1"/>
  <c r="U210" i="1"/>
  <c r="E261" i="1"/>
  <c r="AH158" i="1"/>
  <c r="AH196" i="1" s="1"/>
  <c r="AH265" i="1" s="1"/>
  <c r="W98" i="1"/>
  <c r="W189" i="1" s="1"/>
  <c r="W258" i="1" s="1"/>
  <c r="E177" i="1"/>
  <c r="E243" i="1" s="1"/>
  <c r="H178" i="1"/>
  <c r="H244" i="1" s="1"/>
  <c r="F119" i="1"/>
  <c r="F121" i="1"/>
  <c r="AL81" i="1"/>
  <c r="AM71" i="1"/>
  <c r="AM218" i="1" s="1"/>
  <c r="X61" i="1"/>
  <c r="AQ34" i="1"/>
  <c r="AC214" i="1"/>
  <c r="AC287" i="1" s="1"/>
  <c r="AH67" i="1"/>
  <c r="U303" i="1"/>
  <c r="E303" i="1"/>
  <c r="Z261" i="1"/>
  <c r="I257" i="1"/>
  <c r="Y116" i="1"/>
  <c r="I297" i="1"/>
  <c r="AG110" i="1"/>
  <c r="D215" i="1"/>
  <c r="D288" i="1" s="1"/>
  <c r="AT45" i="1"/>
  <c r="AR40" i="1"/>
  <c r="V77" i="1"/>
  <c r="T156" i="1"/>
  <c r="T312" i="1" s="1"/>
  <c r="AB100" i="1"/>
  <c r="AB190" i="1" s="1"/>
  <c r="AB259" i="1" s="1"/>
  <c r="AJ303" i="1"/>
  <c r="AJ207" i="1"/>
  <c r="X210" i="1"/>
  <c r="T26" i="1"/>
  <c r="W34" i="1"/>
  <c r="AR261" i="1"/>
  <c r="C696" i="2"/>
  <c r="C703" i="2" s="1"/>
  <c r="C726" i="2" s="1"/>
  <c r="D726" i="2" s="1"/>
  <c r="D695" i="2"/>
  <c r="D696" i="2" s="1"/>
  <c r="AC77" i="1"/>
  <c r="I301" i="1"/>
  <c r="I296" i="1"/>
  <c r="X216" i="1"/>
  <c r="X289" i="1" s="1"/>
  <c r="AH283" i="1"/>
  <c r="I298" i="1"/>
  <c r="AI23" i="1"/>
  <c r="AT49" i="1"/>
  <c r="AT39" i="1"/>
  <c r="AT26" i="1"/>
  <c r="AB275" i="1"/>
  <c r="AB283" i="1" s="1"/>
  <c r="AF207" i="1"/>
  <c r="AB207" i="1"/>
  <c r="AB213" i="1"/>
  <c r="AB286" i="1" s="1"/>
  <c r="AC65" i="1"/>
  <c r="C275" i="1"/>
  <c r="D276" i="1" s="1"/>
  <c r="D207" i="1"/>
  <c r="C210" i="1"/>
  <c r="AF151" i="1"/>
  <c r="AF233" i="1" s="1"/>
  <c r="AF153" i="1"/>
  <c r="AF41" i="1"/>
  <c r="U151" i="1"/>
  <c r="U153" i="1"/>
  <c r="U163" i="1" s="1"/>
  <c r="C939" i="2"/>
  <c r="C940" i="2" s="1"/>
  <c r="AJ110" i="1"/>
  <c r="AP228" i="1"/>
  <c r="AP301" i="1" s="1"/>
  <c r="AQ81" i="1"/>
  <c r="J212" i="1"/>
  <c r="J285" i="1" s="1"/>
  <c r="J314" i="1" s="1"/>
  <c r="D186" i="1"/>
  <c r="D255" i="1" s="1"/>
  <c r="U156" i="1"/>
  <c r="U312" i="1" s="1"/>
  <c r="U60" i="1"/>
  <c r="Z97" i="1"/>
  <c r="Z188" i="1" s="1"/>
  <c r="Z257" i="1" s="1"/>
  <c r="W59" i="1"/>
  <c r="Y97" i="1"/>
  <c r="Y188" i="1" s="1"/>
  <c r="Y257" i="1" s="1"/>
  <c r="AI214" i="1"/>
  <c r="AI287" i="1" s="1"/>
  <c r="F249" i="1"/>
  <c r="AB258" i="1"/>
  <c r="AA285" i="1"/>
  <c r="AA257" i="1"/>
  <c r="AB254" i="1"/>
  <c r="AA275" i="1"/>
  <c r="J295" i="1"/>
  <c r="J287" i="1"/>
  <c r="AL223" i="1"/>
  <c r="AL296" i="1" s="1"/>
  <c r="AM75" i="1"/>
  <c r="AM223" i="1" s="1"/>
  <c r="C256" i="1"/>
  <c r="AC303" i="1"/>
  <c r="AC261" i="1"/>
  <c r="I1344" i="2"/>
  <c r="D1372" i="2" s="1"/>
  <c r="T303" i="1"/>
  <c r="T305" i="1"/>
  <c r="J292" i="1"/>
  <c r="J291" i="1"/>
  <c r="J301" i="1"/>
  <c r="J281" i="1"/>
  <c r="J289" i="1"/>
  <c r="J275" i="1"/>
  <c r="J286" i="1"/>
  <c r="J290" i="1"/>
  <c r="J294" i="1"/>
  <c r="Z71" i="1"/>
  <c r="Z218" i="1" s="1"/>
  <c r="Z291" i="1" s="1"/>
  <c r="Y218" i="1"/>
  <c r="Y291" i="1" s="1"/>
  <c r="AK212" i="1"/>
  <c r="AK285" i="1" s="1"/>
  <c r="AD193" i="1"/>
  <c r="AD262" i="1" s="1"/>
  <c r="AD232" i="1"/>
  <c r="AD305" i="1" s="1"/>
  <c r="AD163" i="1"/>
  <c r="AD154" i="1"/>
  <c r="AD310" i="1" s="1"/>
  <c r="I275" i="1"/>
  <c r="I207" i="1"/>
  <c r="AK214" i="1"/>
  <c r="AK287" i="1" s="1"/>
  <c r="AL66" i="1"/>
  <c r="AM66" i="1" s="1"/>
  <c r="I212" i="1"/>
  <c r="I285" i="1" s="1"/>
  <c r="I314" i="1" s="1"/>
  <c r="C774" i="2"/>
  <c r="C775" i="2" s="1"/>
  <c r="AQ108" i="1"/>
  <c r="AQ120" i="1" s="1"/>
  <c r="J110" i="1"/>
  <c r="J111" i="1" s="1"/>
  <c r="J115" i="1"/>
  <c r="W65" i="1"/>
  <c r="E213" i="1"/>
  <c r="E286" i="1" s="1"/>
  <c r="AK151" i="1"/>
  <c r="AK233" i="1" s="1"/>
  <c r="AK153" i="1"/>
  <c r="AC282" i="1"/>
  <c r="AR249" i="1"/>
  <c r="AQ249" i="1"/>
  <c r="H275" i="1"/>
  <c r="H207" i="1"/>
  <c r="W95" i="1"/>
  <c r="E185" i="1"/>
  <c r="E178" i="1"/>
  <c r="E244" i="1" s="1"/>
  <c r="C119" i="1"/>
  <c r="C114" i="1"/>
  <c r="C116" i="1"/>
  <c r="C121" i="1"/>
  <c r="AH74" i="1"/>
  <c r="AG222" i="1"/>
  <c r="AG295" i="1" s="1"/>
  <c r="AA294" i="1"/>
  <c r="AD67" i="1"/>
  <c r="AC219" i="1"/>
  <c r="AC292" i="1" s="1"/>
  <c r="U218" i="1"/>
  <c r="U291" i="1" s="1"/>
  <c r="V71" i="1"/>
  <c r="AG214" i="1"/>
  <c r="AG287" i="1" s="1"/>
  <c r="X72" i="1"/>
  <c r="Y65" i="1"/>
  <c r="AO261" i="1"/>
  <c r="I851" i="2"/>
  <c r="J858" i="2" s="1"/>
  <c r="AO303" i="1"/>
  <c r="AA250" i="1"/>
  <c r="AA303" i="1" s="1"/>
  <c r="F303" i="1"/>
  <c r="AD209" i="1"/>
  <c r="AD281" i="1"/>
  <c r="AE314" i="1" s="1"/>
  <c r="AH209" i="1"/>
  <c r="E209" i="1"/>
  <c r="D281" i="1"/>
  <c r="D282" i="1" s="1"/>
  <c r="D209" i="1"/>
  <c r="AK207" i="1"/>
  <c r="AK210" i="1"/>
  <c r="J121" i="1"/>
  <c r="J119" i="1"/>
  <c r="J116" i="1"/>
  <c r="U76" i="1"/>
  <c r="T224" i="1"/>
  <c r="T297" i="1" s="1"/>
  <c r="Z67" i="1"/>
  <c r="Z98" i="1" s="1"/>
  <c r="Y219" i="1"/>
  <c r="Y292" i="1" s="1"/>
  <c r="F17" i="1"/>
  <c r="F59" i="3"/>
  <c r="AA10" i="1"/>
  <c r="AC92" i="1"/>
  <c r="AC116" i="1" s="1"/>
  <c r="AD92" i="1"/>
  <c r="AA33" i="1"/>
  <c r="AI10" i="1"/>
  <c r="AI91" i="1"/>
  <c r="AI184" i="1" s="1"/>
  <c r="AJ91" i="1"/>
  <c r="AJ184" i="1" s="1"/>
  <c r="AI58" i="1"/>
  <c r="AI46" i="1"/>
  <c r="AK91" i="1"/>
  <c r="AL91" i="1"/>
  <c r="AL115" i="1" s="1"/>
  <c r="AI206" i="1"/>
  <c r="AL209" i="1"/>
  <c r="AL210" i="1"/>
  <c r="AC209" i="1"/>
  <c r="Z81" i="1"/>
  <c r="Y228" i="1"/>
  <c r="Y301" i="1" s="1"/>
  <c r="AO224" i="1"/>
  <c r="AP76" i="1"/>
  <c r="J297" i="1"/>
  <c r="AM23" i="1"/>
  <c r="AQ22" i="1"/>
  <c r="AG17" i="1"/>
  <c r="AF59" i="3"/>
  <c r="AG11" i="1"/>
  <c r="V17" i="1"/>
  <c r="V26" i="1" s="1"/>
  <c r="V29" i="1" s="1"/>
  <c r="U59" i="3"/>
  <c r="E59" i="3"/>
  <c r="E17" i="1"/>
  <c r="E26" i="1" s="1"/>
  <c r="AB40" i="3"/>
  <c r="AC34" i="1"/>
  <c r="AC58" i="1"/>
  <c r="AC45" i="1"/>
  <c r="AC38" i="1"/>
  <c r="AC33" i="1"/>
  <c r="AE7" i="1"/>
  <c r="AE120" i="1" s="1"/>
  <c r="AC10" i="1"/>
  <c r="AL181" i="1"/>
  <c r="AL247" i="1" s="1"/>
  <c r="AA98" i="1"/>
  <c r="AA189" i="1" s="1"/>
  <c r="AA258" i="1" s="1"/>
  <c r="F189" i="1"/>
  <c r="F177" i="1"/>
  <c r="F243" i="1" s="1"/>
  <c r="V81" i="1"/>
  <c r="V228" i="1" s="1"/>
  <c r="V301" i="1" s="1"/>
  <c r="U228" i="1"/>
  <c r="U301" i="1" s="1"/>
  <c r="AL40" i="1"/>
  <c r="AJ40" i="1"/>
  <c r="AM22" i="1"/>
  <c r="AE21" i="1"/>
  <c r="AQ37" i="1"/>
  <c r="AI36" i="1"/>
  <c r="AF26" i="1"/>
  <c r="AF43" i="1" s="1"/>
  <c r="AF39" i="1"/>
  <c r="AL164" i="1"/>
  <c r="T154" i="1"/>
  <c r="T310" i="1" s="1"/>
  <c r="T193" i="1"/>
  <c r="T262" i="1" s="1"/>
  <c r="AI109" i="1"/>
  <c r="AI121" i="1" s="1"/>
  <c r="H116" i="1"/>
  <c r="H121" i="1"/>
  <c r="AM108" i="1"/>
  <c r="AM120" i="1" s="1"/>
  <c r="I115" i="1"/>
  <c r="I120" i="1"/>
  <c r="AM114" i="1"/>
  <c r="C190" i="1"/>
  <c r="C259" i="1" s="1"/>
  <c r="C177" i="1"/>
  <c r="C243" i="1" s="1"/>
  <c r="W208" i="1"/>
  <c r="W64" i="1"/>
  <c r="W212" i="1" s="1"/>
  <c r="W285" i="1" s="1"/>
  <c r="AM230" i="1"/>
  <c r="AM303" i="1" s="1"/>
  <c r="AM192" i="1"/>
  <c r="AM261" i="1" s="1"/>
  <c r="AG41" i="1"/>
  <c r="AG153" i="1"/>
  <c r="AG151" i="1"/>
  <c r="AG233" i="1" s="1"/>
  <c r="V151" i="1"/>
  <c r="V233" i="1" s="1"/>
  <c r="V153" i="1"/>
  <c r="AM124" i="1"/>
  <c r="C936" i="2" s="1"/>
  <c r="C937" i="2" s="1"/>
  <c r="I149" i="1"/>
  <c r="AI108" i="1"/>
  <c r="AI120" i="1" s="1"/>
  <c r="H110" i="1"/>
  <c r="H111" i="1" s="1"/>
  <c r="H115" i="1"/>
  <c r="J177" i="1"/>
  <c r="J243" i="1" s="1"/>
  <c r="J190" i="1"/>
  <c r="J259" i="1" s="1"/>
  <c r="X184" i="1"/>
  <c r="X253" i="1" s="1"/>
  <c r="X115" i="1"/>
  <c r="V156" i="1"/>
  <c r="V312" i="1" s="1"/>
  <c r="V61" i="1"/>
  <c r="V60" i="1"/>
  <c r="AQ46" i="1"/>
  <c r="E116" i="1"/>
  <c r="I295" i="1"/>
  <c r="AB210" i="1"/>
  <c r="G275" i="1"/>
  <c r="J120" i="1"/>
  <c r="W35" i="1"/>
  <c r="AR225" i="1"/>
  <c r="AI37" i="1"/>
  <c r="E110" i="1"/>
  <c r="E111" i="1" s="1"/>
  <c r="F115" i="1"/>
  <c r="U261" i="1"/>
  <c r="AH110" i="1"/>
  <c r="AI38" i="1"/>
  <c r="X282" i="1"/>
  <c r="Y282" i="1"/>
  <c r="G207" i="1"/>
  <c r="AA108" i="1"/>
  <c r="AA120" i="1" s="1"/>
  <c r="I258" i="1"/>
  <c r="AI34" i="1"/>
  <c r="F210" i="1"/>
  <c r="AN207" i="1"/>
  <c r="AB115" i="1"/>
  <c r="AI22" i="1"/>
  <c r="J253" i="1"/>
  <c r="AL276" i="1"/>
  <c r="J207" i="1"/>
  <c r="E207" i="1"/>
  <c r="AL110" i="1"/>
  <c r="AB110" i="1"/>
  <c r="AB111" i="1" s="1"/>
  <c r="AI35" i="1"/>
  <c r="AL283" i="1"/>
  <c r="AL282" i="1"/>
  <c r="AN40" i="1"/>
  <c r="AM40" i="1"/>
  <c r="AP40" i="1"/>
  <c r="AO40" i="1"/>
  <c r="AG225" i="1"/>
  <c r="AG298" i="1" s="1"/>
  <c r="AH77" i="1"/>
  <c r="F158" i="1"/>
  <c r="AP65" i="1"/>
  <c r="AO213" i="1"/>
  <c r="E188" i="1"/>
  <c r="E257" i="1" s="1"/>
  <c r="W97" i="1"/>
  <c r="W188" i="1" s="1"/>
  <c r="W257" i="1" s="1"/>
  <c r="Y187" i="1"/>
  <c r="Y254" i="1"/>
  <c r="C1099" i="2"/>
  <c r="C1100" i="2" s="1"/>
  <c r="G116" i="1"/>
  <c r="G110" i="1"/>
  <c r="G111" i="1" s="1"/>
  <c r="AE109" i="1"/>
  <c r="G121" i="1"/>
  <c r="AD151" i="1"/>
  <c r="AD233" i="1" s="1"/>
  <c r="AD41" i="1"/>
  <c r="C1273" i="2"/>
  <c r="C1274" i="2" s="1"/>
  <c r="C1277" i="2" s="1"/>
  <c r="C777" i="2"/>
  <c r="C778" i="2" s="1"/>
  <c r="C1102" i="2"/>
  <c r="C1103" i="2" s="1"/>
  <c r="AP41" i="1"/>
  <c r="C816" i="2"/>
  <c r="C817" i="2" s="1"/>
  <c r="J187" i="1"/>
  <c r="J254" i="1"/>
  <c r="C213" i="1"/>
  <c r="C286" i="1" s="1"/>
  <c r="C215" i="1"/>
  <c r="C288" i="1" s="1"/>
  <c r="H254" i="1"/>
  <c r="AP184" i="1"/>
  <c r="AP115" i="1"/>
  <c r="AP71" i="1"/>
  <c r="AO218" i="1"/>
  <c r="AL70" i="1"/>
  <c r="AD75" i="1"/>
  <c r="AC223" i="1"/>
  <c r="AC296" i="1" s="1"/>
  <c r="AG76" i="1"/>
  <c r="AF224" i="1"/>
  <c r="AF297" i="1" s="1"/>
  <c r="F181" i="1"/>
  <c r="F247" i="1" s="1"/>
  <c r="F195" i="1"/>
  <c r="F264" i="1" s="1"/>
  <c r="AH207" i="1"/>
  <c r="AD275" i="1"/>
  <c r="AD207" i="1"/>
  <c r="AD210" i="1"/>
  <c r="T275" i="1"/>
  <c r="T283" i="1" s="1"/>
  <c r="T210" i="1"/>
  <c r="AM73" i="1"/>
  <c r="AM221" i="1" s="1"/>
  <c r="J296" i="1"/>
  <c r="J257" i="1"/>
  <c r="AK275" i="1"/>
  <c r="V66" i="1"/>
  <c r="W66" i="1" s="1"/>
  <c r="I213" i="1"/>
  <c r="I286" i="1" s="1"/>
  <c r="X17" i="1"/>
  <c r="X11" i="1"/>
  <c r="D13" i="3"/>
  <c r="D14" i="3" s="1"/>
  <c r="D16" i="3"/>
  <c r="Y115" i="1"/>
  <c r="D185" i="1"/>
  <c r="D178" i="1"/>
  <c r="D244" i="1" s="1"/>
  <c r="W91" i="1"/>
  <c r="E115" i="1"/>
  <c r="AD76" i="1"/>
  <c r="AD224" i="1" s="1"/>
  <c r="AD297" i="1" s="1"/>
  <c r="AQ58" i="1"/>
  <c r="AQ64" i="1"/>
  <c r="T92" i="3"/>
  <c r="Z78" i="3"/>
  <c r="Z72" i="3"/>
  <c r="AL89" i="3"/>
  <c r="AL39" i="3"/>
  <c r="AP43" i="3"/>
  <c r="AL43" i="3"/>
  <c r="G112" i="3"/>
  <c r="H33" i="3"/>
  <c r="G113" i="3"/>
  <c r="G116" i="3"/>
  <c r="G117" i="3"/>
  <c r="G119" i="3"/>
  <c r="G114" i="3"/>
  <c r="G120" i="3"/>
  <c r="G118" i="3"/>
  <c r="AP30" i="3"/>
  <c r="AP24" i="3"/>
  <c r="AT33" i="3" s="1"/>
  <c r="AD28" i="3"/>
  <c r="AH28" i="3"/>
  <c r="AD24" i="3"/>
  <c r="E41" i="1"/>
  <c r="E153" i="1"/>
  <c r="E151" i="1"/>
  <c r="E233" i="1" s="1"/>
  <c r="D184" i="1"/>
  <c r="D253" i="1" s="1"/>
  <c r="D115" i="1"/>
  <c r="AH73" i="1"/>
  <c r="AG221" i="1"/>
  <c r="AG294" i="1" s="1"/>
  <c r="V69" i="1"/>
  <c r="AC60" i="1"/>
  <c r="AC61" i="1"/>
  <c r="F121" i="3"/>
  <c r="F108" i="3"/>
  <c r="D49" i="3"/>
  <c r="D46" i="3"/>
  <c r="AF33" i="3"/>
  <c r="AF25" i="3"/>
  <c r="AS249" i="1"/>
  <c r="AQ59" i="3"/>
  <c r="AQ65" i="3"/>
  <c r="AQ92" i="3"/>
  <c r="Z256" i="1"/>
  <c r="J298" i="1"/>
  <c r="Y275" i="1"/>
  <c r="Y207" i="1"/>
  <c r="Y210" i="1"/>
  <c r="Y151" i="1"/>
  <c r="Y153" i="1"/>
  <c r="V75" i="1"/>
  <c r="U223" i="1"/>
  <c r="U296" i="1" s="1"/>
  <c r="AK222" i="1"/>
  <c r="AK295" i="1" s="1"/>
  <c r="AL74" i="1"/>
  <c r="AP77" i="3"/>
  <c r="AP63" i="3"/>
  <c r="AH62" i="3"/>
  <c r="AH58" i="3"/>
  <c r="AJ249" i="1"/>
  <c r="I1052" i="2"/>
  <c r="J1058" i="2" s="1"/>
  <c r="AP275" i="1"/>
  <c r="AP207" i="1"/>
  <c r="AH41" i="1"/>
  <c r="AH153" i="1"/>
  <c r="AH163" i="1" s="1"/>
  <c r="U110" i="1"/>
  <c r="D120" i="1"/>
  <c r="AQ92" i="1"/>
  <c r="AQ114" i="1" s="1"/>
  <c r="AA65" i="3"/>
  <c r="AE46" i="3"/>
  <c r="AA50" i="3"/>
  <c r="AA40" i="3"/>
  <c r="AA49" i="3"/>
  <c r="AA51" i="3"/>
  <c r="G185" i="1"/>
  <c r="G178" i="1"/>
  <c r="G244" i="1" s="1"/>
  <c r="F114" i="1"/>
  <c r="F116" i="1"/>
  <c r="AA92" i="1"/>
  <c r="AB212" i="1"/>
  <c r="AB285" i="1" s="1"/>
  <c r="I59" i="3"/>
  <c r="I65" i="3"/>
  <c r="W100" i="1"/>
  <c r="E190" i="1"/>
  <c r="E259" i="1" s="1"/>
  <c r="AP70" i="1"/>
  <c r="AO217" i="1"/>
  <c r="AE23" i="1"/>
  <c r="H11" i="1"/>
  <c r="H59" i="3"/>
  <c r="Z86" i="3"/>
  <c r="Z90" i="3"/>
  <c r="AI40" i="3"/>
  <c r="AI49" i="3"/>
  <c r="AM46" i="3"/>
  <c r="AI50" i="3"/>
  <c r="AI51" i="3"/>
  <c r="AI46" i="3"/>
  <c r="Z45" i="3"/>
  <c r="AH24" i="3"/>
  <c r="X116" i="1"/>
  <c r="X225" i="1"/>
  <c r="X298" i="1" s="1"/>
  <c r="AI70" i="1"/>
  <c r="AK92" i="3"/>
  <c r="V86" i="3"/>
  <c r="AA79" i="3"/>
  <c r="D79" i="3"/>
  <c r="V78" i="3"/>
  <c r="AG46" i="3"/>
  <c r="T261" i="1"/>
  <c r="Y110" i="1"/>
  <c r="Y111" i="1" s="1"/>
  <c r="Z221" i="1"/>
  <c r="Z294" i="1" s="1"/>
  <c r="AP76" i="3"/>
  <c r="T50" i="3"/>
  <c r="Z29" i="3"/>
  <c r="H79" i="3"/>
  <c r="W33" i="3"/>
  <c r="AR223" i="1"/>
  <c r="AB184" i="1"/>
  <c r="AB253" i="1" s="1"/>
  <c r="AC41" i="1"/>
  <c r="AA66" i="1"/>
  <c r="AB65" i="3"/>
  <c r="AD64" i="3"/>
  <c r="W46" i="3"/>
  <c r="W58" i="1"/>
  <c r="AD86" i="3"/>
  <c r="G303" i="1"/>
  <c r="AL207" i="1"/>
  <c r="X59" i="3"/>
  <c r="AD72" i="3"/>
  <c r="AI65" i="3"/>
  <c r="AP58" i="3"/>
  <c r="H53" i="1"/>
  <c r="H94" i="1"/>
  <c r="H55" i="1"/>
  <c r="T53" i="1"/>
  <c r="T55" i="1"/>
  <c r="G193" i="1"/>
  <c r="G262" i="1" s="1"/>
  <c r="G159" i="1"/>
  <c r="G163" i="1"/>
  <c r="G232" i="1"/>
  <c r="G305" i="1" s="1"/>
  <c r="G169" i="1"/>
  <c r="G154" i="1"/>
  <c r="G310" i="1" s="1"/>
  <c r="I185" i="1"/>
  <c r="I177" i="1"/>
  <c r="I243" i="1" s="1"/>
  <c r="D303" i="1"/>
  <c r="Z151" i="1"/>
  <c r="Z233" i="1" s="1"/>
  <c r="Z41" i="1"/>
  <c r="Z153" i="1"/>
  <c r="I210" i="1"/>
  <c r="I281" i="1"/>
  <c r="I209" i="1"/>
  <c r="Z281" i="1"/>
  <c r="Z210" i="1"/>
  <c r="AM109" i="1"/>
  <c r="AM121" i="1" s="1"/>
  <c r="I121" i="1"/>
  <c r="AE192" i="1"/>
  <c r="C1278" i="2"/>
  <c r="C1292" i="2" s="1"/>
  <c r="AD73" i="1"/>
  <c r="AC221" i="1"/>
  <c r="AC294" i="1" s="1"/>
  <c r="AH181" i="1"/>
  <c r="AH247" i="1" s="1"/>
  <c r="AH164" i="1"/>
  <c r="X275" i="1"/>
  <c r="X207" i="1"/>
  <c r="AJ151" i="1"/>
  <c r="AJ233" i="1" s="1"/>
  <c r="AJ153" i="1"/>
  <c r="AJ41" i="1"/>
  <c r="AP75" i="1"/>
  <c r="AQ75" i="1" s="1"/>
  <c r="V58" i="3"/>
  <c r="E120" i="1"/>
  <c r="I259" i="1"/>
  <c r="AS41" i="1"/>
  <c r="AO207" i="1"/>
  <c r="I253" i="1"/>
  <c r="AL72" i="3"/>
  <c r="W50" i="3"/>
  <c r="AC49" i="3"/>
  <c r="D65" i="3"/>
  <c r="AC40" i="3"/>
  <c r="G25" i="3"/>
  <c r="X185" i="1"/>
  <c r="D92" i="3"/>
  <c r="AJ50" i="3"/>
  <c r="W49" i="3"/>
  <c r="AJ46" i="3"/>
  <c r="W40" i="3"/>
  <c r="C735" i="2"/>
  <c r="C736" i="2" s="1"/>
  <c r="AS95" i="1"/>
  <c r="AS168" i="1" s="1"/>
  <c r="AS92" i="1"/>
  <c r="AC65" i="3"/>
  <c r="W51" i="3"/>
  <c r="H50" i="3"/>
  <c r="E46" i="3"/>
  <c r="AR213" i="1"/>
  <c r="I730" i="2"/>
  <c r="J736" i="2" s="1"/>
  <c r="D50" i="3"/>
  <c r="AA46" i="3"/>
  <c r="H40" i="3"/>
  <c r="X33" i="3"/>
  <c r="AP32" i="3"/>
  <c r="AC92" i="3"/>
  <c r="AJ40" i="3"/>
  <c r="D40" i="3"/>
  <c r="AN25" i="3"/>
  <c r="AH29" i="3"/>
  <c r="AS40" i="1"/>
  <c r="AS91" i="1"/>
  <c r="D51" i="3"/>
  <c r="AR224" i="1"/>
  <c r="I701" i="2"/>
  <c r="C719" i="2"/>
  <c r="D718" i="2"/>
  <c r="D719" i="2" s="1"/>
  <c r="J983" i="2"/>
  <c r="J1100" i="2"/>
  <c r="J776" i="2"/>
  <c r="J1101" i="2"/>
  <c r="D1236" i="2"/>
  <c r="D780" i="2"/>
  <c r="D983" i="2"/>
  <c r="J820" i="2"/>
  <c r="J774" i="2"/>
  <c r="I1151" i="2"/>
  <c r="J978" i="2"/>
  <c r="J976" i="2"/>
  <c r="D822" i="2"/>
  <c r="J980" i="2"/>
  <c r="J823" i="2"/>
  <c r="D825" i="2"/>
  <c r="D819" i="2"/>
  <c r="D820" i="2" s="1"/>
  <c r="D982" i="2"/>
  <c r="D823" i="2"/>
  <c r="D1199" i="2"/>
  <c r="C839" i="2"/>
  <c r="C840" i="2" s="1"/>
  <c r="D981" i="2"/>
  <c r="J817" i="2"/>
  <c r="C758" i="2"/>
  <c r="C759" i="2" s="1"/>
  <c r="J818" i="2"/>
  <c r="D779" i="2"/>
  <c r="C1211" i="2"/>
  <c r="C1212" i="2" s="1"/>
  <c r="D1195" i="2"/>
  <c r="C999" i="2"/>
  <c r="D1188" i="2"/>
  <c r="D1189" i="2" s="1"/>
  <c r="D985" i="2"/>
  <c r="D1105" i="2"/>
  <c r="D781" i="2"/>
  <c r="D821" i="2"/>
  <c r="D1019" i="2"/>
  <c r="D1020" i="2" s="1"/>
  <c r="D1023" i="2"/>
  <c r="I822" i="2"/>
  <c r="J1017" i="2"/>
  <c r="J1150" i="2"/>
  <c r="D1021" i="2"/>
  <c r="J1018" i="2"/>
  <c r="D1143" i="2"/>
  <c r="D1144" i="2" s="1"/>
  <c r="C1166" i="2"/>
  <c r="C1167" i="2" s="1"/>
  <c r="D976" i="2"/>
  <c r="D977" i="2" s="1"/>
  <c r="D1242" i="2"/>
  <c r="D1149" i="2"/>
  <c r="D987" i="2"/>
  <c r="I1196" i="2"/>
  <c r="C1081" i="2"/>
  <c r="D979" i="2"/>
  <c r="D980" i="2" s="1"/>
  <c r="I1061" i="2"/>
  <c r="D1238" i="2"/>
  <c r="D1237" i="2"/>
  <c r="C1350" i="2"/>
  <c r="C1354" i="2" s="1"/>
  <c r="J1240" i="2"/>
  <c r="D1022" i="2"/>
  <c r="J1237" i="2"/>
  <c r="I864" i="2"/>
  <c r="J1238" i="2"/>
  <c r="I862" i="2"/>
  <c r="C984" i="2"/>
  <c r="C986" i="2" s="1"/>
  <c r="I942" i="2"/>
  <c r="C959" i="2"/>
  <c r="D1197" i="2"/>
  <c r="D1027" i="2"/>
  <c r="D783" i="2"/>
  <c r="D1193" i="2"/>
  <c r="J1195" i="2"/>
  <c r="C1408" i="2"/>
  <c r="J1192" i="2"/>
  <c r="C797" i="2"/>
  <c r="C879" i="2"/>
  <c r="C880" i="2" s="1"/>
  <c r="J1189" i="2"/>
  <c r="D1104" i="2"/>
  <c r="J1188" i="2"/>
  <c r="D1194" i="2"/>
  <c r="D827" i="2"/>
  <c r="D1106" i="2"/>
  <c r="I1065" i="2"/>
  <c r="D1234" i="2"/>
  <c r="D1235" i="2" s="1"/>
  <c r="D1191" i="2"/>
  <c r="D1192" i="2" s="1"/>
  <c r="I984" i="2"/>
  <c r="I982" i="2"/>
  <c r="C1419" i="2"/>
  <c r="I1318" i="2"/>
  <c r="C1196" i="2"/>
  <c r="C1039" i="2"/>
  <c r="D1025" i="2"/>
  <c r="I1020" i="2"/>
  <c r="I1024" i="2"/>
  <c r="J1023" i="2"/>
  <c r="J778" i="2"/>
  <c r="I780" i="2"/>
  <c r="I741" i="2"/>
  <c r="C1328" i="2"/>
  <c r="C1151" i="2"/>
  <c r="I902" i="2"/>
  <c r="I1194" i="2"/>
  <c r="C1366" i="2"/>
  <c r="C1232" i="2"/>
  <c r="D1231" i="2"/>
  <c r="D1232" i="2" s="1"/>
  <c r="C1061" i="2"/>
  <c r="J1243" i="2"/>
  <c r="I1244" i="2"/>
  <c r="I904" i="2"/>
  <c r="I824" i="2"/>
  <c r="C1392" i="2"/>
  <c r="C1313" i="2"/>
  <c r="D1240" i="2"/>
  <c r="C1254" i="2"/>
  <c r="I1149" i="2"/>
  <c r="J1147" i="2"/>
  <c r="J1145" i="2"/>
  <c r="J1144" i="2"/>
  <c r="D1150" i="2"/>
  <c r="D1154" i="2"/>
  <c r="J1143" i="2"/>
  <c r="D1152" i="2"/>
  <c r="D1148" i="2"/>
  <c r="D1146" i="2"/>
  <c r="D1147" i="2" s="1"/>
  <c r="C919" i="2"/>
  <c r="I742" i="2"/>
  <c r="C739" i="2"/>
  <c r="AS55" i="1"/>
  <c r="AS53" i="1"/>
  <c r="AS43" i="1"/>
  <c r="AS42" i="1"/>
  <c r="AS29" i="1"/>
  <c r="AS181" i="1"/>
  <c r="AS247" i="1" s="1"/>
  <c r="AS164" i="1"/>
  <c r="AS195" i="1"/>
  <c r="AS264" i="1" s="1"/>
  <c r="AS194" i="1"/>
  <c r="AS263" i="1" s="1"/>
  <c r="X168" i="1" l="1"/>
  <c r="X195" i="1"/>
  <c r="X264" i="1" s="1"/>
  <c r="X158" i="1"/>
  <c r="X196" i="1" s="1"/>
  <c r="X265" i="1" s="1"/>
  <c r="X190" i="1"/>
  <c r="X259" i="1" s="1"/>
  <c r="X177" i="1"/>
  <c r="X243" i="1" s="1"/>
  <c r="BR191" i="1"/>
  <c r="BR180" i="1"/>
  <c r="BR246" i="1" s="1"/>
  <c r="E817" i="2"/>
  <c r="E820" i="2"/>
  <c r="K822" i="2"/>
  <c r="C1282" i="2"/>
  <c r="AS52" i="1"/>
  <c r="D905" i="2"/>
  <c r="BX60" i="1"/>
  <c r="BX58" i="1"/>
  <c r="BX33" i="1"/>
  <c r="BX10" i="1"/>
  <c r="W219" i="1"/>
  <c r="W292" i="1" s="1"/>
  <c r="BW17" i="1"/>
  <c r="BW11" i="1"/>
  <c r="W213" i="1"/>
  <c r="W286" i="1" s="1"/>
  <c r="W221" i="1"/>
  <c r="W294" i="1" s="1"/>
  <c r="W217" i="1"/>
  <c r="W290" i="1" s="1"/>
  <c r="W121" i="1"/>
  <c r="AW314" i="1"/>
  <c r="AW325" i="1" s="1"/>
  <c r="BQ220" i="1"/>
  <c r="BQ293" i="1" s="1"/>
  <c r="BQ78" i="1"/>
  <c r="BQ101" i="1"/>
  <c r="D901" i="2"/>
  <c r="D1416" i="2"/>
  <c r="BQ190" i="1"/>
  <c r="BQ177" i="1"/>
  <c r="BQ243" i="1" s="1"/>
  <c r="J896" i="2"/>
  <c r="D902" i="2"/>
  <c r="D903" i="2"/>
  <c r="BC227" i="1"/>
  <c r="BC300" i="1" s="1"/>
  <c r="BQ227" i="1"/>
  <c r="BQ300" i="1" s="1"/>
  <c r="D1311" i="2"/>
  <c r="D1314" i="2"/>
  <c r="J1313" i="2"/>
  <c r="J1312" i="2"/>
  <c r="J781" i="2"/>
  <c r="D785" i="2"/>
  <c r="D1312" i="2"/>
  <c r="G319" i="1"/>
  <c r="D1316" i="2"/>
  <c r="D1309" i="2"/>
  <c r="D1310" i="2" s="1"/>
  <c r="J1315" i="2"/>
  <c r="BP191" i="1"/>
  <c r="BP260" i="1" s="1"/>
  <c r="BP180" i="1"/>
  <c r="BP246" i="1" s="1"/>
  <c r="W303" i="1"/>
  <c r="BL256" i="1"/>
  <c r="BL269" i="1"/>
  <c r="AH314" i="1"/>
  <c r="AG282" i="1"/>
  <c r="AS328" i="1"/>
  <c r="AT328" i="1"/>
  <c r="AH282" i="1"/>
  <c r="AG314" i="1"/>
  <c r="BB84" i="1"/>
  <c r="BB86" i="1" s="1"/>
  <c r="AF314" i="1"/>
  <c r="BM282" i="1"/>
  <c r="AX314" i="1"/>
  <c r="I1106" i="2"/>
  <c r="I1107" i="2" s="1"/>
  <c r="BC83" i="1"/>
  <c r="BC229" i="1" s="1"/>
  <c r="BC302" i="1" s="1"/>
  <c r="D322" i="1"/>
  <c r="D317" i="1"/>
  <c r="J325" i="1"/>
  <c r="J324" i="1"/>
  <c r="AY282" i="1"/>
  <c r="AE308" i="1"/>
  <c r="J903" i="2"/>
  <c r="J898" i="2"/>
  <c r="J900" i="2"/>
  <c r="D1418" i="2"/>
  <c r="D1275" i="2"/>
  <c r="D1276" i="2"/>
  <c r="J1277" i="2"/>
  <c r="J1278" i="2" s="1"/>
  <c r="D1280" i="2"/>
  <c r="D1415" i="2"/>
  <c r="J1279" i="2"/>
  <c r="M319" i="1"/>
  <c r="M317" i="1"/>
  <c r="M322" i="1"/>
  <c r="M316" i="1"/>
  <c r="M321" i="1"/>
  <c r="AE261" i="1"/>
  <c r="D907" i="2"/>
  <c r="D1414" i="2"/>
  <c r="D899" i="2"/>
  <c r="D900" i="2" s="1"/>
  <c r="D1413" i="2"/>
  <c r="D1407" i="2"/>
  <c r="D1408" i="2" s="1"/>
  <c r="I325" i="1"/>
  <c r="I324" i="1"/>
  <c r="J1281" i="2"/>
  <c r="N317" i="1"/>
  <c r="N316" i="1"/>
  <c r="N322" i="1"/>
  <c r="N321" i="1"/>
  <c r="N319" i="1"/>
  <c r="G317" i="1"/>
  <c r="G322" i="1"/>
  <c r="AE303" i="1"/>
  <c r="W261" i="1"/>
  <c r="M324" i="1"/>
  <c r="M325" i="1"/>
  <c r="N324" i="1"/>
  <c r="N325" i="1"/>
  <c r="AA308" i="1"/>
  <c r="AU283" i="1"/>
  <c r="BL266" i="1"/>
  <c r="BL268" i="1"/>
  <c r="N283" i="1"/>
  <c r="AL306" i="1"/>
  <c r="AL310" i="1"/>
  <c r="AI154" i="1"/>
  <c r="AI310" i="1" s="1"/>
  <c r="H310" i="1"/>
  <c r="H319" i="1" s="1"/>
  <c r="AD159" i="1"/>
  <c r="AD194" i="1" s="1"/>
  <c r="AD263" i="1" s="1"/>
  <c r="AD312" i="1"/>
  <c r="N269" i="1"/>
  <c r="U164" i="1"/>
  <c r="U233" i="1"/>
  <c r="T181" i="1"/>
  <c r="T247" i="1" s="1"/>
  <c r="T233" i="1"/>
  <c r="T306" i="1" s="1"/>
  <c r="N256" i="1"/>
  <c r="AE110" i="1"/>
  <c r="AE121" i="1"/>
  <c r="C195" i="1"/>
  <c r="C264" i="1" s="1"/>
  <c r="C267" i="1" s="1"/>
  <c r="C233" i="1"/>
  <c r="Y181" i="1"/>
  <c r="Y247" i="1" s="1"/>
  <c r="Y233" i="1"/>
  <c r="D168" i="1"/>
  <c r="D198" i="1" s="1"/>
  <c r="D233" i="1"/>
  <c r="G195" i="1"/>
  <c r="G264" i="1" s="1"/>
  <c r="G233" i="1"/>
  <c r="G306" i="1" s="1"/>
  <c r="N268" i="1"/>
  <c r="N267" i="1"/>
  <c r="BB101" i="1"/>
  <c r="BB191" i="1" s="1"/>
  <c r="BB260" i="1" s="1"/>
  <c r="BJ240" i="1"/>
  <c r="AH79" i="3"/>
  <c r="BM83" i="1"/>
  <c r="BM229" i="1" s="1"/>
  <c r="BM302" i="1" s="1"/>
  <c r="N276" i="1"/>
  <c r="N282" i="1"/>
  <c r="AU174" i="1"/>
  <c r="AU240" i="1" s="1"/>
  <c r="AJ187" i="1"/>
  <c r="C168" i="1"/>
  <c r="C235" i="1" s="1"/>
  <c r="AX282" i="1"/>
  <c r="BL282" i="1"/>
  <c r="AX276" i="1"/>
  <c r="BL276" i="1"/>
  <c r="BK93" i="1"/>
  <c r="BJ93" i="1"/>
  <c r="BJ190" i="1"/>
  <c r="BJ259" i="1" s="1"/>
  <c r="BJ177" i="1"/>
  <c r="BJ243" i="1" s="1"/>
  <c r="BL177" i="1"/>
  <c r="BL243" i="1" s="1"/>
  <c r="BL190" i="1"/>
  <c r="BL259" i="1" s="1"/>
  <c r="BJ189" i="1"/>
  <c r="BJ258" i="1" s="1"/>
  <c r="BJ178" i="1"/>
  <c r="BJ244" i="1" s="1"/>
  <c r="BK190" i="1"/>
  <c r="BK259" i="1" s="1"/>
  <c r="BK177" i="1"/>
  <c r="BK243" i="1" s="1"/>
  <c r="BK189" i="1"/>
  <c r="BK258" i="1" s="1"/>
  <c r="BK178" i="1"/>
  <c r="BK244" i="1" s="1"/>
  <c r="BL189" i="1"/>
  <c r="BL258" i="1" s="1"/>
  <c r="BL178" i="1"/>
  <c r="BL244" i="1" s="1"/>
  <c r="R72" i="1"/>
  <c r="R215" i="1"/>
  <c r="R288" i="1" s="1"/>
  <c r="BK229" i="1"/>
  <c r="BK302" i="1" s="1"/>
  <c r="AY78" i="1"/>
  <c r="AY226" i="1" s="1"/>
  <c r="AY299" i="1" s="1"/>
  <c r="BA101" i="1"/>
  <c r="AZ101" i="1"/>
  <c r="AY80" i="1"/>
  <c r="C158" i="1"/>
  <c r="C174" i="1" s="1"/>
  <c r="AL232" i="1"/>
  <c r="AL305" i="1" s="1"/>
  <c r="AL163" i="1"/>
  <c r="AL159" i="1"/>
  <c r="AL175" i="1" s="1"/>
  <c r="AU235" i="1"/>
  <c r="AU264" i="1"/>
  <c r="AU265" i="1"/>
  <c r="C181" i="1"/>
  <c r="C247" i="1" s="1"/>
  <c r="AH269" i="1"/>
  <c r="AH168" i="1"/>
  <c r="AH198" i="1" s="1"/>
  <c r="C1156" i="2"/>
  <c r="I1152" i="2" s="1"/>
  <c r="K1146" i="2" s="1"/>
  <c r="K169" i="1"/>
  <c r="K197" i="1" s="1"/>
  <c r="AU153" i="1"/>
  <c r="C628" i="2" s="1"/>
  <c r="AL193" i="1"/>
  <c r="AL262" i="1" s="1"/>
  <c r="C164" i="1"/>
  <c r="AG114" i="1"/>
  <c r="AO111" i="1"/>
  <c r="D42" i="1"/>
  <c r="E980" i="2"/>
  <c r="E977" i="2"/>
  <c r="AE71" i="1"/>
  <c r="AE218" i="1" s="1"/>
  <c r="AE291" i="1" s="1"/>
  <c r="E986" i="2"/>
  <c r="AL169" i="1"/>
  <c r="AL197" i="1" s="1"/>
  <c r="AL185" i="1"/>
  <c r="AL254" i="1" s="1"/>
  <c r="Z276" i="1"/>
  <c r="AL171" i="1"/>
  <c r="AL238" i="1" s="1"/>
  <c r="AL168" i="1"/>
  <c r="AL235" i="1" s="1"/>
  <c r="U49" i="1"/>
  <c r="U51" i="1" s="1"/>
  <c r="U53" i="1" s="1"/>
  <c r="Z51" i="3"/>
  <c r="Z65" i="3"/>
  <c r="Z79" i="3"/>
  <c r="Z40" i="3"/>
  <c r="AH49" i="3"/>
  <c r="AH51" i="3"/>
  <c r="AH65" i="3"/>
  <c r="AD65" i="3"/>
  <c r="AY200" i="1"/>
  <c r="M267" i="1"/>
  <c r="M266" i="1"/>
  <c r="M256" i="1"/>
  <c r="M268" i="1"/>
  <c r="M269" i="1"/>
  <c r="M283" i="1"/>
  <c r="L84" i="1"/>
  <c r="L229" i="1"/>
  <c r="AD49" i="1"/>
  <c r="AD51" i="1" s="1"/>
  <c r="AD52" i="1" s="1"/>
  <c r="AD39" i="1"/>
  <c r="AN49" i="1"/>
  <c r="AN51" i="1" s="1"/>
  <c r="AN39" i="1"/>
  <c r="Y49" i="1"/>
  <c r="Y51" i="1" s="1"/>
  <c r="H169" i="1"/>
  <c r="H197" i="1" s="1"/>
  <c r="AM76" i="1"/>
  <c r="AM224" i="1" s="1"/>
  <c r="AM297" i="1" s="1"/>
  <c r="U26" i="1"/>
  <c r="U42" i="1" s="1"/>
  <c r="AO115" i="1"/>
  <c r="E276" i="1"/>
  <c r="AG72" i="1"/>
  <c r="AG220" i="1" s="1"/>
  <c r="AG293" i="1" s="1"/>
  <c r="AH215" i="1"/>
  <c r="AH288" i="1" s="1"/>
  <c r="AG213" i="1"/>
  <c r="AG286" i="1" s="1"/>
  <c r="AI65" i="1"/>
  <c r="AI213" i="1" s="1"/>
  <c r="AI286" i="1" s="1"/>
  <c r="H72" i="1"/>
  <c r="H220" i="1" s="1"/>
  <c r="H293" i="1" s="1"/>
  <c r="AO290" i="1"/>
  <c r="AU190" i="1"/>
  <c r="AU259" i="1" s="1"/>
  <c r="AU255" i="1"/>
  <c r="C1070" i="2"/>
  <c r="I1066" i="2" s="1"/>
  <c r="K1060" i="2" s="1"/>
  <c r="AU43" i="1"/>
  <c r="AU29" i="1"/>
  <c r="AU42" i="1"/>
  <c r="AU253" i="1"/>
  <c r="AU257" i="1"/>
  <c r="AU254" i="1"/>
  <c r="AR51" i="1"/>
  <c r="AU93" i="1"/>
  <c r="AU98" i="1"/>
  <c r="AT116" i="1"/>
  <c r="AK185" i="1"/>
  <c r="AK254" i="1" s="1"/>
  <c r="AN115" i="1"/>
  <c r="D163" i="1"/>
  <c r="AO232" i="1"/>
  <c r="AO305" i="1" s="1"/>
  <c r="AO159" i="1"/>
  <c r="AO194" i="1" s="1"/>
  <c r="AO263" i="1" s="1"/>
  <c r="AN111" i="1"/>
  <c r="AH49" i="1"/>
  <c r="AH51" i="1" s="1"/>
  <c r="AH26" i="1"/>
  <c r="AH42" i="1" s="1"/>
  <c r="AR215" i="1"/>
  <c r="AR288" i="1" s="1"/>
  <c r="AC163" i="1"/>
  <c r="AC154" i="1"/>
  <c r="AC193" i="1"/>
  <c r="AC262" i="1" s="1"/>
  <c r="AC159" i="1"/>
  <c r="AC194" i="1" s="1"/>
  <c r="AC263" i="1" s="1"/>
  <c r="D169" i="1"/>
  <c r="D236" i="1" s="1"/>
  <c r="AG116" i="1"/>
  <c r="D193" i="1"/>
  <c r="D262" i="1" s="1"/>
  <c r="T215" i="1"/>
  <c r="T288" i="1" s="1"/>
  <c r="D154" i="1"/>
  <c r="D310" i="1" s="1"/>
  <c r="D319" i="1" s="1"/>
  <c r="D159" i="1"/>
  <c r="D194" i="1" s="1"/>
  <c r="D263" i="1" s="1"/>
  <c r="J49" i="1"/>
  <c r="J51" i="1" s="1"/>
  <c r="L52" i="1" s="1"/>
  <c r="AD216" i="1"/>
  <c r="AD289" i="1" s="1"/>
  <c r="AO281" i="1"/>
  <c r="H232" i="1"/>
  <c r="H305" i="1" s="1"/>
  <c r="AH116" i="1"/>
  <c r="H41" i="1"/>
  <c r="G101" i="1"/>
  <c r="G180" i="1" s="1"/>
  <c r="G246" i="1" s="1"/>
  <c r="AO297" i="1"/>
  <c r="AO287" i="1"/>
  <c r="H159" i="1"/>
  <c r="H194" i="1" s="1"/>
  <c r="H263" i="1" s="1"/>
  <c r="H268" i="1" s="1"/>
  <c r="H193" i="1"/>
  <c r="H262" i="1" s="1"/>
  <c r="H266" i="1" s="1"/>
  <c r="AO286" i="1"/>
  <c r="AQ69" i="1"/>
  <c r="AS100" i="1" s="1"/>
  <c r="AS190" i="1" s="1"/>
  <c r="AS259" i="1" s="1"/>
  <c r="AO298" i="1"/>
  <c r="AQ39" i="1"/>
  <c r="H163" i="1"/>
  <c r="Y45" i="1"/>
  <c r="K741" i="2"/>
  <c r="E736" i="2"/>
  <c r="AO291" i="1"/>
  <c r="AQ210" i="1"/>
  <c r="Y26" i="1"/>
  <c r="Y29" i="1" s="1"/>
  <c r="AT169" i="1"/>
  <c r="AT197" i="1" s="1"/>
  <c r="AO292" i="1"/>
  <c r="H171" i="1"/>
  <c r="H238" i="1" s="1"/>
  <c r="AO301" i="1"/>
  <c r="AP216" i="1"/>
  <c r="AP289" i="1" s="1"/>
  <c r="AO295" i="1"/>
  <c r="AO275" i="1"/>
  <c r="AO276" i="1" s="1"/>
  <c r="AO289" i="1"/>
  <c r="H151" i="1"/>
  <c r="AR185" i="1"/>
  <c r="AR254" i="1" s="1"/>
  <c r="AO193" i="1"/>
  <c r="AO262" i="1" s="1"/>
  <c r="AN72" i="1"/>
  <c r="AN78" i="1" s="1"/>
  <c r="AO154" i="1"/>
  <c r="K94" i="1"/>
  <c r="K55" i="1"/>
  <c r="AN153" i="1"/>
  <c r="AN159" i="1" s="1"/>
  <c r="AN175" i="1" s="1"/>
  <c r="AM210" i="1"/>
  <c r="AN151" i="1"/>
  <c r="AM275" i="1"/>
  <c r="C1244" i="2"/>
  <c r="I1245" i="2" s="1"/>
  <c r="K1239" i="2" s="1"/>
  <c r="AT171" i="1"/>
  <c r="AT238" i="1" s="1"/>
  <c r="AT185" i="1"/>
  <c r="AT187" i="1" s="1"/>
  <c r="AS215" i="1"/>
  <c r="AS288" i="1" s="1"/>
  <c r="F72" i="1"/>
  <c r="F220" i="1" s="1"/>
  <c r="F293" i="1" s="1"/>
  <c r="AJ116" i="1"/>
  <c r="AH50" i="3"/>
  <c r="AL46" i="3"/>
  <c r="Z49" i="3"/>
  <c r="V79" i="3"/>
  <c r="AH46" i="3"/>
  <c r="AL33" i="3"/>
  <c r="AP65" i="3"/>
  <c r="V49" i="3"/>
  <c r="Z46" i="3"/>
  <c r="AP79" i="3"/>
  <c r="AP50" i="3"/>
  <c r="AP40" i="3"/>
  <c r="AP51" i="3"/>
  <c r="AP92" i="3"/>
  <c r="AP49" i="3"/>
  <c r="AQ67" i="1"/>
  <c r="AT98" i="1" s="1"/>
  <c r="AT189" i="1" s="1"/>
  <c r="AT258" i="1" s="1"/>
  <c r="AR96" i="1"/>
  <c r="AR186" i="1" s="1"/>
  <c r="AR255" i="1" s="1"/>
  <c r="AQ96" i="1"/>
  <c r="AQ186" i="1" s="1"/>
  <c r="AQ255" i="1" s="1"/>
  <c r="AE114" i="1"/>
  <c r="AS96" i="1"/>
  <c r="AS186" i="1" s="1"/>
  <c r="AS255" i="1" s="1"/>
  <c r="D158" i="1"/>
  <c r="D196" i="1" s="1"/>
  <c r="D265" i="1" s="1"/>
  <c r="AT75" i="1"/>
  <c r="AT223" i="1" s="1"/>
  <c r="AT296" i="1" s="1"/>
  <c r="E1310" i="2"/>
  <c r="Y100" i="1"/>
  <c r="Y190" i="1" s="1"/>
  <c r="Y259" i="1" s="1"/>
  <c r="Z69" i="1"/>
  <c r="Z45" i="1" s="1"/>
  <c r="AO114" i="1"/>
  <c r="AI209" i="1"/>
  <c r="AE69" i="1"/>
  <c r="AE216" i="1" s="1"/>
  <c r="AE289" i="1" s="1"/>
  <c r="AY101" i="1"/>
  <c r="AY220" i="1"/>
  <c r="AY293" i="1" s="1"/>
  <c r="AH114" i="1"/>
  <c r="K1316" i="2"/>
  <c r="U181" i="1"/>
  <c r="U247" i="1" s="1"/>
  <c r="G39" i="1"/>
  <c r="AX87" i="1"/>
  <c r="U195" i="1"/>
  <c r="U264" i="1" s="1"/>
  <c r="G26" i="1"/>
  <c r="G42" i="1" s="1"/>
  <c r="AD171" i="1"/>
  <c r="AD238" i="1" s="1"/>
  <c r="AT282" i="1"/>
  <c r="AR111" i="1"/>
  <c r="D72" i="1"/>
  <c r="D78" i="1" s="1"/>
  <c r="D80" i="1" s="1"/>
  <c r="AB256" i="1"/>
  <c r="AD169" i="1"/>
  <c r="AD197" i="1" s="1"/>
  <c r="D1201" i="2"/>
  <c r="F1189" i="2" s="1"/>
  <c r="AD185" i="1"/>
  <c r="AD254" i="1" s="1"/>
  <c r="AG185" i="1"/>
  <c r="AG254" i="1" s="1"/>
  <c r="C232" i="1"/>
  <c r="C305" i="1" s="1"/>
  <c r="D53" i="1"/>
  <c r="C154" i="1"/>
  <c r="AN184" i="1"/>
  <c r="AN253" i="1" s="1"/>
  <c r="K159" i="1"/>
  <c r="K194" i="1" s="1"/>
  <c r="K263" i="1" s="1"/>
  <c r="E1189" i="2"/>
  <c r="D94" i="1"/>
  <c r="K306" i="1"/>
  <c r="E1192" i="2"/>
  <c r="U193" i="1"/>
  <c r="U262" i="1" s="1"/>
  <c r="AJ26" i="1"/>
  <c r="AJ29" i="1" s="1"/>
  <c r="AK26" i="1"/>
  <c r="AK29" i="1" s="1"/>
  <c r="AQ74" i="1"/>
  <c r="AQ222" i="1" s="1"/>
  <c r="AQ295" i="1" s="1"/>
  <c r="AP98" i="1"/>
  <c r="AP189" i="1" s="1"/>
  <c r="AP258" i="1" s="1"/>
  <c r="AK111" i="1"/>
  <c r="AJ49" i="1"/>
  <c r="AJ51" i="1" s="1"/>
  <c r="AJ52" i="1" s="1"/>
  <c r="AR39" i="1"/>
  <c r="AT115" i="1"/>
  <c r="AE81" i="1"/>
  <c r="AE228" i="1" s="1"/>
  <c r="AE301" i="1" s="1"/>
  <c r="AK49" i="1"/>
  <c r="AK51" i="1" s="1"/>
  <c r="K163" i="1"/>
  <c r="K1194" i="2"/>
  <c r="K232" i="1"/>
  <c r="K305" i="1" s="1"/>
  <c r="G49" i="1"/>
  <c r="G51" i="1" s="1"/>
  <c r="K43" i="1"/>
  <c r="J534" i="2"/>
  <c r="K42" i="1"/>
  <c r="AO296" i="1"/>
  <c r="AO294" i="1"/>
  <c r="W210" i="1"/>
  <c r="AO185" i="1"/>
  <c r="AO254" i="1" s="1"/>
  <c r="G215" i="1"/>
  <c r="G288" i="1" s="1"/>
  <c r="AA207" i="1"/>
  <c r="AA276" i="1"/>
  <c r="G220" i="1"/>
  <c r="G293" i="1" s="1"/>
  <c r="AT276" i="1"/>
  <c r="T158" i="1"/>
  <c r="T196" i="1" s="1"/>
  <c r="T265" i="1" s="1"/>
  <c r="AK116" i="1"/>
  <c r="C787" i="2"/>
  <c r="I783" i="2" s="1"/>
  <c r="K777" i="2" s="1"/>
  <c r="AX100" i="1"/>
  <c r="AX190" i="1" s="1"/>
  <c r="AX259" i="1" s="1"/>
  <c r="AM219" i="1"/>
  <c r="AM292" i="1" s="1"/>
  <c r="D43" i="1"/>
  <c r="G164" i="1"/>
  <c r="AC207" i="1"/>
  <c r="E617" i="2"/>
  <c r="E614" i="2"/>
  <c r="W17" i="1"/>
  <c r="W39" i="1" s="1"/>
  <c r="AO98" i="1"/>
  <c r="AO189" i="1" s="1"/>
  <c r="AO258" i="1" s="1"/>
  <c r="G158" i="1"/>
  <c r="G174" i="1" s="1"/>
  <c r="AQ187" i="1"/>
  <c r="G168" i="1"/>
  <c r="G235" i="1" s="1"/>
  <c r="Y178" i="1"/>
  <c r="Y244" i="1" s="1"/>
  <c r="AK114" i="1"/>
  <c r="K198" i="1"/>
  <c r="AV175" i="1"/>
  <c r="AV199" i="1" s="1"/>
  <c r="D452" i="2"/>
  <c r="I448" i="2"/>
  <c r="J448" i="2" s="1"/>
  <c r="E443" i="2"/>
  <c r="E440" i="2"/>
  <c r="E447" i="2"/>
  <c r="E449" i="2"/>
  <c r="C457" i="2"/>
  <c r="G181" i="1"/>
  <c r="G247" i="1" s="1"/>
  <c r="AN286" i="1"/>
  <c r="AT283" i="1"/>
  <c r="I491" i="2"/>
  <c r="D495" i="2"/>
  <c r="E483" i="2"/>
  <c r="E486" i="2"/>
  <c r="E490" i="2"/>
  <c r="E492" i="2"/>
  <c r="C500" i="2"/>
  <c r="X215" i="1"/>
  <c r="X288" i="1" s="1"/>
  <c r="J616" i="2"/>
  <c r="J621" i="2" s="1"/>
  <c r="D621" i="2"/>
  <c r="D625" i="2" s="1"/>
  <c r="AB29" i="1"/>
  <c r="D195" i="1"/>
  <c r="D264" i="1" s="1"/>
  <c r="AM209" i="1"/>
  <c r="AF276" i="1"/>
  <c r="AT111" i="1"/>
  <c r="AI281" i="1"/>
  <c r="AI314" i="1" s="1"/>
  <c r="AX83" i="1"/>
  <c r="AX229" i="1" s="1"/>
  <c r="AX302" i="1" s="1"/>
  <c r="AA281" i="1"/>
  <c r="AA314" i="1" s="1"/>
  <c r="D181" i="1"/>
  <c r="D247" i="1" s="1"/>
  <c r="AL45" i="1"/>
  <c r="K193" i="1"/>
  <c r="K262" i="1" s="1"/>
  <c r="AC111" i="1"/>
  <c r="AQ209" i="1"/>
  <c r="K174" i="1"/>
  <c r="K200" i="1" s="1"/>
  <c r="D164" i="1"/>
  <c r="AI185" i="1"/>
  <c r="AI254" i="1" s="1"/>
  <c r="C1112" i="2"/>
  <c r="E1100" i="2" s="1"/>
  <c r="C93" i="1"/>
  <c r="AE209" i="1"/>
  <c r="AP43" i="1"/>
  <c r="AO96" i="1"/>
  <c r="AO186" i="1" s="1"/>
  <c r="AO255" i="1" s="1"/>
  <c r="AT76" i="1"/>
  <c r="AT224" i="1" s="1"/>
  <c r="AT297" i="1" s="1"/>
  <c r="AB43" i="1"/>
  <c r="AK224" i="1"/>
  <c r="AK297" i="1" s="1"/>
  <c r="AP96" i="1"/>
  <c r="AP186" i="1" s="1"/>
  <c r="AP255" i="1" s="1"/>
  <c r="C26" i="1"/>
  <c r="C42" i="1" s="1"/>
  <c r="AP29" i="1"/>
  <c r="AM96" i="1"/>
  <c r="AM186" i="1" s="1"/>
  <c r="AM255" i="1" s="1"/>
  <c r="AQ254" i="1"/>
  <c r="C49" i="1"/>
  <c r="C51" i="1" s="1"/>
  <c r="C53" i="1" s="1"/>
  <c r="AT168" i="1"/>
  <c r="AT235" i="1" s="1"/>
  <c r="AX227" i="1"/>
  <c r="AX300" i="1" s="1"/>
  <c r="AM294" i="1"/>
  <c r="C159" i="1"/>
  <c r="C175" i="1" s="1"/>
  <c r="C869" i="2"/>
  <c r="I865" i="2" s="1"/>
  <c r="K859" i="2" s="1"/>
  <c r="AL174" i="1"/>
  <c r="AL200" i="1" s="1"/>
  <c r="AM69" i="1"/>
  <c r="AM216" i="1" s="1"/>
  <c r="AM289" i="1" s="1"/>
  <c r="AX98" i="1"/>
  <c r="AX199" i="1"/>
  <c r="AX241" i="1"/>
  <c r="K528" i="2"/>
  <c r="K531" i="2"/>
  <c r="AM291" i="1"/>
  <c r="AX200" i="1"/>
  <c r="AX240" i="1"/>
  <c r="F533" i="2"/>
  <c r="F526" i="2"/>
  <c r="F529" i="2"/>
  <c r="F535" i="2"/>
  <c r="C163" i="1"/>
  <c r="C236" i="1"/>
  <c r="AD111" i="1"/>
  <c r="AC184" i="1"/>
  <c r="AC253" i="1" s="1"/>
  <c r="AB49" i="1"/>
  <c r="AB51" i="1" s="1"/>
  <c r="AX235" i="1"/>
  <c r="AX198" i="1"/>
  <c r="C193" i="1"/>
  <c r="C262" i="1" s="1"/>
  <c r="C266" i="1" s="1"/>
  <c r="AL116" i="1"/>
  <c r="AD184" i="1"/>
  <c r="AD253" i="1" s="1"/>
  <c r="AM77" i="1"/>
  <c r="AM225" i="1" s="1"/>
  <c r="AM298" i="1" s="1"/>
  <c r="AM11" i="1"/>
  <c r="V221" i="1"/>
  <c r="V294" i="1" s="1"/>
  <c r="AB39" i="1"/>
  <c r="AN116" i="1"/>
  <c r="AV100" i="1"/>
  <c r="AV190" i="1" s="1"/>
  <c r="AV259" i="1" s="1"/>
  <c r="AW98" i="1"/>
  <c r="AX236" i="1"/>
  <c r="AX197" i="1"/>
  <c r="AT77" i="1"/>
  <c r="AX254" i="1"/>
  <c r="AX187" i="1"/>
  <c r="AO235" i="1"/>
  <c r="AM296" i="1"/>
  <c r="AT65" i="1"/>
  <c r="AT213" i="1" s="1"/>
  <c r="AT286" i="1" s="1"/>
  <c r="D1016" i="2"/>
  <c r="D1017" i="2" s="1"/>
  <c r="D1024" i="2" s="1"/>
  <c r="AW186" i="1"/>
  <c r="AW255" i="1" s="1"/>
  <c r="AW174" i="1"/>
  <c r="AW175" i="1"/>
  <c r="AW198" i="1"/>
  <c r="AW235" i="1"/>
  <c r="AV174" i="1"/>
  <c r="AV240" i="1" s="1"/>
  <c r="AW236" i="1"/>
  <c r="AW197" i="1"/>
  <c r="AW187" i="1"/>
  <c r="AW254" i="1"/>
  <c r="K571" i="2"/>
  <c r="K574" i="2"/>
  <c r="F572" i="2"/>
  <c r="J576" i="2"/>
  <c r="J574" i="2"/>
  <c r="F576" i="2"/>
  <c r="D578" i="2"/>
  <c r="F578" i="2" s="1"/>
  <c r="D580" i="2"/>
  <c r="V40" i="3"/>
  <c r="V50" i="3"/>
  <c r="AH92" i="3"/>
  <c r="AT158" i="1"/>
  <c r="AT196" i="1" s="1"/>
  <c r="AT265" i="1" s="1"/>
  <c r="AT195" i="1"/>
  <c r="AT264" i="1" s="1"/>
  <c r="AT181" i="1"/>
  <c r="AT247" i="1" s="1"/>
  <c r="AT175" i="1"/>
  <c r="AT199" i="1" s="1"/>
  <c r="AT164" i="1"/>
  <c r="K249" i="1"/>
  <c r="AV253" i="1"/>
  <c r="AV98" i="1"/>
  <c r="AS295" i="1"/>
  <c r="AV257" i="1"/>
  <c r="AV235" i="1"/>
  <c r="AV198" i="1"/>
  <c r="AV236" i="1"/>
  <c r="AV197" i="1"/>
  <c r="AV255" i="1"/>
  <c r="AV254" i="1"/>
  <c r="AV187" i="1"/>
  <c r="AP55" i="1"/>
  <c r="AP53" i="1"/>
  <c r="Z224" i="1"/>
  <c r="Z297" i="1" s="1"/>
  <c r="AC275" i="1"/>
  <c r="AC276" i="1" s="1"/>
  <c r="AG207" i="1"/>
  <c r="I609" i="2"/>
  <c r="D626" i="2" s="1"/>
  <c r="X232" i="1"/>
  <c r="X305" i="1" s="1"/>
  <c r="Z96" i="1"/>
  <c r="Z186" i="1" s="1"/>
  <c r="Z255" i="1" s="1"/>
  <c r="AR286" i="1"/>
  <c r="Y224" i="1"/>
  <c r="Y297" i="1" s="1"/>
  <c r="AQ287" i="1"/>
  <c r="AL59" i="3"/>
  <c r="C949" i="2"/>
  <c r="I945" i="2" s="1"/>
  <c r="K939" i="2" s="1"/>
  <c r="AM185" i="1"/>
  <c r="AM187" i="1" s="1"/>
  <c r="C909" i="2"/>
  <c r="E897" i="2" s="1"/>
  <c r="AN185" i="1"/>
  <c r="K227" i="1"/>
  <c r="K87" i="1"/>
  <c r="C637" i="2"/>
  <c r="D636" i="2"/>
  <c r="D637" i="2" s="1"/>
  <c r="AH193" i="1"/>
  <c r="AH262" i="1" s="1"/>
  <c r="AH266" i="1" s="1"/>
  <c r="I619" i="2"/>
  <c r="K619" i="2" s="1"/>
  <c r="J617" i="2"/>
  <c r="E621" i="2"/>
  <c r="C643" i="2"/>
  <c r="D643" i="2" s="1"/>
  <c r="C642" i="2"/>
  <c r="D642" i="2" s="1"/>
  <c r="AW93" i="1"/>
  <c r="I43" i="1"/>
  <c r="J39" i="1"/>
  <c r="J93" i="1"/>
  <c r="H42" i="1"/>
  <c r="H43" i="1"/>
  <c r="AL79" i="3"/>
  <c r="AD79" i="3"/>
  <c r="Z33" i="3"/>
  <c r="AD40" i="3"/>
  <c r="AD51" i="3"/>
  <c r="AD46" i="3"/>
  <c r="AD49" i="3"/>
  <c r="AD50" i="3"/>
  <c r="C625" i="2"/>
  <c r="C623" i="2"/>
  <c r="C630" i="2" s="1"/>
  <c r="C631" i="2" s="1"/>
  <c r="C644" i="2"/>
  <c r="D644" i="2" s="1"/>
  <c r="K664" i="2"/>
  <c r="K191" i="1"/>
  <c r="K180" i="1"/>
  <c r="K246" i="1" s="1"/>
  <c r="K83" i="1"/>
  <c r="K226" i="1"/>
  <c r="X159" i="1"/>
  <c r="X194" i="1" s="1"/>
  <c r="X263" i="1" s="1"/>
  <c r="T164" i="1"/>
  <c r="AA261" i="1"/>
  <c r="E659" i="2"/>
  <c r="J661" i="2"/>
  <c r="J666" i="2" s="1"/>
  <c r="J41" i="1"/>
  <c r="X193" i="1"/>
  <c r="X262" i="1" s="1"/>
  <c r="AQ11" i="1"/>
  <c r="X96" i="1"/>
  <c r="X186" i="1" s="1"/>
  <c r="X255" i="1" s="1"/>
  <c r="Y96" i="1"/>
  <c r="Y186" i="1" s="1"/>
  <c r="Y255" i="1" s="1"/>
  <c r="H282" i="1"/>
  <c r="I39" i="1"/>
  <c r="I93" i="1"/>
  <c r="I49" i="1"/>
  <c r="I51" i="1" s="1"/>
  <c r="AR26" i="1"/>
  <c r="AR29" i="1" s="1"/>
  <c r="AE76" i="1"/>
  <c r="AE224" i="1" s="1"/>
  <c r="AE297" i="1" s="1"/>
  <c r="Z29" i="1"/>
  <c r="T195" i="1"/>
  <c r="T264" i="1" s="1"/>
  <c r="AP114" i="1"/>
  <c r="AL49" i="1"/>
  <c r="AL51" i="1" s="1"/>
  <c r="AL26" i="1"/>
  <c r="AL39" i="1"/>
  <c r="AJ114" i="1"/>
  <c r="AQ223" i="1"/>
  <c r="AQ296" i="1" s="1"/>
  <c r="E666" i="2"/>
  <c r="C688" i="2"/>
  <c r="D688" i="2" s="1"/>
  <c r="C673" i="2"/>
  <c r="C689" i="2"/>
  <c r="D689" i="2" s="1"/>
  <c r="C687" i="2"/>
  <c r="Z43" i="1"/>
  <c r="I654" i="2"/>
  <c r="D671" i="2" s="1"/>
  <c r="F662" i="2" s="1"/>
  <c r="D666" i="2"/>
  <c r="AR184" i="1"/>
  <c r="AM285" i="1"/>
  <c r="AO169" i="1"/>
  <c r="D235" i="1"/>
  <c r="E662" i="2"/>
  <c r="C670" i="2"/>
  <c r="C668" i="2"/>
  <c r="E1020" i="2"/>
  <c r="D1365" i="2"/>
  <c r="D1366" i="2" s="1"/>
  <c r="C1122" i="2"/>
  <c r="D1122" i="2" s="1"/>
  <c r="D1123" i="2" s="1"/>
  <c r="D1057" i="2"/>
  <c r="D1058" i="2" s="1"/>
  <c r="D1376" i="2"/>
  <c r="D1374" i="2"/>
  <c r="J1061" i="2"/>
  <c r="D863" i="2"/>
  <c r="D1102" i="2"/>
  <c r="D1103" i="2" s="1"/>
  <c r="C707" i="2"/>
  <c r="C904" i="2"/>
  <c r="C908" i="2" s="1"/>
  <c r="D896" i="2"/>
  <c r="D897" i="2" s="1"/>
  <c r="D945" i="2"/>
  <c r="C710" i="2"/>
  <c r="D774" i="2"/>
  <c r="D775" i="2" s="1"/>
  <c r="D1273" i="2"/>
  <c r="D1274" i="2" s="1"/>
  <c r="C705" i="2"/>
  <c r="C712" i="2" s="1"/>
  <c r="C724" i="2"/>
  <c r="D724" i="2" s="1"/>
  <c r="C725" i="2"/>
  <c r="D725" i="2" s="1"/>
  <c r="D777" i="2"/>
  <c r="D778" i="2" s="1"/>
  <c r="J737" i="2"/>
  <c r="J936" i="2"/>
  <c r="D1375" i="2"/>
  <c r="D746" i="2"/>
  <c r="D741" i="2"/>
  <c r="D942" i="2"/>
  <c r="D941" i="2"/>
  <c r="J937" i="2"/>
  <c r="D947" i="2"/>
  <c r="D1371" i="2"/>
  <c r="D742" i="2"/>
  <c r="J940" i="2"/>
  <c r="J943" i="2"/>
  <c r="J938" i="2"/>
  <c r="D936" i="2"/>
  <c r="D937" i="2" s="1"/>
  <c r="D1373" i="2"/>
  <c r="D1063" i="2"/>
  <c r="AH154" i="1"/>
  <c r="C72" i="1"/>
  <c r="C101" i="1" s="1"/>
  <c r="AP282" i="1"/>
  <c r="D1066" i="2"/>
  <c r="J1064" i="2"/>
  <c r="C283" i="1"/>
  <c r="I770" i="2"/>
  <c r="AH45" i="1"/>
  <c r="I1105" i="2"/>
  <c r="D939" i="2"/>
  <c r="D940" i="2" s="1"/>
  <c r="D1062" i="2"/>
  <c r="D1068" i="2"/>
  <c r="AI69" i="1"/>
  <c r="AK100" i="1" s="1"/>
  <c r="AK190" i="1" s="1"/>
  <c r="AK259" i="1" s="1"/>
  <c r="J153" i="1"/>
  <c r="J232" i="1" s="1"/>
  <c r="J305" i="1" s="1"/>
  <c r="D1080" i="2"/>
  <c r="D1081" i="2" s="1"/>
  <c r="C944" i="2"/>
  <c r="C968" i="2" s="1"/>
  <c r="D968" i="2" s="1"/>
  <c r="AS93" i="1"/>
  <c r="D1108" i="2"/>
  <c r="D1060" i="2"/>
  <c r="D1061" i="2" s="1"/>
  <c r="J1059" i="2"/>
  <c r="D1064" i="2"/>
  <c r="AA156" i="1"/>
  <c r="AA312" i="1" s="1"/>
  <c r="AA61" i="1"/>
  <c r="AB59" i="1"/>
  <c r="D1099" i="2"/>
  <c r="D1100" i="2" s="1"/>
  <c r="E1017" i="2"/>
  <c r="AH91" i="1"/>
  <c r="AH115" i="1" s="1"/>
  <c r="AD306" i="1"/>
  <c r="AN295" i="1"/>
  <c r="Z222" i="1"/>
  <c r="Z295" i="1" s="1"/>
  <c r="AN287" i="1"/>
  <c r="AH267" i="1"/>
  <c r="AA60" i="1"/>
  <c r="D738" i="2"/>
  <c r="D739" i="2" s="1"/>
  <c r="D735" i="2"/>
  <c r="D736" i="2" s="1"/>
  <c r="J1057" i="2"/>
  <c r="J282" i="1"/>
  <c r="AO42" i="1"/>
  <c r="AO29" i="1"/>
  <c r="AO43" i="1"/>
  <c r="J735" i="2"/>
  <c r="J739" i="2"/>
  <c r="AL111" i="1"/>
  <c r="AN292" i="1"/>
  <c r="AO53" i="1"/>
  <c r="AO55" i="1"/>
  <c r="V42" i="1"/>
  <c r="W81" i="1"/>
  <c r="X163" i="1"/>
  <c r="X154" i="1"/>
  <c r="AB187" i="1"/>
  <c r="V43" i="1"/>
  <c r="AM49" i="1"/>
  <c r="AM51" i="1" s="1"/>
  <c r="AQ52" i="1" s="1"/>
  <c r="AF72" i="1"/>
  <c r="AF215" i="1"/>
  <c r="AF288" i="1" s="1"/>
  <c r="C1355" i="2"/>
  <c r="D1347" i="2" s="1"/>
  <c r="AC169" i="1"/>
  <c r="AC185" i="1"/>
  <c r="AC168" i="1"/>
  <c r="D744" i="2"/>
  <c r="W116" i="1"/>
  <c r="F194" i="1"/>
  <c r="F263" i="1" s="1"/>
  <c r="F175" i="1"/>
  <c r="AB168" i="1"/>
  <c r="AB164" i="1"/>
  <c r="AB181" i="1"/>
  <c r="AB247" i="1" s="1"/>
  <c r="AB195" i="1"/>
  <c r="AB264" i="1" s="1"/>
  <c r="AB154" i="1"/>
  <c r="AB163" i="1"/>
  <c r="AB169" i="1"/>
  <c r="AB193" i="1"/>
  <c r="AB262" i="1" s="1"/>
  <c r="AB266" i="1" s="1"/>
  <c r="AB232" i="1"/>
  <c r="AB305" i="1" s="1"/>
  <c r="D859" i="2"/>
  <c r="D860" i="2" s="1"/>
  <c r="AP151" i="1"/>
  <c r="W110" i="1"/>
  <c r="W111" i="1" s="1"/>
  <c r="AM178" i="1"/>
  <c r="AM244" i="1" s="1"/>
  <c r="J276" i="1"/>
  <c r="X198" i="1"/>
  <c r="X235" i="1"/>
  <c r="AL65" i="1"/>
  <c r="AK213" i="1"/>
  <c r="AK286" i="1" s="1"/>
  <c r="X236" i="1"/>
  <c r="X197" i="1"/>
  <c r="AP225" i="1"/>
  <c r="AP298" i="1" s="1"/>
  <c r="AQ77" i="1"/>
  <c r="D861" i="2"/>
  <c r="AS286" i="1"/>
  <c r="D283" i="1"/>
  <c r="AQ76" i="1"/>
  <c r="AT255" i="1"/>
  <c r="AS292" i="1"/>
  <c r="AP224" i="1"/>
  <c r="AP297" i="1" s="1"/>
  <c r="T29" i="1"/>
  <c r="T43" i="1"/>
  <c r="T42" i="1"/>
  <c r="V225" i="1"/>
  <c r="V298" i="1" s="1"/>
  <c r="W77" i="1"/>
  <c r="J863" i="2"/>
  <c r="AS289" i="1"/>
  <c r="AS281" i="1"/>
  <c r="AS275" i="1"/>
  <c r="AP153" i="1"/>
  <c r="AP169" i="1" s="1"/>
  <c r="E282" i="1"/>
  <c r="AF42" i="1"/>
  <c r="AT257" i="1"/>
  <c r="AT253" i="1"/>
  <c r="I892" i="2"/>
  <c r="AO253" i="1"/>
  <c r="AO257" i="1"/>
  <c r="AP257" i="1"/>
  <c r="I812" i="2"/>
  <c r="D829" i="2" s="1"/>
  <c r="F820" i="2" s="1"/>
  <c r="I852" i="2"/>
  <c r="AP254" i="1"/>
  <c r="AN257" i="1"/>
  <c r="Z217" i="1"/>
  <c r="Z290" i="1" s="1"/>
  <c r="AA70" i="1"/>
  <c r="AA217" i="1" s="1"/>
  <c r="AA290" i="1" s="1"/>
  <c r="AM281" i="1"/>
  <c r="AG283" i="1"/>
  <c r="AK282" i="1"/>
  <c r="AB177" i="1"/>
  <c r="AB243" i="1" s="1"/>
  <c r="AD77" i="1"/>
  <c r="AD225" i="1" s="1"/>
  <c r="AD298" i="1" s="1"/>
  <c r="AC225" i="1"/>
  <c r="AC298" i="1" s="1"/>
  <c r="J860" i="2"/>
  <c r="AS301" i="1"/>
  <c r="D856" i="2"/>
  <c r="D857" i="2" s="1"/>
  <c r="J856" i="2"/>
  <c r="AS290" i="1"/>
  <c r="AS285" i="1"/>
  <c r="AD29" i="1"/>
  <c r="AF29" i="1"/>
  <c r="F258" i="1"/>
  <c r="AA67" i="1"/>
  <c r="AC98" i="1" s="1"/>
  <c r="I691" i="2"/>
  <c r="J283" i="1"/>
  <c r="AQ221" i="1"/>
  <c r="AQ294" i="1" s="1"/>
  <c r="AS287" i="1"/>
  <c r="D867" i="2"/>
  <c r="J857" i="2"/>
  <c r="D865" i="2"/>
  <c r="AS291" i="1"/>
  <c r="AH159" i="1"/>
  <c r="AH194" i="1" s="1"/>
  <c r="AH263" i="1" s="1"/>
  <c r="AH268" i="1" s="1"/>
  <c r="AS296" i="1"/>
  <c r="AN98" i="1"/>
  <c r="AN189" i="1" s="1"/>
  <c r="AN258" i="1" s="1"/>
  <c r="AA177" i="1"/>
  <c r="AA243" i="1" s="1"/>
  <c r="AJ215" i="1"/>
  <c r="AJ288" i="1" s="1"/>
  <c r="AJ72" i="1"/>
  <c r="AL228" i="1"/>
  <c r="AL301" i="1" s="1"/>
  <c r="AM81" i="1"/>
  <c r="AM228" i="1" s="1"/>
  <c r="AM301" i="1" s="1"/>
  <c r="AN296" i="1"/>
  <c r="AN298" i="1"/>
  <c r="AN275" i="1"/>
  <c r="AN291" i="1"/>
  <c r="AN281" i="1"/>
  <c r="AN301" i="1"/>
  <c r="AN289" i="1"/>
  <c r="AN297" i="1"/>
  <c r="AN294" i="1"/>
  <c r="AN290" i="1"/>
  <c r="AN285" i="1"/>
  <c r="AN288" i="1"/>
  <c r="AI71" i="1"/>
  <c r="AI218" i="1" s="1"/>
  <c r="AI291" i="1" s="1"/>
  <c r="AN255" i="1"/>
  <c r="AS294" i="1"/>
  <c r="T159" i="1"/>
  <c r="T194" i="1" s="1"/>
  <c r="T263" i="1" s="1"/>
  <c r="D862" i="2"/>
  <c r="F257" i="1"/>
  <c r="AI67" i="1"/>
  <c r="AH219" i="1"/>
  <c r="AH292" i="1" s="1"/>
  <c r="F232" i="1"/>
  <c r="F305" i="1" s="1"/>
  <c r="F154" i="1"/>
  <c r="F310" i="1" s="1"/>
  <c r="F163" i="1"/>
  <c r="F193" i="1"/>
  <c r="F262" i="1" s="1"/>
  <c r="F169" i="1"/>
  <c r="F198" i="1"/>
  <c r="F235" i="1"/>
  <c r="AT29" i="1"/>
  <c r="AT43" i="1"/>
  <c r="AT42" i="1"/>
  <c r="AT93" i="1"/>
  <c r="AT51" i="1"/>
  <c r="AG91" i="1"/>
  <c r="AG184" i="1" s="1"/>
  <c r="AS257" i="1"/>
  <c r="AS171" i="1"/>
  <c r="AS238" i="1" s="1"/>
  <c r="D740" i="2"/>
  <c r="D699" i="2"/>
  <c r="D703" i="2" s="1"/>
  <c r="D707" i="2" s="1"/>
  <c r="AI8" i="1"/>
  <c r="AS297" i="1"/>
  <c r="U154" i="1"/>
  <c r="V163" i="1"/>
  <c r="V159" i="1"/>
  <c r="V194" i="1" s="1"/>
  <c r="V263" i="1" s="1"/>
  <c r="V154" i="1"/>
  <c r="V193" i="1"/>
  <c r="V262" i="1" s="1"/>
  <c r="V232" i="1"/>
  <c r="V305" i="1" s="1"/>
  <c r="AM26" i="1"/>
  <c r="AB59" i="3"/>
  <c r="AC17" i="1"/>
  <c r="AC11" i="1"/>
  <c r="E39" i="1"/>
  <c r="E93" i="1"/>
  <c r="W93" i="1" s="1"/>
  <c r="E49" i="1"/>
  <c r="E51" i="1" s="1"/>
  <c r="AI253" i="1"/>
  <c r="AQ281" i="1"/>
  <c r="AQ257" i="1"/>
  <c r="AR257" i="1"/>
  <c r="AQ253" i="1"/>
  <c r="AL214" i="1"/>
  <c r="AL287" i="1" s="1"/>
  <c r="J215" i="1"/>
  <c r="J288" i="1" s="1"/>
  <c r="J72" i="1"/>
  <c r="V195" i="1"/>
  <c r="V264" i="1" s="1"/>
  <c r="V164" i="1"/>
  <c r="V181" i="1"/>
  <c r="V247" i="1" s="1"/>
  <c r="AM214" i="1"/>
  <c r="AM287" i="1" s="1"/>
  <c r="AR297" i="1"/>
  <c r="AE8" i="1"/>
  <c r="AD42" i="1"/>
  <c r="AA110" i="1"/>
  <c r="AA111" i="1" s="1"/>
  <c r="AA115" i="1"/>
  <c r="AG195" i="1"/>
  <c r="AG264" i="1" s="1"/>
  <c r="AG168" i="1"/>
  <c r="AG164" i="1"/>
  <c r="AG158" i="1"/>
  <c r="AG181" i="1"/>
  <c r="AG247" i="1" s="1"/>
  <c r="AI116" i="1"/>
  <c r="AI275" i="1"/>
  <c r="AM207" i="1"/>
  <c r="AI210" i="1"/>
  <c r="Z178" i="1"/>
  <c r="Z244" i="1" s="1"/>
  <c r="Z189" i="1"/>
  <c r="Z258" i="1" s="1"/>
  <c r="Z65" i="1"/>
  <c r="AA65" i="1" s="1"/>
  <c r="Y213" i="1"/>
  <c r="Y286" i="1" s="1"/>
  <c r="E254" i="1"/>
  <c r="E187" i="1"/>
  <c r="AQ275" i="1"/>
  <c r="AU276" i="1" s="1"/>
  <c r="AA178" i="1"/>
  <c r="AA244" i="1" s="1"/>
  <c r="W156" i="1"/>
  <c r="W312" i="1" s="1"/>
  <c r="W60" i="1"/>
  <c r="W61" i="1"/>
  <c r="AQ228" i="1"/>
  <c r="AQ301" i="1" s="1"/>
  <c r="T78" i="1"/>
  <c r="T80" i="1" s="1"/>
  <c r="T220" i="1"/>
  <c r="T293" i="1" s="1"/>
  <c r="AE37" i="1"/>
  <c r="AE33" i="1"/>
  <c r="AE206" i="1"/>
  <c r="AI207" i="1" s="1"/>
  <c r="AE36" i="1"/>
  <c r="AE58" i="1"/>
  <c r="AE10" i="1"/>
  <c r="AF91" i="1"/>
  <c r="AE38" i="1"/>
  <c r="AE46" i="1"/>
  <c r="AE35" i="1"/>
  <c r="AI11" i="1"/>
  <c r="AI17" i="1"/>
  <c r="AD219" i="1"/>
  <c r="AD292" i="1" s="1"/>
  <c r="AE67" i="1"/>
  <c r="AE98" i="1" s="1"/>
  <c r="AE91" i="1"/>
  <c r="AR296" i="1"/>
  <c r="AJ115" i="1"/>
  <c r="AR298" i="1"/>
  <c r="AI115" i="1"/>
  <c r="AI110" i="1"/>
  <c r="AI111" i="1" s="1"/>
  <c r="AG193" i="1"/>
  <c r="AG262" i="1" s="1"/>
  <c r="AG163" i="1"/>
  <c r="AG232" i="1"/>
  <c r="AG305" i="1" s="1"/>
  <c r="AG169" i="1"/>
  <c r="AG159" i="1"/>
  <c r="AG194" i="1" s="1"/>
  <c r="AG263" i="1" s="1"/>
  <c r="AG154" i="1"/>
  <c r="AG310" i="1" s="1"/>
  <c r="AM115" i="1"/>
  <c r="V39" i="1"/>
  <c r="V49" i="1"/>
  <c r="V51" i="1" s="1"/>
  <c r="Z52" i="1" s="1"/>
  <c r="AL184" i="1"/>
  <c r="AD116" i="1"/>
  <c r="AD114" i="1"/>
  <c r="Z219" i="1"/>
  <c r="Z292" i="1" s="1"/>
  <c r="X220" i="1"/>
  <c r="X293" i="1" s="1"/>
  <c r="X78" i="1"/>
  <c r="X80" i="1" s="1"/>
  <c r="W185" i="1"/>
  <c r="W254" i="1" s="1"/>
  <c r="W178" i="1"/>
  <c r="W244" i="1" s="1"/>
  <c r="AA254" i="1"/>
  <c r="AA256" i="1" s="1"/>
  <c r="AA187" i="1"/>
  <c r="AQ151" i="1"/>
  <c r="AQ41" i="1"/>
  <c r="J164" i="1"/>
  <c r="J181" i="1"/>
  <c r="J247" i="1" s="1"/>
  <c r="J158" i="1"/>
  <c r="J168" i="1"/>
  <c r="J195" i="1"/>
  <c r="J264" i="1" s="1"/>
  <c r="J267" i="1" s="1"/>
  <c r="D1278" i="2"/>
  <c r="AQ26" i="1"/>
  <c r="AQ42" i="1" s="1"/>
  <c r="AM41" i="1"/>
  <c r="V158" i="1"/>
  <c r="V196" i="1" s="1"/>
  <c r="V265" i="1" s="1"/>
  <c r="AA209" i="1"/>
  <c r="W281" i="1"/>
  <c r="AR220" i="1"/>
  <c r="AR293" i="1" s="1"/>
  <c r="AR78" i="1"/>
  <c r="AR80" i="1" s="1"/>
  <c r="AK184" i="1"/>
  <c r="AK115" i="1"/>
  <c r="AC114" i="1"/>
  <c r="AH222" i="1"/>
  <c r="AH295" i="1" s="1"/>
  <c r="AI74" i="1"/>
  <c r="AI222" i="1" s="1"/>
  <c r="AI295" i="1" s="1"/>
  <c r="AF163" i="1"/>
  <c r="AF193" i="1"/>
  <c r="AF262" i="1" s="1"/>
  <c r="AF266" i="1" s="1"/>
  <c r="AF232" i="1"/>
  <c r="AF305" i="1" s="1"/>
  <c r="AF159" i="1"/>
  <c r="AF194" i="1" s="1"/>
  <c r="AF263" i="1" s="1"/>
  <c r="AF268" i="1" s="1"/>
  <c r="AF154" i="1"/>
  <c r="AF310" i="1" s="1"/>
  <c r="AF319" i="1" s="1"/>
  <c r="AF169" i="1"/>
  <c r="AR275" i="1"/>
  <c r="AV276" i="1" s="1"/>
  <c r="AR294" i="1"/>
  <c r="AR301" i="1"/>
  <c r="AR285" i="1"/>
  <c r="AR287" i="1"/>
  <c r="AR289" i="1"/>
  <c r="AR281" i="1"/>
  <c r="AR290" i="1"/>
  <c r="AR291" i="1"/>
  <c r="AR292" i="1"/>
  <c r="AR295" i="1"/>
  <c r="Y168" i="1"/>
  <c r="Y235" i="1" s="1"/>
  <c r="I42" i="1"/>
  <c r="AJ298" i="1"/>
  <c r="AA11" i="1"/>
  <c r="AA17" i="1"/>
  <c r="Z59" i="3"/>
  <c r="V76" i="1"/>
  <c r="V224" i="1" s="1"/>
  <c r="V297" i="1" s="1"/>
  <c r="U224" i="1"/>
  <c r="U297" i="1" s="1"/>
  <c r="H283" i="1"/>
  <c r="H276" i="1"/>
  <c r="AK232" i="1"/>
  <c r="AK305" i="1" s="1"/>
  <c r="AK169" i="1"/>
  <c r="AK154" i="1"/>
  <c r="AK310" i="1" s="1"/>
  <c r="AK193" i="1"/>
  <c r="AK262" i="1" s="1"/>
  <c r="AK163" i="1"/>
  <c r="AK159" i="1"/>
  <c r="E215" i="1"/>
  <c r="E288" i="1" s="1"/>
  <c r="E72" i="1"/>
  <c r="AQ110" i="1"/>
  <c r="AQ111" i="1" s="1"/>
  <c r="AQ115" i="1"/>
  <c r="I276" i="1"/>
  <c r="AA71" i="1"/>
  <c r="AA218" i="1" s="1"/>
  <c r="AA291" i="1" s="1"/>
  <c r="F259" i="1"/>
  <c r="F294" i="1"/>
  <c r="F253" i="1"/>
  <c r="F296" i="1"/>
  <c r="F287" i="1"/>
  <c r="F298" i="1"/>
  <c r="F289" i="1"/>
  <c r="F255" i="1"/>
  <c r="F281" i="1"/>
  <c r="F297" i="1"/>
  <c r="F292" i="1"/>
  <c r="F288" i="1"/>
  <c r="F301" i="1"/>
  <c r="F295" i="1"/>
  <c r="F254" i="1"/>
  <c r="F267" i="1" s="1"/>
  <c r="F275" i="1"/>
  <c r="F276" i="1" s="1"/>
  <c r="F285" i="1"/>
  <c r="F314" i="1" s="1"/>
  <c r="F290" i="1"/>
  <c r="F286" i="1"/>
  <c r="F291" i="1"/>
  <c r="U158" i="1"/>
  <c r="U196" i="1" s="1"/>
  <c r="U265" i="1" s="1"/>
  <c r="AJ111" i="1"/>
  <c r="AF158" i="1"/>
  <c r="AF196" i="1" s="1"/>
  <c r="AF265" i="1" s="1"/>
  <c r="AF269" i="1" s="1"/>
  <c r="AF164" i="1"/>
  <c r="AF195" i="1"/>
  <c r="AF264" i="1" s="1"/>
  <c r="AF168" i="1"/>
  <c r="AF181" i="1"/>
  <c r="AF247" i="1" s="1"/>
  <c r="AE34" i="1"/>
  <c r="AH59" i="3"/>
  <c r="U159" i="1"/>
  <c r="U194" i="1" s="1"/>
  <c r="U263" i="1" s="1"/>
  <c r="I151" i="1"/>
  <c r="I233" i="1" s="1"/>
  <c r="I41" i="1"/>
  <c r="I153" i="1"/>
  <c r="AG26" i="1"/>
  <c r="AG49" i="1"/>
  <c r="AG39" i="1"/>
  <c r="V218" i="1"/>
  <c r="V291" i="1" s="1"/>
  <c r="W71" i="1"/>
  <c r="AK195" i="1"/>
  <c r="AK264" i="1" s="1"/>
  <c r="AK164" i="1"/>
  <c r="AK181" i="1"/>
  <c r="AK247" i="1" s="1"/>
  <c r="AK168" i="1"/>
  <c r="AK158" i="1"/>
  <c r="J29" i="1"/>
  <c r="J99" i="1" s="1"/>
  <c r="J43" i="1"/>
  <c r="J42" i="1"/>
  <c r="AC213" i="1"/>
  <c r="AC286" i="1" s="1"/>
  <c r="AD65" i="1"/>
  <c r="AE65" i="1" s="1"/>
  <c r="U232" i="1"/>
  <c r="U305" i="1" s="1"/>
  <c r="G283" i="1"/>
  <c r="I731" i="2"/>
  <c r="D748" i="2" s="1"/>
  <c r="Z228" i="1"/>
  <c r="Z301" i="1" s="1"/>
  <c r="AA81" i="1"/>
  <c r="AA228" i="1" s="1"/>
  <c r="AA301" i="1" s="1"/>
  <c r="F93" i="1"/>
  <c r="AA93" i="1" s="1"/>
  <c r="F39" i="1"/>
  <c r="F26" i="1"/>
  <c r="F49" i="1"/>
  <c r="F51" i="1" s="1"/>
  <c r="I215" i="1"/>
  <c r="I288" i="1" s="1"/>
  <c r="I72" i="1"/>
  <c r="W153" i="1"/>
  <c r="W151" i="1"/>
  <c r="W233" i="1" s="1"/>
  <c r="W41" i="1"/>
  <c r="Y256" i="1"/>
  <c r="AM253" i="1"/>
  <c r="C824" i="2"/>
  <c r="C846" i="2" s="1"/>
  <c r="D846" i="2" s="1"/>
  <c r="Y164" i="1"/>
  <c r="AD92" i="3"/>
  <c r="AA214" i="1"/>
  <c r="AA287" i="1" s="1"/>
  <c r="AH25" i="3"/>
  <c r="AH33" i="3"/>
  <c r="W190" i="1"/>
  <c r="W259" i="1" s="1"/>
  <c r="W177" i="1"/>
  <c r="W243" i="1" s="1"/>
  <c r="AB72" i="1"/>
  <c r="AB215" i="1"/>
  <c r="AB288" i="1" s="1"/>
  <c r="AP59" i="3"/>
  <c r="E195" i="1"/>
  <c r="E264" i="1" s="1"/>
  <c r="E168" i="1"/>
  <c r="E164" i="1"/>
  <c r="E158" i="1"/>
  <c r="E181" i="1"/>
  <c r="E247" i="1" s="1"/>
  <c r="AD33" i="3"/>
  <c r="AD25" i="3"/>
  <c r="AL51" i="3"/>
  <c r="AL50" i="3"/>
  <c r="AL92" i="3"/>
  <c r="AL65" i="3"/>
  <c r="AP46" i="3"/>
  <c r="AL49" i="3"/>
  <c r="AL40" i="3"/>
  <c r="AJ297" i="1"/>
  <c r="H256" i="1"/>
  <c r="AD158" i="1"/>
  <c r="AD168" i="1"/>
  <c r="AD164" i="1"/>
  <c r="AD181" i="1"/>
  <c r="AD247" i="1" s="1"/>
  <c r="AD195" i="1"/>
  <c r="AD264" i="1" s="1"/>
  <c r="AI41" i="1"/>
  <c r="AI153" i="1"/>
  <c r="AI151" i="1"/>
  <c r="AI233" i="1" s="1"/>
  <c r="AI306" i="1" s="1"/>
  <c r="AQ65" i="1"/>
  <c r="AP213" i="1"/>
  <c r="AP286" i="1" s="1"/>
  <c r="AJ255" i="1"/>
  <c r="AM258" i="1"/>
  <c r="E43" i="1"/>
  <c r="E29" i="1"/>
  <c r="E42" i="1"/>
  <c r="AR153" i="1"/>
  <c r="AR151" i="1"/>
  <c r="AR233" i="1" s="1"/>
  <c r="AD223" i="1"/>
  <c r="AD296" i="1" s="1"/>
  <c r="AE75" i="1"/>
  <c r="AE223" i="1" s="1"/>
  <c r="AE296" i="1" s="1"/>
  <c r="Z92" i="3"/>
  <c r="AQ116" i="1"/>
  <c r="AP276" i="1"/>
  <c r="AP283" i="1"/>
  <c r="W75" i="1"/>
  <c r="V223" i="1"/>
  <c r="V296" i="1" s="1"/>
  <c r="E159" i="1"/>
  <c r="E163" i="1"/>
  <c r="E169" i="1"/>
  <c r="E193" i="1"/>
  <c r="E262" i="1" s="1"/>
  <c r="E232" i="1"/>
  <c r="E305" i="1" s="1"/>
  <c r="E154" i="1"/>
  <c r="E310" i="1" s="1"/>
  <c r="E319" i="1" s="1"/>
  <c r="X49" i="1"/>
  <c r="X51" i="1" s="1"/>
  <c r="X52" i="1" s="1"/>
  <c r="AB93" i="1"/>
  <c r="X26" i="1"/>
  <c r="X93" i="1"/>
  <c r="X39" i="1"/>
  <c r="Z93" i="1"/>
  <c r="Y93" i="1"/>
  <c r="AL217" i="1"/>
  <c r="AL290" i="1" s="1"/>
  <c r="AM70" i="1"/>
  <c r="AA41" i="1"/>
  <c r="AA153" i="1"/>
  <c r="AA151" i="1"/>
  <c r="AA233" i="1" s="1"/>
  <c r="AP187" i="1"/>
  <c r="AP253" i="1"/>
  <c r="AA114" i="1"/>
  <c r="AA116" i="1"/>
  <c r="Y232" i="1"/>
  <c r="Y305" i="1" s="1"/>
  <c r="Y163" i="1"/>
  <c r="Y193" i="1"/>
  <c r="Y262" i="1" s="1"/>
  <c r="Y266" i="1" s="1"/>
  <c r="Y154" i="1"/>
  <c r="Y310" i="1" s="1"/>
  <c r="Y169" i="1"/>
  <c r="Y159" i="1"/>
  <c r="V45" i="1"/>
  <c r="V216" i="1"/>
  <c r="V289" i="1" s="1"/>
  <c r="W69" i="1"/>
  <c r="I1053" i="2"/>
  <c r="AJ275" i="1"/>
  <c r="AJ292" i="1"/>
  <c r="AJ294" i="1"/>
  <c r="AJ301" i="1"/>
  <c r="AJ289" i="1"/>
  <c r="I932" i="2"/>
  <c r="AJ295" i="1"/>
  <c r="AJ296" i="1"/>
  <c r="AJ286" i="1"/>
  <c r="AM257" i="1"/>
  <c r="AK257" i="1"/>
  <c r="I972" i="2"/>
  <c r="D989" i="2" s="1"/>
  <c r="F977" i="2" s="1"/>
  <c r="AJ291" i="1"/>
  <c r="I1012" i="2"/>
  <c r="D1029" i="2" s="1"/>
  <c r="AJ253" i="1"/>
  <c r="AJ290" i="1"/>
  <c r="AJ287" i="1"/>
  <c r="AJ281" i="1"/>
  <c r="AJ257" i="1"/>
  <c r="AJ254" i="1"/>
  <c r="Y195" i="1"/>
  <c r="Y264" i="1" s="1"/>
  <c r="Y158" i="1"/>
  <c r="AP25" i="3"/>
  <c r="AP33" i="3"/>
  <c r="U215" i="1"/>
  <c r="U288" i="1" s="1"/>
  <c r="U72" i="1"/>
  <c r="AR41" i="1"/>
  <c r="F196" i="1"/>
  <c r="F265" i="1" s="1"/>
  <c r="F174" i="1"/>
  <c r="AH225" i="1"/>
  <c r="AH298" i="1" s="1"/>
  <c r="AI77" i="1"/>
  <c r="AI225" i="1" s="1"/>
  <c r="AI298" i="1" s="1"/>
  <c r="V92" i="3"/>
  <c r="AI73" i="1"/>
  <c r="AI221" i="1" s="1"/>
  <c r="AI294" i="1" s="1"/>
  <c r="AH221" i="1"/>
  <c r="AH294" i="1" s="1"/>
  <c r="W184" i="1"/>
  <c r="W115" i="1"/>
  <c r="AH76" i="1"/>
  <c r="AH224" i="1" s="1"/>
  <c r="AH297" i="1" s="1"/>
  <c r="AG224" i="1"/>
  <c r="AG297" i="1" s="1"/>
  <c r="AP218" i="1"/>
  <c r="AP291" i="1" s="1"/>
  <c r="J256" i="1"/>
  <c r="AL255" i="1"/>
  <c r="AD283" i="1"/>
  <c r="AH276" i="1"/>
  <c r="AD276" i="1"/>
  <c r="D816" i="2"/>
  <c r="D817" i="2" s="1"/>
  <c r="D824" i="2" s="1"/>
  <c r="AN29" i="1"/>
  <c r="AN42" i="1"/>
  <c r="AN43" i="1"/>
  <c r="V214" i="1"/>
  <c r="V287" i="1" s="1"/>
  <c r="AQ71" i="1"/>
  <c r="AE153" i="1"/>
  <c r="C1284" i="2" s="1"/>
  <c r="AE151" i="1"/>
  <c r="AE233" i="1" s="1"/>
  <c r="AE41" i="1"/>
  <c r="AE116" i="1"/>
  <c r="AK255" i="1"/>
  <c r="AL257" i="1"/>
  <c r="W214" i="1"/>
  <c r="W287" i="1" s="1"/>
  <c r="AI217" i="1"/>
  <c r="AI290" i="1" s="1"/>
  <c r="AS298" i="1"/>
  <c r="AQ70" i="1"/>
  <c r="AP217" i="1"/>
  <c r="AP290" i="1" s="1"/>
  <c r="G254" i="1"/>
  <c r="G187" i="1"/>
  <c r="AH169" i="1"/>
  <c r="AH232" i="1"/>
  <c r="AH305" i="1" s="1"/>
  <c r="AJ285" i="1"/>
  <c r="AL222" i="1"/>
  <c r="AL295" i="1" s="1"/>
  <c r="AM74" i="1"/>
  <c r="AM222" i="1" s="1"/>
  <c r="AM295" i="1" s="1"/>
  <c r="Y276" i="1"/>
  <c r="Y283" i="1"/>
  <c r="AQ212" i="1"/>
  <c r="AQ285" i="1" s="1"/>
  <c r="D187" i="1"/>
  <c r="D254" i="1"/>
  <c r="AK283" i="1"/>
  <c r="AK276" i="1"/>
  <c r="AO215" i="1"/>
  <c r="AO288" i="1" s="1"/>
  <c r="AO72" i="1"/>
  <c r="AQ53" i="1"/>
  <c r="AQ55" i="1"/>
  <c r="C708" i="2"/>
  <c r="AS185" i="1"/>
  <c r="AS169" i="1"/>
  <c r="G236" i="1"/>
  <c r="G197" i="1"/>
  <c r="AS115" i="1"/>
  <c r="AS184" i="1"/>
  <c r="AS253" i="1" s="1"/>
  <c r="AP223" i="1"/>
  <c r="AP296" i="1" s="1"/>
  <c r="AM116" i="1"/>
  <c r="AM110" i="1"/>
  <c r="AM111" i="1" s="1"/>
  <c r="Z232" i="1"/>
  <c r="Z305" i="1" s="1"/>
  <c r="Z193" i="1"/>
  <c r="Z262" i="1" s="1"/>
  <c r="Z266" i="1" s="1"/>
  <c r="Z154" i="1"/>
  <c r="Z310" i="1" s="1"/>
  <c r="Z163" i="1"/>
  <c r="Z169" i="1"/>
  <c r="Z159" i="1"/>
  <c r="G83" i="1"/>
  <c r="G229" i="1" s="1"/>
  <c r="G302" i="1" s="1"/>
  <c r="G226" i="1"/>
  <c r="G299" i="1" s="1"/>
  <c r="AJ154" i="1"/>
  <c r="AJ310" i="1" s="1"/>
  <c r="AJ232" i="1"/>
  <c r="AJ305" i="1" s="1"/>
  <c r="AJ193" i="1"/>
  <c r="AJ262" i="1" s="1"/>
  <c r="AJ163" i="1"/>
  <c r="AJ169" i="1"/>
  <c r="AJ159" i="1"/>
  <c r="Z283" i="1"/>
  <c r="Z282" i="1"/>
  <c r="AD282" i="1"/>
  <c r="Z168" i="1"/>
  <c r="Z195" i="1"/>
  <c r="Z264" i="1" s="1"/>
  <c r="Z181" i="1"/>
  <c r="Z247" i="1" s="1"/>
  <c r="Z158" i="1"/>
  <c r="Z164" i="1"/>
  <c r="G194" i="1"/>
  <c r="G263" i="1" s="1"/>
  <c r="G175" i="1"/>
  <c r="AS114" i="1"/>
  <c r="AS116" i="1"/>
  <c r="X187" i="1"/>
  <c r="X254" i="1"/>
  <c r="V59" i="3"/>
  <c r="V65" i="3"/>
  <c r="AJ158" i="1"/>
  <c r="AJ164" i="1"/>
  <c r="AJ195" i="1"/>
  <c r="AJ264" i="1" s="1"/>
  <c r="AJ181" i="1"/>
  <c r="AJ247" i="1" s="1"/>
  <c r="AJ168" i="1"/>
  <c r="AD221" i="1"/>
  <c r="AD294" i="1" s="1"/>
  <c r="AE73" i="1"/>
  <c r="AE154" i="1"/>
  <c r="AE310" i="1" s="1"/>
  <c r="AE319" i="1" s="1"/>
  <c r="G171" i="1"/>
  <c r="AR93" i="1"/>
  <c r="AS111" i="1"/>
  <c r="X276" i="1"/>
  <c r="AB276" i="1"/>
  <c r="X283" i="1"/>
  <c r="I283" i="1"/>
  <c r="I282" i="1"/>
  <c r="I187" i="1"/>
  <c r="I254" i="1"/>
  <c r="J698" i="2"/>
  <c r="J703" i="2" s="1"/>
  <c r="J1102" i="2"/>
  <c r="J1105" i="2" s="1"/>
  <c r="J777" i="2"/>
  <c r="J979" i="2"/>
  <c r="J984" i="2" s="1"/>
  <c r="C1006" i="2"/>
  <c r="D1006" i="2" s="1"/>
  <c r="J819" i="2"/>
  <c r="J822" i="2" s="1"/>
  <c r="C988" i="2"/>
  <c r="D758" i="2"/>
  <c r="D759" i="2" s="1"/>
  <c r="K982" i="2"/>
  <c r="D1211" i="2"/>
  <c r="D1212" i="2" s="1"/>
  <c r="J1019" i="2"/>
  <c r="J1024" i="2" s="1"/>
  <c r="C1009" i="2"/>
  <c r="D1009" i="2" s="1"/>
  <c r="D839" i="2"/>
  <c r="D840" i="2" s="1"/>
  <c r="C1000" i="2"/>
  <c r="D999" i="2"/>
  <c r="D1000" i="2" s="1"/>
  <c r="D1166" i="2"/>
  <c r="D1167" i="2" s="1"/>
  <c r="C1008" i="2"/>
  <c r="D1008" i="2" s="1"/>
  <c r="C993" i="2"/>
  <c r="C994" i="2" s="1"/>
  <c r="C1024" i="2"/>
  <c r="C1049" i="2" s="1"/>
  <c r="D1049" i="2" s="1"/>
  <c r="C1005" i="2"/>
  <c r="D1005" i="2" s="1"/>
  <c r="C991" i="2"/>
  <c r="E984" i="2"/>
  <c r="C1007" i="2"/>
  <c r="D1007" i="2" s="1"/>
  <c r="J1191" i="2"/>
  <c r="J1196" i="2" s="1"/>
  <c r="J1239" i="2"/>
  <c r="J1242" i="2" s="1"/>
  <c r="C1352" i="2"/>
  <c r="C1357" i="2"/>
  <c r="I1063" i="2"/>
  <c r="D1196" i="2"/>
  <c r="D1200" i="2" s="1"/>
  <c r="D879" i="2"/>
  <c r="D880" i="2" s="1"/>
  <c r="D984" i="2"/>
  <c r="D988" i="2" s="1"/>
  <c r="J1146" i="2"/>
  <c r="J1151" i="2" s="1"/>
  <c r="D797" i="2"/>
  <c r="D798" i="2" s="1"/>
  <c r="C798" i="2"/>
  <c r="C960" i="2"/>
  <c r="D959" i="2"/>
  <c r="D960" i="2" s="1"/>
  <c r="D919" i="2"/>
  <c r="D920" i="2" s="1"/>
  <c r="C920" i="2"/>
  <c r="C1339" i="2"/>
  <c r="D1339" i="2" s="1"/>
  <c r="C1317" i="2"/>
  <c r="C1315" i="2"/>
  <c r="E1313" i="2"/>
  <c r="C1335" i="2"/>
  <c r="D1335" i="2" s="1"/>
  <c r="C1334" i="2"/>
  <c r="C1320" i="2"/>
  <c r="C1336" i="2"/>
  <c r="D1336" i="2" s="1"/>
  <c r="C1337" i="2"/>
  <c r="D1337" i="2" s="1"/>
  <c r="C1338" i="2"/>
  <c r="D1338" i="2" s="1"/>
  <c r="C1065" i="2"/>
  <c r="I1022" i="2"/>
  <c r="K1022" i="2" s="1"/>
  <c r="J1020" i="2"/>
  <c r="C782" i="2"/>
  <c r="C1176" i="2"/>
  <c r="D1176" i="2" s="1"/>
  <c r="C1155" i="2"/>
  <c r="C1174" i="2"/>
  <c r="D1174" i="2" s="1"/>
  <c r="C1175" i="2"/>
  <c r="D1175" i="2" s="1"/>
  <c r="C1158" i="2"/>
  <c r="C1172" i="2"/>
  <c r="C1153" i="2"/>
  <c r="C1177" i="2"/>
  <c r="D1177" i="2" s="1"/>
  <c r="C1173" i="2"/>
  <c r="D1173" i="2" s="1"/>
  <c r="C1040" i="2"/>
  <c r="D1039" i="2"/>
  <c r="D1040" i="2" s="1"/>
  <c r="D1292" i="2"/>
  <c r="D1293" i="2" s="1"/>
  <c r="C1293" i="2"/>
  <c r="D1151" i="2"/>
  <c r="C885" i="2"/>
  <c r="C888" i="2"/>
  <c r="D888" i="2" s="1"/>
  <c r="C871" i="2"/>
  <c r="C886" i="2"/>
  <c r="D886" i="2" s="1"/>
  <c r="C868" i="2"/>
  <c r="C866" i="2"/>
  <c r="C887" i="2"/>
  <c r="D887" i="2" s="1"/>
  <c r="I743" i="2"/>
  <c r="J742" i="2"/>
  <c r="C1394" i="2"/>
  <c r="C1399" i="2"/>
  <c r="D1392" i="2"/>
  <c r="C1396" i="2"/>
  <c r="C1239" i="2"/>
  <c r="C1222" i="2"/>
  <c r="D1222" i="2" s="1"/>
  <c r="C1198" i="2"/>
  <c r="C1203" i="2"/>
  <c r="C1218" i="2"/>
  <c r="D1218" i="2" s="1"/>
  <c r="C1217" i="2"/>
  <c r="E1196" i="2"/>
  <c r="C1200" i="2"/>
  <c r="C1219" i="2"/>
  <c r="D1219" i="2" s="1"/>
  <c r="C1220" i="2"/>
  <c r="D1220" i="2" s="1"/>
  <c r="C1221" i="2"/>
  <c r="D1221" i="2" s="1"/>
  <c r="C743" i="2"/>
  <c r="E739" i="2"/>
  <c r="C1107" i="2"/>
  <c r="D1239" i="2"/>
  <c r="C1281" i="2"/>
  <c r="C1279" i="2"/>
  <c r="C1300" i="2"/>
  <c r="D1300" i="2" s="1"/>
  <c r="C1298" i="2"/>
  <c r="C1299" i="2"/>
  <c r="D1299" i="2" s="1"/>
  <c r="C1302" i="2"/>
  <c r="D1302" i="2" s="1"/>
  <c r="C1301" i="2"/>
  <c r="D1301" i="2" s="1"/>
  <c r="D1254" i="2"/>
  <c r="D1255" i="2" s="1"/>
  <c r="C1255" i="2"/>
  <c r="D1328" i="2"/>
  <c r="D1329" i="2" s="1"/>
  <c r="C1329" i="2"/>
  <c r="AS235" i="1"/>
  <c r="AS198" i="1"/>
  <c r="I1283" i="2" l="1"/>
  <c r="K1278" i="2" s="1"/>
  <c r="E1277" i="2"/>
  <c r="AL52" i="1"/>
  <c r="AN52" i="1"/>
  <c r="AM314" i="1"/>
  <c r="E1274" i="2"/>
  <c r="D1282" i="2"/>
  <c r="F1274" i="2" s="1"/>
  <c r="K1280" i="2"/>
  <c r="AR53" i="1"/>
  <c r="AR52" i="1"/>
  <c r="BJ52" i="1"/>
  <c r="AV52" i="1"/>
  <c r="D1313" i="2"/>
  <c r="D1317" i="2" s="1"/>
  <c r="AB55" i="1"/>
  <c r="AB52" i="1"/>
  <c r="AF52" i="1"/>
  <c r="AW316" i="1"/>
  <c r="Y53" i="1"/>
  <c r="Y52" i="1"/>
  <c r="AW319" i="1"/>
  <c r="AH53" i="1"/>
  <c r="AH52" i="1"/>
  <c r="AP52" i="1"/>
  <c r="AT52" i="1"/>
  <c r="BL52" i="1"/>
  <c r="AX52" i="1"/>
  <c r="AM53" i="1"/>
  <c r="AO52" i="1"/>
  <c r="J899" i="2"/>
  <c r="J902" i="2" s="1"/>
  <c r="BX17" i="1"/>
  <c r="BX11" i="1"/>
  <c r="X310" i="1"/>
  <c r="BW39" i="1"/>
  <c r="BW49" i="1"/>
  <c r="BW26" i="1"/>
  <c r="W218" i="1"/>
  <c r="W291" i="1" s="1"/>
  <c r="BW45" i="1"/>
  <c r="W223" i="1"/>
  <c r="W296" i="1" s="1"/>
  <c r="W225" i="1"/>
  <c r="W298" i="1" s="1"/>
  <c r="W228" i="1"/>
  <c r="W301" i="1" s="1"/>
  <c r="AW317" i="1"/>
  <c r="AW321" i="1"/>
  <c r="AW322" i="1"/>
  <c r="BQ180" i="1"/>
  <c r="BQ246" i="1" s="1"/>
  <c r="BQ191" i="1"/>
  <c r="AW324" i="1"/>
  <c r="BQ83" i="1"/>
  <c r="BQ229" i="1" s="1"/>
  <c r="BQ302" i="1" s="1"/>
  <c r="BQ226" i="1"/>
  <c r="BQ299" i="1" s="1"/>
  <c r="AG319" i="1"/>
  <c r="J782" i="2"/>
  <c r="D904" i="2"/>
  <c r="D908" i="2" s="1"/>
  <c r="D1277" i="2"/>
  <c r="D1281" i="2" s="1"/>
  <c r="J1314" i="2"/>
  <c r="J1316" i="2" s="1"/>
  <c r="AQ314" i="1"/>
  <c r="BC84" i="1"/>
  <c r="BD84" i="1" s="1"/>
  <c r="BD86" i="1" s="1"/>
  <c r="AS314" i="1"/>
  <c r="AS322" i="1" s="1"/>
  <c r="AC314" i="1"/>
  <c r="AC322" i="1" s="1"/>
  <c r="AB314" i="1"/>
  <c r="AN314" i="1"/>
  <c r="AN325" i="1" s="1"/>
  <c r="AU314" i="1"/>
  <c r="AU319" i="1" s="1"/>
  <c r="J1106" i="2"/>
  <c r="J1107" i="2" s="1"/>
  <c r="AI328" i="1"/>
  <c r="AI321" i="1"/>
  <c r="AI316" i="1"/>
  <c r="AG322" i="1"/>
  <c r="AG317" i="1"/>
  <c r="AH317" i="1"/>
  <c r="AH322" i="1"/>
  <c r="AF322" i="1"/>
  <c r="AF317" i="1"/>
  <c r="AE282" i="1"/>
  <c r="AD314" i="1"/>
  <c r="AD316" i="1" s="1"/>
  <c r="AI319" i="1"/>
  <c r="AB317" i="1"/>
  <c r="AM325" i="1"/>
  <c r="AM324" i="1"/>
  <c r="W283" i="1"/>
  <c r="Z314" i="1"/>
  <c r="Z319" i="1" s="1"/>
  <c r="X314" i="1"/>
  <c r="X322" i="1" s="1"/>
  <c r="Y314" i="1"/>
  <c r="Y322" i="1" s="1"/>
  <c r="W314" i="1"/>
  <c r="AP314" i="1"/>
  <c r="AO314" i="1"/>
  <c r="AI282" i="1"/>
  <c r="AL314" i="1"/>
  <c r="AL316" i="1" s="1"/>
  <c r="AK314" i="1"/>
  <c r="AK317" i="1" s="1"/>
  <c r="AL328" i="1"/>
  <c r="Y319" i="1"/>
  <c r="BB327" i="1"/>
  <c r="BA327" i="1"/>
  <c r="AZ327" i="1"/>
  <c r="AY327" i="1"/>
  <c r="AJ314" i="1"/>
  <c r="AJ322" i="1" s="1"/>
  <c r="AW282" i="1"/>
  <c r="AV314" i="1"/>
  <c r="Y317" i="1"/>
  <c r="AU282" i="1"/>
  <c r="AT314" i="1"/>
  <c r="AD328" i="1"/>
  <c r="AO282" i="1"/>
  <c r="AR314" i="1"/>
  <c r="AX324" i="1"/>
  <c r="AX325" i="1"/>
  <c r="AX319" i="1"/>
  <c r="AX322" i="1"/>
  <c r="AX316" i="1"/>
  <c r="AX321" i="1"/>
  <c r="AX317" i="1"/>
  <c r="D1419" i="2"/>
  <c r="F319" i="1"/>
  <c r="F317" i="1"/>
  <c r="F322" i="1"/>
  <c r="J1280" i="2"/>
  <c r="F324" i="1"/>
  <c r="F325" i="1"/>
  <c r="G327" i="1"/>
  <c r="G328" i="1"/>
  <c r="G316" i="1"/>
  <c r="G321" i="1"/>
  <c r="C322" i="1"/>
  <c r="C317" i="1"/>
  <c r="J317" i="1"/>
  <c r="J322" i="1"/>
  <c r="K328" i="1"/>
  <c r="E317" i="1"/>
  <c r="E322" i="1"/>
  <c r="H317" i="1"/>
  <c r="H322" i="1"/>
  <c r="U306" i="1"/>
  <c r="U310" i="1"/>
  <c r="AC306" i="1"/>
  <c r="AC310" i="1"/>
  <c r="AB310" i="1"/>
  <c r="C171" i="1"/>
  <c r="C172" i="1" s="1"/>
  <c r="C310" i="1"/>
  <c r="C319" i="1" s="1"/>
  <c r="AO306" i="1"/>
  <c r="AO310" i="1"/>
  <c r="V306" i="1"/>
  <c r="V310" i="1"/>
  <c r="AH306" i="1"/>
  <c r="AH310" i="1"/>
  <c r="AH319" i="1" s="1"/>
  <c r="AI171" i="1"/>
  <c r="AI238" i="1" s="1"/>
  <c r="D306" i="1"/>
  <c r="H168" i="1"/>
  <c r="H235" i="1" s="1"/>
  <c r="H233" i="1"/>
  <c r="H306" i="1" s="1"/>
  <c r="AP164" i="1"/>
  <c r="AP233" i="1"/>
  <c r="BB180" i="1"/>
  <c r="BB246" i="1" s="1"/>
  <c r="AQ181" i="1"/>
  <c r="AQ247" i="1" s="1"/>
  <c r="AQ233" i="1"/>
  <c r="AN158" i="1"/>
  <c r="AN174" i="1" s="1"/>
  <c r="AN233" i="1"/>
  <c r="BN191" i="1"/>
  <c r="BN260" i="1" s="1"/>
  <c r="D101" i="1"/>
  <c r="D191" i="1" s="1"/>
  <c r="D260" i="1" s="1"/>
  <c r="C196" i="1"/>
  <c r="C265" i="1" s="1"/>
  <c r="C269" i="1" s="1"/>
  <c r="AU200" i="1"/>
  <c r="AL236" i="1"/>
  <c r="D220" i="1"/>
  <c r="D293" i="1" s="1"/>
  <c r="C306" i="1"/>
  <c r="AK187" i="1"/>
  <c r="D226" i="1"/>
  <c r="D299" i="1" s="1"/>
  <c r="C198" i="1"/>
  <c r="BJ99" i="1"/>
  <c r="AY87" i="1"/>
  <c r="R227" i="1"/>
  <c r="R300" i="1" s="1"/>
  <c r="BJ94" i="1"/>
  <c r="BK94" i="1"/>
  <c r="BK99" i="1"/>
  <c r="BL99" i="1"/>
  <c r="AQ93" i="1"/>
  <c r="BK86" i="1"/>
  <c r="C78" i="1"/>
  <c r="C80" i="1" s="1"/>
  <c r="H158" i="1"/>
  <c r="H196" i="1" s="1"/>
  <c r="H265" i="1" s="1"/>
  <c r="H269" i="1" s="1"/>
  <c r="AQ100" i="1"/>
  <c r="AQ190" i="1" s="1"/>
  <c r="AQ259" i="1" s="1"/>
  <c r="AL187" i="1"/>
  <c r="AL194" i="1"/>
  <c r="AL263" i="1" s="1"/>
  <c r="AL268" i="1" s="1"/>
  <c r="R220" i="1"/>
  <c r="R293" i="1" s="1"/>
  <c r="R101" i="1"/>
  <c r="R78" i="1"/>
  <c r="AZ191" i="1"/>
  <c r="AZ260" i="1" s="1"/>
  <c r="AZ180" i="1"/>
  <c r="AZ246" i="1" s="1"/>
  <c r="AV282" i="1"/>
  <c r="BJ282" i="1"/>
  <c r="AR94" i="1"/>
  <c r="BA191" i="1"/>
  <c r="BA260" i="1" s="1"/>
  <c r="BA180" i="1"/>
  <c r="BA246" i="1" s="1"/>
  <c r="K236" i="1"/>
  <c r="E1151" i="2"/>
  <c r="D1156" i="2"/>
  <c r="F1147" i="2" s="1"/>
  <c r="E1144" i="2"/>
  <c r="K1149" i="2"/>
  <c r="E1147" i="2"/>
  <c r="E1061" i="2"/>
  <c r="E1058" i="2"/>
  <c r="AN194" i="1"/>
  <c r="AN263" i="1" s="1"/>
  <c r="U55" i="1"/>
  <c r="AH235" i="1"/>
  <c r="AS94" i="1"/>
  <c r="AR55" i="1"/>
  <c r="AL198" i="1"/>
  <c r="AI215" i="1"/>
  <c r="AI288" i="1" s="1"/>
  <c r="H236" i="1"/>
  <c r="AK42" i="1"/>
  <c r="AU77" i="1"/>
  <c r="AU225" i="1" s="1"/>
  <c r="AU298" i="1" s="1"/>
  <c r="AU65" i="1"/>
  <c r="AU75" i="1"/>
  <c r="AU223" i="1" s="1"/>
  <c r="AU296" i="1" s="1"/>
  <c r="AU159" i="1"/>
  <c r="AU193" i="1"/>
  <c r="AU262" i="1" s="1"/>
  <c r="AU266" i="1" s="1"/>
  <c r="AU169" i="1"/>
  <c r="AU232" i="1"/>
  <c r="AU305" i="1" s="1"/>
  <c r="AU163" i="1"/>
  <c r="AU76" i="1"/>
  <c r="AU224" i="1" s="1"/>
  <c r="AU297" i="1" s="1"/>
  <c r="AT254" i="1"/>
  <c r="AT268" i="1" s="1"/>
  <c r="H181" i="1"/>
  <c r="H247" i="1" s="1"/>
  <c r="D175" i="1"/>
  <c r="D241" i="1" s="1"/>
  <c r="AD236" i="1"/>
  <c r="H195" i="1"/>
  <c r="H264" i="1" s="1"/>
  <c r="D174" i="1"/>
  <c r="D240" i="1" s="1"/>
  <c r="Y55" i="1"/>
  <c r="H164" i="1"/>
  <c r="AT236" i="1"/>
  <c r="K175" i="1"/>
  <c r="K241" i="1" s="1"/>
  <c r="AH72" i="1"/>
  <c r="AH220" i="1" s="1"/>
  <c r="AH293" i="1" s="1"/>
  <c r="Z216" i="1"/>
  <c r="Z289" i="1" s="1"/>
  <c r="H78" i="1"/>
  <c r="H80" i="1" s="1"/>
  <c r="H101" i="1"/>
  <c r="H191" i="1" s="1"/>
  <c r="H260" i="1" s="1"/>
  <c r="AH43" i="1"/>
  <c r="AN168" i="1"/>
  <c r="AN235" i="1" s="1"/>
  <c r="AN181" i="1"/>
  <c r="AN247" i="1" s="1"/>
  <c r="U43" i="1"/>
  <c r="G29" i="1"/>
  <c r="G99" i="1" s="1"/>
  <c r="W26" i="1"/>
  <c r="W29" i="1" s="1"/>
  <c r="AN80" i="1"/>
  <c r="AN83" i="1" s="1"/>
  <c r="AN229" i="1" s="1"/>
  <c r="AN302" i="1" s="1"/>
  <c r="AR187" i="1"/>
  <c r="C220" i="1"/>
  <c r="C293" i="1" s="1"/>
  <c r="D197" i="1"/>
  <c r="K1063" i="2"/>
  <c r="AN193" i="1"/>
  <c r="AN262" i="1" s="1"/>
  <c r="AN232" i="1"/>
  <c r="AN305" i="1" s="1"/>
  <c r="H175" i="1"/>
  <c r="H199" i="1" s="1"/>
  <c r="F101" i="1"/>
  <c r="F180" i="1" s="1"/>
  <c r="F246" i="1" s="1"/>
  <c r="AN154" i="1"/>
  <c r="F78" i="1"/>
  <c r="AN169" i="1"/>
  <c r="AN236" i="1" s="1"/>
  <c r="D1070" i="2"/>
  <c r="F1058" i="2" s="1"/>
  <c r="AN163" i="1"/>
  <c r="K293" i="1"/>
  <c r="K327" i="1" s="1"/>
  <c r="L249" i="1"/>
  <c r="U29" i="1"/>
  <c r="Y43" i="1"/>
  <c r="G196" i="1"/>
  <c r="G265" i="1" s="1"/>
  <c r="G269" i="1" s="1"/>
  <c r="AO171" i="1"/>
  <c r="AO238" i="1" s="1"/>
  <c r="G191" i="1"/>
  <c r="G260" i="1" s="1"/>
  <c r="AG215" i="1"/>
  <c r="AG288" i="1" s="1"/>
  <c r="AC171" i="1"/>
  <c r="AC172" i="1" s="1"/>
  <c r="K52" i="1"/>
  <c r="AU189" i="1"/>
  <c r="AU258" i="1" s="1"/>
  <c r="AU178" i="1"/>
  <c r="AU244" i="1" s="1"/>
  <c r="AS72" i="1"/>
  <c r="J55" i="1"/>
  <c r="AU99" i="1"/>
  <c r="J94" i="1"/>
  <c r="J53" i="1"/>
  <c r="AU94" i="1"/>
  <c r="J52" i="1"/>
  <c r="AO268" i="1"/>
  <c r="AU267" i="1"/>
  <c r="AU256" i="1"/>
  <c r="AU269" i="1"/>
  <c r="AU177" i="1"/>
  <c r="AU243" i="1" s="1"/>
  <c r="AO283" i="1"/>
  <c r="AH55" i="1"/>
  <c r="AQ219" i="1"/>
  <c r="AQ292" i="1" s="1"/>
  <c r="Y177" i="1"/>
  <c r="Y243" i="1" s="1"/>
  <c r="AN195" i="1"/>
  <c r="AN264" i="1" s="1"/>
  <c r="AD256" i="1"/>
  <c r="AN164" i="1"/>
  <c r="AA69" i="1"/>
  <c r="AC100" i="1" s="1"/>
  <c r="AC190" i="1" s="1"/>
  <c r="AC259" i="1" s="1"/>
  <c r="AD266" i="1"/>
  <c r="AH29" i="1"/>
  <c r="G43" i="1"/>
  <c r="Z100" i="1"/>
  <c r="Z190" i="1" s="1"/>
  <c r="Z259" i="1" s="1"/>
  <c r="AD268" i="1"/>
  <c r="AS98" i="1"/>
  <c r="AS189" i="1" s="1"/>
  <c r="AS258" i="1" s="1"/>
  <c r="F1192" i="2"/>
  <c r="AR98" i="1"/>
  <c r="AR189" i="1" s="1"/>
  <c r="AR258" i="1" s="1"/>
  <c r="AQ98" i="1"/>
  <c r="AQ178" i="1" s="1"/>
  <c r="AQ244" i="1" s="1"/>
  <c r="D171" i="1"/>
  <c r="D238" i="1" s="1"/>
  <c r="AQ216" i="1"/>
  <c r="AQ289" i="1" s="1"/>
  <c r="AD187" i="1"/>
  <c r="D787" i="2"/>
  <c r="F775" i="2" s="1"/>
  <c r="K780" i="2"/>
  <c r="AG266" i="1"/>
  <c r="AT100" i="1"/>
  <c r="AT190" i="1" s="1"/>
  <c r="AT259" i="1" s="1"/>
  <c r="E778" i="2"/>
  <c r="AG268" i="1"/>
  <c r="AQ276" i="1"/>
  <c r="AR100" i="1"/>
  <c r="AR190" i="1" s="1"/>
  <c r="AR259" i="1" s="1"/>
  <c r="AQ45" i="1"/>
  <c r="Y42" i="1"/>
  <c r="AD172" i="1"/>
  <c r="AN226" i="1"/>
  <c r="AN299" i="1" s="1"/>
  <c r="H172" i="1"/>
  <c r="K171" i="1"/>
  <c r="K238" i="1" s="1"/>
  <c r="D1244" i="2"/>
  <c r="F1232" i="2" s="1"/>
  <c r="AN220" i="1"/>
  <c r="AN293" i="1" s="1"/>
  <c r="K1242" i="2"/>
  <c r="E1235" i="2"/>
  <c r="E1232" i="2"/>
  <c r="AS174" i="1"/>
  <c r="AI256" i="1"/>
  <c r="AE45" i="1"/>
  <c r="AO187" i="1"/>
  <c r="AS175" i="1"/>
  <c r="AE100" i="1"/>
  <c r="AE190" i="1" s="1"/>
  <c r="AE259" i="1" s="1"/>
  <c r="AM254" i="1"/>
  <c r="AO175" i="1"/>
  <c r="AO241" i="1" s="1"/>
  <c r="AJ43" i="1"/>
  <c r="AO174" i="1"/>
  <c r="AO200" i="1" s="1"/>
  <c r="AI187" i="1"/>
  <c r="AH111" i="1"/>
  <c r="E775" i="2"/>
  <c r="AG100" i="1"/>
  <c r="AG190" i="1" s="1"/>
  <c r="AG259" i="1" s="1"/>
  <c r="AQ29" i="1"/>
  <c r="AT99" i="1" s="1"/>
  <c r="AF100" i="1"/>
  <c r="AF190" i="1" s="1"/>
  <c r="AF259" i="1" s="1"/>
  <c r="AY180" i="1"/>
  <c r="AY246" i="1" s="1"/>
  <c r="AY191" i="1"/>
  <c r="AY260" i="1" s="1"/>
  <c r="AH100" i="1"/>
  <c r="AH190" i="1" s="1"/>
  <c r="AH259" i="1" s="1"/>
  <c r="AN187" i="1"/>
  <c r="AY227" i="1"/>
  <c r="AY300" i="1" s="1"/>
  <c r="AY83" i="1"/>
  <c r="AJ42" i="1"/>
  <c r="J619" i="2"/>
  <c r="C43" i="1"/>
  <c r="C29" i="1"/>
  <c r="C99" i="1" s="1"/>
  <c r="K862" i="2"/>
  <c r="AV241" i="1"/>
  <c r="D909" i="2"/>
  <c r="F897" i="2" s="1"/>
  <c r="AP178" i="1"/>
  <c r="AP244" i="1" s="1"/>
  <c r="W49" i="1"/>
  <c r="W51" i="1" s="1"/>
  <c r="W55" i="1" s="1"/>
  <c r="AK43" i="1"/>
  <c r="D623" i="2"/>
  <c r="F623" i="2" s="1"/>
  <c r="G55" i="1"/>
  <c r="G53" i="1"/>
  <c r="G94" i="1"/>
  <c r="H52" i="1"/>
  <c r="G198" i="1"/>
  <c r="AT198" i="1"/>
  <c r="AE115" i="1"/>
  <c r="AQ256" i="1"/>
  <c r="AK53" i="1"/>
  <c r="AK55" i="1"/>
  <c r="F1017" i="2"/>
  <c r="AO178" i="1"/>
  <c r="AO244" i="1" s="1"/>
  <c r="AP256" i="1"/>
  <c r="AV200" i="1"/>
  <c r="J491" i="2"/>
  <c r="K485" i="2"/>
  <c r="K488" i="2"/>
  <c r="K442" i="2"/>
  <c r="K445" i="2"/>
  <c r="F443" i="2"/>
  <c r="F440" i="2"/>
  <c r="F447" i="2"/>
  <c r="F449" i="2"/>
  <c r="X175" i="1"/>
  <c r="X241" i="1" s="1"/>
  <c r="AA283" i="1"/>
  <c r="X174" i="1"/>
  <c r="X240" i="1" s="1"/>
  <c r="C194" i="1"/>
  <c r="C263" i="1" s="1"/>
  <c r="C268" i="1" s="1"/>
  <c r="F483" i="2"/>
  <c r="F486" i="2"/>
  <c r="F490" i="2"/>
  <c r="F492" i="2"/>
  <c r="D949" i="2"/>
  <c r="F937" i="2" s="1"/>
  <c r="D869" i="2"/>
  <c r="F857" i="2" s="1"/>
  <c r="E857" i="2"/>
  <c r="E1103" i="2"/>
  <c r="E864" i="2"/>
  <c r="AA219" i="1"/>
  <c r="AA292" i="1" s="1"/>
  <c r="AA325" i="1" s="1"/>
  <c r="AL240" i="1"/>
  <c r="AD98" i="1"/>
  <c r="AD178" i="1" s="1"/>
  <c r="AD244" i="1" s="1"/>
  <c r="K299" i="1"/>
  <c r="K240" i="1"/>
  <c r="AT215" i="1"/>
  <c r="AT288" i="1" s="1"/>
  <c r="AP168" i="1"/>
  <c r="AP235" i="1" s="1"/>
  <c r="AH171" i="1"/>
  <c r="AH238" i="1" s="1"/>
  <c r="I1108" i="2"/>
  <c r="K1102" i="2" s="1"/>
  <c r="D1112" i="2"/>
  <c r="F1103" i="2" s="1"/>
  <c r="C94" i="1"/>
  <c r="C55" i="1"/>
  <c r="AT178" i="1"/>
  <c r="AT244" i="1" s="1"/>
  <c r="D52" i="1"/>
  <c r="AR253" i="1"/>
  <c r="AR256" i="1" s="1"/>
  <c r="E266" i="1"/>
  <c r="AM100" i="1"/>
  <c r="AM190" i="1" s="1"/>
  <c r="AM259" i="1" s="1"/>
  <c r="AB53" i="1"/>
  <c r="AO267" i="1"/>
  <c r="AN254" i="1"/>
  <c r="E860" i="2"/>
  <c r="AO100" i="1"/>
  <c r="K260" i="1"/>
  <c r="AX256" i="1"/>
  <c r="AX266" i="1"/>
  <c r="AX267" i="1"/>
  <c r="AX269" i="1"/>
  <c r="AX268" i="1"/>
  <c r="AT225" i="1"/>
  <c r="AT298" i="1" s="1"/>
  <c r="AX189" i="1"/>
  <c r="AX258" i="1" s="1"/>
  <c r="AX178" i="1"/>
  <c r="AX244" i="1" s="1"/>
  <c r="AX177" i="1"/>
  <c r="AX243" i="1" s="1"/>
  <c r="AQ153" i="1"/>
  <c r="AQ232" i="1" s="1"/>
  <c r="AQ305" i="1" s="1"/>
  <c r="J169" i="1"/>
  <c r="J197" i="1" s="1"/>
  <c r="AV93" i="1"/>
  <c r="AX93" i="1"/>
  <c r="AN100" i="1"/>
  <c r="AN190" i="1" s="1"/>
  <c r="AN259" i="1" s="1"/>
  <c r="AM45" i="1"/>
  <c r="AP100" i="1"/>
  <c r="AS276" i="1"/>
  <c r="AW276" i="1"/>
  <c r="K300" i="1"/>
  <c r="AW189" i="1"/>
  <c r="AW258" i="1" s="1"/>
  <c r="AW178" i="1"/>
  <c r="AW244" i="1" s="1"/>
  <c r="AW177" i="1"/>
  <c r="AW243" i="1" s="1"/>
  <c r="AW199" i="1"/>
  <c r="AW241" i="1"/>
  <c r="AW266" i="1"/>
  <c r="AW256" i="1"/>
  <c r="AW269" i="1"/>
  <c r="AW268" i="1"/>
  <c r="AW267" i="1"/>
  <c r="AW200" i="1"/>
  <c r="AW240" i="1"/>
  <c r="D600" i="2"/>
  <c r="C600" i="2"/>
  <c r="AT174" i="1"/>
  <c r="AT240" i="1" s="1"/>
  <c r="AT241" i="1"/>
  <c r="AV189" i="1"/>
  <c r="AV258" i="1" s="1"/>
  <c r="AV178" i="1"/>
  <c r="AV244" i="1" s="1"/>
  <c r="AV177" i="1"/>
  <c r="AV243" i="1" s="1"/>
  <c r="AT55" i="1"/>
  <c r="AV256" i="1"/>
  <c r="AV266" i="1"/>
  <c r="AV268" i="1"/>
  <c r="AV267" i="1"/>
  <c r="AV269" i="1"/>
  <c r="K298" i="1"/>
  <c r="K285" i="1"/>
  <c r="K314" i="1" s="1"/>
  <c r="K257" i="1"/>
  <c r="K289" i="1"/>
  <c r="K287" i="1"/>
  <c r="K259" i="1"/>
  <c r="K258" i="1"/>
  <c r="K297" i="1"/>
  <c r="K291" i="1"/>
  <c r="K290" i="1"/>
  <c r="K292" i="1"/>
  <c r="K281" i="1"/>
  <c r="K319" i="1" s="1"/>
  <c r="K301" i="1"/>
  <c r="K295" i="1"/>
  <c r="K275" i="1"/>
  <c r="K276" i="1" s="1"/>
  <c r="K286" i="1"/>
  <c r="K294" i="1"/>
  <c r="K253" i="1"/>
  <c r="K254" i="1"/>
  <c r="K255" i="1"/>
  <c r="K296" i="1"/>
  <c r="K288" i="1"/>
  <c r="AP181" i="1"/>
  <c r="AP247" i="1" s="1"/>
  <c r="AP158" i="1"/>
  <c r="AP196" i="1" s="1"/>
  <c r="AP265" i="1" s="1"/>
  <c r="AP269" i="1" s="1"/>
  <c r="AP93" i="1"/>
  <c r="E937" i="2"/>
  <c r="E940" i="2"/>
  <c r="AR43" i="1"/>
  <c r="AN93" i="1"/>
  <c r="F614" i="2"/>
  <c r="F617" i="2"/>
  <c r="AR42" i="1"/>
  <c r="AO93" i="1"/>
  <c r="AP195" i="1"/>
  <c r="AP264" i="1" s="1"/>
  <c r="K942" i="2"/>
  <c r="C713" i="2"/>
  <c r="I905" i="2"/>
  <c r="E900" i="2"/>
  <c r="AG276" i="1"/>
  <c r="AC283" i="1"/>
  <c r="F621" i="2"/>
  <c r="E623" i="2"/>
  <c r="AW99" i="1"/>
  <c r="D645" i="2"/>
  <c r="C645" i="2"/>
  <c r="J664" i="2"/>
  <c r="F659" i="2"/>
  <c r="K229" i="1"/>
  <c r="K302" i="1" s="1"/>
  <c r="J163" i="1"/>
  <c r="AN178" i="1"/>
  <c r="AN244" i="1" s="1"/>
  <c r="AL100" i="1"/>
  <c r="AL190" i="1" s="1"/>
  <c r="AL259" i="1" s="1"/>
  <c r="AI45" i="1"/>
  <c r="AP154" i="1"/>
  <c r="AQ43" i="1"/>
  <c r="AJ100" i="1"/>
  <c r="AJ190" i="1" s="1"/>
  <c r="AJ259" i="1" s="1"/>
  <c r="AM93" i="1"/>
  <c r="AM55" i="1"/>
  <c r="AP163" i="1"/>
  <c r="AI100" i="1"/>
  <c r="AI190" i="1" s="1"/>
  <c r="AI259" i="1" s="1"/>
  <c r="AI216" i="1"/>
  <c r="AI289" i="1" s="1"/>
  <c r="I55" i="1"/>
  <c r="I53" i="1"/>
  <c r="I94" i="1"/>
  <c r="I52" i="1"/>
  <c r="AQ218" i="1"/>
  <c r="AQ291" i="1" s="1"/>
  <c r="D687" i="2"/>
  <c r="D690" i="2" s="1"/>
  <c r="C690" i="2"/>
  <c r="AQ225" i="1"/>
  <c r="AQ298" i="1" s="1"/>
  <c r="AO197" i="1"/>
  <c r="AO236" i="1"/>
  <c r="D668" i="2"/>
  <c r="F668" i="2" s="1"/>
  <c r="D670" i="2"/>
  <c r="AQ215" i="1"/>
  <c r="AQ288" i="1" s="1"/>
  <c r="F666" i="2"/>
  <c r="C675" i="2"/>
  <c r="C676" i="2" s="1"/>
  <c r="AL29" i="1"/>
  <c r="AL43" i="1"/>
  <c r="AL42" i="1"/>
  <c r="AL55" i="1"/>
  <c r="AL53" i="1"/>
  <c r="E668" i="2"/>
  <c r="C1123" i="2"/>
  <c r="C928" i="2"/>
  <c r="D928" i="2" s="1"/>
  <c r="C845" i="2"/>
  <c r="D845" i="2" s="1"/>
  <c r="C965" i="2"/>
  <c r="D965" i="2" s="1"/>
  <c r="C926" i="2"/>
  <c r="D926" i="2" s="1"/>
  <c r="C966" i="2"/>
  <c r="D966" i="2" s="1"/>
  <c r="E904" i="2"/>
  <c r="C946" i="2"/>
  <c r="C953" i="2" s="1"/>
  <c r="C954" i="2" s="1"/>
  <c r="C906" i="2"/>
  <c r="E906" i="2" s="1"/>
  <c r="C925" i="2"/>
  <c r="C967" i="2"/>
  <c r="D967" i="2" s="1"/>
  <c r="C911" i="2"/>
  <c r="E944" i="2"/>
  <c r="C927" i="2"/>
  <c r="D927" i="2" s="1"/>
  <c r="D944" i="2"/>
  <c r="D946" i="2" s="1"/>
  <c r="C948" i="2"/>
  <c r="D782" i="2"/>
  <c r="D784" i="2" s="1"/>
  <c r="C828" i="2"/>
  <c r="D1377" i="2"/>
  <c r="J939" i="2"/>
  <c r="J942" i="2" s="1"/>
  <c r="J1060" i="2"/>
  <c r="J1063" i="2" s="1"/>
  <c r="D1107" i="2"/>
  <c r="E824" i="2"/>
  <c r="C826" i="2"/>
  <c r="C833" i="2" s="1"/>
  <c r="C834" i="2" s="1"/>
  <c r="C831" i="2"/>
  <c r="C847" i="2"/>
  <c r="D847" i="2" s="1"/>
  <c r="D864" i="2"/>
  <c r="D868" i="2" s="1"/>
  <c r="J738" i="2"/>
  <c r="J743" i="2" s="1"/>
  <c r="D1065" i="2"/>
  <c r="D1067" i="2" s="1"/>
  <c r="AA213" i="1"/>
  <c r="AA286" i="1" s="1"/>
  <c r="AA215" i="1"/>
  <c r="AA288" i="1" s="1"/>
  <c r="D1352" i="2"/>
  <c r="AH184" i="1"/>
  <c r="AH253" i="1" s="1"/>
  <c r="AH256" i="1" s="1"/>
  <c r="AP159" i="1"/>
  <c r="AP194" i="1" s="1"/>
  <c r="AP263" i="1" s="1"/>
  <c r="AP268" i="1" s="1"/>
  <c r="F824" i="2"/>
  <c r="AG98" i="1"/>
  <c r="AG178" i="1" s="1"/>
  <c r="AG244" i="1" s="1"/>
  <c r="J193" i="1"/>
  <c r="J262" i="1" s="1"/>
  <c r="J266" i="1" s="1"/>
  <c r="D743" i="2"/>
  <c r="F743" i="2" s="1"/>
  <c r="AO269" i="1"/>
  <c r="J154" i="1"/>
  <c r="J1282" i="2"/>
  <c r="AE111" i="1"/>
  <c r="AE184" i="1"/>
  <c r="AE253" i="1" s="1"/>
  <c r="AE256" i="1" s="1"/>
  <c r="AP232" i="1"/>
  <c r="AP305" i="1" s="1"/>
  <c r="J159" i="1"/>
  <c r="J175" i="1" s="1"/>
  <c r="J859" i="2"/>
  <c r="J864" i="2" s="1"/>
  <c r="AO256" i="1"/>
  <c r="AP193" i="1"/>
  <c r="AP262" i="1" s="1"/>
  <c r="AP266" i="1" s="1"/>
  <c r="AM151" i="1"/>
  <c r="F736" i="2"/>
  <c r="AO266" i="1"/>
  <c r="D1350" i="2"/>
  <c r="AF220" i="1"/>
  <c r="AF293" i="1" s="1"/>
  <c r="AF78" i="1"/>
  <c r="AF80" i="1" s="1"/>
  <c r="E705" i="2"/>
  <c r="AC197" i="1"/>
  <c r="AC236" i="1"/>
  <c r="AG115" i="1"/>
  <c r="AR276" i="1"/>
  <c r="AN283" i="1"/>
  <c r="AE59" i="1"/>
  <c r="AB60" i="1"/>
  <c r="AB156" i="1"/>
  <c r="AB312" i="1" s="1"/>
  <c r="AB61" i="1"/>
  <c r="AB97" i="1"/>
  <c r="AB188" i="1" s="1"/>
  <c r="AB257" i="1" s="1"/>
  <c r="F1024" i="2"/>
  <c r="F739" i="2"/>
  <c r="G267" i="1"/>
  <c r="AA282" i="1"/>
  <c r="AC97" i="1"/>
  <c r="AC188" i="1" s="1"/>
  <c r="AC257" i="1" s="1"/>
  <c r="X171" i="1"/>
  <c r="X306" i="1"/>
  <c r="F1020" i="2"/>
  <c r="AJ266" i="1"/>
  <c r="AD97" i="1"/>
  <c r="AD188" i="1" s="1"/>
  <c r="AD257" i="1" s="1"/>
  <c r="Y198" i="1"/>
  <c r="AG78" i="1"/>
  <c r="AB267" i="1"/>
  <c r="AC198" i="1"/>
  <c r="AC235" i="1"/>
  <c r="AG111" i="1"/>
  <c r="AF98" i="1"/>
  <c r="AF178" i="1" s="1"/>
  <c r="AF244" i="1" s="1"/>
  <c r="AC187" i="1"/>
  <c r="AC254" i="1"/>
  <c r="AL213" i="1"/>
  <c r="AL286" i="1" s="1"/>
  <c r="AM65" i="1"/>
  <c r="D268" i="1"/>
  <c r="AB197" i="1"/>
  <c r="AB236" i="1"/>
  <c r="AJ78" i="1"/>
  <c r="AJ80" i="1" s="1"/>
  <c r="AJ220" i="1"/>
  <c r="AJ293" i="1" s="1"/>
  <c r="AS283" i="1"/>
  <c r="AS282" i="1"/>
  <c r="F197" i="1"/>
  <c r="F236" i="1"/>
  <c r="AB306" i="1"/>
  <c r="AB171" i="1"/>
  <c r="C848" i="2"/>
  <c r="D848" i="2" s="1"/>
  <c r="AL253" i="1"/>
  <c r="AL256" i="1" s="1"/>
  <c r="AL98" i="1"/>
  <c r="AI219" i="1"/>
  <c r="AI292" i="1" s="1"/>
  <c r="AI325" i="1" s="1"/>
  <c r="AJ98" i="1"/>
  <c r="AK98" i="1"/>
  <c r="AK177" i="1" s="1"/>
  <c r="AK243" i="1" s="1"/>
  <c r="AI98" i="1"/>
  <c r="AM283" i="1"/>
  <c r="AM282" i="1"/>
  <c r="AK215" i="1"/>
  <c r="AK288" i="1" s="1"/>
  <c r="AK72" i="1"/>
  <c r="AQ224" i="1"/>
  <c r="AQ297" i="1" s="1"/>
  <c r="F241" i="1"/>
  <c r="F199" i="1"/>
  <c r="F171" i="1"/>
  <c r="F306" i="1"/>
  <c r="AB235" i="1"/>
  <c r="AB198" i="1"/>
  <c r="AE77" i="1"/>
  <c r="AE225" i="1" s="1"/>
  <c r="AE298" i="1" s="1"/>
  <c r="AT94" i="1"/>
  <c r="AT53" i="1"/>
  <c r="C241" i="1"/>
  <c r="C199" i="1"/>
  <c r="AC72" i="1"/>
  <c r="AC215" i="1"/>
  <c r="AC288" i="1" s="1"/>
  <c r="AG51" i="1"/>
  <c r="AG306" i="1"/>
  <c r="AG171" i="1"/>
  <c r="AG238" i="1" s="1"/>
  <c r="F817" i="2"/>
  <c r="AD213" i="1"/>
  <c r="AD286" i="1" s="1"/>
  <c r="AG29" i="1"/>
  <c r="AG43" i="1"/>
  <c r="AG42" i="1"/>
  <c r="AK171" i="1"/>
  <c r="AK238" i="1" s="1"/>
  <c r="AK306" i="1"/>
  <c r="AF197" i="1"/>
  <c r="AF236" i="1"/>
  <c r="AR226" i="1"/>
  <c r="AR299" i="1" s="1"/>
  <c r="Z213" i="1"/>
  <c r="Z286" i="1" s="1"/>
  <c r="AF235" i="1"/>
  <c r="AF198" i="1"/>
  <c r="AK236" i="1"/>
  <c r="AK197" i="1"/>
  <c r="AR282" i="1"/>
  <c r="AR283" i="1"/>
  <c r="X226" i="1"/>
  <c r="X299" i="1" s="1"/>
  <c r="X83" i="1"/>
  <c r="X229" i="1" s="1"/>
  <c r="X302" i="1" s="1"/>
  <c r="F980" i="2"/>
  <c r="W154" i="1"/>
  <c r="W193" i="1"/>
  <c r="W262" i="1" s="1"/>
  <c r="W266" i="1" s="1"/>
  <c r="W159" i="1"/>
  <c r="W163" i="1"/>
  <c r="W169" i="1"/>
  <c r="W232" i="1"/>
  <c r="W305" i="1" s="1"/>
  <c r="F29" i="1"/>
  <c r="F99" i="1" s="1"/>
  <c r="AA99" i="1" s="1"/>
  <c r="F42" i="1"/>
  <c r="F43" i="1"/>
  <c r="AF267" i="1"/>
  <c r="AE189" i="1"/>
  <c r="AE258" i="1" s="1"/>
  <c r="AE178" i="1"/>
  <c r="AE244" i="1" s="1"/>
  <c r="AG196" i="1"/>
  <c r="AG265" i="1" s="1"/>
  <c r="AG269" i="1" s="1"/>
  <c r="W181" i="1"/>
  <c r="W247" i="1" s="1"/>
  <c r="W164" i="1"/>
  <c r="W195" i="1"/>
  <c r="W264" i="1" s="1"/>
  <c r="W168" i="1"/>
  <c r="G52" i="1"/>
  <c r="F53" i="1"/>
  <c r="F94" i="1"/>
  <c r="AA94" i="1" s="1"/>
  <c r="F55" i="1"/>
  <c r="F52" i="1"/>
  <c r="I169" i="1"/>
  <c r="I232" i="1"/>
  <c r="I305" i="1" s="1"/>
  <c r="I193" i="1"/>
  <c r="I262" i="1" s="1"/>
  <c r="I266" i="1" s="1"/>
  <c r="I154" i="1"/>
  <c r="I159" i="1"/>
  <c r="I163" i="1"/>
  <c r="AM153" i="1"/>
  <c r="AA26" i="1"/>
  <c r="AA49" i="1"/>
  <c r="AA39" i="1"/>
  <c r="AQ164" i="1"/>
  <c r="AQ158" i="1"/>
  <c r="AQ195" i="1"/>
  <c r="AQ264" i="1" s="1"/>
  <c r="AQ168" i="1"/>
  <c r="G276" i="1"/>
  <c r="I168" i="1"/>
  <c r="I195" i="1"/>
  <c r="I264" i="1" s="1"/>
  <c r="I181" i="1"/>
  <c r="I247" i="1" s="1"/>
  <c r="I158" i="1"/>
  <c r="I164" i="1"/>
  <c r="F256" i="1"/>
  <c r="X101" i="1"/>
  <c r="E78" i="1"/>
  <c r="E80" i="1" s="1"/>
  <c r="E101" i="1"/>
  <c r="E220" i="1"/>
  <c r="E293" i="1" s="1"/>
  <c r="AC189" i="1"/>
  <c r="AC258" i="1" s="1"/>
  <c r="AC178" i="1"/>
  <c r="AC244" i="1" s="1"/>
  <c r="V55" i="1"/>
  <c r="V53" i="1"/>
  <c r="AE219" i="1"/>
  <c r="AE292" i="1" s="1"/>
  <c r="AH325" i="1" s="1"/>
  <c r="AH98" i="1"/>
  <c r="AF111" i="1"/>
  <c r="AF184" i="1"/>
  <c r="AF115" i="1"/>
  <c r="AJ55" i="1"/>
  <c r="AJ53" i="1"/>
  <c r="AM94" i="1"/>
  <c r="AQ282" i="1"/>
  <c r="AQ283" i="1"/>
  <c r="AF171" i="1"/>
  <c r="AF238" i="1" s="1"/>
  <c r="AF306" i="1"/>
  <c r="AG236" i="1"/>
  <c r="AG197" i="1"/>
  <c r="W158" i="1"/>
  <c r="Y215" i="1"/>
  <c r="Y288" i="1" s="1"/>
  <c r="Y72" i="1"/>
  <c r="E55" i="1"/>
  <c r="E52" i="1"/>
  <c r="E94" i="1"/>
  <c r="W94" i="1" s="1"/>
  <c r="E53" i="1"/>
  <c r="F269" i="1"/>
  <c r="AK253" i="1"/>
  <c r="AK256" i="1" s="1"/>
  <c r="J235" i="1"/>
  <c r="J198" i="1"/>
  <c r="AE11" i="1"/>
  <c r="AD59" i="3"/>
  <c r="AE17" i="1"/>
  <c r="T226" i="1"/>
  <c r="T299" i="1" s="1"/>
  <c r="T83" i="1"/>
  <c r="T229" i="1" s="1"/>
  <c r="T302" i="1" s="1"/>
  <c r="AG198" i="1"/>
  <c r="AG235" i="1"/>
  <c r="I78" i="1"/>
  <c r="I80" i="1" s="1"/>
  <c r="I101" i="1"/>
  <c r="I220" i="1"/>
  <c r="I293" i="1" s="1"/>
  <c r="G200" i="1"/>
  <c r="G240" i="1"/>
  <c r="AK174" i="1"/>
  <c r="AK196" i="1"/>
  <c r="AK265" i="1" s="1"/>
  <c r="AK269" i="1" s="1"/>
  <c r="F282" i="1"/>
  <c r="F283" i="1"/>
  <c r="G282" i="1"/>
  <c r="AK175" i="1"/>
  <c r="AK194" i="1"/>
  <c r="AK263" i="1" s="1"/>
  <c r="AK268" i="1" s="1"/>
  <c r="W76" i="1"/>
  <c r="J196" i="1"/>
  <c r="J265" i="1" s="1"/>
  <c r="J269" i="1" s="1"/>
  <c r="J174" i="1"/>
  <c r="AI49" i="1"/>
  <c r="AI93" i="1" s="1"/>
  <c r="AI39" i="1"/>
  <c r="AI26" i="1"/>
  <c r="AL241" i="1"/>
  <c r="AL199" i="1"/>
  <c r="E256" i="1"/>
  <c r="AG267" i="1"/>
  <c r="AC39" i="1"/>
  <c r="AC49" i="1"/>
  <c r="AC26" i="1"/>
  <c r="AK235" i="1"/>
  <c r="AK198" i="1"/>
  <c r="D227" i="1"/>
  <c r="D300" i="1" s="1"/>
  <c r="D87" i="1"/>
  <c r="F266" i="1"/>
  <c r="F268" i="1"/>
  <c r="D83" i="1"/>
  <c r="D229" i="1" s="1"/>
  <c r="D302" i="1" s="1"/>
  <c r="AE207" i="1"/>
  <c r="AE210" i="1"/>
  <c r="AE275" i="1"/>
  <c r="AI276" i="1" s="1"/>
  <c r="AI283" i="1"/>
  <c r="AM276" i="1"/>
  <c r="J220" i="1"/>
  <c r="J293" i="1" s="1"/>
  <c r="J101" i="1"/>
  <c r="J78" i="1"/>
  <c r="AM29" i="1"/>
  <c r="AP99" i="1" s="1"/>
  <c r="AM42" i="1"/>
  <c r="AM43" i="1"/>
  <c r="AE213" i="1"/>
  <c r="AE286" i="1" s="1"/>
  <c r="AN55" i="1"/>
  <c r="AN53" i="1"/>
  <c r="AP94" i="1"/>
  <c r="AN94" i="1"/>
  <c r="AO94" i="1"/>
  <c r="D267" i="1"/>
  <c r="D269" i="1"/>
  <c r="W72" i="1"/>
  <c r="W215" i="1"/>
  <c r="W288" i="1" s="1"/>
  <c r="AE181" i="1"/>
  <c r="AE247" i="1" s="1"/>
  <c r="AE168" i="1"/>
  <c r="AE164" i="1"/>
  <c r="AE195" i="1"/>
  <c r="AE264" i="1" s="1"/>
  <c r="Y267" i="1"/>
  <c r="Y197" i="1"/>
  <c r="Y236" i="1"/>
  <c r="AN241" i="1"/>
  <c r="AN199" i="1"/>
  <c r="E99" i="1"/>
  <c r="W99" i="1" s="1"/>
  <c r="AP215" i="1"/>
  <c r="AP288" i="1" s="1"/>
  <c r="AP72" i="1"/>
  <c r="AD196" i="1"/>
  <c r="AD265" i="1" s="1"/>
  <c r="AD269" i="1" s="1"/>
  <c r="G268" i="1"/>
  <c r="AE163" i="1"/>
  <c r="AE169" i="1"/>
  <c r="AE193" i="1"/>
  <c r="AE262" i="1" s="1"/>
  <c r="AE266" i="1" s="1"/>
  <c r="AE232" i="1"/>
  <c r="AE305" i="1" s="1"/>
  <c r="F240" i="1"/>
  <c r="F200" i="1"/>
  <c r="AL269" i="1"/>
  <c r="AL266" i="1"/>
  <c r="AL267" i="1"/>
  <c r="W45" i="1"/>
  <c r="W216" i="1"/>
  <c r="W289" i="1" s="1"/>
  <c r="Y171" i="1"/>
  <c r="Y306" i="1"/>
  <c r="AI158" i="1"/>
  <c r="AI195" i="1"/>
  <c r="AI264" i="1" s="1"/>
  <c r="AI168" i="1"/>
  <c r="AI181" i="1"/>
  <c r="AI247" i="1" s="1"/>
  <c r="AI164" i="1"/>
  <c r="AQ217" i="1"/>
  <c r="AQ290" i="1" s="1"/>
  <c r="C240" i="1"/>
  <c r="C200" i="1"/>
  <c r="AI76" i="1"/>
  <c r="AI224" i="1" s="1"/>
  <c r="AI297" i="1" s="1"/>
  <c r="AJ256" i="1"/>
  <c r="AA158" i="1"/>
  <c r="AA181" i="1"/>
  <c r="AA247" i="1" s="1"/>
  <c r="AA195" i="1"/>
  <c r="AA264" i="1" s="1"/>
  <c r="AA168" i="1"/>
  <c r="AA164" i="1"/>
  <c r="E171" i="1"/>
  <c r="E306" i="1"/>
  <c r="D266" i="1"/>
  <c r="AI169" i="1"/>
  <c r="AI232" i="1"/>
  <c r="AI305" i="1" s="1"/>
  <c r="AI163" i="1"/>
  <c r="AI159" i="1"/>
  <c r="AI193" i="1"/>
  <c r="AI262" i="1" s="1"/>
  <c r="AI266" i="1" s="1"/>
  <c r="E196" i="1"/>
  <c r="E265" i="1" s="1"/>
  <c r="E269" i="1" s="1"/>
  <c r="E174" i="1"/>
  <c r="AA193" i="1"/>
  <c r="AA262" i="1" s="1"/>
  <c r="AA266" i="1" s="1"/>
  <c r="AA154" i="1"/>
  <c r="AA310" i="1" s="1"/>
  <c r="AA319" i="1" s="1"/>
  <c r="AA163" i="1"/>
  <c r="AA169" i="1"/>
  <c r="AA159" i="1"/>
  <c r="AA232" i="1"/>
  <c r="AA305" i="1" s="1"/>
  <c r="AO220" i="1"/>
  <c r="AO293" i="1" s="1"/>
  <c r="AO78" i="1"/>
  <c r="U220" i="1"/>
  <c r="U293" i="1" s="1"/>
  <c r="U78" i="1"/>
  <c r="U80" i="1" s="1"/>
  <c r="AD267" i="1"/>
  <c r="E235" i="1"/>
  <c r="E198" i="1"/>
  <c r="AB78" i="1"/>
  <c r="AB80" i="1" s="1"/>
  <c r="AB220" i="1"/>
  <c r="AB293" i="1" s="1"/>
  <c r="AB101" i="1"/>
  <c r="AQ94" i="1"/>
  <c r="AD53" i="1"/>
  <c r="AD55" i="1"/>
  <c r="D256" i="1"/>
  <c r="AH197" i="1"/>
  <c r="AH236" i="1"/>
  <c r="AK267" i="1"/>
  <c r="AK266" i="1"/>
  <c r="AJ282" i="1"/>
  <c r="AN282" i="1"/>
  <c r="AJ283" i="1"/>
  <c r="X42" i="1"/>
  <c r="X29" i="1"/>
  <c r="X43" i="1"/>
  <c r="E236" i="1"/>
  <c r="E197" i="1"/>
  <c r="AR158" i="1"/>
  <c r="AR164" i="1"/>
  <c r="AR195" i="1"/>
  <c r="AR264" i="1" s="1"/>
  <c r="AR181" i="1"/>
  <c r="AR247" i="1" s="1"/>
  <c r="AR168" i="1"/>
  <c r="E267" i="1"/>
  <c r="AM217" i="1"/>
  <c r="AM290" i="1" s="1"/>
  <c r="AR159" i="1"/>
  <c r="AR163" i="1"/>
  <c r="AR193" i="1"/>
  <c r="AR262" i="1" s="1"/>
  <c r="AR266" i="1" s="1"/>
  <c r="AR232" i="1"/>
  <c r="AR305" i="1" s="1"/>
  <c r="AR169" i="1"/>
  <c r="G256" i="1"/>
  <c r="V215" i="1"/>
  <c r="V288" i="1" s="1"/>
  <c r="V72" i="1"/>
  <c r="W253" i="1"/>
  <c r="W256" i="1" s="1"/>
  <c r="W187" i="1"/>
  <c r="Y174" i="1"/>
  <c r="Y196" i="1"/>
  <c r="Y265" i="1" s="1"/>
  <c r="Y269" i="1" s="1"/>
  <c r="AJ276" i="1"/>
  <c r="AN276" i="1"/>
  <c r="Y175" i="1"/>
  <c r="Y194" i="1"/>
  <c r="Y263" i="1" s="1"/>
  <c r="Y268" i="1" s="1"/>
  <c r="X55" i="1"/>
  <c r="X53" i="1"/>
  <c r="AB94" i="1"/>
  <c r="Z94" i="1"/>
  <c r="Y94" i="1"/>
  <c r="X94" i="1"/>
  <c r="E175" i="1"/>
  <c r="E194" i="1"/>
  <c r="E263" i="1" s="1"/>
  <c r="E268" i="1" s="1"/>
  <c r="G266" i="1"/>
  <c r="AQ213" i="1"/>
  <c r="AQ286" i="1" s="1"/>
  <c r="AD198" i="1"/>
  <c r="AD235" i="1"/>
  <c r="X256" i="1"/>
  <c r="X267" i="1"/>
  <c r="X269" i="1"/>
  <c r="X266" i="1"/>
  <c r="Z196" i="1"/>
  <c r="Z265" i="1" s="1"/>
  <c r="Z269" i="1" s="1"/>
  <c r="Z174" i="1"/>
  <c r="AJ197" i="1"/>
  <c r="AJ236" i="1"/>
  <c r="Z175" i="1"/>
  <c r="Z194" i="1"/>
  <c r="Z263" i="1" s="1"/>
  <c r="Z268" i="1" s="1"/>
  <c r="AS254" i="1"/>
  <c r="AS187" i="1"/>
  <c r="G238" i="1"/>
  <c r="G172" i="1"/>
  <c r="AE221" i="1"/>
  <c r="AE294" i="1" s="1"/>
  <c r="AJ198" i="1"/>
  <c r="AJ235" i="1"/>
  <c r="Z197" i="1"/>
  <c r="Z236" i="1"/>
  <c r="AG187" i="1"/>
  <c r="AG253" i="1"/>
  <c r="AG256" i="1" s="1"/>
  <c r="I704" i="2"/>
  <c r="D708" i="2"/>
  <c r="F703" i="2" s="1"/>
  <c r="E699" i="2"/>
  <c r="E696" i="2"/>
  <c r="E703" i="2"/>
  <c r="C180" i="1"/>
  <c r="C246" i="1" s="1"/>
  <c r="C191" i="1"/>
  <c r="C260" i="1" s="1"/>
  <c r="AE171" i="1"/>
  <c r="AE306" i="1"/>
  <c r="Z267" i="1"/>
  <c r="AJ267" i="1"/>
  <c r="Z235" i="1"/>
  <c r="Z198" i="1"/>
  <c r="Z171" i="1"/>
  <c r="Z306" i="1"/>
  <c r="AP197" i="1"/>
  <c r="AP236" i="1"/>
  <c r="I256" i="1"/>
  <c r="G199" i="1"/>
  <c r="G241" i="1"/>
  <c r="AJ306" i="1"/>
  <c r="AJ171" i="1"/>
  <c r="D705" i="2"/>
  <c r="AJ196" i="1"/>
  <c r="AJ265" i="1" s="1"/>
  <c r="AJ269" i="1" s="1"/>
  <c r="AJ174" i="1"/>
  <c r="J982" i="2"/>
  <c r="AS197" i="1"/>
  <c r="AS236" i="1"/>
  <c r="X268" i="1"/>
  <c r="AJ194" i="1"/>
  <c r="AJ263" i="1" s="1"/>
  <c r="AJ268" i="1" s="1"/>
  <c r="AJ175" i="1"/>
  <c r="G87" i="1"/>
  <c r="G227" i="1"/>
  <c r="G300" i="1" s="1"/>
  <c r="J701" i="2"/>
  <c r="J780" i="2"/>
  <c r="F984" i="2"/>
  <c r="J824" i="2"/>
  <c r="D986" i="2"/>
  <c r="F986" i="2" s="1"/>
  <c r="D1028" i="2"/>
  <c r="C1046" i="2"/>
  <c r="D1046" i="2" s="1"/>
  <c r="D826" i="2"/>
  <c r="F826" i="2" s="1"/>
  <c r="D828" i="2"/>
  <c r="J1149" i="2"/>
  <c r="J1022" i="2"/>
  <c r="J1194" i="2"/>
  <c r="J1244" i="2"/>
  <c r="C1359" i="2"/>
  <c r="C1360" i="2" s="1"/>
  <c r="F1196" i="2"/>
  <c r="D1198" i="2"/>
  <c r="F1198" i="2" s="1"/>
  <c r="C1010" i="2"/>
  <c r="E1024" i="2"/>
  <c r="C1048" i="2"/>
  <c r="D1048" i="2" s="1"/>
  <c r="D1026" i="2"/>
  <c r="F1026" i="2" s="1"/>
  <c r="D1010" i="2"/>
  <c r="C1026" i="2"/>
  <c r="E1026" i="2" s="1"/>
  <c r="C1028" i="2"/>
  <c r="C1031" i="2"/>
  <c r="C1045" i="2"/>
  <c r="D1045" i="2" s="1"/>
  <c r="C1047" i="2"/>
  <c r="D1047" i="2" s="1"/>
  <c r="D1394" i="2"/>
  <c r="C1401" i="2"/>
  <c r="C1402" i="2" s="1"/>
  <c r="E1107" i="2"/>
  <c r="C1129" i="2"/>
  <c r="D1129" i="2" s="1"/>
  <c r="C1132" i="2"/>
  <c r="D1132" i="2" s="1"/>
  <c r="C1109" i="2"/>
  <c r="C1111" i="2"/>
  <c r="C1128" i="2"/>
  <c r="C1130" i="2"/>
  <c r="D1130" i="2" s="1"/>
  <c r="C1131" i="2"/>
  <c r="D1131" i="2" s="1"/>
  <c r="C1114" i="2"/>
  <c r="E1198" i="2"/>
  <c r="C1205" i="2"/>
  <c r="C1206" i="2" s="1"/>
  <c r="D885" i="2"/>
  <c r="D889" i="2" s="1"/>
  <c r="C889" i="2"/>
  <c r="D1153" i="2"/>
  <c r="D1155" i="2"/>
  <c r="C1340" i="2"/>
  <c r="D1334" i="2"/>
  <c r="D1340" i="2" s="1"/>
  <c r="D1298" i="2"/>
  <c r="D1303" i="2" s="1"/>
  <c r="C1303" i="2"/>
  <c r="C1089" i="2"/>
  <c r="D1089" i="2" s="1"/>
  <c r="C1087" i="2"/>
  <c r="D1087" i="2" s="1"/>
  <c r="C1090" i="2"/>
  <c r="D1090" i="2" s="1"/>
  <c r="C1067" i="2"/>
  <c r="C1069" i="2"/>
  <c r="C1088" i="2"/>
  <c r="D1088" i="2" s="1"/>
  <c r="C1086" i="2"/>
  <c r="C1072" i="2"/>
  <c r="E1065" i="2"/>
  <c r="C765" i="2"/>
  <c r="D765" i="2" s="1"/>
  <c r="E743" i="2"/>
  <c r="C764" i="2"/>
  <c r="C750" i="2"/>
  <c r="C766" i="2"/>
  <c r="D766" i="2" s="1"/>
  <c r="C747" i="2"/>
  <c r="C745" i="2"/>
  <c r="E866" i="2"/>
  <c r="C873" i="2"/>
  <c r="C874" i="2" s="1"/>
  <c r="C1160" i="2"/>
  <c r="C1161" i="2" s="1"/>
  <c r="E1153" i="2"/>
  <c r="C786" i="2"/>
  <c r="C808" i="2"/>
  <c r="D808" i="2" s="1"/>
  <c r="C803" i="2"/>
  <c r="C784" i="2"/>
  <c r="C807" i="2"/>
  <c r="D807" i="2" s="1"/>
  <c r="E782" i="2"/>
  <c r="C805" i="2"/>
  <c r="D805" i="2" s="1"/>
  <c r="C806" i="2"/>
  <c r="D806" i="2" s="1"/>
  <c r="C804" i="2"/>
  <c r="D804" i="2" s="1"/>
  <c r="E1279" i="2"/>
  <c r="C1286" i="2"/>
  <c r="C1287" i="2" s="1"/>
  <c r="C1246" i="2"/>
  <c r="C1264" i="2"/>
  <c r="D1264" i="2" s="1"/>
  <c r="E1239" i="2"/>
  <c r="C1261" i="2"/>
  <c r="D1261" i="2" s="1"/>
  <c r="C1260" i="2"/>
  <c r="C1262" i="2"/>
  <c r="D1262" i="2" s="1"/>
  <c r="C1263" i="2"/>
  <c r="D1263" i="2" s="1"/>
  <c r="C1243" i="2"/>
  <c r="C1241" i="2"/>
  <c r="D1241" i="2"/>
  <c r="D1243" i="2"/>
  <c r="D1217" i="2"/>
  <c r="D1223" i="2" s="1"/>
  <c r="C1223" i="2"/>
  <c r="C1178" i="2"/>
  <c r="D1172" i="2"/>
  <c r="D1178" i="2" s="1"/>
  <c r="E1315" i="2"/>
  <c r="C1322" i="2"/>
  <c r="C1323" i="2" s="1"/>
  <c r="AB322" i="1" l="1"/>
  <c r="J904" i="2"/>
  <c r="D1315" i="2"/>
  <c r="AK52" i="1"/>
  <c r="F1277" i="2"/>
  <c r="C327" i="1"/>
  <c r="BX39" i="1"/>
  <c r="BX49" i="1"/>
  <c r="BX51" i="1" s="1"/>
  <c r="BX26" i="1"/>
  <c r="BX45" i="1"/>
  <c r="BW42" i="1"/>
  <c r="BW29" i="1"/>
  <c r="BW43" i="1"/>
  <c r="W224" i="1"/>
  <c r="W297" i="1" s="1"/>
  <c r="BW51" i="1"/>
  <c r="W310" i="1"/>
  <c r="H198" i="1"/>
  <c r="J1318" i="2"/>
  <c r="D906" i="2"/>
  <c r="F906" i="2" s="1"/>
  <c r="D1279" i="2"/>
  <c r="F1279" i="2" s="1"/>
  <c r="BC86" i="1"/>
  <c r="Z322" i="1"/>
  <c r="AS316" i="1"/>
  <c r="AS321" i="1"/>
  <c r="AS324" i="1"/>
  <c r="AS325" i="1"/>
  <c r="AU325" i="1"/>
  <c r="AC317" i="1"/>
  <c r="AB319" i="1"/>
  <c r="AS317" i="1"/>
  <c r="AC319" i="1"/>
  <c r="AS319" i="1"/>
  <c r="AN324" i="1"/>
  <c r="AU324" i="1"/>
  <c r="AD321" i="1"/>
  <c r="AL317" i="1"/>
  <c r="AL322" i="1"/>
  <c r="AL319" i="1"/>
  <c r="AB325" i="1"/>
  <c r="AQ324" i="1"/>
  <c r="AQ325" i="1"/>
  <c r="AJ319" i="1"/>
  <c r="AI324" i="1"/>
  <c r="AJ328" i="1"/>
  <c r="AJ321" i="1"/>
  <c r="AJ316" i="1"/>
  <c r="AF328" i="1"/>
  <c r="AF321" i="1"/>
  <c r="AF316" i="1"/>
  <c r="AG328" i="1"/>
  <c r="AG321" i="1"/>
  <c r="AG316" i="1"/>
  <c r="AC328" i="1"/>
  <c r="AC321" i="1"/>
  <c r="AC316" i="1"/>
  <c r="AC325" i="1"/>
  <c r="AT325" i="1"/>
  <c r="AT324" i="1"/>
  <c r="AT319" i="1"/>
  <c r="AT321" i="1"/>
  <c r="AT316" i="1"/>
  <c r="AT322" i="1"/>
  <c r="AT317" i="1"/>
  <c r="X325" i="1"/>
  <c r="X324" i="1"/>
  <c r="AF325" i="1"/>
  <c r="X317" i="1"/>
  <c r="AJ317" i="1"/>
  <c r="AR322" i="1"/>
  <c r="AR317" i="1"/>
  <c r="Z321" i="1"/>
  <c r="Z328" i="1"/>
  <c r="Z316" i="1"/>
  <c r="AB328" i="1"/>
  <c r="AB321" i="1"/>
  <c r="AB316" i="1"/>
  <c r="AV325" i="1"/>
  <c r="AV324" i="1"/>
  <c r="AV319" i="1"/>
  <c r="AV317" i="1"/>
  <c r="AV322" i="1"/>
  <c r="AV321" i="1"/>
  <c r="AV316" i="1"/>
  <c r="AK325" i="1"/>
  <c r="AK324" i="1"/>
  <c r="Z324" i="1"/>
  <c r="Z325" i="1"/>
  <c r="Y328" i="1"/>
  <c r="Y321" i="1"/>
  <c r="Y316" i="1"/>
  <c r="AO319" i="1"/>
  <c r="AR325" i="1"/>
  <c r="AR324" i="1"/>
  <c r="AR319" i="1"/>
  <c r="AK319" i="1"/>
  <c r="AL325" i="1"/>
  <c r="AL324" i="1"/>
  <c r="X319" i="1"/>
  <c r="AE324" i="1"/>
  <c r="AE328" i="1"/>
  <c r="AE316" i="1"/>
  <c r="AA322" i="1"/>
  <c r="AA317" i="1"/>
  <c r="AE317" i="1"/>
  <c r="AP322" i="1"/>
  <c r="AP317" i="1"/>
  <c r="D327" i="1"/>
  <c r="AO328" i="1"/>
  <c r="AO321" i="1"/>
  <c r="AO316" i="1"/>
  <c r="AJ325" i="1"/>
  <c r="AJ324" i="1"/>
  <c r="Z317" i="1"/>
  <c r="AH324" i="1"/>
  <c r="AO325" i="1"/>
  <c r="AO324" i="1"/>
  <c r="AU322" i="1"/>
  <c r="AU317" i="1"/>
  <c r="AP325" i="1"/>
  <c r="AP324" i="1"/>
  <c r="AG324" i="1"/>
  <c r="AI322" i="1"/>
  <c r="AI317" i="1"/>
  <c r="X328" i="1"/>
  <c r="X321" i="1"/>
  <c r="X316" i="1"/>
  <c r="AQ322" i="1"/>
  <c r="AQ317" i="1"/>
  <c r="AN322" i="1"/>
  <c r="AN317" i="1"/>
  <c r="AL321" i="1"/>
  <c r="AG325" i="1"/>
  <c r="AO317" i="1"/>
  <c r="AK322" i="1"/>
  <c r="AK328" i="1"/>
  <c r="AK321" i="1"/>
  <c r="AK316" i="1"/>
  <c r="AH328" i="1"/>
  <c r="AH316" i="1"/>
  <c r="AH321" i="1"/>
  <c r="Y325" i="1"/>
  <c r="Y324" i="1"/>
  <c r="AF324" i="1"/>
  <c r="AD325" i="1"/>
  <c r="AD319" i="1"/>
  <c r="AD322" i="1"/>
  <c r="AD317" i="1"/>
  <c r="AO322" i="1"/>
  <c r="AE325" i="1"/>
  <c r="F328" i="1"/>
  <c r="F316" i="1"/>
  <c r="F321" i="1"/>
  <c r="I317" i="1"/>
  <c r="I322" i="1"/>
  <c r="K317" i="1"/>
  <c r="E328" i="1"/>
  <c r="E316" i="1"/>
  <c r="E321" i="1"/>
  <c r="E327" i="1"/>
  <c r="K322" i="1"/>
  <c r="F327" i="1"/>
  <c r="C328" i="1"/>
  <c r="C316" i="1"/>
  <c r="C321" i="1"/>
  <c r="H321" i="1"/>
  <c r="H328" i="1"/>
  <c r="H316" i="1"/>
  <c r="K321" i="1"/>
  <c r="H327" i="1"/>
  <c r="K325" i="1"/>
  <c r="K324" i="1"/>
  <c r="D328" i="1"/>
  <c r="D316" i="1"/>
  <c r="D321" i="1"/>
  <c r="K316" i="1"/>
  <c r="C238" i="1"/>
  <c r="AP306" i="1"/>
  <c r="AP310" i="1"/>
  <c r="AP319" i="1" s="1"/>
  <c r="AI172" i="1"/>
  <c r="J310" i="1"/>
  <c r="J319" i="1" s="1"/>
  <c r="AN306" i="1"/>
  <c r="AN310" i="1"/>
  <c r="AN319" i="1" s="1"/>
  <c r="I310" i="1"/>
  <c r="I319" i="1" s="1"/>
  <c r="D180" i="1"/>
  <c r="D246" i="1" s="1"/>
  <c r="AM168" i="1"/>
  <c r="AM198" i="1" s="1"/>
  <c r="AM233" i="1"/>
  <c r="AN196" i="1"/>
  <c r="AN265" i="1" s="1"/>
  <c r="AN269" i="1" s="1"/>
  <c r="C83" i="1"/>
  <c r="C229" i="1" s="1"/>
  <c r="C302" i="1" s="1"/>
  <c r="H174" i="1"/>
  <c r="H240" i="1" s="1"/>
  <c r="C226" i="1"/>
  <c r="C299" i="1" s="1"/>
  <c r="W42" i="1"/>
  <c r="AS78" i="1"/>
  <c r="AS80" i="1" s="1"/>
  <c r="AO80" i="1"/>
  <c r="AO83" i="1" s="1"/>
  <c r="AO229" i="1" s="1"/>
  <c r="AO302" i="1" s="1"/>
  <c r="H180" i="1"/>
  <c r="H246" i="1" s="1"/>
  <c r="F191" i="1"/>
  <c r="F260" i="1" s="1"/>
  <c r="AA101" i="1"/>
  <c r="AA191" i="1" s="1"/>
  <c r="AA260" i="1" s="1"/>
  <c r="AN87" i="1"/>
  <c r="AQ189" i="1"/>
  <c r="AQ258" i="1" s="1"/>
  <c r="AN227" i="1"/>
  <c r="AN300" i="1" s="1"/>
  <c r="R180" i="1"/>
  <c r="R246" i="1" s="1"/>
  <c r="R191" i="1"/>
  <c r="R260" i="1" s="1"/>
  <c r="R226" i="1"/>
  <c r="R299" i="1" s="1"/>
  <c r="R83" i="1"/>
  <c r="R229" i="1" s="1"/>
  <c r="R302" i="1" s="1"/>
  <c r="D199" i="1"/>
  <c r="AH78" i="1"/>
  <c r="AH226" i="1" s="1"/>
  <c r="AH299" i="1" s="1"/>
  <c r="AI72" i="1"/>
  <c r="AI220" i="1" s="1"/>
  <c r="AI293" i="1" s="1"/>
  <c r="AJ327" i="1" s="1"/>
  <c r="F1151" i="2"/>
  <c r="F1144" i="2"/>
  <c r="F1153" i="2"/>
  <c r="AT256" i="1"/>
  <c r="D200" i="1"/>
  <c r="AY229" i="1"/>
  <c r="AY302" i="1" s="1"/>
  <c r="AN198" i="1"/>
  <c r="K199" i="1"/>
  <c r="AS177" i="1"/>
  <c r="AS243" i="1" s="1"/>
  <c r="AQ177" i="1"/>
  <c r="AQ243" i="1" s="1"/>
  <c r="AT267" i="1"/>
  <c r="AS220" i="1"/>
  <c r="AS293" i="1" s="1"/>
  <c r="AT266" i="1"/>
  <c r="X200" i="1"/>
  <c r="AT269" i="1"/>
  <c r="AU194" i="1"/>
  <c r="AU263" i="1" s="1"/>
  <c r="AU268" i="1" s="1"/>
  <c r="AU175" i="1"/>
  <c r="AU171" i="1"/>
  <c r="AU306" i="1"/>
  <c r="AU236" i="1"/>
  <c r="AU197" i="1"/>
  <c r="W43" i="1"/>
  <c r="H226" i="1"/>
  <c r="H299" i="1" s="1"/>
  <c r="AR178" i="1"/>
  <c r="AR244" i="1" s="1"/>
  <c r="AS178" i="1"/>
  <c r="AS244" i="1" s="1"/>
  <c r="H83" i="1"/>
  <c r="H229" i="1" s="1"/>
  <c r="H302" i="1" s="1"/>
  <c r="AC238" i="1"/>
  <c r="H241" i="1"/>
  <c r="H267" i="1"/>
  <c r="F1061" i="2"/>
  <c r="F1239" i="2"/>
  <c r="F1241" i="2"/>
  <c r="J80" i="1"/>
  <c r="AG226" i="1"/>
  <c r="AG299" i="1" s="1"/>
  <c r="AG80" i="1"/>
  <c r="F226" i="1"/>
  <c r="F299" i="1" s="1"/>
  <c r="F80" i="1"/>
  <c r="F83" i="1" s="1"/>
  <c r="F229" i="1" s="1"/>
  <c r="F302" i="1" s="1"/>
  <c r="AO240" i="1"/>
  <c r="F784" i="2"/>
  <c r="F1067" i="2"/>
  <c r="AN197" i="1"/>
  <c r="AN171" i="1"/>
  <c r="AN238" i="1" s="1"/>
  <c r="L287" i="1"/>
  <c r="L298" i="1"/>
  <c r="L254" i="1"/>
  <c r="L253" i="1"/>
  <c r="L290" i="1"/>
  <c r="L294" i="1"/>
  <c r="L291" i="1"/>
  <c r="L259" i="1"/>
  <c r="L285" i="1"/>
  <c r="L314" i="1" s="1"/>
  <c r="L296" i="1"/>
  <c r="L286" i="1"/>
  <c r="L297" i="1"/>
  <c r="L255" i="1"/>
  <c r="L292" i="1"/>
  <c r="L301" i="1"/>
  <c r="L275" i="1"/>
  <c r="L276" i="1" s="1"/>
  <c r="L295" i="1"/>
  <c r="L289" i="1"/>
  <c r="L281" i="1"/>
  <c r="L257" i="1"/>
  <c r="L258" i="1"/>
  <c r="L288" i="1"/>
  <c r="L293" i="1"/>
  <c r="L327" i="1" s="1"/>
  <c r="L260" i="1"/>
  <c r="L300" i="1"/>
  <c r="L299" i="1"/>
  <c r="L302" i="1"/>
  <c r="AR177" i="1"/>
  <c r="AR243" i="1" s="1"/>
  <c r="AE177" i="1"/>
  <c r="AE243" i="1" s="1"/>
  <c r="AA216" i="1"/>
  <c r="AA289" i="1" s="1"/>
  <c r="AC324" i="1" s="1"/>
  <c r="AA45" i="1"/>
  <c r="AC177" i="1"/>
  <c r="AC243" i="1" s="1"/>
  <c r="AD100" i="1"/>
  <c r="AD190" i="1" s="1"/>
  <c r="AD259" i="1" s="1"/>
  <c r="AU213" i="1"/>
  <c r="AU286" i="1" s="1"/>
  <c r="C789" i="2"/>
  <c r="AQ154" i="1"/>
  <c r="AD189" i="1"/>
  <c r="AD258" i="1" s="1"/>
  <c r="F904" i="2"/>
  <c r="AM256" i="1"/>
  <c r="AR99" i="1"/>
  <c r="D172" i="1"/>
  <c r="AQ99" i="1"/>
  <c r="Z177" i="1"/>
  <c r="Z243" i="1" s="1"/>
  <c r="AS99" i="1"/>
  <c r="F778" i="2"/>
  <c r="F1235" i="2"/>
  <c r="AO199" i="1"/>
  <c r="F940" i="2"/>
  <c r="F900" i="2"/>
  <c r="J194" i="1"/>
  <c r="J263" i="1" s="1"/>
  <c r="J268" i="1" s="1"/>
  <c r="AT177" i="1"/>
  <c r="AT243" i="1" s="1"/>
  <c r="AN267" i="1"/>
  <c r="AP198" i="1"/>
  <c r="AS241" i="1"/>
  <c r="AS199" i="1"/>
  <c r="AS240" i="1"/>
  <c r="AS200" i="1"/>
  <c r="J236" i="1"/>
  <c r="X199" i="1"/>
  <c r="F860" i="2"/>
  <c r="W53" i="1"/>
  <c r="AQ159" i="1"/>
  <c r="AQ194" i="1" s="1"/>
  <c r="AQ263" i="1" s="1"/>
  <c r="AQ268" i="1" s="1"/>
  <c r="F946" i="2"/>
  <c r="I267" i="1"/>
  <c r="AQ169" i="1"/>
  <c r="AQ197" i="1" s="1"/>
  <c r="AQ193" i="1"/>
  <c r="AQ262" i="1" s="1"/>
  <c r="AQ266" i="1" s="1"/>
  <c r="AJ177" i="1"/>
  <c r="AJ243" i="1" s="1"/>
  <c r="AQ163" i="1"/>
  <c r="AP267" i="1"/>
  <c r="AP171" i="1"/>
  <c r="AP238" i="1" s="1"/>
  <c r="AM177" i="1"/>
  <c r="AM243" i="1" s="1"/>
  <c r="AP174" i="1"/>
  <c r="AP200" i="1" s="1"/>
  <c r="AN256" i="1"/>
  <c r="AP175" i="1"/>
  <c r="AP241" i="1" s="1"/>
  <c r="AM158" i="1"/>
  <c r="AM196" i="1" s="1"/>
  <c r="AM265" i="1" s="1"/>
  <c r="AM269" i="1" s="1"/>
  <c r="AT72" i="1"/>
  <c r="AT220" i="1" s="1"/>
  <c r="AT293" i="1" s="1"/>
  <c r="F1107" i="2"/>
  <c r="K1105" i="2"/>
  <c r="F1100" i="2"/>
  <c r="AE187" i="1"/>
  <c r="AN266" i="1"/>
  <c r="AB99" i="1"/>
  <c r="AV94" i="1"/>
  <c r="AX94" i="1"/>
  <c r="AW94" i="1"/>
  <c r="AP190" i="1"/>
  <c r="AP259" i="1" s="1"/>
  <c r="AP177" i="1"/>
  <c r="AP243" i="1" s="1"/>
  <c r="AN177" i="1"/>
  <c r="AN243" i="1" s="1"/>
  <c r="AX99" i="1"/>
  <c r="AN268" i="1"/>
  <c r="AO190" i="1"/>
  <c r="AO259" i="1" s="1"/>
  <c r="AO177" i="1"/>
  <c r="AO243" i="1" s="1"/>
  <c r="AT200" i="1"/>
  <c r="K283" i="1"/>
  <c r="K282" i="1"/>
  <c r="K269" i="1"/>
  <c r="K266" i="1"/>
  <c r="K267" i="1"/>
  <c r="K256" i="1"/>
  <c r="K268" i="1"/>
  <c r="AV99" i="1"/>
  <c r="K899" i="2"/>
  <c r="K902" i="2"/>
  <c r="AL177" i="1"/>
  <c r="AL243" i="1" s="1"/>
  <c r="AR83" i="1"/>
  <c r="AR229" i="1" s="1"/>
  <c r="AR302" i="1" s="1"/>
  <c r="AQ72" i="1"/>
  <c r="AQ220" i="1" s="1"/>
  <c r="AQ293" i="1" s="1"/>
  <c r="J171" i="1"/>
  <c r="J238" i="1" s="1"/>
  <c r="J306" i="1"/>
  <c r="J327" i="1" s="1"/>
  <c r="AA72" i="1"/>
  <c r="AI177" i="1"/>
  <c r="AI243" i="1" s="1"/>
  <c r="AM164" i="1"/>
  <c r="AG189" i="1"/>
  <c r="AG258" i="1" s="1"/>
  <c r="AF189" i="1"/>
  <c r="AF258" i="1" s="1"/>
  <c r="C929" i="2"/>
  <c r="F944" i="2"/>
  <c r="D948" i="2"/>
  <c r="C969" i="2"/>
  <c r="D969" i="2"/>
  <c r="J1065" i="2"/>
  <c r="C913" i="2"/>
  <c r="C914" i="2" s="1"/>
  <c r="D925" i="2"/>
  <c r="D929" i="2" s="1"/>
  <c r="J862" i="2"/>
  <c r="E946" i="2"/>
  <c r="F782" i="2"/>
  <c r="D786" i="2"/>
  <c r="F1065" i="2"/>
  <c r="J944" i="2"/>
  <c r="D866" i="2"/>
  <c r="F866" i="2" s="1"/>
  <c r="D1109" i="2"/>
  <c r="F1109" i="2" s="1"/>
  <c r="D1111" i="2"/>
  <c r="F864" i="2"/>
  <c r="E826" i="2"/>
  <c r="J741" i="2"/>
  <c r="D1069" i="2"/>
  <c r="D745" i="2"/>
  <c r="F745" i="2" s="1"/>
  <c r="D747" i="2"/>
  <c r="AH187" i="1"/>
  <c r="AM195" i="1"/>
  <c r="AM264" i="1" s="1"/>
  <c r="AF177" i="1"/>
  <c r="AF243" i="1" s="1"/>
  <c r="AM181" i="1"/>
  <c r="AM247" i="1" s="1"/>
  <c r="AG177" i="1"/>
  <c r="AG243" i="1" s="1"/>
  <c r="D849" i="2"/>
  <c r="AB159" i="1"/>
  <c r="AB158" i="1"/>
  <c r="AB96" i="1"/>
  <c r="AB186" i="1" s="1"/>
  <c r="AB255" i="1" s="1"/>
  <c r="X172" i="1"/>
  <c r="X238" i="1"/>
  <c r="AE156" i="1"/>
  <c r="AE312" i="1" s="1"/>
  <c r="AE322" i="1" s="1"/>
  <c r="AE60" i="1"/>
  <c r="AE96" i="1" s="1"/>
  <c r="AE186" i="1" s="1"/>
  <c r="AE255" i="1" s="1"/>
  <c r="AE61" i="1"/>
  <c r="AC256" i="1"/>
  <c r="AC266" i="1"/>
  <c r="AC267" i="1"/>
  <c r="AC269" i="1"/>
  <c r="AC268" i="1"/>
  <c r="AC96" i="1"/>
  <c r="AE97" i="1"/>
  <c r="AE188" i="1" s="1"/>
  <c r="AE257" i="1" s="1"/>
  <c r="AF83" i="1"/>
  <c r="AF229" i="1" s="1"/>
  <c r="AF302" i="1" s="1"/>
  <c r="AF226" i="1"/>
  <c r="AF299" i="1" s="1"/>
  <c r="C849" i="2"/>
  <c r="AD96" i="1"/>
  <c r="F172" i="1"/>
  <c r="F238" i="1"/>
  <c r="AL189" i="1"/>
  <c r="AL258" i="1" s="1"/>
  <c r="AL178" i="1"/>
  <c r="AL244" i="1" s="1"/>
  <c r="AB172" i="1"/>
  <c r="AB238" i="1"/>
  <c r="AJ226" i="1"/>
  <c r="AJ299" i="1" s="1"/>
  <c r="AJ83" i="1"/>
  <c r="AJ229" i="1" s="1"/>
  <c r="AJ302" i="1" s="1"/>
  <c r="AL215" i="1"/>
  <c r="AL288" i="1" s="1"/>
  <c r="AL72" i="1"/>
  <c r="X99" i="1"/>
  <c r="AI189" i="1"/>
  <c r="AI258" i="1" s="1"/>
  <c r="AI178" i="1"/>
  <c r="AI244" i="1" s="1"/>
  <c r="AK78" i="1"/>
  <c r="AK80" i="1" s="1"/>
  <c r="AK220" i="1"/>
  <c r="AK293" i="1" s="1"/>
  <c r="AK189" i="1"/>
  <c r="AK258" i="1" s="1"/>
  <c r="AK178" i="1"/>
  <c r="AK244" i="1" s="1"/>
  <c r="AM213" i="1"/>
  <c r="AM286" i="1" s="1"/>
  <c r="AJ178" i="1"/>
  <c r="AJ244" i="1" s="1"/>
  <c r="AJ189" i="1"/>
  <c r="AJ258" i="1" s="1"/>
  <c r="I174" i="1"/>
  <c r="I196" i="1"/>
  <c r="I265" i="1" s="1"/>
  <c r="I269" i="1" s="1"/>
  <c r="J241" i="1"/>
  <c r="J199" i="1"/>
  <c r="AC93" i="1"/>
  <c r="AC51" i="1"/>
  <c r="AC52" i="1" s="1"/>
  <c r="J200" i="1"/>
  <c r="J240" i="1"/>
  <c r="I83" i="1"/>
  <c r="I229" i="1" s="1"/>
  <c r="I302" i="1" s="1"/>
  <c r="I226" i="1"/>
  <c r="I299" i="1" s="1"/>
  <c r="Y220" i="1"/>
  <c r="Y293" i="1" s="1"/>
  <c r="Y78" i="1"/>
  <c r="Y80" i="1" s="1"/>
  <c r="AM169" i="1"/>
  <c r="AM193" i="1"/>
  <c r="AM262" i="1" s="1"/>
  <c r="AM266" i="1" s="1"/>
  <c r="AM154" i="1"/>
  <c r="AM310" i="1" s="1"/>
  <c r="AM319" i="1" s="1"/>
  <c r="AM163" i="1"/>
  <c r="AM159" i="1"/>
  <c r="AM232" i="1"/>
  <c r="AM305" i="1" s="1"/>
  <c r="C951" i="2"/>
  <c r="W175" i="1"/>
  <c r="W194" i="1"/>
  <c r="W263" i="1" s="1"/>
  <c r="W268" i="1" s="1"/>
  <c r="T227" i="1"/>
  <c r="T300" i="1" s="1"/>
  <c r="T87" i="1"/>
  <c r="X87" i="1"/>
  <c r="X227" i="1"/>
  <c r="X300" i="1" s="1"/>
  <c r="AJ93" i="1"/>
  <c r="J191" i="1"/>
  <c r="J260" i="1" s="1"/>
  <c r="J180" i="1"/>
  <c r="J246" i="1" s="1"/>
  <c r="AK240" i="1"/>
  <c r="AK200" i="1"/>
  <c r="AE39" i="1"/>
  <c r="AE49" i="1"/>
  <c r="AF93" i="1" s="1"/>
  <c r="AE26" i="1"/>
  <c r="E226" i="1"/>
  <c r="E299" i="1" s="1"/>
  <c r="AA51" i="1"/>
  <c r="AA52" i="1" s="1"/>
  <c r="AD93" i="1"/>
  <c r="I171" i="1"/>
  <c r="I306" i="1"/>
  <c r="I327" i="1" s="1"/>
  <c r="J226" i="1"/>
  <c r="J299" i="1" s="1"/>
  <c r="E191" i="1"/>
  <c r="E260" i="1" s="1"/>
  <c r="W101" i="1"/>
  <c r="E180" i="1"/>
  <c r="E246" i="1" s="1"/>
  <c r="I175" i="1"/>
  <c r="I194" i="1"/>
  <c r="I263" i="1" s="1"/>
  <c r="I268" i="1" s="1"/>
  <c r="W306" i="1"/>
  <c r="W171" i="1"/>
  <c r="AN99" i="1"/>
  <c r="Y101" i="1"/>
  <c r="Y180" i="1" s="1"/>
  <c r="Y246" i="1" s="1"/>
  <c r="AE72" i="1"/>
  <c r="AE215" i="1"/>
  <c r="AE288" i="1" s="1"/>
  <c r="AH178" i="1"/>
  <c r="AH244" i="1" s="1"/>
  <c r="AH177" i="1"/>
  <c r="AH243" i="1" s="1"/>
  <c r="AH189" i="1"/>
  <c r="AH258" i="1" s="1"/>
  <c r="X180" i="1"/>
  <c r="X246" i="1" s="1"/>
  <c r="X191" i="1"/>
  <c r="X260" i="1" s="1"/>
  <c r="AM99" i="1"/>
  <c r="AA29" i="1"/>
  <c r="AA42" i="1"/>
  <c r="AA43" i="1"/>
  <c r="W235" i="1"/>
  <c r="W198" i="1"/>
  <c r="Z72" i="1"/>
  <c r="Z101" i="1" s="1"/>
  <c r="Z215" i="1"/>
  <c r="Z288" i="1" s="1"/>
  <c r="AR87" i="1"/>
  <c r="AR227" i="1"/>
  <c r="AR300" i="1" s="1"/>
  <c r="AG53" i="1"/>
  <c r="AG55" i="1"/>
  <c r="AK93" i="1"/>
  <c r="AL93" i="1"/>
  <c r="AI51" i="1"/>
  <c r="I191" i="1"/>
  <c r="I260" i="1" s="1"/>
  <c r="I180" i="1"/>
  <c r="I246" i="1" s="1"/>
  <c r="AQ196" i="1"/>
  <c r="AQ265" i="1" s="1"/>
  <c r="AQ269" i="1" s="1"/>
  <c r="AQ174" i="1"/>
  <c r="AE283" i="1"/>
  <c r="AE276" i="1"/>
  <c r="W196" i="1"/>
  <c r="W265" i="1" s="1"/>
  <c r="W269" i="1" s="1"/>
  <c r="W174" i="1"/>
  <c r="AF253" i="1"/>
  <c r="AF256" i="1" s="1"/>
  <c r="AF187" i="1"/>
  <c r="I235" i="1"/>
  <c r="I198" i="1"/>
  <c r="AD215" i="1"/>
  <c r="AD288" i="1" s="1"/>
  <c r="AD72" i="1"/>
  <c r="AO99" i="1"/>
  <c r="AI42" i="1"/>
  <c r="AI43" i="1"/>
  <c r="AI29" i="1"/>
  <c r="AI99" i="1" s="1"/>
  <c r="AQ235" i="1"/>
  <c r="AQ198" i="1"/>
  <c r="W267" i="1"/>
  <c r="F705" i="2"/>
  <c r="AK241" i="1"/>
  <c r="AK199" i="1"/>
  <c r="AQ267" i="1"/>
  <c r="I197" i="1"/>
  <c r="I236" i="1"/>
  <c r="W236" i="1"/>
  <c r="W197" i="1"/>
  <c r="AC78" i="1"/>
  <c r="AC80" i="1" s="1"/>
  <c r="AC220" i="1"/>
  <c r="AC293" i="1" s="1"/>
  <c r="AC29" i="1"/>
  <c r="AC42" i="1"/>
  <c r="AC43" i="1"/>
  <c r="AB180" i="1"/>
  <c r="AB246" i="1" s="1"/>
  <c r="AB191" i="1"/>
  <c r="AB260" i="1" s="1"/>
  <c r="V220" i="1"/>
  <c r="V293" i="1" s="1"/>
  <c r="V78" i="1"/>
  <c r="V80" i="1" s="1"/>
  <c r="W80" i="1" s="1"/>
  <c r="AR236" i="1"/>
  <c r="AR197" i="1"/>
  <c r="AR196" i="1"/>
  <c r="AR265" i="1" s="1"/>
  <c r="AR269" i="1" s="1"/>
  <c r="AR174" i="1"/>
  <c r="AA235" i="1"/>
  <c r="AA198" i="1"/>
  <c r="H87" i="1"/>
  <c r="H227" i="1"/>
  <c r="H300" i="1" s="1"/>
  <c r="AI236" i="1"/>
  <c r="AI197" i="1"/>
  <c r="AA267" i="1"/>
  <c r="Y172" i="1"/>
  <c r="Y238" i="1"/>
  <c r="AP220" i="1"/>
  <c r="AP293" i="1" s="1"/>
  <c r="AP78" i="1"/>
  <c r="W78" i="1"/>
  <c r="W220" i="1"/>
  <c r="W293" i="1" s="1"/>
  <c r="AB226" i="1"/>
  <c r="AB299" i="1" s="1"/>
  <c r="AN200" i="1"/>
  <c r="AN240" i="1"/>
  <c r="AO226" i="1"/>
  <c r="AO299" i="1" s="1"/>
  <c r="AA194" i="1"/>
  <c r="AA263" i="1" s="1"/>
  <c r="AA268" i="1" s="1"/>
  <c r="AA175" i="1"/>
  <c r="AE236" i="1"/>
  <c r="AE197" i="1"/>
  <c r="AR267" i="1"/>
  <c r="AR171" i="1"/>
  <c r="AR238" i="1" s="1"/>
  <c r="AR306" i="1"/>
  <c r="AA236" i="1"/>
  <c r="AA197" i="1"/>
  <c r="E200" i="1"/>
  <c r="E240" i="1"/>
  <c r="AA196" i="1"/>
  <c r="AA265" i="1" s="1"/>
  <c r="AA269" i="1" s="1"/>
  <c r="AA174" i="1"/>
  <c r="AI198" i="1"/>
  <c r="AI235" i="1"/>
  <c r="Z99" i="1"/>
  <c r="AE267" i="1"/>
  <c r="Y199" i="1"/>
  <c r="Y241" i="1"/>
  <c r="AR235" i="1"/>
  <c r="AR198" i="1"/>
  <c r="AI267" i="1"/>
  <c r="Y99" i="1"/>
  <c r="E199" i="1"/>
  <c r="E241" i="1"/>
  <c r="Y240" i="1"/>
  <c r="Y200" i="1"/>
  <c r="AR194" i="1"/>
  <c r="AR263" i="1" s="1"/>
  <c r="AR268" i="1" s="1"/>
  <c r="AR175" i="1"/>
  <c r="U83" i="1"/>
  <c r="U229" i="1" s="1"/>
  <c r="U302" i="1" s="1"/>
  <c r="U226" i="1"/>
  <c r="U299" i="1" s="1"/>
  <c r="AA306" i="1"/>
  <c r="AA171" i="1"/>
  <c r="E172" i="1"/>
  <c r="E238" i="1"/>
  <c r="AI196" i="1"/>
  <c r="AI265" i="1" s="1"/>
  <c r="AI269" i="1" s="1"/>
  <c r="AI174" i="1"/>
  <c r="AE235" i="1"/>
  <c r="AE198" i="1"/>
  <c r="AI194" i="1"/>
  <c r="AI263" i="1" s="1"/>
  <c r="AI268" i="1" s="1"/>
  <c r="AI175" i="1"/>
  <c r="AJ172" i="1"/>
  <c r="AJ238" i="1"/>
  <c r="Z238" i="1"/>
  <c r="Z172" i="1"/>
  <c r="Z241" i="1"/>
  <c r="Z199" i="1"/>
  <c r="AJ240" i="1"/>
  <c r="AJ200" i="1"/>
  <c r="C227" i="1"/>
  <c r="C300" i="1" s="1"/>
  <c r="C87" i="1"/>
  <c r="AJ199" i="1"/>
  <c r="AJ241" i="1"/>
  <c r="AE238" i="1"/>
  <c r="AE172" i="1"/>
  <c r="F696" i="2"/>
  <c r="F699" i="2"/>
  <c r="AS266" i="1"/>
  <c r="AS268" i="1"/>
  <c r="AS267" i="1"/>
  <c r="AS256" i="1"/>
  <c r="AS269" i="1"/>
  <c r="Z240" i="1"/>
  <c r="Z200" i="1"/>
  <c r="K698" i="2"/>
  <c r="K701" i="2"/>
  <c r="C727" i="2"/>
  <c r="D727" i="2"/>
  <c r="C1033" i="2"/>
  <c r="C1034" i="2" s="1"/>
  <c r="D1050" i="2"/>
  <c r="C1050" i="2"/>
  <c r="D803" i="2"/>
  <c r="D809" i="2" s="1"/>
  <c r="C809" i="2"/>
  <c r="D1128" i="2"/>
  <c r="D1133" i="2" s="1"/>
  <c r="C1133" i="2"/>
  <c r="E1109" i="2"/>
  <c r="C1116" i="2"/>
  <c r="C1117" i="2" s="1"/>
  <c r="D764" i="2"/>
  <c r="D767" i="2" s="1"/>
  <c r="C767" i="2"/>
  <c r="C1091" i="2"/>
  <c r="D1086" i="2"/>
  <c r="D1091" i="2" s="1"/>
  <c r="D1260" i="2"/>
  <c r="D1265" i="2" s="1"/>
  <c r="C1265" i="2"/>
  <c r="C1074" i="2"/>
  <c r="C1075" i="2" s="1"/>
  <c r="E1067" i="2"/>
  <c r="E1241" i="2"/>
  <c r="C1248" i="2"/>
  <c r="C1249" i="2" s="1"/>
  <c r="C791" i="2"/>
  <c r="C792" i="2" s="1"/>
  <c r="E784" i="2"/>
  <c r="E745" i="2"/>
  <c r="C752" i="2"/>
  <c r="C753" i="2" s="1"/>
  <c r="BX52" i="1" l="1"/>
  <c r="AI94" i="1"/>
  <c r="AM52" i="1"/>
  <c r="AG52" i="1"/>
  <c r="BX42" i="1"/>
  <c r="BX29" i="1"/>
  <c r="BX43" i="1"/>
  <c r="BX53" i="1"/>
  <c r="BX55" i="1"/>
  <c r="BW53" i="1"/>
  <c r="BW55" i="1"/>
  <c r="AS327" i="1"/>
  <c r="H200" i="1"/>
  <c r="AB324" i="1"/>
  <c r="X327" i="1"/>
  <c r="AT327" i="1"/>
  <c r="AD324" i="1"/>
  <c r="Y327" i="1"/>
  <c r="AN328" i="1"/>
  <c r="AN321" i="1"/>
  <c r="AN316" i="1"/>
  <c r="AK327" i="1"/>
  <c r="AE321" i="1"/>
  <c r="AA328" i="1"/>
  <c r="AA321" i="1"/>
  <c r="AA316" i="1"/>
  <c r="AR328" i="1"/>
  <c r="AR327" i="1"/>
  <c r="AR321" i="1"/>
  <c r="AR316" i="1"/>
  <c r="AA324" i="1"/>
  <c r="AM322" i="1"/>
  <c r="AM317" i="1"/>
  <c r="AU328" i="1"/>
  <c r="AU321" i="1"/>
  <c r="AU316" i="1"/>
  <c r="AP321" i="1"/>
  <c r="AP328" i="1"/>
  <c r="AP316" i="1"/>
  <c r="AI327" i="1"/>
  <c r="L282" i="1"/>
  <c r="L319" i="1"/>
  <c r="L317" i="1"/>
  <c r="L322" i="1"/>
  <c r="L316" i="1"/>
  <c r="L321" i="1"/>
  <c r="I316" i="1"/>
  <c r="I321" i="1"/>
  <c r="I328" i="1"/>
  <c r="L324" i="1"/>
  <c r="L325" i="1"/>
  <c r="J321" i="1"/>
  <c r="J328" i="1"/>
  <c r="J316" i="1"/>
  <c r="AQ171" i="1"/>
  <c r="AQ172" i="1" s="1"/>
  <c r="AQ310" i="1"/>
  <c r="AQ319" i="1" s="1"/>
  <c r="AM235" i="1"/>
  <c r="C84" i="1"/>
  <c r="C86" i="1" s="1"/>
  <c r="AA180" i="1"/>
  <c r="AA246" i="1" s="1"/>
  <c r="AP80" i="1"/>
  <c r="AQ80" i="1" s="1"/>
  <c r="AS226" i="1"/>
  <c r="AS299" i="1" s="1"/>
  <c r="AI101" i="1"/>
  <c r="AI180" i="1" s="1"/>
  <c r="AI246" i="1" s="1"/>
  <c r="AI78" i="1"/>
  <c r="AI226" i="1" s="1"/>
  <c r="AI299" i="1" s="1"/>
  <c r="AK101" i="1"/>
  <c r="AK191" i="1" s="1"/>
  <c r="AK260" i="1" s="1"/>
  <c r="AJ101" i="1"/>
  <c r="AJ191" i="1" s="1"/>
  <c r="AJ260" i="1" s="1"/>
  <c r="AH80" i="1"/>
  <c r="AI80" i="1" s="1"/>
  <c r="AU238" i="1"/>
  <c r="AU172" i="1"/>
  <c r="AU199" i="1"/>
  <c r="AU241" i="1"/>
  <c r="F87" i="1"/>
  <c r="F227" i="1"/>
  <c r="F300" i="1" s="1"/>
  <c r="J87" i="1"/>
  <c r="L283" i="1"/>
  <c r="M282" i="1"/>
  <c r="L256" i="1"/>
  <c r="L266" i="1"/>
  <c r="L267" i="1"/>
  <c r="L269" i="1"/>
  <c r="L268" i="1"/>
  <c r="M276" i="1"/>
  <c r="AQ306" i="1"/>
  <c r="AD177" i="1"/>
  <c r="AD243" i="1" s="1"/>
  <c r="AU72" i="1"/>
  <c r="AU215" i="1"/>
  <c r="AU288" i="1" s="1"/>
  <c r="AQ175" i="1"/>
  <c r="AQ199" i="1" s="1"/>
  <c r="AQ236" i="1"/>
  <c r="AP240" i="1"/>
  <c r="AP199" i="1"/>
  <c r="AM174" i="1"/>
  <c r="AM240" i="1" s="1"/>
  <c r="AT78" i="1"/>
  <c r="AR101" i="1"/>
  <c r="AR191" i="1" s="1"/>
  <c r="AR260" i="1" s="1"/>
  <c r="AS101" i="1"/>
  <c r="AS180" i="1" s="1"/>
  <c r="AS246" i="1" s="1"/>
  <c r="AQ78" i="1"/>
  <c r="AQ226" i="1" s="1"/>
  <c r="AQ299" i="1" s="1"/>
  <c r="AM267" i="1"/>
  <c r="AT101" i="1"/>
  <c r="AT180" i="1" s="1"/>
  <c r="AT246" i="1" s="1"/>
  <c r="AQ101" i="1"/>
  <c r="AQ180" i="1" s="1"/>
  <c r="AQ246" i="1" s="1"/>
  <c r="AD101" i="1"/>
  <c r="AD180" i="1" s="1"/>
  <c r="AD246" i="1" s="1"/>
  <c r="AA78" i="1"/>
  <c r="AA226" i="1" s="1"/>
  <c r="AA299" i="1" s="1"/>
  <c r="J172" i="1"/>
  <c r="AA220" i="1"/>
  <c r="AA293" i="1" s="1"/>
  <c r="AS83" i="1"/>
  <c r="AS229" i="1" s="1"/>
  <c r="AS302" i="1" s="1"/>
  <c r="Y191" i="1"/>
  <c r="Y260" i="1" s="1"/>
  <c r="AE158" i="1"/>
  <c r="AE159" i="1"/>
  <c r="AF227" i="1"/>
  <c r="AF300" i="1" s="1"/>
  <c r="AF87" i="1"/>
  <c r="AJ94" i="1"/>
  <c r="AC175" i="1"/>
  <c r="AC174" i="1"/>
  <c r="AC186" i="1"/>
  <c r="AC255" i="1" s="1"/>
  <c r="AG96" i="1"/>
  <c r="AF96" i="1"/>
  <c r="AH96" i="1"/>
  <c r="AD186" i="1"/>
  <c r="AD255" i="1" s="1"/>
  <c r="AD174" i="1"/>
  <c r="AD175" i="1"/>
  <c r="AB196" i="1"/>
  <c r="AB265" i="1" s="1"/>
  <c r="AB269" i="1" s="1"/>
  <c r="AB174" i="1"/>
  <c r="AB194" i="1"/>
  <c r="AB263" i="1" s="1"/>
  <c r="AB268" i="1" s="1"/>
  <c r="AB175" i="1"/>
  <c r="AK226" i="1"/>
  <c r="AK299" i="1" s="1"/>
  <c r="AL78" i="1"/>
  <c r="AL80" i="1" s="1"/>
  <c r="AM80" i="1" s="1"/>
  <c r="AL101" i="1"/>
  <c r="AL220" i="1"/>
  <c r="AL293" i="1" s="1"/>
  <c r="AL327" i="1" s="1"/>
  <c r="AC101" i="1"/>
  <c r="AC180" i="1" s="1"/>
  <c r="AC246" i="1" s="1"/>
  <c r="AJ227" i="1"/>
  <c r="AJ300" i="1" s="1"/>
  <c r="AJ87" i="1"/>
  <c r="AM215" i="1"/>
  <c r="AM288" i="1" s="1"/>
  <c r="AM72" i="1"/>
  <c r="AH93" i="1"/>
  <c r="AE51" i="1"/>
  <c r="AG93" i="1"/>
  <c r="AM197" i="1"/>
  <c r="AM236" i="1"/>
  <c r="AE93" i="1"/>
  <c r="I241" i="1"/>
  <c r="I199" i="1"/>
  <c r="AC99" i="1"/>
  <c r="AD99" i="1"/>
  <c r="AF101" i="1"/>
  <c r="AH101" i="1"/>
  <c r="AE220" i="1"/>
  <c r="AE293" i="1" s="1"/>
  <c r="AH327" i="1" s="1"/>
  <c r="AE78" i="1"/>
  <c r="AE226" i="1" s="1"/>
  <c r="AE299" i="1" s="1"/>
  <c r="I172" i="1"/>
  <c r="I238" i="1"/>
  <c r="AC94" i="1"/>
  <c r="AC55" i="1"/>
  <c r="AC53" i="1"/>
  <c r="Z220" i="1"/>
  <c r="Z293" i="1" s="1"/>
  <c r="Z78" i="1"/>
  <c r="Z80" i="1" s="1"/>
  <c r="AA80" i="1" s="1"/>
  <c r="W200" i="1"/>
  <c r="W240" i="1"/>
  <c r="W191" i="1"/>
  <c r="W260" i="1" s="1"/>
  <c r="W180" i="1"/>
  <c r="W246" i="1" s="1"/>
  <c r="Y226" i="1"/>
  <c r="Y299" i="1" s="1"/>
  <c r="Y83" i="1"/>
  <c r="Y229" i="1" s="1"/>
  <c r="Y302" i="1" s="1"/>
  <c r="AA53" i="1"/>
  <c r="AA55" i="1"/>
  <c r="AD94" i="1"/>
  <c r="W241" i="1"/>
  <c r="W199" i="1"/>
  <c r="AM175" i="1"/>
  <c r="AM194" i="1"/>
  <c r="AM263" i="1" s="1"/>
  <c r="AM268" i="1" s="1"/>
  <c r="AD220" i="1"/>
  <c r="AD293" i="1" s="1"/>
  <c r="AG101" i="1"/>
  <c r="AD78" i="1"/>
  <c r="AD80" i="1" s="1"/>
  <c r="AE80" i="1" s="1"/>
  <c r="AE101" i="1"/>
  <c r="AK94" i="1"/>
  <c r="AL94" i="1"/>
  <c r="AI53" i="1"/>
  <c r="AI55" i="1"/>
  <c r="W172" i="1"/>
  <c r="W238" i="1"/>
  <c r="E83" i="1"/>
  <c r="E229" i="1" s="1"/>
  <c r="E302" i="1" s="1"/>
  <c r="E227" i="1"/>
  <c r="E300" i="1" s="1"/>
  <c r="E87" i="1"/>
  <c r="I227" i="1"/>
  <c r="I300" i="1" s="1"/>
  <c r="I87" i="1"/>
  <c r="AL99" i="1"/>
  <c r="AJ99" i="1"/>
  <c r="AK99" i="1"/>
  <c r="AC226" i="1"/>
  <c r="AC299" i="1" s="1"/>
  <c r="AC83" i="1"/>
  <c r="AC229" i="1" s="1"/>
  <c r="AC302" i="1" s="1"/>
  <c r="J83" i="1"/>
  <c r="J229" i="1" s="1"/>
  <c r="J302" i="1" s="1"/>
  <c r="J227" i="1"/>
  <c r="J300" i="1" s="1"/>
  <c r="AM306" i="1"/>
  <c r="AM171" i="1"/>
  <c r="AQ240" i="1"/>
  <c r="AQ200" i="1"/>
  <c r="AE42" i="1"/>
  <c r="AE29" i="1"/>
  <c r="AF99" i="1" s="1"/>
  <c r="AE43" i="1"/>
  <c r="I200" i="1"/>
  <c r="I240" i="1"/>
  <c r="AB87" i="1"/>
  <c r="AB227" i="1"/>
  <c r="AB300" i="1" s="1"/>
  <c r="Z191" i="1"/>
  <c r="Z260" i="1" s="1"/>
  <c r="Z180" i="1"/>
  <c r="Z246" i="1" s="1"/>
  <c r="AP226" i="1"/>
  <c r="AP299" i="1" s="1"/>
  <c r="AI200" i="1"/>
  <c r="AI240" i="1"/>
  <c r="W226" i="1"/>
  <c r="W299" i="1" s="1"/>
  <c r="W227" i="1"/>
  <c r="W300" i="1" s="1"/>
  <c r="V226" i="1"/>
  <c r="V299" i="1" s="1"/>
  <c r="AR241" i="1"/>
  <c r="AR199" i="1"/>
  <c r="AO87" i="1"/>
  <c r="AO227" i="1"/>
  <c r="AO300" i="1" s="1"/>
  <c r="AR240" i="1"/>
  <c r="AR200" i="1"/>
  <c r="AA238" i="1"/>
  <c r="AA172" i="1"/>
  <c r="AA241" i="1"/>
  <c r="AA199" i="1"/>
  <c r="AI199" i="1"/>
  <c r="AI241" i="1"/>
  <c r="AA240" i="1"/>
  <c r="AA200" i="1"/>
  <c r="U87" i="1"/>
  <c r="U227" i="1"/>
  <c r="U300" i="1" s="1"/>
  <c r="AB83" i="1"/>
  <c r="AB229" i="1" s="1"/>
  <c r="AB302" i="1" s="1"/>
  <c r="AS87" i="1"/>
  <c r="AS227" i="1"/>
  <c r="AS300" i="1" s="1"/>
  <c r="AF327" i="1" l="1"/>
  <c r="AE94" i="1"/>
  <c r="AE52" i="1"/>
  <c r="AI52" i="1"/>
  <c r="D84" i="1"/>
  <c r="T84" i="1" s="1"/>
  <c r="AC327" i="1"/>
  <c r="AM328" i="1"/>
  <c r="AM321" i="1"/>
  <c r="AM316" i="1"/>
  <c r="AD327" i="1"/>
  <c r="AA327" i="1"/>
  <c r="AB327" i="1"/>
  <c r="AG327" i="1"/>
  <c r="AE327" i="1"/>
  <c r="AQ328" i="1"/>
  <c r="AQ327" i="1"/>
  <c r="AQ321" i="1"/>
  <c r="AQ316" i="1"/>
  <c r="Z327" i="1"/>
  <c r="AQ238" i="1"/>
  <c r="AJ180" i="1"/>
  <c r="AJ246" i="1" s="1"/>
  <c r="AI191" i="1"/>
  <c r="AI260" i="1" s="1"/>
  <c r="AV101" i="1"/>
  <c r="BK101" i="1"/>
  <c r="BL101" i="1"/>
  <c r="BJ101" i="1"/>
  <c r="AT80" i="1"/>
  <c r="AT87" i="1" s="1"/>
  <c r="AK180" i="1"/>
  <c r="AK246" i="1" s="1"/>
  <c r="AW101" i="1"/>
  <c r="AW180" i="1" s="1"/>
  <c r="AW246" i="1" s="1"/>
  <c r="AU101" i="1"/>
  <c r="AU191" i="1" s="1"/>
  <c r="AU260" i="1" s="1"/>
  <c r="AU78" i="1"/>
  <c r="AU220" i="1"/>
  <c r="AU293" i="1" s="1"/>
  <c r="AX101" i="1"/>
  <c r="AQ241" i="1"/>
  <c r="AT226" i="1"/>
  <c r="AT299" i="1" s="1"/>
  <c r="AR180" i="1"/>
  <c r="AR246" i="1" s="1"/>
  <c r="AT191" i="1"/>
  <c r="AT260" i="1" s="1"/>
  <c r="AS191" i="1"/>
  <c r="AS260" i="1" s="1"/>
  <c r="AD191" i="1"/>
  <c r="AD260" i="1" s="1"/>
  <c r="AQ191" i="1"/>
  <c r="AQ260" i="1" s="1"/>
  <c r="AM200" i="1"/>
  <c r="AD200" i="1"/>
  <c r="AD240" i="1"/>
  <c r="AC200" i="1"/>
  <c r="AC240" i="1"/>
  <c r="AB199" i="1"/>
  <c r="AB241" i="1"/>
  <c r="AC241" i="1"/>
  <c r="AC199" i="1"/>
  <c r="AH175" i="1"/>
  <c r="AH174" i="1"/>
  <c r="AH186" i="1"/>
  <c r="AH255" i="1" s="1"/>
  <c r="AF94" i="1"/>
  <c r="AF175" i="1"/>
  <c r="AF186" i="1"/>
  <c r="AF255" i="1" s="1"/>
  <c r="AF174" i="1"/>
  <c r="AG175" i="1"/>
  <c r="AG186" i="1"/>
  <c r="AG255" i="1" s="1"/>
  <c r="AG174" i="1"/>
  <c r="AE194" i="1"/>
  <c r="AE263" i="1" s="1"/>
  <c r="AE268" i="1" s="1"/>
  <c r="AE175" i="1"/>
  <c r="AB240" i="1"/>
  <c r="AB200" i="1"/>
  <c r="AG87" i="1"/>
  <c r="AG227" i="1"/>
  <c r="AG300" i="1" s="1"/>
  <c r="AG83" i="1"/>
  <c r="AG229" i="1" s="1"/>
  <c r="AG302" i="1" s="1"/>
  <c r="AD241" i="1"/>
  <c r="AD199" i="1"/>
  <c r="AE196" i="1"/>
  <c r="AE265" i="1" s="1"/>
  <c r="AE269" i="1" s="1"/>
  <c r="AE174" i="1"/>
  <c r="AC191" i="1"/>
  <c r="AC260" i="1" s="1"/>
  <c r="AO101" i="1"/>
  <c r="AP101" i="1"/>
  <c r="AM78" i="1"/>
  <c r="AM220" i="1"/>
  <c r="AM293" i="1" s="1"/>
  <c r="AP327" i="1" s="1"/>
  <c r="AM101" i="1"/>
  <c r="AN101" i="1"/>
  <c r="AL180" i="1"/>
  <c r="AL246" i="1" s="1"/>
  <c r="AL191" i="1"/>
  <c r="AL260" i="1" s="1"/>
  <c r="AK87" i="1"/>
  <c r="AK227" i="1"/>
  <c r="AK300" i="1" s="1"/>
  <c r="AL226" i="1"/>
  <c r="AL299" i="1" s="1"/>
  <c r="AK83" i="1"/>
  <c r="AK229" i="1" s="1"/>
  <c r="AK302" i="1" s="1"/>
  <c r="AE180" i="1"/>
  <c r="AE246" i="1" s="1"/>
  <c r="AE191" i="1"/>
  <c r="AE260" i="1" s="1"/>
  <c r="AM238" i="1"/>
  <c r="AM172" i="1"/>
  <c r="AG191" i="1"/>
  <c r="AG260" i="1" s="1"/>
  <c r="AG180" i="1"/>
  <c r="AG246" i="1" s="1"/>
  <c r="AF180" i="1"/>
  <c r="AF246" i="1" s="1"/>
  <c r="AF191" i="1"/>
  <c r="AF260" i="1" s="1"/>
  <c r="AD226" i="1"/>
  <c r="AD299" i="1" s="1"/>
  <c r="AE83" i="1"/>
  <c r="AE229" i="1" s="1"/>
  <c r="AE302" i="1" s="1"/>
  <c r="AC227" i="1"/>
  <c r="AC300" i="1" s="1"/>
  <c r="AC87" i="1"/>
  <c r="AH191" i="1"/>
  <c r="AH260" i="1" s="1"/>
  <c r="AH180" i="1"/>
  <c r="AH246" i="1" s="1"/>
  <c r="AH99" i="1"/>
  <c r="AG99" i="1"/>
  <c r="AM199" i="1"/>
  <c r="AM241" i="1"/>
  <c r="AE99" i="1"/>
  <c r="Z226" i="1"/>
  <c r="Z299" i="1" s="1"/>
  <c r="AE53" i="1"/>
  <c r="AE55" i="1"/>
  <c r="AH94" i="1"/>
  <c r="AG94" i="1"/>
  <c r="Y227" i="1"/>
  <c r="Y300" i="1" s="1"/>
  <c r="Y87" i="1"/>
  <c r="AP83" i="1"/>
  <c r="AP229" i="1" s="1"/>
  <c r="AP302" i="1" s="1"/>
  <c r="AP227" i="1"/>
  <c r="AP300" i="1" s="1"/>
  <c r="AQ87" i="1"/>
  <c r="AP87" i="1"/>
  <c r="V83" i="1"/>
  <c r="V229" i="1" s="1"/>
  <c r="V302" i="1" s="1"/>
  <c r="V227" i="1"/>
  <c r="V300" i="1" s="1"/>
  <c r="V87" i="1"/>
  <c r="W87" i="1" s="1"/>
  <c r="W83" i="1"/>
  <c r="W229" i="1" s="1"/>
  <c r="W302" i="1" s="1"/>
  <c r="AV180" i="1" l="1"/>
  <c r="AV246" i="1" s="1"/>
  <c r="AV191" i="1"/>
  <c r="AV260" i="1" s="1"/>
  <c r="E84" i="1"/>
  <c r="E86" i="1" s="1"/>
  <c r="D86" i="1"/>
  <c r="AO327" i="1"/>
  <c r="AN327" i="1"/>
  <c r="AM327" i="1"/>
  <c r="AX327" i="1"/>
  <c r="AU327" i="1"/>
  <c r="AW327" i="1"/>
  <c r="AV327" i="1"/>
  <c r="AT83" i="1"/>
  <c r="AT229" i="1" s="1"/>
  <c r="AT302" i="1" s="1"/>
  <c r="AT227" i="1"/>
  <c r="AT300" i="1" s="1"/>
  <c r="AU80" i="1"/>
  <c r="AU83" i="1" s="1"/>
  <c r="AU229" i="1" s="1"/>
  <c r="AU302" i="1" s="1"/>
  <c r="BL83" i="1"/>
  <c r="BL84" i="1" s="1"/>
  <c r="BL227" i="1"/>
  <c r="BL300" i="1" s="1"/>
  <c r="BJ180" i="1"/>
  <c r="BJ246" i="1" s="1"/>
  <c r="BJ191" i="1"/>
  <c r="BJ260" i="1" s="1"/>
  <c r="BL191" i="1"/>
  <c r="BL260" i="1" s="1"/>
  <c r="BL180" i="1"/>
  <c r="BL246" i="1" s="1"/>
  <c r="BK180" i="1"/>
  <c r="BK246" i="1" s="1"/>
  <c r="BK191" i="1"/>
  <c r="BK260" i="1" s="1"/>
  <c r="AW191" i="1"/>
  <c r="AW260" i="1" s="1"/>
  <c r="AU180" i="1"/>
  <c r="AX180" i="1"/>
  <c r="AX246" i="1" s="1"/>
  <c r="AX191" i="1"/>
  <c r="AX260" i="1" s="1"/>
  <c r="AU226" i="1"/>
  <c r="AU299" i="1" s="1"/>
  <c r="AD83" i="1"/>
  <c r="AD229" i="1" s="1"/>
  <c r="AD302" i="1" s="1"/>
  <c r="Z83" i="1"/>
  <c r="Z229" i="1" s="1"/>
  <c r="Z302" i="1" s="1"/>
  <c r="AL83" i="1"/>
  <c r="AL229" i="1" s="1"/>
  <c r="AL302" i="1" s="1"/>
  <c r="AE200" i="1"/>
  <c r="AE240" i="1"/>
  <c r="AF240" i="1"/>
  <c r="AF200" i="1"/>
  <c r="AE241" i="1"/>
  <c r="AE199" i="1"/>
  <c r="AG241" i="1"/>
  <c r="AG199" i="1"/>
  <c r="AF199" i="1"/>
  <c r="AF241" i="1"/>
  <c r="AG240" i="1"/>
  <c r="AG200" i="1"/>
  <c r="AH200" i="1"/>
  <c r="AH240" i="1"/>
  <c r="AH83" i="1"/>
  <c r="AH229" i="1" s="1"/>
  <c r="AH302" i="1" s="1"/>
  <c r="AH87" i="1"/>
  <c r="AH227" i="1"/>
  <c r="AH300" i="1" s="1"/>
  <c r="AH241" i="1"/>
  <c r="AH199" i="1"/>
  <c r="AO191" i="1"/>
  <c r="AO260" i="1" s="1"/>
  <c r="AO180" i="1"/>
  <c r="AO246" i="1" s="1"/>
  <c r="AL227" i="1"/>
  <c r="AL300" i="1" s="1"/>
  <c r="AL87" i="1"/>
  <c r="AM180" i="1"/>
  <c r="AM246" i="1" s="1"/>
  <c r="AM191" i="1"/>
  <c r="AM260" i="1" s="1"/>
  <c r="AM227" i="1"/>
  <c r="AM300" i="1" s="1"/>
  <c r="AM87" i="1"/>
  <c r="AN191" i="1"/>
  <c r="AN260" i="1" s="1"/>
  <c r="AN180" i="1"/>
  <c r="AN246" i="1" s="1"/>
  <c r="AM226" i="1"/>
  <c r="AM299" i="1" s="1"/>
  <c r="AM83" i="1"/>
  <c r="AM229" i="1" s="1"/>
  <c r="AM302" i="1" s="1"/>
  <c r="AP180" i="1"/>
  <c r="AP246" i="1" s="1"/>
  <c r="AP191" i="1"/>
  <c r="AP260" i="1" s="1"/>
  <c r="AA227" i="1"/>
  <c r="AA300" i="1" s="1"/>
  <c r="AA83" i="1"/>
  <c r="AA229" i="1" s="1"/>
  <c r="AA302" i="1" s="1"/>
  <c r="Z227" i="1"/>
  <c r="Z300" i="1" s="1"/>
  <c r="Z87" i="1"/>
  <c r="AA87" i="1" s="1"/>
  <c r="AE227" i="1"/>
  <c r="AE300" i="1" s="1"/>
  <c r="AE87" i="1"/>
  <c r="AD227" i="1"/>
  <c r="AD300" i="1" s="1"/>
  <c r="AD87" i="1"/>
  <c r="AQ227" i="1"/>
  <c r="AQ300" i="1" s="1"/>
  <c r="AQ83" i="1"/>
  <c r="AQ229" i="1" s="1"/>
  <c r="AQ302" i="1" s="1"/>
  <c r="U84" i="1"/>
  <c r="T86" i="1"/>
  <c r="F84" i="1" l="1"/>
  <c r="F86" i="1" s="1"/>
  <c r="AU227" i="1"/>
  <c r="AU300" i="1" s="1"/>
  <c r="AU87" i="1"/>
  <c r="BL229" i="1"/>
  <c r="BL302" i="1" s="1"/>
  <c r="AU246" i="1"/>
  <c r="AI83" i="1"/>
  <c r="AI229" i="1" s="1"/>
  <c r="AI302" i="1" s="1"/>
  <c r="AI227" i="1"/>
  <c r="AI300" i="1" s="1"/>
  <c r="AI87" i="1"/>
  <c r="V84" i="1"/>
  <c r="U86" i="1"/>
  <c r="G84" i="1" l="1"/>
  <c r="G86" i="1" s="1"/>
  <c r="W84" i="1"/>
  <c r="V86" i="1"/>
  <c r="H84" i="1" l="1"/>
  <c r="H86" i="1" s="1"/>
  <c r="X84" i="1"/>
  <c r="W86" i="1"/>
  <c r="I84" i="1" l="1"/>
  <c r="J84" i="1" s="1"/>
  <c r="Y84" i="1"/>
  <c r="X86" i="1"/>
  <c r="I86" i="1" l="1"/>
  <c r="L86" i="1"/>
  <c r="M84" i="1"/>
  <c r="J86" i="1"/>
  <c r="K84" i="1"/>
  <c r="Z84" i="1"/>
  <c r="Y86" i="1"/>
  <c r="M86" i="1" l="1"/>
  <c r="K86" i="1"/>
  <c r="AA84" i="1"/>
  <c r="Z86" i="1"/>
  <c r="AA86" i="1" l="1"/>
  <c r="AB84" i="1"/>
  <c r="AB86" i="1" l="1"/>
  <c r="AC84" i="1"/>
  <c r="AC86" i="1" l="1"/>
  <c r="AD84" i="1"/>
  <c r="AD86" i="1" l="1"/>
  <c r="AE84" i="1"/>
  <c r="AF84" i="1" l="1"/>
  <c r="AE86" i="1"/>
  <c r="AG84" i="1" l="1"/>
  <c r="AF86" i="1"/>
  <c r="AG86" i="1" l="1"/>
  <c r="AH84" i="1"/>
  <c r="AH86" i="1" l="1"/>
  <c r="AI84" i="1"/>
  <c r="AI86" i="1" l="1"/>
  <c r="AJ84" i="1"/>
  <c r="AK84" i="1" l="1"/>
  <c r="AJ86" i="1"/>
  <c r="AK86" i="1" l="1"/>
  <c r="AL84" i="1"/>
  <c r="AL86" i="1" l="1"/>
  <c r="AM84" i="1"/>
  <c r="AM86" i="1" l="1"/>
  <c r="AN84" i="1"/>
  <c r="AO84" i="1" l="1"/>
  <c r="AN86" i="1"/>
  <c r="AP84" i="1" l="1"/>
  <c r="AO86" i="1"/>
  <c r="AP86" i="1" l="1"/>
  <c r="AQ84" i="1"/>
  <c r="AR84" i="1" l="1"/>
  <c r="AQ86" i="1"/>
  <c r="AR86" i="1" l="1"/>
  <c r="AS84" i="1"/>
  <c r="AS86" i="1" l="1"/>
  <c r="AT84" i="1"/>
  <c r="AU84" i="1" s="1"/>
  <c r="AU86" i="1" s="1"/>
  <c r="AT86" i="1" l="1"/>
  <c r="AV84" i="1" l="1"/>
  <c r="AW84" i="1" s="1"/>
  <c r="AX84" i="1" l="1"/>
  <c r="AY84" i="1" s="1"/>
  <c r="AY86" i="1" s="1"/>
  <c r="BL86" i="1"/>
  <c r="AV86" i="1"/>
  <c r="AW86" i="1"/>
  <c r="AX86" i="1" l="1"/>
  <c r="BN153" i="1" l="1"/>
  <c r="BN193" i="1" s="1"/>
  <c r="BN262" i="1" s="1"/>
  <c r="BN266" i="1" s="1"/>
  <c r="BN151" i="1"/>
  <c r="BN158" i="1" s="1"/>
  <c r="BN159" i="1" l="1"/>
  <c r="BN232" i="1"/>
  <c r="BN305" i="1" s="1"/>
  <c r="BN169" i="1"/>
  <c r="BN174" i="1"/>
  <c r="BN196" i="1"/>
  <c r="BN265" i="1" s="1"/>
  <c r="BN269" i="1" s="1"/>
  <c r="BN321" i="1" s="1"/>
  <c r="BN168" i="1"/>
  <c r="BN235" i="1" s="1"/>
  <c r="BN164" i="1"/>
  <c r="BN180" i="1"/>
  <c r="BN246" i="1" s="1"/>
  <c r="BN163" i="1"/>
  <c r="BN195" i="1"/>
  <c r="BN264" i="1" s="1"/>
  <c r="BN181" i="1"/>
  <c r="BN247" i="1" s="1"/>
  <c r="BN233" i="1"/>
  <c r="BN306" i="1" s="1"/>
  <c r="BN197" i="1" l="1"/>
  <c r="BN236" i="1"/>
  <c r="BN175" i="1"/>
  <c r="BN194" i="1"/>
  <c r="BN263" i="1" s="1"/>
  <c r="BN268" i="1" s="1"/>
  <c r="BN198" i="1"/>
  <c r="BN327" i="1"/>
  <c r="BN267" i="1"/>
  <c r="BN316" i="1" s="1"/>
  <c r="BN328" i="1"/>
  <c r="BN200" i="1"/>
  <c r="BN240" i="1"/>
  <c r="BN322" i="1" l="1"/>
  <c r="BN317" i="1"/>
  <c r="BN199" i="1"/>
  <c r="BN2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CRISIL</author>
    <author>Crisil GR&amp;A</author>
    <author>Yogesh Sheth</author>
  </authors>
  <commentList>
    <comment ref="I7" authorId="0" shapeId="0" xr:uid="{FB63C154-7818-4E98-8963-CE9B2A2652C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I14" authorId="0" shapeId="0" xr:uid="{A4FF6E11-9480-49EF-8166-96AB3D409E4B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filings (pg 27/57)</t>
        </r>
      </text>
    </comment>
    <comment ref="E35" authorId="0" shapeId="0" xr:uid="{FD8FA18F-6A5F-4FA0-891B-2A4298322076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E44" authorId="0" shapeId="0" xr:uid="{F4462FD2-E7FF-4EA0-981E-6A6450220A36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E53" authorId="0" shapeId="0" xr:uid="{6054EE49-11B7-4835-8327-CB2F0014C19A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E60" authorId="0" shapeId="0" xr:uid="{31AF6F23-2575-4F4A-83F2-C3617FF4FE2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I76" authorId="0" shapeId="0" xr:uid="{BEC7C229-91F7-440A-A480-23C7CCA31AC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I81" authorId="0" shapeId="0" xr:uid="{471F70BF-2F84-41EA-993A-0CDCAEEEBEC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filings</t>
        </r>
      </text>
    </comment>
    <comment ref="E101" authorId="0" shapeId="0" xr:uid="{EC9CF6A9-5A99-417E-91E2-230D34C40187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E110" authorId="0" shapeId="0" xr:uid="{1665C6F6-5C15-4BCF-B423-1F5628C91144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E119" authorId="0" shapeId="0" xr:uid="{DD114DB6-82E0-40BC-9769-C400BFC790AB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E126" authorId="0" shapeId="0" xr:uid="{AEB28D04-8773-4D6A-92A0-987E2DF90731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I141" authorId="0" shapeId="0" xr:uid="{20F88B72-A79B-43C6-8EEA-76FBBE7A7451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filings</t>
        </r>
      </text>
    </comment>
    <comment ref="E169" authorId="0" shapeId="0" xr:uid="{BE63FFCB-D67C-4DD9-BF8D-3B83FB02417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I186" authorId="0" shapeId="0" xr:uid="{6AF97087-443D-4DAE-A7F3-D59BE59658A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filings</t>
        </r>
      </text>
    </comment>
    <comment ref="E215" authorId="0" shapeId="0" xr:uid="{35FC4675-D957-4655-BD4B-5DEFAC12EF3B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I227" authorId="0" shapeId="0" xr:uid="{B6D525B0-565C-4E0A-A5BC-65E8206B2C2B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filings</t>
        </r>
      </text>
    </comment>
    <comment ref="E256" authorId="0" shapeId="0" xr:uid="{FAEC9AFF-463F-4520-B1D5-4DFBF1E810D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E1178" authorId="1" shapeId="0" xr:uid="{00000000-0006-0000-0000-000001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Rounding off error</t>
        </r>
      </text>
    </comment>
    <comment ref="E1223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Rounding off error</t>
        </r>
      </text>
    </comment>
    <comment ref="B1388" authorId="2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 xml:space="preserve">Includes Factoring liabilities amounting to TRY 54.361mn in EUR and TRY 34.32mn denominated in GBP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Onabule, Yejide</author>
    <author>Onabule, Yedije</author>
    <author>CRISIL</author>
    <author>CRISIL GR&amp;RS</author>
    <author>Nayeem Shakir</author>
    <author>Yogesh Sheth</author>
    <author>Rishabh Saraf</author>
    <author>JayT</author>
    <author>Crisil</author>
    <author>Vivek Panchal</author>
    <author>Vandana Shivani</author>
    <author>Crisil Intergral IQ</author>
    <author>Crisil GR&amp;A</author>
    <author>Nikhil Arora</author>
    <author>Mayur Shashikant Hore</author>
  </authors>
  <commentList>
    <comment ref="U1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Onabule, Yejide:</t>
        </r>
        <r>
          <rPr>
            <sz val="9"/>
            <color indexed="81"/>
            <rFont val="Tahoma"/>
            <family val="2"/>
          </rPr>
          <t xml:space="preserve">
why is this number large
</t>
        </r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 Includes TRY 413.7mn of income from sales of shares of Group’s available for sale financial asset Koç Finansal Hizmetler A.Ş.</t>
        </r>
      </text>
    </comment>
    <comment ref="B21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Onabule, Yedije:</t>
        </r>
        <r>
          <rPr>
            <sz val="9"/>
            <color indexed="81"/>
            <rFont val="Tahoma"/>
            <family val="2"/>
          </rPr>
          <t xml:space="preserve">
check notes
financial income</t>
        </r>
      </text>
    </comment>
    <comment ref="P23" authorId="2" shapeId="0" xr:uid="{AED32431-9307-4B88-B75B-B511344EA35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Net monetary position gain/(loss) </t>
        </r>
      </text>
    </comment>
    <comment ref="Q23" authorId="2" shapeId="0" xr:uid="{843490A1-C1FA-4546-A89C-B98CB8744F81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Net monetary position gain/(loss) </t>
        </r>
      </text>
    </comment>
    <comment ref="BB23" authorId="3" shapeId="0" xr:uid="{8EF269C1-A3FA-4E3D-8313-DF23A795FBF4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Includes: Net monetary position gains (losses) </t>
        </r>
      </text>
    </comment>
    <comment ref="BD23" authorId="3" shapeId="0" xr:uid="{A1072271-8CD4-43D6-A794-5A4BA0672DFF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Includes: Net monetary position gains (losses) </t>
        </r>
      </text>
    </comment>
    <comment ref="BF23" authorId="3" shapeId="0" xr:uid="{886A0310-4D47-43B2-B65F-E3ED4F98A9DE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Includes: Net monetary position gains (losses) </t>
        </r>
      </text>
    </comment>
    <comment ref="BH23" authorId="3" shapeId="0" xr:uid="{C408115D-643B-4C5F-A892-0D50CA4E90FD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Includes: Net monetary position gains (losses) </t>
        </r>
      </text>
    </comment>
    <comment ref="BL23" authorId="3" shapeId="0" xr:uid="{D71B3F76-610A-4C93-B547-5055478892E9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Includes: Net monetary position gains (losses) </t>
        </r>
      </text>
    </comment>
    <comment ref="BM23" authorId="3" shapeId="0" xr:uid="{B6D44DF7-A30B-4664-AE4E-5E2424A841CB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Includes: Net monetary position gains (losses) </t>
        </r>
      </text>
    </comment>
    <comment ref="BN23" authorId="3" shapeId="0" xr:uid="{96B394F3-31C3-46CD-8FFD-625C933A5C38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Includes: Net monetary position gains (losses) </t>
        </r>
      </text>
    </comment>
    <comment ref="BO23" authorId="3" shapeId="0" xr:uid="{1B1BBB05-3ECB-4639-91A2-9BEC47992D34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Includes: Net monetary position gains (losses) </t>
        </r>
      </text>
    </comment>
    <comment ref="BP23" authorId="3" shapeId="0" xr:uid="{DE28DCFE-B480-4D7D-A499-62BCE8F4CB33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Includes: Net monetary position gains (losses) </t>
        </r>
      </text>
    </comment>
    <comment ref="BR23" authorId="3" shapeId="0" xr:uid="{E063CA01-ADC9-4378-BABA-9551BE66195E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Includes: Net monetary position gains (losses) </t>
        </r>
      </text>
    </comment>
    <comment ref="BT23" authorId="3" shapeId="0" xr:uid="{045ABE6C-1303-4173-93A5-CC3320814ACC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Includes: Net monetary position gains (losses) </t>
        </r>
      </text>
    </comment>
    <comment ref="BU23" authorId="3" shapeId="0" xr:uid="{166CC04F-AAC0-4818-9054-DE5564A33E89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Includes: Net monetary position gains (losses) </t>
        </r>
      </text>
    </comment>
    <comment ref="AZ24" authorId="4" shapeId="0" xr:uid="{6C355653-D8C1-4E32-AD52-107CDA85BCB2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Net monetary position gain/(loss)</t>
        </r>
      </text>
    </comment>
    <comment ref="BJ24" authorId="4" shapeId="0" xr:uid="{AFA4F639-71B1-4C7A-9698-46B8F8BE1DB3}">
      <text>
        <r>
          <rPr>
            <b/>
            <sz val="9"/>
            <color indexed="81"/>
            <rFont val="Tahoma"/>
            <family val="2"/>
          </rPr>
          <t xml:space="preserve">Crisil:
</t>
        </r>
        <r>
          <rPr>
            <sz val="9"/>
            <color indexed="81"/>
            <rFont val="Tahoma"/>
            <family val="2"/>
          </rPr>
          <t>Net monetary position gain/(loss)</t>
        </r>
      </text>
    </comment>
    <comment ref="B55" authorId="5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 xml:space="preserve">Adjustments for FX gains/losses and Finance income/expense from Trading
</t>
        </r>
      </text>
    </comment>
    <comment ref="AJ56" authorId="6" shapeId="0" xr:uid="{00000000-0006-0000-0100-000004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including one offs. Excluding one offs the EBITDA would be 654 for 1Q20</t>
        </r>
      </text>
    </comment>
    <comment ref="BD56" authorId="2" shapeId="0" xr:uid="{D603ACE2-215D-40EE-BFF3-7070E73122E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reported by company
Def: Adj. EBITDA: GP – OPEX (excluding one-off transaction expenses) + D&amp;A.</t>
        </r>
      </text>
    </comment>
    <comment ref="BE56" authorId="2" shapeId="0" xr:uid="{73B42C59-82DE-454F-BD31-F5E08F61B79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reported by company
Def: Adj. EBITDA: GP – OPEX (excluding one-off transaction expenses) + D&amp;A.</t>
        </r>
      </text>
    </comment>
    <comment ref="BF56" authorId="2" shapeId="0" xr:uid="{3CFD53AC-CFA8-4898-A128-8A91CE8B01F7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Reported by company: 
Adj. EBITDA: GP – OPEX (excluding one-off transaction expenses) + D&amp;A</t>
        </r>
      </text>
    </comment>
    <comment ref="BH56" authorId="2" shapeId="0" xr:uid="{9A9C0F24-0857-4297-A392-5F9E1198841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reported by company
Def: Adj. EBITDA: GP – OPEX (excluding one-off transaction expenses) + D&amp;A.</t>
        </r>
      </text>
    </comment>
    <comment ref="BN56" authorId="2" shapeId="0" xr:uid="{1BB2683A-9E53-4653-9C34-FB1151879777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reported by company
Def: Adj. EBITDA: GP – OPEX (excluding one-off transaction expenses) + D&amp;A.</t>
        </r>
      </text>
    </comment>
    <comment ref="BO56" authorId="2" shapeId="0" xr:uid="{1BB23EB2-1FA0-4F84-AE9D-3B5E7E2936D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reported by company
Def: Adj. EBITDA: GP – OPEX (excluding one-off transaction expenses) + D&amp;A.</t>
        </r>
      </text>
    </comment>
    <comment ref="BP56" authorId="2" shapeId="0" xr:uid="{77E3FA5A-201B-4AF3-B44E-1F678A7E457B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Reported by company: 
Adj. EBITDA: GP – OPEX (excluding one-off transaction expenses) + D&amp;A</t>
        </r>
      </text>
    </comment>
    <comment ref="BR56" authorId="2" shapeId="0" xr:uid="{DBC4F530-276C-433E-AE0C-463006ED3834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reported by company
Def: Adj. EBITDA: GP – OPEX (excluding one-off transaction expenses) + D&amp;A.</t>
        </r>
      </text>
    </comment>
    <comment ref="BT56" authorId="2" shapeId="0" xr:uid="{EE5D410E-3B4A-4408-8EF9-321E1B8237A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Reported by company: 
Adj. EBITDA: GP – OPEX (excluding one-off transaction expenses) + D&amp;A</t>
        </r>
      </text>
    </comment>
    <comment ref="BU56" authorId="2" shapeId="0" xr:uid="{C13628E4-BFD5-40D6-A3D1-4EA20D6078D8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Reported by company: 
Adj. EBITDA: GP – OPEX (excluding one-off transaction expenses) + D&amp;A</t>
        </r>
      </text>
    </comment>
    <comment ref="H59" authorId="7" shapeId="0" xr:uid="{00000000-0006-0000-0100-00000500000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I59" authorId="7" shapeId="0" xr:uid="{00000000-0006-0000-0100-00000600000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J59" authorId="7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L59" authorId="7" shapeId="0" xr:uid="{4860E248-89F2-4A72-9B17-E23B6FCD33DA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M59" authorId="7" shapeId="0" xr:uid="{C62A8968-39E9-4E7B-B7AB-B7E0CB1F2C82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N59" authorId="7" shapeId="0" xr:uid="{369C256B-6C18-4E6C-89A6-A28F7547FB9B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O59" authorId="7" shapeId="0" xr:uid="{2E46C6E3-BAE1-4CA8-B6BB-A8AC54C2AF34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P59" authorId="7" shapeId="0" xr:uid="{2F33333F-3AF6-489D-960C-11E7D4BE2FAD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Q59" authorId="7" shapeId="0" xr:uid="{5360D655-5E2C-471B-9E35-480429AB10FB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AF59" authorId="7" shapeId="0" xr:uid="{00000000-0006-0000-0100-00000800000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AG59" authorId="7" shapeId="0" xr:uid="{00000000-0006-0000-0100-00000900000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AH59" authorId="7" shapeId="0" xr:uid="{00000000-0006-0000-0100-00000A00000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AI59" authorId="7" shapeId="0" xr:uid="{00000000-0006-0000-0100-00000B00000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AJ59" authorId="7" shapeId="0" xr:uid="{00000000-0006-0000-0100-00000C00000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AK59" authorId="7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AL59" authorId="7" shapeId="0" xr:uid="{00000000-0006-0000-0100-00000E00000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AM59" authorId="7" shapeId="0" xr:uid="{00000000-0006-0000-0100-00000F00000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AN59" authorId="7" shapeId="0" xr:uid="{00000000-0006-0000-0100-00001000000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AO59" authorId="7" shapeId="0" xr:uid="{00000000-0006-0000-0100-00001100000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AP59" authorId="7" shapeId="0" xr:uid="{00000000-0006-0000-0100-00001200000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AQ59" authorId="7" shapeId="0" xr:uid="{00000000-0006-0000-0100-00001300000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AR59" authorId="7" shapeId="0" xr:uid="{00000000-0006-0000-0100-00001400000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AS59" authorId="7" shapeId="0" xr:uid="{00000000-0006-0000-0100-00001500000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AT59" authorId="7" shapeId="0" xr:uid="{9D095606-A8EC-401E-922C-713C329B81B9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AU59" authorId="7" shapeId="0" xr:uid="{A6899B90-13A7-4738-B191-2EF1C92ACEAE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AV59" authorId="7" shapeId="0" xr:uid="{BE8E9A07-2BD1-43CE-ADA7-B775208E71C9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AW59" authorId="7" shapeId="0" xr:uid="{4B75CDC2-AD69-4744-BF60-6BDC564B08FA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AX59" authorId="7" shapeId="0" xr:uid="{D53A3EBB-EE36-4E00-8769-98AECF4FCAB5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AY59" authorId="7" shapeId="0" xr:uid="{07BD9AF5-F1C1-428D-B694-13871567B98D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AZ59" authorId="7" shapeId="0" xr:uid="{40B5D280-20EE-46E0-95F1-4A7592A5E112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BA59" authorId="7" shapeId="0" xr:uid="{445515D1-1FA9-45DC-9BAF-95AB60CCEE45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BB59" authorId="7" shapeId="0" xr:uid="{848B6E30-D8F5-48E2-8420-4AF8DFACF1E9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BC59" authorId="7" shapeId="0" xr:uid="{AF3430A6-FFB2-4826-932B-A26D741E5CFD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BD59" authorId="7" shapeId="0" xr:uid="{DBFB32E8-1DA6-4262-9855-952A6A0473BA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BE59" authorId="7" shapeId="0" xr:uid="{2C533D82-0D4C-4CAE-A419-60FE459990E6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BF59" authorId="7" shapeId="0" xr:uid="{FC81140A-B37F-4373-9839-A311275DEA4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BG59" authorId="7" shapeId="0" xr:uid="{00077CA9-71F9-4F4F-82A7-4DE42E7F2CAA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BH59" authorId="7" shapeId="0" xr:uid="{29202453-35A4-46D4-82ED-097032C0BC52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BJ59" authorId="7" shapeId="0" xr:uid="{D8A7B7BC-45DD-433E-B2C9-C98E55B5C01B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BK59" authorId="7" shapeId="0" xr:uid="{C5F43BB3-EFDA-4C23-8ADF-F3126E05B0D6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BL59" authorId="7" shapeId="0" xr:uid="{4ACD56CB-2AC8-4F47-BA6B-1D1F65C0FBE8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BM59" authorId="7" shapeId="0" xr:uid="{DBD2226D-654B-496C-9516-77EA360DF02B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BN59" authorId="7" shapeId="0" xr:uid="{C92F76C7-03DE-43F3-9DA5-60138DC30C58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BO59" authorId="7" shapeId="0" xr:uid="{BC7B9516-B9F0-4915-ADB4-BD3BD99CB53C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BP59" authorId="7" shapeId="0" xr:uid="{FBB89329-36AF-4218-9898-46A706EC00E6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BQ59" authorId="7" shapeId="0" xr:uid="{20F37BAE-1F28-4296-9EAB-751C09AAC838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BR59" authorId="7" shapeId="0" xr:uid="{A4EBBB1F-D732-4095-904B-82B36DF4226C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BT59" authorId="7" shapeId="0" xr:uid="{D090F4F9-A8AB-40FF-92A2-7AEFC0A8FB2F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BU59" authorId="7" shapeId="0" xr:uid="{DDA27FD9-9AD2-4EC6-85D3-35A59A976259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BW59" authorId="7" shapeId="0" xr:uid="{AECFF5BE-3432-43D6-8F2C-13845132A844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BX59" authorId="7" shapeId="0" xr:uid="{B9B0D1E2-1076-492E-ACB0-9271CBB3F869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>Not Reported</t>
        </r>
      </text>
    </comment>
    <comment ref="B63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Onabule, Yejide:</t>
        </r>
        <r>
          <rPr>
            <sz val="9"/>
            <color indexed="81"/>
            <rFont val="Tahoma"/>
            <family val="2"/>
          </rPr>
          <t xml:space="preserve">
please adjust this section, if necessary  </t>
        </r>
      </text>
    </comment>
    <comment ref="B65" authorId="2" shapeId="0" xr:uid="{DF0117ED-CE19-4530-8111-0B38D90F5017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 </t>
        </r>
        <r>
          <rPr>
            <b/>
            <sz val="9"/>
            <color indexed="81"/>
            <rFont val="Tahoma"/>
            <family val="2"/>
          </rPr>
          <t>Changes in operating assets and liabilities</t>
        </r>
        <r>
          <rPr>
            <sz val="9"/>
            <color indexed="81"/>
            <rFont val="Tahoma"/>
            <family val="2"/>
          </rPr>
          <t xml:space="preserve">:
* Adjustments for decrease (increase) in trade receivables
* Adjustments for decrease (increase) in inventories
* Decrease (increase) in prepaid expenses
* Adjustments for increase (decrease) in trade payables 
* Increase (decrease) in employee benefit liabilities 
* Adjustments for increase (decrease) in other operating payables
* Increase (decrease) in government grants and assistance
* Other adjustments for other increase (decrease) in working capital 
* Other cash outflows </t>
        </r>
      </text>
    </comment>
    <comment ref="H70" authorId="6" shapeId="0" xr:uid="{00000000-0006-0000-0100-000017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Cash flow used in obtainig control of subsidiaries or other businesses</t>
        </r>
      </text>
    </comment>
    <comment ref="I70" authorId="6" shapeId="0" xr:uid="{00000000-0006-0000-0100-000018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Cash flow used in obtainig control of subsidiaries or other businesses</t>
        </r>
      </text>
    </comment>
    <comment ref="J70" authorId="6" shapeId="0" xr:uid="{00000000-0006-0000-0100-000019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Cash flow used in obtainig control of subsidiaries or other businesses</t>
        </r>
      </text>
    </comment>
    <comment ref="K70" authorId="6" shapeId="0" xr:uid="{0B8906EC-C0B2-4315-B279-66A101AA679A}">
      <text>
        <r>
          <rPr>
            <sz val="9"/>
            <color indexed="81"/>
            <rFont val="Tahoma"/>
            <family val="2"/>
          </rPr>
          <t>Cash flow used in obtainig control of subsidiaries or other businesses</t>
        </r>
      </text>
    </comment>
    <comment ref="L70" authorId="6" shapeId="0" xr:uid="{3AF057C8-2307-4B06-B26B-F1047B9AD912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Cash flow used in obtainig control of subsidiaries or other businesses</t>
        </r>
      </text>
    </comment>
    <comment ref="M70" authorId="6" shapeId="0" xr:uid="{4D17ED04-B405-4F42-81B4-66BB573094E8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Cash flow used in obtainig control of subsidiaries or other businesses</t>
        </r>
      </text>
    </comment>
    <comment ref="N70" authorId="6" shapeId="0" xr:uid="{FFB60683-7E6F-45DD-87D8-E4818984F16B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Cash flow used in obtainig control of subsidiaries or other businesses</t>
        </r>
      </text>
    </comment>
    <comment ref="O70" authorId="6" shapeId="0" xr:uid="{367B5CF2-0786-4CF4-8CB3-446053167FF9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Cash flow used in obtainig control of subsidiaries or other businesses</t>
        </r>
      </text>
    </comment>
    <comment ref="Q71" authorId="6" shapeId="0" xr:uid="{90A27C7B-5217-4CD4-AF01-75FB256E1DB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Includes:
* Cash outflows from accusations/payments to gain control of subsidiaries 
* Cash inflows from disposals that result in loss of control over subsidiaries</t>
        </r>
      </text>
    </comment>
    <comment ref="P73" authorId="2" shapeId="0" xr:uid="{5DA34B22-5B64-446B-AE55-317A0BDF4DE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FY includes:
* Cash outflows due to share acquisition or capital increase in affiliates and / or joint ventures: (688.759)
* Cash inflows due to sale of shares in associates or joint ventures or capital reduction: (219.855)
*Cash inflows from the disposal of equity or debt instruments of other entities or funds :29.482</t>
        </r>
      </text>
    </comment>
    <comment ref="Q73" authorId="2" shapeId="0" xr:uid="{40AEE2F8-2858-456A-AFBC-72CB4E6D074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FY includes:
* Cash outflows due to share acquisition or capital increase in affiliates and / or joint ventures: (523.545)
* Cash inflows due to sale of shares in associates or joint ventures or capital reduction : (13.803)</t>
        </r>
      </text>
    </comment>
    <comment ref="BF73" authorId="2" shapeId="0" xr:uid="{08EBE513-4906-4951-BB92-09137DD8CEC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Includes:
* Cash outflows due to sale of shares in associates or joint ventures or capital reduction: (13.228)</t>
        </r>
      </text>
    </comment>
    <comment ref="BH73" authorId="2" shapeId="0" xr:uid="{41BBEFEC-D6A0-4243-B108-9A5EDBE79D5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3M includes:
* Cash outflows due to share acquisition or capital increase in affiliates and / or joint ventures: (462.353)
* Dividends received: 194.325 
* Cash outflows from the disposal of equity or debt instruments of other entities or funds: (0.225)</t>
        </r>
      </text>
    </comment>
    <comment ref="BR73" authorId="2" shapeId="0" xr:uid="{B69643A5-BCC9-41BE-A1C9-D0637F31D63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3M includes:
* Cash outflows due to share acquisition or capital increase in affiliates and / or joint ventures: (578.728)
* Cash outflows from the disposal of equity or debt instruments of other entities or funds: (7.241)</t>
        </r>
      </text>
    </comment>
    <comment ref="P77" authorId="2" shapeId="0" xr:uid="{B0E13380-5CA9-49FF-AB19-05F1439C17D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FY includes:
* Cash inflows from derivative instruments (net): (5,443.015)
* Interest received: 3,785.269
* Other inflows (outflows) of cash: (3,253.990)</t>
        </r>
      </text>
    </comment>
    <comment ref="Q77" authorId="2" shapeId="0" xr:uid="{F15D3EBB-C664-4E60-A6B4-ABF883E71D61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FY includes:
* Cash inflows from derivative instruments (net): (6,770.047)
* Interest received: 4,436.772
* Other inflows (outflows) of cash : (3,585.028)</t>
        </r>
      </text>
    </comment>
    <comment ref="BF77" authorId="2" shapeId="0" xr:uid="{EA58620F-0013-46F7-8ABD-4E7673005201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9M Inlcudes: 
* Cash inflows from derivative instruments (net): (6,237.929) 
* Interest received: 3,175.436
* Other outflows of cash : (2,432.343)</t>
        </r>
      </text>
    </comment>
    <comment ref="BH77" authorId="2" shapeId="0" xr:uid="{CAD00082-0123-4AA5-BBF8-63837143428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3M includes:
* Cash inflows from derivative instruments (net): (1,142.822)
* Interest received : 2,011.645
* Other inflows (outflows) of cash: (681.951)</t>
        </r>
      </text>
    </comment>
    <comment ref="BR77" authorId="2" shapeId="0" xr:uid="{05DBF16A-FBC5-42DA-B27D-822D5CBE00F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3M includes:
* Cash inflows from derivative instruments (net): (665.670)
* Interest received : 790.501
* Other inflows (outflows) of cash: (963.835)</t>
        </r>
      </text>
    </comment>
    <comment ref="J80" authorId="8" shapeId="0" xr:uid="{C2221711-598B-4CA7-BBF9-6470277B5619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Largely due to adjustment for other provisions and unrealised fx losses</t>
        </r>
      </text>
    </comment>
    <comment ref="K80" authorId="8" shapeId="0" xr:uid="{C8ABAB55-F5B0-468D-BBEB-38A7DFD6E199}">
      <text>
        <r>
          <rPr>
            <b/>
            <sz val="9"/>
            <color indexed="81"/>
            <rFont val="Tahoma"/>
            <family val="2"/>
          </rPr>
          <t xml:space="preserve">CRISIL GR&amp;RS:
</t>
        </r>
        <r>
          <rPr>
            <sz val="9"/>
            <color indexed="81"/>
            <rFont val="Tahoma"/>
            <family val="2"/>
          </rPr>
          <t>Largely due to adjustments for other provisions in CFO</t>
        </r>
      </text>
    </comment>
    <comment ref="L80" authorId="8" shapeId="0" xr:uid="{79E3D1EF-B91A-48F8-8C86-6F9B10B4CD98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Largely due to adjustment for other provisions and unrealised fx losses</t>
        </r>
      </text>
    </comment>
    <comment ref="M80" authorId="8" shapeId="0" xr:uid="{049DBB18-01A1-485B-852A-E1D62FB46C54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Largely due to adjustment for other provisions and unrealised fx losses</t>
        </r>
      </text>
    </comment>
    <comment ref="N80" authorId="8" shapeId="0" xr:uid="{94B01F41-D935-4B9A-8DB1-A592A95053F8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Largely due to adjustment for other provisions and unrealised fx losses</t>
        </r>
      </text>
    </comment>
    <comment ref="O80" authorId="8" shapeId="0" xr:uid="{9B37E4DC-2913-4CC2-BA4F-73E4B6003B39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Largely due to adjustment for other provisions and unrealised fx losses</t>
        </r>
      </text>
    </comment>
    <comment ref="P80" authorId="8" shapeId="0" xr:uid="{4EF3D34A-7B98-4530-BB1D-7782332AD619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It is high due to use of EBITDA to calculate CFO instead of net income, and other adjustments apart from working capital, which majolry includes:
* Adjustments for provisions: 7,271.508
* Adjustments for income arised from government grants : (1,007.371)
* Adjustments for unrealised foreign exchange losses: 1,306.220
* Adjustments for fair value (gains) losses on derivative financial instruments: 5,876.010
* Adjustment for bargained acquisition profit: (22,281.845)
* Adjustments related to provisions for restructuring (reversals) : 15,498.703
* Other adjustments to reconcile profit (loss): 3,253.990
* Adjustments for contingent liabilities : (823.616)
* Adjustments related to monetary position gains and losses: (37,006.696)
</t>
        </r>
      </text>
    </comment>
    <comment ref="Q80" authorId="8" shapeId="0" xr:uid="{4452D570-D746-4FC4-9B07-56460127AEB1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It is high due to use of EBITDA to calculate CFO instead of net income, and other adjustments apart from working capital, which majolry includes:
* Adjustments for provisions: 5,039.479
* Adjustments for income arised from government grants : (1,073.494)
* Adjustments for unrealised foreign exchange losses: 1,768.629 
* Adjustments for fair value (gains) losses on derivative financial instruments: 2,254.629
* Adjustments related to provisions for restructuring (reversals) : (2,051.359)
* Other adjustments to reconcile profit (loss): 3,585.028
* Adjustments for contingent liabilities : 407.827
* Adjustments related to monetary position gains and losses: (18,351.277)
</t>
        </r>
      </text>
    </comment>
    <comment ref="AW80" authorId="9" shapeId="0" xr:uid="{BAA7B681-EA48-4E71-B06B-5313F39A401B}">
      <text>
        <r>
          <rPr>
            <b/>
            <sz val="9"/>
            <color indexed="81"/>
            <rFont val="Tahoma"/>
            <family val="2"/>
          </rPr>
          <t>Due to non-cash adjustments</t>
        </r>
      </text>
    </comment>
    <comment ref="AX80" authorId="9" shapeId="0" xr:uid="{171EBAE6-525D-4D08-9B07-A32E14EEEA46}">
      <text>
        <r>
          <rPr>
            <b/>
            <sz val="9"/>
            <color indexed="81"/>
            <rFont val="Tahoma"/>
            <family val="2"/>
          </rPr>
          <t>Due to non-cash adjustments</t>
        </r>
      </text>
    </comment>
    <comment ref="AZ80" authorId="9" shapeId="0" xr:uid="{0FC6A122-97F1-44F6-A40E-CA52B8BBD3EE}">
      <text>
        <r>
          <rPr>
            <b/>
            <sz val="9"/>
            <color indexed="81"/>
            <rFont val="Tahoma"/>
            <family val="2"/>
          </rPr>
          <t>Due to non-cash adjustments</t>
        </r>
      </text>
    </comment>
    <comment ref="BA80" authorId="9" shapeId="0" xr:uid="{5C56EE5D-90F0-4E71-904F-69BA1ADEA7F9}">
      <text>
        <r>
          <rPr>
            <b/>
            <sz val="9"/>
            <color indexed="81"/>
            <rFont val="Tahoma"/>
            <family val="2"/>
          </rPr>
          <t>Due to non-cash adjustments</t>
        </r>
      </text>
    </comment>
    <comment ref="BB80" authorId="9" shapeId="0" xr:uid="{BD9E2EA2-D320-4E63-BA9A-042E1BB89D90}">
      <text>
        <r>
          <rPr>
            <b/>
            <sz val="9"/>
            <color indexed="81"/>
            <rFont val="Tahoma"/>
            <family val="2"/>
          </rPr>
          <t>Due to non-cash adjustments</t>
        </r>
      </text>
    </comment>
    <comment ref="BD80" authorId="9" shapeId="0" xr:uid="{3B3BF23A-5859-4F9D-9BE6-7EB0E854C7AF}">
      <text>
        <r>
          <rPr>
            <b/>
            <sz val="9"/>
            <color indexed="81"/>
            <rFont val="Tahoma"/>
            <family val="2"/>
          </rPr>
          <t>Due to non-cash adjustments</t>
        </r>
      </text>
    </comment>
    <comment ref="BE80" authorId="9" shapeId="0" xr:uid="{E25E6C24-6002-441A-BF20-0C821BD8F505}">
      <text>
        <r>
          <rPr>
            <b/>
            <sz val="9"/>
            <color indexed="81"/>
            <rFont val="Tahoma"/>
            <family val="2"/>
          </rPr>
          <t>Due to non-cash adjustments</t>
        </r>
      </text>
    </comment>
    <comment ref="BF80" authorId="9" shapeId="0" xr:uid="{6AFC0DEB-3C34-483F-967E-173CE07CE05C}">
      <text>
        <r>
          <rPr>
            <b/>
            <sz val="9"/>
            <color indexed="81"/>
            <rFont val="Tahoma"/>
            <family val="2"/>
          </rPr>
          <t>Due to non-cash adjustments</t>
        </r>
      </text>
    </comment>
    <comment ref="BH80" authorId="9" shapeId="0" xr:uid="{C014395E-1604-419C-936F-BDF08E30C221}">
      <text>
        <r>
          <rPr>
            <b/>
            <sz val="9"/>
            <color indexed="81"/>
            <rFont val="Tahoma"/>
            <family val="2"/>
          </rPr>
          <t>Due to non-cash adjustments</t>
        </r>
      </text>
    </comment>
    <comment ref="BK80" authorId="9" shapeId="0" xr:uid="{6CD5A1A4-C603-4500-BD3F-9E28CDD44FF0}">
      <text>
        <r>
          <rPr>
            <b/>
            <sz val="9"/>
            <color indexed="81"/>
            <rFont val="Tahoma"/>
            <family val="2"/>
          </rPr>
          <t>Due to non-cash adjustments</t>
        </r>
      </text>
    </comment>
    <comment ref="BL80" authorId="9" shapeId="0" xr:uid="{5563F39B-F24D-477A-9621-7EF9BC8DB758}">
      <text>
        <r>
          <rPr>
            <b/>
            <sz val="9"/>
            <color indexed="81"/>
            <rFont val="Tahoma"/>
            <family val="2"/>
          </rPr>
          <t>Due to non-cash adjustments</t>
        </r>
      </text>
    </comment>
    <comment ref="BN80" authorId="9" shapeId="0" xr:uid="{7B0BA957-95CF-4595-9747-AF91C796350D}">
      <text>
        <r>
          <rPr>
            <b/>
            <sz val="9"/>
            <color indexed="81"/>
            <rFont val="Tahoma"/>
            <family val="2"/>
          </rPr>
          <t>Due to non-cash adjustments</t>
        </r>
      </text>
    </comment>
    <comment ref="BP80" authorId="9" shapeId="0" xr:uid="{32F29681-0194-40B6-ADB7-007689EFCE38}">
      <text>
        <r>
          <rPr>
            <b/>
            <sz val="9"/>
            <color indexed="81"/>
            <rFont val="Tahoma"/>
            <family val="2"/>
          </rPr>
          <t>Due to non-cash adjustments</t>
        </r>
      </text>
    </comment>
    <comment ref="BR80" authorId="9" shapeId="0" xr:uid="{4B8CBBBC-DBFE-4270-BEBF-EA671E323674}">
      <text>
        <r>
          <rPr>
            <b/>
            <sz val="9"/>
            <color indexed="81"/>
            <rFont val="Tahoma"/>
            <family val="2"/>
          </rPr>
          <t>Due to non-cash adjustments</t>
        </r>
      </text>
    </comment>
    <comment ref="L84" authorId="10" shapeId="0" xr:uid="{7765DFE3-3F6E-4838-8B65-42A4AA4D2D93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Hard-coded FY2021 restated  cash numbers</t>
        </r>
      </text>
    </comment>
    <comment ref="N84" authorId="11" shapeId="0" xr:uid="{A2BF2034-9FF0-43E2-A21C-A6E6738E37DA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Hard coded FY23 ending cash</t>
        </r>
      </text>
    </comment>
    <comment ref="BC84" authorId="11" shapeId="0" xr:uid="{E23EEFF7-4308-48E1-B88E-0CD64435DE2C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Adjusted to match ending cash</t>
        </r>
      </text>
    </comment>
    <comment ref="BD84" authorId="11" shapeId="0" xr:uid="{E89F115A-931A-4645-A3EE-36317A388C91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Adjusted to match ending cash</t>
        </r>
      </text>
    </comment>
    <comment ref="BG84" authorId="11" shapeId="0" xr:uid="{D2AE79FB-600F-4B43-8F7C-50CC0428D0A2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Adjusted to match ending cash</t>
        </r>
      </text>
    </comment>
    <comment ref="BH84" authorId="11" shapeId="0" xr:uid="{5417C9DE-8853-4D52-AFB2-635F13EDB186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Hard coded opening cash balance for the change in the cash for ending of previous period</t>
        </r>
      </text>
    </comment>
    <comment ref="BM84" authorId="11" shapeId="0" xr:uid="{C61E072D-3642-4716-8F58-2AB3ED373E0C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Adjusted to match ending cash</t>
        </r>
      </text>
    </comment>
    <comment ref="BN84" authorId="11" shapeId="0" xr:uid="{9B6489B3-319C-40CB-9EA6-12733CA0DD0B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Adjusted to match ending cash</t>
        </r>
      </text>
    </comment>
    <comment ref="BQ84" authorId="11" shapeId="0" xr:uid="{9349C9FD-02AB-498D-81DA-FE14C909A431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Adjusted to match ending cash</t>
        </r>
      </text>
    </comment>
    <comment ref="BR84" authorId="11" shapeId="0" xr:uid="{82468AD1-28F0-4D68-A80A-14575769A714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Hard coded opening cash balance for the change in the cash for ending of previous period</t>
        </r>
      </text>
    </comment>
    <comment ref="G86" authorId="12" shapeId="0" xr:uid="{00000000-0006-0000-0100-00001A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H86" authorId="12" shapeId="0" xr:uid="{00000000-0006-0000-0100-00001B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I86" authorId="12" shapeId="0" xr:uid="{00000000-0006-0000-0100-00001C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J86" authorId="12" shapeId="0" xr:uid="{00000000-0006-0000-0100-00001D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K86" authorId="12" shapeId="0" xr:uid="{54EFE4AF-896D-418C-BE2C-E4CE35C3AB53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L86" authorId="12" shapeId="0" xr:uid="{8DE7E42A-6B3A-40F8-8B1F-4EA6955A82F6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M86" authorId="12" shapeId="0" xr:uid="{370744C5-F2E9-4DB0-B3FA-9259C3B93CA3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N86" authorId="12" shapeId="0" xr:uid="{8BB2E6E9-B27B-424D-BCB3-B67E82D9A64F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O86" authorId="12" shapeId="0" xr:uid="{125D067D-85B3-4EE7-AA95-380BB4D2C694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P86" authorId="12" shapeId="0" xr:uid="{2EF1CB9E-4284-4393-96D6-C8E9A7A719B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accruals: 103.680 (pg 44/100)</t>
        </r>
      </text>
    </comment>
    <comment ref="Q86" authorId="12" shapeId="0" xr:uid="{5FC49792-7ADF-484D-B243-86901DFABB04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accruals: 581.744 (pg 44/100)</t>
        </r>
      </text>
    </comment>
    <comment ref="R86" authorId="12" shapeId="0" xr:uid="{88DBD064-F42D-4171-8530-96862DF85786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AE86" authorId="12" shapeId="0" xr:uid="{00000000-0006-0000-0100-00001F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AH86" authorId="12" shapeId="0" xr:uid="{00000000-0006-0000-0100-000020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AI86" authorId="12" shapeId="0" xr:uid="{00000000-0006-0000-0100-000021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AK86" authorId="12" shapeId="0" xr:uid="{00000000-0006-0000-0100-000022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AL86" authorId="12" shapeId="0" xr:uid="{00000000-0006-0000-0100-000023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AM86" authorId="12" shapeId="0" xr:uid="{00000000-0006-0000-0100-000024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AN86" authorId="12" shapeId="0" xr:uid="{00000000-0006-0000-0100-000025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AO86" authorId="12" shapeId="0" xr:uid="{00000000-0006-0000-0100-000026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AP86" authorId="12" shapeId="0" xr:uid="{00000000-0006-0000-0100-000027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AQ86" authorId="12" shapeId="0" xr:uid="{00000000-0006-0000-0100-000028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AR86" authorId="12" shapeId="0" xr:uid="{00000000-0006-0000-0100-000029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AS86" authorId="12" shapeId="0" xr:uid="{00000000-0006-0000-0100-00002A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AT86" authorId="12" shapeId="0" xr:uid="{A0F5ED11-8853-4678-8804-B7F132A00822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AU86" authorId="12" shapeId="0" xr:uid="{C7F2D228-F17B-40E3-A63E-F44FDA7BF24B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AV86" authorId="12" shapeId="0" xr:uid="{D8BE59ED-453E-4F25-974A-A6CDD4C9BD3D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AW86" authorId="12" shapeId="0" xr:uid="{B8BD060B-D94E-4F56-B8A1-534CBE405BBE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AX86" authorId="12" shapeId="0" xr:uid="{B7C2DD8E-F4F2-4355-924A-52E597D3540E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AY86" authorId="12" shapeId="0" xr:uid="{639DB1F7-86E0-415E-BABB-B9C862AE89CE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AZ86" authorId="12" shapeId="0" xr:uid="{01115B9F-84FF-48D2-836A-F74796B7D7E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BA86" authorId="12" shapeId="0" xr:uid="{6256C303-238F-4CFD-85EE-AB4FC9C227B2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BB86" authorId="12" shapeId="0" xr:uid="{117EAA7B-F242-4E70-91DF-931149CFEA8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BC86" authorId="12" shapeId="0" xr:uid="{A64E495E-ED79-497F-ADF5-E23FB3EE77D4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BD86" authorId="12" shapeId="0" xr:uid="{7C277367-A7A5-43F6-A809-3D171B014241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BE86" authorId="12" shapeId="0" xr:uid="{9B14782B-3779-49FF-B7A8-B9C16197EBD7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BF86" authorId="12" shapeId="0" xr:uid="{E90C0436-020B-48AF-BB98-C4B9B54370D5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BG86" authorId="12" shapeId="0" xr:uid="{80B547D5-5208-44D3-A267-8FA5BE25B205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BH86" authorId="12" shapeId="0" xr:uid="{0A2098CA-C261-4A0F-BE40-51F9A6D69CD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difference due to interest income accruals</t>
        </r>
      </text>
    </comment>
    <comment ref="B105" authorId="13" shapeId="0" xr:uid="{00000000-0006-0000-0100-00002B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PPE </t>
        </r>
      </text>
    </comment>
    <comment ref="BN105" authorId="2" shapeId="0" xr:uid="{C1194201-A3F8-4B7B-91AB-1151EFD9C73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considered previous published data of Mar 2024</t>
        </r>
      </text>
    </comment>
    <comment ref="BO105" authorId="2" shapeId="0" xr:uid="{35BA0AD8-9DEE-47A7-8AE7-7414C4703206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considered previous published data of Jun 2024</t>
        </r>
      </text>
    </comment>
    <comment ref="BR105" authorId="2" shapeId="0" xr:uid="{266D6248-F0E0-4895-B9C6-D64EFB249F0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considered previous published data of Mar 2024</t>
        </r>
      </text>
    </comment>
    <comment ref="B106" authorId="5" shapeId="0" xr:uid="{00000000-0006-0000-0100-00002C00000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 xml:space="preserve">Provision for employee benefits (non-current)
</t>
        </r>
      </text>
    </comment>
    <comment ref="B108" authorId="2" shapeId="0" xr:uid="{9599F22E-79D7-422A-BDC9-0652D98EB90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Inlcudes: 
* Due from related parties 
* Trade receivables, third parties</t>
        </r>
      </text>
    </comment>
    <comment ref="B109" authorId="2" shapeId="0" xr:uid="{358EF6E9-B4E4-4068-876E-B8945B555AE4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Includes:
* Trade payables, third parties
* Due to related parties</t>
        </r>
      </text>
    </comment>
    <comment ref="P124" authorId="12" shapeId="0" xr:uid="{C43FD2D4-0226-4882-88B5-DF297C048DBE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Q124" authorId="12" shapeId="0" xr:uid="{F9040087-B162-43BC-9A77-CF3977EAAF0C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AF124" authorId="12" shapeId="0" xr:uid="{00000000-0006-0000-0100-00002D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AG124" authorId="12" shapeId="0" xr:uid="{00000000-0006-0000-0100-00002E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AH124" authorId="12" shapeId="0" xr:uid="{00000000-0006-0000-0100-00002F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AJ124" authorId="12" shapeId="0" xr:uid="{00000000-0006-0000-0100-000030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AK124" authorId="12" shapeId="0" xr:uid="{00000000-0006-0000-0100-000031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AL124" authorId="12" shapeId="0" xr:uid="{00000000-0006-0000-0100-000032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AN124" authorId="12" shapeId="0" xr:uid="{00000000-0006-0000-0100-000033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AO124" authorId="12" shapeId="0" xr:uid="{00000000-0006-0000-0100-000034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AP124" authorId="12" shapeId="0" xr:uid="{00000000-0006-0000-0100-000035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AR124" authorId="12" shapeId="0" xr:uid="{00000000-0006-0000-0100-000036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AS124" authorId="12" shapeId="0" xr:uid="{00000000-0006-0000-0100-000037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AT124" authorId="12" shapeId="0" xr:uid="{AE663881-9EB0-43BC-9D96-79B15DE764F3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AV124" authorId="12" shapeId="0" xr:uid="{781E277E-C2F9-45DA-B977-D2E4669014F1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AW124" authorId="12" shapeId="0" xr:uid="{1B840485-9CE4-49C2-B152-B10EB47C4414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AX124" authorId="12" shapeId="0" xr:uid="{D5FFA43B-994D-4637-88FF-64FC739EC51C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AZ124" authorId="12" shapeId="0" xr:uid="{D4180CB7-5A03-45EE-B8A4-8DAF46A2C726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BA124" authorId="12" shapeId="0" xr:uid="{AA10AEE9-F7EE-452B-9731-6F70927F87AE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BB124" authorId="12" shapeId="0" xr:uid="{88641D45-E298-4DEF-BEC7-A17E9BCFE842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BD124" authorId="2" shapeId="0" xr:uid="{AFD934EB-15EC-4C2E-BD46-0B45CA88F899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filings</t>
        </r>
      </text>
    </comment>
    <comment ref="BE124" authorId="12" shapeId="0" xr:uid="{BBE507ED-DAD7-4891-8B28-167E700316C2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BF124" authorId="12" shapeId="0" xr:uid="{7A3DBB1E-EAF2-4DC5-A959-A8E561522DA4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BH124" authorId="2" shapeId="0" xr:uid="{421460EE-B965-451E-8561-345D15C2F317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filings</t>
        </r>
      </text>
    </comment>
    <comment ref="BJ124" authorId="12" shapeId="0" xr:uid="{2EFC07BC-A958-4FA8-8A3E-F33BFEEA28DB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BK124" authorId="12" shapeId="0" xr:uid="{E815406E-69B9-4720-BCD5-5C5A3D975259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BL124" authorId="12" shapeId="0" xr:uid="{60442FC7-2732-441E-A943-4BC004B5EEBE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Lease liabilities as per IFRS16</t>
        </r>
      </text>
    </comment>
    <comment ref="BN124" authorId="2" shapeId="0" xr:uid="{64449097-BA26-4E5F-A75D-A32D7BF8BD9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considered previous published data of Mar 2024</t>
        </r>
      </text>
    </comment>
    <comment ref="BO124" authorId="2" shapeId="0" xr:uid="{7319B225-204E-4CAB-88FD-F2F63933F14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considered previous published data of Jun 2024</t>
        </r>
      </text>
    </comment>
    <comment ref="BP124" authorId="2" shapeId="0" xr:uid="{E54246DA-378E-40C4-A99C-41897A4CDAD9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considered previous published data of Sep 2024</t>
        </r>
      </text>
    </comment>
    <comment ref="BR124" authorId="2" shapeId="0" xr:uid="{F17C7FA4-6B68-4BCD-9D5F-A04DEEA3E20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considered previous published data of Mar 2024</t>
        </r>
      </text>
    </comment>
    <comment ref="Q125" authorId="2" shapeId="0" xr:uid="{77BE2187-28C3-40F3-96F1-A877E5EA2134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BD125" authorId="2" shapeId="0" xr:uid="{3806F881-B7B3-409A-B024-0B3EC2A3DBCA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BF125" authorId="2" shapeId="0" xr:uid="{F90A5A40-C717-452C-BFDA-D3D2570A850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BH125" authorId="2" shapeId="0" xr:uid="{6300599D-3886-44E6-9BAB-F30B572C2C08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Q145" authorId="2" shapeId="0" xr:uid="{0423F847-FED8-4A68-9138-27B8A2818AD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EGP loans</t>
        </r>
      </text>
    </comment>
    <comment ref="BH145" authorId="2" shapeId="0" xr:uid="{52D181B2-E2B4-4DA7-AE0B-37E2DF3DA87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EGP: 223
Others : 2</t>
        </r>
      </text>
    </comment>
    <comment ref="BN150" authorId="2" shapeId="0" xr:uid="{2586C62E-DFD8-495D-BCEF-567C51EA0731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considered previous published data of Mar 2024</t>
        </r>
      </text>
    </comment>
    <comment ref="BO150" authorId="2" shapeId="0" xr:uid="{BC7AFBA7-5E5C-4EF1-B00A-1BC4731B93B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considered previous published data of Jun 2024</t>
        </r>
      </text>
    </comment>
    <comment ref="BP150" authorId="2" shapeId="0" xr:uid="{9ED59748-F5FD-43BF-9010-971CD80FDEB4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considered previous published data of Sep 2024</t>
        </r>
      </text>
    </comment>
    <comment ref="BR150" authorId="2" shapeId="0" xr:uid="{11FE1417-5684-4FE5-871D-ADAE2B8E44B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considered previous published data of Mar 2024</t>
        </r>
      </text>
    </comment>
    <comment ref="B154" authorId="2" shapeId="0" xr:uid="{27962D04-48B2-4FAE-88A1-13E11D1D5FF4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excludes leases</t>
        </r>
      </text>
    </comment>
    <comment ref="BH154" authorId="2" shapeId="0" xr:uid="{EE2603CA-BD9F-4DAA-9D2E-333134DE8C54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
</t>
        </r>
      </text>
    </comment>
    <comment ref="BN154" authorId="2" shapeId="0" xr:uid="{DDAAB6C0-B531-4A60-A6E0-AC6E430DB2F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considered previous published data of Mar 2024</t>
        </r>
      </text>
    </comment>
    <comment ref="BO154" authorId="2" shapeId="0" xr:uid="{4BE6D281-F46B-432C-9E12-BA10F983EE7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considered previous published data of Jun 2024</t>
        </r>
      </text>
    </comment>
    <comment ref="BP154" authorId="2" shapeId="0" xr:uid="{30A13F8C-E18A-4211-9275-25118F8FAD39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considered previous published data of Sep 2024</t>
        </r>
      </text>
    </comment>
    <comment ref="BR154" authorId="2" shapeId="0" xr:uid="{9FE57D79-E3CE-4829-978F-E8B941A28207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considered previous published data of Mar 2024</t>
        </r>
      </text>
    </comment>
    <comment ref="K161" authorId="14" shapeId="0" xr:uid="{D70191FA-FE46-4BE5-BEB3-3E1208596E6B}">
      <text>
        <r>
          <rPr>
            <sz val="9"/>
            <color indexed="81"/>
            <rFont val="Tahoma"/>
            <family val="2"/>
          </rPr>
          <t xml:space="preserve">Arçelik (ARCLK.IS) - Market capitalization (companiesmarketcap.com)  market cap as of 31st dec 22 - $3.71 Billion, usd/try as of 31st dec 22 at 18.69 - total market cap 69,767,663,000
</t>
        </r>
      </text>
    </comment>
    <comment ref="M161" authorId="14" shapeId="0" xr:uid="{F115EFC9-5C2E-4068-88A4-5279EBAE56DF}">
      <text>
        <r>
          <rPr>
            <sz val="9"/>
            <color indexed="81"/>
            <rFont val="Tahoma"/>
            <family val="2"/>
          </rPr>
          <t xml:space="preserve">Arçelik (ARCLK.IS) - Market capitalization (companiesmarketcap.com)  market cap as of 31st dec 23 - $2.64 Billion, usd/try as of 31st dec 23 at 29.4768 - total market cap 77818.752 million
</t>
        </r>
      </text>
    </comment>
    <comment ref="N161" authorId="14" shapeId="0" xr:uid="{8859B99B-BB38-46CF-9E6E-7020E8DA92DE}">
      <text>
        <r>
          <rPr>
            <sz val="9"/>
            <color indexed="81"/>
            <rFont val="Tahoma"/>
            <family val="2"/>
          </rPr>
          <t xml:space="preserve">Arçelik (ARCLK.IS) - Market capitalization (companiesmarketcap.com)  market cap as of 31st dec 23 - $2.64 Billion, usd/try as of 31st dec 23 at 29.4768 - total market cap 77818.752 million
</t>
        </r>
      </text>
    </comment>
    <comment ref="AJ161" authorId="6" shapeId="0" xr:uid="{00000000-0006-0000-0100-000038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Market cap as of may 8, 2020</t>
        </r>
      </text>
    </comment>
    <comment ref="AV161" authorId="3" shapeId="0" xr:uid="{F21B570C-6974-47C2-8362-ADD632B901B4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Source - Bloomberg</t>
        </r>
      </text>
    </comment>
    <comment ref="AW161" authorId="9" shapeId="0" xr:uid="{5415F70B-0D35-4494-813C-2F4C813AC754}">
      <text>
        <r>
          <rPr>
            <b/>
            <sz val="9"/>
            <color indexed="81"/>
            <rFont val="Tahoma"/>
            <family val="2"/>
          </rPr>
          <t>Yahoo - 24/7/2023</t>
        </r>
      </text>
    </comment>
    <comment ref="AX161" authorId="9" shapeId="0" xr:uid="{64CADD67-DBAD-4F21-AB82-456DCF7B194C}">
      <text>
        <r>
          <rPr>
            <b/>
            <sz val="9"/>
            <color indexed="81"/>
            <rFont val="Tahoma"/>
            <family val="2"/>
          </rPr>
          <t>Oct 23, 2023</t>
        </r>
      </text>
    </comment>
    <comment ref="AZ161" authorId="3" shapeId="0" xr:uid="{A1C307AD-9384-4B59-8F04-CE682D5B6959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Source - Bloomberg</t>
        </r>
      </text>
    </comment>
    <comment ref="BA161" authorId="9" shapeId="0" xr:uid="{E715B9A4-9BB8-418C-9BCD-9BD35F5D6C6F}">
      <text>
        <r>
          <rPr>
            <b/>
            <sz val="9"/>
            <color indexed="81"/>
            <rFont val="Tahoma"/>
            <family val="2"/>
          </rPr>
          <t>Yahoo</t>
        </r>
      </text>
    </comment>
    <comment ref="BB161" authorId="9" shapeId="0" xr:uid="{8B51B3E8-0A2A-4289-8B99-764CD9302595}">
      <text>
        <r>
          <rPr>
            <b/>
            <sz val="9"/>
            <color indexed="81"/>
            <rFont val="Tahoma"/>
            <family val="2"/>
          </rPr>
          <t>Oct 28, 2024, yahoo</t>
        </r>
      </text>
    </comment>
    <comment ref="BD161" authorId="3" shapeId="0" xr:uid="{FA5F599D-5C6B-4DB1-9E65-C0C6ACE498E5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Source - Bloomberg</t>
        </r>
      </text>
    </comment>
    <comment ref="BF161" authorId="9" shapeId="0" xr:uid="{D7A35AB2-9A8F-4C3F-9D1E-F798FB020CEC}">
      <text>
        <r>
          <rPr>
            <b/>
            <sz val="9"/>
            <color indexed="81"/>
            <rFont val="Tahoma"/>
            <family val="2"/>
          </rPr>
          <t>28 oct 2025, from capital IQ</t>
        </r>
      </text>
    </comment>
    <comment ref="BJ161" authorId="3" shapeId="0" xr:uid="{4FFDB52D-E121-45E4-BD75-E80B6BE5824E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Source - Bloomberg</t>
        </r>
      </text>
    </comment>
    <comment ref="BK161" authorId="9" shapeId="0" xr:uid="{8D0B2802-805B-4F8D-BCE4-16AE611357D3}">
      <text>
        <r>
          <rPr>
            <b/>
            <sz val="9"/>
            <color indexed="81"/>
            <rFont val="Tahoma"/>
            <family val="2"/>
          </rPr>
          <t>Yahoo - 24/7/2023</t>
        </r>
      </text>
    </comment>
    <comment ref="BL161" authorId="9" shapeId="0" xr:uid="{458CEF54-3F06-47FA-8BF7-00DB271D0EF5}">
      <text>
        <r>
          <rPr>
            <b/>
            <sz val="9"/>
            <color indexed="81"/>
            <rFont val="Tahoma"/>
            <family val="2"/>
          </rPr>
          <t>Oct 23, 2023</t>
        </r>
      </text>
    </comment>
    <comment ref="BM161" authorId="9" shapeId="0" xr:uid="{48B08B03-ABF5-4C2A-8BB4-DC1E2C1FDC72}">
      <text>
        <r>
          <rPr>
            <b/>
            <sz val="9"/>
            <color indexed="81"/>
            <rFont val="Tahoma"/>
            <family val="2"/>
          </rPr>
          <t>Oct 23, 2023</t>
        </r>
      </text>
    </comment>
    <comment ref="BN161" authorId="2" shapeId="0" xr:uid="{CAF89B6C-A15A-4654-81DF-C1B2ED23CC81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considered previous published data of Mar 2024</t>
        </r>
      </text>
    </comment>
    <comment ref="BO161" authorId="2" shapeId="0" xr:uid="{D98DE573-D45D-44CC-BF2C-5A29AFE21957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considered previous published data of Jun 2024</t>
        </r>
      </text>
    </comment>
    <comment ref="BP161" authorId="9" shapeId="0" xr:uid="{C94AC798-93BC-4309-BE52-9069DA80B5BF}">
      <text>
        <r>
          <rPr>
            <b/>
            <sz val="9"/>
            <color indexed="81"/>
            <rFont val="Tahoma"/>
            <family val="2"/>
          </rPr>
          <t>Oct 23, 2023</t>
        </r>
      </text>
    </comment>
    <comment ref="BQ161" authorId="9" shapeId="0" xr:uid="{75AEFF74-1E4B-4665-B9CD-FAE9E11954FC}">
      <text>
        <r>
          <rPr>
            <b/>
            <sz val="9"/>
            <color indexed="81"/>
            <rFont val="Tahoma"/>
            <family val="2"/>
          </rPr>
          <t>Oct 23, 2023</t>
        </r>
      </text>
    </comment>
    <comment ref="BR161" authorId="2" shapeId="0" xr:uid="{DF623304-D6EF-4F2A-A284-874A96AFF5E9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considered previous published data of Mar 2024</t>
        </r>
      </text>
    </comment>
    <comment ref="BN162" authorId="2" shapeId="0" xr:uid="{CEFC157C-C9B2-4978-97C9-8330DDD48B4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considered previous published data of Mar 2024</t>
        </r>
      </text>
    </comment>
    <comment ref="BO162" authorId="2" shapeId="0" xr:uid="{1D671714-6423-4FC4-B30A-3994B86BAF8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considered previous published data of Jun 2024</t>
        </r>
      </text>
    </comment>
    <comment ref="BR162" authorId="2" shapeId="0" xr:uid="{15E7E250-FB0D-466F-A245-DFF29E53C41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considered previous published data of Mar 2024</t>
        </r>
      </text>
    </comment>
    <comment ref="BN168" authorId="2" shapeId="0" xr:uid="{E73FD483-366C-4D34-A93D-88F5EEB62F34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2024</t>
        </r>
      </text>
    </comment>
    <comment ref="BR168" authorId="2" shapeId="0" xr:uid="{3C73B759-CAE1-47B0-AD12-E337FE5A393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2025</t>
        </r>
      </text>
    </comment>
    <comment ref="BN169" authorId="2" shapeId="0" xr:uid="{D6F26CB3-B148-4F55-9A62-6E92C166104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2024</t>
        </r>
      </text>
    </comment>
    <comment ref="BR169" authorId="2" shapeId="0" xr:uid="{D584B38D-4E84-41E2-AC51-A951E3FD0B52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2025</t>
        </r>
      </text>
    </comment>
    <comment ref="BN171" authorId="2" shapeId="0" xr:uid="{B6481BCA-E6A7-45D7-BE36-938A49156861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2024</t>
        </r>
      </text>
    </comment>
    <comment ref="BR171" authorId="2" shapeId="0" xr:uid="{E978A4B0-A70F-49DA-AA79-26A4E106B39A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2025</t>
        </r>
      </text>
    </comment>
    <comment ref="BH172" authorId="2" shapeId="0" xr:uid="{3F550ED3-8542-40ED-8A3C-F033DDAFB0D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BN174" authorId="2" shapeId="0" xr:uid="{CE4DE349-51D7-4540-91C9-C77B92EF2E9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2024</t>
        </r>
      </text>
    </comment>
    <comment ref="BR174" authorId="2" shapeId="0" xr:uid="{5649F7BF-DFC1-45DF-934B-57993791A978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2025</t>
        </r>
      </text>
    </comment>
    <comment ref="BN175" authorId="2" shapeId="0" xr:uid="{A2825291-DA72-4C9C-8DD8-C908AAD3543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2024</t>
        </r>
      </text>
    </comment>
    <comment ref="BR175" authorId="2" shapeId="0" xr:uid="{FC8174D8-1D2F-4A43-A1AD-3A2655D7617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2025</t>
        </r>
      </text>
    </comment>
    <comment ref="BN235" authorId="2" shapeId="0" xr:uid="{187CFC41-936C-44C0-951E-EF6E56CF5E2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2024</t>
        </r>
      </text>
    </comment>
    <comment ref="BR235" authorId="2" shapeId="0" xr:uid="{5C50531B-6B4F-4000-A074-5411816BCAA2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2024</t>
        </r>
      </text>
    </comment>
    <comment ref="BN236" authorId="2" shapeId="0" xr:uid="{88C26F7E-845D-431E-A88F-F4D1E7D6849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2024</t>
        </r>
      </text>
    </comment>
    <comment ref="BR236" authorId="2" shapeId="0" xr:uid="{13E94FE3-8FD3-416D-9C04-81F6A8DBCE2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2024</t>
        </r>
      </text>
    </comment>
    <comment ref="BN238" authorId="2" shapeId="0" xr:uid="{974ACD45-DDF0-4055-8A52-C7D527751F2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2024</t>
        </r>
      </text>
    </comment>
    <comment ref="BR238" authorId="2" shapeId="0" xr:uid="{B1F82DC7-42AD-40D3-AFFF-2714B8B5069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2024</t>
        </r>
      </text>
    </comment>
    <comment ref="BN240" authorId="2" shapeId="0" xr:uid="{226719A3-7175-478B-BBE0-979FBFD74EE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2024</t>
        </r>
      </text>
    </comment>
    <comment ref="BR240" authorId="2" shapeId="0" xr:uid="{40B82401-F473-4E42-B22B-359B76D6292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2024</t>
        </r>
      </text>
    </comment>
    <comment ref="BN241" authorId="2" shapeId="0" xr:uid="{777FF513-68D8-4216-A031-3B0E196DEDBA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2024</t>
        </r>
      </text>
    </comment>
    <comment ref="BR241" authorId="2" shapeId="0" xr:uid="{55B13BB8-7F8C-4CBB-928C-3BC67429C3AA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2024</t>
        </r>
      </text>
    </comment>
    <comment ref="B249" authorId="5" shapeId="0" xr:uid="{00000000-0006-0000-0100-000039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 xml:space="preserve">Exchange rate sourced from Bloomberg
</t>
        </r>
      </text>
    </comment>
    <comment ref="B250" authorId="5" shapeId="0" xr:uid="{00000000-0006-0000-0100-00003A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 xml:space="preserve">Exchange rate sourced from company reports
</t>
        </r>
      </text>
    </comment>
    <comment ref="BN316" authorId="2" shapeId="0" xr:uid="{6AF763E0-D946-405A-9D61-B6C68645DEF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2024</t>
        </r>
      </text>
    </comment>
    <comment ref="BN317" authorId="2" shapeId="0" xr:uid="{C7D27410-CC51-45D5-A156-FBFCC7858B12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2024</t>
        </r>
      </text>
    </comment>
    <comment ref="BN321" authorId="2" shapeId="0" xr:uid="{FC45F0AE-F1C3-48E9-8CDA-2D8DDEDA3CB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2024</t>
        </r>
      </text>
    </comment>
    <comment ref="BN322" authorId="2" shapeId="0" xr:uid="{EB1277E3-A1F7-4B3D-8CAB-B651FD75326A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calculaitons are based on previous published debt data of Mar 2024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CRISIL</author>
    <author>Nayeem Shakir</author>
    <author>Vandana Shivani</author>
    <author>tc={6E4DAE06-1605-4F3D-A4DF-329C7DB1DD32}</author>
    <author>tc={1E939912-3BA2-4FDB-86AD-2FBA893FACCE}</author>
    <author>tc={5DDBF8A5-1819-4B86-B8F4-3849C04EAACA}</author>
    <author>tc={6AB14C0B-06C6-43AA-A51B-6081AF2CBFF6}</author>
  </authors>
  <commentList>
    <comment ref="BE19" authorId="0" shapeId="0" xr:uid="{58D4FA73-1B97-4E6A-BC8E-AE8F2CC7C7A4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</t>
        </r>
      </text>
    </comment>
    <comment ref="BO19" authorId="0" shapeId="0" xr:uid="{5A96B78A-D881-48C2-ACF4-D41B5228A796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</t>
        </r>
      </text>
    </comment>
    <comment ref="BS19" authorId="0" shapeId="0" xr:uid="{04F7C6C3-9A8B-4F0D-A387-D0454C21F57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</t>
        </r>
      </text>
    </comment>
    <comment ref="BT19" authorId="0" shapeId="0" xr:uid="{F2E5B848-FFFA-413A-A71C-2419BABC208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</t>
        </r>
      </text>
    </comment>
    <comment ref="P135" authorId="0" shapeId="0" xr:uid="{C11F4CF1-A823-49E4-8724-DEB2A728B461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Q135" authorId="0" shapeId="0" xr:uid="{D013BE3E-6544-4F6C-9E56-E92E9E41BF88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BC135" authorId="0" shapeId="0" xr:uid="{38A6F360-AB35-4FE4-80DF-B2FCE934501A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BE135" authorId="0" shapeId="0" xr:uid="{541EA2AF-2F75-4D23-95B9-CEF61EED73B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BF135" authorId="0" shapeId="0" xr:uid="{F68FC9C3-CF99-4DD6-9002-3B48DC320A5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BG135" authorId="0" shapeId="0" xr:uid="{C0EF3C12-7431-4B29-BFEC-1760E0793AD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BO135" authorId="0" shapeId="0" xr:uid="{73E9948D-1278-4318-BF9C-DA641AE1C881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BP135" authorId="0" shapeId="0" xr:uid="{BF3BB0AE-F0D0-4A71-B0ED-FBA73F0B238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BS135" authorId="0" shapeId="0" xr:uid="{100D5F0B-8E24-402E-9D4C-3CDDE2429422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BT135" authorId="0" shapeId="0" xr:uid="{FDC6ABE9-5BD7-4738-B419-1D7B93F6AECB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AY138" authorId="1" shapeId="0" xr:uid="{C5708C59-0F24-474A-9429-8E6DB952CE5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Africa &amp; Middle East</t>
        </r>
      </text>
    </comment>
    <comment ref="AY140" authorId="1" shapeId="0" xr:uid="{CE980CC4-17B6-4753-B6CC-2E6E19AF7D65}">
      <text>
        <r>
          <rPr>
            <b/>
            <sz val="9"/>
            <color indexed="81"/>
            <rFont val="Tahoma"/>
            <family val="2"/>
          </rPr>
          <t xml:space="preserve">Crisil:
</t>
        </r>
        <r>
          <rPr>
            <sz val="9"/>
            <color indexed="81"/>
            <rFont val="Tahoma"/>
            <family val="2"/>
          </rPr>
          <t>Asia Pacific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L144" authorId="2" shapeId="0" xr:uid="{275BDDC1-AACB-4C89-98B7-98719E5518C6}">
      <text>
        <r>
          <rPr>
            <b/>
            <sz val="9"/>
            <color indexed="81"/>
            <rFont val="Tahoma"/>
            <family val="2"/>
          </rPr>
          <t xml:space="preserve">Crisil GR&amp;RS: </t>
        </r>
        <r>
          <rPr>
            <sz val="9"/>
            <color indexed="81"/>
            <rFont val="Tahoma"/>
            <family val="2"/>
          </rPr>
          <t xml:space="preserve">Adjusted to total the sum to 100%
</t>
        </r>
      </text>
    </comment>
    <comment ref="BA144" authorId="3" shapeId="0" xr:uid="{6E4DAE06-1605-4F3D-A4DF-329C7DB1DD32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Added to match it with the reported number</t>
      </text>
    </comment>
    <comment ref="BB144" authorId="4" shapeId="0" xr:uid="{1E939912-3BA2-4FDB-86AD-2FBA893FACCE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Added to match it with the reported number</t>
      </text>
    </comment>
    <comment ref="BC144" authorId="5" shapeId="0" xr:uid="{5DDBF8A5-1819-4B86-B8F4-3849C04EAACA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Added to match it with the reported number</t>
      </text>
    </comment>
    <comment ref="BG144" authorId="6" shapeId="0" xr:uid="{6AB14C0B-06C6-43AA-A51B-6081AF2CBFF6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Added to match it with the reported number</t>
      </text>
    </comment>
    <comment ref="Q149" authorId="0" shapeId="0" xr:uid="{DD340E0A-50E4-4A3A-A3E9-36A1B9BFF1E2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Q155" authorId="0" shapeId="0" xr:uid="{99EE7A96-1CE4-4DD1-AEEB-B29BE7FB825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<sst xmlns="http://schemas.openxmlformats.org/spreadsheetml/2006/main" count="2449" uniqueCount="462">
  <si>
    <t>1Q26</t>
  </si>
  <si>
    <t>Exchange rate as at end</t>
  </si>
  <si>
    <t>LTM Average exchange rate</t>
  </si>
  <si>
    <t>Amount outstanding as on 1Q26</t>
  </si>
  <si>
    <t>TRY millions</t>
  </si>
  <si>
    <t>USD millions</t>
  </si>
  <si>
    <t>Leverage (TRY)</t>
  </si>
  <si>
    <t>Leverage (USD)</t>
  </si>
  <si>
    <t>Company Reported</t>
  </si>
  <si>
    <t>In TRY millions</t>
  </si>
  <si>
    <t>Lease liabilites</t>
  </si>
  <si>
    <t>Net debt</t>
  </si>
  <si>
    <t>Leverage</t>
  </si>
  <si>
    <t>4.92x</t>
  </si>
  <si>
    <t>Loans (included factoring)</t>
  </si>
  <si>
    <t>Total Senior debt</t>
  </si>
  <si>
    <t>Calculated net leverage without lease liabilites</t>
  </si>
  <si>
    <t>USD denominated bonds</t>
  </si>
  <si>
    <t>EUR denominated bonds</t>
  </si>
  <si>
    <t>In USD millions</t>
  </si>
  <si>
    <t>TRY denominated bonds</t>
  </si>
  <si>
    <t>Lease liabilities</t>
  </si>
  <si>
    <t>Borrowings and bonds issued due within 1 year</t>
  </si>
  <si>
    <t>Total Loans &amp; Borrows</t>
  </si>
  <si>
    <t>Borrowings and bonds issued due after 1 year</t>
  </si>
  <si>
    <t>Cash &amp; Equivalents</t>
  </si>
  <si>
    <t xml:space="preserve">Net debt </t>
  </si>
  <si>
    <t>Equity</t>
  </si>
  <si>
    <t xml:space="preserve">Total Capitalisation </t>
  </si>
  <si>
    <t>LTM Adjusted EBITDA</t>
  </si>
  <si>
    <t>check</t>
  </si>
  <si>
    <t>EV</t>
  </si>
  <si>
    <t>Net debt/ EBITDA excluding IFRS 16 adjustment</t>
  </si>
  <si>
    <t>EV/EBITDA</t>
  </si>
  <si>
    <t>Liquidity Table as of 1Q26</t>
  </si>
  <si>
    <t>Cash</t>
  </si>
  <si>
    <t>Total Liquidity</t>
  </si>
  <si>
    <t>Debt Maturity Profile at end-1Q26</t>
  </si>
  <si>
    <t>% of total</t>
  </si>
  <si>
    <t>2029+</t>
  </si>
  <si>
    <t>Total debt</t>
  </si>
  <si>
    <t>Debt Currency breakdown at end-1Q26</t>
  </si>
  <si>
    <t>EUR</t>
  </si>
  <si>
    <t>USD</t>
  </si>
  <si>
    <t>TRY</t>
  </si>
  <si>
    <t>Other</t>
  </si>
  <si>
    <t>ST &amp; LT borrowings breakdown at end-1Q26</t>
  </si>
  <si>
    <t>Short - term</t>
  </si>
  <si>
    <t>Long - term</t>
  </si>
  <si>
    <t>Cash Currency breakdown at end-1Q26</t>
  </si>
  <si>
    <t>FY25</t>
  </si>
  <si>
    <t>Exchange rate as at end FY25</t>
  </si>
  <si>
    <t>LTM Average exchange rate at end FY25</t>
  </si>
  <si>
    <t>Amount outstanding as on FY25</t>
  </si>
  <si>
    <t>Liquidity Table as of FY25</t>
  </si>
  <si>
    <t>Debt Maturity Profile at end-FY25</t>
  </si>
  <si>
    <t>Debt Currency breakdown at end-FY25</t>
  </si>
  <si>
    <t>ST &amp; LT borrowings breakdown at end-FY25</t>
  </si>
  <si>
    <t>Cash Currency breakdown at end-FY25</t>
  </si>
  <si>
    <t>3Q25</t>
  </si>
  <si>
    <t>Exchange rate as at end 3Q25</t>
  </si>
  <si>
    <t>LTM Average exchange rate at end 3Q25</t>
  </si>
  <si>
    <t>Amount outstanding as on 3Q25</t>
  </si>
  <si>
    <t>Lease Liabilities</t>
  </si>
  <si>
    <t>Secured Debt</t>
  </si>
  <si>
    <t>Liquidity Table as of 3Q25</t>
  </si>
  <si>
    <t>Debt Maturity Profile at end-3Q25</t>
  </si>
  <si>
    <t>2Q25</t>
  </si>
  <si>
    <t>Exchange rate as at end 2Q25</t>
  </si>
  <si>
    <t>LTM Average exchange rate at end 2Q25</t>
  </si>
  <si>
    <t>Amount outstanding as on 2Q25</t>
  </si>
  <si>
    <t xml:space="preserve">Leverage </t>
  </si>
  <si>
    <t>.</t>
  </si>
  <si>
    <t>Liquidity Table as of 2Q25</t>
  </si>
  <si>
    <t>(TRY millions)</t>
  </si>
  <si>
    <t>(USD millions)</t>
  </si>
  <si>
    <t>Debt Maturity Profile at end-2Q25</t>
  </si>
  <si>
    <t>USD mn</t>
  </si>
  <si>
    <t>1Q25</t>
  </si>
  <si>
    <t>Exchange rate as at end 1Q25</t>
  </si>
  <si>
    <t>LTM Average exchange rate at end 1Q25</t>
  </si>
  <si>
    <t>Amount outstanding as on 1Q25</t>
  </si>
  <si>
    <t>Liquidity Table as of 1Q25</t>
  </si>
  <si>
    <t>Debt Maturity Profile at end-1Q25</t>
  </si>
  <si>
    <t>2028+</t>
  </si>
  <si>
    <t>FY24</t>
  </si>
  <si>
    <t>Exchange rate as at end FY24</t>
  </si>
  <si>
    <t>LTM Average exchange rate at end FY24</t>
  </si>
  <si>
    <t>Amount outstanding as on FY24</t>
  </si>
  <si>
    <t>Liquidity Table as of FY24</t>
  </si>
  <si>
    <t>Debt Maturity Profile at end-FY24</t>
  </si>
  <si>
    <t>3Q24</t>
  </si>
  <si>
    <t>Exchange rate as at end 3Q24</t>
  </si>
  <si>
    <t>LTM Average exchange rate at end 3Q24</t>
  </si>
  <si>
    <t>Amount outstanding as on 3Q24</t>
  </si>
  <si>
    <t>Liquidity Table as of 3Q24</t>
  </si>
  <si>
    <t>Debt Maturity Profile at end-3Q24</t>
  </si>
  <si>
    <t>2027+</t>
  </si>
  <si>
    <t>2Q24</t>
  </si>
  <si>
    <t>Exchange rate as at end 2Q24</t>
  </si>
  <si>
    <t>LTM Average exchange rate at end 2Q24</t>
  </si>
  <si>
    <t>Amount outstanding as on 2Q24</t>
  </si>
  <si>
    <t>Liquidity Table as of 1Q24</t>
  </si>
  <si>
    <t>Debt Maturity Profile at end-1Q24</t>
  </si>
  <si>
    <t>1Q24</t>
  </si>
  <si>
    <t>Exchange rate as at end 1Q24</t>
  </si>
  <si>
    <t>LTM Average exchange rate at end 1Q24</t>
  </si>
  <si>
    <t>Amount outstanding as on 1Q24</t>
  </si>
  <si>
    <t>FY23</t>
  </si>
  <si>
    <t>Exchange rate as at end FY23</t>
  </si>
  <si>
    <t>LTM Average exchange rate at end FY23</t>
  </si>
  <si>
    <t>Amount outstanding as on FY23</t>
  </si>
  <si>
    <t>Liquidity Table as of FY23</t>
  </si>
  <si>
    <t>Debt Maturity Profile at end-FY23</t>
  </si>
  <si>
    <t>3Q23</t>
  </si>
  <si>
    <t>Exchange rate as at end 3Q23</t>
  </si>
  <si>
    <t>LTM Average exchange rate at end 3Q23</t>
  </si>
  <si>
    <t>Amount outstanding as on 3Q23</t>
  </si>
  <si>
    <t>Liquidity Table as of 3Q23</t>
  </si>
  <si>
    <t>Debt Maturity Profile at end-3Q23</t>
  </si>
  <si>
    <t>2Q23</t>
  </si>
  <si>
    <t>Exchange rate as at end 2Q23</t>
  </si>
  <si>
    <t>LTM Average exchange rate at end 2Q23</t>
  </si>
  <si>
    <t>Amount outstanding as on 2Q23</t>
  </si>
  <si>
    <t>Liquidity Table as of 2Q23</t>
  </si>
  <si>
    <t>Debt Maturity Profile at end-2Q23</t>
  </si>
  <si>
    <t>1Q23</t>
  </si>
  <si>
    <t>Exchange rate as at end 1Q23</t>
  </si>
  <si>
    <t>LTM Average exchange rate at end 1Q23</t>
  </si>
  <si>
    <t>Amount outstanding as on 1Q23</t>
  </si>
  <si>
    <t>Liquidity Table as of 1Q23</t>
  </si>
  <si>
    <t>Debt Maturity Profile at end-1Q23</t>
  </si>
  <si>
    <t>2025+</t>
  </si>
  <si>
    <t>4Q22</t>
  </si>
  <si>
    <t>Exchange rate as at end 4Q22</t>
  </si>
  <si>
    <t>LTM Average exchange rate at end 4Q22</t>
  </si>
  <si>
    <t>Amount outstanding as on 4Q22</t>
  </si>
  <si>
    <t>$500m 5% Unsec Notes due 2023</t>
  </si>
  <si>
    <t>€350m 3.875% Unsec Notes due 2021</t>
  </si>
  <si>
    <t>515m 3M TRYIBOR + 75bps</t>
  </si>
  <si>
    <t>Liquidity Table as of 4Q22</t>
  </si>
  <si>
    <t>Debt Maturity Profile at end-4Q22</t>
  </si>
  <si>
    <t>3Q22</t>
  </si>
  <si>
    <t>Exchange rate as at end 3Q22</t>
  </si>
  <si>
    <t>LTM Average exchange rate at end 3Q22</t>
  </si>
  <si>
    <t>Amount outstanding as on 2Q22</t>
  </si>
  <si>
    <t>Liquidity Table as of 3Q22</t>
  </si>
  <si>
    <t>Debt Maturity Profile at end-3Q22</t>
  </si>
  <si>
    <t>2024+</t>
  </si>
  <si>
    <t>LTM Average exchange rate at end 2Q22</t>
  </si>
  <si>
    <t>2Q22</t>
  </si>
  <si>
    <t>Liquidity Table as of 2Q22</t>
  </si>
  <si>
    <t>Debt Maturity Profile at end-2Q22</t>
  </si>
  <si>
    <t>1Q22</t>
  </si>
  <si>
    <t>Exchange rate as at end 1Q22</t>
  </si>
  <si>
    <t>LTM Average exchange rate at end 1Q22</t>
  </si>
  <si>
    <t>Amount outstanding as on 1Q22</t>
  </si>
  <si>
    <t>Liquidity Table as of 1Q22</t>
  </si>
  <si>
    <t>Debt Maturity Profile at end-1Q22</t>
  </si>
  <si>
    <t>Exchange rate as at end 4Q21</t>
  </si>
  <si>
    <t>LTM Average exchange rate at end 4Q21</t>
  </si>
  <si>
    <t>Amount outstanding as on 4Q21</t>
  </si>
  <si>
    <t>Liquidity Table as of 4Q21</t>
  </si>
  <si>
    <t>Debt Maturity Profile at end-4Q21</t>
  </si>
  <si>
    <t>2026+</t>
  </si>
  <si>
    <t>Exchange rate as at end 3Q21</t>
  </si>
  <si>
    <t>LTM Average exchange rate at end 3Q21</t>
  </si>
  <si>
    <t>Amount outstanding as on 3Q21</t>
  </si>
  <si>
    <t>Liquidity Table as of 3Q21</t>
  </si>
  <si>
    <t>Debt Maturity Profile at end-3Q21</t>
  </si>
  <si>
    <t>2023+</t>
  </si>
  <si>
    <t>Exchange rate as at end 2Q21</t>
  </si>
  <si>
    <t>LTM Average exchange rate at end 2Q21</t>
  </si>
  <si>
    <t>Amount outstanding as on 2Q21</t>
  </si>
  <si>
    <t>Liquidity Table as of 2Q21</t>
  </si>
  <si>
    <t>Debt Maturity Profile at end-2Q21</t>
  </si>
  <si>
    <t>Exchange rate as at end 1Q21</t>
  </si>
  <si>
    <t>LTM Average exchange rate at end 1Q21</t>
  </si>
  <si>
    <t>Amount outstanding as on 1Q21</t>
  </si>
  <si>
    <t>Liquidity Table as of 1Q21</t>
  </si>
  <si>
    <t>Debt Maturity Profile at end-1Q21</t>
  </si>
  <si>
    <t>Exchange rate as at end 4Q20</t>
  </si>
  <si>
    <t>LTM Average exchange rate at end 4Q20</t>
  </si>
  <si>
    <t>Amount outstanding as on 4Q20</t>
  </si>
  <si>
    <t>Liquidity Table as of 4Q20</t>
  </si>
  <si>
    <t>Debt Maturity Profile at end-4Q20</t>
  </si>
  <si>
    <t>Exchange rate as at end 3Q20</t>
  </si>
  <si>
    <t>LTM Average exchange rate at end 3Q20</t>
  </si>
  <si>
    <t>Amount outstanding as on 3Q20</t>
  </si>
  <si>
    <t>Liquidity Table as of 3Q20</t>
  </si>
  <si>
    <t>Debt Maturity Profile at end-3Q20</t>
  </si>
  <si>
    <t>Exchange rate as at end 2Q20</t>
  </si>
  <si>
    <t>LTM Average exchange rate at end 2Q20</t>
  </si>
  <si>
    <t>Amount outstanding as on 2Q20</t>
  </si>
  <si>
    <t>Liquidity Table as of 2Q20</t>
  </si>
  <si>
    <t>Debt Maturity Profile at end-2Q20</t>
  </si>
  <si>
    <t>Exchange rate as at end 1Q20</t>
  </si>
  <si>
    <t>LTM Average exchange rate at end 1Q20</t>
  </si>
  <si>
    <t>Amount outstanding as on 1Q20</t>
  </si>
  <si>
    <t>Liquidity Table as of 1Q20</t>
  </si>
  <si>
    <t>Debt Maturity Profile at end-1Q20</t>
  </si>
  <si>
    <t>Exchange rate as at end 4Q19</t>
  </si>
  <si>
    <t>LTM Average exchange rate at end 4Q19</t>
  </si>
  <si>
    <t>Amount outstanding as on 4Q19</t>
  </si>
  <si>
    <t>Liquidity Table as of 4Q19</t>
  </si>
  <si>
    <t>Debt Maturity Profile at end-4Q19</t>
  </si>
  <si>
    <t>Exchange rate as at end 3Q19</t>
  </si>
  <si>
    <t>LTM Average exchange rate at end 3Q19</t>
  </si>
  <si>
    <t>Amount outstanding as on 3Q19</t>
  </si>
  <si>
    <t>Borrowings and bill of exchange - fixed interest rates</t>
  </si>
  <si>
    <t>Borrowings and bill of exchange – floating interest rate</t>
  </si>
  <si>
    <t>Liquidity Table as of 2Q19</t>
  </si>
  <si>
    <t>Debt Maturity Profile at end-3Q19</t>
  </si>
  <si>
    <t>Exchange rate as at end 2Q19</t>
  </si>
  <si>
    <t>LTM Average exchange rate at end 2Q19</t>
  </si>
  <si>
    <t>Amount outstanding as on 2Q19</t>
  </si>
  <si>
    <t>Debt Maturity Profile at end-2Q19</t>
  </si>
  <si>
    <t>Exchange rate as at end 1Q19</t>
  </si>
  <si>
    <t>Amount outstanding as on 1Q19</t>
  </si>
  <si>
    <t>LTM Average exchange rate at end 1Q19</t>
  </si>
  <si>
    <t>Liquidity Table as of 1Q19</t>
  </si>
  <si>
    <t>Debt Maturity Profile at end-1Q19</t>
  </si>
  <si>
    <t>Exchange rate as at end 4Q18</t>
  </si>
  <si>
    <t>Amount outstanding as on 4Q18</t>
  </si>
  <si>
    <t>LTM Average exchange rate at end 4Q18</t>
  </si>
  <si>
    <t xml:space="preserve">Liquidity Table as of 4Q18 </t>
  </si>
  <si>
    <t>Debt Maturity Profile at end-4Q18</t>
  </si>
  <si>
    <t>Amount outstanding as on 3Q18</t>
  </si>
  <si>
    <t>Exchange rate as at end 3Q18</t>
  </si>
  <si>
    <t>Liquidity Table as of Sep 2018</t>
  </si>
  <si>
    <t>Debt Maturity Profile at end-3Q18</t>
  </si>
  <si>
    <t>Amount outstanding as on 2Q18</t>
  </si>
  <si>
    <t>Exchange rate as at end 2Q18</t>
  </si>
  <si>
    <t>Liquidity Table as of Jun 2018</t>
  </si>
  <si>
    <t>Debt Maturity Profile at end-2Q18</t>
  </si>
  <si>
    <t>Amount outstanding as on Mar 2018</t>
  </si>
  <si>
    <t>Exchange rate as at end 1Q18</t>
  </si>
  <si>
    <t>Liquidity Table as of Mar 2018</t>
  </si>
  <si>
    <t>Debt Maturity Profile at end-1Q18</t>
  </si>
  <si>
    <t>Arcelik</t>
  </si>
  <si>
    <t>Annual</t>
  </si>
  <si>
    <t>LTM</t>
  </si>
  <si>
    <t>Quarterly</t>
  </si>
  <si>
    <t>9M</t>
  </si>
  <si>
    <t>Act</t>
  </si>
  <si>
    <t>FY</t>
  </si>
  <si>
    <t>Q1</t>
  </si>
  <si>
    <t>Q2</t>
  </si>
  <si>
    <t>Q3</t>
  </si>
  <si>
    <t>Q4</t>
  </si>
  <si>
    <t>4Q</t>
  </si>
  <si>
    <t>INCOME STATEMENT</t>
  </si>
  <si>
    <t>Restated</t>
  </si>
  <si>
    <t>Using FY &amp; 9M</t>
  </si>
  <si>
    <t>Revenues</t>
  </si>
  <si>
    <t xml:space="preserve">% y-o-y growth </t>
  </si>
  <si>
    <t>COGS</t>
  </si>
  <si>
    <t>Gross Profit</t>
  </si>
  <si>
    <t>Gross Profit margin</t>
  </si>
  <si>
    <t>General administrative expenses</t>
  </si>
  <si>
    <t>Marketing expenses</t>
  </si>
  <si>
    <t>Research and development expenses</t>
  </si>
  <si>
    <t>Other income from operating activities</t>
  </si>
  <si>
    <t>Other expenses from operating activities</t>
  </si>
  <si>
    <t>Operating Profit</t>
  </si>
  <si>
    <t>Income from investment activities</t>
  </si>
  <si>
    <t>Expenses from investment activities</t>
  </si>
  <si>
    <t>Income from associates (net)</t>
  </si>
  <si>
    <t>FX Income/Loss</t>
  </si>
  <si>
    <t>Derivative Income Loss</t>
  </si>
  <si>
    <t>Finance Income</t>
  </si>
  <si>
    <t>Finance costs</t>
  </si>
  <si>
    <t>Profit before tax</t>
  </si>
  <si>
    <t>Income tax benefit/(expense)</t>
  </si>
  <si>
    <t>Deferred Tax Expense</t>
  </si>
  <si>
    <t>Profit/(loss) for the year</t>
  </si>
  <si>
    <t>As % of sales unless stated otherwise</t>
  </si>
  <si>
    <t>Finance Income as a % of cash at end of period</t>
  </si>
  <si>
    <t>Finance costs as a % of debt at end of period</t>
  </si>
  <si>
    <t>Income tax benefit/(expense) as a % of Profit before tax</t>
  </si>
  <si>
    <t>capex/sales</t>
  </si>
  <si>
    <t>D/A/sales</t>
  </si>
  <si>
    <t xml:space="preserve">EBITDA </t>
  </si>
  <si>
    <t xml:space="preserve">Operating profit </t>
  </si>
  <si>
    <t>Depreciation &amp; amortisation</t>
  </si>
  <si>
    <t xml:space="preserve">% growth </t>
  </si>
  <si>
    <t>% margin</t>
  </si>
  <si>
    <t xml:space="preserve">Adjustment </t>
  </si>
  <si>
    <t xml:space="preserve">Adj. EBITDA </t>
  </si>
  <si>
    <t xml:space="preserve">Rent </t>
  </si>
  <si>
    <t>Adj. EBITDAR</t>
  </si>
  <si>
    <t>rent % of sales</t>
  </si>
  <si>
    <t>CASH FLOW</t>
  </si>
  <si>
    <t xml:space="preserve">Adjusted EBITDA </t>
  </si>
  <si>
    <t>Working Capital</t>
  </si>
  <si>
    <t>Taxes, net</t>
  </si>
  <si>
    <t>Cash interest paid</t>
  </si>
  <si>
    <t xml:space="preserve">Net cash from operations </t>
  </si>
  <si>
    <t>Net Capex (Purchase of PPE and intangible assets)</t>
  </si>
  <si>
    <t>Acquisition</t>
  </si>
  <si>
    <t>Disposal</t>
  </si>
  <si>
    <t xml:space="preserve">Free cash flow </t>
  </si>
  <si>
    <t>Other investing activities</t>
  </si>
  <si>
    <t>Equity Issuance/Buyback</t>
  </si>
  <si>
    <t xml:space="preserve">Dividends received  / Dividends Paid </t>
  </si>
  <si>
    <t>Change in debt</t>
  </si>
  <si>
    <t>Other financing activities</t>
  </si>
  <si>
    <t>Cash flow after financing activities</t>
  </si>
  <si>
    <t>Inflation Impact on cash and cash equivalents</t>
  </si>
  <si>
    <t>Balancing figure</t>
  </si>
  <si>
    <t>Effect of currency translation differences</t>
  </si>
  <si>
    <t xml:space="preserve">Net change in cash </t>
  </si>
  <si>
    <t>Cash and cash equivalents</t>
  </si>
  <si>
    <t>check 1</t>
  </si>
  <si>
    <t>check 2</t>
  </si>
  <si>
    <t>Capex - Company reported</t>
  </si>
  <si>
    <t xml:space="preserve">LTM </t>
  </si>
  <si>
    <t>EBITDA</t>
  </si>
  <si>
    <t>Adjusted EBITDA</t>
  </si>
  <si>
    <t>Adjusted EBITDAR</t>
  </si>
  <si>
    <t xml:space="preserve">LTM RENT </t>
  </si>
  <si>
    <t>Net Income</t>
  </si>
  <si>
    <t>Capex</t>
  </si>
  <si>
    <t xml:space="preserve">BALANCE SHEET </t>
  </si>
  <si>
    <t>Tangible fixed assets</t>
  </si>
  <si>
    <t xml:space="preserve">Net pension liability </t>
  </si>
  <si>
    <t>Inventory</t>
  </si>
  <si>
    <t>Trade debtors/receivables</t>
  </si>
  <si>
    <t>Trade creditors /payables</t>
  </si>
  <si>
    <t>Net working capital</t>
  </si>
  <si>
    <t>% of revenues</t>
  </si>
  <si>
    <t>Working Capital Day (LTM)</t>
  </si>
  <si>
    <t>Inventory days</t>
  </si>
  <si>
    <t>Receivable days</t>
  </si>
  <si>
    <t>Payable days</t>
  </si>
  <si>
    <t>Working Capital Day (Quarrterly)</t>
  </si>
  <si>
    <t xml:space="preserve">Debt  Breakdown </t>
  </si>
  <si>
    <t>TRY Loans</t>
  </si>
  <si>
    <t>EUR Loans</t>
  </si>
  <si>
    <t>USD Loans</t>
  </si>
  <si>
    <t>GBP Loans</t>
  </si>
  <si>
    <t>ZAR Loans</t>
  </si>
  <si>
    <t>RUB Loans</t>
  </si>
  <si>
    <t>CNY Loans</t>
  </si>
  <si>
    <t>NOK Loans</t>
  </si>
  <si>
    <t>AUD Loans</t>
  </si>
  <si>
    <t>RON Loans</t>
  </si>
  <si>
    <t>SEK Loans</t>
  </si>
  <si>
    <t>PKR Loans</t>
  </si>
  <si>
    <t>BDT Loans</t>
  </si>
  <si>
    <t>IDR Loans</t>
  </si>
  <si>
    <t>MYR Loans</t>
  </si>
  <si>
    <t>THB Loans</t>
  </si>
  <si>
    <t>PLN Loans</t>
  </si>
  <si>
    <t>VND Loans</t>
  </si>
  <si>
    <t>CZK Loans</t>
  </si>
  <si>
    <t>MAD loans</t>
  </si>
  <si>
    <t>Other Loans</t>
  </si>
  <si>
    <t>USD bonds</t>
  </si>
  <si>
    <t>EUR bonds</t>
  </si>
  <si>
    <t>TRY bonds</t>
  </si>
  <si>
    <t>Total Debt</t>
  </si>
  <si>
    <t>Cash and equivalents</t>
  </si>
  <si>
    <t xml:space="preserve">Gross total debt </t>
  </si>
  <si>
    <t>Company reported net debt</t>
  </si>
  <si>
    <t>Capitalized operating leases (rent*8)</t>
  </si>
  <si>
    <t>Net debt- including capitalized Operating leases</t>
  </si>
  <si>
    <t>Gross debt- including capitalized Operating leases</t>
  </si>
  <si>
    <t>Market cap</t>
  </si>
  <si>
    <t>Equity (as reported on balance sheet)</t>
  </si>
  <si>
    <t>Total debt + Equity</t>
  </si>
  <si>
    <t>Net debt + Market Cap</t>
  </si>
  <si>
    <t>CREDIT RATIOS</t>
  </si>
  <si>
    <t>Total Net Leverage</t>
  </si>
  <si>
    <t xml:space="preserve">Total Gross Leverage </t>
  </si>
  <si>
    <t>Net Leverage (based on company reported debt)</t>
  </si>
  <si>
    <t>Reported Net Leverage (excluding IFRS-16 adjusments)</t>
  </si>
  <si>
    <t>Lease adjusted net leverage</t>
  </si>
  <si>
    <t>Lease adjusted gross leverage</t>
  </si>
  <si>
    <t>EBITDA - Capex / Interest</t>
  </si>
  <si>
    <t>EBITDA/Interest</t>
  </si>
  <si>
    <t>FCF/Net debt (%)</t>
  </si>
  <si>
    <t xml:space="preserve">Gearing (Net debt / Equity) </t>
  </si>
  <si>
    <t>Key  Credit Metrics (TRY mn where applicable)</t>
  </si>
  <si>
    <t>Adjusted EBITDA margin</t>
  </si>
  <si>
    <t>Lease Adjusted Debt</t>
  </si>
  <si>
    <t>Net Debt</t>
  </si>
  <si>
    <t>Net Lease Adjusted Debt</t>
  </si>
  <si>
    <t>Gross Leverage</t>
  </si>
  <si>
    <t xml:space="preserve">Net Leverage </t>
  </si>
  <si>
    <t>Gross lease adjusted Leverage</t>
  </si>
  <si>
    <t xml:space="preserve">Net lease adjusted  Leverage </t>
  </si>
  <si>
    <t>Summary Financials</t>
  </si>
  <si>
    <t>Gross Debt</t>
  </si>
  <si>
    <t>FX rate average - TRY/USD</t>
  </si>
  <si>
    <t>FX rate  - TRY/USD (as at end of period)</t>
  </si>
  <si>
    <t>Key  Credit Metrics (USD mn where applicable)</t>
  </si>
  <si>
    <t>Cash and Cash equivalents</t>
  </si>
  <si>
    <t>Leases</t>
  </si>
  <si>
    <t>LTM EBITDA</t>
  </si>
  <si>
    <t>Supermarkets</t>
  </si>
  <si>
    <t>Domestic Sales</t>
  </si>
  <si>
    <t>Foreign Sales</t>
  </si>
  <si>
    <t>Gross Sales</t>
  </si>
  <si>
    <t>Total Discounts</t>
  </si>
  <si>
    <t>Net Sales</t>
  </si>
  <si>
    <t>Discount as % of Sales</t>
  </si>
  <si>
    <t>Geographical Revenue</t>
  </si>
  <si>
    <t>Turkey</t>
  </si>
  <si>
    <t>Europe</t>
  </si>
  <si>
    <t>Africa</t>
  </si>
  <si>
    <t>Asia Pacific</t>
  </si>
  <si>
    <t>Total Revenue</t>
  </si>
  <si>
    <t>Geographical Revenue Growth (YoY % Growth)</t>
  </si>
  <si>
    <t>Product Revenue</t>
  </si>
  <si>
    <t>White Goods</t>
  </si>
  <si>
    <t>Consumer Electronics</t>
  </si>
  <si>
    <t>Total</t>
  </si>
  <si>
    <t>Product Revenue Growth (YoY% Gowth)</t>
  </si>
  <si>
    <t>As a % Of Total Revenue</t>
  </si>
  <si>
    <t>Product Gross Profit</t>
  </si>
  <si>
    <t>Gross Profit Margins</t>
  </si>
  <si>
    <t>Product Capex</t>
  </si>
  <si>
    <t>Capex as a % of Sales</t>
  </si>
  <si>
    <t>Product D&amp;A</t>
  </si>
  <si>
    <t>D&amp;A as a % of Sales</t>
  </si>
  <si>
    <t>Expenses breakup</t>
  </si>
  <si>
    <t>Raw Materials</t>
  </si>
  <si>
    <t>Change in Finished Goods</t>
  </si>
  <si>
    <t>Personnel</t>
  </si>
  <si>
    <t>Transportation/Distribution/Storage</t>
  </si>
  <si>
    <t>Warranty &amp; Assembly</t>
  </si>
  <si>
    <t>Advertising/Marketing</t>
  </si>
  <si>
    <t>Energy</t>
  </si>
  <si>
    <t>Repair/Maintenance</t>
  </si>
  <si>
    <t>License</t>
  </si>
  <si>
    <t>Insurance expenses</t>
  </si>
  <si>
    <t>Legal consultancy and Audit expenses</t>
  </si>
  <si>
    <t>D&amp;A</t>
  </si>
  <si>
    <t>Expenses as a % of Sales</t>
  </si>
  <si>
    <t>Turkish Market by Product Type ('000 units)</t>
  </si>
  <si>
    <t>Refrigerator</t>
  </si>
  <si>
    <t>Freezer</t>
  </si>
  <si>
    <t>Washing M.</t>
  </si>
  <si>
    <t>Dryer</t>
  </si>
  <si>
    <t>Dishwasher</t>
  </si>
  <si>
    <t>Oven</t>
  </si>
  <si>
    <t>Sales by Region</t>
  </si>
  <si>
    <t>Western Europe</t>
  </si>
  <si>
    <t>CIS &amp; Eastern Europe</t>
  </si>
  <si>
    <t>Middle East</t>
  </si>
  <si>
    <t>Pakistan</t>
  </si>
  <si>
    <t>Americas</t>
  </si>
  <si>
    <t>Bangladesh</t>
  </si>
  <si>
    <t xml:space="preserve"> Sales Bridge</t>
  </si>
  <si>
    <t>Domestic Growth</t>
  </si>
  <si>
    <t xml:space="preserve">   Organic</t>
  </si>
  <si>
    <t xml:space="preserve">   Currency Effect</t>
  </si>
  <si>
    <t xml:space="preserve">   Acquisition</t>
  </si>
  <si>
    <t xml:space="preserve">   Total</t>
  </si>
  <si>
    <t>International Growth</t>
  </si>
  <si>
    <t>Total Growth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</si>
</sst>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#,##0.0_);\(#,##0.0\)"/>
    <numFmt numFmtId="166" formatCode="#0.0%_);\(#0.0%\)"/>
    <numFmt numFmtId="167" formatCode="#0.00\x"/>
    <numFmt numFmtId="168" formatCode="mmm\ yyyy"/>
    <numFmt numFmtId="169" formatCode="0.0%"/>
    <numFmt numFmtId="170" formatCode="_(* #,##0.0_);_(* \(#,##0.0\);_(* &quot;-&quot;??_);_(@_)"/>
    <numFmt numFmtId="171" formatCode="_(* #,##0.000_);_(* \(#,##0.000\);_(* &quot;-&quot;??_);_(@_)"/>
    <numFmt numFmtId="172" formatCode="_(* #,##0_);_(* \(#,##0\);_(* &quot;-&quot;??_);_(@_)"/>
    <numFmt numFmtId="173" formatCode="#,##0.0\ ;\(#,##0.0\)"/>
    <numFmt numFmtId="174" formatCode="&quot;$&quot;#,##0.00_)&quot;per share&quot;;\(&quot;$&quot;#,##0.00\)&quot; per share&quot;"/>
    <numFmt numFmtId="175" formatCode="0.0_)\%;\(0.0\)\%;0.0_)\%;@_)_%"/>
    <numFmt numFmtId="176" formatCode="#,##0.0_)_%;\(#,##0.0\)_%;0.0_)_%;@_)_%"/>
    <numFmt numFmtId="177" formatCode="#,##0.0_);\(#,##0.0\);#,##0.0_);@_)"/>
    <numFmt numFmtId="178" formatCode="&quot;$&quot;_(#,##0.00_);&quot;$&quot;\(#,##0.00\);&quot;$&quot;_(0.00_);@_)"/>
    <numFmt numFmtId="179" formatCode="&quot;$&quot;_(#,##0.00_);&quot;$&quot;\(#,##0.00\)"/>
    <numFmt numFmtId="180" formatCode="#,##0.00_);\(#,##0.00\);0.00_);@_)"/>
    <numFmt numFmtId="181" formatCode="\€_(#,##0.00_);\€\(#,##0.00\);\€_(0.00_);@_)"/>
    <numFmt numFmtId="182" formatCode="#,##0_)\x;\(#,##0\)\x;0_)\x;@_)_x"/>
    <numFmt numFmtId="183" formatCode="#,##0.0_)\x;\(#,##0.0\)\x"/>
    <numFmt numFmtId="184" formatCode="#,##0_)_x;\(#,##0\)_x;0_)_x;@_)_x"/>
    <numFmt numFmtId="185" formatCode="#,##0.0_)_x;\(#,##0.0\)_x"/>
    <numFmt numFmtId="186" formatCode="0.0_)\%;\(0.0\)\%"/>
    <numFmt numFmtId="187" formatCode="#,##0.0_)_%;\(#,##0.0\)_%"/>
    <numFmt numFmtId="188" formatCode="_(\£* #,##0_);_(\£* \(#,##0\);_(\£* &quot;-&quot;_);_(@_)"/>
    <numFmt numFmtId="189" formatCode="_(\£* #,##0.0_);_(\£* \(#,##0.0\);_(\£* &quot;-&quot;_);_(@_)"/>
    <numFmt numFmtId="190" formatCode="_(\£* #,##0.00_);_(\£* \(#,##0.00\);_(\£* &quot;-&quot;_);_(@_)"/>
    <numFmt numFmtId="191" formatCode="_(* #,##0\p_);_(* \(#,##0\p\);_(* &quot;-&quot;\ \p_);_(@_)"/>
    <numFmt numFmtId="192" formatCode="_(* #,##0.00\p_);_(* \(#,##0.00\p\);_(* &quot;-&quot;\ \p_);_(@_)"/>
    <numFmt numFmtId="193" formatCode="\£#,##0.00"/>
    <numFmt numFmtId="194" formatCode="&quot;$&quot;&quot; &quot;#,##0_);\(&quot;$&quot;&quot; &quot;#,##0\);\-_)"/>
    <numFmt numFmtId="195" formatCode="#,##0_);\(#,##0\);\-_)"/>
    <numFmt numFmtId="196" formatCode="&quot;$&quot;#,##0_);[Red]\(&quot;$&quot;#,##0\);&quot;-&quot;"/>
    <numFmt numFmtId="197" formatCode="[Blue]0.0%;[Blue]\-0.0%"/>
    <numFmt numFmtId="198" formatCode="\£#,##0_);\(\£#,##0\)"/>
    <numFmt numFmtId="199" formatCode="&quot;fl&quot;#,##0_);\(&quot;fl&quot;#,##0\)"/>
    <numFmt numFmtId="200" formatCode="&quot;$&quot;\ #,##0_);\(&quot;$&quot;\ #,##0\)"/>
    <numFmt numFmtId="201" formatCode="_(&quot;R$&quot;* #,##0.00_);_(&quot;R$&quot;* \(#,##0.00\);_(&quot;R$&quot;* &quot;-&quot;??_);_(@_)"/>
    <numFmt numFmtId="202" formatCode="0.0\x;[Red]\(0.0\x\)"/>
    <numFmt numFmtId="203" formatCode="#,##0.0_);\(#,##0.0\);&quot;—&quot;_)"/>
    <numFmt numFmtId="204" formatCode="&quot;$&quot;#,##0.0_);\(&quot;$&quot;#,##0.0\);&quot;—&quot;_)"/>
    <numFmt numFmtId="205" formatCode="0.000000000%"/>
    <numFmt numFmtId="206" formatCode="#,##0.0000"/>
    <numFmt numFmtId="207" formatCode="mm/dd/yy"/>
    <numFmt numFmtId="208" formatCode="&quot;$&quot;#,##0.00"/>
    <numFmt numFmtId="209" formatCode="_([$€-2]* #,##0.00_);_([$€-2]* \(#,##0.00\);_([$€-2]* &quot;-&quot;??_)"/>
    <numFmt numFmtId="210" formatCode="#&quot; mon&quot;"/>
    <numFmt numFmtId="211" formatCode="#,##0\ &quot;F&quot;;[Red]\-#,##0\ &quot;F&quot;"/>
    <numFmt numFmtId="212" formatCode="#,##0.00\ &quot;F&quot;;[Red]\-#,##0.00\ &quot;F&quot;"/>
    <numFmt numFmtId="213" formatCode="#,##0.0\x_)_);\(#,##0.0\x\)_);#,##0.0\x_)_);@_%_)"/>
    <numFmt numFmtId="214" formatCode="_(* #,##0.00\ ___);_(* \(#,##0.00\ __\);_(* &quot;-&quot;??_);_(@_)"/>
    <numFmt numFmtId="215" formatCode="0%\);[Red]\(0%"/>
    <numFmt numFmtId="216" formatCode="_(* #,##0\ ___);_(* \(#,##0\ __\);_(* &quot;-&quot;??_);_(@_)"/>
    <numFmt numFmtId="217" formatCode="_(* #,##0\ \x_);_(* \(#,##0\ \x\);_(* &quot;-&quot;??_);_(@_)"/>
    <numFmt numFmtId="218" formatCode="0%_);[Red]\(0%\)"/>
    <numFmt numFmtId="219" formatCode="_(* #,##0.0\ ___);_(* \(#,##0.0\ __\);_(* &quot;-&quot;??_);_(@_)"/>
    <numFmt numFmtId="220" formatCode="_(* #,##0.0\ \x_);_(* \(#,##0.0\ \x\);_(* &quot;-&quot;??_);_(@_)"/>
    <numFmt numFmtId="221" formatCode="#,##0&quot; F&quot;_);\(#,##0&quot; F&quot;\)"/>
    <numFmt numFmtId="222" formatCode="_(* #,##0.00_);_(* \(\ #,##0.00\ \);_(* &quot;&quot;??_);_(\ @_ \)"/>
    <numFmt numFmtId="223" formatCode="0.00_)"/>
    <numFmt numFmtId="224" formatCode="_(* #,##0.0_);_(* \(#,##0.0\);_(* &quot;-&quot;?_);_(@_)"/>
    <numFmt numFmtId="225" formatCode="0.00%\ &quot;Ramped&quot;\ "/>
    <numFmt numFmtId="226" formatCode="0.00%\ &quot;Ramped&quot;"/>
    <numFmt numFmtId="227" formatCode="0.0000"/>
    <numFmt numFmtId="228" formatCode="0.000"/>
    <numFmt numFmtId="229" formatCode="&quot;Diversity =&quot;\ #.0"/>
    <numFmt numFmtId="230" formatCode="&quot;Ratings Factor =&quot;\ #"/>
    <numFmt numFmtId="231" formatCode="&quot;Page &quot;0"/>
    <numFmt numFmtId="232" formatCode="&quot;\&quot;#,##0.00;[Red]\-&quot;\&quot;#,##0.00"/>
    <numFmt numFmtId="233" formatCode="0.0_%"/>
    <numFmt numFmtId="234" formatCode="_(0.0%;_(* \(0.0\)%"/>
    <numFmt numFmtId="235" formatCode="_(* #,##0.0000_);_(* \(#,##0.0000\);_(* &quot;-&quot;??_);_(@_)"/>
    <numFmt numFmtId="236" formatCode="0&quot; bps&quot;"/>
    <numFmt numFmtId="237" formatCode="&quot;WAS =&quot;\ #.00"/>
    <numFmt numFmtId="238" formatCode="&quot;Avg. Px.=&quot;#.00"/>
    <numFmt numFmtId="239" formatCode="&quot;WAL=&quot;#.00"/>
    <numFmt numFmtId="240" formatCode="#.00\ &quot;years&quot;"/>
    <numFmt numFmtId="241" formatCode="&quot;2nd Lien=&quot;#"/>
    <numFmt numFmtId="242" formatCode="&quot;WAPP=&quot;#.00"/>
    <numFmt numFmtId="243" formatCode="&quot;WAS=&quot;#.00"/>
    <numFmt numFmtId="244" formatCode="&quot;WAC=&quot;#.00"/>
    <numFmt numFmtId="245" formatCode="&quot;$&quot;#,##0.0_);\(&quot;$&quot;#,##0.0\)"/>
    <numFmt numFmtId="246" formatCode="#,###,;\(#,###,\)"/>
    <numFmt numFmtId="247" formatCode="000\-00\-0000"/>
    <numFmt numFmtId="248" formatCode="&quot;$&quot;#,##0.0000"/>
    <numFmt numFmtId="249" formatCode="&quot;$&quot;#,##0.000000"/>
    <numFmt numFmtId="250" formatCode="&quot;$&quot;#,##0.000"/>
    <numFmt numFmtId="251" formatCode="000000000"/>
    <numFmt numFmtId="252" formatCode="000"/>
    <numFmt numFmtId="253" formatCode="hh:mm\ AM/PM_)"/>
    <numFmt numFmtId="254" formatCode="#.0&quot;x&quot;"/>
    <numFmt numFmtId="255" formatCode="yyyy"/>
    <numFmt numFmtId="256" formatCode="\¥#,##0_);\(\¥#,##0\)"/>
    <numFmt numFmtId="257" formatCode="#0.0\x"/>
    <numFmt numFmtId="258" formatCode="0.0\x"/>
    <numFmt numFmtId="259" formatCode="0.0"/>
    <numFmt numFmtId="260" formatCode="#,##0.00000_);\(#,##0.00000\)"/>
    <numFmt numFmtId="261" formatCode="#,##0.0_);\(#,##0.0\);&quot;-&quot;_)"/>
    <numFmt numFmtId="262" formatCode="0.00\x"/>
  </numFmts>
  <fonts count="128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9"/>
      <name val="Arial"/>
      <family val="2"/>
    </font>
    <font>
      <b/>
      <u val="singleAccounting"/>
      <sz val="8"/>
      <color indexed="8"/>
      <name val="Arial"/>
      <family val="2"/>
    </font>
    <font>
      <sz val="1"/>
      <color indexed="9"/>
      <name val="Symbol"/>
      <family val="1"/>
    </font>
    <font>
      <b/>
      <u val="singleAccounting"/>
      <sz val="8"/>
      <color indexed="8"/>
      <name val="Verdana"/>
      <family val="2"/>
    </font>
    <font>
      <b/>
      <sz val="10"/>
      <color indexed="9"/>
      <name val="Arial"/>
      <family val="2"/>
    </font>
    <font>
      <b/>
      <sz val="12"/>
      <color indexed="8"/>
      <name val="Verdana"/>
      <family val="2"/>
    </font>
    <font>
      <b/>
      <sz val="8"/>
      <color indexed="9"/>
      <name val="Verdan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sz val="8"/>
      <color indexed="8"/>
      <name val="Arial"/>
      <family val="2"/>
    </font>
    <font>
      <b/>
      <sz val="13"/>
      <color indexed="8"/>
      <name val="Verdana"/>
      <family val="2"/>
    </font>
    <font>
      <b/>
      <sz val="8"/>
      <name val="Arial"/>
      <family val="2"/>
    </font>
    <font>
      <u val="singleAccounting"/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12"/>
      <name val="Times New Roman"/>
      <family val="1"/>
    </font>
    <font>
      <i/>
      <sz val="10"/>
      <name val="Times New Roman"/>
      <family val="1"/>
    </font>
    <font>
      <sz val="9"/>
      <name val="Arial"/>
      <family val="2"/>
    </font>
    <font>
      <sz val="8"/>
      <name val="Times New Roman"/>
      <family val="1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8"/>
      <color indexed="8"/>
      <name val="Times New Roman"/>
      <family val="1"/>
    </font>
    <font>
      <sz val="8"/>
      <color indexed="14"/>
      <name val="Times New Roman"/>
      <family val="1"/>
    </font>
    <font>
      <sz val="10"/>
      <name val="Book Antiqua"/>
      <family val="1"/>
    </font>
    <font>
      <sz val="8"/>
      <name val="Times"/>
      <family val="1"/>
    </font>
    <font>
      <b/>
      <sz val="12"/>
      <name val="Times"/>
      <family val="1"/>
    </font>
    <font>
      <sz val="12"/>
      <name val="Arial"/>
      <family val="2"/>
    </font>
    <font>
      <sz val="10"/>
      <color indexed="8"/>
      <name val="Times New Roman"/>
      <family val="1"/>
    </font>
    <font>
      <sz val="8"/>
      <color indexed="12"/>
      <name val="Times"/>
      <family val="1"/>
    </font>
    <font>
      <sz val="8"/>
      <name val="Helv"/>
    </font>
    <font>
      <sz val="12"/>
      <name val="Times"/>
      <family val="1"/>
    </font>
    <font>
      <b/>
      <i/>
      <sz val="10"/>
      <name val="Arial"/>
      <family val="2"/>
    </font>
    <font>
      <b/>
      <i/>
      <sz val="12"/>
      <name val="Times New Roman"/>
      <family val="1"/>
    </font>
    <font>
      <b/>
      <u/>
      <sz val="8"/>
      <color indexed="8"/>
      <name val="Times New Roman"/>
      <family val="1"/>
    </font>
    <font>
      <b/>
      <sz val="9"/>
      <color indexed="8"/>
      <name val="Times New Roman"/>
      <family val="1"/>
    </font>
    <font>
      <i/>
      <sz val="8"/>
      <name val="Arial"/>
      <family val="2"/>
    </font>
    <font>
      <b/>
      <i/>
      <sz val="8"/>
      <name val="Arial"/>
      <family val="2"/>
    </font>
    <font>
      <b/>
      <sz val="8"/>
      <name val="Book Antiqua"/>
      <family val="1"/>
    </font>
    <font>
      <sz val="14"/>
      <name val="Arial"/>
      <family val="2"/>
    </font>
    <font>
      <sz val="8"/>
      <color indexed="12"/>
      <name val="Times New Roman"/>
      <family val="1"/>
    </font>
    <font>
      <b/>
      <sz val="14"/>
      <name val="Book Antiqua"/>
      <family val="1"/>
    </font>
    <font>
      <sz val="10"/>
      <name val="MS Serif"/>
      <family val="1"/>
    </font>
    <font>
      <sz val="10"/>
      <name val="MS Sans Serif"/>
      <family val="2"/>
    </font>
    <font>
      <sz val="12"/>
      <name val="Times New Roman"/>
      <family val="1"/>
    </font>
    <font>
      <u val="doubleAccounting"/>
      <sz val="10"/>
      <name val="Arial"/>
      <family val="2"/>
    </font>
    <font>
      <sz val="10"/>
      <color indexed="16"/>
      <name val="MS Serif"/>
      <family val="1"/>
    </font>
    <font>
      <b/>
      <i/>
      <sz val="9"/>
      <color indexed="4"/>
      <name val="Times New Roman"/>
      <family val="1"/>
    </font>
    <font>
      <sz val="7"/>
      <name val="Arial"/>
      <family val="2"/>
    </font>
    <font>
      <b/>
      <sz val="14"/>
      <name val="Arial"/>
      <family val="2"/>
    </font>
    <font>
      <u/>
      <sz val="8"/>
      <name val="Times New Roman"/>
      <family val="1"/>
    </font>
    <font>
      <b/>
      <sz val="12"/>
      <color indexed="9"/>
      <name val="Times"/>
      <family val="1"/>
    </font>
    <font>
      <b/>
      <i/>
      <sz val="18"/>
      <color indexed="4"/>
      <name val="Times New Roman"/>
      <family val="1"/>
    </font>
    <font>
      <b/>
      <sz val="12"/>
      <name val="Arial"/>
      <family val="2"/>
    </font>
    <font>
      <b/>
      <sz val="8"/>
      <name val="Palatino"/>
      <family val="1"/>
    </font>
    <font>
      <b/>
      <sz val="9"/>
      <name val="Arial"/>
      <family val="2"/>
    </font>
    <font>
      <b/>
      <sz val="8"/>
      <name val="MS Sans Serif"/>
      <family val="2"/>
    </font>
    <font>
      <b/>
      <i/>
      <sz val="10"/>
      <name val="Times New Roman"/>
      <family val="1"/>
    </font>
    <font>
      <b/>
      <sz val="10"/>
      <name val="Palatino"/>
      <family val="1"/>
    </font>
    <font>
      <sz val="8"/>
      <name val="Book Antiqua"/>
      <family val="1"/>
    </font>
    <font>
      <sz val="10"/>
      <name val="Geneva"/>
      <family val="2"/>
    </font>
    <font>
      <i/>
      <sz val="7"/>
      <name val="Book Antiqua"/>
      <family val="1"/>
    </font>
    <font>
      <sz val="8"/>
      <name val="Palatino"/>
      <family val="1"/>
    </font>
    <font>
      <b/>
      <i/>
      <sz val="16"/>
      <name val="Helv"/>
    </font>
    <font>
      <sz val="10"/>
      <color indexed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b/>
      <u/>
      <sz val="10"/>
      <color indexed="12"/>
      <name val="Times New Roman"/>
      <family val="1"/>
    </font>
    <font>
      <b/>
      <sz val="12"/>
      <name val="Times New Roman"/>
      <family val="1"/>
    </font>
    <font>
      <b/>
      <sz val="15"/>
      <name val="Times New Roman"/>
      <family val="1"/>
    </font>
    <font>
      <sz val="8"/>
      <color indexed="72"/>
      <name val="Arial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u/>
      <sz val="8"/>
      <name val="Book Antiqua"/>
      <family val="1"/>
    </font>
    <font>
      <sz val="9"/>
      <name val="Times New Roman"/>
      <family val="1"/>
    </font>
    <font>
      <b/>
      <sz val="9"/>
      <name val="Times New Roman"/>
      <family val="1"/>
    </font>
    <font>
      <sz val="12"/>
      <name val="Arial MT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7"/>
      <color indexed="12"/>
      <name val="Arial"/>
      <family val="2"/>
    </font>
    <font>
      <sz val="8"/>
      <name val="Wingdings"/>
      <charset val="2"/>
    </font>
    <font>
      <sz val="9"/>
      <color indexed="8"/>
      <name val="Times New Roman"/>
      <family val="1"/>
    </font>
    <font>
      <sz val="8"/>
      <name val="MS Sans Serif"/>
      <family val="2"/>
    </font>
    <font>
      <b/>
      <sz val="8"/>
      <color indexed="10"/>
      <name val="Times New Roman"/>
      <family val="1"/>
    </font>
    <font>
      <b/>
      <sz val="8"/>
      <color indexed="8"/>
      <name val="Helv"/>
    </font>
    <font>
      <b/>
      <sz val="14"/>
      <color indexed="8"/>
      <name val="Times New Roman"/>
      <family val="1"/>
    </font>
    <font>
      <b/>
      <u/>
      <sz val="14"/>
      <name val="Book Antiqua"/>
      <family val="1"/>
    </font>
    <font>
      <b/>
      <sz val="10"/>
      <name val="Book Antiqua"/>
      <family val="1"/>
    </font>
    <font>
      <b/>
      <sz val="7"/>
      <name val="Arial"/>
      <family val="2"/>
    </font>
    <font>
      <b/>
      <sz val="7"/>
      <color indexed="12"/>
      <name val="Arial"/>
      <family val="2"/>
    </font>
    <font>
      <b/>
      <u/>
      <sz val="10"/>
      <name val="Book Antiqua"/>
      <family val="1"/>
    </font>
    <font>
      <b/>
      <sz val="8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6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indexed="8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indexed="8"/>
      <name val="Calibri"/>
      <family val="2"/>
      <scheme val="minor"/>
    </font>
    <font>
      <i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8"/>
      <color rgb="FFFF0000"/>
      <name val="Calibri"/>
      <family val="2"/>
      <scheme val="minor"/>
    </font>
    <font>
      <i/>
      <sz val="8"/>
      <color rgb="FFFF0000"/>
      <name val="Calibri"/>
      <family val="2"/>
      <scheme val="minor"/>
    </font>
    <font>
      <sz val="10"/>
      <color rgb="FF0000FF"/>
      <name val="Arial"/>
      <family val="2"/>
    </font>
    <font>
      <b/>
      <i/>
      <sz val="10"/>
      <name val="Calibri"/>
      <family val="2"/>
      <scheme val="minor"/>
    </font>
    <font>
      <i/>
      <u/>
      <sz val="10"/>
      <name val="Calibri"/>
      <family val="2"/>
      <scheme val="minor"/>
    </font>
    <font>
      <b/>
      <i/>
      <u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0"/>
      <color rgb="FFFF000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lightGray">
        <fgColor indexed="15"/>
      </patternFill>
    </fill>
    <fill>
      <patternFill patternType="solid">
        <fgColor indexed="6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56"/>
        <bgColor indexed="64"/>
      </patternFill>
    </fill>
    <fill>
      <patternFill patternType="solid">
        <fgColor indexed="15"/>
        <bgColor indexed="64"/>
      </patternFill>
    </fill>
    <fill>
      <patternFill patternType="lightGray">
        <fgColor indexed="13"/>
      </patternFill>
    </fill>
    <fill>
      <patternFill patternType="solid">
        <fgColor rgb="FF4F81B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</fills>
  <borders count="52">
    <border>
      <left/>
      <right/>
      <top/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45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 style="thick">
        <color indexed="9"/>
      </left>
      <right style="thick">
        <color indexed="9"/>
      </right>
      <top/>
      <bottom style="double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98">
    <xf numFmtId="0" fontId="0" fillId="0" borderId="0"/>
    <xf numFmtId="173" fontId="26" fillId="0" borderId="0"/>
    <xf numFmtId="0" fontId="27" fillId="0" borderId="0">
      <alignment horizontal="right"/>
    </xf>
    <xf numFmtId="0" fontId="6" fillId="0" borderId="0"/>
    <xf numFmtId="174" fontId="22" fillId="0" borderId="0" applyFont="0" applyFill="0" applyBorder="0" applyAlignment="0"/>
    <xf numFmtId="175" fontId="6" fillId="0" borderId="0" applyFont="0" applyFill="0" applyBorder="0" applyAlignment="0" applyProtection="0"/>
    <xf numFmtId="176" fontId="6" fillId="0" borderId="0" applyFont="0" applyFill="0" applyBorder="0" applyAlignment="0" applyProtection="0"/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6" fillId="0" borderId="0" applyNumberFormat="0" applyFill="0" applyBorder="0" applyAlignment="0" applyProtection="0">
      <alignment horizontal="left" wrapText="1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vertical="top"/>
    </xf>
    <xf numFmtId="0" fontId="6" fillId="0" borderId="0" applyNumberFormat="0" applyFill="0" applyBorder="0" applyAlignment="0" applyProtection="0">
      <alignment horizontal="left" wrapText="1"/>
    </xf>
    <xf numFmtId="0" fontId="6" fillId="0" borderId="0">
      <alignment vertical="top"/>
    </xf>
    <xf numFmtId="177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78" fontId="6" fillId="0" borderId="0" applyFont="0" applyFill="0" applyBorder="0" applyAlignment="0" applyProtection="0"/>
    <xf numFmtId="179" fontId="6" fillId="0" borderId="0" applyFont="0" applyFill="0" applyBorder="0" applyAlignment="0" applyProtection="0"/>
    <xf numFmtId="180" fontId="6" fillId="0" borderId="0" applyFont="0" applyFill="0" applyBorder="0" applyAlignment="0" applyProtection="0"/>
    <xf numFmtId="39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2" borderId="0" applyNumberFormat="0" applyFont="0" applyAlignment="0" applyProtection="0"/>
    <xf numFmtId="0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3" fontId="6" fillId="0" borderId="0" applyFont="0" applyFill="0" applyBorder="0" applyAlignment="0" applyProtection="0"/>
    <xf numFmtId="184" fontId="6" fillId="0" borderId="0" applyFont="0" applyFill="0" applyBorder="0" applyProtection="0">
      <alignment horizontal="right"/>
    </xf>
    <xf numFmtId="185" fontId="6" fillId="0" borderId="0" applyFont="0" applyFill="0" applyBorder="0" applyAlignment="0" applyProtection="0"/>
    <xf numFmtId="0" fontId="6" fillId="0" borderId="0">
      <alignment horizontal="left" wrapText="1"/>
    </xf>
    <xf numFmtId="0" fontId="6" fillId="0" borderId="0">
      <alignment horizontal="left" wrapText="1"/>
    </xf>
    <xf numFmtId="186" fontId="6" fillId="0" borderId="0" applyFont="0" applyFill="0" applyBorder="0" applyAlignment="0" applyProtection="0"/>
    <xf numFmtId="187" fontId="6" fillId="0" borderId="0" applyFont="0" applyFill="0" applyBorder="0" applyAlignment="0" applyProtection="0"/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 applyFont="0" applyFill="0" applyBorder="0" applyAlignment="0" applyProtection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29" fillId="0" borderId="0" applyNumberFormat="0" applyFill="0" applyBorder="0" applyProtection="0">
      <alignment vertical="top"/>
    </xf>
    <xf numFmtId="0" fontId="29" fillId="0" borderId="0" applyNumberFormat="0" applyFill="0" applyBorder="0" applyProtection="0">
      <alignment vertical="top"/>
    </xf>
    <xf numFmtId="0" fontId="30" fillId="0" borderId="1" applyNumberFormat="0" applyFill="0" applyAlignment="0" applyProtection="0"/>
    <xf numFmtId="0" fontId="31" fillId="0" borderId="2" applyNumberFormat="0" applyFill="0" applyProtection="0">
      <alignment horizontal="center"/>
    </xf>
    <xf numFmtId="0" fontId="31" fillId="0" borderId="0" applyNumberFormat="0" applyFill="0" applyBorder="0" applyProtection="0">
      <alignment horizontal="left"/>
    </xf>
    <xf numFmtId="0" fontId="32" fillId="0" borderId="0" applyNumberFormat="0" applyFill="0" applyBorder="0" applyProtection="0">
      <alignment horizontal="centerContinuous"/>
    </xf>
    <xf numFmtId="188" fontId="33" fillId="0" borderId="0" applyFont="0" applyFill="0" applyBorder="0" applyAlignment="0" applyProtection="0"/>
    <xf numFmtId="189" fontId="33" fillId="0" borderId="0" applyFont="0" applyFill="0" applyBorder="0" applyAlignment="0" applyProtection="0"/>
    <xf numFmtId="190" fontId="33" fillId="0" borderId="0" applyFont="0" applyFill="0" applyBorder="0" applyAlignment="0" applyProtection="0"/>
    <xf numFmtId="191" fontId="33" fillId="0" borderId="0" applyFont="0" applyFill="0" applyBorder="0" applyAlignment="0" applyProtection="0"/>
    <xf numFmtId="192" fontId="33" fillId="0" borderId="0" applyFont="0" applyFill="0" applyBorder="0" applyAlignment="0" applyProtection="0"/>
    <xf numFmtId="193" fontId="34" fillId="0" borderId="0" applyFont="0" applyFill="0" applyBorder="0" applyAlignment="0" applyProtection="0"/>
    <xf numFmtId="42" fontId="6" fillId="0" borderId="0" applyFont="0" applyFill="0" applyBorder="0" applyAlignment="0" applyProtection="0"/>
    <xf numFmtId="0" fontId="35" fillId="0" borderId="0" applyNumberFormat="0" applyFont="0" applyFill="0" applyBorder="0" applyProtection="0">
      <alignment horizontal="centerContinuous"/>
    </xf>
    <xf numFmtId="0" fontId="3" fillId="0" borderId="0" applyNumberFormat="0" applyFill="0" applyBorder="0" applyAlignment="0">
      <protection locked="0"/>
    </xf>
    <xf numFmtId="0" fontId="36" fillId="0" borderId="0"/>
    <xf numFmtId="0" fontId="37" fillId="0" borderId="0"/>
    <xf numFmtId="0" fontId="27" fillId="0" borderId="0">
      <alignment horizontal="center" wrapText="1"/>
      <protection locked="0"/>
    </xf>
    <xf numFmtId="0" fontId="6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22" fillId="3" borderId="0" applyNumberFormat="0" applyBorder="0" applyAlignment="0">
      <protection locked="0"/>
    </xf>
    <xf numFmtId="194" fontId="22" fillId="0" borderId="0" applyFont="0" applyFill="0" applyBorder="0" applyAlignment="0" applyProtection="0"/>
    <xf numFmtId="195" fontId="39" fillId="0" borderId="0" applyFont="0" applyFill="0" applyBorder="0" applyAlignment="0" applyProtection="0"/>
    <xf numFmtId="196" fontId="22" fillId="0" borderId="0" applyFont="0" applyFill="0" applyBorder="0" applyAlignment="0" applyProtection="0"/>
    <xf numFmtId="0" fontId="106" fillId="25" borderId="0"/>
    <xf numFmtId="0" fontId="40" fillId="0" borderId="0" applyNumberFormat="0" applyFill="0" applyBorder="0" applyAlignment="0" applyProtection="0"/>
    <xf numFmtId="197" fontId="41" fillId="0" borderId="0"/>
    <xf numFmtId="0" fontId="42" fillId="0" borderId="0" applyNumberFormat="0" applyFill="0" applyBorder="0" applyAlignment="0" applyProtection="0"/>
    <xf numFmtId="0" fontId="5" fillId="0" borderId="0"/>
    <xf numFmtId="0" fontId="43" fillId="0" borderId="0"/>
    <xf numFmtId="0" fontId="35" fillId="0" borderId="3" applyNumberFormat="0" applyFont="0" applyFill="0" applyAlignment="0" applyProtection="0"/>
    <xf numFmtId="0" fontId="44" fillId="0" borderId="4" applyFill="0" applyProtection="0">
      <alignment horizontal="right"/>
    </xf>
    <xf numFmtId="198" fontId="21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45" fillId="0" borderId="0"/>
    <xf numFmtId="0" fontId="26" fillId="0" borderId="0" applyFill="0" applyBorder="0" applyAlignment="0"/>
    <xf numFmtId="0" fontId="26" fillId="0" borderId="0" applyFill="0" applyBorder="0" applyAlignment="0"/>
    <xf numFmtId="199" fontId="26" fillId="0" borderId="0" applyFill="0" applyBorder="0" applyAlignment="0"/>
    <xf numFmtId="200" fontId="26" fillId="0" borderId="0" applyFill="0" applyBorder="0" applyAlignment="0"/>
    <xf numFmtId="201" fontId="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39" fontId="27" fillId="4" borderId="0" applyNumberFormat="0" applyFont="0" applyBorder="0" applyAlignment="0"/>
    <xf numFmtId="0" fontId="46" fillId="0" borderId="0"/>
    <xf numFmtId="0" fontId="35" fillId="0" borderId="0" applyNumberFormat="0" applyFont="0" applyFill="0" applyBorder="0" applyProtection="0">
      <alignment horizontal="center"/>
    </xf>
    <xf numFmtId="49" fontId="20" fillId="0" borderId="0" applyFill="0" applyBorder="0" applyProtection="0">
      <alignment horizontal="center"/>
    </xf>
    <xf numFmtId="49" fontId="47" fillId="0" borderId="0" applyFill="0" applyBorder="0" applyProtection="0">
      <alignment horizontal="center"/>
    </xf>
    <xf numFmtId="8" fontId="6" fillId="0" borderId="5" applyFont="0" applyFill="0" applyBorder="0" applyProtection="0">
      <alignment horizontal="right"/>
    </xf>
    <xf numFmtId="0" fontId="4" fillId="0" borderId="0"/>
    <xf numFmtId="0" fontId="2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9" fillId="0" borderId="3" applyNumberFormat="0" applyFill="0" applyBorder="0" applyAlignment="0" applyProtection="0">
      <alignment horizontal="center"/>
    </xf>
    <xf numFmtId="0" fontId="8" fillId="5" borderId="0"/>
    <xf numFmtId="43" fontId="1" fillId="0" borderId="0" applyFont="0" applyFill="0" applyBorder="0" applyAlignment="0" applyProtection="0"/>
    <xf numFmtId="202" fontId="6" fillId="0" borderId="0"/>
    <xf numFmtId="202" fontId="6" fillId="0" borderId="0"/>
    <xf numFmtId="202" fontId="6" fillId="0" borderId="0"/>
    <xf numFmtId="202" fontId="6" fillId="0" borderId="0"/>
    <xf numFmtId="202" fontId="6" fillId="0" borderId="0"/>
    <xf numFmtId="202" fontId="6" fillId="0" borderId="0"/>
    <xf numFmtId="202" fontId="6" fillId="0" borderId="0"/>
    <xf numFmtId="202" fontId="6" fillId="0" borderId="0"/>
    <xf numFmtId="203" fontId="50" fillId="0" borderId="0"/>
    <xf numFmtId="0" fontId="26" fillId="0" borderId="0" applyFont="0" applyFill="0" applyBorder="0" applyAlignment="0" applyProtection="0"/>
    <xf numFmtId="170" fontId="51" fillId="0" borderId="0" applyFont="0" applyFill="0" applyBorder="0" applyAlignment="0" applyProtection="0"/>
    <xf numFmtId="43" fontId="6" fillId="0" borderId="0" applyFont="0" applyFill="0" applyBorder="0" applyAlignment="0" applyProtection="0"/>
    <xf numFmtId="40" fontId="6" fillId="0" borderId="0" applyFont="0" applyFill="0" applyBorder="0" applyProtection="0">
      <alignment horizontal="right"/>
    </xf>
    <xf numFmtId="3" fontId="6" fillId="0" borderId="0" applyFill="0" applyBorder="0" applyAlignment="0" applyProtection="0"/>
    <xf numFmtId="3" fontId="2" fillId="0" borderId="0" applyFont="0" applyFill="0" applyBorder="0" applyAlignment="0" applyProtection="0"/>
    <xf numFmtId="3" fontId="20" fillId="0" borderId="0" applyFill="0" applyBorder="0" applyAlignment="0" applyProtection="0"/>
    <xf numFmtId="38" fontId="52" fillId="0" borderId="0" applyNumberFormat="0" applyFill="0" applyBorder="0">
      <alignment vertical="center"/>
    </xf>
    <xf numFmtId="0" fontId="53" fillId="0" borderId="0" applyNumberFormat="0" applyAlignment="0">
      <alignment horizontal="left"/>
    </xf>
    <xf numFmtId="7" fontId="6" fillId="0" borderId="0" applyFont="0" applyFill="0" applyBorder="0" applyAlignment="0" applyProtection="0"/>
    <xf numFmtId="204" fontId="50" fillId="0" borderId="0"/>
    <xf numFmtId="0" fontId="26" fillId="0" borderId="0" applyFont="0" applyFill="0" applyBorder="0" applyAlignment="0" applyProtection="0"/>
    <xf numFmtId="205" fontId="22" fillId="0" borderId="0" applyFont="0" applyFill="0" applyBorder="0" applyAlignment="0" applyProtection="0"/>
    <xf numFmtId="8" fontId="35" fillId="0" borderId="0" applyBorder="0"/>
    <xf numFmtId="206" fontId="6" fillId="0" borderId="0" applyNumberFormat="0">
      <alignment horizontal="right"/>
    </xf>
    <xf numFmtId="15" fontId="6" fillId="0" borderId="0" applyFont="0" applyFill="0" applyBorder="0" applyProtection="0">
      <alignment horizontal="right"/>
    </xf>
    <xf numFmtId="14" fontId="4" fillId="0" borderId="0" applyFill="0" applyBorder="0" applyAlignment="0"/>
    <xf numFmtId="15" fontId="6" fillId="0" borderId="0" applyFont="0" applyFill="0" applyBorder="0" applyProtection="0">
      <alignment horizontal="right"/>
    </xf>
    <xf numFmtId="207" fontId="20" fillId="0" borderId="0" applyFill="0" applyBorder="0" applyProtection="0">
      <alignment horizontal="left"/>
    </xf>
    <xf numFmtId="0" fontId="6" fillId="0" borderId="0">
      <alignment horizontal="left"/>
    </xf>
    <xf numFmtId="38" fontId="54" fillId="0" borderId="6">
      <alignment vertical="center"/>
    </xf>
    <xf numFmtId="208" fontId="34" fillId="0" borderId="0" applyFont="0" applyFill="0" applyBorder="0" applyAlignment="0" applyProtection="0"/>
    <xf numFmtId="4" fontId="55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5" fillId="0" borderId="7" applyNumberFormat="0" applyFont="0" applyFill="0" applyAlignment="0" applyProtection="0"/>
    <xf numFmtId="42" fontId="56" fillId="0" borderId="0" applyFill="0" applyBorder="0" applyAlignment="0" applyProtection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57" fillId="0" borderId="0" applyNumberFormat="0" applyAlignment="0">
      <alignment horizontal="left"/>
    </xf>
    <xf numFmtId="209" fontId="6" fillId="0" borderId="0" applyFont="0" applyFill="0" applyBorder="0" applyAlignment="0" applyProtection="0"/>
    <xf numFmtId="169" fontId="35" fillId="0" borderId="0" applyNumberFormat="0" applyFont="0" applyAlignment="0">
      <alignment vertical="center"/>
    </xf>
    <xf numFmtId="0" fontId="58" fillId="0" borderId="0">
      <alignment horizontal="center"/>
    </xf>
    <xf numFmtId="0" fontId="59" fillId="0" borderId="0" applyNumberFormat="0" applyFill="0" applyBorder="0" applyAlignment="0" applyProtection="0"/>
    <xf numFmtId="38" fontId="2" fillId="6" borderId="0" applyNumberFormat="0" applyBorder="0" applyAlignment="0" applyProtection="0"/>
    <xf numFmtId="0" fontId="5" fillId="7" borderId="8" applyAlignment="0" applyProtection="0"/>
    <xf numFmtId="0" fontId="60" fillId="0" borderId="3" applyFill="0" applyProtection="0">
      <alignment horizontal="centerContinuous"/>
    </xf>
    <xf numFmtId="41" fontId="61" fillId="0" borderId="0">
      <alignment horizontal="center"/>
    </xf>
    <xf numFmtId="0" fontId="6" fillId="0" borderId="0">
      <alignment horizontal="center"/>
    </xf>
    <xf numFmtId="0" fontId="6" fillId="0" borderId="0">
      <alignment horizontal="left"/>
    </xf>
    <xf numFmtId="0" fontId="6" fillId="0" borderId="0">
      <alignment horizontal="right"/>
    </xf>
    <xf numFmtId="0" fontId="62" fillId="8" borderId="0"/>
    <xf numFmtId="0" fontId="63" fillId="0" borderId="0">
      <alignment horizontal="center" vertical="center"/>
    </xf>
    <xf numFmtId="0" fontId="64" fillId="0" borderId="9" applyNumberFormat="0" applyAlignment="0" applyProtection="0">
      <alignment horizontal="left" vertical="center"/>
    </xf>
    <xf numFmtId="0" fontId="64" fillId="0" borderId="8">
      <alignment horizontal="left" vertical="center"/>
    </xf>
    <xf numFmtId="0" fontId="65" fillId="0" borderId="0">
      <alignment horizontal="center"/>
    </xf>
    <xf numFmtId="0" fontId="66" fillId="0" borderId="0" applyFill="0" applyBorder="0" applyProtection="0">
      <alignment horizontal="right"/>
    </xf>
    <xf numFmtId="0" fontId="67" fillId="0" borderId="10">
      <alignment horizontal="center"/>
    </xf>
    <xf numFmtId="0" fontId="67" fillId="0" borderId="0">
      <alignment horizontal="center"/>
    </xf>
    <xf numFmtId="10" fontId="40" fillId="0" borderId="0" applyNumberFormat="0" applyFill="0" applyBorder="0" applyAlignment="0" applyProtection="0">
      <alignment horizontal="right"/>
    </xf>
    <xf numFmtId="10" fontId="2" fillId="9" borderId="11" applyNumberFormat="0" applyBorder="0" applyAlignment="0" applyProtection="0"/>
    <xf numFmtId="0" fontId="9" fillId="0" borderId="0"/>
    <xf numFmtId="0" fontId="68" fillId="0" borderId="0"/>
    <xf numFmtId="0" fontId="2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49" fontId="2" fillId="0" borderId="0" applyFont="0" applyFill="0" applyBorder="0" applyProtection="0">
      <alignment horizontal="left"/>
    </xf>
    <xf numFmtId="49" fontId="20" fillId="0" borderId="0" applyFill="0" applyBorder="0" applyProtection="0">
      <alignment horizontal="left"/>
    </xf>
    <xf numFmtId="49" fontId="20" fillId="0" borderId="3" applyFill="0" applyProtection="0">
      <alignment horizontal="left"/>
    </xf>
    <xf numFmtId="49" fontId="20" fillId="0" borderId="12" applyFill="0" applyProtection="0">
      <alignment horizontal="left"/>
    </xf>
    <xf numFmtId="0" fontId="69" fillId="0" borderId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165" fontId="6" fillId="0" borderId="0" applyNumberFormat="0" applyFont="0" applyFill="0" applyBorder="0" applyAlignment="0"/>
    <xf numFmtId="17" fontId="22" fillId="0" borderId="0"/>
    <xf numFmtId="0" fontId="27" fillId="0" borderId="0" applyNumberFormat="0" applyFill="0" applyBorder="0" applyProtection="0"/>
    <xf numFmtId="0" fontId="22" fillId="0" borderId="0" applyNumberFormat="0" applyFill="0" applyBorder="0" applyProtection="0"/>
    <xf numFmtId="38" fontId="70" fillId="0" borderId="0" applyNumberFormat="0" applyFill="0" applyBorder="0">
      <alignment horizontal="left" vertical="center"/>
    </xf>
    <xf numFmtId="164" fontId="6" fillId="0" borderId="0" applyFont="0" applyFill="0" applyBorder="0" applyAlignment="0" applyProtection="0"/>
    <xf numFmtId="38" fontId="71" fillId="0" borderId="0" applyFont="0" applyFill="0" applyBorder="0" applyAlignment="0" applyProtection="0"/>
    <xf numFmtId="40" fontId="71" fillId="0" borderId="0" applyFont="0" applyFill="0" applyBorder="0" applyAlignment="0" applyProtection="0"/>
    <xf numFmtId="169" fontId="72" fillId="0" borderId="0" applyFill="0" applyBorder="0">
      <alignment vertical="center"/>
    </xf>
    <xf numFmtId="210" fontId="27" fillId="0" borderId="0">
      <alignment horizontal="center"/>
    </xf>
    <xf numFmtId="211" fontId="71" fillId="0" borderId="0" applyFont="0" applyFill="0" applyBorder="0" applyAlignment="0" applyProtection="0"/>
    <xf numFmtId="212" fontId="71" fillId="0" borderId="0" applyFont="0" applyFill="0" applyBorder="0" applyAlignment="0" applyProtection="0"/>
    <xf numFmtId="7" fontId="6" fillId="0" borderId="0"/>
    <xf numFmtId="213" fontId="73" fillId="0" borderId="0" applyFont="0" applyFill="0" applyBorder="0" applyProtection="0">
      <alignment horizontal="right"/>
    </xf>
    <xf numFmtId="214" fontId="55" fillId="0" borderId="0" applyFont="0" applyFill="0" applyBorder="0" applyAlignment="0" applyProtection="0"/>
    <xf numFmtId="215" fontId="22" fillId="0" borderId="0" applyFont="0" applyFill="0" applyBorder="0" applyAlignment="0" applyProtection="0"/>
    <xf numFmtId="216" fontId="55" fillId="0" borderId="0" applyFont="0" applyFill="0" applyBorder="0" applyAlignment="0" applyProtection="0"/>
    <xf numFmtId="217" fontId="27" fillId="0" borderId="0" applyFont="0" applyFill="0" applyBorder="0" applyAlignment="0" applyProtection="0"/>
    <xf numFmtId="218" fontId="22" fillId="0" borderId="0" applyFont="0" applyFill="0" applyBorder="0" applyAlignment="0" applyProtection="0"/>
    <xf numFmtId="219" fontId="55" fillId="0" borderId="0" applyFont="0" applyFill="0" applyBorder="0" applyAlignment="0" applyProtection="0"/>
    <xf numFmtId="220" fontId="55" fillId="0" borderId="0" applyFont="0" applyFill="0" applyBorder="0" applyAlignment="0" applyProtection="0"/>
    <xf numFmtId="221" fontId="22" fillId="0" borderId="0" applyFont="0" applyFill="0" applyBorder="0" applyAlignment="0" applyProtection="0"/>
    <xf numFmtId="222" fontId="6" fillId="0" borderId="0"/>
    <xf numFmtId="0" fontId="10" fillId="10" borderId="0"/>
    <xf numFmtId="0" fontId="11" fillId="11" borderId="0"/>
    <xf numFmtId="0" fontId="12" fillId="0" borderId="0"/>
    <xf numFmtId="223" fontId="74" fillId="0" borderId="0"/>
    <xf numFmtId="0" fontId="6" fillId="0" borderId="0"/>
    <xf numFmtId="0" fontId="6" fillId="0" borderId="0"/>
    <xf numFmtId="0" fontId="75" fillId="0" borderId="0">
      <alignment horizontal="center"/>
    </xf>
    <xf numFmtId="0" fontId="23" fillId="0" borderId="0">
      <alignment horizontal="center" vertical="center"/>
    </xf>
    <xf numFmtId="0" fontId="22" fillId="0" borderId="13"/>
    <xf numFmtId="0" fontId="22" fillId="0" borderId="14"/>
    <xf numFmtId="49" fontId="22" fillId="0" borderId="14">
      <alignment horizontal="left"/>
    </xf>
    <xf numFmtId="0" fontId="22" fillId="0" borderId="15"/>
    <xf numFmtId="0" fontId="22" fillId="0" borderId="3"/>
    <xf numFmtId="0" fontId="22" fillId="0" borderId="16"/>
    <xf numFmtId="0" fontId="22" fillId="6" borderId="17"/>
    <xf numFmtId="0" fontId="23" fillId="6" borderId="12">
      <alignment horizontal="left"/>
    </xf>
    <xf numFmtId="0" fontId="23" fillId="6" borderId="18">
      <alignment horizontal="left"/>
    </xf>
    <xf numFmtId="0" fontId="22" fillId="6" borderId="12"/>
    <xf numFmtId="0" fontId="22" fillId="0" borderId="0">
      <alignment horizontal="left"/>
    </xf>
    <xf numFmtId="0" fontId="23" fillId="6" borderId="12">
      <alignment horizontal="left"/>
    </xf>
    <xf numFmtId="0" fontId="39" fillId="6" borderId="12">
      <alignment horizontal="left"/>
    </xf>
    <xf numFmtId="0" fontId="22" fillId="6" borderId="18"/>
    <xf numFmtId="0" fontId="22" fillId="0" borderId="13">
      <alignment horizontal="left"/>
    </xf>
    <xf numFmtId="0" fontId="22" fillId="0" borderId="0">
      <alignment horizontal="left"/>
    </xf>
    <xf numFmtId="0" fontId="22" fillId="0" borderId="14">
      <alignment horizontal="center"/>
    </xf>
    <xf numFmtId="0" fontId="22" fillId="0" borderId="0">
      <alignment horizontal="left"/>
    </xf>
    <xf numFmtId="0" fontId="23" fillId="6" borderId="17">
      <alignment horizontal="left"/>
    </xf>
    <xf numFmtId="0" fontId="22" fillId="0" borderId="13">
      <alignment horizontal="left"/>
    </xf>
    <xf numFmtId="0" fontId="22" fillId="0" borderId="13">
      <alignment horizontal="right"/>
    </xf>
    <xf numFmtId="172" fontId="23" fillId="0" borderId="0"/>
    <xf numFmtId="0" fontId="22" fillId="0" borderId="13"/>
    <xf numFmtId="169" fontId="22" fillId="0" borderId="14"/>
    <xf numFmtId="0" fontId="22" fillId="0" borderId="13"/>
    <xf numFmtId="0" fontId="22" fillId="0" borderId="13">
      <alignment horizontal="left"/>
    </xf>
    <xf numFmtId="0" fontId="23" fillId="6" borderId="17"/>
    <xf numFmtId="0" fontId="76" fillId="6" borderId="13">
      <alignment horizontal="left"/>
    </xf>
    <xf numFmtId="0" fontId="22" fillId="6" borderId="14"/>
    <xf numFmtId="0" fontId="23" fillId="6" borderId="13">
      <alignment horizontal="left"/>
    </xf>
    <xf numFmtId="0" fontId="22" fillId="0" borderId="13">
      <alignment horizontal="left"/>
    </xf>
    <xf numFmtId="0" fontId="22" fillId="0" borderId="13">
      <alignment horizontal="left"/>
    </xf>
    <xf numFmtId="14" fontId="75" fillId="0" borderId="0">
      <alignment horizontal="center"/>
    </xf>
    <xf numFmtId="49" fontId="77" fillId="0" borderId="13">
      <alignment horizontal="left"/>
    </xf>
    <xf numFmtId="0" fontId="77" fillId="0" borderId="13"/>
    <xf numFmtId="0" fontId="23" fillId="6" borderId="13">
      <alignment horizontal="left"/>
    </xf>
    <xf numFmtId="0" fontId="23" fillId="6" borderId="13"/>
    <xf numFmtId="49" fontId="22" fillId="0" borderId="14">
      <alignment horizontal="left"/>
    </xf>
    <xf numFmtId="0" fontId="75" fillId="0" borderId="13"/>
    <xf numFmtId="0" fontId="75" fillId="0" borderId="0">
      <alignment horizontal="center"/>
    </xf>
    <xf numFmtId="14" fontId="75" fillId="0" borderId="0">
      <alignment horizontal="center"/>
    </xf>
    <xf numFmtId="0" fontId="75" fillId="0" borderId="15"/>
    <xf numFmtId="0" fontId="22" fillId="0" borderId="3">
      <alignment horizontal="center"/>
    </xf>
    <xf numFmtId="0" fontId="22" fillId="0" borderId="0"/>
    <xf numFmtId="0" fontId="75" fillId="0" borderId="3">
      <alignment horizontal="center"/>
    </xf>
    <xf numFmtId="14" fontId="75" fillId="0" borderId="3">
      <alignment horizontal="center"/>
    </xf>
    <xf numFmtId="0" fontId="23" fillId="0" borderId="0">
      <alignment horizontal="left" vertical="center" wrapText="1"/>
    </xf>
    <xf numFmtId="0" fontId="23" fillId="6" borderId="9">
      <alignment horizontal="left" wrapText="1"/>
    </xf>
    <xf numFmtId="0" fontId="23" fillId="0" borderId="0">
      <alignment horizontal="right" vertical="center"/>
    </xf>
    <xf numFmtId="172" fontId="23" fillId="0" borderId="0">
      <alignment horizontal="right"/>
    </xf>
    <xf numFmtId="14" fontId="78" fillId="0" borderId="0">
      <alignment horizontal="center"/>
    </xf>
    <xf numFmtId="0" fontId="23" fillId="6" borderId="19">
      <alignment horizontal="center" wrapText="1"/>
    </xf>
    <xf numFmtId="0" fontId="55" fillId="0" borderId="0">
      <alignment horizontal="center" vertical="center"/>
    </xf>
    <xf numFmtId="1" fontId="79" fillId="0" borderId="0">
      <alignment horizontal="center" wrapText="1"/>
    </xf>
    <xf numFmtId="0" fontId="23" fillId="6" borderId="9">
      <alignment horizontal="center" wrapText="1"/>
    </xf>
    <xf numFmtId="0" fontId="79" fillId="6" borderId="20">
      <alignment horizontal="center" wrapText="1"/>
    </xf>
    <xf numFmtId="0" fontId="79" fillId="6" borderId="19">
      <alignment horizontal="left" wrapText="1"/>
    </xf>
    <xf numFmtId="0" fontId="22" fillId="0" borderId="14">
      <alignment horizontal="left"/>
    </xf>
    <xf numFmtId="0" fontId="55" fillId="0" borderId="0">
      <alignment horizontal="center"/>
    </xf>
    <xf numFmtId="2" fontId="55" fillId="12" borderId="0">
      <alignment horizontal="center"/>
    </xf>
    <xf numFmtId="0" fontId="22" fillId="0" borderId="0">
      <alignment horizontal="left" vertical="top"/>
    </xf>
    <xf numFmtId="16" fontId="22" fillId="0" borderId="0"/>
    <xf numFmtId="0" fontId="22" fillId="12" borderId="0"/>
    <xf numFmtId="14" fontId="22" fillId="0" borderId="0">
      <alignment horizontal="center"/>
    </xf>
    <xf numFmtId="2" fontId="55" fillId="0" borderId="12">
      <alignment horizontal="center" vertical="center"/>
    </xf>
    <xf numFmtId="0" fontId="23" fillId="6" borderId="0">
      <alignment horizontal="center"/>
    </xf>
    <xf numFmtId="2" fontId="55" fillId="0" borderId="0">
      <alignment horizontal="center"/>
    </xf>
    <xf numFmtId="2" fontId="55" fillId="0" borderId="0">
      <alignment horizontal="center"/>
    </xf>
    <xf numFmtId="0" fontId="22" fillId="0" borderId="0">
      <alignment horizontal="left" vertical="top"/>
    </xf>
    <xf numFmtId="15" fontId="22" fillId="0" borderId="0">
      <alignment horizontal="left" vertical="top"/>
    </xf>
    <xf numFmtId="0" fontId="22" fillId="0" borderId="0">
      <alignment horizontal="left" vertical="top"/>
    </xf>
    <xf numFmtId="14" fontId="22" fillId="0" borderId="0">
      <alignment horizontal="center" vertical="top"/>
    </xf>
    <xf numFmtId="0" fontId="55" fillId="0" borderId="0"/>
    <xf numFmtId="0" fontId="79" fillId="0" borderId="3"/>
    <xf numFmtId="14" fontId="79" fillId="0" borderId="3"/>
    <xf numFmtId="2" fontId="55" fillId="0" borderId="3">
      <alignment horizontal="center"/>
    </xf>
    <xf numFmtId="0" fontId="22" fillId="0" borderId="0">
      <alignment horizontal="center"/>
    </xf>
    <xf numFmtId="2" fontId="55" fillId="0" borderId="3">
      <alignment horizontal="center"/>
    </xf>
    <xf numFmtId="0" fontId="55" fillId="0" borderId="3"/>
    <xf numFmtId="0" fontId="55" fillId="0" borderId="3">
      <alignment horizontal="center"/>
    </xf>
    <xf numFmtId="0" fontId="55" fillId="0" borderId="3">
      <alignment horizontal="center"/>
    </xf>
    <xf numFmtId="0" fontId="23" fillId="0" borderId="0">
      <alignment horizontal="left" vertical="top"/>
    </xf>
    <xf numFmtId="0" fontId="23" fillId="0" borderId="0">
      <alignment horizontal="left" vertical="top"/>
    </xf>
    <xf numFmtId="0" fontId="22" fillId="0" borderId="0">
      <alignment horizontal="center" vertical="top"/>
    </xf>
    <xf numFmtId="43" fontId="55" fillId="0" borderId="0">
      <alignment horizontal="left"/>
    </xf>
    <xf numFmtId="172" fontId="22" fillId="0" borderId="0"/>
    <xf numFmtId="0" fontId="22" fillId="0" borderId="0">
      <alignment horizontal="center"/>
    </xf>
    <xf numFmtId="0" fontId="75" fillId="0" borderId="0"/>
    <xf numFmtId="43" fontId="22" fillId="0" borderId="0"/>
    <xf numFmtId="1" fontId="22" fillId="0" borderId="0"/>
    <xf numFmtId="0" fontId="23" fillId="0" borderId="0"/>
    <xf numFmtId="43" fontId="22" fillId="0" borderId="0">
      <alignment horizontal="center"/>
    </xf>
    <xf numFmtId="43" fontId="22" fillId="0" borderId="21"/>
    <xf numFmtId="43" fontId="22" fillId="0" borderId="22"/>
    <xf numFmtId="0" fontId="22" fillId="0" borderId="10"/>
    <xf numFmtId="43" fontId="22" fillId="0" borderId="0"/>
    <xf numFmtId="1" fontId="79" fillId="0" borderId="16">
      <alignment horizontal="center" wrapText="1"/>
    </xf>
    <xf numFmtId="0" fontId="55" fillId="0" borderId="0">
      <alignment horizontal="center"/>
    </xf>
    <xf numFmtId="0" fontId="22" fillId="0" borderId="0">
      <alignment horizontal="left"/>
    </xf>
    <xf numFmtId="0" fontId="55" fillId="0" borderId="0"/>
    <xf numFmtId="43" fontId="22" fillId="0" borderId="0">
      <alignment horizontal="center"/>
    </xf>
    <xf numFmtId="0" fontId="23" fillId="0" borderId="3">
      <alignment horizontal="left" vertical="top"/>
    </xf>
    <xf numFmtId="0" fontId="22" fillId="0" borderId="3">
      <alignment horizontal="center" vertical="top"/>
    </xf>
    <xf numFmtId="14" fontId="22" fillId="0" borderId="3">
      <alignment horizontal="center" vertical="top"/>
    </xf>
    <xf numFmtId="15" fontId="22" fillId="0" borderId="3">
      <alignment horizontal="left" vertical="top"/>
    </xf>
    <xf numFmtId="0" fontId="25" fillId="0" borderId="0"/>
    <xf numFmtId="224" fontId="22" fillId="0" borderId="0">
      <alignment vertical="top"/>
    </xf>
    <xf numFmtId="0" fontId="22" fillId="0" borderId="3">
      <alignment horizontal="left" vertical="top"/>
    </xf>
    <xf numFmtId="0" fontId="22" fillId="0" borderId="0">
      <alignment horizontal="center" wrapText="1"/>
    </xf>
    <xf numFmtId="0" fontId="22" fillId="0" borderId="0">
      <alignment horizontal="center"/>
    </xf>
    <xf numFmtId="0" fontId="22" fillId="0" borderId="0">
      <alignment horizontal="center" vertical="top"/>
    </xf>
    <xf numFmtId="0" fontId="23" fillId="0" borderId="0"/>
    <xf numFmtId="14" fontId="22" fillId="0" borderId="0">
      <alignment horizontal="center"/>
    </xf>
    <xf numFmtId="14" fontId="22" fillId="0" borderId="0">
      <alignment horizontal="left" vertical="top"/>
    </xf>
    <xf numFmtId="41" fontId="22" fillId="0" borderId="0"/>
    <xf numFmtId="3" fontId="23" fillId="0" borderId="23">
      <alignment horizontal="right" vertical="center"/>
    </xf>
    <xf numFmtId="172" fontId="23" fillId="0" borderId="22">
      <alignment horizontal="right"/>
    </xf>
    <xf numFmtId="225" fontId="79" fillId="0" borderId="0">
      <alignment wrapText="1"/>
    </xf>
    <xf numFmtId="0" fontId="22" fillId="0" borderId="0">
      <alignment horizontal="center"/>
    </xf>
    <xf numFmtId="226" fontId="23" fillId="0" borderId="10"/>
    <xf numFmtId="226" fontId="23" fillId="0" borderId="0"/>
    <xf numFmtId="0" fontId="22" fillId="0" borderId="0">
      <alignment vertical="top"/>
    </xf>
    <xf numFmtId="3" fontId="23" fillId="0" borderId="21">
      <alignment horizontal="right" vertical="center"/>
    </xf>
    <xf numFmtId="0" fontId="79" fillId="0" borderId="15">
      <alignment horizontal="center" wrapText="1"/>
    </xf>
    <xf numFmtId="3" fontId="23" fillId="0" borderId="24">
      <alignment horizontal="right" vertical="center"/>
    </xf>
    <xf numFmtId="3" fontId="23" fillId="0" borderId="0">
      <alignment horizontal="right" vertical="center"/>
    </xf>
    <xf numFmtId="172" fontId="23" fillId="0" borderId="10">
      <alignment horizontal="right"/>
    </xf>
    <xf numFmtId="0" fontId="4" fillId="0" borderId="25">
      <alignment wrapText="1"/>
    </xf>
    <xf numFmtId="227" fontId="4" fillId="0" borderId="25">
      <alignment horizontal="right" wrapText="1"/>
    </xf>
    <xf numFmtId="4" fontId="22" fillId="0" borderId="0">
      <alignment horizontal="center"/>
    </xf>
    <xf numFmtId="0" fontId="23" fillId="6" borderId="9">
      <alignment horizontal="center"/>
    </xf>
    <xf numFmtId="0" fontId="23" fillId="6" borderId="20">
      <alignment horizontal="center"/>
    </xf>
    <xf numFmtId="14" fontId="22" fillId="0" borderId="0">
      <alignment horizontal="center" vertical="top"/>
    </xf>
    <xf numFmtId="0" fontId="22" fillId="13" borderId="0">
      <alignment vertical="top"/>
    </xf>
    <xf numFmtId="0" fontId="22" fillId="13" borderId="0"/>
    <xf numFmtId="0" fontId="4" fillId="0" borderId="25">
      <alignment wrapText="1"/>
    </xf>
    <xf numFmtId="228" fontId="26" fillId="0" borderId="0">
      <alignment horizontal="right" vertical="center" wrapText="1"/>
    </xf>
    <xf numFmtId="0" fontId="26" fillId="0" borderId="0">
      <alignment horizontal="right" vertical="center" wrapText="1"/>
    </xf>
    <xf numFmtId="0" fontId="4" fillId="0" borderId="0">
      <alignment wrapText="1"/>
    </xf>
    <xf numFmtId="172" fontId="22" fillId="0" borderId="0"/>
    <xf numFmtId="0" fontId="22" fillId="13" borderId="0">
      <alignment horizontal="center"/>
    </xf>
    <xf numFmtId="0" fontId="23" fillId="13" borderId="0"/>
    <xf numFmtId="0" fontId="22" fillId="13" borderId="0">
      <alignment horizontal="center" vertical="top"/>
    </xf>
    <xf numFmtId="0" fontId="22" fillId="0" borderId="0">
      <alignment vertical="top"/>
    </xf>
    <xf numFmtId="14" fontId="22" fillId="13" borderId="0">
      <alignment horizontal="center" vertical="top"/>
    </xf>
    <xf numFmtId="15" fontId="22" fillId="13" borderId="0">
      <alignment horizontal="left" vertical="top"/>
    </xf>
    <xf numFmtId="0" fontId="22" fillId="13" borderId="0">
      <alignment horizontal="left" vertical="top"/>
    </xf>
    <xf numFmtId="14" fontId="22" fillId="13" borderId="0">
      <alignment horizontal="left" vertical="top"/>
    </xf>
    <xf numFmtId="0" fontId="22" fillId="14" borderId="0">
      <alignment horizontal="center"/>
    </xf>
    <xf numFmtId="0" fontId="23" fillId="14" borderId="0"/>
    <xf numFmtId="0" fontId="22" fillId="14" borderId="0">
      <alignment horizontal="center" vertical="top"/>
    </xf>
    <xf numFmtId="14" fontId="22" fillId="14" borderId="0">
      <alignment horizontal="center" vertical="top"/>
    </xf>
    <xf numFmtId="0" fontId="22" fillId="14" borderId="0">
      <alignment vertical="top"/>
    </xf>
    <xf numFmtId="15" fontId="22" fillId="14" borderId="0">
      <alignment horizontal="left" vertical="top"/>
    </xf>
    <xf numFmtId="15" fontId="75" fillId="0" borderId="0">
      <alignment horizontal="left"/>
    </xf>
    <xf numFmtId="0" fontId="22" fillId="14" borderId="0">
      <alignment horizontal="left" vertical="top"/>
    </xf>
    <xf numFmtId="172" fontId="22" fillId="14" borderId="0">
      <alignment vertical="top"/>
    </xf>
    <xf numFmtId="14" fontId="22" fillId="14" borderId="0">
      <alignment horizontal="left" vertical="top"/>
    </xf>
    <xf numFmtId="0" fontId="22" fillId="14" borderId="0">
      <alignment horizontal="center"/>
    </xf>
    <xf numFmtId="0" fontId="22" fillId="14" borderId="0"/>
    <xf numFmtId="0" fontId="23" fillId="14" borderId="0">
      <alignment horizontal="left" vertical="top"/>
    </xf>
    <xf numFmtId="14" fontId="22" fillId="14" borderId="0">
      <alignment horizontal="center" vertical="top"/>
    </xf>
    <xf numFmtId="0" fontId="55" fillId="14" borderId="0">
      <alignment horizontal="center"/>
    </xf>
    <xf numFmtId="0" fontId="75" fillId="14" borderId="0">
      <alignment horizontal="center"/>
    </xf>
    <xf numFmtId="0" fontId="22" fillId="14" borderId="0"/>
    <xf numFmtId="0" fontId="55" fillId="0" borderId="0"/>
    <xf numFmtId="0" fontId="23" fillId="0" borderId="0">
      <alignment horizontal="center"/>
    </xf>
    <xf numFmtId="0" fontId="23" fillId="0" borderId="0">
      <alignment horizontal="center"/>
    </xf>
    <xf numFmtId="172" fontId="23" fillId="6" borderId="23">
      <alignment horizontal="center"/>
    </xf>
    <xf numFmtId="172" fontId="23" fillId="6" borderId="24">
      <alignment horizontal="center"/>
    </xf>
    <xf numFmtId="2" fontId="55" fillId="0" borderId="0"/>
    <xf numFmtId="0" fontId="55" fillId="0" borderId="0"/>
    <xf numFmtId="2" fontId="55" fillId="0" borderId="0">
      <alignment horizontal="center"/>
    </xf>
    <xf numFmtId="0" fontId="55" fillId="0" borderId="0">
      <alignment horizontal="center"/>
    </xf>
    <xf numFmtId="0" fontId="75" fillId="0" borderId="0">
      <alignment wrapText="1"/>
    </xf>
    <xf numFmtId="0" fontId="55" fillId="0" borderId="0">
      <alignment horizontal="center"/>
    </xf>
    <xf numFmtId="0" fontId="79" fillId="0" borderId="0">
      <alignment horizontal="left" vertical="center"/>
    </xf>
    <xf numFmtId="2" fontId="55" fillId="0" borderId="12">
      <alignment horizontal="center" vertical="center"/>
    </xf>
    <xf numFmtId="0" fontId="55" fillId="0" borderId="12">
      <alignment horizontal="center" vertical="center"/>
    </xf>
    <xf numFmtId="0" fontId="55" fillId="0" borderId="18">
      <alignment horizontal="center" vertical="center"/>
    </xf>
    <xf numFmtId="0" fontId="55" fillId="0" borderId="0">
      <alignment horizontal="center" vertical="center"/>
    </xf>
    <xf numFmtId="0" fontId="55" fillId="0" borderId="0">
      <alignment horizontal="left" vertical="center"/>
    </xf>
    <xf numFmtId="0" fontId="79" fillId="0" borderId="0">
      <alignment horizontal="left"/>
    </xf>
    <xf numFmtId="0" fontId="79" fillId="0" borderId="0">
      <alignment horizontal="left"/>
    </xf>
    <xf numFmtId="0" fontId="79" fillId="0" borderId="0">
      <alignment horizontal="center"/>
    </xf>
    <xf numFmtId="0" fontId="22" fillId="0" borderId="0">
      <alignment horizontal="center" vertical="center" wrapText="1"/>
    </xf>
    <xf numFmtId="0" fontId="79" fillId="0" borderId="0">
      <alignment horizontal="center" wrapText="1"/>
    </xf>
    <xf numFmtId="0" fontId="79" fillId="0" borderId="13">
      <alignment horizontal="center" wrapText="1"/>
    </xf>
    <xf numFmtId="1" fontId="79" fillId="0" borderId="14">
      <alignment horizontal="center" wrapText="1"/>
    </xf>
    <xf numFmtId="0" fontId="79" fillId="0" borderId="0">
      <alignment horizontal="center"/>
    </xf>
    <xf numFmtId="229" fontId="79" fillId="0" borderId="0">
      <alignment horizontal="center" wrapText="1"/>
    </xf>
    <xf numFmtId="43" fontId="79" fillId="0" borderId="0"/>
    <xf numFmtId="0" fontId="79" fillId="0" borderId="0"/>
    <xf numFmtId="0" fontId="55" fillId="0" borderId="0">
      <alignment wrapText="1"/>
    </xf>
    <xf numFmtId="0" fontId="79" fillId="0" borderId="0">
      <alignment horizontal="center" wrapText="1"/>
    </xf>
    <xf numFmtId="0" fontId="79" fillId="0" borderId="0">
      <alignment horizontal="center" wrapText="1"/>
    </xf>
    <xf numFmtId="43" fontId="22" fillId="0" borderId="0">
      <alignment horizontal="center" vertical="center" wrapText="1"/>
    </xf>
    <xf numFmtId="0" fontId="79" fillId="0" borderId="0">
      <alignment horizontal="center" wrapText="1"/>
    </xf>
    <xf numFmtId="230" fontId="79" fillId="0" borderId="0">
      <alignment horizontal="center" wrapText="1"/>
    </xf>
    <xf numFmtId="0" fontId="79" fillId="6" borderId="9">
      <alignment horizontal="center" wrapText="1"/>
    </xf>
    <xf numFmtId="2" fontId="79" fillId="6" borderId="9">
      <alignment horizontal="center" wrapText="1"/>
    </xf>
    <xf numFmtId="0" fontId="79" fillId="6" borderId="9">
      <alignment horizontal="center" wrapText="1"/>
    </xf>
    <xf numFmtId="0" fontId="79" fillId="0" borderId="0">
      <alignment horizontal="center" wrapText="1"/>
    </xf>
    <xf numFmtId="0" fontId="22" fillId="0" borderId="0"/>
    <xf numFmtId="0" fontId="22" fillId="0" borderId="0"/>
    <xf numFmtId="0" fontId="80" fillId="0" borderId="0">
      <alignment horizontal="left" vertical="center"/>
    </xf>
    <xf numFmtId="172" fontId="80" fillId="0" borderId="0">
      <alignment horizontal="left" vertical="center"/>
    </xf>
    <xf numFmtId="0" fontId="23" fillId="0" borderId="0">
      <alignment horizontal="center" vertical="center" wrapText="1"/>
    </xf>
    <xf numFmtId="0" fontId="80" fillId="0" borderId="0">
      <alignment horizontal="center" vertical="center"/>
    </xf>
    <xf numFmtId="0" fontId="23" fillId="0" borderId="23">
      <alignment horizontal="left"/>
    </xf>
    <xf numFmtId="41" fontId="23" fillId="0" borderId="26"/>
    <xf numFmtId="0" fontId="23" fillId="0" borderId="23"/>
    <xf numFmtId="41" fontId="23" fillId="0" borderId="0"/>
    <xf numFmtId="0" fontId="23" fillId="0" borderId="21"/>
    <xf numFmtId="172" fontId="23" fillId="0" borderId="27"/>
    <xf numFmtId="172" fontId="23" fillId="0" borderId="0"/>
    <xf numFmtId="43" fontId="23" fillId="0" borderId="27"/>
    <xf numFmtId="43" fontId="23" fillId="0" borderId="0"/>
    <xf numFmtId="0" fontId="22" fillId="0" borderId="0">
      <alignment wrapText="1"/>
    </xf>
    <xf numFmtId="0" fontId="23" fillId="0" borderId="22"/>
    <xf numFmtId="43" fontId="23" fillId="0" borderId="28"/>
    <xf numFmtId="0" fontId="23" fillId="0" borderId="0">
      <alignment horizontal="center"/>
    </xf>
    <xf numFmtId="0" fontId="23" fillId="6" borderId="23">
      <alignment horizontal="center"/>
    </xf>
    <xf numFmtId="172" fontId="23" fillId="6" borderId="24">
      <alignment horizontal="center"/>
    </xf>
    <xf numFmtId="0" fontId="23" fillId="6" borderId="24">
      <alignment horizontal="center"/>
    </xf>
    <xf numFmtId="0" fontId="23" fillId="6" borderId="26">
      <alignment horizontal="center"/>
    </xf>
    <xf numFmtId="0" fontId="23" fillId="6" borderId="22">
      <alignment horizontal="center"/>
    </xf>
    <xf numFmtId="172" fontId="23" fillId="6" borderId="10">
      <alignment horizontal="right"/>
    </xf>
    <xf numFmtId="0" fontId="23" fillId="6" borderId="10">
      <alignment horizontal="center"/>
    </xf>
    <xf numFmtId="0" fontId="22" fillId="0" borderId="0">
      <alignment horizontal="left" vertical="center" wrapText="1"/>
    </xf>
    <xf numFmtId="0" fontId="23" fillId="6" borderId="28">
      <alignment horizontal="center"/>
    </xf>
    <xf numFmtId="0" fontId="23" fillId="15" borderId="0">
      <alignment horizontal="center"/>
    </xf>
    <xf numFmtId="172" fontId="23" fillId="6" borderId="22">
      <alignment horizontal="center"/>
    </xf>
    <xf numFmtId="172" fontId="23" fillId="6" borderId="10">
      <alignment horizontal="center"/>
    </xf>
    <xf numFmtId="0" fontId="23" fillId="6" borderId="10">
      <alignment horizontal="center"/>
    </xf>
    <xf numFmtId="172" fontId="23" fillId="6" borderId="28">
      <alignment horizontal="center"/>
    </xf>
    <xf numFmtId="0" fontId="23" fillId="6" borderId="29">
      <alignment horizontal="center"/>
    </xf>
    <xf numFmtId="0" fontId="23" fillId="6" borderId="3">
      <alignment horizontal="center"/>
    </xf>
    <xf numFmtId="0" fontId="23" fillId="6" borderId="3">
      <alignment horizontal="center"/>
    </xf>
    <xf numFmtId="0" fontId="23" fillId="6" borderId="30">
      <alignment horizontal="center"/>
    </xf>
    <xf numFmtId="0" fontId="22" fillId="0" borderId="0"/>
    <xf numFmtId="0" fontId="23" fillId="6" borderId="21">
      <alignment horizontal="center"/>
    </xf>
    <xf numFmtId="0" fontId="23" fillId="6" borderId="0">
      <alignment horizontal="center"/>
    </xf>
    <xf numFmtId="0" fontId="23" fillId="6" borderId="27">
      <alignment horizontal="center"/>
    </xf>
    <xf numFmtId="0" fontId="39" fillId="0" borderId="0">
      <alignment horizontal="left"/>
    </xf>
    <xf numFmtId="49" fontId="22" fillId="0" borderId="0">
      <alignment horizontal="left"/>
    </xf>
    <xf numFmtId="0" fontId="39" fillId="0" borderId="0">
      <alignment horizontal="left"/>
    </xf>
    <xf numFmtId="15" fontId="75" fillId="15" borderId="0">
      <alignment horizontal="left"/>
    </xf>
    <xf numFmtId="0" fontId="22" fillId="0" borderId="0">
      <alignment horizontal="right"/>
    </xf>
    <xf numFmtId="49" fontId="22" fillId="0" borderId="0">
      <alignment horizontal="left"/>
    </xf>
    <xf numFmtId="49" fontId="22" fillId="0" borderId="0">
      <alignment horizontal="left"/>
    </xf>
    <xf numFmtId="10" fontId="75" fillId="0" borderId="0"/>
    <xf numFmtId="0" fontId="2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81" fillId="0" borderId="0">
      <alignment horizontal="left" vertical="top"/>
      <protection locked="0"/>
    </xf>
    <xf numFmtId="0" fontId="35" fillId="0" borderId="11" applyNumberFormat="0" applyFont="0" applyFill="0" applyAlignment="0" applyProtection="0"/>
    <xf numFmtId="40" fontId="82" fillId="15" borderId="0">
      <alignment horizontal="right"/>
    </xf>
    <xf numFmtId="0" fontId="83" fillId="15" borderId="0">
      <alignment horizontal="right"/>
    </xf>
    <xf numFmtId="0" fontId="84" fillId="15" borderId="14"/>
    <xf numFmtId="0" fontId="84" fillId="0" borderId="0" applyBorder="0">
      <alignment horizontal="centerContinuous"/>
    </xf>
    <xf numFmtId="231" fontId="85" fillId="0" borderId="0" applyFill="0">
      <alignment horizontal="center" vertical="center"/>
    </xf>
    <xf numFmtId="0" fontId="23" fillId="0" borderId="31" applyNumberFormat="0" applyAlignment="0" applyProtection="0"/>
    <xf numFmtId="0" fontId="22" fillId="16" borderId="0" applyNumberFormat="0" applyFont="0" applyBorder="0" applyAlignment="0" applyProtection="0"/>
    <xf numFmtId="0" fontId="2" fillId="17" borderId="32" applyNumberFormat="0" applyFont="0" applyBorder="0" applyAlignment="0" applyProtection="0">
      <alignment horizontal="center"/>
    </xf>
    <xf numFmtId="0" fontId="2" fillId="18" borderId="32" applyNumberFormat="0" applyFont="0" applyBorder="0" applyAlignment="0" applyProtection="0">
      <alignment horizontal="center"/>
    </xf>
    <xf numFmtId="0" fontId="22" fillId="0" borderId="33" applyNumberFormat="0" applyAlignment="0" applyProtection="0"/>
    <xf numFmtId="0" fontId="22" fillId="0" borderId="34" applyNumberFormat="0" applyAlignment="0" applyProtection="0"/>
    <xf numFmtId="0" fontId="23" fillId="0" borderId="35" applyNumberFormat="0" applyAlignment="0" applyProtection="0"/>
    <xf numFmtId="14" fontId="27" fillId="0" borderId="0">
      <alignment horizontal="center" wrapText="1"/>
      <protection locked="0"/>
    </xf>
    <xf numFmtId="9" fontId="1" fillId="0" borderId="0" applyFont="0" applyFill="0" applyBorder="0" applyAlignment="0" applyProtection="0"/>
    <xf numFmtId="9" fontId="55" fillId="0" borderId="0" applyFont="0" applyFill="0" applyBorder="0" applyAlignment="0" applyProtection="0"/>
    <xf numFmtId="232" fontId="86" fillId="0" borderId="0" applyFont="0" applyFill="0" applyBorder="0" applyAlignment="0" applyProtection="0"/>
    <xf numFmtId="169" fontId="55" fillId="0" borderId="0" applyFont="0" applyFill="0" applyBorder="0" applyAlignment="0" applyProtection="0"/>
    <xf numFmtId="233" fontId="55" fillId="0" borderId="0" applyFont="0" applyFill="0" applyBorder="0" applyAlignment="0" applyProtection="0"/>
    <xf numFmtId="234" fontId="55" fillId="0" borderId="0" applyFont="0" applyFill="0" applyBorder="0" applyAlignment="0" applyProtection="0"/>
    <xf numFmtId="10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 applyFont="0" applyFill="0" applyBorder="0" applyProtection="0">
      <alignment horizontal="right"/>
    </xf>
    <xf numFmtId="172" fontId="75" fillId="0" borderId="0">
      <alignment horizontal="right"/>
    </xf>
    <xf numFmtId="172" fontId="23" fillId="0" borderId="0">
      <alignment horizontal="left" vertical="center"/>
    </xf>
    <xf numFmtId="171" fontId="2" fillId="0" borderId="0"/>
    <xf numFmtId="172" fontId="75" fillId="0" borderId="0">
      <alignment horizontal="right"/>
    </xf>
    <xf numFmtId="172" fontId="75" fillId="0" borderId="0">
      <alignment horizontal="center"/>
    </xf>
    <xf numFmtId="170" fontId="75" fillId="0" borderId="0">
      <alignment horizontal="right"/>
    </xf>
    <xf numFmtId="172" fontId="75" fillId="0" borderId="3">
      <alignment horizontal="right"/>
    </xf>
    <xf numFmtId="172" fontId="75" fillId="0" borderId="3">
      <alignment horizontal="center"/>
    </xf>
    <xf numFmtId="170" fontId="75" fillId="0" borderId="3">
      <alignment horizontal="right"/>
    </xf>
    <xf numFmtId="43" fontId="75" fillId="0" borderId="3">
      <alignment horizontal="center"/>
    </xf>
    <xf numFmtId="235" fontId="75" fillId="0" borderId="12"/>
    <xf numFmtId="236" fontId="75" fillId="0" borderId="12">
      <alignment horizontal="center"/>
    </xf>
    <xf numFmtId="172" fontId="23" fillId="0" borderId="0">
      <alignment horizontal="right" vertical="center"/>
    </xf>
    <xf numFmtId="236" fontId="75" fillId="0" borderId="18">
      <alignment horizontal="center" wrapText="1"/>
    </xf>
    <xf numFmtId="236" fontId="75" fillId="0" borderId="0">
      <alignment horizontal="center"/>
    </xf>
    <xf numFmtId="236" fontId="75" fillId="0" borderId="14">
      <alignment horizontal="center" wrapText="1"/>
    </xf>
    <xf numFmtId="235" fontId="75" fillId="0" borderId="14">
      <alignment wrapText="1"/>
    </xf>
    <xf numFmtId="235" fontId="75" fillId="0" borderId="3"/>
    <xf numFmtId="235" fontId="75" fillId="0" borderId="16">
      <alignment wrapText="1"/>
    </xf>
    <xf numFmtId="237" fontId="23" fillId="0" borderId="0">
      <alignment horizontal="left"/>
    </xf>
    <xf numFmtId="238" fontId="23" fillId="0" borderId="0">
      <alignment horizontal="left"/>
    </xf>
    <xf numFmtId="239" fontId="23" fillId="0" borderId="0">
      <alignment horizontal="left"/>
    </xf>
    <xf numFmtId="172" fontId="22" fillId="0" borderId="0">
      <alignment vertical="top"/>
    </xf>
    <xf numFmtId="240" fontId="23" fillId="0" borderId="0">
      <alignment horizontal="center"/>
    </xf>
    <xf numFmtId="235" fontId="78" fillId="0" borderId="0"/>
    <xf numFmtId="172" fontId="55" fillId="0" borderId="0">
      <alignment horizontal="right"/>
    </xf>
    <xf numFmtId="172" fontId="55" fillId="0" borderId="0">
      <alignment horizontal="center"/>
    </xf>
    <xf numFmtId="236" fontId="22" fillId="0" borderId="0">
      <alignment horizontal="center" vertical="top"/>
    </xf>
    <xf numFmtId="172" fontId="20" fillId="0" borderId="3">
      <alignment horizontal="centerContinuous"/>
    </xf>
    <xf numFmtId="172" fontId="2" fillId="0" borderId="3">
      <alignment horizontal="center"/>
    </xf>
    <xf numFmtId="172" fontId="2" fillId="0" borderId="0"/>
    <xf numFmtId="172" fontId="2" fillId="0" borderId="3"/>
    <xf numFmtId="43" fontId="2" fillId="0" borderId="3"/>
    <xf numFmtId="43" fontId="20" fillId="0" borderId="0">
      <alignment horizontal="right"/>
    </xf>
    <xf numFmtId="170" fontId="23" fillId="0" borderId="0">
      <alignment horizontal="right" vertical="center"/>
    </xf>
    <xf numFmtId="165" fontId="79" fillId="0" borderId="0">
      <alignment horizontal="center" wrapText="1"/>
    </xf>
    <xf numFmtId="2" fontId="79" fillId="0" borderId="0">
      <alignment horizontal="center"/>
    </xf>
    <xf numFmtId="43" fontId="55" fillId="0" borderId="0"/>
    <xf numFmtId="0" fontId="2" fillId="0" borderId="0">
      <alignment horizontal="center"/>
    </xf>
    <xf numFmtId="43" fontId="22" fillId="0" borderId="0">
      <alignment horizontal="center" vertical="top"/>
    </xf>
    <xf numFmtId="235" fontId="22" fillId="0" borderId="0">
      <alignment horizontal="center" vertical="top"/>
    </xf>
    <xf numFmtId="236" fontId="22" fillId="0" borderId="0">
      <alignment horizontal="center" vertical="top" wrapText="1"/>
    </xf>
    <xf numFmtId="43" fontId="22" fillId="0" borderId="0">
      <alignment horizontal="left" vertical="top"/>
    </xf>
    <xf numFmtId="172" fontId="22" fillId="0" borderId="0">
      <alignment horizontal="right" vertical="top"/>
    </xf>
    <xf numFmtId="43" fontId="22" fillId="0" borderId="0">
      <alignment horizontal="center" vertical="top"/>
    </xf>
    <xf numFmtId="43" fontId="23" fillId="0" borderId="0">
      <alignment horizontal="center"/>
    </xf>
    <xf numFmtId="235" fontId="22" fillId="0" borderId="0">
      <alignment horizontal="center" vertical="top"/>
    </xf>
    <xf numFmtId="236" fontId="22" fillId="0" borderId="0">
      <alignment horizontal="center" vertical="top" wrapText="1"/>
    </xf>
    <xf numFmtId="172" fontId="22" fillId="0" borderId="0">
      <alignment horizontal="left" vertical="top"/>
    </xf>
    <xf numFmtId="43" fontId="22" fillId="0" borderId="0">
      <alignment horizontal="left" vertical="top"/>
    </xf>
    <xf numFmtId="172" fontId="2" fillId="0" borderId="0">
      <alignment horizontal="left"/>
    </xf>
    <xf numFmtId="172" fontId="20" fillId="0" borderId="0">
      <alignment horizontal="centerContinuous"/>
    </xf>
    <xf numFmtId="172" fontId="20" fillId="0" borderId="0">
      <alignment horizontal="left"/>
    </xf>
    <xf numFmtId="172" fontId="20" fillId="0" borderId="3">
      <alignment horizontal="left"/>
    </xf>
    <xf numFmtId="43" fontId="55" fillId="0" borderId="0"/>
    <xf numFmtId="43" fontId="55" fillId="0" borderId="3">
      <alignment horizontal="center"/>
    </xf>
    <xf numFmtId="235" fontId="23" fillId="0" borderId="0">
      <alignment horizontal="center"/>
    </xf>
    <xf numFmtId="43" fontId="55" fillId="0" borderId="3"/>
    <xf numFmtId="43" fontId="20" fillId="0" borderId="0"/>
    <xf numFmtId="172" fontId="2" fillId="14" borderId="0">
      <alignment horizontal="center"/>
    </xf>
    <xf numFmtId="172" fontId="2" fillId="14" borderId="0">
      <alignment horizontal="center"/>
    </xf>
    <xf numFmtId="172" fontId="20" fillId="14" borderId="0">
      <alignment horizontal="centerContinuous"/>
    </xf>
    <xf numFmtId="172" fontId="20" fillId="14" borderId="3">
      <alignment horizontal="center" wrapText="1"/>
    </xf>
    <xf numFmtId="172" fontId="2" fillId="19" borderId="0">
      <alignment horizontal="center"/>
    </xf>
    <xf numFmtId="172" fontId="2" fillId="19" borderId="0">
      <alignment horizontal="center"/>
    </xf>
    <xf numFmtId="172" fontId="20" fillId="19" borderId="0">
      <alignment horizontal="centerContinuous"/>
    </xf>
    <xf numFmtId="172" fontId="20" fillId="19" borderId="3">
      <alignment horizontal="centerContinuous"/>
    </xf>
    <xf numFmtId="235" fontId="23" fillId="0" borderId="0">
      <alignment horizontal="center" wrapText="1"/>
    </xf>
    <xf numFmtId="172" fontId="22" fillId="0" borderId="0"/>
    <xf numFmtId="43" fontId="22" fillId="0" borderId="0"/>
    <xf numFmtId="43" fontId="22" fillId="0" borderId="0">
      <alignment horizontal="center"/>
    </xf>
    <xf numFmtId="172" fontId="22" fillId="0" borderId="0"/>
    <xf numFmtId="171" fontId="22" fillId="0" borderId="0"/>
    <xf numFmtId="43" fontId="22" fillId="0" borderId="27"/>
    <xf numFmtId="172" fontId="22" fillId="0" borderId="3"/>
    <xf numFmtId="43" fontId="22" fillId="0" borderId="28"/>
    <xf numFmtId="171" fontId="22" fillId="0" borderId="10"/>
    <xf numFmtId="10" fontId="22" fillId="0" borderId="0"/>
    <xf numFmtId="237" fontId="23" fillId="0" borderId="0">
      <alignment horizontal="center"/>
    </xf>
    <xf numFmtId="43" fontId="22" fillId="0" borderId="0"/>
    <xf numFmtId="241" fontId="23" fillId="0" borderId="0">
      <alignment horizontal="center" vertical="top"/>
    </xf>
    <xf numFmtId="14" fontId="20" fillId="0" borderId="0">
      <alignment horizontal="center"/>
    </xf>
    <xf numFmtId="4" fontId="55" fillId="0" borderId="0">
      <alignment horizontal="right" vertical="top"/>
    </xf>
    <xf numFmtId="172" fontId="55" fillId="0" borderId="0">
      <alignment horizontal="center" vertical="top"/>
    </xf>
    <xf numFmtId="172" fontId="22" fillId="0" borderId="3">
      <alignment horizontal="right" vertical="top"/>
    </xf>
    <xf numFmtId="170" fontId="22" fillId="0" borderId="3">
      <alignment horizontal="center" vertical="top"/>
    </xf>
    <xf numFmtId="43" fontId="22" fillId="0" borderId="3">
      <alignment horizontal="center" vertical="top"/>
    </xf>
    <xf numFmtId="235" fontId="22" fillId="0" borderId="3">
      <alignment horizontal="center" vertical="top"/>
    </xf>
    <xf numFmtId="236" fontId="22" fillId="0" borderId="3">
      <alignment horizontal="center" vertical="top" wrapText="1"/>
    </xf>
    <xf numFmtId="237" fontId="23" fillId="0" borderId="0">
      <alignment horizontal="center" wrapText="1"/>
    </xf>
    <xf numFmtId="172" fontId="22" fillId="0" borderId="3">
      <alignment horizontal="center" vertical="top"/>
    </xf>
    <xf numFmtId="172" fontId="22" fillId="0" borderId="3">
      <alignment horizontal="left" vertical="top"/>
    </xf>
    <xf numFmtId="172" fontId="22" fillId="0" borderId="3">
      <alignment vertical="top"/>
    </xf>
    <xf numFmtId="43" fontId="22" fillId="0" borderId="3">
      <alignment horizontal="left" vertical="top"/>
    </xf>
    <xf numFmtId="236" fontId="22" fillId="0" borderId="3">
      <alignment horizontal="center" vertical="top"/>
    </xf>
    <xf numFmtId="43" fontId="2" fillId="0" borderId="0">
      <alignment horizontal="center"/>
    </xf>
    <xf numFmtId="172" fontId="23" fillId="0" borderId="24">
      <alignment horizontal="right" vertical="center"/>
    </xf>
    <xf numFmtId="239" fontId="23" fillId="0" borderId="24">
      <alignment horizontal="left"/>
    </xf>
    <xf numFmtId="242" fontId="23" fillId="0" borderId="24">
      <alignment horizontal="left"/>
    </xf>
    <xf numFmtId="170" fontId="23" fillId="0" borderId="24">
      <alignment horizontal="right" vertical="center"/>
    </xf>
    <xf numFmtId="172" fontId="23" fillId="0" borderId="0">
      <alignment horizontal="left"/>
    </xf>
    <xf numFmtId="172" fontId="23" fillId="0" borderId="10">
      <alignment horizontal="right" vertical="center"/>
    </xf>
    <xf numFmtId="239" fontId="23" fillId="0" borderId="10">
      <alignment horizontal="left"/>
    </xf>
    <xf numFmtId="242" fontId="23" fillId="0" borderId="10">
      <alignment horizontal="left"/>
    </xf>
    <xf numFmtId="170" fontId="23" fillId="0" borderId="10">
      <alignment horizontal="right"/>
    </xf>
    <xf numFmtId="243" fontId="23" fillId="0" borderId="28">
      <alignment horizontal="left"/>
    </xf>
    <xf numFmtId="172" fontId="23" fillId="0" borderId="10">
      <alignment horizontal="left" vertical="center"/>
    </xf>
    <xf numFmtId="171" fontId="2" fillId="0" borderId="0">
      <alignment horizontal="center"/>
    </xf>
    <xf numFmtId="43" fontId="2" fillId="14" borderId="0">
      <alignment horizontal="center"/>
    </xf>
    <xf numFmtId="43" fontId="2" fillId="19" borderId="0">
      <alignment horizontal="center"/>
    </xf>
    <xf numFmtId="242" fontId="23" fillId="0" borderId="0">
      <alignment horizontal="left"/>
    </xf>
    <xf numFmtId="169" fontId="20" fillId="0" borderId="0" applyFill="0" applyBorder="0" applyAlignment="0" applyProtection="0"/>
    <xf numFmtId="172" fontId="75" fillId="0" borderId="0">
      <alignment horizontal="center"/>
    </xf>
    <xf numFmtId="172" fontId="23" fillId="0" borderId="0">
      <alignment horizontal="right"/>
    </xf>
    <xf numFmtId="243" fontId="23" fillId="0" borderId="27">
      <alignment horizontal="left"/>
    </xf>
    <xf numFmtId="43" fontId="22" fillId="0" borderId="26">
      <alignment horizontal="center"/>
    </xf>
    <xf numFmtId="172" fontId="23" fillId="0" borderId="3">
      <alignment horizontal="right" vertical="center"/>
    </xf>
    <xf numFmtId="244" fontId="23" fillId="0" borderId="27">
      <alignment horizontal="left"/>
    </xf>
    <xf numFmtId="172" fontId="22" fillId="13" borderId="0"/>
    <xf numFmtId="172" fontId="22" fillId="13" borderId="0">
      <alignment horizontal="center" vertical="top"/>
    </xf>
    <xf numFmtId="172" fontId="22" fillId="0" borderId="10"/>
    <xf numFmtId="172" fontId="22" fillId="13" borderId="0">
      <alignment horizontal="center" vertical="top"/>
    </xf>
    <xf numFmtId="172" fontId="22" fillId="13" borderId="0">
      <alignment horizontal="right" vertical="top"/>
    </xf>
    <xf numFmtId="170" fontId="22" fillId="13" borderId="0">
      <alignment horizontal="center" vertical="top"/>
    </xf>
    <xf numFmtId="170" fontId="23" fillId="0" borderId="0">
      <alignment horizontal="right"/>
    </xf>
    <xf numFmtId="43" fontId="22" fillId="13" borderId="0">
      <alignment horizontal="center" vertical="top"/>
    </xf>
    <xf numFmtId="235" fontId="22" fillId="13" borderId="0">
      <alignment horizontal="center" vertical="top"/>
    </xf>
    <xf numFmtId="236" fontId="22" fillId="13" borderId="0">
      <alignment horizontal="center" vertical="top"/>
    </xf>
    <xf numFmtId="236" fontId="22" fillId="13" borderId="0">
      <alignment horizontal="center" vertical="top" wrapText="1"/>
    </xf>
    <xf numFmtId="172" fontId="22" fillId="13" borderId="0">
      <alignment horizontal="left" vertical="top"/>
    </xf>
    <xf numFmtId="43" fontId="22" fillId="13" borderId="0">
      <alignment horizontal="left" vertical="top"/>
    </xf>
    <xf numFmtId="43" fontId="22" fillId="13" borderId="0"/>
    <xf numFmtId="172" fontId="22" fillId="14" borderId="0">
      <alignment horizontal="center" vertical="top"/>
    </xf>
    <xf numFmtId="172" fontId="22" fillId="14" borderId="0">
      <alignment horizontal="right" vertical="top"/>
    </xf>
    <xf numFmtId="170" fontId="22" fillId="14" borderId="0">
      <alignment horizontal="center" vertical="top"/>
    </xf>
    <xf numFmtId="172" fontId="22" fillId="0" borderId="0">
      <alignment horizontal="right"/>
    </xf>
    <xf numFmtId="43" fontId="22" fillId="14" borderId="0">
      <alignment horizontal="center" vertical="top"/>
    </xf>
    <xf numFmtId="235" fontId="22" fillId="14" borderId="0">
      <alignment horizontal="center" vertical="top"/>
    </xf>
    <xf numFmtId="236" fontId="22" fillId="14" borderId="0">
      <alignment horizontal="center" vertical="top"/>
    </xf>
    <xf numFmtId="236" fontId="22" fillId="14" borderId="0">
      <alignment horizontal="center" vertical="top" wrapText="1"/>
    </xf>
    <xf numFmtId="172" fontId="22" fillId="14" borderId="0">
      <alignment horizontal="center" vertical="top"/>
    </xf>
    <xf numFmtId="172" fontId="22" fillId="14" borderId="0">
      <alignment horizontal="left" vertical="top"/>
    </xf>
    <xf numFmtId="172" fontId="22" fillId="14" borderId="0"/>
    <xf numFmtId="43" fontId="22" fillId="14" borderId="0">
      <alignment horizontal="left" vertical="top"/>
    </xf>
    <xf numFmtId="235" fontId="22" fillId="14" borderId="0">
      <alignment horizontal="center" vertical="top"/>
    </xf>
    <xf numFmtId="236" fontId="75" fillId="14" borderId="0">
      <alignment horizontal="center" wrapText="1"/>
    </xf>
    <xf numFmtId="172" fontId="22" fillId="0" borderId="0"/>
    <xf numFmtId="172" fontId="22" fillId="14" borderId="0">
      <alignment horizontal="left" vertical="top"/>
    </xf>
    <xf numFmtId="172" fontId="22" fillId="14" borderId="0">
      <alignment horizontal="right"/>
    </xf>
    <xf numFmtId="172" fontId="22" fillId="14" borderId="0">
      <alignment horizontal="right"/>
    </xf>
    <xf numFmtId="4" fontId="55" fillId="14" borderId="0">
      <alignment horizontal="right" vertical="top"/>
    </xf>
    <xf numFmtId="43" fontId="22" fillId="14" borderId="0">
      <alignment horizontal="center" vertical="top"/>
    </xf>
    <xf numFmtId="236" fontId="22" fillId="14" borderId="0">
      <alignment horizontal="center" vertical="top" wrapText="1"/>
    </xf>
    <xf numFmtId="43" fontId="22" fillId="14" borderId="0">
      <alignment horizontal="left" vertical="top"/>
    </xf>
    <xf numFmtId="172" fontId="23" fillId="6" borderId="9">
      <alignment horizontal="right" wrapText="1"/>
    </xf>
    <xf numFmtId="172" fontId="23" fillId="6" borderId="9">
      <alignment horizontal="center" wrapText="1"/>
    </xf>
    <xf numFmtId="170" fontId="23" fillId="6" borderId="9">
      <alignment horizontal="right" wrapText="1"/>
    </xf>
    <xf numFmtId="43" fontId="23" fillId="6" borderId="9">
      <alignment horizontal="center" wrapText="1"/>
    </xf>
    <xf numFmtId="235" fontId="23" fillId="6" borderId="9">
      <alignment horizontal="center" wrapText="1"/>
    </xf>
    <xf numFmtId="235" fontId="23" fillId="6" borderId="9">
      <alignment horizontal="center" wrapText="1"/>
    </xf>
    <xf numFmtId="207" fontId="24" fillId="0" borderId="0">
      <alignment horizontal="left" vertical="center" wrapText="1"/>
    </xf>
    <xf numFmtId="172" fontId="22" fillId="0" borderId="0">
      <alignment horizontal="right"/>
    </xf>
    <xf numFmtId="172" fontId="22" fillId="0" borderId="0"/>
    <xf numFmtId="170" fontId="22" fillId="0" borderId="0">
      <alignment horizontal="right"/>
    </xf>
    <xf numFmtId="43" fontId="22" fillId="0" borderId="0">
      <alignment horizontal="center"/>
    </xf>
    <xf numFmtId="235" fontId="22" fillId="0" borderId="0"/>
    <xf numFmtId="235" fontId="22" fillId="0" borderId="0">
      <alignment wrapText="1"/>
    </xf>
    <xf numFmtId="170" fontId="22" fillId="0" borderId="0">
      <alignment horizontal="center" vertical="top"/>
    </xf>
    <xf numFmtId="172" fontId="22" fillId="0" borderId="0">
      <alignment horizontal="center" vertical="top"/>
    </xf>
    <xf numFmtId="172" fontId="22" fillId="0" borderId="0">
      <alignment horizontal="center" vertical="top"/>
    </xf>
    <xf numFmtId="172" fontId="22" fillId="0" borderId="0">
      <alignment horizontal="left" vertical="top"/>
    </xf>
    <xf numFmtId="172" fontId="22" fillId="0" borderId="0">
      <alignment horizontal="right" vertical="center" wrapText="1"/>
    </xf>
    <xf numFmtId="172" fontId="22" fillId="0" borderId="0">
      <alignment horizontal="right" vertical="top"/>
    </xf>
    <xf numFmtId="170" fontId="22" fillId="0" borderId="0">
      <alignment horizontal="center" vertical="top"/>
    </xf>
    <xf numFmtId="170" fontId="75" fillId="0" borderId="0">
      <alignment horizontal="right"/>
    </xf>
    <xf numFmtId="43" fontId="75" fillId="0" borderId="0">
      <alignment horizontal="center"/>
    </xf>
    <xf numFmtId="235" fontId="75" fillId="0" borderId="0"/>
    <xf numFmtId="236" fontId="75" fillId="0" borderId="0">
      <alignment horizontal="center"/>
    </xf>
    <xf numFmtId="236" fontId="75" fillId="0" borderId="0">
      <alignment horizontal="center" wrapText="1"/>
    </xf>
    <xf numFmtId="235" fontId="75" fillId="0" borderId="0">
      <alignment wrapText="1"/>
    </xf>
    <xf numFmtId="43" fontId="55" fillId="0" borderId="0">
      <alignment horizontal="center"/>
    </xf>
    <xf numFmtId="43" fontId="55" fillId="0" borderId="0"/>
    <xf numFmtId="172" fontId="22" fillId="0" borderId="0">
      <alignment horizontal="center" vertical="center" wrapText="1"/>
    </xf>
    <xf numFmtId="43" fontId="55" fillId="0" borderId="17">
      <alignment horizontal="center" vertical="center"/>
    </xf>
    <xf numFmtId="43" fontId="55" fillId="0" borderId="12">
      <alignment horizontal="center" vertical="center"/>
    </xf>
    <xf numFmtId="43" fontId="79" fillId="0" borderId="12">
      <alignment horizontal="center" vertical="center"/>
    </xf>
    <xf numFmtId="43" fontId="79" fillId="0" borderId="13">
      <alignment horizontal="center"/>
    </xf>
    <xf numFmtId="43" fontId="79" fillId="0" borderId="0">
      <alignment horizontal="center"/>
    </xf>
    <xf numFmtId="2" fontId="79" fillId="0" borderId="0">
      <alignment horizontal="center"/>
    </xf>
    <xf numFmtId="43" fontId="79" fillId="0" borderId="14">
      <alignment horizontal="center"/>
    </xf>
    <xf numFmtId="43" fontId="79" fillId="0" borderId="0">
      <alignment horizontal="center"/>
    </xf>
    <xf numFmtId="172" fontId="79" fillId="0" borderId="0">
      <alignment horizontal="center" wrapText="1"/>
    </xf>
    <xf numFmtId="172" fontId="79" fillId="0" borderId="3">
      <alignment horizontal="center" wrapText="1"/>
    </xf>
    <xf numFmtId="170" fontId="22" fillId="0" borderId="0">
      <alignment horizontal="right" vertical="center" wrapText="1"/>
    </xf>
    <xf numFmtId="165" fontId="79" fillId="0" borderId="3">
      <alignment horizontal="center" wrapText="1"/>
    </xf>
    <xf numFmtId="43" fontId="87" fillId="0" borderId="0">
      <alignment horizontal="left"/>
    </xf>
    <xf numFmtId="43" fontId="79" fillId="0" borderId="0">
      <alignment horizontal="center" wrapText="1"/>
    </xf>
    <xf numFmtId="43" fontId="79" fillId="0" borderId="0">
      <alignment wrapText="1"/>
    </xf>
    <xf numFmtId="43" fontId="79" fillId="6" borderId="9">
      <alignment horizontal="right" wrapText="1"/>
    </xf>
    <xf numFmtId="43" fontId="79" fillId="6" borderId="9">
      <alignment horizontal="center" wrapText="1"/>
    </xf>
    <xf numFmtId="172" fontId="2" fillId="0" borderId="0"/>
    <xf numFmtId="172" fontId="2" fillId="0" borderId="0">
      <alignment horizontal="center"/>
    </xf>
    <xf numFmtId="172" fontId="2" fillId="0" borderId="0">
      <alignment horizontal="left"/>
    </xf>
    <xf numFmtId="172" fontId="2" fillId="0" borderId="0">
      <alignment horizontal="center"/>
    </xf>
    <xf numFmtId="43" fontId="23" fillId="0" borderId="0">
      <alignment horizontal="center" vertical="center" wrapText="1"/>
    </xf>
    <xf numFmtId="172" fontId="20" fillId="0" borderId="0">
      <alignment horizontal="center"/>
    </xf>
    <xf numFmtId="172" fontId="2" fillId="0" borderId="0"/>
    <xf numFmtId="172" fontId="80" fillId="0" borderId="0">
      <alignment horizontal="left" vertical="center"/>
    </xf>
    <xf numFmtId="172" fontId="23" fillId="0" borderId="27"/>
    <xf numFmtId="172" fontId="23" fillId="0" borderId="0"/>
    <xf numFmtId="43" fontId="23" fillId="0" borderId="0"/>
    <xf numFmtId="43" fontId="23" fillId="0" borderId="0">
      <alignment horizontal="center"/>
    </xf>
    <xf numFmtId="172" fontId="23" fillId="0" borderId="0">
      <alignment horizontal="center"/>
    </xf>
    <xf numFmtId="172" fontId="23" fillId="6" borderId="24">
      <alignment horizontal="center"/>
    </xf>
    <xf numFmtId="49" fontId="22" fillId="0" borderId="0">
      <alignment horizontal="left"/>
    </xf>
    <xf numFmtId="235" fontId="23" fillId="0" borderId="0">
      <alignment horizontal="center" vertical="center" wrapText="1"/>
    </xf>
    <xf numFmtId="49" fontId="22" fillId="0" borderId="13">
      <alignment horizontal="left"/>
    </xf>
    <xf numFmtId="49" fontId="22" fillId="0" borderId="15">
      <alignment horizontal="left"/>
    </xf>
    <xf numFmtId="172" fontId="77" fillId="0" borderId="14"/>
    <xf numFmtId="49" fontId="22" fillId="0" borderId="14">
      <alignment horizontal="left"/>
    </xf>
    <xf numFmtId="172" fontId="2" fillId="0" borderId="0">
      <alignment horizontal="center"/>
    </xf>
    <xf numFmtId="172" fontId="2" fillId="0" borderId="0"/>
    <xf numFmtId="172" fontId="2" fillId="0" borderId="0"/>
    <xf numFmtId="172" fontId="20" fillId="0" borderId="0">
      <alignment horizontal="right"/>
    </xf>
    <xf numFmtId="172" fontId="20" fillId="0" borderId="0">
      <alignment horizontal="center"/>
    </xf>
    <xf numFmtId="172" fontId="20" fillId="0" borderId="3"/>
    <xf numFmtId="172" fontId="23" fillId="0" borderId="0">
      <alignment horizontal="left" vertical="center" wrapText="1"/>
    </xf>
    <xf numFmtId="172" fontId="20" fillId="0" borderId="3">
      <alignment horizontal="center"/>
    </xf>
    <xf numFmtId="172" fontId="20" fillId="0" borderId="3">
      <alignment horizontal="center" wrapText="1"/>
    </xf>
    <xf numFmtId="172" fontId="20" fillId="0" borderId="0"/>
    <xf numFmtId="172" fontId="20" fillId="0" borderId="3">
      <alignment horizontal="center" wrapText="1"/>
    </xf>
    <xf numFmtId="172" fontId="20" fillId="0" borderId="0">
      <alignment horizontal="center"/>
    </xf>
    <xf numFmtId="172" fontId="20" fillId="0" borderId="3">
      <alignment horizontal="center"/>
    </xf>
    <xf numFmtId="172" fontId="20" fillId="0" borderId="0"/>
    <xf numFmtId="172" fontId="20" fillId="0" borderId="3">
      <alignment horizontal="left" wrapText="1"/>
    </xf>
    <xf numFmtId="236" fontId="2" fillId="0" borderId="0">
      <alignment horizontal="center"/>
    </xf>
    <xf numFmtId="236" fontId="2" fillId="0" borderId="0">
      <alignment horizontal="left"/>
    </xf>
    <xf numFmtId="0" fontId="88" fillId="0" borderId="0"/>
    <xf numFmtId="10" fontId="6" fillId="0" borderId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227" fontId="6" fillId="0" borderId="0"/>
    <xf numFmtId="0" fontId="89" fillId="6" borderId="0"/>
    <xf numFmtId="0" fontId="54" fillId="0" borderId="0" applyNumberFormat="0" applyFont="0" applyFill="0" applyBorder="0" applyAlignment="0" applyProtection="0">
      <alignment horizontal="left"/>
    </xf>
    <xf numFmtId="15" fontId="54" fillId="0" borderId="0" applyFont="0" applyFill="0" applyBorder="0" applyAlignment="0" applyProtection="0"/>
    <xf numFmtId="4" fontId="54" fillId="0" borderId="0" applyFont="0" applyFill="0" applyBorder="0" applyAlignment="0" applyProtection="0"/>
    <xf numFmtId="0" fontId="90" fillId="0" borderId="10">
      <alignment horizontal="center"/>
    </xf>
    <xf numFmtId="3" fontId="54" fillId="0" borderId="0" applyFont="0" applyFill="0" applyBorder="0" applyAlignment="0" applyProtection="0"/>
    <xf numFmtId="0" fontId="54" fillId="20" borderId="0" applyNumberFormat="0" applyFont="0" applyBorder="0" applyAlignment="0" applyProtection="0"/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245" fontId="91" fillId="0" borderId="0"/>
    <xf numFmtId="0" fontId="6" fillId="0" borderId="0" applyFont="0" applyFill="0" applyBorder="0" applyProtection="0">
      <alignment horizontal="right"/>
    </xf>
    <xf numFmtId="0" fontId="6" fillId="0" borderId="0" applyFont="0" applyFill="0" applyBorder="0" applyProtection="0">
      <alignment horizontal="right"/>
    </xf>
    <xf numFmtId="0" fontId="6" fillId="0" borderId="0" applyFont="0" applyFill="0" applyBorder="0" applyProtection="0">
      <alignment horizontal="right"/>
    </xf>
    <xf numFmtId="0" fontId="92" fillId="21" borderId="0" applyNumberFormat="0" applyFont="0" applyBorder="0" applyAlignment="0">
      <alignment horizontal="center"/>
    </xf>
    <xf numFmtId="14" fontId="41" fillId="0" borderId="0" applyNumberFormat="0" applyFill="0" applyBorder="0" applyAlignment="0" applyProtection="0">
      <alignment horizontal="left"/>
    </xf>
    <xf numFmtId="49" fontId="2" fillId="0" borderId="0" applyFont="0" applyFill="0" applyBorder="0" applyProtection="0">
      <alignment horizontal="right"/>
    </xf>
    <xf numFmtId="49" fontId="20" fillId="0" borderId="0" applyFill="0" applyBorder="0" applyProtection="0">
      <alignment horizontal="right"/>
    </xf>
    <xf numFmtId="49" fontId="20" fillId="0" borderId="3" applyFill="0" applyProtection="0">
      <alignment horizontal="right"/>
    </xf>
    <xf numFmtId="49" fontId="20" fillId="0" borderId="12" applyFill="0" applyProtection="0">
      <alignment horizontal="right"/>
    </xf>
    <xf numFmtId="0" fontId="64" fillId="0" borderId="0" applyFill="0" applyBorder="0" applyProtection="0">
      <alignment horizontal="left"/>
    </xf>
    <xf numFmtId="0" fontId="13" fillId="22" borderId="0"/>
    <xf numFmtId="0" fontId="92" fillId="1" borderId="8" applyNumberFormat="0" applyFont="0" applyAlignment="0">
      <alignment horizontal="center"/>
    </xf>
    <xf numFmtId="246" fontId="93" fillId="0" borderId="0" applyFont="0" applyFill="0" applyBorder="0" applyAlignment="0" applyProtection="0"/>
    <xf numFmtId="1" fontId="6" fillId="0" borderId="0"/>
    <xf numFmtId="0" fontId="2" fillId="0" borderId="0" applyFont="0" applyFill="0" applyBorder="0" applyAlignment="0" applyProtection="0"/>
    <xf numFmtId="0" fontId="20" fillId="0" borderId="0" applyFill="0" applyBorder="0" applyAlignment="0" applyProtection="0"/>
    <xf numFmtId="42" fontId="21" fillId="0" borderId="0" applyFill="0" applyBorder="0" applyAlignment="0" applyProtection="0"/>
    <xf numFmtId="0" fontId="94" fillId="0" borderId="0" applyNumberFormat="0" applyFill="0" applyBorder="0" applyAlignment="0">
      <alignment horizontal="center"/>
    </xf>
    <xf numFmtId="12" fontId="6" fillId="0" borderId="0" applyFont="0" applyFill="0" applyBorder="0" applyProtection="0">
      <alignment horizontal="right"/>
    </xf>
    <xf numFmtId="0" fontId="6" fillId="23" borderId="0" applyFont="0" applyFill="0" applyBorder="0" applyProtection="0">
      <alignment horizontal="right"/>
    </xf>
    <xf numFmtId="0" fontId="4" fillId="0" borderId="0">
      <alignment vertical="top"/>
    </xf>
    <xf numFmtId="0" fontId="79" fillId="0" borderId="0" applyNumberFormat="0" applyFill="0" applyBorder="0" applyProtection="0">
      <alignment horizontal="left"/>
    </xf>
    <xf numFmtId="0" fontId="22" fillId="0" borderId="0" applyNumberFormat="0" applyFill="0" applyBorder="0" applyProtection="0">
      <alignment horizontal="left"/>
    </xf>
    <xf numFmtId="0" fontId="22" fillId="0" borderId="0" applyNumberFormat="0" applyFill="0" applyBorder="0" applyProtection="0">
      <alignment horizontal="left"/>
    </xf>
    <xf numFmtId="0" fontId="23" fillId="0" borderId="0" applyNumberFormat="0" applyFill="0" applyBorder="0" applyProtection="0">
      <alignment horizontal="left"/>
    </xf>
    <xf numFmtId="0" fontId="23" fillId="0" borderId="0" applyFill="0" applyBorder="0" applyProtection="0">
      <alignment horizontal="left" wrapText="1"/>
    </xf>
    <xf numFmtId="0" fontId="23" fillId="0" borderId="0" applyNumberFormat="0" applyFill="0" applyBorder="0" applyProtection="0">
      <alignment horizontal="right" wrapText="1"/>
    </xf>
    <xf numFmtId="1" fontId="22" fillId="0" borderId="0" applyFill="0" applyBorder="0" applyProtection="0">
      <alignment horizontal="left"/>
    </xf>
    <xf numFmtId="49" fontId="22" fillId="0" borderId="0" applyFill="0" applyBorder="0" applyProtection="0">
      <alignment horizontal="left"/>
    </xf>
    <xf numFmtId="1" fontId="22" fillId="0" borderId="0" applyFill="0" applyBorder="0" applyProtection="0">
      <alignment horizontal="center"/>
    </xf>
    <xf numFmtId="37" fontId="22" fillId="0" borderId="0" applyFill="0" applyBorder="0" applyProtection="0">
      <alignment horizontal="right"/>
    </xf>
    <xf numFmtId="7" fontId="22" fillId="0" borderId="0" applyFill="0" applyBorder="0" applyProtection="0">
      <alignment horizontal="right"/>
    </xf>
    <xf numFmtId="247" fontId="22" fillId="0" borderId="0" applyFill="0" applyBorder="0" applyProtection="0">
      <alignment horizontal="left"/>
    </xf>
    <xf numFmtId="37" fontId="23" fillId="0" borderId="0" applyFill="0" applyBorder="0" applyProtection="0">
      <alignment horizontal="right"/>
    </xf>
    <xf numFmtId="7" fontId="23" fillId="0" borderId="0" applyFill="0" applyBorder="0" applyProtection="0">
      <alignment horizontal="right"/>
    </xf>
    <xf numFmtId="248" fontId="22" fillId="0" borderId="0" applyFill="0" applyBorder="0" applyProtection="0">
      <alignment horizontal="right"/>
    </xf>
    <xf numFmtId="249" fontId="22" fillId="0" borderId="0" applyFill="0" applyBorder="0" applyProtection="0">
      <alignment horizontal="right"/>
    </xf>
    <xf numFmtId="250" fontId="22" fillId="0" borderId="0" applyFill="0" applyBorder="0" applyProtection="0">
      <alignment horizontal="right"/>
    </xf>
    <xf numFmtId="14" fontId="22" fillId="0" borderId="0" applyFill="0" applyBorder="0" applyProtection="0">
      <alignment horizontal="right"/>
    </xf>
    <xf numFmtId="14" fontId="22" fillId="0" borderId="0" applyFill="0" applyBorder="0" applyProtection="0">
      <alignment horizontal="right"/>
    </xf>
    <xf numFmtId="251" fontId="22" fillId="0" borderId="0" applyFill="0" applyBorder="0" applyProtection="0">
      <alignment horizontal="left"/>
    </xf>
    <xf numFmtId="252" fontId="22" fillId="0" borderId="0" applyFill="0" applyBorder="0" applyProtection="0">
      <alignment horizontal="left"/>
    </xf>
    <xf numFmtId="248" fontId="23" fillId="0" borderId="0" applyFill="0" applyBorder="0" applyProtection="0">
      <alignment horizontal="right"/>
    </xf>
    <xf numFmtId="1" fontId="23" fillId="0" borderId="0" applyFill="0" applyBorder="0" applyProtection="0">
      <alignment horizontal="left"/>
    </xf>
    <xf numFmtId="247" fontId="23" fillId="0" borderId="0" applyFill="0" applyBorder="0" applyProtection="0">
      <alignment horizontal="left"/>
    </xf>
    <xf numFmtId="37" fontId="23" fillId="0" borderId="0" applyFill="0" applyBorder="0" applyProtection="0">
      <alignment horizontal="right"/>
    </xf>
    <xf numFmtId="1" fontId="95" fillId="0" borderId="0" applyFill="0" applyBorder="0" applyProtection="0">
      <alignment horizontal="left"/>
    </xf>
    <xf numFmtId="49" fontId="22" fillId="0" borderId="0" applyFill="0" applyBorder="0" applyProtection="0">
      <alignment horizontal="left"/>
    </xf>
    <xf numFmtId="252" fontId="22" fillId="0" borderId="0" applyFill="0" applyBorder="0" applyProtection="0">
      <alignment horizontal="left"/>
    </xf>
    <xf numFmtId="0" fontId="4" fillId="0" borderId="0" applyNumberFormat="0" applyBorder="0" applyAlignment="0"/>
    <xf numFmtId="0" fontId="14" fillId="0" borderId="0"/>
    <xf numFmtId="40" fontId="96" fillId="0" borderId="0" applyBorder="0">
      <alignment horizontal="right"/>
    </xf>
    <xf numFmtId="6" fontId="70" fillId="0" borderId="36" applyFill="0">
      <alignment vertical="center"/>
    </xf>
    <xf numFmtId="0" fontId="15" fillId="0" borderId="0"/>
    <xf numFmtId="0" fontId="97" fillId="0" borderId="0"/>
    <xf numFmtId="0" fontId="2" fillId="0" borderId="0"/>
    <xf numFmtId="49" fontId="4" fillId="0" borderId="0" applyFill="0" applyBorder="0" applyAlignment="0"/>
    <xf numFmtId="0" fontId="26" fillId="0" borderId="0" applyFill="0" applyBorder="0" applyAlignment="0"/>
    <xf numFmtId="201" fontId="6" fillId="0" borderId="0" applyFill="0" applyBorder="0" applyAlignment="0"/>
    <xf numFmtId="0" fontId="16" fillId="0" borderId="0"/>
    <xf numFmtId="0" fontId="17" fillId="0" borderId="0"/>
    <xf numFmtId="0" fontId="18" fillId="0" borderId="0">
      <alignment vertical="top"/>
    </xf>
    <xf numFmtId="253" fontId="70" fillId="0" borderId="0" applyFill="0" applyBorder="0">
      <alignment vertical="center"/>
    </xf>
    <xf numFmtId="0" fontId="22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38" fontId="98" fillId="0" borderId="0" applyNumberFormat="0" applyFill="0" applyBorder="0">
      <alignment horizontal="left" vertical="center"/>
    </xf>
    <xf numFmtId="38" fontId="99" fillId="0" borderId="0" applyNumberFormat="0" applyFill="0" applyBorder="0">
      <alignment horizontal="centerContinuous" vertical="center"/>
    </xf>
    <xf numFmtId="0" fontId="19" fillId="0" borderId="0">
      <alignment vertical="top"/>
    </xf>
    <xf numFmtId="0" fontId="100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5" fillId="0" borderId="0" applyFill="0" applyBorder="0" applyAlignment="0" applyProtection="0"/>
    <xf numFmtId="0" fontId="16" fillId="0" borderId="0">
      <alignment wrapText="1"/>
    </xf>
    <xf numFmtId="0" fontId="101" fillId="0" borderId="0">
      <alignment horizontal="left"/>
      <protection locked="0"/>
    </xf>
    <xf numFmtId="5" fontId="86" fillId="0" borderId="0">
      <alignment vertical="center"/>
    </xf>
    <xf numFmtId="223" fontId="26" fillId="0" borderId="0"/>
    <xf numFmtId="254" fontId="27" fillId="0" borderId="0" applyFill="0" applyBorder="0" applyAlignment="0" applyProtection="0"/>
    <xf numFmtId="14" fontId="22" fillId="0" borderId="0" applyFont="0" applyFill="0" applyBorder="0" applyProtection="0"/>
    <xf numFmtId="255" fontId="102" fillId="0" borderId="0" applyFill="0" applyBorder="0">
      <alignment vertical="center"/>
    </xf>
    <xf numFmtId="0" fontId="70" fillId="24" borderId="37" applyNumberFormat="0" applyFont="0" applyBorder="0" applyAlignment="0" applyProtection="0">
      <alignment horizontal="right"/>
    </xf>
    <xf numFmtId="256" fontId="21" fillId="0" borderId="0" applyFont="0" applyFill="0" applyBorder="0" applyAlignment="0" applyProtection="0"/>
    <xf numFmtId="255" fontId="103" fillId="0" borderId="0">
      <alignment horizontal="center"/>
    </xf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42" fontId="6" fillId="0" borderId="0" applyFont="0" applyFill="0" applyBorder="0" applyAlignment="0" applyProtection="0"/>
  </cellStyleXfs>
  <cellXfs count="358">
    <xf numFmtId="0" fontId="0" fillId="0" borderId="0" xfId="0"/>
    <xf numFmtId="0" fontId="107" fillId="0" borderId="0" xfId="0" applyFont="1"/>
    <xf numFmtId="0" fontId="108" fillId="0" borderId="0" xfId="0" applyFont="1"/>
    <xf numFmtId="0" fontId="109" fillId="0" borderId="0" xfId="0" applyFont="1"/>
    <xf numFmtId="165" fontId="110" fillId="0" borderId="0" xfId="0" applyNumberFormat="1" applyFont="1"/>
    <xf numFmtId="0" fontId="111" fillId="0" borderId="0" xfId="0" applyFont="1"/>
    <xf numFmtId="165" fontId="107" fillId="0" borderId="0" xfId="0" applyNumberFormat="1" applyFont="1"/>
    <xf numFmtId="0" fontId="107" fillId="0" borderId="0" xfId="0" applyFont="1" applyAlignment="1">
      <alignment horizontal="left"/>
    </xf>
    <xf numFmtId="165" fontId="111" fillId="0" borderId="0" xfId="0" applyNumberFormat="1" applyFont="1"/>
    <xf numFmtId="167" fontId="107" fillId="0" borderId="0" xfId="0" applyNumberFormat="1" applyFont="1"/>
    <xf numFmtId="0" fontId="112" fillId="26" borderId="0" xfId="0" applyFont="1" applyFill="1" applyAlignment="1">
      <alignment horizontal="left"/>
    </xf>
    <xf numFmtId="0" fontId="111" fillId="26" borderId="0" xfId="0" applyFont="1" applyFill="1"/>
    <xf numFmtId="0" fontId="111" fillId="26" borderId="38" xfId="0" applyFont="1" applyFill="1" applyBorder="1" applyAlignment="1">
      <alignment horizontal="centerContinuous"/>
    </xf>
    <xf numFmtId="168" fontId="111" fillId="26" borderId="0" xfId="0" applyNumberFormat="1" applyFont="1" applyFill="1" applyAlignment="1">
      <alignment horizontal="centerContinuous"/>
    </xf>
    <xf numFmtId="168" fontId="111" fillId="26" borderId="0" xfId="0" applyNumberFormat="1" applyFont="1" applyFill="1" applyAlignment="1">
      <alignment horizontal="center"/>
    </xf>
    <xf numFmtId="0" fontId="111" fillId="0" borderId="0" xfId="0" applyFont="1" applyAlignment="1">
      <alignment horizontal="left"/>
    </xf>
    <xf numFmtId="0" fontId="111" fillId="26" borderId="3" xfId="0" applyFont="1" applyFill="1" applyBorder="1"/>
    <xf numFmtId="0" fontId="107" fillId="26" borderId="3" xfId="0" applyFont="1" applyFill="1" applyBorder="1"/>
    <xf numFmtId="0" fontId="113" fillId="27" borderId="0" xfId="0" applyFont="1" applyFill="1" applyAlignment="1">
      <alignment horizontal="left" indent="1"/>
    </xf>
    <xf numFmtId="169" fontId="114" fillId="27" borderId="0" xfId="544" applyNumberFormat="1" applyFont="1" applyFill="1"/>
    <xf numFmtId="0" fontId="113" fillId="27" borderId="0" xfId="0" applyFont="1" applyFill="1"/>
    <xf numFmtId="0" fontId="113" fillId="27" borderId="0" xfId="0" applyFont="1" applyFill="1" applyAlignment="1">
      <alignment horizontal="left"/>
    </xf>
    <xf numFmtId="43" fontId="109" fillId="0" borderId="0" xfId="162" applyFont="1" applyFill="1" applyBorder="1" applyAlignment="1">
      <alignment horizontal="center"/>
    </xf>
    <xf numFmtId="37" fontId="107" fillId="0" borderId="0" xfId="0" applyNumberFormat="1" applyFont="1"/>
    <xf numFmtId="0" fontId="111" fillId="0" borderId="39" xfId="0" applyFont="1" applyBorder="1"/>
    <xf numFmtId="165" fontId="109" fillId="0" borderId="0" xfId="0" applyNumberFormat="1" applyFont="1"/>
    <xf numFmtId="169" fontId="113" fillId="27" borderId="0" xfId="544" applyNumberFormat="1" applyFont="1" applyFill="1"/>
    <xf numFmtId="257" fontId="111" fillId="0" borderId="0" xfId="0" applyNumberFormat="1" applyFont="1"/>
    <xf numFmtId="257" fontId="107" fillId="0" borderId="0" xfId="0" applyNumberFormat="1" applyFont="1"/>
    <xf numFmtId="0" fontId="107" fillId="0" borderId="0" xfId="267" applyFont="1" applyAlignment="1">
      <alignment horizontal="center" wrapText="1"/>
    </xf>
    <xf numFmtId="0" fontId="107" fillId="0" borderId="0" xfId="267" applyFont="1"/>
    <xf numFmtId="166" fontId="111" fillId="0" borderId="0" xfId="0" applyNumberFormat="1" applyFont="1"/>
    <xf numFmtId="172" fontId="107" fillId="0" borderId="0" xfId="162" applyNumberFormat="1" applyFont="1"/>
    <xf numFmtId="165" fontId="115" fillId="0" borderId="0" xfId="0" applyNumberFormat="1" applyFont="1"/>
    <xf numFmtId="165" fontId="116" fillId="0" borderId="0" xfId="0" applyNumberFormat="1" applyFont="1"/>
    <xf numFmtId="169" fontId="113" fillId="27" borderId="0" xfId="0" applyNumberFormat="1" applyFont="1" applyFill="1"/>
    <xf numFmtId="0" fontId="111" fillId="28" borderId="8" xfId="268" applyFont="1" applyFill="1" applyBorder="1"/>
    <xf numFmtId="258" fontId="111" fillId="28" borderId="8" xfId="268" applyNumberFormat="1" applyFont="1" applyFill="1" applyBorder="1"/>
    <xf numFmtId="168" fontId="111" fillId="26" borderId="3" xfId="0" applyNumberFormat="1" applyFont="1" applyFill="1" applyBorder="1" applyAlignment="1">
      <alignment horizontal="centerContinuous"/>
    </xf>
    <xf numFmtId="0" fontId="113" fillId="0" borderId="0" xfId="0" applyFont="1"/>
    <xf numFmtId="0" fontId="107" fillId="0" borderId="0" xfId="0" applyFont="1" applyAlignment="1">
      <alignment horizontal="right"/>
    </xf>
    <xf numFmtId="258" fontId="111" fillId="0" borderId="0" xfId="0" applyNumberFormat="1" applyFont="1" applyAlignment="1">
      <alignment horizontal="right"/>
    </xf>
    <xf numFmtId="258" fontId="107" fillId="0" borderId="0" xfId="0" applyNumberFormat="1" applyFont="1" applyAlignment="1">
      <alignment horizontal="right"/>
    </xf>
    <xf numFmtId="9" fontId="113" fillId="27" borderId="0" xfId="544" applyFont="1" applyFill="1" applyAlignment="1">
      <alignment horizontal="right"/>
    </xf>
    <xf numFmtId="37" fontId="107" fillId="0" borderId="0" xfId="0" applyNumberFormat="1" applyFont="1" applyAlignment="1">
      <alignment horizontal="right"/>
    </xf>
    <xf numFmtId="37" fontId="111" fillId="0" borderId="0" xfId="0" applyNumberFormat="1" applyFont="1"/>
    <xf numFmtId="165" fontId="111" fillId="0" borderId="0" xfId="0" applyNumberFormat="1" applyFont="1" applyAlignment="1">
      <alignment horizontal="right"/>
    </xf>
    <xf numFmtId="9" fontId="107" fillId="0" borderId="0" xfId="544" applyFont="1"/>
    <xf numFmtId="9" fontId="107" fillId="0" borderId="0" xfId="544" applyFont="1" applyFill="1"/>
    <xf numFmtId="0" fontId="107" fillId="0" borderId="7" xfId="0" applyFont="1" applyBorder="1"/>
    <xf numFmtId="0" fontId="5" fillId="0" borderId="0" xfId="0" applyFont="1"/>
    <xf numFmtId="169" fontId="113" fillId="0" borderId="0" xfId="544" applyNumberFormat="1" applyFont="1" applyFill="1"/>
    <xf numFmtId="165" fontId="111" fillId="0" borderId="39" xfId="0" applyNumberFormat="1" applyFont="1" applyBorder="1"/>
    <xf numFmtId="259" fontId="107" fillId="0" borderId="0" xfId="0" applyNumberFormat="1" applyFont="1"/>
    <xf numFmtId="259" fontId="111" fillId="0" borderId="39" xfId="0" applyNumberFormat="1" applyFont="1" applyBorder="1"/>
    <xf numFmtId="0" fontId="113" fillId="0" borderId="0" xfId="0" applyFont="1" applyAlignment="1">
      <alignment horizontal="left" indent="1"/>
    </xf>
    <xf numFmtId="169" fontId="114" fillId="0" borderId="0" xfId="544" applyNumberFormat="1" applyFont="1" applyFill="1"/>
    <xf numFmtId="1" fontId="107" fillId="0" borderId="0" xfId="0" applyNumberFormat="1" applyFont="1" applyAlignment="1">
      <alignment horizontal="right"/>
    </xf>
    <xf numFmtId="169" fontId="113" fillId="27" borderId="0" xfId="544" applyNumberFormat="1" applyFont="1" applyFill="1" applyAlignment="1">
      <alignment horizontal="right"/>
    </xf>
    <xf numFmtId="0" fontId="111" fillId="0" borderId="0" xfId="267" applyFont="1"/>
    <xf numFmtId="0" fontId="107" fillId="0" borderId="21" xfId="267" applyFont="1" applyBorder="1" applyAlignment="1">
      <alignment horizontal="left"/>
    </xf>
    <xf numFmtId="0" fontId="107" fillId="0" borderId="22" xfId="267" applyFont="1" applyBorder="1" applyAlignment="1">
      <alignment horizontal="left"/>
    </xf>
    <xf numFmtId="2" fontId="107" fillId="0" borderId="0" xfId="0" applyNumberFormat="1" applyFont="1"/>
    <xf numFmtId="0" fontId="111" fillId="26" borderId="8" xfId="0" applyFont="1" applyFill="1" applyBorder="1"/>
    <xf numFmtId="0" fontId="111" fillId="0" borderId="6" xfId="0" applyFont="1" applyBorder="1"/>
    <xf numFmtId="0" fontId="111" fillId="0" borderId="40" xfId="267" applyFont="1" applyBorder="1" applyAlignment="1">
      <alignment horizontal="left" wrapText="1"/>
    </xf>
    <xf numFmtId="0" fontId="111" fillId="0" borderId="41" xfId="267" applyFont="1" applyBorder="1" applyAlignment="1">
      <alignment horizontal="left" wrapText="1"/>
    </xf>
    <xf numFmtId="0" fontId="107" fillId="0" borderId="21" xfId="267" applyFont="1" applyBorder="1" applyAlignment="1">
      <alignment horizontal="left" wrapText="1"/>
    </xf>
    <xf numFmtId="0" fontId="107" fillId="0" borderId="42" xfId="267" applyFont="1" applyBorder="1"/>
    <xf numFmtId="169" fontId="117" fillId="27" borderId="0" xfId="544" applyNumberFormat="1" applyFont="1" applyFill="1"/>
    <xf numFmtId="170" fontId="118" fillId="0" borderId="0" xfId="162" applyNumberFormat="1" applyFont="1" applyFill="1" applyBorder="1"/>
    <xf numFmtId="165" fontId="118" fillId="0" borderId="0" xfId="0" applyNumberFormat="1" applyFont="1"/>
    <xf numFmtId="170" fontId="118" fillId="0" borderId="0" xfId="162" applyNumberFormat="1" applyFont="1" applyFill="1"/>
    <xf numFmtId="170" fontId="107" fillId="0" borderId="0" xfId="162" applyNumberFormat="1" applyFont="1" applyFill="1" applyBorder="1"/>
    <xf numFmtId="165" fontId="119" fillId="0" borderId="0" xfId="0" applyNumberFormat="1" applyFont="1"/>
    <xf numFmtId="170" fontId="119" fillId="0" borderId="0" xfId="162" applyNumberFormat="1" applyFont="1" applyFill="1"/>
    <xf numFmtId="0" fontId="120" fillId="0" borderId="0" xfId="0" applyFont="1"/>
    <xf numFmtId="170" fontId="111" fillId="0" borderId="0" xfId="162" applyNumberFormat="1" applyFont="1" applyFill="1" applyBorder="1"/>
    <xf numFmtId="0" fontId="121" fillId="0" borderId="0" xfId="0" applyFont="1"/>
    <xf numFmtId="170" fontId="110" fillId="0" borderId="0" xfId="162" applyNumberFormat="1" applyFont="1" applyFill="1"/>
    <xf numFmtId="169" fontId="111" fillId="0" borderId="0" xfId="544" applyNumberFormat="1" applyFont="1" applyFill="1" applyAlignment="1">
      <alignment horizontal="right"/>
    </xf>
    <xf numFmtId="169" fontId="111" fillId="0" borderId="0" xfId="544" applyNumberFormat="1" applyFont="1" applyFill="1" applyBorder="1"/>
    <xf numFmtId="170" fontId="111" fillId="0" borderId="0" xfId="162" applyNumberFormat="1" applyFont="1" applyFill="1"/>
    <xf numFmtId="168" fontId="111" fillId="26" borderId="3" xfId="0" applyNumberFormat="1" applyFont="1" applyFill="1" applyBorder="1" applyAlignment="1">
      <alignment horizontal="center" vertical="center"/>
    </xf>
    <xf numFmtId="170" fontId="107" fillId="0" borderId="0" xfId="162" applyNumberFormat="1" applyFont="1" applyAlignment="1">
      <alignment horizontal="right"/>
    </xf>
    <xf numFmtId="170" fontId="111" fillId="0" borderId="39" xfId="162" applyNumberFormat="1" applyFont="1" applyFill="1" applyBorder="1" applyAlignment="1">
      <alignment horizontal="right"/>
    </xf>
    <xf numFmtId="170" fontId="107" fillId="0" borderId="0" xfId="162" applyNumberFormat="1" applyFont="1" applyBorder="1"/>
    <xf numFmtId="170" fontId="107" fillId="0" borderId="7" xfId="162" applyNumberFormat="1" applyFont="1" applyBorder="1"/>
    <xf numFmtId="170" fontId="111" fillId="0" borderId="7" xfId="162" applyNumberFormat="1" applyFont="1" applyBorder="1"/>
    <xf numFmtId="170" fontId="107" fillId="0" borderId="0" xfId="162" applyNumberFormat="1" applyFont="1"/>
    <xf numFmtId="170" fontId="111" fillId="0" borderId="6" xfId="162" applyNumberFormat="1" applyFont="1" applyBorder="1"/>
    <xf numFmtId="168" fontId="111" fillId="26" borderId="8" xfId="0" applyNumberFormat="1" applyFont="1" applyFill="1" applyBorder="1" applyAlignment="1">
      <alignment horizontal="center" vertical="center"/>
    </xf>
    <xf numFmtId="260" fontId="111" fillId="0" borderId="0" xfId="0" applyNumberFormat="1" applyFont="1" applyAlignment="1">
      <alignment horizontal="right"/>
    </xf>
    <xf numFmtId="172" fontId="107" fillId="0" borderId="27" xfId="162" applyNumberFormat="1" applyFont="1" applyFill="1" applyBorder="1" applyAlignment="1">
      <alignment horizontal="left" wrapText="1"/>
    </xf>
    <xf numFmtId="172" fontId="107" fillId="0" borderId="43" xfId="162" applyNumberFormat="1" applyFont="1" applyFill="1" applyBorder="1" applyAlignment="1">
      <alignment horizontal="left" wrapText="1"/>
    </xf>
    <xf numFmtId="0" fontId="107" fillId="0" borderId="0" xfId="267" applyFont="1" applyAlignment="1">
      <alignment horizontal="right" wrapText="1"/>
    </xf>
    <xf numFmtId="172" fontId="107" fillId="0" borderId="0" xfId="267" applyNumberFormat="1" applyFont="1" applyAlignment="1">
      <alignment horizontal="right" wrapText="1"/>
    </xf>
    <xf numFmtId="0" fontId="121" fillId="0" borderId="0" xfId="267" applyFont="1"/>
    <xf numFmtId="259" fontId="121" fillId="0" borderId="0" xfId="267" applyNumberFormat="1" applyFont="1"/>
    <xf numFmtId="169" fontId="107" fillId="0" borderId="0" xfId="544" applyNumberFormat="1" applyFont="1" applyFill="1" applyBorder="1"/>
    <xf numFmtId="169" fontId="110" fillId="0" borderId="0" xfId="544" applyNumberFormat="1" applyFont="1" applyFill="1"/>
    <xf numFmtId="165" fontId="110" fillId="0" borderId="0" xfId="0" applyNumberFormat="1" applyFont="1" applyAlignment="1">
      <alignment horizontal="right"/>
    </xf>
    <xf numFmtId="172" fontId="118" fillId="0" borderId="0" xfId="162" applyNumberFormat="1" applyFont="1" applyFill="1" applyBorder="1" applyAlignment="1">
      <alignment horizontal="right" vertical="center"/>
    </xf>
    <xf numFmtId="172" fontId="111" fillId="0" borderId="0" xfId="267" applyNumberFormat="1" applyFont="1"/>
    <xf numFmtId="168" fontId="111" fillId="26" borderId="3" xfId="0" applyNumberFormat="1" applyFont="1" applyFill="1" applyBorder="1" applyAlignment="1">
      <alignment horizontal="left"/>
    </xf>
    <xf numFmtId="0" fontId="118" fillId="0" borderId="0" xfId="0" applyFont="1" applyAlignment="1">
      <alignment horizontal="right" vertical="center"/>
    </xf>
    <xf numFmtId="0" fontId="107" fillId="0" borderId="0" xfId="0" applyFont="1" applyAlignment="1">
      <alignment horizontal="right" vertical="center"/>
    </xf>
    <xf numFmtId="0" fontId="119" fillId="0" borderId="0" xfId="0" applyFont="1" applyAlignment="1">
      <alignment horizontal="right" vertical="center"/>
    </xf>
    <xf numFmtId="168" fontId="119" fillId="0" borderId="0" xfId="0" applyNumberFormat="1" applyFont="1" applyAlignment="1">
      <alignment horizontal="right" vertical="center"/>
    </xf>
    <xf numFmtId="168" fontId="111" fillId="0" borderId="0" xfId="0" applyNumberFormat="1" applyFont="1" applyAlignment="1">
      <alignment horizontal="right" vertical="center"/>
    </xf>
    <xf numFmtId="37" fontId="118" fillId="0" borderId="0" xfId="0" applyNumberFormat="1" applyFont="1" applyAlignment="1">
      <alignment horizontal="right" vertical="center"/>
    </xf>
    <xf numFmtId="0" fontId="122" fillId="0" borderId="0" xfId="0" applyFont="1" applyAlignment="1">
      <alignment horizontal="right" vertical="center"/>
    </xf>
    <xf numFmtId="37" fontId="107" fillId="0" borderId="0" xfId="0" applyNumberFormat="1" applyFont="1" applyAlignment="1">
      <alignment horizontal="right" vertical="center"/>
    </xf>
    <xf numFmtId="0" fontId="111" fillId="0" borderId="0" xfId="0" applyFont="1" applyAlignment="1">
      <alignment horizontal="right" vertical="center"/>
    </xf>
    <xf numFmtId="9" fontId="0" fillId="0" borderId="0" xfId="551" applyFont="1" applyFill="1" applyBorder="1"/>
    <xf numFmtId="169" fontId="118" fillId="0" borderId="0" xfId="544" applyNumberFormat="1" applyFont="1" applyBorder="1"/>
    <xf numFmtId="170" fontId="111" fillId="0" borderId="0" xfId="0" applyNumberFormat="1" applyFont="1" applyAlignment="1">
      <alignment horizontal="right" vertical="center"/>
    </xf>
    <xf numFmtId="224" fontId="120" fillId="0" borderId="0" xfId="0" applyNumberFormat="1" applyFont="1"/>
    <xf numFmtId="0" fontId="107" fillId="0" borderId="44" xfId="0" applyFont="1" applyBorder="1"/>
    <xf numFmtId="170" fontId="107" fillId="0" borderId="44" xfId="162" applyNumberFormat="1" applyFont="1" applyBorder="1"/>
    <xf numFmtId="172" fontId="111" fillId="28" borderId="8" xfId="174" applyNumberFormat="1" applyFont="1" applyFill="1" applyBorder="1" applyAlignment="1">
      <alignment horizontal="center"/>
    </xf>
    <xf numFmtId="170" fontId="111" fillId="0" borderId="0" xfId="0" applyNumberFormat="1" applyFont="1"/>
    <xf numFmtId="169" fontId="107" fillId="0" borderId="0" xfId="544" applyNumberFormat="1" applyFont="1" applyFill="1"/>
    <xf numFmtId="169" fontId="107" fillId="0" borderId="0" xfId="544" applyNumberFormat="1" applyFont="1" applyFill="1" applyAlignment="1">
      <alignment horizontal="right"/>
    </xf>
    <xf numFmtId="0" fontId="111" fillId="0" borderId="45" xfId="267" applyFont="1" applyBorder="1" applyAlignment="1">
      <alignment horizontal="left" wrapText="1"/>
    </xf>
    <xf numFmtId="172" fontId="118" fillId="0" borderId="46" xfId="162" applyNumberFormat="1" applyFont="1" applyBorder="1" applyAlignment="1">
      <alignment horizontal="right" vertical="center"/>
    </xf>
    <xf numFmtId="172" fontId="118" fillId="0" borderId="47" xfId="162" applyNumberFormat="1" applyFont="1" applyBorder="1" applyAlignment="1">
      <alignment horizontal="right" vertical="center"/>
    </xf>
    <xf numFmtId="258" fontId="107" fillId="0" borderId="0" xfId="0" applyNumberFormat="1" applyFont="1" applyAlignment="1">
      <alignment horizontal="right" vertical="center"/>
    </xf>
    <xf numFmtId="258" fontId="111" fillId="0" borderId="0" xfId="0" applyNumberFormat="1" applyFont="1" applyAlignment="1">
      <alignment horizontal="right" vertical="center"/>
    </xf>
    <xf numFmtId="9" fontId="107" fillId="0" borderId="0" xfId="544" applyFont="1" applyAlignment="1">
      <alignment horizontal="right" vertical="center"/>
    </xf>
    <xf numFmtId="172" fontId="111" fillId="0" borderId="0" xfId="162" applyNumberFormat="1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169" fontId="107" fillId="0" borderId="0" xfId="544" applyNumberFormat="1" applyFont="1" applyFill="1" applyBorder="1" applyAlignment="1">
      <alignment horizontal="right" vertical="center"/>
    </xf>
    <xf numFmtId="261" fontId="123" fillId="0" borderId="0" xfId="0" applyNumberFormat="1" applyFont="1"/>
    <xf numFmtId="170" fontId="118" fillId="0" borderId="0" xfId="162" applyNumberFormat="1" applyFont="1" applyFill="1" applyBorder="1" applyAlignment="1">
      <alignment horizontal="right" vertical="center"/>
    </xf>
    <xf numFmtId="170" fontId="107" fillId="0" borderId="0" xfId="162" applyNumberFormat="1" applyFont="1" applyFill="1" applyBorder="1" applyAlignment="1">
      <alignment horizontal="right" vertical="center"/>
    </xf>
    <xf numFmtId="261" fontId="124" fillId="0" borderId="0" xfId="0" applyNumberFormat="1" applyFont="1"/>
    <xf numFmtId="169" fontId="113" fillId="0" borderId="0" xfId="544" applyNumberFormat="1" applyFont="1" applyFill="1" applyBorder="1" applyAlignment="1">
      <alignment horizontal="right" vertical="center"/>
    </xf>
    <xf numFmtId="169" fontId="123" fillId="0" borderId="0" xfId="544" applyNumberFormat="1" applyFont="1" applyFill="1" applyBorder="1" applyAlignment="1">
      <alignment horizontal="right" vertical="center"/>
    </xf>
    <xf numFmtId="37" fontId="119" fillId="0" borderId="0" xfId="0" applyNumberFormat="1" applyFont="1" applyAlignment="1">
      <alignment horizontal="right" vertical="center"/>
    </xf>
    <xf numFmtId="261" fontId="125" fillId="0" borderId="0" xfId="0" applyNumberFormat="1" applyFont="1"/>
    <xf numFmtId="169" fontId="113" fillId="0" borderId="0" xfId="544" applyNumberFormat="1" applyFont="1" applyBorder="1"/>
    <xf numFmtId="43" fontId="120" fillId="0" borderId="0" xfId="0" applyNumberFormat="1" applyFont="1"/>
    <xf numFmtId="169" fontId="123" fillId="0" borderId="0" xfId="544" applyNumberFormat="1" applyFont="1" applyBorder="1"/>
    <xf numFmtId="172" fontId="120" fillId="0" borderId="0" xfId="0" applyNumberFormat="1" applyFont="1"/>
    <xf numFmtId="169" fontId="113" fillId="0" borderId="0" xfId="544" applyNumberFormat="1" applyFont="1" applyFill="1" applyBorder="1"/>
    <xf numFmtId="170" fontId="111" fillId="0" borderId="0" xfId="162" applyNumberFormat="1" applyFont="1" applyFill="1" applyBorder="1" applyAlignment="1">
      <alignment horizontal="right" vertical="center"/>
    </xf>
    <xf numFmtId="43" fontId="107" fillId="0" borderId="27" xfId="162" applyFont="1" applyBorder="1"/>
    <xf numFmtId="43" fontId="107" fillId="0" borderId="28" xfId="162" applyFont="1" applyFill="1" applyBorder="1"/>
    <xf numFmtId="170" fontId="107" fillId="0" borderId="0" xfId="162" applyNumberFormat="1" applyFont="1" applyFill="1"/>
    <xf numFmtId="170" fontId="107" fillId="0" borderId="0" xfId="162" applyNumberFormat="1" applyFont="1" applyFill="1" applyAlignment="1">
      <alignment horizontal="right"/>
    </xf>
    <xf numFmtId="170" fontId="111" fillId="0" borderId="8" xfId="162" applyNumberFormat="1" applyFont="1" applyFill="1" applyBorder="1"/>
    <xf numFmtId="170" fontId="107" fillId="0" borderId="0" xfId="162" applyNumberFormat="1" applyFont="1" applyFill="1" applyBorder="1" applyAlignment="1">
      <alignment horizontal="center" wrapText="1"/>
    </xf>
    <xf numFmtId="172" fontId="111" fillId="0" borderId="8" xfId="162" applyNumberFormat="1" applyFont="1" applyFill="1" applyBorder="1"/>
    <xf numFmtId="172" fontId="107" fillId="0" borderId="0" xfId="162" applyNumberFormat="1" applyFont="1" applyFill="1"/>
    <xf numFmtId="172" fontId="111" fillId="0" borderId="0" xfId="162" applyNumberFormat="1" applyFont="1" applyFill="1" applyBorder="1"/>
    <xf numFmtId="0" fontId="111" fillId="0" borderId="8" xfId="267" applyFont="1" applyBorder="1" applyAlignment="1">
      <alignment horizontal="left" wrapText="1"/>
    </xf>
    <xf numFmtId="17" fontId="111" fillId="0" borderId="8" xfId="267" applyNumberFormat="1" applyFont="1" applyBorder="1" applyAlignment="1">
      <alignment horizontal="center" vertical="center" wrapText="1"/>
    </xf>
    <xf numFmtId="0" fontId="111" fillId="0" borderId="8" xfId="267" applyFont="1" applyBorder="1" applyAlignment="1">
      <alignment horizontal="right" wrapText="1"/>
    </xf>
    <xf numFmtId="0" fontId="111" fillId="0" borderId="0" xfId="267" applyFont="1" applyAlignment="1">
      <alignment horizontal="left" wrapText="1"/>
    </xf>
    <xf numFmtId="172" fontId="118" fillId="0" borderId="0" xfId="162" applyNumberFormat="1" applyFont="1" applyFill="1" applyBorder="1" applyAlignment="1">
      <alignment horizontal="center" wrapText="1"/>
    </xf>
    <xf numFmtId="0" fontId="107" fillId="0" borderId="0" xfId="267" applyFont="1" applyAlignment="1">
      <alignment horizontal="left" wrapText="1"/>
    </xf>
    <xf numFmtId="0" fontId="111" fillId="0" borderId="8" xfId="268" applyFont="1" applyBorder="1"/>
    <xf numFmtId="258" fontId="111" fillId="0" borderId="8" xfId="268" applyNumberFormat="1" applyFont="1" applyBorder="1"/>
    <xf numFmtId="0" fontId="107" fillId="0" borderId="0" xfId="268" applyFont="1"/>
    <xf numFmtId="258" fontId="107" fillId="0" borderId="0" xfId="268" applyNumberFormat="1" applyFont="1"/>
    <xf numFmtId="0" fontId="111" fillId="0" borderId="0" xfId="268" applyFont="1"/>
    <xf numFmtId="258" fontId="111" fillId="0" borderId="0" xfId="268" applyNumberFormat="1" applyFont="1"/>
    <xf numFmtId="172" fontId="107" fillId="0" borderId="0" xfId="162" applyNumberFormat="1" applyFont="1" applyFill="1" applyBorder="1"/>
    <xf numFmtId="172" fontId="118" fillId="0" borderId="46" xfId="162" applyNumberFormat="1" applyFont="1" applyFill="1" applyBorder="1" applyAlignment="1">
      <alignment horizontal="right" vertical="center"/>
    </xf>
    <xf numFmtId="0" fontId="111" fillId="0" borderId="45" xfId="267" applyFont="1" applyBorder="1"/>
    <xf numFmtId="170" fontId="111" fillId="0" borderId="0" xfId="267" applyNumberFormat="1" applyFont="1"/>
    <xf numFmtId="172" fontId="118" fillId="0" borderId="0" xfId="0" applyNumberFormat="1" applyFont="1" applyAlignment="1">
      <alignment horizontal="right" vertical="center"/>
    </xf>
    <xf numFmtId="172" fontId="107" fillId="0" borderId="0" xfId="162" applyNumberFormat="1" applyFont="1" applyFill="1" applyBorder="1" applyAlignment="1">
      <alignment horizontal="right" vertical="center"/>
    </xf>
    <xf numFmtId="169" fontId="111" fillId="0" borderId="0" xfId="544" applyNumberFormat="1" applyFont="1" applyBorder="1"/>
    <xf numFmtId="169" fontId="118" fillId="0" borderId="0" xfId="544" applyNumberFormat="1" applyFont="1" applyFill="1" applyBorder="1"/>
    <xf numFmtId="172" fontId="111" fillId="28" borderId="0" xfId="174" applyNumberFormat="1" applyFont="1" applyFill="1" applyBorder="1" applyAlignment="1">
      <alignment horizontal="center"/>
    </xf>
    <xf numFmtId="258" fontId="111" fillId="28" borderId="0" xfId="268" applyNumberFormat="1" applyFont="1" applyFill="1"/>
    <xf numFmtId="172" fontId="107" fillId="0" borderId="47" xfId="162" applyNumberFormat="1" applyFont="1" applyBorder="1" applyAlignment="1">
      <alignment horizontal="right" vertical="center"/>
    </xf>
    <xf numFmtId="172" fontId="107" fillId="0" borderId="27" xfId="162" applyNumberFormat="1" applyFont="1" applyBorder="1"/>
    <xf numFmtId="172" fontId="107" fillId="0" borderId="0" xfId="162" applyNumberFormat="1" applyFont="1" applyFill="1" applyBorder="1" applyAlignment="1">
      <alignment horizontal="center" wrapText="1"/>
    </xf>
    <xf numFmtId="165" fontId="107" fillId="0" borderId="0" xfId="0" applyNumberFormat="1" applyFont="1" applyAlignment="1">
      <alignment horizontal="right"/>
    </xf>
    <xf numFmtId="170" fontId="107" fillId="0" borderId="0" xfId="0" applyNumberFormat="1" applyFont="1" applyAlignment="1">
      <alignment horizontal="right"/>
    </xf>
    <xf numFmtId="1" fontId="107" fillId="0" borderId="0" xfId="267" applyNumberFormat="1" applyFont="1"/>
    <xf numFmtId="0" fontId="126" fillId="0" borderId="0" xfId="267" applyFont="1" applyAlignment="1">
      <alignment horizontal="left" wrapText="1"/>
    </xf>
    <xf numFmtId="172" fontId="107" fillId="0" borderId="28" xfId="162" applyNumberFormat="1" applyFont="1" applyBorder="1" applyAlignment="1">
      <alignment horizontal="right" vertical="center"/>
    </xf>
    <xf numFmtId="1" fontId="107" fillId="0" borderId="48" xfId="267" applyNumberFormat="1" applyFont="1" applyBorder="1"/>
    <xf numFmtId="1" fontId="107" fillId="0" borderId="27" xfId="267" applyNumberFormat="1" applyFont="1" applyBorder="1"/>
    <xf numFmtId="1" fontId="107" fillId="0" borderId="28" xfId="267" applyNumberFormat="1" applyFont="1" applyBorder="1"/>
    <xf numFmtId="0" fontId="107" fillId="0" borderId="46" xfId="267" applyFont="1" applyBorder="1" applyAlignment="1">
      <alignment horizontal="left"/>
    </xf>
    <xf numFmtId="0" fontId="107" fillId="0" borderId="47" xfId="267" applyFont="1" applyBorder="1" applyAlignment="1">
      <alignment horizontal="left"/>
    </xf>
    <xf numFmtId="0" fontId="111" fillId="0" borderId="0" xfId="267" applyFont="1" applyAlignment="1">
      <alignment horizontal="right" wrapText="1"/>
    </xf>
    <xf numFmtId="172" fontId="107" fillId="0" borderId="28" xfId="162" applyNumberFormat="1" applyFont="1" applyBorder="1"/>
    <xf numFmtId="0" fontId="111" fillId="0" borderId="19" xfId="267" applyFont="1" applyBorder="1"/>
    <xf numFmtId="172" fontId="111" fillId="0" borderId="20" xfId="267" applyNumberFormat="1" applyFont="1" applyBorder="1"/>
    <xf numFmtId="170" fontId="111" fillId="0" borderId="49" xfId="267" applyNumberFormat="1" applyFont="1" applyBorder="1"/>
    <xf numFmtId="170" fontId="118" fillId="29" borderId="0" xfId="162" applyNumberFormat="1" applyFont="1" applyFill="1" applyBorder="1" applyAlignment="1">
      <alignment horizontal="right" vertical="center"/>
    </xf>
    <xf numFmtId="170" fontId="111" fillId="29" borderId="0" xfId="162" applyNumberFormat="1" applyFont="1" applyFill="1" applyBorder="1" applyAlignment="1">
      <alignment horizontal="right" vertical="center"/>
    </xf>
    <xf numFmtId="169" fontId="107" fillId="29" borderId="0" xfId="544" applyNumberFormat="1" applyFont="1" applyFill="1" applyBorder="1" applyAlignment="1">
      <alignment horizontal="right" vertical="center"/>
    </xf>
    <xf numFmtId="172" fontId="111" fillId="0" borderId="0" xfId="0" applyNumberFormat="1" applyFont="1" applyAlignment="1">
      <alignment horizontal="right" vertical="center"/>
    </xf>
    <xf numFmtId="169" fontId="118" fillId="29" borderId="0" xfId="544" applyNumberFormat="1" applyFont="1" applyFill="1" applyBorder="1"/>
    <xf numFmtId="169" fontId="111" fillId="29" borderId="0" xfId="544" applyNumberFormat="1" applyFont="1" applyFill="1" applyBorder="1"/>
    <xf numFmtId="0" fontId="111" fillId="0" borderId="7" xfId="0" applyFont="1" applyBorder="1"/>
    <xf numFmtId="169" fontId="107" fillId="0" borderId="7" xfId="544" applyNumberFormat="1" applyFont="1" applyFill="1" applyBorder="1" applyAlignment="1">
      <alignment horizontal="right"/>
    </xf>
    <xf numFmtId="169" fontId="111" fillId="0" borderId="0" xfId="544" applyNumberFormat="1" applyFont="1" applyFill="1" applyBorder="1" applyAlignment="1">
      <alignment horizontal="right"/>
    </xf>
    <xf numFmtId="172" fontId="118" fillId="29" borderId="0" xfId="162" applyNumberFormat="1" applyFont="1" applyFill="1" applyBorder="1" applyAlignment="1">
      <alignment horizontal="right" vertical="center"/>
    </xf>
    <xf numFmtId="172" fontId="111" fillId="29" borderId="0" xfId="0" applyNumberFormat="1" applyFont="1" applyFill="1" applyAlignment="1">
      <alignment horizontal="right" vertical="center"/>
    </xf>
    <xf numFmtId="169" fontId="111" fillId="0" borderId="49" xfId="544" applyNumberFormat="1" applyFont="1" applyFill="1" applyBorder="1"/>
    <xf numFmtId="9" fontId="118" fillId="0" borderId="27" xfId="544" applyFont="1" applyBorder="1"/>
    <xf numFmtId="9" fontId="118" fillId="0" borderId="28" xfId="544" applyFont="1" applyBorder="1"/>
    <xf numFmtId="0" fontId="111" fillId="0" borderId="42" xfId="267" applyFont="1" applyBorder="1"/>
    <xf numFmtId="170" fontId="107" fillId="0" borderId="0" xfId="0" applyNumberFormat="1" applyFont="1"/>
    <xf numFmtId="170" fontId="111" fillId="28" borderId="8" xfId="174" applyNumberFormat="1" applyFont="1" applyFill="1" applyBorder="1" applyAlignment="1">
      <alignment horizontal="center"/>
    </xf>
    <xf numFmtId="170" fontId="107" fillId="0" borderId="27" xfId="162" applyNumberFormat="1" applyFont="1" applyFill="1" applyBorder="1" applyAlignment="1">
      <alignment horizontal="left" wrapText="1"/>
    </xf>
    <xf numFmtId="170" fontId="111" fillId="0" borderId="43" xfId="162" applyNumberFormat="1" applyFont="1" applyFill="1" applyBorder="1" applyAlignment="1">
      <alignment horizontal="left" wrapText="1"/>
    </xf>
    <xf numFmtId="170" fontId="107" fillId="0" borderId="27" xfId="162" applyNumberFormat="1" applyFont="1" applyBorder="1"/>
    <xf numFmtId="170" fontId="111" fillId="0" borderId="20" xfId="267" applyNumberFormat="1" applyFont="1" applyBorder="1"/>
    <xf numFmtId="170" fontId="118" fillId="0" borderId="0" xfId="162" applyNumberFormat="1" applyFont="1" applyFill="1" applyBorder="1" applyAlignment="1">
      <alignment horizontal="center" wrapText="1"/>
    </xf>
    <xf numFmtId="262" fontId="119" fillId="0" borderId="8" xfId="268" applyNumberFormat="1" applyFont="1" applyBorder="1"/>
    <xf numFmtId="165" fontId="107" fillId="29" borderId="0" xfId="0" applyNumberFormat="1" applyFont="1" applyFill="1"/>
    <xf numFmtId="9" fontId="118" fillId="0" borderId="27" xfId="544" applyFont="1" applyFill="1" applyBorder="1"/>
    <xf numFmtId="9" fontId="118" fillId="0" borderId="28" xfId="544" applyFont="1" applyFill="1" applyBorder="1"/>
    <xf numFmtId="168" fontId="111" fillId="0" borderId="3" xfId="0" applyNumberFormat="1" applyFont="1" applyBorder="1" applyAlignment="1">
      <alignment horizontal="centerContinuous"/>
    </xf>
    <xf numFmtId="168" fontId="111" fillId="0" borderId="0" xfId="0" applyNumberFormat="1" applyFont="1" applyAlignment="1">
      <alignment horizontal="center" vertical="center"/>
    </xf>
    <xf numFmtId="169" fontId="123" fillId="0" borderId="0" xfId="544" applyNumberFormat="1" applyFont="1" applyFill="1" applyBorder="1"/>
    <xf numFmtId="0" fontId="111" fillId="26" borderId="38" xfId="0" applyFont="1" applyFill="1" applyBorder="1" applyAlignment="1">
      <alignment horizontal="center"/>
    </xf>
    <xf numFmtId="168" fontId="111" fillId="26" borderId="3" xfId="0" applyNumberFormat="1" applyFont="1" applyFill="1" applyBorder="1" applyAlignment="1">
      <alignment horizontal="center"/>
    </xf>
    <xf numFmtId="172" fontId="118" fillId="0" borderId="0" xfId="174" applyNumberFormat="1" applyFont="1" applyFill="1" applyBorder="1" applyAlignment="1">
      <alignment horizontal="right" vertical="center"/>
    </xf>
    <xf numFmtId="172" fontId="111" fillId="0" borderId="0" xfId="174" applyNumberFormat="1" applyFont="1" applyFill="1" applyBorder="1" applyAlignment="1">
      <alignment horizontal="right" vertical="center"/>
    </xf>
    <xf numFmtId="170" fontId="118" fillId="0" borderId="0" xfId="174" applyNumberFormat="1" applyFont="1" applyFill="1" applyBorder="1" applyAlignment="1">
      <alignment horizontal="right" vertical="center"/>
    </xf>
    <xf numFmtId="169" fontId="113" fillId="0" borderId="0" xfId="551" applyNumberFormat="1" applyFont="1" applyFill="1" applyBorder="1" applyAlignment="1">
      <alignment horizontal="right" vertical="center"/>
    </xf>
    <xf numFmtId="169" fontId="123" fillId="0" borderId="0" xfId="551" applyNumberFormat="1" applyFont="1" applyFill="1" applyBorder="1" applyAlignment="1">
      <alignment horizontal="right" vertical="center"/>
    </xf>
    <xf numFmtId="169" fontId="118" fillId="0" borderId="0" xfId="551" applyNumberFormat="1" applyFont="1" applyBorder="1"/>
    <xf numFmtId="169" fontId="113" fillId="0" borderId="0" xfId="551" applyNumberFormat="1" applyFont="1" applyBorder="1"/>
    <xf numFmtId="169" fontId="123" fillId="0" borderId="0" xfId="551" applyNumberFormat="1" applyFont="1" applyBorder="1"/>
    <xf numFmtId="170" fontId="118" fillId="0" borderId="0" xfId="174" applyNumberFormat="1" applyFont="1" applyFill="1" applyBorder="1"/>
    <xf numFmtId="172" fontId="118" fillId="29" borderId="0" xfId="174" applyNumberFormat="1" applyFont="1" applyFill="1" applyBorder="1" applyAlignment="1">
      <alignment horizontal="right" vertical="center"/>
    </xf>
    <xf numFmtId="169" fontId="111" fillId="0" borderId="0" xfId="551" applyNumberFormat="1" applyFont="1" applyBorder="1"/>
    <xf numFmtId="0" fontId="111" fillId="0" borderId="49" xfId="267" applyFont="1" applyBorder="1"/>
    <xf numFmtId="9" fontId="118" fillId="0" borderId="46" xfId="544" applyFont="1" applyFill="1" applyBorder="1"/>
    <xf numFmtId="9" fontId="118" fillId="0" borderId="0" xfId="544" applyFont="1" applyFill="1" applyBorder="1"/>
    <xf numFmtId="224" fontId="107" fillId="0" borderId="0" xfId="267" applyNumberFormat="1" applyFont="1"/>
    <xf numFmtId="165" fontId="118" fillId="29" borderId="0" xfId="0" applyNumberFormat="1" applyFont="1" applyFill="1"/>
    <xf numFmtId="170" fontId="107" fillId="29" borderId="0" xfId="162" applyNumberFormat="1" applyFont="1" applyFill="1" applyBorder="1"/>
    <xf numFmtId="43" fontId="107" fillId="0" borderId="0" xfId="267" applyNumberFormat="1" applyFont="1"/>
    <xf numFmtId="169" fontId="118" fillId="0" borderId="0" xfId="544" applyNumberFormat="1" applyFont="1" applyBorder="1" applyAlignment="1">
      <alignment vertical="center"/>
    </xf>
    <xf numFmtId="171" fontId="120" fillId="0" borderId="0" xfId="0" applyNumberFormat="1" applyFont="1"/>
    <xf numFmtId="17" fontId="111" fillId="0" borderId="8" xfId="267" applyNumberFormat="1" applyFont="1" applyBorder="1" applyAlignment="1">
      <alignment horizontal="left" vertical="center" wrapText="1"/>
    </xf>
    <xf numFmtId="0" fontId="111" fillId="0" borderId="41" xfId="267" applyFont="1" applyBorder="1" applyAlignment="1">
      <alignment horizontal="center" wrapText="1"/>
    </xf>
    <xf numFmtId="10" fontId="107" fillId="0" borderId="0" xfId="267" applyNumberFormat="1" applyFont="1"/>
    <xf numFmtId="0" fontId="111" fillId="0" borderId="50" xfId="268" applyFont="1" applyBorder="1"/>
    <xf numFmtId="170" fontId="111" fillId="0" borderId="51" xfId="174" applyNumberFormat="1" applyFont="1" applyFill="1" applyBorder="1" applyAlignment="1">
      <alignment horizontal="center"/>
    </xf>
    <xf numFmtId="258" fontId="111" fillId="0" borderId="51" xfId="268" applyNumberFormat="1" applyFont="1" applyBorder="1"/>
    <xf numFmtId="0" fontId="126" fillId="26" borderId="3" xfId="0" applyFont="1" applyFill="1" applyBorder="1" applyAlignment="1">
      <alignment horizontal="center"/>
    </xf>
    <xf numFmtId="37" fontId="126" fillId="0" borderId="0" xfId="0" applyNumberFormat="1" applyFont="1"/>
    <xf numFmtId="169" fontId="113" fillId="29" borderId="0" xfId="544" applyNumberFormat="1" applyFont="1" applyFill="1" applyBorder="1" applyAlignment="1">
      <alignment horizontal="right" vertical="center"/>
    </xf>
    <xf numFmtId="169" fontId="123" fillId="29" borderId="0" xfId="544" applyNumberFormat="1" applyFont="1" applyFill="1" applyBorder="1" applyAlignment="1">
      <alignment horizontal="right" vertical="center"/>
    </xf>
    <xf numFmtId="170" fontId="109" fillId="0" borderId="0" xfId="162" applyNumberFormat="1" applyFont="1" applyFill="1"/>
    <xf numFmtId="3" fontId="0" fillId="0" borderId="0" xfId="0" applyNumberFormat="1"/>
    <xf numFmtId="258" fontId="107" fillId="27" borderId="0" xfId="0" applyNumberFormat="1" applyFont="1" applyFill="1" applyAlignment="1">
      <alignment horizontal="right"/>
    </xf>
    <xf numFmtId="258" fontId="111" fillId="27" borderId="0" xfId="0" applyNumberFormat="1" applyFont="1" applyFill="1" applyAlignment="1">
      <alignment horizontal="right"/>
    </xf>
    <xf numFmtId="2" fontId="107" fillId="27" borderId="0" xfId="0" applyNumberFormat="1" applyFont="1" applyFill="1"/>
    <xf numFmtId="259" fontId="107" fillId="27" borderId="0" xfId="0" applyNumberFormat="1" applyFont="1" applyFill="1"/>
    <xf numFmtId="169" fontId="111" fillId="27" borderId="0" xfId="544" applyNumberFormat="1" applyFont="1" applyFill="1" applyBorder="1" applyAlignment="1">
      <alignment horizontal="right"/>
    </xf>
    <xf numFmtId="169" fontId="107" fillId="27" borderId="7" xfId="544" applyNumberFormat="1" applyFont="1" applyFill="1" applyBorder="1" applyAlignment="1">
      <alignment horizontal="right"/>
    </xf>
    <xf numFmtId="258" fontId="119" fillId="0" borderId="8" xfId="268" applyNumberFormat="1" applyFont="1" applyBorder="1"/>
    <xf numFmtId="0" fontId="111" fillId="26" borderId="3" xfId="0" applyFont="1" applyFill="1" applyBorder="1" applyAlignment="1">
      <alignment horizontal="center"/>
    </xf>
    <xf numFmtId="0" fontId="111" fillId="30" borderId="0" xfId="0" applyFont="1" applyFill="1"/>
    <xf numFmtId="168" fontId="111" fillId="26" borderId="0" xfId="0" applyNumberFormat="1" applyFont="1" applyFill="1" applyAlignment="1">
      <alignment horizontal="left"/>
    </xf>
    <xf numFmtId="168" fontId="111" fillId="0" borderId="0" xfId="0" applyNumberFormat="1" applyFont="1" applyAlignment="1">
      <alignment horizontal="left"/>
    </xf>
    <xf numFmtId="43" fontId="109" fillId="0" borderId="0" xfId="174" applyFont="1" applyFill="1" applyBorder="1" applyAlignment="1">
      <alignment horizontal="center"/>
    </xf>
    <xf numFmtId="0" fontId="107" fillId="26" borderId="0" xfId="0" applyFont="1" applyFill="1"/>
    <xf numFmtId="0" fontId="126" fillId="26" borderId="0" xfId="0" applyFont="1" applyFill="1" applyAlignment="1">
      <alignment horizontal="center"/>
    </xf>
    <xf numFmtId="0" fontId="126" fillId="0" borderId="0" xfId="0" applyFont="1" applyAlignment="1">
      <alignment horizontal="center"/>
    </xf>
    <xf numFmtId="169" fontId="118" fillId="27" borderId="0" xfId="544" applyNumberFormat="1" applyFont="1" applyFill="1" applyBorder="1"/>
    <xf numFmtId="169" fontId="111" fillId="27" borderId="0" xfId="544" applyNumberFormat="1" applyFont="1" applyFill="1" applyBorder="1"/>
    <xf numFmtId="17" fontId="111" fillId="26" borderId="8" xfId="267" applyNumberFormat="1" applyFont="1" applyFill="1" applyBorder="1" applyAlignment="1">
      <alignment horizontal="left" vertical="center" wrapText="1"/>
    </xf>
    <xf numFmtId="17" fontId="111" fillId="26" borderId="8" xfId="267" applyNumberFormat="1" applyFont="1" applyFill="1" applyBorder="1" applyAlignment="1">
      <alignment horizontal="center" vertical="center" wrapText="1"/>
    </xf>
    <xf numFmtId="0" fontId="111" fillId="26" borderId="8" xfId="267" applyFont="1" applyFill="1" applyBorder="1" applyAlignment="1">
      <alignment horizontal="center" vertical="center" wrapText="1"/>
    </xf>
    <xf numFmtId="0" fontId="111" fillId="26" borderId="40" xfId="267" applyFont="1" applyFill="1" applyBorder="1" applyAlignment="1">
      <alignment horizontal="left" wrapText="1"/>
    </xf>
    <xf numFmtId="17" fontId="111" fillId="26" borderId="41" xfId="267" applyNumberFormat="1" applyFont="1" applyFill="1" applyBorder="1" applyAlignment="1">
      <alignment horizontal="center" wrapText="1"/>
    </xf>
    <xf numFmtId="0" fontId="111" fillId="26" borderId="45" xfId="267" applyFont="1" applyFill="1" applyBorder="1"/>
    <xf numFmtId="17" fontId="111" fillId="26" borderId="41" xfId="267" applyNumberFormat="1" applyFont="1" applyFill="1" applyBorder="1" applyAlignment="1">
      <alignment horizontal="center" vertical="center" wrapText="1"/>
    </xf>
    <xf numFmtId="0" fontId="111" fillId="26" borderId="41" xfId="267" applyFont="1" applyFill="1" applyBorder="1" applyAlignment="1">
      <alignment horizontal="center" vertical="center" wrapText="1"/>
    </xf>
    <xf numFmtId="0" fontId="126" fillId="26" borderId="8" xfId="267" applyFont="1" applyFill="1" applyBorder="1" applyAlignment="1">
      <alignment horizontal="left" wrapText="1"/>
    </xf>
    <xf numFmtId="0" fontId="111" fillId="26" borderId="8" xfId="267" applyFont="1" applyFill="1" applyBorder="1" applyAlignment="1">
      <alignment horizontal="center" wrapText="1"/>
    </xf>
    <xf numFmtId="170" fontId="111" fillId="0" borderId="0" xfId="162" applyNumberFormat="1" applyFont="1" applyFill="1" applyBorder="1" applyAlignment="1">
      <alignment horizontal="right"/>
    </xf>
    <xf numFmtId="169" fontId="107" fillId="0" borderId="0" xfId="544" applyNumberFormat="1" applyFont="1" applyFill="1" applyBorder="1" applyAlignment="1">
      <alignment horizontal="right"/>
    </xf>
    <xf numFmtId="165" fontId="110" fillId="30" borderId="0" xfId="0" applyNumberFormat="1" applyFont="1" applyFill="1"/>
    <xf numFmtId="0" fontId="115" fillId="30" borderId="0" xfId="0" applyFont="1" applyFill="1" applyAlignment="1">
      <alignment horizontal="left"/>
    </xf>
    <xf numFmtId="165" fontId="107" fillId="30" borderId="0" xfId="0" applyNumberFormat="1" applyFont="1" applyFill="1"/>
    <xf numFmtId="3" fontId="107" fillId="0" borderId="0" xfId="0" applyNumberFormat="1" applyFont="1"/>
    <xf numFmtId="0" fontId="111" fillId="0" borderId="0" xfId="0" applyFont="1" applyAlignment="1">
      <alignment horizontal="center"/>
    </xf>
    <xf numFmtId="168" fontId="111" fillId="0" borderId="0" xfId="0" applyNumberFormat="1" applyFont="1" applyAlignment="1">
      <alignment horizontal="center"/>
    </xf>
    <xf numFmtId="169" fontId="114" fillId="0" borderId="0" xfId="544" applyNumberFormat="1" applyFont="1" applyFill="1" applyBorder="1"/>
    <xf numFmtId="9" fontId="107" fillId="0" borderId="0" xfId="544" applyFont="1" applyFill="1" applyBorder="1"/>
    <xf numFmtId="169" fontId="113" fillId="0" borderId="0" xfId="0" applyNumberFormat="1" applyFont="1"/>
    <xf numFmtId="9" fontId="107" fillId="0" borderId="0" xfId="544" applyFont="1" applyFill="1" applyBorder="1" applyAlignment="1">
      <alignment horizontal="right" vertical="center"/>
    </xf>
    <xf numFmtId="168" fontId="111" fillId="0" borderId="0" xfId="0" applyNumberFormat="1" applyFont="1" applyAlignment="1">
      <alignment horizontal="centerContinuous"/>
    </xf>
    <xf numFmtId="169" fontId="113" fillId="0" borderId="0" xfId="544" applyNumberFormat="1" applyFont="1" applyFill="1" applyBorder="1" applyAlignment="1">
      <alignment horizontal="right"/>
    </xf>
    <xf numFmtId="170" fontId="107" fillId="0" borderId="0" xfId="162" applyNumberFormat="1" applyFont="1" applyFill="1" applyBorder="1" applyAlignment="1">
      <alignment horizontal="right"/>
    </xf>
    <xf numFmtId="9" fontId="113" fillId="0" borderId="0" xfId="544" applyFont="1" applyFill="1" applyBorder="1" applyAlignment="1">
      <alignment horizontal="right"/>
    </xf>
    <xf numFmtId="0" fontId="123" fillId="0" borderId="0" xfId="0" applyFont="1"/>
    <xf numFmtId="170" fontId="118" fillId="30" borderId="0" xfId="162" applyNumberFormat="1" applyFont="1" applyFill="1"/>
    <xf numFmtId="170" fontId="111" fillId="30" borderId="0" xfId="162" applyNumberFormat="1" applyFont="1" applyFill="1"/>
    <xf numFmtId="170" fontId="107" fillId="30" borderId="0" xfId="162" applyNumberFormat="1" applyFont="1" applyFill="1" applyBorder="1"/>
    <xf numFmtId="170" fontId="118" fillId="30" borderId="0" xfId="162" applyNumberFormat="1" applyFont="1" applyFill="1" applyBorder="1"/>
    <xf numFmtId="165" fontId="118" fillId="27" borderId="0" xfId="0" applyNumberFormat="1" applyFont="1" applyFill="1"/>
    <xf numFmtId="165" fontId="107" fillId="27" borderId="0" xfId="0" applyNumberFormat="1" applyFont="1" applyFill="1"/>
    <xf numFmtId="170" fontId="107" fillId="27" borderId="0" xfId="162" applyNumberFormat="1" applyFont="1" applyFill="1" applyBorder="1"/>
    <xf numFmtId="0" fontId="107" fillId="27" borderId="0" xfId="0" applyFont="1" applyFill="1"/>
    <xf numFmtId="0" fontId="111" fillId="27" borderId="0" xfId="0" applyFont="1" applyFill="1"/>
    <xf numFmtId="165" fontId="110" fillId="27" borderId="0" xfId="0" applyNumberFormat="1" applyFont="1" applyFill="1"/>
    <xf numFmtId="172" fontId="118" fillId="27" borderId="0" xfId="162" applyNumberFormat="1" applyFont="1" applyFill="1" applyBorder="1" applyAlignment="1">
      <alignment horizontal="right" vertical="center"/>
    </xf>
    <xf numFmtId="169" fontId="118" fillId="27" borderId="0" xfId="551" applyNumberFormat="1" applyFont="1" applyFill="1" applyBorder="1"/>
    <xf numFmtId="172" fontId="118" fillId="27" borderId="0" xfId="174" applyNumberFormat="1" applyFont="1" applyFill="1" applyBorder="1" applyAlignment="1">
      <alignment horizontal="right" vertical="center"/>
    </xf>
    <xf numFmtId="169" fontId="111" fillId="27" borderId="7" xfId="544" applyNumberFormat="1" applyFont="1" applyFill="1" applyBorder="1"/>
    <xf numFmtId="170" fontId="121" fillId="0" borderId="0" xfId="267" applyNumberFormat="1" applyFont="1"/>
    <xf numFmtId="170" fontId="118" fillId="0" borderId="27" xfId="162" applyNumberFormat="1" applyFont="1" applyFill="1" applyBorder="1" applyAlignment="1">
      <alignment horizontal="center" wrapText="1"/>
    </xf>
    <xf numFmtId="0" fontId="107" fillId="0" borderId="22" xfId="267" applyFont="1" applyBorder="1" applyAlignment="1">
      <alignment horizontal="left" wrapText="1"/>
    </xf>
    <xf numFmtId="170" fontId="118" fillId="0" borderId="28" xfId="162" applyNumberFormat="1" applyFont="1" applyFill="1" applyBorder="1" applyAlignment="1">
      <alignment horizontal="center" wrapText="1"/>
    </xf>
    <xf numFmtId="0" fontId="126" fillId="26" borderId="40" xfId="267" applyFont="1" applyFill="1" applyBorder="1" applyAlignment="1">
      <alignment horizontal="left" wrapText="1"/>
    </xf>
    <xf numFmtId="43" fontId="111" fillId="0" borderId="0" xfId="162" applyFont="1" applyFill="1" applyBorder="1" applyAlignment="1">
      <alignment horizontal="center"/>
    </xf>
    <xf numFmtId="165" fontId="109" fillId="30" borderId="0" xfId="0" applyNumberFormat="1" applyFont="1" applyFill="1"/>
    <xf numFmtId="0" fontId="111" fillId="27" borderId="0" xfId="0" applyFont="1" applyFill="1" applyAlignment="1">
      <alignment horizontal="left"/>
    </xf>
    <xf numFmtId="165" fontId="111" fillId="27" borderId="0" xfId="0" applyNumberFormat="1" applyFont="1" applyFill="1"/>
    <xf numFmtId="0" fontId="107" fillId="27" borderId="0" xfId="0" applyFont="1" applyFill="1" applyAlignment="1">
      <alignment horizontal="left"/>
    </xf>
    <xf numFmtId="172" fontId="127" fillId="0" borderId="0" xfId="162" applyNumberFormat="1" applyFont="1" applyFill="1"/>
    <xf numFmtId="172" fontId="127" fillId="0" borderId="0" xfId="162" applyNumberFormat="1" applyFont="1" applyFill="1" applyBorder="1"/>
    <xf numFmtId="170" fontId="127" fillId="0" borderId="0" xfId="162" applyNumberFormat="1" applyFont="1" applyFill="1"/>
    <xf numFmtId="170" fontId="127" fillId="0" borderId="0" xfId="162" applyNumberFormat="1" applyFont="1" applyFill="1" applyBorder="1"/>
    <xf numFmtId="170" fontId="119" fillId="0" borderId="0" xfId="0" applyNumberFormat="1" applyFont="1"/>
    <xf numFmtId="0" fontId="119" fillId="0" borderId="0" xfId="0" applyFont="1"/>
    <xf numFmtId="0" fontId="118" fillId="0" borderId="0" xfId="0" applyFont="1"/>
    <xf numFmtId="0" fontId="117" fillId="0" borderId="0" xfId="0" applyFont="1"/>
    <xf numFmtId="165" fontId="127" fillId="0" borderId="0" xfId="0" applyNumberFormat="1" applyFont="1"/>
    <xf numFmtId="165" fontId="113" fillId="0" borderId="0" xfId="0" applyNumberFormat="1" applyFont="1"/>
    <xf numFmtId="37" fontId="113" fillId="0" borderId="0" xfId="0" applyNumberFormat="1" applyFont="1" applyAlignment="1">
      <alignment horizontal="left"/>
    </xf>
    <xf numFmtId="37" fontId="113" fillId="0" borderId="0" xfId="0" applyNumberFormat="1" applyFont="1"/>
    <xf numFmtId="37" fontId="127" fillId="0" borderId="0" xfId="0" applyNumberFormat="1" applyFont="1"/>
    <xf numFmtId="0" fontId="111" fillId="31" borderId="0" xfId="0" applyFont="1" applyFill="1"/>
    <xf numFmtId="257" fontId="111" fillId="31" borderId="0" xfId="0" applyNumberFormat="1" applyFont="1" applyFill="1"/>
    <xf numFmtId="257" fontId="119" fillId="31" borderId="0" xfId="0" applyNumberFormat="1" applyFont="1" applyFill="1"/>
    <xf numFmtId="0" fontId="107" fillId="31" borderId="0" xfId="0" applyFont="1" applyFill="1"/>
    <xf numFmtId="43" fontId="127" fillId="0" borderId="0" xfId="162" applyFont="1" applyFill="1"/>
    <xf numFmtId="0" fontId="107" fillId="30" borderId="0" xfId="0" applyFont="1" applyFill="1"/>
    <xf numFmtId="260" fontId="107" fillId="30" borderId="0" xfId="0" applyNumberFormat="1" applyFont="1" applyFill="1" applyAlignment="1">
      <alignment horizontal="right"/>
    </xf>
    <xf numFmtId="39" fontId="107" fillId="30" borderId="0" xfId="0" applyNumberFormat="1" applyFont="1" applyFill="1" applyAlignment="1">
      <alignment horizontal="right"/>
    </xf>
    <xf numFmtId="166" fontId="107" fillId="0" borderId="0" xfId="0" applyNumberFormat="1" applyFont="1"/>
    <xf numFmtId="39" fontId="118" fillId="30" borderId="0" xfId="0" applyNumberFormat="1" applyFont="1" applyFill="1" applyAlignment="1">
      <alignment horizontal="right"/>
    </xf>
    <xf numFmtId="170" fontId="111" fillId="0" borderId="0" xfId="0" applyNumberFormat="1" applyFont="1" applyAlignment="1">
      <alignment horizontal="right"/>
    </xf>
    <xf numFmtId="17" fontId="111" fillId="26" borderId="8" xfId="267" applyNumberFormat="1" applyFont="1" applyFill="1" applyBorder="1" applyAlignment="1">
      <alignment horizontal="left" vertical="center"/>
    </xf>
    <xf numFmtId="17" fontId="111" fillId="26" borderId="8" xfId="267" applyNumberFormat="1" applyFont="1" applyFill="1" applyBorder="1" applyAlignment="1">
      <alignment horizontal="center" vertical="center"/>
    </xf>
    <xf numFmtId="0" fontId="111" fillId="26" borderId="8" xfId="267" applyFont="1" applyFill="1" applyBorder="1" applyAlignment="1">
      <alignment horizontal="center" vertical="center"/>
    </xf>
    <xf numFmtId="260" fontId="107" fillId="0" borderId="0" xfId="0" applyNumberFormat="1" applyFont="1" applyAlignment="1">
      <alignment horizontal="right"/>
    </xf>
    <xf numFmtId="43" fontId="118" fillId="0" borderId="28" xfId="162" applyFont="1" applyFill="1" applyBorder="1" applyAlignment="1">
      <alignment horizontal="right" wrapText="1"/>
    </xf>
    <xf numFmtId="258" fontId="111" fillId="0" borderId="20" xfId="268" applyNumberFormat="1" applyFont="1" applyBorder="1"/>
    <xf numFmtId="170" fontId="111" fillId="0" borderId="0" xfId="162" applyNumberFormat="1" applyFont="1" applyFill="1" applyBorder="1" applyAlignment="1">
      <alignment horizontal="center" wrapText="1"/>
    </xf>
  </cellXfs>
  <cellStyles count="898">
    <cellStyle name="$" xfId="1" xr:uid="{00000000-0005-0000-0000-000000000000}"/>
    <cellStyle name="$_TSA Model - 1 8 06 - v2" xfId="2" xr:uid="{00000000-0005-0000-0000-000001000000}"/>
    <cellStyle name="%" xfId="3" xr:uid="{00000000-0005-0000-0000-000002000000}"/>
    <cellStyle name=";;;" xfId="4" xr:uid="{00000000-0005-0000-0000-000003000000}"/>
    <cellStyle name="_%(SignOnly)" xfId="5" xr:uid="{00000000-0005-0000-0000-000004000000}"/>
    <cellStyle name="_%(SignSpaceOnly)" xfId="6" xr:uid="{00000000-0005-0000-0000-000005000000}"/>
    <cellStyle name="_0% CADR" xfId="7" xr:uid="{00000000-0005-0000-0000-000006000000}"/>
    <cellStyle name="_0% IRR" xfId="8" xr:uid="{00000000-0005-0000-0000-000007000000}"/>
    <cellStyle name="_1% CADR" xfId="9" xr:uid="{00000000-0005-0000-0000-000008000000}"/>
    <cellStyle name="_10% CADR" xfId="10" xr:uid="{00000000-0005-0000-0000-000009000000}"/>
    <cellStyle name="_10% CDR" xfId="11" xr:uid="{00000000-0005-0000-0000-00000A000000}"/>
    <cellStyle name="_11% CADR" xfId="12" xr:uid="{00000000-0005-0000-0000-00000B000000}"/>
    <cellStyle name="_12% CADR" xfId="13" xr:uid="{00000000-0005-0000-0000-00000C000000}"/>
    <cellStyle name="_12% CDR" xfId="14" xr:uid="{00000000-0005-0000-0000-00000D000000}"/>
    <cellStyle name="_13% CADR" xfId="15" xr:uid="{00000000-0005-0000-0000-00000E000000}"/>
    <cellStyle name="_14% CADR" xfId="16" xr:uid="{00000000-0005-0000-0000-00000F000000}"/>
    <cellStyle name="_14% CDR" xfId="17" xr:uid="{00000000-0005-0000-0000-000010000000}"/>
    <cellStyle name="_16% CDR" xfId="18" xr:uid="{00000000-0005-0000-0000-000011000000}"/>
    <cellStyle name="_18% CDR" xfId="19" xr:uid="{00000000-0005-0000-0000-000012000000}"/>
    <cellStyle name="_19.6% CDR BBB Break In Yield" xfId="20" xr:uid="{00000000-0005-0000-0000-000013000000}"/>
    <cellStyle name="_2% CADR" xfId="21" xr:uid="{00000000-0005-0000-0000-000014000000}"/>
    <cellStyle name="_20% CDR" xfId="22" xr:uid="{00000000-0005-0000-0000-000015000000}"/>
    <cellStyle name="_21.5% CDR BBB Break In Yield" xfId="23" xr:uid="{00000000-0005-0000-0000-000016000000}"/>
    <cellStyle name="_3% CADR" xfId="24" xr:uid="{00000000-0005-0000-0000-000017000000}"/>
    <cellStyle name="_3% CDR" xfId="25" xr:uid="{00000000-0005-0000-0000-000018000000}"/>
    <cellStyle name="_4% CADR" xfId="26" xr:uid="{00000000-0005-0000-0000-000019000000}"/>
    <cellStyle name="_5% CADR" xfId="27" xr:uid="{00000000-0005-0000-0000-00001A000000}"/>
    <cellStyle name="_5% CDR" xfId="28" xr:uid="{00000000-0005-0000-0000-00001B000000}"/>
    <cellStyle name="_6% CADR" xfId="29" xr:uid="{00000000-0005-0000-0000-00001C000000}"/>
    <cellStyle name="_7% CADR" xfId="30" xr:uid="{00000000-0005-0000-0000-00001D000000}"/>
    <cellStyle name="_7% CDR" xfId="31" xr:uid="{00000000-0005-0000-0000-00001E000000}"/>
    <cellStyle name="_8% CADR" xfId="32" xr:uid="{00000000-0005-0000-0000-00001F000000}"/>
    <cellStyle name="_8.0% CDR BB Break In Yield" xfId="33" xr:uid="{00000000-0005-0000-0000-000020000000}"/>
    <cellStyle name="_8.1% CDR BB Break In Yield" xfId="34" xr:uid="{00000000-0005-0000-0000-000021000000}"/>
    <cellStyle name="_9% CADR" xfId="35" xr:uid="{00000000-0005-0000-0000-000022000000}"/>
    <cellStyle name="_Assets" xfId="36" xr:uid="{00000000-0005-0000-0000-000023000000}"/>
    <cellStyle name="_Assets_1" xfId="37" xr:uid="{00000000-0005-0000-0000-000024000000}"/>
    <cellStyle name="_Assets_1_COMPS - B2B Publishers" xfId="38" xr:uid="{00000000-0005-0000-0000-000025000000}"/>
    <cellStyle name="_Assets_1_COMPS - Directories" xfId="39" xr:uid="{00000000-0005-0000-0000-000026000000}"/>
    <cellStyle name="_Assets_1_F&amp;W Servicing Model" xfId="40" xr:uid="{00000000-0005-0000-0000-000027000000}"/>
    <cellStyle name="_Assets_1_F&amp;W Servicing Model v2" xfId="41" xr:uid="{00000000-0005-0000-0000-000028000000}"/>
    <cellStyle name="_Assets_1_S&amp;P Analysis" xfId="42" xr:uid="{00000000-0005-0000-0000-000029000000}"/>
    <cellStyle name="_Assets_1_Univision Annual Model" xfId="43" xr:uid="{00000000-0005-0000-0000-00002A000000}"/>
    <cellStyle name="_Assets_1_Yell Servicing Model" xfId="44" xr:uid="{00000000-0005-0000-0000-00002B000000}"/>
    <cellStyle name="_Assets_S&amp;P Analysis" xfId="45" xr:uid="{00000000-0005-0000-0000-00002C000000}"/>
    <cellStyle name="_Assets_S&amp;P Analysis_COMPS - B2B Publishers" xfId="46" xr:uid="{00000000-0005-0000-0000-00002D000000}"/>
    <cellStyle name="_Assets_S&amp;P Analysis_COMPS - Directories" xfId="47" xr:uid="{00000000-0005-0000-0000-00002E000000}"/>
    <cellStyle name="_Assets_S&amp;P Analysis_F&amp;W Servicing Model" xfId="48" xr:uid="{00000000-0005-0000-0000-00002F000000}"/>
    <cellStyle name="_Assets_S&amp;P Analysis_F&amp;W Servicing Model v2" xfId="49" xr:uid="{00000000-0005-0000-0000-000030000000}"/>
    <cellStyle name="_Assets_S&amp;P Analysis_Univision Annual Model" xfId="50" xr:uid="{00000000-0005-0000-0000-000031000000}"/>
    <cellStyle name="_Assets_S&amp;P Analysis_Yell Servicing Model" xfId="51" xr:uid="{00000000-0005-0000-0000-000032000000}"/>
    <cellStyle name="_Assumptions" xfId="52" xr:uid="{00000000-0005-0000-0000-000033000000}"/>
    <cellStyle name="_Assumptions_1" xfId="53" xr:uid="{00000000-0005-0000-0000-000034000000}"/>
    <cellStyle name="_Assumptions_1_COMPS - B2B Publishers" xfId="54" xr:uid="{00000000-0005-0000-0000-000035000000}"/>
    <cellStyle name="_Assumptions_1_COMPS - Directories" xfId="55" xr:uid="{00000000-0005-0000-0000-000036000000}"/>
    <cellStyle name="_Assumptions_1_F&amp;W Servicing Model" xfId="56" xr:uid="{00000000-0005-0000-0000-000037000000}"/>
    <cellStyle name="_Assumptions_1_F&amp;W Servicing Model v2" xfId="57" xr:uid="{00000000-0005-0000-0000-000038000000}"/>
    <cellStyle name="_Assumptions_1_Univision Annual Model" xfId="58" xr:uid="{00000000-0005-0000-0000-000039000000}"/>
    <cellStyle name="_Assumptions_1_Yell Servicing Model" xfId="59" xr:uid="{00000000-0005-0000-0000-00003A000000}"/>
    <cellStyle name="_Blue Mountain TRS (7-5-05)" xfId="60" xr:uid="{00000000-0005-0000-0000-00003B000000}"/>
    <cellStyle name="_Book2" xfId="61" xr:uid="{00000000-0005-0000-0000-00003C000000}"/>
    <cellStyle name="_CDO of CDO" xfId="62" xr:uid="{00000000-0005-0000-0000-00003D000000}"/>
    <cellStyle name="_CLO Portfolio 10_07_2005" xfId="63" xr:uid="{00000000-0005-0000-0000-00003E000000}"/>
    <cellStyle name="_Comma" xfId="64" xr:uid="{00000000-0005-0000-0000-00003F000000}"/>
    <cellStyle name="_Comma_dcf" xfId="65" xr:uid="{00000000-0005-0000-0000-000040000000}"/>
    <cellStyle name="_Currency" xfId="66" xr:uid="{00000000-0005-0000-0000-000041000000}"/>
    <cellStyle name="_Currency_dcf" xfId="67" xr:uid="{00000000-0005-0000-0000-000042000000}"/>
    <cellStyle name="_CurrencySpace" xfId="68" xr:uid="{00000000-0005-0000-0000-000043000000}"/>
    <cellStyle name="_CurrencySpace_dcf" xfId="69" xr:uid="{00000000-0005-0000-0000-000044000000}"/>
    <cellStyle name="_Euro" xfId="70" xr:uid="{00000000-0005-0000-0000-000045000000}"/>
    <cellStyle name="_EV8 Assumption List" xfId="71" xr:uid="{00000000-0005-0000-0000-000046000000}"/>
    <cellStyle name="_Exhibit I Babson Warehouse 2006-II CLO 8 18 06" xfId="72" xr:uid="{00000000-0005-0000-0000-000047000000}"/>
    <cellStyle name="_First PIK" xfId="73" xr:uid="{00000000-0005-0000-0000-000048000000}"/>
    <cellStyle name="_Galaxy VI CLO - WestLB Request" xfId="74" xr:uid="{00000000-0005-0000-0000-000049000000}"/>
    <cellStyle name="_Heading" xfId="75" xr:uid="{00000000-0005-0000-0000-00004A000000}"/>
    <cellStyle name="_Heading_prestemp" xfId="76" xr:uid="{00000000-0005-0000-0000-00004B000000}"/>
    <cellStyle name="_Highlight" xfId="77" xr:uid="{00000000-0005-0000-0000-00004C000000}"/>
    <cellStyle name="_Model FINAL (2)" xfId="78" xr:uid="{00000000-0005-0000-0000-00004D000000}"/>
    <cellStyle name="_Multiple" xfId="79" xr:uid="{00000000-0005-0000-0000-00004E000000}"/>
    <cellStyle name="_Multiple_dcf" xfId="80" xr:uid="{00000000-0005-0000-0000-00004F000000}"/>
    <cellStyle name="_MultipleSpace" xfId="81" xr:uid="{00000000-0005-0000-0000-000050000000}"/>
    <cellStyle name="_MultipleSpace_dcf" xfId="82" xr:uid="{00000000-0005-0000-0000-000051000000}"/>
    <cellStyle name="_Other Defafult Scenario 1" xfId="83" xr:uid="{00000000-0005-0000-0000-000052000000}"/>
    <cellStyle name="_Other Default Scenario 2" xfId="84" xr:uid="{00000000-0005-0000-0000-000053000000}"/>
    <cellStyle name="_Percent" xfId="85" xr:uid="{00000000-0005-0000-0000-000054000000}"/>
    <cellStyle name="_PercentSpace" xfId="86" xr:uid="{00000000-0005-0000-0000-000055000000}"/>
    <cellStyle name="_Port" xfId="87" xr:uid="{00000000-0005-0000-0000-000056000000}"/>
    <cellStyle name="_Port For S&amp;P" xfId="88" xr:uid="{00000000-0005-0000-0000-000057000000}"/>
    <cellStyle name="_Port_COMPS - B2B Publishers" xfId="89" xr:uid="{00000000-0005-0000-0000-000058000000}"/>
    <cellStyle name="_Port_COMPS - Directories" xfId="90" xr:uid="{00000000-0005-0000-0000-000059000000}"/>
    <cellStyle name="_Port_F&amp;W Servicing Model" xfId="91" xr:uid="{00000000-0005-0000-0000-00005A000000}"/>
    <cellStyle name="_Port_F&amp;W Servicing Model v2" xfId="92" xr:uid="{00000000-0005-0000-0000-00005B000000}"/>
    <cellStyle name="_Port_Univision Annual Model" xfId="93" xr:uid="{00000000-0005-0000-0000-00005C000000}"/>
    <cellStyle name="_Port_Yell Servicing Model" xfId="94" xr:uid="{00000000-0005-0000-0000-00005D000000}"/>
    <cellStyle name="_Pro Forma TTM 9.30.07 (CW NEIRB Acquisition)" xfId="95" xr:uid="{00000000-0005-0000-0000-00005E000000}"/>
    <cellStyle name="_S&amp;P Analysis" xfId="96" xr:uid="{00000000-0005-0000-0000-00005F000000}"/>
    <cellStyle name="_S&amp;P Analysis_COMPS - B2B Publishers" xfId="97" xr:uid="{00000000-0005-0000-0000-000060000000}"/>
    <cellStyle name="_S&amp;P Analysis_COMPS - Directories" xfId="98" xr:uid="{00000000-0005-0000-0000-000061000000}"/>
    <cellStyle name="_S&amp;P Analysis_F&amp;W Servicing Model" xfId="99" xr:uid="{00000000-0005-0000-0000-000062000000}"/>
    <cellStyle name="_S&amp;P Analysis_F&amp;W Servicing Model v2" xfId="100" xr:uid="{00000000-0005-0000-0000-000063000000}"/>
    <cellStyle name="_S&amp;P Analysis_Univision Annual Model" xfId="101" xr:uid="{00000000-0005-0000-0000-000064000000}"/>
    <cellStyle name="_S&amp;P Analysis_Yell Servicing Model" xfId="102" xr:uid="{00000000-0005-0000-0000-000065000000}"/>
    <cellStyle name="_S&amp;P Hypothetical Port Summary" xfId="103" xr:uid="{00000000-0005-0000-0000-000066000000}"/>
    <cellStyle name="_S&amp;P Port 80Div_2099WARF" xfId="104" xr:uid="{00000000-0005-0000-0000-000067000000}"/>
    <cellStyle name="_S&amp;P Stress Scenarios" xfId="105" xr:uid="{00000000-0005-0000-0000-000068000000}"/>
    <cellStyle name="_Sources and Uses" xfId="106" xr:uid="{00000000-0005-0000-0000-000069000000}"/>
    <cellStyle name="_SubHeading" xfId="107" xr:uid="{00000000-0005-0000-0000-00006A000000}"/>
    <cellStyle name="_SubHeading_prestemp" xfId="108" xr:uid="{00000000-0005-0000-0000-00006B000000}"/>
    <cellStyle name="_Table" xfId="109" xr:uid="{00000000-0005-0000-0000-00006C000000}"/>
    <cellStyle name="_TableHead" xfId="110" xr:uid="{00000000-0005-0000-0000-00006D000000}"/>
    <cellStyle name="_TableRowHead" xfId="111" xr:uid="{00000000-0005-0000-0000-00006E000000}"/>
    <cellStyle name="_TableSuperHead" xfId="112" xr:uid="{00000000-0005-0000-0000-00006F000000}"/>
    <cellStyle name="£Currency [0]" xfId="113" xr:uid="{00000000-0005-0000-0000-000070000000}"/>
    <cellStyle name="£Currency [1]" xfId="114" xr:uid="{00000000-0005-0000-0000-000071000000}"/>
    <cellStyle name="£Currency [2]" xfId="115" xr:uid="{00000000-0005-0000-0000-000072000000}"/>
    <cellStyle name="£Currency [p]" xfId="116" xr:uid="{00000000-0005-0000-0000-000073000000}"/>
    <cellStyle name="£Currency [p2]" xfId="117" xr:uid="{00000000-0005-0000-0000-000074000000}"/>
    <cellStyle name="£Pounds" xfId="118" xr:uid="{00000000-0005-0000-0000-000075000000}"/>
    <cellStyle name="Accounting $" xfId="119" xr:uid="{00000000-0005-0000-0000-000076000000}"/>
    <cellStyle name="Across" xfId="120" xr:uid="{00000000-0005-0000-0000-000077000000}"/>
    <cellStyle name="Adjustable" xfId="121" xr:uid="{00000000-0005-0000-0000-000078000000}"/>
    <cellStyle name="AFE" xfId="122" xr:uid="{00000000-0005-0000-0000-000079000000}"/>
    <cellStyle name="Andre's Title" xfId="123" xr:uid="{00000000-0005-0000-0000-00007A000000}"/>
    <cellStyle name="args.style" xfId="124" xr:uid="{00000000-0005-0000-0000-00007B000000}"/>
    <cellStyle name="Arial 10" xfId="125" xr:uid="{00000000-0005-0000-0000-00007C000000}"/>
    <cellStyle name="Arial 12" xfId="126" xr:uid="{00000000-0005-0000-0000-00007D000000}"/>
    <cellStyle name="Best" xfId="127" xr:uid="{00000000-0005-0000-0000-00007E000000}"/>
    <cellStyle name="Blank [$]" xfId="128" xr:uid="{00000000-0005-0000-0000-00007F000000}"/>
    <cellStyle name="Blank [,]" xfId="129" xr:uid="{00000000-0005-0000-0000-000080000000}"/>
    <cellStyle name="BlankedZeros" xfId="130" xr:uid="{00000000-0005-0000-0000-000081000000}"/>
    <cellStyle name="blp_column_header" xfId="131" xr:uid="{00000000-0005-0000-0000-000082000000}"/>
    <cellStyle name="Blue" xfId="132" xr:uid="{00000000-0005-0000-0000-000083000000}"/>
    <cellStyle name="bluepercent" xfId="133" xr:uid="{00000000-0005-0000-0000-000084000000}"/>
    <cellStyle name="Body" xfId="134" xr:uid="{00000000-0005-0000-0000-000085000000}"/>
    <cellStyle name="Bold" xfId="135" xr:uid="{00000000-0005-0000-0000-000086000000}"/>
    <cellStyle name="BoldItalic" xfId="136" xr:uid="{00000000-0005-0000-0000-000087000000}"/>
    <cellStyle name="Bottom" xfId="137" xr:uid="{00000000-0005-0000-0000-000088000000}"/>
    <cellStyle name="Bottom Edge" xfId="138" xr:uid="{00000000-0005-0000-0000-000089000000}"/>
    <cellStyle name="British Pound" xfId="139" xr:uid="{00000000-0005-0000-0000-00008A000000}"/>
    <cellStyle name="Business Description" xfId="140" xr:uid="{00000000-0005-0000-0000-00008B000000}"/>
    <cellStyle name="c" xfId="141" xr:uid="{00000000-0005-0000-0000-00008C000000}"/>
    <cellStyle name="Calc Currency (0)" xfId="142" xr:uid="{00000000-0005-0000-0000-00008D000000}"/>
    <cellStyle name="Calc Currency (2)" xfId="143" xr:uid="{00000000-0005-0000-0000-00008E000000}"/>
    <cellStyle name="Calc Percent (0)" xfId="144" xr:uid="{00000000-0005-0000-0000-00008F000000}"/>
    <cellStyle name="Calc Percent (1)" xfId="145" xr:uid="{00000000-0005-0000-0000-000090000000}"/>
    <cellStyle name="Calc Percent (2)" xfId="146" xr:uid="{00000000-0005-0000-0000-000091000000}"/>
    <cellStyle name="Calc Units (0)" xfId="147" xr:uid="{00000000-0005-0000-0000-000092000000}"/>
    <cellStyle name="Calc Units (1)" xfId="148" xr:uid="{00000000-0005-0000-0000-000093000000}"/>
    <cellStyle name="Calc Units (2)" xfId="149" xr:uid="{00000000-0005-0000-0000-000094000000}"/>
    <cellStyle name="Case" xfId="150" xr:uid="{00000000-0005-0000-0000-000095000000}"/>
    <cellStyle name="cc" xfId="151" xr:uid="{00000000-0005-0000-0000-000096000000}"/>
    <cellStyle name="Center" xfId="152" xr:uid="{00000000-0005-0000-0000-000097000000}"/>
    <cellStyle name="CenterBold" xfId="153" xr:uid="{00000000-0005-0000-0000-000098000000}"/>
    <cellStyle name="CenterItalic" xfId="154" xr:uid="{00000000-0005-0000-0000-000099000000}"/>
    <cellStyle name="Cents" xfId="155" xr:uid="{00000000-0005-0000-0000-00009A000000}"/>
    <cellStyle name="ChartingText" xfId="156" xr:uid="{00000000-0005-0000-0000-00009B000000}"/>
    <cellStyle name="Co. Names" xfId="157" xr:uid="{00000000-0005-0000-0000-00009C000000}"/>
    <cellStyle name="Co. Names - Bold" xfId="158" xr:uid="{00000000-0005-0000-0000-00009D000000}"/>
    <cellStyle name="Co. Names_Break-Up" xfId="159" xr:uid="{00000000-0005-0000-0000-00009E000000}"/>
    <cellStyle name="COL HEADINGS" xfId="160" xr:uid="{00000000-0005-0000-0000-00009F000000}"/>
    <cellStyle name="ColumnHeaderNormal" xfId="161" xr:uid="{00000000-0005-0000-0000-0000A0000000}"/>
    <cellStyle name="Comma" xfId="162" builtinId="3"/>
    <cellStyle name="Comma  - Style1" xfId="163" xr:uid="{00000000-0005-0000-0000-0000A2000000}"/>
    <cellStyle name="Comma  - Style2" xfId="164" xr:uid="{00000000-0005-0000-0000-0000A3000000}"/>
    <cellStyle name="Comma  - Style3" xfId="165" xr:uid="{00000000-0005-0000-0000-0000A4000000}"/>
    <cellStyle name="Comma  - Style4" xfId="166" xr:uid="{00000000-0005-0000-0000-0000A5000000}"/>
    <cellStyle name="Comma  - Style5" xfId="167" xr:uid="{00000000-0005-0000-0000-0000A6000000}"/>
    <cellStyle name="Comma  - Style6" xfId="168" xr:uid="{00000000-0005-0000-0000-0000A7000000}"/>
    <cellStyle name="Comma  - Style7" xfId="169" xr:uid="{00000000-0005-0000-0000-0000A8000000}"/>
    <cellStyle name="Comma  - Style8" xfId="170" xr:uid="{00000000-0005-0000-0000-0000A9000000}"/>
    <cellStyle name="Comma [0]; --" xfId="171" xr:uid="{00000000-0005-0000-0000-0000AA000000}"/>
    <cellStyle name="Comma [00]" xfId="172" xr:uid="{00000000-0005-0000-0000-0000AB000000}"/>
    <cellStyle name="Comma [1]" xfId="173" xr:uid="{00000000-0005-0000-0000-0000AC000000}"/>
    <cellStyle name="Comma 2" xfId="174" xr:uid="{00000000-0005-0000-0000-0000AD000000}"/>
    <cellStyle name="Comma Cents" xfId="175" xr:uid="{00000000-0005-0000-0000-0000AE000000}"/>
    <cellStyle name="Comma0" xfId="176" xr:uid="{00000000-0005-0000-0000-0000AF000000}"/>
    <cellStyle name="Commas" xfId="177" xr:uid="{00000000-0005-0000-0000-0000B0000000}"/>
    <cellStyle name="CommasBold" xfId="178" xr:uid="{00000000-0005-0000-0000-0000B1000000}"/>
    <cellStyle name="CompanyTitle" xfId="179" xr:uid="{00000000-0005-0000-0000-0000B2000000}"/>
    <cellStyle name="Copied" xfId="180" xr:uid="{00000000-0005-0000-0000-0000B3000000}"/>
    <cellStyle name="Currency $" xfId="181" xr:uid="{00000000-0005-0000-0000-0000B4000000}"/>
    <cellStyle name="Currency [0]; --" xfId="182" xr:uid="{00000000-0005-0000-0000-0000B5000000}"/>
    <cellStyle name="Currency [00]" xfId="183" xr:uid="{00000000-0005-0000-0000-0000B6000000}"/>
    <cellStyle name="Currency [1]" xfId="184" xr:uid="{00000000-0005-0000-0000-0000B7000000}"/>
    <cellStyle name="Currency [2]" xfId="185" xr:uid="{00000000-0005-0000-0000-0000B8000000}"/>
    <cellStyle name="data" xfId="186" xr:uid="{00000000-0005-0000-0000-0000B9000000}"/>
    <cellStyle name="Date" xfId="187" xr:uid="{00000000-0005-0000-0000-0000BA000000}"/>
    <cellStyle name="Date Short" xfId="188" xr:uid="{00000000-0005-0000-0000-0000BB000000}"/>
    <cellStyle name="Date_COMPS - Directories" xfId="189" xr:uid="{00000000-0005-0000-0000-0000BC000000}"/>
    <cellStyle name="DateLeftBold" xfId="190" xr:uid="{00000000-0005-0000-0000-0000BD000000}"/>
    <cellStyle name="Default" xfId="191" xr:uid="{00000000-0005-0000-0000-0000BE000000}"/>
    <cellStyle name="DELTA" xfId="192" xr:uid="{00000000-0005-0000-0000-0000BF000000}"/>
    <cellStyle name="Dollars" xfId="193" xr:uid="{00000000-0005-0000-0000-0000C0000000}"/>
    <cellStyle name="Dollars []" xfId="194" xr:uid="{00000000-0005-0000-0000-0000C1000000}"/>
    <cellStyle name="Dollars_Pro Forma TTM 9.30.07 (CW NEIRB Acquisition)" xfId="195" xr:uid="{00000000-0005-0000-0000-0000C2000000}"/>
    <cellStyle name="Double" xfId="196" xr:uid="{00000000-0005-0000-0000-0000C3000000}"/>
    <cellStyle name="Double Accounting" xfId="197" xr:uid="{00000000-0005-0000-0000-0000C4000000}"/>
    <cellStyle name="Enter Currency (0)" xfId="198" xr:uid="{00000000-0005-0000-0000-0000C5000000}"/>
    <cellStyle name="Enter Currency (2)" xfId="199" xr:uid="{00000000-0005-0000-0000-0000C6000000}"/>
    <cellStyle name="Enter Units (0)" xfId="200" xr:uid="{00000000-0005-0000-0000-0000C7000000}"/>
    <cellStyle name="Enter Units (1)" xfId="201" xr:uid="{00000000-0005-0000-0000-0000C8000000}"/>
    <cellStyle name="Enter Units (2)" xfId="202" xr:uid="{00000000-0005-0000-0000-0000C9000000}"/>
    <cellStyle name="Entered" xfId="203" xr:uid="{00000000-0005-0000-0000-0000CA000000}"/>
    <cellStyle name="Euro" xfId="204" xr:uid="{00000000-0005-0000-0000-0000CB000000}"/>
    <cellStyle name="Fit" xfId="205" xr:uid="{00000000-0005-0000-0000-0000CC000000}"/>
    <cellStyle name="Footer" xfId="206" xr:uid="{00000000-0005-0000-0000-0000CD000000}"/>
    <cellStyle name="Footnotes" xfId="207" xr:uid="{00000000-0005-0000-0000-0000CE000000}"/>
    <cellStyle name="Grey" xfId="208" xr:uid="{00000000-0005-0000-0000-0000CF000000}"/>
    <cellStyle name="GreybarHeader" xfId="209" xr:uid="{00000000-0005-0000-0000-0000D0000000}"/>
    <cellStyle name="Grouped Head" xfId="210" xr:uid="{00000000-0005-0000-0000-0000D1000000}"/>
    <cellStyle name="h" xfId="211" xr:uid="{00000000-0005-0000-0000-0000D2000000}"/>
    <cellStyle name="HAlignCenter" xfId="212" xr:uid="{00000000-0005-0000-0000-0000D3000000}"/>
    <cellStyle name="HAlignLeft" xfId="213" xr:uid="{00000000-0005-0000-0000-0000D4000000}"/>
    <cellStyle name="HAlignRight" xfId="214" xr:uid="{00000000-0005-0000-0000-0000D5000000}"/>
    <cellStyle name="Head 1" xfId="215" xr:uid="{00000000-0005-0000-0000-0000D6000000}"/>
    <cellStyle name="Header" xfId="216" xr:uid="{00000000-0005-0000-0000-0000D7000000}"/>
    <cellStyle name="Header1" xfId="217" xr:uid="{00000000-0005-0000-0000-0000D8000000}"/>
    <cellStyle name="Header2" xfId="218" xr:uid="{00000000-0005-0000-0000-0000D9000000}"/>
    <cellStyle name="headers" xfId="219" xr:uid="{00000000-0005-0000-0000-0000DA000000}"/>
    <cellStyle name="Heading" xfId="220" xr:uid="{00000000-0005-0000-0000-0000DB000000}"/>
    <cellStyle name="HEADINGS" xfId="221" xr:uid="{00000000-0005-0000-0000-0000DC000000}"/>
    <cellStyle name="HEADINGSTOP" xfId="222" xr:uid="{00000000-0005-0000-0000-0000DD000000}"/>
    <cellStyle name="imput" xfId="223" xr:uid="{00000000-0005-0000-0000-0000DE000000}"/>
    <cellStyle name="Input [yellow]" xfId="224" xr:uid="{00000000-0005-0000-0000-0000DF000000}"/>
    <cellStyle name="Invisible" xfId="225" xr:uid="{00000000-0005-0000-0000-0000E0000000}"/>
    <cellStyle name="ItalicHeader" xfId="226" xr:uid="{00000000-0005-0000-0000-0000E1000000}"/>
    <cellStyle name="Item Descriptions" xfId="227" xr:uid="{00000000-0005-0000-0000-0000E2000000}"/>
    <cellStyle name="Item Descriptions - Bold" xfId="228" xr:uid="{00000000-0005-0000-0000-0000E3000000}"/>
    <cellStyle name="Item Descriptions_6079BX" xfId="229" xr:uid="{00000000-0005-0000-0000-0000E4000000}"/>
    <cellStyle name="Left" xfId="230" xr:uid="{00000000-0005-0000-0000-0000E5000000}"/>
    <cellStyle name="LeftBold" xfId="231" xr:uid="{00000000-0005-0000-0000-0000E6000000}"/>
    <cellStyle name="LeftBoldBottomRule" xfId="232" xr:uid="{00000000-0005-0000-0000-0000E7000000}"/>
    <cellStyle name="LeftBoldCenterRule" xfId="233" xr:uid="{00000000-0005-0000-0000-0000E8000000}"/>
    <cellStyle name="Line" xfId="234" xr:uid="{00000000-0005-0000-0000-0000E9000000}"/>
    <cellStyle name="Link Currency (0)" xfId="235" xr:uid="{00000000-0005-0000-0000-0000EA000000}"/>
    <cellStyle name="Link Currency (2)" xfId="236" xr:uid="{00000000-0005-0000-0000-0000EB000000}"/>
    <cellStyle name="Link Units (0)" xfId="237" xr:uid="{00000000-0005-0000-0000-0000EC000000}"/>
    <cellStyle name="Link Units (1)" xfId="238" xr:uid="{00000000-0005-0000-0000-0000ED000000}"/>
    <cellStyle name="Link Units (2)" xfId="239" xr:uid="{00000000-0005-0000-0000-0000EE000000}"/>
    <cellStyle name="locked" xfId="240" xr:uid="{00000000-0005-0000-0000-0000EF000000}"/>
    <cellStyle name="m&amp;a" xfId="241" xr:uid="{00000000-0005-0000-0000-0000F0000000}"/>
    <cellStyle name="Map Labels" xfId="242" xr:uid="{00000000-0005-0000-0000-0000F1000000}"/>
    <cellStyle name="Map Legend" xfId="243" xr:uid="{00000000-0005-0000-0000-0000F2000000}"/>
    <cellStyle name="Merrill" xfId="244" xr:uid="{00000000-0005-0000-0000-0000F3000000}"/>
    <cellStyle name="Millares_Inv Detail A7" xfId="245" xr:uid="{00000000-0005-0000-0000-0000F4000000}"/>
    <cellStyle name="Milliers [0]_r00SC" xfId="246" xr:uid="{00000000-0005-0000-0000-0000F5000000}"/>
    <cellStyle name="Milliers_r00SC" xfId="247" xr:uid="{00000000-0005-0000-0000-0000F6000000}"/>
    <cellStyle name="Mix" xfId="248" xr:uid="{00000000-0005-0000-0000-0000F7000000}"/>
    <cellStyle name="mon" xfId="249" xr:uid="{00000000-0005-0000-0000-0000F8000000}"/>
    <cellStyle name="Monétaire [0]_r00SC" xfId="250" xr:uid="{00000000-0005-0000-0000-0000F9000000}"/>
    <cellStyle name="Monétaire_r00SC" xfId="251" xr:uid="{00000000-0005-0000-0000-0000FA000000}"/>
    <cellStyle name="Money" xfId="252" xr:uid="{00000000-0005-0000-0000-0000FB000000}"/>
    <cellStyle name="Multiple" xfId="253" xr:uid="{00000000-0005-0000-0000-0000FC000000}"/>
    <cellStyle name="Multiple []" xfId="254" xr:uid="{00000000-0005-0000-0000-0000FD000000}"/>
    <cellStyle name="Multiple [0]" xfId="255" xr:uid="{00000000-0005-0000-0000-0000FE000000}"/>
    <cellStyle name="Multiple [0] []" xfId="256" xr:uid="{00000000-0005-0000-0000-0000FF000000}"/>
    <cellStyle name="Multiple [0]_New MA Public Comps and WACC Model" xfId="257" xr:uid="{00000000-0005-0000-0000-000000010000}"/>
    <cellStyle name="Multiple [1]" xfId="258" xr:uid="{00000000-0005-0000-0000-000001010000}"/>
    <cellStyle name="Multiple [1] []" xfId="259" xr:uid="{00000000-0005-0000-0000-000002010000}"/>
    <cellStyle name="Multiple [1]_New MA Public Comps and WACC Model" xfId="260" xr:uid="{00000000-0005-0000-0000-000003010000}"/>
    <cellStyle name="Multiple_CapitalSum" xfId="261" xr:uid="{00000000-0005-0000-0000-000004010000}"/>
    <cellStyle name="N2Style" xfId="262" xr:uid="{00000000-0005-0000-0000-000005010000}"/>
    <cellStyle name="NewColumnHeaderNormal" xfId="263" xr:uid="{00000000-0005-0000-0000-000006010000}"/>
    <cellStyle name="NewSectionHeaderNormal" xfId="264" xr:uid="{00000000-0005-0000-0000-000007010000}"/>
    <cellStyle name="NewTitleNormal" xfId="265" xr:uid="{00000000-0005-0000-0000-000008010000}"/>
    <cellStyle name="Normal" xfId="0" builtinId="0"/>
    <cellStyle name="Normal - Style1" xfId="266" xr:uid="{00000000-0005-0000-0000-00000A010000}"/>
    <cellStyle name="Normal 2" xfId="267" xr:uid="{00000000-0005-0000-0000-00000B010000}"/>
    <cellStyle name="Normal 2 2" xfId="268" xr:uid="{00000000-0005-0000-0000-00000C010000}"/>
    <cellStyle name="Normal1" xfId="269" xr:uid="{00000000-0005-0000-0000-00000D010000}"/>
    <cellStyle name="Normal10" xfId="270" xr:uid="{00000000-0005-0000-0000-00000E010000}"/>
    <cellStyle name="Normal100" xfId="271" xr:uid="{00000000-0005-0000-0000-00000F010000}"/>
    <cellStyle name="Normal101" xfId="272" xr:uid="{00000000-0005-0000-0000-000010010000}"/>
    <cellStyle name="Normal102" xfId="273" xr:uid="{00000000-0005-0000-0000-000011010000}"/>
    <cellStyle name="Normal103" xfId="274" xr:uid="{00000000-0005-0000-0000-000012010000}"/>
    <cellStyle name="Normal104" xfId="275" xr:uid="{00000000-0005-0000-0000-000013010000}"/>
    <cellStyle name="Normal105" xfId="276" xr:uid="{00000000-0005-0000-0000-000014010000}"/>
    <cellStyle name="Normal106" xfId="277" xr:uid="{00000000-0005-0000-0000-000015010000}"/>
    <cellStyle name="Normal107" xfId="278" xr:uid="{00000000-0005-0000-0000-000016010000}"/>
    <cellStyle name="Normal108" xfId="279" xr:uid="{00000000-0005-0000-0000-000017010000}"/>
    <cellStyle name="Normal109" xfId="280" xr:uid="{00000000-0005-0000-0000-000018010000}"/>
    <cellStyle name="Normal11" xfId="281" xr:uid="{00000000-0005-0000-0000-000019010000}"/>
    <cellStyle name="Normal110" xfId="282" xr:uid="{00000000-0005-0000-0000-00001A010000}"/>
    <cellStyle name="Normal111" xfId="283" xr:uid="{00000000-0005-0000-0000-00001B010000}"/>
    <cellStyle name="Normal112" xfId="284" xr:uid="{00000000-0005-0000-0000-00001C010000}"/>
    <cellStyle name="Normal113" xfId="285" xr:uid="{00000000-0005-0000-0000-00001D010000}"/>
    <cellStyle name="Normal114" xfId="286" xr:uid="{00000000-0005-0000-0000-00001E010000}"/>
    <cellStyle name="Normal115" xfId="287" xr:uid="{00000000-0005-0000-0000-00001F010000}"/>
    <cellStyle name="Normal116" xfId="288" xr:uid="{00000000-0005-0000-0000-000020010000}"/>
    <cellStyle name="Normal117" xfId="289" xr:uid="{00000000-0005-0000-0000-000021010000}"/>
    <cellStyle name="Normal118" xfId="290" xr:uid="{00000000-0005-0000-0000-000022010000}"/>
    <cellStyle name="Normal119" xfId="291" xr:uid="{00000000-0005-0000-0000-000023010000}"/>
    <cellStyle name="Normal12" xfId="292" xr:uid="{00000000-0005-0000-0000-000024010000}"/>
    <cellStyle name="Normal120" xfId="293" xr:uid="{00000000-0005-0000-0000-000025010000}"/>
    <cellStyle name="Normal121" xfId="294" xr:uid="{00000000-0005-0000-0000-000026010000}"/>
    <cellStyle name="Normal122" xfId="295" xr:uid="{00000000-0005-0000-0000-000027010000}"/>
    <cellStyle name="Normal123" xfId="296" xr:uid="{00000000-0005-0000-0000-000028010000}"/>
    <cellStyle name="Normal124" xfId="297" xr:uid="{00000000-0005-0000-0000-000029010000}"/>
    <cellStyle name="Normal125" xfId="298" xr:uid="{00000000-0005-0000-0000-00002A010000}"/>
    <cellStyle name="Normal126" xfId="299" xr:uid="{00000000-0005-0000-0000-00002B010000}"/>
    <cellStyle name="Normal127" xfId="300" xr:uid="{00000000-0005-0000-0000-00002C010000}"/>
    <cellStyle name="Normal128" xfId="301" xr:uid="{00000000-0005-0000-0000-00002D010000}"/>
    <cellStyle name="Normal129" xfId="302" xr:uid="{00000000-0005-0000-0000-00002E010000}"/>
    <cellStyle name="Normal13" xfId="303" xr:uid="{00000000-0005-0000-0000-00002F010000}"/>
    <cellStyle name="Normal130" xfId="304" xr:uid="{00000000-0005-0000-0000-000030010000}"/>
    <cellStyle name="Normal131" xfId="305" xr:uid="{00000000-0005-0000-0000-000031010000}"/>
    <cellStyle name="Normal132" xfId="306" xr:uid="{00000000-0005-0000-0000-000032010000}"/>
    <cellStyle name="Normal133" xfId="307" xr:uid="{00000000-0005-0000-0000-000033010000}"/>
    <cellStyle name="Normal134" xfId="308" xr:uid="{00000000-0005-0000-0000-000034010000}"/>
    <cellStyle name="Normal135" xfId="309" xr:uid="{00000000-0005-0000-0000-000035010000}"/>
    <cellStyle name="Normal136" xfId="310" xr:uid="{00000000-0005-0000-0000-000036010000}"/>
    <cellStyle name="Normal137" xfId="311" xr:uid="{00000000-0005-0000-0000-000037010000}"/>
    <cellStyle name="Normal138" xfId="312" xr:uid="{00000000-0005-0000-0000-000038010000}"/>
    <cellStyle name="Normal139" xfId="313" xr:uid="{00000000-0005-0000-0000-000039010000}"/>
    <cellStyle name="Normal14" xfId="314" xr:uid="{00000000-0005-0000-0000-00003A010000}"/>
    <cellStyle name="Normal140" xfId="315" xr:uid="{00000000-0005-0000-0000-00003B010000}"/>
    <cellStyle name="Normal141" xfId="316" xr:uid="{00000000-0005-0000-0000-00003C010000}"/>
    <cellStyle name="Normal142" xfId="317" xr:uid="{00000000-0005-0000-0000-00003D010000}"/>
    <cellStyle name="Normal143" xfId="318" xr:uid="{00000000-0005-0000-0000-00003E010000}"/>
    <cellStyle name="Normal144" xfId="319" xr:uid="{00000000-0005-0000-0000-00003F010000}"/>
    <cellStyle name="Normal145" xfId="320" xr:uid="{00000000-0005-0000-0000-000040010000}"/>
    <cellStyle name="Normal146" xfId="321" xr:uid="{00000000-0005-0000-0000-000041010000}"/>
    <cellStyle name="Normal147" xfId="322" xr:uid="{00000000-0005-0000-0000-000042010000}"/>
    <cellStyle name="Normal148" xfId="323" xr:uid="{00000000-0005-0000-0000-000043010000}"/>
    <cellStyle name="Normal149" xfId="324" xr:uid="{00000000-0005-0000-0000-000044010000}"/>
    <cellStyle name="Normal15" xfId="325" xr:uid="{00000000-0005-0000-0000-000045010000}"/>
    <cellStyle name="Normal150" xfId="326" xr:uid="{00000000-0005-0000-0000-000046010000}"/>
    <cellStyle name="Normal151" xfId="327" xr:uid="{00000000-0005-0000-0000-000047010000}"/>
    <cellStyle name="Normal152" xfId="328" xr:uid="{00000000-0005-0000-0000-000048010000}"/>
    <cellStyle name="Normal153" xfId="329" xr:uid="{00000000-0005-0000-0000-000049010000}"/>
    <cellStyle name="Normal154" xfId="330" xr:uid="{00000000-0005-0000-0000-00004A010000}"/>
    <cellStyle name="Normal155" xfId="331" xr:uid="{00000000-0005-0000-0000-00004B010000}"/>
    <cellStyle name="Normal156" xfId="332" xr:uid="{00000000-0005-0000-0000-00004C010000}"/>
    <cellStyle name="Normal157" xfId="333" xr:uid="{00000000-0005-0000-0000-00004D010000}"/>
    <cellStyle name="Normal158" xfId="334" xr:uid="{00000000-0005-0000-0000-00004E010000}"/>
    <cellStyle name="Normal159" xfId="335" xr:uid="{00000000-0005-0000-0000-00004F010000}"/>
    <cellStyle name="Normal16" xfId="336" xr:uid="{00000000-0005-0000-0000-000050010000}"/>
    <cellStyle name="Normal160" xfId="337" xr:uid="{00000000-0005-0000-0000-000051010000}"/>
    <cellStyle name="Normal161" xfId="338" xr:uid="{00000000-0005-0000-0000-000052010000}"/>
    <cellStyle name="Normal162" xfId="339" xr:uid="{00000000-0005-0000-0000-000053010000}"/>
    <cellStyle name="Normal163" xfId="340" xr:uid="{00000000-0005-0000-0000-000054010000}"/>
    <cellStyle name="Normal164" xfId="341" xr:uid="{00000000-0005-0000-0000-000055010000}"/>
    <cellStyle name="Normal165" xfId="342" xr:uid="{00000000-0005-0000-0000-000056010000}"/>
    <cellStyle name="Normal166" xfId="343" xr:uid="{00000000-0005-0000-0000-000057010000}"/>
    <cellStyle name="Normal167" xfId="344" xr:uid="{00000000-0005-0000-0000-000058010000}"/>
    <cellStyle name="Normal168" xfId="345" xr:uid="{00000000-0005-0000-0000-000059010000}"/>
    <cellStyle name="Normal169" xfId="346" xr:uid="{00000000-0005-0000-0000-00005A010000}"/>
    <cellStyle name="Normal17" xfId="347" xr:uid="{00000000-0005-0000-0000-00005B010000}"/>
    <cellStyle name="Normal170" xfId="348" xr:uid="{00000000-0005-0000-0000-00005C010000}"/>
    <cellStyle name="Normal171" xfId="349" xr:uid="{00000000-0005-0000-0000-00005D010000}"/>
    <cellStyle name="Normal172" xfId="350" xr:uid="{00000000-0005-0000-0000-00005E010000}"/>
    <cellStyle name="Normal173" xfId="351" xr:uid="{00000000-0005-0000-0000-00005F010000}"/>
    <cellStyle name="Normal174" xfId="352" xr:uid="{00000000-0005-0000-0000-000060010000}"/>
    <cellStyle name="Normal175" xfId="353" xr:uid="{00000000-0005-0000-0000-000061010000}"/>
    <cellStyle name="Normal176" xfId="354" xr:uid="{00000000-0005-0000-0000-000062010000}"/>
    <cellStyle name="Normal177" xfId="355" xr:uid="{00000000-0005-0000-0000-000063010000}"/>
    <cellStyle name="Normal178" xfId="356" xr:uid="{00000000-0005-0000-0000-000064010000}"/>
    <cellStyle name="Normal179" xfId="357" xr:uid="{00000000-0005-0000-0000-000065010000}"/>
    <cellStyle name="Normal18" xfId="358" xr:uid="{00000000-0005-0000-0000-000066010000}"/>
    <cellStyle name="Normal180" xfId="359" xr:uid="{00000000-0005-0000-0000-000067010000}"/>
    <cellStyle name="Normal181" xfId="360" xr:uid="{00000000-0005-0000-0000-000068010000}"/>
    <cellStyle name="Normal182" xfId="361" xr:uid="{00000000-0005-0000-0000-000069010000}"/>
    <cellStyle name="Normal183" xfId="362" xr:uid="{00000000-0005-0000-0000-00006A010000}"/>
    <cellStyle name="Normal184" xfId="363" xr:uid="{00000000-0005-0000-0000-00006B010000}"/>
    <cellStyle name="Normal185" xfId="364" xr:uid="{00000000-0005-0000-0000-00006C010000}"/>
    <cellStyle name="Normal186" xfId="365" xr:uid="{00000000-0005-0000-0000-00006D010000}"/>
    <cellStyle name="Normal187" xfId="366" xr:uid="{00000000-0005-0000-0000-00006E010000}"/>
    <cellStyle name="Normal188" xfId="367" xr:uid="{00000000-0005-0000-0000-00006F010000}"/>
    <cellStyle name="Normal189" xfId="368" xr:uid="{00000000-0005-0000-0000-000070010000}"/>
    <cellStyle name="Normal19" xfId="369" xr:uid="{00000000-0005-0000-0000-000071010000}"/>
    <cellStyle name="Normal190" xfId="370" xr:uid="{00000000-0005-0000-0000-000072010000}"/>
    <cellStyle name="Normal191" xfId="371" xr:uid="{00000000-0005-0000-0000-000073010000}"/>
    <cellStyle name="Normal192" xfId="372" xr:uid="{00000000-0005-0000-0000-000074010000}"/>
    <cellStyle name="Normal193" xfId="373" xr:uid="{00000000-0005-0000-0000-000075010000}"/>
    <cellStyle name="Normal194" xfId="374" xr:uid="{00000000-0005-0000-0000-000076010000}"/>
    <cellStyle name="Normal195" xfId="375" xr:uid="{00000000-0005-0000-0000-000077010000}"/>
    <cellStyle name="Normal196" xfId="376" xr:uid="{00000000-0005-0000-0000-000078010000}"/>
    <cellStyle name="Normal197" xfId="377" xr:uid="{00000000-0005-0000-0000-000079010000}"/>
    <cellStyle name="Normal198" xfId="378" xr:uid="{00000000-0005-0000-0000-00007A010000}"/>
    <cellStyle name="Normal199" xfId="379" xr:uid="{00000000-0005-0000-0000-00007B010000}"/>
    <cellStyle name="Normal2" xfId="380" xr:uid="{00000000-0005-0000-0000-00007C010000}"/>
    <cellStyle name="Normal20" xfId="381" xr:uid="{00000000-0005-0000-0000-00007D010000}"/>
    <cellStyle name="Normal200" xfId="382" xr:uid="{00000000-0005-0000-0000-00007E010000}"/>
    <cellStyle name="Normal201" xfId="383" xr:uid="{00000000-0005-0000-0000-00007F010000}"/>
    <cellStyle name="Normal202" xfId="384" xr:uid="{00000000-0005-0000-0000-000080010000}"/>
    <cellStyle name="Normal203" xfId="385" xr:uid="{00000000-0005-0000-0000-000081010000}"/>
    <cellStyle name="Normal204" xfId="386" xr:uid="{00000000-0005-0000-0000-000082010000}"/>
    <cellStyle name="Normal205" xfId="387" xr:uid="{00000000-0005-0000-0000-000083010000}"/>
    <cellStyle name="Normal206" xfId="388" xr:uid="{00000000-0005-0000-0000-000084010000}"/>
    <cellStyle name="Normal207" xfId="389" xr:uid="{00000000-0005-0000-0000-000085010000}"/>
    <cellStyle name="Normal208" xfId="390" xr:uid="{00000000-0005-0000-0000-000086010000}"/>
    <cellStyle name="Normal209" xfId="391" xr:uid="{00000000-0005-0000-0000-000087010000}"/>
    <cellStyle name="Normal21" xfId="392" xr:uid="{00000000-0005-0000-0000-000088010000}"/>
    <cellStyle name="Normal210" xfId="393" xr:uid="{00000000-0005-0000-0000-000089010000}"/>
    <cellStyle name="Normal211" xfId="394" xr:uid="{00000000-0005-0000-0000-00008A010000}"/>
    <cellStyle name="Normal212" xfId="395" xr:uid="{00000000-0005-0000-0000-00008B010000}"/>
    <cellStyle name="Normal213" xfId="396" xr:uid="{00000000-0005-0000-0000-00008C010000}"/>
    <cellStyle name="Normal214" xfId="397" xr:uid="{00000000-0005-0000-0000-00008D010000}"/>
    <cellStyle name="Normal215" xfId="398" xr:uid="{00000000-0005-0000-0000-00008E010000}"/>
    <cellStyle name="Normal216" xfId="399" xr:uid="{00000000-0005-0000-0000-00008F010000}"/>
    <cellStyle name="Normal217" xfId="400" xr:uid="{00000000-0005-0000-0000-000090010000}"/>
    <cellStyle name="Normal218" xfId="401" xr:uid="{00000000-0005-0000-0000-000091010000}"/>
    <cellStyle name="Normal219" xfId="402" xr:uid="{00000000-0005-0000-0000-000092010000}"/>
    <cellStyle name="Normal22" xfId="403" xr:uid="{00000000-0005-0000-0000-000093010000}"/>
    <cellStyle name="Normal220" xfId="404" xr:uid="{00000000-0005-0000-0000-000094010000}"/>
    <cellStyle name="Normal221" xfId="405" xr:uid="{00000000-0005-0000-0000-000095010000}"/>
    <cellStyle name="Normal222" xfId="406" xr:uid="{00000000-0005-0000-0000-000096010000}"/>
    <cellStyle name="Normal223" xfId="407" xr:uid="{00000000-0005-0000-0000-000097010000}"/>
    <cellStyle name="Normal224" xfId="408" xr:uid="{00000000-0005-0000-0000-000098010000}"/>
    <cellStyle name="Normal225" xfId="409" xr:uid="{00000000-0005-0000-0000-000099010000}"/>
    <cellStyle name="Normal226" xfId="410" xr:uid="{00000000-0005-0000-0000-00009A010000}"/>
    <cellStyle name="Normal227" xfId="411" xr:uid="{00000000-0005-0000-0000-00009B010000}"/>
    <cellStyle name="Normal228" xfId="412" xr:uid="{00000000-0005-0000-0000-00009C010000}"/>
    <cellStyle name="Normal229" xfId="413" xr:uid="{00000000-0005-0000-0000-00009D010000}"/>
    <cellStyle name="Normal23" xfId="414" xr:uid="{00000000-0005-0000-0000-00009E010000}"/>
    <cellStyle name="Normal230" xfId="415" xr:uid="{00000000-0005-0000-0000-00009F010000}"/>
    <cellStyle name="Normal231" xfId="416" xr:uid="{00000000-0005-0000-0000-0000A0010000}"/>
    <cellStyle name="Normal232" xfId="417" xr:uid="{00000000-0005-0000-0000-0000A1010000}"/>
    <cellStyle name="Normal233" xfId="418" xr:uid="{00000000-0005-0000-0000-0000A2010000}"/>
    <cellStyle name="Normal234" xfId="419" xr:uid="{00000000-0005-0000-0000-0000A3010000}"/>
    <cellStyle name="Normal235" xfId="420" xr:uid="{00000000-0005-0000-0000-0000A4010000}"/>
    <cellStyle name="Normal236" xfId="421" xr:uid="{00000000-0005-0000-0000-0000A5010000}"/>
    <cellStyle name="Normal237" xfId="422" xr:uid="{00000000-0005-0000-0000-0000A6010000}"/>
    <cellStyle name="Normal238" xfId="423" xr:uid="{00000000-0005-0000-0000-0000A7010000}"/>
    <cellStyle name="Normal239" xfId="424" xr:uid="{00000000-0005-0000-0000-0000A8010000}"/>
    <cellStyle name="Normal24" xfId="425" xr:uid="{00000000-0005-0000-0000-0000A9010000}"/>
    <cellStyle name="Normal240" xfId="426" xr:uid="{00000000-0005-0000-0000-0000AA010000}"/>
    <cellStyle name="Normal241" xfId="427" xr:uid="{00000000-0005-0000-0000-0000AB010000}"/>
    <cellStyle name="Normal242" xfId="428" xr:uid="{00000000-0005-0000-0000-0000AC010000}"/>
    <cellStyle name="Normal243" xfId="429" xr:uid="{00000000-0005-0000-0000-0000AD010000}"/>
    <cellStyle name="Normal244" xfId="430" xr:uid="{00000000-0005-0000-0000-0000AE010000}"/>
    <cellStyle name="Normal245" xfId="431" xr:uid="{00000000-0005-0000-0000-0000AF010000}"/>
    <cellStyle name="Normal246" xfId="432" xr:uid="{00000000-0005-0000-0000-0000B0010000}"/>
    <cellStyle name="Normal247" xfId="433" xr:uid="{00000000-0005-0000-0000-0000B1010000}"/>
    <cellStyle name="Normal248" xfId="434" xr:uid="{00000000-0005-0000-0000-0000B2010000}"/>
    <cellStyle name="Normal249" xfId="435" xr:uid="{00000000-0005-0000-0000-0000B3010000}"/>
    <cellStyle name="Normal25" xfId="436" xr:uid="{00000000-0005-0000-0000-0000B4010000}"/>
    <cellStyle name="Normal250" xfId="437" xr:uid="{00000000-0005-0000-0000-0000B5010000}"/>
    <cellStyle name="Normal251" xfId="438" xr:uid="{00000000-0005-0000-0000-0000B6010000}"/>
    <cellStyle name="Normal252" xfId="439" xr:uid="{00000000-0005-0000-0000-0000B7010000}"/>
    <cellStyle name="Normal253" xfId="440" xr:uid="{00000000-0005-0000-0000-0000B8010000}"/>
    <cellStyle name="Normal26" xfId="441" xr:uid="{00000000-0005-0000-0000-0000B9010000}"/>
    <cellStyle name="Normal27" xfId="442" xr:uid="{00000000-0005-0000-0000-0000BA010000}"/>
    <cellStyle name="Normal28" xfId="443" xr:uid="{00000000-0005-0000-0000-0000BB010000}"/>
    <cellStyle name="Normal29" xfId="444" xr:uid="{00000000-0005-0000-0000-0000BC010000}"/>
    <cellStyle name="Normal3" xfId="445" xr:uid="{00000000-0005-0000-0000-0000BD010000}"/>
    <cellStyle name="Normal30" xfId="446" xr:uid="{00000000-0005-0000-0000-0000BE010000}"/>
    <cellStyle name="Normal31" xfId="447" xr:uid="{00000000-0005-0000-0000-0000BF010000}"/>
    <cellStyle name="Normal32" xfId="448" xr:uid="{00000000-0005-0000-0000-0000C0010000}"/>
    <cellStyle name="Normal33" xfId="449" xr:uid="{00000000-0005-0000-0000-0000C1010000}"/>
    <cellStyle name="Normal34" xfId="450" xr:uid="{00000000-0005-0000-0000-0000C2010000}"/>
    <cellStyle name="Normal35" xfId="451" xr:uid="{00000000-0005-0000-0000-0000C3010000}"/>
    <cellStyle name="Normal36" xfId="452" xr:uid="{00000000-0005-0000-0000-0000C4010000}"/>
    <cellStyle name="Normal37" xfId="453" xr:uid="{00000000-0005-0000-0000-0000C5010000}"/>
    <cellStyle name="Normal38" xfId="454" xr:uid="{00000000-0005-0000-0000-0000C6010000}"/>
    <cellStyle name="Normal39" xfId="455" xr:uid="{00000000-0005-0000-0000-0000C7010000}"/>
    <cellStyle name="Normal4" xfId="456" xr:uid="{00000000-0005-0000-0000-0000C8010000}"/>
    <cellStyle name="Normal40" xfId="457" xr:uid="{00000000-0005-0000-0000-0000C9010000}"/>
    <cellStyle name="Normal41" xfId="458" xr:uid="{00000000-0005-0000-0000-0000CA010000}"/>
    <cellStyle name="Normal42" xfId="459" xr:uid="{00000000-0005-0000-0000-0000CB010000}"/>
    <cellStyle name="Normal43" xfId="460" xr:uid="{00000000-0005-0000-0000-0000CC010000}"/>
    <cellStyle name="Normal44" xfId="461" xr:uid="{00000000-0005-0000-0000-0000CD010000}"/>
    <cellStyle name="Normal45" xfId="462" xr:uid="{00000000-0005-0000-0000-0000CE010000}"/>
    <cellStyle name="Normal46" xfId="463" xr:uid="{00000000-0005-0000-0000-0000CF010000}"/>
    <cellStyle name="Normal47" xfId="464" xr:uid="{00000000-0005-0000-0000-0000D0010000}"/>
    <cellStyle name="Normal48" xfId="465" xr:uid="{00000000-0005-0000-0000-0000D1010000}"/>
    <cellStyle name="Normal49" xfId="466" xr:uid="{00000000-0005-0000-0000-0000D2010000}"/>
    <cellStyle name="Normal5" xfId="467" xr:uid="{00000000-0005-0000-0000-0000D3010000}"/>
    <cellStyle name="Normal50" xfId="468" xr:uid="{00000000-0005-0000-0000-0000D4010000}"/>
    <cellStyle name="Normal51" xfId="469" xr:uid="{00000000-0005-0000-0000-0000D5010000}"/>
    <cellStyle name="Normal52" xfId="470" xr:uid="{00000000-0005-0000-0000-0000D6010000}"/>
    <cellStyle name="Normal53" xfId="471" xr:uid="{00000000-0005-0000-0000-0000D7010000}"/>
    <cellStyle name="Normal54" xfId="472" xr:uid="{00000000-0005-0000-0000-0000D8010000}"/>
    <cellStyle name="Normal55" xfId="473" xr:uid="{00000000-0005-0000-0000-0000D9010000}"/>
    <cellStyle name="Normal56" xfId="474" xr:uid="{00000000-0005-0000-0000-0000DA010000}"/>
    <cellStyle name="Normal57" xfId="475" xr:uid="{00000000-0005-0000-0000-0000DB010000}"/>
    <cellStyle name="Normal58" xfId="476" xr:uid="{00000000-0005-0000-0000-0000DC010000}"/>
    <cellStyle name="Normal59" xfId="477" xr:uid="{00000000-0005-0000-0000-0000DD010000}"/>
    <cellStyle name="Normal6" xfId="478" xr:uid="{00000000-0005-0000-0000-0000DE010000}"/>
    <cellStyle name="Normal60" xfId="479" xr:uid="{00000000-0005-0000-0000-0000DF010000}"/>
    <cellStyle name="Normal61" xfId="480" xr:uid="{00000000-0005-0000-0000-0000E0010000}"/>
    <cellStyle name="Normal62" xfId="481" xr:uid="{00000000-0005-0000-0000-0000E1010000}"/>
    <cellStyle name="Normal63" xfId="482" xr:uid="{00000000-0005-0000-0000-0000E2010000}"/>
    <cellStyle name="Normal64" xfId="483" xr:uid="{00000000-0005-0000-0000-0000E3010000}"/>
    <cellStyle name="Normal65" xfId="484" xr:uid="{00000000-0005-0000-0000-0000E4010000}"/>
    <cellStyle name="Normal66" xfId="485" xr:uid="{00000000-0005-0000-0000-0000E5010000}"/>
    <cellStyle name="Normal67" xfId="486" xr:uid="{00000000-0005-0000-0000-0000E6010000}"/>
    <cellStyle name="Normal68" xfId="487" xr:uid="{00000000-0005-0000-0000-0000E7010000}"/>
    <cellStyle name="Normal69" xfId="488" xr:uid="{00000000-0005-0000-0000-0000E8010000}"/>
    <cellStyle name="Normal7" xfId="489" xr:uid="{00000000-0005-0000-0000-0000E9010000}"/>
    <cellStyle name="Normal70" xfId="490" xr:uid="{00000000-0005-0000-0000-0000EA010000}"/>
    <cellStyle name="Normal71" xfId="491" xr:uid="{00000000-0005-0000-0000-0000EB010000}"/>
    <cellStyle name="Normal72" xfId="492" xr:uid="{00000000-0005-0000-0000-0000EC010000}"/>
    <cellStyle name="Normal73" xfId="493" xr:uid="{00000000-0005-0000-0000-0000ED010000}"/>
    <cellStyle name="Normal74" xfId="494" xr:uid="{00000000-0005-0000-0000-0000EE010000}"/>
    <cellStyle name="Normal75" xfId="495" xr:uid="{00000000-0005-0000-0000-0000EF010000}"/>
    <cellStyle name="Normal76" xfId="496" xr:uid="{00000000-0005-0000-0000-0000F0010000}"/>
    <cellStyle name="Normal77" xfId="497" xr:uid="{00000000-0005-0000-0000-0000F1010000}"/>
    <cellStyle name="Normal78" xfId="498" xr:uid="{00000000-0005-0000-0000-0000F2010000}"/>
    <cellStyle name="Normal79" xfId="499" xr:uid="{00000000-0005-0000-0000-0000F3010000}"/>
    <cellStyle name="Normal8" xfId="500" xr:uid="{00000000-0005-0000-0000-0000F4010000}"/>
    <cellStyle name="Normal80" xfId="501" xr:uid="{00000000-0005-0000-0000-0000F5010000}"/>
    <cellStyle name="Normal81" xfId="502" xr:uid="{00000000-0005-0000-0000-0000F6010000}"/>
    <cellStyle name="Normal82" xfId="503" xr:uid="{00000000-0005-0000-0000-0000F7010000}"/>
    <cellStyle name="Normal83" xfId="504" xr:uid="{00000000-0005-0000-0000-0000F8010000}"/>
    <cellStyle name="Normal84" xfId="505" xr:uid="{00000000-0005-0000-0000-0000F9010000}"/>
    <cellStyle name="Normal85" xfId="506" xr:uid="{00000000-0005-0000-0000-0000FA010000}"/>
    <cellStyle name="Normal86" xfId="507" xr:uid="{00000000-0005-0000-0000-0000FB010000}"/>
    <cellStyle name="Normal87" xfId="508" xr:uid="{00000000-0005-0000-0000-0000FC010000}"/>
    <cellStyle name="Normal88" xfId="509" xr:uid="{00000000-0005-0000-0000-0000FD010000}"/>
    <cellStyle name="Normal89" xfId="510" xr:uid="{00000000-0005-0000-0000-0000FE010000}"/>
    <cellStyle name="Normal9" xfId="511" xr:uid="{00000000-0005-0000-0000-0000FF010000}"/>
    <cellStyle name="Normal90" xfId="512" xr:uid="{00000000-0005-0000-0000-000000020000}"/>
    <cellStyle name="Normal91" xfId="513" xr:uid="{00000000-0005-0000-0000-000001020000}"/>
    <cellStyle name="Normal92" xfId="514" xr:uid="{00000000-0005-0000-0000-000002020000}"/>
    <cellStyle name="Normal93" xfId="515" xr:uid="{00000000-0005-0000-0000-000003020000}"/>
    <cellStyle name="Normal94" xfId="516" xr:uid="{00000000-0005-0000-0000-000004020000}"/>
    <cellStyle name="Normal95" xfId="517" xr:uid="{00000000-0005-0000-0000-000005020000}"/>
    <cellStyle name="Normal96" xfId="518" xr:uid="{00000000-0005-0000-0000-000006020000}"/>
    <cellStyle name="Normal97" xfId="519" xr:uid="{00000000-0005-0000-0000-000007020000}"/>
    <cellStyle name="Normal98" xfId="520" xr:uid="{00000000-0005-0000-0000-000008020000}"/>
    <cellStyle name="Normal99" xfId="521" xr:uid="{00000000-0005-0000-0000-000009020000}"/>
    <cellStyle name="NotDeclared_1" xfId="522" xr:uid="{00000000-0005-0000-0000-00000A020000}"/>
    <cellStyle name="Numbers" xfId="523" xr:uid="{00000000-0005-0000-0000-00000B020000}"/>
    <cellStyle name="Numbers - Bold" xfId="524" xr:uid="{00000000-0005-0000-0000-00000C020000}"/>
    <cellStyle name="Numbers - Bold - Italic" xfId="525" xr:uid="{00000000-0005-0000-0000-00000D020000}"/>
    <cellStyle name="Numbers - Bold_6079BX" xfId="526" xr:uid="{00000000-0005-0000-0000-00000E020000}"/>
    <cellStyle name="Numbers - Large" xfId="527" xr:uid="{00000000-0005-0000-0000-00000F020000}"/>
    <cellStyle name="Numbers_6079BX" xfId="528" xr:uid="{00000000-0005-0000-0000-000010020000}"/>
    <cellStyle name="OSW_RowLabels" xfId="529" xr:uid="{00000000-0005-0000-0000-000011020000}"/>
    <cellStyle name="Outline" xfId="530" xr:uid="{00000000-0005-0000-0000-000012020000}"/>
    <cellStyle name="Output Amounts" xfId="531" xr:uid="{00000000-0005-0000-0000-000013020000}"/>
    <cellStyle name="Output Column Headings" xfId="532" xr:uid="{00000000-0005-0000-0000-000014020000}"/>
    <cellStyle name="Output Line Items" xfId="533" xr:uid="{00000000-0005-0000-0000-000015020000}"/>
    <cellStyle name="Output Report Heading" xfId="534" xr:uid="{00000000-0005-0000-0000-000016020000}"/>
    <cellStyle name="Page" xfId="535" xr:uid="{00000000-0005-0000-0000-000017020000}"/>
    <cellStyle name="PB Table Heading" xfId="536" xr:uid="{00000000-0005-0000-0000-000018020000}"/>
    <cellStyle name="PB Table Highlight1" xfId="537" xr:uid="{00000000-0005-0000-0000-000019020000}"/>
    <cellStyle name="PB Table Highlight2" xfId="538" xr:uid="{00000000-0005-0000-0000-00001A020000}"/>
    <cellStyle name="PB Table Highlight3" xfId="539" xr:uid="{00000000-0005-0000-0000-00001B020000}"/>
    <cellStyle name="PB Table Standard Row" xfId="540" xr:uid="{00000000-0005-0000-0000-00001C020000}"/>
    <cellStyle name="PB Table Subtotal Row" xfId="541" xr:uid="{00000000-0005-0000-0000-00001D020000}"/>
    <cellStyle name="PB Table Total Row" xfId="542" xr:uid="{00000000-0005-0000-0000-00001E020000}"/>
    <cellStyle name="Per cent" xfId="544" builtinId="5"/>
    <cellStyle name="per.style" xfId="543" xr:uid="{00000000-0005-0000-0000-00001F020000}"/>
    <cellStyle name="Percent [0]" xfId="545" xr:uid="{00000000-0005-0000-0000-000021020000}"/>
    <cellStyle name="Percent [00]" xfId="546" xr:uid="{00000000-0005-0000-0000-000022020000}"/>
    <cellStyle name="Percent [1]" xfId="547" xr:uid="{00000000-0005-0000-0000-000023020000}"/>
    <cellStyle name="Percent [1][]" xfId="548" xr:uid="{00000000-0005-0000-0000-000024020000}"/>
    <cellStyle name="Percent [1]_New MA Public Comps and WACC Model" xfId="549" xr:uid="{00000000-0005-0000-0000-000025020000}"/>
    <cellStyle name="Percent [2]" xfId="550" xr:uid="{00000000-0005-0000-0000-000026020000}"/>
    <cellStyle name="Percent 2" xfId="551" xr:uid="{00000000-0005-0000-0000-000027020000}"/>
    <cellStyle name="Percent Comma" xfId="552" xr:uid="{00000000-0005-0000-0000-000028020000}"/>
    <cellStyle name="Percent1" xfId="553" xr:uid="{00000000-0005-0000-0000-000029020000}"/>
    <cellStyle name="Percent10" xfId="554" xr:uid="{00000000-0005-0000-0000-00002A020000}"/>
    <cellStyle name="Percent100" xfId="555" xr:uid="{00000000-0005-0000-0000-00002B020000}"/>
    <cellStyle name="Percent101" xfId="556" xr:uid="{00000000-0005-0000-0000-00002C020000}"/>
    <cellStyle name="Percent102" xfId="557" xr:uid="{00000000-0005-0000-0000-00002D020000}"/>
    <cellStyle name="Percent103" xfId="558" xr:uid="{00000000-0005-0000-0000-00002E020000}"/>
    <cellStyle name="Percent104" xfId="559" xr:uid="{00000000-0005-0000-0000-00002F020000}"/>
    <cellStyle name="Percent105" xfId="560" xr:uid="{00000000-0005-0000-0000-000030020000}"/>
    <cellStyle name="Percent106" xfId="561" xr:uid="{00000000-0005-0000-0000-000031020000}"/>
    <cellStyle name="Percent107" xfId="562" xr:uid="{00000000-0005-0000-0000-000032020000}"/>
    <cellStyle name="Percent108" xfId="563" xr:uid="{00000000-0005-0000-0000-000033020000}"/>
    <cellStyle name="Percent109" xfId="564" xr:uid="{00000000-0005-0000-0000-000034020000}"/>
    <cellStyle name="Percent11" xfId="565" xr:uid="{00000000-0005-0000-0000-000035020000}"/>
    <cellStyle name="Percent110" xfId="566" xr:uid="{00000000-0005-0000-0000-000036020000}"/>
    <cellStyle name="Percent111" xfId="567" xr:uid="{00000000-0005-0000-0000-000037020000}"/>
    <cellStyle name="Percent112" xfId="568" xr:uid="{00000000-0005-0000-0000-000038020000}"/>
    <cellStyle name="Percent113" xfId="569" xr:uid="{00000000-0005-0000-0000-000039020000}"/>
    <cellStyle name="Percent114" xfId="570" xr:uid="{00000000-0005-0000-0000-00003A020000}"/>
    <cellStyle name="Percent115" xfId="571" xr:uid="{00000000-0005-0000-0000-00003B020000}"/>
    <cellStyle name="Percent116" xfId="572" xr:uid="{00000000-0005-0000-0000-00003C020000}"/>
    <cellStyle name="Percent117" xfId="573" xr:uid="{00000000-0005-0000-0000-00003D020000}"/>
    <cellStyle name="Percent118" xfId="574" xr:uid="{00000000-0005-0000-0000-00003E020000}"/>
    <cellStyle name="Percent119" xfId="575" xr:uid="{00000000-0005-0000-0000-00003F020000}"/>
    <cellStyle name="Percent12" xfId="576" xr:uid="{00000000-0005-0000-0000-000040020000}"/>
    <cellStyle name="Percent120" xfId="577" xr:uid="{00000000-0005-0000-0000-000041020000}"/>
    <cellStyle name="Percent121" xfId="578" xr:uid="{00000000-0005-0000-0000-000042020000}"/>
    <cellStyle name="Percent122" xfId="579" xr:uid="{00000000-0005-0000-0000-000043020000}"/>
    <cellStyle name="Percent123" xfId="580" xr:uid="{00000000-0005-0000-0000-000044020000}"/>
    <cellStyle name="Percent124" xfId="581" xr:uid="{00000000-0005-0000-0000-000045020000}"/>
    <cellStyle name="Percent125" xfId="582" xr:uid="{00000000-0005-0000-0000-000046020000}"/>
    <cellStyle name="Percent126" xfId="583" xr:uid="{00000000-0005-0000-0000-000047020000}"/>
    <cellStyle name="Percent127" xfId="584" xr:uid="{00000000-0005-0000-0000-000048020000}"/>
    <cellStyle name="Percent128" xfId="585" xr:uid="{00000000-0005-0000-0000-000049020000}"/>
    <cellStyle name="Percent129" xfId="586" xr:uid="{00000000-0005-0000-0000-00004A020000}"/>
    <cellStyle name="Percent13" xfId="587" xr:uid="{00000000-0005-0000-0000-00004B020000}"/>
    <cellStyle name="Percent130" xfId="588" xr:uid="{00000000-0005-0000-0000-00004C020000}"/>
    <cellStyle name="Percent131" xfId="589" xr:uid="{00000000-0005-0000-0000-00004D020000}"/>
    <cellStyle name="Percent132" xfId="590" xr:uid="{00000000-0005-0000-0000-00004E020000}"/>
    <cellStyle name="Percent133" xfId="591" xr:uid="{00000000-0005-0000-0000-00004F020000}"/>
    <cellStyle name="Percent134" xfId="592" xr:uid="{00000000-0005-0000-0000-000050020000}"/>
    <cellStyle name="Percent135" xfId="593" xr:uid="{00000000-0005-0000-0000-000051020000}"/>
    <cellStyle name="Percent136" xfId="594" xr:uid="{00000000-0005-0000-0000-000052020000}"/>
    <cellStyle name="Percent137" xfId="595" xr:uid="{00000000-0005-0000-0000-000053020000}"/>
    <cellStyle name="Percent138" xfId="596" xr:uid="{00000000-0005-0000-0000-000054020000}"/>
    <cellStyle name="Percent139" xfId="597" xr:uid="{00000000-0005-0000-0000-000055020000}"/>
    <cellStyle name="Percent14" xfId="598" xr:uid="{00000000-0005-0000-0000-000056020000}"/>
    <cellStyle name="Percent140" xfId="599" xr:uid="{00000000-0005-0000-0000-000057020000}"/>
    <cellStyle name="Percent141" xfId="600" xr:uid="{00000000-0005-0000-0000-000058020000}"/>
    <cellStyle name="Percent142" xfId="601" xr:uid="{00000000-0005-0000-0000-000059020000}"/>
    <cellStyle name="Percent143" xfId="602" xr:uid="{00000000-0005-0000-0000-00005A020000}"/>
    <cellStyle name="Percent144" xfId="603" xr:uid="{00000000-0005-0000-0000-00005B020000}"/>
    <cellStyle name="Percent145" xfId="604" xr:uid="{00000000-0005-0000-0000-00005C020000}"/>
    <cellStyle name="Percent146" xfId="605" xr:uid="{00000000-0005-0000-0000-00005D020000}"/>
    <cellStyle name="Percent147" xfId="606" xr:uid="{00000000-0005-0000-0000-00005E020000}"/>
    <cellStyle name="Percent148" xfId="607" xr:uid="{00000000-0005-0000-0000-00005F020000}"/>
    <cellStyle name="Percent149" xfId="608" xr:uid="{00000000-0005-0000-0000-000060020000}"/>
    <cellStyle name="Percent15" xfId="609" xr:uid="{00000000-0005-0000-0000-000061020000}"/>
    <cellStyle name="Percent150" xfId="610" xr:uid="{00000000-0005-0000-0000-000062020000}"/>
    <cellStyle name="Percent151" xfId="611" xr:uid="{00000000-0005-0000-0000-000063020000}"/>
    <cellStyle name="Percent152" xfId="612" xr:uid="{00000000-0005-0000-0000-000064020000}"/>
    <cellStyle name="Percent153" xfId="613" xr:uid="{00000000-0005-0000-0000-000065020000}"/>
    <cellStyle name="Percent154" xfId="614" xr:uid="{00000000-0005-0000-0000-000066020000}"/>
    <cellStyle name="Percent155" xfId="615" xr:uid="{00000000-0005-0000-0000-000067020000}"/>
    <cellStyle name="Percent156" xfId="616" xr:uid="{00000000-0005-0000-0000-000068020000}"/>
    <cellStyle name="Percent157" xfId="617" xr:uid="{00000000-0005-0000-0000-000069020000}"/>
    <cellStyle name="Percent158" xfId="618" xr:uid="{00000000-0005-0000-0000-00006A020000}"/>
    <cellStyle name="Percent159" xfId="619" xr:uid="{00000000-0005-0000-0000-00006B020000}"/>
    <cellStyle name="Percent16" xfId="620" xr:uid="{00000000-0005-0000-0000-00006C020000}"/>
    <cellStyle name="Percent160" xfId="621" xr:uid="{00000000-0005-0000-0000-00006D020000}"/>
    <cellStyle name="Percent161" xfId="622" xr:uid="{00000000-0005-0000-0000-00006E020000}"/>
    <cellStyle name="Percent162" xfId="623" xr:uid="{00000000-0005-0000-0000-00006F020000}"/>
    <cellStyle name="Percent163" xfId="624" xr:uid="{00000000-0005-0000-0000-000070020000}"/>
    <cellStyle name="Percent164" xfId="625" xr:uid="{00000000-0005-0000-0000-000071020000}"/>
    <cellStyle name="Percent165" xfId="626" xr:uid="{00000000-0005-0000-0000-000072020000}"/>
    <cellStyle name="Percent166" xfId="627" xr:uid="{00000000-0005-0000-0000-000073020000}"/>
    <cellStyle name="Percent167" xfId="628" xr:uid="{00000000-0005-0000-0000-000074020000}"/>
    <cellStyle name="Percent168" xfId="629" xr:uid="{00000000-0005-0000-0000-000075020000}"/>
    <cellStyle name="Percent169" xfId="630" xr:uid="{00000000-0005-0000-0000-000076020000}"/>
    <cellStyle name="Percent17" xfId="631" xr:uid="{00000000-0005-0000-0000-000077020000}"/>
    <cellStyle name="Percent170" xfId="632" xr:uid="{00000000-0005-0000-0000-000078020000}"/>
    <cellStyle name="Percent171" xfId="633" xr:uid="{00000000-0005-0000-0000-000079020000}"/>
    <cellStyle name="Percent172" xfId="634" xr:uid="{00000000-0005-0000-0000-00007A020000}"/>
    <cellStyle name="Percent173" xfId="635" xr:uid="{00000000-0005-0000-0000-00007B020000}"/>
    <cellStyle name="Percent174" xfId="636" xr:uid="{00000000-0005-0000-0000-00007C020000}"/>
    <cellStyle name="Percent175" xfId="637" xr:uid="{00000000-0005-0000-0000-00007D020000}"/>
    <cellStyle name="Percent176" xfId="638" xr:uid="{00000000-0005-0000-0000-00007E020000}"/>
    <cellStyle name="Percent177" xfId="639" xr:uid="{00000000-0005-0000-0000-00007F020000}"/>
    <cellStyle name="Percent178" xfId="640" xr:uid="{00000000-0005-0000-0000-000080020000}"/>
    <cellStyle name="Percent179" xfId="641" xr:uid="{00000000-0005-0000-0000-000081020000}"/>
    <cellStyle name="Percent18" xfId="642" xr:uid="{00000000-0005-0000-0000-000082020000}"/>
    <cellStyle name="Percent180" xfId="643" xr:uid="{00000000-0005-0000-0000-000083020000}"/>
    <cellStyle name="Percent181" xfId="644" xr:uid="{00000000-0005-0000-0000-000084020000}"/>
    <cellStyle name="Percent182" xfId="645" xr:uid="{00000000-0005-0000-0000-000085020000}"/>
    <cellStyle name="Percent183" xfId="646" xr:uid="{00000000-0005-0000-0000-000086020000}"/>
    <cellStyle name="Percent184" xfId="647" xr:uid="{00000000-0005-0000-0000-000087020000}"/>
    <cellStyle name="Percent185" xfId="648" xr:uid="{00000000-0005-0000-0000-000088020000}"/>
    <cellStyle name="Percent186" xfId="649" xr:uid="{00000000-0005-0000-0000-000089020000}"/>
    <cellStyle name="Percent187" xfId="650" xr:uid="{00000000-0005-0000-0000-00008A020000}"/>
    <cellStyle name="Percent188" xfId="651" xr:uid="{00000000-0005-0000-0000-00008B020000}"/>
    <cellStyle name="Percent189" xfId="652" xr:uid="{00000000-0005-0000-0000-00008C020000}"/>
    <cellStyle name="Percent19" xfId="653" xr:uid="{00000000-0005-0000-0000-00008D020000}"/>
    <cellStyle name="Percent190" xfId="654" xr:uid="{00000000-0005-0000-0000-00008E020000}"/>
    <cellStyle name="Percent191" xfId="655" xr:uid="{00000000-0005-0000-0000-00008F020000}"/>
    <cellStyle name="Percent192" xfId="656" xr:uid="{00000000-0005-0000-0000-000090020000}"/>
    <cellStyle name="Percent193" xfId="657" xr:uid="{00000000-0005-0000-0000-000091020000}"/>
    <cellStyle name="Percent194" xfId="658" xr:uid="{00000000-0005-0000-0000-000092020000}"/>
    <cellStyle name="Percent195" xfId="659" xr:uid="{00000000-0005-0000-0000-000093020000}"/>
    <cellStyle name="Percent196" xfId="660" xr:uid="{00000000-0005-0000-0000-000094020000}"/>
    <cellStyle name="Percent197" xfId="661" xr:uid="{00000000-0005-0000-0000-000095020000}"/>
    <cellStyle name="Percent198" xfId="662" xr:uid="{00000000-0005-0000-0000-000096020000}"/>
    <cellStyle name="Percent199" xfId="663" xr:uid="{00000000-0005-0000-0000-000097020000}"/>
    <cellStyle name="Percent1Bold" xfId="664" xr:uid="{00000000-0005-0000-0000-000098020000}"/>
    <cellStyle name="Percent2" xfId="665" xr:uid="{00000000-0005-0000-0000-000099020000}"/>
    <cellStyle name="Percent20" xfId="666" xr:uid="{00000000-0005-0000-0000-00009A020000}"/>
    <cellStyle name="Percent200" xfId="667" xr:uid="{00000000-0005-0000-0000-00009B020000}"/>
    <cellStyle name="Percent201" xfId="668" xr:uid="{00000000-0005-0000-0000-00009C020000}"/>
    <cellStyle name="Percent202" xfId="669" xr:uid="{00000000-0005-0000-0000-00009D020000}"/>
    <cellStyle name="Percent203" xfId="670" xr:uid="{00000000-0005-0000-0000-00009E020000}"/>
    <cellStyle name="Percent204" xfId="671" xr:uid="{00000000-0005-0000-0000-00009F020000}"/>
    <cellStyle name="Percent205" xfId="672" xr:uid="{00000000-0005-0000-0000-0000A0020000}"/>
    <cellStyle name="Percent206" xfId="673" xr:uid="{00000000-0005-0000-0000-0000A1020000}"/>
    <cellStyle name="Percent207" xfId="674" xr:uid="{00000000-0005-0000-0000-0000A2020000}"/>
    <cellStyle name="Percent208" xfId="675" xr:uid="{00000000-0005-0000-0000-0000A3020000}"/>
    <cellStyle name="Percent209" xfId="676" xr:uid="{00000000-0005-0000-0000-0000A4020000}"/>
    <cellStyle name="Percent21" xfId="677" xr:uid="{00000000-0005-0000-0000-0000A5020000}"/>
    <cellStyle name="Percent210" xfId="678" xr:uid="{00000000-0005-0000-0000-0000A6020000}"/>
    <cellStyle name="Percent211" xfId="679" xr:uid="{00000000-0005-0000-0000-0000A7020000}"/>
    <cellStyle name="Percent212" xfId="680" xr:uid="{00000000-0005-0000-0000-0000A8020000}"/>
    <cellStyle name="Percent213" xfId="681" xr:uid="{00000000-0005-0000-0000-0000A9020000}"/>
    <cellStyle name="Percent214" xfId="682" xr:uid="{00000000-0005-0000-0000-0000AA020000}"/>
    <cellStyle name="Percent215" xfId="683" xr:uid="{00000000-0005-0000-0000-0000AB020000}"/>
    <cellStyle name="Percent216" xfId="684" xr:uid="{00000000-0005-0000-0000-0000AC020000}"/>
    <cellStyle name="Percent217" xfId="685" xr:uid="{00000000-0005-0000-0000-0000AD020000}"/>
    <cellStyle name="Percent218" xfId="686" xr:uid="{00000000-0005-0000-0000-0000AE020000}"/>
    <cellStyle name="Percent219" xfId="687" xr:uid="{00000000-0005-0000-0000-0000AF020000}"/>
    <cellStyle name="Percent22" xfId="688" xr:uid="{00000000-0005-0000-0000-0000B0020000}"/>
    <cellStyle name="Percent220" xfId="689" xr:uid="{00000000-0005-0000-0000-0000B1020000}"/>
    <cellStyle name="Percent221" xfId="690" xr:uid="{00000000-0005-0000-0000-0000B2020000}"/>
    <cellStyle name="Percent222" xfId="691" xr:uid="{00000000-0005-0000-0000-0000B3020000}"/>
    <cellStyle name="Percent223" xfId="692" xr:uid="{00000000-0005-0000-0000-0000B4020000}"/>
    <cellStyle name="Percent224" xfId="693" xr:uid="{00000000-0005-0000-0000-0000B5020000}"/>
    <cellStyle name="Percent225" xfId="694" xr:uid="{00000000-0005-0000-0000-0000B6020000}"/>
    <cellStyle name="Percent226" xfId="695" xr:uid="{00000000-0005-0000-0000-0000B7020000}"/>
    <cellStyle name="Percent227" xfId="696" xr:uid="{00000000-0005-0000-0000-0000B8020000}"/>
    <cellStyle name="Percent228" xfId="697" xr:uid="{00000000-0005-0000-0000-0000B9020000}"/>
    <cellStyle name="Percent229" xfId="698" xr:uid="{00000000-0005-0000-0000-0000BA020000}"/>
    <cellStyle name="Percent23" xfId="699" xr:uid="{00000000-0005-0000-0000-0000BB020000}"/>
    <cellStyle name="Percent230" xfId="700" xr:uid="{00000000-0005-0000-0000-0000BC020000}"/>
    <cellStyle name="Percent231" xfId="701" xr:uid="{00000000-0005-0000-0000-0000BD020000}"/>
    <cellStyle name="Percent232" xfId="702" xr:uid="{00000000-0005-0000-0000-0000BE020000}"/>
    <cellStyle name="Percent233" xfId="703" xr:uid="{00000000-0005-0000-0000-0000BF020000}"/>
    <cellStyle name="Percent234" xfId="704" xr:uid="{00000000-0005-0000-0000-0000C0020000}"/>
    <cellStyle name="Percent235" xfId="705" xr:uid="{00000000-0005-0000-0000-0000C1020000}"/>
    <cellStyle name="Percent236" xfId="706" xr:uid="{00000000-0005-0000-0000-0000C2020000}"/>
    <cellStyle name="Percent24" xfId="707" xr:uid="{00000000-0005-0000-0000-0000C3020000}"/>
    <cellStyle name="Percent25" xfId="708" xr:uid="{00000000-0005-0000-0000-0000C4020000}"/>
    <cellStyle name="Percent26" xfId="709" xr:uid="{00000000-0005-0000-0000-0000C5020000}"/>
    <cellStyle name="Percent27" xfId="710" xr:uid="{00000000-0005-0000-0000-0000C6020000}"/>
    <cellStyle name="Percent28" xfId="711" xr:uid="{00000000-0005-0000-0000-0000C7020000}"/>
    <cellStyle name="Percent29" xfId="712" xr:uid="{00000000-0005-0000-0000-0000C8020000}"/>
    <cellStyle name="Percent3" xfId="713" xr:uid="{00000000-0005-0000-0000-0000C9020000}"/>
    <cellStyle name="Percent30" xfId="714" xr:uid="{00000000-0005-0000-0000-0000CA020000}"/>
    <cellStyle name="Percent31" xfId="715" xr:uid="{00000000-0005-0000-0000-0000CB020000}"/>
    <cellStyle name="Percent32" xfId="716" xr:uid="{00000000-0005-0000-0000-0000CC020000}"/>
    <cellStyle name="Percent33" xfId="717" xr:uid="{00000000-0005-0000-0000-0000CD020000}"/>
    <cellStyle name="Percent34" xfId="718" xr:uid="{00000000-0005-0000-0000-0000CE020000}"/>
    <cellStyle name="Percent35" xfId="719" xr:uid="{00000000-0005-0000-0000-0000CF020000}"/>
    <cellStyle name="Percent36" xfId="720" xr:uid="{00000000-0005-0000-0000-0000D0020000}"/>
    <cellStyle name="Percent37" xfId="721" xr:uid="{00000000-0005-0000-0000-0000D1020000}"/>
    <cellStyle name="Percent38" xfId="722" xr:uid="{00000000-0005-0000-0000-0000D2020000}"/>
    <cellStyle name="Percent39" xfId="723" xr:uid="{00000000-0005-0000-0000-0000D3020000}"/>
    <cellStyle name="Percent4" xfId="724" xr:uid="{00000000-0005-0000-0000-0000D4020000}"/>
    <cellStyle name="Percent40" xfId="725" xr:uid="{00000000-0005-0000-0000-0000D5020000}"/>
    <cellStyle name="Percent41" xfId="726" xr:uid="{00000000-0005-0000-0000-0000D6020000}"/>
    <cellStyle name="Percent42" xfId="727" xr:uid="{00000000-0005-0000-0000-0000D7020000}"/>
    <cellStyle name="Percent43" xfId="728" xr:uid="{00000000-0005-0000-0000-0000D8020000}"/>
    <cellStyle name="Percent44" xfId="729" xr:uid="{00000000-0005-0000-0000-0000D9020000}"/>
    <cellStyle name="Percent45" xfId="730" xr:uid="{00000000-0005-0000-0000-0000DA020000}"/>
    <cellStyle name="Percent46" xfId="731" xr:uid="{00000000-0005-0000-0000-0000DB020000}"/>
    <cellStyle name="Percent47" xfId="732" xr:uid="{00000000-0005-0000-0000-0000DC020000}"/>
    <cellStyle name="Percent48" xfId="733" xr:uid="{00000000-0005-0000-0000-0000DD020000}"/>
    <cellStyle name="Percent49" xfId="734" xr:uid="{00000000-0005-0000-0000-0000DE020000}"/>
    <cellStyle name="Percent5" xfId="735" xr:uid="{00000000-0005-0000-0000-0000DF020000}"/>
    <cellStyle name="Percent50" xfId="736" xr:uid="{00000000-0005-0000-0000-0000E0020000}"/>
    <cellStyle name="Percent51" xfId="737" xr:uid="{00000000-0005-0000-0000-0000E1020000}"/>
    <cellStyle name="Percent52" xfId="738" xr:uid="{00000000-0005-0000-0000-0000E2020000}"/>
    <cellStyle name="Percent53" xfId="739" xr:uid="{00000000-0005-0000-0000-0000E3020000}"/>
    <cellStyle name="Percent54" xfId="740" xr:uid="{00000000-0005-0000-0000-0000E4020000}"/>
    <cellStyle name="Percent55" xfId="741" xr:uid="{00000000-0005-0000-0000-0000E5020000}"/>
    <cellStyle name="Percent56" xfId="742" xr:uid="{00000000-0005-0000-0000-0000E6020000}"/>
    <cellStyle name="Percent57" xfId="743" xr:uid="{00000000-0005-0000-0000-0000E7020000}"/>
    <cellStyle name="Percent58" xfId="744" xr:uid="{00000000-0005-0000-0000-0000E8020000}"/>
    <cellStyle name="Percent59" xfId="745" xr:uid="{00000000-0005-0000-0000-0000E9020000}"/>
    <cellStyle name="Percent6" xfId="746" xr:uid="{00000000-0005-0000-0000-0000EA020000}"/>
    <cellStyle name="Percent60" xfId="747" xr:uid="{00000000-0005-0000-0000-0000EB020000}"/>
    <cellStyle name="Percent61" xfId="748" xr:uid="{00000000-0005-0000-0000-0000EC020000}"/>
    <cellStyle name="Percent62" xfId="749" xr:uid="{00000000-0005-0000-0000-0000ED020000}"/>
    <cellStyle name="Percent63" xfId="750" xr:uid="{00000000-0005-0000-0000-0000EE020000}"/>
    <cellStyle name="Percent64" xfId="751" xr:uid="{00000000-0005-0000-0000-0000EF020000}"/>
    <cellStyle name="Percent65" xfId="752" xr:uid="{00000000-0005-0000-0000-0000F0020000}"/>
    <cellStyle name="Percent66" xfId="753" xr:uid="{00000000-0005-0000-0000-0000F1020000}"/>
    <cellStyle name="Percent67" xfId="754" xr:uid="{00000000-0005-0000-0000-0000F2020000}"/>
    <cellStyle name="Percent68" xfId="755" xr:uid="{00000000-0005-0000-0000-0000F3020000}"/>
    <cellStyle name="Percent69" xfId="756" xr:uid="{00000000-0005-0000-0000-0000F4020000}"/>
    <cellStyle name="Percent7" xfId="757" xr:uid="{00000000-0005-0000-0000-0000F5020000}"/>
    <cellStyle name="Percent70" xfId="758" xr:uid="{00000000-0005-0000-0000-0000F6020000}"/>
    <cellStyle name="Percent71" xfId="759" xr:uid="{00000000-0005-0000-0000-0000F7020000}"/>
    <cellStyle name="Percent72" xfId="760" xr:uid="{00000000-0005-0000-0000-0000F8020000}"/>
    <cellStyle name="Percent73" xfId="761" xr:uid="{00000000-0005-0000-0000-0000F9020000}"/>
    <cellStyle name="Percent74" xfId="762" xr:uid="{00000000-0005-0000-0000-0000FA020000}"/>
    <cellStyle name="Percent75" xfId="763" xr:uid="{00000000-0005-0000-0000-0000FB020000}"/>
    <cellStyle name="Percent76" xfId="764" xr:uid="{00000000-0005-0000-0000-0000FC020000}"/>
    <cellStyle name="Percent77" xfId="765" xr:uid="{00000000-0005-0000-0000-0000FD020000}"/>
    <cellStyle name="Percent78" xfId="766" xr:uid="{00000000-0005-0000-0000-0000FE020000}"/>
    <cellStyle name="Percent79" xfId="767" xr:uid="{00000000-0005-0000-0000-0000FF020000}"/>
    <cellStyle name="Percent8" xfId="768" xr:uid="{00000000-0005-0000-0000-000000030000}"/>
    <cellStyle name="Percent80" xfId="769" xr:uid="{00000000-0005-0000-0000-000001030000}"/>
    <cellStyle name="Percent81" xfId="770" xr:uid="{00000000-0005-0000-0000-000002030000}"/>
    <cellStyle name="Percent82" xfId="771" xr:uid="{00000000-0005-0000-0000-000003030000}"/>
    <cellStyle name="Percent83" xfId="772" xr:uid="{00000000-0005-0000-0000-000004030000}"/>
    <cellStyle name="Percent84" xfId="773" xr:uid="{00000000-0005-0000-0000-000005030000}"/>
    <cellStyle name="Percent85" xfId="774" xr:uid="{00000000-0005-0000-0000-000006030000}"/>
    <cellStyle name="Percent86" xfId="775" xr:uid="{00000000-0005-0000-0000-000007030000}"/>
    <cellStyle name="Percent87" xfId="776" xr:uid="{00000000-0005-0000-0000-000008030000}"/>
    <cellStyle name="Percent88" xfId="777" xr:uid="{00000000-0005-0000-0000-000009030000}"/>
    <cellStyle name="Percent89" xfId="778" xr:uid="{00000000-0005-0000-0000-00000A030000}"/>
    <cellStyle name="Percent9" xfId="779" xr:uid="{00000000-0005-0000-0000-00000B030000}"/>
    <cellStyle name="Percent90" xfId="780" xr:uid="{00000000-0005-0000-0000-00000C030000}"/>
    <cellStyle name="Percent91" xfId="781" xr:uid="{00000000-0005-0000-0000-00000D030000}"/>
    <cellStyle name="Percent92" xfId="782" xr:uid="{00000000-0005-0000-0000-00000E030000}"/>
    <cellStyle name="Percent93" xfId="783" xr:uid="{00000000-0005-0000-0000-00000F030000}"/>
    <cellStyle name="Percent94" xfId="784" xr:uid="{00000000-0005-0000-0000-000010030000}"/>
    <cellStyle name="Percent95" xfId="785" xr:uid="{00000000-0005-0000-0000-000011030000}"/>
    <cellStyle name="Percent96" xfId="786" xr:uid="{00000000-0005-0000-0000-000012030000}"/>
    <cellStyle name="Percent97" xfId="787" xr:uid="{00000000-0005-0000-0000-000013030000}"/>
    <cellStyle name="Percent98" xfId="788" xr:uid="{00000000-0005-0000-0000-000014030000}"/>
    <cellStyle name="Percent99" xfId="789" xr:uid="{00000000-0005-0000-0000-000015030000}"/>
    <cellStyle name="Percentage" xfId="790" xr:uid="{00000000-0005-0000-0000-000016030000}"/>
    <cellStyle name="PercentStyle" xfId="791" xr:uid="{00000000-0005-0000-0000-000017030000}"/>
    <cellStyle name="PrePop Currency (0)" xfId="792" xr:uid="{00000000-0005-0000-0000-000018030000}"/>
    <cellStyle name="PrePop Currency (2)" xfId="793" xr:uid="{00000000-0005-0000-0000-000019030000}"/>
    <cellStyle name="PrePop Units (0)" xfId="794" xr:uid="{00000000-0005-0000-0000-00001A030000}"/>
    <cellStyle name="PrePop Units (1)" xfId="795" xr:uid="{00000000-0005-0000-0000-00001B030000}"/>
    <cellStyle name="PrePop Units (2)" xfId="796" xr:uid="{00000000-0005-0000-0000-00001C030000}"/>
    <cellStyle name="Price" xfId="797" xr:uid="{00000000-0005-0000-0000-00001D030000}"/>
    <cellStyle name="Product Header" xfId="798" xr:uid="{00000000-0005-0000-0000-00001E030000}"/>
    <cellStyle name="PSChar" xfId="799" xr:uid="{00000000-0005-0000-0000-00001F030000}"/>
    <cellStyle name="PSDate" xfId="800" xr:uid="{00000000-0005-0000-0000-000020030000}"/>
    <cellStyle name="PSDec" xfId="801" xr:uid="{00000000-0005-0000-0000-000021030000}"/>
    <cellStyle name="PSHeading" xfId="802" xr:uid="{00000000-0005-0000-0000-000022030000}"/>
    <cellStyle name="PSInt" xfId="803" xr:uid="{00000000-0005-0000-0000-000023030000}"/>
    <cellStyle name="PSSpacer" xfId="804" xr:uid="{00000000-0005-0000-0000-000024030000}"/>
    <cellStyle name="r" xfId="805" xr:uid="{00000000-0005-0000-0000-000025030000}"/>
    <cellStyle name="r_F&amp;W Servicing Model" xfId="806" xr:uid="{00000000-0005-0000-0000-000026030000}"/>
    <cellStyle name="r_F&amp;W Servicing Model v2" xfId="807" xr:uid="{00000000-0005-0000-0000-000027030000}"/>
    <cellStyle name="r_Yell Servicing Model" xfId="808" xr:uid="{00000000-0005-0000-0000-000028030000}"/>
    <cellStyle name="rate" xfId="809" xr:uid="{00000000-0005-0000-0000-000029030000}"/>
    <cellStyle name="Ratio" xfId="810" xr:uid="{00000000-0005-0000-0000-00002A030000}"/>
    <cellStyle name="Ratio Comma" xfId="811" xr:uid="{00000000-0005-0000-0000-00002B030000}"/>
    <cellStyle name="Ratio_Private" xfId="812" xr:uid="{00000000-0005-0000-0000-00002C030000}"/>
    <cellStyle name="regstoresfromspecstores" xfId="813" xr:uid="{00000000-0005-0000-0000-00002D030000}"/>
    <cellStyle name="RevList" xfId="814" xr:uid="{00000000-0005-0000-0000-00002E030000}"/>
    <cellStyle name="Right" xfId="815" xr:uid="{00000000-0005-0000-0000-00002F030000}"/>
    <cellStyle name="RightBold" xfId="816" xr:uid="{00000000-0005-0000-0000-000030030000}"/>
    <cellStyle name="RightBoldBottomRule" xfId="817" xr:uid="{00000000-0005-0000-0000-000031030000}"/>
    <cellStyle name="RightBoldCenterRule" xfId="818" xr:uid="{00000000-0005-0000-0000-000032030000}"/>
    <cellStyle name="Section" xfId="819" xr:uid="{00000000-0005-0000-0000-000033030000}"/>
    <cellStyle name="SectionHeaderNormal" xfId="820" xr:uid="{00000000-0005-0000-0000-000034030000}"/>
    <cellStyle name="SHADEDSTORES" xfId="821" xr:uid="{00000000-0005-0000-0000-000035030000}"/>
    <cellStyle name="Short $" xfId="822" xr:uid="{00000000-0005-0000-0000-000036030000}"/>
    <cellStyle name="ShOut" xfId="823" xr:uid="{00000000-0005-0000-0000-000037030000}"/>
    <cellStyle name="Simple" xfId="824" xr:uid="{00000000-0005-0000-0000-000038030000}"/>
    <cellStyle name="SimpleBold" xfId="825" xr:uid="{00000000-0005-0000-0000-000039030000}"/>
    <cellStyle name="Single Accounting" xfId="826" xr:uid="{00000000-0005-0000-0000-00003A030000}"/>
    <cellStyle name="specstores" xfId="827" xr:uid="{00000000-0005-0000-0000-00003B030000}"/>
    <cellStyle name="Stock Comma" xfId="828" xr:uid="{00000000-0005-0000-0000-00003C030000}"/>
    <cellStyle name="Stock Price" xfId="829" xr:uid="{00000000-0005-0000-0000-00003D030000}"/>
    <cellStyle name="Style 1" xfId="830" xr:uid="{00000000-0005-0000-0000-00003E030000}"/>
    <cellStyle name="Style 21" xfId="831" xr:uid="{00000000-0005-0000-0000-00003F030000}"/>
    <cellStyle name="Style 22" xfId="832" xr:uid="{00000000-0005-0000-0000-000040030000}"/>
    <cellStyle name="Style 23" xfId="833" xr:uid="{00000000-0005-0000-0000-000041030000}"/>
    <cellStyle name="Style 24" xfId="834" xr:uid="{00000000-0005-0000-0000-000042030000}"/>
    <cellStyle name="Style 25" xfId="835" xr:uid="{00000000-0005-0000-0000-000043030000}"/>
    <cellStyle name="Style 26" xfId="836" xr:uid="{00000000-0005-0000-0000-000044030000}"/>
    <cellStyle name="Style 27" xfId="837" xr:uid="{00000000-0005-0000-0000-000045030000}"/>
    <cellStyle name="Style 28" xfId="838" xr:uid="{00000000-0005-0000-0000-000046030000}"/>
    <cellStyle name="Style 29" xfId="839" xr:uid="{00000000-0005-0000-0000-000047030000}"/>
    <cellStyle name="Style 30" xfId="840" xr:uid="{00000000-0005-0000-0000-000048030000}"/>
    <cellStyle name="Style 31" xfId="841" xr:uid="{00000000-0005-0000-0000-000049030000}"/>
    <cellStyle name="Style 32" xfId="842" xr:uid="{00000000-0005-0000-0000-00004A030000}"/>
    <cellStyle name="Style 33" xfId="843" xr:uid="{00000000-0005-0000-0000-00004B030000}"/>
    <cellStyle name="Style 34" xfId="844" xr:uid="{00000000-0005-0000-0000-00004C030000}"/>
    <cellStyle name="Style 35" xfId="845" xr:uid="{00000000-0005-0000-0000-00004D030000}"/>
    <cellStyle name="Style 36" xfId="846" xr:uid="{00000000-0005-0000-0000-00004E030000}"/>
    <cellStyle name="Style 37" xfId="847" xr:uid="{00000000-0005-0000-0000-00004F030000}"/>
    <cellStyle name="Style 38" xfId="848" xr:uid="{00000000-0005-0000-0000-000050030000}"/>
    <cellStyle name="Style 39" xfId="849" xr:uid="{00000000-0005-0000-0000-000051030000}"/>
    <cellStyle name="Style 40" xfId="850" xr:uid="{00000000-0005-0000-0000-000052030000}"/>
    <cellStyle name="Style 41" xfId="851" xr:uid="{00000000-0005-0000-0000-000053030000}"/>
    <cellStyle name="Style 42" xfId="852" xr:uid="{00000000-0005-0000-0000-000054030000}"/>
    <cellStyle name="Style 43" xfId="853" xr:uid="{00000000-0005-0000-0000-000055030000}"/>
    <cellStyle name="Style 44" xfId="854" xr:uid="{00000000-0005-0000-0000-000056030000}"/>
    <cellStyle name="Style 45" xfId="855" xr:uid="{00000000-0005-0000-0000-000057030000}"/>
    <cellStyle name="Style 46" xfId="856" xr:uid="{00000000-0005-0000-0000-000058030000}"/>
    <cellStyle name="Style 47" xfId="857" xr:uid="{00000000-0005-0000-0000-000059030000}"/>
    <cellStyle name="Style 48" xfId="858" xr:uid="{00000000-0005-0000-0000-00005A030000}"/>
    <cellStyle name="STYLE1" xfId="859" xr:uid="{00000000-0005-0000-0000-00005B030000}"/>
    <cellStyle name="SubScript" xfId="860" xr:uid="{00000000-0005-0000-0000-00005C030000}"/>
    <cellStyle name="Subtotal" xfId="861" xr:uid="{00000000-0005-0000-0000-00005D030000}"/>
    <cellStyle name="Sum" xfId="862" xr:uid="{00000000-0005-0000-0000-00005E030000}"/>
    <cellStyle name="SuperScript" xfId="863" xr:uid="{00000000-0005-0000-0000-00005F030000}"/>
    <cellStyle name="Table_Title" xfId="864" xr:uid="{00000000-0005-0000-0000-000060030000}"/>
    <cellStyle name="Test" xfId="865" xr:uid="{00000000-0005-0000-0000-000061030000}"/>
    <cellStyle name="Text Indent A" xfId="866" xr:uid="{00000000-0005-0000-0000-000062030000}"/>
    <cellStyle name="Text Indent B" xfId="867" xr:uid="{00000000-0005-0000-0000-000063030000}"/>
    <cellStyle name="Text Indent C" xfId="868" xr:uid="{00000000-0005-0000-0000-000064030000}"/>
    <cellStyle name="TextBold" xfId="869" xr:uid="{00000000-0005-0000-0000-000065030000}"/>
    <cellStyle name="TextItalic" xfId="870" xr:uid="{00000000-0005-0000-0000-000066030000}"/>
    <cellStyle name="TextNormal" xfId="871" xr:uid="{00000000-0005-0000-0000-000067030000}"/>
    <cellStyle name="Time" xfId="872" xr:uid="{00000000-0005-0000-0000-000068030000}"/>
    <cellStyle name="Times 10" xfId="873" xr:uid="{00000000-0005-0000-0000-000069030000}"/>
    <cellStyle name="Times 12" xfId="874" xr:uid="{00000000-0005-0000-0000-00006A030000}"/>
    <cellStyle name="Title - PROJECT" xfId="875" xr:uid="{00000000-0005-0000-0000-00006B030000}"/>
    <cellStyle name="Title - Underline" xfId="876" xr:uid="{00000000-0005-0000-0000-00006C030000}"/>
    <cellStyle name="Title1" xfId="877" xr:uid="{00000000-0005-0000-0000-00006D030000}"/>
    <cellStyle name="Title2" xfId="878" xr:uid="{00000000-0005-0000-0000-00006E030000}"/>
    <cellStyle name="TitleNormal" xfId="879" xr:uid="{00000000-0005-0000-0000-00006F030000}"/>
    <cellStyle name="Titles - Col. Headings" xfId="880" xr:uid="{00000000-0005-0000-0000-000070030000}"/>
    <cellStyle name="Titles - Other" xfId="881" xr:uid="{00000000-0005-0000-0000-000071030000}"/>
    <cellStyle name="Top Edge" xfId="882" xr:uid="{00000000-0005-0000-0000-000072030000}"/>
    <cellStyle name="Total" xfId="883" builtinId="25" customBuiltin="1"/>
    <cellStyle name="ubordinated Debt" xfId="884" xr:uid="{00000000-0005-0000-0000-000074030000}"/>
    <cellStyle name="wheat merger's and acquisitions" xfId="885" xr:uid="{00000000-0005-0000-0000-000075030000}"/>
    <cellStyle name="x" xfId="886" xr:uid="{00000000-0005-0000-0000-000076030000}"/>
    <cellStyle name="x_TSA Model - 1 8 06 - v2" xfId="887" xr:uid="{00000000-0005-0000-0000-000077030000}"/>
    <cellStyle name="Y2K Compliant Date Fmt" xfId="888" xr:uid="{00000000-0005-0000-0000-000078030000}"/>
    <cellStyle name="Years" xfId="889" xr:uid="{00000000-0005-0000-0000-000079030000}"/>
    <cellStyle name="yellow" xfId="890" xr:uid="{00000000-0005-0000-0000-00007A030000}"/>
    <cellStyle name="Yen" xfId="891" xr:uid="{00000000-0005-0000-0000-00007B030000}"/>
    <cellStyle name="YYYY" xfId="892" xr:uid="{00000000-0005-0000-0000-00007C030000}"/>
    <cellStyle name="桁区切り [0.00]_Appendix" xfId="893" xr:uid="{00000000-0005-0000-0000-00007D030000}"/>
    <cellStyle name="桁区切り_Appendix" xfId="894" xr:uid="{00000000-0005-0000-0000-00007E030000}"/>
    <cellStyle name="標準_Appendix" xfId="895" xr:uid="{00000000-0005-0000-0000-00007F030000}"/>
    <cellStyle name="通貨 [0.00]_Appendix" xfId="896" xr:uid="{00000000-0005-0000-0000-000080030000}"/>
    <cellStyle name="通貨_Appendix" xfId="897" xr:uid="{00000000-0005-0000-0000-00008103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0.xml"/><Relationship Id="rId18" Type="http://schemas.openxmlformats.org/officeDocument/2006/relationships/externalLink" Target="externalLinks/externalLink15.xml"/><Relationship Id="rId26" Type="http://schemas.openxmlformats.org/officeDocument/2006/relationships/externalLink" Target="externalLinks/externalLink23.xml"/><Relationship Id="rId39" Type="http://schemas.openxmlformats.org/officeDocument/2006/relationships/sharedStrings" Target="sharedStrings.xml"/><Relationship Id="rId21" Type="http://schemas.openxmlformats.org/officeDocument/2006/relationships/externalLink" Target="externalLinks/externalLink18.xml"/><Relationship Id="rId34" Type="http://schemas.openxmlformats.org/officeDocument/2006/relationships/externalLink" Target="externalLinks/externalLink31.xml"/><Relationship Id="rId42" Type="http://schemas.openxmlformats.org/officeDocument/2006/relationships/calcChain" Target="calcChain.xml"/><Relationship Id="rId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3.xml"/><Relationship Id="rId29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24" Type="http://schemas.openxmlformats.org/officeDocument/2006/relationships/externalLink" Target="externalLinks/externalLink21.xml"/><Relationship Id="rId32" Type="http://schemas.openxmlformats.org/officeDocument/2006/relationships/externalLink" Target="externalLinks/externalLink29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45" Type="http://schemas.openxmlformats.org/officeDocument/2006/relationships/customXml" Target="../customXml/item3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23" Type="http://schemas.openxmlformats.org/officeDocument/2006/relationships/externalLink" Target="externalLinks/externalLink20.xml"/><Relationship Id="rId28" Type="http://schemas.openxmlformats.org/officeDocument/2006/relationships/externalLink" Target="externalLinks/externalLink25.xml"/><Relationship Id="rId36" Type="http://schemas.openxmlformats.org/officeDocument/2006/relationships/externalLink" Target="externalLinks/externalLink33.xml"/><Relationship Id="rId10" Type="http://schemas.openxmlformats.org/officeDocument/2006/relationships/externalLink" Target="externalLinks/externalLink7.xml"/><Relationship Id="rId19" Type="http://schemas.openxmlformats.org/officeDocument/2006/relationships/externalLink" Target="externalLinks/externalLink16.xml"/><Relationship Id="rId31" Type="http://schemas.openxmlformats.org/officeDocument/2006/relationships/externalLink" Target="externalLinks/externalLink28.xml"/><Relationship Id="rId44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Relationship Id="rId22" Type="http://schemas.openxmlformats.org/officeDocument/2006/relationships/externalLink" Target="externalLinks/externalLink19.xml"/><Relationship Id="rId27" Type="http://schemas.openxmlformats.org/officeDocument/2006/relationships/externalLink" Target="externalLinks/externalLink24.xml"/><Relationship Id="rId30" Type="http://schemas.openxmlformats.org/officeDocument/2006/relationships/externalLink" Target="externalLinks/externalLink27.xml"/><Relationship Id="rId35" Type="http://schemas.openxmlformats.org/officeDocument/2006/relationships/externalLink" Target="externalLinks/externalLink32.xml"/><Relationship Id="rId43" Type="http://schemas.openxmlformats.org/officeDocument/2006/relationships/customXml" Target="../customXml/item1.xml"/><Relationship Id="rId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9.xml"/><Relationship Id="rId17" Type="http://schemas.openxmlformats.org/officeDocument/2006/relationships/externalLink" Target="externalLinks/externalLink14.xml"/><Relationship Id="rId25" Type="http://schemas.openxmlformats.org/officeDocument/2006/relationships/externalLink" Target="externalLinks/externalLink22.xml"/><Relationship Id="rId33" Type="http://schemas.openxmlformats.org/officeDocument/2006/relationships/externalLink" Target="externalLinks/externalLink30.xml"/><Relationship Id="rId38" Type="http://schemas.openxmlformats.org/officeDocument/2006/relationships/styles" Target="styles.xml"/><Relationship Id="rId20" Type="http://schemas.openxmlformats.org/officeDocument/2006/relationships/externalLink" Target="externalLinks/externalLink17.xml"/><Relationship Id="rId41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_sfnt01\GBlank$\Documents%20and%20Settings\GBlank\Local%20Settings\Temporary%20Internet%20Files\OLK39\TSA%20Model%20-%201%208%2006%20-%20v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Office\Media\COMPS%20-%20B2B%20Publisher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_sfnt01\GBlank$\My%20Documents\TPG\LBO\Bally\BFT%20Forecast%20Mode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METG%20Templat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ank%20Loan%20Team\APPROVAL%20MEMOS\Endurance%20Media\BLT%20Work\EBM%20Quarterly%20Model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Bank%20Loan%20Team\ELK%20TEAM\Models\Presentation\Draft%20Presentation%20Files\Presentation%20Info%2022%20(Adam%20Silver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Bank%20Loan%20Team\ELK%20TEAM\Models\Presentation\Draft%20Presentation%20Files\PresentationChartDat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WCMP%20II\PORTFOLIO%20COMPANIES\Jobson%20Medical%20Information\Bank%20Correspondence\JMI%20Model%20(Wx%20Model%20-%20BMO%20Adjusted%205-18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CMP%20II\INACTIVE%20DEALS\Facts%20on%20File\Transaction%20Models\FOF%20Model%20v3%20(Asset%20Purchase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unsezfnp05\Barracuda\Documents%20and%20Settings\nbk7h1e\Local%20Settings\Temporary%20Internet%20Files\OLK61\Bank%20Austria\Returns@@@2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eals%20-%20In%20Process\TruCom\BridgeCom%20Budget%20200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y-fil01\data\Wicks\Wicks%20Model\JMI%20Model%20(Wx%20Model%20-%20BMO%20Adjusted%205-18)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eals%20-%20In%20Process\Crescent%20Publishing%20Company,%20LLC\R0%20-%20Aug%202,%202001\CrescentPublishing%20Model%208-01%20R0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Credit%20Derivatives%20Group\Emerging\CBO\MFS\Jersey%20Street%20CLO\Warehouse\Warehouse%20Report\versions\August\Jersey%20Street%20CLO%208.7.06%20Committed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ail.wicksgroup.com/PORTFOLIO%20COMPANIES/Bressler%20Outdoor/Financial%20Models/SubDebt%20Model%20-%20IRR%20-$30MM%20Equity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microsoft.com/office/2006/relationships/xlExternalLinkPath/xlPathMissing" Target="7b7k01_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rojects5\Barracuda\Falabella\Final\Falabella_New%20Model_1H17_v3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inous.studioholdings.net\temp\TEMP\Consolidated%2012-4-00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tc-neptune\accounting\Invoices\Invoice%2099\z.December%201999\DEC99Invoice%20Summary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Rosetta%20Stone%20Model%20(91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marimow\My%20Documents\Companies\Univision\Model\Bank%20Model%20-%20Financing\Company%20Materials\Company%20Materials\Bank%20Model_9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ank%20Loan%20Team%20Research\_RAs\Takacs_G\PORTFOLIO%20-%20Takacs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Kim\Local%20Settings\Temporary%20Internet%20Files\Content.IE5\YTHBT5P6\Spring%202002\Modeling\Problem%204%20worksheet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marimow\My%20Documents\Companies\Univision\Model\Bank%20Model%20-%20Financing\Bank%20Model_21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NT14\USERS$\mm93223\My%20Documents\Templates\Servicing%20Template%20-%20MAB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EMcKee\Local%20Settings\Temporary%20Internet%20Files\OLK12\65%20UVN%207-Year%20Model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Kim\Local%20Settings\Temporary%20Internet%20Files\Content.IE5\YTHBT5P6\windows\TEMP\financial%20forecast%207.27.98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Beckett\Deals%20in%20process\UniFocus%20R6\Unifocus%20Model%204-02%20R6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CRothbard\Local%20Settings\Temporary%20Internet%20Files\OLK146\JMI_WMI%20Financing%20Model%20(02-09-06)_vTD4%2006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jorr\Local%20Settings\Temporary%20Internet%20Files\OLK27\MC-DW-JOB%20Merger%20Model%20for%20Syndicate%20-%203.31.05%20rjf%205.03.05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WCMP%20II\PORTFOLIO%20COMPANIES\Jobson%20Medical%20Information\Corporate%20Development\JMI_WMI%20Combination\2005.11\Oct%202005\MEDCON%20Projection%20Model%20September%202005%20(09-13-05)%20v2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inous.studioholdings.net\temp\M&amp;A_Deal\New%20Models\dcf.short.xls" TargetMode="External"/></Relationships>
</file>

<file path=xl/externalLinks/_rels/externalLink3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Users/priyankana/Desktop/Phase%203%20-%20had/Arcelik_Model_3Q21%20Update_%2022%20Oct%202021...xls" TargetMode="External"/><Relationship Id="rId1" Type="http://schemas.openxmlformats.org/officeDocument/2006/relationships/externalLinkPath" Target="/Users/priyankana/Desktop/Phase%203%20-%20had/Arcelik_Model_3Q21%20Update_%2022%20Oct%202021..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"/>
      <sheetName val="Returns Summary"/>
      <sheetName val="Case Logic"/>
      <sheetName val="Option Summary"/>
      <sheetName val="TRANSACTION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d Page"/>
      <sheetName val="Deal Multiples"/>
      <sheetName val="Asset Coverage"/>
      <sheetName val="Status"/>
      <sheetName val="Output"/>
      <sheetName val="Graphs"/>
      <sheetName val="Inputs"/>
      <sheetName val="WARF"/>
      <sheetName val="Comps"/>
      <sheetName val="Magazines"/>
      <sheetName val="2"/>
      <sheetName val="4"/>
      <sheetName val="5"/>
      <sheetName val="6"/>
      <sheetName val="7"/>
      <sheetName val="8"/>
      <sheetName val="10"/>
      <sheetName val="11"/>
      <sheetName val="12"/>
      <sheetName val="14"/>
      <sheetName val="16"/>
      <sheetName val="1"/>
      <sheetName val="3"/>
      <sheetName val="9"/>
      <sheetName val="13"/>
      <sheetName val="15"/>
      <sheetName val="ARP"/>
      <sheetName val="CNG"/>
      <sheetName val="F&amp;W"/>
      <sheetName val="HNW"/>
      <sheetName val="IMO"/>
      <sheetName val="JMI"/>
      <sheetName val="MMH"/>
      <sheetName val="PRM"/>
      <sheetName val="RDA"/>
      <sheetName val="SRCE"/>
      <sheetName val="SPRG"/>
      <sheetName val="WNM"/>
      <sheetName val="RVDP"/>
      <sheetName val="SMTB"/>
      <sheetName val="TMN"/>
      <sheetName val="Portfolio"/>
      <sheetName val="LBO Summary"/>
      <sheetName val="Char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attrition"/>
      <sheetName val="Sheet1"/>
      <sheetName val="IncStmt"/>
      <sheetName val="CashFlow"/>
      <sheetName val="BalSht"/>
      <sheetName val="Allowance"/>
      <sheetName val="CashEBITDA"/>
      <sheetName val="FxdChg"/>
      <sheetName val="Ratio"/>
      <sheetName val="Module1"/>
      <sheetName val="LBO Summary"/>
      <sheetName val="Char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Tanning Assumptions"/>
      <sheetName val="Tanning P&amp;L"/>
      <sheetName val="Tanning Balance Sheets"/>
      <sheetName val="Tanning Cash Flows"/>
      <sheetName val="Meta P&amp;L"/>
      <sheetName val="Meta Balance Sheet"/>
      <sheetName val="Meta Cash Flow"/>
      <sheetName val="Combined Balance Sheet"/>
      <sheetName val="Combined P&amp;L"/>
      <sheetName val="Combined Cash Flow"/>
      <sheetName val="Shares"/>
      <sheetName val="EssRet"/>
      <sheetName val="Meta Segments"/>
      <sheetName val="Capex"/>
      <sheetName val="Sheet5"/>
      <sheetName val="D"/>
      <sheetName val="TRANSAC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"/>
      <sheetName val="Qual. Analysis"/>
      <sheetName val="Inputs"/>
      <sheetName val="Base"/>
      <sheetName val="EV_DCF Analysis"/>
      <sheetName val="VeCTOR Import"/>
      <sheetName val="Annual Summary"/>
    </sheetNames>
    <sheetDataSet>
      <sheetData sheetId="0" refreshError="1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lections"/>
      <sheetName val="Calcs"/>
      <sheetName val="Account"/>
      <sheetName val="OCTrends"/>
      <sheetName val="ICTrends"/>
      <sheetName val="DivTrends"/>
      <sheetName val="WARFTrends"/>
      <sheetName val="WARFFitchTrends"/>
      <sheetName val="WASTrends"/>
      <sheetName val="WACTrends"/>
      <sheetName val="WALTrends"/>
      <sheetName val="Debt Structure"/>
      <sheetName val="Fund Schedule"/>
      <sheetName val="Principal"/>
      <sheetName val="Ineligible"/>
      <sheetName val="S&amp;P Industry"/>
      <sheetName val="Trade Activity Summary"/>
      <sheetName val="Sale Activity Bond"/>
      <sheetName val="Sale Activity"/>
      <sheetName val="Buy Activity Bond"/>
      <sheetName val="Buy Activity"/>
      <sheetName val="Default"/>
      <sheetName val="CCC"/>
      <sheetName val="CCCBond"/>
      <sheetName val="Presentation Info 22 (Adam Silv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/>
      <sheetData sheetId="12"/>
      <sheetData sheetId="13" refreshError="1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UM YTD 2000"/>
      <sheetName val="AUM_Chart"/>
      <sheetName val="Cap Structure"/>
      <sheetName val="TOP10"/>
      <sheetName val="DefaultHistory"/>
      <sheetName val="DefaultedSecuritySummary"/>
      <sheetName val="DefaultedSecuritySummary2"/>
      <sheetName val="DefaultedSecurityData"/>
      <sheetName val="Actual vs Covenant"/>
      <sheetName val="APEX"/>
      <sheetName val="APEX_MR"/>
      <sheetName val="APEX_SR"/>
      <sheetName val="APEX_MI"/>
      <sheetName val="APEX_SI"/>
      <sheetName val="ELC1"/>
      <sheetName val="ELC1_SR"/>
      <sheetName val="ELC1_MR"/>
      <sheetName val="ELC1_FR"/>
      <sheetName val="ELC1_SI"/>
      <sheetName val="ELC1_MI"/>
      <sheetName val="ELC2"/>
      <sheetName val="ELC2_SR"/>
      <sheetName val="ELC2_FR"/>
      <sheetName val="ELC2_SI"/>
      <sheetName val="ELC2_MI"/>
      <sheetName val="ELC3"/>
      <sheetName val="ELC3_MR"/>
      <sheetName val="ELC3_SR"/>
      <sheetName val="ELC3_FR"/>
      <sheetName val="ELC3_MI"/>
      <sheetName val="ELC3_SI"/>
      <sheetName val="ELC4"/>
      <sheetName val="ELC4_MR"/>
      <sheetName val="ELC4_SR"/>
      <sheetName val="ELC4_MI"/>
      <sheetName val="ELC4_SI"/>
      <sheetName val="ELC5"/>
      <sheetName val="ELC5_MR"/>
      <sheetName val="ELC5_SR"/>
      <sheetName val="ELC5_MI"/>
      <sheetName val="ELC5_SI"/>
      <sheetName val="TRYN"/>
      <sheetName val="TRYN_MR"/>
      <sheetName val="TRYN_SR"/>
      <sheetName val="TRYN_SI"/>
      <sheetName val="TRYN_MI"/>
      <sheetName val="SaleData"/>
      <sheetName val="SH_Results"/>
      <sheetName val="SH_APEX"/>
      <sheetName val="SH_ELC1"/>
      <sheetName val="SH_ELC2"/>
      <sheetName val="SH_ELC3"/>
      <sheetName val="SH_ELC4"/>
      <sheetName val="SH_ELC5"/>
      <sheetName val="SH_TRY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EBITDA SUM"/>
      <sheetName val="RIF SUM"/>
      <sheetName val="OBS"/>
      <sheetName val="AFS"/>
      <sheetName val="MIS"/>
      <sheetName val="MBS"/>
      <sheetName val="MCF"/>
      <sheetName val="MC-MIS"/>
      <sheetName val="ED-MIS"/>
      <sheetName val="MED PUB-MIS"/>
      <sheetName val="OPT-MIS"/>
      <sheetName val="REV"/>
      <sheetName val="EXP"/>
      <sheetName val="MODR"/>
      <sheetName val="D&amp;A"/>
      <sheetName val="DEBT"/>
      <sheetName val="COVS"/>
      <sheetName val="DISPLAY"/>
      <sheetName val="CONTRO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&amp;U"/>
      <sheetName val="BS"/>
      <sheetName val="IS"/>
      <sheetName val="CFS"/>
      <sheetName val="REV"/>
      <sheetName val="RATIO"/>
      <sheetName val="RETURN"/>
      <sheetName val="CONTROL"/>
      <sheetName val="D&amp;A"/>
    </sheetNames>
    <sheetDataSet>
      <sheetData sheetId="0" refreshError="1"/>
      <sheetData sheetId="1"/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flows"/>
      <sheetName val="OC-IC"/>
      <sheetName val="Sources and Uses"/>
      <sheetName val="After Tax"/>
      <sheetName val="Tax Report"/>
      <sheetName val="Price Yield"/>
      <sheetName val="LIBOR"/>
      <sheetName val="Revolver"/>
      <sheetName val="PV Calc"/>
      <sheetName val="Module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TER DRIVER"/>
      <sheetName val="Sheet1"/>
      <sheetName val="Bcom IS-Mnthly"/>
      <sheetName val="Conversion Balance Sheet"/>
      <sheetName val="Bcom BS-Mnthly"/>
      <sheetName val="Bcom FAS95-Mnthly"/>
      <sheetName val="Bcom Rollup-Income"/>
      <sheetName val="Bcom Rollup- Balance"/>
      <sheetName val="Bcom Conversion Charge Adj"/>
      <sheetName val="Bcom Debt"/>
      <sheetName val="Bcom Fixed Assets"/>
      <sheetName val="Bcom Lines"/>
      <sheetName val="Bcom New AE Efficiency"/>
      <sheetName val="Bcom Rev"/>
      <sheetName val="Bcom COGS"/>
      <sheetName val="Bcom-SG&amp;A,Taxes"/>
      <sheetName val="Bcom HEADCOUNT"/>
      <sheetName val="MasterDriverTrucom"/>
      <sheetName val="TruCom IS"/>
      <sheetName val="TruCom BS"/>
      <sheetName val="TruCom FAS95-Mnthly"/>
      <sheetName val="TruCom Rev"/>
      <sheetName val="TruCom COGS"/>
      <sheetName val="TruCom Lines"/>
      <sheetName val="TruCom-SG&amp;A,Taxes"/>
      <sheetName val="TruCom HEADCOUNT"/>
      <sheetName val="TruCom Amort."/>
      <sheetName val="TruCom Fixed Assets"/>
      <sheetName val="TruCom Debt"/>
      <sheetName val="TruCom Debt worksheet"/>
      <sheetName val="Cap Tables"/>
      <sheetName val="TruCom Cash Acct. Recon."/>
      <sheetName val="MASTER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EBITDA SUM"/>
      <sheetName val="RIF SUM"/>
      <sheetName val="OBS"/>
      <sheetName val="AFS"/>
      <sheetName val="MIS"/>
      <sheetName val="MBS"/>
      <sheetName val="MCF"/>
      <sheetName val="MC-MIS"/>
      <sheetName val="ED-MIS"/>
      <sheetName val="MED PUB-MIS"/>
      <sheetName val="DISPLAY"/>
      <sheetName val="OPT-MIS"/>
      <sheetName val="REV"/>
      <sheetName val="EXP"/>
      <sheetName val="MODR"/>
      <sheetName val="D&amp;A"/>
      <sheetName val="DEBT"/>
      <sheetName val="COVS"/>
      <sheetName val="CONTR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CM 2000 Rev Chart"/>
      <sheetName val="MCM 2001 Rev Chart"/>
      <sheetName val="MCM 1999 P&amp;L"/>
      <sheetName val="MCM 2000 P&amp;L"/>
      <sheetName val="MCM 2001 Plan"/>
      <sheetName val="MCM 2000 and 2001 Plan"/>
      <sheetName val="GSN Hist IS"/>
      <sheetName val="GSN Hist BS"/>
      <sheetName val="CC 2000 Detail"/>
      <sheetName val="CC 2000 IS"/>
      <sheetName val="CC 2000 BS"/>
      <sheetName val="CC 2000 CF"/>
      <sheetName val="Crescent Mo IS 9-00 to 6-01"/>
      <sheetName val="Crescent Qtr IS Sep00-Jun01"/>
      <sheetName val="Target P&amp;L RollUp"/>
      <sheetName val="Target P&amp;L RollUp June"/>
      <sheetName val="Target P&amp;L Pct Sales"/>
      <sheetName val="MASTER DRIVERS"/>
      <sheetName val="Summary"/>
      <sheetName val="IS Sum"/>
      <sheetName val="BS Sum"/>
      <sheetName val="CF Sum"/>
      <sheetName val="Covenants and Capitalization"/>
      <sheetName val="Ret Earn Reconcile"/>
      <sheetName val="GSN IS Sum"/>
      <sheetName val="Maine IS Sum"/>
      <sheetName val="Conversion BS"/>
      <sheetName val="Key Ratios"/>
      <sheetName val="MCG vs Vaxa"/>
      <sheetName val="Exhibits1"/>
      <sheetName val="Exhibits2"/>
      <sheetName val="IS"/>
      <sheetName val="BS"/>
      <sheetName val="CF"/>
      <sheetName val="Debt"/>
      <sheetName val="Fixed Assets"/>
      <sheetName val="Intangibles"/>
      <sheetName val="DCF"/>
      <sheetName val="Initial TTM EBITDA by Cluster"/>
      <sheetName val="Geographic Concentration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anX"/>
      <sheetName val="Portfolio Input"/>
      <sheetName val="Warehouse Summary"/>
      <sheetName val="Investor Summary"/>
      <sheetName val="Industry"/>
      <sheetName val="Rating"/>
      <sheetName val="Broad Loan Category"/>
      <sheetName val="Diversity Calc"/>
      <sheetName val="Vlookup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s"/>
      <sheetName val="Pipeline"/>
      <sheetName val="Monthly Financials"/>
      <sheetName val="Quarterly Financials"/>
      <sheetName val="Yearly Financials"/>
      <sheetName val="Distributions"/>
      <sheetName val="Returns"/>
      <sheetName val="Operations"/>
      <sheetName val="Payroll"/>
      <sheetName val="Depreciation"/>
      <sheetName val="Debt"/>
      <sheetName val="Equit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s"/>
      <sheetName val="Model"/>
      <sheetName val="Portfolio Input"/>
    </sheetNames>
    <sheetDataSet>
      <sheetData sheetId="0"/>
      <sheetData sheetId="1" refreshError="1"/>
      <sheetData sheetId="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italisation"/>
      <sheetName val="Model"/>
      <sheetName val="KPIS"/>
      <sheetName val="RV"/>
      <sheetName val="Sheet1"/>
      <sheetName val="Sheet3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TransSum"/>
      <sheetName val="Consolidated"/>
      <sheetName val="JDPC Proj."/>
      <sheetName val="EG Proj."/>
      <sheetName val="KBB Proj. 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liminary"/>
      <sheetName val="Final"/>
    </sheetNames>
    <sheetDataSet>
      <sheetData sheetId="0" refreshError="1"/>
      <sheetData sheetId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01_05_v_Wicks_xls__01_05_v_Wic"/>
    </sheetNames>
    <sheetDataSet>
      <sheetData sheetId="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BO Summary"/>
      <sheetName val="Financials"/>
      <sheetName val="Debt"/>
      <sheetName val="Cap"/>
      <sheetName val="Consolidated"/>
      <sheetName val="Television"/>
      <sheetName val="Corporate"/>
      <sheetName val="Capex"/>
      <sheetName val="Tax"/>
      <sheetName val="Adj 2006"/>
      <sheetName val="Credit"/>
      <sheetName val="For Banks"/>
      <sheetName val="_01_05_v_Wicks_xls__01_05_v_Wi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M Yields"/>
      <sheetName val="Vector Output"/>
      <sheetName val="Portfolio"/>
      <sheetName val="Action Items"/>
      <sheetName val="Defense Comps"/>
      <sheetName val="Telecom"/>
      <sheetName val="WARF"/>
      <sheetName val="Template"/>
      <sheetName val="1"/>
      <sheetName val="2"/>
      <sheetName val="3"/>
      <sheetName val="4"/>
      <sheetName val="Credit Breakdown"/>
      <sheetName val="Auto EVs"/>
      <sheetName val="WARF Tracker"/>
      <sheetName val="Deal Multiples"/>
      <sheetName val="Status"/>
      <sheetName val="Output"/>
      <sheetName val="Graphs"/>
      <sheetName val="Inputs"/>
      <sheetName val="LBO Summary"/>
      <sheetName val="Tanning Assumptions"/>
      <sheetName val="IncStmt"/>
      <sheetName val="BS"/>
      <sheetName val="DCF"/>
    </sheetNames>
    <sheetDataSet>
      <sheetData sheetId="0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ly-by-night - Base"/>
      <sheetName val="Fly-by-night - problem 5"/>
      <sheetName val="Fly-by-night - problem 6"/>
      <sheetName val="Fly-by-night - Base with ltd"/>
      <sheetName val="Portfolio"/>
      <sheetName val="MASTER DRIVER"/>
      <sheetName val="LBO Summary"/>
      <sheetName val="IncStmt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BO Summary"/>
      <sheetName val="Financials"/>
      <sheetName val="Debt"/>
      <sheetName val="Cap"/>
      <sheetName val="Consolidated"/>
      <sheetName val="Television"/>
      <sheetName val="Corporate"/>
      <sheetName val="Capex"/>
      <sheetName val="Tax"/>
      <sheetName val="Credit"/>
      <sheetName val="Summary"/>
      <sheetName val="Segments"/>
      <sheetName val="Adjustments"/>
      <sheetName val="Fly-by-night - problem 5"/>
      <sheetName val="Input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al Info"/>
      <sheetName val="Qualitative Analysis"/>
      <sheetName val="Base"/>
      <sheetName val="EV_DCF Analysis"/>
      <sheetName val="VeCTOR Import"/>
      <sheetName val="Annual Summary"/>
      <sheetName val="LBO Summary"/>
      <sheetName val="Fly-by-night - problem 5"/>
      <sheetName val="Segment Info"/>
    </sheetNames>
    <sheetDataSet>
      <sheetData sheetId="0" refreshError="1"/>
      <sheetData sheetId="1"/>
      <sheetData sheetId="2"/>
      <sheetData sheetId="3" refreshError="1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"/>
      <sheetName val="SUMMARY"/>
      <sheetName val="TRANSACTION"/>
      <sheetName val="Capital Structure"/>
      <sheetName val="DEBT DETAIL"/>
      <sheetName val="Sheet2"/>
      <sheetName val="Flat EBITDA"/>
      <sheetName val="Scenario Fan"/>
      <sheetName val="Sheet1"/>
      <sheetName val="Sheet1 (2)"/>
      <sheetName val="Case Comparison"/>
      <sheetName val="INCOME STATEMENT"/>
      <sheetName val="BALANCE SHEET"/>
      <sheetName val="CASH FLOW"/>
      <sheetName val="World Cup"/>
      <sheetName val="Taxes"/>
      <sheetName val="CAPEX &amp; INTANG"/>
      <sheetName val="Drivers"/>
      <sheetName val="WORKING CAPITAL"/>
      <sheetName val="Buildup"/>
      <sheetName val="S&amp;U"/>
      <sheetName val="TV Build"/>
      <sheetName val="TV Group"/>
      <sheetName val="UVN"/>
      <sheetName val="TLF"/>
      <sheetName val="Gala"/>
      <sheetName val="TV Station Group"/>
      <sheetName val="UTG"/>
      <sheetName val="TTG"/>
      <sheetName val="Radio Operating Build"/>
      <sheetName val="Radio Drivers"/>
      <sheetName val="Consolidated"/>
      <sheetName val="Market Build"/>
      <sheetName val="Other"/>
      <sheetName val="Overview"/>
      <sheetName val="Margin Bridge"/>
      <sheetName val="Projections Detail"/>
      <sheetName val="VeCTOR Import"/>
      <sheetName val="LBO Summary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reciation"/>
      <sheetName val="S&amp;U"/>
      <sheetName val="Sheet1"/>
      <sheetName val="1998 assump"/>
      <sheetName val="1997 assump"/>
      <sheetName val="******"/>
      <sheetName val="1998 P &amp; L"/>
      <sheetName val="1999 P &amp; L"/>
      <sheetName val="summ people"/>
      <sheetName val="people"/>
      <sheetName val="Sheet2"/>
      <sheetName val="B"/>
      <sheetName val="Sheet5"/>
      <sheetName val="Employees"/>
      <sheetName val="Reconcile"/>
      <sheetName val="D"/>
      <sheetName val="TRANSACTION"/>
      <sheetName val="VeCTOR Impo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CovCalcs Table"/>
      <sheetName val="IS Table"/>
      <sheetName val="BS Table"/>
      <sheetName val="SoCF Table"/>
      <sheetName val="RE &amp; DIVS Table"/>
      <sheetName val="Debt Table"/>
      <sheetName val="RE &amp; DIVS"/>
      <sheetName val="Debt"/>
      <sheetName val="BalSh Comb"/>
      <sheetName val="SoCF Comb"/>
      <sheetName val="IS Comb"/>
      <sheetName val="Covenant Summary"/>
      <sheetName val="UF P&amp;L-Mth"/>
      <sheetName val="Sheet1"/>
      <sheetName val="MASTER"/>
      <sheetName val="FC P&amp;L-Mth"/>
      <sheetName val="Headcount"/>
      <sheetName val="New FC Contracts"/>
      <sheetName val="UF Bal-Mth"/>
      <sheetName val="FC Bal-Mth"/>
      <sheetName val="Fixed Assets"/>
      <sheetName val="G&amp;A"/>
      <sheetName val="FC Contracts 2001"/>
      <sheetName val="End Model"/>
      <sheetName val="Combnd Hist BS"/>
      <sheetName val="UF Bal Sheet"/>
      <sheetName val="FC Bal Sheet"/>
      <sheetName val="UF P&amp;L Hist"/>
      <sheetName val="FC P&amp;L Hist"/>
      <sheetName val="UF2000"/>
      <sheetName val="UF2001"/>
      <sheetName val="FC2000"/>
      <sheetName val="FC2001"/>
      <sheetName val="vs. 2001 actuals"/>
      <sheetName val="Sheet3"/>
      <sheetName val="Equity Table"/>
      <sheetName val="Card Count Table"/>
      <sheetName val="BS Tables"/>
      <sheetName val="Concentr Table"/>
      <sheetName val="BS Analysis"/>
      <sheetName val="Table 5"/>
      <sheetName val="Table 4"/>
      <sheetName val="Table 3"/>
      <sheetName val="Table 2"/>
      <sheetName val="Table 1"/>
      <sheetName val="DCF"/>
      <sheetName val="top50hotels"/>
      <sheetName val="Sheet5"/>
      <sheetName val="D"/>
      <sheetName val="MASTER DRIV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UM"/>
      <sheetName val="OBS - MEDCON"/>
      <sheetName val="OBS - REFI"/>
      <sheetName val="AFS"/>
      <sheetName val="MBS"/>
      <sheetName val="MMIS (2)"/>
      <sheetName val="WHEC"/>
      <sheetName val="MIS"/>
      <sheetName val="MCF"/>
      <sheetName val="PACING06"/>
      <sheetName val="D&amp;A"/>
      <sheetName val="D&amp;A (2)"/>
      <sheetName val="DEBT"/>
      <sheetName val="CHARTS&gt;&gt;&gt;"/>
      <sheetName val="S&amp;U_CAP_MERGER"/>
      <sheetName val="S&amp;U_CAP_REFI"/>
      <sheetName val="MEDCON IS"/>
      <sheetName val="SUM IS"/>
      <sheetName val="PF IS"/>
      <sheetName val="PF BS"/>
      <sheetName val="COVS"/>
      <sheetName val="ECF"/>
      <sheetName val="Bridge"/>
      <sheetName val="HoldCo INT"/>
      <sheetName val="PACING05"/>
      <sheetName val="MASTER"/>
    </sheetNames>
    <sheetDataSet>
      <sheetData sheetId="0"/>
      <sheetData sheetId="1" refreshError="1"/>
      <sheetData sheetId="2"/>
      <sheetData sheetId="3" refreshError="1"/>
      <sheetData sheetId="4"/>
      <sheetData sheetId="5"/>
      <sheetData sheetId="6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EBITDA SUM"/>
      <sheetName val="RIF SUM"/>
      <sheetName val="OBS"/>
      <sheetName val="AFS"/>
      <sheetName val="MIS"/>
      <sheetName val="MBS"/>
      <sheetName val="MCF"/>
      <sheetName val="MC-MIS"/>
      <sheetName val="ED-MIS"/>
      <sheetName val="MED PUB-MIS"/>
      <sheetName val="OPT-MIS"/>
      <sheetName val="REV"/>
      <sheetName val="EXP"/>
      <sheetName val="MODR"/>
      <sheetName val="D&amp;A"/>
      <sheetName val="DEBT"/>
      <sheetName val="COVS"/>
      <sheetName val="CONTROL"/>
      <sheetName val="OBS - REFI"/>
      <sheetName val="WHE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UM"/>
      <sheetName val="AFS"/>
      <sheetName val="MIS"/>
      <sheetName val="MBS"/>
      <sheetName val="MCF"/>
      <sheetName val="DEBT"/>
      <sheetName val="D&amp;A"/>
      <sheetName val="COVS_ACTUAL"/>
      <sheetName val="COVS"/>
      <sheetName val="PACING05"/>
      <sheetName val="PACING06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/>
      <sheetData sheetId="9"/>
      <sheetData sheetId="10" refreshError="1"/>
      <sheetData sheetId="11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SCF"/>
      <sheetName val="DCFnew"/>
      <sheetName val="COVS_ACTUAL"/>
      <sheetName val="D&amp;A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apitalisation"/>
      <sheetName val="Model"/>
      <sheetName val="KPIS"/>
    </sheetNames>
    <sheetDataSet>
      <sheetData sheetId="0" refreshError="1"/>
      <sheetData sheetId="1" refreshError="1">
        <row r="4">
          <cell r="AH4" t="str">
            <v>Q3</v>
          </cell>
        </row>
        <row r="6">
          <cell r="AH6">
            <v>18147.68</v>
          </cell>
        </row>
        <row r="9">
          <cell r="AH9">
            <v>5125.4799999999996</v>
          </cell>
        </row>
      </sheetData>
      <sheetData sheetId="2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RISIL" id="{AF4DA855-950F-4FAB-A52F-7B1EF8E9AED9}" userId="CRISIL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A144" dT="2024-10-30T07:10:57.42" personId="{AF4DA855-950F-4FAB-A52F-7B1EF8E9AED9}" id="{6E4DAE06-1605-4F3D-A4DF-329C7DB1DD32}">
    <text>Added to match it with the reported number</text>
  </threadedComment>
  <threadedComment ref="BB144" dT="2024-10-30T07:10:57.42" personId="{AF4DA855-950F-4FAB-A52F-7B1EF8E9AED9}" id="{1E939912-3BA2-4FDB-86AD-2FBA893FACCE}">
    <text>Added to match it with the reported number</text>
  </threadedComment>
  <threadedComment ref="BC144" dT="2024-10-30T07:10:57.42" personId="{AF4DA855-950F-4FAB-A52F-7B1EF8E9AED9}" id="{5DDBF8A5-1819-4B86-B8F4-3849C04EAACA}">
    <text>Added to match it with the reported number</text>
  </threadedComment>
  <threadedComment ref="BG144" dT="2024-10-30T07:10:57.42" personId="{AF4DA855-950F-4FAB-A52F-7B1EF8E9AED9}" id="{6AB14C0B-06C6-43AA-A51B-6081AF2CBFF6}">
    <text>Added to match it with the reported number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3:N1419"/>
  <sheetViews>
    <sheetView showGridLines="0" tabSelected="1" zoomScale="85" zoomScaleNormal="85" workbookViewId="0">
      <selection activeCell="S4" sqref="S4"/>
    </sheetView>
  </sheetViews>
  <sheetFormatPr defaultColWidth="11.42578125" defaultRowHeight="12.75"/>
  <cols>
    <col min="1" max="1" width="6.28515625" style="30" customWidth="1"/>
    <col min="2" max="2" width="50.7109375" style="30" customWidth="1"/>
    <col min="3" max="7" width="12.7109375" style="30" customWidth="1"/>
    <col min="8" max="8" width="50.7109375" style="30" customWidth="1"/>
    <col min="9" max="12" width="12.7109375" style="30" customWidth="1"/>
    <col min="13" max="16384" width="11.42578125" style="30"/>
  </cols>
  <sheetData>
    <row r="3" spans="1:11">
      <c r="A3" s="59" t="s">
        <v>0</v>
      </c>
      <c r="H3" s="30" t="s">
        <v>1</v>
      </c>
      <c r="I3" s="354">
        <f>Model!$R$250</f>
        <v>2.6356225472237673E-2</v>
      </c>
      <c r="J3" s="92"/>
    </row>
    <row r="4" spans="1:11">
      <c r="H4" s="30" t="s">
        <v>2</v>
      </c>
      <c r="I4" s="354">
        <f>Model!$R$249</f>
        <v>2.5300331698943475E-2</v>
      </c>
      <c r="J4" s="92"/>
    </row>
    <row r="5" spans="1:11">
      <c r="H5" s="59"/>
      <c r="I5" s="92"/>
    </row>
    <row r="6" spans="1:11" ht="13.5" thickBot="1">
      <c r="H6" s="184"/>
      <c r="I6" s="92"/>
    </row>
    <row r="7" spans="1:11">
      <c r="B7" s="351" t="s">
        <v>3</v>
      </c>
      <c r="C7" s="352" t="s">
        <v>4</v>
      </c>
      <c r="D7" s="352" t="s">
        <v>5</v>
      </c>
      <c r="E7" s="353" t="s">
        <v>6</v>
      </c>
      <c r="F7" s="353" t="s">
        <v>7</v>
      </c>
      <c r="G7" s="59"/>
      <c r="H7" s="321" t="s">
        <v>8</v>
      </c>
      <c r="I7" s="282" t="s">
        <v>9</v>
      </c>
    </row>
    <row r="8" spans="1:11">
      <c r="B8" s="161" t="s">
        <v>10</v>
      </c>
      <c r="C8" s="152">
        <f>Model!$BH$124</f>
        <v>12575.467000000001</v>
      </c>
      <c r="D8" s="152">
        <f>C8*I$3</f>
        <v>331.44184367068431</v>
      </c>
      <c r="E8" s="95"/>
      <c r="F8" s="95"/>
      <c r="G8" s="95"/>
      <c r="H8" s="67" t="s">
        <v>11</v>
      </c>
      <c r="I8" s="318">
        <v>169781</v>
      </c>
    </row>
    <row r="9" spans="1:11" ht="13.5" thickBot="1">
      <c r="B9" s="161"/>
      <c r="C9" s="152"/>
      <c r="D9" s="152"/>
      <c r="E9" s="95"/>
      <c r="F9" s="95"/>
      <c r="G9" s="95"/>
      <c r="H9" s="319" t="s">
        <v>12</v>
      </c>
      <c r="I9" s="355" t="s">
        <v>13</v>
      </c>
    </row>
    <row r="10" spans="1:11" ht="13.5" thickBot="1">
      <c r="B10" s="161" t="s">
        <v>14</v>
      </c>
      <c r="C10" s="152">
        <f>SUM(Model!$BH$125:$BH$145)</f>
        <v>204011</v>
      </c>
      <c r="D10" s="152">
        <f>C10*I$3</f>
        <v>5376.9599148166799</v>
      </c>
      <c r="E10" s="95"/>
      <c r="F10" s="95"/>
      <c r="G10" s="96"/>
    </row>
    <row r="11" spans="1:11" ht="13.5" thickBot="1">
      <c r="B11" s="162" t="s">
        <v>15</v>
      </c>
      <c r="C11" s="151">
        <f>C10</f>
        <v>204011</v>
      </c>
      <c r="D11" s="151">
        <f>D10</f>
        <v>5376.9599148166799</v>
      </c>
      <c r="E11" s="163">
        <f>C11/C22</f>
        <v>6.1445394855731585</v>
      </c>
      <c r="F11" s="163">
        <f>D11/D22</f>
        <v>6.4009780595720898</v>
      </c>
      <c r="G11" s="96"/>
      <c r="H11" s="193" t="s">
        <v>16</v>
      </c>
      <c r="I11" s="356">
        <f>(C19-C8)/C22</f>
        <v>5.1135873742545623</v>
      </c>
    </row>
    <row r="12" spans="1:11">
      <c r="B12" s="166"/>
      <c r="C12" s="77"/>
      <c r="D12" s="77"/>
      <c r="E12" s="167"/>
      <c r="F12" s="167"/>
      <c r="G12" s="96"/>
    </row>
    <row r="13" spans="1:11">
      <c r="B13" s="161" t="s">
        <v>17</v>
      </c>
      <c r="C13" s="152">
        <f>Model!$BH$146</f>
        <v>22228</v>
      </c>
      <c r="D13" s="152">
        <f>C13*I$3</f>
        <v>585.84617979689904</v>
      </c>
      <c r="E13" s="95"/>
      <c r="F13" s="95"/>
      <c r="G13" s="96"/>
    </row>
    <row r="14" spans="1:11">
      <c r="B14" s="161" t="s">
        <v>18</v>
      </c>
      <c r="C14" s="152">
        <f>Model!$BH$147</f>
        <v>18269</v>
      </c>
      <c r="D14" s="152">
        <f>C14*I$3</f>
        <v>481.50188315231003</v>
      </c>
      <c r="E14" s="95"/>
      <c r="F14" s="95"/>
      <c r="G14" s="96"/>
      <c r="H14" s="284" t="s">
        <v>8</v>
      </c>
      <c r="I14" s="277" t="s">
        <v>9</v>
      </c>
      <c r="J14" s="277" t="s">
        <v>19</v>
      </c>
      <c r="K14" s="285" t="s">
        <v>6</v>
      </c>
    </row>
    <row r="15" spans="1:11">
      <c r="B15" s="161" t="s">
        <v>20</v>
      </c>
      <c r="C15" s="152">
        <f>Model!$BH$148</f>
        <v>4735</v>
      </c>
      <c r="D15" s="152">
        <f>C15*I$3</f>
        <v>124.79672761104538</v>
      </c>
      <c r="E15" s="95"/>
      <c r="F15" s="95"/>
      <c r="G15" s="96"/>
      <c r="H15" s="161" t="s">
        <v>21</v>
      </c>
      <c r="I15" s="217">
        <v>12575.467000000001</v>
      </c>
      <c r="J15" s="152">
        <f>I15*$I$3</f>
        <v>331.44184367068431</v>
      </c>
      <c r="K15" s="95"/>
    </row>
    <row r="16" spans="1:11">
      <c r="B16" s="161"/>
      <c r="C16" s="152"/>
      <c r="D16" s="152"/>
      <c r="E16" s="95"/>
      <c r="F16" s="95"/>
      <c r="G16" s="96"/>
      <c r="H16" s="161" t="s">
        <v>22</v>
      </c>
      <c r="I16" s="217">
        <v>155276.18299999999</v>
      </c>
      <c r="J16" s="152">
        <f t="shared" ref="J16:J17" si="0">I16*$I$3</f>
        <v>4092.494089616438</v>
      </c>
      <c r="K16" s="95"/>
    </row>
    <row r="17" spans="2:11">
      <c r="B17" s="162" t="s">
        <v>23</v>
      </c>
      <c r="C17" s="151">
        <f>SUM(C13:C15)+C11+C8</f>
        <v>261818.467</v>
      </c>
      <c r="D17" s="151">
        <f>SUM(D13:D15)+D11+D8</f>
        <v>6900.546549047619</v>
      </c>
      <c r="E17" s="163">
        <f>+C17/C22</f>
        <v>7.8856233660622852</v>
      </c>
      <c r="F17" s="163">
        <f>+D17/D22</f>
        <v>8.2147250043272138</v>
      </c>
      <c r="H17" s="161" t="s">
        <v>24</v>
      </c>
      <c r="I17" s="217">
        <v>81391.130999999994</v>
      </c>
      <c r="J17" s="152">
        <f t="shared" si="0"/>
        <v>2145.163000076433</v>
      </c>
      <c r="K17" s="95"/>
    </row>
    <row r="18" spans="2:11">
      <c r="B18" s="164" t="s">
        <v>25</v>
      </c>
      <c r="C18" s="149">
        <f>Model!$BH$150</f>
        <v>79461.672000000006</v>
      </c>
      <c r="D18" s="152">
        <f>C18*I$3</f>
        <v>2094.3097436329954</v>
      </c>
      <c r="E18" s="165"/>
      <c r="F18" s="165"/>
      <c r="H18" s="162" t="s">
        <v>23</v>
      </c>
      <c r="I18" s="151">
        <f>SUM(I15:I17)</f>
        <v>249242.78099999999</v>
      </c>
      <c r="J18" s="151">
        <f>SUM(J15:J17)</f>
        <v>6569.0989333635553</v>
      </c>
      <c r="K18" s="163">
        <f>+I18/I24</f>
        <v>7.5068604602132396</v>
      </c>
    </row>
    <row r="19" spans="2:11">
      <c r="B19" s="162" t="s">
        <v>26</v>
      </c>
      <c r="C19" s="151">
        <f>+C17-C18</f>
        <v>182356.79499999998</v>
      </c>
      <c r="D19" s="151">
        <f>+D17-D18</f>
        <v>4806.2368054146236</v>
      </c>
      <c r="E19" s="163">
        <f>+C19/C22</f>
        <v>5.4923436841154141</v>
      </c>
      <c r="F19" s="163">
        <f>+D19/D22</f>
        <v>5.7215632677104935</v>
      </c>
      <c r="H19" s="164" t="s">
        <v>25</v>
      </c>
      <c r="I19" s="149">
        <f>C18</f>
        <v>79461.672000000006</v>
      </c>
      <c r="J19" s="152">
        <f>I19*$I$3</f>
        <v>2094.3097436329954</v>
      </c>
      <c r="K19" s="165"/>
    </row>
    <row r="20" spans="2:11">
      <c r="B20" s="164" t="s">
        <v>27</v>
      </c>
      <c r="C20" s="73">
        <f>Model!$BH$162</f>
        <v>78357.091</v>
      </c>
      <c r="D20" s="152">
        <f>C20*I$3</f>
        <v>2065.1971577446452</v>
      </c>
      <c r="E20" s="165"/>
      <c r="F20" s="165"/>
      <c r="H20" s="164"/>
      <c r="I20" s="149"/>
      <c r="J20" s="154"/>
      <c r="K20" s="165"/>
    </row>
    <row r="21" spans="2:11">
      <c r="B21" s="166" t="s">
        <v>28</v>
      </c>
      <c r="C21" s="77">
        <f>C17+C20</f>
        <v>340175.55800000002</v>
      </c>
      <c r="D21" s="77">
        <f>D17+D20</f>
        <v>8965.7437067922638</v>
      </c>
      <c r="E21" s="167"/>
      <c r="F21" s="167"/>
      <c r="H21" s="162" t="s">
        <v>26</v>
      </c>
      <c r="I21" s="151">
        <f>+I18-I19</f>
        <v>169781.109</v>
      </c>
      <c r="J21" s="151">
        <f>+J18-J19</f>
        <v>4474.7891897305599</v>
      </c>
      <c r="K21" s="163">
        <f>+I21/I24</f>
        <v>5.1135807782663694</v>
      </c>
    </row>
    <row r="22" spans="2:11">
      <c r="B22" s="166" t="s">
        <v>29</v>
      </c>
      <c r="C22" s="121">
        <f>Model!$BH$95</f>
        <v>33202</v>
      </c>
      <c r="D22" s="121">
        <f>C22*I4</f>
        <v>840.02161306832124</v>
      </c>
      <c r="E22" s="166"/>
      <c r="F22" s="164"/>
      <c r="H22" s="164" t="s">
        <v>27</v>
      </c>
      <c r="I22" s="73">
        <f>C20</f>
        <v>78357.091</v>
      </c>
      <c r="J22" s="152">
        <f>I22*$I$3</f>
        <v>2065.1971577446452</v>
      </c>
      <c r="K22" s="165"/>
    </row>
    <row r="23" spans="2:11">
      <c r="B23" s="97" t="s">
        <v>30</v>
      </c>
      <c r="C23" s="98">
        <f>C17-Model!$BH$153</f>
        <v>0</v>
      </c>
      <c r="H23" s="166" t="s">
        <v>28</v>
      </c>
      <c r="I23" s="77">
        <f>I18+I22</f>
        <v>327599.87199999997</v>
      </c>
      <c r="J23" s="77">
        <f>J18+J22</f>
        <v>8634.2960911082009</v>
      </c>
      <c r="K23" s="167"/>
    </row>
    <row r="24" spans="2:11">
      <c r="H24" s="166" t="s">
        <v>29</v>
      </c>
      <c r="I24" s="121">
        <f>C22</f>
        <v>33202</v>
      </c>
      <c r="J24" s="357">
        <f>I24*$I$4</f>
        <v>840.02161306832124</v>
      </c>
      <c r="K24" s="164"/>
    </row>
    <row r="25" spans="2:11">
      <c r="F25" s="244"/>
    </row>
    <row r="26" spans="2:11">
      <c r="B26" s="250" t="s">
        <v>31</v>
      </c>
      <c r="C26" s="251">
        <f>C19+Model!$BH$161</f>
        <v>253479.83499999996</v>
      </c>
      <c r="H26" s="162" t="s">
        <v>32</v>
      </c>
      <c r="I26" s="218">
        <v>4.92</v>
      </c>
    </row>
    <row r="27" spans="2:11">
      <c r="B27" s="250" t="s">
        <v>33</v>
      </c>
      <c r="C27" s="252">
        <f>C26/C22</f>
        <v>7.6344748810312622</v>
      </c>
    </row>
    <row r="29" spans="2:11" ht="13.5" thickBot="1"/>
    <row r="30" spans="2:11">
      <c r="B30" s="279" t="s">
        <v>34</v>
      </c>
      <c r="C30" s="280" t="str">
        <f>C7</f>
        <v>TRY millions</v>
      </c>
      <c r="D30" s="280" t="str">
        <f>D7</f>
        <v>USD millions</v>
      </c>
    </row>
    <row r="31" spans="2:11">
      <c r="B31" s="67" t="s">
        <v>35</v>
      </c>
      <c r="C31" s="213">
        <f>C18</f>
        <v>79461.672000000006</v>
      </c>
      <c r="D31" s="213">
        <f>C31*I3</f>
        <v>2094.3097436329954</v>
      </c>
    </row>
    <row r="32" spans="2:11" ht="13.5" thickBot="1">
      <c r="B32" s="210" t="s">
        <v>36</v>
      </c>
      <c r="C32" s="214">
        <f>SUM(C31:C31)</f>
        <v>79461.672000000006</v>
      </c>
      <c r="D32" s="214">
        <f>SUM(D31:D31)</f>
        <v>2094.3097436329954</v>
      </c>
    </row>
    <row r="34" spans="2:7" ht="13.5" thickBot="1">
      <c r="C34" s="32"/>
    </row>
    <row r="35" spans="2:7">
      <c r="B35" s="281" t="s">
        <v>37</v>
      </c>
      <c r="C35" s="282" t="str">
        <f>C30</f>
        <v>TRY millions</v>
      </c>
      <c r="D35" s="282" t="str">
        <f>D30</f>
        <v>USD millions</v>
      </c>
      <c r="E35" s="283" t="s">
        <v>38</v>
      </c>
    </row>
    <row r="36" spans="2:7">
      <c r="B36" s="189">
        <v>2026</v>
      </c>
      <c r="C36" s="215">
        <f>E36*($C$17-$C$8)</f>
        <v>144560.94</v>
      </c>
      <c r="D36" s="215">
        <f>C36*$I$3</f>
        <v>3810.080729118622</v>
      </c>
      <c r="E36" s="220">
        <v>0.57999999999999996</v>
      </c>
      <c r="F36" s="47"/>
      <c r="G36" s="183"/>
    </row>
    <row r="37" spans="2:7">
      <c r="B37" s="189">
        <v>2027</v>
      </c>
      <c r="C37" s="215">
        <f t="shared" ref="C37:C39" si="1">E37*($C$17-$C$8)</f>
        <v>62310.75</v>
      </c>
      <c r="D37" s="215">
        <f t="shared" ref="D37:D39" si="2">C37*$I$3</f>
        <v>1642.2761763442336</v>
      </c>
      <c r="E37" s="220">
        <v>0.25</v>
      </c>
      <c r="F37" s="47"/>
      <c r="G37" s="183"/>
    </row>
    <row r="38" spans="2:7">
      <c r="B38" s="189">
        <v>2028</v>
      </c>
      <c r="C38" s="215">
        <f t="shared" si="1"/>
        <v>27416.73</v>
      </c>
      <c r="D38" s="215">
        <f t="shared" si="2"/>
        <v>722.60151759146277</v>
      </c>
      <c r="E38" s="220">
        <v>0.11</v>
      </c>
      <c r="F38" s="47"/>
      <c r="G38" s="183"/>
    </row>
    <row r="39" spans="2:7" ht="13.5" thickBot="1">
      <c r="B39" s="189" t="s">
        <v>39</v>
      </c>
      <c r="C39" s="215">
        <f t="shared" si="1"/>
        <v>14954.58</v>
      </c>
      <c r="D39" s="215">
        <f t="shared" si="2"/>
        <v>394.14628232261606</v>
      </c>
      <c r="E39" s="220">
        <v>0.06</v>
      </c>
      <c r="F39" s="47"/>
      <c r="G39" s="183"/>
    </row>
    <row r="40" spans="2:7" ht="13.5" thickBot="1">
      <c r="B40" s="238" t="s">
        <v>40</v>
      </c>
      <c r="C40" s="216">
        <f>SUM(C36:C39)</f>
        <v>249243</v>
      </c>
      <c r="D40" s="216">
        <f>SUM(D36:D39)</f>
        <v>6569.1047053769335</v>
      </c>
      <c r="E40" s="207">
        <f>SUM(E36:E39)</f>
        <v>1</v>
      </c>
      <c r="G40" s="183"/>
    </row>
    <row r="41" spans="2:7">
      <c r="B41" s="97" t="s">
        <v>30</v>
      </c>
      <c r="C41" s="317">
        <f>C40-C15-C14-C13-C10</f>
        <v>0</v>
      </c>
      <c r="D41" s="171"/>
      <c r="E41" s="81"/>
      <c r="G41" s="183"/>
    </row>
    <row r="42" spans="2:7">
      <c r="B42" s="97"/>
      <c r="C42" s="317"/>
      <c r="D42" s="171"/>
      <c r="E42" s="81"/>
      <c r="G42" s="183"/>
    </row>
    <row r="43" spans="2:7" ht="13.5" thickBot="1">
      <c r="B43" s="97"/>
      <c r="C43" s="317"/>
      <c r="D43" s="171"/>
      <c r="E43" s="81"/>
      <c r="G43" s="183"/>
    </row>
    <row r="44" spans="2:7">
      <c r="B44" s="281" t="s">
        <v>41</v>
      </c>
      <c r="C44" s="282" t="str">
        <f>C35</f>
        <v>TRY millions</v>
      </c>
      <c r="D44" s="282" t="str">
        <f>D35</f>
        <v>USD millions</v>
      </c>
      <c r="E44" s="282" t="str">
        <f>E35</f>
        <v>% of total</v>
      </c>
      <c r="G44" s="183"/>
    </row>
    <row r="45" spans="2:7">
      <c r="B45" s="189" t="s">
        <v>42</v>
      </c>
      <c r="C45" s="215">
        <f>E45*($C$17-$C$8)</f>
        <v>139576.08000000002</v>
      </c>
      <c r="D45" s="215">
        <f t="shared" ref="D45:D48" si="3">C45*$I$3</f>
        <v>3678.6986350110838</v>
      </c>
      <c r="E45" s="220">
        <v>0.56000000000000005</v>
      </c>
      <c r="G45" s="183"/>
    </row>
    <row r="46" spans="2:7">
      <c r="B46" s="189" t="s">
        <v>43</v>
      </c>
      <c r="C46" s="215">
        <f t="shared" ref="C46:C48" si="4">E46*($C$17-$C$8)</f>
        <v>34894.020000000004</v>
      </c>
      <c r="D46" s="215">
        <f t="shared" si="3"/>
        <v>919.67465875277094</v>
      </c>
      <c r="E46" s="220">
        <v>0.14000000000000001</v>
      </c>
      <c r="G46" s="183"/>
    </row>
    <row r="47" spans="2:7">
      <c r="B47" s="189" t="s">
        <v>44</v>
      </c>
      <c r="C47" s="215">
        <f t="shared" si="4"/>
        <v>44863.74</v>
      </c>
      <c r="D47" s="215">
        <f t="shared" si="3"/>
        <v>1182.4388469678481</v>
      </c>
      <c r="E47" s="220">
        <v>0.18</v>
      </c>
      <c r="G47" s="183"/>
    </row>
    <row r="48" spans="2:7" ht="13.5" thickBot="1">
      <c r="B48" s="189" t="s">
        <v>45</v>
      </c>
      <c r="C48" s="215">
        <f t="shared" si="4"/>
        <v>29909.16</v>
      </c>
      <c r="D48" s="215">
        <f t="shared" si="3"/>
        <v>788.29256464523212</v>
      </c>
      <c r="E48" s="220">
        <v>0.12</v>
      </c>
      <c r="G48" s="183"/>
    </row>
    <row r="49" spans="2:7" ht="13.5" thickBot="1">
      <c r="B49" s="238" t="s">
        <v>40</v>
      </c>
      <c r="C49" s="216">
        <f>SUM(C45:C48)</f>
        <v>249243.00000000003</v>
      </c>
      <c r="D49" s="216">
        <f>SUM(D45:D48)</f>
        <v>6569.1047053769344</v>
      </c>
      <c r="E49" s="207">
        <f>SUM(E45:E48)</f>
        <v>1</v>
      </c>
      <c r="G49" s="183"/>
    </row>
    <row r="50" spans="2:7">
      <c r="B50" s="97" t="s">
        <v>30</v>
      </c>
      <c r="C50" s="317">
        <f>C49-C40</f>
        <v>0</v>
      </c>
      <c r="D50" s="171"/>
      <c r="E50" s="81"/>
    </row>
    <row r="52" spans="2:7" ht="13.5" thickBot="1"/>
    <row r="53" spans="2:7">
      <c r="B53" s="281" t="s">
        <v>46</v>
      </c>
      <c r="C53" s="282" t="str">
        <f>C44</f>
        <v>TRY millions</v>
      </c>
      <c r="D53" s="282" t="str">
        <f>D44</f>
        <v>USD millions</v>
      </c>
      <c r="E53" s="282" t="str">
        <f>E44</f>
        <v>% of total</v>
      </c>
    </row>
    <row r="54" spans="2:7">
      <c r="B54" s="189" t="s">
        <v>47</v>
      </c>
      <c r="C54" s="215">
        <f>E54*($C$17-$C$8)</f>
        <v>159515.51999999999</v>
      </c>
      <c r="D54" s="215">
        <f>C54*$I$72</f>
        <v>4204.2270114412377</v>
      </c>
      <c r="E54" s="220">
        <v>0.64</v>
      </c>
    </row>
    <row r="55" spans="2:7" ht="13.5" thickBot="1">
      <c r="B55" s="189" t="s">
        <v>48</v>
      </c>
      <c r="C55" s="215">
        <f>E55*($C$17-$C$8)</f>
        <v>89727.48</v>
      </c>
      <c r="D55" s="215">
        <f t="shared" ref="D55" si="5">C55*$I$72</f>
        <v>2364.8776939356962</v>
      </c>
      <c r="E55" s="220">
        <v>0.36</v>
      </c>
    </row>
    <row r="56" spans="2:7" ht="13.5" thickBot="1">
      <c r="B56" s="238" t="s">
        <v>40</v>
      </c>
      <c r="C56" s="216">
        <f>SUM(C54:C55)</f>
        <v>249243</v>
      </c>
      <c r="D56" s="216">
        <f>SUM(D54:D55)</f>
        <v>6569.1047053769344</v>
      </c>
      <c r="E56" s="207">
        <f>SUM(E54:E55)</f>
        <v>1</v>
      </c>
    </row>
    <row r="57" spans="2:7">
      <c r="B57" s="97" t="s">
        <v>30</v>
      </c>
      <c r="C57" s="317">
        <f>C56-C49</f>
        <v>0</v>
      </c>
      <c r="D57" s="171"/>
      <c r="E57" s="81"/>
    </row>
    <row r="59" spans="2:7" ht="13.5" thickBot="1"/>
    <row r="60" spans="2:7">
      <c r="B60" s="281" t="s">
        <v>49</v>
      </c>
      <c r="C60" s="282" t="str">
        <f>C44</f>
        <v>TRY millions</v>
      </c>
      <c r="D60" s="282" t="str">
        <f>D44</f>
        <v>USD millions</v>
      </c>
      <c r="E60" s="282" t="str">
        <f>E44</f>
        <v>% of total</v>
      </c>
    </row>
    <row r="61" spans="2:7">
      <c r="B61" s="189" t="s">
        <v>42</v>
      </c>
      <c r="C61" s="215">
        <f>E61*($C$18)</f>
        <v>37346.985840000001</v>
      </c>
      <c r="D61" s="215">
        <f t="shared" ref="D61:D64" si="6">C61*$I$72</f>
        <v>984.32557950750777</v>
      </c>
      <c r="E61" s="220">
        <v>0.47</v>
      </c>
    </row>
    <row r="62" spans="2:7">
      <c r="B62" s="189" t="s">
        <v>43</v>
      </c>
      <c r="C62" s="215">
        <f t="shared" ref="C62:C64" si="7">E62*($C$18)</f>
        <v>10330.017360000002</v>
      </c>
      <c r="D62" s="215">
        <f t="shared" si="6"/>
        <v>272.26026667228939</v>
      </c>
      <c r="E62" s="220">
        <v>0.13</v>
      </c>
    </row>
    <row r="63" spans="2:7">
      <c r="B63" s="189" t="s">
        <v>44</v>
      </c>
      <c r="C63" s="215">
        <f t="shared" si="7"/>
        <v>13508.484240000002</v>
      </c>
      <c r="D63" s="215">
        <f t="shared" si="6"/>
        <v>356.03265641760919</v>
      </c>
      <c r="E63" s="220">
        <v>0.17</v>
      </c>
    </row>
    <row r="64" spans="2:7" ht="13.5" thickBot="1">
      <c r="B64" s="189" t="s">
        <v>45</v>
      </c>
      <c r="C64" s="215">
        <f t="shared" si="7"/>
        <v>18276.184560000002</v>
      </c>
      <c r="D64" s="215">
        <f t="shared" si="6"/>
        <v>481.69124103558892</v>
      </c>
      <c r="E64" s="220">
        <v>0.23</v>
      </c>
    </row>
    <row r="65" spans="1:11" ht="13.5" thickBot="1">
      <c r="B65" s="238" t="s">
        <v>40</v>
      </c>
      <c r="C65" s="216">
        <f>SUM(C61:C64)</f>
        <v>79461.67200000002</v>
      </c>
      <c r="D65" s="216">
        <f>SUM(D61:D64)</f>
        <v>2094.3097436329949</v>
      </c>
      <c r="E65" s="207">
        <f>SUM(E61:E64)</f>
        <v>1</v>
      </c>
    </row>
    <row r="66" spans="1:11">
      <c r="B66" s="97" t="s">
        <v>30</v>
      </c>
      <c r="C66" s="317">
        <f>C65-C18</f>
        <v>0</v>
      </c>
      <c r="D66" s="171"/>
      <c r="E66" s="81"/>
    </row>
    <row r="72" spans="1:11">
      <c r="A72" s="59" t="s">
        <v>50</v>
      </c>
      <c r="H72" s="59" t="s">
        <v>51</v>
      </c>
      <c r="I72" s="92">
        <f>Model!$R$250</f>
        <v>2.6356225472237673E-2</v>
      </c>
      <c r="J72" s="92"/>
    </row>
    <row r="73" spans="1:11">
      <c r="H73" s="59" t="s">
        <v>52</v>
      </c>
      <c r="I73" s="92">
        <f>Model!$R$249</f>
        <v>2.5300331698943475E-2</v>
      </c>
      <c r="J73" s="92"/>
    </row>
    <row r="74" spans="1:11">
      <c r="H74" s="59"/>
      <c r="I74" s="92"/>
    </row>
    <row r="75" spans="1:11" ht="13.5" thickBot="1">
      <c r="H75" s="184"/>
      <c r="I75" s="92"/>
    </row>
    <row r="76" spans="1:11" ht="25.5">
      <c r="B76" s="276" t="s">
        <v>53</v>
      </c>
      <c r="C76" s="277" t="s">
        <v>4</v>
      </c>
      <c r="D76" s="277" t="s">
        <v>5</v>
      </c>
      <c r="E76" s="278" t="s">
        <v>6</v>
      </c>
      <c r="F76" s="278" t="s">
        <v>7</v>
      </c>
      <c r="G76" s="59"/>
      <c r="H76" s="321" t="s">
        <v>8</v>
      </c>
      <c r="I76" s="282" t="s">
        <v>9</v>
      </c>
    </row>
    <row r="77" spans="1:11">
      <c r="B77" s="161"/>
      <c r="C77" s="152"/>
      <c r="D77" s="152"/>
      <c r="E77" s="95"/>
      <c r="F77" s="95"/>
      <c r="G77" s="95"/>
      <c r="H77" s="67" t="s">
        <v>11</v>
      </c>
      <c r="I77" s="318">
        <v>138069</v>
      </c>
    </row>
    <row r="78" spans="1:11" ht="13.5" thickBot="1">
      <c r="B78" s="161" t="s">
        <v>14</v>
      </c>
      <c r="C78" s="152">
        <f>SUM(Model!$BG$125:$BG$145)</f>
        <v>191314</v>
      </c>
      <c r="D78" s="152">
        <f>C78*I$72</f>
        <v>5042.3149199956779</v>
      </c>
      <c r="E78" s="95"/>
      <c r="F78" s="95"/>
      <c r="G78" s="96"/>
      <c r="H78" s="319" t="s">
        <v>12</v>
      </c>
      <c r="I78" s="320">
        <v>4.5</v>
      </c>
      <c r="J78" s="152"/>
      <c r="K78" s="95"/>
    </row>
    <row r="79" spans="1:11">
      <c r="B79" s="162" t="s">
        <v>15</v>
      </c>
      <c r="C79" s="151">
        <f>C78</f>
        <v>191314</v>
      </c>
      <c r="D79" s="151">
        <f>D78</f>
        <v>5042.3149199956779</v>
      </c>
      <c r="E79" s="163">
        <f>C79/C88</f>
        <v>6.2347726902395308</v>
      </c>
      <c r="F79" s="163">
        <f>D79/D88</f>
        <v>6.4949770915044969</v>
      </c>
      <c r="G79" s="96"/>
      <c r="H79" s="161"/>
      <c r="I79" s="217"/>
      <c r="J79" s="152"/>
      <c r="K79" s="95"/>
    </row>
    <row r="80" spans="1:11">
      <c r="B80" s="161" t="s">
        <v>17</v>
      </c>
      <c r="C80" s="152">
        <f>Model!$BG$146</f>
        <v>21924</v>
      </c>
      <c r="D80" s="152">
        <f t="shared" ref="D80:D82" si="8">C80*I$72</f>
        <v>577.83388725333873</v>
      </c>
      <c r="E80" s="95"/>
      <c r="F80" s="95"/>
      <c r="G80" s="96"/>
      <c r="H80" s="166"/>
      <c r="I80" s="77"/>
      <c r="J80" s="77"/>
      <c r="K80" s="167"/>
    </row>
    <row r="81" spans="2:11">
      <c r="B81" s="161" t="s">
        <v>18</v>
      </c>
      <c r="C81" s="152">
        <f>Model!$BG$147</f>
        <v>17929</v>
      </c>
      <c r="D81" s="152">
        <f t="shared" si="8"/>
        <v>472.54076649174925</v>
      </c>
      <c r="E81" s="95"/>
      <c r="F81" s="95"/>
      <c r="G81" s="96"/>
      <c r="H81" s="284" t="s">
        <v>8</v>
      </c>
      <c r="I81" s="277" t="s">
        <v>9</v>
      </c>
      <c r="J81" s="277" t="s">
        <v>19</v>
      </c>
      <c r="K81" s="285" t="s">
        <v>6</v>
      </c>
    </row>
    <row r="82" spans="2:11">
      <c r="B82" s="161" t="s">
        <v>20</v>
      </c>
      <c r="C82" s="152">
        <f>Model!$BG$148</f>
        <v>4731</v>
      </c>
      <c r="D82" s="152">
        <f t="shared" si="8"/>
        <v>124.69130270915643</v>
      </c>
      <c r="E82" s="95"/>
      <c r="F82" s="95"/>
      <c r="G82" s="96"/>
      <c r="H82" s="161" t="s">
        <v>21</v>
      </c>
      <c r="I82" s="217">
        <v>11073.365</v>
      </c>
      <c r="J82" s="152">
        <f>I82*$I$72</f>
        <v>291.85210467638512</v>
      </c>
      <c r="K82" s="95"/>
    </row>
    <row r="83" spans="2:11">
      <c r="B83" s="162" t="s">
        <v>23</v>
      </c>
      <c r="C83" s="151">
        <f>SUM(C80:C82)+C79+C77</f>
        <v>235898</v>
      </c>
      <c r="D83" s="151">
        <f>SUM(D80:D82)+D79+D77</f>
        <v>6217.3808764499227</v>
      </c>
      <c r="E83" s="163">
        <f>+C83/C88</f>
        <v>7.6877301613166038</v>
      </c>
      <c r="F83" s="163">
        <f>+D83/D88</f>
        <v>8.0085728484675869</v>
      </c>
      <c r="H83" s="161" t="s">
        <v>22</v>
      </c>
      <c r="I83" s="217">
        <v>144686.174</v>
      </c>
      <c r="J83" s="152">
        <f t="shared" ref="J83:J84" si="9">I83*$I$72</f>
        <v>3813.381424659412</v>
      </c>
      <c r="K83" s="95"/>
    </row>
    <row r="84" spans="2:11">
      <c r="B84" s="164" t="s">
        <v>25</v>
      </c>
      <c r="C84" s="149">
        <f>Model!$BG$150</f>
        <v>97829.153999999995</v>
      </c>
      <c r="D84" s="152">
        <f>C84*I$72</f>
        <v>2578.4072405822617</v>
      </c>
      <c r="E84" s="165"/>
      <c r="F84" s="165"/>
      <c r="H84" s="161" t="s">
        <v>24</v>
      </c>
      <c r="I84" s="217">
        <v>80138.868000000002</v>
      </c>
      <c r="J84" s="152">
        <f t="shared" si="9"/>
        <v>2112.1580740978925</v>
      </c>
      <c r="K84" s="95"/>
    </row>
    <row r="85" spans="2:11">
      <c r="B85" s="162" t="s">
        <v>26</v>
      </c>
      <c r="C85" s="151">
        <f>+C83-C84</f>
        <v>138068.84600000002</v>
      </c>
      <c r="D85" s="151">
        <f>+D83-D84</f>
        <v>3638.973635867661</v>
      </c>
      <c r="E85" s="163">
        <f>+C85/C88</f>
        <v>4.4995550268861013</v>
      </c>
      <c r="F85" s="163">
        <f>+D85/D88</f>
        <v>4.6873411868470809</v>
      </c>
      <c r="H85" s="162" t="s">
        <v>23</v>
      </c>
      <c r="I85" s="151">
        <f>SUM(I82:I84)</f>
        <v>235898.40700000001</v>
      </c>
      <c r="J85" s="151">
        <f>SUM(J82:J84)</f>
        <v>6217.3916034336899</v>
      </c>
      <c r="K85" s="163">
        <f>+I85/I91</f>
        <v>7.6877434251262837</v>
      </c>
    </row>
    <row r="86" spans="2:11">
      <c r="B86" s="164" t="s">
        <v>27</v>
      </c>
      <c r="C86" s="73">
        <f>Model!$BG$162</f>
        <v>75905.153000000006</v>
      </c>
      <c r="D86" s="152">
        <f>C86*I$72</f>
        <v>2000.5733269726979</v>
      </c>
      <c r="E86" s="165"/>
      <c r="F86" s="165"/>
      <c r="H86" s="164" t="s">
        <v>25</v>
      </c>
      <c r="I86" s="149">
        <f>C84</f>
        <v>97829.153999999995</v>
      </c>
      <c r="J86" s="152">
        <f>I86*$I$72</f>
        <v>2578.4072405822617</v>
      </c>
      <c r="K86" s="165"/>
    </row>
    <row r="87" spans="2:11">
      <c r="B87" s="166" t="s">
        <v>28</v>
      </c>
      <c r="C87" s="77">
        <f>C83+C86</f>
        <v>311803.15299999999</v>
      </c>
      <c r="D87" s="77">
        <f>D83+D86</f>
        <v>8217.9542034226215</v>
      </c>
      <c r="E87" s="167"/>
      <c r="F87" s="167"/>
      <c r="H87" s="164"/>
      <c r="I87" s="149"/>
      <c r="J87" s="154"/>
      <c r="K87" s="165"/>
    </row>
    <row r="88" spans="2:11">
      <c r="B88" s="164" t="s">
        <v>29</v>
      </c>
      <c r="C88" s="211">
        <f>Model!$BG$95</f>
        <v>30685</v>
      </c>
      <c r="D88" s="211">
        <f>C88*I73</f>
        <v>776.34067818208052</v>
      </c>
      <c r="E88" s="164"/>
      <c r="F88" s="164"/>
      <c r="H88" s="162" t="s">
        <v>26</v>
      </c>
      <c r="I88" s="151">
        <f>+I85-I86</f>
        <v>138069.25300000003</v>
      </c>
      <c r="J88" s="151">
        <f>+J85-J86</f>
        <v>3638.9843628514282</v>
      </c>
      <c r="K88" s="163">
        <f>+I88/I91</f>
        <v>4.4995682906957803</v>
      </c>
    </row>
    <row r="89" spans="2:11">
      <c r="H89" s="164" t="s">
        <v>27</v>
      </c>
      <c r="I89" s="73">
        <f>C86</f>
        <v>75905.153000000006</v>
      </c>
      <c r="J89" s="152">
        <f>I89*$I$72</f>
        <v>2000.5733269726979</v>
      </c>
      <c r="K89" s="165"/>
    </row>
    <row r="90" spans="2:11">
      <c r="B90" s="97" t="s">
        <v>30</v>
      </c>
      <c r="C90" s="98">
        <f>C83-Model!$BG$153</f>
        <v>-11073.364999999991</v>
      </c>
      <c r="H90" s="166" t="s">
        <v>28</v>
      </c>
      <c r="I90" s="77">
        <f>I85+I89</f>
        <v>311803.56</v>
      </c>
      <c r="J90" s="77">
        <f>J85+J89</f>
        <v>8217.9649304063878</v>
      </c>
      <c r="K90" s="167"/>
    </row>
    <row r="91" spans="2:11">
      <c r="F91" s="244"/>
      <c r="H91" s="164" t="s">
        <v>29</v>
      </c>
      <c r="I91" s="211">
        <f>C88</f>
        <v>30685</v>
      </c>
      <c r="J91" s="152">
        <f>I91*$I$73</f>
        <v>776.34067818208052</v>
      </c>
      <c r="K91" s="164"/>
    </row>
    <row r="92" spans="2:11">
      <c r="B92" s="250" t="s">
        <v>31</v>
      </c>
      <c r="C92" s="251">
        <f>C85+Model!$BG$161</f>
        <v>209798.74600000001</v>
      </c>
    </row>
    <row r="93" spans="2:11">
      <c r="B93" s="250" t="s">
        <v>33</v>
      </c>
      <c r="C93" s="252">
        <f>C92/C88</f>
        <v>6.8371760143392546</v>
      </c>
      <c r="H93" s="162" t="s">
        <v>32</v>
      </c>
      <c r="I93" s="265">
        <v>4.5</v>
      </c>
    </row>
    <row r="95" spans="2:11" ht="13.5" thickBot="1"/>
    <row r="96" spans="2:11">
      <c r="B96" s="279" t="s">
        <v>54</v>
      </c>
      <c r="C96" s="280" t="str">
        <f>C76</f>
        <v>TRY millions</v>
      </c>
      <c r="D96" s="280" t="str">
        <f>D76</f>
        <v>USD millions</v>
      </c>
    </row>
    <row r="97" spans="2:7">
      <c r="B97" s="67" t="s">
        <v>35</v>
      </c>
      <c r="C97" s="213">
        <f>C84</f>
        <v>97829.153999999995</v>
      </c>
      <c r="D97" s="213">
        <f>C97*I72</f>
        <v>2578.4072405822617</v>
      </c>
    </row>
    <row r="98" spans="2:7" ht="13.5" thickBot="1">
      <c r="B98" s="210" t="s">
        <v>36</v>
      </c>
      <c r="C98" s="214">
        <f>SUM(C97:C97)</f>
        <v>97829.153999999995</v>
      </c>
      <c r="D98" s="214">
        <f>SUM(D97:D97)</f>
        <v>2578.4072405822617</v>
      </c>
    </row>
    <row r="100" spans="2:7" ht="13.5" thickBot="1">
      <c r="C100" s="32"/>
    </row>
    <row r="101" spans="2:7">
      <c r="B101" s="281" t="s">
        <v>55</v>
      </c>
      <c r="C101" s="282" t="str">
        <f>C96</f>
        <v>TRY millions</v>
      </c>
      <c r="D101" s="282" t="str">
        <f>D96</f>
        <v>USD millions</v>
      </c>
      <c r="E101" s="283" t="s">
        <v>38</v>
      </c>
    </row>
    <row r="102" spans="2:7">
      <c r="B102" s="189">
        <v>2026</v>
      </c>
      <c r="C102" s="215">
        <f>E102*($C$78+$C$80+$C$81+$C$82)</f>
        <v>146256.76</v>
      </c>
      <c r="D102" s="215">
        <f>C102*$I$72</f>
        <v>3854.7761433989522</v>
      </c>
      <c r="E102" s="220">
        <v>0.62</v>
      </c>
      <c r="F102" s="47"/>
      <c r="G102" s="183"/>
    </row>
    <row r="103" spans="2:7">
      <c r="B103" s="189">
        <v>2027</v>
      </c>
      <c r="C103" s="215">
        <f t="shared" ref="C103:C105" si="10">E103*($C$78+$C$80+$C$81+$C$82)</f>
        <v>47179.600000000006</v>
      </c>
      <c r="D103" s="215">
        <f t="shared" ref="D103:D105" si="11">C103*$I$72</f>
        <v>1243.4761752899847</v>
      </c>
      <c r="E103" s="220">
        <v>0.2</v>
      </c>
      <c r="F103" s="47"/>
      <c r="G103" s="183"/>
    </row>
    <row r="104" spans="2:7">
      <c r="B104" s="189">
        <v>2028</v>
      </c>
      <c r="C104" s="215">
        <f t="shared" si="10"/>
        <v>28307.759999999998</v>
      </c>
      <c r="D104" s="215">
        <f t="shared" si="11"/>
        <v>746.08570517399062</v>
      </c>
      <c r="E104" s="220">
        <v>0.12</v>
      </c>
      <c r="F104" s="47"/>
      <c r="G104" s="183"/>
    </row>
    <row r="105" spans="2:7" ht="13.5" thickBot="1">
      <c r="B105" s="189" t="s">
        <v>39</v>
      </c>
      <c r="C105" s="215">
        <f t="shared" si="10"/>
        <v>14153.88</v>
      </c>
      <c r="D105" s="215">
        <f t="shared" si="11"/>
        <v>373.04285258699531</v>
      </c>
      <c r="E105" s="220">
        <v>0.06</v>
      </c>
      <c r="F105" s="47"/>
      <c r="G105" s="183"/>
    </row>
    <row r="106" spans="2:7" ht="13.5" thickBot="1">
      <c r="B106" s="238" t="s">
        <v>40</v>
      </c>
      <c r="C106" s="216">
        <f>SUM(C102:C105)</f>
        <v>235898.00000000003</v>
      </c>
      <c r="D106" s="216">
        <f>SUM(D102:D105)</f>
        <v>6217.3808764499227</v>
      </c>
      <c r="E106" s="207">
        <f>SUM(E102:E105)</f>
        <v>1</v>
      </c>
      <c r="G106" s="183"/>
    </row>
    <row r="107" spans="2:7">
      <c r="B107" s="97" t="s">
        <v>30</v>
      </c>
      <c r="C107" s="317">
        <f>C106-(SUM($C$78,$C$80,$C$81,$C$82))</f>
        <v>0</v>
      </c>
      <c r="D107" s="171"/>
      <c r="E107" s="81"/>
      <c r="G107" s="183"/>
    </row>
    <row r="108" spans="2:7">
      <c r="B108" s="97"/>
      <c r="C108" s="317"/>
      <c r="D108" s="171"/>
      <c r="E108" s="81"/>
      <c r="G108" s="183"/>
    </row>
    <row r="109" spans="2:7" ht="13.5" thickBot="1">
      <c r="B109" s="97"/>
      <c r="C109" s="317"/>
      <c r="D109" s="171"/>
      <c r="E109" s="81"/>
      <c r="G109" s="183"/>
    </row>
    <row r="110" spans="2:7">
      <c r="B110" s="281" t="s">
        <v>56</v>
      </c>
      <c r="C110" s="282" t="str">
        <f>C101</f>
        <v>TRY millions</v>
      </c>
      <c r="D110" s="282" t="str">
        <f>D101</f>
        <v>USD millions</v>
      </c>
      <c r="E110" s="282" t="str">
        <f>E101</f>
        <v>% of total</v>
      </c>
      <c r="G110" s="183"/>
    </row>
    <row r="111" spans="2:7">
      <c r="B111" s="189" t="s">
        <v>42</v>
      </c>
      <c r="C111" s="215">
        <f>E111*($C$78+$C$80+$C$81+$C$82)</f>
        <v>129743.90000000001</v>
      </c>
      <c r="D111" s="215">
        <f>C111*$I$72</f>
        <v>3419.5594820474575</v>
      </c>
      <c r="E111" s="220">
        <v>0.55000000000000004</v>
      </c>
      <c r="G111" s="183"/>
    </row>
    <row r="112" spans="2:7">
      <c r="B112" s="189" t="s">
        <v>43</v>
      </c>
      <c r="C112" s="215">
        <f t="shared" ref="C112:C114" si="12">E112*($C$78+$C$80+$C$81+$C$82)</f>
        <v>35384.699999999997</v>
      </c>
      <c r="D112" s="215">
        <f t="shared" ref="D112:D114" si="13">C112*$I$72</f>
        <v>932.60713146748833</v>
      </c>
      <c r="E112" s="220">
        <v>0.15</v>
      </c>
      <c r="G112" s="183"/>
    </row>
    <row r="113" spans="2:7">
      <c r="B113" s="189" t="s">
        <v>44</v>
      </c>
      <c r="C113" s="215">
        <f t="shared" si="12"/>
        <v>47179.600000000006</v>
      </c>
      <c r="D113" s="215">
        <f t="shared" si="13"/>
        <v>1243.4761752899847</v>
      </c>
      <c r="E113" s="220">
        <v>0.2</v>
      </c>
      <c r="G113" s="183"/>
    </row>
    <row r="114" spans="2:7" ht="13.5" thickBot="1">
      <c r="B114" s="189" t="s">
        <v>45</v>
      </c>
      <c r="C114" s="215">
        <f t="shared" si="12"/>
        <v>23589.800000000003</v>
      </c>
      <c r="D114" s="215">
        <f t="shared" si="13"/>
        <v>621.73808764499233</v>
      </c>
      <c r="E114" s="220">
        <v>0.1</v>
      </c>
      <c r="G114" s="183"/>
    </row>
    <row r="115" spans="2:7" ht="13.5" thickBot="1">
      <c r="B115" s="238" t="s">
        <v>40</v>
      </c>
      <c r="C115" s="216">
        <f>SUM(C111:C114)</f>
        <v>235898</v>
      </c>
      <c r="D115" s="216">
        <f>SUM(D111:D114)</f>
        <v>6217.3808764499236</v>
      </c>
      <c r="E115" s="207">
        <f>SUM(E111:E114)</f>
        <v>1.0000000000000002</v>
      </c>
      <c r="G115" s="183"/>
    </row>
    <row r="116" spans="2:7">
      <c r="B116" s="97" t="s">
        <v>30</v>
      </c>
      <c r="C116" s="317">
        <f>C115-(SUM($C$78,$C$80,$C$81,$C$82))</f>
        <v>0</v>
      </c>
      <c r="D116" s="171"/>
      <c r="E116" s="81"/>
    </row>
    <row r="118" spans="2:7" ht="13.5" thickBot="1"/>
    <row r="119" spans="2:7">
      <c r="B119" s="281" t="s">
        <v>57</v>
      </c>
      <c r="C119" s="282" t="str">
        <f>C110</f>
        <v>TRY millions</v>
      </c>
      <c r="D119" s="282" t="str">
        <f>D110</f>
        <v>USD millions</v>
      </c>
      <c r="E119" s="282" t="str">
        <f>E110</f>
        <v>% of total</v>
      </c>
    </row>
    <row r="120" spans="2:7">
      <c r="B120" s="189" t="s">
        <v>47</v>
      </c>
      <c r="C120" s="215">
        <f>E120*($C$78+$C$80+$C$81+$C$82)</f>
        <v>148615.74</v>
      </c>
      <c r="D120" s="215">
        <f>C120*$I$72</f>
        <v>3916.9499521634511</v>
      </c>
      <c r="E120" s="220">
        <v>0.63</v>
      </c>
    </row>
    <row r="121" spans="2:7" ht="13.5" thickBot="1">
      <c r="B121" s="189" t="s">
        <v>48</v>
      </c>
      <c r="C121" s="215">
        <f t="shared" ref="C121" si="14">E121*($C$78+$C$80+$C$81+$C$82)</f>
        <v>87282.26</v>
      </c>
      <c r="D121" s="215">
        <f t="shared" ref="D121" si="15">C121*$I$72</f>
        <v>2300.4309242864711</v>
      </c>
      <c r="E121" s="220">
        <v>0.37</v>
      </c>
    </row>
    <row r="122" spans="2:7" ht="13.5" thickBot="1">
      <c r="B122" s="238" t="s">
        <v>40</v>
      </c>
      <c r="C122" s="216">
        <f>SUM(C120:C121)</f>
        <v>235898</v>
      </c>
      <c r="D122" s="216">
        <f>SUM(D120:D121)</f>
        <v>6217.3808764499227</v>
      </c>
      <c r="E122" s="207">
        <f>SUM(E120:E121)</f>
        <v>1</v>
      </c>
    </row>
    <row r="123" spans="2:7">
      <c r="B123" s="97" t="s">
        <v>30</v>
      </c>
      <c r="C123" s="317">
        <f>C122-(SUM($C$78,$C$80,$C$81,$C$82))</f>
        <v>0</v>
      </c>
      <c r="D123" s="171"/>
      <c r="E123" s="81"/>
    </row>
    <row r="125" spans="2:7" ht="13.5" thickBot="1"/>
    <row r="126" spans="2:7">
      <c r="B126" s="281" t="s">
        <v>58</v>
      </c>
      <c r="C126" s="282" t="str">
        <f>C110</f>
        <v>TRY millions</v>
      </c>
      <c r="D126" s="282" t="str">
        <f>D110</f>
        <v>USD millions</v>
      </c>
      <c r="E126" s="282" t="str">
        <f>E110</f>
        <v>% of total</v>
      </c>
    </row>
    <row r="127" spans="2:7">
      <c r="B127" s="189" t="s">
        <v>42</v>
      </c>
      <c r="C127" s="215">
        <f>E127*($C$84)</f>
        <v>40109.953139999998</v>
      </c>
      <c r="D127" s="215">
        <f>C127*$I$72</f>
        <v>1057.1469686387275</v>
      </c>
      <c r="E127" s="220">
        <v>0.41</v>
      </c>
    </row>
    <row r="128" spans="2:7">
      <c r="B128" s="189" t="s">
        <v>43</v>
      </c>
      <c r="C128" s="215">
        <f t="shared" ref="C128:C130" si="16">E128*($C$84)</f>
        <v>6848.0407800000003</v>
      </c>
      <c r="D128" s="215">
        <f t="shared" ref="D128:D130" si="17">C128*$I$72</f>
        <v>180.48850684075836</v>
      </c>
      <c r="E128" s="220">
        <v>7.0000000000000007E-2</v>
      </c>
    </row>
    <row r="129" spans="1:11">
      <c r="B129" s="189" t="s">
        <v>44</v>
      </c>
      <c r="C129" s="215">
        <f t="shared" si="16"/>
        <v>30327.03774</v>
      </c>
      <c r="D129" s="215">
        <f t="shared" si="17"/>
        <v>799.30624458050124</v>
      </c>
      <c r="E129" s="220">
        <v>0.31</v>
      </c>
    </row>
    <row r="130" spans="1:11" ht="13.5" thickBot="1">
      <c r="B130" s="189" t="s">
        <v>45</v>
      </c>
      <c r="C130" s="215">
        <f t="shared" si="16"/>
        <v>20544.122339999998</v>
      </c>
      <c r="D130" s="215">
        <f t="shared" si="17"/>
        <v>541.46552052227503</v>
      </c>
      <c r="E130" s="220">
        <v>0.21</v>
      </c>
    </row>
    <row r="131" spans="1:11" ht="13.5" thickBot="1">
      <c r="B131" s="238" t="s">
        <v>40</v>
      </c>
      <c r="C131" s="216">
        <f>SUM(C127:C130)</f>
        <v>97829.15400000001</v>
      </c>
      <c r="D131" s="216">
        <f>SUM(D127:D130)</f>
        <v>2578.4072405822621</v>
      </c>
      <c r="E131" s="207">
        <f>SUM(E127:E130)</f>
        <v>1</v>
      </c>
    </row>
    <row r="132" spans="1:11">
      <c r="B132" s="97" t="s">
        <v>30</v>
      </c>
      <c r="C132" s="317">
        <f>C131-C84</f>
        <v>0</v>
      </c>
      <c r="D132" s="171"/>
      <c r="E132" s="81"/>
    </row>
    <row r="137" spans="1:11">
      <c r="A137" s="59" t="s">
        <v>59</v>
      </c>
      <c r="H137" s="59" t="s">
        <v>60</v>
      </c>
      <c r="I137" s="92">
        <f>Model!$BF$250</f>
        <v>2.4047016727104836E-2</v>
      </c>
      <c r="J137" s="92"/>
    </row>
    <row r="138" spans="1:11">
      <c r="H138" s="59" t="s">
        <v>61</v>
      </c>
      <c r="I138" s="92">
        <f>AVERAGE(Model!$BC$249:$BF$249)</f>
        <v>2.672204420247571E-2</v>
      </c>
      <c r="J138" s="92"/>
    </row>
    <row r="139" spans="1:11">
      <c r="H139" s="59"/>
      <c r="I139" s="92"/>
    </row>
    <row r="140" spans="1:11">
      <c r="H140" s="184"/>
      <c r="I140" s="92"/>
    </row>
    <row r="141" spans="1:11" ht="25.5">
      <c r="B141" s="276" t="s">
        <v>62</v>
      </c>
      <c r="C141" s="277" t="s">
        <v>4</v>
      </c>
      <c r="D141" s="277" t="s">
        <v>5</v>
      </c>
      <c r="E141" s="278" t="s">
        <v>6</v>
      </c>
      <c r="F141" s="278" t="s">
        <v>7</v>
      </c>
      <c r="G141" s="59"/>
      <c r="H141" s="284" t="s">
        <v>8</v>
      </c>
      <c r="I141" s="277" t="s">
        <v>9</v>
      </c>
      <c r="J141" s="277" t="s">
        <v>19</v>
      </c>
      <c r="K141" s="285" t="s">
        <v>6</v>
      </c>
    </row>
    <row r="142" spans="1:11">
      <c r="B142" s="161" t="s">
        <v>63</v>
      </c>
      <c r="C142" s="152">
        <f>Model!$BF$124</f>
        <v>11103.748</v>
      </c>
      <c r="D142" s="152">
        <f>C142*I$137</f>
        <v>267.01201388955684</v>
      </c>
      <c r="E142" s="95"/>
      <c r="F142" s="95"/>
      <c r="G142" s="95"/>
      <c r="H142" s="161" t="s">
        <v>21</v>
      </c>
      <c r="I142" s="217">
        <v>11103.748</v>
      </c>
      <c r="J142" s="152">
        <f>I142*$I$137</f>
        <v>267.01201388955684</v>
      </c>
      <c r="K142" s="95"/>
    </row>
    <row r="143" spans="1:11">
      <c r="B143" s="162" t="s">
        <v>64</v>
      </c>
      <c r="C143" s="151">
        <f>C142</f>
        <v>11103.748</v>
      </c>
      <c r="D143" s="151">
        <f>D142</f>
        <v>267.01201388955684</v>
      </c>
      <c r="E143" s="163">
        <f>C143/C155</f>
        <v>0.37751157651378642</v>
      </c>
      <c r="F143" s="163">
        <f>D143/D155</f>
        <v>0.33972053658461088</v>
      </c>
      <c r="G143" s="95"/>
      <c r="H143" s="161" t="s">
        <v>22</v>
      </c>
      <c r="I143" s="217">
        <v>138878.71900000001</v>
      </c>
      <c r="J143" s="152">
        <f t="shared" ref="J143:J144" si="18">I143*$I$137</f>
        <v>3339.6188788318923</v>
      </c>
      <c r="K143" s="95"/>
    </row>
    <row r="144" spans="1:11">
      <c r="B144" s="161"/>
      <c r="C144" s="152"/>
      <c r="D144" s="152"/>
      <c r="E144" s="95"/>
      <c r="F144" s="95"/>
      <c r="G144" s="95"/>
      <c r="H144" s="161" t="s">
        <v>24</v>
      </c>
      <c r="I144" s="217">
        <v>71690.649000000005</v>
      </c>
      <c r="J144" s="152">
        <f t="shared" si="18"/>
        <v>1723.9462356800016</v>
      </c>
      <c r="K144" s="95"/>
    </row>
    <row r="145" spans="2:11">
      <c r="B145" s="161" t="s">
        <v>14</v>
      </c>
      <c r="C145" s="152">
        <f>SUM(Model!$BF$125:$BF$145)</f>
        <v>174510</v>
      </c>
      <c r="D145" s="152">
        <f>C145*$I$137</f>
        <v>4196.4448890470649</v>
      </c>
      <c r="E145" s="95"/>
      <c r="F145" s="95"/>
      <c r="G145" s="96"/>
      <c r="H145" s="162" t="s">
        <v>23</v>
      </c>
      <c r="I145" s="151">
        <f>SUM(I142:I144)</f>
        <v>221673.11600000001</v>
      </c>
      <c r="J145" s="151">
        <f>SUM(J142:J144)</f>
        <v>5330.5771284014509</v>
      </c>
      <c r="K145" s="163">
        <f>+I145/I151</f>
        <v>7.5365694080848611</v>
      </c>
    </row>
    <row r="146" spans="2:11">
      <c r="B146" s="162" t="s">
        <v>15</v>
      </c>
      <c r="C146" s="151">
        <f>C145</f>
        <v>174510</v>
      </c>
      <c r="D146" s="151">
        <f>D145</f>
        <v>4196.4448890470649</v>
      </c>
      <c r="E146" s="163">
        <f>C146/C155</f>
        <v>5.9330908101859725</v>
      </c>
      <c r="F146" s="163">
        <f>D146/D155</f>
        <v>5.3391549267310863</v>
      </c>
      <c r="G146" s="96"/>
      <c r="H146" s="164" t="s">
        <v>25</v>
      </c>
      <c r="I146" s="149">
        <f>C151</f>
        <v>71440.375</v>
      </c>
      <c r="J146" s="152">
        <f>I146*$I$137</f>
        <v>1717.9278926156421</v>
      </c>
      <c r="K146" s="165"/>
    </row>
    <row r="147" spans="2:11">
      <c r="B147" s="161" t="s">
        <v>17</v>
      </c>
      <c r="C147" s="152">
        <f>Model!$BF$146</f>
        <v>20778</v>
      </c>
      <c r="D147" s="152">
        <f>C147*$I$137</f>
        <v>499.64891355578425</v>
      </c>
      <c r="E147" s="95"/>
      <c r="F147" s="95"/>
      <c r="G147" s="96"/>
      <c r="H147" s="164"/>
      <c r="I147" s="149"/>
      <c r="J147" s="154"/>
      <c r="K147" s="165"/>
    </row>
    <row r="148" spans="2:11">
      <c r="B148" s="161" t="s">
        <v>18</v>
      </c>
      <c r="C148" s="152">
        <f>Model!$BF$147</f>
        <v>17152</v>
      </c>
      <c r="D148" s="152">
        <f>C148*$I$137</f>
        <v>412.45443090330212</v>
      </c>
      <c r="E148" s="95"/>
      <c r="F148" s="95"/>
      <c r="G148" s="96"/>
      <c r="H148" s="162" t="s">
        <v>26</v>
      </c>
      <c r="I148" s="151">
        <f>+I145-I146</f>
        <v>150232.74100000001</v>
      </c>
      <c r="J148" s="151">
        <f>+J145-J146</f>
        <v>3612.6492357858087</v>
      </c>
      <c r="K148" s="163">
        <f>+I148/I151</f>
        <v>5.1076986706558332</v>
      </c>
    </row>
    <row r="149" spans="2:11">
      <c r="B149" s="161" t="s">
        <v>20</v>
      </c>
      <c r="C149" s="152">
        <f>Model!$BF$148</f>
        <v>9234</v>
      </c>
      <c r="D149" s="152">
        <f>C149*$I$137</f>
        <v>222.05015245808605</v>
      </c>
      <c r="E149" s="95"/>
      <c r="F149" s="95"/>
      <c r="G149" s="96"/>
      <c r="H149" s="164" t="s">
        <v>27</v>
      </c>
      <c r="I149" s="73">
        <f>C153</f>
        <v>74071.27</v>
      </c>
      <c r="J149" s="152">
        <f>I149*$I$137</f>
        <v>1781.1930686878986</v>
      </c>
      <c r="K149" s="165"/>
    </row>
    <row r="150" spans="2:11">
      <c r="B150" s="162" t="s">
        <v>23</v>
      </c>
      <c r="C150" s="151">
        <f>SUM(C147:C149)+C146+C143</f>
        <v>232777.74799999999</v>
      </c>
      <c r="D150" s="151">
        <f>SUM(D147:D149)+D146+D143</f>
        <v>5597.6103998537947</v>
      </c>
      <c r="E150" s="163">
        <f>+C150/C155</f>
        <v>7.9141110393363476</v>
      </c>
      <c r="F150" s="163">
        <f>+D150/D155</f>
        <v>7.1218638477311753</v>
      </c>
      <c r="H150" s="166" t="s">
        <v>28</v>
      </c>
      <c r="I150" s="77">
        <f>I145+I149</f>
        <v>295744.386</v>
      </c>
      <c r="J150" s="77">
        <f>J145+J149</f>
        <v>7111.7701970893495</v>
      </c>
      <c r="K150" s="167"/>
    </row>
    <row r="151" spans="2:11">
      <c r="B151" s="164" t="s">
        <v>25</v>
      </c>
      <c r="C151" s="149">
        <f>Model!$BF$150</f>
        <v>71440.375</v>
      </c>
      <c r="D151" s="152">
        <f>C151*$I$137</f>
        <v>1717.9278926156421</v>
      </c>
      <c r="E151" s="165"/>
      <c r="F151" s="165"/>
      <c r="H151" s="164" t="s">
        <v>29</v>
      </c>
      <c r="I151" s="211">
        <f>C155</f>
        <v>29413</v>
      </c>
      <c r="J151" s="152">
        <f>I151*$I$138</f>
        <v>785.97548612741809</v>
      </c>
      <c r="K151" s="164"/>
    </row>
    <row r="152" spans="2:11">
      <c r="B152" s="162" t="s">
        <v>26</v>
      </c>
      <c r="C152" s="151">
        <f>+C150-C151</f>
        <v>161337.37299999999</v>
      </c>
      <c r="D152" s="151">
        <f>+D150-D151</f>
        <v>3879.6825072381525</v>
      </c>
      <c r="E152" s="163">
        <f>+C152/C155</f>
        <v>5.4852403019073197</v>
      </c>
      <c r="F152" s="163">
        <f>+D152/D155</f>
        <v>4.9361367825270817</v>
      </c>
    </row>
    <row r="153" spans="2:11">
      <c r="B153" s="164" t="s">
        <v>27</v>
      </c>
      <c r="C153" s="73">
        <f>Model!$BF$162</f>
        <v>74071.27</v>
      </c>
      <c r="D153" s="152">
        <f>C153*$I$137</f>
        <v>1781.1930686878986</v>
      </c>
      <c r="E153" s="165"/>
      <c r="F153" s="165"/>
      <c r="H153" s="162" t="s">
        <v>32</v>
      </c>
      <c r="I153" s="265">
        <v>5.17</v>
      </c>
    </row>
    <row r="154" spans="2:11">
      <c r="B154" s="166" t="s">
        <v>28</v>
      </c>
      <c r="C154" s="77">
        <f>C150+C153</f>
        <v>306849.01799999998</v>
      </c>
      <c r="D154" s="77">
        <f>D150+D153</f>
        <v>7378.8034685416933</v>
      </c>
      <c r="E154" s="167"/>
      <c r="F154" s="167"/>
    </row>
    <row r="155" spans="2:11">
      <c r="B155" s="164" t="s">
        <v>29</v>
      </c>
      <c r="C155" s="211">
        <f>Model!$BF$95</f>
        <v>29413</v>
      </c>
      <c r="D155" s="211">
        <f>C155*I138</f>
        <v>785.97548612741809</v>
      </c>
      <c r="E155" s="164"/>
      <c r="F155" s="164"/>
    </row>
    <row r="157" spans="2:11">
      <c r="B157" s="97" t="s">
        <v>30</v>
      </c>
      <c r="C157" s="98">
        <f>C150-Model!$BF$153</f>
        <v>0</v>
      </c>
    </row>
    <row r="159" spans="2:11">
      <c r="B159" s="250" t="s">
        <v>31</v>
      </c>
      <c r="C159" s="251">
        <f>C152+Model!$BF$161</f>
        <v>227848.37299999999</v>
      </c>
    </row>
    <row r="160" spans="2:11">
      <c r="B160" s="250" t="s">
        <v>33</v>
      </c>
      <c r="C160" s="252">
        <f>C159/C155</f>
        <v>7.7465193281882154</v>
      </c>
    </row>
    <row r="162" spans="2:8" ht="13.5" thickBot="1"/>
    <row r="163" spans="2:8">
      <c r="B163" s="279" t="s">
        <v>65</v>
      </c>
      <c r="C163" s="280" t="str">
        <f>C141</f>
        <v>TRY millions</v>
      </c>
      <c r="D163" s="280" t="str">
        <f>D141</f>
        <v>USD millions</v>
      </c>
    </row>
    <row r="164" spans="2:8">
      <c r="B164" s="67" t="s">
        <v>35</v>
      </c>
      <c r="C164" s="213">
        <f>C151</f>
        <v>71440.375</v>
      </c>
      <c r="D164" s="213">
        <f>C164*I137</f>
        <v>1717.9278926156421</v>
      </c>
    </row>
    <row r="165" spans="2:8" ht="13.5" thickBot="1">
      <c r="B165" s="210" t="s">
        <v>36</v>
      </c>
      <c r="C165" s="214">
        <f>SUM(C164:C164)</f>
        <v>71440.375</v>
      </c>
      <c r="D165" s="214">
        <f>SUM(D164:D164)</f>
        <v>1717.9278926156421</v>
      </c>
    </row>
    <row r="167" spans="2:8">
      <c r="C167" s="32"/>
    </row>
    <row r="168" spans="2:8" ht="13.5" thickBot="1"/>
    <row r="169" spans="2:8">
      <c r="B169" s="281" t="s">
        <v>66</v>
      </c>
      <c r="C169" s="282" t="str">
        <f>C163</f>
        <v>TRY millions</v>
      </c>
      <c r="D169" s="282" t="str">
        <f>D163</f>
        <v>USD millions</v>
      </c>
      <c r="E169" s="283" t="s">
        <v>38</v>
      </c>
    </row>
    <row r="170" spans="2:8">
      <c r="B170" s="189">
        <v>2025</v>
      </c>
      <c r="C170" s="215">
        <f>$C$150*E170</f>
        <v>62849.991959999999</v>
      </c>
      <c r="D170" s="215">
        <f>C170*$I$137</f>
        <v>1511.3548079605243</v>
      </c>
      <c r="E170" s="220">
        <v>0.27</v>
      </c>
      <c r="F170" s="47"/>
      <c r="G170" s="183"/>
    </row>
    <row r="171" spans="2:8">
      <c r="B171" s="189">
        <v>2026</v>
      </c>
      <c r="C171" s="215">
        <f t="shared" ref="C171:C174" si="19">$C$150*E171</f>
        <v>90783.321720000007</v>
      </c>
      <c r="D171" s="215">
        <f t="shared" ref="D171:D174" si="20">C171*$I$137</f>
        <v>2183.0680559429798</v>
      </c>
      <c r="E171" s="220">
        <v>0.39</v>
      </c>
      <c r="F171" s="47"/>
      <c r="G171" s="183"/>
    </row>
    <row r="172" spans="2:8">
      <c r="B172" s="189">
        <v>2027</v>
      </c>
      <c r="C172" s="215">
        <f t="shared" si="19"/>
        <v>41899.994639999997</v>
      </c>
      <c r="D172" s="215">
        <f t="shared" si="20"/>
        <v>1007.5698719736829</v>
      </c>
      <c r="E172" s="220">
        <v>0.18</v>
      </c>
      <c r="F172" s="47"/>
      <c r="G172" s="183"/>
      <c r="H172" s="249"/>
    </row>
    <row r="173" spans="2:8">
      <c r="B173" s="189">
        <v>2028</v>
      </c>
      <c r="C173" s="215">
        <f t="shared" si="19"/>
        <v>25605.55228</v>
      </c>
      <c r="D173" s="215">
        <f t="shared" si="20"/>
        <v>615.73714398391735</v>
      </c>
      <c r="E173" s="220">
        <v>0.11</v>
      </c>
      <c r="F173" s="47"/>
      <c r="G173" s="183"/>
      <c r="H173" s="249"/>
    </row>
    <row r="174" spans="2:8" ht="13.5" thickBot="1">
      <c r="B174" s="189" t="s">
        <v>39</v>
      </c>
      <c r="C174" s="215">
        <f t="shared" si="19"/>
        <v>11638.8874</v>
      </c>
      <c r="D174" s="215">
        <f t="shared" si="20"/>
        <v>279.8805199926897</v>
      </c>
      <c r="E174" s="220">
        <v>0.05</v>
      </c>
      <c r="F174" s="47"/>
      <c r="G174" s="183"/>
      <c r="H174" s="249"/>
    </row>
    <row r="175" spans="2:8" ht="13.5" thickBot="1">
      <c r="B175" s="238" t="s">
        <v>40</v>
      </c>
      <c r="C175" s="216">
        <f>SUM(C170:C174)</f>
        <v>232777.74800000002</v>
      </c>
      <c r="D175" s="216">
        <f>SUM(D170:D174)</f>
        <v>5597.6103998537947</v>
      </c>
      <c r="E175" s="207">
        <f>SUM(E170:E174)</f>
        <v>1</v>
      </c>
      <c r="G175" s="183"/>
    </row>
    <row r="176" spans="2:8">
      <c r="B176" s="59"/>
      <c r="C176" s="171"/>
      <c r="D176" s="171"/>
      <c r="E176" s="81"/>
      <c r="G176" s="183"/>
    </row>
    <row r="177" spans="1:11">
      <c r="B177" s="59"/>
      <c r="C177" s="171"/>
      <c r="D177" s="171"/>
      <c r="E177" s="81"/>
      <c r="G177" s="183"/>
    </row>
    <row r="178" spans="1:11">
      <c r="B178" s="59"/>
      <c r="C178" s="171"/>
      <c r="D178" s="171"/>
      <c r="E178" s="81"/>
      <c r="G178" s="183"/>
    </row>
    <row r="179" spans="1:11">
      <c r="B179" s="59"/>
      <c r="C179" s="171"/>
      <c r="D179" s="171"/>
      <c r="E179" s="81"/>
      <c r="G179" s="183"/>
    </row>
    <row r="180" spans="1:11">
      <c r="B180" s="59"/>
      <c r="C180" s="171"/>
      <c r="D180" s="171"/>
      <c r="E180" s="81"/>
      <c r="G180" s="183"/>
    </row>
    <row r="182" spans="1:11">
      <c r="A182" s="59" t="s">
        <v>67</v>
      </c>
      <c r="H182" s="59" t="s">
        <v>68</v>
      </c>
      <c r="I182" s="92">
        <f>Model!$BE$250</f>
        <v>2.5117045431711775E-2</v>
      </c>
      <c r="J182" s="92"/>
    </row>
    <row r="183" spans="1:11">
      <c r="H183" s="59" t="s">
        <v>69</v>
      </c>
      <c r="I183" s="92">
        <f>AVERAGE(Model!$BB$249:$BE$249)</f>
        <v>2.8055777504314018E-2</v>
      </c>
      <c r="J183" s="92"/>
    </row>
    <row r="184" spans="1:11">
      <c r="H184" s="59"/>
      <c r="I184" s="92"/>
    </row>
    <row r="185" spans="1:11">
      <c r="H185" s="184" t="s">
        <v>8</v>
      </c>
      <c r="I185" s="92"/>
    </row>
    <row r="186" spans="1:11" ht="25.5">
      <c r="B186" s="247" t="s">
        <v>70</v>
      </c>
      <c r="C186" s="157" t="s">
        <v>9</v>
      </c>
      <c r="D186" s="157" t="s">
        <v>19</v>
      </c>
      <c r="E186" s="158" t="s">
        <v>71</v>
      </c>
      <c r="F186" s="158" t="s">
        <v>7</v>
      </c>
      <c r="G186" s="59"/>
      <c r="H186" s="157" t="s">
        <v>70</v>
      </c>
      <c r="I186" s="157" t="s">
        <v>9</v>
      </c>
      <c r="J186" s="157" t="s">
        <v>19</v>
      </c>
      <c r="K186" s="158" t="s">
        <v>71</v>
      </c>
    </row>
    <row r="187" spans="1:11">
      <c r="B187" s="161" t="s">
        <v>63</v>
      </c>
      <c r="C187" s="152">
        <f>Model!$BE$124</f>
        <v>11413.076000000001</v>
      </c>
      <c r="D187" s="152">
        <f>C187*I$182</f>
        <v>286.66274840757933</v>
      </c>
      <c r="E187" s="95"/>
      <c r="F187" s="95"/>
      <c r="G187" s="95"/>
      <c r="H187" s="161" t="s">
        <v>21</v>
      </c>
      <c r="I187" s="217">
        <v>11413.075999999999</v>
      </c>
      <c r="J187" s="152">
        <f>I187*$I$182</f>
        <v>286.66274840757927</v>
      </c>
      <c r="K187" s="95"/>
    </row>
    <row r="188" spans="1:11">
      <c r="B188" s="162" t="s">
        <v>64</v>
      </c>
      <c r="C188" s="151">
        <f>C187</f>
        <v>11413.076000000001</v>
      </c>
      <c r="D188" s="151">
        <f>D187</f>
        <v>286.66274840757933</v>
      </c>
      <c r="E188" s="163">
        <f>C188/C200</f>
        <v>0.46341871041091443</v>
      </c>
      <c r="F188" s="163">
        <f>D188/D200</f>
        <v>0.41487742770651898</v>
      </c>
      <c r="G188" s="95"/>
      <c r="H188" s="161" t="s">
        <v>22</v>
      </c>
      <c r="I188" s="217">
        <v>126422.13499999999</v>
      </c>
      <c r="J188" s="152">
        <f>I188*$I$182</f>
        <v>3175.3505083689993</v>
      </c>
      <c r="K188" s="95"/>
    </row>
    <row r="189" spans="1:11">
      <c r="B189" s="161"/>
      <c r="C189" s="152"/>
      <c r="D189" s="152"/>
      <c r="E189" s="95"/>
      <c r="F189" s="95"/>
      <c r="G189" s="95"/>
      <c r="H189" s="161" t="s">
        <v>24</v>
      </c>
      <c r="I189" s="217">
        <v>67298.964999999997</v>
      </c>
      <c r="J189" s="152">
        <f>I189*$I$182</f>
        <v>1690.3511614121805</v>
      </c>
      <c r="K189" s="95"/>
    </row>
    <row r="190" spans="1:11">
      <c r="B190" s="161" t="s">
        <v>14</v>
      </c>
      <c r="C190" s="152">
        <f>SUM(Model!$BE$125:$BE$145)</f>
        <v>153135</v>
      </c>
      <c r="D190" s="152">
        <f>C190*$I$182</f>
        <v>3846.2987521851828</v>
      </c>
      <c r="E190" s="95"/>
      <c r="F190" s="95"/>
      <c r="G190" s="96"/>
      <c r="H190" s="162" t="s">
        <v>23</v>
      </c>
      <c r="I190" s="151">
        <f>SUM(I187:I189)</f>
        <v>205134.17599999998</v>
      </c>
      <c r="J190" s="151">
        <f>SUM(J187:J189)</f>
        <v>5152.3644181887594</v>
      </c>
      <c r="K190" s="163">
        <f>+I190/I196</f>
        <v>8.3293071300958257</v>
      </c>
    </row>
    <row r="191" spans="1:11">
      <c r="B191" s="162" t="s">
        <v>15</v>
      </c>
      <c r="C191" s="151">
        <f>C190</f>
        <v>153135</v>
      </c>
      <c r="D191" s="151">
        <f>D190</f>
        <v>3846.2987521851828</v>
      </c>
      <c r="E191" s="163">
        <f>C191/C200</f>
        <v>6.2179226896215694</v>
      </c>
      <c r="F191" s="163">
        <f>D191/D200</f>
        <v>5.5666198044977344</v>
      </c>
      <c r="G191" s="96"/>
      <c r="H191" s="164" t="s">
        <v>25</v>
      </c>
      <c r="I191" s="149">
        <f>C196</f>
        <v>60075.144</v>
      </c>
      <c r="J191" s="152">
        <f>I191*$I$182</f>
        <v>1508.9101211646271</v>
      </c>
      <c r="K191" s="165"/>
    </row>
    <row r="192" spans="1:11">
      <c r="B192" s="161" t="s">
        <v>17</v>
      </c>
      <c r="C192" s="152">
        <f>Model!$BE$146</f>
        <v>20321</v>
      </c>
      <c r="D192" s="152">
        <f>C192*$I$182</f>
        <v>510.403480217815</v>
      </c>
      <c r="E192" s="95"/>
      <c r="F192" s="95"/>
      <c r="G192" s="96"/>
      <c r="H192" s="164"/>
      <c r="I192" s="149"/>
      <c r="J192" s="154"/>
      <c r="K192" s="165"/>
    </row>
    <row r="193" spans="2:11">
      <c r="B193" s="161" t="s">
        <v>18</v>
      </c>
      <c r="C193" s="152">
        <f>Model!$BE$147</f>
        <v>16284</v>
      </c>
      <c r="D193" s="152">
        <f>C193*$I$182</f>
        <v>409.00596780999456</v>
      </c>
      <c r="E193" s="95"/>
      <c r="F193" s="95"/>
      <c r="G193" s="96"/>
      <c r="H193" s="162" t="s">
        <v>26</v>
      </c>
      <c r="I193" s="151">
        <f>+I190-I191</f>
        <v>145059.03199999998</v>
      </c>
      <c r="J193" s="151">
        <f>+J190-J191</f>
        <v>3643.4542970241323</v>
      </c>
      <c r="K193" s="163">
        <f>+I193/I196</f>
        <v>5.8900045476693181</v>
      </c>
    </row>
    <row r="194" spans="2:11">
      <c r="B194" s="161" t="s">
        <v>20</v>
      </c>
      <c r="C194" s="152">
        <f>Model!$BE$148</f>
        <v>15400</v>
      </c>
      <c r="D194" s="152">
        <f>C194*$I$182</f>
        <v>386.80249964836133</v>
      </c>
      <c r="E194" s="95"/>
      <c r="F194" s="95"/>
      <c r="G194" s="96"/>
      <c r="H194" s="164" t="s">
        <v>27</v>
      </c>
      <c r="I194" s="73">
        <f>C198</f>
        <v>87579.635999999999</v>
      </c>
      <c r="J194" s="152">
        <f>I194*$I$182</f>
        <v>2199.7416963047799</v>
      </c>
      <c r="K194" s="165"/>
    </row>
    <row r="195" spans="2:11">
      <c r="B195" s="162" t="s">
        <v>23</v>
      </c>
      <c r="C195" s="151">
        <f>SUM(C192:C194)+C191+C188</f>
        <v>216553.076</v>
      </c>
      <c r="D195" s="151">
        <f>SUM(D192:D194)+D191+D188</f>
        <v>5439.1734482689335</v>
      </c>
      <c r="E195" s="163">
        <f>+C195/C200</f>
        <v>8.7929623193113535</v>
      </c>
      <c r="F195" s="163">
        <f>+D195/D200</f>
        <v>7.8719341860874588</v>
      </c>
      <c r="H195" s="166" t="s">
        <v>28</v>
      </c>
      <c r="I195" s="77">
        <f>I190+I194</f>
        <v>292713.81199999998</v>
      </c>
      <c r="J195" s="155" t="s">
        <v>72</v>
      </c>
      <c r="K195" s="167"/>
    </row>
    <row r="196" spans="2:11">
      <c r="B196" s="164" t="s">
        <v>25</v>
      </c>
      <c r="C196" s="149">
        <f>Model!$BE$150</f>
        <v>60075.144</v>
      </c>
      <c r="D196" s="152">
        <f>C196*$I$182</f>
        <v>1508.9101211646271</v>
      </c>
      <c r="E196" s="165"/>
      <c r="F196" s="165"/>
      <c r="H196" s="164" t="s">
        <v>29</v>
      </c>
      <c r="I196" s="211">
        <f>C200</f>
        <v>24628</v>
      </c>
      <c r="J196" s="152">
        <f>I196*$I$183</f>
        <v>690.95768837624564</v>
      </c>
      <c r="K196" s="164"/>
    </row>
    <row r="197" spans="2:11">
      <c r="B197" s="162" t="s">
        <v>26</v>
      </c>
      <c r="C197" s="151">
        <f>+C195-C196</f>
        <v>156477.932</v>
      </c>
      <c r="D197" s="151">
        <f>+D195-D196</f>
        <v>3930.2633271043064</v>
      </c>
      <c r="E197" s="163">
        <f>+C197/C200</f>
        <v>6.3536597368848469</v>
      </c>
      <c r="F197" s="163">
        <f>+D197/D200</f>
        <v>5.6881389312570594</v>
      </c>
    </row>
    <row r="198" spans="2:11">
      <c r="B198" s="164" t="s">
        <v>27</v>
      </c>
      <c r="C198" s="73">
        <f>Model!$BE$162</f>
        <v>87579.635999999999</v>
      </c>
      <c r="D198" s="152">
        <f>C198*$I$182</f>
        <v>2199.7416963047799</v>
      </c>
      <c r="E198" s="165"/>
      <c r="F198" s="165"/>
      <c r="H198" s="162" t="s">
        <v>32</v>
      </c>
      <c r="I198" s="265">
        <v>5.86</v>
      </c>
    </row>
    <row r="199" spans="2:11">
      <c r="B199" s="166" t="s">
        <v>28</v>
      </c>
      <c r="C199" s="77">
        <f>C195+C198</f>
        <v>304132.712</v>
      </c>
      <c r="D199" s="77">
        <f>D195+D198</f>
        <v>7638.9151445737134</v>
      </c>
      <c r="E199" s="167"/>
      <c r="F199" s="167"/>
    </row>
    <row r="200" spans="2:11">
      <c r="B200" s="164" t="s">
        <v>29</v>
      </c>
      <c r="C200" s="211">
        <f>Model!$BE$95</f>
        <v>24628</v>
      </c>
      <c r="D200" s="211">
        <f>C200*I183</f>
        <v>690.95768837624564</v>
      </c>
      <c r="E200" s="164"/>
      <c r="F200" s="164"/>
    </row>
    <row r="202" spans="2:11">
      <c r="B202" s="97" t="s">
        <v>30</v>
      </c>
      <c r="C202" s="98">
        <f>C195-Model!$BE$153</f>
        <v>0</v>
      </c>
    </row>
    <row r="204" spans="2:11">
      <c r="B204" s="250" t="s">
        <v>31</v>
      </c>
      <c r="C204" s="251">
        <f>C197+Model!$BE$161</f>
        <v>230817.29200000002</v>
      </c>
    </row>
    <row r="205" spans="2:11">
      <c r="B205" s="250" t="s">
        <v>33</v>
      </c>
      <c r="C205" s="252">
        <f>C204/C200</f>
        <v>9.3721492610037362</v>
      </c>
    </row>
    <row r="207" spans="2:11" ht="13.5" thickBot="1"/>
    <row r="208" spans="2:11">
      <c r="B208" s="65" t="s">
        <v>73</v>
      </c>
      <c r="C208" s="248" t="s">
        <v>74</v>
      </c>
      <c r="D208" s="248" t="s">
        <v>75</v>
      </c>
    </row>
    <row r="209" spans="1:10">
      <c r="B209" s="67"/>
      <c r="C209" s="93"/>
      <c r="D209" s="93"/>
    </row>
    <row r="210" spans="1:10">
      <c r="B210" s="67" t="s">
        <v>35</v>
      </c>
      <c r="C210" s="213">
        <f>C196</f>
        <v>60075.144</v>
      </c>
      <c r="D210" s="213">
        <f>C210*I182</f>
        <v>1508.9101211646271</v>
      </c>
    </row>
    <row r="211" spans="1:10" ht="13.5" thickBot="1">
      <c r="B211" s="210" t="s">
        <v>36</v>
      </c>
      <c r="C211" s="214">
        <f>SUM(C209:C210)</f>
        <v>60075.144</v>
      </c>
      <c r="D211" s="214">
        <f>SUM(D209:D210)</f>
        <v>1508.9101211646271</v>
      </c>
    </row>
    <row r="213" spans="1:10">
      <c r="C213" s="32"/>
    </row>
    <row r="214" spans="1:10" ht="13.5" thickBot="1"/>
    <row r="215" spans="1:10">
      <c r="B215" s="170" t="s">
        <v>76</v>
      </c>
      <c r="C215" s="66" t="s">
        <v>74</v>
      </c>
      <c r="D215" s="66" t="s">
        <v>77</v>
      </c>
      <c r="E215" s="66" t="s">
        <v>38</v>
      </c>
    </row>
    <row r="216" spans="1:10">
      <c r="B216" s="189">
        <v>2025</v>
      </c>
      <c r="C216" s="215">
        <f>$C$195*E216</f>
        <v>71462.515079999997</v>
      </c>
      <c r="D216" s="215">
        <f>C216*$I$182</f>
        <v>1794.9272379287477</v>
      </c>
      <c r="E216" s="220">
        <v>0.33</v>
      </c>
      <c r="F216" s="47"/>
      <c r="G216" s="183"/>
    </row>
    <row r="217" spans="1:10">
      <c r="B217" s="189">
        <v>2026</v>
      </c>
      <c r="C217" s="215">
        <f>$C$195*E217</f>
        <v>64965.9228</v>
      </c>
      <c r="D217" s="215">
        <f>C217*$I$182</f>
        <v>1631.7520344806799</v>
      </c>
      <c r="E217" s="220">
        <v>0.3</v>
      </c>
      <c r="F217" s="47"/>
      <c r="G217" s="183"/>
    </row>
    <row r="218" spans="1:10">
      <c r="B218" s="189">
        <v>2027</v>
      </c>
      <c r="C218" s="215">
        <f>$C$195*E218</f>
        <v>41145.084439999999</v>
      </c>
      <c r="D218" s="215">
        <f>C218*$I$182</f>
        <v>1033.4429551710973</v>
      </c>
      <c r="E218" s="220">
        <v>0.19</v>
      </c>
      <c r="F218" s="47"/>
      <c r="G218" s="183"/>
      <c r="H218" s="249"/>
    </row>
    <row r="219" spans="1:10">
      <c r="B219" s="189">
        <v>2028</v>
      </c>
      <c r="C219" s="215">
        <f>$C$195*E219</f>
        <v>25986.369119999999</v>
      </c>
      <c r="D219" s="215">
        <f>C219*$I$182</f>
        <v>652.7008137922719</v>
      </c>
      <c r="E219" s="220">
        <v>0.12</v>
      </c>
      <c r="F219" s="47"/>
      <c r="G219" s="183"/>
      <c r="H219" s="249"/>
    </row>
    <row r="220" spans="1:10" ht="13.5" thickBot="1">
      <c r="B220" s="189" t="s">
        <v>39</v>
      </c>
      <c r="C220" s="215">
        <f>$C$195*E220</f>
        <v>12993.18456</v>
      </c>
      <c r="D220" s="215">
        <f>C220*$I$182</f>
        <v>326.35040689613595</v>
      </c>
      <c r="E220" s="220">
        <v>0.06</v>
      </c>
      <c r="F220" s="47"/>
      <c r="G220" s="183"/>
      <c r="H220" s="249"/>
    </row>
    <row r="221" spans="1:10" ht="13.5" thickBot="1">
      <c r="B221" s="238" t="s">
        <v>40</v>
      </c>
      <c r="C221" s="216">
        <f>SUM(C216:C220)</f>
        <v>216553.07599999997</v>
      </c>
      <c r="D221" s="216">
        <f>SUM(D216:D220)</f>
        <v>5439.1734482689326</v>
      </c>
      <c r="E221" s="207">
        <f>SUM(E216:E220)</f>
        <v>1</v>
      </c>
      <c r="G221" s="183"/>
    </row>
    <row r="223" spans="1:10">
      <c r="A223" s="59" t="s">
        <v>78</v>
      </c>
      <c r="H223" s="59" t="s">
        <v>79</v>
      </c>
      <c r="I223" s="92">
        <f>Model!$BD$250</f>
        <v>2.6356225472237673E-2</v>
      </c>
      <c r="J223" s="92"/>
    </row>
    <row r="224" spans="1:10">
      <c r="H224" s="59" t="s">
        <v>80</v>
      </c>
      <c r="I224" s="92">
        <f>AVERAGE(Model!$BA$249:$BD$249)</f>
        <v>2.9335752577144748E-2</v>
      </c>
      <c r="J224" s="92"/>
    </row>
    <row r="225" spans="2:11">
      <c r="H225" s="59"/>
      <c r="I225" s="92"/>
    </row>
    <row r="226" spans="2:11">
      <c r="H226" s="184" t="s">
        <v>8</v>
      </c>
      <c r="I226" s="92"/>
    </row>
    <row r="227" spans="2:11" ht="25.5">
      <c r="B227" s="247" t="s">
        <v>81</v>
      </c>
      <c r="C227" s="157" t="s">
        <v>9</v>
      </c>
      <c r="D227" s="157" t="s">
        <v>19</v>
      </c>
      <c r="E227" s="158" t="s">
        <v>71</v>
      </c>
      <c r="F227" s="158" t="s">
        <v>7</v>
      </c>
      <c r="G227" s="59"/>
      <c r="H227" s="157" t="s">
        <v>81</v>
      </c>
      <c r="I227" s="157" t="s">
        <v>9</v>
      </c>
      <c r="J227" s="157" t="s">
        <v>19</v>
      </c>
      <c r="K227" s="158" t="s">
        <v>71</v>
      </c>
    </row>
    <row r="228" spans="2:11">
      <c r="B228" s="161" t="s">
        <v>63</v>
      </c>
      <c r="C228" s="152">
        <f>Model!$BD$124</f>
        <v>10280.156999999999</v>
      </c>
      <c r="D228" s="152">
        <f>C228*I$223</f>
        <v>270.94613578200239</v>
      </c>
      <c r="E228" s="95"/>
      <c r="F228" s="95"/>
      <c r="G228" s="95"/>
      <c r="H228" s="161" t="s">
        <v>21</v>
      </c>
      <c r="I228" s="217">
        <v>10280.156999999999</v>
      </c>
      <c r="J228" s="152">
        <f>I228*$I$223</f>
        <v>270.94613578200239</v>
      </c>
      <c r="K228" s="95"/>
    </row>
    <row r="229" spans="2:11">
      <c r="B229" s="162" t="s">
        <v>64</v>
      </c>
      <c r="C229" s="151">
        <f>C228</f>
        <v>10280.156999999999</v>
      </c>
      <c r="D229" s="151">
        <f>D228</f>
        <v>270.94613578200239</v>
      </c>
      <c r="E229" s="163">
        <f>C229/C241</f>
        <v>0.44772252950655456</v>
      </c>
      <c r="F229" s="163">
        <f>D229/D241</f>
        <v>0.40224895903535934</v>
      </c>
      <c r="G229" s="95"/>
      <c r="H229" s="161" t="s">
        <v>22</v>
      </c>
      <c r="I229" s="217">
        <v>75808.277000000002</v>
      </c>
      <c r="J229" s="152">
        <f t="shared" ref="J229:J230" si="21">I229*$I$223</f>
        <v>1998.0200412738493</v>
      </c>
      <c r="K229" s="95"/>
    </row>
    <row r="230" spans="2:11">
      <c r="B230" s="161"/>
      <c r="C230" s="152"/>
      <c r="D230" s="152"/>
      <c r="E230" s="95"/>
      <c r="F230" s="95"/>
      <c r="G230" s="95"/>
      <c r="H230" s="161" t="s">
        <v>24</v>
      </c>
      <c r="I230" s="217">
        <v>72474.766000000003</v>
      </c>
      <c r="J230" s="152">
        <f t="shared" si="21"/>
        <v>1910.1612737436649</v>
      </c>
      <c r="K230" s="95"/>
    </row>
    <row r="231" spans="2:11">
      <c r="B231" s="161" t="s">
        <v>14</v>
      </c>
      <c r="C231" s="152">
        <f>SUM(Model!$BD$125:$BD$145)</f>
        <v>123039</v>
      </c>
      <c r="D231" s="152">
        <f>C231*$I$223</f>
        <v>3242.843625878651</v>
      </c>
      <c r="E231" s="95"/>
      <c r="F231" s="95"/>
      <c r="G231" s="96"/>
      <c r="H231" s="162" t="s">
        <v>23</v>
      </c>
      <c r="I231" s="151">
        <f>SUM(I228:I230)</f>
        <v>158563.20000000001</v>
      </c>
      <c r="J231" s="151">
        <f>SUM(J228:J230)</f>
        <v>4179.1274507995167</v>
      </c>
      <c r="K231" s="163">
        <f>+I231/I237</f>
        <v>6.905761944166195</v>
      </c>
    </row>
    <row r="232" spans="2:11">
      <c r="B232" s="162" t="s">
        <v>15</v>
      </c>
      <c r="C232" s="151">
        <f>C231</f>
        <v>123039</v>
      </c>
      <c r="D232" s="151">
        <f>D231</f>
        <v>3242.843625878651</v>
      </c>
      <c r="E232" s="163">
        <f>C232/C241</f>
        <v>5.3586080745612126</v>
      </c>
      <c r="F232" s="163">
        <f>D232/D241</f>
        <v>4.8143534841687323</v>
      </c>
      <c r="G232" s="96"/>
      <c r="H232" s="164" t="s">
        <v>25</v>
      </c>
      <c r="I232" s="149">
        <f>C237</f>
        <v>43866.671000000002</v>
      </c>
      <c r="J232" s="152">
        <f>I232*$I$223</f>
        <v>1156.1598715924697</v>
      </c>
      <c r="K232" s="165"/>
    </row>
    <row r="233" spans="2:11">
      <c r="B233" s="161" t="s">
        <v>17</v>
      </c>
      <c r="C233" s="152">
        <f>Model!$BD$146</f>
        <v>18913</v>
      </c>
      <c r="D233" s="152">
        <f>C233*$I$223</f>
        <v>498.47529235643111</v>
      </c>
      <c r="E233" s="95"/>
      <c r="F233" s="95"/>
      <c r="G233" s="96"/>
      <c r="H233" s="164"/>
      <c r="I233" s="149"/>
      <c r="J233" s="154"/>
      <c r="K233" s="165"/>
    </row>
    <row r="234" spans="2:11">
      <c r="B234" s="161" t="s">
        <v>18</v>
      </c>
      <c r="C234" s="152">
        <f>Model!$BD$147</f>
        <v>14545</v>
      </c>
      <c r="D234" s="152">
        <f>C234*$I$223</f>
        <v>383.35129949369696</v>
      </c>
      <c r="E234" s="95"/>
      <c r="F234" s="95"/>
      <c r="G234" s="96"/>
      <c r="H234" s="162" t="s">
        <v>26</v>
      </c>
      <c r="I234" s="151">
        <f>+I231-I232</f>
        <v>114696.52900000001</v>
      </c>
      <c r="J234" s="151">
        <f>+J231-J232</f>
        <v>3022.967579207047</v>
      </c>
      <c r="K234" s="163">
        <f>+I234/I237</f>
        <v>4.9952758590653721</v>
      </c>
    </row>
    <row r="235" spans="2:11">
      <c r="B235" s="161" t="s">
        <v>20</v>
      </c>
      <c r="C235" s="152">
        <f>Model!$BD$148</f>
        <v>2074</v>
      </c>
      <c r="D235" s="152">
        <f>C235*$I$223</f>
        <v>54.662811629420936</v>
      </c>
      <c r="E235" s="95"/>
      <c r="F235" s="95"/>
      <c r="G235" s="96"/>
      <c r="H235" s="164" t="s">
        <v>27</v>
      </c>
      <c r="I235" s="73">
        <f>C239</f>
        <v>79686.207999999999</v>
      </c>
      <c r="J235" s="152">
        <f>I235*$I$223</f>
        <v>2100.2276650756294</v>
      </c>
      <c r="K235" s="165"/>
    </row>
    <row r="236" spans="2:11">
      <c r="B236" s="162" t="s">
        <v>23</v>
      </c>
      <c r="C236" s="151">
        <f>SUM(C233:C235)+C232+C229</f>
        <v>168851.15700000001</v>
      </c>
      <c r="D236" s="151">
        <f>SUM(D233:D235)+D232+D229</f>
        <v>4450.2791651402031</v>
      </c>
      <c r="E236" s="163">
        <f>+C236/C241</f>
        <v>7.3538241801315278</v>
      </c>
      <c r="F236" s="163">
        <f>+D236/D241</f>
        <v>6.6069226506138037</v>
      </c>
      <c r="H236" s="166" t="s">
        <v>28</v>
      </c>
      <c r="I236" s="77">
        <f>I231+I235</f>
        <v>238249.408</v>
      </c>
      <c r="J236" s="155" t="s">
        <v>72</v>
      </c>
      <c r="K236" s="167"/>
    </row>
    <row r="237" spans="2:11">
      <c r="B237" s="164" t="s">
        <v>25</v>
      </c>
      <c r="C237" s="149">
        <f>Model!$BD$150</f>
        <v>43866.671000000002</v>
      </c>
      <c r="D237" s="152">
        <f>C237*$I$223</f>
        <v>1156.1598715924697</v>
      </c>
      <c r="E237" s="165"/>
      <c r="F237" s="165"/>
      <c r="H237" s="164" t="s">
        <v>29</v>
      </c>
      <c r="I237" s="211">
        <f>C241</f>
        <v>22961</v>
      </c>
      <c r="J237" s="152">
        <f>I237*$I$224</f>
        <v>673.57821492382061</v>
      </c>
      <c r="K237" s="164"/>
    </row>
    <row r="238" spans="2:11">
      <c r="B238" s="162" t="s">
        <v>26</v>
      </c>
      <c r="C238" s="151">
        <f>+C236-C237</f>
        <v>124984.486</v>
      </c>
      <c r="D238" s="151">
        <f>+D236-D237</f>
        <v>3294.1192935477334</v>
      </c>
      <c r="E238" s="163">
        <f>+C238/C241</f>
        <v>5.4433380950307049</v>
      </c>
      <c r="F238" s="163">
        <f>+D238/D241</f>
        <v>4.8904777805503805</v>
      </c>
    </row>
    <row r="239" spans="2:11">
      <c r="B239" s="164" t="s">
        <v>27</v>
      </c>
      <c r="C239" s="73">
        <f>Model!$BD$162</f>
        <v>79686.207999999999</v>
      </c>
      <c r="D239" s="152">
        <f>C239*$I$223</f>
        <v>2100.2276650756294</v>
      </c>
      <c r="E239" s="165"/>
      <c r="F239" s="165"/>
      <c r="H239" s="162" t="s">
        <v>32</v>
      </c>
      <c r="I239" s="265">
        <v>5.01</v>
      </c>
    </row>
    <row r="240" spans="2:11">
      <c r="B240" s="166" t="s">
        <v>28</v>
      </c>
      <c r="C240" s="77">
        <f>C236+C239</f>
        <v>248537.36499999999</v>
      </c>
      <c r="D240" s="77">
        <f>D236+D239</f>
        <v>6550.5068302158325</v>
      </c>
      <c r="E240" s="167"/>
      <c r="F240" s="167"/>
    </row>
    <row r="241" spans="2:6">
      <c r="B241" s="164" t="s">
        <v>29</v>
      </c>
      <c r="C241" s="211">
        <f>Model!$BD$95</f>
        <v>22961</v>
      </c>
      <c r="D241" s="211">
        <f>C241*I224</f>
        <v>673.57821492382061</v>
      </c>
      <c r="E241" s="164"/>
      <c r="F241" s="164"/>
    </row>
    <row r="243" spans="2:6">
      <c r="B243" s="97" t="s">
        <v>30</v>
      </c>
      <c r="C243" s="98">
        <f>C236-Model!$BD$153</f>
        <v>0</v>
      </c>
    </row>
    <row r="245" spans="2:6">
      <c r="B245" s="250" t="s">
        <v>31</v>
      </c>
      <c r="C245" s="251">
        <f>C238+Model!$BD$161</f>
        <v>196896.486</v>
      </c>
    </row>
    <row r="246" spans="2:6">
      <c r="B246" s="250" t="s">
        <v>33</v>
      </c>
      <c r="C246" s="252">
        <f>C245/C241</f>
        <v>8.5752574365227989</v>
      </c>
    </row>
    <row r="248" spans="2:6" ht="13.5" thickBot="1"/>
    <row r="249" spans="2:6">
      <c r="B249" s="65" t="s">
        <v>82</v>
      </c>
      <c r="C249" s="248" t="s">
        <v>74</v>
      </c>
      <c r="D249" s="248" t="s">
        <v>75</v>
      </c>
    </row>
    <row r="250" spans="2:6">
      <c r="B250" s="67"/>
      <c r="C250" s="93"/>
      <c r="D250" s="93"/>
    </row>
    <row r="251" spans="2:6">
      <c r="B251" s="67" t="s">
        <v>35</v>
      </c>
      <c r="C251" s="213">
        <f>C237</f>
        <v>43866.671000000002</v>
      </c>
      <c r="D251" s="213">
        <f>C251*I223</f>
        <v>1156.1598715924697</v>
      </c>
    </row>
    <row r="252" spans="2:6" ht="13.5" thickBot="1">
      <c r="B252" s="210" t="s">
        <v>36</v>
      </c>
      <c r="C252" s="214">
        <f>SUM(C250:C251)</f>
        <v>43866.671000000002</v>
      </c>
      <c r="D252" s="214">
        <f>SUM(D250:D251)</f>
        <v>1156.1598715924697</v>
      </c>
    </row>
    <row r="254" spans="2:6">
      <c r="C254" s="32"/>
    </row>
    <row r="255" spans="2:6" ht="13.5" thickBot="1"/>
    <row r="256" spans="2:6">
      <c r="B256" s="170" t="s">
        <v>83</v>
      </c>
      <c r="C256" s="66" t="s">
        <v>74</v>
      </c>
      <c r="D256" s="66" t="s">
        <v>77</v>
      </c>
      <c r="E256" s="66" t="s">
        <v>38</v>
      </c>
    </row>
    <row r="257" spans="1:11">
      <c r="B257" s="189">
        <v>2025</v>
      </c>
      <c r="C257" s="215">
        <f>$C$236*E257</f>
        <v>62474.928090000001</v>
      </c>
      <c r="D257" s="215">
        <f>C257*$I$223</f>
        <v>1646.6032911018749</v>
      </c>
      <c r="E257" s="220">
        <v>0.37</v>
      </c>
      <c r="F257" s="47"/>
      <c r="G257" s="183"/>
    </row>
    <row r="258" spans="1:11">
      <c r="B258" s="189">
        <v>2026</v>
      </c>
      <c r="C258" s="215">
        <f t="shared" ref="C258:C261" si="22">$C$236*E258</f>
        <v>40524.277679999999</v>
      </c>
      <c r="D258" s="215">
        <f t="shared" ref="D258:D261" si="23">C258*$I$223</f>
        <v>1068.0669996336485</v>
      </c>
      <c r="E258" s="220">
        <v>0.24</v>
      </c>
      <c r="F258" s="47"/>
      <c r="G258" s="183"/>
    </row>
    <row r="259" spans="1:11">
      <c r="B259" s="189">
        <v>2027</v>
      </c>
      <c r="C259" s="215">
        <f t="shared" si="22"/>
        <v>35458.742969999999</v>
      </c>
      <c r="D259" s="215">
        <f t="shared" si="23"/>
        <v>934.55862467944246</v>
      </c>
      <c r="E259" s="220">
        <v>0.21</v>
      </c>
      <c r="F259" s="47"/>
      <c r="G259" s="183"/>
      <c r="H259" s="249"/>
    </row>
    <row r="260" spans="1:11">
      <c r="B260" s="189">
        <v>2028</v>
      </c>
      <c r="C260" s="215">
        <f t="shared" si="22"/>
        <v>21950.650410000002</v>
      </c>
      <c r="D260" s="215">
        <f t="shared" si="23"/>
        <v>578.53629146822641</v>
      </c>
      <c r="E260" s="220">
        <v>0.13</v>
      </c>
      <c r="F260" s="47"/>
      <c r="G260" s="183"/>
      <c r="H260" s="249"/>
    </row>
    <row r="261" spans="1:11" ht="13.5" thickBot="1">
      <c r="B261" s="189" t="s">
        <v>84</v>
      </c>
      <c r="C261" s="215">
        <f t="shared" si="22"/>
        <v>8442.5578500000011</v>
      </c>
      <c r="D261" s="215">
        <f t="shared" si="23"/>
        <v>222.51395825701016</v>
      </c>
      <c r="E261" s="220">
        <v>0.05</v>
      </c>
      <c r="F261" s="47"/>
      <c r="G261" s="183"/>
      <c r="H261" s="249"/>
    </row>
    <row r="262" spans="1:11" ht="13.5" thickBot="1">
      <c r="B262" s="238" t="s">
        <v>40</v>
      </c>
      <c r="C262" s="216">
        <f>SUM(C257:C261)</f>
        <v>168851.15700000001</v>
      </c>
      <c r="D262" s="216">
        <f>SUM(D257:D261)</f>
        <v>4450.2791651402022</v>
      </c>
      <c r="E262" s="207">
        <f>SUM(E257:E261)</f>
        <v>1</v>
      </c>
      <c r="G262" s="183"/>
    </row>
    <row r="264" spans="1:11">
      <c r="A264" s="59" t="s">
        <v>85</v>
      </c>
      <c r="H264" s="59" t="s">
        <v>86</v>
      </c>
      <c r="I264" s="92">
        <f>Model!$BC$250</f>
        <v>2.8300551860761285E-2</v>
      </c>
      <c r="J264" s="92"/>
    </row>
    <row r="265" spans="1:11">
      <c r="H265" s="59" t="s">
        <v>87</v>
      </c>
      <c r="I265" s="92">
        <f>AVERAGE(Model!$AZ$249:$BC$249)</f>
        <v>3.0504496138146653E-2</v>
      </c>
      <c r="J265" s="92"/>
    </row>
    <row r="266" spans="1:11">
      <c r="H266" s="59"/>
      <c r="I266" s="92"/>
    </row>
    <row r="267" spans="1:11">
      <c r="H267" s="184" t="s">
        <v>8</v>
      </c>
      <c r="I267" s="92"/>
    </row>
    <row r="268" spans="1:11" ht="25.5">
      <c r="B268" s="247" t="s">
        <v>88</v>
      </c>
      <c r="C268" s="157" t="s">
        <v>9</v>
      </c>
      <c r="D268" s="157" t="s">
        <v>19</v>
      </c>
      <c r="E268" s="158" t="s">
        <v>71</v>
      </c>
      <c r="F268" s="158" t="s">
        <v>7</v>
      </c>
      <c r="G268" s="59"/>
      <c r="H268" s="157" t="s">
        <v>88</v>
      </c>
      <c r="I268" s="157" t="s">
        <v>9</v>
      </c>
      <c r="J268" s="157" t="s">
        <v>19</v>
      </c>
      <c r="K268" s="158" t="s">
        <v>71</v>
      </c>
    </row>
    <row r="269" spans="1:11">
      <c r="B269" s="161" t="s">
        <v>63</v>
      </c>
      <c r="C269" s="152">
        <f>Model!$BC$124</f>
        <v>8911.5489999999991</v>
      </c>
      <c r="D269" s="152">
        <f>C269*I$264</f>
        <v>252.20175463421535</v>
      </c>
      <c r="E269" s="95"/>
      <c r="F269" s="95"/>
      <c r="G269" s="95"/>
      <c r="H269" s="161" t="s">
        <v>21</v>
      </c>
      <c r="I269" s="217">
        <v>8911.5490000000009</v>
      </c>
      <c r="J269" s="152">
        <f>I269*$I$264</f>
        <v>252.2017546342154</v>
      </c>
      <c r="K269" s="95"/>
    </row>
    <row r="270" spans="1:11">
      <c r="B270" s="162" t="s">
        <v>64</v>
      </c>
      <c r="C270" s="151">
        <f>C269</f>
        <v>8911.5489999999991</v>
      </c>
      <c r="D270" s="151">
        <f>D269</f>
        <v>252.20175463421535</v>
      </c>
      <c r="E270" s="163">
        <f>C270/C282</f>
        <v>0.38869232782309066</v>
      </c>
      <c r="F270" s="163">
        <f>D270/D282</f>
        <v>0.36060937809365629</v>
      </c>
      <c r="G270" s="95"/>
      <c r="H270" s="161" t="s">
        <v>22</v>
      </c>
      <c r="I270" s="217">
        <v>59824.599000000002</v>
      </c>
      <c r="J270" s="152">
        <f t="shared" ref="J270:J271" si="24">I270*$I$264</f>
        <v>1693.0691665487477</v>
      </c>
      <c r="K270" s="95"/>
    </row>
    <row r="271" spans="1:11">
      <c r="B271" s="161"/>
      <c r="C271" s="152"/>
      <c r="D271" s="152"/>
      <c r="E271" s="95"/>
      <c r="F271" s="95"/>
      <c r="G271" s="95"/>
      <c r="H271" s="161" t="s">
        <v>24</v>
      </c>
      <c r="I271" s="217">
        <v>69306.932000000001</v>
      </c>
      <c r="J271" s="152">
        <f t="shared" si="24"/>
        <v>1961.4244233762558</v>
      </c>
      <c r="K271" s="95"/>
    </row>
    <row r="272" spans="1:11">
      <c r="B272" s="161" t="s">
        <v>14</v>
      </c>
      <c r="C272" s="152">
        <f>SUM(Model!$BC$125:$BC$145)</f>
        <v>100642</v>
      </c>
      <c r="D272" s="152">
        <f>C272*$I$264</f>
        <v>2848.2241403707371</v>
      </c>
      <c r="E272" s="95"/>
      <c r="F272" s="95"/>
      <c r="G272" s="96"/>
      <c r="H272" s="162" t="s">
        <v>23</v>
      </c>
      <c r="I272" s="151">
        <f>SUM(I269:I271)</f>
        <v>138043.08000000002</v>
      </c>
      <c r="J272" s="151">
        <f>SUM(J269:J271)</f>
        <v>3906.6953445592189</v>
      </c>
      <c r="K272" s="163">
        <f>+I272/I278</f>
        <v>6.0209831203384665</v>
      </c>
    </row>
    <row r="273" spans="2:11">
      <c r="B273" s="162" t="s">
        <v>15</v>
      </c>
      <c r="C273" s="151">
        <f>C272</f>
        <v>100642</v>
      </c>
      <c r="D273" s="151">
        <f>D272</f>
        <v>2848.2241403707371</v>
      </c>
      <c r="E273" s="163">
        <f>C273/C282</f>
        <v>4.3896715662755703</v>
      </c>
      <c r="F273" s="163">
        <f>D273/D282</f>
        <v>4.0725185969466988</v>
      </c>
      <c r="G273" s="96"/>
      <c r="H273" s="164" t="s">
        <v>25</v>
      </c>
      <c r="I273" s="149">
        <f>C278</f>
        <v>50815.824999999997</v>
      </c>
      <c r="J273" s="152">
        <f>I273*$I$264</f>
        <v>1438.1158907598697</v>
      </c>
      <c r="K273" s="165"/>
    </row>
    <row r="274" spans="2:11">
      <c r="B274" s="161" t="s">
        <v>17</v>
      </c>
      <c r="C274" s="152">
        <f>Model!$BC$146</f>
        <v>18017</v>
      </c>
      <c r="D274" s="152">
        <f>C274*$I$264</f>
        <v>509.8910428753361</v>
      </c>
      <c r="E274" s="95"/>
      <c r="F274" s="95"/>
      <c r="G274" s="96"/>
      <c r="H274" s="164"/>
      <c r="I274" s="149"/>
      <c r="J274" s="154"/>
      <c r="K274" s="165"/>
    </row>
    <row r="275" spans="2:11">
      <c r="B275" s="161" t="s">
        <v>18</v>
      </c>
      <c r="C275" s="152">
        <f>Model!$BC$147</f>
        <v>13024</v>
      </c>
      <c r="D275" s="152">
        <f t="shared" ref="D275:D276" si="25">C275*$I$264</f>
        <v>368.58638743455498</v>
      </c>
      <c r="E275" s="95"/>
      <c r="F275" s="95"/>
      <c r="G275" s="96"/>
      <c r="H275" s="162" t="s">
        <v>26</v>
      </c>
      <c r="I275" s="151">
        <f>+I272-I273</f>
        <v>87227.255000000019</v>
      </c>
      <c r="J275" s="151">
        <f>+J272-J273</f>
        <v>2468.5794537993493</v>
      </c>
      <c r="K275" s="163">
        <f>+I275/I278</f>
        <v>3.804564705369216</v>
      </c>
    </row>
    <row r="276" spans="2:11">
      <c r="B276" s="161" t="s">
        <v>20</v>
      </c>
      <c r="C276" s="152">
        <f>Model!$BC$148</f>
        <v>6364</v>
      </c>
      <c r="D276" s="152">
        <f t="shared" si="25"/>
        <v>180.10471204188482</v>
      </c>
      <c r="E276" s="95"/>
      <c r="F276" s="95"/>
      <c r="G276" s="96"/>
      <c r="H276" s="164" t="s">
        <v>27</v>
      </c>
      <c r="I276" s="73">
        <f>C280</f>
        <v>98252.467000000004</v>
      </c>
      <c r="J276" s="152">
        <f>I276*$I$264</f>
        <v>2780.5990377812368</v>
      </c>
      <c r="K276" s="165"/>
    </row>
    <row r="277" spans="2:11">
      <c r="B277" s="162" t="s">
        <v>23</v>
      </c>
      <c r="C277" s="151">
        <f>SUM(C274:C276)+C273+C270</f>
        <v>146958.549</v>
      </c>
      <c r="D277" s="151">
        <f>SUM(D274:D276)+D273+D270</f>
        <v>4159.008037356728</v>
      </c>
      <c r="E277" s="163">
        <f>+C277/C282</f>
        <v>6.4098464256117245</v>
      </c>
      <c r="F277" s="163">
        <f>+D277/D282</f>
        <v>5.9467361914787329</v>
      </c>
      <c r="H277" s="166" t="s">
        <v>28</v>
      </c>
      <c r="I277" s="77">
        <f>I272+I276</f>
        <v>236295.54700000002</v>
      </c>
      <c r="J277" s="155">
        <f>J272+J276</f>
        <v>6687.2943823404557</v>
      </c>
      <c r="K277" s="167"/>
    </row>
    <row r="278" spans="2:11">
      <c r="B278" s="164" t="s">
        <v>25</v>
      </c>
      <c r="C278" s="149">
        <f>Model!$BC$150</f>
        <v>50815.824999999997</v>
      </c>
      <c r="D278" s="152">
        <f>C278*$I$264</f>
        <v>1438.1158907598697</v>
      </c>
      <c r="E278" s="165"/>
      <c r="F278" s="165"/>
      <c r="H278" s="164" t="s">
        <v>29</v>
      </c>
      <c r="I278" s="211">
        <f>C282</f>
        <v>22927</v>
      </c>
      <c r="J278" s="152">
        <f>I278*$I$265</f>
        <v>699.37658295928827</v>
      </c>
      <c r="K278" s="164"/>
    </row>
    <row r="279" spans="2:11">
      <c r="B279" s="162" t="s">
        <v>26</v>
      </c>
      <c r="C279" s="151">
        <f>+C277-C278</f>
        <v>96142.724000000002</v>
      </c>
      <c r="D279" s="151">
        <f>+D277-D278</f>
        <v>2720.8921465968583</v>
      </c>
      <c r="E279" s="163">
        <f>+C279/C282</f>
        <v>4.1934280106424744</v>
      </c>
      <c r="F279" s="163">
        <f>+D279/D282</f>
        <v>3.8904536023838325</v>
      </c>
    </row>
    <row r="280" spans="2:11">
      <c r="B280" s="164" t="s">
        <v>27</v>
      </c>
      <c r="C280" s="73">
        <f>Model!$BC$162</f>
        <v>98252.467000000004</v>
      </c>
      <c r="D280" s="152">
        <f>C280*$I$264</f>
        <v>2780.5990377812368</v>
      </c>
      <c r="E280" s="165"/>
      <c r="F280" s="165"/>
      <c r="H280" s="162" t="s">
        <v>32</v>
      </c>
      <c r="I280" s="218">
        <v>3.8</v>
      </c>
    </row>
    <row r="281" spans="2:11">
      <c r="B281" s="166" t="s">
        <v>28</v>
      </c>
      <c r="C281" s="77">
        <f>C277+C280</f>
        <v>245211.016</v>
      </c>
      <c r="D281" s="77">
        <f>D277+D280</f>
        <v>6939.6070751379648</v>
      </c>
      <c r="E281" s="167"/>
      <c r="F281" s="167"/>
    </row>
    <row r="282" spans="2:11">
      <c r="B282" s="164" t="s">
        <v>29</v>
      </c>
      <c r="C282" s="211">
        <f>Model!$BC$95</f>
        <v>22927</v>
      </c>
      <c r="D282" s="211">
        <f>C282*I265</f>
        <v>699.37658295928827</v>
      </c>
      <c r="E282" s="164"/>
      <c r="F282" s="164"/>
    </row>
    <row r="284" spans="2:11">
      <c r="B284" s="97" t="s">
        <v>30</v>
      </c>
      <c r="C284" s="98">
        <f>C277-Model!$BC$153</f>
        <v>0</v>
      </c>
    </row>
    <row r="286" spans="2:11">
      <c r="B286" s="250" t="s">
        <v>31</v>
      </c>
      <c r="C286" s="251">
        <f>C279+Model!$BC$161</f>
        <v>181892.72399999999</v>
      </c>
    </row>
    <row r="287" spans="2:11">
      <c r="B287" s="250" t="s">
        <v>33</v>
      </c>
      <c r="C287" s="252">
        <f>C286/C282</f>
        <v>7.9335597330658167</v>
      </c>
    </row>
    <row r="289" spans="2:8" ht="13.5" thickBot="1"/>
    <row r="290" spans="2:8">
      <c r="B290" s="65" t="s">
        <v>89</v>
      </c>
      <c r="C290" s="248" t="s">
        <v>74</v>
      </c>
      <c r="D290" s="248" t="s">
        <v>75</v>
      </c>
    </row>
    <row r="291" spans="2:8">
      <c r="B291" s="67"/>
      <c r="C291" s="93"/>
      <c r="D291" s="93"/>
    </row>
    <row r="292" spans="2:8">
      <c r="B292" s="67" t="s">
        <v>35</v>
      </c>
      <c r="C292" s="213">
        <f>C278</f>
        <v>50815.824999999997</v>
      </c>
      <c r="D292" s="213">
        <f>C292*I264</f>
        <v>1438.1158907598697</v>
      </c>
    </row>
    <row r="293" spans="2:8" ht="13.5" thickBot="1">
      <c r="B293" s="210" t="s">
        <v>36</v>
      </c>
      <c r="C293" s="214">
        <f>SUM(C291:C292)</f>
        <v>50815.824999999997</v>
      </c>
      <c r="D293" s="214">
        <f>SUM(D291:D292)</f>
        <v>1438.1158907598697</v>
      </c>
    </row>
    <row r="295" spans="2:8">
      <c r="C295" s="32"/>
    </row>
    <row r="296" spans="2:8" ht="13.5" thickBot="1"/>
    <row r="297" spans="2:8">
      <c r="B297" s="170" t="s">
        <v>90</v>
      </c>
      <c r="C297" s="66" t="s">
        <v>74</v>
      </c>
      <c r="D297" s="66" t="s">
        <v>77</v>
      </c>
      <c r="E297" s="66" t="s">
        <v>38</v>
      </c>
    </row>
    <row r="298" spans="2:8">
      <c r="B298" s="189">
        <v>2025</v>
      </c>
      <c r="C298" s="215">
        <f>$C$277*E298</f>
        <v>64661.761559999999</v>
      </c>
      <c r="D298" s="215">
        <f>C298*$I$264</f>
        <v>1829.9635364369606</v>
      </c>
      <c r="E298" s="220">
        <v>0.44</v>
      </c>
      <c r="F298" s="47"/>
      <c r="G298" s="183"/>
    </row>
    <row r="299" spans="2:8">
      <c r="B299" s="189">
        <v>2026</v>
      </c>
      <c r="C299" s="215">
        <f t="shared" ref="C299:C302" si="26">$C$277*E299</f>
        <v>27922.124309999999</v>
      </c>
      <c r="D299" s="215">
        <f t="shared" ref="D299:D302" si="27">C299*$I$264</f>
        <v>790.21152709777834</v>
      </c>
      <c r="E299" s="220">
        <v>0.19</v>
      </c>
      <c r="F299" s="47"/>
      <c r="G299" s="183"/>
    </row>
    <row r="300" spans="2:8">
      <c r="B300" s="189">
        <v>2027</v>
      </c>
      <c r="C300" s="215">
        <f t="shared" si="26"/>
        <v>26452.538819999998</v>
      </c>
      <c r="D300" s="215">
        <f t="shared" si="27"/>
        <v>748.62144672421107</v>
      </c>
      <c r="E300" s="220">
        <v>0.18</v>
      </c>
      <c r="F300" s="47"/>
      <c r="G300" s="183"/>
      <c r="H300" s="249"/>
    </row>
    <row r="301" spans="2:8">
      <c r="B301" s="189">
        <v>2028</v>
      </c>
      <c r="C301" s="215">
        <f t="shared" si="26"/>
        <v>20574.19686</v>
      </c>
      <c r="D301" s="215">
        <f t="shared" si="27"/>
        <v>582.26112522994197</v>
      </c>
      <c r="E301" s="220">
        <v>0.14000000000000001</v>
      </c>
      <c r="F301" s="47"/>
      <c r="G301" s="183"/>
      <c r="H301" s="249"/>
    </row>
    <row r="302" spans="2:8" ht="13.5" thickBot="1">
      <c r="B302" s="189" t="s">
        <v>84</v>
      </c>
      <c r="C302" s="215">
        <f t="shared" si="26"/>
        <v>7347.9274500000001</v>
      </c>
      <c r="D302" s="215">
        <f t="shared" si="27"/>
        <v>207.95040186783643</v>
      </c>
      <c r="E302" s="220">
        <v>0.05</v>
      </c>
      <c r="F302" s="47"/>
      <c r="G302" s="183"/>
      <c r="H302" s="249"/>
    </row>
    <row r="303" spans="2:8" ht="13.5" thickBot="1">
      <c r="B303" s="238" t="s">
        <v>40</v>
      </c>
      <c r="C303" s="216">
        <f>SUM(C298:C302)</f>
        <v>146958.549</v>
      </c>
      <c r="D303" s="216">
        <f>SUM(D298:D302)</f>
        <v>4159.0080373567289</v>
      </c>
      <c r="E303" s="207">
        <f>SUM(E298:E302)</f>
        <v>1</v>
      </c>
      <c r="G303" s="183"/>
    </row>
    <row r="305" spans="1:11">
      <c r="A305" s="59" t="s">
        <v>91</v>
      </c>
      <c r="H305" s="59" t="s">
        <v>92</v>
      </c>
      <c r="I305" s="92">
        <f>Model!$BB$250</f>
        <v>2.9273576206437259E-2</v>
      </c>
      <c r="J305" s="92"/>
    </row>
    <row r="306" spans="1:11">
      <c r="H306" s="59" t="s">
        <v>93</v>
      </c>
      <c r="I306" s="92">
        <f>AVERAGE(Model!$AY$249:$BB$249)</f>
        <v>3.398774531337094E-2</v>
      </c>
      <c r="J306" s="92"/>
    </row>
    <row r="307" spans="1:11">
      <c r="H307" s="59"/>
      <c r="I307" s="92"/>
    </row>
    <row r="308" spans="1:11">
      <c r="H308" s="184" t="s">
        <v>8</v>
      </c>
      <c r="I308" s="92"/>
    </row>
    <row r="309" spans="1:11" ht="25.5">
      <c r="B309" s="247" t="s">
        <v>94</v>
      </c>
      <c r="C309" s="157" t="s">
        <v>9</v>
      </c>
      <c r="D309" s="157" t="s">
        <v>19</v>
      </c>
      <c r="E309" s="158" t="s">
        <v>71</v>
      </c>
      <c r="F309" s="158" t="s">
        <v>7</v>
      </c>
      <c r="G309" s="59"/>
      <c r="H309" s="157" t="s">
        <v>94</v>
      </c>
      <c r="I309" s="157" t="s">
        <v>9</v>
      </c>
      <c r="J309" s="157" t="s">
        <v>19</v>
      </c>
      <c r="K309" s="158" t="s">
        <v>71</v>
      </c>
    </row>
    <row r="310" spans="1:11">
      <c r="B310" s="161" t="s">
        <v>63</v>
      </c>
      <c r="C310" s="152">
        <f>Model!$BB$124</f>
        <v>9757.7610000000004</v>
      </c>
      <c r="D310" s="152">
        <f>C310*I$305</f>
        <v>285.64456023770146</v>
      </c>
      <c r="E310" s="95"/>
      <c r="F310" s="95"/>
      <c r="G310" s="95"/>
      <c r="H310" s="161" t="s">
        <v>21</v>
      </c>
      <c r="I310" s="217">
        <f>2755.042+7002.719</f>
        <v>9757.7610000000004</v>
      </c>
      <c r="J310" s="152">
        <f>I310*$I$305</f>
        <v>285.64456023770146</v>
      </c>
      <c r="K310" s="95"/>
    </row>
    <row r="311" spans="1:11">
      <c r="B311" s="162" t="s">
        <v>64</v>
      </c>
      <c r="C311" s="151">
        <f>C310</f>
        <v>9757.7610000000004</v>
      </c>
      <c r="D311" s="151">
        <f>D310</f>
        <v>285.64456023770146</v>
      </c>
      <c r="E311" s="163">
        <f>C311/C323</f>
        <v>0.48835198438516592</v>
      </c>
      <c r="F311" s="163">
        <f>D311/D323</f>
        <v>0.42061657514068679</v>
      </c>
      <c r="G311" s="95"/>
      <c r="H311" s="161" t="s">
        <v>22</v>
      </c>
      <c r="I311" s="217">
        <v>55154.783000000003</v>
      </c>
      <c r="J311" s="152">
        <f>I311*$I$305</f>
        <v>1614.5777433000103</v>
      </c>
      <c r="K311" s="95"/>
    </row>
    <row r="312" spans="1:11">
      <c r="B312" s="161"/>
      <c r="C312" s="152"/>
      <c r="D312" s="152"/>
      <c r="E312" s="95"/>
      <c r="F312" s="95"/>
      <c r="G312" s="95"/>
      <c r="H312" s="161" t="s">
        <v>24</v>
      </c>
      <c r="I312" s="217">
        <v>65006.553</v>
      </c>
      <c r="J312" s="152">
        <f>I312*$I$305</f>
        <v>1902.9742831633025</v>
      </c>
      <c r="K312" s="95"/>
    </row>
    <row r="313" spans="1:11">
      <c r="B313" s="161" t="s">
        <v>14</v>
      </c>
      <c r="C313" s="152">
        <f>SUM(Model!$BB$125:$BB$145)</f>
        <v>92883</v>
      </c>
      <c r="D313" s="152">
        <f>C313*$I$305</f>
        <v>2719.0175787825119</v>
      </c>
      <c r="E313" s="95"/>
      <c r="F313" s="95"/>
      <c r="G313" s="96"/>
      <c r="H313" s="162" t="s">
        <v>23</v>
      </c>
      <c r="I313" s="151">
        <f>SUM(I310:I312)</f>
        <v>129919.09700000001</v>
      </c>
      <c r="J313" s="151">
        <f>SUM(J310:J312)</f>
        <v>3803.196586701014</v>
      </c>
      <c r="K313" s="163">
        <f>+I313/I319</f>
        <v>6.5021318752815178</v>
      </c>
    </row>
    <row r="314" spans="1:11">
      <c r="B314" s="162" t="s">
        <v>15</v>
      </c>
      <c r="C314" s="151">
        <f>C313</f>
        <v>92883</v>
      </c>
      <c r="D314" s="151">
        <f>D313</f>
        <v>2719.0175787825119</v>
      </c>
      <c r="E314" s="163">
        <f>C314/C323</f>
        <v>4.6485661378309393</v>
      </c>
      <c r="F314" s="163">
        <f>D314/D323</f>
        <v>4.0038006002393791</v>
      </c>
      <c r="G314" s="96"/>
      <c r="H314" s="164" t="s">
        <v>25</v>
      </c>
      <c r="I314" s="149">
        <f>C319</f>
        <v>34309.593000000001</v>
      </c>
      <c r="J314" s="152">
        <f>I314*$I$305</f>
        <v>1004.3644852973464</v>
      </c>
      <c r="K314" s="165"/>
    </row>
    <row r="315" spans="1:11">
      <c r="B315" s="161" t="s">
        <v>17</v>
      </c>
      <c r="C315" s="152">
        <f>Model!$BB$146</f>
        <v>17069</v>
      </c>
      <c r="D315" s="152">
        <f>C315*$I$305</f>
        <v>499.67067226767756</v>
      </c>
      <c r="E315" s="95"/>
      <c r="F315" s="95"/>
      <c r="G315" s="96"/>
      <c r="H315" s="164"/>
      <c r="I315" s="149"/>
      <c r="J315" s="154"/>
      <c r="K315" s="165"/>
    </row>
    <row r="316" spans="1:11">
      <c r="B316" s="161" t="s">
        <v>18</v>
      </c>
      <c r="C316" s="152">
        <f>Model!$BB$147</f>
        <v>13373</v>
      </c>
      <c r="D316" s="152">
        <f>C316*$I$305</f>
        <v>391.47553460868545</v>
      </c>
      <c r="E316" s="95"/>
      <c r="F316" s="95"/>
      <c r="G316" s="96"/>
      <c r="H316" s="162" t="s">
        <v>26</v>
      </c>
      <c r="I316" s="151">
        <f>+I313-I314</f>
        <v>95609.504000000015</v>
      </c>
      <c r="J316" s="151">
        <f>+J313-J314</f>
        <v>2798.8321014036674</v>
      </c>
      <c r="K316" s="163">
        <f>+I316/I319</f>
        <v>4.7850209699214261</v>
      </c>
    </row>
    <row r="317" spans="1:11">
      <c r="B317" s="161" t="s">
        <v>20</v>
      </c>
      <c r="C317" s="152">
        <f>Model!$BB$148</f>
        <v>6360</v>
      </c>
      <c r="D317" s="152">
        <f>C317*$I$305</f>
        <v>186.17994467294096</v>
      </c>
      <c r="E317" s="95"/>
      <c r="F317" s="95"/>
      <c r="G317" s="96"/>
      <c r="H317" s="164" t="s">
        <v>27</v>
      </c>
      <c r="I317" s="73">
        <f>C321</f>
        <v>35907.563000000002</v>
      </c>
      <c r="J317" s="152">
        <f>I317*$I$305</f>
        <v>1051.142781867947</v>
      </c>
      <c r="K317" s="165"/>
    </row>
    <row r="318" spans="1:11">
      <c r="B318" s="162" t="s">
        <v>23</v>
      </c>
      <c r="C318" s="151">
        <f>SUM(C315:C317)+C314+C311</f>
        <v>139442.761</v>
      </c>
      <c r="D318" s="151">
        <f>SUM(D315:D317)+D314+D311</f>
        <v>4081.9882905695176</v>
      </c>
      <c r="E318" s="163">
        <f>+C318/C323</f>
        <v>6.9787678794855115</v>
      </c>
      <c r="F318" s="163">
        <f>+D318/D323</f>
        <v>6.0107986412027641</v>
      </c>
      <c r="H318" s="166" t="s">
        <v>28</v>
      </c>
      <c r="I318" s="77">
        <f>I313+I317</f>
        <v>165826.66</v>
      </c>
      <c r="J318" s="155">
        <f>J313+J317</f>
        <v>4854.3393685689607</v>
      </c>
      <c r="K318" s="167"/>
    </row>
    <row r="319" spans="1:11">
      <c r="B319" s="164" t="s">
        <v>25</v>
      </c>
      <c r="C319" s="149">
        <f>Model!$BB$150</f>
        <v>34309.593000000001</v>
      </c>
      <c r="D319" s="152">
        <f>C319*$I$305</f>
        <v>1004.3644852973464</v>
      </c>
      <c r="E319" s="165"/>
      <c r="F319" s="165"/>
      <c r="H319" s="164" t="s">
        <v>29</v>
      </c>
      <c r="I319" s="211">
        <f>C323</f>
        <v>19981</v>
      </c>
      <c r="J319" s="152">
        <f>I319*$I$306</f>
        <v>679.1091391064648</v>
      </c>
      <c r="K319" s="164"/>
    </row>
    <row r="320" spans="1:11">
      <c r="B320" s="162" t="s">
        <v>26</v>
      </c>
      <c r="C320" s="151">
        <f>+C318-C319</f>
        <v>105133.16800000001</v>
      </c>
      <c r="D320" s="151">
        <f>+D318-D319</f>
        <v>3077.623805272171</v>
      </c>
      <c r="E320" s="163">
        <f>+C320/C323</f>
        <v>5.2616569741254198</v>
      </c>
      <c r="F320" s="163">
        <f>+D320/D323</f>
        <v>4.5318544959084814</v>
      </c>
    </row>
    <row r="321" spans="2:9">
      <c r="B321" s="164" t="s">
        <v>27</v>
      </c>
      <c r="C321" s="73">
        <f>Model!$BB$162</f>
        <v>35907.563000000002</v>
      </c>
      <c r="D321" s="152">
        <f>C321*$I$305</f>
        <v>1051.142781867947</v>
      </c>
      <c r="E321" s="165"/>
      <c r="F321" s="165"/>
      <c r="H321" s="162" t="s">
        <v>32</v>
      </c>
      <c r="I321" s="218">
        <v>4.29</v>
      </c>
    </row>
    <row r="322" spans="2:9">
      <c r="B322" s="166" t="s">
        <v>28</v>
      </c>
      <c r="C322" s="77">
        <f>C318+C321</f>
        <v>175350.32399999999</v>
      </c>
      <c r="D322" s="77">
        <f>D318+D321</f>
        <v>5133.1310724374644</v>
      </c>
      <c r="E322" s="167"/>
      <c r="F322" s="167"/>
    </row>
    <row r="323" spans="2:9">
      <c r="B323" s="164" t="s">
        <v>29</v>
      </c>
      <c r="C323" s="211">
        <f>Model!$BB$95</f>
        <v>19981</v>
      </c>
      <c r="D323" s="211">
        <f>C323*I306</f>
        <v>679.1091391064648</v>
      </c>
      <c r="E323" s="164"/>
      <c r="F323" s="164"/>
    </row>
    <row r="325" spans="2:9">
      <c r="B325" s="97" t="s">
        <v>30</v>
      </c>
      <c r="C325" s="98">
        <f>C318-Model!$BB$153</f>
        <v>0</v>
      </c>
    </row>
    <row r="327" spans="2:9">
      <c r="B327" s="250" t="s">
        <v>31</v>
      </c>
      <c r="C327" s="251">
        <f>C320+Model!$BB$161</f>
        <v>185177.16800000001</v>
      </c>
    </row>
    <row r="328" spans="2:9">
      <c r="B328" s="250" t="s">
        <v>33</v>
      </c>
      <c r="C328" s="252">
        <f>C327/C323</f>
        <v>9.2676626795455679</v>
      </c>
    </row>
    <row r="330" spans="2:9" ht="13.5" thickBot="1"/>
    <row r="331" spans="2:9">
      <c r="B331" s="65" t="s">
        <v>95</v>
      </c>
      <c r="C331" s="248" t="s">
        <v>74</v>
      </c>
      <c r="D331" s="248" t="s">
        <v>75</v>
      </c>
    </row>
    <row r="332" spans="2:9">
      <c r="B332" s="67"/>
      <c r="C332" s="93"/>
      <c r="D332" s="93"/>
    </row>
    <row r="333" spans="2:9">
      <c r="B333" s="67" t="s">
        <v>35</v>
      </c>
      <c r="C333" s="213">
        <f>C319</f>
        <v>34309.593000000001</v>
      </c>
      <c r="D333" s="213">
        <f>C333*I305</f>
        <v>1004.3644852973464</v>
      </c>
    </row>
    <row r="334" spans="2:9" ht="13.5" thickBot="1">
      <c r="B334" s="210" t="s">
        <v>36</v>
      </c>
      <c r="C334" s="214">
        <f>SUM(C332:C333)</f>
        <v>34309.593000000001</v>
      </c>
      <c r="D334" s="214">
        <f>SUM(D332:D333)</f>
        <v>1004.3644852973464</v>
      </c>
    </row>
    <row r="336" spans="2:9">
      <c r="C336" s="32"/>
    </row>
    <row r="337" spans="1:11" ht="13.5" thickBot="1"/>
    <row r="338" spans="1:11">
      <c r="B338" s="170" t="s">
        <v>96</v>
      </c>
      <c r="C338" s="66" t="s">
        <v>74</v>
      </c>
      <c r="D338" s="66" t="s">
        <v>77</v>
      </c>
      <c r="E338" s="66" t="s">
        <v>38</v>
      </c>
    </row>
    <row r="339" spans="1:11">
      <c r="B339" s="189">
        <v>2023</v>
      </c>
      <c r="C339" s="215">
        <f>$C$318*E339</f>
        <v>50199.393960000001</v>
      </c>
      <c r="D339" s="215">
        <f>C339*$I$305</f>
        <v>1469.5157846050263</v>
      </c>
      <c r="E339" s="220">
        <v>0.36</v>
      </c>
      <c r="F339" s="47"/>
      <c r="G339" s="183"/>
    </row>
    <row r="340" spans="1:11">
      <c r="B340" s="189">
        <v>2024</v>
      </c>
      <c r="C340" s="215">
        <f>$C$318*E340</f>
        <v>33466.262640000001</v>
      </c>
      <c r="D340" s="215">
        <f>C340*$I$305</f>
        <v>979.67718973668423</v>
      </c>
      <c r="E340" s="220">
        <v>0.24</v>
      </c>
      <c r="F340" s="47"/>
      <c r="G340" s="183"/>
    </row>
    <row r="341" spans="1:11">
      <c r="B341" s="189">
        <v>2025</v>
      </c>
      <c r="C341" s="215">
        <f>$C$318*E341</f>
        <v>2788.8552199999999</v>
      </c>
      <c r="D341" s="215">
        <f>C341*$I$305</f>
        <v>81.639765811390347</v>
      </c>
      <c r="E341" s="220">
        <v>0.02</v>
      </c>
      <c r="F341" s="47"/>
      <c r="G341" s="183"/>
      <c r="H341" s="249"/>
    </row>
    <row r="342" spans="1:11">
      <c r="B342" s="189">
        <v>2026</v>
      </c>
      <c r="C342" s="215">
        <f>$C$318*E342</f>
        <v>22310.841759999999</v>
      </c>
      <c r="D342" s="215">
        <f>C342*$I$305</f>
        <v>653.11812649112278</v>
      </c>
      <c r="E342" s="220">
        <v>0.16</v>
      </c>
      <c r="F342" s="47"/>
      <c r="G342" s="183"/>
      <c r="H342" s="249"/>
    </row>
    <row r="343" spans="1:11" ht="13.5" thickBot="1">
      <c r="B343" s="189" t="s">
        <v>97</v>
      </c>
      <c r="C343" s="215">
        <f>$C$318*E343</f>
        <v>30677.40742</v>
      </c>
      <c r="D343" s="215">
        <f>C343*$I$305</f>
        <v>898.03742392529375</v>
      </c>
      <c r="E343" s="220">
        <f>3%+15%+4%</f>
        <v>0.22</v>
      </c>
      <c r="F343" s="47"/>
      <c r="G343" s="183"/>
      <c r="H343" s="249"/>
    </row>
    <row r="344" spans="1:11" ht="13.5" thickBot="1">
      <c r="B344" s="238" t="s">
        <v>40</v>
      </c>
      <c r="C344" s="216">
        <f>SUM(C339:C343)</f>
        <v>139442.761</v>
      </c>
      <c r="D344" s="216">
        <f>SUM(D339:D343)</f>
        <v>4081.9882905695172</v>
      </c>
      <c r="E344" s="207">
        <f>SUM(E339:E343)</f>
        <v>1</v>
      </c>
      <c r="G344" s="183"/>
    </row>
    <row r="346" spans="1:11">
      <c r="A346" s="59" t="s">
        <v>98</v>
      </c>
      <c r="H346" s="59" t="s">
        <v>99</v>
      </c>
      <c r="I346" s="92">
        <f>Model!$BA$250</f>
        <v>3.0629278527344289E-2</v>
      </c>
      <c r="J346" s="92"/>
    </row>
    <row r="347" spans="1:11">
      <c r="H347" s="59" t="s">
        <v>100</v>
      </c>
      <c r="I347" s="92">
        <f>Model!$BA$249</f>
        <v>3.0913238903692897E-2</v>
      </c>
      <c r="J347" s="92"/>
    </row>
    <row r="348" spans="1:11">
      <c r="H348" s="59"/>
      <c r="I348" s="92"/>
    </row>
    <row r="349" spans="1:11">
      <c r="H349" s="184" t="s">
        <v>8</v>
      </c>
      <c r="I349" s="92"/>
    </row>
    <row r="350" spans="1:11" ht="25.5">
      <c r="B350" s="247" t="s">
        <v>101</v>
      </c>
      <c r="C350" s="157" t="s">
        <v>9</v>
      </c>
      <c r="D350" s="157" t="s">
        <v>19</v>
      </c>
      <c r="E350" s="158" t="s">
        <v>71</v>
      </c>
      <c r="F350" s="158" t="s">
        <v>7</v>
      </c>
      <c r="G350" s="59"/>
      <c r="H350" s="157" t="s">
        <v>101</v>
      </c>
      <c r="I350" s="157" t="s">
        <v>9</v>
      </c>
      <c r="J350" s="157" t="s">
        <v>19</v>
      </c>
      <c r="K350" s="158" t="s">
        <v>71</v>
      </c>
    </row>
    <row r="351" spans="1:11">
      <c r="B351" s="161" t="s">
        <v>63</v>
      </c>
      <c r="C351" s="152">
        <f>Model!$BA$124</f>
        <v>9510.5469999999987</v>
      </c>
      <c r="D351" s="152">
        <f>C351*I$346</f>
        <v>291.30119301039861</v>
      </c>
      <c r="E351" s="95"/>
      <c r="F351" s="95"/>
      <c r="G351" s="95"/>
      <c r="H351" s="161" t="s">
        <v>21</v>
      </c>
      <c r="I351" s="217">
        <f>2658.33+6852.217</f>
        <v>9510.5469999999987</v>
      </c>
      <c r="J351" s="152">
        <f>I351*$I$346</f>
        <v>291.30119301039861</v>
      </c>
      <c r="K351" s="95"/>
    </row>
    <row r="352" spans="1:11">
      <c r="B352" s="162" t="s">
        <v>64</v>
      </c>
      <c r="C352" s="151">
        <f>C351</f>
        <v>9510.5469999999987</v>
      </c>
      <c r="D352" s="151">
        <f>D351</f>
        <v>291.30119301039861</v>
      </c>
      <c r="E352" s="163">
        <f>C352/C364</f>
        <v>0.42141736086494147</v>
      </c>
      <c r="F352" s="163">
        <f>D352/D364</f>
        <v>0.41754633871925645</v>
      </c>
      <c r="G352" s="95"/>
      <c r="H352" s="161" t="s">
        <v>22</v>
      </c>
      <c r="I352" s="217">
        <v>62930.798999999999</v>
      </c>
      <c r="J352" s="152">
        <f>I352*$I$346</f>
        <v>1927.5249705193194</v>
      </c>
      <c r="K352" s="95"/>
    </row>
    <row r="353" spans="2:11">
      <c r="B353" s="161"/>
      <c r="C353" s="152"/>
      <c r="D353" s="152"/>
      <c r="E353" s="95"/>
      <c r="F353" s="95"/>
      <c r="G353" s="95"/>
      <c r="H353" s="161" t="s">
        <v>24</v>
      </c>
      <c r="I353" s="217">
        <v>48813.809000000001</v>
      </c>
      <c r="J353" s="152">
        <f>I353*$I$346</f>
        <v>1495.1317518415854</v>
      </c>
      <c r="K353" s="95"/>
    </row>
    <row r="354" spans="2:11">
      <c r="B354" s="161" t="s">
        <v>14</v>
      </c>
      <c r="C354" s="152">
        <f>SUM(Model!$BA$125:$BA$145)</f>
        <v>85862</v>
      </c>
      <c r="D354" s="152">
        <f>C354*I$346</f>
        <v>2629.8911129148355</v>
      </c>
      <c r="E354" s="95"/>
      <c r="F354" s="95"/>
      <c r="G354" s="96"/>
      <c r="H354" s="162" t="s">
        <v>23</v>
      </c>
      <c r="I354" s="151">
        <f>SUM(I351:I353)</f>
        <v>121255.155</v>
      </c>
      <c r="J354" s="151">
        <f>SUM(J351:J353)</f>
        <v>3713.9579153713034</v>
      </c>
      <c r="K354" s="163">
        <f>+I354/I360</f>
        <v>5.3728799627791561</v>
      </c>
    </row>
    <row r="355" spans="2:11">
      <c r="B355" s="162" t="s">
        <v>15</v>
      </c>
      <c r="C355" s="151">
        <f>C354</f>
        <v>85862</v>
      </c>
      <c r="D355" s="151">
        <f>D354</f>
        <v>2629.8911129148355</v>
      </c>
      <c r="E355" s="163">
        <f>C355/C364</f>
        <v>3.8045905707196028</v>
      </c>
      <c r="F355" s="163">
        <f>D355/D364</f>
        <v>3.7696426646241066</v>
      </c>
      <c r="G355" s="96"/>
      <c r="H355" s="164" t="s">
        <v>25</v>
      </c>
      <c r="I355" s="149">
        <f>C360</f>
        <v>45257.023999999998</v>
      </c>
      <c r="J355" s="152">
        <f>I355*$I$346</f>
        <v>1386.189993414705</v>
      </c>
      <c r="K355" s="165"/>
    </row>
    <row r="356" spans="2:11">
      <c r="B356" s="161" t="s">
        <v>17</v>
      </c>
      <c r="C356" s="152">
        <f>Model!$BA$146</f>
        <v>16785</v>
      </c>
      <c r="D356" s="152">
        <f>C356*I$346</f>
        <v>514.11244008147389</v>
      </c>
      <c r="E356" s="95"/>
      <c r="F356" s="95"/>
      <c r="G356" s="96"/>
      <c r="H356" s="164"/>
      <c r="I356" s="149"/>
      <c r="J356" s="154"/>
      <c r="K356" s="165"/>
    </row>
    <row r="357" spans="2:11">
      <c r="B357" s="161" t="s">
        <v>18</v>
      </c>
      <c r="C357" s="152">
        <f>Model!$BA$147</f>
        <v>12250</v>
      </c>
      <c r="D357" s="152">
        <f t="shared" ref="D357:D362" si="28">C357*I$346</f>
        <v>375.20866195996751</v>
      </c>
      <c r="E357" s="95"/>
      <c r="F357" s="95"/>
      <c r="G357" s="96"/>
      <c r="H357" s="162" t="s">
        <v>26</v>
      </c>
      <c r="I357" s="151">
        <f>+I354-I355</f>
        <v>75998.130999999994</v>
      </c>
      <c r="J357" s="151">
        <f>+J354-J355</f>
        <v>2327.7679219565985</v>
      </c>
      <c r="K357" s="163">
        <f>+I357/I360</f>
        <v>3.3675173254165185</v>
      </c>
    </row>
    <row r="358" spans="2:11">
      <c r="B358" s="161" t="s">
        <v>20</v>
      </c>
      <c r="C358" s="152">
        <f>Model!$BA$148</f>
        <v>6358</v>
      </c>
      <c r="D358" s="152">
        <f t="shared" si="28"/>
        <v>194.74095287685498</v>
      </c>
      <c r="E358" s="95"/>
      <c r="F358" s="95"/>
      <c r="G358" s="96"/>
      <c r="H358" s="164" t="s">
        <v>27</v>
      </c>
      <c r="I358" s="73">
        <f>C362</f>
        <v>34043.771999999997</v>
      </c>
      <c r="J358" s="152">
        <f>I358*$I$346</f>
        <v>1042.7361747094046</v>
      </c>
      <c r="K358" s="165"/>
    </row>
    <row r="359" spans="2:11">
      <c r="B359" s="162" t="s">
        <v>23</v>
      </c>
      <c r="C359" s="151">
        <f>SUM(C356:C358)+C355+C352</f>
        <v>130765.54699999999</v>
      </c>
      <c r="D359" s="151">
        <f>SUM(D356:D358)+D355+D352</f>
        <v>4005.2543608435303</v>
      </c>
      <c r="E359" s="163">
        <f>+C359/C364</f>
        <v>5.794290455512229</v>
      </c>
      <c r="F359" s="163">
        <f>+D359/D364</f>
        <v>5.7410657221367876</v>
      </c>
      <c r="H359" s="166" t="s">
        <v>28</v>
      </c>
      <c r="I359" s="77">
        <f>I354+I358</f>
        <v>155298.927</v>
      </c>
      <c r="J359" s="155">
        <f>J354+J358</f>
        <v>4756.6940900807076</v>
      </c>
      <c r="K359" s="167"/>
    </row>
    <row r="360" spans="2:11">
      <c r="B360" s="164" t="s">
        <v>25</v>
      </c>
      <c r="C360" s="149">
        <f>Model!$BA$150</f>
        <v>45257.023999999998</v>
      </c>
      <c r="D360" s="152">
        <f t="shared" si="28"/>
        <v>1386.189993414705</v>
      </c>
      <c r="E360" s="165"/>
      <c r="F360" s="165"/>
      <c r="H360" s="164" t="s">
        <v>29</v>
      </c>
      <c r="I360" s="211">
        <f>C364</f>
        <v>22568</v>
      </c>
      <c r="J360" s="152">
        <f>I360*$I$347</f>
        <v>697.64997557854133</v>
      </c>
      <c r="K360" s="164"/>
    </row>
    <row r="361" spans="2:11">
      <c r="B361" s="162" t="s">
        <v>26</v>
      </c>
      <c r="C361" s="151">
        <f>+C359-C360</f>
        <v>85508.522999999986</v>
      </c>
      <c r="D361" s="151">
        <f>+D359-D360</f>
        <v>2619.0643674288253</v>
      </c>
      <c r="E361" s="163">
        <f>+C361/C364</f>
        <v>3.7889278181495918</v>
      </c>
      <c r="F361" s="163">
        <f>+D361/D364</f>
        <v>3.7541237857235066</v>
      </c>
    </row>
    <row r="362" spans="2:11">
      <c r="B362" s="164" t="s">
        <v>27</v>
      </c>
      <c r="C362" s="73">
        <f>Model!$BA$162</f>
        <v>34043.771999999997</v>
      </c>
      <c r="D362" s="152">
        <f t="shared" si="28"/>
        <v>1042.7361747094046</v>
      </c>
      <c r="E362" s="165"/>
      <c r="F362" s="165"/>
      <c r="H362" s="162" t="s">
        <v>32</v>
      </c>
      <c r="I362" s="218">
        <v>3.45</v>
      </c>
    </row>
    <row r="363" spans="2:11">
      <c r="B363" s="166" t="s">
        <v>28</v>
      </c>
      <c r="C363" s="77">
        <f>C359+C362</f>
        <v>164809.31899999999</v>
      </c>
      <c r="D363" s="77">
        <f>D359+D362</f>
        <v>5047.9905355529354</v>
      </c>
      <c r="E363" s="167"/>
      <c r="F363" s="167"/>
    </row>
    <row r="364" spans="2:11">
      <c r="B364" s="164" t="s">
        <v>29</v>
      </c>
      <c r="C364" s="211">
        <f>Model!$BA$95</f>
        <v>22568</v>
      </c>
      <c r="D364" s="211">
        <f>C364*I347</f>
        <v>697.64997557854133</v>
      </c>
      <c r="E364" s="164"/>
      <c r="F364" s="164"/>
    </row>
    <row r="366" spans="2:11">
      <c r="B366" s="97" t="s">
        <v>30</v>
      </c>
      <c r="C366" s="98">
        <f>C359-Model!$BA$153</f>
        <v>0</v>
      </c>
    </row>
    <row r="368" spans="2:11">
      <c r="B368" s="250" t="s">
        <v>31</v>
      </c>
      <c r="C368" s="251">
        <f>C361+Model!$BA$161</f>
        <v>200048.52299999999</v>
      </c>
    </row>
    <row r="369" spans="2:8">
      <c r="B369" s="250" t="s">
        <v>33</v>
      </c>
      <c r="C369" s="252">
        <f>C368/C364</f>
        <v>8.8642557160581354</v>
      </c>
    </row>
    <row r="371" spans="2:8" ht="13.5" thickBot="1"/>
    <row r="372" spans="2:8">
      <c r="B372" s="65" t="s">
        <v>102</v>
      </c>
      <c r="C372" s="248" t="s">
        <v>74</v>
      </c>
      <c r="D372" s="248" t="s">
        <v>75</v>
      </c>
    </row>
    <row r="373" spans="2:8">
      <c r="B373" s="67"/>
      <c r="C373" s="93"/>
      <c r="D373" s="93"/>
    </row>
    <row r="374" spans="2:8">
      <c r="B374" s="67" t="s">
        <v>35</v>
      </c>
      <c r="C374" s="213">
        <f>C360</f>
        <v>45257.023999999998</v>
      </c>
      <c r="D374" s="213">
        <f>C374*I346</f>
        <v>1386.189993414705</v>
      </c>
    </row>
    <row r="375" spans="2:8" ht="13.5" thickBot="1">
      <c r="B375" s="210" t="s">
        <v>36</v>
      </c>
      <c r="C375" s="214">
        <f>SUM(C373:C374)</f>
        <v>45257.023999999998</v>
      </c>
      <c r="D375" s="214">
        <f>SUM(D373:D374)</f>
        <v>1386.189993414705</v>
      </c>
    </row>
    <row r="377" spans="2:8">
      <c r="C377" s="32"/>
    </row>
    <row r="378" spans="2:8" ht="13.5" thickBot="1"/>
    <row r="379" spans="2:8">
      <c r="B379" s="170" t="s">
        <v>103</v>
      </c>
      <c r="C379" s="66" t="s">
        <v>74</v>
      </c>
      <c r="D379" s="66" t="s">
        <v>77</v>
      </c>
      <c r="E379" s="66" t="s">
        <v>38</v>
      </c>
    </row>
    <row r="380" spans="2:8">
      <c r="B380" s="189">
        <v>2024</v>
      </c>
      <c r="C380" s="215">
        <f t="shared" ref="C380:C385" si="29">$C$403*E380</f>
        <v>39018.272649999999</v>
      </c>
      <c r="D380" s="215">
        <f>C380*I$346</f>
        <v>1195.1015406527099</v>
      </c>
      <c r="E380" s="220">
        <v>0.35</v>
      </c>
      <c r="F380" s="47"/>
      <c r="G380" s="183"/>
    </row>
    <row r="381" spans="2:8">
      <c r="B381" s="189">
        <v>2025</v>
      </c>
      <c r="C381" s="215">
        <f t="shared" si="29"/>
        <v>30099.81033</v>
      </c>
      <c r="D381" s="215">
        <f t="shared" ref="D381:D385" si="30">C381*I$346</f>
        <v>921.93547421780488</v>
      </c>
      <c r="E381" s="220">
        <v>0.27</v>
      </c>
      <c r="F381" s="47"/>
      <c r="G381" s="183"/>
    </row>
    <row r="382" spans="2:8">
      <c r="B382" s="189">
        <v>2026</v>
      </c>
      <c r="C382" s="215">
        <f t="shared" si="29"/>
        <v>16722.116849999999</v>
      </c>
      <c r="D382" s="215">
        <f t="shared" si="30"/>
        <v>512.18637456544707</v>
      </c>
      <c r="E382" s="220">
        <v>0.15</v>
      </c>
      <c r="F382" s="47"/>
      <c r="G382" s="183"/>
      <c r="H382" s="249"/>
    </row>
    <row r="383" spans="2:8">
      <c r="B383" s="189">
        <v>2027</v>
      </c>
      <c r="C383" s="215">
        <f t="shared" si="29"/>
        <v>3344.4233699999995</v>
      </c>
      <c r="D383" s="215">
        <f t="shared" si="30"/>
        <v>102.43727491308941</v>
      </c>
      <c r="E383" s="220">
        <v>0.03</v>
      </c>
      <c r="F383" s="47"/>
      <c r="G383" s="183"/>
      <c r="H383" s="249"/>
    </row>
    <row r="384" spans="2:8">
      <c r="B384" s="189">
        <v>2028</v>
      </c>
      <c r="C384" s="215">
        <f t="shared" si="29"/>
        <v>16722.116849999999</v>
      </c>
      <c r="D384" s="215">
        <f t="shared" si="30"/>
        <v>512.18637456544707</v>
      </c>
      <c r="E384" s="220">
        <v>0.15</v>
      </c>
      <c r="F384" s="47"/>
      <c r="G384" s="183"/>
      <c r="H384" s="249"/>
    </row>
    <row r="385" spans="1:11" ht="13.5" thickBot="1">
      <c r="B385" s="189" t="s">
        <v>39</v>
      </c>
      <c r="C385" s="215">
        <f t="shared" si="29"/>
        <v>5574.0389500000001</v>
      </c>
      <c r="D385" s="215">
        <f t="shared" si="30"/>
        <v>170.72879152181571</v>
      </c>
      <c r="E385" s="220">
        <v>0.05</v>
      </c>
      <c r="F385" s="47"/>
      <c r="G385" s="183"/>
      <c r="H385" s="249"/>
    </row>
    <row r="386" spans="1:11" ht="13.5" thickBot="1">
      <c r="B386" s="238" t="s">
        <v>40</v>
      </c>
      <c r="C386" s="216">
        <f>SUM(C380:C385)</f>
        <v>111480.77899999999</v>
      </c>
      <c r="D386" s="216">
        <f>SUM(D380:D385)</f>
        <v>3414.5758304363135</v>
      </c>
      <c r="E386" s="207">
        <f>SUM(E380:E385)</f>
        <v>1</v>
      </c>
      <c r="G386" s="183"/>
    </row>
    <row r="390" spans="1:11">
      <c r="A390" s="59" t="s">
        <v>104</v>
      </c>
      <c r="H390" s="59" t="s">
        <v>105</v>
      </c>
      <c r="I390" s="92">
        <f>Model!$AZ$250</f>
        <v>3.0828136223368344E-2</v>
      </c>
      <c r="J390" s="92"/>
    </row>
    <row r="391" spans="1:11">
      <c r="H391" s="59" t="s">
        <v>106</v>
      </c>
      <c r="I391" s="92">
        <f>Model!$AZ$249</f>
        <v>3.2286393222440334E-2</v>
      </c>
      <c r="J391" s="92"/>
    </row>
    <row r="392" spans="1:11">
      <c r="H392" s="59"/>
      <c r="I392" s="92"/>
    </row>
    <row r="393" spans="1:11">
      <c r="H393" s="184" t="s">
        <v>8</v>
      </c>
      <c r="I393" s="92"/>
    </row>
    <row r="394" spans="1:11" ht="25.5">
      <c r="B394" s="247" t="s">
        <v>107</v>
      </c>
      <c r="C394" s="157" t="s">
        <v>9</v>
      </c>
      <c r="D394" s="157" t="s">
        <v>19</v>
      </c>
      <c r="E394" s="158" t="s">
        <v>71</v>
      </c>
      <c r="F394" s="158" t="s">
        <v>7</v>
      </c>
      <c r="G394" s="59"/>
      <c r="H394" s="157" t="s">
        <v>107</v>
      </c>
      <c r="I394" s="157" t="s">
        <v>9</v>
      </c>
      <c r="J394" s="157" t="s">
        <v>19</v>
      </c>
      <c r="K394" s="158" t="s">
        <v>71</v>
      </c>
    </row>
    <row r="395" spans="1:11">
      <c r="B395" s="161" t="s">
        <v>63</v>
      </c>
      <c r="C395" s="152">
        <f>Model!$AZ$124</f>
        <v>4719.7790000000005</v>
      </c>
      <c r="D395" s="152">
        <f>C395*I$390</f>
        <v>145.50198995619323</v>
      </c>
      <c r="E395" s="95"/>
      <c r="F395" s="95"/>
      <c r="G395" s="95"/>
      <c r="H395" s="161" t="s">
        <v>21</v>
      </c>
      <c r="I395" s="217">
        <f>1541.942+3177.837</f>
        <v>4719.7790000000005</v>
      </c>
      <c r="J395" s="152">
        <f>I395*$I$390</f>
        <v>145.50198995619323</v>
      </c>
      <c r="K395" s="95"/>
    </row>
    <row r="396" spans="1:11">
      <c r="B396" s="162" t="s">
        <v>64</v>
      </c>
      <c r="C396" s="151">
        <f>C395</f>
        <v>4719.7790000000005</v>
      </c>
      <c r="D396" s="151">
        <f>D395</f>
        <v>145.50198995619323</v>
      </c>
      <c r="E396" s="163">
        <f>C396/C408</f>
        <v>0.21320770655463706</v>
      </c>
      <c r="F396" s="163">
        <f>D396/D408</f>
        <v>0.20357790281046131</v>
      </c>
      <c r="G396" s="95"/>
      <c r="H396" s="161" t="s">
        <v>22</v>
      </c>
      <c r="I396" s="217">
        <v>56001.964</v>
      </c>
      <c r="J396" s="152">
        <f>I396*$I$390</f>
        <v>1726.43617496817</v>
      </c>
      <c r="K396" s="95"/>
    </row>
    <row r="397" spans="1:11">
      <c r="B397" s="161"/>
      <c r="C397" s="152"/>
      <c r="D397" s="152"/>
      <c r="E397" s="95"/>
      <c r="F397" s="95"/>
      <c r="G397" s="95"/>
      <c r="H397" s="161" t="s">
        <v>24</v>
      </c>
      <c r="I397" s="217">
        <v>46042.786</v>
      </c>
      <c r="J397" s="152">
        <f>I397*$I$390</f>
        <v>1419.4132789113969</v>
      </c>
      <c r="K397" s="95"/>
    </row>
    <row r="398" spans="1:11">
      <c r="B398" s="161" t="s">
        <v>14</v>
      </c>
      <c r="C398" s="152">
        <f>SUM(Model!$AZ$125:$AZ$145)</f>
        <v>73109</v>
      </c>
      <c r="D398" s="152">
        <f>C398*I$390</f>
        <v>2253.8142111542361</v>
      </c>
      <c r="E398" s="95"/>
      <c r="F398" s="95"/>
      <c r="G398" s="96"/>
      <c r="H398" s="162" t="s">
        <v>23</v>
      </c>
      <c r="I398" s="151">
        <f>SUM(I395:I397)</f>
        <v>106764.52900000001</v>
      </c>
      <c r="J398" s="151">
        <f>SUM(J395:J397)</f>
        <v>3291.3514438357602</v>
      </c>
      <c r="K398" s="163">
        <f>+I398/I404</f>
        <v>4.8228996250621137</v>
      </c>
    </row>
    <row r="399" spans="1:11">
      <c r="B399" s="162" t="s">
        <v>15</v>
      </c>
      <c r="C399" s="151">
        <f>C398</f>
        <v>73109</v>
      </c>
      <c r="D399" s="151">
        <f>D398</f>
        <v>2253.8142111542361</v>
      </c>
      <c r="E399" s="163">
        <f>C399/C408</f>
        <v>3.3025703573203233</v>
      </c>
      <c r="F399" s="163">
        <f>D399/D408</f>
        <v>3.153405465927539</v>
      </c>
      <c r="G399" s="96"/>
      <c r="H399" s="164" t="s">
        <v>25</v>
      </c>
      <c r="I399" s="149">
        <f>C404</f>
        <v>46600.785000000003</v>
      </c>
      <c r="J399" s="152">
        <f>I399*$I$390</f>
        <v>1436.6153480959003</v>
      </c>
      <c r="K399" s="165"/>
    </row>
    <row r="400" spans="1:11">
      <c r="B400" s="161" t="s">
        <v>17</v>
      </c>
      <c r="C400" s="152">
        <f>Model!$AZ$146</f>
        <v>12490</v>
      </c>
      <c r="D400" s="152">
        <f>C400*I$390</f>
        <v>385.04342142987059</v>
      </c>
      <c r="E400" s="95"/>
      <c r="F400" s="95"/>
      <c r="G400" s="96"/>
      <c r="H400" s="164"/>
      <c r="I400" s="149"/>
      <c r="J400" s="154"/>
      <c r="K400" s="165"/>
    </row>
    <row r="401" spans="2:11">
      <c r="B401" s="161" t="s">
        <v>18</v>
      </c>
      <c r="C401" s="152">
        <f>Model!$AZ$147</f>
        <v>16169</v>
      </c>
      <c r="D401" s="152">
        <f>C401*I$390</f>
        <v>498.46013459564273</v>
      </c>
      <c r="E401" s="95"/>
      <c r="F401" s="95"/>
      <c r="G401" s="96"/>
      <c r="H401" s="162" t="s">
        <v>26</v>
      </c>
      <c r="I401" s="151">
        <f>+I398-I399</f>
        <v>60163.744000000006</v>
      </c>
      <c r="J401" s="151">
        <f>+J398-J399</f>
        <v>1854.7360957398598</v>
      </c>
      <c r="K401" s="163">
        <f>+I401/I404</f>
        <v>2.7177912092876184</v>
      </c>
    </row>
    <row r="402" spans="2:11">
      <c r="B402" s="161" t="s">
        <v>20</v>
      </c>
      <c r="C402" s="152">
        <f>Model!$AZ$148</f>
        <v>4993</v>
      </c>
      <c r="D402" s="152">
        <f>C402*I$390</f>
        <v>153.92488416327814</v>
      </c>
      <c r="E402" s="95"/>
      <c r="F402" s="95"/>
      <c r="G402" s="96"/>
      <c r="H402" s="164" t="s">
        <v>27</v>
      </c>
      <c r="I402" s="73">
        <f>C406</f>
        <v>26127.069</v>
      </c>
      <c r="J402" s="152">
        <f>I402*$I$390</f>
        <v>805.44884224934412</v>
      </c>
      <c r="K402" s="165"/>
    </row>
    <row r="403" spans="2:11">
      <c r="B403" s="162" t="s">
        <v>23</v>
      </c>
      <c r="C403" s="151">
        <f>SUM(C400:C402)+C399+C396</f>
        <v>111480.77899999999</v>
      </c>
      <c r="D403" s="151">
        <f>SUM(D400:D402)+D399+D396</f>
        <v>3436.7446412992203</v>
      </c>
      <c r="E403" s="163">
        <f>+C403/C408</f>
        <v>5.0359479152550026</v>
      </c>
      <c r="F403" s="163">
        <f>+D403/D408</f>
        <v>4.8084927689403489</v>
      </c>
      <c r="H403" s="166" t="s">
        <v>28</v>
      </c>
      <c r="I403" s="77">
        <f>I398+I402</f>
        <v>132891.598</v>
      </c>
      <c r="J403" s="155">
        <f>J398+J402</f>
        <v>4096.8002860851047</v>
      </c>
      <c r="K403" s="167"/>
    </row>
    <row r="404" spans="2:11">
      <c r="B404" s="164" t="s">
        <v>25</v>
      </c>
      <c r="C404" s="149">
        <f>Model!$AZ$150</f>
        <v>46600.785000000003</v>
      </c>
      <c r="D404" s="152">
        <f>C404*I$390</f>
        <v>1436.6153480959003</v>
      </c>
      <c r="E404" s="165"/>
      <c r="F404" s="165"/>
      <c r="H404" s="164" t="s">
        <v>29</v>
      </c>
      <c r="I404" s="211">
        <f>C408</f>
        <v>22137</v>
      </c>
      <c r="J404" s="152">
        <f>I404*$I$391</f>
        <v>714.72388676516164</v>
      </c>
      <c r="K404" s="164"/>
    </row>
    <row r="405" spans="2:11">
      <c r="B405" s="162" t="s">
        <v>26</v>
      </c>
      <c r="C405" s="151">
        <f>+C403-C404</f>
        <v>64879.993999999992</v>
      </c>
      <c r="D405" s="151">
        <f>+D403-D404</f>
        <v>2000.12929320332</v>
      </c>
      <c r="E405" s="163">
        <f>+C405/C408</f>
        <v>2.9308394994805074</v>
      </c>
      <c r="F405" s="163">
        <f>+D405/D408</f>
        <v>2.7984643164172107</v>
      </c>
    </row>
    <row r="406" spans="2:11">
      <c r="B406" s="164" t="s">
        <v>27</v>
      </c>
      <c r="C406" s="73">
        <f>Model!$AZ$162</f>
        <v>26127.069</v>
      </c>
      <c r="D406" s="152">
        <f>C406*I$390</f>
        <v>805.44884224934412</v>
      </c>
      <c r="E406" s="165"/>
      <c r="F406" s="165"/>
      <c r="H406" s="162" t="s">
        <v>32</v>
      </c>
      <c r="I406" s="218">
        <v>2.65</v>
      </c>
    </row>
    <row r="407" spans="2:11">
      <c r="B407" s="166" t="s">
        <v>28</v>
      </c>
      <c r="C407" s="77">
        <f>C403+C406</f>
        <v>137607.848</v>
      </c>
      <c r="D407" s="77">
        <f>D403+D406</f>
        <v>4242.1934835485645</v>
      </c>
      <c r="E407" s="167"/>
      <c r="F407" s="167"/>
    </row>
    <row r="408" spans="2:11">
      <c r="B408" s="164" t="s">
        <v>29</v>
      </c>
      <c r="C408" s="211">
        <f>Model!$AZ$95</f>
        <v>22137</v>
      </c>
      <c r="D408" s="211">
        <f>C408*I391</f>
        <v>714.72388676516164</v>
      </c>
      <c r="E408" s="164"/>
      <c r="F408" s="164"/>
    </row>
    <row r="410" spans="2:11">
      <c r="B410" s="97" t="s">
        <v>30</v>
      </c>
      <c r="C410" s="98">
        <f>C403-Model!$AZ$153</f>
        <v>0</v>
      </c>
    </row>
    <row r="412" spans="2:11">
      <c r="B412" s="250" t="s">
        <v>31</v>
      </c>
      <c r="C412" s="251">
        <f>C405+Model!$AZ$161</f>
        <v>164887.69399999999</v>
      </c>
    </row>
    <row r="413" spans="2:11">
      <c r="B413" s="250" t="s">
        <v>33</v>
      </c>
      <c r="C413" s="252">
        <f>C412/C408</f>
        <v>7.4485112707232233</v>
      </c>
    </row>
    <row r="415" spans="2:11" ht="13.5" thickBot="1"/>
    <row r="416" spans="2:11">
      <c r="B416" s="65" t="s">
        <v>102</v>
      </c>
      <c r="C416" s="248" t="s">
        <v>74</v>
      </c>
      <c r="D416" s="248" t="s">
        <v>75</v>
      </c>
    </row>
    <row r="417" spans="2:8">
      <c r="B417" s="67"/>
      <c r="C417" s="93"/>
      <c r="D417" s="93"/>
    </row>
    <row r="418" spans="2:8">
      <c r="B418" s="67" t="s">
        <v>35</v>
      </c>
      <c r="C418" s="213">
        <f>C404</f>
        <v>46600.785000000003</v>
      </c>
      <c r="D418" s="213">
        <f>C418*I390</f>
        <v>1436.6153480959003</v>
      </c>
    </row>
    <row r="419" spans="2:8" ht="13.5" thickBot="1">
      <c r="B419" s="210" t="s">
        <v>36</v>
      </c>
      <c r="C419" s="214">
        <f>SUM(C417:C418)</f>
        <v>46600.785000000003</v>
      </c>
      <c r="D419" s="214">
        <f>SUM(D417:D418)</f>
        <v>1436.6153480959003</v>
      </c>
    </row>
    <row r="421" spans="2:8">
      <c r="C421" s="32"/>
    </row>
    <row r="422" spans="2:8" ht="13.5" thickBot="1"/>
    <row r="423" spans="2:8">
      <c r="B423" s="170" t="s">
        <v>103</v>
      </c>
      <c r="C423" s="66" t="s">
        <v>74</v>
      </c>
      <c r="D423" s="66" t="s">
        <v>77</v>
      </c>
      <c r="E423" s="66" t="s">
        <v>38</v>
      </c>
    </row>
    <row r="424" spans="2:8">
      <c r="B424" s="189">
        <v>2024</v>
      </c>
      <c r="C424" s="215">
        <f t="shared" ref="C424:C429" si="31">$C$403*E424</f>
        <v>47936.734969999998</v>
      </c>
      <c r="D424" s="215">
        <f>C424*I$390</f>
        <v>1477.800195758665</v>
      </c>
      <c r="E424" s="220">
        <v>0.43</v>
      </c>
      <c r="F424" s="47"/>
      <c r="G424" s="183"/>
    </row>
    <row r="425" spans="2:8">
      <c r="B425" s="189">
        <v>2025</v>
      </c>
      <c r="C425" s="215">
        <f t="shared" si="31"/>
        <v>18951.73243</v>
      </c>
      <c r="D425" s="215">
        <f t="shared" ref="D425:D429" si="32">C425*I$390</f>
        <v>584.24658902086753</v>
      </c>
      <c r="E425" s="220">
        <v>0.17</v>
      </c>
      <c r="F425" s="47"/>
      <c r="G425" s="183"/>
    </row>
    <row r="426" spans="2:8">
      <c r="B426" s="189">
        <v>2026</v>
      </c>
      <c r="C426" s="215">
        <f t="shared" si="31"/>
        <v>16722.116849999999</v>
      </c>
      <c r="D426" s="215">
        <f t="shared" si="32"/>
        <v>515.51169619488314</v>
      </c>
      <c r="E426" s="220">
        <v>0.15</v>
      </c>
      <c r="F426" s="47"/>
      <c r="G426" s="183"/>
      <c r="H426" s="249"/>
    </row>
    <row r="427" spans="2:8">
      <c r="B427" s="189">
        <v>2027</v>
      </c>
      <c r="C427" s="215">
        <f t="shared" si="31"/>
        <v>3344.4233699999995</v>
      </c>
      <c r="D427" s="215">
        <f t="shared" si="32"/>
        <v>103.10233923897661</v>
      </c>
      <c r="E427" s="220">
        <v>0.03</v>
      </c>
      <c r="F427" s="47"/>
      <c r="G427" s="183"/>
      <c r="H427" s="249"/>
    </row>
    <row r="428" spans="2:8">
      <c r="B428" s="189">
        <v>2028</v>
      </c>
      <c r="C428" s="215">
        <f t="shared" si="31"/>
        <v>18951.73243</v>
      </c>
      <c r="D428" s="215">
        <f t="shared" si="32"/>
        <v>584.24658902086753</v>
      </c>
      <c r="E428" s="220">
        <v>0.17</v>
      </c>
      <c r="F428" s="47"/>
      <c r="G428" s="183"/>
      <c r="H428" s="249"/>
    </row>
    <row r="429" spans="2:8" ht="13.5" thickBot="1">
      <c r="B429" s="189" t="s">
        <v>39</v>
      </c>
      <c r="C429" s="215">
        <f t="shared" si="31"/>
        <v>5574.0389500000001</v>
      </c>
      <c r="D429" s="215">
        <f t="shared" si="32"/>
        <v>171.83723206496106</v>
      </c>
      <c r="E429" s="220">
        <v>0.05</v>
      </c>
      <c r="F429" s="47"/>
      <c r="G429" s="183"/>
      <c r="H429" s="249"/>
    </row>
    <row r="430" spans="2:8" ht="13.5" thickBot="1">
      <c r="B430" s="238" t="s">
        <v>40</v>
      </c>
      <c r="C430" s="216">
        <f>SUM(C424:C429)</f>
        <v>111480.77899999999</v>
      </c>
      <c r="D430" s="216">
        <f>SUM(D424:D429)</f>
        <v>3436.7446412992208</v>
      </c>
      <c r="E430" s="207">
        <f>SUM(E424:E429)</f>
        <v>1</v>
      </c>
      <c r="G430" s="183"/>
    </row>
    <row r="434" spans="1:11">
      <c r="A434" s="59" t="s">
        <v>108</v>
      </c>
      <c r="H434" s="59" t="s">
        <v>109</v>
      </c>
      <c r="I434" s="92">
        <f>Model!$M$250</f>
        <v>3.3924985073006564E-2</v>
      </c>
      <c r="J434" s="92"/>
    </row>
    <row r="435" spans="1:11">
      <c r="H435" s="59" t="s">
        <v>110</v>
      </c>
      <c r="I435" s="92">
        <f>Model!$M$249</f>
        <v>4.5185193922402327E-2</v>
      </c>
      <c r="J435" s="92"/>
    </row>
    <row r="436" spans="1:11">
      <c r="H436" s="59"/>
      <c r="I436" s="92"/>
    </row>
    <row r="437" spans="1:11">
      <c r="H437" s="184" t="s">
        <v>8</v>
      </c>
      <c r="I437" s="92"/>
    </row>
    <row r="438" spans="1:11" ht="25.5">
      <c r="B438" s="247" t="s">
        <v>111</v>
      </c>
      <c r="C438" s="157" t="s">
        <v>9</v>
      </c>
      <c r="D438" s="157" t="s">
        <v>19</v>
      </c>
      <c r="E438" s="158" t="s">
        <v>71</v>
      </c>
      <c r="F438" s="158" t="s">
        <v>7</v>
      </c>
      <c r="G438" s="59"/>
      <c r="H438" s="157" t="s">
        <v>111</v>
      </c>
      <c r="I438" s="157" t="s">
        <v>9</v>
      </c>
      <c r="J438" s="157" t="s">
        <v>19</v>
      </c>
      <c r="K438" s="158" t="s">
        <v>71</v>
      </c>
    </row>
    <row r="439" spans="1:11">
      <c r="B439" s="161" t="s">
        <v>63</v>
      </c>
      <c r="C439" s="152">
        <f>Model!$M$124</f>
        <v>3811.0889999999999</v>
      </c>
      <c r="D439" s="152">
        <f>C439*I$434</f>
        <v>129.2911374368995</v>
      </c>
      <c r="E439" s="95"/>
      <c r="F439" s="95"/>
      <c r="G439" s="95"/>
      <c r="H439" s="161" t="s">
        <v>21</v>
      </c>
      <c r="I439" s="217">
        <f>3811.089</f>
        <v>3811.0889999999999</v>
      </c>
      <c r="J439" s="152">
        <f>I439*$I$434</f>
        <v>129.2911374368995</v>
      </c>
      <c r="K439" s="95"/>
    </row>
    <row r="440" spans="1:11">
      <c r="B440" s="162" t="s">
        <v>64</v>
      </c>
      <c r="C440" s="151">
        <f>C439</f>
        <v>3811.0889999999999</v>
      </c>
      <c r="D440" s="151">
        <f>D439</f>
        <v>129.2911374368995</v>
      </c>
      <c r="E440" s="163">
        <f>C440/C452</f>
        <v>0.18982362902824126</v>
      </c>
      <c r="F440" s="163">
        <f>D440/D452</f>
        <v>0.1425193348145454</v>
      </c>
      <c r="G440" s="95"/>
      <c r="H440" s="161" t="s">
        <v>22</v>
      </c>
      <c r="I440" s="217">
        <f>56499.932</f>
        <v>56499.932000000001</v>
      </c>
      <c r="J440" s="152">
        <f t="shared" ref="J440:J441" si="33">I440*$I$434</f>
        <v>1916.7593497258858</v>
      </c>
      <c r="K440" s="95"/>
    </row>
    <row r="441" spans="1:11">
      <c r="B441" s="161"/>
      <c r="C441" s="152"/>
      <c r="D441" s="152"/>
      <c r="E441" s="95"/>
      <c r="F441" s="95"/>
      <c r="G441" s="95"/>
      <c r="H441" s="161" t="s">
        <v>24</v>
      </c>
      <c r="I441" s="217">
        <f>41598.522</f>
        <v>41598.521999999997</v>
      </c>
      <c r="J441" s="152">
        <f t="shared" si="33"/>
        <v>1411.229237909135</v>
      </c>
      <c r="K441" s="95"/>
    </row>
    <row r="442" spans="1:11">
      <c r="B442" s="161" t="s">
        <v>14</v>
      </c>
      <c r="C442" s="152">
        <f>SUM(Model!$M$125:$M$145)</f>
        <v>74646</v>
      </c>
      <c r="D442" s="152">
        <f>C442*I$434</f>
        <v>2532.3644357596481</v>
      </c>
      <c r="E442" s="95"/>
      <c r="F442" s="95"/>
      <c r="G442" s="96"/>
      <c r="H442" s="162" t="s">
        <v>23</v>
      </c>
      <c r="I442" s="151">
        <f>SUM(I439:I441)</f>
        <v>101909.54300000001</v>
      </c>
      <c r="J442" s="151">
        <f>SUM(J439:J441)</f>
        <v>3457.2797250719204</v>
      </c>
      <c r="K442" s="163">
        <f>+I442/I448</f>
        <v>5.0759348010160883</v>
      </c>
    </row>
    <row r="443" spans="1:11">
      <c r="B443" s="162" t="s">
        <v>15</v>
      </c>
      <c r="C443" s="151">
        <f>C442</f>
        <v>74646</v>
      </c>
      <c r="D443" s="151">
        <f>D442</f>
        <v>2532.3644357596481</v>
      </c>
      <c r="E443" s="163">
        <f>C443/C452</f>
        <v>3.7179857548438511</v>
      </c>
      <c r="F443" s="163">
        <f>D443/D452</f>
        <v>2.7914588891958592</v>
      </c>
      <c r="G443" s="96"/>
      <c r="H443" s="164" t="s">
        <v>25</v>
      </c>
      <c r="I443" s="149">
        <f>C448</f>
        <v>48791.777999999998</v>
      </c>
      <c r="J443" s="152">
        <f>I443*$I$434</f>
        <v>1655.2603403354501</v>
      </c>
      <c r="K443" s="165"/>
    </row>
    <row r="444" spans="1:11">
      <c r="B444" s="161" t="s">
        <v>17</v>
      </c>
      <c r="C444" s="152">
        <f>Model!$M$146</f>
        <v>14966</v>
      </c>
      <c r="D444" s="152">
        <f t="shared" ref="D444:D446" si="34">C444*I$434</f>
        <v>507.72132660261622</v>
      </c>
      <c r="E444" s="95"/>
      <c r="F444" s="95"/>
      <c r="G444" s="96"/>
      <c r="H444" s="164"/>
      <c r="I444" s="149"/>
      <c r="J444" s="154"/>
      <c r="K444" s="165"/>
    </row>
    <row r="445" spans="1:11">
      <c r="B445" s="161" t="s">
        <v>18</v>
      </c>
      <c r="C445" s="152">
        <f>Model!$M$147</f>
        <v>11606</v>
      </c>
      <c r="D445" s="152">
        <f t="shared" si="34"/>
        <v>393.7333767573142</v>
      </c>
      <c r="E445" s="95"/>
      <c r="F445" s="95"/>
      <c r="G445" s="96"/>
      <c r="H445" s="162" t="s">
        <v>26</v>
      </c>
      <c r="I445" s="151">
        <f>+I442-I443</f>
        <v>53117.765000000007</v>
      </c>
      <c r="J445" s="151">
        <f>+J442-J443</f>
        <v>1802.0193847364703</v>
      </c>
      <c r="K445" s="163">
        <f>+I445/I448</f>
        <v>2.6457022961597851</v>
      </c>
    </row>
    <row r="446" spans="1:11">
      <c r="B446" s="161" t="s">
        <v>20</v>
      </c>
      <c r="C446" s="152">
        <f>Model!$M$148</f>
        <v>692</v>
      </c>
      <c r="D446" s="152">
        <f t="shared" si="34"/>
        <v>23.476089670520544</v>
      </c>
      <c r="E446" s="95"/>
      <c r="F446" s="95"/>
      <c r="G446" s="96"/>
      <c r="H446" s="164" t="s">
        <v>27</v>
      </c>
      <c r="I446" s="73">
        <f>C450</f>
        <v>59563.339</v>
      </c>
      <c r="J446" s="152">
        <f>I446*$I$434</f>
        <v>2020.6853864734296</v>
      </c>
      <c r="K446" s="165"/>
    </row>
    <row r="447" spans="1:11">
      <c r="B447" s="162" t="s">
        <v>23</v>
      </c>
      <c r="C447" s="151">
        <f>SUM(C444:C446)+C443+C440</f>
        <v>105721.08900000001</v>
      </c>
      <c r="D447" s="151">
        <f>SUM(D444:D446)+D443+D440</f>
        <v>3586.5863662269985</v>
      </c>
      <c r="E447" s="163">
        <f>+C447/C452</f>
        <v>5.265781192409225</v>
      </c>
      <c r="F447" s="163">
        <f>+D447/D452</f>
        <v>3.9535416990128951</v>
      </c>
      <c r="H447" s="166" t="s">
        <v>28</v>
      </c>
      <c r="I447" s="77">
        <f>I442+I446</f>
        <v>161472.88200000001</v>
      </c>
      <c r="J447" s="155">
        <f>J442+J446</f>
        <v>5477.9651115453498</v>
      </c>
      <c r="K447" s="167"/>
    </row>
    <row r="448" spans="1:11">
      <c r="B448" s="164" t="s">
        <v>25</v>
      </c>
      <c r="C448" s="149">
        <f>Model!$M$150</f>
        <v>48791.777999999998</v>
      </c>
      <c r="D448" s="152">
        <f>C448*I$434</f>
        <v>1655.2603403354501</v>
      </c>
      <c r="E448" s="165"/>
      <c r="F448" s="165"/>
      <c r="H448" s="164" t="s">
        <v>29</v>
      </c>
      <c r="I448" s="211">
        <f>C452</f>
        <v>20077</v>
      </c>
      <c r="J448" s="152">
        <f>I448*$I$435</f>
        <v>907.18313838007157</v>
      </c>
      <c r="K448" s="164"/>
    </row>
    <row r="449" spans="2:9">
      <c r="B449" s="162" t="s">
        <v>26</v>
      </c>
      <c r="C449" s="151">
        <f>+C447-C448</f>
        <v>56929.311000000009</v>
      </c>
      <c r="D449" s="151">
        <f>+D447-D448</f>
        <v>1931.3260258915484</v>
      </c>
      <c r="E449" s="163">
        <f>+C449/C452</f>
        <v>2.8355486875529219</v>
      </c>
      <c r="F449" s="163">
        <f>+D449/D452</f>
        <v>2.1289262820076842</v>
      </c>
    </row>
    <row r="450" spans="2:9">
      <c r="B450" s="164" t="s">
        <v>27</v>
      </c>
      <c r="C450" s="73">
        <f>Model!$M$162</f>
        <v>59563.339</v>
      </c>
      <c r="D450" s="152">
        <f>C450*I$434</f>
        <v>2020.6853864734296</v>
      </c>
      <c r="E450" s="165"/>
      <c r="F450" s="165"/>
      <c r="H450" s="162" t="s">
        <v>32</v>
      </c>
      <c r="I450" s="218">
        <v>2.67</v>
      </c>
    </row>
    <row r="451" spans="2:9">
      <c r="B451" s="166" t="s">
        <v>28</v>
      </c>
      <c r="C451" s="77">
        <f>C447+C450</f>
        <v>165284.42800000001</v>
      </c>
      <c r="D451" s="77">
        <f>D447+D450</f>
        <v>5607.2717527004279</v>
      </c>
      <c r="E451" s="167"/>
      <c r="F451" s="167"/>
    </row>
    <row r="452" spans="2:9">
      <c r="B452" s="164" t="s">
        <v>29</v>
      </c>
      <c r="C452" s="211">
        <f>Model!$M$95</f>
        <v>20077</v>
      </c>
      <c r="D452" s="211">
        <f>C452*I435</f>
        <v>907.18313838007157</v>
      </c>
      <c r="E452" s="164"/>
      <c r="F452" s="164"/>
    </row>
    <row r="454" spans="2:9">
      <c r="B454" s="97" t="s">
        <v>30</v>
      </c>
      <c r="C454" s="98">
        <f>C447-Model!$M$153</f>
        <v>0</v>
      </c>
    </row>
    <row r="456" spans="2:9">
      <c r="B456" s="250" t="s">
        <v>31</v>
      </c>
      <c r="C456" s="251">
        <f>C449+Model!$M$161</f>
        <v>134748.06299999999</v>
      </c>
    </row>
    <row r="457" spans="2:9">
      <c r="B457" s="250" t="s">
        <v>33</v>
      </c>
      <c r="C457" s="252">
        <f>C456/C452</f>
        <v>6.7115636300244059</v>
      </c>
    </row>
    <row r="459" spans="2:9" ht="13.5" thickBot="1"/>
    <row r="460" spans="2:9">
      <c r="B460" s="65" t="s">
        <v>112</v>
      </c>
      <c r="C460" s="248" t="s">
        <v>74</v>
      </c>
      <c r="D460" s="248" t="s">
        <v>75</v>
      </c>
    </row>
    <row r="461" spans="2:9">
      <c r="B461" s="67"/>
      <c r="C461" s="93"/>
      <c r="D461" s="93"/>
    </row>
    <row r="462" spans="2:9">
      <c r="B462" s="67" t="s">
        <v>35</v>
      </c>
      <c r="C462" s="213">
        <f>C448</f>
        <v>48791.777999999998</v>
      </c>
      <c r="D462" s="213">
        <f>C462*I434</f>
        <v>1655.2603403354501</v>
      </c>
    </row>
    <row r="463" spans="2:9" ht="13.5" thickBot="1">
      <c r="B463" s="210" t="s">
        <v>36</v>
      </c>
      <c r="C463" s="214">
        <f>SUM(C461:C462)</f>
        <v>48791.777999999998</v>
      </c>
      <c r="D463" s="214">
        <f>SUM(D461:D462)</f>
        <v>1655.2603403354501</v>
      </c>
    </row>
    <row r="465" spans="1:10">
      <c r="C465" s="32"/>
    </row>
    <row r="466" spans="1:10" ht="13.5" thickBot="1"/>
    <row r="467" spans="1:10">
      <c r="B467" s="170" t="s">
        <v>113</v>
      </c>
      <c r="C467" s="66" t="s">
        <v>74</v>
      </c>
      <c r="D467" s="66" t="s">
        <v>77</v>
      </c>
      <c r="E467" s="66" t="s">
        <v>38</v>
      </c>
    </row>
    <row r="468" spans="1:10">
      <c r="B468" s="189">
        <v>2024</v>
      </c>
      <c r="C468" s="215">
        <f t="shared" ref="C468:C472" si="35">$C$447*E468</f>
        <v>62375.442510000001</v>
      </c>
      <c r="D468" s="215">
        <f t="shared" ref="D468:D473" si="36">C468*I$434</f>
        <v>2116.0859560739291</v>
      </c>
      <c r="E468" s="220">
        <v>0.59</v>
      </c>
      <c r="F468" s="47"/>
      <c r="G468" s="183"/>
    </row>
    <row r="469" spans="1:10">
      <c r="B469" s="189">
        <v>2025</v>
      </c>
      <c r="C469" s="215">
        <f t="shared" si="35"/>
        <v>3171.63267</v>
      </c>
      <c r="D469" s="215">
        <f t="shared" si="36"/>
        <v>107.59759098680995</v>
      </c>
      <c r="E469" s="220">
        <v>0.03</v>
      </c>
      <c r="F469" s="47"/>
      <c r="G469" s="183"/>
    </row>
    <row r="470" spans="1:10">
      <c r="B470" s="189">
        <v>2026</v>
      </c>
      <c r="C470" s="215">
        <f t="shared" si="35"/>
        <v>14800.952460000002</v>
      </c>
      <c r="D470" s="215">
        <f t="shared" si="36"/>
        <v>502.12209127177988</v>
      </c>
      <c r="E470" s="220">
        <v>0.14000000000000001</v>
      </c>
      <c r="F470" s="47"/>
      <c r="G470" s="183"/>
      <c r="H470" s="249"/>
    </row>
    <row r="471" spans="1:10">
      <c r="B471" s="189">
        <v>2027</v>
      </c>
      <c r="C471" s="215">
        <f t="shared" si="35"/>
        <v>3171.63267</v>
      </c>
      <c r="D471" s="215">
        <f t="shared" si="36"/>
        <v>107.59759098680995</v>
      </c>
      <c r="E471" s="220">
        <v>0.03</v>
      </c>
      <c r="F471" s="47"/>
      <c r="G471" s="183"/>
      <c r="H471" s="249"/>
    </row>
    <row r="472" spans="1:10">
      <c r="B472" s="189">
        <v>2028</v>
      </c>
      <c r="C472" s="215">
        <f t="shared" si="35"/>
        <v>16915.374240000001</v>
      </c>
      <c r="D472" s="215">
        <f t="shared" si="36"/>
        <v>573.8538185963198</v>
      </c>
      <c r="E472" s="220">
        <v>0.16</v>
      </c>
      <c r="F472" s="47"/>
      <c r="G472" s="183"/>
      <c r="H472" s="249"/>
    </row>
    <row r="473" spans="1:10" ht="13.5" thickBot="1">
      <c r="B473" s="189" t="s">
        <v>39</v>
      </c>
      <c r="C473" s="215">
        <f>$C$447*E473</f>
        <v>5286.0544500000005</v>
      </c>
      <c r="D473" s="215">
        <f t="shared" si="36"/>
        <v>179.32931831134994</v>
      </c>
      <c r="E473" s="220">
        <v>0.05</v>
      </c>
      <c r="F473" s="47"/>
      <c r="G473" s="183"/>
      <c r="H473" s="249"/>
    </row>
    <row r="474" spans="1:10" ht="13.5" thickBot="1">
      <c r="B474" s="238" t="s">
        <v>40</v>
      </c>
      <c r="C474" s="216">
        <f>SUM(C468:C473)</f>
        <v>105721.08900000001</v>
      </c>
      <c r="D474" s="216">
        <f>SUM(D468:D473)</f>
        <v>3586.5863662269985</v>
      </c>
      <c r="E474" s="207">
        <f>SUM(E468:E473)</f>
        <v>1</v>
      </c>
      <c r="G474" s="183"/>
    </row>
    <row r="477" spans="1:10">
      <c r="A477" s="59" t="s">
        <v>114</v>
      </c>
      <c r="H477" s="59" t="s">
        <v>115</v>
      </c>
      <c r="I477" s="92">
        <f>Model!$AX$250</f>
        <v>3.6486895731398065E-2</v>
      </c>
      <c r="J477" s="92"/>
    </row>
    <row r="478" spans="1:10">
      <c r="H478" s="59" t="s">
        <v>116</v>
      </c>
      <c r="I478" s="92">
        <f>AVERAGE(Model!$AU$249:$AX$249)</f>
        <v>4.7906370741740201E-2</v>
      </c>
      <c r="J478" s="92"/>
    </row>
    <row r="479" spans="1:10">
      <c r="H479" s="59"/>
      <c r="I479" s="92"/>
    </row>
    <row r="480" spans="1:10">
      <c r="H480" s="184" t="s">
        <v>8</v>
      </c>
      <c r="I480" s="92"/>
    </row>
    <row r="481" spans="2:11" ht="25.5">
      <c r="B481" s="247" t="s">
        <v>117</v>
      </c>
      <c r="C481" s="157" t="s">
        <v>9</v>
      </c>
      <c r="D481" s="157" t="s">
        <v>19</v>
      </c>
      <c r="E481" s="158" t="s">
        <v>71</v>
      </c>
      <c r="F481" s="158" t="s">
        <v>7</v>
      </c>
      <c r="G481" s="59"/>
      <c r="H481" s="157" t="s">
        <v>117</v>
      </c>
      <c r="I481" s="157" t="s">
        <v>9</v>
      </c>
      <c r="J481" s="157" t="s">
        <v>19</v>
      </c>
      <c r="K481" s="158" t="s">
        <v>71</v>
      </c>
    </row>
    <row r="482" spans="2:11">
      <c r="B482" s="161" t="s">
        <v>63</v>
      </c>
      <c r="C482" s="152">
        <f>Model!$AX$124</f>
        <v>3574.7640000000001</v>
      </c>
      <c r="D482" s="152">
        <f>C482*I$477</f>
        <v>130.43204133235548</v>
      </c>
      <c r="E482" s="95"/>
      <c r="F482" s="95"/>
      <c r="G482" s="95"/>
      <c r="H482" s="161" t="s">
        <v>21</v>
      </c>
      <c r="I482" s="217">
        <f>896.421+2678.343</f>
        <v>3574.7640000000001</v>
      </c>
      <c r="J482" s="152">
        <f>I482*$I$477</f>
        <v>130.43204133235548</v>
      </c>
      <c r="K482" s="95"/>
    </row>
    <row r="483" spans="2:11">
      <c r="B483" s="162" t="s">
        <v>64</v>
      </c>
      <c r="C483" s="151">
        <f>C482</f>
        <v>3574.7640000000001</v>
      </c>
      <c r="D483" s="151">
        <f>D482</f>
        <v>130.43204133235548</v>
      </c>
      <c r="E483" s="163">
        <f>C483/C495</f>
        <v>0.19061341580462834</v>
      </c>
      <c r="F483" s="163">
        <f>D483/D495</f>
        <v>0.14517676291870282</v>
      </c>
      <c r="G483" s="95"/>
      <c r="H483" s="161" t="s">
        <v>22</v>
      </c>
      <c r="I483" s="217">
        <v>46440.841</v>
      </c>
      <c r="J483" s="152">
        <f>I483*$I$477</f>
        <v>1694.4821232454362</v>
      </c>
      <c r="K483" s="95"/>
    </row>
    <row r="484" spans="2:11">
      <c r="B484" s="161"/>
      <c r="C484" s="152"/>
      <c r="D484" s="152"/>
      <c r="E484" s="95"/>
      <c r="F484" s="95"/>
      <c r="G484" s="95"/>
      <c r="H484" s="161" t="s">
        <v>24</v>
      </c>
      <c r="I484" s="217">
        <v>33791.667999999998</v>
      </c>
      <c r="J484" s="152">
        <f>I484*$I$477</f>
        <v>1232.9530669060205</v>
      </c>
      <c r="K484" s="95"/>
    </row>
    <row r="485" spans="2:11">
      <c r="B485" s="161" t="s">
        <v>14</v>
      </c>
      <c r="C485" s="152">
        <f>SUM(Model!$AX$125:$AX$145)</f>
        <v>61932</v>
      </c>
      <c r="D485" s="152">
        <f>C485*$I$477</f>
        <v>2259.7064264369451</v>
      </c>
      <c r="E485" s="95"/>
      <c r="F485" s="95"/>
      <c r="G485" s="96"/>
      <c r="H485" s="162" t="s">
        <v>23</v>
      </c>
      <c r="I485" s="151">
        <f>SUM(I482:I484)</f>
        <v>83807.273000000001</v>
      </c>
      <c r="J485" s="151">
        <f>SUM(J482:J484)</f>
        <v>3057.8672314838122</v>
      </c>
      <c r="K485" s="163">
        <f>+I485/I491</f>
        <v>4.4687678895169034</v>
      </c>
    </row>
    <row r="486" spans="2:11">
      <c r="B486" s="162" t="s">
        <v>15</v>
      </c>
      <c r="C486" s="151">
        <f>C485</f>
        <v>61932</v>
      </c>
      <c r="D486" s="151">
        <f>D485</f>
        <v>2259.7064264369451</v>
      </c>
      <c r="E486" s="163">
        <f>C486/C495</f>
        <v>3.3023355017596248</v>
      </c>
      <c r="F486" s="163">
        <f>D486/D495</f>
        <v>2.5151554846924449</v>
      </c>
      <c r="G486" s="96"/>
      <c r="H486" s="164" t="s">
        <v>25</v>
      </c>
      <c r="I486" s="149">
        <f>C491</f>
        <v>39623.14</v>
      </c>
      <c r="J486" s="152">
        <f>I486*$I$477</f>
        <v>1445.725377730588</v>
      </c>
      <c r="K486" s="165"/>
    </row>
    <row r="487" spans="2:11">
      <c r="B487" s="161" t="s">
        <v>17</v>
      </c>
      <c r="C487" s="152">
        <f>Model!$AX$146</f>
        <v>10941</v>
      </c>
      <c r="D487" s="152">
        <f>C487*$I$477</f>
        <v>399.20312619722625</v>
      </c>
      <c r="E487" s="95"/>
      <c r="F487" s="95"/>
      <c r="G487" s="96"/>
      <c r="H487" s="164"/>
      <c r="I487" s="149"/>
      <c r="J487" s="154"/>
      <c r="K487" s="165"/>
    </row>
    <row r="488" spans="2:11">
      <c r="B488" s="161" t="s">
        <v>18</v>
      </c>
      <c r="C488" s="152">
        <f>Model!$AX$147</f>
        <v>10263</v>
      </c>
      <c r="D488" s="152">
        <f>C488*$I$477</f>
        <v>374.46501089133835</v>
      </c>
      <c r="E488" s="95"/>
      <c r="F488" s="95"/>
      <c r="G488" s="96"/>
      <c r="H488" s="162" t="s">
        <v>26</v>
      </c>
      <c r="I488" s="151">
        <f>+I485-I486</f>
        <v>44184.133000000002</v>
      </c>
      <c r="J488" s="151">
        <f>+J485-J486</f>
        <v>1612.1418537532243</v>
      </c>
      <c r="K488" s="163">
        <f>+I488/I491</f>
        <v>2.3559844833102273</v>
      </c>
    </row>
    <row r="489" spans="2:11">
      <c r="B489" s="161" t="s">
        <v>20</v>
      </c>
      <c r="C489" s="152">
        <f>Model!$AX$148</f>
        <v>671</v>
      </c>
      <c r="D489" s="152">
        <f>C489*$I$477</f>
        <v>24.482707035768101</v>
      </c>
      <c r="E489" s="95"/>
      <c r="F489" s="95"/>
      <c r="G489" s="96"/>
      <c r="H489" s="164" t="s">
        <v>27</v>
      </c>
      <c r="I489" s="73">
        <f>C493</f>
        <v>35907.563000000002</v>
      </c>
      <c r="J489" s="152">
        <f>I489*$I$477</f>
        <v>1310.1555071496073</v>
      </c>
      <c r="K489" s="165"/>
    </row>
    <row r="490" spans="2:11">
      <c r="B490" s="162" t="s">
        <v>23</v>
      </c>
      <c r="C490" s="151">
        <f>SUM(C487:C489)+C486+C483</f>
        <v>87381.763999999996</v>
      </c>
      <c r="D490" s="151">
        <f>SUM(D487:D489)+D486+D483</f>
        <v>3188.2893118936331</v>
      </c>
      <c r="E490" s="163">
        <f>+C490/C495</f>
        <v>4.6593667484270016</v>
      </c>
      <c r="F490" s="163">
        <f>+D490/D495</f>
        <v>3.5487102465074734</v>
      </c>
      <c r="H490" s="166" t="s">
        <v>28</v>
      </c>
      <c r="I490" s="77">
        <f>I485+I489</f>
        <v>119714.83600000001</v>
      </c>
      <c r="J490" s="155">
        <f>J485+J489</f>
        <v>4368.0227386334191</v>
      </c>
      <c r="K490" s="167"/>
    </row>
    <row r="491" spans="2:11">
      <c r="B491" s="164" t="s">
        <v>25</v>
      </c>
      <c r="C491" s="149">
        <f>Model!$AX$150</f>
        <v>39623.14</v>
      </c>
      <c r="D491" s="152">
        <f>C491*$I$477</f>
        <v>1445.725377730588</v>
      </c>
      <c r="E491" s="165"/>
      <c r="F491" s="165"/>
      <c r="H491" s="164" t="s">
        <v>29</v>
      </c>
      <c r="I491" s="211">
        <f>C495</f>
        <v>18754</v>
      </c>
      <c r="J491" s="152">
        <f>I491*$I$478</f>
        <v>898.4360768905957</v>
      </c>
      <c r="K491" s="164"/>
    </row>
    <row r="492" spans="2:11">
      <c r="B492" s="162" t="s">
        <v>26</v>
      </c>
      <c r="C492" s="151">
        <f>+C490-C491</f>
        <v>47758.623999999996</v>
      </c>
      <c r="D492" s="151">
        <f>+D490-D491</f>
        <v>1742.5639341630451</v>
      </c>
      <c r="E492" s="163">
        <f>+C492/C495</f>
        <v>2.5465833422203263</v>
      </c>
      <c r="F492" s="163">
        <f>+D492/D495</f>
        <v>1.939552494590264</v>
      </c>
    </row>
    <row r="493" spans="2:11">
      <c r="B493" s="164" t="s">
        <v>27</v>
      </c>
      <c r="C493" s="73">
        <f>Model!$AX$162</f>
        <v>35907.563000000002</v>
      </c>
      <c r="D493" s="152">
        <f>C493*$I$477</f>
        <v>1310.1555071496073</v>
      </c>
      <c r="E493" s="165"/>
      <c r="F493" s="165"/>
      <c r="H493" s="162" t="s">
        <v>32</v>
      </c>
      <c r="I493" s="218">
        <v>2.36</v>
      </c>
    </row>
    <row r="494" spans="2:11">
      <c r="B494" s="166" t="s">
        <v>28</v>
      </c>
      <c r="C494" s="77">
        <f>C490+C493</f>
        <v>123289.32699999999</v>
      </c>
      <c r="D494" s="77">
        <f>D490+D493</f>
        <v>4498.4448190432404</v>
      </c>
      <c r="E494" s="167"/>
      <c r="F494" s="167"/>
    </row>
    <row r="495" spans="2:11">
      <c r="B495" s="164" t="s">
        <v>29</v>
      </c>
      <c r="C495" s="211">
        <f>Model!$AX$95</f>
        <v>18754</v>
      </c>
      <c r="D495" s="211">
        <f>C495*I478</f>
        <v>898.4360768905957</v>
      </c>
      <c r="E495" s="164"/>
      <c r="F495" s="164"/>
    </row>
    <row r="497" spans="2:7">
      <c r="B497" s="97" t="s">
        <v>30</v>
      </c>
      <c r="C497" s="98">
        <f>C490-Model!$AX$153</f>
        <v>0</v>
      </c>
    </row>
    <row r="499" spans="2:7">
      <c r="B499" s="250" t="s">
        <v>31</v>
      </c>
      <c r="C499" s="251">
        <f>C492+Model!$AX$161</f>
        <v>150268.62400000001</v>
      </c>
    </row>
    <row r="500" spans="2:7">
      <c r="B500" s="250" t="s">
        <v>33</v>
      </c>
      <c r="C500" s="252">
        <f>C499/C495</f>
        <v>8.012617254985603</v>
      </c>
    </row>
    <row r="502" spans="2:7" ht="13.5" thickBot="1"/>
    <row r="503" spans="2:7">
      <c r="B503" s="65" t="s">
        <v>118</v>
      </c>
      <c r="C503" s="248" t="s">
        <v>74</v>
      </c>
      <c r="D503" s="248" t="s">
        <v>75</v>
      </c>
    </row>
    <row r="504" spans="2:7">
      <c r="B504" s="67"/>
      <c r="C504" s="93"/>
      <c r="D504" s="93"/>
    </row>
    <row r="505" spans="2:7">
      <c r="B505" s="67" t="s">
        <v>35</v>
      </c>
      <c r="C505" s="213">
        <f>C491</f>
        <v>39623.14</v>
      </c>
      <c r="D505" s="213">
        <f>C505*I477</f>
        <v>1445.725377730588</v>
      </c>
    </row>
    <row r="506" spans="2:7" ht="13.5" thickBot="1">
      <c r="B506" s="210" t="s">
        <v>36</v>
      </c>
      <c r="C506" s="214">
        <f>SUM(C504:C505)</f>
        <v>39623.14</v>
      </c>
      <c r="D506" s="214">
        <f>SUM(D504:D505)</f>
        <v>1445.725377730588</v>
      </c>
    </row>
    <row r="508" spans="2:7">
      <c r="C508" s="32"/>
    </row>
    <row r="509" spans="2:7" ht="13.5" thickBot="1"/>
    <row r="510" spans="2:7">
      <c r="B510" s="170" t="s">
        <v>119</v>
      </c>
      <c r="C510" s="66" t="s">
        <v>74</v>
      </c>
      <c r="D510" s="66" t="s">
        <v>77</v>
      </c>
      <c r="E510" s="66" t="s">
        <v>38</v>
      </c>
    </row>
    <row r="511" spans="2:7">
      <c r="B511" s="189">
        <v>2023</v>
      </c>
      <c r="C511" s="215">
        <f>$C$490*E511</f>
        <v>31457.435039999997</v>
      </c>
      <c r="D511" s="215">
        <f>C511*$I$477</f>
        <v>1147.7841522817077</v>
      </c>
      <c r="E511" s="220">
        <v>0.36</v>
      </c>
      <c r="F511" s="47"/>
      <c r="G511" s="183"/>
    </row>
    <row r="512" spans="2:7">
      <c r="B512" s="189">
        <v>2024</v>
      </c>
      <c r="C512" s="215">
        <f t="shared" ref="C512:C515" si="37">$C$490*E512</f>
        <v>20971.623359999998</v>
      </c>
      <c r="D512" s="215">
        <f>C512*$I$477</f>
        <v>765.18943485447187</v>
      </c>
      <c r="E512" s="220">
        <v>0.24</v>
      </c>
      <c r="F512" s="47"/>
      <c r="G512" s="183"/>
    </row>
    <row r="513" spans="1:11">
      <c r="B513" s="189">
        <v>2025</v>
      </c>
      <c r="C513" s="215">
        <f t="shared" si="37"/>
        <v>1747.63528</v>
      </c>
      <c r="D513" s="215">
        <f>C513*$I$477</f>
        <v>63.765786237872661</v>
      </c>
      <c r="E513" s="220">
        <v>0.02</v>
      </c>
      <c r="F513" s="47"/>
      <c r="G513" s="183"/>
      <c r="H513" s="249"/>
    </row>
    <row r="514" spans="1:11">
      <c r="B514" s="189">
        <v>2026</v>
      </c>
      <c r="C514" s="215">
        <f t="shared" si="37"/>
        <v>13981.08224</v>
      </c>
      <c r="D514" s="215">
        <f>C514*$I$477</f>
        <v>510.12628990298128</v>
      </c>
      <c r="E514" s="220">
        <v>0.16</v>
      </c>
      <c r="F514" s="47"/>
      <c r="G514" s="183"/>
      <c r="H514" s="249"/>
    </row>
    <row r="515" spans="1:11" ht="13.5" thickBot="1">
      <c r="B515" s="189" t="s">
        <v>97</v>
      </c>
      <c r="C515" s="215">
        <f t="shared" si="37"/>
        <v>19223.988079999999</v>
      </c>
      <c r="D515" s="215">
        <f>C515*$I$477</f>
        <v>701.42364861659928</v>
      </c>
      <c r="E515" s="220">
        <f>3%+15%+4%</f>
        <v>0.22</v>
      </c>
      <c r="F515" s="47"/>
      <c r="G515" s="183"/>
      <c r="H515" s="249"/>
    </row>
    <row r="516" spans="1:11" ht="13.5" thickBot="1">
      <c r="B516" s="238" t="s">
        <v>40</v>
      </c>
      <c r="C516" s="216">
        <f>SUM(C511:C515)</f>
        <v>87381.763999999996</v>
      </c>
      <c r="D516" s="216">
        <f>SUM(D511:D515)</f>
        <v>3188.2893118936327</v>
      </c>
      <c r="E516" s="207">
        <f>SUM(E511:E515)</f>
        <v>1</v>
      </c>
      <c r="G516" s="183"/>
    </row>
    <row r="520" spans="1:11">
      <c r="A520" s="59" t="s">
        <v>120</v>
      </c>
      <c r="H520" s="59" t="s">
        <v>121</v>
      </c>
      <c r="I520" s="92">
        <f>Model!AW250</f>
        <v>3.840747255786086E-2</v>
      </c>
      <c r="J520" s="92"/>
    </row>
    <row r="521" spans="1:11">
      <c r="H521" s="59" t="s">
        <v>122</v>
      </c>
      <c r="I521" s="92">
        <f>AVERAGE(Model!AT249:AW249)</f>
        <v>5.2851929943856256E-2</v>
      </c>
      <c r="J521" s="92"/>
    </row>
    <row r="522" spans="1:11">
      <c r="H522" s="59"/>
      <c r="I522" s="92"/>
    </row>
    <row r="523" spans="1:11">
      <c r="H523" s="184" t="s">
        <v>8</v>
      </c>
      <c r="I523" s="92"/>
    </row>
    <row r="524" spans="1:11" ht="25.5">
      <c r="B524" s="247" t="s">
        <v>123</v>
      </c>
      <c r="C524" s="157" t="s">
        <v>9</v>
      </c>
      <c r="D524" s="157" t="s">
        <v>19</v>
      </c>
      <c r="E524" s="158" t="s">
        <v>71</v>
      </c>
      <c r="F524" s="158" t="s">
        <v>7</v>
      </c>
      <c r="G524" s="59"/>
      <c r="H524" s="157" t="s">
        <v>123</v>
      </c>
      <c r="I524" s="157" t="s">
        <v>9</v>
      </c>
      <c r="J524" s="157" t="s">
        <v>19</v>
      </c>
      <c r="K524" s="158" t="s">
        <v>71</v>
      </c>
    </row>
    <row r="525" spans="1:11">
      <c r="B525" s="161" t="s">
        <v>63</v>
      </c>
      <c r="C525" s="152">
        <f>Model!AW124</f>
        <v>3162.7260000000001</v>
      </c>
      <c r="D525" s="152">
        <f>C525*I$520</f>
        <v>121.47231205303305</v>
      </c>
      <c r="E525" s="95"/>
      <c r="F525" s="95"/>
      <c r="G525" s="95"/>
      <c r="H525" s="161" t="s">
        <v>21</v>
      </c>
      <c r="I525" s="217">
        <f>2284.282+878.444</f>
        <v>3162.7260000000001</v>
      </c>
      <c r="J525" s="152">
        <f>I525*$I$520</f>
        <v>121.47231205303305</v>
      </c>
      <c r="K525" s="95"/>
    </row>
    <row r="526" spans="1:11">
      <c r="B526" s="162" t="s">
        <v>64</v>
      </c>
      <c r="C526" s="151">
        <f>C525</f>
        <v>3162.7260000000001</v>
      </c>
      <c r="D526" s="151">
        <f>D525</f>
        <v>121.47231205303305</v>
      </c>
      <c r="E526" s="163">
        <f>C526/C538</f>
        <v>0.20766421536441235</v>
      </c>
      <c r="F526" s="163">
        <f>D526/D538</f>
        <v>0.1509094873419192</v>
      </c>
      <c r="G526" s="95"/>
      <c r="H526" s="161" t="s">
        <v>22</v>
      </c>
      <c r="I526" s="217">
        <v>44840.822</v>
      </c>
      <c r="J526" s="152">
        <f>I526*$I$520</f>
        <v>1722.2226404369235</v>
      </c>
      <c r="K526" s="95"/>
    </row>
    <row r="527" spans="1:11">
      <c r="B527" s="161"/>
      <c r="C527" s="152"/>
      <c r="D527" s="152"/>
      <c r="E527" s="95"/>
      <c r="F527" s="95"/>
      <c r="G527" s="95"/>
      <c r="H527" s="161" t="s">
        <v>24</v>
      </c>
      <c r="I527" s="217">
        <v>21274.912</v>
      </c>
      <c r="J527" s="152">
        <f>I527*$I$520</f>
        <v>817.11559881090466</v>
      </c>
      <c r="K527" s="95"/>
    </row>
    <row r="528" spans="1:11">
      <c r="B528" s="161" t="s">
        <v>14</v>
      </c>
      <c r="C528" s="152">
        <f>SUM(Model!AW125:AW145)</f>
        <v>45060</v>
      </c>
      <c r="D528" s="152">
        <f>C528*$I$520</f>
        <v>1730.6407134572103</v>
      </c>
      <c r="E528" s="95"/>
      <c r="F528" s="95"/>
      <c r="G528" s="96"/>
      <c r="H528" s="162" t="s">
        <v>23</v>
      </c>
      <c r="I528" s="151">
        <f>SUM(I525:I527)</f>
        <v>69278.460000000006</v>
      </c>
      <c r="J528" s="151">
        <f>SUM(J525:J527)</f>
        <v>2660.8105513008613</v>
      </c>
      <c r="K528" s="163">
        <f>+I528/I534</f>
        <v>4.5488154957321081</v>
      </c>
    </row>
    <row r="529" spans="2:11">
      <c r="B529" s="162" t="s">
        <v>15</v>
      </c>
      <c r="C529" s="151">
        <f>C528</f>
        <v>45060</v>
      </c>
      <c r="D529" s="151">
        <f>D528</f>
        <v>1730.6407134572103</v>
      </c>
      <c r="E529" s="163">
        <f>C529/C538</f>
        <v>2.9586342744583058</v>
      </c>
      <c r="F529" s="163">
        <f>D529/D538</f>
        <v>2.1500381315443948</v>
      </c>
      <c r="G529" s="96"/>
      <c r="H529" s="164" t="s">
        <v>25</v>
      </c>
      <c r="I529" s="149">
        <f>C534</f>
        <v>28665.84</v>
      </c>
      <c r="J529" s="152">
        <f>I529*$I$520</f>
        <v>1100.9824631480301</v>
      </c>
      <c r="K529" s="165"/>
    </row>
    <row r="530" spans="2:11">
      <c r="B530" s="161" t="s">
        <v>17</v>
      </c>
      <c r="C530" s="152">
        <f>Model!AW146</f>
        <v>0</v>
      </c>
      <c r="D530" s="152">
        <f>C530*$I$520</f>
        <v>0</v>
      </c>
      <c r="E530" s="95"/>
      <c r="F530" s="95"/>
      <c r="G530" s="96"/>
      <c r="H530" s="164"/>
      <c r="I530" s="149"/>
      <c r="J530" s="154"/>
      <c r="K530" s="165"/>
    </row>
    <row r="531" spans="2:11">
      <c r="B531" s="161" t="s">
        <v>18</v>
      </c>
      <c r="C531" s="152">
        <f>Model!AW147</f>
        <v>9882</v>
      </c>
      <c r="D531" s="152">
        <f>C531*$I$520</f>
        <v>379.54264381678104</v>
      </c>
      <c r="E531" s="95"/>
      <c r="F531" s="95"/>
      <c r="G531" s="96"/>
      <c r="H531" s="162" t="s">
        <v>26</v>
      </c>
      <c r="I531" s="151">
        <f>+I528-I529</f>
        <v>40612.62000000001</v>
      </c>
      <c r="J531" s="151">
        <f>+J528-J529</f>
        <v>1559.8280881528312</v>
      </c>
      <c r="K531" s="163">
        <f>+I531/I534</f>
        <v>2.6666198292843077</v>
      </c>
    </row>
    <row r="532" spans="2:11">
      <c r="B532" s="161" t="s">
        <v>20</v>
      </c>
      <c r="C532" s="152">
        <f>Model!AW148</f>
        <v>6276</v>
      </c>
      <c r="D532" s="152">
        <f>C532*$I$520</f>
        <v>241.04529777313476</v>
      </c>
      <c r="E532" s="95"/>
      <c r="F532" s="95"/>
      <c r="G532" s="96"/>
      <c r="H532" s="164" t="s">
        <v>27</v>
      </c>
      <c r="I532" s="73">
        <f>C536</f>
        <v>34043.771999999997</v>
      </c>
      <c r="J532" s="152">
        <f>I532*$I$520</f>
        <v>1307.5352388560718</v>
      </c>
      <c r="K532" s="165"/>
    </row>
    <row r="533" spans="2:11">
      <c r="B533" s="162" t="s">
        <v>23</v>
      </c>
      <c r="C533" s="151">
        <f>SUM(C530:C532)+C529+C526</f>
        <v>64380.726000000002</v>
      </c>
      <c r="D533" s="151">
        <f>SUM(D530:D532)+D529+D526</f>
        <v>2472.7009671001592</v>
      </c>
      <c r="E533" s="163">
        <f>+C533/C538</f>
        <v>4.2272308601444522</v>
      </c>
      <c r="F533" s="163">
        <f>+D533/D538</f>
        <v>3.0719266719154827</v>
      </c>
      <c r="H533" s="166" t="s">
        <v>28</v>
      </c>
      <c r="I533" s="77">
        <f>I528+I532</f>
        <v>103322.232</v>
      </c>
      <c r="J533" s="155">
        <f>J528+J532</f>
        <v>3968.3457901569332</v>
      </c>
      <c r="K533" s="167"/>
    </row>
    <row r="534" spans="2:11">
      <c r="B534" s="164" t="s">
        <v>25</v>
      </c>
      <c r="C534" s="149">
        <f>Model!AW150</f>
        <v>28665.84</v>
      </c>
      <c r="D534" s="152">
        <f>C534*$I$520</f>
        <v>1100.9824631480301</v>
      </c>
      <c r="E534" s="165"/>
      <c r="F534" s="165"/>
      <c r="H534" s="164" t="s">
        <v>29</v>
      </c>
      <c r="I534" s="211">
        <f>C538</f>
        <v>15230</v>
      </c>
      <c r="J534" s="152">
        <f>I534*$I$521</f>
        <v>804.93489304493073</v>
      </c>
      <c r="K534" s="164"/>
    </row>
    <row r="535" spans="2:11">
      <c r="B535" s="162" t="s">
        <v>26</v>
      </c>
      <c r="C535" s="151">
        <f>+C533-C534</f>
        <v>35714.885999999999</v>
      </c>
      <c r="D535" s="151">
        <f>+D533-D534</f>
        <v>1371.7185039521291</v>
      </c>
      <c r="E535" s="163">
        <f>+C535/C538</f>
        <v>2.3450351936966514</v>
      </c>
      <c r="F535" s="163">
        <f>+D535/D538</f>
        <v>1.7041359690137834</v>
      </c>
    </row>
    <row r="536" spans="2:11">
      <c r="B536" s="164" t="s">
        <v>27</v>
      </c>
      <c r="C536" s="73">
        <f>Model!AW162</f>
        <v>34043.771999999997</v>
      </c>
      <c r="D536" s="152">
        <f>C536*$I$520</f>
        <v>1307.5352388560718</v>
      </c>
      <c r="E536" s="165"/>
      <c r="F536" s="165"/>
      <c r="H536" s="162" t="s">
        <v>32</v>
      </c>
      <c r="I536" s="218">
        <v>2.4500000000000002</v>
      </c>
    </row>
    <row r="537" spans="2:11">
      <c r="B537" s="166" t="s">
        <v>28</v>
      </c>
      <c r="C537" s="77">
        <f>C533+C536</f>
        <v>98424.497999999992</v>
      </c>
      <c r="D537" s="77">
        <f>D533+D536</f>
        <v>3780.2362059562311</v>
      </c>
      <c r="E537" s="167"/>
      <c r="F537" s="167"/>
    </row>
    <row r="538" spans="2:11">
      <c r="B538" s="164" t="s">
        <v>29</v>
      </c>
      <c r="C538" s="211">
        <f>Model!AW95</f>
        <v>15230</v>
      </c>
      <c r="D538" s="211">
        <f>C538*I521</f>
        <v>804.93489304493073</v>
      </c>
      <c r="E538" s="164"/>
      <c r="F538" s="164"/>
    </row>
    <row r="540" spans="2:11">
      <c r="B540" s="97" t="s">
        <v>30</v>
      </c>
      <c r="C540" s="98">
        <f>C533-Model!AW153</f>
        <v>0</v>
      </c>
    </row>
    <row r="542" spans="2:11">
      <c r="B542" s="250" t="s">
        <v>31</v>
      </c>
      <c r="C542" s="251">
        <f>C535+Model!AW161</f>
        <v>127283.886</v>
      </c>
    </row>
    <row r="543" spans="2:11">
      <c r="B543" s="250" t="s">
        <v>33</v>
      </c>
      <c r="C543" s="252">
        <f>C542/C538</f>
        <v>8.3574449113591598</v>
      </c>
    </row>
    <row r="545" spans="2:8" ht="13.5" thickBot="1"/>
    <row r="546" spans="2:8">
      <c r="B546" s="65" t="s">
        <v>124</v>
      </c>
      <c r="C546" s="248" t="s">
        <v>74</v>
      </c>
      <c r="D546" s="248" t="s">
        <v>75</v>
      </c>
    </row>
    <row r="547" spans="2:8">
      <c r="B547" s="67"/>
      <c r="C547" s="93"/>
      <c r="D547" s="93"/>
    </row>
    <row r="548" spans="2:8">
      <c r="B548" s="67" t="s">
        <v>35</v>
      </c>
      <c r="C548" s="213">
        <f>C534</f>
        <v>28665.84</v>
      </c>
      <c r="D548" s="213">
        <f>C548*I520</f>
        <v>1100.9824631480301</v>
      </c>
    </row>
    <row r="549" spans="2:8" ht="13.5" thickBot="1">
      <c r="B549" s="210" t="s">
        <v>36</v>
      </c>
      <c r="C549" s="214">
        <f>SUM(C547:C548)</f>
        <v>28665.84</v>
      </c>
      <c r="D549" s="214">
        <f>SUM(D547:D548)</f>
        <v>1100.9824631480301</v>
      </c>
    </row>
    <row r="551" spans="2:8">
      <c r="C551" s="32"/>
    </row>
    <row r="552" spans="2:8" ht="13.5" thickBot="1"/>
    <row r="553" spans="2:8">
      <c r="B553" s="170" t="s">
        <v>125</v>
      </c>
      <c r="C553" s="66" t="s">
        <v>74</v>
      </c>
      <c r="D553" s="66" t="s">
        <v>77</v>
      </c>
      <c r="E553" s="66" t="s">
        <v>38</v>
      </c>
    </row>
    <row r="554" spans="2:8">
      <c r="B554" s="189">
        <v>2023</v>
      </c>
      <c r="C554" s="215">
        <f>$C$533*E554</f>
        <v>30902.748479999998</v>
      </c>
      <c r="D554" s="215">
        <f>C554*$I$520</f>
        <v>1186.8964642080764</v>
      </c>
      <c r="E554" s="220">
        <v>0.48</v>
      </c>
      <c r="F554" s="47"/>
      <c r="G554" s="183"/>
    </row>
    <row r="555" spans="2:8">
      <c r="B555" s="189">
        <v>2024</v>
      </c>
      <c r="C555" s="215">
        <f t="shared" ref="C555:C558" si="38">$C$533*E555</f>
        <v>11588.53068</v>
      </c>
      <c r="D555" s="215">
        <f>C555*$I$520</f>
        <v>445.08617407802865</v>
      </c>
      <c r="E555" s="220">
        <v>0.18</v>
      </c>
      <c r="F555" s="47"/>
      <c r="G555" s="183"/>
    </row>
    <row r="556" spans="2:8">
      <c r="B556" s="189">
        <v>2025</v>
      </c>
      <c r="C556" s="215">
        <f t="shared" si="38"/>
        <v>1287.6145200000001</v>
      </c>
      <c r="D556" s="215">
        <f>C556*$I$520</f>
        <v>49.454019342003185</v>
      </c>
      <c r="E556" s="220">
        <v>0.02</v>
      </c>
      <c r="F556" s="47"/>
      <c r="G556" s="183"/>
      <c r="H556" s="249"/>
    </row>
    <row r="557" spans="2:8">
      <c r="B557" s="189">
        <v>2026</v>
      </c>
      <c r="C557" s="215">
        <f t="shared" si="38"/>
        <v>13519.95246</v>
      </c>
      <c r="D557" s="215">
        <f t="shared" ref="D557:D558" si="39">C557*$I$520</f>
        <v>519.26720309103348</v>
      </c>
      <c r="E557" s="220">
        <v>0.21</v>
      </c>
      <c r="F557" s="47"/>
      <c r="G557" s="183"/>
      <c r="H557" s="249"/>
    </row>
    <row r="558" spans="2:8" ht="13.5" thickBot="1">
      <c r="B558" s="189" t="s">
        <v>97</v>
      </c>
      <c r="C558" s="215">
        <f t="shared" si="38"/>
        <v>7081.87986</v>
      </c>
      <c r="D558" s="215">
        <f t="shared" si="39"/>
        <v>271.99710638101749</v>
      </c>
      <c r="E558" s="220">
        <v>0.11</v>
      </c>
      <c r="F558" s="47"/>
      <c r="G558" s="183"/>
      <c r="H558" s="249"/>
    </row>
    <row r="559" spans="2:8" ht="13.5" thickBot="1">
      <c r="B559" s="238" t="s">
        <v>40</v>
      </c>
      <c r="C559" s="216">
        <f>SUM(C554:C558)</f>
        <v>64380.726000000002</v>
      </c>
      <c r="D559" s="216">
        <f>SUM(D554:D558)</f>
        <v>2472.7009671001592</v>
      </c>
      <c r="E559" s="207">
        <f>SUM(E554:E558)</f>
        <v>0.99999999999999989</v>
      </c>
      <c r="G559" s="183"/>
    </row>
    <row r="563" spans="1:11">
      <c r="A563" s="59" t="s">
        <v>126</v>
      </c>
      <c r="H563" s="59" t="s">
        <v>127</v>
      </c>
      <c r="I563" s="92">
        <f>Model!AV250</f>
        <v>5.21E-2</v>
      </c>
      <c r="J563" s="92"/>
    </row>
    <row r="564" spans="1:11">
      <c r="H564" s="59" t="s">
        <v>128</v>
      </c>
      <c r="I564" s="92">
        <f>AVERAGE(Model!AS250:AV250)</f>
        <v>5.4941362908937565E-2</v>
      </c>
      <c r="J564" s="92"/>
    </row>
    <row r="565" spans="1:11">
      <c r="H565" s="59"/>
      <c r="I565" s="92"/>
    </row>
    <row r="566" spans="1:11">
      <c r="H566" s="184" t="s">
        <v>8</v>
      </c>
      <c r="I566" s="92"/>
    </row>
    <row r="567" spans="1:11" ht="25.5">
      <c r="B567" s="247" t="s">
        <v>129</v>
      </c>
      <c r="C567" s="157" t="s">
        <v>9</v>
      </c>
      <c r="D567" s="157" t="s">
        <v>19</v>
      </c>
      <c r="E567" s="158" t="s">
        <v>71</v>
      </c>
      <c r="F567" s="158" t="s">
        <v>7</v>
      </c>
      <c r="G567" s="59"/>
      <c r="H567" s="157" t="s">
        <v>129</v>
      </c>
      <c r="I567" s="157" t="s">
        <v>9</v>
      </c>
      <c r="J567" s="157" t="s">
        <v>19</v>
      </c>
      <c r="K567" s="158" t="s">
        <v>71</v>
      </c>
    </row>
    <row r="568" spans="1:11">
      <c r="B568" s="161" t="s">
        <v>63</v>
      </c>
      <c r="C568" s="152">
        <f>Model!AV124</f>
        <v>2553.1779999999999</v>
      </c>
      <c r="D568" s="152">
        <f>C568*I$563</f>
        <v>133.02057379999999</v>
      </c>
      <c r="E568" s="95"/>
      <c r="F568" s="95"/>
      <c r="G568" s="95"/>
      <c r="H568" s="161" t="s">
        <v>21</v>
      </c>
      <c r="I568" s="217">
        <v>2553.1779999999999</v>
      </c>
      <c r="J568" s="152">
        <f>I568*$I$563</f>
        <v>133.02057379999999</v>
      </c>
      <c r="K568" s="95"/>
    </row>
    <row r="569" spans="1:11">
      <c r="B569" s="162" t="s">
        <v>64</v>
      </c>
      <c r="C569" s="151">
        <f>C568</f>
        <v>2553.1779999999999</v>
      </c>
      <c r="D569" s="151">
        <f>D568</f>
        <v>133.02057379999999</v>
      </c>
      <c r="E569" s="163">
        <f>C569/C581</f>
        <v>0.20261709388143798</v>
      </c>
      <c r="F569" s="163">
        <f>D569/D581</f>
        <v>0.19213849151721113</v>
      </c>
      <c r="G569" s="95"/>
      <c r="H569" s="161" t="s">
        <v>22</v>
      </c>
      <c r="I569" s="217">
        <v>43401.303999999996</v>
      </c>
      <c r="J569" s="152">
        <f>I569*$I$563</f>
        <v>2261.2079383999999</v>
      </c>
      <c r="K569" s="95"/>
    </row>
    <row r="570" spans="1:11">
      <c r="B570" s="161"/>
      <c r="C570" s="152"/>
      <c r="D570" s="152"/>
      <c r="E570" s="95"/>
      <c r="F570" s="95"/>
      <c r="G570" s="95"/>
      <c r="H570" s="161" t="s">
        <v>24</v>
      </c>
      <c r="I570" s="217">
        <v>15922.29</v>
      </c>
      <c r="J570" s="152">
        <f>I570*$I$563</f>
        <v>829.55130900000006</v>
      </c>
      <c r="K570" s="95"/>
    </row>
    <row r="571" spans="1:11">
      <c r="B571" s="161" t="s">
        <v>14</v>
      </c>
      <c r="C571" s="152">
        <f>SUM(Model!AV125:AV145)</f>
        <v>34332</v>
      </c>
      <c r="D571" s="152">
        <f>C571*$I$563</f>
        <v>1788.6972000000001</v>
      </c>
      <c r="E571" s="95"/>
      <c r="F571" s="95"/>
      <c r="G571" s="96"/>
      <c r="H571" s="162" t="s">
        <v>23</v>
      </c>
      <c r="I571" s="151">
        <f>SUM(I568:I570)</f>
        <v>61876.771999999997</v>
      </c>
      <c r="J571" s="151">
        <f>SUM(J568:J570)</f>
        <v>3223.7798211999998</v>
      </c>
      <c r="K571" s="163">
        <f>+I571/I577</f>
        <v>4.9104652011745094</v>
      </c>
    </row>
    <row r="572" spans="1:11">
      <c r="B572" s="162" t="s">
        <v>15</v>
      </c>
      <c r="C572" s="151">
        <f>C571</f>
        <v>34332</v>
      </c>
      <c r="D572" s="151">
        <f>D571</f>
        <v>1788.6972000000001</v>
      </c>
      <c r="E572" s="163">
        <f>C572/C581</f>
        <v>2.7245456709784936</v>
      </c>
      <c r="F572" s="163">
        <f>D572/D581</f>
        <v>2.5836423041279901</v>
      </c>
      <c r="G572" s="96"/>
      <c r="H572" s="164" t="s">
        <v>25</v>
      </c>
      <c r="I572" s="149">
        <f>C577</f>
        <v>29347.464</v>
      </c>
      <c r="J572" s="152">
        <f>I572*$I$563</f>
        <v>1529.0028744000001</v>
      </c>
      <c r="K572" s="165"/>
    </row>
    <row r="573" spans="1:11">
      <c r="B573" s="161" t="s">
        <v>17</v>
      </c>
      <c r="C573" s="152">
        <f>Model!AV146</f>
        <v>9810</v>
      </c>
      <c r="D573" s="152">
        <f>C573*$I$563</f>
        <v>511.101</v>
      </c>
      <c r="E573" s="95"/>
      <c r="F573" s="95"/>
      <c r="G573" s="96"/>
      <c r="H573" s="164"/>
      <c r="I573" s="149"/>
      <c r="J573" s="154"/>
      <c r="K573" s="165"/>
    </row>
    <row r="574" spans="1:11">
      <c r="B574" s="161" t="s">
        <v>18</v>
      </c>
      <c r="C574" s="152">
        <f>Model!AV147</f>
        <v>7466</v>
      </c>
      <c r="D574" s="152">
        <f>C574*$I$563</f>
        <v>388.97860000000003</v>
      </c>
      <c r="E574" s="95"/>
      <c r="F574" s="95"/>
      <c r="G574" s="96"/>
      <c r="H574" s="162" t="s">
        <v>26</v>
      </c>
      <c r="I574" s="151">
        <f>+I571-I572</f>
        <v>32529.307999999997</v>
      </c>
      <c r="J574" s="151">
        <f>+J571-J572</f>
        <v>1694.7769467999997</v>
      </c>
      <c r="K574" s="163">
        <f>+I574/I577</f>
        <v>2.5814862312514877</v>
      </c>
    </row>
    <row r="575" spans="1:11">
      <c r="B575" s="161" t="s">
        <v>20</v>
      </c>
      <c r="C575" s="152">
        <f>Model!AV148</f>
        <v>6239</v>
      </c>
      <c r="D575" s="152">
        <f>C575*$I$563</f>
        <v>325.05189999999999</v>
      </c>
      <c r="E575" s="95"/>
      <c r="F575" s="95"/>
      <c r="G575" s="96"/>
      <c r="H575" s="164" t="s">
        <v>27</v>
      </c>
      <c r="I575" s="73">
        <f>C579</f>
        <v>26127.069</v>
      </c>
      <c r="J575" s="152">
        <f>I575*$I$563</f>
        <v>1361.2202949</v>
      </c>
      <c r="K575" s="165"/>
    </row>
    <row r="576" spans="1:11">
      <c r="B576" s="162" t="s">
        <v>23</v>
      </c>
      <c r="C576" s="151">
        <f>SUM(C573:C575)+C572+C569</f>
        <v>60400.178</v>
      </c>
      <c r="D576" s="151">
        <f>SUM(D573:D575)+D572+D569</f>
        <v>3146.8492738</v>
      </c>
      <c r="E576" s="163">
        <f>+C576/C581</f>
        <v>4.7932845012300609</v>
      </c>
      <c r="F576" s="163">
        <f>+D576/D581</f>
        <v>4.5453936577438174</v>
      </c>
      <c r="H576" s="166" t="s">
        <v>28</v>
      </c>
      <c r="I576" s="77">
        <f>I571+I575</f>
        <v>88003.841</v>
      </c>
      <c r="J576" s="155">
        <f>J571+J575</f>
        <v>4585.0001161</v>
      </c>
      <c r="K576" s="167"/>
    </row>
    <row r="577" spans="2:11">
      <c r="B577" s="164" t="s">
        <v>25</v>
      </c>
      <c r="C577" s="149">
        <f>Model!AV150</f>
        <v>29347.464</v>
      </c>
      <c r="D577" s="152">
        <f>C577*$I$563</f>
        <v>1529.0028744000001</v>
      </c>
      <c r="E577" s="165"/>
      <c r="F577" s="165"/>
      <c r="H577" s="164" t="s">
        <v>29</v>
      </c>
      <c r="I577" s="211">
        <f>C581</f>
        <v>12601</v>
      </c>
      <c r="J577" s="152">
        <f>I577*$I$564</f>
        <v>692.3161140155222</v>
      </c>
      <c r="K577" s="164"/>
    </row>
    <row r="578" spans="2:11">
      <c r="B578" s="162" t="s">
        <v>26</v>
      </c>
      <c r="C578" s="151">
        <f>+C576-C577</f>
        <v>31052.714</v>
      </c>
      <c r="D578" s="151">
        <f>+D576-D577</f>
        <v>1617.8463993999999</v>
      </c>
      <c r="E578" s="163">
        <f>+C578/C581</f>
        <v>2.4643055313070392</v>
      </c>
      <c r="F578" s="163">
        <f>+D578/D581</f>
        <v>2.3368608163925053</v>
      </c>
    </row>
    <row r="579" spans="2:11">
      <c r="B579" s="164" t="s">
        <v>27</v>
      </c>
      <c r="C579" s="73">
        <f>Model!AV162</f>
        <v>26127.069</v>
      </c>
      <c r="D579" s="152">
        <f>C579*$I$563</f>
        <v>1361.2202949</v>
      </c>
      <c r="E579" s="165"/>
      <c r="F579" s="165"/>
      <c r="H579" s="162" t="s">
        <v>32</v>
      </c>
      <c r="I579" s="218">
        <v>2.56</v>
      </c>
    </row>
    <row r="580" spans="2:11">
      <c r="B580" s="166" t="s">
        <v>28</v>
      </c>
      <c r="C580" s="77">
        <f>C576+C579</f>
        <v>86527.247000000003</v>
      </c>
      <c r="D580" s="77">
        <f>D576+D579</f>
        <v>4508.0695686999998</v>
      </c>
      <c r="E580" s="167"/>
      <c r="F580" s="167"/>
    </row>
    <row r="581" spans="2:11">
      <c r="B581" s="164" t="s">
        <v>29</v>
      </c>
      <c r="C581" s="211">
        <f>Model!AV95</f>
        <v>12601</v>
      </c>
      <c r="D581" s="211">
        <f>C581*I564</f>
        <v>692.3161140155222</v>
      </c>
      <c r="E581" s="164"/>
      <c r="F581" s="164"/>
    </row>
    <row r="583" spans="2:11">
      <c r="B583" s="97" t="s">
        <v>30</v>
      </c>
      <c r="C583" s="98">
        <f>C576-Model!AV153</f>
        <v>0</v>
      </c>
    </row>
    <row r="585" spans="2:11">
      <c r="B585" s="250" t="s">
        <v>31</v>
      </c>
      <c r="C585" s="251">
        <f>C578+Model!AV161</f>
        <v>107342.42800000001</v>
      </c>
    </row>
    <row r="586" spans="2:11">
      <c r="B586" s="250" t="s">
        <v>33</v>
      </c>
      <c r="C586" s="252">
        <f>C585/C581</f>
        <v>8.5185642409332605</v>
      </c>
    </row>
    <row r="588" spans="2:11" ht="13.5" thickBot="1"/>
    <row r="589" spans="2:11">
      <c r="B589" s="65" t="s">
        <v>130</v>
      </c>
      <c r="C589" s="248" t="s">
        <v>74</v>
      </c>
      <c r="D589" s="248" t="s">
        <v>75</v>
      </c>
    </row>
    <row r="590" spans="2:11">
      <c r="B590" s="67"/>
      <c r="C590" s="93"/>
      <c r="D590" s="93"/>
    </row>
    <row r="591" spans="2:11">
      <c r="B591" s="67" t="s">
        <v>35</v>
      </c>
      <c r="C591" s="213">
        <f>C577</f>
        <v>29347.464</v>
      </c>
      <c r="D591" s="213">
        <f>C591*I563</f>
        <v>1529.0028744000001</v>
      </c>
    </row>
    <row r="592" spans="2:11" ht="13.5" thickBot="1">
      <c r="B592" s="210" t="s">
        <v>36</v>
      </c>
      <c r="C592" s="214">
        <f>SUM(C590:C591)</f>
        <v>29347.464</v>
      </c>
      <c r="D592" s="214">
        <f>SUM(D590:D591)</f>
        <v>1529.0028744000001</v>
      </c>
    </row>
    <row r="594" spans="1:10">
      <c r="C594" s="32"/>
    </row>
    <row r="595" spans="1:10" ht="13.5" thickBot="1"/>
    <row r="596" spans="1:10">
      <c r="B596" s="170" t="s">
        <v>131</v>
      </c>
      <c r="C596" s="66" t="s">
        <v>74</v>
      </c>
      <c r="D596" s="66" t="s">
        <v>77</v>
      </c>
      <c r="E596" s="66" t="s">
        <v>38</v>
      </c>
    </row>
    <row r="597" spans="1:10">
      <c r="B597" s="189">
        <v>2023</v>
      </c>
      <c r="C597" s="215">
        <f>$C$576*E597</f>
        <v>37448.110359999999</v>
      </c>
      <c r="D597" s="215">
        <f>C597*$I$563</f>
        <v>1951.0465497559999</v>
      </c>
      <c r="E597" s="220">
        <v>0.62</v>
      </c>
      <c r="F597" s="47"/>
      <c r="G597" s="183"/>
    </row>
    <row r="598" spans="1:10">
      <c r="B598" s="189">
        <v>2024</v>
      </c>
      <c r="C598" s="215">
        <f>$C$576*E598</f>
        <v>7852.0231400000002</v>
      </c>
      <c r="D598" s="215">
        <f>C598*$I$563</f>
        <v>409.090405594</v>
      </c>
      <c r="E598" s="220">
        <v>0.13</v>
      </c>
      <c r="F598" s="47"/>
      <c r="G598" s="183"/>
    </row>
    <row r="599" spans="1:10" ht="13.5" thickBot="1">
      <c r="B599" s="189" t="s">
        <v>132</v>
      </c>
      <c r="C599" s="215">
        <f>$C$576*E599</f>
        <v>15100.0445</v>
      </c>
      <c r="D599" s="215">
        <f>C599*$I$563</f>
        <v>786.71231845</v>
      </c>
      <c r="E599" s="220">
        <v>0.25</v>
      </c>
      <c r="F599" s="47"/>
      <c r="G599" s="183"/>
      <c r="H599" s="249"/>
    </row>
    <row r="600" spans="1:10" ht="13.5" thickBot="1">
      <c r="B600" s="238" t="s">
        <v>40</v>
      </c>
      <c r="C600" s="216">
        <f>SUM(C597:C599)</f>
        <v>60400.178</v>
      </c>
      <c r="D600" s="216">
        <f>SUM(D597:D599)</f>
        <v>3146.8492738</v>
      </c>
      <c r="E600" s="207">
        <f>SUM(E597:E599)</f>
        <v>1</v>
      </c>
      <c r="G600" s="183"/>
    </row>
    <row r="608" spans="1:10">
      <c r="A608" s="59" t="s">
        <v>133</v>
      </c>
      <c r="H608" s="59" t="s">
        <v>134</v>
      </c>
      <c r="I608" s="92">
        <f>Model!AU250</f>
        <v>5.3499999999999999E-2</v>
      </c>
      <c r="J608" s="92"/>
    </row>
    <row r="609" spans="2:11">
      <c r="H609" s="59" t="s">
        <v>135</v>
      </c>
      <c r="I609" s="92">
        <f>AVERAGE(Model!AR249:AU249)</f>
        <v>6.1666114867696936E-2</v>
      </c>
      <c r="J609" s="92"/>
    </row>
    <row r="610" spans="2:11">
      <c r="H610" s="59"/>
      <c r="I610" s="92"/>
    </row>
    <row r="611" spans="2:11">
      <c r="H611" s="184" t="s">
        <v>8</v>
      </c>
      <c r="I611" s="92"/>
    </row>
    <row r="612" spans="2:11" ht="25.5">
      <c r="B612" s="247" t="s">
        <v>136</v>
      </c>
      <c r="C612" s="157" t="s">
        <v>9</v>
      </c>
      <c r="D612" s="157" t="s">
        <v>19</v>
      </c>
      <c r="E612" s="158" t="s">
        <v>71</v>
      </c>
      <c r="F612" s="158" t="s">
        <v>7</v>
      </c>
      <c r="G612" s="59"/>
      <c r="H612" s="157" t="s">
        <v>136</v>
      </c>
      <c r="I612" s="157" t="s">
        <v>9</v>
      </c>
      <c r="J612" s="157" t="s">
        <v>19</v>
      </c>
      <c r="K612" s="158" t="s">
        <v>71</v>
      </c>
    </row>
    <row r="613" spans="2:11">
      <c r="B613" s="161" t="s">
        <v>63</v>
      </c>
      <c r="C613" s="152">
        <f>Model!AU124</f>
        <v>2293.6480000000001</v>
      </c>
      <c r="D613" s="152">
        <f>C613*I$608</f>
        <v>122.71016800000001</v>
      </c>
      <c r="E613" s="95"/>
      <c r="F613" s="95"/>
      <c r="G613" s="95"/>
      <c r="H613" s="161" t="s">
        <v>21</v>
      </c>
      <c r="I613" s="217">
        <v>2293.6480000000001</v>
      </c>
      <c r="J613" s="152">
        <f>I613*$I$608</f>
        <v>122.71016800000001</v>
      </c>
      <c r="K613" s="95"/>
    </row>
    <row r="614" spans="2:11">
      <c r="B614" s="162" t="s">
        <v>64</v>
      </c>
      <c r="C614" s="151">
        <f>C613</f>
        <v>2293.6480000000001</v>
      </c>
      <c r="D614" s="151">
        <f>D613</f>
        <v>122.71016800000001</v>
      </c>
      <c r="E614" s="163">
        <f>C614/C626</f>
        <v>0.19269495085272623</v>
      </c>
      <c r="F614" s="163">
        <f>D614/D626</f>
        <v>0.1671773857123792</v>
      </c>
      <c r="G614" s="95"/>
      <c r="H614" s="161" t="s">
        <v>22</v>
      </c>
      <c r="I614" s="217">
        <v>34629.703999999998</v>
      </c>
      <c r="J614" s="152">
        <f>I614*$I$608</f>
        <v>1852.6891639999999</v>
      </c>
      <c r="K614" s="95"/>
    </row>
    <row r="615" spans="2:11">
      <c r="B615" s="161"/>
      <c r="C615" s="152"/>
      <c r="D615" s="152"/>
      <c r="E615" s="95"/>
      <c r="F615" s="95"/>
      <c r="G615" s="95"/>
      <c r="H615" s="161" t="s">
        <v>24</v>
      </c>
      <c r="I615" s="217">
        <v>14515.790999999999</v>
      </c>
      <c r="J615" s="152">
        <f>I615*$I$608</f>
        <v>776.59481849999997</v>
      </c>
      <c r="K615" s="95"/>
    </row>
    <row r="616" spans="2:11">
      <c r="B616" s="161" t="s">
        <v>14</v>
      </c>
      <c r="C616" s="152">
        <f>SUM(Model!AU125:AU145)</f>
        <v>26008</v>
      </c>
      <c r="D616" s="152">
        <f>C616*$I$608</f>
        <v>1391.4279999999999</v>
      </c>
      <c r="E616" s="95"/>
      <c r="F616" s="95"/>
      <c r="G616" s="96"/>
      <c r="H616" s="162" t="s">
        <v>23</v>
      </c>
      <c r="I616" s="151">
        <f>SUM(I613:I615)</f>
        <v>51439.142999999996</v>
      </c>
      <c r="J616" s="151">
        <f>SUM(J613:J615)</f>
        <v>2751.9941504999997</v>
      </c>
      <c r="K616" s="163">
        <f>+I616/I622</f>
        <v>4.3215275980845158</v>
      </c>
    </row>
    <row r="617" spans="2:11">
      <c r="B617" s="162" t="s">
        <v>15</v>
      </c>
      <c r="C617" s="151">
        <f>C616</f>
        <v>26008</v>
      </c>
      <c r="D617" s="151">
        <f>D616</f>
        <v>1391.4279999999999</v>
      </c>
      <c r="E617" s="163">
        <f>C617/C626</f>
        <v>2.1849953793161387</v>
      </c>
      <c r="F617" s="163">
        <f>D617/D626</f>
        <v>1.8956480888120399</v>
      </c>
      <c r="G617" s="96"/>
      <c r="H617" s="164" t="s">
        <v>25</v>
      </c>
      <c r="I617" s="149">
        <f>C622</f>
        <v>24529.219000000001</v>
      </c>
      <c r="J617" s="152">
        <f>I617*$I$608</f>
        <v>1312.3132165</v>
      </c>
      <c r="K617" s="165"/>
    </row>
    <row r="618" spans="2:11">
      <c r="B618" s="161" t="s">
        <v>137</v>
      </c>
      <c r="C618" s="152">
        <f>Model!AU146</f>
        <v>9463</v>
      </c>
      <c r="D618" s="152">
        <f>C618*$I$608</f>
        <v>506.27049999999997</v>
      </c>
      <c r="E618" s="95"/>
      <c r="F618" s="95"/>
      <c r="G618" s="96"/>
      <c r="H618" s="164"/>
      <c r="I618" s="149"/>
      <c r="J618" s="154"/>
      <c r="K618" s="165"/>
    </row>
    <row r="619" spans="2:11">
      <c r="B619" s="161" t="s">
        <v>138</v>
      </c>
      <c r="C619" s="152">
        <f>Model!AU147</f>
        <v>7098</v>
      </c>
      <c r="D619" s="152">
        <f t="shared" ref="D619:D620" si="40">C619*$I$608</f>
        <v>379.74299999999999</v>
      </c>
      <c r="E619" s="95"/>
      <c r="F619" s="95"/>
      <c r="G619" s="96"/>
      <c r="H619" s="162" t="s">
        <v>26</v>
      </c>
      <c r="I619" s="151">
        <f>+I616-I617</f>
        <v>26909.923999999995</v>
      </c>
      <c r="J619" s="151">
        <f>+J616-J617</f>
        <v>1439.6809339999998</v>
      </c>
      <c r="K619" s="163">
        <f>+I619/I622</f>
        <v>2.2607682096950343</v>
      </c>
    </row>
    <row r="620" spans="2:11">
      <c r="B620" s="161" t="s">
        <v>139</v>
      </c>
      <c r="C620" s="152">
        <f>Model!AU148</f>
        <v>6496</v>
      </c>
      <c r="D620" s="152">
        <f t="shared" si="40"/>
        <v>347.536</v>
      </c>
      <c r="E620" s="95"/>
      <c r="F620" s="95"/>
      <c r="G620" s="96"/>
      <c r="H620" s="164" t="s">
        <v>27</v>
      </c>
      <c r="I620" s="73">
        <f>C624</f>
        <v>27105.68</v>
      </c>
      <c r="J620" s="152">
        <f>I620*$I$608</f>
        <v>1450.1538800000001</v>
      </c>
      <c r="K620" s="165"/>
    </row>
    <row r="621" spans="2:11">
      <c r="B621" s="162" t="s">
        <v>23</v>
      </c>
      <c r="C621" s="151">
        <f>SUM(C618:C620)+C617+C614</f>
        <v>51358.648000000001</v>
      </c>
      <c r="D621" s="151">
        <f>SUM(D618:D620)+D617+D614</f>
        <v>2747.687668</v>
      </c>
      <c r="E621" s="163">
        <f>+C621/C626</f>
        <v>4.3147650172225491</v>
      </c>
      <c r="F621" s="163">
        <f>+D621/D626</f>
        <v>3.7433836867567787</v>
      </c>
      <c r="H621" s="166" t="s">
        <v>28</v>
      </c>
      <c r="I621" s="77">
        <f>I616+I620</f>
        <v>78544.823000000004</v>
      </c>
      <c r="J621" s="155">
        <f>J616+J620</f>
        <v>4202.1480304999995</v>
      </c>
      <c r="K621" s="167"/>
    </row>
    <row r="622" spans="2:11">
      <c r="B622" s="164" t="s">
        <v>25</v>
      </c>
      <c r="C622" s="149">
        <f>Model!AU150</f>
        <v>24529.219000000001</v>
      </c>
      <c r="D622" s="152">
        <f>C622*$I$608</f>
        <v>1312.3132165</v>
      </c>
      <c r="E622" s="165"/>
      <c r="F622" s="165"/>
      <c r="H622" s="164" t="s">
        <v>29</v>
      </c>
      <c r="I622" s="211">
        <f>C626</f>
        <v>11903</v>
      </c>
      <c r="J622" s="6"/>
      <c r="K622" s="164"/>
    </row>
    <row r="623" spans="2:11">
      <c r="B623" s="162" t="s">
        <v>26</v>
      </c>
      <c r="C623" s="151">
        <f>+C621-C622</f>
        <v>26829.429</v>
      </c>
      <c r="D623" s="151">
        <f>+D621-D622</f>
        <v>1435.3744515000001</v>
      </c>
      <c r="E623" s="163">
        <f>+C623/C626</f>
        <v>2.2540056288330672</v>
      </c>
      <c r="F623" s="163">
        <f>+D623/D626</f>
        <v>1.9555196788591327</v>
      </c>
    </row>
    <row r="624" spans="2:11">
      <c r="B624" s="164" t="s">
        <v>27</v>
      </c>
      <c r="C624" s="73">
        <f>Model!AU162</f>
        <v>27105.68</v>
      </c>
      <c r="D624" s="152">
        <f>C624*$I$608</f>
        <v>1450.1538800000001</v>
      </c>
      <c r="E624" s="165"/>
      <c r="F624" s="165"/>
      <c r="H624" s="162" t="s">
        <v>32</v>
      </c>
      <c r="I624" s="218">
        <v>2.2599999999999998</v>
      </c>
    </row>
    <row r="625" spans="2:6">
      <c r="B625" s="166" t="s">
        <v>28</v>
      </c>
      <c r="C625" s="77">
        <f>C621+C624</f>
        <v>78464.328000000009</v>
      </c>
      <c r="D625" s="77">
        <f>D621+D624</f>
        <v>4197.8415480000003</v>
      </c>
      <c r="E625" s="167"/>
      <c r="F625" s="167"/>
    </row>
    <row r="626" spans="2:6">
      <c r="B626" s="164" t="s">
        <v>29</v>
      </c>
      <c r="C626" s="211">
        <f>Model!AU95</f>
        <v>11903</v>
      </c>
      <c r="D626" s="211">
        <f>C626*I609</f>
        <v>734.01176527019663</v>
      </c>
      <c r="E626" s="164"/>
      <c r="F626" s="164"/>
    </row>
    <row r="628" spans="2:6">
      <c r="B628" s="97" t="s">
        <v>30</v>
      </c>
      <c r="C628" s="98">
        <f>C621-Model!AU153</f>
        <v>0</v>
      </c>
    </row>
    <row r="630" spans="2:6">
      <c r="B630" s="36" t="s">
        <v>31</v>
      </c>
      <c r="C630" s="212">
        <f>C623+Model!AU161</f>
        <v>96597.092000000004</v>
      </c>
    </row>
    <row r="631" spans="2:6">
      <c r="B631" s="36" t="s">
        <v>33</v>
      </c>
      <c r="C631" s="37">
        <f>C630/C626</f>
        <v>8.11535680080652</v>
      </c>
    </row>
    <row r="633" spans="2:6" ht="13.5" thickBot="1"/>
    <row r="634" spans="2:6">
      <c r="B634" s="65" t="s">
        <v>140</v>
      </c>
      <c r="C634" s="248" t="s">
        <v>74</v>
      </c>
      <c r="D634" s="248" t="s">
        <v>75</v>
      </c>
    </row>
    <row r="635" spans="2:6">
      <c r="B635" s="67"/>
      <c r="C635" s="93"/>
      <c r="D635" s="93"/>
    </row>
    <row r="636" spans="2:6">
      <c r="B636" s="67" t="s">
        <v>35</v>
      </c>
      <c r="C636" s="213">
        <f>C622</f>
        <v>24529.219000000001</v>
      </c>
      <c r="D636" s="213">
        <f>C636*I608</f>
        <v>1312.3132165</v>
      </c>
    </row>
    <row r="637" spans="2:6" ht="13.5" thickBot="1">
      <c r="B637" s="210" t="s">
        <v>36</v>
      </c>
      <c r="C637" s="214">
        <f>SUM(C635:C636)</f>
        <v>24529.219000000001</v>
      </c>
      <c r="D637" s="214">
        <f>SUM(D635:D636)</f>
        <v>1312.3132165</v>
      </c>
    </row>
    <row r="639" spans="2:6">
      <c r="C639" s="32"/>
    </row>
    <row r="640" spans="2:6" ht="13.5" thickBot="1"/>
    <row r="641" spans="1:10">
      <c r="B641" s="170" t="s">
        <v>141</v>
      </c>
      <c r="C641" s="66" t="s">
        <v>74</v>
      </c>
      <c r="D641" s="66" t="s">
        <v>77</v>
      </c>
      <c r="E641" s="66" t="s">
        <v>38</v>
      </c>
    </row>
    <row r="642" spans="1:10">
      <c r="B642" s="189">
        <v>2023</v>
      </c>
      <c r="C642" s="215">
        <f>$C$621*E642</f>
        <v>35951.053599999999</v>
      </c>
      <c r="D642" s="215">
        <f>C642*$I$608</f>
        <v>1923.3813676</v>
      </c>
      <c r="E642" s="220">
        <v>0.7</v>
      </c>
      <c r="F642" s="47"/>
      <c r="G642" s="183"/>
    </row>
    <row r="643" spans="1:10">
      <c r="B643" s="189">
        <v>2024</v>
      </c>
      <c r="C643" s="215">
        <f>$C$621*E643</f>
        <v>1540.75944</v>
      </c>
      <c r="D643" s="215">
        <f t="shared" ref="D643:D644" si="41">C643*$I$608</f>
        <v>82.430630039999997</v>
      </c>
      <c r="E643" s="220">
        <v>0.03</v>
      </c>
      <c r="F643" s="47"/>
      <c r="G643" s="183"/>
    </row>
    <row r="644" spans="1:10" ht="13.5" thickBot="1">
      <c r="B644" s="189" t="s">
        <v>132</v>
      </c>
      <c r="C644" s="215">
        <f t="shared" ref="C644" si="42">$C$621*E644</f>
        <v>13866.834960000002</v>
      </c>
      <c r="D644" s="215">
        <f t="shared" si="41"/>
        <v>741.87567036000007</v>
      </c>
      <c r="E644" s="220">
        <v>0.27</v>
      </c>
      <c r="F644" s="47"/>
      <c r="G644" s="183"/>
    </row>
    <row r="645" spans="1:10" ht="13.5" thickBot="1">
      <c r="B645" s="238" t="s">
        <v>40</v>
      </c>
      <c r="C645" s="216">
        <f>SUM(C642:C644)</f>
        <v>51358.648000000001</v>
      </c>
      <c r="D645" s="216">
        <f>SUM(D642:D644)</f>
        <v>2747.687668</v>
      </c>
      <c r="E645" s="207">
        <f>SUM(E642:E644)</f>
        <v>1</v>
      </c>
      <c r="G645" s="183"/>
    </row>
    <row r="653" spans="1:10">
      <c r="A653" s="59" t="s">
        <v>142</v>
      </c>
      <c r="H653" s="59" t="s">
        <v>143</v>
      </c>
      <c r="I653" s="92">
        <f>Model!AT250</f>
        <v>5.4065451635750245E-2</v>
      </c>
      <c r="J653" s="92"/>
    </row>
    <row r="654" spans="1:10">
      <c r="H654" s="59" t="s">
        <v>144</v>
      </c>
      <c r="I654" s="92">
        <f>AVERAGE(Model!AQ249:AT249)</f>
        <v>7.1679853913228148E-2</v>
      </c>
      <c r="J654" s="92"/>
    </row>
    <row r="655" spans="1:10">
      <c r="H655" s="59"/>
      <c r="I655" s="92"/>
    </row>
    <row r="656" spans="1:10">
      <c r="H656" s="184" t="s">
        <v>8</v>
      </c>
      <c r="I656" s="92"/>
    </row>
    <row r="657" spans="2:11" ht="25.5">
      <c r="B657" s="157" t="s">
        <v>145</v>
      </c>
      <c r="C657" s="157" t="s">
        <v>9</v>
      </c>
      <c r="D657" s="157" t="s">
        <v>19</v>
      </c>
      <c r="E657" s="158" t="s">
        <v>71</v>
      </c>
      <c r="F657" s="158" t="s">
        <v>7</v>
      </c>
      <c r="G657" s="59"/>
      <c r="H657" s="157" t="s">
        <v>145</v>
      </c>
      <c r="I657" s="157" t="s">
        <v>9</v>
      </c>
      <c r="J657" s="157" t="s">
        <v>19</v>
      </c>
      <c r="K657" s="158" t="s">
        <v>71</v>
      </c>
    </row>
    <row r="658" spans="2:11">
      <c r="B658" s="161" t="s">
        <v>63</v>
      </c>
      <c r="C658" s="152">
        <f>Model!AT124</f>
        <v>2122.6210000000001</v>
      </c>
      <c r="D658" s="152">
        <f>C658*$I$653</f>
        <v>114.76046301652782</v>
      </c>
      <c r="E658" s="95"/>
      <c r="F658" s="95"/>
      <c r="G658" s="95"/>
      <c r="H658" s="161" t="s">
        <v>21</v>
      </c>
      <c r="I658" s="217">
        <v>2122.6</v>
      </c>
      <c r="J658" s="152">
        <f>I658*$I$653</f>
        <v>114.75932764204346</v>
      </c>
      <c r="K658" s="95"/>
    </row>
    <row r="659" spans="2:11">
      <c r="B659" s="162" t="s">
        <v>64</v>
      </c>
      <c r="C659" s="151">
        <f>C658</f>
        <v>2122.6210000000001</v>
      </c>
      <c r="D659" s="151">
        <f>D658</f>
        <v>114.76046301652782</v>
      </c>
      <c r="E659" s="163">
        <f>C659/C671</f>
        <v>0.20896052372514276</v>
      </c>
      <c r="F659" s="163">
        <f>D659/D671</f>
        <v>0.15761116230676137</v>
      </c>
      <c r="G659" s="95"/>
      <c r="H659" s="161" t="s">
        <v>22</v>
      </c>
      <c r="I659" s="217">
        <v>34315.182999999997</v>
      </c>
      <c r="J659" s="152">
        <f t="shared" ref="J659:J660" si="43">I659*$I$653</f>
        <v>1855.2658668584188</v>
      </c>
      <c r="K659" s="95"/>
    </row>
    <row r="660" spans="2:11">
      <c r="B660" s="161"/>
      <c r="C660" s="152"/>
      <c r="D660" s="152"/>
      <c r="E660" s="95"/>
      <c r="F660" s="95"/>
      <c r="G660" s="95"/>
      <c r="H660" s="161" t="s">
        <v>24</v>
      </c>
      <c r="I660" s="217">
        <v>12103.870999999999</v>
      </c>
      <c r="J660" s="152">
        <f t="shared" si="43"/>
        <v>654.40125215585988</v>
      </c>
      <c r="K660" s="95"/>
    </row>
    <row r="661" spans="2:11">
      <c r="B661" s="161" t="s">
        <v>14</v>
      </c>
      <c r="C661" s="152">
        <f>SUM(Model!AT125:AT145)</f>
        <v>24351</v>
      </c>
      <c r="D661" s="152">
        <f>C661*$I$653</f>
        <v>1316.5478127821541</v>
      </c>
      <c r="E661" s="95"/>
      <c r="F661" s="95"/>
      <c r="G661" s="96"/>
      <c r="H661" s="162" t="s">
        <v>23</v>
      </c>
      <c r="I661" s="151">
        <f>SUM(I658:I660)</f>
        <v>48541.653999999995</v>
      </c>
      <c r="J661" s="151">
        <f>SUM(J658:J660)</f>
        <v>2624.4264466563222</v>
      </c>
      <c r="K661" s="163">
        <f>+I661/I667</f>
        <v>4.7786625319944864</v>
      </c>
    </row>
    <row r="662" spans="2:11">
      <c r="B662" s="162" t="s">
        <v>15</v>
      </c>
      <c r="C662" s="151">
        <f>C661</f>
        <v>24351</v>
      </c>
      <c r="D662" s="151">
        <f>D661</f>
        <v>1316.5478127821541</v>
      </c>
      <c r="E662" s="163">
        <f>C662/C671</f>
        <v>2.3972238629651508</v>
      </c>
      <c r="F662" s="163">
        <f>D662/D671</f>
        <v>1.8081369275682968</v>
      </c>
      <c r="G662" s="96"/>
      <c r="H662" s="164" t="s">
        <v>25</v>
      </c>
      <c r="I662" s="149">
        <f>C667</f>
        <v>20425.396000000001</v>
      </c>
      <c r="J662" s="152">
        <f>I662*$I$653</f>
        <v>1104.3082595790465</v>
      </c>
      <c r="K662" s="165"/>
    </row>
    <row r="663" spans="2:11">
      <c r="B663" s="161" t="s">
        <v>137</v>
      </c>
      <c r="C663" s="152">
        <f>Model!AT146</f>
        <v>9480</v>
      </c>
      <c r="D663" s="152">
        <f t="shared" ref="D663:D665" si="44">C663*$I$653</f>
        <v>512.54048150691233</v>
      </c>
      <c r="E663" s="95"/>
      <c r="F663" s="95"/>
      <c r="G663" s="96"/>
      <c r="H663" s="164"/>
      <c r="I663" s="154"/>
      <c r="J663" s="154"/>
      <c r="K663" s="165"/>
    </row>
    <row r="664" spans="2:11">
      <c r="B664" s="161" t="s">
        <v>138</v>
      </c>
      <c r="C664" s="152">
        <f>Model!AT147</f>
        <v>6334</v>
      </c>
      <c r="D664" s="152">
        <f t="shared" si="44"/>
        <v>342.45057066084206</v>
      </c>
      <c r="E664" s="95"/>
      <c r="F664" s="95"/>
      <c r="G664" s="96"/>
      <c r="H664" s="162" t="s">
        <v>26</v>
      </c>
      <c r="I664" s="151">
        <f>+I661-I662</f>
        <v>28116.257999999994</v>
      </c>
      <c r="J664" s="151">
        <f>+J661-J662</f>
        <v>1520.1181870772757</v>
      </c>
      <c r="K664" s="163">
        <f>+I664/I667</f>
        <v>2.7678930891907849</v>
      </c>
    </row>
    <row r="665" spans="2:11">
      <c r="B665" s="161" t="s">
        <v>139</v>
      </c>
      <c r="C665" s="152">
        <f>Model!AT148</f>
        <v>6255</v>
      </c>
      <c r="D665" s="152">
        <f t="shared" si="44"/>
        <v>338.17939998161779</v>
      </c>
      <c r="E665" s="95"/>
      <c r="F665" s="95"/>
      <c r="G665" s="96"/>
      <c r="H665" s="164" t="s">
        <v>27</v>
      </c>
      <c r="I665" s="73">
        <f>C669</f>
        <v>25168.355</v>
      </c>
      <c r="J665" s="152">
        <f>I665*$I$653</f>
        <v>1360.7384800038928</v>
      </c>
      <c r="K665" s="165"/>
    </row>
    <row r="666" spans="2:11">
      <c r="B666" s="162" t="s">
        <v>23</v>
      </c>
      <c r="C666" s="151">
        <f>SUM(C663:C665)+C662+C659</f>
        <v>48542.620999999999</v>
      </c>
      <c r="D666" s="151">
        <f>SUM(D663:D665)+D662+D659</f>
        <v>2624.4787279480543</v>
      </c>
      <c r="E666" s="163">
        <f>+C666/C671</f>
        <v>4.7787577278991931</v>
      </c>
      <c r="F666" s="163">
        <f>+D666/D671</f>
        <v>3.6044394723441457</v>
      </c>
      <c r="H666" s="166" t="s">
        <v>28</v>
      </c>
      <c r="I666" s="77">
        <f>I661+I665</f>
        <v>73710.008999999991</v>
      </c>
      <c r="J666" s="155">
        <f>J661+J665</f>
        <v>3985.1649266602153</v>
      </c>
      <c r="K666" s="167"/>
    </row>
    <row r="667" spans="2:11">
      <c r="B667" s="164" t="s">
        <v>25</v>
      </c>
      <c r="C667" s="149">
        <f>Model!AT150</f>
        <v>20425.396000000001</v>
      </c>
      <c r="D667" s="152">
        <f>C667*$I$653</f>
        <v>1104.3082595790465</v>
      </c>
      <c r="E667" s="165"/>
      <c r="F667" s="165"/>
      <c r="H667" s="164" t="s">
        <v>29</v>
      </c>
      <c r="I667" s="211">
        <f>C671</f>
        <v>10158</v>
      </c>
      <c r="J667" s="6"/>
      <c r="K667" s="164"/>
    </row>
    <row r="668" spans="2:11">
      <c r="B668" s="162" t="s">
        <v>26</v>
      </c>
      <c r="C668" s="151">
        <f>+C666-C667</f>
        <v>28117.224999999999</v>
      </c>
      <c r="D668" s="151">
        <f>+D666-D667</f>
        <v>1520.1704683690077</v>
      </c>
      <c r="E668" s="163">
        <f>+C668/C671</f>
        <v>2.7679882850954911</v>
      </c>
      <c r="F668" s="163">
        <f>+D668/D671</f>
        <v>2.0877907610876969</v>
      </c>
    </row>
    <row r="669" spans="2:11">
      <c r="B669" s="164" t="s">
        <v>27</v>
      </c>
      <c r="C669" s="73">
        <f>Model!AT162</f>
        <v>25168.355</v>
      </c>
      <c r="D669" s="152">
        <f>C669*$I$653</f>
        <v>1360.7384800038928</v>
      </c>
      <c r="E669" s="165"/>
      <c r="F669" s="165"/>
      <c r="H669" s="162" t="s">
        <v>32</v>
      </c>
      <c r="I669" s="218">
        <v>2.68</v>
      </c>
    </row>
    <row r="670" spans="2:11">
      <c r="B670" s="166" t="s">
        <v>28</v>
      </c>
      <c r="C670" s="77">
        <f>C666+C669</f>
        <v>73710.975999999995</v>
      </c>
      <c r="D670" s="77">
        <f>D666+D669</f>
        <v>3985.2172079519469</v>
      </c>
      <c r="E670" s="167"/>
      <c r="F670" s="167"/>
    </row>
    <row r="671" spans="2:11">
      <c r="B671" s="164" t="s">
        <v>29</v>
      </c>
      <c r="C671" s="211">
        <f>Model!AT95</f>
        <v>10158</v>
      </c>
      <c r="D671" s="211">
        <f>C671*I654</f>
        <v>728.12395605057156</v>
      </c>
      <c r="E671" s="164"/>
      <c r="F671" s="164"/>
      <c r="I671" s="244"/>
    </row>
    <row r="672" spans="2:11">
      <c r="I672" s="244"/>
    </row>
    <row r="673" spans="2:7">
      <c r="B673" s="97" t="s">
        <v>30</v>
      </c>
      <c r="C673" s="98">
        <f>C666-Model!AT153</f>
        <v>0</v>
      </c>
    </row>
    <row r="675" spans="2:7">
      <c r="B675" s="36" t="s">
        <v>31</v>
      </c>
      <c r="C675" s="212">
        <f>C668+Model!AT161</f>
        <v>72508.225000000006</v>
      </c>
    </row>
    <row r="676" spans="2:7">
      <c r="B676" s="36" t="s">
        <v>33</v>
      </c>
      <c r="C676" s="37">
        <f>C675/C671</f>
        <v>7.1380414451663716</v>
      </c>
    </row>
    <row r="678" spans="2:7" ht="13.5" thickBot="1"/>
    <row r="679" spans="2:7">
      <c r="B679" s="65" t="s">
        <v>146</v>
      </c>
      <c r="C679" s="66" t="s">
        <v>74</v>
      </c>
      <c r="D679" s="66" t="s">
        <v>75</v>
      </c>
    </row>
    <row r="680" spans="2:7">
      <c r="B680" s="67"/>
      <c r="C680" s="93"/>
      <c r="D680" s="93"/>
    </row>
    <row r="681" spans="2:7">
      <c r="B681" s="67" t="s">
        <v>35</v>
      </c>
      <c r="C681" s="213">
        <f>C667</f>
        <v>20425.396000000001</v>
      </c>
      <c r="D681" s="213">
        <f>C681*I653</f>
        <v>1104.3082595790465</v>
      </c>
    </row>
    <row r="682" spans="2:7" ht="13.5" thickBot="1">
      <c r="B682" s="210" t="s">
        <v>36</v>
      </c>
      <c r="C682" s="214">
        <f>SUM(C680:C681)</f>
        <v>20425.396000000001</v>
      </c>
      <c r="D682" s="214">
        <f>SUM(D680:D681)</f>
        <v>1104.3082595790465</v>
      </c>
    </row>
    <row r="684" spans="2:7">
      <c r="C684" s="32"/>
    </row>
    <row r="685" spans="2:7" ht="13.5" thickBot="1"/>
    <row r="686" spans="2:7">
      <c r="B686" s="170" t="s">
        <v>147</v>
      </c>
      <c r="C686" s="66" t="s">
        <v>74</v>
      </c>
      <c r="D686" s="66" t="s">
        <v>77</v>
      </c>
      <c r="E686" s="66" t="s">
        <v>38</v>
      </c>
    </row>
    <row r="687" spans="2:7">
      <c r="B687" s="189">
        <v>2022</v>
      </c>
      <c r="C687" s="215">
        <f>$C$666*E687</f>
        <v>10679.376619999999</v>
      </c>
      <c r="D687" s="215">
        <f>C687*$I$653</f>
        <v>577.38532014857185</v>
      </c>
      <c r="E687" s="220">
        <v>0.22</v>
      </c>
      <c r="F687" s="47"/>
      <c r="G687" s="183"/>
    </row>
    <row r="688" spans="2:7">
      <c r="B688" s="189">
        <v>2023</v>
      </c>
      <c r="C688" s="215">
        <f>$C$666*E688</f>
        <v>26213.015340000002</v>
      </c>
      <c r="D688" s="215">
        <f t="shared" ref="D688:D689" si="45">C688*$I$653</f>
        <v>1417.2185130919493</v>
      </c>
      <c r="E688" s="220">
        <v>0.54</v>
      </c>
      <c r="F688" s="47"/>
      <c r="G688" s="183"/>
    </row>
    <row r="689" spans="1:11" ht="13.5" thickBot="1">
      <c r="B689" s="189" t="s">
        <v>148</v>
      </c>
      <c r="C689" s="215">
        <f>$C$666*E689</f>
        <v>11650.22904</v>
      </c>
      <c r="D689" s="215">
        <f t="shared" si="45"/>
        <v>629.87489470753303</v>
      </c>
      <c r="E689" s="220">
        <v>0.24</v>
      </c>
      <c r="F689" s="47"/>
      <c r="G689" s="183"/>
    </row>
    <row r="690" spans="1:11" ht="13.5" thickBot="1">
      <c r="B690" s="238" t="s">
        <v>40</v>
      </c>
      <c r="C690" s="216">
        <f>SUM(C687:C689)</f>
        <v>48542.620999999999</v>
      </c>
      <c r="D690" s="216">
        <f>SUM(D687:D689)</f>
        <v>2624.4787279480543</v>
      </c>
      <c r="E690" s="207">
        <f>SUM(E687:E689)</f>
        <v>1</v>
      </c>
      <c r="G690" s="183"/>
    </row>
    <row r="691" spans="1:11">
      <c r="H691" s="59" t="s">
        <v>149</v>
      </c>
      <c r="I691" s="92">
        <f>AVERAGE(Model!AP249:AS249)</f>
        <v>8.666917245875938E-2</v>
      </c>
      <c r="J691" s="92"/>
    </row>
    <row r="692" spans="1:11">
      <c r="H692" s="59"/>
      <c r="I692" s="92"/>
    </row>
    <row r="693" spans="1:11">
      <c r="H693" s="184" t="s">
        <v>8</v>
      </c>
      <c r="I693" s="92"/>
    </row>
    <row r="694" spans="1:11" ht="25.5">
      <c r="A694" s="59" t="s">
        <v>150</v>
      </c>
      <c r="B694" s="157" t="s">
        <v>145</v>
      </c>
      <c r="C694" s="157" t="s">
        <v>9</v>
      </c>
      <c r="D694" s="157" t="s">
        <v>19</v>
      </c>
      <c r="E694" s="158" t="s">
        <v>71</v>
      </c>
      <c r="F694" s="158" t="s">
        <v>7</v>
      </c>
      <c r="G694" s="59"/>
      <c r="H694" s="157" t="s">
        <v>145</v>
      </c>
      <c r="I694" s="157" t="s">
        <v>9</v>
      </c>
      <c r="J694" s="157" t="s">
        <v>19</v>
      </c>
      <c r="K694" s="158" t="s">
        <v>71</v>
      </c>
    </row>
    <row r="695" spans="1:11">
      <c r="B695" s="161" t="s">
        <v>63</v>
      </c>
      <c r="C695" s="152">
        <f>Model!AS124</f>
        <v>2062.7629999999999</v>
      </c>
      <c r="D695" s="152">
        <f>C695*$I$690</f>
        <v>0</v>
      </c>
      <c r="E695" s="95"/>
      <c r="F695" s="95"/>
      <c r="G695" s="95"/>
      <c r="H695" s="161" t="s">
        <v>21</v>
      </c>
      <c r="I695" s="217">
        <v>2062.7629999999999</v>
      </c>
      <c r="J695" s="152">
        <f>I695*$I$690</f>
        <v>0</v>
      </c>
      <c r="K695" s="95"/>
    </row>
    <row r="696" spans="1:11">
      <c r="B696" s="162" t="s">
        <v>64</v>
      </c>
      <c r="C696" s="151">
        <f>C695</f>
        <v>2062.7629999999999</v>
      </c>
      <c r="D696" s="151">
        <f>D695</f>
        <v>0</v>
      </c>
      <c r="E696" s="163">
        <f>C696/C708</f>
        <v>0.22899234014209591</v>
      </c>
      <c r="F696" s="163">
        <f>D696/D708</f>
        <v>0</v>
      </c>
      <c r="G696" s="95"/>
      <c r="H696" s="161" t="s">
        <v>22</v>
      </c>
      <c r="I696" s="217">
        <v>29812.866000000002</v>
      </c>
      <c r="J696" s="152">
        <f t="shared" ref="J696:J697" si="46">I696*$I$690</f>
        <v>0</v>
      </c>
      <c r="K696" s="95"/>
    </row>
    <row r="697" spans="1:11">
      <c r="B697" s="161"/>
      <c r="C697" s="152"/>
      <c r="D697" s="152"/>
      <c r="E697" s="95"/>
      <c r="F697" s="95"/>
      <c r="G697" s="95"/>
      <c r="H697" s="161" t="s">
        <v>24</v>
      </c>
      <c r="I697" s="217">
        <v>12367.145</v>
      </c>
      <c r="J697" s="152">
        <f t="shared" si="46"/>
        <v>0</v>
      </c>
      <c r="K697" s="95"/>
    </row>
    <row r="698" spans="1:11">
      <c r="B698" s="161" t="s">
        <v>14</v>
      </c>
      <c r="C698" s="152">
        <f>SUM(Model!AS125:AS145)</f>
        <v>24215</v>
      </c>
      <c r="D698" s="152">
        <f>C698*$I$690</f>
        <v>0</v>
      </c>
      <c r="E698" s="95"/>
      <c r="F698" s="95"/>
      <c r="G698" s="96"/>
      <c r="H698" s="162" t="s">
        <v>23</v>
      </c>
      <c r="I698" s="151">
        <f>SUM(I695:I697)</f>
        <v>44242.774000000005</v>
      </c>
      <c r="J698" s="151">
        <f>SUM(J695:J697)</f>
        <v>0</v>
      </c>
      <c r="K698" s="163">
        <f>+I698/I704</f>
        <v>4.9114980017761996</v>
      </c>
    </row>
    <row r="699" spans="1:11">
      <c r="B699" s="162" t="s">
        <v>15</v>
      </c>
      <c r="C699" s="151">
        <f>C698</f>
        <v>24215</v>
      </c>
      <c r="D699" s="151">
        <f>D698</f>
        <v>0</v>
      </c>
      <c r="E699" s="163">
        <f>C699/C708</f>
        <v>2.6881660746003551</v>
      </c>
      <c r="F699" s="163">
        <f>D699/D708</f>
        <v>0</v>
      </c>
      <c r="G699" s="96"/>
      <c r="H699" s="164" t="s">
        <v>25</v>
      </c>
      <c r="I699" s="149">
        <f>C704</f>
        <v>14956.187</v>
      </c>
      <c r="J699" s="152">
        <f>I699*$I$690</f>
        <v>0</v>
      </c>
      <c r="K699" s="165"/>
    </row>
    <row r="700" spans="1:11">
      <c r="B700" s="161" t="s">
        <v>137</v>
      </c>
      <c r="C700" s="152">
        <f>Model!AS146</f>
        <v>8435</v>
      </c>
      <c r="D700" s="152">
        <f>C700*$I$690</f>
        <v>0</v>
      </c>
      <c r="E700" s="95"/>
      <c r="F700" s="95"/>
      <c r="G700" s="96"/>
      <c r="H700" s="164"/>
      <c r="I700" s="154"/>
      <c r="J700" s="154"/>
      <c r="K700" s="165"/>
    </row>
    <row r="701" spans="1:11">
      <c r="B701" s="161" t="s">
        <v>138</v>
      </c>
      <c r="C701" s="152">
        <f>Model!AS147</f>
        <v>6145</v>
      </c>
      <c r="D701" s="152">
        <f>C701*$I$690</f>
        <v>0</v>
      </c>
      <c r="E701" s="95"/>
      <c r="F701" s="95"/>
      <c r="G701" s="96"/>
      <c r="H701" s="162" t="s">
        <v>26</v>
      </c>
      <c r="I701" s="151">
        <f>+I698-I699</f>
        <v>29286.587000000007</v>
      </c>
      <c r="J701" s="151">
        <f>+J698-J699</f>
        <v>0</v>
      </c>
      <c r="K701" s="163">
        <f>+I701/I704</f>
        <v>3.2511752886323277</v>
      </c>
    </row>
    <row r="702" spans="1:11">
      <c r="B702" s="161" t="s">
        <v>139</v>
      </c>
      <c r="C702" s="152">
        <f>Model!AS148</f>
        <v>3386</v>
      </c>
      <c r="D702" s="152">
        <f>C702*$I$690</f>
        <v>0</v>
      </c>
      <c r="E702" s="95"/>
      <c r="F702" s="95"/>
      <c r="G702" s="96"/>
      <c r="H702" s="164" t="s">
        <v>27</v>
      </c>
      <c r="I702" s="73">
        <f>C706</f>
        <v>24376.330999999998</v>
      </c>
      <c r="J702" s="152">
        <f>I702*$I$690</f>
        <v>0</v>
      </c>
      <c r="K702" s="165"/>
    </row>
    <row r="703" spans="1:11">
      <c r="B703" s="162" t="s">
        <v>23</v>
      </c>
      <c r="C703" s="151">
        <f>SUM(C700:C702)+C699+C696</f>
        <v>44243.762999999999</v>
      </c>
      <c r="D703" s="151">
        <f>SUM(D700:D702)+D699+D696</f>
        <v>0</v>
      </c>
      <c r="E703" s="163">
        <f>+C703/C708</f>
        <v>4.9116077930728244</v>
      </c>
      <c r="F703" s="163">
        <f>+D703/D708</f>
        <v>0</v>
      </c>
      <c r="H703" s="166" t="s">
        <v>28</v>
      </c>
      <c r="I703" s="77">
        <f>I698+I702</f>
        <v>68619.10500000001</v>
      </c>
      <c r="J703" s="155">
        <f>J698+J702</f>
        <v>0</v>
      </c>
      <c r="K703" s="167"/>
    </row>
    <row r="704" spans="1:11">
      <c r="B704" s="164" t="s">
        <v>25</v>
      </c>
      <c r="C704" s="149">
        <f>Model!AS150</f>
        <v>14956.187</v>
      </c>
      <c r="D704" s="152">
        <f>C704*$I$690</f>
        <v>0</v>
      </c>
      <c r="E704" s="165"/>
      <c r="F704" s="165"/>
      <c r="H704" s="164" t="s">
        <v>29</v>
      </c>
      <c r="I704" s="211">
        <f>C708</f>
        <v>9008</v>
      </c>
      <c r="J704" s="6"/>
      <c r="K704" s="164"/>
    </row>
    <row r="705" spans="2:9">
      <c r="B705" s="162" t="s">
        <v>26</v>
      </c>
      <c r="C705" s="151">
        <f>+C703-C704</f>
        <v>29287.576000000001</v>
      </c>
      <c r="D705" s="151">
        <f>+D703-D704</f>
        <v>0</v>
      </c>
      <c r="E705" s="163">
        <f>+C705/C708</f>
        <v>3.2512850799289521</v>
      </c>
      <c r="F705" s="163">
        <f>+D705/D708</f>
        <v>0</v>
      </c>
    </row>
    <row r="706" spans="2:9">
      <c r="B706" s="164" t="s">
        <v>27</v>
      </c>
      <c r="C706" s="73">
        <f>Model!AS162</f>
        <v>24376.330999999998</v>
      </c>
      <c r="D706" s="152">
        <f>C706*$I$690</f>
        <v>0</v>
      </c>
      <c r="E706" s="165"/>
      <c r="F706" s="165"/>
      <c r="H706" s="162" t="s">
        <v>32</v>
      </c>
      <c r="I706" s="218">
        <v>3.15</v>
      </c>
    </row>
    <row r="707" spans="2:9">
      <c r="B707" s="166" t="s">
        <v>28</v>
      </c>
      <c r="C707" s="77">
        <f>C703+C706</f>
        <v>68620.093999999997</v>
      </c>
      <c r="D707" s="77">
        <f>D703+D706</f>
        <v>0</v>
      </c>
      <c r="E707" s="167"/>
      <c r="F707" s="167"/>
    </row>
    <row r="708" spans="2:9">
      <c r="B708" s="164" t="s">
        <v>29</v>
      </c>
      <c r="C708" s="211">
        <f>Model!AS95</f>
        <v>9008</v>
      </c>
      <c r="D708" s="211">
        <f>C708*I691</f>
        <v>780.71590550850453</v>
      </c>
      <c r="E708" s="164"/>
      <c r="F708" s="164"/>
    </row>
    <row r="710" spans="2:9">
      <c r="B710" s="97" t="s">
        <v>30</v>
      </c>
      <c r="C710" s="98">
        <f>C703-Model!AS153</f>
        <v>0</v>
      </c>
    </row>
    <row r="712" spans="2:9">
      <c r="B712" s="36" t="s">
        <v>31</v>
      </c>
      <c r="C712" s="212">
        <f>C705+Model!AS161</f>
        <v>76081.755999999994</v>
      </c>
    </row>
    <row r="713" spans="2:9">
      <c r="B713" s="36" t="s">
        <v>33</v>
      </c>
      <c r="C713" s="37">
        <f>C712/C708</f>
        <v>8.4460208703374775</v>
      </c>
    </row>
    <row r="715" spans="2:9" ht="13.5" thickBot="1"/>
    <row r="716" spans="2:9">
      <c r="B716" s="65" t="s">
        <v>151</v>
      </c>
      <c r="C716" s="66" t="s">
        <v>74</v>
      </c>
      <c r="D716" s="66" t="s">
        <v>75</v>
      </c>
    </row>
    <row r="717" spans="2:9">
      <c r="B717" s="67"/>
      <c r="C717" s="93"/>
      <c r="D717" s="93"/>
    </row>
    <row r="718" spans="2:9">
      <c r="B718" s="67" t="s">
        <v>35</v>
      </c>
      <c r="C718" s="213">
        <f>C704</f>
        <v>14956.187</v>
      </c>
      <c r="D718" s="213">
        <f>C718*I690</f>
        <v>0</v>
      </c>
    </row>
    <row r="719" spans="2:9" ht="13.5" thickBot="1">
      <c r="B719" s="210" t="s">
        <v>36</v>
      </c>
      <c r="C719" s="214">
        <f>SUM(C717:C718)</f>
        <v>14956.187</v>
      </c>
      <c r="D719" s="214">
        <f>SUM(D717:D718)</f>
        <v>0</v>
      </c>
    </row>
    <row r="721" spans="1:11">
      <c r="C721" s="32"/>
    </row>
    <row r="722" spans="1:11" ht="13.5" thickBot="1"/>
    <row r="723" spans="1:11">
      <c r="B723" s="170" t="s">
        <v>152</v>
      </c>
      <c r="C723" s="66" t="s">
        <v>74</v>
      </c>
      <c r="D723" s="66" t="s">
        <v>77</v>
      </c>
      <c r="E723" s="66" t="s">
        <v>38</v>
      </c>
    </row>
    <row r="724" spans="1:11">
      <c r="B724" s="189">
        <v>2022</v>
      </c>
      <c r="C724" s="215">
        <f>$C$703*E724</f>
        <v>13273.1289</v>
      </c>
      <c r="D724" s="215">
        <f>C724*$I$690</f>
        <v>0</v>
      </c>
      <c r="E724" s="220">
        <v>0.3</v>
      </c>
      <c r="G724" s="183"/>
    </row>
    <row r="725" spans="1:11">
      <c r="B725" s="189">
        <v>2023</v>
      </c>
      <c r="C725" s="215">
        <f t="shared" ref="C725:C726" si="47">$C$703*E725</f>
        <v>19909.693350000001</v>
      </c>
      <c r="D725" s="215">
        <f>C725*$I$690</f>
        <v>0</v>
      </c>
      <c r="E725" s="220">
        <v>0.45</v>
      </c>
      <c r="G725" s="183"/>
    </row>
    <row r="726" spans="1:11" ht="13.5" thickBot="1">
      <c r="B726" s="189" t="s">
        <v>148</v>
      </c>
      <c r="C726" s="215">
        <f t="shared" si="47"/>
        <v>11060.94075</v>
      </c>
      <c r="D726" s="215">
        <f>C726*$I$690</f>
        <v>0</v>
      </c>
      <c r="E726" s="220">
        <v>0.25</v>
      </c>
      <c r="G726" s="183"/>
    </row>
    <row r="727" spans="1:11" ht="13.5" thickBot="1">
      <c r="B727" s="238" t="s">
        <v>40</v>
      </c>
      <c r="C727" s="216">
        <f>SUM(C724:C726)</f>
        <v>44243.762999999999</v>
      </c>
      <c r="D727" s="216">
        <f>SUM(D724:D726)</f>
        <v>0</v>
      </c>
      <c r="E727" s="207">
        <f>SUM(E724:E726)</f>
        <v>1</v>
      </c>
      <c r="G727" s="183"/>
    </row>
    <row r="728" spans="1:11">
      <c r="C728" s="241"/>
    </row>
    <row r="730" spans="1:11">
      <c r="A730" s="59" t="s">
        <v>153</v>
      </c>
      <c r="H730" s="59" t="s">
        <v>154</v>
      </c>
      <c r="I730" s="92">
        <f>Model!AR250</f>
        <v>6.8166325835037497E-2</v>
      </c>
      <c r="J730" s="92"/>
    </row>
    <row r="731" spans="1:11">
      <c r="H731" s="59" t="s">
        <v>155</v>
      </c>
      <c r="I731" s="92">
        <f>AVERAGE(Model!AO249:AR249)</f>
        <v>0.10009269647327482</v>
      </c>
      <c r="J731" s="92"/>
    </row>
    <row r="732" spans="1:11">
      <c r="H732" s="59"/>
      <c r="I732" s="92"/>
    </row>
    <row r="733" spans="1:11">
      <c r="H733" s="184" t="s">
        <v>8</v>
      </c>
      <c r="I733" s="92"/>
    </row>
    <row r="734" spans="1:11" ht="25.5">
      <c r="B734" s="157" t="s">
        <v>156</v>
      </c>
      <c r="C734" s="157" t="s">
        <v>9</v>
      </c>
      <c r="D734" s="157" t="s">
        <v>19</v>
      </c>
      <c r="E734" s="158" t="s">
        <v>71</v>
      </c>
      <c r="F734" s="158" t="s">
        <v>7</v>
      </c>
      <c r="G734" s="59"/>
      <c r="H734" s="157" t="s">
        <v>156</v>
      </c>
      <c r="I734" s="157" t="s">
        <v>9</v>
      </c>
      <c r="J734" s="157" t="s">
        <v>19</v>
      </c>
      <c r="K734" s="158" t="s">
        <v>71</v>
      </c>
    </row>
    <row r="735" spans="1:11">
      <c r="B735" s="161" t="s">
        <v>63</v>
      </c>
      <c r="C735" s="152">
        <f>Model!AR124</f>
        <v>1663.6310000000001</v>
      </c>
      <c r="D735" s="152">
        <f>C735*$I$730</f>
        <v>113.40361281526927</v>
      </c>
      <c r="E735" s="95"/>
      <c r="F735" s="95"/>
      <c r="G735" s="95"/>
      <c r="H735" s="161" t="s">
        <v>21</v>
      </c>
      <c r="I735" s="217">
        <v>1663.6310000000001</v>
      </c>
      <c r="J735" s="152">
        <f>I735*$I$730</f>
        <v>113.40361281526927</v>
      </c>
      <c r="K735" s="95"/>
    </row>
    <row r="736" spans="1:11">
      <c r="B736" s="162" t="s">
        <v>64</v>
      </c>
      <c r="C736" s="151">
        <f>C735</f>
        <v>1663.6310000000001</v>
      </c>
      <c r="D736" s="151">
        <f>D735</f>
        <v>113.40361281526927</v>
      </c>
      <c r="E736" s="163">
        <f>C736/C748</f>
        <v>0.20751291006610953</v>
      </c>
      <c r="F736" s="163">
        <f>D736/D748</f>
        <v>0.14132292505797497</v>
      </c>
      <c r="G736" s="95"/>
      <c r="H736" s="161" t="s">
        <v>22</v>
      </c>
      <c r="I736" s="217">
        <v>18884.556</v>
      </c>
      <c r="J736" s="152">
        <f>I736*$I$730</f>
        <v>1287.2907975460125</v>
      </c>
      <c r="K736" s="95"/>
    </row>
    <row r="737" spans="2:11">
      <c r="B737" s="161"/>
      <c r="C737" s="152"/>
      <c r="D737" s="152"/>
      <c r="E737" s="95"/>
      <c r="F737" s="95"/>
      <c r="G737" s="95"/>
      <c r="H737" s="161" t="s">
        <v>24</v>
      </c>
      <c r="I737" s="217">
        <v>18702.862000000001</v>
      </c>
      <c r="J737" s="152">
        <f>I737*$I$730</f>
        <v>1274.9053851397412</v>
      </c>
      <c r="K737" s="95"/>
    </row>
    <row r="738" spans="2:11">
      <c r="B738" s="161" t="s">
        <v>14</v>
      </c>
      <c r="C738" s="152">
        <f>SUM(Model!AR125:AR145)</f>
        <v>21978</v>
      </c>
      <c r="D738" s="152">
        <f>C738*$I$730</f>
        <v>1498.159509202454</v>
      </c>
      <c r="E738" s="95"/>
      <c r="F738" s="95"/>
      <c r="G738" s="96"/>
      <c r="H738" s="162" t="s">
        <v>23</v>
      </c>
      <c r="I738" s="151">
        <f>SUM(I735:I737)</f>
        <v>39251.048999999999</v>
      </c>
      <c r="J738" s="151">
        <f>SUM(J735:J737)</f>
        <v>2675.599795501023</v>
      </c>
      <c r="K738" s="163">
        <f>+I738/I744</f>
        <v>4.8959771735062994</v>
      </c>
    </row>
    <row r="739" spans="2:11">
      <c r="B739" s="162" t="s">
        <v>15</v>
      </c>
      <c r="C739" s="151">
        <f>C738</f>
        <v>21978</v>
      </c>
      <c r="D739" s="151">
        <f>D738</f>
        <v>1498.159509202454</v>
      </c>
      <c r="E739" s="163">
        <f>C739/C748</f>
        <v>2.7414244729948858</v>
      </c>
      <c r="F739" s="163">
        <f>D739/D748</f>
        <v>1.8669976977612066</v>
      </c>
      <c r="G739" s="96"/>
      <c r="H739" s="164" t="s">
        <v>25</v>
      </c>
      <c r="I739" s="149">
        <f>C744</f>
        <v>16694.455999999998</v>
      </c>
      <c r="J739" s="152">
        <f>I739*$I$730</f>
        <v>1137.9997273346967</v>
      </c>
      <c r="K739" s="165"/>
    </row>
    <row r="740" spans="2:11">
      <c r="B740" s="161" t="s">
        <v>137</v>
      </c>
      <c r="C740" s="152">
        <f>Model!AR146</f>
        <v>7503</v>
      </c>
      <c r="D740" s="152">
        <f>C740*$I$730</f>
        <v>511.45194274028637</v>
      </c>
      <c r="E740" s="95"/>
      <c r="F740" s="95"/>
      <c r="G740" s="96"/>
      <c r="H740" s="164"/>
      <c r="I740" s="154"/>
      <c r="J740" s="154"/>
      <c r="K740" s="165"/>
    </row>
    <row r="741" spans="2:11">
      <c r="B741" s="161" t="s">
        <v>138</v>
      </c>
      <c r="C741" s="152">
        <f>Model!AR147</f>
        <v>5847</v>
      </c>
      <c r="D741" s="152">
        <f>C741*$I$730</f>
        <v>398.56850715746424</v>
      </c>
      <c r="E741" s="95"/>
      <c r="F741" s="95"/>
      <c r="G741" s="96"/>
      <c r="H741" s="162" t="s">
        <v>26</v>
      </c>
      <c r="I741" s="151">
        <f>+I738-I739</f>
        <v>22556.593000000001</v>
      </c>
      <c r="J741" s="151">
        <f>+J738-J739</f>
        <v>1537.6000681663263</v>
      </c>
      <c r="K741" s="163">
        <f>+I741/I744</f>
        <v>2.8135952351253586</v>
      </c>
    </row>
    <row r="742" spans="2:11">
      <c r="B742" s="161" t="s">
        <v>139</v>
      </c>
      <c r="C742" s="152">
        <f>Model!AR148</f>
        <v>2261</v>
      </c>
      <c r="D742" s="152">
        <f>C742*$I$730</f>
        <v>154.12406271301978</v>
      </c>
      <c r="E742" s="95"/>
      <c r="F742" s="95"/>
      <c r="G742" s="96"/>
      <c r="H742" s="164" t="s">
        <v>27</v>
      </c>
      <c r="I742" s="73">
        <f>C746</f>
        <v>22520.144</v>
      </c>
      <c r="J742" s="152">
        <f>I742*$I$730</f>
        <v>1535.1154737559648</v>
      </c>
      <c r="K742" s="165"/>
    </row>
    <row r="743" spans="2:11">
      <c r="B743" s="162" t="s">
        <v>23</v>
      </c>
      <c r="C743" s="151">
        <f>SUM(C740:C742)+C739+C736</f>
        <v>39252.631000000001</v>
      </c>
      <c r="D743" s="151">
        <f>SUM(D740:D742)+D739+D736</f>
        <v>2675.7076346284939</v>
      </c>
      <c r="E743" s="163">
        <f>+C743/C748</f>
        <v>4.8961745041786209</v>
      </c>
      <c r="F743" s="163">
        <f>+D743/D748</f>
        <v>3.3344513471685402</v>
      </c>
      <c r="H743" s="166" t="s">
        <v>28</v>
      </c>
      <c r="I743" s="77">
        <f>I738+I742</f>
        <v>61771.192999999999</v>
      </c>
      <c r="J743" s="155">
        <f>J738+J742</f>
        <v>4210.715269256988</v>
      </c>
      <c r="K743" s="167"/>
    </row>
    <row r="744" spans="2:11">
      <c r="B744" s="164" t="s">
        <v>25</v>
      </c>
      <c r="C744" s="149">
        <f>Model!AR150</f>
        <v>16694.455999999998</v>
      </c>
      <c r="D744" s="152">
        <f>C744*$I$730</f>
        <v>1137.9997273346967</v>
      </c>
      <c r="E744" s="165"/>
      <c r="F744" s="165"/>
      <c r="H744" s="164" t="s">
        <v>29</v>
      </c>
      <c r="I744" s="211">
        <f>C748</f>
        <v>8017</v>
      </c>
      <c r="J744" s="6"/>
      <c r="K744" s="164"/>
    </row>
    <row r="745" spans="2:11">
      <c r="B745" s="162" t="s">
        <v>26</v>
      </c>
      <c r="C745" s="151">
        <f>+C743-C744</f>
        <v>22558.175000000003</v>
      </c>
      <c r="D745" s="151">
        <f>+D743-D744</f>
        <v>1537.7079072937972</v>
      </c>
      <c r="E745" s="163">
        <f>+C745/C748</f>
        <v>2.8137925657976801</v>
      </c>
      <c r="F745" s="163">
        <f>+D745/D748</f>
        <v>1.9162826822592782</v>
      </c>
    </row>
    <row r="746" spans="2:11">
      <c r="B746" s="164" t="s">
        <v>27</v>
      </c>
      <c r="C746" s="73">
        <f>Model!AR162</f>
        <v>22520.144</v>
      </c>
      <c r="D746" s="152">
        <f>C746*$I$730</f>
        <v>1535.1154737559648</v>
      </c>
      <c r="E746" s="165"/>
      <c r="F746" s="165"/>
      <c r="H746" s="162" t="s">
        <v>32</v>
      </c>
      <c r="I746" s="218">
        <v>2.81</v>
      </c>
    </row>
    <row r="747" spans="2:11">
      <c r="B747" s="166" t="s">
        <v>28</v>
      </c>
      <c r="C747" s="77">
        <f>C743+C746</f>
        <v>61772.775000000001</v>
      </c>
      <c r="D747" s="77">
        <f>D743+D746</f>
        <v>4210.8231083844585</v>
      </c>
      <c r="E747" s="167"/>
      <c r="F747" s="167"/>
    </row>
    <row r="748" spans="2:11">
      <c r="B748" s="164" t="s">
        <v>29</v>
      </c>
      <c r="C748" s="211">
        <f>Model!AR95</f>
        <v>8017</v>
      </c>
      <c r="D748" s="211">
        <f>C748*I731</f>
        <v>802.44314762624424</v>
      </c>
      <c r="E748" s="164"/>
      <c r="F748" s="164"/>
    </row>
    <row r="750" spans="2:11">
      <c r="B750" s="97" t="s">
        <v>30</v>
      </c>
      <c r="C750" s="98">
        <f>C743-Model!AR153</f>
        <v>0</v>
      </c>
    </row>
    <row r="752" spans="2:11">
      <c r="B752" s="36" t="s">
        <v>31</v>
      </c>
      <c r="C752" s="212">
        <f>C745+Model!AR161</f>
        <v>69352.35500000001</v>
      </c>
    </row>
    <row r="753" spans="2:7">
      <c r="B753" s="36" t="s">
        <v>33</v>
      </c>
      <c r="C753" s="37">
        <f>C752/C748</f>
        <v>8.6506617188474504</v>
      </c>
    </row>
    <row r="755" spans="2:7" ht="13.5" thickBot="1"/>
    <row r="756" spans="2:7">
      <c r="B756" s="65" t="s">
        <v>157</v>
      </c>
      <c r="C756" s="66" t="s">
        <v>74</v>
      </c>
      <c r="D756" s="66" t="s">
        <v>75</v>
      </c>
    </row>
    <row r="757" spans="2:7">
      <c r="B757" s="67"/>
      <c r="C757" s="93"/>
      <c r="D757" s="93"/>
    </row>
    <row r="758" spans="2:7">
      <c r="B758" s="67" t="s">
        <v>35</v>
      </c>
      <c r="C758" s="213">
        <f>C744</f>
        <v>16694.455999999998</v>
      </c>
      <c r="D758" s="213">
        <f>C758*I730</f>
        <v>1137.9997273346967</v>
      </c>
    </row>
    <row r="759" spans="2:7" ht="13.5" thickBot="1">
      <c r="B759" s="210" t="s">
        <v>36</v>
      </c>
      <c r="C759" s="214">
        <f>SUM(C757:C758)</f>
        <v>16694.455999999998</v>
      </c>
      <c r="D759" s="214">
        <f>SUM(D757:D758)</f>
        <v>1137.9997273346967</v>
      </c>
    </row>
    <row r="761" spans="2:7">
      <c r="C761" s="32"/>
    </row>
    <row r="762" spans="2:7" ht="13.5" thickBot="1"/>
    <row r="763" spans="2:7">
      <c r="B763" s="170" t="s">
        <v>158</v>
      </c>
      <c r="C763" s="66" t="s">
        <v>74</v>
      </c>
      <c r="D763" s="66" t="s">
        <v>77</v>
      </c>
      <c r="E763" s="66" t="s">
        <v>38</v>
      </c>
    </row>
    <row r="764" spans="2:7">
      <c r="B764" s="189">
        <v>2022</v>
      </c>
      <c r="C764" s="215">
        <f>$C$743*E764</f>
        <v>14915.99978</v>
      </c>
      <c r="D764" s="215">
        <f>C764*$I$730</f>
        <v>1016.7689011588276</v>
      </c>
      <c r="E764" s="220">
        <v>0.38</v>
      </c>
      <c r="G764" s="183"/>
    </row>
    <row r="765" spans="2:7">
      <c r="B765" s="189">
        <v>2023</v>
      </c>
      <c r="C765" s="215">
        <f>$C$743*E765</f>
        <v>15701.0524</v>
      </c>
      <c r="D765" s="215">
        <f>C765*$I$730</f>
        <v>1070.2830538513974</v>
      </c>
      <c r="E765" s="220">
        <v>0.4</v>
      </c>
      <c r="G765" s="183"/>
    </row>
    <row r="766" spans="2:7" ht="13.5" thickBot="1">
      <c r="B766" s="189" t="s">
        <v>148</v>
      </c>
      <c r="C766" s="215">
        <f>$C$743*E766</f>
        <v>8635.5788200000006</v>
      </c>
      <c r="D766" s="215">
        <f>C766*$I$730</f>
        <v>588.65567961826866</v>
      </c>
      <c r="E766" s="220">
        <v>0.22</v>
      </c>
      <c r="G766" s="183"/>
    </row>
    <row r="767" spans="2:7" ht="13.5" thickBot="1">
      <c r="B767" s="238" t="s">
        <v>40</v>
      </c>
      <c r="C767" s="216">
        <f>SUM(C764:C766)</f>
        <v>39252.631000000001</v>
      </c>
      <c r="D767" s="216">
        <f>SUM(D764:D766)</f>
        <v>2675.7076346284935</v>
      </c>
      <c r="E767" s="207">
        <f>SUM(E764:E766)</f>
        <v>1</v>
      </c>
      <c r="G767" s="183"/>
    </row>
    <row r="768" spans="2:7">
      <c r="C768" s="241"/>
    </row>
    <row r="769" spans="2:11">
      <c r="H769" s="59" t="s">
        <v>159</v>
      </c>
      <c r="I769" s="92">
        <f>Model!AQ250</f>
        <v>7.5165363999999998E-2</v>
      </c>
      <c r="J769" s="92"/>
    </row>
    <row r="770" spans="2:11">
      <c r="H770" s="59" t="s">
        <v>160</v>
      </c>
      <c r="I770" s="92">
        <f>AVERAGE(Model!AN249:AQ249)</f>
        <v>0.11423551175900074</v>
      </c>
      <c r="J770" s="92"/>
    </row>
    <row r="771" spans="2:11">
      <c r="H771" s="59"/>
      <c r="I771" s="92"/>
    </row>
    <row r="772" spans="2:11">
      <c r="H772" s="184" t="s">
        <v>8</v>
      </c>
      <c r="I772" s="92"/>
    </row>
    <row r="773" spans="2:11" ht="25.5">
      <c r="B773" s="157" t="s">
        <v>161</v>
      </c>
      <c r="C773" s="157" t="s">
        <v>9</v>
      </c>
      <c r="D773" s="157" t="s">
        <v>19</v>
      </c>
      <c r="E773" s="158" t="s">
        <v>71</v>
      </c>
      <c r="F773" s="158" t="s">
        <v>7</v>
      </c>
      <c r="G773" s="59"/>
      <c r="H773" s="157" t="s">
        <v>161</v>
      </c>
      <c r="I773" s="157" t="s">
        <v>9</v>
      </c>
      <c r="J773" s="157" t="s">
        <v>19</v>
      </c>
      <c r="K773" s="158" t="s">
        <v>71</v>
      </c>
    </row>
    <row r="774" spans="2:11">
      <c r="B774" s="161" t="s">
        <v>63</v>
      </c>
      <c r="C774" s="152">
        <f>Model!AQ124</f>
        <v>1434.6220000000001</v>
      </c>
      <c r="D774" s="152">
        <f>C774*$I$769</f>
        <v>107.833884832408</v>
      </c>
      <c r="E774" s="95"/>
      <c r="F774" s="95"/>
      <c r="G774" s="95"/>
      <c r="H774" s="161" t="s">
        <v>21</v>
      </c>
      <c r="I774" s="217">
        <v>1434.6220000000001</v>
      </c>
      <c r="J774" s="152">
        <f>I774*$I$769</f>
        <v>107.833884832408</v>
      </c>
      <c r="K774" s="95"/>
    </row>
    <row r="775" spans="2:11">
      <c r="B775" s="162" t="s">
        <v>64</v>
      </c>
      <c r="C775" s="151">
        <f>C774</f>
        <v>1434.6220000000001</v>
      </c>
      <c r="D775" s="151">
        <f>D774</f>
        <v>107.833884832408</v>
      </c>
      <c r="E775" s="163">
        <f>C775/C787</f>
        <v>0.207495227075499</v>
      </c>
      <c r="F775" s="163">
        <f>D775/D787</f>
        <v>0.13652894823367986</v>
      </c>
      <c r="G775" s="95"/>
      <c r="H775" s="161" t="s">
        <v>22</v>
      </c>
      <c r="I775" s="217">
        <v>12713.842000000001</v>
      </c>
      <c r="J775" s="152">
        <f>I775*$I$769</f>
        <v>955.64056176848806</v>
      </c>
      <c r="K775" s="95"/>
    </row>
    <row r="776" spans="2:11">
      <c r="B776" s="161"/>
      <c r="C776" s="152"/>
      <c r="D776" s="152"/>
      <c r="E776" s="95"/>
      <c r="F776" s="95"/>
      <c r="G776" s="95"/>
      <c r="H776" s="161" t="s">
        <v>24</v>
      </c>
      <c r="I776" s="217">
        <v>18431.035</v>
      </c>
      <c r="J776" s="152">
        <f>I776*$I$769</f>
        <v>1385.37545467174</v>
      </c>
      <c r="K776" s="95"/>
    </row>
    <row r="777" spans="2:11">
      <c r="B777" s="161" t="s">
        <v>14</v>
      </c>
      <c r="C777" s="152">
        <f>SUM(Model!AQ125:AQ145)</f>
        <v>17809</v>
      </c>
      <c r="D777" s="152">
        <f>C777*$I$769</f>
        <v>1338.6199674760001</v>
      </c>
      <c r="E777" s="95"/>
      <c r="F777" s="95"/>
      <c r="G777" s="96"/>
      <c r="H777" s="162" t="s">
        <v>23</v>
      </c>
      <c r="I777" s="151">
        <f>SUM(I774:I776)</f>
        <v>32579.499</v>
      </c>
      <c r="J777" s="151">
        <f>SUM(J774:J776)</f>
        <v>2448.8499012726361</v>
      </c>
      <c r="K777" s="163">
        <f>+I777/I783</f>
        <v>4.7121057275094014</v>
      </c>
    </row>
    <row r="778" spans="2:11">
      <c r="B778" s="162" t="s">
        <v>15</v>
      </c>
      <c r="C778" s="151">
        <f>C777</f>
        <v>17809</v>
      </c>
      <c r="D778" s="151">
        <f>D777</f>
        <v>1338.6199674760001</v>
      </c>
      <c r="E778" s="163">
        <f>C778/C787</f>
        <v>2.575788255713046</v>
      </c>
      <c r="F778" s="163">
        <f>D778/D787</f>
        <v>1.6948325336524914</v>
      </c>
      <c r="G778" s="96"/>
      <c r="H778" s="164" t="s">
        <v>25</v>
      </c>
      <c r="I778" s="149">
        <f>C783</f>
        <v>16014.589</v>
      </c>
      <c r="J778" s="152">
        <f>I778*$I$769</f>
        <v>1203.742411495396</v>
      </c>
      <c r="K778" s="165"/>
    </row>
    <row r="779" spans="2:11">
      <c r="B779" s="161" t="s">
        <v>137</v>
      </c>
      <c r="C779" s="152">
        <f>Model!AQ146</f>
        <v>6566</v>
      </c>
      <c r="D779" s="152">
        <f>C779*$I$769</f>
        <v>493.53578002399996</v>
      </c>
      <c r="E779" s="95"/>
      <c r="F779" s="95"/>
      <c r="G779" s="96"/>
      <c r="H779" s="164"/>
      <c r="I779" s="154"/>
      <c r="J779" s="154"/>
      <c r="K779" s="165"/>
    </row>
    <row r="780" spans="2:11">
      <c r="B780" s="161" t="s">
        <v>138</v>
      </c>
      <c r="C780" s="152">
        <f>Model!AQ147</f>
        <v>5225</v>
      </c>
      <c r="D780" s="152">
        <f>C780*$I$769</f>
        <v>392.7390269</v>
      </c>
      <c r="E780" s="95"/>
      <c r="F780" s="95"/>
      <c r="G780" s="96"/>
      <c r="H780" s="162" t="s">
        <v>26</v>
      </c>
      <c r="I780" s="151">
        <f>+I777-I778</f>
        <v>16564.91</v>
      </c>
      <c r="J780" s="151">
        <f>+J777-J778</f>
        <v>1245.1074897772401</v>
      </c>
      <c r="K780" s="163">
        <f>+I780/I783</f>
        <v>2.3958504483656351</v>
      </c>
    </row>
    <row r="781" spans="2:11">
      <c r="B781" s="161" t="s">
        <v>139</v>
      </c>
      <c r="C781" s="152">
        <f>Model!AQ148</f>
        <v>1544</v>
      </c>
      <c r="D781" s="152">
        <f>C781*$I$769</f>
        <v>116.05532201599999</v>
      </c>
      <c r="E781" s="95"/>
      <c r="F781" s="95"/>
      <c r="G781" s="96"/>
      <c r="H781" s="164" t="s">
        <v>27</v>
      </c>
      <c r="I781" s="73">
        <f>C785</f>
        <v>21055.215</v>
      </c>
      <c r="J781" s="152">
        <f>I781*$I$769</f>
        <v>1582.6228995732599</v>
      </c>
      <c r="K781" s="165"/>
    </row>
    <row r="782" spans="2:11">
      <c r="B782" s="162" t="s">
        <v>23</v>
      </c>
      <c r="C782" s="151">
        <f>SUM(C779:C781)+C778+C775</f>
        <v>32578.621999999999</v>
      </c>
      <c r="D782" s="151">
        <f>SUM(D779:D781)+D778+D775</f>
        <v>2448.7839812484076</v>
      </c>
      <c r="E782" s="163">
        <f>+C782/C787</f>
        <v>4.7119788834249352</v>
      </c>
      <c r="F782" s="163">
        <f>+D782/D787</f>
        <v>3.1004159956857089</v>
      </c>
      <c r="H782" s="166" t="s">
        <v>28</v>
      </c>
      <c r="I782" s="77">
        <f>I777+I781</f>
        <v>53634.714</v>
      </c>
      <c r="J782" s="155">
        <f>J777+J781</f>
        <v>4031.472800845896</v>
      </c>
      <c r="K782" s="167"/>
    </row>
    <row r="783" spans="2:11">
      <c r="B783" s="164" t="s">
        <v>25</v>
      </c>
      <c r="C783" s="149">
        <f>Model!AQ150</f>
        <v>16014.589</v>
      </c>
      <c r="D783" s="152">
        <f>C783*$I$769</f>
        <v>1203.742411495396</v>
      </c>
      <c r="E783" s="165"/>
      <c r="F783" s="165"/>
      <c r="H783" s="164" t="s">
        <v>29</v>
      </c>
      <c r="I783" s="211">
        <f>C787</f>
        <v>6914</v>
      </c>
      <c r="J783" s="6"/>
      <c r="K783" s="164"/>
    </row>
    <row r="784" spans="2:11">
      <c r="B784" s="162" t="s">
        <v>26</v>
      </c>
      <c r="C784" s="151">
        <f>+C782-C783</f>
        <v>16564.032999999999</v>
      </c>
      <c r="D784" s="151">
        <f>+D782-D783</f>
        <v>1245.0415697530116</v>
      </c>
      <c r="E784" s="163">
        <f>+C784/C787</f>
        <v>2.3957236042811685</v>
      </c>
      <c r="F784" s="163">
        <f>+D784/D787</f>
        <v>1.57635251933817</v>
      </c>
    </row>
    <row r="785" spans="2:9">
      <c r="B785" s="164" t="s">
        <v>27</v>
      </c>
      <c r="C785" s="73">
        <f>Model!AQ162</f>
        <v>21055.215</v>
      </c>
      <c r="D785" s="152">
        <f>C785*$I$769</f>
        <v>1582.6228995732599</v>
      </c>
      <c r="E785" s="165"/>
      <c r="F785" s="165"/>
      <c r="H785" s="162" t="s">
        <v>32</v>
      </c>
      <c r="I785" s="218">
        <v>2.4</v>
      </c>
    </row>
    <row r="786" spans="2:9">
      <c r="B786" s="166" t="s">
        <v>28</v>
      </c>
      <c r="C786" s="77">
        <f>C782+C785</f>
        <v>53633.837</v>
      </c>
      <c r="D786" s="77">
        <f>D782+D785</f>
        <v>4031.4068808216675</v>
      </c>
      <c r="E786" s="167"/>
      <c r="F786" s="167"/>
    </row>
    <row r="787" spans="2:9">
      <c r="B787" s="164" t="s">
        <v>29</v>
      </c>
      <c r="C787" s="211">
        <f>Model!AQ95</f>
        <v>6914</v>
      </c>
      <c r="D787" s="211">
        <f>C787*I770</f>
        <v>789.82432830173104</v>
      </c>
      <c r="E787" s="164"/>
      <c r="F787" s="164"/>
    </row>
    <row r="789" spans="2:9">
      <c r="B789" s="97" t="s">
        <v>30</v>
      </c>
      <c r="C789" s="98">
        <f>C782-Model!AQ153</f>
        <v>0</v>
      </c>
    </row>
    <row r="791" spans="2:9">
      <c r="B791" s="36" t="s">
        <v>31</v>
      </c>
      <c r="C791" s="212">
        <f>C784+Model!AQ161</f>
        <v>51431.633000000002</v>
      </c>
    </row>
    <row r="792" spans="2:9">
      <c r="B792" s="36" t="s">
        <v>33</v>
      </c>
      <c r="C792" s="37">
        <f>C791/C787</f>
        <v>7.4387667052357536</v>
      </c>
    </row>
    <row r="794" spans="2:9" ht="13.5" thickBot="1"/>
    <row r="795" spans="2:9">
      <c r="B795" s="65" t="s">
        <v>162</v>
      </c>
      <c r="C795" s="66" t="s">
        <v>74</v>
      </c>
      <c r="D795" s="66" t="s">
        <v>75</v>
      </c>
    </row>
    <row r="796" spans="2:9">
      <c r="B796" s="67"/>
      <c r="C796" s="93"/>
      <c r="D796" s="93"/>
    </row>
    <row r="797" spans="2:9">
      <c r="B797" s="67" t="s">
        <v>35</v>
      </c>
      <c r="C797" s="213">
        <f>C783</f>
        <v>16014.589</v>
      </c>
      <c r="D797" s="213">
        <f>C797*I769</f>
        <v>1203.742411495396</v>
      </c>
    </row>
    <row r="798" spans="2:9" ht="13.5" thickBot="1">
      <c r="B798" s="210" t="s">
        <v>36</v>
      </c>
      <c r="C798" s="214">
        <f>SUM(C796:C797)</f>
        <v>16014.589</v>
      </c>
      <c r="D798" s="214">
        <f>SUM(D796:D797)</f>
        <v>1203.742411495396</v>
      </c>
    </row>
    <row r="800" spans="2:9">
      <c r="C800" s="32"/>
    </row>
    <row r="801" spans="2:11" ht="13.5" thickBot="1"/>
    <row r="802" spans="2:11">
      <c r="B802" s="170" t="s">
        <v>163</v>
      </c>
      <c r="C802" s="66" t="s">
        <v>74</v>
      </c>
      <c r="D802" s="66" t="s">
        <v>77</v>
      </c>
      <c r="E802" s="66" t="s">
        <v>38</v>
      </c>
    </row>
    <row r="803" spans="2:11">
      <c r="B803" s="189">
        <v>2022</v>
      </c>
      <c r="C803" s="215">
        <f t="shared" ref="C803:C808" si="48">$C$782*E803</f>
        <v>13357.235019999998</v>
      </c>
      <c r="D803" s="215">
        <f t="shared" ref="D803:D808" si="49">C803*$I$770</f>
        <v>1525.8705781949461</v>
      </c>
      <c r="E803" s="220">
        <v>0.41</v>
      </c>
      <c r="G803" s="183"/>
    </row>
    <row r="804" spans="2:11">
      <c r="B804" s="189">
        <v>2023</v>
      </c>
      <c r="C804" s="215">
        <f t="shared" si="48"/>
        <v>11402.517699999999</v>
      </c>
      <c r="D804" s="215">
        <f t="shared" si="49"/>
        <v>1302.5724448005637</v>
      </c>
      <c r="E804" s="220">
        <v>0.35</v>
      </c>
      <c r="G804" s="183"/>
    </row>
    <row r="805" spans="2:11">
      <c r="B805" s="189">
        <v>2024</v>
      </c>
      <c r="C805" s="215">
        <f t="shared" si="48"/>
        <v>325.78622000000001</v>
      </c>
      <c r="D805" s="215">
        <f t="shared" si="49"/>
        <v>37.216355565730403</v>
      </c>
      <c r="E805" s="220">
        <v>0.01</v>
      </c>
      <c r="G805" s="183"/>
    </row>
    <row r="806" spans="2:11">
      <c r="B806" s="189">
        <v>2025</v>
      </c>
      <c r="C806" s="215">
        <f t="shared" si="48"/>
        <v>325.78622000000001</v>
      </c>
      <c r="D806" s="215">
        <f t="shared" si="49"/>
        <v>37.216355565730403</v>
      </c>
      <c r="E806" s="220">
        <v>0.01</v>
      </c>
      <c r="G806" s="240"/>
    </row>
    <row r="807" spans="2:11">
      <c r="B807" s="189">
        <v>2026</v>
      </c>
      <c r="C807" s="215">
        <f t="shared" si="48"/>
        <v>5864.1519599999992</v>
      </c>
      <c r="D807" s="215">
        <f t="shared" si="49"/>
        <v>669.89440018314713</v>
      </c>
      <c r="E807" s="220">
        <v>0.18</v>
      </c>
      <c r="G807" s="183"/>
    </row>
    <row r="808" spans="2:11" ht="13.5" thickBot="1">
      <c r="B808" s="189" t="s">
        <v>164</v>
      </c>
      <c r="C808" s="215">
        <f t="shared" si="48"/>
        <v>1303.1448800000001</v>
      </c>
      <c r="D808" s="215">
        <f t="shared" si="49"/>
        <v>148.86542226292161</v>
      </c>
      <c r="E808" s="239">
        <v>0.04</v>
      </c>
      <c r="G808" s="183"/>
    </row>
    <row r="809" spans="2:11" ht="13.5" thickBot="1">
      <c r="B809" s="238" t="s">
        <v>40</v>
      </c>
      <c r="C809" s="216">
        <f>SUM(C803:C808)</f>
        <v>32578.621999999999</v>
      </c>
      <c r="D809" s="216">
        <f>SUM(D803:D808)</f>
        <v>3721.6355565730387</v>
      </c>
      <c r="E809" s="207">
        <f>SUM(E803:E808)</f>
        <v>1</v>
      </c>
      <c r="G809" s="183"/>
    </row>
    <row r="811" spans="2:11">
      <c r="H811" s="59" t="s">
        <v>165</v>
      </c>
      <c r="I811" s="92">
        <f>Model!AP250</f>
        <v>0.11251</v>
      </c>
      <c r="J811" s="92"/>
    </row>
    <row r="812" spans="2:11">
      <c r="H812" s="59" t="s">
        <v>166</v>
      </c>
      <c r="I812" s="92">
        <f>AVERAGE(Model!AM249:AP249)</f>
        <v>0.12388109125900074</v>
      </c>
      <c r="J812" s="92"/>
    </row>
    <row r="813" spans="2:11">
      <c r="H813" s="59"/>
      <c r="I813" s="92"/>
    </row>
    <row r="814" spans="2:11">
      <c r="H814" s="184" t="s">
        <v>8</v>
      </c>
      <c r="I814" s="92"/>
    </row>
    <row r="815" spans="2:11" ht="25.5">
      <c r="B815" s="157" t="s">
        <v>167</v>
      </c>
      <c r="C815" s="157" t="s">
        <v>9</v>
      </c>
      <c r="D815" s="157" t="s">
        <v>19</v>
      </c>
      <c r="E815" s="158" t="s">
        <v>71</v>
      </c>
      <c r="F815" s="158" t="s">
        <v>7</v>
      </c>
      <c r="G815" s="59"/>
      <c r="H815" s="157" t="s">
        <v>167</v>
      </c>
      <c r="I815" s="157" t="s">
        <v>9</v>
      </c>
      <c r="J815" s="157" t="s">
        <v>19</v>
      </c>
      <c r="K815" s="158" t="s">
        <v>71</v>
      </c>
    </row>
    <row r="816" spans="2:11">
      <c r="B816" s="161" t="s">
        <v>63</v>
      </c>
      <c r="C816" s="152">
        <f>Model!AP124</f>
        <v>1008.442</v>
      </c>
      <c r="D816" s="152">
        <f>C816*$I$811</f>
        <v>113.45980942</v>
      </c>
      <c r="E816" s="95"/>
      <c r="F816" s="95"/>
      <c r="G816" s="95"/>
      <c r="H816" s="161" t="s">
        <v>21</v>
      </c>
      <c r="I816" s="217">
        <v>1008.442</v>
      </c>
      <c r="J816" s="152">
        <f>I816*$I$811</f>
        <v>113.45980942</v>
      </c>
      <c r="K816" s="95"/>
    </row>
    <row r="817" spans="2:11">
      <c r="B817" s="162" t="s">
        <v>64</v>
      </c>
      <c r="C817" s="151">
        <f>C816</f>
        <v>1008.442</v>
      </c>
      <c r="D817" s="151">
        <f>D816</f>
        <v>113.45980942</v>
      </c>
      <c r="E817" s="163">
        <f>C817/C829</f>
        <v>0.15058115574137673</v>
      </c>
      <c r="F817" s="163">
        <f>D817/D829</f>
        <v>0.13675925567237335</v>
      </c>
      <c r="G817" s="95"/>
      <c r="H817" s="161" t="s">
        <v>22</v>
      </c>
      <c r="I817" s="217">
        <v>8717.69</v>
      </c>
      <c r="J817" s="152">
        <f>I817*$I$811</f>
        <v>980.82730190000007</v>
      </c>
      <c r="K817" s="95"/>
    </row>
    <row r="818" spans="2:11">
      <c r="B818" s="161"/>
      <c r="C818" s="152"/>
      <c r="D818" s="152"/>
      <c r="E818" s="95"/>
      <c r="F818" s="95"/>
      <c r="G818" s="95"/>
      <c r="H818" s="161" t="s">
        <v>24</v>
      </c>
      <c r="I818" s="217">
        <v>12587.638000000001</v>
      </c>
      <c r="J818" s="152">
        <f>I818*$I$811</f>
        <v>1416.2351513800002</v>
      </c>
      <c r="K818" s="95"/>
    </row>
    <row r="819" spans="2:11">
      <c r="B819" s="161" t="s">
        <v>14</v>
      </c>
      <c r="C819" s="152">
        <f>SUM(Model!AP125:AP145)</f>
        <v>11524</v>
      </c>
      <c r="D819" s="152">
        <f>C819*$I$811</f>
        <v>1296.5652399999999</v>
      </c>
      <c r="E819" s="95"/>
      <c r="F819" s="95"/>
      <c r="G819" s="96"/>
      <c r="H819" s="162" t="s">
        <v>23</v>
      </c>
      <c r="I819" s="151">
        <f>SUM(I816:I818)</f>
        <v>22313.770000000004</v>
      </c>
      <c r="J819" s="151">
        <f>SUM(J816:J818)</f>
        <v>2510.5222627000003</v>
      </c>
      <c r="K819" s="163">
        <f>+I819/I825</f>
        <v>3.3319053307451103</v>
      </c>
    </row>
    <row r="820" spans="2:11">
      <c r="B820" s="162" t="s">
        <v>15</v>
      </c>
      <c r="C820" s="151">
        <f>C819</f>
        <v>11524</v>
      </c>
      <c r="D820" s="151">
        <f>D819</f>
        <v>1296.5652399999999</v>
      </c>
      <c r="E820" s="163">
        <f>C820/C829</f>
        <v>1.7207704942511572</v>
      </c>
      <c r="F820" s="163">
        <f>D820/D829</f>
        <v>1.5628203331162629</v>
      </c>
      <c r="G820" s="96"/>
      <c r="H820" s="164" t="s">
        <v>25</v>
      </c>
      <c r="I820" s="149">
        <f>C825</f>
        <v>8340.5750000000007</v>
      </c>
      <c r="J820" s="152">
        <f>I820*$I$811</f>
        <v>938.3980932500001</v>
      </c>
      <c r="K820" s="165"/>
    </row>
    <row r="821" spans="2:11">
      <c r="B821" s="161" t="s">
        <v>137</v>
      </c>
      <c r="C821" s="152">
        <f>Model!AP146</f>
        <v>4528</v>
      </c>
      <c r="D821" s="152">
        <f>C821*$I$811</f>
        <v>509.44527999999997</v>
      </c>
      <c r="E821" s="95"/>
      <c r="F821" s="95"/>
      <c r="G821" s="96"/>
      <c r="H821" s="164"/>
      <c r="I821" s="154"/>
      <c r="J821" s="154"/>
      <c r="K821" s="165"/>
    </row>
    <row r="822" spans="2:11">
      <c r="B822" s="161" t="s">
        <v>138</v>
      </c>
      <c r="C822" s="152">
        <f>Model!AP147</f>
        <v>3641</v>
      </c>
      <c r="D822" s="152">
        <f>C822*$I$811</f>
        <v>409.64891</v>
      </c>
      <c r="E822" s="95"/>
      <c r="F822" s="95"/>
      <c r="G822" s="96"/>
      <c r="H822" s="162" t="s">
        <v>26</v>
      </c>
      <c r="I822" s="151">
        <f>+I819-I820</f>
        <v>13973.195000000003</v>
      </c>
      <c r="J822" s="151">
        <f>+J819-J820</f>
        <v>1572.1241694500002</v>
      </c>
      <c r="K822" s="163">
        <f>+I822/I825</f>
        <v>2.0864857398835306</v>
      </c>
    </row>
    <row r="823" spans="2:11">
      <c r="B823" s="161" t="s">
        <v>139</v>
      </c>
      <c r="C823" s="152">
        <f>Model!AP148</f>
        <v>1544</v>
      </c>
      <c r="D823" s="152">
        <f>C823*$I$811</f>
        <v>173.71544</v>
      </c>
      <c r="E823" s="95"/>
      <c r="F823" s="95"/>
      <c r="G823" s="96"/>
      <c r="H823" s="164" t="s">
        <v>27</v>
      </c>
      <c r="I823" s="73">
        <f>C827</f>
        <v>15848.014999999999</v>
      </c>
      <c r="J823" s="152">
        <f>I823*$I$811</f>
        <v>1783.0601676499998</v>
      </c>
      <c r="K823" s="165"/>
    </row>
    <row r="824" spans="2:11">
      <c r="B824" s="162" t="s">
        <v>23</v>
      </c>
      <c r="C824" s="151">
        <f>SUM(C821:C823)+C820+C817</f>
        <v>22245.441999999999</v>
      </c>
      <c r="D824" s="151">
        <f>SUM(D821:D823)+D820+D817</f>
        <v>2502.8346794199997</v>
      </c>
      <c r="E824" s="163">
        <f>+C824/C829</f>
        <v>3.3217025533821114</v>
      </c>
      <c r="F824" s="163">
        <f>+D824/D829</f>
        <v>3.0168022454667218</v>
      </c>
      <c r="H824" s="166" t="s">
        <v>28</v>
      </c>
      <c r="I824" s="77">
        <f>I819+I823</f>
        <v>38161.785000000003</v>
      </c>
      <c r="J824" s="155">
        <f>J819+J823</f>
        <v>4293.5824303500003</v>
      </c>
      <c r="K824" s="167"/>
    </row>
    <row r="825" spans="2:11">
      <c r="B825" s="164" t="s">
        <v>25</v>
      </c>
      <c r="C825" s="149">
        <f>Model!AP150</f>
        <v>8340.5750000000007</v>
      </c>
      <c r="D825" s="152">
        <f>C825*$I$811</f>
        <v>938.3980932500001</v>
      </c>
      <c r="E825" s="165"/>
      <c r="F825" s="165"/>
      <c r="H825" s="164" t="s">
        <v>29</v>
      </c>
      <c r="I825" s="211">
        <f>C829</f>
        <v>6697</v>
      </c>
      <c r="J825" s="6"/>
      <c r="K825" s="164"/>
    </row>
    <row r="826" spans="2:11">
      <c r="B826" s="162" t="s">
        <v>26</v>
      </c>
      <c r="C826" s="151">
        <f>+C824-C825</f>
        <v>13904.866999999998</v>
      </c>
      <c r="D826" s="151">
        <f>+D824-D825</f>
        <v>1564.4365861699996</v>
      </c>
      <c r="E826" s="163">
        <f>+C826/C829</f>
        <v>2.0762829625205312</v>
      </c>
      <c r="F826" s="163">
        <f>+D826/D829</f>
        <v>1.8857001802219131</v>
      </c>
    </row>
    <row r="827" spans="2:11">
      <c r="B827" s="164" t="s">
        <v>27</v>
      </c>
      <c r="C827" s="73">
        <f>Model!AP162</f>
        <v>15848.014999999999</v>
      </c>
      <c r="D827" s="152">
        <f>C827*$I$811</f>
        <v>1783.0601676499998</v>
      </c>
      <c r="E827" s="165"/>
      <c r="F827" s="165"/>
      <c r="H827" s="162" t="s">
        <v>32</v>
      </c>
      <c r="I827" s="218">
        <v>2</v>
      </c>
    </row>
    <row r="828" spans="2:11">
      <c r="B828" s="166" t="s">
        <v>28</v>
      </c>
      <c r="C828" s="77">
        <f>C824+C827</f>
        <v>38093.456999999995</v>
      </c>
      <c r="D828" s="77">
        <f>D824+D827</f>
        <v>4285.8948470699997</v>
      </c>
      <c r="E828" s="167"/>
      <c r="F828" s="167"/>
    </row>
    <row r="829" spans="2:11">
      <c r="B829" s="164" t="s">
        <v>29</v>
      </c>
      <c r="C829" s="211">
        <f>Model!AP95</f>
        <v>6697</v>
      </c>
      <c r="D829" s="211">
        <f>C829*I812</f>
        <v>829.63166816152795</v>
      </c>
      <c r="E829" s="164"/>
      <c r="F829" s="164"/>
    </row>
    <row r="831" spans="2:11">
      <c r="B831" s="97" t="s">
        <v>30</v>
      </c>
      <c r="C831" s="98">
        <f>C824-Model!AP153</f>
        <v>0</v>
      </c>
    </row>
    <row r="833" spans="2:7">
      <c r="B833" s="36" t="s">
        <v>31</v>
      </c>
      <c r="C833" s="212">
        <f>C826+Model!AP161</f>
        <v>35960.667000000001</v>
      </c>
    </row>
    <row r="834" spans="2:7">
      <c r="B834" s="36" t="s">
        <v>33</v>
      </c>
      <c r="C834" s="37">
        <f>C833/C829</f>
        <v>5.3696680603255187</v>
      </c>
    </row>
    <row r="836" spans="2:7" ht="13.5" thickBot="1"/>
    <row r="837" spans="2:7">
      <c r="B837" s="65" t="s">
        <v>168</v>
      </c>
      <c r="C837" s="66" t="s">
        <v>74</v>
      </c>
      <c r="D837" s="66" t="s">
        <v>75</v>
      </c>
    </row>
    <row r="838" spans="2:7">
      <c r="B838" s="67"/>
      <c r="C838" s="93"/>
      <c r="D838" s="93"/>
    </row>
    <row r="839" spans="2:7">
      <c r="B839" s="67" t="s">
        <v>35</v>
      </c>
      <c r="C839" s="213">
        <f>C825</f>
        <v>8340.5750000000007</v>
      </c>
      <c r="D839" s="213">
        <f>C839*I811</f>
        <v>938.3980932500001</v>
      </c>
    </row>
    <row r="840" spans="2:7" ht="13.5" thickBot="1">
      <c r="B840" s="210" t="s">
        <v>36</v>
      </c>
      <c r="C840" s="214">
        <f>SUM(C838:C839)</f>
        <v>8340.5750000000007</v>
      </c>
      <c r="D840" s="214">
        <f>SUM(D838:D839)</f>
        <v>938.3980932500001</v>
      </c>
    </row>
    <row r="842" spans="2:7">
      <c r="C842" s="32"/>
    </row>
    <row r="843" spans="2:7" ht="13.5" thickBot="1"/>
    <row r="844" spans="2:7">
      <c r="B844" s="170" t="s">
        <v>169</v>
      </c>
      <c r="C844" s="66" t="s">
        <v>74</v>
      </c>
      <c r="D844" s="66" t="s">
        <v>77</v>
      </c>
      <c r="E844" s="66" t="s">
        <v>38</v>
      </c>
    </row>
    <row r="845" spans="2:7">
      <c r="B845" s="189">
        <v>2021</v>
      </c>
      <c r="C845" s="215">
        <f>+$C$824*E845</f>
        <v>8453.2679599999992</v>
      </c>
      <c r="D845" s="215">
        <f>C845*$I$811</f>
        <v>951.07717817959985</v>
      </c>
      <c r="E845" s="220">
        <v>0.38</v>
      </c>
      <c r="G845" s="183"/>
    </row>
    <row r="846" spans="2:7">
      <c r="B846" s="189">
        <v>2022</v>
      </c>
      <c r="C846" s="215">
        <f>+$C$824*E846</f>
        <v>2446.9986199999998</v>
      </c>
      <c r="D846" s="215">
        <f>C846*$I$811</f>
        <v>275.31181473620001</v>
      </c>
      <c r="E846" s="220">
        <v>0.11</v>
      </c>
      <c r="G846" s="183"/>
    </row>
    <row r="847" spans="2:7">
      <c r="B847" s="189">
        <v>2023</v>
      </c>
      <c r="C847" s="215">
        <f>+$C$824*E847</f>
        <v>7340.99586</v>
      </c>
      <c r="D847" s="215">
        <f>C847*$I$811</f>
        <v>825.93544420859996</v>
      </c>
      <c r="E847" s="220">
        <v>0.33</v>
      </c>
      <c r="G847" s="183"/>
    </row>
    <row r="848" spans="2:7" ht="13.5" thickBot="1">
      <c r="B848" s="190" t="s">
        <v>170</v>
      </c>
      <c r="C848" s="215">
        <f>+$C$824*E848</f>
        <v>4004.1795599999996</v>
      </c>
      <c r="D848" s="215">
        <f>C848*$I$811</f>
        <v>450.51024229559994</v>
      </c>
      <c r="E848" s="221">
        <v>0.18</v>
      </c>
      <c r="G848" s="183"/>
    </row>
    <row r="849" spans="2:11" ht="13.5" thickBot="1">
      <c r="B849" s="193" t="s">
        <v>40</v>
      </c>
      <c r="C849" s="195">
        <f>SUM(C845:C848)</f>
        <v>22245.441999999999</v>
      </c>
      <c r="D849" s="216">
        <f>SUM(D845:D848)</f>
        <v>2502.8346794199997</v>
      </c>
      <c r="E849" s="207">
        <f>SUM(E845:E848)</f>
        <v>1</v>
      </c>
      <c r="G849" s="183"/>
    </row>
    <row r="850" spans="2:11">
      <c r="B850" s="59"/>
      <c r="C850" s="171"/>
      <c r="D850" s="171"/>
      <c r="E850" s="81"/>
      <c r="G850" s="183"/>
    </row>
    <row r="851" spans="2:11">
      <c r="H851" s="59" t="s">
        <v>171</v>
      </c>
      <c r="I851" s="92">
        <f>Model!AO250</f>
        <v>0.11447030583031609</v>
      </c>
      <c r="J851" s="92"/>
    </row>
    <row r="852" spans="2:11">
      <c r="H852" s="59" t="s">
        <v>172</v>
      </c>
      <c r="I852" s="92">
        <f>AVERAGE(Model!AL249:AO249)</f>
        <v>0.12924609125900072</v>
      </c>
      <c r="J852" s="92"/>
    </row>
    <row r="853" spans="2:11">
      <c r="H853" s="59"/>
      <c r="I853" s="92"/>
    </row>
    <row r="854" spans="2:11">
      <c r="H854" s="184" t="s">
        <v>8</v>
      </c>
      <c r="I854" s="92"/>
    </row>
    <row r="855" spans="2:11" ht="25.5">
      <c r="B855" s="157" t="s">
        <v>173</v>
      </c>
      <c r="C855" s="157" t="s">
        <v>9</v>
      </c>
      <c r="D855" s="157" t="s">
        <v>19</v>
      </c>
      <c r="E855" s="158" t="s">
        <v>71</v>
      </c>
      <c r="F855" s="158" t="s">
        <v>7</v>
      </c>
      <c r="G855" s="59"/>
      <c r="H855" s="157" t="s">
        <v>173</v>
      </c>
      <c r="I855" s="157" t="s">
        <v>9</v>
      </c>
      <c r="J855" s="157" t="s">
        <v>19</v>
      </c>
      <c r="K855" s="158" t="s">
        <v>71</v>
      </c>
    </row>
    <row r="856" spans="2:11">
      <c r="B856" s="161" t="s">
        <v>63</v>
      </c>
      <c r="C856" s="152">
        <f>Model!AO124</f>
        <v>986.80799999999999</v>
      </c>
      <c r="D856" s="152">
        <f>C856*$I$851</f>
        <v>112.96021355580255</v>
      </c>
      <c r="E856" s="95"/>
      <c r="F856" s="95"/>
      <c r="G856" s="95"/>
      <c r="H856" s="161" t="s">
        <v>21</v>
      </c>
      <c r="I856" s="217">
        <v>986.80799999999999</v>
      </c>
      <c r="J856" s="152">
        <f>I856*$I$851</f>
        <v>112.96021355580255</v>
      </c>
      <c r="K856" s="95"/>
    </row>
    <row r="857" spans="2:11">
      <c r="B857" s="162" t="s">
        <v>64</v>
      </c>
      <c r="C857" s="151">
        <f>C856</f>
        <v>986.80799999999999</v>
      </c>
      <c r="D857" s="151">
        <f>D856</f>
        <v>112.96021355580255</v>
      </c>
      <c r="E857" s="163">
        <f>C857/C869</f>
        <v>0.14839218045112781</v>
      </c>
      <c r="F857" s="163">
        <f>D857/D869</f>
        <v>0.13142755895826838</v>
      </c>
      <c r="G857" s="95"/>
      <c r="H857" s="161" t="s">
        <v>22</v>
      </c>
      <c r="I857" s="217">
        <v>11284.714</v>
      </c>
      <c r="J857" s="152">
        <f>I857*$I$851</f>
        <v>1291.7646627876495</v>
      </c>
      <c r="K857" s="95"/>
    </row>
    <row r="858" spans="2:11">
      <c r="B858" s="161"/>
      <c r="C858" s="152"/>
      <c r="D858" s="152"/>
      <c r="E858" s="95"/>
      <c r="F858" s="95"/>
      <c r="G858" s="95"/>
      <c r="H858" s="161" t="s">
        <v>24</v>
      </c>
      <c r="I858" s="217">
        <v>12512.236999999999</v>
      </c>
      <c r="J858" s="152">
        <f>I858*$I$851</f>
        <v>1432.2795960113965</v>
      </c>
      <c r="K858" s="95"/>
    </row>
    <row r="859" spans="2:11">
      <c r="B859" s="161" t="s">
        <v>14</v>
      </c>
      <c r="C859" s="152">
        <f>SUM(Model!AO125:AO145)</f>
        <v>9960</v>
      </c>
      <c r="D859" s="152">
        <f>C859*$I$851</f>
        <v>1140.1242460699482</v>
      </c>
      <c r="E859" s="95"/>
      <c r="F859" s="95"/>
      <c r="G859" s="96"/>
      <c r="H859" s="162" t="s">
        <v>23</v>
      </c>
      <c r="I859" s="151">
        <f>SUM(I856:I858)</f>
        <v>24783.758999999998</v>
      </c>
      <c r="J859" s="151">
        <f>SUM(J856:J858)</f>
        <v>2837.0044723548485</v>
      </c>
      <c r="K859" s="163">
        <f>+I859/I865</f>
        <v>3.7268810526315788</v>
      </c>
    </row>
    <row r="860" spans="2:11">
      <c r="B860" s="162" t="s">
        <v>15</v>
      </c>
      <c r="C860" s="151">
        <f>C859</f>
        <v>9960</v>
      </c>
      <c r="D860" s="151">
        <f>D859</f>
        <v>1140.1242460699482</v>
      </c>
      <c r="E860" s="163">
        <f>C860/C869</f>
        <v>1.4977443609022556</v>
      </c>
      <c r="F860" s="163">
        <f>D860/D869</f>
        <v>1.326517911513033</v>
      </c>
      <c r="G860" s="96"/>
      <c r="H860" s="164" t="s">
        <v>25</v>
      </c>
      <c r="I860" s="149">
        <f>C865</f>
        <v>10743.491</v>
      </c>
      <c r="J860" s="152">
        <f>I860*$I$851</f>
        <v>1229.8107004552485</v>
      </c>
      <c r="K860" s="165"/>
    </row>
    <row r="861" spans="2:11">
      <c r="B861" s="161" t="s">
        <v>137</v>
      </c>
      <c r="C861" s="152">
        <f>Model!AO146</f>
        <v>4403</v>
      </c>
      <c r="D861" s="152">
        <f>C861*$I$851</f>
        <v>504.01275657088172</v>
      </c>
      <c r="E861" s="95"/>
      <c r="F861" s="95"/>
      <c r="G861" s="96"/>
      <c r="H861" s="164"/>
      <c r="I861" s="154"/>
      <c r="J861" s="154"/>
      <c r="K861" s="165"/>
    </row>
    <row r="862" spans="2:11">
      <c r="B862" s="161" t="s">
        <v>138</v>
      </c>
      <c r="C862" s="152">
        <f>Model!AO147</f>
        <v>7370</v>
      </c>
      <c r="D862" s="152">
        <f>C862*$I$851</f>
        <v>843.64615396942952</v>
      </c>
      <c r="E862" s="95"/>
      <c r="F862" s="95"/>
      <c r="G862" s="96"/>
      <c r="H862" s="162" t="s">
        <v>26</v>
      </c>
      <c r="I862" s="151">
        <f>+I859-I860</f>
        <v>14040.267999999998</v>
      </c>
      <c r="J862" s="151">
        <f>+J859-J860</f>
        <v>1607.1937718996001</v>
      </c>
      <c r="K862" s="163">
        <f>+I862/I865</f>
        <v>2.1113184962406013</v>
      </c>
    </row>
    <row r="863" spans="2:11">
      <c r="B863" s="161" t="s">
        <v>139</v>
      </c>
      <c r="C863" s="152">
        <f>Model!AO148</f>
        <v>2064</v>
      </c>
      <c r="D863" s="152">
        <f>C863*$I$851</f>
        <v>236.26671123377241</v>
      </c>
      <c r="E863" s="95"/>
      <c r="F863" s="95"/>
      <c r="G863" s="96"/>
      <c r="H863" s="164" t="s">
        <v>27</v>
      </c>
      <c r="I863" s="73">
        <f>C867</f>
        <v>15495.848</v>
      </c>
      <c r="J863" s="152">
        <f>I863*$I$851</f>
        <v>1773.8144596600919</v>
      </c>
      <c r="K863" s="165"/>
    </row>
    <row r="864" spans="2:11">
      <c r="B864" s="162" t="s">
        <v>23</v>
      </c>
      <c r="C864" s="151">
        <f>SUM(C861:C863)+C860+C857</f>
        <v>24783.808000000001</v>
      </c>
      <c r="D864" s="151">
        <f>SUM(D861:D863)+D860+D857</f>
        <v>2837.0100813998342</v>
      </c>
      <c r="E864" s="163">
        <f>+C864/C869</f>
        <v>3.7268884210526316</v>
      </c>
      <c r="F864" s="163">
        <f>+D864/D869</f>
        <v>3.3008198019578314</v>
      </c>
      <c r="H864" s="166" t="s">
        <v>28</v>
      </c>
      <c r="I864" s="77">
        <f>I859+I863</f>
        <v>40279.606999999996</v>
      </c>
      <c r="J864" s="155">
        <f>J859+J863</f>
        <v>4610.8189320149404</v>
      </c>
      <c r="K864" s="167"/>
    </row>
    <row r="865" spans="2:11">
      <c r="B865" s="164" t="s">
        <v>25</v>
      </c>
      <c r="C865" s="149">
        <f>Model!AO150</f>
        <v>10743.491</v>
      </c>
      <c r="D865" s="152">
        <f>C865*$I$851</f>
        <v>1229.8107004552485</v>
      </c>
      <c r="E865" s="165"/>
      <c r="F865" s="165"/>
      <c r="H865" s="164" t="s">
        <v>29</v>
      </c>
      <c r="I865" s="211">
        <f>C869</f>
        <v>6650</v>
      </c>
      <c r="J865" s="6"/>
      <c r="K865" s="164"/>
    </row>
    <row r="866" spans="2:11">
      <c r="B866" s="162" t="s">
        <v>26</v>
      </c>
      <c r="C866" s="151">
        <f>+C864-C865</f>
        <v>14040.317000000001</v>
      </c>
      <c r="D866" s="151">
        <f>+D864-D865</f>
        <v>1607.1993809445858</v>
      </c>
      <c r="E866" s="163">
        <f>+C866/C869</f>
        <v>2.1113258646616542</v>
      </c>
      <c r="F866" s="163">
        <f>+D866/D869</f>
        <v>1.8699530104237883</v>
      </c>
    </row>
    <row r="867" spans="2:11">
      <c r="B867" s="164" t="s">
        <v>27</v>
      </c>
      <c r="C867" s="73">
        <f>Model!AO162</f>
        <v>15495.848</v>
      </c>
      <c r="D867" s="152">
        <f>C867*$I$851</f>
        <v>1773.8144596600919</v>
      </c>
      <c r="E867" s="165"/>
      <c r="F867" s="165"/>
      <c r="H867" s="162" t="s">
        <v>32</v>
      </c>
      <c r="I867" s="218">
        <v>1.54</v>
      </c>
    </row>
    <row r="868" spans="2:11">
      <c r="B868" s="166" t="s">
        <v>28</v>
      </c>
      <c r="C868" s="77">
        <f>C864+C867</f>
        <v>40279.656000000003</v>
      </c>
      <c r="D868" s="77">
        <f>D864+D867</f>
        <v>4610.8245410599266</v>
      </c>
      <c r="E868" s="167"/>
      <c r="F868" s="167"/>
    </row>
    <row r="869" spans="2:11">
      <c r="B869" s="164" t="s">
        <v>29</v>
      </c>
      <c r="C869" s="211">
        <f>Model!AO95</f>
        <v>6650</v>
      </c>
      <c r="D869" s="211">
        <f>C869*I852</f>
        <v>859.48650687235477</v>
      </c>
      <c r="E869" s="164"/>
      <c r="F869" s="164"/>
    </row>
    <row r="871" spans="2:11">
      <c r="B871" s="97" t="s">
        <v>30</v>
      </c>
      <c r="C871" s="98">
        <f>C864-Model!AO153</f>
        <v>0</v>
      </c>
    </row>
    <row r="873" spans="2:11">
      <c r="B873" s="36" t="s">
        <v>31</v>
      </c>
      <c r="C873" s="212">
        <f>C866+Model!AO161</f>
        <v>36177.317000000003</v>
      </c>
    </row>
    <row r="874" spans="2:11">
      <c r="B874" s="36" t="s">
        <v>33</v>
      </c>
      <c r="C874" s="37">
        <f>C873/C869</f>
        <v>5.4401980451127825</v>
      </c>
    </row>
    <row r="876" spans="2:11" ht="13.5" thickBot="1"/>
    <row r="877" spans="2:11">
      <c r="B877" s="65" t="s">
        <v>174</v>
      </c>
      <c r="C877" s="66" t="s">
        <v>74</v>
      </c>
      <c r="D877" s="66" t="s">
        <v>75</v>
      </c>
    </row>
    <row r="878" spans="2:11">
      <c r="B878" s="67"/>
      <c r="C878" s="93"/>
      <c r="D878" s="93"/>
    </row>
    <row r="879" spans="2:11">
      <c r="B879" s="67" t="s">
        <v>35</v>
      </c>
      <c r="C879" s="213">
        <f>C865</f>
        <v>10743.491</v>
      </c>
      <c r="D879" s="213">
        <f>C879*I851</f>
        <v>1229.8107004552485</v>
      </c>
    </row>
    <row r="880" spans="2:11" ht="13.5" thickBot="1">
      <c r="B880" s="210" t="s">
        <v>36</v>
      </c>
      <c r="C880" s="214">
        <f>SUM(C878:C879)</f>
        <v>10743.491</v>
      </c>
      <c r="D880" s="214">
        <f>SUM(D878:D879)</f>
        <v>1229.8107004552485</v>
      </c>
    </row>
    <row r="882" spans="2:11">
      <c r="C882" s="32"/>
    </row>
    <row r="883" spans="2:11" ht="13.5" thickBot="1"/>
    <row r="884" spans="2:11">
      <c r="B884" s="170" t="s">
        <v>175</v>
      </c>
      <c r="C884" s="66" t="s">
        <v>74</v>
      </c>
      <c r="D884" s="66" t="s">
        <v>77</v>
      </c>
      <c r="E884" s="66" t="s">
        <v>38</v>
      </c>
    </row>
    <row r="885" spans="2:11">
      <c r="B885" s="189">
        <v>2021</v>
      </c>
      <c r="C885" s="215">
        <f>+$C$864*E885</f>
        <v>5700.2758400000002</v>
      </c>
      <c r="D885" s="215">
        <f>C885*$I$851</f>
        <v>652.51231872196195</v>
      </c>
      <c r="E885" s="220">
        <v>0.23</v>
      </c>
      <c r="G885" s="183"/>
    </row>
    <row r="886" spans="2:11">
      <c r="B886" s="189">
        <v>2022</v>
      </c>
      <c r="C886" s="215">
        <f>+$C$864*E886</f>
        <v>4956.7616000000007</v>
      </c>
      <c r="D886" s="215">
        <f>C886*$I$851</f>
        <v>567.40201627996703</v>
      </c>
      <c r="E886" s="220">
        <v>0.2</v>
      </c>
      <c r="G886" s="183"/>
    </row>
    <row r="887" spans="2:11">
      <c r="B887" s="189">
        <v>2023</v>
      </c>
      <c r="C887" s="215">
        <f>+$C$864*E887</f>
        <v>9170.008960000001</v>
      </c>
      <c r="D887" s="215">
        <f>C887*$I$851</f>
        <v>1049.6937301179389</v>
      </c>
      <c r="E887" s="220">
        <v>0.37</v>
      </c>
      <c r="G887" s="183"/>
    </row>
    <row r="888" spans="2:11" ht="13.5" thickBot="1">
      <c r="B888" s="190" t="s">
        <v>170</v>
      </c>
      <c r="C888" s="215">
        <f>+$C$864*E888</f>
        <v>4956.7616000000007</v>
      </c>
      <c r="D888" s="215">
        <f>C888*$I$851</f>
        <v>567.40201627996703</v>
      </c>
      <c r="E888" s="221">
        <v>0.2</v>
      </c>
      <c r="G888" s="183"/>
    </row>
    <row r="889" spans="2:11" ht="13.5" thickBot="1">
      <c r="B889" s="193" t="s">
        <v>40</v>
      </c>
      <c r="C889" s="195">
        <f>SUM(C885:C888)</f>
        <v>24783.808000000001</v>
      </c>
      <c r="D889" s="216">
        <f>SUM(D885:D888)</f>
        <v>2837.0100813998351</v>
      </c>
      <c r="E889" s="207">
        <f>SUM(E885:E888)</f>
        <v>1</v>
      </c>
      <c r="G889" s="183"/>
    </row>
    <row r="890" spans="2:11">
      <c r="B890" s="59"/>
      <c r="C890" s="171"/>
      <c r="D890" s="171"/>
      <c r="E890" s="81"/>
      <c r="G890" s="183"/>
    </row>
    <row r="891" spans="2:11">
      <c r="H891" s="59" t="s">
        <v>176</v>
      </c>
      <c r="I891" s="92">
        <f>Model!AN250</f>
        <v>0.1211842121208449</v>
      </c>
      <c r="J891" s="92"/>
    </row>
    <row r="892" spans="2:11">
      <c r="H892" s="59" t="s">
        <v>177</v>
      </c>
      <c r="I892" s="92">
        <f>AVERAGE(Model!AK249:AN249)</f>
        <v>0.1362250265151056</v>
      </c>
      <c r="J892" s="92"/>
    </row>
    <row r="893" spans="2:11">
      <c r="H893" s="59"/>
      <c r="I893" s="92"/>
    </row>
    <row r="894" spans="2:11">
      <c r="H894" s="184" t="s">
        <v>8</v>
      </c>
      <c r="I894" s="92"/>
    </row>
    <row r="895" spans="2:11" ht="25.5">
      <c r="B895" s="157" t="s">
        <v>178</v>
      </c>
      <c r="C895" s="157" t="s">
        <v>9</v>
      </c>
      <c r="D895" s="157" t="s">
        <v>19</v>
      </c>
      <c r="E895" s="158" t="s">
        <v>71</v>
      </c>
      <c r="F895" s="158" t="s">
        <v>7</v>
      </c>
      <c r="G895" s="59"/>
      <c r="H895" s="157" t="s">
        <v>178</v>
      </c>
      <c r="I895" s="157" t="s">
        <v>9</v>
      </c>
      <c r="J895" s="157" t="s">
        <v>19</v>
      </c>
      <c r="K895" s="158" t="s">
        <v>71</v>
      </c>
    </row>
    <row r="896" spans="2:11">
      <c r="B896" s="161" t="s">
        <v>63</v>
      </c>
      <c r="C896" s="152">
        <f>Model!AN124</f>
        <v>1055.4490000000001</v>
      </c>
      <c r="D896" s="152">
        <f>C896*$I$891</f>
        <v>127.90375549873364</v>
      </c>
      <c r="E896" s="95"/>
      <c r="F896" s="95"/>
      <c r="G896" s="95"/>
      <c r="H896" s="161" t="s">
        <v>21</v>
      </c>
      <c r="I896" s="217">
        <v>1055.4490000000001</v>
      </c>
      <c r="J896" s="152">
        <f>I896*$I$891</f>
        <v>127.90375549873364</v>
      </c>
      <c r="K896" s="95"/>
    </row>
    <row r="897" spans="2:11">
      <c r="B897" s="162" t="s">
        <v>64</v>
      </c>
      <c r="C897" s="151">
        <f>C896</f>
        <v>1055.4490000000001</v>
      </c>
      <c r="D897" s="151">
        <f>D896</f>
        <v>127.90375549873364</v>
      </c>
      <c r="E897" s="163">
        <f>C897/C909</f>
        <v>0.17325164149704531</v>
      </c>
      <c r="F897" s="163">
        <f>D897/D909</f>
        <v>0.15412266167651947</v>
      </c>
      <c r="G897" s="95"/>
      <c r="H897" s="161" t="s">
        <v>22</v>
      </c>
      <c r="I897" s="217">
        <v>10697.95</v>
      </c>
      <c r="J897" s="152">
        <f>I897*$I$891</f>
        <v>1296.4226420581929</v>
      </c>
      <c r="K897" s="95"/>
    </row>
    <row r="898" spans="2:11">
      <c r="B898" s="161"/>
      <c r="C898" s="152"/>
      <c r="D898" s="152"/>
      <c r="E898" s="95"/>
      <c r="F898" s="95"/>
      <c r="G898" s="95"/>
      <c r="H898" s="161" t="s">
        <v>24</v>
      </c>
      <c r="I898" s="217">
        <v>7534.0529999999999</v>
      </c>
      <c r="J898" s="152">
        <f>I898*$I$891</f>
        <v>913.00827688168783</v>
      </c>
      <c r="K898" s="95"/>
    </row>
    <row r="899" spans="2:11">
      <c r="B899" s="161" t="s">
        <v>14</v>
      </c>
      <c r="C899" s="152">
        <f>SUM(Model!AN125:AN145)</f>
        <v>8731</v>
      </c>
      <c r="D899" s="152">
        <f>C899*$I$891</f>
        <v>1058.0593560270968</v>
      </c>
      <c r="E899" s="95"/>
      <c r="F899" s="95"/>
      <c r="G899" s="96"/>
      <c r="H899" s="162" t="s">
        <v>23</v>
      </c>
      <c r="I899" s="151">
        <f>SUM(I896:I898)</f>
        <v>19287.452000000001</v>
      </c>
      <c r="J899" s="151">
        <f>SUM(J896:J898)</f>
        <v>2337.3346744386145</v>
      </c>
      <c r="K899" s="163">
        <f>+I899/I905</f>
        <v>3.1660295469468158</v>
      </c>
    </row>
    <row r="900" spans="2:11">
      <c r="B900" s="162" t="s">
        <v>15</v>
      </c>
      <c r="C900" s="151">
        <f>C899</f>
        <v>8731</v>
      </c>
      <c r="D900" s="151">
        <f>D899</f>
        <v>1058.0593560270968</v>
      </c>
      <c r="E900" s="163">
        <f>C900/C909</f>
        <v>1.4331910702560735</v>
      </c>
      <c r="F900" s="163">
        <f>D900/D909</f>
        <v>1.2749502430697186</v>
      </c>
      <c r="G900" s="96"/>
      <c r="H900" s="164" t="s">
        <v>25</v>
      </c>
      <c r="I900" s="149">
        <f>C905</f>
        <v>10213.040000000001</v>
      </c>
      <c r="J900" s="152">
        <f>I900*$I$891</f>
        <v>1237.659205758674</v>
      </c>
      <c r="K900" s="165"/>
    </row>
    <row r="901" spans="2:11">
      <c r="B901" s="161" t="s">
        <v>137</v>
      </c>
      <c r="C901" s="152">
        <f>Model!AN146</f>
        <v>4263</v>
      </c>
      <c r="D901" s="152">
        <f>C901*$I$891</f>
        <v>516.60829627116186</v>
      </c>
      <c r="E901" s="95"/>
      <c r="F901" s="95"/>
      <c r="G901" s="96"/>
      <c r="H901" s="164"/>
      <c r="I901" s="154"/>
      <c r="J901" s="154"/>
      <c r="K901" s="165"/>
    </row>
    <row r="902" spans="2:11">
      <c r="B902" s="161" t="s">
        <v>138</v>
      </c>
      <c r="C902" s="152">
        <f>Model!AN147</f>
        <v>3491</v>
      </c>
      <c r="D902" s="152">
        <f>C902*$I$891</f>
        <v>423.05408451386955</v>
      </c>
      <c r="E902" s="95"/>
      <c r="F902" s="95"/>
      <c r="G902" s="96"/>
      <c r="H902" s="162" t="s">
        <v>26</v>
      </c>
      <c r="I902" s="151">
        <f>+I899-I900</f>
        <v>9074.4120000000003</v>
      </c>
      <c r="J902" s="151">
        <f>+J899-J900</f>
        <v>1099.6754686799404</v>
      </c>
      <c r="K902" s="163">
        <f>+I902/I905</f>
        <v>1.4895620485883125</v>
      </c>
    </row>
    <row r="903" spans="2:11">
      <c r="B903" s="161" t="s">
        <v>139</v>
      </c>
      <c r="C903" s="152">
        <f>Model!AN148</f>
        <v>1748</v>
      </c>
      <c r="D903" s="152">
        <f>C903*$I$891</f>
        <v>211.83000278723688</v>
      </c>
      <c r="E903" s="95"/>
      <c r="F903" s="95"/>
      <c r="G903" s="96"/>
      <c r="H903" s="164" t="s">
        <v>27</v>
      </c>
      <c r="I903" s="73">
        <f>C907</f>
        <v>14489.387000000001</v>
      </c>
      <c r="J903" s="152">
        <f>I903*$I$891</f>
        <v>1755.8849477090127</v>
      </c>
      <c r="K903" s="165"/>
    </row>
    <row r="904" spans="2:11">
      <c r="B904" s="162" t="s">
        <v>23</v>
      </c>
      <c r="C904" s="151">
        <f>SUM(C901:C903)+C900+C897</f>
        <v>19288.449000000001</v>
      </c>
      <c r="D904" s="151">
        <f>SUM(D901:D903)+D900+D897</f>
        <v>2337.4554950980987</v>
      </c>
      <c r="E904" s="163">
        <f>+C904/C909</f>
        <v>3.1661932042022327</v>
      </c>
      <c r="F904" s="163">
        <f>+D904/D909</f>
        <v>2.8166089498325357</v>
      </c>
      <c r="H904" s="166" t="s">
        <v>28</v>
      </c>
      <c r="I904" s="77">
        <f>I899+I903</f>
        <v>33776.839</v>
      </c>
      <c r="J904" s="155">
        <f>J899+J903</f>
        <v>4093.219622147627</v>
      </c>
      <c r="K904" s="167"/>
    </row>
    <row r="905" spans="2:11">
      <c r="B905" s="164" t="s">
        <v>25</v>
      </c>
      <c r="C905" s="149">
        <f>Model!AN150</f>
        <v>10213.040000000001</v>
      </c>
      <c r="D905" s="152">
        <f>C905*$I$891</f>
        <v>1237.659205758674</v>
      </c>
      <c r="E905" s="165"/>
      <c r="F905" s="165"/>
      <c r="H905" s="164" t="s">
        <v>29</v>
      </c>
      <c r="I905" s="211">
        <f>C909</f>
        <v>6092</v>
      </c>
      <c r="J905" s="6"/>
      <c r="K905" s="164"/>
    </row>
    <row r="906" spans="2:11">
      <c r="B906" s="162" t="s">
        <v>26</v>
      </c>
      <c r="C906" s="151">
        <f>+C904-C905</f>
        <v>9075.4089999999997</v>
      </c>
      <c r="D906" s="151">
        <f>+D904-D905</f>
        <v>1099.7962893394247</v>
      </c>
      <c r="E906" s="163">
        <f>+C906/C909</f>
        <v>1.4897257058437294</v>
      </c>
      <c r="F906" s="163">
        <f>+D906/D909</f>
        <v>1.3252428027152798</v>
      </c>
    </row>
    <row r="907" spans="2:11">
      <c r="B907" s="164" t="s">
        <v>27</v>
      </c>
      <c r="C907" s="73">
        <f>Model!AN162</f>
        <v>14489.387000000001</v>
      </c>
      <c r="D907" s="152">
        <f>C907*$I$891</f>
        <v>1755.8849477090127</v>
      </c>
      <c r="E907" s="165"/>
      <c r="F907" s="165"/>
      <c r="H907" s="162" t="s">
        <v>32</v>
      </c>
      <c r="I907" s="218">
        <v>1.42</v>
      </c>
    </row>
    <row r="908" spans="2:11">
      <c r="B908" s="166" t="s">
        <v>28</v>
      </c>
      <c r="C908" s="77">
        <f>C904+C907</f>
        <v>33777.836000000003</v>
      </c>
      <c r="D908" s="77">
        <f>D904+D907</f>
        <v>4093.3404428071117</v>
      </c>
      <c r="E908" s="167"/>
      <c r="F908" s="167"/>
    </row>
    <row r="909" spans="2:11">
      <c r="B909" s="164" t="s">
        <v>29</v>
      </c>
      <c r="C909" s="211">
        <f>Model!AN95</f>
        <v>6092</v>
      </c>
      <c r="D909" s="211">
        <f>C909*I892</f>
        <v>829.88286153002332</v>
      </c>
      <c r="E909" s="164"/>
      <c r="F909" s="164"/>
    </row>
    <row r="911" spans="2:11">
      <c r="B911" s="97" t="s">
        <v>30</v>
      </c>
      <c r="C911" s="98">
        <f>C904-Model!AN153</f>
        <v>0</v>
      </c>
    </row>
    <row r="913" spans="2:7">
      <c r="B913" s="36" t="s">
        <v>31</v>
      </c>
      <c r="C913" s="212">
        <f>C906+Model!AN161</f>
        <v>31685.309000000001</v>
      </c>
    </row>
    <row r="914" spans="2:7">
      <c r="B914" s="36" t="s">
        <v>33</v>
      </c>
      <c r="C914" s="37">
        <f>C913/C909</f>
        <v>5.201134110308602</v>
      </c>
    </row>
    <row r="916" spans="2:7" ht="13.5" thickBot="1"/>
    <row r="917" spans="2:7">
      <c r="B917" s="65" t="s">
        <v>179</v>
      </c>
      <c r="C917" s="66" t="s">
        <v>74</v>
      </c>
      <c r="D917" s="66" t="s">
        <v>75</v>
      </c>
    </row>
    <row r="918" spans="2:7">
      <c r="B918" s="67"/>
      <c r="C918" s="93"/>
      <c r="D918" s="93"/>
    </row>
    <row r="919" spans="2:7">
      <c r="B919" s="67" t="s">
        <v>35</v>
      </c>
      <c r="C919" s="213">
        <f>C905</f>
        <v>10213.040000000001</v>
      </c>
      <c r="D919" s="213">
        <f>C919*I891</f>
        <v>1237.659205758674</v>
      </c>
    </row>
    <row r="920" spans="2:7" ht="13.5" thickBot="1">
      <c r="B920" s="210" t="s">
        <v>36</v>
      </c>
      <c r="C920" s="214">
        <f>SUM(C918:C919)</f>
        <v>10213.040000000001</v>
      </c>
      <c r="D920" s="214">
        <f>SUM(D918:D919)</f>
        <v>1237.659205758674</v>
      </c>
    </row>
    <row r="922" spans="2:7">
      <c r="C922" s="32"/>
    </row>
    <row r="923" spans="2:7" ht="13.5" thickBot="1"/>
    <row r="924" spans="2:7">
      <c r="B924" s="170" t="s">
        <v>180</v>
      </c>
      <c r="C924" s="66" t="s">
        <v>74</v>
      </c>
      <c r="D924" s="66" t="s">
        <v>77</v>
      </c>
      <c r="E924" s="66" t="s">
        <v>38</v>
      </c>
    </row>
    <row r="925" spans="2:7">
      <c r="B925" s="189">
        <v>2021</v>
      </c>
      <c r="C925" s="215">
        <f>+$C$904*E925</f>
        <v>10801.531440000001</v>
      </c>
      <c r="D925" s="215">
        <f>C925*$I$891</f>
        <v>1308.9750772549353</v>
      </c>
      <c r="E925" s="220">
        <v>0.56000000000000005</v>
      </c>
      <c r="G925" s="183"/>
    </row>
    <row r="926" spans="2:7">
      <c r="B926" s="189">
        <v>2022</v>
      </c>
      <c r="C926" s="215">
        <f>+$C$904*E926</f>
        <v>1350.1914300000001</v>
      </c>
      <c r="D926" s="215">
        <f>C926*$I$891</f>
        <v>163.62188465686691</v>
      </c>
      <c r="E926" s="220">
        <v>7.0000000000000007E-2</v>
      </c>
      <c r="G926" s="183"/>
    </row>
    <row r="927" spans="2:7">
      <c r="B927" s="189">
        <v>2023</v>
      </c>
      <c r="C927" s="215">
        <f>+$C$904*E927</f>
        <v>6365.1881700000004</v>
      </c>
      <c r="D927" s="215">
        <f>C927*$I$891</f>
        <v>771.36031338237262</v>
      </c>
      <c r="E927" s="220">
        <v>0.33</v>
      </c>
      <c r="G927" s="183"/>
    </row>
    <row r="928" spans="2:7" ht="13.5" thickBot="1">
      <c r="B928" s="190" t="s">
        <v>170</v>
      </c>
      <c r="C928" s="215">
        <f>+$C$904*E928</f>
        <v>771.53796</v>
      </c>
      <c r="D928" s="215">
        <f>C928*$I$891</f>
        <v>93.498219803923945</v>
      </c>
      <c r="E928" s="221">
        <v>0.04</v>
      </c>
      <c r="G928" s="183"/>
    </row>
    <row r="929" spans="2:11" ht="13.5" thickBot="1">
      <c r="B929" s="193" t="s">
        <v>40</v>
      </c>
      <c r="C929" s="195">
        <f>SUM(C925:C928)</f>
        <v>19288.449000000004</v>
      </c>
      <c r="D929" s="216">
        <f>SUM(D925:D928)</f>
        <v>2337.4554950980987</v>
      </c>
      <c r="E929" s="207">
        <f>SUM(E925:E928)</f>
        <v>1.0000000000000002</v>
      </c>
      <c r="G929" s="183"/>
    </row>
    <row r="930" spans="2:11">
      <c r="B930" s="59"/>
      <c r="C930" s="171"/>
      <c r="D930" s="171"/>
      <c r="E930" s="81"/>
      <c r="G930" s="183"/>
    </row>
    <row r="931" spans="2:11">
      <c r="H931" s="59" t="s">
        <v>181</v>
      </c>
      <c r="I931" s="92">
        <f>Model!AM250</f>
        <v>0.13528999999999999</v>
      </c>
      <c r="J931" s="92"/>
    </row>
    <row r="932" spans="2:11">
      <c r="H932" s="59" t="s">
        <v>182</v>
      </c>
      <c r="I932" s="92">
        <f>AVERAGE(Model!AJ249:AM249)</f>
        <v>0.14441491024596859</v>
      </c>
      <c r="J932" s="92"/>
    </row>
    <row r="933" spans="2:11">
      <c r="H933" s="59"/>
      <c r="I933" s="92"/>
    </row>
    <row r="934" spans="2:11">
      <c r="H934" s="184" t="s">
        <v>8</v>
      </c>
      <c r="I934" s="92"/>
    </row>
    <row r="935" spans="2:11" ht="25.5">
      <c r="B935" s="157" t="s">
        <v>183</v>
      </c>
      <c r="C935" s="157" t="s">
        <v>9</v>
      </c>
      <c r="D935" s="157" t="s">
        <v>19</v>
      </c>
      <c r="E935" s="158" t="s">
        <v>71</v>
      </c>
      <c r="F935" s="158" t="s">
        <v>7</v>
      </c>
      <c r="G935" s="59"/>
      <c r="H935" s="157" t="s">
        <v>183</v>
      </c>
      <c r="I935" s="157" t="s">
        <v>9</v>
      </c>
      <c r="J935" s="157" t="s">
        <v>19</v>
      </c>
      <c r="K935" s="158" t="s">
        <v>71</v>
      </c>
    </row>
    <row r="936" spans="2:11">
      <c r="B936" s="161" t="s">
        <v>63</v>
      </c>
      <c r="C936" s="152">
        <f>Model!AM124</f>
        <v>916.93500000000006</v>
      </c>
      <c r="D936" s="152">
        <f>C936*$I$931</f>
        <v>124.05213615</v>
      </c>
      <c r="E936" s="95"/>
      <c r="F936" s="95"/>
      <c r="G936" s="95"/>
      <c r="H936" s="161" t="s">
        <v>21</v>
      </c>
      <c r="I936" s="217">
        <v>916.93499999999995</v>
      </c>
      <c r="J936" s="152">
        <f>I936*$I$931</f>
        <v>124.05213614999998</v>
      </c>
      <c r="K936" s="95"/>
    </row>
    <row r="937" spans="2:11">
      <c r="B937" s="162" t="s">
        <v>64</v>
      </c>
      <c r="C937" s="151">
        <f>C936</f>
        <v>916.93500000000006</v>
      </c>
      <c r="D937" s="151">
        <f>D936</f>
        <v>124.05213615</v>
      </c>
      <c r="E937" s="163">
        <f>C937/C949</f>
        <v>0.18074807806031934</v>
      </c>
      <c r="F937" s="163">
        <f>D937/D949</f>
        <v>0.16932744298446309</v>
      </c>
      <c r="G937" s="95"/>
      <c r="H937" s="161" t="s">
        <v>22</v>
      </c>
      <c r="I937" s="217">
        <v>10029.834000000001</v>
      </c>
      <c r="J937" s="152">
        <f>I937*$I$931</f>
        <v>1356.9362418600001</v>
      </c>
      <c r="K937" s="95"/>
    </row>
    <row r="938" spans="2:11">
      <c r="B938" s="161"/>
      <c r="C938" s="152"/>
      <c r="D938" s="152"/>
      <c r="E938" s="95"/>
      <c r="F938" s="95"/>
      <c r="G938" s="95"/>
      <c r="H938" s="161" t="s">
        <v>24</v>
      </c>
      <c r="I938" s="217">
        <v>6128.4560000000001</v>
      </c>
      <c r="J938" s="152">
        <f>I938*$I$931</f>
        <v>829.11881224000001</v>
      </c>
      <c r="K938" s="95"/>
    </row>
    <row r="939" spans="2:11">
      <c r="B939" s="161" t="s">
        <v>14</v>
      </c>
      <c r="C939" s="152">
        <f>SUM(Model!AM125:AM145)</f>
        <v>8234</v>
      </c>
      <c r="D939" s="152">
        <f>C939*$I$931</f>
        <v>1113.97786</v>
      </c>
      <c r="E939" s="95"/>
      <c r="F939" s="95"/>
      <c r="G939" s="96"/>
      <c r="H939" s="162" t="s">
        <v>23</v>
      </c>
      <c r="I939" s="151">
        <f>SUM(I936:I938)</f>
        <v>17075.224999999999</v>
      </c>
      <c r="J939" s="151">
        <f>SUM(J936:J938)</f>
        <v>2310.1071902500003</v>
      </c>
      <c r="K939" s="163">
        <f>+I939/I945</f>
        <v>3.3659028188448645</v>
      </c>
    </row>
    <row r="940" spans="2:11">
      <c r="B940" s="162" t="s">
        <v>15</v>
      </c>
      <c r="C940" s="151">
        <f>C939</f>
        <v>8234</v>
      </c>
      <c r="D940" s="151">
        <f>D939</f>
        <v>1113.97786</v>
      </c>
      <c r="E940" s="163">
        <f>C940/C949</f>
        <v>1.6231027005716538</v>
      </c>
      <c r="F940" s="163">
        <f>D940/D949</f>
        <v>1.5205463479244103</v>
      </c>
      <c r="G940" s="96"/>
      <c r="H940" s="164" t="s">
        <v>25</v>
      </c>
      <c r="I940" s="149">
        <f>C945</f>
        <v>12002.245999999999</v>
      </c>
      <c r="J940" s="152">
        <f>I940*$I$931</f>
        <v>1623.7838613399997</v>
      </c>
      <c r="K940" s="165"/>
    </row>
    <row r="941" spans="2:11">
      <c r="B941" s="161" t="s">
        <v>137</v>
      </c>
      <c r="C941" s="152">
        <f>Model!AM146</f>
        <v>3712</v>
      </c>
      <c r="D941" s="152">
        <f>C941*$I$931</f>
        <v>502.19647999999995</v>
      </c>
      <c r="E941" s="95"/>
      <c r="F941" s="95"/>
      <c r="G941" s="96"/>
      <c r="H941" s="164"/>
      <c r="I941" s="154"/>
      <c r="J941" s="154"/>
      <c r="K941" s="165"/>
    </row>
    <row r="942" spans="2:11">
      <c r="B942" s="161" t="s">
        <v>138</v>
      </c>
      <c r="C942" s="152">
        <f>Model!AM147</f>
        <v>3187</v>
      </c>
      <c r="D942" s="152">
        <f>C942*$I$931</f>
        <v>431.16922999999997</v>
      </c>
      <c r="E942" s="95"/>
      <c r="F942" s="95"/>
      <c r="G942" s="96"/>
      <c r="H942" s="162" t="s">
        <v>26</v>
      </c>
      <c r="I942" s="151">
        <f>+I939-I940</f>
        <v>5072.9789999999994</v>
      </c>
      <c r="J942" s="151">
        <f>+J939-J940</f>
        <v>686.32332891000055</v>
      </c>
      <c r="K942" s="163">
        <f>+I942/I945</f>
        <v>0.9999958604376108</v>
      </c>
    </row>
    <row r="943" spans="2:11">
      <c r="B943" s="161" t="s">
        <v>139</v>
      </c>
      <c r="C943" s="152">
        <f>Model!AM148</f>
        <v>1026</v>
      </c>
      <c r="D943" s="152">
        <f>C943*$I$931</f>
        <v>138.80753999999999</v>
      </c>
      <c r="E943" s="95"/>
      <c r="F943" s="95"/>
      <c r="G943" s="96"/>
      <c r="H943" s="164" t="s">
        <v>27</v>
      </c>
      <c r="I943" s="73">
        <f>C947</f>
        <v>22975</v>
      </c>
      <c r="J943" s="152">
        <f>I943*$I$931</f>
        <v>3108.28775</v>
      </c>
      <c r="K943" s="165"/>
    </row>
    <row r="944" spans="2:11">
      <c r="B944" s="162" t="s">
        <v>23</v>
      </c>
      <c r="C944" s="151">
        <f>SUM(C941:C943)+C940+C937</f>
        <v>17075.935000000001</v>
      </c>
      <c r="D944" s="151">
        <f>SUM(D941:D943)+D940+D937</f>
        <v>2310.2032461499998</v>
      </c>
      <c r="E944" s="163">
        <f>+C944/C949</f>
        <v>3.3660427754780211</v>
      </c>
      <c r="F944" s="163">
        <f>+D944/D949</f>
        <v>3.1533581007583935</v>
      </c>
      <c r="H944" s="166" t="s">
        <v>28</v>
      </c>
      <c r="I944" s="77">
        <f>I939+I943</f>
        <v>40050.224999999999</v>
      </c>
      <c r="J944" s="155">
        <f>J939+J943</f>
        <v>5418.3949402500002</v>
      </c>
      <c r="K944" s="167"/>
    </row>
    <row r="945" spans="2:11">
      <c r="B945" s="164" t="s">
        <v>25</v>
      </c>
      <c r="C945" s="149">
        <f>Model!AM150</f>
        <v>12002.245999999999</v>
      </c>
      <c r="D945" s="152">
        <f>C945*$I$931</f>
        <v>1623.7838613399997</v>
      </c>
      <c r="E945" s="165"/>
      <c r="F945" s="165"/>
      <c r="H945" s="164" t="s">
        <v>29</v>
      </c>
      <c r="I945" s="211">
        <f>C949</f>
        <v>5073</v>
      </c>
      <c r="J945" s="6"/>
      <c r="K945" s="164"/>
    </row>
    <row r="946" spans="2:11">
      <c r="B946" s="162" t="s">
        <v>26</v>
      </c>
      <c r="C946" s="151">
        <f>+C944-C945</f>
        <v>5073.6890000000021</v>
      </c>
      <c r="D946" s="151">
        <f>+D944-D945</f>
        <v>686.41938481000011</v>
      </c>
      <c r="E946" s="163">
        <f>+C946/C949</f>
        <v>1.0001358170707673</v>
      </c>
      <c r="F946" s="163">
        <f>+D946/D949</f>
        <v>0.93694186051181139</v>
      </c>
    </row>
    <row r="947" spans="2:11">
      <c r="B947" s="164" t="s">
        <v>27</v>
      </c>
      <c r="C947" s="73">
        <f>Model!AM162</f>
        <v>22975</v>
      </c>
      <c r="D947" s="152">
        <f>C947*$I$931</f>
        <v>3108.28775</v>
      </c>
      <c r="E947" s="165"/>
      <c r="F947" s="165"/>
      <c r="H947" s="162" t="s">
        <v>32</v>
      </c>
      <c r="I947" s="218">
        <v>0.95</v>
      </c>
    </row>
    <row r="948" spans="2:11">
      <c r="B948" s="166" t="s">
        <v>28</v>
      </c>
      <c r="C948" s="77">
        <f>C944+C947</f>
        <v>40050.934999999998</v>
      </c>
      <c r="D948" s="77">
        <f>D944+D947</f>
        <v>5418.4909961499998</v>
      </c>
      <c r="E948" s="167"/>
      <c r="F948" s="167"/>
    </row>
    <row r="949" spans="2:11">
      <c r="B949" s="164" t="s">
        <v>29</v>
      </c>
      <c r="C949" s="211">
        <f>Model!AM95</f>
        <v>5073</v>
      </c>
      <c r="D949" s="211">
        <f>C949*I932</f>
        <v>732.61683967779868</v>
      </c>
      <c r="E949" s="164"/>
      <c r="F949" s="164"/>
    </row>
    <row r="951" spans="2:11">
      <c r="B951" s="97" t="s">
        <v>30</v>
      </c>
      <c r="C951" s="98">
        <f>C944-Model!AM153</f>
        <v>0</v>
      </c>
    </row>
    <row r="953" spans="2:11">
      <c r="B953" s="36" t="s">
        <v>31</v>
      </c>
      <c r="C953" s="212">
        <f>C946+Model!AM161</f>
        <v>25615.789000000001</v>
      </c>
    </row>
    <row r="954" spans="2:11">
      <c r="B954" s="36" t="s">
        <v>33</v>
      </c>
      <c r="C954" s="37">
        <f>C953/C949</f>
        <v>5.0494360339049873</v>
      </c>
    </row>
    <row r="956" spans="2:11" ht="13.5" thickBot="1"/>
    <row r="957" spans="2:11">
      <c r="B957" s="65" t="s">
        <v>184</v>
      </c>
      <c r="C957" s="66" t="s">
        <v>74</v>
      </c>
      <c r="D957" s="66" t="s">
        <v>75</v>
      </c>
    </row>
    <row r="958" spans="2:11">
      <c r="B958" s="67"/>
      <c r="C958" s="93"/>
      <c r="D958" s="93"/>
    </row>
    <row r="959" spans="2:11">
      <c r="B959" s="67" t="s">
        <v>35</v>
      </c>
      <c r="C959" s="213">
        <f>C945</f>
        <v>12002.245999999999</v>
      </c>
      <c r="D959" s="213">
        <f>C959*I931</f>
        <v>1623.7838613399997</v>
      </c>
    </row>
    <row r="960" spans="2:11" ht="13.5" thickBot="1">
      <c r="B960" s="210" t="s">
        <v>36</v>
      </c>
      <c r="C960" s="214">
        <f>SUM(C958:C959)</f>
        <v>12002.245999999999</v>
      </c>
      <c r="D960" s="214">
        <f>SUM(D958:D959)</f>
        <v>1623.7838613399997</v>
      </c>
    </row>
    <row r="962" spans="2:11">
      <c r="C962" s="32"/>
    </row>
    <row r="963" spans="2:11" ht="13.5" thickBot="1"/>
    <row r="964" spans="2:11">
      <c r="B964" s="170" t="s">
        <v>185</v>
      </c>
      <c r="C964" s="66" t="s">
        <v>74</v>
      </c>
      <c r="D964" s="66" t="s">
        <v>77</v>
      </c>
      <c r="E964" s="66" t="s">
        <v>38</v>
      </c>
    </row>
    <row r="965" spans="2:11">
      <c r="B965" s="189">
        <v>2021</v>
      </c>
      <c r="C965" s="215">
        <f>+$C$944*E965</f>
        <v>10587.0797</v>
      </c>
      <c r="D965" s="215">
        <f>C965*$I$931</f>
        <v>1432.3260126129999</v>
      </c>
      <c r="E965" s="220">
        <v>0.62</v>
      </c>
      <c r="G965" s="183"/>
    </row>
    <row r="966" spans="2:11">
      <c r="B966" s="189">
        <v>2022</v>
      </c>
      <c r="C966" s="215">
        <f>+$C$944*E966</f>
        <v>1195.3154500000003</v>
      </c>
      <c r="D966" s="215">
        <f>C966*$I$931</f>
        <v>161.71422723050003</v>
      </c>
      <c r="E966" s="220">
        <v>7.0000000000000007E-2</v>
      </c>
      <c r="G966" s="183"/>
    </row>
    <row r="967" spans="2:11">
      <c r="B967" s="189">
        <v>2023</v>
      </c>
      <c r="C967" s="215">
        <f>+$C$944*E967</f>
        <v>4610.5024500000009</v>
      </c>
      <c r="D967" s="215">
        <f>C967*$I$931</f>
        <v>623.7548764605001</v>
      </c>
      <c r="E967" s="220">
        <v>0.27</v>
      </c>
      <c r="G967" s="183"/>
    </row>
    <row r="968" spans="2:11" ht="13.5" thickBot="1">
      <c r="B968" s="190" t="s">
        <v>170</v>
      </c>
      <c r="C968" s="215">
        <f>+$C$944*E968</f>
        <v>683.03740000000005</v>
      </c>
      <c r="D968" s="215">
        <f>C968*$I$931</f>
        <v>92.408129846000008</v>
      </c>
      <c r="E968" s="221">
        <v>0.04</v>
      </c>
      <c r="G968" s="183"/>
    </row>
    <row r="969" spans="2:11" ht="13.5" thickBot="1">
      <c r="B969" s="193" t="s">
        <v>40</v>
      </c>
      <c r="C969" s="195">
        <f>SUM(C965:C968)</f>
        <v>17075.935000000001</v>
      </c>
      <c r="D969" s="216">
        <f>SUM(D965:D968)</f>
        <v>2310.2032461499998</v>
      </c>
      <c r="E969" s="207">
        <f>SUM(E965:E968)</f>
        <v>1</v>
      </c>
      <c r="G969" s="183"/>
    </row>
    <row r="970" spans="2:11">
      <c r="B970" s="59"/>
      <c r="C970" s="171"/>
      <c r="D970" s="171"/>
      <c r="E970" s="81"/>
      <c r="G970" s="183"/>
    </row>
    <row r="971" spans="2:11">
      <c r="H971" s="59" t="s">
        <v>186</v>
      </c>
      <c r="I971" s="92">
        <f>Model!AL250</f>
        <v>0.12955</v>
      </c>
    </row>
    <row r="972" spans="2:11">
      <c r="H972" s="59" t="s">
        <v>187</v>
      </c>
      <c r="I972" s="92">
        <f>AVERAGE(Model!AI249:AL249)</f>
        <v>0.153334486217997</v>
      </c>
    </row>
    <row r="973" spans="2:11">
      <c r="H973" s="59"/>
      <c r="I973" s="92"/>
    </row>
    <row r="974" spans="2:11">
      <c r="H974" s="184" t="s">
        <v>8</v>
      </c>
      <c r="I974" s="92"/>
    </row>
    <row r="975" spans="2:11" ht="25.5">
      <c r="B975" s="157" t="s">
        <v>188</v>
      </c>
      <c r="C975" s="157" t="s">
        <v>9</v>
      </c>
      <c r="D975" s="157" t="s">
        <v>19</v>
      </c>
      <c r="E975" s="158" t="s">
        <v>71</v>
      </c>
      <c r="F975" s="158" t="s">
        <v>7</v>
      </c>
      <c r="G975" s="59"/>
      <c r="H975" s="157" t="s">
        <v>188</v>
      </c>
      <c r="I975" s="157" t="s">
        <v>9</v>
      </c>
      <c r="J975" s="157" t="s">
        <v>19</v>
      </c>
      <c r="K975" s="158" t="s">
        <v>71</v>
      </c>
    </row>
    <row r="976" spans="2:11">
      <c r="B976" s="161" t="s">
        <v>63</v>
      </c>
      <c r="C976" s="152">
        <f>Model!AL124</f>
        <v>963.23400000000004</v>
      </c>
      <c r="D976" s="152">
        <f>C976*$I$971</f>
        <v>124.7869647</v>
      </c>
      <c r="E976" s="95"/>
      <c r="F976" s="95"/>
      <c r="G976" s="95"/>
      <c r="H976" s="161" t="s">
        <v>21</v>
      </c>
      <c r="I976" s="217">
        <v>963.23400000000004</v>
      </c>
      <c r="J976" s="152">
        <f>I976*$I$971</f>
        <v>124.7869647</v>
      </c>
      <c r="K976" s="95"/>
    </row>
    <row r="977" spans="2:11">
      <c r="B977" s="162" t="s">
        <v>64</v>
      </c>
      <c r="C977" s="151">
        <f>C976</f>
        <v>963.23400000000004</v>
      </c>
      <c r="D977" s="151">
        <f>D976</f>
        <v>124.7869647</v>
      </c>
      <c r="E977" s="163">
        <f>C977/C989</f>
        <v>0.2216369075011505</v>
      </c>
      <c r="F977" s="163">
        <f>D977/D989</f>
        <v>0.18725768791472278</v>
      </c>
      <c r="G977" s="95"/>
      <c r="H977" s="161" t="s">
        <v>22</v>
      </c>
      <c r="I977" s="217">
        <v>9407.3940000000002</v>
      </c>
      <c r="J977" s="152">
        <f>I977*$I$971</f>
        <v>1218.7278927</v>
      </c>
      <c r="K977" s="95"/>
    </row>
    <row r="978" spans="2:11">
      <c r="B978" s="161"/>
      <c r="C978" s="152"/>
      <c r="D978" s="152"/>
      <c r="E978" s="95"/>
      <c r="F978" s="95"/>
      <c r="G978" s="95"/>
      <c r="H978" s="161" t="s">
        <v>24</v>
      </c>
      <c r="I978" s="217">
        <v>6536.4489999999996</v>
      </c>
      <c r="J978" s="152">
        <f>I978*$I$971</f>
        <v>846.79696794999995</v>
      </c>
      <c r="K978" s="95"/>
    </row>
    <row r="979" spans="2:11">
      <c r="B979" s="161" t="s">
        <v>14</v>
      </c>
      <c r="C979" s="152">
        <f>SUM(Model!AL125:AL145)</f>
        <v>7732</v>
      </c>
      <c r="D979" s="152">
        <f>C979*$I$971</f>
        <v>1001.6806</v>
      </c>
      <c r="E979" s="95"/>
      <c r="F979" s="95"/>
      <c r="G979" s="96"/>
      <c r="H979" s="162" t="s">
        <v>23</v>
      </c>
      <c r="I979" s="151">
        <f>SUM(I976:I978)</f>
        <v>16907.077000000001</v>
      </c>
      <c r="J979" s="151">
        <f>SUM(J976:J978)</f>
        <v>2190.3118253499997</v>
      </c>
      <c r="K979" s="163">
        <f>+I979/I985</f>
        <v>3.8902616198803499</v>
      </c>
    </row>
    <row r="980" spans="2:11">
      <c r="B980" s="162" t="s">
        <v>15</v>
      </c>
      <c r="C980" s="151">
        <f>C979</f>
        <v>7732</v>
      </c>
      <c r="D980" s="151">
        <f>D979</f>
        <v>1001.6806</v>
      </c>
      <c r="E980" s="163">
        <f>C980/C989</f>
        <v>1.7791072250345146</v>
      </c>
      <c r="F980" s="163">
        <f>D980/D989</f>
        <v>1.5031409220985106</v>
      </c>
      <c r="G980" s="96"/>
      <c r="H980" s="164" t="s">
        <v>25</v>
      </c>
      <c r="I980" s="149">
        <f>C985</f>
        <v>11540.151</v>
      </c>
      <c r="J980" s="152">
        <f>I980*$I$971</f>
        <v>1495.0265620499999</v>
      </c>
      <c r="K980" s="165"/>
    </row>
    <row r="981" spans="2:11">
      <c r="B981" s="161" t="s">
        <v>137</v>
      </c>
      <c r="C981" s="152">
        <f>Model!AL146</f>
        <v>3997</v>
      </c>
      <c r="D981" s="152">
        <f>C981*$I$971</f>
        <v>517.81134999999995</v>
      </c>
      <c r="E981" s="95"/>
      <c r="F981" s="95"/>
      <c r="G981" s="96"/>
      <c r="H981" s="164"/>
      <c r="I981" s="154"/>
      <c r="J981" s="154"/>
      <c r="K981" s="165"/>
    </row>
    <row r="982" spans="2:11">
      <c r="B982" s="161" t="s">
        <v>138</v>
      </c>
      <c r="C982" s="152">
        <f>Model!AL147</f>
        <v>3198</v>
      </c>
      <c r="D982" s="152">
        <f>C982*$I$971</f>
        <v>414.30090000000001</v>
      </c>
      <c r="E982" s="95"/>
      <c r="F982" s="95"/>
      <c r="G982" s="96"/>
      <c r="H982" s="162" t="s">
        <v>26</v>
      </c>
      <c r="I982" s="151">
        <f>+I979-I980</f>
        <v>5366.9260000000013</v>
      </c>
      <c r="J982" s="151">
        <f>+J979-J980</f>
        <v>695.28526329999977</v>
      </c>
      <c r="K982" s="163">
        <f>+I982/I985</f>
        <v>1.2349116428900142</v>
      </c>
    </row>
    <row r="983" spans="2:11">
      <c r="B983" s="161" t="s">
        <v>139</v>
      </c>
      <c r="C983" s="152">
        <f>Model!AL148</f>
        <v>1016</v>
      </c>
      <c r="D983" s="152">
        <f>C983*$I$971</f>
        <v>131.62280000000001</v>
      </c>
      <c r="E983" s="95"/>
      <c r="F983" s="95"/>
      <c r="G983" s="96"/>
      <c r="H983" s="164" t="s">
        <v>27</v>
      </c>
      <c r="I983" s="73">
        <f>C987</f>
        <v>12905.429</v>
      </c>
      <c r="J983" s="152">
        <f>I983*$I$971</f>
        <v>1671.89832695</v>
      </c>
      <c r="K983" s="165"/>
    </row>
    <row r="984" spans="2:11">
      <c r="B984" s="162" t="s">
        <v>23</v>
      </c>
      <c r="C984" s="151">
        <f>SUM(C981:C983)+C980+C977</f>
        <v>16906.234</v>
      </c>
      <c r="D984" s="151">
        <f>SUM(D981:D983)+D980+D977</f>
        <v>2190.2026146999997</v>
      </c>
      <c r="E984" s="163">
        <f>+C984/C989</f>
        <v>3.8900676484123333</v>
      </c>
      <c r="F984" s="163">
        <f>+D984/D989</f>
        <v>3.2866596176892378</v>
      </c>
      <c r="H984" s="166" t="s">
        <v>28</v>
      </c>
      <c r="I984" s="77">
        <f>I979+I983</f>
        <v>29812.506000000001</v>
      </c>
      <c r="J984" s="155">
        <f>J979+J983</f>
        <v>3862.2101522999997</v>
      </c>
      <c r="K984" s="167"/>
    </row>
    <row r="985" spans="2:11">
      <c r="B985" s="164" t="s">
        <v>25</v>
      </c>
      <c r="C985" s="149">
        <f>Model!AL150</f>
        <v>11540.151</v>
      </c>
      <c r="D985" s="152">
        <f>C985*$I$971</f>
        <v>1495.0265620499999</v>
      </c>
      <c r="E985" s="165"/>
      <c r="F985" s="165"/>
      <c r="H985" s="164" t="s">
        <v>29</v>
      </c>
      <c r="I985" s="211">
        <f>C989</f>
        <v>4346</v>
      </c>
      <c r="J985" s="6"/>
      <c r="K985" s="164"/>
    </row>
    <row r="986" spans="2:11">
      <c r="B986" s="162" t="s">
        <v>26</v>
      </c>
      <c r="C986" s="151">
        <f>+C984-C985</f>
        <v>5366.0830000000005</v>
      </c>
      <c r="D986" s="151">
        <f>+D984-D985</f>
        <v>695.17605264999975</v>
      </c>
      <c r="E986" s="163">
        <f>+C986/C989</f>
        <v>1.2347176714219974</v>
      </c>
      <c r="F986" s="163">
        <f>+D986/D989</f>
        <v>1.0431943803255481</v>
      </c>
    </row>
    <row r="987" spans="2:11">
      <c r="B987" s="164" t="s">
        <v>27</v>
      </c>
      <c r="C987" s="73">
        <f>Model!AL162</f>
        <v>12905.429</v>
      </c>
      <c r="D987" s="152">
        <f>C987*$I$971</f>
        <v>1671.89832695</v>
      </c>
      <c r="E987" s="165"/>
      <c r="F987" s="165"/>
      <c r="H987" s="162" t="s">
        <v>32</v>
      </c>
      <c r="I987" s="218">
        <v>1.24</v>
      </c>
    </row>
    <row r="988" spans="2:11">
      <c r="B988" s="166" t="s">
        <v>28</v>
      </c>
      <c r="C988" s="77">
        <f>C984+C987</f>
        <v>29811.663</v>
      </c>
      <c r="D988" s="77">
        <f>D984+D987</f>
        <v>3862.1009416499996</v>
      </c>
      <c r="E988" s="167"/>
      <c r="F988" s="167"/>
    </row>
    <row r="989" spans="2:11">
      <c r="B989" s="164" t="s">
        <v>29</v>
      </c>
      <c r="C989" s="211">
        <f>Model!AL95</f>
        <v>4346</v>
      </c>
      <c r="D989" s="211">
        <f>C989*I972</f>
        <v>666.39167710341496</v>
      </c>
      <c r="E989" s="164"/>
      <c r="F989" s="164"/>
    </row>
    <row r="991" spans="2:11">
      <c r="B991" s="97" t="s">
        <v>30</v>
      </c>
      <c r="C991" s="98">
        <f>C984-Model!AL153</f>
        <v>0</v>
      </c>
    </row>
    <row r="993" spans="2:7">
      <c r="B993" s="36" t="s">
        <v>31</v>
      </c>
      <c r="C993" s="212">
        <f>C986+Model!AL161</f>
        <v>22124.182999999997</v>
      </c>
      <c r="D993" s="176"/>
    </row>
    <row r="994" spans="2:7">
      <c r="B994" s="36" t="s">
        <v>33</v>
      </c>
      <c r="C994" s="37">
        <f>C993/C989</f>
        <v>5.0907001840773116</v>
      </c>
      <c r="D994" s="177"/>
    </row>
    <row r="996" spans="2:7" ht="13.5" thickBot="1"/>
    <row r="997" spans="2:7">
      <c r="B997" s="65" t="s">
        <v>189</v>
      </c>
      <c r="C997" s="66" t="s">
        <v>74</v>
      </c>
      <c r="D997" s="66" t="s">
        <v>75</v>
      </c>
    </row>
    <row r="998" spans="2:7">
      <c r="B998" s="67"/>
      <c r="C998" s="93"/>
      <c r="D998" s="93"/>
    </row>
    <row r="999" spans="2:7">
      <c r="B999" s="67" t="s">
        <v>35</v>
      </c>
      <c r="C999" s="213">
        <f>C985</f>
        <v>11540.151</v>
      </c>
      <c r="D999" s="213">
        <f>C999*I971</f>
        <v>1495.0265620499999</v>
      </c>
    </row>
    <row r="1000" spans="2:7" ht="13.5" thickBot="1">
      <c r="B1000" s="210" t="s">
        <v>36</v>
      </c>
      <c r="C1000" s="214">
        <f>SUM(C998:C999)</f>
        <v>11540.151</v>
      </c>
      <c r="D1000" s="214">
        <f>SUM(D998:D999)</f>
        <v>1495.0265620499999</v>
      </c>
    </row>
    <row r="1002" spans="2:7">
      <c r="C1002" s="32"/>
    </row>
    <row r="1003" spans="2:7" ht="13.5" thickBot="1"/>
    <row r="1004" spans="2:7">
      <c r="B1004" s="170" t="s">
        <v>190</v>
      </c>
      <c r="C1004" s="66" t="s">
        <v>74</v>
      </c>
      <c r="D1004" s="66" t="s">
        <v>77</v>
      </c>
      <c r="E1004" s="66" t="s">
        <v>38</v>
      </c>
    </row>
    <row r="1005" spans="2:7">
      <c r="B1005" s="189">
        <v>2020</v>
      </c>
      <c r="C1005" s="215">
        <f>+$C$984*E1005</f>
        <v>2366.8727600000002</v>
      </c>
      <c r="D1005" s="215">
        <f>C1005*$I$971</f>
        <v>306.62836605800004</v>
      </c>
      <c r="E1005" s="220">
        <v>0.14000000000000001</v>
      </c>
      <c r="G1005" s="183"/>
    </row>
    <row r="1006" spans="2:7">
      <c r="B1006" s="189">
        <v>2021</v>
      </c>
      <c r="C1006" s="215">
        <f>+$C$984*E1006</f>
        <v>7945.9299799999999</v>
      </c>
      <c r="D1006" s="215">
        <f>C1006*$I$971</f>
        <v>1029.395228909</v>
      </c>
      <c r="E1006" s="220">
        <v>0.47</v>
      </c>
      <c r="G1006" s="183"/>
    </row>
    <row r="1007" spans="2:7">
      <c r="B1007" s="189">
        <v>2022</v>
      </c>
      <c r="C1007" s="215">
        <f>+$C$984*E1007</f>
        <v>1014.37404</v>
      </c>
      <c r="D1007" s="215">
        <f>C1007*$I$971</f>
        <v>131.412156882</v>
      </c>
      <c r="E1007" s="220">
        <v>0.06</v>
      </c>
      <c r="G1007" s="183"/>
    </row>
    <row r="1008" spans="2:7">
      <c r="B1008" s="189">
        <v>2023</v>
      </c>
      <c r="C1008" s="215">
        <f>+$C$984*E1008</f>
        <v>4902.8078599999999</v>
      </c>
      <c r="D1008" s="215">
        <f>C1008*$I$971</f>
        <v>635.15875826299998</v>
      </c>
      <c r="E1008" s="220">
        <v>0.28999999999999998</v>
      </c>
      <c r="G1008" s="183"/>
    </row>
    <row r="1009" spans="2:11" ht="13.5" thickBot="1">
      <c r="B1009" s="190" t="s">
        <v>170</v>
      </c>
      <c r="C1009" s="215">
        <f>+$C$984*E1009</f>
        <v>676.24936000000002</v>
      </c>
      <c r="D1009" s="215">
        <f>C1009*$I$971</f>
        <v>87.608104588000003</v>
      </c>
      <c r="E1009" s="221">
        <v>0.04</v>
      </c>
      <c r="G1009" s="183"/>
    </row>
    <row r="1010" spans="2:11" ht="13.5" thickBot="1">
      <c r="B1010" s="193" t="s">
        <v>40</v>
      </c>
      <c r="C1010" s="195">
        <f>SUM(C1005:C1009)</f>
        <v>16906.234</v>
      </c>
      <c r="D1010" s="216">
        <f>SUM(D1005:D1009)</f>
        <v>2190.2026147000001</v>
      </c>
      <c r="E1010" s="207">
        <f>SUM(E1005:E1009)</f>
        <v>1</v>
      </c>
      <c r="G1010" s="183"/>
    </row>
    <row r="1011" spans="2:11">
      <c r="H1011" s="59" t="s">
        <v>191</v>
      </c>
      <c r="I1011" s="92">
        <f>Model!AK250</f>
        <v>0.145924</v>
      </c>
    </row>
    <row r="1012" spans="2:11">
      <c r="H1012" s="59" t="s">
        <v>192</v>
      </c>
      <c r="I1012" s="92">
        <f>AVERAGE(Model!AH249:AK249)</f>
        <v>0.16276948621799703</v>
      </c>
    </row>
    <row r="1013" spans="2:11">
      <c r="H1013" s="59"/>
      <c r="I1013" s="92"/>
    </row>
    <row r="1014" spans="2:11">
      <c r="H1014" s="184" t="s">
        <v>8</v>
      </c>
      <c r="I1014" s="92"/>
    </row>
    <row r="1015" spans="2:11" ht="25.5">
      <c r="B1015" s="157" t="s">
        <v>193</v>
      </c>
      <c r="C1015" s="157" t="s">
        <v>9</v>
      </c>
      <c r="D1015" s="157" t="s">
        <v>19</v>
      </c>
      <c r="E1015" s="158" t="s">
        <v>71</v>
      </c>
      <c r="F1015" s="158" t="s">
        <v>7</v>
      </c>
      <c r="G1015" s="59"/>
      <c r="H1015" s="157" t="s">
        <v>193</v>
      </c>
      <c r="I1015" s="157" t="s">
        <v>9</v>
      </c>
      <c r="J1015" s="157" t="s">
        <v>19</v>
      </c>
      <c r="K1015" s="158" t="s">
        <v>71</v>
      </c>
    </row>
    <row r="1016" spans="2:11">
      <c r="B1016" s="161" t="s">
        <v>63</v>
      </c>
      <c r="C1016" s="152">
        <f>Model!AK124</f>
        <v>867.58500000000004</v>
      </c>
      <c r="D1016" s="152">
        <f>C1016*$I$1011</f>
        <v>126.60147354</v>
      </c>
      <c r="E1016" s="95"/>
      <c r="F1016" s="95"/>
      <c r="G1016" s="95"/>
      <c r="H1016" s="161" t="s">
        <v>21</v>
      </c>
      <c r="I1016" s="217">
        <v>867.58500000000004</v>
      </c>
      <c r="J1016" s="152">
        <f>I1016*$I$1011</f>
        <v>126.60147354</v>
      </c>
      <c r="K1016" s="95"/>
    </row>
    <row r="1017" spans="2:11">
      <c r="B1017" s="162" t="s">
        <v>64</v>
      </c>
      <c r="C1017" s="151">
        <f>C1016</f>
        <v>867.58500000000004</v>
      </c>
      <c r="D1017" s="151">
        <f>D1016</f>
        <v>126.60147354</v>
      </c>
      <c r="E1017" s="163">
        <f>C1017/C1029</f>
        <v>0.24612340425531917</v>
      </c>
      <c r="F1017" s="163">
        <f>D1017/D1029</f>
        <v>0.220651379303685</v>
      </c>
      <c r="G1017" s="95"/>
      <c r="H1017" s="161" t="s">
        <v>22</v>
      </c>
      <c r="I1017" s="217">
        <v>5602.8019999999997</v>
      </c>
      <c r="J1017" s="152">
        <f>I1017*$I$1011</f>
        <v>817.58327904799989</v>
      </c>
      <c r="K1017" s="95"/>
    </row>
    <row r="1018" spans="2:11">
      <c r="B1018" s="161"/>
      <c r="C1018" s="152"/>
      <c r="D1018" s="152"/>
      <c r="E1018" s="95"/>
      <c r="F1018" s="95"/>
      <c r="G1018" s="95"/>
      <c r="H1018" s="161" t="s">
        <v>24</v>
      </c>
      <c r="I1018" s="217">
        <v>9423.1360000000004</v>
      </c>
      <c r="J1018" s="152">
        <f>I1018*$I$1011</f>
        <v>1375.0616976640001</v>
      </c>
      <c r="K1018" s="95"/>
    </row>
    <row r="1019" spans="2:11">
      <c r="B1019" s="161" t="s">
        <v>14</v>
      </c>
      <c r="C1019" s="152">
        <f>SUM(Model!AK125:AK145)</f>
        <v>7773</v>
      </c>
      <c r="D1019" s="152">
        <f>C1019*$I$1011</f>
        <v>1134.2672520000001</v>
      </c>
      <c r="E1019" s="95"/>
      <c r="F1019" s="95"/>
      <c r="G1019" s="96"/>
      <c r="H1019" s="162" t="s">
        <v>23</v>
      </c>
      <c r="I1019" s="151">
        <f>SUM(I1016:I1018)</f>
        <v>15893.523000000001</v>
      </c>
      <c r="J1019" s="151">
        <f>SUM(J1016:J1018)</f>
        <v>2319.2464502520002</v>
      </c>
      <c r="K1019" s="163">
        <f>+I1019/I1025</f>
        <v>4.50880085106383</v>
      </c>
    </row>
    <row r="1020" spans="2:11">
      <c r="B1020" s="162" t="s">
        <v>15</v>
      </c>
      <c r="C1020" s="151">
        <f>C1019</f>
        <v>7773</v>
      </c>
      <c r="D1020" s="151">
        <f>D1019</f>
        <v>1134.2672520000001</v>
      </c>
      <c r="E1020" s="163">
        <f>C1020/C1029</f>
        <v>2.2051063829787232</v>
      </c>
      <c r="F1020" s="163">
        <f>D1020/D1029</f>
        <v>1.976893527812887</v>
      </c>
      <c r="G1020" s="96"/>
      <c r="H1020" s="164" t="s">
        <v>25</v>
      </c>
      <c r="I1020" s="149">
        <f>C1025</f>
        <v>9253.1579999999994</v>
      </c>
      <c r="J1020" s="152">
        <f>I1020*$I$1011</f>
        <v>1350.2578279919999</v>
      </c>
      <c r="K1020" s="165"/>
    </row>
    <row r="1021" spans="2:11">
      <c r="B1021" s="161" t="s">
        <v>137</v>
      </c>
      <c r="C1021" s="152">
        <f>Model!AK146</f>
        <v>3459</v>
      </c>
      <c r="D1021" s="152">
        <f>C1021*$I$1011</f>
        <v>504.75111599999997</v>
      </c>
      <c r="E1021" s="95"/>
      <c r="F1021" s="95"/>
      <c r="G1021" s="96"/>
      <c r="H1021" s="164"/>
      <c r="I1021" s="154"/>
      <c r="J1021" s="154"/>
      <c r="K1021" s="165"/>
    </row>
    <row r="1022" spans="2:11">
      <c r="B1022" s="161" t="s">
        <v>138</v>
      </c>
      <c r="C1022" s="152">
        <f>Model!AK147</f>
        <v>2778</v>
      </c>
      <c r="D1022" s="152">
        <f>C1022*$I$1011</f>
        <v>405.37687199999999</v>
      </c>
      <c r="E1022" s="95"/>
      <c r="F1022" s="95"/>
      <c r="G1022" s="96"/>
      <c r="H1022" s="162" t="s">
        <v>26</v>
      </c>
      <c r="I1022" s="151">
        <f>+I1019-I1020</f>
        <v>6640.3650000000016</v>
      </c>
      <c r="J1022" s="151">
        <f>+J1019-J1020</f>
        <v>968.98862226000028</v>
      </c>
      <c r="K1022" s="163">
        <f>+I1022/I1025</f>
        <v>1.8837914893617025</v>
      </c>
    </row>
    <row r="1023" spans="2:11">
      <c r="B1023" s="161" t="s">
        <v>139</v>
      </c>
      <c r="C1023" s="152">
        <f>Model!AK148</f>
        <v>1015</v>
      </c>
      <c r="D1023" s="152">
        <f>C1023*$I$1011</f>
        <v>148.11286000000001</v>
      </c>
      <c r="E1023" s="95"/>
      <c r="F1023" s="95"/>
      <c r="G1023" s="96"/>
      <c r="H1023" s="164" t="s">
        <v>27</v>
      </c>
      <c r="I1023" s="73">
        <f>C1027</f>
        <v>10880.947</v>
      </c>
      <c r="J1023" s="152">
        <f>I1023*$I$1011</f>
        <v>1587.791310028</v>
      </c>
      <c r="K1023" s="165"/>
    </row>
    <row r="1024" spans="2:11">
      <c r="B1024" s="162" t="s">
        <v>23</v>
      </c>
      <c r="C1024" s="151">
        <f>SUM(C1021:C1023)+C1020+C1017</f>
        <v>15892.584999999999</v>
      </c>
      <c r="D1024" s="151">
        <f>SUM(D1021:D1023)+D1020+D1017</f>
        <v>2319.1095735399999</v>
      </c>
      <c r="E1024" s="163">
        <f>+C1024/C1029</f>
        <v>4.5085347517730492</v>
      </c>
      <c r="F1024" s="163">
        <f>+D1024/D1029</f>
        <v>4.0419334139606544</v>
      </c>
      <c r="H1024" s="166" t="s">
        <v>28</v>
      </c>
      <c r="I1024" s="77">
        <f>I1019+I1023</f>
        <v>26774.47</v>
      </c>
      <c r="J1024" s="155">
        <f>J1019+J1023</f>
        <v>3907.0377602799999</v>
      </c>
      <c r="K1024" s="167"/>
    </row>
    <row r="1025" spans="2:11">
      <c r="B1025" s="164" t="s">
        <v>25</v>
      </c>
      <c r="C1025" s="149">
        <f>Model!AK150</f>
        <v>9253.1579999999994</v>
      </c>
      <c r="D1025" s="152">
        <f>C1025*$I$1011</f>
        <v>1350.2578279919999</v>
      </c>
      <c r="E1025" s="165"/>
      <c r="F1025" s="165"/>
      <c r="H1025" s="164" t="s">
        <v>29</v>
      </c>
      <c r="I1025" s="211">
        <f>C1029</f>
        <v>3525</v>
      </c>
      <c r="J1025" s="6"/>
      <c r="K1025" s="164"/>
    </row>
    <row r="1026" spans="2:11">
      <c r="B1026" s="162" t="s">
        <v>26</v>
      </c>
      <c r="C1026" s="151">
        <f>+C1024-C1025</f>
        <v>6639.4269999999997</v>
      </c>
      <c r="D1026" s="151">
        <f>+D1024-D1025</f>
        <v>968.85174554800005</v>
      </c>
      <c r="E1026" s="163">
        <f>+C1026/C1029</f>
        <v>1.8835253900709219</v>
      </c>
      <c r="F1026" s="163">
        <f>+D1026/D1029</f>
        <v>1.6885938845601611</v>
      </c>
    </row>
    <row r="1027" spans="2:11">
      <c r="B1027" s="164" t="s">
        <v>27</v>
      </c>
      <c r="C1027" s="73">
        <f>Model!AK162</f>
        <v>10880.947</v>
      </c>
      <c r="D1027" s="152">
        <f>C1027*$I$1011</f>
        <v>1587.791310028</v>
      </c>
      <c r="E1027" s="165"/>
      <c r="F1027" s="165"/>
      <c r="H1027" s="162" t="s">
        <v>32</v>
      </c>
      <c r="I1027" s="218">
        <v>1.88</v>
      </c>
    </row>
    <row r="1028" spans="2:11">
      <c r="B1028" s="166" t="s">
        <v>28</v>
      </c>
      <c r="C1028" s="77">
        <f>C1024+C1027</f>
        <v>26773.531999999999</v>
      </c>
      <c r="D1028" s="77">
        <f>D1024+D1027</f>
        <v>3906.9008835679997</v>
      </c>
      <c r="E1028" s="167"/>
      <c r="F1028" s="167"/>
    </row>
    <row r="1029" spans="2:11">
      <c r="B1029" s="164" t="s">
        <v>29</v>
      </c>
      <c r="C1029" s="211">
        <f>Model!AK95</f>
        <v>3525</v>
      </c>
      <c r="D1029" s="211">
        <f>C1029*I1012</f>
        <v>573.76243891843956</v>
      </c>
      <c r="E1029" s="164"/>
      <c r="F1029" s="164"/>
    </row>
    <row r="1031" spans="2:11">
      <c r="B1031" s="97" t="s">
        <v>30</v>
      </c>
      <c r="C1031" s="98">
        <f>C1024-Model!AK153</f>
        <v>0</v>
      </c>
    </row>
    <row r="1033" spans="2:11">
      <c r="B1033" s="36" t="s">
        <v>31</v>
      </c>
      <c r="C1033" s="212">
        <f>C1026+Model!AK161</f>
        <v>20086.418299999998</v>
      </c>
      <c r="D1033" s="176"/>
    </row>
    <row r="1034" spans="2:11">
      <c r="B1034" s="36" t="s">
        <v>33</v>
      </c>
      <c r="C1034" s="37">
        <f>C1033/C1029</f>
        <v>5.6982746950354599</v>
      </c>
      <c r="D1034" s="177"/>
    </row>
    <row r="1036" spans="2:11" ht="13.5" thickBot="1"/>
    <row r="1037" spans="2:11">
      <c r="B1037" s="65" t="s">
        <v>194</v>
      </c>
      <c r="C1037" s="66" t="s">
        <v>74</v>
      </c>
      <c r="D1037" s="66" t="s">
        <v>75</v>
      </c>
    </row>
    <row r="1038" spans="2:11">
      <c r="B1038" s="67"/>
      <c r="C1038" s="93"/>
      <c r="D1038" s="93"/>
    </row>
    <row r="1039" spans="2:11">
      <c r="B1039" s="67" t="s">
        <v>35</v>
      </c>
      <c r="C1039" s="213">
        <f>C1025</f>
        <v>9253.1579999999994</v>
      </c>
      <c r="D1039" s="213">
        <f>C1039*I1011</f>
        <v>1350.2578279919999</v>
      </c>
    </row>
    <row r="1040" spans="2:11" ht="13.5" thickBot="1">
      <c r="B1040" s="210" t="s">
        <v>36</v>
      </c>
      <c r="C1040" s="214">
        <f>SUM(C1038:C1039)</f>
        <v>9253.1579999999994</v>
      </c>
      <c r="D1040" s="214">
        <f>SUM(D1038:D1039)</f>
        <v>1350.2578279919999</v>
      </c>
    </row>
    <row r="1042" spans="2:11">
      <c r="C1042" s="32"/>
    </row>
    <row r="1043" spans="2:11" ht="13.5" thickBot="1"/>
    <row r="1044" spans="2:11">
      <c r="B1044" s="170" t="s">
        <v>195</v>
      </c>
      <c r="C1044" s="66" t="s">
        <v>74</v>
      </c>
      <c r="D1044" s="66" t="s">
        <v>77</v>
      </c>
      <c r="E1044" s="66" t="s">
        <v>38</v>
      </c>
    </row>
    <row r="1045" spans="2:11">
      <c r="B1045" s="189">
        <v>2020</v>
      </c>
      <c r="C1045" s="215">
        <f>+$C$1024*E1045</f>
        <v>2860.6652999999997</v>
      </c>
      <c r="D1045" s="215">
        <f>C1045*$I$1011</f>
        <v>417.43972323719993</v>
      </c>
      <c r="E1045" s="208">
        <v>0.18</v>
      </c>
      <c r="G1045" s="183"/>
    </row>
    <row r="1046" spans="2:11">
      <c r="B1046" s="189">
        <v>2021</v>
      </c>
      <c r="C1046" s="215">
        <f>+$C$1024*E1046</f>
        <v>7310.5891000000001</v>
      </c>
      <c r="D1046" s="215">
        <f>C1046*$I$1011</f>
        <v>1066.7904038284</v>
      </c>
      <c r="E1046" s="208">
        <v>0.46</v>
      </c>
      <c r="G1046" s="183"/>
    </row>
    <row r="1047" spans="2:11">
      <c r="B1047" s="189">
        <v>2022</v>
      </c>
      <c r="C1047" s="215">
        <f>+$C$1024*E1047</f>
        <v>953.55509999999992</v>
      </c>
      <c r="D1047" s="215">
        <f>C1047*$I$1011</f>
        <v>139.14657441239999</v>
      </c>
      <c r="E1047" s="208">
        <v>0.06</v>
      </c>
      <c r="G1047" s="183"/>
    </row>
    <row r="1048" spans="2:11">
      <c r="B1048" s="189">
        <v>2023</v>
      </c>
      <c r="C1048" s="215">
        <f>+$C$1024*E1048</f>
        <v>4132.0721000000003</v>
      </c>
      <c r="D1048" s="215">
        <f>C1048*$I$1011</f>
        <v>602.96848912040002</v>
      </c>
      <c r="E1048" s="208">
        <v>0.26</v>
      </c>
      <c r="G1048" s="183"/>
    </row>
    <row r="1049" spans="2:11" ht="13.5" thickBot="1">
      <c r="B1049" s="190" t="s">
        <v>170</v>
      </c>
      <c r="C1049" s="215">
        <f>+$C$1024*E1049</f>
        <v>635.70339999999999</v>
      </c>
      <c r="D1049" s="215">
        <f>C1049*$I$1011</f>
        <v>92.76438294159999</v>
      </c>
      <c r="E1049" s="209">
        <v>0.04</v>
      </c>
      <c r="G1049" s="183"/>
    </row>
    <row r="1050" spans="2:11" ht="13.5" thickBot="1">
      <c r="B1050" s="193" t="s">
        <v>40</v>
      </c>
      <c r="C1050" s="195">
        <f>SUM(C1045:C1049)</f>
        <v>15892.585000000001</v>
      </c>
      <c r="D1050" s="216">
        <f>SUM(D1045:D1049)</f>
        <v>2319.1095735399999</v>
      </c>
      <c r="E1050" s="207">
        <f>SUM(E1045:E1049)</f>
        <v>1</v>
      </c>
      <c r="G1050" s="183"/>
    </row>
    <row r="1052" spans="2:11">
      <c r="H1052" s="59" t="s">
        <v>196</v>
      </c>
      <c r="I1052" s="92">
        <f>Model!AJ250</f>
        <v>0.15115558444306723</v>
      </c>
    </row>
    <row r="1053" spans="2:11">
      <c r="H1053" s="59" t="s">
        <v>197</v>
      </c>
      <c r="I1053" s="92">
        <f>AVERAGE(Model!AG249:AJ249)</f>
        <v>0.16893123621799699</v>
      </c>
    </row>
    <row r="1054" spans="2:11">
      <c r="H1054" s="59"/>
      <c r="I1054" s="92"/>
    </row>
    <row r="1055" spans="2:11">
      <c r="H1055" s="184" t="s">
        <v>8</v>
      </c>
      <c r="I1055" s="92"/>
    </row>
    <row r="1056" spans="2:11" ht="25.5">
      <c r="B1056" s="157" t="s">
        <v>198</v>
      </c>
      <c r="C1056" s="157" t="s">
        <v>9</v>
      </c>
      <c r="D1056" s="157" t="s">
        <v>19</v>
      </c>
      <c r="E1056" s="158" t="s">
        <v>71</v>
      </c>
      <c r="F1056" s="158" t="s">
        <v>7</v>
      </c>
      <c r="G1056" s="59"/>
      <c r="H1056" s="157" t="s">
        <v>198</v>
      </c>
      <c r="I1056" s="157" t="s">
        <v>9</v>
      </c>
      <c r="J1056" s="157" t="s">
        <v>19</v>
      </c>
      <c r="K1056" s="158" t="s">
        <v>71</v>
      </c>
    </row>
    <row r="1057" spans="2:11">
      <c r="B1057" s="161" t="s">
        <v>63</v>
      </c>
      <c r="C1057" s="152">
        <f>Model!AJ124</f>
        <v>909.61500000000001</v>
      </c>
      <c r="D1057" s="152">
        <f>C1057*$I$1052</f>
        <v>137.49338694318061</v>
      </c>
      <c r="E1057" s="95"/>
      <c r="F1057" s="95"/>
      <c r="G1057" s="95"/>
      <c r="H1057" s="161" t="s">
        <v>21</v>
      </c>
      <c r="I1057" s="217">
        <v>909.61500000000001</v>
      </c>
      <c r="J1057" s="152">
        <f>I1057*$I$1052</f>
        <v>137.49338694318061</v>
      </c>
      <c r="K1057" s="95"/>
    </row>
    <row r="1058" spans="2:11">
      <c r="B1058" s="162" t="s">
        <v>64</v>
      </c>
      <c r="C1058" s="151">
        <f>C1057</f>
        <v>909.61500000000001</v>
      </c>
      <c r="D1058" s="151">
        <f>D1057</f>
        <v>137.49338694318061</v>
      </c>
      <c r="E1058" s="163">
        <f>C1058/C1070</f>
        <v>0.25673581710414906</v>
      </c>
      <c r="F1058" s="163">
        <f>D1058/D1070</f>
        <v>0.22972099980235494</v>
      </c>
      <c r="G1058" s="95"/>
      <c r="H1058" s="161" t="s">
        <v>22</v>
      </c>
      <c r="I1058" s="217">
        <v>6017.6319999999996</v>
      </c>
      <c r="J1058" s="152">
        <f>I1058*$I$1052</f>
        <v>909.5986819233035</v>
      </c>
      <c r="K1058" s="95"/>
    </row>
    <row r="1059" spans="2:11">
      <c r="B1059" s="161"/>
      <c r="C1059" s="152"/>
      <c r="D1059" s="152"/>
      <c r="E1059" s="95"/>
      <c r="F1059" s="95"/>
      <c r="G1059" s="95"/>
      <c r="H1059" s="161" t="s">
        <v>24</v>
      </c>
      <c r="I1059" s="217">
        <v>9167.8369999999995</v>
      </c>
      <c r="J1059" s="152">
        <f>I1059*$I$1052</f>
        <v>1385.7697598137761</v>
      </c>
      <c r="K1059" s="95"/>
    </row>
    <row r="1060" spans="2:11">
      <c r="B1060" s="161" t="s">
        <v>14</v>
      </c>
      <c r="C1060" s="152">
        <f>SUM(Model!AJ125:AJ145)</f>
        <v>8259</v>
      </c>
      <c r="D1060" s="152">
        <f>C1060*$I$1052</f>
        <v>1248.3939719152922</v>
      </c>
      <c r="E1060" s="95"/>
      <c r="F1060" s="95"/>
      <c r="G1060" s="96"/>
      <c r="H1060" s="162" t="s">
        <v>23</v>
      </c>
      <c r="I1060" s="151">
        <f>SUM(I1057:I1059)</f>
        <v>16095.083999999999</v>
      </c>
      <c r="J1060" s="151">
        <f>SUM(J1057:J1059)</f>
        <v>2432.8618286802603</v>
      </c>
      <c r="K1060" s="163">
        <f>+I1060/I1066</f>
        <v>4.5427840812870448</v>
      </c>
    </row>
    <row r="1061" spans="2:11">
      <c r="B1061" s="162" t="s">
        <v>15</v>
      </c>
      <c r="C1061" s="151">
        <f>C1060</f>
        <v>8259</v>
      </c>
      <c r="D1061" s="151">
        <f>D1060</f>
        <v>1248.3939719152922</v>
      </c>
      <c r="E1061" s="163">
        <f>C1061/C1070</f>
        <v>2.3310753598645215</v>
      </c>
      <c r="F1061" s="163">
        <f>D1061/D1070</f>
        <v>2.0857898532540133</v>
      </c>
      <c r="G1061" s="96"/>
      <c r="H1061" s="164" t="s">
        <v>25</v>
      </c>
      <c r="I1061" s="149">
        <f>C1066</f>
        <v>7826.6319999999996</v>
      </c>
      <c r="J1061" s="152">
        <f>I1061*$I$1052</f>
        <v>1183.0391341808122</v>
      </c>
      <c r="K1061" s="165"/>
    </row>
    <row r="1062" spans="2:11">
      <c r="B1062" s="161" t="s">
        <v>137</v>
      </c>
      <c r="C1062" s="152">
        <f>Model!AJ146</f>
        <v>3334</v>
      </c>
      <c r="D1062" s="152">
        <f>C1062*$I$1052</f>
        <v>503.95271853318616</v>
      </c>
      <c r="E1062" s="95"/>
      <c r="F1062" s="95"/>
      <c r="G1062" s="96"/>
      <c r="H1062" s="164"/>
      <c r="I1062" s="154"/>
      <c r="J1062" s="154"/>
      <c r="K1062" s="165"/>
    </row>
    <row r="1063" spans="2:11">
      <c r="B1063" s="161" t="s">
        <v>138</v>
      </c>
      <c r="C1063" s="152">
        <f>Model!AJ147</f>
        <v>2576</v>
      </c>
      <c r="D1063" s="152">
        <f>C1063*$I$1052</f>
        <v>389.37678552534118</v>
      </c>
      <c r="E1063" s="95"/>
      <c r="F1063" s="95"/>
      <c r="G1063" s="96"/>
      <c r="H1063" s="162" t="s">
        <v>26</v>
      </c>
      <c r="I1063" s="151">
        <f>+I1060-I1061</f>
        <v>8268.4519999999993</v>
      </c>
      <c r="J1063" s="151">
        <f>+J1060-J1061</f>
        <v>1249.8226944994481</v>
      </c>
      <c r="K1063" s="163">
        <f>+I1063/I1066</f>
        <v>2.3337431555179227</v>
      </c>
    </row>
    <row r="1064" spans="2:11">
      <c r="B1064" s="161" t="s">
        <v>139</v>
      </c>
      <c r="C1064" s="152">
        <f>Model!AJ148</f>
        <v>1017</v>
      </c>
      <c r="D1064" s="152">
        <f>C1064*$I$1052</f>
        <v>153.72522937859938</v>
      </c>
      <c r="E1064" s="95"/>
      <c r="F1064" s="95"/>
      <c r="G1064" s="96"/>
      <c r="H1064" s="164" t="s">
        <v>27</v>
      </c>
      <c r="I1064" s="73">
        <f>C1068</f>
        <v>10002.091</v>
      </c>
      <c r="J1064" s="152">
        <f>I1064*$I$1052</f>
        <v>1511.8719107577429</v>
      </c>
      <c r="K1064" s="165"/>
    </row>
    <row r="1065" spans="2:11">
      <c r="B1065" s="162" t="s">
        <v>23</v>
      </c>
      <c r="C1065" s="151">
        <f>SUM(C1062:C1064)+C1061+C1058</f>
        <v>16095.615</v>
      </c>
      <c r="D1065" s="151">
        <f>SUM(D1062:D1064)+D1061+D1058</f>
        <v>2432.9420922955997</v>
      </c>
      <c r="E1065" s="163">
        <f>+C1065/C1070</f>
        <v>4.5429339542760374</v>
      </c>
      <c r="F1065" s="163">
        <f>+D1065/D1070</f>
        <v>4.0649074281248447</v>
      </c>
      <c r="H1065" s="166" t="s">
        <v>28</v>
      </c>
      <c r="I1065" s="77">
        <f>I1060+I1064</f>
        <v>26097.174999999999</v>
      </c>
      <c r="J1065" s="155">
        <f>J1060+J1064</f>
        <v>3944.7337394380029</v>
      </c>
      <c r="K1065" s="167"/>
    </row>
    <row r="1066" spans="2:11">
      <c r="B1066" s="164" t="s">
        <v>25</v>
      </c>
      <c r="C1066" s="149">
        <f>Model!AJ150</f>
        <v>7826.6319999999996</v>
      </c>
      <c r="D1066" s="152">
        <f>C1066*$I$1052</f>
        <v>1183.0391341808122</v>
      </c>
      <c r="E1066" s="165"/>
      <c r="F1066" s="165"/>
      <c r="H1066" s="164" t="s">
        <v>29</v>
      </c>
      <c r="I1066" s="211">
        <f>C1070</f>
        <v>3543</v>
      </c>
      <c r="J1066" s="6"/>
      <c r="K1066" s="164"/>
    </row>
    <row r="1067" spans="2:11">
      <c r="B1067" s="162" t="s">
        <v>26</v>
      </c>
      <c r="C1067" s="151">
        <f>+C1065-C1066</f>
        <v>8268.9830000000002</v>
      </c>
      <c r="D1067" s="151">
        <f>+D1065-D1066</f>
        <v>1249.9029581147875</v>
      </c>
      <c r="E1067" s="163">
        <f>+C1067/C1070</f>
        <v>2.3338930285069153</v>
      </c>
      <c r="F1067" s="163">
        <f>+D1067/D1070</f>
        <v>2.088311035007862</v>
      </c>
    </row>
    <row r="1068" spans="2:11">
      <c r="B1068" s="164" t="s">
        <v>27</v>
      </c>
      <c r="C1068" s="73">
        <f>Model!AJ162</f>
        <v>10002.091</v>
      </c>
      <c r="D1068" s="152">
        <f>C1068*$I$1052</f>
        <v>1511.8719107577429</v>
      </c>
      <c r="E1068" s="165"/>
      <c r="F1068" s="165"/>
      <c r="H1068" s="162" t="s">
        <v>32</v>
      </c>
      <c r="I1068" s="218">
        <v>2.33</v>
      </c>
    </row>
    <row r="1069" spans="2:11">
      <c r="B1069" s="166" t="s">
        <v>28</v>
      </c>
      <c r="C1069" s="77">
        <f>C1065+C1068</f>
        <v>26097.705999999998</v>
      </c>
      <c r="D1069" s="77">
        <f>D1065+D1068</f>
        <v>3944.8140030533423</v>
      </c>
      <c r="E1069" s="167"/>
      <c r="F1069" s="167"/>
    </row>
    <row r="1070" spans="2:11">
      <c r="B1070" s="164" t="s">
        <v>29</v>
      </c>
      <c r="C1070" s="211">
        <f>Model!AJ95</f>
        <v>3543</v>
      </c>
      <c r="D1070" s="211">
        <f>C1070*I1053</f>
        <v>598.52336992036339</v>
      </c>
      <c r="E1070" s="164"/>
      <c r="F1070" s="164"/>
    </row>
    <row r="1072" spans="2:11">
      <c r="B1072" s="97" t="s">
        <v>30</v>
      </c>
      <c r="C1072" s="98">
        <f>C1065-Model!AJ153</f>
        <v>0</v>
      </c>
    </row>
    <row r="1074" spans="2:7">
      <c r="B1074" s="36" t="s">
        <v>31</v>
      </c>
      <c r="C1074" s="212">
        <f>C1067+Model!AJ161</f>
        <v>18985.983</v>
      </c>
      <c r="D1074" s="176"/>
    </row>
    <row r="1075" spans="2:7">
      <c r="B1075" s="36" t="s">
        <v>33</v>
      </c>
      <c r="C1075" s="37">
        <f>C1074/C1070</f>
        <v>5.3587307366638441</v>
      </c>
      <c r="D1075" s="177"/>
    </row>
    <row r="1077" spans="2:7" ht="13.5" thickBot="1"/>
    <row r="1078" spans="2:7">
      <c r="B1078" s="65" t="s">
        <v>199</v>
      </c>
      <c r="C1078" s="66" t="s">
        <v>74</v>
      </c>
      <c r="D1078" s="66" t="s">
        <v>75</v>
      </c>
    </row>
    <row r="1079" spans="2:7">
      <c r="B1079" s="67"/>
      <c r="C1079" s="93"/>
      <c r="D1079" s="93"/>
    </row>
    <row r="1080" spans="2:7">
      <c r="B1080" s="67" t="s">
        <v>35</v>
      </c>
      <c r="C1080" s="213">
        <f>C1066</f>
        <v>7826.6319999999996</v>
      </c>
      <c r="D1080" s="213">
        <f>C1080*I1052</f>
        <v>1183.0391341808122</v>
      </c>
    </row>
    <row r="1081" spans="2:7" ht="13.5" thickBot="1">
      <c r="B1081" s="210" t="s">
        <v>36</v>
      </c>
      <c r="C1081" s="214">
        <f>SUM(C1079:C1080)</f>
        <v>7826.6319999999996</v>
      </c>
      <c r="D1081" s="214">
        <f>SUM(D1079:D1080)</f>
        <v>1183.0391341808122</v>
      </c>
    </row>
    <row r="1083" spans="2:7">
      <c r="C1083" s="32"/>
    </row>
    <row r="1084" spans="2:7" ht="13.5" thickBot="1"/>
    <row r="1085" spans="2:7">
      <c r="B1085" s="170" t="s">
        <v>200</v>
      </c>
      <c r="C1085" s="66" t="s">
        <v>74</v>
      </c>
      <c r="D1085" s="66" t="s">
        <v>77</v>
      </c>
      <c r="E1085" s="66" t="s">
        <v>38</v>
      </c>
    </row>
    <row r="1086" spans="2:7">
      <c r="B1086" s="189">
        <v>2020</v>
      </c>
      <c r="C1086" s="215">
        <f>+$C$1065*E1086</f>
        <v>4345.8160500000004</v>
      </c>
      <c r="D1086" s="215">
        <f>C1086*$I$1094</f>
        <v>742.42920784780563</v>
      </c>
      <c r="E1086" s="208">
        <v>0.27</v>
      </c>
      <c r="G1086" s="183"/>
    </row>
    <row r="1087" spans="2:7">
      <c r="B1087" s="189">
        <v>2021</v>
      </c>
      <c r="C1087" s="215">
        <f>+$C$1065*E1087</f>
        <v>6760.1583000000001</v>
      </c>
      <c r="D1087" s="215">
        <f>C1087*$I$1094</f>
        <v>1154.8898788743643</v>
      </c>
      <c r="E1087" s="208">
        <v>0.42</v>
      </c>
      <c r="G1087" s="183"/>
    </row>
    <row r="1088" spans="2:7">
      <c r="B1088" s="189">
        <v>2022</v>
      </c>
      <c r="C1088" s="215">
        <f>+$C$1065*E1088</f>
        <v>643.82460000000003</v>
      </c>
      <c r="D1088" s="215">
        <f>C1088*$I$1094</f>
        <v>109.98951227374897</v>
      </c>
      <c r="E1088" s="208">
        <v>0.04</v>
      </c>
      <c r="G1088" s="183"/>
    </row>
    <row r="1089" spans="2:11">
      <c r="B1089" s="189">
        <v>2023</v>
      </c>
      <c r="C1089" s="215">
        <f>+$C$1065*E1089</f>
        <v>3701.99145</v>
      </c>
      <c r="D1089" s="215">
        <f>C1089*$I$1094</f>
        <v>632.4396955740566</v>
      </c>
      <c r="E1089" s="208">
        <v>0.23</v>
      </c>
      <c r="G1089" s="183"/>
    </row>
    <row r="1090" spans="2:11" ht="13.5" thickBot="1">
      <c r="B1090" s="190" t="s">
        <v>170</v>
      </c>
      <c r="C1090" s="215">
        <f>+$C$1065*E1090</f>
        <v>643.82460000000003</v>
      </c>
      <c r="D1090" s="215">
        <f>C1090*$I$1094</f>
        <v>109.98951227374897</v>
      </c>
      <c r="E1090" s="209">
        <v>0.04</v>
      </c>
      <c r="G1090" s="183"/>
    </row>
    <row r="1091" spans="2:11" ht="13.5" thickBot="1">
      <c r="B1091" s="193" t="s">
        <v>40</v>
      </c>
      <c r="C1091" s="195">
        <f>SUM(C1086:C1090)</f>
        <v>16095.615</v>
      </c>
      <c r="D1091" s="216">
        <f>SUM(D1086:D1090)</f>
        <v>2749.7378068437242</v>
      </c>
      <c r="E1091" s="207">
        <f>SUM(E1086:E1090)</f>
        <v>1</v>
      </c>
      <c r="G1091" s="183"/>
    </row>
    <row r="1094" spans="2:11">
      <c r="H1094" s="59" t="s">
        <v>201</v>
      </c>
      <c r="I1094" s="92">
        <f>Model!AI250</f>
        <v>0.17083769752468136</v>
      </c>
    </row>
    <row r="1095" spans="2:11">
      <c r="H1095" s="59" t="s">
        <v>202</v>
      </c>
      <c r="I1095" s="92">
        <f>AVERAGE(Model!AF249:AI249)</f>
        <v>0.17477207597202846</v>
      </c>
    </row>
    <row r="1096" spans="2:11">
      <c r="H1096" s="59"/>
      <c r="I1096" s="92"/>
    </row>
    <row r="1097" spans="2:11">
      <c r="H1097" s="184" t="s">
        <v>8</v>
      </c>
      <c r="I1097" s="92"/>
    </row>
    <row r="1098" spans="2:11" ht="25.5">
      <c r="B1098" s="157" t="s">
        <v>203</v>
      </c>
      <c r="C1098" s="157" t="s">
        <v>9</v>
      </c>
      <c r="D1098" s="157" t="s">
        <v>19</v>
      </c>
      <c r="E1098" s="158" t="s">
        <v>71</v>
      </c>
      <c r="F1098" s="158" t="s">
        <v>7</v>
      </c>
      <c r="G1098" s="59"/>
      <c r="H1098" s="157" t="s">
        <v>203</v>
      </c>
      <c r="I1098" s="157" t="s">
        <v>9</v>
      </c>
      <c r="J1098" s="157" t="s">
        <v>19</v>
      </c>
      <c r="K1098" s="158" t="s">
        <v>71</v>
      </c>
    </row>
    <row r="1099" spans="2:11">
      <c r="B1099" s="161" t="s">
        <v>63</v>
      </c>
      <c r="C1099" s="152">
        <f>Model!AI124</f>
        <v>735.42</v>
      </c>
      <c r="D1099" s="152">
        <f>C1099*$I$1094</f>
        <v>125.63745951360116</v>
      </c>
      <c r="E1099" s="95"/>
      <c r="F1099" s="95"/>
      <c r="G1099" s="95"/>
      <c r="H1099" s="161" t="s">
        <v>21</v>
      </c>
      <c r="I1099" s="217">
        <v>735.42</v>
      </c>
      <c r="J1099" s="152">
        <f>I1099*$I$1094</f>
        <v>125.63745951360116</v>
      </c>
      <c r="K1099" s="95"/>
    </row>
    <row r="1100" spans="2:11">
      <c r="B1100" s="162" t="s">
        <v>64</v>
      </c>
      <c r="C1100" s="151">
        <f>C1099</f>
        <v>735.42</v>
      </c>
      <c r="D1100" s="151">
        <f>D1099</f>
        <v>125.63745951360116</v>
      </c>
      <c r="E1100" s="163">
        <f>C1100/C1112</f>
        <v>0.21946284691136972</v>
      </c>
      <c r="F1100" s="163">
        <f>D1100/D1112</f>
        <v>0.21452241297717695</v>
      </c>
      <c r="G1100" s="95"/>
      <c r="H1100" s="161" t="s">
        <v>22</v>
      </c>
      <c r="I1100" s="217">
        <v>5974.4719999999998</v>
      </c>
      <c r="J1100" s="152">
        <f>I1100*$I$1094</f>
        <v>1020.665040405678</v>
      </c>
      <c r="K1100" s="95"/>
    </row>
    <row r="1101" spans="2:11">
      <c r="B1101" s="161"/>
      <c r="C1101" s="152"/>
      <c r="D1101" s="152"/>
      <c r="E1101" s="95"/>
      <c r="F1101" s="95"/>
      <c r="G1101" s="95"/>
      <c r="H1101" s="161" t="s">
        <v>24</v>
      </c>
      <c r="I1101" s="217">
        <v>8245.2440000000006</v>
      </c>
      <c r="J1101" s="152">
        <f>I1101*$I$1094</f>
        <v>1408.5985004891941</v>
      </c>
      <c r="K1101" s="95"/>
    </row>
    <row r="1102" spans="2:11">
      <c r="B1102" s="161" t="s">
        <v>14</v>
      </c>
      <c r="C1102" s="152">
        <f>SUM(Model!AI125:AI145)</f>
        <v>7843</v>
      </c>
      <c r="D1102" s="152">
        <f>C1102*$I$1094</f>
        <v>1339.880061686076</v>
      </c>
      <c r="E1102" s="95"/>
      <c r="F1102" s="95"/>
      <c r="G1102" s="96"/>
      <c r="H1102" s="162" t="s">
        <v>23</v>
      </c>
      <c r="I1102" s="151">
        <f>SUM(I1099:I1101)</f>
        <v>14955.136</v>
      </c>
      <c r="J1102" s="151">
        <f>SUM(J1099:J1101)</f>
        <v>2554.901000408473</v>
      </c>
      <c r="K1102" s="163">
        <f>+I1102/I1108</f>
        <v>4.4628874962697704</v>
      </c>
    </row>
    <row r="1103" spans="2:11">
      <c r="B1103" s="162" t="s">
        <v>15</v>
      </c>
      <c r="C1103" s="151">
        <f>C1102</f>
        <v>7843</v>
      </c>
      <c r="D1103" s="151">
        <f>D1102</f>
        <v>1339.880061686076</v>
      </c>
      <c r="E1103" s="163">
        <f>C1103/C1112</f>
        <v>2.3404953745150703</v>
      </c>
      <c r="F1103" s="163">
        <f>D1103/D1112</f>
        <v>2.2878073549536309</v>
      </c>
      <c r="G1103" s="96"/>
      <c r="H1103" s="164" t="s">
        <v>25</v>
      </c>
      <c r="I1103" s="149">
        <f>C1108</f>
        <v>6937.06</v>
      </c>
      <c r="J1103" s="152">
        <f>I1103*$I$1094</f>
        <v>1185.1113579905661</v>
      </c>
      <c r="K1103" s="165"/>
    </row>
    <row r="1104" spans="2:11">
      <c r="B1104" s="161" t="s">
        <v>137</v>
      </c>
      <c r="C1104" s="152">
        <f>Model!AI146</f>
        <v>3002</v>
      </c>
      <c r="D1104" s="152">
        <f>C1104*$I$1094</f>
        <v>512.85476796909347</v>
      </c>
      <c r="E1104" s="95"/>
      <c r="F1104" s="95"/>
      <c r="G1104" s="96"/>
      <c r="H1104" s="164"/>
      <c r="I1104" s="154"/>
      <c r="J1104" s="154"/>
      <c r="K1104" s="165"/>
    </row>
    <row r="1105" spans="2:11">
      <c r="B1105" s="161" t="s">
        <v>138</v>
      </c>
      <c r="C1105" s="152">
        <f>Model!AI147</f>
        <v>2351</v>
      </c>
      <c r="D1105" s="152">
        <f>C1105*$I$1094</f>
        <v>401.63942688052589</v>
      </c>
      <c r="E1105" s="95"/>
      <c r="F1105" s="95"/>
      <c r="G1105" s="96"/>
      <c r="H1105" s="162" t="s">
        <v>26</v>
      </c>
      <c r="I1105" s="151">
        <f>+I1102-I1103</f>
        <v>8018.076</v>
      </c>
      <c r="J1105" s="151">
        <f>+J1102-J1103</f>
        <v>1369.7896424179069</v>
      </c>
      <c r="K1105" s="163">
        <f>+I1105/I1108</f>
        <v>2.39274127126231</v>
      </c>
    </row>
    <row r="1106" spans="2:11">
      <c r="B1106" s="161" t="s">
        <v>139</v>
      </c>
      <c r="C1106" s="152">
        <f>Model!AI148</f>
        <v>1024</v>
      </c>
      <c r="D1106" s="152">
        <f>C1106*$I$1094</f>
        <v>174.93780226527372</v>
      </c>
      <c r="E1106" s="95"/>
      <c r="F1106" s="95"/>
      <c r="G1106" s="96"/>
      <c r="H1106" s="164" t="s">
        <v>27</v>
      </c>
      <c r="I1106" s="73">
        <f>C1110</f>
        <v>9815.9689999999991</v>
      </c>
      <c r="J1106" s="152">
        <f>I1106*$I$1094</f>
        <v>1676.937542933649</v>
      </c>
      <c r="K1106" s="165"/>
    </row>
    <row r="1107" spans="2:11">
      <c r="B1107" s="162" t="s">
        <v>23</v>
      </c>
      <c r="C1107" s="151">
        <f>SUM(C1104:C1106)+C1103+C1100</f>
        <v>14955.42</v>
      </c>
      <c r="D1107" s="151">
        <f>SUM(D1104:D1106)+D1103+D1100</f>
        <v>2554.94951831457</v>
      </c>
      <c r="E1107" s="163">
        <f>+C1107/C1112</f>
        <v>4.4629722470904207</v>
      </c>
      <c r="F1107" s="163">
        <f>+D1107/D1112</f>
        <v>4.3625041275558623</v>
      </c>
      <c r="H1107" s="166" t="s">
        <v>28</v>
      </c>
      <c r="I1107" s="77">
        <f>I1102+I1106</f>
        <v>24771.105</v>
      </c>
      <c r="J1107" s="155">
        <f>J1102+J1106</f>
        <v>4231.8385433421217</v>
      </c>
      <c r="K1107" s="167"/>
    </row>
    <row r="1108" spans="2:11">
      <c r="B1108" s="164" t="s">
        <v>25</v>
      </c>
      <c r="C1108" s="149">
        <f>Model!AI150</f>
        <v>6937.06</v>
      </c>
      <c r="D1108" s="152">
        <f>C1108*$I$1094</f>
        <v>1185.1113579905661</v>
      </c>
      <c r="E1108" s="165"/>
      <c r="F1108" s="165"/>
      <c r="H1108" s="164" t="s">
        <v>29</v>
      </c>
      <c r="I1108" s="211">
        <f>C1112</f>
        <v>3351</v>
      </c>
      <c r="J1108" s="6"/>
      <c r="K1108" s="164"/>
    </row>
    <row r="1109" spans="2:11">
      <c r="B1109" s="162" t="s">
        <v>26</v>
      </c>
      <c r="C1109" s="151">
        <f>+C1107-C1108</f>
        <v>8018.36</v>
      </c>
      <c r="D1109" s="151">
        <f>+D1107-D1108</f>
        <v>1369.8381603240039</v>
      </c>
      <c r="E1109" s="163">
        <f>+C1109/C1112</f>
        <v>2.3928260220829602</v>
      </c>
      <c r="F1109" s="163">
        <f>+D1109/D1112</f>
        <v>2.3389599620892505</v>
      </c>
    </row>
    <row r="1110" spans="2:11">
      <c r="B1110" s="164" t="s">
        <v>27</v>
      </c>
      <c r="C1110" s="73">
        <f>Model!AI162</f>
        <v>9815.9689999999991</v>
      </c>
      <c r="D1110" s="152">
        <f>C1110*$I$1094</f>
        <v>1676.937542933649</v>
      </c>
      <c r="E1110" s="165"/>
      <c r="F1110" s="165"/>
      <c r="H1110" s="162" t="s">
        <v>32</v>
      </c>
      <c r="I1110" s="218">
        <v>2.39</v>
      </c>
    </row>
    <row r="1111" spans="2:11">
      <c r="B1111" s="166" t="s">
        <v>28</v>
      </c>
      <c r="C1111" s="77">
        <f>C1107+C1110</f>
        <v>24771.388999999999</v>
      </c>
      <c r="D1111" s="77">
        <f>D1107+D1110</f>
        <v>4231.8870612482187</v>
      </c>
      <c r="E1111" s="167"/>
      <c r="F1111" s="167"/>
    </row>
    <row r="1112" spans="2:11">
      <c r="B1112" s="164" t="s">
        <v>29</v>
      </c>
      <c r="C1112" s="211">
        <f>Model!AI95</f>
        <v>3351</v>
      </c>
      <c r="D1112" s="211">
        <f>C1112*I1095</f>
        <v>585.66122658226732</v>
      </c>
      <c r="E1112" s="164"/>
      <c r="F1112" s="164"/>
    </row>
    <row r="1114" spans="2:11">
      <c r="B1114" s="97" t="s">
        <v>30</v>
      </c>
      <c r="C1114" s="98">
        <f>C1107-Model!AI153</f>
        <v>0</v>
      </c>
    </row>
    <row r="1116" spans="2:11">
      <c r="B1116" s="36" t="s">
        <v>31</v>
      </c>
      <c r="C1116" s="212">
        <f>C1109+Model!AI161</f>
        <v>16868.36</v>
      </c>
      <c r="D1116" s="176"/>
    </row>
    <row r="1117" spans="2:11">
      <c r="B1117" s="36" t="s">
        <v>33</v>
      </c>
      <c r="C1117" s="37">
        <f>C1116/C1112</f>
        <v>5.0338287078484036</v>
      </c>
      <c r="D1117" s="177"/>
    </row>
    <row r="1119" spans="2:11" ht="13.5" thickBot="1"/>
    <row r="1120" spans="2:11">
      <c r="B1120" s="65" t="s">
        <v>204</v>
      </c>
      <c r="C1120" s="66" t="s">
        <v>74</v>
      </c>
      <c r="D1120" s="66" t="s">
        <v>75</v>
      </c>
    </row>
    <row r="1121" spans="2:7">
      <c r="B1121" s="67"/>
      <c r="C1121" s="93"/>
      <c r="D1121" s="93"/>
    </row>
    <row r="1122" spans="2:7">
      <c r="B1122" s="67" t="s">
        <v>35</v>
      </c>
      <c r="C1122" s="213">
        <f>C1108</f>
        <v>6937.06</v>
      </c>
      <c r="D1122" s="213">
        <f>C1122*I1094</f>
        <v>1185.1113579905661</v>
      </c>
    </row>
    <row r="1123" spans="2:7" ht="13.5" thickBot="1">
      <c r="B1123" s="210" t="s">
        <v>36</v>
      </c>
      <c r="C1123" s="214">
        <f>SUM(C1121:C1122)</f>
        <v>6937.06</v>
      </c>
      <c r="D1123" s="214">
        <f>SUM(D1121:D1122)</f>
        <v>1185.1113579905661</v>
      </c>
    </row>
    <row r="1125" spans="2:7">
      <c r="C1125" s="32"/>
    </row>
    <row r="1126" spans="2:7" ht="13.5" thickBot="1"/>
    <row r="1127" spans="2:7">
      <c r="B1127" s="170" t="s">
        <v>205</v>
      </c>
      <c r="C1127" s="66" t="s">
        <v>74</v>
      </c>
      <c r="D1127" s="66" t="s">
        <v>77</v>
      </c>
      <c r="E1127" s="66" t="s">
        <v>38</v>
      </c>
    </row>
    <row r="1128" spans="2:7">
      <c r="B1128" s="189">
        <v>2020</v>
      </c>
      <c r="C1128" s="215">
        <f>+$C$1107*E1128</f>
        <v>6281.2763999999997</v>
      </c>
      <c r="D1128" s="215">
        <f>C1128*$I$1094</f>
        <v>1073.0787976921195</v>
      </c>
      <c r="E1128" s="208">
        <v>0.42</v>
      </c>
      <c r="G1128" s="183"/>
    </row>
    <row r="1129" spans="2:7">
      <c r="B1129" s="189">
        <v>2021</v>
      </c>
      <c r="C1129" s="215">
        <f>+$C$1107*E1129</f>
        <v>4636.1801999999998</v>
      </c>
      <c r="D1129" s="215">
        <f>C1129*$I$1094</f>
        <v>792.03435067751673</v>
      </c>
      <c r="E1129" s="208">
        <v>0.31</v>
      </c>
      <c r="G1129" s="183"/>
    </row>
    <row r="1130" spans="2:7">
      <c r="B1130" s="189">
        <v>2022</v>
      </c>
      <c r="C1130" s="215">
        <f>+$C$1107*E1130</f>
        <v>149.55420000000001</v>
      </c>
      <c r="D1130" s="215">
        <f>C1130*$I$1094</f>
        <v>25.549495183145702</v>
      </c>
      <c r="E1130" s="208">
        <v>0.01</v>
      </c>
      <c r="G1130" s="183"/>
    </row>
    <row r="1131" spans="2:7">
      <c r="B1131" s="189">
        <v>2023</v>
      </c>
      <c r="C1131" s="215">
        <f>+$C$1107*E1131</f>
        <v>3290.1923999999999</v>
      </c>
      <c r="D1131" s="215">
        <f>C1131*$I$1094</f>
        <v>562.08889402920545</v>
      </c>
      <c r="E1131" s="208">
        <v>0.22</v>
      </c>
      <c r="G1131" s="183"/>
    </row>
    <row r="1132" spans="2:7" ht="13.5" thickBot="1">
      <c r="B1132" s="190" t="s">
        <v>170</v>
      </c>
      <c r="C1132" s="215">
        <f>+$C$1107*E1132</f>
        <v>598.21680000000003</v>
      </c>
      <c r="D1132" s="215">
        <f>C1132*$I$1094</f>
        <v>102.19798073258281</v>
      </c>
      <c r="E1132" s="209">
        <v>0.04</v>
      </c>
      <c r="G1132" s="183"/>
    </row>
    <row r="1133" spans="2:7" ht="13.5" thickBot="1">
      <c r="B1133" s="193" t="s">
        <v>40</v>
      </c>
      <c r="C1133" s="195">
        <f>SUM(C1128:C1132)</f>
        <v>14955.42</v>
      </c>
      <c r="D1133" s="216">
        <f>SUM(D1128:D1132)</f>
        <v>2554.9495183145705</v>
      </c>
      <c r="E1133" s="207">
        <f>SUM(E1128:E1132)</f>
        <v>1</v>
      </c>
      <c r="G1133" s="183"/>
    </row>
    <row r="1138" spans="2:11">
      <c r="H1138" s="59" t="s">
        <v>206</v>
      </c>
      <c r="I1138" s="92">
        <f>Model!AH250</f>
        <v>0.17702999999999999</v>
      </c>
    </row>
    <row r="1139" spans="2:11">
      <c r="H1139" s="59" t="s">
        <v>207</v>
      </c>
      <c r="I1139" s="92">
        <f>AVERAGE(Model!AE249:AH249)</f>
        <v>0.17830499999999999</v>
      </c>
    </row>
    <row r="1140" spans="2:11">
      <c r="H1140" s="59"/>
      <c r="I1140" s="92"/>
    </row>
    <row r="1141" spans="2:11">
      <c r="H1141" s="184" t="s">
        <v>8</v>
      </c>
      <c r="I1141" s="92"/>
    </row>
    <row r="1142" spans="2:11" ht="25.5">
      <c r="B1142" s="157" t="s">
        <v>208</v>
      </c>
      <c r="C1142" s="157" t="s">
        <v>9</v>
      </c>
      <c r="D1142" s="157" t="s">
        <v>19</v>
      </c>
      <c r="E1142" s="158" t="s">
        <v>71</v>
      </c>
      <c r="F1142" s="158" t="s">
        <v>7</v>
      </c>
      <c r="G1142" s="59"/>
      <c r="H1142" s="157" t="s">
        <v>208</v>
      </c>
      <c r="I1142" s="157" t="s">
        <v>9</v>
      </c>
      <c r="J1142" s="157" t="s">
        <v>19</v>
      </c>
      <c r="K1142" s="158" t="s">
        <v>71</v>
      </c>
    </row>
    <row r="1143" spans="2:11">
      <c r="B1143" s="161" t="s">
        <v>63</v>
      </c>
      <c r="C1143" s="152">
        <f>Model!AH124</f>
        <v>720.91800000000001</v>
      </c>
      <c r="D1143" s="152">
        <f>C1143*$I$1138</f>
        <v>127.62411354</v>
      </c>
      <c r="E1143" s="95"/>
      <c r="F1143" s="95"/>
      <c r="G1143" s="95"/>
      <c r="H1143" s="161" t="s">
        <v>21</v>
      </c>
      <c r="I1143" s="217">
        <v>720.91800000000001</v>
      </c>
      <c r="J1143" s="152">
        <f>I1143*$I$1138</f>
        <v>127.62411354</v>
      </c>
      <c r="K1143" s="95"/>
    </row>
    <row r="1144" spans="2:11">
      <c r="B1144" s="162" t="s">
        <v>64</v>
      </c>
      <c r="C1144" s="151">
        <f>C1143</f>
        <v>720.91800000000001</v>
      </c>
      <c r="D1144" s="151">
        <f>D1143</f>
        <v>127.62411354</v>
      </c>
      <c r="E1144" s="163">
        <f>C1144/C1156</f>
        <v>0.2127857142857143</v>
      </c>
      <c r="F1144" s="163">
        <f>D1144/D1156</f>
        <v>0.211264154117944</v>
      </c>
      <c r="G1144" s="95"/>
      <c r="H1144" s="161" t="s">
        <v>209</v>
      </c>
      <c r="I1144" s="217">
        <v>10626.096</v>
      </c>
      <c r="J1144" s="152">
        <f>I1144*$I$1138</f>
        <v>1881.1377748799998</v>
      </c>
      <c r="K1144" s="95"/>
    </row>
    <row r="1145" spans="2:11">
      <c r="B1145" s="161"/>
      <c r="C1145" s="152"/>
      <c r="D1145" s="152"/>
      <c r="E1145" s="95"/>
      <c r="F1145" s="95"/>
      <c r="G1145" s="95"/>
      <c r="H1145" s="161" t="s">
        <v>210</v>
      </c>
      <c r="I1145" s="217">
        <v>2505.1849999999999</v>
      </c>
      <c r="J1145" s="152">
        <f>I1145*$I$1138</f>
        <v>443.49290054999994</v>
      </c>
      <c r="K1145" s="95"/>
    </row>
    <row r="1146" spans="2:11">
      <c r="B1146" s="161" t="s">
        <v>14</v>
      </c>
      <c r="C1146" s="152">
        <f>SUM(Model!AH125:AH145)</f>
        <v>7041</v>
      </c>
      <c r="D1146" s="152">
        <f>C1146*$I$1138</f>
        <v>1246.4682299999999</v>
      </c>
      <c r="E1146" s="95"/>
      <c r="F1146" s="95"/>
      <c r="G1146" s="96"/>
      <c r="H1146" s="162" t="s">
        <v>23</v>
      </c>
      <c r="I1146" s="151">
        <f>SUM(I1143:I1145)</f>
        <v>13852.198999999999</v>
      </c>
      <c r="J1146" s="151">
        <f>SUM(J1143:J1145)</f>
        <v>2452.2547889699999</v>
      </c>
      <c r="K1146" s="163">
        <f>+I1146/I1152</f>
        <v>4.0886065525383701</v>
      </c>
    </row>
    <row r="1147" spans="2:11">
      <c r="B1147" s="162" t="s">
        <v>15</v>
      </c>
      <c r="C1147" s="151">
        <f>C1146</f>
        <v>7041</v>
      </c>
      <c r="D1147" s="151">
        <f>D1146</f>
        <v>1246.4682299999999</v>
      </c>
      <c r="E1147" s="163">
        <f>C1147/C1156</f>
        <v>2.0782172373081464</v>
      </c>
      <c r="F1147" s="163">
        <f>D1147/D1156</f>
        <v>2.0633565941541807</v>
      </c>
      <c r="G1147" s="96"/>
      <c r="H1147" s="164" t="s">
        <v>25</v>
      </c>
      <c r="I1147" s="149">
        <f>C1152</f>
        <v>5481.64</v>
      </c>
      <c r="J1147" s="152">
        <f>I1147*$I$1138</f>
        <v>970.41472920000001</v>
      </c>
      <c r="K1147" s="165"/>
    </row>
    <row r="1148" spans="2:11">
      <c r="B1148" s="161" t="s">
        <v>137</v>
      </c>
      <c r="C1148" s="152">
        <f>Model!AH146</f>
        <v>2895</v>
      </c>
      <c r="D1148" s="152">
        <f>C1148*$I$1138</f>
        <v>512.50184999999999</v>
      </c>
      <c r="E1148" s="95"/>
      <c r="F1148" s="95"/>
      <c r="G1148" s="96"/>
      <c r="H1148" s="164"/>
      <c r="I1148" s="154"/>
      <c r="J1148" s="154"/>
      <c r="K1148" s="165"/>
    </row>
    <row r="1149" spans="2:11">
      <c r="B1149" s="161" t="s">
        <v>138</v>
      </c>
      <c r="C1149" s="152">
        <f>Model!AH147</f>
        <v>2164</v>
      </c>
      <c r="D1149" s="152">
        <f>C1149*$I$1138</f>
        <v>383.09291999999999</v>
      </c>
      <c r="E1149" s="95"/>
      <c r="F1149" s="95"/>
      <c r="G1149" s="96"/>
      <c r="H1149" s="162" t="s">
        <v>26</v>
      </c>
      <c r="I1149" s="151">
        <f>+I1146-I1147</f>
        <v>8370.5589999999975</v>
      </c>
      <c r="J1149" s="151">
        <f>+J1146-J1147</f>
        <v>1481.8400597699999</v>
      </c>
      <c r="K1149" s="163">
        <f>+I1149/I1152</f>
        <v>2.4706490554899641</v>
      </c>
    </row>
    <row r="1150" spans="2:11">
      <c r="B1150" s="161" t="s">
        <v>139</v>
      </c>
      <c r="C1150" s="152">
        <f>Model!AH148</f>
        <v>1032</v>
      </c>
      <c r="D1150" s="152">
        <f>C1150*$I$1138</f>
        <v>182.69495999999998</v>
      </c>
      <c r="E1150" s="95"/>
      <c r="F1150" s="95"/>
      <c r="G1150" s="96"/>
      <c r="H1150" s="164" t="s">
        <v>27</v>
      </c>
      <c r="I1150" s="73">
        <f>C1154</f>
        <v>9152.6919999999991</v>
      </c>
      <c r="J1150" s="152">
        <f>I1150*$I$1138</f>
        <v>1620.3010647599997</v>
      </c>
      <c r="K1150" s="165"/>
    </row>
    <row r="1151" spans="2:11">
      <c r="B1151" s="162" t="s">
        <v>23</v>
      </c>
      <c r="C1151" s="151">
        <f>SUM(C1148:C1150)+C1147+C1144</f>
        <v>13852.918</v>
      </c>
      <c r="D1151" s="151">
        <f>SUM(D1148:D1150)+D1147+D1144</f>
        <v>2452.38207354</v>
      </c>
      <c r="E1151" s="163">
        <f>+C1151/C1156</f>
        <v>4.0888187721369542</v>
      </c>
      <c r="F1151" s="163">
        <f>+D1151/D1156</f>
        <v>4.0595809833229861</v>
      </c>
      <c r="H1151" s="166" t="s">
        <v>28</v>
      </c>
      <c r="I1151" s="77">
        <f>I1146+I1150</f>
        <v>23004.890999999996</v>
      </c>
      <c r="J1151" s="155">
        <f>J1146+J1150</f>
        <v>4072.5558537299994</v>
      </c>
      <c r="K1151" s="167"/>
    </row>
    <row r="1152" spans="2:11">
      <c r="B1152" s="164" t="s">
        <v>25</v>
      </c>
      <c r="C1152" s="149">
        <f>Model!AH150</f>
        <v>5481.64</v>
      </c>
      <c r="D1152" s="152">
        <f>C1152*$I$1138</f>
        <v>970.41472920000001</v>
      </c>
      <c r="E1152" s="165"/>
      <c r="F1152" s="165"/>
      <c r="H1152" s="164" t="s">
        <v>29</v>
      </c>
      <c r="I1152" s="211">
        <f>C1156</f>
        <v>3388</v>
      </c>
      <c r="J1152" s="6"/>
      <c r="K1152" s="164"/>
    </row>
    <row r="1153" spans="2:9">
      <c r="B1153" s="162" t="s">
        <v>26</v>
      </c>
      <c r="C1153" s="151">
        <f>+C1151-C1152</f>
        <v>8371.2779999999984</v>
      </c>
      <c r="D1153" s="151">
        <f>+D1151-D1152</f>
        <v>1481.96734434</v>
      </c>
      <c r="E1153" s="163">
        <f>+C1153/C1156</f>
        <v>2.4708612750885472</v>
      </c>
      <c r="F1153" s="163">
        <f>+D1153/D1156</f>
        <v>2.4531929644649653</v>
      </c>
    </row>
    <row r="1154" spans="2:9">
      <c r="B1154" s="164" t="s">
        <v>27</v>
      </c>
      <c r="C1154" s="73">
        <f>Model!AH162</f>
        <v>9152.6919999999991</v>
      </c>
      <c r="D1154" s="152">
        <f>C1154*$I$1138</f>
        <v>1620.3010647599997</v>
      </c>
      <c r="E1154" s="165"/>
      <c r="F1154" s="165"/>
      <c r="H1154" s="162" t="s">
        <v>32</v>
      </c>
      <c r="I1154" s="218">
        <v>2.41</v>
      </c>
    </row>
    <row r="1155" spans="2:9">
      <c r="B1155" s="166" t="s">
        <v>28</v>
      </c>
      <c r="C1155" s="77">
        <f>C1151+C1154</f>
        <v>23005.61</v>
      </c>
      <c r="D1155" s="77">
        <f>D1151+D1154</f>
        <v>4072.6831382999999</v>
      </c>
      <c r="E1155" s="167"/>
      <c r="F1155" s="167"/>
    </row>
    <row r="1156" spans="2:9">
      <c r="B1156" s="164" t="s">
        <v>29</v>
      </c>
      <c r="C1156" s="211">
        <f>Model!AH95</f>
        <v>3388</v>
      </c>
      <c r="D1156" s="211">
        <f>C1156*I1139</f>
        <v>604.09733999999992</v>
      </c>
      <c r="E1156" s="164"/>
      <c r="F1156" s="164"/>
    </row>
    <row r="1158" spans="2:9">
      <c r="B1158" s="97" t="s">
        <v>30</v>
      </c>
      <c r="C1158" s="98">
        <f>C1151-Model!AH153</f>
        <v>0</v>
      </c>
    </row>
    <row r="1160" spans="2:9">
      <c r="B1160" s="36" t="s">
        <v>31</v>
      </c>
      <c r="C1160" s="212">
        <f>C1153+Model!AH161</f>
        <v>21237.178</v>
      </c>
      <c r="D1160" s="176"/>
    </row>
    <row r="1161" spans="2:9">
      <c r="B1161" s="36" t="s">
        <v>33</v>
      </c>
      <c r="C1161" s="37">
        <f>C1160/C1156</f>
        <v>6.2683524203069654</v>
      </c>
      <c r="D1161" s="177"/>
    </row>
    <row r="1163" spans="2:9" ht="13.5" thickBot="1"/>
    <row r="1164" spans="2:9">
      <c r="B1164" s="65" t="s">
        <v>211</v>
      </c>
      <c r="C1164" s="66" t="s">
        <v>74</v>
      </c>
      <c r="D1164" s="66" t="s">
        <v>75</v>
      </c>
    </row>
    <row r="1165" spans="2:9">
      <c r="B1165" s="67"/>
      <c r="C1165" s="93"/>
      <c r="D1165" s="93"/>
    </row>
    <row r="1166" spans="2:9">
      <c r="B1166" s="67" t="s">
        <v>35</v>
      </c>
      <c r="C1166" s="213">
        <f>C1152</f>
        <v>5481.64</v>
      </c>
      <c r="D1166" s="213">
        <f>C1166*I1138</f>
        <v>970.41472920000001</v>
      </c>
    </row>
    <row r="1167" spans="2:9" ht="13.5" thickBot="1">
      <c r="B1167" s="210" t="s">
        <v>36</v>
      </c>
      <c r="C1167" s="214">
        <f>SUM(C1165:C1166)</f>
        <v>5481.64</v>
      </c>
      <c r="D1167" s="214">
        <f>SUM(D1165:D1166)</f>
        <v>970.41472920000001</v>
      </c>
    </row>
    <row r="1169" spans="2:9">
      <c r="C1169" s="32"/>
    </row>
    <row r="1170" spans="2:9" ht="13.5" thickBot="1"/>
    <row r="1171" spans="2:9">
      <c r="B1171" s="170" t="s">
        <v>212</v>
      </c>
      <c r="C1171" s="66" t="s">
        <v>74</v>
      </c>
      <c r="D1171" s="66" t="s">
        <v>77</v>
      </c>
      <c r="E1171" s="66" t="s">
        <v>38</v>
      </c>
    </row>
    <row r="1172" spans="2:9">
      <c r="B1172" s="189">
        <v>2019</v>
      </c>
      <c r="C1172" s="215">
        <f t="shared" ref="C1172:C1177" si="50">+$C$1151*E1172</f>
        <v>2354.9960599999999</v>
      </c>
      <c r="D1172" s="215">
        <f t="shared" ref="D1172:D1177" si="51">C1172*$I$1138</f>
        <v>416.90495250179998</v>
      </c>
      <c r="E1172" s="208">
        <v>0.17</v>
      </c>
      <c r="G1172" s="183"/>
    </row>
    <row r="1173" spans="2:9">
      <c r="B1173" s="189">
        <v>2020</v>
      </c>
      <c r="C1173" s="215">
        <f t="shared" si="50"/>
        <v>3740.2878600000004</v>
      </c>
      <c r="D1173" s="215">
        <f t="shared" si="51"/>
        <v>662.14315985580004</v>
      </c>
      <c r="E1173" s="208">
        <v>0.27</v>
      </c>
      <c r="G1173" s="183"/>
    </row>
    <row r="1174" spans="2:9">
      <c r="B1174" s="189">
        <v>2021</v>
      </c>
      <c r="C1174" s="215">
        <f t="shared" si="50"/>
        <v>3878.8170400000004</v>
      </c>
      <c r="D1174" s="215">
        <f t="shared" si="51"/>
        <v>686.66698059120006</v>
      </c>
      <c r="E1174" s="208">
        <v>0.28000000000000003</v>
      </c>
      <c r="G1174" s="183"/>
    </row>
    <row r="1175" spans="2:9">
      <c r="B1175" s="189">
        <v>2022</v>
      </c>
      <c r="C1175" s="215">
        <f t="shared" si="50"/>
        <v>0</v>
      </c>
      <c r="D1175" s="215">
        <f t="shared" si="51"/>
        <v>0</v>
      </c>
      <c r="E1175" s="208">
        <v>0</v>
      </c>
      <c r="G1175" s="183"/>
    </row>
    <row r="1176" spans="2:9">
      <c r="B1176" s="189">
        <v>2023</v>
      </c>
      <c r="C1176" s="215">
        <f t="shared" si="50"/>
        <v>3186.1711399999999</v>
      </c>
      <c r="D1176" s="215">
        <f t="shared" si="51"/>
        <v>564.04787691419995</v>
      </c>
      <c r="E1176" s="208">
        <v>0.23</v>
      </c>
      <c r="G1176" s="183"/>
    </row>
    <row r="1177" spans="2:9" ht="13.5" thickBot="1">
      <c r="B1177" s="190" t="s">
        <v>170</v>
      </c>
      <c r="C1177" s="215">
        <f t="shared" si="50"/>
        <v>554.11671999999999</v>
      </c>
      <c r="D1177" s="215">
        <f t="shared" si="51"/>
        <v>98.09528294159999</v>
      </c>
      <c r="E1177" s="209">
        <v>0.04</v>
      </c>
      <c r="G1177" s="183"/>
    </row>
    <row r="1178" spans="2:9" ht="13.5" thickBot="1">
      <c r="B1178" s="193" t="s">
        <v>40</v>
      </c>
      <c r="C1178" s="195">
        <f>SUM(C1172:C1177)</f>
        <v>13714.38882</v>
      </c>
      <c r="D1178" s="216">
        <f>SUM(D1172:D1177)</f>
        <v>2427.8582528046004</v>
      </c>
      <c r="E1178" s="207">
        <f>SUM(E1172:E1177)</f>
        <v>0.9900000000000001</v>
      </c>
      <c r="G1178" s="183"/>
    </row>
    <row r="1179" spans="2:9">
      <c r="B1179" s="59"/>
      <c r="C1179" s="171"/>
      <c r="D1179" s="103"/>
      <c r="G1179" s="183"/>
    </row>
    <row r="1183" spans="2:9">
      <c r="H1183" s="59" t="s">
        <v>213</v>
      </c>
      <c r="I1183" s="92">
        <f>Model!AG250</f>
        <v>0.17263999999999999</v>
      </c>
    </row>
    <row r="1184" spans="2:9">
      <c r="H1184" s="59" t="s">
        <v>214</v>
      </c>
      <c r="I1184" s="92">
        <f>AVERAGE(Model!AD249:AG249)</f>
        <v>0.17919750000000001</v>
      </c>
    </row>
    <row r="1185" spans="2:11">
      <c r="H1185" s="59"/>
      <c r="I1185" s="92"/>
    </row>
    <row r="1186" spans="2:11">
      <c r="H1186" s="184" t="s">
        <v>8</v>
      </c>
      <c r="I1186" s="92"/>
    </row>
    <row r="1187" spans="2:11" ht="25.5">
      <c r="B1187" s="157" t="s">
        <v>215</v>
      </c>
      <c r="C1187" s="157" t="s">
        <v>9</v>
      </c>
      <c r="D1187" s="157" t="s">
        <v>19</v>
      </c>
      <c r="E1187" s="158" t="s">
        <v>71</v>
      </c>
      <c r="F1187" s="158" t="s">
        <v>7</v>
      </c>
      <c r="G1187" s="59"/>
      <c r="H1187" s="157" t="s">
        <v>215</v>
      </c>
      <c r="I1187" s="157" t="s">
        <v>9</v>
      </c>
      <c r="J1187" s="157" t="s">
        <v>19</v>
      </c>
      <c r="K1187" s="158" t="s">
        <v>71</v>
      </c>
    </row>
    <row r="1188" spans="2:11">
      <c r="B1188" s="161" t="s">
        <v>63</v>
      </c>
      <c r="C1188" s="152">
        <f>Model!AG124</f>
        <v>792.28099999999995</v>
      </c>
      <c r="D1188" s="152">
        <f>C1188*$I$1183</f>
        <v>136.77939183999999</v>
      </c>
      <c r="E1188" s="95"/>
      <c r="F1188" s="95"/>
      <c r="G1188" s="95"/>
      <c r="H1188" s="161" t="s">
        <v>21</v>
      </c>
      <c r="I1188" s="217">
        <v>792.28099999999995</v>
      </c>
      <c r="J1188" s="152">
        <f>I1188*$I$1183</f>
        <v>136.77939183999999</v>
      </c>
      <c r="K1188" s="95"/>
    </row>
    <row r="1189" spans="2:11">
      <c r="B1189" s="162" t="s">
        <v>64</v>
      </c>
      <c r="C1189" s="151">
        <f>C1188</f>
        <v>792.28099999999995</v>
      </c>
      <c r="D1189" s="151">
        <f>D1188</f>
        <v>136.77939183999999</v>
      </c>
      <c r="E1189" s="163">
        <f>C1189/C1201</f>
        <v>0.24295645507513031</v>
      </c>
      <c r="F1189" s="163">
        <f>D1189/D1201</f>
        <v>0.23406577884273216</v>
      </c>
      <c r="G1189" s="95"/>
      <c r="H1189" s="161" t="s">
        <v>209</v>
      </c>
      <c r="I1189" s="217">
        <v>10874.945</v>
      </c>
      <c r="J1189" s="152">
        <f>I1189*$I$1183</f>
        <v>1877.4505047999999</v>
      </c>
      <c r="K1189" s="95"/>
    </row>
    <row r="1190" spans="2:11">
      <c r="B1190" s="161"/>
      <c r="C1190" s="152"/>
      <c r="D1190" s="152"/>
      <c r="E1190" s="95"/>
      <c r="F1190" s="95"/>
      <c r="G1190" s="95"/>
      <c r="H1190" s="161" t="s">
        <v>210</v>
      </c>
      <c r="I1190" s="217">
        <v>2410.8710000000001</v>
      </c>
      <c r="J1190" s="152">
        <f>I1190*$I$1183</f>
        <v>416.21276943999999</v>
      </c>
      <c r="K1190" s="95"/>
    </row>
    <row r="1191" spans="2:11">
      <c r="B1191" s="161" t="s">
        <v>14</v>
      </c>
      <c r="C1191" s="152">
        <f>SUM(Model!AG125:AG145)</f>
        <v>7503</v>
      </c>
      <c r="D1191" s="152">
        <f>C1191*$I$1183</f>
        <v>1295.31792</v>
      </c>
      <c r="E1191" s="95"/>
      <c r="F1191" s="95"/>
      <c r="G1191" s="96"/>
      <c r="H1191" s="162" t="s">
        <v>23</v>
      </c>
      <c r="I1191" s="151">
        <f>SUM(I1188:I1190)</f>
        <v>14078.096999999998</v>
      </c>
      <c r="J1191" s="151">
        <f>SUM(J1188:J1190)</f>
        <v>2430.44266608</v>
      </c>
      <c r="K1191" s="163">
        <f>+I1191/I1197</f>
        <v>4.3171103955841756</v>
      </c>
    </row>
    <row r="1192" spans="2:11">
      <c r="B1192" s="162" t="s">
        <v>15</v>
      </c>
      <c r="C1192" s="151">
        <f>C1191</f>
        <v>7503</v>
      </c>
      <c r="D1192" s="151">
        <f>D1191</f>
        <v>1295.31792</v>
      </c>
      <c r="E1192" s="163">
        <f>C1192/C1201</f>
        <v>2.3008279668813247</v>
      </c>
      <c r="F1192" s="163">
        <f>D1192/D1201</f>
        <v>2.2166321528056581</v>
      </c>
      <c r="G1192" s="96"/>
      <c r="H1192" s="164" t="s">
        <v>25</v>
      </c>
      <c r="I1192" s="149">
        <f>C1197</f>
        <v>5787.7809999999999</v>
      </c>
      <c r="J1192" s="152">
        <f>I1192*$I$1183</f>
        <v>999.20251183999994</v>
      </c>
      <c r="K1192" s="165"/>
    </row>
    <row r="1193" spans="2:11">
      <c r="B1193" s="161" t="s">
        <v>137</v>
      </c>
      <c r="C1193" s="152">
        <f>Model!AG146</f>
        <v>2908</v>
      </c>
      <c r="D1193" s="152">
        <f>C1193*$I$1183</f>
        <v>502.03711999999996</v>
      </c>
      <c r="E1193" s="95"/>
      <c r="F1193" s="95"/>
      <c r="G1193" s="96"/>
      <c r="H1193" s="164"/>
      <c r="I1193" s="154"/>
      <c r="J1193" s="154"/>
      <c r="K1193" s="165"/>
    </row>
    <row r="1194" spans="2:11">
      <c r="B1194" s="161" t="s">
        <v>138</v>
      </c>
      <c r="C1194" s="152">
        <f>Model!AG147</f>
        <v>2359</v>
      </c>
      <c r="D1194" s="152">
        <f>C1194*$I$1183</f>
        <v>407.25775999999996</v>
      </c>
      <c r="E1194" s="95"/>
      <c r="F1194" s="95"/>
      <c r="G1194" s="96"/>
      <c r="H1194" s="162" t="s">
        <v>26</v>
      </c>
      <c r="I1194" s="151">
        <f>+I1191-I1192</f>
        <v>8290.3159999999989</v>
      </c>
      <c r="J1194" s="151">
        <f>+J1191-J1192</f>
        <v>1431.24015424</v>
      </c>
      <c r="K1194" s="163">
        <f>+I1194/I1197</f>
        <v>2.5422618828580186</v>
      </c>
    </row>
    <row r="1195" spans="2:11">
      <c r="B1195" s="161" t="s">
        <v>139</v>
      </c>
      <c r="C1195" s="152">
        <f>Model!AG148</f>
        <v>517</v>
      </c>
      <c r="D1195" s="152">
        <f>C1195*$I$1183</f>
        <v>89.25488</v>
      </c>
      <c r="E1195" s="95"/>
      <c r="F1195" s="95"/>
      <c r="G1195" s="96"/>
      <c r="H1195" s="164" t="s">
        <v>27</v>
      </c>
      <c r="I1195" s="73">
        <f>C1199</f>
        <v>9165.2890000000007</v>
      </c>
      <c r="J1195" s="152">
        <f>I1195*$I$1183</f>
        <v>1582.29549296</v>
      </c>
      <c r="K1195" s="165"/>
    </row>
    <row r="1196" spans="2:11">
      <c r="B1196" s="162" t="s">
        <v>23</v>
      </c>
      <c r="C1196" s="151">
        <f>SUM(C1193:C1195)+C1192+C1189</f>
        <v>14079.280999999999</v>
      </c>
      <c r="D1196" s="151">
        <f>SUM(D1193:D1195)+D1192+D1189</f>
        <v>2430.6470718399996</v>
      </c>
      <c r="E1196" s="163">
        <f>+C1196/C1201</f>
        <v>4.3174734743943572</v>
      </c>
      <c r="F1196" s="163">
        <f>+D1196/D1201</f>
        <v>4.1594811346109282</v>
      </c>
      <c r="H1196" s="166" t="s">
        <v>28</v>
      </c>
      <c r="I1196" s="77">
        <f>I1191+I1195</f>
        <v>23243.385999999999</v>
      </c>
      <c r="J1196" s="155">
        <f>J1191+J1195</f>
        <v>4012.73815904</v>
      </c>
      <c r="K1196" s="167"/>
    </row>
    <row r="1197" spans="2:11">
      <c r="B1197" s="164" t="s">
        <v>25</v>
      </c>
      <c r="C1197" s="149">
        <f>Model!AG150</f>
        <v>5787.7809999999999</v>
      </c>
      <c r="D1197" s="152">
        <f>C1197*$I$1183</f>
        <v>999.20251183999994</v>
      </c>
      <c r="E1197" s="165"/>
      <c r="F1197" s="165"/>
      <c r="H1197" s="164" t="s">
        <v>29</v>
      </c>
      <c r="I1197" s="211">
        <f>C1201</f>
        <v>3261</v>
      </c>
      <c r="J1197" s="6"/>
      <c r="K1197" s="164"/>
    </row>
    <row r="1198" spans="2:11">
      <c r="B1198" s="162" t="s">
        <v>26</v>
      </c>
      <c r="C1198" s="151">
        <f>+C1196-C1197</f>
        <v>8291.5</v>
      </c>
      <c r="D1198" s="151">
        <f>+D1196-D1197</f>
        <v>1431.4445599999997</v>
      </c>
      <c r="E1198" s="163">
        <f>+C1198/C1201</f>
        <v>2.5426249616681997</v>
      </c>
      <c r="F1198" s="163">
        <f>+D1198/D1201</f>
        <v>2.4495809003049591</v>
      </c>
    </row>
    <row r="1199" spans="2:11">
      <c r="B1199" s="164" t="s">
        <v>27</v>
      </c>
      <c r="C1199" s="73">
        <f>Model!AG162</f>
        <v>9165.2890000000007</v>
      </c>
      <c r="D1199" s="152">
        <f>C1199*$I$1183</f>
        <v>1582.29549296</v>
      </c>
      <c r="E1199" s="165"/>
      <c r="F1199" s="165"/>
      <c r="H1199" s="162" t="s">
        <v>32</v>
      </c>
      <c r="I1199" s="218">
        <v>2.4</v>
      </c>
    </row>
    <row r="1200" spans="2:11">
      <c r="B1200" s="166" t="s">
        <v>28</v>
      </c>
      <c r="C1200" s="77">
        <f>C1196+C1199</f>
        <v>23244.57</v>
      </c>
      <c r="D1200" s="77">
        <f>D1196+D1199</f>
        <v>4012.9425647999997</v>
      </c>
      <c r="E1200" s="167"/>
      <c r="F1200" s="167"/>
    </row>
    <row r="1201" spans="2:6">
      <c r="B1201" s="164" t="s">
        <v>29</v>
      </c>
      <c r="C1201" s="211">
        <f>Model!AG95</f>
        <v>3261</v>
      </c>
      <c r="D1201" s="211">
        <f>C1201*I1184</f>
        <v>584.36304749999999</v>
      </c>
      <c r="E1201" s="164"/>
      <c r="F1201" s="164"/>
    </row>
    <row r="1203" spans="2:6">
      <c r="B1203" s="97" t="s">
        <v>30</v>
      </c>
      <c r="C1203" s="98">
        <f>C1196-Model!AG153</f>
        <v>0</v>
      </c>
    </row>
    <row r="1205" spans="2:6">
      <c r="B1205" s="36" t="s">
        <v>31</v>
      </c>
      <c r="C1205" s="212">
        <f>C1198+Model!AG161</f>
        <v>21434.400000000001</v>
      </c>
      <c r="D1205" s="176"/>
    </row>
    <row r="1206" spans="2:6">
      <c r="B1206" s="36" t="s">
        <v>33</v>
      </c>
      <c r="C1206" s="37">
        <f>C1205/C1201</f>
        <v>6.572953081876725</v>
      </c>
      <c r="D1206" s="177"/>
    </row>
    <row r="1208" spans="2:6" ht="13.5" thickBot="1"/>
    <row r="1209" spans="2:6">
      <c r="B1209" s="65" t="s">
        <v>211</v>
      </c>
      <c r="C1209" s="66" t="s">
        <v>74</v>
      </c>
      <c r="D1209" s="66" t="s">
        <v>75</v>
      </c>
    </row>
    <row r="1210" spans="2:6">
      <c r="B1210" s="67"/>
      <c r="C1210" s="93"/>
      <c r="D1210" s="93"/>
    </row>
    <row r="1211" spans="2:6">
      <c r="B1211" s="67" t="s">
        <v>35</v>
      </c>
      <c r="C1211" s="213">
        <f>C1197</f>
        <v>5787.7809999999999</v>
      </c>
      <c r="D1211" s="213">
        <f>C1211*I1183</f>
        <v>999.20251183999994</v>
      </c>
    </row>
    <row r="1212" spans="2:6" ht="13.5" thickBot="1">
      <c r="B1212" s="210" t="s">
        <v>36</v>
      </c>
      <c r="C1212" s="214">
        <f>SUM(C1210:C1211)</f>
        <v>5787.7809999999999</v>
      </c>
      <c r="D1212" s="214">
        <f>SUM(D1210:D1211)</f>
        <v>999.20251183999994</v>
      </c>
    </row>
    <row r="1214" spans="2:6">
      <c r="C1214" s="32"/>
    </row>
    <row r="1215" spans="2:6" ht="13.5" thickBot="1"/>
    <row r="1216" spans="2:6">
      <c r="B1216" s="170" t="s">
        <v>216</v>
      </c>
      <c r="C1216" s="66" t="s">
        <v>74</v>
      </c>
      <c r="D1216" s="66" t="s">
        <v>77</v>
      </c>
      <c r="E1216" s="66" t="s">
        <v>38</v>
      </c>
    </row>
    <row r="1217" spans="2:9">
      <c r="B1217" s="189">
        <v>2019</v>
      </c>
      <c r="C1217" s="215">
        <f t="shared" ref="C1217:C1222" si="52">+$C$1196*E1217</f>
        <v>4223.7842999999993</v>
      </c>
      <c r="D1217" s="215">
        <f t="shared" ref="D1217:D1222" si="53">C1217*$I$1183</f>
        <v>729.19412155199984</v>
      </c>
      <c r="E1217" s="208">
        <v>0.3</v>
      </c>
      <c r="G1217" s="183"/>
    </row>
    <row r="1218" spans="2:9">
      <c r="B1218" s="189">
        <v>2020</v>
      </c>
      <c r="C1218" s="215">
        <f t="shared" si="52"/>
        <v>2393.47777</v>
      </c>
      <c r="D1218" s="215">
        <f t="shared" si="53"/>
        <v>413.21000221279996</v>
      </c>
      <c r="E1218" s="208">
        <v>0.17</v>
      </c>
      <c r="G1218" s="183"/>
    </row>
    <row r="1219" spans="2:9">
      <c r="B1219" s="189">
        <v>2021</v>
      </c>
      <c r="C1219" s="215">
        <f t="shared" si="52"/>
        <v>3519.8202499999998</v>
      </c>
      <c r="D1219" s="215">
        <f t="shared" si="53"/>
        <v>607.66176795999991</v>
      </c>
      <c r="E1219" s="208">
        <v>0.25</v>
      </c>
      <c r="G1219" s="183"/>
    </row>
    <row r="1220" spans="2:9">
      <c r="B1220" s="189">
        <v>2022</v>
      </c>
      <c r="C1220" s="215">
        <f t="shared" si="52"/>
        <v>0</v>
      </c>
      <c r="D1220" s="215">
        <f t="shared" si="53"/>
        <v>0</v>
      </c>
      <c r="E1220" s="208">
        <v>0</v>
      </c>
      <c r="G1220" s="183"/>
    </row>
    <row r="1221" spans="2:9">
      <c r="B1221" s="189">
        <v>2023</v>
      </c>
      <c r="C1221" s="215">
        <f t="shared" si="52"/>
        <v>3238.2346299999999</v>
      </c>
      <c r="D1221" s="215">
        <f t="shared" si="53"/>
        <v>559.04882652319998</v>
      </c>
      <c r="E1221" s="208">
        <v>0.23</v>
      </c>
      <c r="G1221" s="183"/>
    </row>
    <row r="1222" spans="2:9" ht="13.5" thickBot="1">
      <c r="B1222" s="190" t="s">
        <v>170</v>
      </c>
      <c r="C1222" s="215">
        <f t="shared" si="52"/>
        <v>563.17124000000001</v>
      </c>
      <c r="D1222" s="215">
        <f t="shared" si="53"/>
        <v>97.2258828736</v>
      </c>
      <c r="E1222" s="209">
        <v>0.04</v>
      </c>
      <c r="G1222" s="183"/>
    </row>
    <row r="1223" spans="2:9" ht="13.5" thickBot="1">
      <c r="B1223" s="193" t="s">
        <v>40</v>
      </c>
      <c r="C1223" s="195">
        <f>SUM(C1217:C1222)</f>
        <v>13938.488189999996</v>
      </c>
      <c r="D1223" s="216">
        <f>SUM(D1217:D1222)</f>
        <v>2406.3406011215998</v>
      </c>
      <c r="E1223" s="207">
        <f>SUM(E1217:E1222)</f>
        <v>0.99</v>
      </c>
      <c r="G1223" s="183"/>
    </row>
    <row r="1224" spans="2:9">
      <c r="B1224" s="59"/>
      <c r="C1224" s="171"/>
      <c r="D1224" s="103"/>
      <c r="G1224" s="183"/>
    </row>
    <row r="1229" spans="2:9">
      <c r="H1229" s="59" t="s">
        <v>217</v>
      </c>
      <c r="I1229" s="92">
        <f>Model!AF250</f>
        <v>0.17965</v>
      </c>
    </row>
    <row r="1230" spans="2:9" ht="25.5">
      <c r="B1230" s="157" t="s">
        <v>218</v>
      </c>
      <c r="C1230" s="157" t="s">
        <v>9</v>
      </c>
      <c r="D1230" s="157" t="s">
        <v>19</v>
      </c>
      <c r="E1230" s="158" t="s">
        <v>71</v>
      </c>
      <c r="F1230" s="158" t="s">
        <v>7</v>
      </c>
      <c r="G1230" s="59"/>
      <c r="H1230" s="59" t="s">
        <v>219</v>
      </c>
      <c r="I1230" s="92">
        <f>AVERAGE(Model!AC249:AF249)</f>
        <v>0.19999249999999999</v>
      </c>
    </row>
    <row r="1231" spans="2:9">
      <c r="B1231" s="161" t="s">
        <v>63</v>
      </c>
      <c r="C1231" s="180">
        <f>Model!AF124</f>
        <v>735.73900000000003</v>
      </c>
      <c r="D1231" s="180">
        <f>C1231*$I$1183</f>
        <v>127.01798096</v>
      </c>
      <c r="E1231" s="95"/>
      <c r="F1231" s="95"/>
      <c r="G1231" s="95"/>
      <c r="H1231" s="59"/>
      <c r="I1231" s="92"/>
    </row>
    <row r="1232" spans="2:9">
      <c r="B1232" s="162" t="s">
        <v>64</v>
      </c>
      <c r="C1232" s="153">
        <f>C1231</f>
        <v>735.73900000000003</v>
      </c>
      <c r="D1232" s="153">
        <f>D1231</f>
        <v>127.01798096</v>
      </c>
      <c r="E1232" s="163">
        <f>C1232/C1244</f>
        <v>0.2491496782932611</v>
      </c>
      <c r="F1232" s="163">
        <f>D1232/D1244</f>
        <v>0.21507406758027725</v>
      </c>
      <c r="G1232" s="95"/>
      <c r="H1232" s="59"/>
      <c r="I1232" s="92"/>
    </row>
    <row r="1233" spans="2:11">
      <c r="B1233" s="159"/>
      <c r="C1233" s="160"/>
      <c r="D1233" s="160"/>
      <c r="E1233" s="95"/>
      <c r="F1233" s="95"/>
      <c r="G1233" s="95"/>
      <c r="H1233" s="59"/>
      <c r="I1233" s="92"/>
    </row>
    <row r="1234" spans="2:11">
      <c r="B1234" s="161" t="s">
        <v>14</v>
      </c>
      <c r="C1234" s="180">
        <f>SUM(Model!AF125:AF145)</f>
        <v>7485</v>
      </c>
      <c r="D1234" s="180">
        <f>C1234*$I$1229</f>
        <v>1344.6802500000001</v>
      </c>
      <c r="E1234" s="95"/>
      <c r="F1234" s="95"/>
      <c r="G1234" s="96"/>
      <c r="H1234" s="184" t="s">
        <v>8</v>
      </c>
      <c r="I1234" s="92"/>
    </row>
    <row r="1235" spans="2:11">
      <c r="B1235" s="162" t="s">
        <v>15</v>
      </c>
      <c r="C1235" s="153">
        <f>C1234</f>
        <v>7485</v>
      </c>
      <c r="D1235" s="153">
        <f>D1234</f>
        <v>1344.6802500000001</v>
      </c>
      <c r="E1235" s="163">
        <f>C1235/C1244</f>
        <v>2.5347104639349816</v>
      </c>
      <c r="F1235" s="163">
        <f>D1235/D1244</f>
        <v>2.2768890575692562</v>
      </c>
      <c r="G1235" s="96"/>
      <c r="H1235" s="157" t="s">
        <v>218</v>
      </c>
      <c r="I1235" s="157" t="s">
        <v>9</v>
      </c>
      <c r="J1235" s="157" t="s">
        <v>19</v>
      </c>
      <c r="K1235" s="158" t="s">
        <v>71</v>
      </c>
    </row>
    <row r="1236" spans="2:11">
      <c r="B1236" s="161" t="s">
        <v>137</v>
      </c>
      <c r="C1236" s="180">
        <f>Model!AF146</f>
        <v>2878</v>
      </c>
      <c r="D1236" s="180">
        <f>C1236*$I$1229</f>
        <v>517.03269999999998</v>
      </c>
      <c r="E1236" s="95"/>
      <c r="F1236" s="95"/>
      <c r="G1236" s="96"/>
      <c r="H1236" s="159"/>
      <c r="I1236" s="160"/>
      <c r="J1236" s="160"/>
      <c r="K1236" s="95"/>
    </row>
    <row r="1237" spans="2:11">
      <c r="B1237" s="161" t="s">
        <v>138</v>
      </c>
      <c r="C1237" s="180">
        <f>Model!AF147</f>
        <v>2254</v>
      </c>
      <c r="D1237" s="180">
        <f>C1237*$I$1229</f>
        <v>404.93110000000001</v>
      </c>
      <c r="E1237" s="95"/>
      <c r="F1237" s="95"/>
      <c r="G1237" s="96"/>
      <c r="H1237" s="161" t="s">
        <v>209</v>
      </c>
      <c r="I1237" s="180">
        <v>10890.453</v>
      </c>
      <c r="J1237" s="180">
        <f>I1237*$I$1229</f>
        <v>1956.46988145</v>
      </c>
      <c r="K1237" s="95"/>
    </row>
    <row r="1238" spans="2:11">
      <c r="B1238" s="161" t="s">
        <v>139</v>
      </c>
      <c r="C1238" s="180">
        <f>Model!AF148</f>
        <v>515</v>
      </c>
      <c r="D1238" s="180">
        <f>C1238*$I$1229</f>
        <v>92.519750000000002</v>
      </c>
      <c r="E1238" s="95"/>
      <c r="F1238" s="95"/>
      <c r="G1238" s="96"/>
      <c r="H1238" s="161" t="s">
        <v>210</v>
      </c>
      <c r="I1238" s="180">
        <v>2240.8969999999999</v>
      </c>
      <c r="J1238" s="180">
        <f>I1238*$I$1229</f>
        <v>402.57714605000001</v>
      </c>
      <c r="K1238" s="95"/>
    </row>
    <row r="1239" spans="2:11">
      <c r="B1239" s="162" t="s">
        <v>23</v>
      </c>
      <c r="C1239" s="153">
        <f>SUM(C1236:C1238)+C1235+C1232</f>
        <v>13867.739</v>
      </c>
      <c r="D1239" s="153">
        <f>SUM(D1236:D1238)+D1235+D1232</f>
        <v>2486.1817809600002</v>
      </c>
      <c r="E1239" s="163">
        <f>+C1239/C1244</f>
        <v>4.6961527260413138</v>
      </c>
      <c r="F1239" s="163">
        <f>+D1239/D1244</f>
        <v>4.2097443553557579</v>
      </c>
      <c r="H1239" s="162" t="s">
        <v>23</v>
      </c>
      <c r="I1239" s="153">
        <f>SUM(I1237:I1238)</f>
        <v>13131.349999999999</v>
      </c>
      <c r="J1239" s="153">
        <f>SUM(J1237:J1238)</f>
        <v>2359.0470274999998</v>
      </c>
      <c r="K1239" s="163">
        <f>+I1239/I1245</f>
        <v>4.4467829326109038</v>
      </c>
    </row>
    <row r="1240" spans="2:11">
      <c r="B1240" s="164" t="s">
        <v>25</v>
      </c>
      <c r="C1240" s="154">
        <f>Model!AF150</f>
        <v>6478.098</v>
      </c>
      <c r="D1240" s="180">
        <f>C1240*$I$1229</f>
        <v>1163.7903057000001</v>
      </c>
      <c r="E1240" s="165"/>
      <c r="F1240" s="165"/>
      <c r="H1240" s="164" t="s">
        <v>25</v>
      </c>
      <c r="I1240" s="154">
        <v>6478.098</v>
      </c>
      <c r="J1240" s="180">
        <f>I1240*$I$1229</f>
        <v>1163.7903057000001</v>
      </c>
      <c r="K1240" s="165"/>
    </row>
    <row r="1241" spans="2:11">
      <c r="B1241" s="162" t="s">
        <v>26</v>
      </c>
      <c r="C1241" s="153">
        <f>+C1239-C1240</f>
        <v>7389.6409999999996</v>
      </c>
      <c r="D1241" s="153">
        <f>+D1239-D1240</f>
        <v>1322.3914752600001</v>
      </c>
      <c r="E1241" s="163">
        <f>+C1241/C1244</f>
        <v>2.5024182187605821</v>
      </c>
      <c r="F1241" s="163">
        <f>+D1241/D1244</f>
        <v>2.2391484368438963</v>
      </c>
      <c r="H1241" s="164"/>
      <c r="I1241" s="154"/>
      <c r="J1241" s="154"/>
      <c r="K1241" s="165"/>
    </row>
    <row r="1242" spans="2:11">
      <c r="B1242" s="164" t="s">
        <v>27</v>
      </c>
      <c r="C1242" s="168">
        <f>Model!AF162</f>
        <v>8796.2929999999997</v>
      </c>
      <c r="D1242" s="180">
        <f>C1242*$I$1229</f>
        <v>1580.2540374499999</v>
      </c>
      <c r="E1242" s="165"/>
      <c r="F1242" s="165"/>
      <c r="H1242" s="162" t="s">
        <v>26</v>
      </c>
      <c r="I1242" s="153">
        <f>+I1239-I1240</f>
        <v>6653.2519999999986</v>
      </c>
      <c r="J1242" s="153">
        <f>+J1239-J1240</f>
        <v>1195.2567217999997</v>
      </c>
      <c r="K1242" s="163">
        <f>+I1242/I1245</f>
        <v>2.2530484253301721</v>
      </c>
    </row>
    <row r="1243" spans="2:11">
      <c r="B1243" s="166" t="s">
        <v>28</v>
      </c>
      <c r="C1243" s="155">
        <f>C1239+C1242</f>
        <v>22664.031999999999</v>
      </c>
      <c r="D1243" s="155">
        <f>D1239+D1242</f>
        <v>4066.4358184100001</v>
      </c>
      <c r="E1243" s="167"/>
      <c r="F1243" s="167"/>
      <c r="H1243" s="164" t="s">
        <v>27</v>
      </c>
      <c r="I1243" s="168">
        <f>C1242</f>
        <v>8796.2929999999997</v>
      </c>
      <c r="J1243" s="180">
        <f>I1243*$I$1229</f>
        <v>1580.2540374499999</v>
      </c>
      <c r="K1243" s="165"/>
    </row>
    <row r="1244" spans="2:11">
      <c r="B1244" s="164" t="s">
        <v>29</v>
      </c>
      <c r="C1244" s="23">
        <f>Model!AF95</f>
        <v>2953</v>
      </c>
      <c r="D1244" s="23">
        <f>C1244*I1230</f>
        <v>590.57785249999995</v>
      </c>
      <c r="E1244" s="164"/>
      <c r="F1244" s="164"/>
      <c r="H1244" s="166" t="s">
        <v>28</v>
      </c>
      <c r="I1244" s="155">
        <f>I1239+I1243</f>
        <v>21927.642999999996</v>
      </c>
      <c r="J1244" s="155">
        <f>J1239+J1243</f>
        <v>3939.3010649499997</v>
      </c>
      <c r="K1244" s="167"/>
    </row>
    <row r="1245" spans="2:11">
      <c r="H1245" s="164" t="s">
        <v>29</v>
      </c>
      <c r="I1245" s="6">
        <f>C1244</f>
        <v>2953</v>
      </c>
      <c r="J1245" s="6"/>
      <c r="K1245" s="164"/>
    </row>
    <row r="1246" spans="2:11">
      <c r="B1246" s="97" t="s">
        <v>30</v>
      </c>
      <c r="C1246" s="98">
        <f>C1239-Model!AF153</f>
        <v>0</v>
      </c>
    </row>
    <row r="1248" spans="2:11">
      <c r="B1248" s="36" t="s">
        <v>31</v>
      </c>
      <c r="C1248" s="120">
        <f>C1241+Model!AF161</f>
        <v>18809.440999999999</v>
      </c>
      <c r="D1248" s="176"/>
    </row>
    <row r="1249" spans="1:14">
      <c r="B1249" s="36" t="s">
        <v>33</v>
      </c>
      <c r="C1249" s="37">
        <f>C1248/C1244</f>
        <v>6.3696041313918048</v>
      </c>
      <c r="D1249" s="177"/>
    </row>
    <row r="1251" spans="1:14" ht="13.5" thickBot="1"/>
    <row r="1252" spans="1:14">
      <c r="B1252" s="65" t="s">
        <v>220</v>
      </c>
      <c r="C1252" s="66" t="s">
        <v>74</v>
      </c>
      <c r="D1252" s="66" t="s">
        <v>75</v>
      </c>
    </row>
    <row r="1253" spans="1:14">
      <c r="B1253" s="67"/>
      <c r="C1253" s="93"/>
      <c r="D1253" s="93"/>
    </row>
    <row r="1254" spans="1:14">
      <c r="B1254" s="67" t="s">
        <v>35</v>
      </c>
      <c r="C1254" s="93">
        <f>C1240</f>
        <v>6478.098</v>
      </c>
      <c r="D1254" s="93">
        <f>C1254*I1229</f>
        <v>1163.7903057000001</v>
      </c>
    </row>
    <row r="1255" spans="1:14" ht="13.5" thickBot="1">
      <c r="B1255" s="68" t="s">
        <v>36</v>
      </c>
      <c r="C1255" s="94">
        <f>SUM(C1253:C1254)</f>
        <v>6478.098</v>
      </c>
      <c r="D1255" s="94">
        <f>SUM(D1253:D1254)</f>
        <v>1163.7903057000001</v>
      </c>
    </row>
    <row r="1257" spans="1:14">
      <c r="C1257" s="32"/>
    </row>
    <row r="1258" spans="1:14" ht="13.5" thickBot="1"/>
    <row r="1259" spans="1:14">
      <c r="B1259" s="170" t="s">
        <v>221</v>
      </c>
      <c r="C1259" s="66" t="s">
        <v>74</v>
      </c>
      <c r="D1259" s="66" t="s">
        <v>77</v>
      </c>
    </row>
    <row r="1260" spans="1:14">
      <c r="B1260" s="189">
        <v>2019</v>
      </c>
      <c r="C1260" s="179">
        <f>+$C$1239*34%</f>
        <v>4715.0312599999997</v>
      </c>
      <c r="D1260" s="179">
        <f>C1260*$I$1229</f>
        <v>847.05536585899995</v>
      </c>
      <c r="G1260" s="183"/>
    </row>
    <row r="1261" spans="1:14">
      <c r="B1261" s="189">
        <v>2020</v>
      </c>
      <c r="C1261" s="179">
        <f>+$C$1239*18%</f>
        <v>2496.1930199999997</v>
      </c>
      <c r="D1261" s="179">
        <f>C1261*$I$1229</f>
        <v>448.44107604299995</v>
      </c>
      <c r="G1261" s="183"/>
    </row>
    <row r="1262" spans="1:14">
      <c r="B1262" s="189">
        <v>2021</v>
      </c>
      <c r="C1262" s="179">
        <f>+$C$1239*23%</f>
        <v>3189.5799700000002</v>
      </c>
      <c r="D1262" s="179">
        <f>C1262*$I$1229</f>
        <v>573.00804161050007</v>
      </c>
      <c r="G1262" s="183"/>
    </row>
    <row r="1263" spans="1:14" s="29" customFormat="1">
      <c r="A1263" s="30"/>
      <c r="B1263" s="189">
        <v>2022</v>
      </c>
      <c r="C1263" s="179">
        <f>+$C$1239*22%</f>
        <v>3050.9025799999999</v>
      </c>
      <c r="D1263" s="179">
        <f>C1263*$I$1229</f>
        <v>548.09464849699998</v>
      </c>
      <c r="E1263" s="30"/>
      <c r="F1263" s="30"/>
      <c r="G1263" s="183"/>
      <c r="H1263" s="30"/>
      <c r="I1263" s="30"/>
      <c r="J1263" s="30"/>
      <c r="K1263" s="30"/>
      <c r="L1263" s="30"/>
      <c r="M1263" s="30"/>
      <c r="N1263" s="30"/>
    </row>
    <row r="1264" spans="1:14" ht="13.5" thickBot="1">
      <c r="B1264" s="190" t="s">
        <v>170</v>
      </c>
      <c r="C1264" s="192">
        <f>+$C$1239*2%</f>
        <v>277.35478000000001</v>
      </c>
      <c r="D1264" s="179">
        <f>C1264*$I$1229</f>
        <v>49.826786226999999</v>
      </c>
      <c r="G1264" s="183"/>
    </row>
    <row r="1265" spans="2:11" ht="13.5" thickBot="1">
      <c r="B1265" s="193" t="s">
        <v>40</v>
      </c>
      <c r="C1265" s="195">
        <f>SUM(C1260:C1264)</f>
        <v>13729.061609999999</v>
      </c>
      <c r="D1265" s="194">
        <f>SUM(D1260:D1264)</f>
        <v>2466.4259182364999</v>
      </c>
      <c r="G1265" s="183"/>
    </row>
    <row r="1270" spans="2:11">
      <c r="H1270" s="59" t="s">
        <v>222</v>
      </c>
      <c r="I1270" s="92">
        <f>Model!AE250</f>
        <v>0.19008152606360357</v>
      </c>
    </row>
    <row r="1271" spans="2:11" ht="25.5">
      <c r="B1271" s="157" t="s">
        <v>223</v>
      </c>
      <c r="C1271" s="157" t="s">
        <v>9</v>
      </c>
      <c r="D1271" s="157" t="s">
        <v>19</v>
      </c>
      <c r="E1271" s="158" t="s">
        <v>71</v>
      </c>
      <c r="F1271" s="158" t="s">
        <v>7</v>
      </c>
      <c r="G1271" s="59"/>
      <c r="H1271" s="59" t="s">
        <v>224</v>
      </c>
      <c r="I1271" s="92">
        <f>Model!G249</f>
        <v>0.21959999999999999</v>
      </c>
    </row>
    <row r="1272" spans="2:11">
      <c r="B1272" s="159"/>
      <c r="C1272" s="160"/>
      <c r="D1272" s="160"/>
      <c r="E1272" s="95"/>
      <c r="F1272" s="95"/>
      <c r="G1272" s="95"/>
      <c r="H1272" s="59"/>
      <c r="I1272" s="92"/>
    </row>
    <row r="1273" spans="2:11">
      <c r="B1273" s="161" t="s">
        <v>14</v>
      </c>
      <c r="C1273" s="180">
        <f>SUM(Model!AE125:AE145)</f>
        <v>7162</v>
      </c>
      <c r="D1273" s="180">
        <f>C1273*$I$1270</f>
        <v>1361.3638896675288</v>
      </c>
      <c r="E1273" s="95"/>
      <c r="F1273" s="95"/>
      <c r="G1273" s="96"/>
      <c r="H1273" s="184" t="s">
        <v>8</v>
      </c>
      <c r="I1273" s="92"/>
    </row>
    <row r="1274" spans="2:11">
      <c r="B1274" s="162" t="s">
        <v>15</v>
      </c>
      <c r="C1274" s="153">
        <f>C1273</f>
        <v>7162</v>
      </c>
      <c r="D1274" s="153">
        <f>D1273</f>
        <v>1361.3638896675288</v>
      </c>
      <c r="E1274" s="163">
        <f>C1274/C1282</f>
        <v>2.5606006435466573</v>
      </c>
      <c r="F1274" s="163">
        <f>D1274/D1282</f>
        <v>2.2164065481092625</v>
      </c>
      <c r="G1274" s="96"/>
      <c r="H1274" s="157" t="s">
        <v>223</v>
      </c>
      <c r="I1274" s="157" t="s">
        <v>9</v>
      </c>
      <c r="J1274" s="157" t="s">
        <v>19</v>
      </c>
      <c r="K1274" s="158" t="s">
        <v>71</v>
      </c>
    </row>
    <row r="1275" spans="2:11">
      <c r="B1275" s="161" t="s">
        <v>137</v>
      </c>
      <c r="C1275" s="180">
        <f>Model!AE146</f>
        <v>2657</v>
      </c>
      <c r="D1275" s="180">
        <f>C1275*$I$1270</f>
        <v>505.04661475099471</v>
      </c>
      <c r="E1275" s="95"/>
      <c r="F1275" s="95"/>
      <c r="G1275" s="96"/>
      <c r="H1275" s="159"/>
      <c r="I1275" s="160"/>
      <c r="J1275" s="160"/>
      <c r="K1275" s="95"/>
    </row>
    <row r="1276" spans="2:11">
      <c r="B1276" s="161" t="s">
        <v>138</v>
      </c>
      <c r="C1276" s="180">
        <f>Model!AE147</f>
        <v>2130</v>
      </c>
      <c r="D1276" s="180">
        <f>C1276*$I$1270</f>
        <v>404.87365051547562</v>
      </c>
      <c r="E1276" s="95"/>
      <c r="F1276" s="95"/>
      <c r="G1276" s="96"/>
      <c r="H1276" s="161" t="s">
        <v>209</v>
      </c>
      <c r="I1276" s="180">
        <v>10425.91</v>
      </c>
      <c r="J1276" s="180">
        <f>I1276*$I$1270</f>
        <v>1981.7728834017851</v>
      </c>
      <c r="K1276" s="95"/>
    </row>
    <row r="1277" spans="2:11">
      <c r="B1277" s="162" t="s">
        <v>23</v>
      </c>
      <c r="C1277" s="153">
        <f>SUM(C1274:C1276)</f>
        <v>11949</v>
      </c>
      <c r="D1277" s="153">
        <f>SUM(D1274:D1276)</f>
        <v>2271.2841549339992</v>
      </c>
      <c r="E1277" s="163">
        <f>+C1277/C1282</f>
        <v>4.2720772255988555</v>
      </c>
      <c r="F1277" s="163">
        <f>+D1277/D1282</f>
        <v>3.6978276798879612</v>
      </c>
      <c r="H1277" s="161" t="s">
        <v>210</v>
      </c>
      <c r="I1277" s="180">
        <v>1522.3679999999999</v>
      </c>
      <c r="J1277" s="180">
        <f>I1277*$I$1270</f>
        <v>289.37403267039605</v>
      </c>
      <c r="K1277" s="95"/>
    </row>
    <row r="1278" spans="2:11">
      <c r="B1278" s="164" t="s">
        <v>25</v>
      </c>
      <c r="C1278" s="154">
        <f>Model!AE150</f>
        <v>5341.5240000000003</v>
      </c>
      <c r="D1278" s="180">
        <f>C1278*$I$1270</f>
        <v>1015.325033425364</v>
      </c>
      <c r="E1278" s="165"/>
      <c r="F1278" s="165"/>
      <c r="H1278" s="162" t="s">
        <v>23</v>
      </c>
      <c r="I1278" s="153">
        <f>SUM(I1276:I1277)</f>
        <v>11948.278</v>
      </c>
      <c r="J1278" s="153">
        <f>SUM(J1276:J1277)</f>
        <v>2271.1469160721813</v>
      </c>
      <c r="K1278" s="163">
        <f>+I1278/I1283</f>
        <v>4.2718190918841614</v>
      </c>
    </row>
    <row r="1279" spans="2:11">
      <c r="B1279" s="162" t="s">
        <v>26</v>
      </c>
      <c r="C1279" s="153">
        <f>+C1277-C1278</f>
        <v>6607.4759999999997</v>
      </c>
      <c r="D1279" s="153">
        <f>+D1277-D1278</f>
        <v>1255.9591215086352</v>
      </c>
      <c r="E1279" s="163">
        <f>+C1279/C1282</f>
        <v>2.3623439399356454</v>
      </c>
      <c r="F1279" s="163">
        <f>+D1279/D1282</f>
        <v>2.0447993678965091</v>
      </c>
      <c r="H1279" s="164" t="s">
        <v>25</v>
      </c>
      <c r="I1279" s="154">
        <v>5341.5240000000003</v>
      </c>
      <c r="J1279" s="180">
        <f>I1279*$I$1270</f>
        <v>1015.325033425364</v>
      </c>
      <c r="K1279" s="165"/>
    </row>
    <row r="1280" spans="2:11">
      <c r="B1280" s="164" t="s">
        <v>27</v>
      </c>
      <c r="C1280" s="168">
        <f>Model!AE162</f>
        <v>8219.1620000000003</v>
      </c>
      <c r="D1280" s="180">
        <f>C1280*$I$1270</f>
        <v>1562.3108559239802</v>
      </c>
      <c r="E1280" s="165"/>
      <c r="F1280" s="165"/>
      <c r="H1280" s="162" t="s">
        <v>26</v>
      </c>
      <c r="I1280" s="153">
        <f>+I1278-I1279</f>
        <v>6606.7539999999999</v>
      </c>
      <c r="J1280" s="153">
        <f>+J1278-J1279</f>
        <v>1255.8218826468174</v>
      </c>
      <c r="K1280" s="163">
        <f>+I1280/I1283</f>
        <v>2.3620858062209509</v>
      </c>
    </row>
    <row r="1281" spans="2:11">
      <c r="B1281" s="166" t="s">
        <v>28</v>
      </c>
      <c r="C1281" s="155">
        <f>C1277+C1280</f>
        <v>20168.162</v>
      </c>
      <c r="D1281" s="155">
        <f>D1277+D1280</f>
        <v>3833.5950108579791</v>
      </c>
      <c r="E1281" s="167"/>
      <c r="F1281" s="167"/>
      <c r="H1281" s="164" t="s">
        <v>27</v>
      </c>
      <c r="I1281" s="168">
        <f>C1280</f>
        <v>8219.1620000000003</v>
      </c>
      <c r="J1281" s="180">
        <f>I1281*$I$1270</f>
        <v>1562.3108559239802</v>
      </c>
      <c r="K1281" s="165"/>
    </row>
    <row r="1282" spans="2:11">
      <c r="B1282" s="164" t="s">
        <v>29</v>
      </c>
      <c r="C1282" s="6">
        <f>Model!AE95</f>
        <v>2797</v>
      </c>
      <c r="D1282" s="6">
        <f>C1282*I1271</f>
        <v>614.22119999999995</v>
      </c>
      <c r="E1282" s="164"/>
      <c r="F1282" s="164"/>
      <c r="H1282" s="166" t="s">
        <v>28</v>
      </c>
      <c r="I1282" s="155">
        <f>I1278+I1281</f>
        <v>20167.440000000002</v>
      </c>
      <c r="J1282" s="155">
        <f>J1278+J1281</f>
        <v>3833.4577719961617</v>
      </c>
      <c r="K1282" s="167"/>
    </row>
    <row r="1283" spans="2:11">
      <c r="H1283" s="164" t="s">
        <v>29</v>
      </c>
      <c r="I1283" s="6">
        <f>C1282</f>
        <v>2797</v>
      </c>
      <c r="J1283" s="6"/>
      <c r="K1283" s="164"/>
    </row>
    <row r="1284" spans="2:11" ht="12" customHeight="1">
      <c r="B1284" s="97" t="s">
        <v>30</v>
      </c>
      <c r="C1284" s="98">
        <f>C1277-Model!AE153</f>
        <v>0</v>
      </c>
    </row>
    <row r="1286" spans="2:11">
      <c r="B1286" s="36" t="s">
        <v>31</v>
      </c>
      <c r="C1286" s="120">
        <f>C1279+Model!AE161</f>
        <v>18885.475999999999</v>
      </c>
      <c r="D1286" s="176"/>
    </row>
    <row r="1287" spans="2:11">
      <c r="B1287" s="36" t="s">
        <v>33</v>
      </c>
      <c r="C1287" s="37">
        <f>C1286/C1282</f>
        <v>6.7520471934215225</v>
      </c>
      <c r="D1287" s="177"/>
    </row>
    <row r="1289" spans="2:11" ht="13.5" thickBot="1"/>
    <row r="1290" spans="2:11">
      <c r="B1290" s="65" t="s">
        <v>225</v>
      </c>
      <c r="C1290" s="66" t="s">
        <v>74</v>
      </c>
      <c r="D1290" s="66" t="s">
        <v>75</v>
      </c>
    </row>
    <row r="1291" spans="2:11">
      <c r="B1291" s="67"/>
      <c r="C1291" s="93"/>
      <c r="D1291" s="93"/>
    </row>
    <row r="1292" spans="2:11">
      <c r="B1292" s="67" t="s">
        <v>35</v>
      </c>
      <c r="C1292" s="93">
        <f>C1278</f>
        <v>5341.5240000000003</v>
      </c>
      <c r="D1292" s="93">
        <f>C1292*I1270</f>
        <v>1015.325033425364</v>
      </c>
    </row>
    <row r="1293" spans="2:11" ht="13.5" thickBot="1">
      <c r="B1293" s="68" t="s">
        <v>36</v>
      </c>
      <c r="C1293" s="94">
        <f>SUM(C1291:C1292)</f>
        <v>5341.5240000000003</v>
      </c>
      <c r="D1293" s="94">
        <f>SUM(D1291:D1292)</f>
        <v>1015.325033425364</v>
      </c>
    </row>
    <row r="1295" spans="2:11">
      <c r="C1295" s="32"/>
    </row>
    <row r="1296" spans="2:11" ht="13.5" thickBot="1"/>
    <row r="1297" spans="2:14">
      <c r="B1297" s="170" t="s">
        <v>226</v>
      </c>
      <c r="C1297" s="66" t="s">
        <v>74</v>
      </c>
      <c r="D1297" s="66" t="s">
        <v>77</v>
      </c>
    </row>
    <row r="1298" spans="2:14">
      <c r="B1298" s="189">
        <v>2019</v>
      </c>
      <c r="C1298" s="179">
        <f>+$C$1277*46%</f>
        <v>5496.54</v>
      </c>
      <c r="D1298" s="179">
        <f>C1298*$I$1270</f>
        <v>1044.7907112696396</v>
      </c>
      <c r="G1298" s="183"/>
      <c r="I1298" s="30">
        <f>46+11+18+23+2</f>
        <v>100</v>
      </c>
    </row>
    <row r="1299" spans="2:14">
      <c r="B1299" s="189">
        <v>2020</v>
      </c>
      <c r="C1299" s="179">
        <f>+$C$1277*11%</f>
        <v>1314.39</v>
      </c>
      <c r="D1299" s="179">
        <f>C1299*$I$1270</f>
        <v>249.84125704273993</v>
      </c>
      <c r="G1299" s="183"/>
    </row>
    <row r="1300" spans="2:14">
      <c r="B1300" s="189">
        <v>2021</v>
      </c>
      <c r="C1300" s="179">
        <f>+$C$1277*18%</f>
        <v>2150.8199999999997</v>
      </c>
      <c r="D1300" s="179">
        <f>C1300*$I$1270</f>
        <v>408.83114788811974</v>
      </c>
      <c r="G1300" s="183"/>
    </row>
    <row r="1301" spans="2:14">
      <c r="B1301" s="189">
        <v>2022</v>
      </c>
      <c r="C1301" s="179">
        <f>+$C$1277*23%</f>
        <v>2748.27</v>
      </c>
      <c r="D1301" s="179">
        <f>C1301*$I$1270</f>
        <v>522.39535563481979</v>
      </c>
      <c r="G1301" s="183"/>
    </row>
    <row r="1302" spans="2:14" ht="13.5" thickBot="1">
      <c r="B1302" s="190" t="s">
        <v>170</v>
      </c>
      <c r="C1302" s="192">
        <f>+$C$1277*2%</f>
        <v>238.98000000000002</v>
      </c>
      <c r="D1302" s="179">
        <f>C1302*$I$1270</f>
        <v>45.425683098679983</v>
      </c>
      <c r="G1302" s="183"/>
    </row>
    <row r="1303" spans="2:14" ht="13.5" thickBot="1">
      <c r="B1303" s="193" t="s">
        <v>40</v>
      </c>
      <c r="C1303" s="195">
        <f>SUM(C1298:C1302)</f>
        <v>11949</v>
      </c>
      <c r="D1303" s="194">
        <f>SUM(D1298:D1302)</f>
        <v>2271.2841549339992</v>
      </c>
      <c r="G1303" s="183"/>
    </row>
    <row r="1304" spans="2:14">
      <c r="M1304" s="29"/>
      <c r="N1304" s="29"/>
    </row>
    <row r="1307" spans="2:14">
      <c r="B1307" s="157" t="s">
        <v>227</v>
      </c>
      <c r="C1307" s="157" t="s">
        <v>9</v>
      </c>
      <c r="D1307" s="157" t="s">
        <v>19</v>
      </c>
      <c r="E1307" s="158" t="s">
        <v>71</v>
      </c>
      <c r="F1307" s="191"/>
      <c r="G1307" s="59"/>
      <c r="H1307" s="59" t="s">
        <v>228</v>
      </c>
      <c r="I1307" s="92">
        <f>Model!AD250</f>
        <v>0.16693935432645157</v>
      </c>
    </row>
    <row r="1308" spans="2:14">
      <c r="B1308" s="159"/>
      <c r="C1308" s="160"/>
      <c r="D1308" s="160"/>
      <c r="E1308" s="95"/>
      <c r="F1308" s="95"/>
      <c r="G1308" s="95"/>
      <c r="H1308" s="59"/>
      <c r="I1308" s="92"/>
    </row>
    <row r="1309" spans="2:14">
      <c r="B1309" s="161" t="s">
        <v>14</v>
      </c>
      <c r="C1309" s="180">
        <f>SUM(Model!AD125:AD145)</f>
        <v>6027</v>
      </c>
      <c r="D1309" s="180">
        <f>C1309*$I$1307</f>
        <v>1006.1434885255236</v>
      </c>
      <c r="E1309" s="95"/>
      <c r="F1309" s="95"/>
      <c r="G1309" s="96"/>
      <c r="H1309" s="184" t="s">
        <v>8</v>
      </c>
      <c r="I1309" s="92"/>
    </row>
    <row r="1310" spans="2:14">
      <c r="B1310" s="162" t="s">
        <v>15</v>
      </c>
      <c r="C1310" s="153">
        <f>C1309</f>
        <v>6027</v>
      </c>
      <c r="D1310" s="153">
        <f>D1309</f>
        <v>1006.1434885255236</v>
      </c>
      <c r="E1310" s="163">
        <f>C1310/C1318</f>
        <v>2.6023316062176165</v>
      </c>
      <c r="F1310" s="167"/>
      <c r="G1310" s="96"/>
      <c r="H1310" s="157" t="s">
        <v>227</v>
      </c>
      <c r="I1310" s="157" t="s">
        <v>9</v>
      </c>
      <c r="J1310" s="157" t="s">
        <v>19</v>
      </c>
      <c r="K1310" s="158" t="s">
        <v>71</v>
      </c>
    </row>
    <row r="1311" spans="2:14">
      <c r="B1311" s="161" t="s">
        <v>137</v>
      </c>
      <c r="C1311" s="180">
        <f>Model!AD146</f>
        <v>3063</v>
      </c>
      <c r="D1311" s="180">
        <f>C1311*$I$1307</f>
        <v>511.33524230192114</v>
      </c>
      <c r="E1311" s="95"/>
      <c r="F1311" s="95"/>
      <c r="G1311" s="96"/>
      <c r="H1311" s="159"/>
      <c r="I1311" s="160"/>
      <c r="J1311" s="160"/>
      <c r="K1311" s="95"/>
    </row>
    <row r="1312" spans="2:14">
      <c r="B1312" s="161" t="s">
        <v>138</v>
      </c>
      <c r="C1312" s="180">
        <f>Model!AD147</f>
        <v>2433</v>
      </c>
      <c r="D1312" s="180">
        <f>C1312*$I$1307</f>
        <v>406.16344907625665</v>
      </c>
      <c r="E1312" s="95"/>
      <c r="F1312" s="95"/>
      <c r="G1312" s="96"/>
      <c r="H1312" s="161" t="s">
        <v>209</v>
      </c>
      <c r="I1312" s="180">
        <v>10570.29</v>
      </c>
      <c r="J1312" s="180">
        <f>I1312*$I$1307</f>
        <v>1764.5973876433479</v>
      </c>
      <c r="K1312" s="95"/>
    </row>
    <row r="1313" spans="2:11">
      <c r="B1313" s="162" t="s">
        <v>23</v>
      </c>
      <c r="C1313" s="153">
        <f>SUM(C1310:C1312)</f>
        <v>11523</v>
      </c>
      <c r="D1313" s="153">
        <f>SUM(D1310:D1312)</f>
        <v>1923.6421799037014</v>
      </c>
      <c r="E1313" s="163">
        <f>+C1313/C1318</f>
        <v>4.9753886010362693</v>
      </c>
      <c r="F1313" s="167"/>
      <c r="H1313" s="161" t="s">
        <v>210</v>
      </c>
      <c r="I1313" s="180">
        <v>952.25599999999997</v>
      </c>
      <c r="J1313" s="180">
        <f>I1313*$I$1307</f>
        <v>158.96900179348947</v>
      </c>
      <c r="K1313" s="95"/>
    </row>
    <row r="1314" spans="2:11">
      <c r="B1314" s="164" t="s">
        <v>25</v>
      </c>
      <c r="C1314" s="154">
        <f>Model!AD150</f>
        <v>4225.1639999999998</v>
      </c>
      <c r="D1314" s="180">
        <f>C1314*$I$1307</f>
        <v>705.34615008336743</v>
      </c>
      <c r="E1314" s="165"/>
      <c r="F1314" s="165"/>
      <c r="H1314" s="162" t="s">
        <v>23</v>
      </c>
      <c r="I1314" s="153">
        <f>SUM(I1312:I1313)</f>
        <v>11522.546</v>
      </c>
      <c r="J1314" s="153">
        <f>SUM(J1312:J1313)</f>
        <v>1923.5663894368374</v>
      </c>
      <c r="K1314" s="163">
        <f>+I1314/I1319</f>
        <v>4.9751925734024178</v>
      </c>
    </row>
    <row r="1315" spans="2:11">
      <c r="B1315" s="162" t="s">
        <v>26</v>
      </c>
      <c r="C1315" s="153">
        <f>+C1313-C1314</f>
        <v>7297.8360000000002</v>
      </c>
      <c r="D1315" s="153">
        <f>+D1313-D1314</f>
        <v>1218.2960298203338</v>
      </c>
      <c r="E1315" s="163">
        <f>+C1315/C1318</f>
        <v>3.1510518134715029</v>
      </c>
      <c r="F1315" s="167"/>
      <c r="H1315" s="164" t="s">
        <v>25</v>
      </c>
      <c r="I1315" s="154">
        <v>4225.1639999999998</v>
      </c>
      <c r="J1315" s="180">
        <f>I1315*$I$1307</f>
        <v>705.34615008336743</v>
      </c>
      <c r="K1315" s="165"/>
    </row>
    <row r="1316" spans="2:11">
      <c r="B1316" s="164" t="s">
        <v>27</v>
      </c>
      <c r="C1316" s="168">
        <f>Model!AD162</f>
        <v>9001.4249999999993</v>
      </c>
      <c r="D1316" s="180">
        <f>C1316*$I$1307</f>
        <v>1502.6920775179792</v>
      </c>
      <c r="E1316" s="165"/>
      <c r="F1316" s="165"/>
      <c r="H1316" s="162" t="s">
        <v>26</v>
      </c>
      <c r="I1316" s="153">
        <f>+I1314-I1315</f>
        <v>7297.3820000000005</v>
      </c>
      <c r="J1316" s="153">
        <f>+J1314-J1315</f>
        <v>1218.2202393534699</v>
      </c>
      <c r="K1316" s="163">
        <f>+I1316/I1319</f>
        <v>3.1508557858376514</v>
      </c>
    </row>
    <row r="1317" spans="2:11">
      <c r="B1317" s="166" t="s">
        <v>28</v>
      </c>
      <c r="C1317" s="155">
        <f>C1313+C1316</f>
        <v>20524.424999999999</v>
      </c>
      <c r="D1317" s="155">
        <f>D1313+D1316</f>
        <v>3426.3342574216804</v>
      </c>
      <c r="E1317" s="167"/>
      <c r="F1317" s="167"/>
      <c r="H1317" s="164" t="s">
        <v>27</v>
      </c>
      <c r="I1317" s="168">
        <f>C1316</f>
        <v>9001.4249999999993</v>
      </c>
      <c r="J1317" s="180">
        <f>I1317*$I$1307</f>
        <v>1502.6920775179792</v>
      </c>
      <c r="K1317" s="165"/>
    </row>
    <row r="1318" spans="2:11">
      <c r="B1318" s="164" t="s">
        <v>29</v>
      </c>
      <c r="C1318" s="6">
        <f>Model!AD95</f>
        <v>2316</v>
      </c>
      <c r="D1318" s="6"/>
      <c r="E1318" s="164"/>
      <c r="F1318" s="164"/>
      <c r="H1318" s="166" t="s">
        <v>28</v>
      </c>
      <c r="I1318" s="155">
        <f>I1314+I1317</f>
        <v>20523.970999999998</v>
      </c>
      <c r="J1318" s="155">
        <f>J1314+J1317</f>
        <v>3426.2584669548169</v>
      </c>
      <c r="K1318" s="167"/>
    </row>
    <row r="1319" spans="2:11">
      <c r="H1319" s="164" t="s">
        <v>29</v>
      </c>
      <c r="I1319" s="6">
        <f>C1318</f>
        <v>2316</v>
      </c>
      <c r="J1319" s="6"/>
      <c r="K1319" s="164"/>
    </row>
    <row r="1320" spans="2:11">
      <c r="B1320" s="97" t="s">
        <v>30</v>
      </c>
      <c r="C1320" s="98">
        <f>C1313-Model!AD153</f>
        <v>0</v>
      </c>
    </row>
    <row r="1322" spans="2:11">
      <c r="B1322" s="36" t="s">
        <v>31</v>
      </c>
      <c r="C1322" s="120">
        <f>C1315+Model!AD161</f>
        <v>16656.635999999999</v>
      </c>
      <c r="D1322" s="176"/>
    </row>
    <row r="1323" spans="2:11">
      <c r="B1323" s="36" t="s">
        <v>33</v>
      </c>
      <c r="C1323" s="37">
        <f>C1322/C1318</f>
        <v>7.1919844559585488</v>
      </c>
      <c r="D1323" s="177"/>
    </row>
    <row r="1325" spans="2:11" ht="13.5" thickBot="1"/>
    <row r="1326" spans="2:11">
      <c r="B1326" s="65" t="s">
        <v>229</v>
      </c>
      <c r="C1326" s="66" t="s">
        <v>74</v>
      </c>
      <c r="D1326" s="66" t="s">
        <v>75</v>
      </c>
    </row>
    <row r="1327" spans="2:11">
      <c r="B1327" s="67"/>
      <c r="C1327" s="93"/>
      <c r="D1327" s="93"/>
    </row>
    <row r="1328" spans="2:11">
      <c r="B1328" s="67" t="s">
        <v>35</v>
      </c>
      <c r="C1328" s="93">
        <f>C1314</f>
        <v>4225.1639999999998</v>
      </c>
      <c r="D1328" s="93">
        <f>C1328*I1307</f>
        <v>705.34615008336743</v>
      </c>
    </row>
    <row r="1329" spans="2:9" ht="13.5" thickBot="1">
      <c r="B1329" s="68" t="s">
        <v>36</v>
      </c>
      <c r="C1329" s="94">
        <f>SUM(C1327:C1328)</f>
        <v>4225.1639999999998</v>
      </c>
      <c r="D1329" s="94">
        <f>SUM(D1327:D1328)</f>
        <v>705.34615008336743</v>
      </c>
    </row>
    <row r="1331" spans="2:9">
      <c r="C1331" s="32"/>
    </row>
    <row r="1332" spans="2:9" ht="13.5" thickBot="1"/>
    <row r="1333" spans="2:9">
      <c r="B1333" s="170" t="s">
        <v>230</v>
      </c>
      <c r="C1333" s="66" t="s">
        <v>74</v>
      </c>
      <c r="D1333" s="66" t="s">
        <v>77</v>
      </c>
    </row>
    <row r="1334" spans="2:9">
      <c r="B1334" s="189">
        <v>2018</v>
      </c>
      <c r="C1334" s="186">
        <f>+$C$1313*9%</f>
        <v>1037.07</v>
      </c>
      <c r="D1334" s="179">
        <f t="shared" ref="D1334:D1339" si="54">C1334*$I$1307</f>
        <v>173.12779619133312</v>
      </c>
      <c r="G1334" s="183"/>
    </row>
    <row r="1335" spans="2:9">
      <c r="B1335" s="189">
        <v>2019</v>
      </c>
      <c r="C1335" s="187">
        <f>+$C1313*31%</f>
        <v>3572.13</v>
      </c>
      <c r="D1335" s="179">
        <f t="shared" si="54"/>
        <v>596.32907577014748</v>
      </c>
      <c r="G1335" s="183"/>
    </row>
    <row r="1336" spans="2:9">
      <c r="B1336" s="189">
        <v>2020</v>
      </c>
      <c r="C1336" s="187">
        <f>+$C$1313*12%</f>
        <v>1382.76</v>
      </c>
      <c r="D1336" s="179">
        <f t="shared" si="54"/>
        <v>230.83706158844419</v>
      </c>
      <c r="G1336" s="183"/>
    </row>
    <row r="1337" spans="2:9">
      <c r="B1337" s="189">
        <v>2021</v>
      </c>
      <c r="C1337" s="187">
        <f>+$C$1313*21%</f>
        <v>2419.83</v>
      </c>
      <c r="D1337" s="179">
        <f t="shared" si="54"/>
        <v>403.96485777977728</v>
      </c>
      <c r="G1337" s="183"/>
    </row>
    <row r="1338" spans="2:9">
      <c r="B1338" s="189">
        <v>2022</v>
      </c>
      <c r="C1338" s="187">
        <f>+$C$1313*0%</f>
        <v>0</v>
      </c>
      <c r="D1338" s="179">
        <f t="shared" si="54"/>
        <v>0</v>
      </c>
      <c r="G1338" s="183"/>
    </row>
    <row r="1339" spans="2:9" ht="13.5" thickBot="1">
      <c r="B1339" s="190">
        <v>2023</v>
      </c>
      <c r="C1339" s="188">
        <f>+$C$1313*27%</f>
        <v>3111.21</v>
      </c>
      <c r="D1339" s="185">
        <f t="shared" si="54"/>
        <v>519.38338857399935</v>
      </c>
      <c r="G1339" s="183"/>
    </row>
    <row r="1340" spans="2:9">
      <c r="B1340" s="59" t="s">
        <v>40</v>
      </c>
      <c r="C1340" s="171">
        <f>SUM(C1334:C1339)</f>
        <v>11523</v>
      </c>
      <c r="D1340" s="103">
        <f>SUM(D1334:D1339)</f>
        <v>1923.6421799037014</v>
      </c>
      <c r="G1340" s="183"/>
    </row>
    <row r="1344" spans="2:9" ht="38.25">
      <c r="B1344" s="156" t="s">
        <v>9</v>
      </c>
      <c r="C1344" s="157" t="s">
        <v>231</v>
      </c>
      <c r="D1344" s="158" t="s">
        <v>71</v>
      </c>
      <c r="E1344" s="59"/>
      <c r="F1344" s="59"/>
      <c r="G1344" s="92"/>
      <c r="H1344" s="59" t="s">
        <v>232</v>
      </c>
      <c r="I1344" s="92">
        <f>Model!AC250</f>
        <v>0.2192645677877921</v>
      </c>
    </row>
    <row r="1345" spans="2:9">
      <c r="B1345" s="159"/>
      <c r="C1345" s="160"/>
      <c r="D1345" s="95"/>
      <c r="E1345" s="95"/>
      <c r="F1345" s="95"/>
      <c r="G1345" s="95"/>
      <c r="H1345" s="29"/>
      <c r="I1345" s="29"/>
    </row>
    <row r="1346" spans="2:9">
      <c r="B1346" s="161" t="s">
        <v>14</v>
      </c>
      <c r="C1346" s="152">
        <f>SUM(Model!AC125:AC145)</f>
        <v>5229.6000000000004</v>
      </c>
      <c r="D1346" s="95"/>
      <c r="E1346" s="96"/>
      <c r="F1346" s="96"/>
      <c r="G1346" s="96"/>
    </row>
    <row r="1347" spans="2:9">
      <c r="B1347" s="162" t="s">
        <v>15</v>
      </c>
      <c r="C1347" s="151">
        <f>C1346</f>
        <v>5229.6000000000004</v>
      </c>
      <c r="D1347" s="163">
        <f>C1347/C1355</f>
        <v>2.520289156626506</v>
      </c>
      <c r="E1347" s="96"/>
      <c r="F1347" s="96"/>
      <c r="G1347" s="96"/>
    </row>
    <row r="1348" spans="2:9">
      <c r="B1348" s="161" t="s">
        <v>137</v>
      </c>
      <c r="C1348" s="152">
        <f>Model!AC146</f>
        <v>2302</v>
      </c>
      <c r="D1348" s="95"/>
      <c r="E1348" s="96"/>
      <c r="F1348" s="96"/>
      <c r="G1348" s="96"/>
    </row>
    <row r="1349" spans="2:9">
      <c r="B1349" s="161" t="s">
        <v>138</v>
      </c>
      <c r="C1349" s="152">
        <f>Model!AC147</f>
        <v>1911</v>
      </c>
      <c r="D1349" s="95"/>
      <c r="E1349" s="96"/>
      <c r="F1349" s="96"/>
      <c r="G1349" s="96"/>
    </row>
    <row r="1350" spans="2:9">
      <c r="B1350" s="162" t="s">
        <v>23</v>
      </c>
      <c r="C1350" s="153">
        <f>SUM(C1347:C1349)</f>
        <v>9442.6</v>
      </c>
      <c r="D1350" s="163">
        <f>+C1350/C1355</f>
        <v>4.5506506024096387</v>
      </c>
    </row>
    <row r="1351" spans="2:9">
      <c r="B1351" s="164" t="s">
        <v>25</v>
      </c>
      <c r="C1351" s="154">
        <f>Model!AC150</f>
        <v>2955.9740000000002</v>
      </c>
      <c r="D1351" s="165"/>
    </row>
    <row r="1352" spans="2:9">
      <c r="B1352" s="162" t="s">
        <v>26</v>
      </c>
      <c r="C1352" s="153">
        <f>+C1350-C1351</f>
        <v>6486.6260000000002</v>
      </c>
      <c r="D1352" s="163">
        <f>+C1352/C1355</f>
        <v>3.1260848192771085</v>
      </c>
    </row>
    <row r="1353" spans="2:9">
      <c r="B1353" s="164" t="s">
        <v>27</v>
      </c>
      <c r="C1353" s="168">
        <f>Model!AC162</f>
        <v>7216.2939999999999</v>
      </c>
      <c r="D1353" s="165"/>
    </row>
    <row r="1354" spans="2:9">
      <c r="B1354" s="166" t="s">
        <v>28</v>
      </c>
      <c r="C1354" s="155">
        <f>C1350+C1353</f>
        <v>16658.894</v>
      </c>
      <c r="D1354" s="167"/>
    </row>
    <row r="1355" spans="2:9">
      <c r="B1355" s="164" t="s">
        <v>29</v>
      </c>
      <c r="C1355" s="6">
        <f>Model!AC95</f>
        <v>2075</v>
      </c>
      <c r="D1355" s="164"/>
    </row>
    <row r="1357" spans="2:9">
      <c r="B1357" s="97" t="s">
        <v>30</v>
      </c>
      <c r="C1357" s="98">
        <f>C1350-Model!AC153</f>
        <v>0</v>
      </c>
    </row>
    <row r="1359" spans="2:9">
      <c r="B1359" s="36" t="s">
        <v>31</v>
      </c>
      <c r="C1359" s="120">
        <f>C1352+Model!AC161</f>
        <v>14994.026</v>
      </c>
    </row>
    <row r="1360" spans="2:9">
      <c r="B1360" s="36" t="s">
        <v>33</v>
      </c>
      <c r="C1360" s="37">
        <f>C1359/C1355</f>
        <v>7.2260366265060236</v>
      </c>
    </row>
    <row r="1362" spans="2:4" ht="13.5" thickBot="1"/>
    <row r="1363" spans="2:4">
      <c r="B1363" s="65" t="s">
        <v>233</v>
      </c>
      <c r="C1363" s="66" t="s">
        <v>74</v>
      </c>
      <c r="D1363" s="66" t="s">
        <v>75</v>
      </c>
    </row>
    <row r="1364" spans="2:4">
      <c r="B1364" s="67"/>
      <c r="C1364" s="93"/>
      <c r="D1364" s="93"/>
    </row>
    <row r="1365" spans="2:4">
      <c r="B1365" s="67" t="s">
        <v>35</v>
      </c>
      <c r="C1365" s="93">
        <f>C1351</f>
        <v>2955.9740000000002</v>
      </c>
      <c r="D1365" s="93">
        <f>C1365*I1344</f>
        <v>648.14036150195102</v>
      </c>
    </row>
    <row r="1366" spans="2:4" ht="13.5" thickBot="1">
      <c r="B1366" s="68" t="s">
        <v>36</v>
      </c>
      <c r="C1366" s="94">
        <f>SUM(C1364:C1365)</f>
        <v>2955.9740000000002</v>
      </c>
      <c r="D1366" s="94">
        <f>SUM(D1364:D1365)</f>
        <v>648.14036150195102</v>
      </c>
    </row>
    <row r="1368" spans="2:4">
      <c r="C1368" s="32"/>
    </row>
    <row r="1369" spans="2:4" ht="13.5" thickBot="1"/>
    <row r="1370" spans="2:4">
      <c r="B1370" s="170" t="s">
        <v>234</v>
      </c>
      <c r="C1370" s="124" t="s">
        <v>74</v>
      </c>
      <c r="D1370" s="66" t="s">
        <v>77</v>
      </c>
    </row>
    <row r="1371" spans="2:4">
      <c r="B1371" s="60">
        <v>2018</v>
      </c>
      <c r="C1371" s="169">
        <f>834.725+3578.283</f>
        <v>4413.0079999999998</v>
      </c>
      <c r="D1371" s="147">
        <f t="shared" ref="D1371:D1376" si="55">C1371*$I$1344</f>
        <v>967.61629176406882</v>
      </c>
    </row>
    <row r="1372" spans="2:4">
      <c r="B1372" s="60">
        <v>2019</v>
      </c>
      <c r="C1372" s="125">
        <v>258.99099999999999</v>
      </c>
      <c r="D1372" s="147">
        <f t="shared" si="55"/>
        <v>56.787549675928062</v>
      </c>
    </row>
    <row r="1373" spans="2:4">
      <c r="B1373" s="60">
        <v>2020</v>
      </c>
      <c r="C1373" s="125">
        <v>640.15</v>
      </c>
      <c r="D1373" s="147">
        <f t="shared" si="55"/>
        <v>140.36221306935511</v>
      </c>
    </row>
    <row r="1374" spans="2:4">
      <c r="B1374" s="60">
        <v>2021</v>
      </c>
      <c r="C1374" s="125">
        <v>1858.22</v>
      </c>
      <c r="D1374" s="147">
        <f t="shared" si="55"/>
        <v>407.44180515463103</v>
      </c>
    </row>
    <row r="1375" spans="2:4">
      <c r="B1375" s="60">
        <v>2022</v>
      </c>
      <c r="C1375" s="125">
        <v>0</v>
      </c>
      <c r="D1375" s="147">
        <f t="shared" si="55"/>
        <v>0</v>
      </c>
    </row>
    <row r="1376" spans="2:4" ht="13.5" thickBot="1">
      <c r="B1376" s="61">
        <v>2023</v>
      </c>
      <c r="C1376" s="126">
        <v>2280.35</v>
      </c>
      <c r="D1376" s="178">
        <f t="shared" si="55"/>
        <v>499.99995715489172</v>
      </c>
    </row>
    <row r="1377" spans="1:12">
      <c r="B1377" s="59" t="s">
        <v>40</v>
      </c>
      <c r="C1377" s="171">
        <f>SUM(C1371:C1376)</f>
        <v>9450.7189999999991</v>
      </c>
      <c r="D1377" s="103">
        <f>SUM(D1371:D1376)</f>
        <v>2072.207816818875</v>
      </c>
    </row>
    <row r="1386" spans="1:12" ht="38.25">
      <c r="A1386" s="29"/>
      <c r="B1386" s="156" t="s">
        <v>9</v>
      </c>
      <c r="C1386" s="157" t="s">
        <v>235</v>
      </c>
      <c r="D1386" s="158" t="s">
        <v>71</v>
      </c>
      <c r="E1386" s="59"/>
      <c r="F1386" s="59"/>
      <c r="G1386" s="92"/>
      <c r="H1386" s="59" t="s">
        <v>236</v>
      </c>
      <c r="I1386" s="92">
        <f>Model!AB250</f>
        <v>0.25328579117063493</v>
      </c>
      <c r="L1386" s="29"/>
    </row>
    <row r="1387" spans="1:12">
      <c r="B1387" s="159"/>
      <c r="C1387" s="160"/>
      <c r="D1387" s="95"/>
      <c r="E1387" s="95"/>
      <c r="F1387" s="95"/>
      <c r="G1387" s="95"/>
      <c r="H1387" s="29"/>
      <c r="I1387" s="29"/>
      <c r="J1387" s="29"/>
      <c r="K1387" s="29"/>
    </row>
    <row r="1388" spans="1:12">
      <c r="B1388" s="161" t="s">
        <v>14</v>
      </c>
      <c r="C1388" s="152">
        <f>SUM(Model!AB125:AB145)</f>
        <v>4502.1000000000004</v>
      </c>
      <c r="D1388" s="95"/>
      <c r="E1388" s="96"/>
      <c r="F1388" s="96"/>
      <c r="G1388" s="96"/>
    </row>
    <row r="1389" spans="1:12">
      <c r="B1389" s="162" t="s">
        <v>15</v>
      </c>
      <c r="C1389" s="151">
        <f>C1388</f>
        <v>4502.1000000000004</v>
      </c>
      <c r="D1389" s="163">
        <f>C1389/C1397</f>
        <v>2.2600903614457835</v>
      </c>
      <c r="E1389" s="96"/>
      <c r="F1389" s="96"/>
      <c r="G1389" s="96"/>
    </row>
    <row r="1390" spans="1:12">
      <c r="B1390" s="161" t="s">
        <v>137</v>
      </c>
      <c r="C1390" s="152">
        <f>Model!AB146</f>
        <v>2016</v>
      </c>
      <c r="D1390" s="95"/>
      <c r="E1390" s="96"/>
      <c r="F1390" s="96"/>
      <c r="G1390" s="96"/>
    </row>
    <row r="1391" spans="1:12">
      <c r="B1391" s="161" t="s">
        <v>138</v>
      </c>
      <c r="C1391" s="152">
        <f>Model!AB147</f>
        <v>1734</v>
      </c>
      <c r="D1391" s="95"/>
      <c r="E1391" s="96"/>
      <c r="F1391" s="96"/>
      <c r="G1391" s="96"/>
    </row>
    <row r="1392" spans="1:12">
      <c r="B1392" s="162" t="s">
        <v>23</v>
      </c>
      <c r="C1392" s="153">
        <f>SUM(C1389:C1391)</f>
        <v>8252.1</v>
      </c>
      <c r="D1392" s="163">
        <f>+C1392/C1397</f>
        <v>4.142620481927711</v>
      </c>
    </row>
    <row r="1393" spans="2:4">
      <c r="B1393" s="164" t="s">
        <v>25</v>
      </c>
      <c r="C1393" s="154">
        <f>Model!AB150</f>
        <v>2611.5839999999998</v>
      </c>
      <c r="D1393" s="165"/>
    </row>
    <row r="1394" spans="2:4">
      <c r="B1394" s="162" t="s">
        <v>26</v>
      </c>
      <c r="C1394" s="153">
        <f>+C1392-C1393</f>
        <v>5640.5160000000005</v>
      </c>
      <c r="D1394" s="163">
        <f>+C1394/C1397</f>
        <v>2.8315843373493981</v>
      </c>
    </row>
    <row r="1395" spans="2:4">
      <c r="B1395" s="164" t="s">
        <v>27</v>
      </c>
      <c r="C1395" s="168">
        <f>Model!AB162</f>
        <v>6779.9970000000003</v>
      </c>
      <c r="D1395" s="165"/>
    </row>
    <row r="1396" spans="2:4">
      <c r="B1396" s="166" t="s">
        <v>28</v>
      </c>
      <c r="C1396" s="155">
        <f>C1392+C1395</f>
        <v>15032.097000000002</v>
      </c>
      <c r="D1396" s="167"/>
    </row>
    <row r="1397" spans="2:4">
      <c r="B1397" s="164" t="s">
        <v>29</v>
      </c>
      <c r="C1397" s="6">
        <f>Model!AB95</f>
        <v>1992</v>
      </c>
      <c r="D1397" s="164"/>
    </row>
    <row r="1399" spans="2:4">
      <c r="B1399" s="97" t="s">
        <v>30</v>
      </c>
      <c r="C1399" s="98">
        <f>C1392-Model!AB153</f>
        <v>0</v>
      </c>
    </row>
    <row r="1401" spans="2:4">
      <c r="B1401" s="36" t="s">
        <v>31</v>
      </c>
      <c r="C1401" s="120">
        <f>C1394+Model!AB161</f>
        <v>17702.216</v>
      </c>
    </row>
    <row r="1402" spans="2:4">
      <c r="B1402" s="36" t="s">
        <v>33</v>
      </c>
      <c r="C1402" s="37">
        <f>C1401/C1397</f>
        <v>8.8866546184738962</v>
      </c>
    </row>
    <row r="1404" spans="2:4" ht="13.5" thickBot="1"/>
    <row r="1405" spans="2:4">
      <c r="B1405" s="65" t="s">
        <v>237</v>
      </c>
      <c r="C1405" s="66" t="s">
        <v>74</v>
      </c>
      <c r="D1405" s="66" t="s">
        <v>75</v>
      </c>
    </row>
    <row r="1406" spans="2:4">
      <c r="B1406" s="67"/>
      <c r="C1406" s="93"/>
      <c r="D1406" s="93"/>
    </row>
    <row r="1407" spans="2:4">
      <c r="B1407" s="67" t="s">
        <v>35</v>
      </c>
      <c r="C1407" s="93">
        <f>Model!AB150</f>
        <v>2611.5839999999998</v>
      </c>
      <c r="D1407" s="93">
        <f>C1407*I1386</f>
        <v>661.47711964857137</v>
      </c>
    </row>
    <row r="1408" spans="2:4" ht="13.5" thickBot="1">
      <c r="B1408" s="68" t="s">
        <v>36</v>
      </c>
      <c r="C1408" s="94">
        <f>SUM(C1406:C1407)</f>
        <v>2611.5839999999998</v>
      </c>
      <c r="D1408" s="94">
        <f>SUM(D1406:D1407)</f>
        <v>661.47711964857137</v>
      </c>
    </row>
    <row r="1410" spans="2:4">
      <c r="C1410" s="32"/>
    </row>
    <row r="1411" spans="2:4" ht="13.5" thickBot="1"/>
    <row r="1412" spans="2:4">
      <c r="B1412" s="170" t="s">
        <v>238</v>
      </c>
      <c r="C1412" s="124" t="s">
        <v>74</v>
      </c>
      <c r="D1412" s="66" t="s">
        <v>77</v>
      </c>
    </row>
    <row r="1413" spans="2:4">
      <c r="B1413" s="60">
        <v>2018</v>
      </c>
      <c r="C1413" s="169">
        <f>742.512+3157.969+(4350.954-C1414-C1415-C1416-C1417-C1418)</f>
        <v>3890.3279999999995</v>
      </c>
      <c r="D1413" s="147">
        <f t="shared" ref="D1413:D1418" si="56">C1413*$I$1386</f>
        <v>985.36480539327374</v>
      </c>
    </row>
    <row r="1414" spans="2:4">
      <c r="B1414" s="60">
        <v>2019</v>
      </c>
      <c r="C1414" s="125">
        <v>448.16199999999998</v>
      </c>
      <c r="D1414" s="147">
        <f t="shared" si="56"/>
        <v>113.51306674261409</v>
      </c>
    </row>
    <row r="1415" spans="2:4">
      <c r="B1415" s="60">
        <v>2020</v>
      </c>
      <c r="C1415" s="125">
        <v>234.94</v>
      </c>
      <c r="D1415" s="147">
        <f t="shared" si="56"/>
        <v>59.506963777628968</v>
      </c>
    </row>
    <row r="1416" spans="2:4">
      <c r="B1416" s="60">
        <v>2021</v>
      </c>
      <c r="C1416" s="125">
        <v>1703.5550000000001</v>
      </c>
      <c r="D1416" s="147">
        <f t="shared" si="56"/>
        <v>431.48627597769104</v>
      </c>
    </row>
    <row r="1417" spans="2:4">
      <c r="B1417" s="60">
        <v>2022</v>
      </c>
      <c r="C1417" s="125">
        <v>0</v>
      </c>
      <c r="D1417" s="147">
        <f t="shared" si="56"/>
        <v>0</v>
      </c>
    </row>
    <row r="1418" spans="2:4" ht="13.5" thickBot="1">
      <c r="B1418" s="61">
        <v>2023</v>
      </c>
      <c r="C1418" s="126">
        <v>1974.45</v>
      </c>
      <c r="D1418" s="148">
        <f t="shared" si="56"/>
        <v>500.10013037686014</v>
      </c>
    </row>
    <row r="1419" spans="2:4">
      <c r="B1419" s="59" t="s">
        <v>40</v>
      </c>
      <c r="C1419" s="171">
        <f>SUM(C1413:C1418)</f>
        <v>8251.4349999999995</v>
      </c>
      <c r="D1419" s="103">
        <f>SUM(D1413:D1418)</f>
        <v>2089.9712422680682</v>
      </c>
    </row>
  </sheetData>
  <customSheetViews>
    <customSheetView guid="{46EB06C9-2753-4B8D-B228-9BDD8DF82F27}">
      <pageMargins left="0" right="0" top="0" bottom="0" header="0" footer="0"/>
      <pageSetup orientation="portrait" horizontalDpi="90" verticalDpi="90" r:id="rId1"/>
    </customSheetView>
  </customSheetViews>
  <pageMargins left="0.7" right="0.7" top="0.75" bottom="0.75" header="0.3" footer="0.3"/>
  <pageSetup orientation="portrait" horizontalDpi="90" verticalDpi="90" r:id="rId2"/>
  <ignoredErrors>
    <ignoredError sqref="D940:D946 I939:J944" formula="1"/>
  </ignoredErrors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BZ331"/>
  <sheetViews>
    <sheetView showGridLines="0" zoomScale="85" zoomScaleNormal="85" workbookViewId="0">
      <pane xSplit="2" ySplit="6" topLeftCell="O7" activePane="bottomRight" state="frozen"/>
      <selection pane="bottomRight" activeCell="I38" sqref="I38"/>
      <selection pane="bottomLeft" activeCell="I38" sqref="I38"/>
      <selection pane="topRight" activeCell="I38" sqref="I38"/>
    </sheetView>
  </sheetViews>
  <sheetFormatPr defaultColWidth="11.42578125" defaultRowHeight="13.5" customHeight="1" outlineLevelCol="1"/>
  <cols>
    <col min="1" max="1" width="2.7109375" style="1" customWidth="1"/>
    <col min="2" max="2" width="50.7109375" style="1" customWidth="1"/>
    <col min="3" max="7" width="12.7109375" style="1" hidden="1" customWidth="1" outlineLevel="1"/>
    <col min="8" max="8" width="12.7109375" style="1" hidden="1" customWidth="1" outlineLevel="1" collapsed="1"/>
    <col min="9" max="10" width="12.7109375" style="1" hidden="1" customWidth="1" outlineLevel="1"/>
    <col min="11" max="11" width="12.7109375" style="1" hidden="1" customWidth="1" outlineLevel="1" collapsed="1"/>
    <col min="12" max="13" width="12.7109375" style="1" hidden="1" customWidth="1" outlineLevel="1"/>
    <col min="14" max="14" width="12.7109375" style="1" customWidth="1" collapsed="1"/>
    <col min="15" max="19" width="12.7109375" style="1" customWidth="1"/>
    <col min="20" max="23" width="12.7109375" style="1" hidden="1" customWidth="1" outlineLevel="1"/>
    <col min="24" max="24" width="12.7109375" style="1" hidden="1" customWidth="1" outlineLevel="1" collapsed="1"/>
    <col min="25" max="27" width="12.7109375" style="1" hidden="1" customWidth="1" outlineLevel="1"/>
    <col min="28" max="28" width="12.7109375" style="1" hidden="1" customWidth="1" outlineLevel="1" collapsed="1"/>
    <col min="29" max="39" width="12.7109375" style="1" hidden="1" customWidth="1" outlineLevel="1"/>
    <col min="40" max="40" width="12.7109375" style="1" hidden="1" customWidth="1" outlineLevel="1" collapsed="1"/>
    <col min="41" max="43" width="12.7109375" style="1" hidden="1" customWidth="1" outlineLevel="1"/>
    <col min="44" max="44" width="12.7109375" style="1" hidden="1" customWidth="1" outlineLevel="1" collapsed="1"/>
    <col min="45" max="48" width="12.7109375" style="1" hidden="1" customWidth="1" outlineLevel="1"/>
    <col min="49" max="50" width="12.7109375" style="1" hidden="1" customWidth="1" outlineLevel="1" collapsed="1"/>
    <col min="51" max="51" width="12.7109375" style="1" hidden="1" customWidth="1" outlineLevel="1"/>
    <col min="52" max="52" width="12.7109375" style="1" customWidth="1" collapsed="1"/>
    <col min="53" max="55" width="12.7109375" style="1" customWidth="1"/>
    <col min="56" max="56" width="12.7109375" style="1" customWidth="1" collapsed="1"/>
    <col min="57" max="59" width="12.7109375" style="1" customWidth="1"/>
    <col min="60" max="60" width="12.7109375" style="1" customWidth="1" collapsed="1"/>
    <col min="61" max="61" width="12.7109375" style="1" customWidth="1"/>
    <col min="62" max="65" width="12.7109375" style="1" hidden="1" customWidth="1" outlineLevel="1"/>
    <col min="66" max="66" width="12.7109375" style="1" customWidth="1" collapsed="1"/>
    <col min="67" max="79" width="12.7109375" style="1" customWidth="1"/>
    <col min="80" max="16384" width="11.42578125" style="1"/>
  </cols>
  <sheetData>
    <row r="1" spans="2:76" ht="12.75"/>
    <row r="2" spans="2:76" s="2" customFormat="1" ht="21">
      <c r="B2" s="10" t="s">
        <v>239</v>
      </c>
      <c r="C2" s="12" t="s">
        <v>240</v>
      </c>
      <c r="D2" s="12" t="s">
        <v>240</v>
      </c>
      <c r="E2" s="12" t="s">
        <v>240</v>
      </c>
      <c r="F2" s="12" t="s">
        <v>240</v>
      </c>
      <c r="G2" s="12" t="s">
        <v>240</v>
      </c>
      <c r="H2" s="12" t="s">
        <v>240</v>
      </c>
      <c r="I2" s="12" t="s">
        <v>240</v>
      </c>
      <c r="J2" s="12" t="s">
        <v>240</v>
      </c>
      <c r="K2" s="12" t="s">
        <v>240</v>
      </c>
      <c r="L2" s="12" t="s">
        <v>240</v>
      </c>
      <c r="M2" s="12" t="s">
        <v>240</v>
      </c>
      <c r="N2" s="12" t="s">
        <v>240</v>
      </c>
      <c r="O2" s="12" t="s">
        <v>240</v>
      </c>
      <c r="P2" s="12" t="s">
        <v>240</v>
      </c>
      <c r="Q2" s="12" t="s">
        <v>240</v>
      </c>
      <c r="R2" s="225" t="s">
        <v>241</v>
      </c>
      <c r="S2" s="292"/>
      <c r="T2" s="12" t="s">
        <v>242</v>
      </c>
      <c r="U2" s="12" t="s">
        <v>242</v>
      </c>
      <c r="V2" s="12" t="s">
        <v>242</v>
      </c>
      <c r="W2" s="12" t="s">
        <v>242</v>
      </c>
      <c r="X2" s="12" t="s">
        <v>242</v>
      </c>
      <c r="Y2" s="12" t="s">
        <v>242</v>
      </c>
      <c r="Z2" s="12" t="s">
        <v>242</v>
      </c>
      <c r="AA2" s="12" t="s">
        <v>242</v>
      </c>
      <c r="AB2" s="12" t="s">
        <v>242</v>
      </c>
      <c r="AC2" s="12" t="s">
        <v>242</v>
      </c>
      <c r="AD2" s="12" t="s">
        <v>242</v>
      </c>
      <c r="AE2" s="12" t="s">
        <v>242</v>
      </c>
      <c r="AF2" s="12" t="s">
        <v>242</v>
      </c>
      <c r="AG2" s="12" t="s">
        <v>242</v>
      </c>
      <c r="AH2" s="12" t="s">
        <v>242</v>
      </c>
      <c r="AI2" s="12" t="s">
        <v>242</v>
      </c>
      <c r="AJ2" s="12" t="s">
        <v>242</v>
      </c>
      <c r="AK2" s="12" t="s">
        <v>242</v>
      </c>
      <c r="AL2" s="12" t="s">
        <v>242</v>
      </c>
      <c r="AM2" s="225" t="s">
        <v>242</v>
      </c>
      <c r="AN2" s="12" t="s">
        <v>242</v>
      </c>
      <c r="AO2" s="12" t="s">
        <v>242</v>
      </c>
      <c r="AP2" s="12" t="s">
        <v>242</v>
      </c>
      <c r="AQ2" s="225" t="s">
        <v>242</v>
      </c>
      <c r="AR2" s="12" t="s">
        <v>242</v>
      </c>
      <c r="AS2" s="12" t="s">
        <v>242</v>
      </c>
      <c r="AT2" s="12" t="s">
        <v>242</v>
      </c>
      <c r="AU2" s="225" t="s">
        <v>242</v>
      </c>
      <c r="AV2" s="12" t="s">
        <v>242</v>
      </c>
      <c r="AW2" s="12" t="s">
        <v>242</v>
      </c>
      <c r="AX2" s="12" t="s">
        <v>242</v>
      </c>
      <c r="AY2" s="12" t="s">
        <v>242</v>
      </c>
      <c r="AZ2" s="12" t="s">
        <v>242</v>
      </c>
      <c r="BA2" s="12" t="s">
        <v>242</v>
      </c>
      <c r="BB2" s="12" t="s">
        <v>242</v>
      </c>
      <c r="BC2" s="12" t="s">
        <v>242</v>
      </c>
      <c r="BD2" s="12" t="s">
        <v>242</v>
      </c>
      <c r="BE2" s="12" t="s">
        <v>242</v>
      </c>
      <c r="BF2" s="12" t="s">
        <v>242</v>
      </c>
      <c r="BG2" s="12" t="s">
        <v>242</v>
      </c>
      <c r="BH2" s="12" t="s">
        <v>242</v>
      </c>
      <c r="BJ2" s="12" t="s">
        <v>242</v>
      </c>
      <c r="BK2" s="12" t="s">
        <v>242</v>
      </c>
      <c r="BL2" s="12" t="s">
        <v>242</v>
      </c>
      <c r="BM2" s="12" t="s">
        <v>242</v>
      </c>
      <c r="BN2" s="12" t="s">
        <v>242</v>
      </c>
      <c r="BO2" s="12" t="s">
        <v>242</v>
      </c>
      <c r="BP2" s="12" t="s">
        <v>242</v>
      </c>
      <c r="BQ2" s="12" t="s">
        <v>242</v>
      </c>
      <c r="BR2" s="12" t="s">
        <v>242</v>
      </c>
      <c r="BT2" s="12" t="s">
        <v>243</v>
      </c>
      <c r="BU2" s="12" t="s">
        <v>243</v>
      </c>
      <c r="BW2" s="12" t="s">
        <v>242</v>
      </c>
      <c r="BX2" s="12" t="s">
        <v>242</v>
      </c>
    </row>
    <row r="3" spans="2:76" s="2" customFormat="1" ht="12.75">
      <c r="B3" s="11" t="s">
        <v>74</v>
      </c>
      <c r="C3" s="13">
        <v>41975</v>
      </c>
      <c r="D3" s="13">
        <v>42341</v>
      </c>
      <c r="E3" s="13">
        <v>42735</v>
      </c>
      <c r="F3" s="13">
        <v>43100</v>
      </c>
      <c r="G3" s="13">
        <v>43465</v>
      </c>
      <c r="H3" s="13">
        <v>43830</v>
      </c>
      <c r="I3" s="13">
        <v>44196</v>
      </c>
      <c r="J3" s="13">
        <v>44561</v>
      </c>
      <c r="K3" s="13">
        <v>44926</v>
      </c>
      <c r="L3" s="13">
        <v>44926</v>
      </c>
      <c r="M3" s="13">
        <v>45291</v>
      </c>
      <c r="N3" s="13">
        <v>45291</v>
      </c>
      <c r="O3" s="13">
        <v>45657</v>
      </c>
      <c r="P3" s="13">
        <v>45657</v>
      </c>
      <c r="Q3" s="13">
        <v>46022</v>
      </c>
      <c r="R3" s="14">
        <f>BH3</f>
        <v>46112</v>
      </c>
      <c r="S3" s="293"/>
      <c r="T3" s="13">
        <v>42437</v>
      </c>
      <c r="U3" s="13">
        <v>42527</v>
      </c>
      <c r="V3" s="13">
        <v>42622</v>
      </c>
      <c r="W3" s="13">
        <v>42714</v>
      </c>
      <c r="X3" s="13">
        <v>42825</v>
      </c>
      <c r="Y3" s="13">
        <v>42916</v>
      </c>
      <c r="Z3" s="13">
        <v>43008</v>
      </c>
      <c r="AA3" s="13">
        <v>43100</v>
      </c>
      <c r="AB3" s="13">
        <v>43190</v>
      </c>
      <c r="AC3" s="13">
        <v>43281</v>
      </c>
      <c r="AD3" s="13">
        <v>43373</v>
      </c>
      <c r="AE3" s="13">
        <v>43465</v>
      </c>
      <c r="AF3" s="13">
        <v>43555</v>
      </c>
      <c r="AG3" s="13">
        <v>43646</v>
      </c>
      <c r="AH3" s="13">
        <v>43738</v>
      </c>
      <c r="AI3" s="13">
        <v>43830</v>
      </c>
      <c r="AJ3" s="13">
        <v>43921</v>
      </c>
      <c r="AK3" s="13">
        <v>44012</v>
      </c>
      <c r="AL3" s="13">
        <v>44104</v>
      </c>
      <c r="AM3" s="14">
        <v>44196</v>
      </c>
      <c r="AN3" s="13">
        <v>44286</v>
      </c>
      <c r="AO3" s="13">
        <v>44377</v>
      </c>
      <c r="AP3" s="13">
        <v>44469</v>
      </c>
      <c r="AQ3" s="14">
        <v>44561</v>
      </c>
      <c r="AR3" s="13">
        <v>44651</v>
      </c>
      <c r="AS3" s="13">
        <v>44742</v>
      </c>
      <c r="AT3" s="13">
        <v>44834</v>
      </c>
      <c r="AU3" s="14">
        <v>44926</v>
      </c>
      <c r="AV3" s="13">
        <v>45016</v>
      </c>
      <c r="AW3" s="13">
        <v>45107</v>
      </c>
      <c r="AX3" s="13">
        <v>45199</v>
      </c>
      <c r="AY3" s="13">
        <v>45291</v>
      </c>
      <c r="AZ3" s="13">
        <v>45382</v>
      </c>
      <c r="BA3" s="13">
        <v>45473</v>
      </c>
      <c r="BB3" s="13">
        <v>45565</v>
      </c>
      <c r="BC3" s="13">
        <v>45657</v>
      </c>
      <c r="BD3" s="13">
        <v>45747</v>
      </c>
      <c r="BE3" s="13">
        <v>45838</v>
      </c>
      <c r="BF3" s="13">
        <v>45930</v>
      </c>
      <c r="BG3" s="13">
        <v>46022</v>
      </c>
      <c r="BH3" s="13">
        <v>46112</v>
      </c>
      <c r="BJ3" s="13">
        <v>45016</v>
      </c>
      <c r="BK3" s="13">
        <v>45107</v>
      </c>
      <c r="BL3" s="13">
        <v>45199</v>
      </c>
      <c r="BM3" s="13">
        <v>45291</v>
      </c>
      <c r="BN3" s="13">
        <v>45382</v>
      </c>
      <c r="BO3" s="13">
        <v>45473</v>
      </c>
      <c r="BP3" s="13">
        <v>45565</v>
      </c>
      <c r="BQ3" s="13">
        <v>45657</v>
      </c>
      <c r="BR3" s="13">
        <v>45747</v>
      </c>
      <c r="BT3" s="13">
        <v>45565</v>
      </c>
      <c r="BU3" s="13">
        <v>45930</v>
      </c>
      <c r="BW3" s="13">
        <v>45656</v>
      </c>
      <c r="BX3" s="13">
        <v>46021</v>
      </c>
    </row>
    <row r="4" spans="2:76" s="5" customFormat="1" ht="12.75">
      <c r="B4" s="11"/>
      <c r="C4" s="14" t="s">
        <v>244</v>
      </c>
      <c r="D4" s="14" t="s">
        <v>244</v>
      </c>
      <c r="E4" s="14" t="s">
        <v>244</v>
      </c>
      <c r="F4" s="14" t="s">
        <v>244</v>
      </c>
      <c r="G4" s="14" t="s">
        <v>244</v>
      </c>
      <c r="H4" s="14" t="s">
        <v>244</v>
      </c>
      <c r="I4" s="14" t="s">
        <v>244</v>
      </c>
      <c r="J4" s="14" t="s">
        <v>244</v>
      </c>
      <c r="K4" s="14" t="s">
        <v>244</v>
      </c>
      <c r="L4" s="14" t="s">
        <v>244</v>
      </c>
      <c r="M4" s="14" t="s">
        <v>244</v>
      </c>
      <c r="N4" s="14" t="s">
        <v>244</v>
      </c>
      <c r="O4" s="14" t="s">
        <v>244</v>
      </c>
      <c r="P4" s="14" t="s">
        <v>244</v>
      </c>
      <c r="Q4" s="14" t="s">
        <v>244</v>
      </c>
      <c r="R4" s="14" t="s">
        <v>244</v>
      </c>
      <c r="S4" s="293"/>
      <c r="T4" s="14" t="s">
        <v>244</v>
      </c>
      <c r="U4" s="14" t="s">
        <v>244</v>
      </c>
      <c r="V4" s="14" t="s">
        <v>244</v>
      </c>
      <c r="W4" s="14" t="s">
        <v>244</v>
      </c>
      <c r="X4" s="14" t="s">
        <v>244</v>
      </c>
      <c r="Y4" s="14" t="s">
        <v>244</v>
      </c>
      <c r="Z4" s="14" t="s">
        <v>244</v>
      </c>
      <c r="AA4" s="14" t="s">
        <v>244</v>
      </c>
      <c r="AB4" s="14" t="s">
        <v>244</v>
      </c>
      <c r="AC4" s="14" t="s">
        <v>244</v>
      </c>
      <c r="AD4" s="14" t="s">
        <v>244</v>
      </c>
      <c r="AE4" s="14" t="s">
        <v>244</v>
      </c>
      <c r="AF4" s="14" t="s">
        <v>244</v>
      </c>
      <c r="AG4" s="14" t="s">
        <v>244</v>
      </c>
      <c r="AH4" s="14" t="s">
        <v>244</v>
      </c>
      <c r="AI4" s="14" t="s">
        <v>244</v>
      </c>
      <c r="AJ4" s="14" t="s">
        <v>244</v>
      </c>
      <c r="AK4" s="14" t="s">
        <v>244</v>
      </c>
      <c r="AL4" s="14" t="s">
        <v>244</v>
      </c>
      <c r="AM4" s="14" t="s">
        <v>244</v>
      </c>
      <c r="AN4" s="14" t="s">
        <v>244</v>
      </c>
      <c r="AO4" s="14" t="s">
        <v>244</v>
      </c>
      <c r="AP4" s="14" t="s">
        <v>244</v>
      </c>
      <c r="AQ4" s="14" t="s">
        <v>244</v>
      </c>
      <c r="AR4" s="14" t="s">
        <v>244</v>
      </c>
      <c r="AS4" s="14" t="s">
        <v>244</v>
      </c>
      <c r="AT4" s="14" t="s">
        <v>244</v>
      </c>
      <c r="AU4" s="14" t="s">
        <v>244</v>
      </c>
      <c r="AV4" s="14" t="s">
        <v>244</v>
      </c>
      <c r="AW4" s="14" t="s">
        <v>244</v>
      </c>
      <c r="AX4" s="14" t="s">
        <v>244</v>
      </c>
      <c r="AY4" s="14" t="s">
        <v>244</v>
      </c>
      <c r="AZ4" s="14" t="s">
        <v>244</v>
      </c>
      <c r="BA4" s="14" t="s">
        <v>244</v>
      </c>
      <c r="BB4" s="14" t="s">
        <v>244</v>
      </c>
      <c r="BC4" s="14" t="s">
        <v>244</v>
      </c>
      <c r="BD4" s="14" t="s">
        <v>244</v>
      </c>
      <c r="BE4" s="14" t="s">
        <v>244</v>
      </c>
      <c r="BF4" s="14" t="s">
        <v>244</v>
      </c>
      <c r="BG4" s="14" t="s">
        <v>244</v>
      </c>
      <c r="BH4" s="14" t="s">
        <v>244</v>
      </c>
      <c r="BJ4" s="14" t="s">
        <v>244</v>
      </c>
      <c r="BK4" s="14" t="s">
        <v>244</v>
      </c>
      <c r="BL4" s="14" t="s">
        <v>244</v>
      </c>
      <c r="BM4" s="14" t="s">
        <v>244</v>
      </c>
      <c r="BN4" s="14" t="s">
        <v>244</v>
      </c>
      <c r="BO4" s="14" t="s">
        <v>244</v>
      </c>
      <c r="BP4" s="14" t="s">
        <v>244</v>
      </c>
      <c r="BQ4" s="14" t="s">
        <v>244</v>
      </c>
      <c r="BR4" s="14" t="s">
        <v>244</v>
      </c>
      <c r="BT4" s="14" t="s">
        <v>244</v>
      </c>
      <c r="BU4" s="14" t="s">
        <v>244</v>
      </c>
      <c r="BW4" s="14" t="s">
        <v>244</v>
      </c>
      <c r="BX4" s="14" t="s">
        <v>244</v>
      </c>
    </row>
    <row r="5" spans="2:76" s="3" customFormat="1" ht="12.75">
      <c r="C5" s="22" t="s">
        <v>245</v>
      </c>
      <c r="D5" s="22" t="s">
        <v>245</v>
      </c>
      <c r="E5" s="22" t="s">
        <v>245</v>
      </c>
      <c r="F5" s="22" t="s">
        <v>245</v>
      </c>
      <c r="G5" s="22" t="s">
        <v>245</v>
      </c>
      <c r="H5" s="22" t="s">
        <v>245</v>
      </c>
      <c r="I5" s="22" t="s">
        <v>245</v>
      </c>
      <c r="J5" s="22" t="s">
        <v>245</v>
      </c>
      <c r="K5" s="22" t="s">
        <v>245</v>
      </c>
      <c r="L5" s="22" t="s">
        <v>245</v>
      </c>
      <c r="M5" s="22" t="s">
        <v>245</v>
      </c>
      <c r="N5" s="22" t="s">
        <v>245</v>
      </c>
      <c r="O5" s="22" t="s">
        <v>245</v>
      </c>
      <c r="P5" s="22" t="s">
        <v>245</v>
      </c>
      <c r="Q5" s="22" t="s">
        <v>245</v>
      </c>
      <c r="R5" s="322" t="s">
        <v>241</v>
      </c>
      <c r="S5" s="22"/>
      <c r="T5" s="22" t="s">
        <v>246</v>
      </c>
      <c r="U5" s="22" t="s">
        <v>247</v>
      </c>
      <c r="V5" s="22" t="s">
        <v>248</v>
      </c>
      <c r="W5" s="22" t="s">
        <v>249</v>
      </c>
      <c r="X5" s="22" t="s">
        <v>246</v>
      </c>
      <c r="Y5" s="22" t="s">
        <v>247</v>
      </c>
      <c r="Z5" s="22" t="s">
        <v>248</v>
      </c>
      <c r="AA5" s="22" t="s">
        <v>249</v>
      </c>
      <c r="AB5" s="22" t="s">
        <v>246</v>
      </c>
      <c r="AC5" s="22" t="s">
        <v>247</v>
      </c>
      <c r="AD5" s="22" t="s">
        <v>248</v>
      </c>
      <c r="AE5" s="22" t="s">
        <v>249</v>
      </c>
      <c r="AF5" s="22" t="s">
        <v>246</v>
      </c>
      <c r="AG5" s="22" t="s">
        <v>247</v>
      </c>
      <c r="AH5" s="22" t="s">
        <v>248</v>
      </c>
      <c r="AI5" s="22" t="s">
        <v>249</v>
      </c>
      <c r="AJ5" s="22" t="s">
        <v>246</v>
      </c>
      <c r="AK5" s="22" t="s">
        <v>247</v>
      </c>
      <c r="AL5" s="22" t="s">
        <v>248</v>
      </c>
      <c r="AM5" s="22" t="s">
        <v>249</v>
      </c>
      <c r="AN5" s="22" t="s">
        <v>246</v>
      </c>
      <c r="AO5" s="22" t="s">
        <v>247</v>
      </c>
      <c r="AP5" s="22" t="s">
        <v>248</v>
      </c>
      <c r="AQ5" s="22" t="s">
        <v>249</v>
      </c>
      <c r="AR5" s="22" t="s">
        <v>246</v>
      </c>
      <c r="AS5" s="22" t="s">
        <v>247</v>
      </c>
      <c r="AT5" s="22" t="s">
        <v>248</v>
      </c>
      <c r="AU5" s="22" t="s">
        <v>249</v>
      </c>
      <c r="AV5" s="22" t="s">
        <v>246</v>
      </c>
      <c r="AW5" s="22" t="s">
        <v>247</v>
      </c>
      <c r="AX5" s="22" t="s">
        <v>248</v>
      </c>
      <c r="AY5" s="22" t="s">
        <v>249</v>
      </c>
      <c r="AZ5" s="22" t="s">
        <v>246</v>
      </c>
      <c r="BA5" s="22" t="s">
        <v>247</v>
      </c>
      <c r="BB5" s="22" t="s">
        <v>248</v>
      </c>
      <c r="BC5" s="322" t="s">
        <v>249</v>
      </c>
      <c r="BD5" s="22" t="s">
        <v>246</v>
      </c>
      <c r="BE5" s="22" t="s">
        <v>247</v>
      </c>
      <c r="BF5" s="22" t="s">
        <v>248</v>
      </c>
      <c r="BG5" s="322" t="s">
        <v>249</v>
      </c>
      <c r="BH5" s="22" t="s">
        <v>246</v>
      </c>
      <c r="BJ5" s="22" t="s">
        <v>246</v>
      </c>
      <c r="BK5" s="22" t="s">
        <v>247</v>
      </c>
      <c r="BL5" s="22" t="s">
        <v>248</v>
      </c>
      <c r="BM5" s="22" t="s">
        <v>249</v>
      </c>
      <c r="BN5" s="22" t="s">
        <v>246</v>
      </c>
      <c r="BO5" s="22" t="s">
        <v>247</v>
      </c>
      <c r="BP5" s="22" t="s">
        <v>248</v>
      </c>
      <c r="BQ5" s="22" t="s">
        <v>249</v>
      </c>
      <c r="BR5" s="22" t="s">
        <v>246</v>
      </c>
      <c r="BT5" s="22" t="s">
        <v>243</v>
      </c>
      <c r="BU5" s="22" t="s">
        <v>243</v>
      </c>
      <c r="BW5" s="22" t="s">
        <v>250</v>
      </c>
      <c r="BX5" s="22" t="s">
        <v>250</v>
      </c>
    </row>
    <row r="6" spans="2:76" ht="13.5" customHeight="1">
      <c r="B6" s="16" t="s">
        <v>251</v>
      </c>
      <c r="C6" s="17"/>
      <c r="D6" s="17"/>
      <c r="E6" s="17"/>
      <c r="F6" s="17"/>
      <c r="G6" s="17"/>
      <c r="H6" s="17"/>
      <c r="I6" s="17"/>
      <c r="J6" s="17"/>
      <c r="K6" s="17"/>
      <c r="L6" s="253" t="s">
        <v>252</v>
      </c>
      <c r="M6" s="17"/>
      <c r="N6" s="253" t="s">
        <v>252</v>
      </c>
      <c r="O6" s="17"/>
      <c r="P6" s="253" t="s">
        <v>252</v>
      </c>
      <c r="Q6" s="253"/>
      <c r="R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J6" s="253" t="s">
        <v>252</v>
      </c>
      <c r="BK6" s="253" t="s">
        <v>252</v>
      </c>
      <c r="BL6" s="253" t="s">
        <v>252</v>
      </c>
      <c r="BM6" s="253" t="s">
        <v>252</v>
      </c>
      <c r="BN6" s="253" t="s">
        <v>252</v>
      </c>
      <c r="BO6" s="253" t="s">
        <v>252</v>
      </c>
      <c r="BP6" s="253" t="s">
        <v>252</v>
      </c>
      <c r="BQ6" s="253" t="s">
        <v>252</v>
      </c>
      <c r="BR6" s="253" t="s">
        <v>252</v>
      </c>
      <c r="BT6" s="266" t="s">
        <v>244</v>
      </c>
      <c r="BU6" s="266" t="s">
        <v>244</v>
      </c>
      <c r="BW6" s="253" t="s">
        <v>253</v>
      </c>
      <c r="BX6" s="253" t="s">
        <v>253</v>
      </c>
    </row>
    <row r="7" spans="2:76" s="5" customFormat="1" ht="14.25" customHeight="1">
      <c r="B7" s="5" t="s">
        <v>254</v>
      </c>
      <c r="C7" s="74">
        <v>12514.032999999999</v>
      </c>
      <c r="D7" s="74">
        <v>14166.1</v>
      </c>
      <c r="E7" s="74">
        <v>16096.172</v>
      </c>
      <c r="F7" s="74">
        <v>20840.613000000001</v>
      </c>
      <c r="G7" s="74">
        <v>26904.383999999998</v>
      </c>
      <c r="H7" s="74">
        <v>31941.773000000001</v>
      </c>
      <c r="I7" s="74">
        <v>40872.483</v>
      </c>
      <c r="J7" s="74">
        <v>68184.437000000005</v>
      </c>
      <c r="K7" s="74">
        <v>133915.508</v>
      </c>
      <c r="L7" s="74">
        <v>257172.03</v>
      </c>
      <c r="M7" s="74">
        <v>257103.739</v>
      </c>
      <c r="N7" s="74">
        <v>371203.26799999998</v>
      </c>
      <c r="O7" s="74">
        <v>428548.223</v>
      </c>
      <c r="P7" s="74">
        <v>560936.75399999996</v>
      </c>
      <c r="Q7" s="74">
        <v>523933.321</v>
      </c>
      <c r="R7" s="8">
        <f>SUM(BE7:BH7)</f>
        <v>545087.35899999994</v>
      </c>
      <c r="S7" s="8"/>
      <c r="T7" s="74">
        <v>3527.4490000000001</v>
      </c>
      <c r="U7" s="74">
        <v>3959.556</v>
      </c>
      <c r="V7" s="74">
        <v>4083.2379999999998</v>
      </c>
      <c r="W7" s="8">
        <f>E7-SUM(T7:V7)</f>
        <v>4525.9290000000001</v>
      </c>
      <c r="X7" s="74">
        <v>4634.2539999999999</v>
      </c>
      <c r="Y7" s="74">
        <v>5061.0770000000002</v>
      </c>
      <c r="Z7" s="74">
        <v>5439.61</v>
      </c>
      <c r="AA7" s="8">
        <f>F7-SUM(X7:Z7)</f>
        <v>5705.6720000000023</v>
      </c>
      <c r="AB7" s="74">
        <v>5282.2179999999998</v>
      </c>
      <c r="AC7" s="74">
        <f>6511.893</f>
        <v>6511.893</v>
      </c>
      <c r="AD7" s="74">
        <v>7696.0110000000004</v>
      </c>
      <c r="AE7" s="8">
        <f>G7-AB7-AC7-AD7</f>
        <v>7414.261999999997</v>
      </c>
      <c r="AF7" s="74">
        <v>6902.1570000000002</v>
      </c>
      <c r="AG7" s="74">
        <v>8427.6</v>
      </c>
      <c r="AH7" s="25">
        <v>8245.9509999999991</v>
      </c>
      <c r="AI7" s="8">
        <f>H7-AF7-AG7-AH7</f>
        <v>8366.0650000000041</v>
      </c>
      <c r="AJ7" s="25">
        <v>7767.5280000000002</v>
      </c>
      <c r="AK7" s="74">
        <v>7832.1289999999999</v>
      </c>
      <c r="AL7" s="25">
        <v>11938.155000000001</v>
      </c>
      <c r="AM7" s="8">
        <f>I7-AJ7-AK7-AL7</f>
        <v>13334.671</v>
      </c>
      <c r="AN7" s="25">
        <v>12983.814</v>
      </c>
      <c r="AO7" s="74">
        <v>14534.414000000001</v>
      </c>
      <c r="AP7" s="25">
        <v>18147.68</v>
      </c>
      <c r="AQ7" s="8">
        <f>J7-AN7-AO7-AP7</f>
        <v>22518.529000000002</v>
      </c>
      <c r="AR7" s="25">
        <v>28164.395</v>
      </c>
      <c r="AS7" s="25">
        <v>32304.633000000002</v>
      </c>
      <c r="AT7" s="25">
        <v>34254.6</v>
      </c>
      <c r="AU7" s="8">
        <f>K7-AR7-AS7-AT7</f>
        <v>39191.879999999997</v>
      </c>
      <c r="AV7" s="25">
        <v>39891.377</v>
      </c>
      <c r="AW7" s="25">
        <v>46948.042000000001</v>
      </c>
      <c r="AX7" s="25">
        <v>58217.883000000002</v>
      </c>
      <c r="AY7" s="8">
        <f>M7-AV7-AW7-AX7</f>
        <v>112046.43700000001</v>
      </c>
      <c r="AZ7" s="25">
        <v>72265.240999999995</v>
      </c>
      <c r="BA7" s="25">
        <v>101584.35</v>
      </c>
      <c r="BB7" s="25">
        <v>105390.747</v>
      </c>
      <c r="BC7" s="8">
        <f>O7-AZ7-BA7-BB7</f>
        <v>149307.88500000001</v>
      </c>
      <c r="BD7" s="25">
        <v>109117.64200000001</v>
      </c>
      <c r="BE7" s="25">
        <v>121363.552</v>
      </c>
      <c r="BF7" s="25">
        <v>124445.63800000001</v>
      </c>
      <c r="BG7" s="8">
        <f>Q7-BD7-BE7-BF7</f>
        <v>169006.48899999997</v>
      </c>
      <c r="BH7" s="25">
        <v>130271.67999999999</v>
      </c>
      <c r="BJ7" s="25">
        <v>68968.892000000007</v>
      </c>
      <c r="BK7" s="25">
        <v>82571.235000000001</v>
      </c>
      <c r="BL7" s="25">
        <v>92648.763000000006</v>
      </c>
      <c r="BM7" s="8">
        <f>N7-SUM(BJ7:BL7)</f>
        <v>127014.37799999997</v>
      </c>
      <c r="BN7" s="25">
        <v>99801.065000000002</v>
      </c>
      <c r="BO7" s="25">
        <v>137188.323</v>
      </c>
      <c r="BP7" s="25">
        <v>140479.552</v>
      </c>
      <c r="BQ7" s="8">
        <f>P7-SUM(BN7:BP7)</f>
        <v>183467.81399999995</v>
      </c>
      <c r="BR7" s="25">
        <v>142797.33600000001</v>
      </c>
      <c r="BT7" s="25">
        <v>401698.16</v>
      </c>
      <c r="BU7" s="25">
        <v>379269.28399999999</v>
      </c>
      <c r="BW7" s="8">
        <f>P7-BT7</f>
        <v>159238.59399999998</v>
      </c>
      <c r="BX7" s="8">
        <f>Q7-BU7</f>
        <v>144664.03700000001</v>
      </c>
    </row>
    <row r="8" spans="2:76" s="39" customFormat="1" ht="14.25" customHeight="1">
      <c r="B8" s="18" t="s">
        <v>255</v>
      </c>
      <c r="C8" s="26"/>
      <c r="D8" s="26">
        <f t="shared" ref="D8:I8" si="0">D7/C7-1</f>
        <v>0.1320171522641822</v>
      </c>
      <c r="E8" s="26">
        <f t="shared" si="0"/>
        <v>0.13624582630364035</v>
      </c>
      <c r="F8" s="26">
        <f t="shared" si="0"/>
        <v>0.29475585872218568</v>
      </c>
      <c r="G8" s="26">
        <f t="shared" si="0"/>
        <v>0.29095933982364119</v>
      </c>
      <c r="H8" s="26">
        <f t="shared" si="0"/>
        <v>0.1872330174888972</v>
      </c>
      <c r="I8" s="26">
        <f t="shared" si="0"/>
        <v>0.27959343396498371</v>
      </c>
      <c r="J8" s="26">
        <f>J7/I7-1</f>
        <v>0.6682235087112276</v>
      </c>
      <c r="K8" s="26">
        <f>K7/J7-1</f>
        <v>0.96401868068515384</v>
      </c>
      <c r="L8" s="26">
        <f>L7/J7-1</f>
        <v>2.7717115710730291</v>
      </c>
      <c r="M8" s="26">
        <f>M7/L7-1</f>
        <v>-2.655459849191244E-4</v>
      </c>
      <c r="N8" s="26">
        <f>N7/M7-1</f>
        <v>0.44378790228328802</v>
      </c>
      <c r="O8" s="26">
        <f>O7/M7-1</f>
        <v>0.66682999114221353</v>
      </c>
      <c r="P8" s="26">
        <f>P7/N7-1</f>
        <v>0.51113096881463882</v>
      </c>
      <c r="Q8" s="26">
        <f>Q7/P7-1</f>
        <v>-6.5967210627813411E-2</v>
      </c>
      <c r="R8" s="26"/>
      <c r="S8" s="145"/>
      <c r="T8" s="26"/>
      <c r="U8" s="69"/>
      <c r="V8" s="69"/>
      <c r="W8" s="69"/>
      <c r="X8" s="26">
        <f t="shared" ref="X8:AE8" si="1">X7/T7-1</f>
        <v>0.31376924230513326</v>
      </c>
      <c r="Y8" s="26">
        <f t="shared" si="1"/>
        <v>0.27819306002996291</v>
      </c>
      <c r="Z8" s="26">
        <f t="shared" si="1"/>
        <v>0.33218049009144202</v>
      </c>
      <c r="AA8" s="26">
        <f t="shared" si="1"/>
        <v>0.26066316992599803</v>
      </c>
      <c r="AB8" s="26">
        <f t="shared" si="1"/>
        <v>0.13982056227388484</v>
      </c>
      <c r="AC8" s="26">
        <f t="shared" si="1"/>
        <v>0.28666151493051761</v>
      </c>
      <c r="AD8" s="26">
        <f t="shared" si="1"/>
        <v>0.41480933375738349</v>
      </c>
      <c r="AE8" s="26">
        <f t="shared" si="1"/>
        <v>0.29945464793629806</v>
      </c>
      <c r="AF8" s="26">
        <f t="shared" ref="AF8:AU8" si="2">AF7/AB7-1</f>
        <v>0.30667780087834329</v>
      </c>
      <c r="AG8" s="26">
        <f t="shared" si="2"/>
        <v>0.29418588419680725</v>
      </c>
      <c r="AH8" s="26">
        <f t="shared" si="2"/>
        <v>7.1457798072273926E-2</v>
      </c>
      <c r="AI8" s="26">
        <f t="shared" si="2"/>
        <v>0.12837461098623271</v>
      </c>
      <c r="AJ8" s="26">
        <f t="shared" si="2"/>
        <v>0.12537689304952071</v>
      </c>
      <c r="AK8" s="26">
        <f t="shared" si="2"/>
        <v>-7.0657245241824485E-2</v>
      </c>
      <c r="AL8" s="26">
        <f t="shared" si="2"/>
        <v>0.44775963378875305</v>
      </c>
      <c r="AM8" s="26">
        <f t="shared" si="2"/>
        <v>0.59389999958164252</v>
      </c>
      <c r="AN8" s="26">
        <f t="shared" si="2"/>
        <v>0.67155033107057993</v>
      </c>
      <c r="AO8" s="26">
        <f t="shared" si="2"/>
        <v>0.85574241690860831</v>
      </c>
      <c r="AP8" s="26">
        <f t="shared" si="2"/>
        <v>0.52014109382898766</v>
      </c>
      <c r="AQ8" s="26">
        <f t="shared" si="2"/>
        <v>0.68872025414050353</v>
      </c>
      <c r="AR8" s="26">
        <f t="shared" si="2"/>
        <v>1.1691927348928441</v>
      </c>
      <c r="AS8" s="26">
        <f t="shared" si="2"/>
        <v>1.2226305787078862</v>
      </c>
      <c r="AT8" s="26">
        <f t="shared" si="2"/>
        <v>0.88754705835677061</v>
      </c>
      <c r="AU8" s="26">
        <f t="shared" si="2"/>
        <v>0.74042807147838086</v>
      </c>
      <c r="AV8" s="26">
        <f>AV7/AR7-1</f>
        <v>0.416376137318057</v>
      </c>
      <c r="AW8" s="26">
        <f>AW7/AS7-1</f>
        <v>0.45329129725757911</v>
      </c>
      <c r="AX8" s="26">
        <f>AX7/AT7-1</f>
        <v>0.69956394177716286</v>
      </c>
      <c r="AY8" s="26">
        <f>AY7/AU7-1</f>
        <v>1.8589196792805045</v>
      </c>
      <c r="AZ8" s="26">
        <f t="shared" ref="AZ8:BH8" si="3">AZ7/BJ7-1</f>
        <v>4.7794721713087407E-2</v>
      </c>
      <c r="BA8" s="26">
        <f t="shared" si="3"/>
        <v>0.23026317821212205</v>
      </c>
      <c r="BB8" s="26">
        <f t="shared" si="3"/>
        <v>0.13752999594824589</v>
      </c>
      <c r="BC8" s="26">
        <f t="shared" si="3"/>
        <v>0.17551955417204845</v>
      </c>
      <c r="BD8" s="26">
        <f t="shared" si="3"/>
        <v>9.3351478764279738E-2</v>
      </c>
      <c r="BE8" s="26">
        <f t="shared" si="3"/>
        <v>-0.11535071392337093</v>
      </c>
      <c r="BF8" s="26">
        <f t="shared" si="3"/>
        <v>-0.11413699553939349</v>
      </c>
      <c r="BG8" s="26">
        <f t="shared" si="3"/>
        <v>-7.88221360723248E-2</v>
      </c>
      <c r="BH8" s="26">
        <f t="shared" si="3"/>
        <v>-8.7716314259532191E-2</v>
      </c>
      <c r="BJ8" s="26">
        <f>BJ7/AR7-1</f>
        <v>1.4487972136451006</v>
      </c>
      <c r="BK8" s="26">
        <f>BK7/BA7-1</f>
        <v>-0.18716578882475499</v>
      </c>
      <c r="BL8" s="26">
        <f>BL7/AT7-1</f>
        <v>1.7047101119265737</v>
      </c>
      <c r="BM8" s="26">
        <f>BM7/AU7-1</f>
        <v>2.2408340196999985</v>
      </c>
      <c r="BN8" s="26">
        <f>BN7/BJ7-1</f>
        <v>0.4470446328179376</v>
      </c>
      <c r="BO8" s="26">
        <f>BO7/BK7-1</f>
        <v>0.66145417347820956</v>
      </c>
      <c r="BP8" s="26">
        <f>BP7/BL7-1</f>
        <v>0.51625933742903807</v>
      </c>
      <c r="BQ8" s="26">
        <f>BQ7/BM7-1</f>
        <v>0.44446492506541269</v>
      </c>
      <c r="BR8" s="26">
        <f>BR7/BN7-1</f>
        <v>0.43081976129212651</v>
      </c>
      <c r="BT8" s="26"/>
      <c r="BU8" s="26">
        <f>BU7/BT7-1</f>
        <v>-5.5835147464952217E-2</v>
      </c>
      <c r="BW8" s="26"/>
      <c r="BX8" s="26">
        <f>BX7/BW7-1</f>
        <v>-9.1526536588234175E-2</v>
      </c>
    </row>
    <row r="9" spans="2:76" s="39" customFormat="1" ht="14.25" customHeight="1">
      <c r="B9" s="5" t="s">
        <v>256</v>
      </c>
      <c r="C9" s="4">
        <v>-8535.2009999999991</v>
      </c>
      <c r="D9" s="4">
        <v>-9630.2070000000003</v>
      </c>
      <c r="E9" s="4">
        <v>-10756.611999999999</v>
      </c>
      <c r="F9" s="4">
        <v>-14334.414000000001</v>
      </c>
      <c r="G9" s="71">
        <v>-18358.621999999999</v>
      </c>
      <c r="H9" s="71">
        <v>-21682.666000000001</v>
      </c>
      <c r="I9" s="71">
        <v>-27066.11</v>
      </c>
      <c r="J9" s="71">
        <v>-47706.091999999997</v>
      </c>
      <c r="K9" s="71">
        <v>-94422.664999999994</v>
      </c>
      <c r="L9" s="71">
        <v>-188501.51199999999</v>
      </c>
      <c r="M9" s="71">
        <v>-181725.74600000001</v>
      </c>
      <c r="N9" s="71">
        <v>-262373.43300000002</v>
      </c>
      <c r="O9" s="71">
        <v>-310446.18699999998</v>
      </c>
      <c r="P9" s="71">
        <v>-406350.24699999997</v>
      </c>
      <c r="Q9" s="71">
        <v>-373140.054</v>
      </c>
      <c r="R9" s="6">
        <f>SUM(BE9:BH9)</f>
        <v>-386747.03499999997</v>
      </c>
      <c r="S9" s="6"/>
      <c r="T9" s="4">
        <v>-2333.384</v>
      </c>
      <c r="U9" s="4">
        <v>-2606.8890000000001</v>
      </c>
      <c r="V9" s="4">
        <v>-2722.2190000000001</v>
      </c>
      <c r="W9" s="6">
        <f>E9-SUM(T9:V9)</f>
        <v>-3094.119999999999</v>
      </c>
      <c r="X9" s="4">
        <v>-3156.3319999999999</v>
      </c>
      <c r="Y9" s="4">
        <v>-3506.6840000000002</v>
      </c>
      <c r="Z9" s="4">
        <v>-3714.9870000000001</v>
      </c>
      <c r="AA9" s="6">
        <f>F9-SUM(X9:Z9)</f>
        <v>-3956.4110000000001</v>
      </c>
      <c r="AB9" s="4">
        <v>-3631.5459999999998</v>
      </c>
      <c r="AC9" s="4">
        <v>-4537.8729999999996</v>
      </c>
      <c r="AD9" s="4">
        <v>-5185.2749999999996</v>
      </c>
      <c r="AE9" s="6">
        <f>G9-AB9-AC9-AD9</f>
        <v>-5003.9279999999999</v>
      </c>
      <c r="AF9" s="4">
        <v>-4663.46</v>
      </c>
      <c r="AG9" s="4">
        <v>-5784.268</v>
      </c>
      <c r="AH9" s="4">
        <v>-5520.482</v>
      </c>
      <c r="AI9" s="6">
        <f>H9-AF9-AG9-AH9</f>
        <v>-5714.4560000000019</v>
      </c>
      <c r="AJ9" s="4">
        <v>-5299.81</v>
      </c>
      <c r="AK9" s="4">
        <v>-5412.8620000000001</v>
      </c>
      <c r="AL9" s="4">
        <v>-7810.8770000000004</v>
      </c>
      <c r="AM9" s="6">
        <f>I9-AJ9-AK9-AL9</f>
        <v>-8542.5609999999979</v>
      </c>
      <c r="AN9" s="4">
        <v>-8500.9719999999998</v>
      </c>
      <c r="AO9" s="4">
        <v>-10141.203</v>
      </c>
      <c r="AP9" s="4">
        <v>-13022.2</v>
      </c>
      <c r="AQ9" s="6">
        <f>J9-AN9-AO9-AP9</f>
        <v>-16041.716999999993</v>
      </c>
      <c r="AR9" s="4">
        <v>-19477.777999999998</v>
      </c>
      <c r="AS9" s="4">
        <v>-22736.217000000001</v>
      </c>
      <c r="AT9" s="4">
        <v>-24393.399000000001</v>
      </c>
      <c r="AU9" s="6">
        <f>K9-AR9-AS9-AT9</f>
        <v>-27815.270999999982</v>
      </c>
      <c r="AV9" s="4">
        <v>-27475.137999999999</v>
      </c>
      <c r="AW9" s="4">
        <v>-31950.377</v>
      </c>
      <c r="AX9" s="4">
        <v>-39140.453000000001</v>
      </c>
      <c r="AY9" s="6">
        <f>M9-AV9-AW9-AX9</f>
        <v>-83159.777999999991</v>
      </c>
      <c r="AZ9" s="4">
        <v>-50818.3</v>
      </c>
      <c r="BA9" s="4">
        <v>-73467.372000000003</v>
      </c>
      <c r="BB9" s="4">
        <v>-77564.146999999997</v>
      </c>
      <c r="BC9" s="6">
        <f>O9-AZ9-BA9-BB9</f>
        <v>-108596.36799999999</v>
      </c>
      <c r="BD9" s="4">
        <v>-77842.714000000007</v>
      </c>
      <c r="BE9" s="4">
        <v>-86891.078999999998</v>
      </c>
      <c r="BF9" s="4">
        <v>-88265.861000000004</v>
      </c>
      <c r="BG9" s="6">
        <f>Q9-BD9-BE9-BF9</f>
        <v>-120140.39999999997</v>
      </c>
      <c r="BH9" s="4">
        <v>-91449.695000000007</v>
      </c>
      <c r="BJ9" s="4">
        <v>-49127.012000000002</v>
      </c>
      <c r="BK9" s="4">
        <v>-56925.04</v>
      </c>
      <c r="BL9" s="4">
        <v>-65512.192999999999</v>
      </c>
      <c r="BM9" s="6">
        <f>N9-SUM(BJ9:BL9)</f>
        <v>-90809.188000000024</v>
      </c>
      <c r="BN9" s="4">
        <v>-70182.017999999996</v>
      </c>
      <c r="BO9" s="4">
        <v>-99216.716</v>
      </c>
      <c r="BP9" s="4">
        <v>-103388.36199999999</v>
      </c>
      <c r="BQ9" s="6">
        <f>P9-SUM(BN9:BP9)</f>
        <v>-133563.15099999995</v>
      </c>
      <c r="BR9" s="4">
        <v>-101869.249</v>
      </c>
      <c r="BS9" s="1"/>
      <c r="BT9" s="4">
        <v>-290031.40999999997</v>
      </c>
      <c r="BU9" s="4">
        <v>-270388.59399999998</v>
      </c>
      <c r="BW9" s="6">
        <f>P9-BT9</f>
        <v>-116318.837</v>
      </c>
      <c r="BX9" s="6">
        <f>Q9-BU9</f>
        <v>-102751.46000000002</v>
      </c>
    </row>
    <row r="10" spans="2:76" s="5" customFormat="1" ht="14.25" customHeight="1">
      <c r="B10" s="5" t="s">
        <v>257</v>
      </c>
      <c r="C10" s="8">
        <f t="shared" ref="C10:AG10" si="4">C7+C9</f>
        <v>3978.8320000000003</v>
      </c>
      <c r="D10" s="8">
        <f t="shared" si="4"/>
        <v>4535.893</v>
      </c>
      <c r="E10" s="8">
        <f t="shared" si="4"/>
        <v>5339.5600000000013</v>
      </c>
      <c r="F10" s="8">
        <f t="shared" si="4"/>
        <v>6506.1990000000005</v>
      </c>
      <c r="G10" s="8">
        <f t="shared" si="4"/>
        <v>8545.7619999999988</v>
      </c>
      <c r="H10" s="8">
        <f t="shared" ref="H10:J10" si="5">H7+H9</f>
        <v>10259.107</v>
      </c>
      <c r="I10" s="8">
        <f t="shared" si="5"/>
        <v>13806.373</v>
      </c>
      <c r="J10" s="8">
        <f t="shared" si="5"/>
        <v>20478.345000000008</v>
      </c>
      <c r="K10" s="8">
        <f>K7+K9</f>
        <v>39492.843000000008</v>
      </c>
      <c r="L10" s="8">
        <f t="shared" ref="L10:M10" si="6">L7+L9</f>
        <v>68670.518000000011</v>
      </c>
      <c r="M10" s="8">
        <f t="shared" si="6"/>
        <v>75377.992999999988</v>
      </c>
      <c r="N10" s="8">
        <f t="shared" ref="N10" si="7">N7+N9</f>
        <v>108829.83499999996</v>
      </c>
      <c r="O10" s="8">
        <f t="shared" ref="O10:P10" si="8">O7+O9</f>
        <v>118102.03600000002</v>
      </c>
      <c r="P10" s="8">
        <f t="shared" si="8"/>
        <v>154586.50699999998</v>
      </c>
      <c r="Q10" s="8">
        <f t="shared" ref="Q10" si="9">Q7+Q9</f>
        <v>150793.26699999999</v>
      </c>
      <c r="R10" s="8">
        <f t="shared" ref="R10" si="10">R7+R9</f>
        <v>158340.32399999996</v>
      </c>
      <c r="S10" s="8"/>
      <c r="T10" s="8">
        <f t="shared" si="4"/>
        <v>1194.0650000000001</v>
      </c>
      <c r="U10" s="8">
        <f t="shared" si="4"/>
        <v>1352.6669999999999</v>
      </c>
      <c r="V10" s="8">
        <f t="shared" si="4"/>
        <v>1361.0189999999998</v>
      </c>
      <c r="W10" s="8">
        <f t="shared" si="4"/>
        <v>1431.8090000000011</v>
      </c>
      <c r="X10" s="8">
        <f t="shared" si="4"/>
        <v>1477.922</v>
      </c>
      <c r="Y10" s="8">
        <f t="shared" si="4"/>
        <v>1554.393</v>
      </c>
      <c r="Z10" s="8">
        <f t="shared" si="4"/>
        <v>1724.6229999999996</v>
      </c>
      <c r="AA10" s="8">
        <f t="shared" si="4"/>
        <v>1749.2610000000022</v>
      </c>
      <c r="AB10" s="8">
        <f t="shared" si="4"/>
        <v>1650.672</v>
      </c>
      <c r="AC10" s="8">
        <f t="shared" si="4"/>
        <v>1974.0200000000004</v>
      </c>
      <c r="AD10" s="8">
        <f t="shared" si="4"/>
        <v>2510.7360000000008</v>
      </c>
      <c r="AE10" s="8">
        <f t="shared" si="4"/>
        <v>2410.3339999999971</v>
      </c>
      <c r="AF10" s="8">
        <f t="shared" si="4"/>
        <v>2238.6970000000001</v>
      </c>
      <c r="AG10" s="8">
        <f t="shared" si="4"/>
        <v>2643.3320000000003</v>
      </c>
      <c r="AH10" s="8">
        <f t="shared" ref="AH10:AN10" si="11">AH7+AH9</f>
        <v>2725.4689999999991</v>
      </c>
      <c r="AI10" s="8">
        <f t="shared" si="11"/>
        <v>2651.6090000000022</v>
      </c>
      <c r="AJ10" s="8">
        <f t="shared" si="11"/>
        <v>2467.7179999999998</v>
      </c>
      <c r="AK10" s="8">
        <f t="shared" si="11"/>
        <v>2419.2669999999998</v>
      </c>
      <c r="AL10" s="8">
        <f t="shared" si="11"/>
        <v>4127.2780000000002</v>
      </c>
      <c r="AM10" s="8">
        <f t="shared" si="11"/>
        <v>4792.1100000000024</v>
      </c>
      <c r="AN10" s="8">
        <f t="shared" si="11"/>
        <v>4482.8420000000006</v>
      </c>
      <c r="AO10" s="8">
        <f t="shared" ref="AO10:AT10" si="12">AO7+AO9</f>
        <v>4393.2110000000011</v>
      </c>
      <c r="AP10" s="8">
        <f t="shared" si="12"/>
        <v>5125.4799999999996</v>
      </c>
      <c r="AQ10" s="8">
        <f t="shared" si="12"/>
        <v>6476.812000000009</v>
      </c>
      <c r="AR10" s="8">
        <f t="shared" si="12"/>
        <v>8686.617000000002</v>
      </c>
      <c r="AS10" s="8">
        <f t="shared" si="12"/>
        <v>9568.4160000000011</v>
      </c>
      <c r="AT10" s="8">
        <f t="shared" si="12"/>
        <v>9861.2009999999973</v>
      </c>
      <c r="AU10" s="8">
        <f t="shared" ref="AU10" si="13">AU7+AU9</f>
        <v>11376.609000000015</v>
      </c>
      <c r="AV10" s="8">
        <f t="shared" ref="AV10:AY10" si="14">AV7+AV9</f>
        <v>12416.239000000001</v>
      </c>
      <c r="AW10" s="8">
        <f t="shared" si="14"/>
        <v>14997.665000000001</v>
      </c>
      <c r="AX10" s="8">
        <f t="shared" si="14"/>
        <v>19077.43</v>
      </c>
      <c r="AY10" s="8">
        <f t="shared" si="14"/>
        <v>28886.659000000014</v>
      </c>
      <c r="AZ10" s="8">
        <f t="shared" ref="AZ10:BC10" si="15">AZ7+AZ9</f>
        <v>21446.940999999992</v>
      </c>
      <c r="BA10" s="8">
        <f t="shared" si="15"/>
        <v>28116.978000000003</v>
      </c>
      <c r="BB10" s="8">
        <f t="shared" si="15"/>
        <v>27826.600000000006</v>
      </c>
      <c r="BC10" s="8">
        <f t="shared" si="15"/>
        <v>40711.517000000022</v>
      </c>
      <c r="BD10" s="8">
        <f t="shared" ref="BD10:BG10" si="16">BD7+BD9</f>
        <v>31274.928</v>
      </c>
      <c r="BE10" s="8">
        <f t="shared" si="16"/>
        <v>34472.472999999998</v>
      </c>
      <c r="BF10" s="8">
        <f t="shared" si="16"/>
        <v>36179.777000000002</v>
      </c>
      <c r="BG10" s="8">
        <f t="shared" si="16"/>
        <v>48866.089000000007</v>
      </c>
      <c r="BH10" s="8">
        <f t="shared" ref="BH10" si="17">BH7+BH9</f>
        <v>38821.984999999986</v>
      </c>
      <c r="BJ10" s="8">
        <f t="shared" ref="BJ10:BL10" si="18">BJ7+BJ9</f>
        <v>19841.880000000005</v>
      </c>
      <c r="BK10" s="8">
        <f t="shared" si="18"/>
        <v>25646.195</v>
      </c>
      <c r="BL10" s="8">
        <f t="shared" si="18"/>
        <v>27136.570000000007</v>
      </c>
      <c r="BM10" s="8">
        <f t="shared" ref="BM10:BN10" si="19">BM7+BM9</f>
        <v>36205.189999999944</v>
      </c>
      <c r="BN10" s="8">
        <f t="shared" si="19"/>
        <v>29619.047000000006</v>
      </c>
      <c r="BO10" s="8">
        <f t="shared" ref="BO10:BR10" si="20">BO7+BO9</f>
        <v>37971.607000000004</v>
      </c>
      <c r="BP10" s="8">
        <f t="shared" si="20"/>
        <v>37091.19</v>
      </c>
      <c r="BQ10" s="8">
        <f t="shared" si="20"/>
        <v>49904.663</v>
      </c>
      <c r="BR10" s="8">
        <f t="shared" si="20"/>
        <v>40928.087000000014</v>
      </c>
      <c r="BT10" s="8">
        <f t="shared" ref="BT10:BU10" si="21">BT7+BT9</f>
        <v>111666.75</v>
      </c>
      <c r="BU10" s="8">
        <f t="shared" si="21"/>
        <v>108880.69</v>
      </c>
      <c r="BW10" s="8">
        <f t="shared" ref="BW10:BX10" si="22">BW7+BW9</f>
        <v>42919.756999999983</v>
      </c>
      <c r="BX10" s="8">
        <f t="shared" si="22"/>
        <v>41912.57699999999</v>
      </c>
    </row>
    <row r="11" spans="2:76" s="39" customFormat="1" ht="14.25" customHeight="1">
      <c r="B11" s="18" t="s">
        <v>258</v>
      </c>
      <c r="C11" s="19">
        <f t="shared" ref="C11:AG11" si="23">C10/C7</f>
        <v>0.31794961704192409</v>
      </c>
      <c r="D11" s="19">
        <f t="shared" si="23"/>
        <v>0.32019349009254489</v>
      </c>
      <c r="E11" s="19">
        <f t="shared" si="23"/>
        <v>0.33172856254269656</v>
      </c>
      <c r="F11" s="19">
        <f t="shared" si="23"/>
        <v>0.3121884658575062</v>
      </c>
      <c r="G11" s="19">
        <f t="shared" si="23"/>
        <v>0.31763455353595904</v>
      </c>
      <c r="H11" s="19">
        <f t="shared" ref="H11:J11" si="24">H10/H7</f>
        <v>0.32118151362480724</v>
      </c>
      <c r="I11" s="19">
        <f t="shared" si="24"/>
        <v>0.33779139378441969</v>
      </c>
      <c r="J11" s="19">
        <f t="shared" si="24"/>
        <v>0.3003375242359192</v>
      </c>
      <c r="K11" s="19">
        <f>K10/K7</f>
        <v>0.29490865986932602</v>
      </c>
      <c r="L11" s="19">
        <f t="shared" ref="L11:M11" si="25">L10/L7</f>
        <v>0.2670217208302163</v>
      </c>
      <c r="M11" s="19">
        <f t="shared" si="25"/>
        <v>0.29318123996633122</v>
      </c>
      <c r="N11" s="19">
        <f t="shared" ref="N11" si="26">N10/N7</f>
        <v>0.29318124160480175</v>
      </c>
      <c r="O11" s="19">
        <f t="shared" ref="O11:P11" si="27">O10/O7</f>
        <v>0.27558633932312449</v>
      </c>
      <c r="P11" s="19">
        <f t="shared" si="27"/>
        <v>0.2755863399886968</v>
      </c>
      <c r="Q11" s="19">
        <f t="shared" ref="Q11" si="28">Q10/Q7</f>
        <v>0.28781003413218681</v>
      </c>
      <c r="R11" s="19">
        <f t="shared" ref="R11" si="29">R10/R7</f>
        <v>0.29048614205709361</v>
      </c>
      <c r="S11" s="294"/>
      <c r="T11" s="19">
        <f t="shared" si="23"/>
        <v>0.33850666586533212</v>
      </c>
      <c r="U11" s="19">
        <f t="shared" si="23"/>
        <v>0.34162087870458202</v>
      </c>
      <c r="V11" s="19">
        <f t="shared" si="23"/>
        <v>0.33331855747815825</v>
      </c>
      <c r="W11" s="26">
        <f t="shared" si="23"/>
        <v>0.3163569291520042</v>
      </c>
      <c r="X11" s="19">
        <f t="shared" si="23"/>
        <v>0.31891260168303248</v>
      </c>
      <c r="Y11" s="19">
        <f t="shared" si="23"/>
        <v>0.307126921799451</v>
      </c>
      <c r="Z11" s="19">
        <f t="shared" si="23"/>
        <v>0.31704901638168909</v>
      </c>
      <c r="AA11" s="26">
        <f t="shared" si="23"/>
        <v>0.30658281793976266</v>
      </c>
      <c r="AB11" s="26">
        <f t="shared" si="23"/>
        <v>0.31249600073302541</v>
      </c>
      <c r="AC11" s="19">
        <f t="shared" si="23"/>
        <v>0.30314073035290973</v>
      </c>
      <c r="AD11" s="19">
        <f t="shared" si="23"/>
        <v>0.32623861894168299</v>
      </c>
      <c r="AE11" s="26">
        <f t="shared" si="23"/>
        <v>0.32509425752691207</v>
      </c>
      <c r="AF11" s="26">
        <f t="shared" si="23"/>
        <v>0.32434744674744431</v>
      </c>
      <c r="AG11" s="26">
        <f t="shared" si="23"/>
        <v>0.31365181071716741</v>
      </c>
      <c r="AH11" s="26">
        <f t="shared" ref="AH11:AN11" si="30">AH10/AH7</f>
        <v>0.33052209502578894</v>
      </c>
      <c r="AI11" s="26">
        <f t="shared" si="30"/>
        <v>0.31694817097404826</v>
      </c>
      <c r="AJ11" s="26">
        <f t="shared" si="30"/>
        <v>0.31769669835757269</v>
      </c>
      <c r="AK11" s="26">
        <f t="shared" si="30"/>
        <v>0.30889008595236361</v>
      </c>
      <c r="AL11" s="26">
        <f t="shared" si="30"/>
        <v>0.34572159600876351</v>
      </c>
      <c r="AM11" s="26">
        <f t="shared" si="30"/>
        <v>0.35937219598443804</v>
      </c>
      <c r="AN11" s="26">
        <f t="shared" si="30"/>
        <v>0.34526388008947145</v>
      </c>
      <c r="AO11" s="26">
        <f t="shared" ref="AO11:AT11" si="31">AO10/AO7</f>
        <v>0.30226268496273745</v>
      </c>
      <c r="AP11" s="26">
        <f t="shared" si="31"/>
        <v>0.28243169374818156</v>
      </c>
      <c r="AQ11" s="26">
        <f t="shared" si="31"/>
        <v>0.2876214516498839</v>
      </c>
      <c r="AR11" s="26">
        <f t="shared" si="31"/>
        <v>0.3084254783388744</v>
      </c>
      <c r="AS11" s="26">
        <f t="shared" si="31"/>
        <v>0.29619330453312998</v>
      </c>
      <c r="AT11" s="26">
        <f t="shared" si="31"/>
        <v>0.28787961324902345</v>
      </c>
      <c r="AU11" s="26">
        <f t="shared" ref="AU11" si="32">AU10/AU7</f>
        <v>0.29027974672304607</v>
      </c>
      <c r="AV11" s="26">
        <f t="shared" ref="AV11:AY11" si="33">AV10/AV7</f>
        <v>0.31125120098010156</v>
      </c>
      <c r="AW11" s="26">
        <f t="shared" si="33"/>
        <v>0.31945240655616691</v>
      </c>
      <c r="AX11" s="26">
        <f t="shared" si="33"/>
        <v>0.32769020474344629</v>
      </c>
      <c r="AY11" s="26">
        <f t="shared" si="33"/>
        <v>0.25780970616673882</v>
      </c>
      <c r="AZ11" s="26">
        <f t="shared" ref="AZ11:BC11" si="34">AZ10/AZ7</f>
        <v>0.29678086868900078</v>
      </c>
      <c r="BA11" s="26">
        <f t="shared" si="34"/>
        <v>0.27678454407593295</v>
      </c>
      <c r="BB11" s="26">
        <f t="shared" si="34"/>
        <v>0.26403266692853034</v>
      </c>
      <c r="BC11" s="26">
        <f t="shared" si="34"/>
        <v>0.27266823182178235</v>
      </c>
      <c r="BD11" s="26">
        <f t="shared" ref="BD11:BG11" si="35">BD10/BD7</f>
        <v>0.28661660412346518</v>
      </c>
      <c r="BE11" s="26">
        <f t="shared" si="35"/>
        <v>0.28404304613628972</v>
      </c>
      <c r="BF11" s="26">
        <f t="shared" si="35"/>
        <v>0.29072756250403892</v>
      </c>
      <c r="BG11" s="26">
        <f t="shared" si="35"/>
        <v>0.28913735377344013</v>
      </c>
      <c r="BH11" s="26">
        <f t="shared" ref="BH11" si="36">BH10/BH7</f>
        <v>0.29800786325930539</v>
      </c>
      <c r="BJ11" s="26">
        <f t="shared" ref="BJ11:BL11" si="37">BJ10/BJ7</f>
        <v>0.28769318202183097</v>
      </c>
      <c r="BK11" s="26">
        <f t="shared" si="37"/>
        <v>0.31059478521787881</v>
      </c>
      <c r="BL11" s="26">
        <f t="shared" si="37"/>
        <v>0.29289727268134175</v>
      </c>
      <c r="BM11" s="26">
        <f t="shared" ref="BM11:BN11" si="38">BM10/BM7</f>
        <v>0.28504796519965603</v>
      </c>
      <c r="BN11" s="26">
        <f t="shared" si="38"/>
        <v>0.29678087102577516</v>
      </c>
      <c r="BO11" s="26">
        <f t="shared" ref="BO11:BR11" si="39">BO10/BO7</f>
        <v>0.27678454091169263</v>
      </c>
      <c r="BP11" s="26">
        <f t="shared" si="39"/>
        <v>0.26403266149368132</v>
      </c>
      <c r="BQ11" s="26">
        <f t="shared" si="39"/>
        <v>0.27200772665226181</v>
      </c>
      <c r="BR11" s="26">
        <f t="shared" si="39"/>
        <v>0.28661660046655218</v>
      </c>
      <c r="BT11" s="26">
        <f t="shared" ref="BT11:BU11" si="40">BT10/BT7</f>
        <v>0.2779867102204302</v>
      </c>
      <c r="BU11" s="26">
        <f t="shared" si="40"/>
        <v>0.28708016861180885</v>
      </c>
      <c r="BW11" s="26">
        <f t="shared" ref="BW11:BX11" si="41">BW10/BW7</f>
        <v>0.26953112258702805</v>
      </c>
      <c r="BX11" s="26">
        <f t="shared" si="41"/>
        <v>0.28972354061984312</v>
      </c>
    </row>
    <row r="12" spans="2:76" ht="14.25" customHeight="1">
      <c r="B12" s="1" t="s">
        <v>259</v>
      </c>
      <c r="C12" s="4">
        <v>-532.78899999999999</v>
      </c>
      <c r="D12" s="4">
        <v>-602.06799999999998</v>
      </c>
      <c r="E12" s="4">
        <v>-762.79100000000005</v>
      </c>
      <c r="F12" s="4">
        <v>-936.57899999999995</v>
      </c>
      <c r="G12" s="71">
        <v>-1209.472</v>
      </c>
      <c r="H12" s="71">
        <v>-1594.3979999999999</v>
      </c>
      <c r="I12" s="71">
        <v>-2175.9479999999999</v>
      </c>
      <c r="J12" s="71">
        <v>-3106.77</v>
      </c>
      <c r="K12" s="71">
        <v>-6159.8950000000004</v>
      </c>
      <c r="L12" s="71">
        <v>-12099.487999999999</v>
      </c>
      <c r="M12" s="71">
        <v>-14779.433999999999</v>
      </c>
      <c r="N12" s="71">
        <v>-21338.367999999999</v>
      </c>
      <c r="O12" s="71">
        <v>-24780.382000000001</v>
      </c>
      <c r="P12" s="71">
        <v>-32435.62</v>
      </c>
      <c r="Q12" s="71">
        <v>-33379.773999999998</v>
      </c>
      <c r="R12" s="6">
        <f t="shared" ref="R12:R16" si="42">SUM(BE12:BH12)</f>
        <v>-34346.489000000001</v>
      </c>
      <c r="S12" s="6"/>
      <c r="T12" s="4">
        <v>-189.78700000000001</v>
      </c>
      <c r="U12" s="4">
        <v>-173.16800000000001</v>
      </c>
      <c r="V12" s="4">
        <v>-176.328</v>
      </c>
      <c r="W12" s="6">
        <f>E12-SUM(T12:V12)</f>
        <v>-223.50800000000004</v>
      </c>
      <c r="X12" s="4">
        <v>-219.273</v>
      </c>
      <c r="Y12" s="4">
        <v>-207.82300000000001</v>
      </c>
      <c r="Z12" s="4">
        <v>-231.86699999999999</v>
      </c>
      <c r="AA12" s="6">
        <f>F12-SUM(X12:Z12)</f>
        <v>-277.61599999999999</v>
      </c>
      <c r="AB12" s="4">
        <v>-259.22800000000001</v>
      </c>
      <c r="AC12" s="4">
        <v>-278.67099999999999</v>
      </c>
      <c r="AD12" s="4">
        <v>-353.60399999999998</v>
      </c>
      <c r="AE12" s="6">
        <f>G12-AB12-AC12-AD12</f>
        <v>-317.96899999999988</v>
      </c>
      <c r="AF12" s="4">
        <v>-354.25299999999999</v>
      </c>
      <c r="AG12" s="4">
        <v>-430.45100000000002</v>
      </c>
      <c r="AH12" s="4">
        <v>-409.14</v>
      </c>
      <c r="AI12" s="6">
        <f>H12-AF12-AG12-AH12</f>
        <v>-400.55399999999997</v>
      </c>
      <c r="AJ12" s="4">
        <v>-487.24299999999999</v>
      </c>
      <c r="AK12" s="4">
        <v>-416.33300000000003</v>
      </c>
      <c r="AL12" s="4">
        <v>-551.101</v>
      </c>
      <c r="AM12" s="6">
        <f>I12-AJ12-AK12-AL12</f>
        <v>-721.27099999999984</v>
      </c>
      <c r="AN12" s="4">
        <v>-570.82500000000005</v>
      </c>
      <c r="AO12" s="4">
        <v>-681.005</v>
      </c>
      <c r="AP12" s="4">
        <v>-796.23199999999997</v>
      </c>
      <c r="AQ12" s="6">
        <f>J12-AN12-AO12-AP12</f>
        <v>-1058.7079999999996</v>
      </c>
      <c r="AR12" s="4">
        <v>-1312.152</v>
      </c>
      <c r="AS12" s="4">
        <v>-1552.4449999999999</v>
      </c>
      <c r="AT12" s="4">
        <v>-1286.4000000000001</v>
      </c>
      <c r="AU12" s="6">
        <f>K12-AR12-AS12-AT12</f>
        <v>-2008.8980000000006</v>
      </c>
      <c r="AV12" s="4">
        <v>-2477.067</v>
      </c>
      <c r="AW12" s="4">
        <v>-2435.7809999999999</v>
      </c>
      <c r="AX12" s="4">
        <v>-3337.279</v>
      </c>
      <c r="AY12" s="6">
        <f>M12-AV12-AW12-AX12</f>
        <v>-6529.3069999999989</v>
      </c>
      <c r="AZ12" s="4">
        <v>-4293.4589999999998</v>
      </c>
      <c r="BA12" s="4">
        <v>-5753.5690000000004</v>
      </c>
      <c r="BB12" s="4">
        <v>-5848.7359999999999</v>
      </c>
      <c r="BC12" s="6">
        <f t="shared" ref="BC12:BC16" si="43">O12-AZ12-BA12-BB12</f>
        <v>-8884.6180000000022</v>
      </c>
      <c r="BD12" s="4">
        <v>-7544.2359999999999</v>
      </c>
      <c r="BE12" s="4">
        <v>-7412.2939999999999</v>
      </c>
      <c r="BF12" s="4">
        <v>-6934.1090000000004</v>
      </c>
      <c r="BG12" s="6">
        <f t="shared" ref="BG12:BG16" si="44">Q12-BD12-BE12-BF12</f>
        <v>-11489.134999999998</v>
      </c>
      <c r="BH12" s="4">
        <v>-8510.9509999999991</v>
      </c>
      <c r="BJ12" s="4">
        <v>-4383.4650000000001</v>
      </c>
      <c r="BK12" s="4">
        <v>-4365.6469999999999</v>
      </c>
      <c r="BL12" s="4">
        <v>-5416.2629999999999</v>
      </c>
      <c r="BM12" s="6">
        <f>N12-SUM(BJ12:BL12)</f>
        <v>-7172.9929999999986</v>
      </c>
      <c r="BN12" s="4">
        <v>-5929.4319999999998</v>
      </c>
      <c r="BO12" s="4">
        <v>-7770.1189999999997</v>
      </c>
      <c r="BP12" s="4">
        <v>-7796.0150000000003</v>
      </c>
      <c r="BQ12" s="6">
        <f t="shared" ref="BQ12:BQ16" si="45">P12-SUM(BN12:BP12)</f>
        <v>-10940.054</v>
      </c>
      <c r="BR12" s="4">
        <v>-9872.8009999999995</v>
      </c>
      <c r="BT12" s="4">
        <v>-22906.524000000001</v>
      </c>
      <c r="BU12" s="4">
        <v>-23500.202000000001</v>
      </c>
      <c r="BW12" s="6">
        <f t="shared" ref="BW12:BX16" si="46">P12-BT12</f>
        <v>-9529.0959999999977</v>
      </c>
      <c r="BX12" s="6">
        <f t="shared" si="46"/>
        <v>-9879.5719999999965</v>
      </c>
    </row>
    <row r="13" spans="2:76" ht="14.25" customHeight="1">
      <c r="B13" s="1" t="s">
        <v>260</v>
      </c>
      <c r="C13" s="4">
        <v>-2356.2469999999998</v>
      </c>
      <c r="D13" s="4">
        <v>-2722.0140000000001</v>
      </c>
      <c r="E13" s="4">
        <v>-3227.3240000000001</v>
      </c>
      <c r="F13" s="4">
        <v>-4027.6990000000001</v>
      </c>
      <c r="G13" s="71">
        <v>-5094.4340000000002</v>
      </c>
      <c r="H13" s="71">
        <v>-6124.5209999999997</v>
      </c>
      <c r="I13" s="71">
        <v>-7469.259</v>
      </c>
      <c r="J13" s="71">
        <v>-11919.993</v>
      </c>
      <c r="K13" s="71">
        <v>-24080.342000000001</v>
      </c>
      <c r="L13" s="71">
        <v>-46552.279000000002</v>
      </c>
      <c r="M13" s="71">
        <v>-47038.86</v>
      </c>
      <c r="N13" s="71">
        <v>-67914.137000000002</v>
      </c>
      <c r="O13" s="71">
        <v>-82725.672000000006</v>
      </c>
      <c r="P13" s="71">
        <v>-108281.56</v>
      </c>
      <c r="Q13" s="71">
        <v>-103927.285</v>
      </c>
      <c r="R13" s="6">
        <f t="shared" si="42"/>
        <v>-109102.39499999999</v>
      </c>
      <c r="S13" s="6"/>
      <c r="T13" s="4">
        <v>-692.09900000000005</v>
      </c>
      <c r="U13" s="4">
        <v>-830.625</v>
      </c>
      <c r="V13" s="4">
        <v>-809.101</v>
      </c>
      <c r="W13" s="6">
        <f>E13-SUM(T13:V13)</f>
        <v>-895.4989999999998</v>
      </c>
      <c r="X13" s="4">
        <v>-890.66300000000001</v>
      </c>
      <c r="Y13" s="4">
        <v>-948.68100000000004</v>
      </c>
      <c r="Z13" s="4">
        <v>-1047.777</v>
      </c>
      <c r="AA13" s="6">
        <f>F13-SUM(X13:Z13)</f>
        <v>-1140.578</v>
      </c>
      <c r="AB13" s="4">
        <v>-980.28599999999994</v>
      </c>
      <c r="AC13" s="4">
        <v>-1262.2529999999999</v>
      </c>
      <c r="AD13" s="4">
        <v>-1509.7560000000001</v>
      </c>
      <c r="AE13" s="6">
        <f>G13-AB13-AC13-AD13</f>
        <v>-1342.1390000000004</v>
      </c>
      <c r="AF13" s="4">
        <v>-1379.9580000000001</v>
      </c>
      <c r="AG13" s="4">
        <v>-1500.7149999999999</v>
      </c>
      <c r="AH13" s="4">
        <v>-1603.703</v>
      </c>
      <c r="AI13" s="6">
        <f>H13-AF13-AG13-AH13</f>
        <v>-1640.145</v>
      </c>
      <c r="AJ13" s="4">
        <v>-1534.375</v>
      </c>
      <c r="AK13" s="4">
        <v>-1433.104</v>
      </c>
      <c r="AL13" s="4">
        <v>-2088.4659999999999</v>
      </c>
      <c r="AM13" s="6">
        <f>I13-AJ13-AK13-AL13</f>
        <v>-2413.3139999999999</v>
      </c>
      <c r="AN13" s="4">
        <v>-2285.71</v>
      </c>
      <c r="AO13" s="4">
        <v>-2569.8609999999999</v>
      </c>
      <c r="AP13" s="4">
        <v>-2916.239</v>
      </c>
      <c r="AQ13" s="6">
        <f>J13-AN13-AO13-AP13</f>
        <v>-4148.1829999999991</v>
      </c>
      <c r="AR13" s="4">
        <v>-4929.1409999999996</v>
      </c>
      <c r="AS13" s="4">
        <v>-6285.6790000000001</v>
      </c>
      <c r="AT13" s="4">
        <v>-6347.5389999999998</v>
      </c>
      <c r="AU13" s="6">
        <f>K13-AR13-AS13-AT13</f>
        <v>-6517.9830000000011</v>
      </c>
      <c r="AV13" s="4">
        <v>-7037.13</v>
      </c>
      <c r="AW13" s="4">
        <v>-8437.8310000000001</v>
      </c>
      <c r="AX13" s="4">
        <v>-10402.011</v>
      </c>
      <c r="AY13" s="6">
        <f>M13-AV13-AW13-AX13</f>
        <v>-21161.888000000006</v>
      </c>
      <c r="AZ13" s="4">
        <v>-13387.950999999999</v>
      </c>
      <c r="BA13" s="4">
        <v>-20424.792000000001</v>
      </c>
      <c r="BB13" s="4">
        <v>-20130.106</v>
      </c>
      <c r="BC13" s="6">
        <f t="shared" si="43"/>
        <v>-28782.823000000004</v>
      </c>
      <c r="BD13" s="4">
        <v>-21430.415000000001</v>
      </c>
      <c r="BE13" s="4">
        <v>-23752.062000000002</v>
      </c>
      <c r="BF13" s="4">
        <v>-24980.641</v>
      </c>
      <c r="BG13" s="6">
        <f t="shared" si="44"/>
        <v>-33764.166999999987</v>
      </c>
      <c r="BH13" s="4">
        <v>-26605.525000000001</v>
      </c>
      <c r="BJ13" s="4">
        <v>-12357.88</v>
      </c>
      <c r="BK13" s="4">
        <v>-14986.007</v>
      </c>
      <c r="BL13" s="4">
        <v>-16705.169000000002</v>
      </c>
      <c r="BM13" s="6">
        <f>N13-SUM(BJ13:BL13)</f>
        <v>-23865.081000000006</v>
      </c>
      <c r="BN13" s="4">
        <v>-18489.273000000001</v>
      </c>
      <c r="BO13" s="4">
        <v>-27583.413</v>
      </c>
      <c r="BP13" s="4">
        <v>-26832.224999999999</v>
      </c>
      <c r="BQ13" s="6">
        <f t="shared" si="45"/>
        <v>-35376.649000000005</v>
      </c>
      <c r="BR13" s="4">
        <v>-28045.018</v>
      </c>
      <c r="BT13" s="4">
        <v>-77556.320999999996</v>
      </c>
      <c r="BU13" s="4">
        <v>-74937.652000000002</v>
      </c>
      <c r="BW13" s="6">
        <f t="shared" si="46"/>
        <v>-30725.239000000001</v>
      </c>
      <c r="BX13" s="6">
        <f t="shared" si="46"/>
        <v>-28989.633000000002</v>
      </c>
    </row>
    <row r="14" spans="2:76" ht="14.25" customHeight="1">
      <c r="B14" s="1" t="s">
        <v>261</v>
      </c>
      <c r="C14" s="4">
        <v>-102.05500000000001</v>
      </c>
      <c r="D14" s="4">
        <v>-125.173</v>
      </c>
      <c r="E14" s="4">
        <v>-151.66800000000001</v>
      </c>
      <c r="F14" s="4">
        <v>-170.17699999999999</v>
      </c>
      <c r="G14" s="71">
        <v>-204.792</v>
      </c>
      <c r="H14" s="71">
        <v>-256.75099999999998</v>
      </c>
      <c r="I14" s="71">
        <v>-318.21100000000001</v>
      </c>
      <c r="J14" s="71">
        <v>-444.06799999999998</v>
      </c>
      <c r="K14" s="71">
        <v>-704.59299999999996</v>
      </c>
      <c r="L14" s="71">
        <v>-1861.2829999999999</v>
      </c>
      <c r="M14" s="71">
        <v>-1943.8050000000001</v>
      </c>
      <c r="N14" s="71">
        <v>-2806.4430000000002</v>
      </c>
      <c r="O14" s="71">
        <v>-4848.6400000000003</v>
      </c>
      <c r="P14" s="71">
        <v>-6346.4979999999996</v>
      </c>
      <c r="Q14" s="71">
        <v>-6490.8850000000002</v>
      </c>
      <c r="R14" s="6">
        <f t="shared" si="42"/>
        <v>-6778.2090000000007</v>
      </c>
      <c r="S14" s="6"/>
      <c r="T14" s="4">
        <v>-34.771999999999998</v>
      </c>
      <c r="U14" s="4">
        <v>-39.134</v>
      </c>
      <c r="V14" s="4">
        <v>-39.898000000000003</v>
      </c>
      <c r="W14" s="6">
        <f>E14-SUM(T14:V14)</f>
        <v>-37.864000000000004</v>
      </c>
      <c r="X14" s="4">
        <v>-40.517000000000003</v>
      </c>
      <c r="Y14" s="4">
        <v>-42.988</v>
      </c>
      <c r="Z14" s="4">
        <v>-39.978000000000002</v>
      </c>
      <c r="AA14" s="6">
        <f>F14-SUM(X14:Z14)</f>
        <v>-46.693999999999988</v>
      </c>
      <c r="AB14" s="4">
        <v>-43.475000000000001</v>
      </c>
      <c r="AC14" s="4">
        <v>-46.570999999999998</v>
      </c>
      <c r="AD14" s="4">
        <v>-51.018000000000001</v>
      </c>
      <c r="AE14" s="6">
        <f>G14-AB14-AC14-AD14</f>
        <v>-63.728000000000009</v>
      </c>
      <c r="AF14" s="4">
        <v>-59.545000000000002</v>
      </c>
      <c r="AG14" s="4">
        <v>-61.997999999999998</v>
      </c>
      <c r="AH14" s="4">
        <v>-64.921000000000006</v>
      </c>
      <c r="AI14" s="6">
        <f>H14-AF14-AG14-AH14</f>
        <v>-70.286999999999964</v>
      </c>
      <c r="AJ14" s="4">
        <v>-72.718000000000004</v>
      </c>
      <c r="AK14" s="4">
        <v>-72.198999999999998</v>
      </c>
      <c r="AL14" s="4">
        <v>-84.406999999999996</v>
      </c>
      <c r="AM14" s="6">
        <f>I14-AJ14-AK14-AL14</f>
        <v>-88.886999999999986</v>
      </c>
      <c r="AN14" s="4">
        <v>-87.471999999999994</v>
      </c>
      <c r="AO14" s="4">
        <v>-94.284999999999997</v>
      </c>
      <c r="AP14" s="4">
        <v>-113.07899999999999</v>
      </c>
      <c r="AQ14" s="6">
        <f>J14-AN14-AO14-AP14</f>
        <v>-149.23200000000003</v>
      </c>
      <c r="AR14" s="4">
        <v>-154.577</v>
      </c>
      <c r="AS14" s="4">
        <v>-171.05600000000001</v>
      </c>
      <c r="AT14" s="4">
        <v>-192.72</v>
      </c>
      <c r="AU14" s="6">
        <f>K14-AR14-AS14-AT14</f>
        <v>-186.23999999999992</v>
      </c>
      <c r="AV14" s="4">
        <v>-226.76300000000001</v>
      </c>
      <c r="AW14" s="4">
        <v>-207.148</v>
      </c>
      <c r="AX14" s="4">
        <v>-262.07799999999997</v>
      </c>
      <c r="AY14" s="6">
        <f>M14-AV14-AW14-AX14</f>
        <v>-1247.8160000000003</v>
      </c>
      <c r="AZ14" s="4">
        <v>-612.226</v>
      </c>
      <c r="BA14" s="4">
        <v>-1129.9670000000001</v>
      </c>
      <c r="BB14" s="4">
        <v>-1504.508</v>
      </c>
      <c r="BC14" s="6">
        <f t="shared" si="43"/>
        <v>-1601.9390000000005</v>
      </c>
      <c r="BD14" s="4">
        <v>-1297.23</v>
      </c>
      <c r="BE14" s="4">
        <v>-1601.171</v>
      </c>
      <c r="BF14" s="4">
        <v>-1489.405</v>
      </c>
      <c r="BG14" s="6">
        <f t="shared" si="44"/>
        <v>-2103.0790000000006</v>
      </c>
      <c r="BH14" s="4">
        <v>-1584.5540000000001</v>
      </c>
      <c r="BJ14" s="4">
        <v>-640.15800000000002</v>
      </c>
      <c r="BK14" s="4">
        <v>-634.27200000000005</v>
      </c>
      <c r="BL14" s="4">
        <v>-517.73500000000001</v>
      </c>
      <c r="BM14" s="6">
        <f>N14-SUM(BJ14:BL14)</f>
        <v>-1014.2780000000002</v>
      </c>
      <c r="BN14" s="4">
        <v>-845.50699999999995</v>
      </c>
      <c r="BO14" s="4">
        <v>-1526.0060000000001</v>
      </c>
      <c r="BP14" s="4">
        <v>-2005.4190000000001</v>
      </c>
      <c r="BQ14" s="6">
        <f t="shared" si="45"/>
        <v>-1969.5659999999998</v>
      </c>
      <c r="BR14" s="4">
        <v>-1697.626</v>
      </c>
      <c r="BT14" s="4">
        <v>-4609.4989999999998</v>
      </c>
      <c r="BU14" s="4">
        <v>-4689.0820000000003</v>
      </c>
      <c r="BW14" s="6">
        <f t="shared" si="46"/>
        <v>-1736.9989999999998</v>
      </c>
      <c r="BX14" s="6">
        <f t="shared" si="46"/>
        <v>-1801.8029999999999</v>
      </c>
    </row>
    <row r="15" spans="2:76" ht="14.25" customHeight="1">
      <c r="B15" s="1" t="s">
        <v>262</v>
      </c>
      <c r="C15" s="4">
        <v>216.137</v>
      </c>
      <c r="D15" s="4">
        <v>471.267</v>
      </c>
      <c r="E15" s="4">
        <v>690.06700000000001</v>
      </c>
      <c r="F15" s="4">
        <v>711.83799999999997</v>
      </c>
      <c r="G15" s="71">
        <v>1324.8150000000001</v>
      </c>
      <c r="H15" s="71">
        <v>918.73500000000001</v>
      </c>
      <c r="I15" s="71">
        <v>1769.36</v>
      </c>
      <c r="J15" s="71">
        <v>5776.4229999999998</v>
      </c>
      <c r="K15" s="71">
        <v>5904.8239999999996</v>
      </c>
      <c r="L15" s="71">
        <f>(11809968)/1000</f>
        <v>11809.968000000001</v>
      </c>
      <c r="M15" s="71">
        <v>13437.093000000001</v>
      </c>
      <c r="N15" s="71">
        <v>19400.312000000002</v>
      </c>
      <c r="O15" s="71">
        <v>28667.185000000001</v>
      </c>
      <c r="P15" s="71">
        <v>37523.146000000001</v>
      </c>
      <c r="Q15" s="71">
        <v>22844.039000000001</v>
      </c>
      <c r="R15" s="6">
        <f t="shared" si="42"/>
        <v>24000.17</v>
      </c>
      <c r="S15" s="6"/>
      <c r="T15" s="4">
        <v>90.307000000000002</v>
      </c>
      <c r="U15" s="4">
        <v>81.33</v>
      </c>
      <c r="V15" s="4">
        <v>129.11799999999999</v>
      </c>
      <c r="W15" s="6">
        <f>E15-SUM(T15:V15)</f>
        <v>389.31200000000001</v>
      </c>
      <c r="X15" s="4">
        <v>228.69300000000001</v>
      </c>
      <c r="Y15" s="4">
        <v>41.597999999999999</v>
      </c>
      <c r="Z15" s="4">
        <v>155.483</v>
      </c>
      <c r="AA15" s="6">
        <f>F15-SUM(X15:Z15)</f>
        <v>286.06399999999996</v>
      </c>
      <c r="AB15" s="4">
        <v>270.89800000000002</v>
      </c>
      <c r="AC15" s="4">
        <v>397.23700000000002</v>
      </c>
      <c r="AD15" s="4">
        <v>1133.164</v>
      </c>
      <c r="AE15" s="6">
        <f>G15-AB15-AC15-AD15</f>
        <v>-476.48400000000015</v>
      </c>
      <c r="AF15" s="4">
        <v>348.33300000000003</v>
      </c>
      <c r="AG15" s="4">
        <v>167.28200000000001</v>
      </c>
      <c r="AH15" s="4">
        <v>161.46700000000001</v>
      </c>
      <c r="AI15" s="6">
        <f>H15-AF15-AG15-AH15</f>
        <v>241.65299999999999</v>
      </c>
      <c r="AJ15" s="4">
        <v>575.05200000000002</v>
      </c>
      <c r="AK15" s="4">
        <v>432.00099999999998</v>
      </c>
      <c r="AL15" s="4">
        <v>786.08199999999999</v>
      </c>
      <c r="AM15" s="6">
        <f>I15-AJ15-AK15-AL15</f>
        <v>-23.774999999999977</v>
      </c>
      <c r="AN15" s="4">
        <v>890.01700000000005</v>
      </c>
      <c r="AO15" s="4">
        <v>460.98500000000001</v>
      </c>
      <c r="AP15" s="4">
        <v>296.99099999999999</v>
      </c>
      <c r="AQ15" s="6">
        <f>J15-AN15-AO15-AP15</f>
        <v>4128.43</v>
      </c>
      <c r="AR15" s="4">
        <v>1901.2180000000001</v>
      </c>
      <c r="AS15" s="4">
        <v>1776.289</v>
      </c>
      <c r="AT15" s="4">
        <v>1188.4000000000001</v>
      </c>
      <c r="AU15" s="6">
        <f>K15-AR15-AS15-AT15</f>
        <v>1038.9169999999999</v>
      </c>
      <c r="AV15" s="4">
        <v>732.36900000000003</v>
      </c>
      <c r="AW15" s="4">
        <v>4807.1620000000003</v>
      </c>
      <c r="AX15" s="4">
        <v>1625.277</v>
      </c>
      <c r="AY15" s="6">
        <f>M15-AV15-AW15-AX15</f>
        <v>6272.2849999999999</v>
      </c>
      <c r="AZ15" s="4">
        <v>3296.85</v>
      </c>
      <c r="BA15" s="4">
        <v>1676.748</v>
      </c>
      <c r="BB15" s="4">
        <v>3302.5479999999998</v>
      </c>
      <c r="BC15" s="6">
        <f t="shared" si="43"/>
        <v>20391.039000000004</v>
      </c>
      <c r="BD15" s="4">
        <v>6657.3410000000003</v>
      </c>
      <c r="BE15" s="4">
        <v>4184.3209999999999</v>
      </c>
      <c r="BF15" s="4">
        <v>3944.002</v>
      </c>
      <c r="BG15" s="6">
        <f t="shared" si="44"/>
        <v>8058.375</v>
      </c>
      <c r="BH15" s="4">
        <v>7813.4719999999998</v>
      </c>
      <c r="BJ15" s="4">
        <v>1263.6969999999999</v>
      </c>
      <c r="BK15" s="4">
        <v>8306.5059999999994</v>
      </c>
      <c r="BL15" s="4">
        <v>2614.36</v>
      </c>
      <c r="BM15" s="6">
        <f>N15-SUM(BJ15:BL15)</f>
        <v>7215.7490000000016</v>
      </c>
      <c r="BN15" s="4">
        <v>4553.076</v>
      </c>
      <c r="BO15" s="4">
        <v>22125.871999999999</v>
      </c>
      <c r="BP15" s="4">
        <v>4402.0959999999995</v>
      </c>
      <c r="BQ15" s="6">
        <f t="shared" si="45"/>
        <v>6442.101999999999</v>
      </c>
      <c r="BR15" s="4">
        <v>8712.1620000000003</v>
      </c>
      <c r="BT15" s="4">
        <v>33377.146000000001</v>
      </c>
      <c r="BU15" s="4">
        <v>16029.161</v>
      </c>
      <c r="BW15" s="6">
        <f t="shared" si="46"/>
        <v>4146</v>
      </c>
      <c r="BX15" s="6">
        <f t="shared" si="46"/>
        <v>6814.8780000000006</v>
      </c>
    </row>
    <row r="16" spans="2:76" ht="14.25" customHeight="1">
      <c r="B16" s="1" t="s">
        <v>263</v>
      </c>
      <c r="C16" s="4">
        <v>-235.089</v>
      </c>
      <c r="D16" s="4">
        <v>-275.14800000000002</v>
      </c>
      <c r="E16" s="4">
        <v>-389.77300000000002</v>
      </c>
      <c r="F16" s="4">
        <v>-371.75099999999998</v>
      </c>
      <c r="G16" s="71">
        <v>-724.55700000000002</v>
      </c>
      <c r="H16" s="71">
        <v>-548.41399999999999</v>
      </c>
      <c r="I16" s="71">
        <v>-760.01900000000001</v>
      </c>
      <c r="J16" s="71">
        <v>-3763.7930000000001</v>
      </c>
      <c r="K16" s="71">
        <v>-5362.64</v>
      </c>
      <c r="L16" s="71">
        <v>-10566.004000000001</v>
      </c>
      <c r="M16" s="71">
        <v>-14895.33</v>
      </c>
      <c r="N16" s="71">
        <v>-21505.695</v>
      </c>
      <c r="O16" s="71">
        <v>-27292.100999999999</v>
      </c>
      <c r="P16" s="71">
        <v>-35723.264999999999</v>
      </c>
      <c r="Q16" s="71">
        <v>-19345.256000000001</v>
      </c>
      <c r="R16" s="6">
        <f t="shared" si="42"/>
        <v>-23889.841</v>
      </c>
      <c r="S16" s="6"/>
      <c r="T16" s="4">
        <v>-77.138000000000005</v>
      </c>
      <c r="U16" s="4">
        <v>-80.286000000000001</v>
      </c>
      <c r="V16" s="4">
        <v>-27.263000000000002</v>
      </c>
      <c r="W16" s="6">
        <f>E16-SUM(T16:V16)</f>
        <v>-205.08600000000001</v>
      </c>
      <c r="X16" s="4">
        <v>-132.52199999999999</v>
      </c>
      <c r="Y16" s="4">
        <v>-40.838000000000001</v>
      </c>
      <c r="Z16" s="4">
        <v>-57.061</v>
      </c>
      <c r="AA16" s="6">
        <f>F16-SUM(X16:Z16)</f>
        <v>-141.32999999999998</v>
      </c>
      <c r="AB16" s="4">
        <v>-134.154</v>
      </c>
      <c r="AC16" s="4">
        <v>-176.82400000000001</v>
      </c>
      <c r="AD16" s="4">
        <v>-345.858</v>
      </c>
      <c r="AE16" s="6">
        <f>G16-AB16-AC16-AD16</f>
        <v>-67.721000000000004</v>
      </c>
      <c r="AF16" s="4">
        <v>-153.33500000000001</v>
      </c>
      <c r="AG16" s="4">
        <v>-153.679</v>
      </c>
      <c r="AH16" s="4">
        <v>-90.617999999999995</v>
      </c>
      <c r="AI16" s="6">
        <f>H16-AF16-AG16-AH16</f>
        <v>-150.78199999999995</v>
      </c>
      <c r="AJ16" s="4">
        <v>-175.41</v>
      </c>
      <c r="AK16" s="4">
        <v>-217.39400000000001</v>
      </c>
      <c r="AL16" s="4">
        <v>-315.26900000000001</v>
      </c>
      <c r="AM16" s="6">
        <f>I16-AJ16-AK16-AL16</f>
        <v>-51.946000000000026</v>
      </c>
      <c r="AN16" s="4">
        <v>-750.72799999999995</v>
      </c>
      <c r="AO16" s="4">
        <v>-441.87799999999999</v>
      </c>
      <c r="AP16" s="4">
        <v>-331.81099999999998</v>
      </c>
      <c r="AQ16" s="6">
        <f>J16-AN16-AO16-AP16</f>
        <v>-2239.3759999999997</v>
      </c>
      <c r="AR16" s="4">
        <v>-1470.0730000000001</v>
      </c>
      <c r="AS16" s="4">
        <v>-1415.51</v>
      </c>
      <c r="AT16" s="4">
        <v>-1389.3989999999999</v>
      </c>
      <c r="AU16" s="6">
        <f>K16-AR16-AS16-AT16</f>
        <v>-1087.6579999999999</v>
      </c>
      <c r="AV16" s="4">
        <v>-1206.6679999999999</v>
      </c>
      <c r="AW16" s="4">
        <v>-5088.2269999999999</v>
      </c>
      <c r="AX16" s="4">
        <v>-2717.8240000000001</v>
      </c>
      <c r="AY16" s="6">
        <f>M16-AV16-AW16-AX16</f>
        <v>-5882.6110000000008</v>
      </c>
      <c r="AZ16" s="4">
        <v>-3685.5140000000001</v>
      </c>
      <c r="BA16" s="4">
        <v>-2376.145</v>
      </c>
      <c r="BB16" s="4">
        <v>-5573.7740000000003</v>
      </c>
      <c r="BC16" s="6">
        <f t="shared" si="43"/>
        <v>-15656.667999999998</v>
      </c>
      <c r="BD16" s="4">
        <v>-5155.4679999999998</v>
      </c>
      <c r="BE16" s="4">
        <v>-3250.239</v>
      </c>
      <c r="BF16" s="4">
        <v>-4489.72</v>
      </c>
      <c r="BG16" s="6">
        <f t="shared" si="44"/>
        <v>-6449.8290000000006</v>
      </c>
      <c r="BH16" s="4">
        <v>-9700.0529999999999</v>
      </c>
      <c r="BJ16" s="4">
        <v>-2082.9690000000001</v>
      </c>
      <c r="BK16" s="4">
        <v>-8807.8950000000004</v>
      </c>
      <c r="BL16" s="4">
        <v>-4425.8190000000004</v>
      </c>
      <c r="BM16" s="6">
        <f>N16-SUM(BJ16:BL16)</f>
        <v>-6189.0119999999988</v>
      </c>
      <c r="BN16" s="4">
        <v>-5089.8389999999999</v>
      </c>
      <c r="BO16" s="4">
        <v>-3208.9520000000002</v>
      </c>
      <c r="BP16" s="4">
        <v>-7429.5069999999996</v>
      </c>
      <c r="BQ16" s="6">
        <f t="shared" si="45"/>
        <v>-19994.966999999997</v>
      </c>
      <c r="BR16" s="4">
        <v>-6746.7259999999997</v>
      </c>
      <c r="BT16" s="4">
        <v>-16679.745999999999</v>
      </c>
      <c r="BU16" s="4">
        <v>-13859.137000000001</v>
      </c>
      <c r="BW16" s="6">
        <f t="shared" si="46"/>
        <v>-19043.519</v>
      </c>
      <c r="BX16" s="6">
        <f t="shared" si="46"/>
        <v>-5486.1190000000006</v>
      </c>
    </row>
    <row r="17" spans="2:76" s="5" customFormat="1" ht="14.25" customHeight="1">
      <c r="B17" s="15" t="s">
        <v>264</v>
      </c>
      <c r="C17" s="8">
        <f t="shared" ref="C17:AB17" si="47">C10+SUM(C12:C16)</f>
        <v>968.78900000000067</v>
      </c>
      <c r="D17" s="8">
        <f t="shared" si="47"/>
        <v>1282.7569999999996</v>
      </c>
      <c r="E17" s="8">
        <f t="shared" si="47"/>
        <v>1498.0710000000008</v>
      </c>
      <c r="F17" s="8">
        <f t="shared" si="47"/>
        <v>1711.8310000000001</v>
      </c>
      <c r="G17" s="8">
        <f t="shared" si="47"/>
        <v>2637.3219999999992</v>
      </c>
      <c r="H17" s="8">
        <f t="shared" ref="H17:K17" si="48">H10+SUM(H12:H16)</f>
        <v>2653.7579999999998</v>
      </c>
      <c r="I17" s="8">
        <f t="shared" si="48"/>
        <v>4852.2960000000003</v>
      </c>
      <c r="J17" s="8">
        <f t="shared" si="48"/>
        <v>7020.1440000000093</v>
      </c>
      <c r="K17" s="8">
        <f t="shared" si="48"/>
        <v>9090.1970000000074</v>
      </c>
      <c r="L17" s="8">
        <f t="shared" ref="L17:M17" si="49">L10+SUM(L12:L16)</f>
        <v>9401.432000000008</v>
      </c>
      <c r="M17" s="8">
        <f t="shared" si="49"/>
        <v>10157.656999999985</v>
      </c>
      <c r="N17" s="8">
        <f t="shared" ref="N17" si="50">N10+SUM(N12:N16)</f>
        <v>14665.503999999957</v>
      </c>
      <c r="O17" s="8">
        <f t="shared" ref="O17:P17" si="51">O10+SUM(O12:O16)</f>
        <v>7122.4260000000213</v>
      </c>
      <c r="P17" s="8">
        <f t="shared" si="51"/>
        <v>9322.710000000021</v>
      </c>
      <c r="Q17" s="8">
        <f t="shared" ref="Q17" si="52">Q10+SUM(Q12:Q16)</f>
        <v>10494.105999999971</v>
      </c>
      <c r="R17" s="8">
        <f t="shared" ref="R17" si="53">R10+SUM(R12:R16)</f>
        <v>8223.5599999999686</v>
      </c>
      <c r="S17" s="8"/>
      <c r="T17" s="8">
        <f t="shared" si="47"/>
        <v>290.57599999999991</v>
      </c>
      <c r="U17" s="8">
        <f t="shared" si="47"/>
        <v>310.78400000000011</v>
      </c>
      <c r="V17" s="8">
        <f t="shared" si="47"/>
        <v>437.54699999999968</v>
      </c>
      <c r="W17" s="8">
        <f t="shared" si="47"/>
        <v>459.16400000000124</v>
      </c>
      <c r="X17" s="8">
        <f t="shared" si="47"/>
        <v>423.6400000000001</v>
      </c>
      <c r="Y17" s="8">
        <f t="shared" si="47"/>
        <v>355.66099999999983</v>
      </c>
      <c r="Z17" s="8">
        <f t="shared" si="47"/>
        <v>503.42299999999955</v>
      </c>
      <c r="AA17" s="8">
        <f t="shared" si="47"/>
        <v>429.10700000000224</v>
      </c>
      <c r="AB17" s="8">
        <f t="shared" si="47"/>
        <v>504.42700000000013</v>
      </c>
      <c r="AC17" s="8">
        <f t="shared" ref="AC17:AH17" si="54">AC10+SUM(AC12:AC16)</f>
        <v>606.93800000000056</v>
      </c>
      <c r="AD17" s="8">
        <f t="shared" si="54"/>
        <v>1383.6640000000007</v>
      </c>
      <c r="AE17" s="8">
        <f t="shared" si="54"/>
        <v>142.29299999999648</v>
      </c>
      <c r="AF17" s="8">
        <f t="shared" si="54"/>
        <v>639.93900000000008</v>
      </c>
      <c r="AG17" s="8">
        <f t="shared" si="54"/>
        <v>663.77100000000019</v>
      </c>
      <c r="AH17" s="8">
        <f t="shared" si="54"/>
        <v>718.55399999999963</v>
      </c>
      <c r="AI17" s="8">
        <f t="shared" ref="AI17:AN17" si="55">AI10+SUM(AI12:AI16)</f>
        <v>631.49400000000242</v>
      </c>
      <c r="AJ17" s="8">
        <f t="shared" si="55"/>
        <v>773.02400000000011</v>
      </c>
      <c r="AK17" s="8">
        <f t="shared" si="55"/>
        <v>712.2379999999996</v>
      </c>
      <c r="AL17" s="8">
        <f t="shared" si="55"/>
        <v>1874.1170000000002</v>
      </c>
      <c r="AM17" s="8">
        <f t="shared" si="55"/>
        <v>1492.9170000000026</v>
      </c>
      <c r="AN17" s="8">
        <f t="shared" si="55"/>
        <v>1678.1240000000007</v>
      </c>
      <c r="AO17" s="8">
        <f t="shared" ref="AO17:AT17" si="56">AO10+SUM(AO12:AO16)</f>
        <v>1067.1670000000013</v>
      </c>
      <c r="AP17" s="8">
        <f t="shared" si="56"/>
        <v>1265.1099999999992</v>
      </c>
      <c r="AQ17" s="8">
        <f t="shared" si="56"/>
        <v>3009.7430000000109</v>
      </c>
      <c r="AR17" s="8">
        <f t="shared" si="56"/>
        <v>2721.8920000000016</v>
      </c>
      <c r="AS17" s="8">
        <f t="shared" si="56"/>
        <v>1920.0150000000012</v>
      </c>
      <c r="AT17" s="8">
        <f t="shared" si="56"/>
        <v>1833.5429999999978</v>
      </c>
      <c r="AU17" s="8">
        <f t="shared" ref="AU17" si="57">AU10+SUM(AU12:AU16)</f>
        <v>2614.7470000000139</v>
      </c>
      <c r="AV17" s="8">
        <f t="shared" ref="AV17:AY17" si="58">AV10+SUM(AV12:AV16)</f>
        <v>2200.9800000000014</v>
      </c>
      <c r="AW17" s="8">
        <f t="shared" si="58"/>
        <v>3635.84</v>
      </c>
      <c r="AX17" s="8">
        <f t="shared" si="58"/>
        <v>3983.5149999999994</v>
      </c>
      <c r="AY17" s="8">
        <f t="shared" si="58"/>
        <v>337.32200000000739</v>
      </c>
      <c r="AZ17" s="8">
        <f t="shared" ref="AZ17:BC17" si="59">AZ10+SUM(AZ12:AZ16)</f>
        <v>2764.6409999999923</v>
      </c>
      <c r="BA17" s="8">
        <f t="shared" si="59"/>
        <v>109.25300000000061</v>
      </c>
      <c r="BB17" s="8">
        <f t="shared" si="59"/>
        <v>-1927.9759999999987</v>
      </c>
      <c r="BC17" s="8">
        <f t="shared" si="59"/>
        <v>6176.5080000000235</v>
      </c>
      <c r="BD17" s="8">
        <f t="shared" ref="BD17:BG17" si="60">BD10+SUM(BD12:BD16)</f>
        <v>2504.9199999999983</v>
      </c>
      <c r="BE17" s="8">
        <f t="shared" si="60"/>
        <v>2641.0279999999984</v>
      </c>
      <c r="BF17" s="8">
        <f t="shared" si="60"/>
        <v>2229.9040000000023</v>
      </c>
      <c r="BG17" s="8">
        <f t="shared" si="60"/>
        <v>3118.2540000000299</v>
      </c>
      <c r="BH17" s="8">
        <f t="shared" ref="BH17" si="61">BH10+SUM(BH12:BH16)</f>
        <v>234.37399999998888</v>
      </c>
      <c r="BJ17" s="8">
        <f t="shared" ref="BJ17:BL17" si="62">BJ10+SUM(BJ12:BJ16)</f>
        <v>1641.1050000000032</v>
      </c>
      <c r="BK17" s="8">
        <f t="shared" si="62"/>
        <v>5158.8799999999974</v>
      </c>
      <c r="BL17" s="8">
        <f t="shared" si="62"/>
        <v>2685.9440000000068</v>
      </c>
      <c r="BM17" s="8">
        <f t="shared" ref="BM17:BN17" si="63">BM10+SUM(BM12:BM16)</f>
        <v>5179.5749999999425</v>
      </c>
      <c r="BN17" s="8">
        <f t="shared" si="63"/>
        <v>3818.0720000000038</v>
      </c>
      <c r="BO17" s="8">
        <f t="shared" ref="BO17:BR17" si="64">BO10+SUM(BO12:BO16)</f>
        <v>20008.989000000001</v>
      </c>
      <c r="BP17" s="8">
        <f t="shared" si="64"/>
        <v>-2569.8799999999974</v>
      </c>
      <c r="BQ17" s="8">
        <f t="shared" si="64"/>
        <v>-11934.471000000005</v>
      </c>
      <c r="BR17" s="8">
        <f t="shared" si="64"/>
        <v>3278.0780000000159</v>
      </c>
      <c r="BT17" s="8">
        <f t="shared" ref="BT17:BU17" si="65">BT10+SUM(BT12:BT16)</f>
        <v>23291.805999999997</v>
      </c>
      <c r="BU17" s="8">
        <f t="shared" si="65"/>
        <v>7923.7780000000057</v>
      </c>
      <c r="BW17" s="8">
        <f t="shared" ref="BW17:BX17" si="66">BW10+SUM(BW12:BW16)</f>
        <v>-13969.09600000002</v>
      </c>
      <c r="BX17" s="8">
        <f t="shared" si="66"/>
        <v>2570.3279999999868</v>
      </c>
    </row>
    <row r="18" spans="2:76" s="5" customFormat="1" ht="14.25" customHeight="1">
      <c r="B18" s="7" t="s">
        <v>265</v>
      </c>
      <c r="C18" s="71">
        <v>16.263999999999999</v>
      </c>
      <c r="D18" s="71">
        <v>17.856999999999999</v>
      </c>
      <c r="E18" s="71">
        <v>418.74200000000002</v>
      </c>
      <c r="F18" s="71">
        <v>8.2850000000000001</v>
      </c>
      <c r="G18" s="71">
        <v>13.278</v>
      </c>
      <c r="H18" s="71">
        <v>6.8159999999999998</v>
      </c>
      <c r="I18" s="71">
        <v>240.66800000000001</v>
      </c>
      <c r="J18" s="71">
        <v>316.83999999999997</v>
      </c>
      <c r="K18" s="71">
        <v>1523.4549999999999</v>
      </c>
      <c r="L18" s="71">
        <v>2782.5540000000001</v>
      </c>
      <c r="M18" s="71">
        <v>50.832000000000001</v>
      </c>
      <c r="N18" s="71">
        <v>73.391000000000005</v>
      </c>
      <c r="O18" s="71">
        <v>1219.527</v>
      </c>
      <c r="P18" s="71">
        <v>1596.2670000000001</v>
      </c>
      <c r="Q18" s="71">
        <v>147.48599999999999</v>
      </c>
      <c r="R18" s="6">
        <f t="shared" ref="R18:R25" si="67">SUM(BE18:BH18)</f>
        <v>129.33599999999998</v>
      </c>
      <c r="S18" s="6"/>
      <c r="T18" s="71">
        <v>0.96099999999999997</v>
      </c>
      <c r="U18" s="71">
        <v>415.02100000000002</v>
      </c>
      <c r="V18" s="71">
        <v>1.7050000000000001</v>
      </c>
      <c r="W18" s="6">
        <f t="shared" ref="W18:W25" si="68">E18-SUM(T18:V18)</f>
        <v>1.0550000000000068</v>
      </c>
      <c r="X18" s="71">
        <v>0.42699999999999999</v>
      </c>
      <c r="Y18" s="71">
        <v>1.7829999999999999</v>
      </c>
      <c r="Z18" s="71">
        <v>5.0709999999999997</v>
      </c>
      <c r="AA18" s="6">
        <f t="shared" ref="AA18:AA25" si="69">F18-SUM(X18:Z18)</f>
        <v>1.0040000000000004</v>
      </c>
      <c r="AB18" s="71">
        <v>2.4700000000000002</v>
      </c>
      <c r="AC18" s="71">
        <v>4.2770000000000001</v>
      </c>
      <c r="AD18" s="71">
        <v>1.4570000000000001</v>
      </c>
      <c r="AE18" s="6">
        <f t="shared" ref="AE18:AE25" si="70">G18-AB18-AC18-AD18</f>
        <v>5.0739999999999998</v>
      </c>
      <c r="AF18" s="71">
        <v>0.55000000000000004</v>
      </c>
      <c r="AG18" s="71">
        <v>0.92400000000000004</v>
      </c>
      <c r="AH18" s="4">
        <v>1.6220000000000001</v>
      </c>
      <c r="AI18" s="6">
        <f t="shared" ref="AI18:AI25" si="71">H18-AF18-AG18-AH18</f>
        <v>3.7199999999999998</v>
      </c>
      <c r="AJ18" s="71">
        <v>0.89500000000000002</v>
      </c>
      <c r="AK18" s="71">
        <v>227.34899999999999</v>
      </c>
      <c r="AL18" s="4">
        <v>0.61099999999999999</v>
      </c>
      <c r="AM18" s="6">
        <f t="shared" ref="AM18:AM25" si="72">I18-AJ18-AK18-AL18</f>
        <v>11.813000000000006</v>
      </c>
      <c r="AN18" s="71">
        <v>2.2730000000000001</v>
      </c>
      <c r="AO18" s="71">
        <v>1.1499999999999999</v>
      </c>
      <c r="AP18" s="4">
        <v>1.7070000000000001</v>
      </c>
      <c r="AQ18" s="6">
        <f t="shared" ref="AQ18:AQ25" si="73">J18-AN18-AO18-AP18</f>
        <v>311.70999999999998</v>
      </c>
      <c r="AR18" s="71">
        <v>4.7009999999999996</v>
      </c>
      <c r="AS18" s="71">
        <v>36.06</v>
      </c>
      <c r="AT18" s="71">
        <v>13.551</v>
      </c>
      <c r="AU18" s="6">
        <f t="shared" ref="AU18:AU25" si="74">K18-AR18-AS18-AT18</f>
        <v>1469.143</v>
      </c>
      <c r="AV18" s="71">
        <v>13.428000000000001</v>
      </c>
      <c r="AW18" s="71">
        <v>5.9870000000000001</v>
      </c>
      <c r="AX18" s="71">
        <v>15.180999999999999</v>
      </c>
      <c r="AY18" s="6">
        <f t="shared" ref="AY18:AY25" si="75">M18-AV18-AW18-AX18</f>
        <v>16.235999999999997</v>
      </c>
      <c r="AZ18" s="71">
        <v>25.736000000000001</v>
      </c>
      <c r="BA18" s="71">
        <v>985.76199999999994</v>
      </c>
      <c r="BB18" s="71">
        <v>9.0060000000000002</v>
      </c>
      <c r="BC18" s="6">
        <f t="shared" ref="BC18:BC25" si="76">O18-AZ18-BA18-BB18</f>
        <v>199.023</v>
      </c>
      <c r="BD18" s="71">
        <v>30.585999999999999</v>
      </c>
      <c r="BE18" s="71">
        <v>36.317999999999998</v>
      </c>
      <c r="BF18" s="71">
        <v>26.088000000000001</v>
      </c>
      <c r="BG18" s="6">
        <f t="shared" ref="BG18:BG25" si="77">Q18-BD18-BE18-BF18</f>
        <v>54.493999999999993</v>
      </c>
      <c r="BH18" s="71">
        <v>12.436</v>
      </c>
      <c r="BJ18" s="71">
        <v>21.876000000000001</v>
      </c>
      <c r="BK18" s="71">
        <v>7.859</v>
      </c>
      <c r="BL18" s="71">
        <v>13.147</v>
      </c>
      <c r="BM18" s="6">
        <f t="shared" ref="BM18:BM25" si="78">N18-SUM(BJ18:BL18)</f>
        <v>30.509000000000007</v>
      </c>
      <c r="BN18" s="71">
        <v>35.542999999999999</v>
      </c>
      <c r="BO18" s="71">
        <v>1331.2570000000001</v>
      </c>
      <c r="BP18" s="71">
        <v>12.005000000000001</v>
      </c>
      <c r="BQ18" s="6">
        <f t="shared" ref="BQ18:BQ25" si="79">P18-SUM(BN18:BP18)</f>
        <v>217.46199999999999</v>
      </c>
      <c r="BR18" s="71">
        <v>40.026000000000003</v>
      </c>
      <c r="BT18" s="71">
        <v>1483.67</v>
      </c>
      <c r="BU18" s="71">
        <v>99.986999999999995</v>
      </c>
      <c r="BW18" s="6">
        <f t="shared" ref="BW18:BX25" si="80">P18-BT18</f>
        <v>112.59699999999998</v>
      </c>
      <c r="BX18" s="6">
        <f t="shared" si="80"/>
        <v>47.498999999999995</v>
      </c>
    </row>
    <row r="19" spans="2:76" s="5" customFormat="1" ht="14.25" customHeight="1">
      <c r="B19" s="7" t="s">
        <v>266</v>
      </c>
      <c r="C19" s="71">
        <v>-1.3770000000000002</v>
      </c>
      <c r="D19" s="71">
        <v>-2.7810000000000001</v>
      </c>
      <c r="E19" s="71">
        <v>-2.4129999999999998</v>
      </c>
      <c r="F19" s="71">
        <v>-7.3470000000000004</v>
      </c>
      <c r="G19" s="71">
        <v>-6.7949999999999999</v>
      </c>
      <c r="H19" s="71">
        <v>-8.5559999999999992</v>
      </c>
      <c r="I19" s="71">
        <v>-64.484999999999999</v>
      </c>
      <c r="J19" s="71">
        <v>-9.5790000000000006</v>
      </c>
      <c r="K19" s="71">
        <v>-37.042999999999999</v>
      </c>
      <c r="L19" s="71">
        <v>-173.46299999999999</v>
      </c>
      <c r="M19" s="71">
        <v>-102.50700000000001</v>
      </c>
      <c r="N19" s="71">
        <v>-147.999</v>
      </c>
      <c r="O19" s="71">
        <v>-338.09100000000001</v>
      </c>
      <c r="P19" s="71">
        <v>-442.53500000000003</v>
      </c>
      <c r="Q19" s="71">
        <v>-106.786</v>
      </c>
      <c r="R19" s="6">
        <f t="shared" si="67"/>
        <v>-187.84999999999997</v>
      </c>
      <c r="S19" s="6"/>
      <c r="T19" s="71">
        <v>-0.52600000000000002</v>
      </c>
      <c r="U19" s="71">
        <v>-0.159</v>
      </c>
      <c r="V19" s="71">
        <v>-6.6000000000000003E-2</v>
      </c>
      <c r="W19" s="6">
        <f t="shared" si="68"/>
        <v>-1.6619999999999997</v>
      </c>
      <c r="X19" s="71">
        <v>-0.248</v>
      </c>
      <c r="Y19" s="71">
        <v>-1.847</v>
      </c>
      <c r="Z19" s="71">
        <v>-3.1589999999999998</v>
      </c>
      <c r="AA19" s="6">
        <f t="shared" si="69"/>
        <v>-2.0930000000000009</v>
      </c>
      <c r="AB19" s="71">
        <v>-2.44</v>
      </c>
      <c r="AC19" s="71">
        <v>-1.306</v>
      </c>
      <c r="AD19" s="71">
        <v>-0.15</v>
      </c>
      <c r="AE19" s="6">
        <f t="shared" si="70"/>
        <v>-2.8990000000000005</v>
      </c>
      <c r="AF19" s="71">
        <v>-1.022</v>
      </c>
      <c r="AG19" s="71">
        <v>-1.131</v>
      </c>
      <c r="AH19" s="4">
        <v>-4.5819999999999999</v>
      </c>
      <c r="AI19" s="6">
        <f t="shared" si="71"/>
        <v>-1.8209999999999988</v>
      </c>
      <c r="AJ19" s="71">
        <v>-0.67500000000000004</v>
      </c>
      <c r="AK19" s="71">
        <v>-0.77600000000000002</v>
      </c>
      <c r="AL19" s="4">
        <v>-49.218000000000004</v>
      </c>
      <c r="AM19" s="6">
        <f t="shared" si="72"/>
        <v>-13.815999999999995</v>
      </c>
      <c r="AN19" s="71">
        <v>-2.5960000000000001</v>
      </c>
      <c r="AO19" s="71">
        <v>-0.16900000000000001</v>
      </c>
      <c r="AP19" s="4">
        <v>-0.26600000000000001</v>
      </c>
      <c r="AQ19" s="6">
        <f t="shared" si="73"/>
        <v>-6.5480000000000009</v>
      </c>
      <c r="AR19" s="71">
        <v>-21.186</v>
      </c>
      <c r="AS19" s="71">
        <v>-2.069</v>
      </c>
      <c r="AT19" s="71">
        <v>-6.0839999999999996</v>
      </c>
      <c r="AU19" s="6">
        <f t="shared" si="74"/>
        <v>-7.7040000000000006</v>
      </c>
      <c r="AV19" s="71">
        <v>-11.157999999999999</v>
      </c>
      <c r="AW19" s="71">
        <v>-4.2</v>
      </c>
      <c r="AX19" s="71">
        <v>-4.9189999999999996</v>
      </c>
      <c r="AY19" s="6">
        <f t="shared" si="75"/>
        <v>-82.23</v>
      </c>
      <c r="AZ19" s="71">
        <v>-25.475999999999999</v>
      </c>
      <c r="BA19" s="71">
        <v>-101.636</v>
      </c>
      <c r="BB19" s="71">
        <v>-24.428000000000001</v>
      </c>
      <c r="BC19" s="6">
        <f t="shared" si="76"/>
        <v>-186.55100000000002</v>
      </c>
      <c r="BD19" s="71">
        <v>-4.8959999999999999</v>
      </c>
      <c r="BE19" s="71">
        <v>-8.57</v>
      </c>
      <c r="BF19" s="71">
        <v>-44.654000000000003</v>
      </c>
      <c r="BG19" s="6">
        <f t="shared" si="77"/>
        <v>-48.66599999999999</v>
      </c>
      <c r="BH19" s="71">
        <v>-85.96</v>
      </c>
      <c r="BJ19" s="71">
        <v>-37.008000000000003</v>
      </c>
      <c r="BK19" s="71">
        <v>-10.881</v>
      </c>
      <c r="BL19" s="71">
        <v>-11.170999999999999</v>
      </c>
      <c r="BM19" s="6">
        <f t="shared" si="78"/>
        <v>-88.938999999999993</v>
      </c>
      <c r="BN19" s="71">
        <v>-35.183</v>
      </c>
      <c r="BO19" s="71">
        <v>-137.25800000000001</v>
      </c>
      <c r="BP19" s="71">
        <v>-32.561</v>
      </c>
      <c r="BQ19" s="6">
        <f t="shared" si="79"/>
        <v>-237.53300000000002</v>
      </c>
      <c r="BR19" s="71">
        <v>-6.407</v>
      </c>
      <c r="BT19" s="71">
        <v>-220.214</v>
      </c>
      <c r="BU19" s="71">
        <v>-59.445999999999998</v>
      </c>
      <c r="BW19" s="6">
        <f t="shared" si="80"/>
        <v>-222.32100000000003</v>
      </c>
      <c r="BX19" s="6">
        <f t="shared" si="80"/>
        <v>-47.34</v>
      </c>
    </row>
    <row r="20" spans="2:76" s="5" customFormat="1" ht="14.25" customHeight="1">
      <c r="B20" s="7" t="s">
        <v>267</v>
      </c>
      <c r="C20" s="71">
        <v>18.155999999999999</v>
      </c>
      <c r="D20" s="71">
        <v>24.402999999999999</v>
      </c>
      <c r="E20" s="71">
        <v>34.856999999999999</v>
      </c>
      <c r="F20" s="71">
        <v>39.090000000000003</v>
      </c>
      <c r="G20" s="71">
        <v>12.226000000000001</v>
      </c>
      <c r="H20" s="71">
        <v>21.041</v>
      </c>
      <c r="I20" s="71">
        <v>41.225999999999999</v>
      </c>
      <c r="J20" s="71">
        <v>-44.514000000000003</v>
      </c>
      <c r="K20" s="71">
        <v>-69.400000000000006</v>
      </c>
      <c r="L20" s="71">
        <v>-740.17700000000002</v>
      </c>
      <c r="M20" s="71">
        <v>-481.42099999999999</v>
      </c>
      <c r="N20" s="71">
        <v>-695.07</v>
      </c>
      <c r="O20" s="71">
        <v>-176.07</v>
      </c>
      <c r="P20" s="71">
        <v>-230.46199999999999</v>
      </c>
      <c r="Q20" s="71">
        <v>-229.357</v>
      </c>
      <c r="R20" s="6">
        <f t="shared" si="67"/>
        <v>-63.686999999999998</v>
      </c>
      <c r="S20" s="6"/>
      <c r="T20" s="71">
        <v>6.6669999999999998</v>
      </c>
      <c r="U20" s="71">
        <v>12.51</v>
      </c>
      <c r="V20" s="71">
        <v>8.76</v>
      </c>
      <c r="W20" s="6">
        <f t="shared" si="68"/>
        <v>6.9200000000000017</v>
      </c>
      <c r="X20" s="71">
        <v>13.866</v>
      </c>
      <c r="Y20" s="71">
        <v>11.949</v>
      </c>
      <c r="Z20" s="71">
        <v>11.429</v>
      </c>
      <c r="AA20" s="6">
        <f t="shared" si="69"/>
        <v>1.8460000000000036</v>
      </c>
      <c r="AB20" s="71">
        <v>10.691000000000001</v>
      </c>
      <c r="AC20" s="71">
        <v>23.587</v>
      </c>
      <c r="AD20" s="71">
        <v>-18.797000000000001</v>
      </c>
      <c r="AE20" s="6">
        <f t="shared" si="70"/>
        <v>-3.254999999999999</v>
      </c>
      <c r="AF20" s="71">
        <v>14.968</v>
      </c>
      <c r="AG20" s="71">
        <v>1.4039999999999999</v>
      </c>
      <c r="AH20" s="4">
        <v>8.016</v>
      </c>
      <c r="AI20" s="6">
        <f t="shared" si="71"/>
        <v>-3.3469999999999995</v>
      </c>
      <c r="AJ20" s="71">
        <v>7.5359999999999996</v>
      </c>
      <c r="AK20" s="71">
        <v>17.122</v>
      </c>
      <c r="AL20" s="4">
        <v>22.032</v>
      </c>
      <c r="AM20" s="6">
        <f t="shared" si="72"/>
        <v>-5.4640000000000022</v>
      </c>
      <c r="AN20" s="71">
        <v>4.5430000000000001</v>
      </c>
      <c r="AO20" s="71">
        <v>-17.946000000000002</v>
      </c>
      <c r="AP20" s="4">
        <v>1.5129999999999999</v>
      </c>
      <c r="AQ20" s="6">
        <f t="shared" si="73"/>
        <v>-32.624000000000002</v>
      </c>
      <c r="AR20" s="71">
        <v>-8.7479999999999993</v>
      </c>
      <c r="AS20" s="71">
        <v>-13.420999999999999</v>
      </c>
      <c r="AT20" s="71">
        <v>-31.344999999999999</v>
      </c>
      <c r="AU20" s="6">
        <f t="shared" si="74"/>
        <v>-15.88600000000001</v>
      </c>
      <c r="AV20" s="71">
        <v>-9.68</v>
      </c>
      <c r="AW20" s="71">
        <v>-14.372999999999999</v>
      </c>
      <c r="AX20" s="71">
        <v>-17.087</v>
      </c>
      <c r="AY20" s="6">
        <f t="shared" si="75"/>
        <v>-440.28100000000001</v>
      </c>
      <c r="AZ20" s="71">
        <v>-101.47499999999999</v>
      </c>
      <c r="BA20" s="71">
        <v>-122.084</v>
      </c>
      <c r="BB20" s="71">
        <v>20.370999999999999</v>
      </c>
      <c r="BC20" s="6">
        <f t="shared" si="76"/>
        <v>27.118000000000006</v>
      </c>
      <c r="BD20" s="71">
        <v>-103.304</v>
      </c>
      <c r="BE20" s="71">
        <v>40.258000000000003</v>
      </c>
      <c r="BF20" s="71">
        <v>-75.491</v>
      </c>
      <c r="BG20" s="6">
        <f t="shared" si="77"/>
        <v>-90.820000000000007</v>
      </c>
      <c r="BH20" s="71">
        <v>62.366</v>
      </c>
      <c r="BJ20" s="71">
        <v>-206.35599999999999</v>
      </c>
      <c r="BK20" s="71">
        <v>38.798000000000002</v>
      </c>
      <c r="BL20" s="71">
        <v>-335.54</v>
      </c>
      <c r="BM20" s="6">
        <f t="shared" si="78"/>
        <v>-191.97200000000004</v>
      </c>
      <c r="BN20" s="71">
        <v>-140.14099999999999</v>
      </c>
      <c r="BO20" s="71">
        <v>-164.87299999999999</v>
      </c>
      <c r="BP20" s="71">
        <v>27.152999999999999</v>
      </c>
      <c r="BQ20" s="6">
        <f t="shared" si="79"/>
        <v>47.399000000000001</v>
      </c>
      <c r="BR20" s="71">
        <v>-135.18899999999999</v>
      </c>
      <c r="BT20" s="71">
        <v>-309.80099999999999</v>
      </c>
      <c r="BU20" s="71">
        <v>-149.93899999999999</v>
      </c>
      <c r="BW20" s="6">
        <f t="shared" si="80"/>
        <v>79.338999999999999</v>
      </c>
      <c r="BX20" s="6">
        <f t="shared" si="80"/>
        <v>-79.418000000000006</v>
      </c>
    </row>
    <row r="21" spans="2:76" s="5" customFormat="1" ht="14.25" customHeight="1">
      <c r="B21" s="7" t="s">
        <v>268</v>
      </c>
      <c r="C21" s="71">
        <v>-68.19599999999997</v>
      </c>
      <c r="D21" s="71">
        <f>437.958-779.104</f>
        <v>-341.14600000000002</v>
      </c>
      <c r="E21" s="71">
        <f>424.314-783.916</f>
        <v>-359.60200000000003</v>
      </c>
      <c r="F21" s="71">
        <f>714.398-923.046</f>
        <v>-208.64800000000002</v>
      </c>
      <c r="G21" s="71">
        <f>1739.314-2760.465</f>
        <v>-1021.1510000000001</v>
      </c>
      <c r="H21" s="71">
        <f>1694.007-1839.049</f>
        <v>-145.04199999999992</v>
      </c>
      <c r="I21" s="71">
        <f>2454.602-2543.848</f>
        <v>-89.246000000000095</v>
      </c>
      <c r="J21" s="71">
        <f>6976.653-8615.726</f>
        <v>-1639.0730000000003</v>
      </c>
      <c r="K21" s="71">
        <f>3884.567-6426.514</f>
        <v>-2541.9470000000001</v>
      </c>
      <c r="L21" s="71">
        <v>0</v>
      </c>
      <c r="M21" s="71">
        <v>0</v>
      </c>
      <c r="N21" s="71">
        <v>0</v>
      </c>
      <c r="O21" s="71">
        <v>0</v>
      </c>
      <c r="P21" s="71">
        <v>0</v>
      </c>
      <c r="Q21" s="71">
        <v>0</v>
      </c>
      <c r="R21" s="6">
        <f t="shared" si="67"/>
        <v>0</v>
      </c>
      <c r="S21" s="6"/>
      <c r="T21" s="71">
        <f>97.643-71.108</f>
        <v>26.534999999999997</v>
      </c>
      <c r="U21" s="71">
        <f>37.547-68.221</f>
        <v>-30.674000000000007</v>
      </c>
      <c r="V21" s="71">
        <f>113.365-158.259</f>
        <v>-44.893999999999991</v>
      </c>
      <c r="W21" s="6">
        <f t="shared" si="68"/>
        <v>-310.56900000000002</v>
      </c>
      <c r="X21" s="71">
        <f>234.82-312.126</f>
        <v>-77.305999999999983</v>
      </c>
      <c r="Y21" s="71">
        <f>91.393-37.647</f>
        <v>53.746000000000002</v>
      </c>
      <c r="Z21" s="71">
        <f>127.736-194.181</f>
        <v>-66.445000000000007</v>
      </c>
      <c r="AA21" s="6">
        <f t="shared" si="69"/>
        <v>-118.64300000000003</v>
      </c>
      <c r="AB21" s="71">
        <f>284.138-354.895</f>
        <v>-70.757000000000005</v>
      </c>
      <c r="AC21" s="71">
        <f>373.542-692.236</f>
        <v>-318.69400000000002</v>
      </c>
      <c r="AD21" s="71">
        <f>1033.113-2060.391</f>
        <v>-1027.278</v>
      </c>
      <c r="AE21" s="6">
        <f t="shared" si="70"/>
        <v>395.57799999999997</v>
      </c>
      <c r="AF21" s="71">
        <f>439.784-517.101</f>
        <v>-77.317000000000007</v>
      </c>
      <c r="AG21" s="71">
        <f>387.81-407.358</f>
        <v>-19.548000000000002</v>
      </c>
      <c r="AH21" s="71">
        <f>570.588-533.959</f>
        <v>36.629000000000019</v>
      </c>
      <c r="AI21" s="6">
        <f t="shared" si="71"/>
        <v>-84.805999999999926</v>
      </c>
      <c r="AJ21" s="71">
        <f>519.411-551.141</f>
        <v>-31.730000000000018</v>
      </c>
      <c r="AK21" s="71">
        <f>535.542-558.617</f>
        <v>-23.074999999999932</v>
      </c>
      <c r="AL21" s="71">
        <f>849.785-839.225</f>
        <v>10.559999999999945</v>
      </c>
      <c r="AM21" s="6">
        <f t="shared" si="72"/>
        <v>-45.00100000000009</v>
      </c>
      <c r="AN21" s="71">
        <f>1246.812-1171.469</f>
        <v>75.342999999999847</v>
      </c>
      <c r="AO21" s="71">
        <f>535.249-601.623</f>
        <v>-66.374000000000024</v>
      </c>
      <c r="AP21" s="71">
        <f>480.78-490.059</f>
        <v>-9.2790000000000532</v>
      </c>
      <c r="AQ21" s="6">
        <f t="shared" si="73"/>
        <v>-1638.7630000000001</v>
      </c>
      <c r="AR21" s="71">
        <f>1306.487-1868.652</f>
        <v>-562.16499999999996</v>
      </c>
      <c r="AS21" s="71">
        <f>1025.105-1731.895</f>
        <v>-706.79</v>
      </c>
      <c r="AT21" s="71">
        <f>806.766-1407.079</f>
        <v>-600.31299999999999</v>
      </c>
      <c r="AU21" s="6">
        <f t="shared" si="74"/>
        <v>-672.6790000000002</v>
      </c>
      <c r="AV21" s="71">
        <f>1305.703-1661.173</f>
        <v>-355.47</v>
      </c>
      <c r="AW21" s="71">
        <f>2830.554-7475.824</f>
        <v>-4645.2699999999995</v>
      </c>
      <c r="AX21" s="71">
        <f>985.298-1606.858</f>
        <v>-621.55999999999995</v>
      </c>
      <c r="AY21" s="6">
        <f t="shared" si="75"/>
        <v>5622.2999999999993</v>
      </c>
      <c r="AZ21" s="71">
        <f>5211.551-7218.284</f>
        <v>-2006.7329999999993</v>
      </c>
      <c r="BA21" s="71">
        <f>1598.697-2084.339</f>
        <v>-485.64200000000005</v>
      </c>
      <c r="BB21" s="71">
        <f>4572.839-5494.297</f>
        <v>-921.45799999999963</v>
      </c>
      <c r="BC21" s="6">
        <f t="shared" si="76"/>
        <v>3413.8329999999987</v>
      </c>
      <c r="BD21" s="71">
        <v>0</v>
      </c>
      <c r="BE21" s="71">
        <v>0</v>
      </c>
      <c r="BF21" s="71">
        <v>0</v>
      </c>
      <c r="BG21" s="6">
        <f t="shared" si="77"/>
        <v>0</v>
      </c>
      <c r="BH21" s="71">
        <v>0</v>
      </c>
      <c r="BJ21" s="71">
        <f>2250.638-2854.844</f>
        <v>-604.20600000000013</v>
      </c>
      <c r="BK21" s="71">
        <f>4889.337-12897.559</f>
        <v>-8008.2219999999988</v>
      </c>
      <c r="BL21" s="71">
        <f>1614.585-2697.798</f>
        <v>-1083.2129999999997</v>
      </c>
      <c r="BM21" s="6">
        <f t="shared" si="78"/>
        <v>9695.6409999999996</v>
      </c>
      <c r="BN21" s="71">
        <v>0</v>
      </c>
      <c r="BO21" s="71">
        <v>0</v>
      </c>
      <c r="BP21" s="71">
        <v>0</v>
      </c>
      <c r="BQ21" s="6">
        <f t="shared" si="79"/>
        <v>0</v>
      </c>
      <c r="BR21" s="71">
        <v>0</v>
      </c>
      <c r="BT21" s="71">
        <v>0</v>
      </c>
      <c r="BU21" s="71">
        <v>0</v>
      </c>
      <c r="BW21" s="6">
        <f t="shared" si="80"/>
        <v>0</v>
      </c>
      <c r="BX21" s="6">
        <f t="shared" si="80"/>
        <v>0</v>
      </c>
    </row>
    <row r="22" spans="2:76" s="5" customFormat="1" ht="14.25" customHeight="1">
      <c r="B22" s="7" t="s">
        <v>269</v>
      </c>
      <c r="C22" s="71">
        <v>98.585000000000008</v>
      </c>
      <c r="D22" s="71">
        <f>321.269-144.525</f>
        <v>176.744</v>
      </c>
      <c r="E22" s="71">
        <f>216.863-181.081</f>
        <v>35.782000000000011</v>
      </c>
      <c r="F22" s="71">
        <f>156.014-324.209</f>
        <v>-168.19499999999999</v>
      </c>
      <c r="G22" s="71">
        <f>1163.35-884.598</f>
        <v>278.75199999999995</v>
      </c>
      <c r="H22" s="71">
        <f>1255.352-1240.583</f>
        <v>14.769000000000005</v>
      </c>
      <c r="I22" s="71">
        <f>1145.948-1510.17</f>
        <v>-364.22199999999998</v>
      </c>
      <c r="J22" s="71">
        <f>4051.786-4487.797</f>
        <v>-436.01099999999951</v>
      </c>
      <c r="K22" s="71">
        <f>2725.207-2853.311</f>
        <v>-128.10400000000027</v>
      </c>
      <c r="L22" s="71">
        <v>0</v>
      </c>
      <c r="M22" s="71">
        <v>0</v>
      </c>
      <c r="N22" s="71">
        <v>0</v>
      </c>
      <c r="O22" s="71">
        <v>0</v>
      </c>
      <c r="P22" s="71">
        <v>0</v>
      </c>
      <c r="Q22" s="71">
        <v>0</v>
      </c>
      <c r="R22" s="6">
        <f t="shared" si="67"/>
        <v>0</v>
      </c>
      <c r="S22" s="6"/>
      <c r="T22" s="71">
        <f>52.941-121.739</f>
        <v>-68.798000000000002</v>
      </c>
      <c r="U22" s="71">
        <f>52.362+7.719</f>
        <v>60.081000000000003</v>
      </c>
      <c r="V22" s="71">
        <f>18.597-38.656</f>
        <v>-20.058999999999997</v>
      </c>
      <c r="W22" s="6">
        <f t="shared" si="68"/>
        <v>64.558000000000007</v>
      </c>
      <c r="X22" s="71">
        <f>93.066-103.665</f>
        <v>-10.599000000000004</v>
      </c>
      <c r="Y22" s="71">
        <f>107.674-178.316</f>
        <v>-70.641999999999996</v>
      </c>
      <c r="Z22" s="71">
        <f>55.193-100.17</f>
        <v>-44.977000000000004</v>
      </c>
      <c r="AA22" s="6">
        <f t="shared" si="69"/>
        <v>-41.97699999999999</v>
      </c>
      <c r="AB22" s="71">
        <f>-151.695+41.286</f>
        <v>-110.40899999999999</v>
      </c>
      <c r="AC22" s="71">
        <f>181.334-94.137</f>
        <v>87.197000000000003</v>
      </c>
      <c r="AD22" s="71">
        <f>546.013-273.595</f>
        <v>272.41800000000001</v>
      </c>
      <c r="AE22" s="6">
        <f t="shared" si="70"/>
        <v>29.545999999999935</v>
      </c>
      <c r="AF22" s="71">
        <f>244.367-213.098</f>
        <v>31.268999999999977</v>
      </c>
      <c r="AG22" s="71">
        <f>220.701-197.56</f>
        <v>23.140999999999991</v>
      </c>
      <c r="AH22" s="71">
        <f>498.55-649.502</f>
        <v>-150.95199999999994</v>
      </c>
      <c r="AI22" s="6">
        <f t="shared" si="71"/>
        <v>111.31099999999998</v>
      </c>
      <c r="AJ22" s="71">
        <f>139.204-236.982</f>
        <v>-97.777999999999992</v>
      </c>
      <c r="AK22" s="71">
        <f>212.68-308.086</f>
        <v>-95.406000000000006</v>
      </c>
      <c r="AL22" s="71">
        <f>305.55-620.97</f>
        <v>-315.42</v>
      </c>
      <c r="AM22" s="6">
        <f t="shared" si="72"/>
        <v>144.38200000000006</v>
      </c>
      <c r="AN22" s="71">
        <f>428.252-650.186</f>
        <v>-221.93400000000003</v>
      </c>
      <c r="AO22" s="71">
        <f>191.004-214.322</f>
        <v>-23.318000000000012</v>
      </c>
      <c r="AP22" s="71">
        <f>336.077-364.392</f>
        <v>-28.314999999999998</v>
      </c>
      <c r="AQ22" s="6">
        <f t="shared" si="73"/>
        <v>-162.44399999999948</v>
      </c>
      <c r="AR22" s="71">
        <f>575.772-589.816</f>
        <v>-14.043999999999983</v>
      </c>
      <c r="AS22" s="71">
        <f>894.643-957.519</f>
        <v>-62.875999999999976</v>
      </c>
      <c r="AT22" s="71">
        <f>837.703-828.567</f>
        <v>9.1359999999999673</v>
      </c>
      <c r="AU22" s="6">
        <f t="shared" si="74"/>
        <v>-60.320000000000277</v>
      </c>
      <c r="AV22" s="71">
        <f>466.572-430.046</f>
        <v>36.52600000000001</v>
      </c>
      <c r="AW22" s="71">
        <f>3827.367-579.893</f>
        <v>3247.4740000000002</v>
      </c>
      <c r="AX22" s="71">
        <f>2414.16-2945.309</f>
        <v>-531.14900000000034</v>
      </c>
      <c r="AY22" s="6">
        <f t="shared" si="75"/>
        <v>-2752.8509999999997</v>
      </c>
      <c r="AZ22" s="71">
        <f>475.254-982.839</f>
        <v>-507.58500000000004</v>
      </c>
      <c r="BA22" s="71">
        <f>602.896-2440.335</f>
        <v>-1837.4390000000001</v>
      </c>
      <c r="BB22" s="71">
        <f>611.271-1831.605</f>
        <v>-1220.3340000000001</v>
      </c>
      <c r="BC22" s="6">
        <f t="shared" si="76"/>
        <v>3565.3580000000002</v>
      </c>
      <c r="BD22" s="71">
        <v>0</v>
      </c>
      <c r="BE22" s="71">
        <v>0</v>
      </c>
      <c r="BF22" s="71">
        <v>0</v>
      </c>
      <c r="BG22" s="6">
        <f t="shared" si="77"/>
        <v>0</v>
      </c>
      <c r="BH22" s="71">
        <v>0</v>
      </c>
      <c r="BJ22" s="71">
        <f>807.314-744.882</f>
        <v>62.432000000000016</v>
      </c>
      <c r="BK22" s="71">
        <f>6587.071-1027.58</f>
        <v>5559.491</v>
      </c>
      <c r="BL22" s="71">
        <f>3776.155-4509.876</f>
        <v>-733.721</v>
      </c>
      <c r="BM22" s="6">
        <f t="shared" si="78"/>
        <v>-4888.2019999999993</v>
      </c>
      <c r="BN22" s="71">
        <v>0</v>
      </c>
      <c r="BO22" s="71">
        <v>0</v>
      </c>
      <c r="BP22" s="71">
        <v>0</v>
      </c>
      <c r="BQ22" s="6">
        <f t="shared" si="79"/>
        <v>0</v>
      </c>
      <c r="BR22" s="71">
        <v>0</v>
      </c>
      <c r="BT22" s="71">
        <v>0</v>
      </c>
      <c r="BU22" s="71">
        <v>0</v>
      </c>
      <c r="BW22" s="6">
        <f t="shared" si="80"/>
        <v>0</v>
      </c>
      <c r="BX22" s="6">
        <f t="shared" si="80"/>
        <v>0</v>
      </c>
    </row>
    <row r="23" spans="2:76" s="5" customFormat="1" ht="14.25" customHeight="1">
      <c r="B23" s="7" t="s">
        <v>45</v>
      </c>
      <c r="C23" s="71">
        <v>-9.7310000000000016</v>
      </c>
      <c r="D23" s="71">
        <f>0.356-7.224</f>
        <v>-6.8680000000000003</v>
      </c>
      <c r="E23" s="71">
        <f>0.519-11.639</f>
        <v>-11.12</v>
      </c>
      <c r="F23" s="71">
        <f>0.549-10.332</f>
        <v>-9.7830000000000013</v>
      </c>
      <c r="G23" s="71">
        <f>0.911-17.552</f>
        <v>-16.640999999999998</v>
      </c>
      <c r="H23" s="71">
        <f>7.625-25.613</f>
        <v>-17.988</v>
      </c>
      <c r="I23" s="71">
        <f>20.353-28.362</f>
        <v>-8.0089999999999968</v>
      </c>
      <c r="J23" s="71">
        <f>63.247-48.524</f>
        <v>14.722999999999999</v>
      </c>
      <c r="K23" s="71">
        <f>95.933-101.142</f>
        <v>-5.208999999999989</v>
      </c>
      <c r="L23" s="71">
        <f>7928.477</f>
        <v>7928.4769999999999</v>
      </c>
      <c r="M23" s="71">
        <f>9888.297</f>
        <v>9888.2970000000005</v>
      </c>
      <c r="N23" s="71">
        <v>22712.078000000001</v>
      </c>
      <c r="O23" s="71">
        <v>15810.124</v>
      </c>
      <c r="P23" s="71">
        <v>20694.239000000001</v>
      </c>
      <c r="Q23" s="71">
        <v>14976.834000000001</v>
      </c>
      <c r="R23" s="6">
        <f t="shared" si="67"/>
        <v>16789.900999999998</v>
      </c>
      <c r="S23" s="6"/>
      <c r="T23" s="71">
        <f>0.115-2.64</f>
        <v>-2.5249999999999999</v>
      </c>
      <c r="U23" s="71">
        <f>0.084-2.574</f>
        <v>-2.4899999999999998</v>
      </c>
      <c r="V23" s="71">
        <f>0.096-3.167</f>
        <v>-3.0709999999999997</v>
      </c>
      <c r="W23" s="6">
        <f t="shared" si="68"/>
        <v>-3.0340000000000007</v>
      </c>
      <c r="X23" s="71">
        <f>0.137-1.763</f>
        <v>-1.6259999999999999</v>
      </c>
      <c r="Y23" s="71">
        <f>0.407-3.385</f>
        <v>-2.9779999999999998</v>
      </c>
      <c r="Z23" s="71">
        <f>-0.086-2.145</f>
        <v>-2.2309999999999999</v>
      </c>
      <c r="AA23" s="6">
        <f t="shared" si="69"/>
        <v>-2.9480000000000022</v>
      </c>
      <c r="AB23" s="71">
        <f>0.035-2.306</f>
        <v>-2.2709999999999999</v>
      </c>
      <c r="AC23" s="71">
        <f>0.026-3.095</f>
        <v>-3.0690000000000004</v>
      </c>
      <c r="AD23" s="71">
        <f>0.11-4</f>
        <v>-3.89</v>
      </c>
      <c r="AE23" s="6">
        <f t="shared" si="70"/>
        <v>-7.410999999999996</v>
      </c>
      <c r="AF23" s="71">
        <f>1.045-4.351</f>
        <v>-3.306</v>
      </c>
      <c r="AG23" s="71">
        <f>3.959-5.759</f>
        <v>-1.8000000000000003</v>
      </c>
      <c r="AH23" s="71">
        <f>0.099-8.857</f>
        <v>-8.7579999999999991</v>
      </c>
      <c r="AI23" s="6">
        <f t="shared" si="71"/>
        <v>-4.1239999999999988</v>
      </c>
      <c r="AJ23" s="71">
        <f>2.002-4.86</f>
        <v>-2.8580000000000005</v>
      </c>
      <c r="AK23" s="71">
        <f>4.073-5.878</f>
        <v>-1.8049999999999997</v>
      </c>
      <c r="AL23" s="71">
        <f>7.53-8.331</f>
        <v>-0.80099999999999927</v>
      </c>
      <c r="AM23" s="6">
        <f t="shared" si="72"/>
        <v>-2.5449999999999973</v>
      </c>
      <c r="AN23" s="71">
        <f>2.273-10.09</f>
        <v>-7.8170000000000002</v>
      </c>
      <c r="AO23" s="71">
        <f>6.027-9.727</f>
        <v>-3.7</v>
      </c>
      <c r="AP23" s="71">
        <f>9.12-13.439</f>
        <v>-4.3190000000000008</v>
      </c>
      <c r="AQ23" s="6">
        <f t="shared" si="73"/>
        <v>30.558999999999997</v>
      </c>
      <c r="AR23" s="71">
        <f>4.134-17.839</f>
        <v>-13.704999999999998</v>
      </c>
      <c r="AS23" s="71">
        <f>36.156-27.688</f>
        <v>8.468</v>
      </c>
      <c r="AT23" s="71">
        <f>20.609-27.994</f>
        <v>-7.384999999999998</v>
      </c>
      <c r="AU23" s="6">
        <f t="shared" si="74"/>
        <v>7.4130000000000074</v>
      </c>
      <c r="AV23" s="71">
        <f>154.133-133.178</f>
        <v>20.955000000000013</v>
      </c>
      <c r="AW23" s="71">
        <f>162.649-165.995</f>
        <v>-3.3460000000000036</v>
      </c>
      <c r="AX23" s="71">
        <f>39.216-119.354</f>
        <v>-80.138000000000005</v>
      </c>
      <c r="AY23" s="6">
        <f t="shared" si="75"/>
        <v>9950.8260000000009</v>
      </c>
      <c r="AZ23" s="71">
        <f>118.613-267.177</f>
        <v>-148.56400000000002</v>
      </c>
      <c r="BA23" s="71">
        <f>271.358-620.027</f>
        <v>-348.66900000000004</v>
      </c>
      <c r="BB23" s="71">
        <f>39.188-796.649+2431.212</f>
        <v>1673.751</v>
      </c>
      <c r="BC23" s="6">
        <f t="shared" si="76"/>
        <v>14633.606</v>
      </c>
      <c r="BD23" s="71">
        <v>4342.1390000000001</v>
      </c>
      <c r="BE23" s="71">
        <v>3432.8429999999998</v>
      </c>
      <c r="BF23" s="71">
        <v>3703.373</v>
      </c>
      <c r="BG23" s="6">
        <f t="shared" si="77"/>
        <v>3498.4789999999998</v>
      </c>
      <c r="BH23" s="71">
        <v>6155.2060000000001</v>
      </c>
      <c r="BJ23" s="71">
        <f>157.962-72.334</f>
        <v>85.627999999999986</v>
      </c>
      <c r="BK23" s="71">
        <f>98.813-731.676</f>
        <v>-632.86300000000006</v>
      </c>
      <c r="BL23" s="71">
        <f>547.92-93.782+6359.216</f>
        <v>6813.3540000000003</v>
      </c>
      <c r="BM23" s="6">
        <f t="shared" si="78"/>
        <v>16445.959000000003</v>
      </c>
      <c r="BN23" s="71">
        <v>6355.3720000000003</v>
      </c>
      <c r="BO23" s="71">
        <v>3438.3310000000001</v>
      </c>
      <c r="BP23" s="71">
        <v>4315.7780000000002</v>
      </c>
      <c r="BQ23" s="6">
        <f t="shared" si="79"/>
        <v>6584.7579999999998</v>
      </c>
      <c r="BR23" s="71">
        <v>5682.3620000000001</v>
      </c>
      <c r="BT23" s="71">
        <v>15254.837</v>
      </c>
      <c r="BU23" s="71">
        <v>12342.212</v>
      </c>
      <c r="BW23" s="6">
        <f t="shared" si="80"/>
        <v>5439.4020000000019</v>
      </c>
      <c r="BX23" s="6">
        <f t="shared" si="80"/>
        <v>2634.6220000000012</v>
      </c>
    </row>
    <row r="24" spans="2:76" ht="14.25" customHeight="1">
      <c r="B24" s="7" t="s">
        <v>270</v>
      </c>
      <c r="C24" s="71">
        <v>23.141999999999996</v>
      </c>
      <c r="D24" s="71">
        <v>22.972000000000001</v>
      </c>
      <c r="E24" s="71">
        <v>28.35</v>
      </c>
      <c r="F24" s="71">
        <v>30.577999999999999</v>
      </c>
      <c r="G24" s="71">
        <v>61.643999999999998</v>
      </c>
      <c r="H24" s="71">
        <v>157.339</v>
      </c>
      <c r="I24" s="71">
        <v>231.59299999999999</v>
      </c>
      <c r="J24" s="71">
        <v>217.672</v>
      </c>
      <c r="K24" s="71">
        <v>444.39299999999997</v>
      </c>
      <c r="L24" s="71">
        <v>14215.714</v>
      </c>
      <c r="M24" s="71">
        <v>22593.778999999999</v>
      </c>
      <c r="N24" s="71">
        <v>32620.625</v>
      </c>
      <c r="O24" s="71">
        <v>22050.502</v>
      </c>
      <c r="P24" s="71">
        <v>28862.416000000001</v>
      </c>
      <c r="Q24" s="71">
        <v>17617.136999999999</v>
      </c>
      <c r="R24" s="6">
        <f t="shared" si="67"/>
        <v>20406.053</v>
      </c>
      <c r="S24" s="6"/>
      <c r="T24" s="71">
        <f>7.048</f>
        <v>7.048</v>
      </c>
      <c r="U24" s="71">
        <v>7.4379999999999997</v>
      </c>
      <c r="V24" s="71">
        <v>8.0380000000000003</v>
      </c>
      <c r="W24" s="6">
        <f t="shared" si="68"/>
        <v>5.8260000000000005</v>
      </c>
      <c r="X24" s="71">
        <v>6.4279999999999999</v>
      </c>
      <c r="Y24" s="71">
        <v>8.5410000000000004</v>
      </c>
      <c r="Z24" s="71">
        <v>9.4809999999999999</v>
      </c>
      <c r="AA24" s="6">
        <f t="shared" si="69"/>
        <v>6.1279999999999966</v>
      </c>
      <c r="AB24" s="71">
        <v>9.1679999999999993</v>
      </c>
      <c r="AC24" s="71">
        <v>9.0440000000000005</v>
      </c>
      <c r="AD24" s="71">
        <v>19.766999999999999</v>
      </c>
      <c r="AE24" s="6">
        <f t="shared" si="70"/>
        <v>23.665000000000003</v>
      </c>
      <c r="AF24" s="71">
        <v>34.542999999999999</v>
      </c>
      <c r="AG24" s="71">
        <v>35.539000000000001</v>
      </c>
      <c r="AH24" s="71">
        <v>45.750999999999998</v>
      </c>
      <c r="AI24" s="6">
        <f t="shared" si="71"/>
        <v>41.505999999999993</v>
      </c>
      <c r="AJ24" s="71">
        <v>33.466999999999999</v>
      </c>
      <c r="AK24" s="71">
        <v>39.081000000000003</v>
      </c>
      <c r="AL24" s="71">
        <v>59.563000000000002</v>
      </c>
      <c r="AM24" s="6">
        <f t="shared" si="72"/>
        <v>99.481999999999957</v>
      </c>
      <c r="AN24" s="71">
        <v>98.847999999999999</v>
      </c>
      <c r="AO24" s="71">
        <v>47.243000000000002</v>
      </c>
      <c r="AP24" s="71">
        <v>25.638000000000002</v>
      </c>
      <c r="AQ24" s="6">
        <f t="shared" si="73"/>
        <v>45.942999999999984</v>
      </c>
      <c r="AR24" s="71">
        <v>86.971000000000004</v>
      </c>
      <c r="AS24" s="71">
        <v>71.022999999999996</v>
      </c>
      <c r="AT24" s="71">
        <v>84.081999999999994</v>
      </c>
      <c r="AU24" s="6">
        <f t="shared" si="74"/>
        <v>202.31700000000001</v>
      </c>
      <c r="AV24" s="71">
        <v>231.85</v>
      </c>
      <c r="AW24" s="71">
        <f>234.107</f>
        <v>234.107</v>
      </c>
      <c r="AX24" s="71">
        <v>421.35399999999998</v>
      </c>
      <c r="AY24" s="6">
        <f t="shared" si="75"/>
        <v>21706.468000000001</v>
      </c>
      <c r="AZ24" s="71">
        <f>677.206+3240.861</f>
        <v>3918.067</v>
      </c>
      <c r="BA24" s="71">
        <f>730.351+1786.083</f>
        <v>2516.4340000000002</v>
      </c>
      <c r="BB24" s="71">
        <v>590.19500000000005</v>
      </c>
      <c r="BC24" s="6">
        <f t="shared" si="76"/>
        <v>15025.806</v>
      </c>
      <c r="BD24" s="71">
        <v>3178.527</v>
      </c>
      <c r="BE24" s="71">
        <v>4832.3599999999997</v>
      </c>
      <c r="BF24" s="71">
        <v>5253.4059999999999</v>
      </c>
      <c r="BG24" s="6">
        <f t="shared" si="77"/>
        <v>4352.8440000000001</v>
      </c>
      <c r="BH24" s="71">
        <v>5967.4430000000002</v>
      </c>
      <c r="BJ24" s="71">
        <f>400.704+2810.247</f>
        <v>3210.951</v>
      </c>
      <c r="BK24" s="71">
        <f>409.04+1477.372</f>
        <v>1886.412</v>
      </c>
      <c r="BL24" s="71">
        <v>669.61599999999999</v>
      </c>
      <c r="BM24" s="6">
        <f t="shared" si="78"/>
        <v>26853.646000000001</v>
      </c>
      <c r="BN24" s="71">
        <v>8952.7520000000004</v>
      </c>
      <c r="BO24" s="71">
        <v>4326.0169999999998</v>
      </c>
      <c r="BP24" s="71">
        <v>7749.0379999999996</v>
      </c>
      <c r="BQ24" s="6">
        <f t="shared" si="79"/>
        <v>7834.6090000000004</v>
      </c>
      <c r="BR24" s="71">
        <v>4159.5950000000003</v>
      </c>
      <c r="BT24" s="71">
        <v>22602.42</v>
      </c>
      <c r="BU24" s="71">
        <v>14070.714</v>
      </c>
      <c r="BW24" s="6">
        <f t="shared" si="80"/>
        <v>6259.9960000000028</v>
      </c>
      <c r="BX24" s="6">
        <f t="shared" si="80"/>
        <v>3546.4229999999989</v>
      </c>
    </row>
    <row r="25" spans="2:76" ht="14.25" customHeight="1">
      <c r="B25" s="7" t="s">
        <v>271</v>
      </c>
      <c r="C25" s="4">
        <v>-314.01</v>
      </c>
      <c r="D25" s="4">
        <v>-388.81700000000001</v>
      </c>
      <c r="E25" s="4">
        <v>-440.98599999999999</v>
      </c>
      <c r="F25" s="4">
        <v>-574.91399999999999</v>
      </c>
      <c r="G25" s="4">
        <v>-1009.229</v>
      </c>
      <c r="H25" s="4">
        <v>-1567.9570000000001</v>
      </c>
      <c r="I25" s="4">
        <v>-1341.9159999999999</v>
      </c>
      <c r="J25" s="4">
        <v>-1817.588</v>
      </c>
      <c r="K25" s="4">
        <f>-3952.726-105.602</f>
        <v>-4058.328</v>
      </c>
      <c r="L25" s="4">
        <v>-26175.376</v>
      </c>
      <c r="M25" s="4">
        <v>-34948.178999999996</v>
      </c>
      <c r="N25" s="4">
        <v>-50457.758000000002</v>
      </c>
      <c r="O25" s="4">
        <v>-47298.83</v>
      </c>
      <c r="P25" s="4">
        <v>-61910.540999999997</v>
      </c>
      <c r="Q25" s="4">
        <v>-47635.991999999998</v>
      </c>
      <c r="R25" s="6">
        <f t="shared" si="67"/>
        <v>-48779.788</v>
      </c>
      <c r="S25" s="6"/>
      <c r="T25" s="4">
        <v>-105.482</v>
      </c>
      <c r="U25" s="4">
        <v>-116.857</v>
      </c>
      <c r="V25" s="4">
        <v>-104.687</v>
      </c>
      <c r="W25" s="6">
        <f t="shared" si="68"/>
        <v>-113.95999999999998</v>
      </c>
      <c r="X25" s="4">
        <v>-118.01600000000001</v>
      </c>
      <c r="Y25" s="4">
        <v>-142.63999999999999</v>
      </c>
      <c r="Z25" s="4">
        <v>-154.14400000000001</v>
      </c>
      <c r="AA25" s="6">
        <f t="shared" si="69"/>
        <v>-160.11399999999998</v>
      </c>
      <c r="AB25" s="4">
        <v>-183.05799999999999</v>
      </c>
      <c r="AC25" s="4">
        <v>-218.529</v>
      </c>
      <c r="AD25" s="4">
        <v>-295.34699999999998</v>
      </c>
      <c r="AE25" s="6">
        <f t="shared" si="70"/>
        <v>-312.29500000000007</v>
      </c>
      <c r="AF25" s="4">
        <v>-378.78199999999998</v>
      </c>
      <c r="AG25" s="4">
        <v>-400.69600000000003</v>
      </c>
      <c r="AH25" s="4">
        <v>-376.73399999999998</v>
      </c>
      <c r="AI25" s="6">
        <f t="shared" si="71"/>
        <v>-411.74500000000018</v>
      </c>
      <c r="AJ25" s="4">
        <v>-373.47699999999998</v>
      </c>
      <c r="AK25" s="4">
        <v>-348.99400000000003</v>
      </c>
      <c r="AL25" s="4">
        <v>-316.40899999999999</v>
      </c>
      <c r="AM25" s="6">
        <f t="shared" si="72"/>
        <v>-303.03599999999994</v>
      </c>
      <c r="AN25" s="4">
        <v>-332.52800000000002</v>
      </c>
      <c r="AO25" s="4">
        <v>-420.51499999999999</v>
      </c>
      <c r="AP25" s="4">
        <v>-481.35</v>
      </c>
      <c r="AQ25" s="6">
        <f t="shared" si="73"/>
        <v>-583.19500000000005</v>
      </c>
      <c r="AR25" s="4">
        <v>-742.26800000000003</v>
      </c>
      <c r="AS25" s="4">
        <v>-946.50400000000002</v>
      </c>
      <c r="AT25" s="4">
        <v>-1063.8320000000001</v>
      </c>
      <c r="AU25" s="6">
        <f t="shared" si="74"/>
        <v>-1305.7239999999999</v>
      </c>
      <c r="AV25" s="4">
        <f>-1339.515-77.492</f>
        <v>-1417.0070000000001</v>
      </c>
      <c r="AW25" s="4">
        <f>-1237.631-92.167</f>
        <v>-1329.798</v>
      </c>
      <c r="AX25" s="4">
        <f>-1721.892-89.198</f>
        <v>-1811.0900000000001</v>
      </c>
      <c r="AY25" s="6">
        <f t="shared" si="75"/>
        <v>-30390.284</v>
      </c>
      <c r="AZ25" s="4">
        <f>-2493.212-144.823</f>
        <v>-2638.0349999999999</v>
      </c>
      <c r="BA25" s="4">
        <f>-2170.281-96.501</f>
        <v>-2266.7820000000002</v>
      </c>
      <c r="BB25" s="4">
        <f>-4746.452-98.254</f>
        <v>-4844.7060000000001</v>
      </c>
      <c r="BC25" s="6">
        <f t="shared" si="76"/>
        <v>-37549.307000000001</v>
      </c>
      <c r="BD25" s="4">
        <v>-10901.018</v>
      </c>
      <c r="BE25" s="4">
        <v>-13249.049000000001</v>
      </c>
      <c r="BF25" s="4">
        <v>-11800.31</v>
      </c>
      <c r="BG25" s="6">
        <f t="shared" si="77"/>
        <v>-11685.615000000003</v>
      </c>
      <c r="BH25" s="4">
        <v>-12044.814</v>
      </c>
      <c r="BJ25" s="4">
        <f>-2363.161-134.063</f>
        <v>-2497.2240000000002</v>
      </c>
      <c r="BK25" s="4">
        <f>-1551.3-161.868</f>
        <v>-1713.1679999999999</v>
      </c>
      <c r="BL25" s="4">
        <f>-3306.775-141.434</f>
        <v>-3448.2090000000003</v>
      </c>
      <c r="BM25" s="6">
        <f t="shared" si="78"/>
        <v>-42799.156999999999</v>
      </c>
      <c r="BN25" s="4">
        <v>-15338.273999999999</v>
      </c>
      <c r="BO25" s="4">
        <v>-10009.11</v>
      </c>
      <c r="BP25" s="4">
        <v>-17284.576000000001</v>
      </c>
      <c r="BQ25" s="6">
        <f t="shared" si="79"/>
        <v>-19278.580999999998</v>
      </c>
      <c r="BR25" s="4">
        <v>-14265.671</v>
      </c>
      <c r="BT25" s="4">
        <v>-45524.591</v>
      </c>
      <c r="BU25" s="4">
        <v>-38466.622000000003</v>
      </c>
      <c r="BW25" s="6">
        <f t="shared" si="80"/>
        <v>-16385.949999999997</v>
      </c>
      <c r="BX25" s="6">
        <f t="shared" si="80"/>
        <v>-9169.3699999999953</v>
      </c>
    </row>
    <row r="26" spans="2:76" s="5" customFormat="1" ht="14.25" customHeight="1">
      <c r="B26" s="5" t="s">
        <v>272</v>
      </c>
      <c r="C26" s="8">
        <f t="shared" ref="C26:AB26" si="81">C17+SUM(C18:C25)</f>
        <v>731.62200000000075</v>
      </c>
      <c r="D26" s="8">
        <f t="shared" si="81"/>
        <v>785.12099999999964</v>
      </c>
      <c r="E26" s="8">
        <f t="shared" si="81"/>
        <v>1201.6810000000009</v>
      </c>
      <c r="F26" s="8">
        <f t="shared" si="81"/>
        <v>820.89700000000016</v>
      </c>
      <c r="G26" s="8">
        <f t="shared" si="81"/>
        <v>949.40599999999904</v>
      </c>
      <c r="H26" s="8">
        <f t="shared" ref="H26:K26" si="82">H17+SUM(H18:H25)</f>
        <v>1114.1799999999998</v>
      </c>
      <c r="I26" s="8">
        <f t="shared" si="82"/>
        <v>3497.9050000000002</v>
      </c>
      <c r="J26" s="8">
        <f t="shared" si="82"/>
        <v>3622.6140000000096</v>
      </c>
      <c r="K26" s="8">
        <f t="shared" si="82"/>
        <v>4218.0140000000065</v>
      </c>
      <c r="L26" s="8">
        <f t="shared" ref="L26:M26" si="83">L17+SUM(L18:L25)</f>
        <v>7239.1610000000073</v>
      </c>
      <c r="M26" s="8">
        <f t="shared" si="83"/>
        <v>7158.4579999999878</v>
      </c>
      <c r="N26" s="8">
        <f t="shared" ref="N26" si="84">N17+SUM(N18:N25)</f>
        <v>18770.770999999957</v>
      </c>
      <c r="O26" s="8">
        <f t="shared" ref="O26:P26" si="85">O17+SUM(O18:O25)</f>
        <v>-1610.4119999999821</v>
      </c>
      <c r="P26" s="8">
        <f t="shared" si="85"/>
        <v>-2107.9059999999736</v>
      </c>
      <c r="Q26" s="8">
        <f t="shared" ref="Q26" si="86">Q17+SUM(Q18:Q25)</f>
        <v>-4736.5720000000292</v>
      </c>
      <c r="R26" s="8">
        <f t="shared" ref="R26" si="87">R17+SUM(R18:R25)</f>
        <v>-3482.4750000000349</v>
      </c>
      <c r="S26" s="8"/>
      <c r="T26" s="8">
        <f t="shared" si="81"/>
        <v>154.4559999999999</v>
      </c>
      <c r="U26" s="8">
        <f t="shared" si="81"/>
        <v>655.65400000000011</v>
      </c>
      <c r="V26" s="8">
        <f t="shared" si="81"/>
        <v>283.27299999999968</v>
      </c>
      <c r="W26" s="8">
        <f t="shared" si="81"/>
        <v>108.29800000000125</v>
      </c>
      <c r="X26" s="8">
        <f t="shared" si="81"/>
        <v>236.56600000000009</v>
      </c>
      <c r="Y26" s="8">
        <f t="shared" si="81"/>
        <v>213.57299999999984</v>
      </c>
      <c r="Z26" s="8">
        <f t="shared" si="81"/>
        <v>258.44799999999952</v>
      </c>
      <c r="AA26" s="8">
        <f t="shared" si="81"/>
        <v>112.31000000000222</v>
      </c>
      <c r="AB26" s="8">
        <f t="shared" si="81"/>
        <v>157.82100000000014</v>
      </c>
      <c r="AC26" s="8">
        <f t="shared" ref="AC26:AH26" si="88">AC17+SUM(AC18:AC25)</f>
        <v>189.44500000000056</v>
      </c>
      <c r="AD26" s="8">
        <f t="shared" si="88"/>
        <v>331.84400000000073</v>
      </c>
      <c r="AE26" s="8">
        <f t="shared" si="88"/>
        <v>270.29599999999635</v>
      </c>
      <c r="AF26" s="8">
        <f t="shared" si="88"/>
        <v>260.8420000000001</v>
      </c>
      <c r="AG26" s="8">
        <f t="shared" si="88"/>
        <v>301.60400000000016</v>
      </c>
      <c r="AH26" s="8">
        <f t="shared" si="88"/>
        <v>269.54599999999971</v>
      </c>
      <c r="AI26" s="8">
        <f t="shared" ref="AI26:AN26" si="89">AI17+SUM(AI18:AI25)</f>
        <v>282.18800000000226</v>
      </c>
      <c r="AJ26" s="8">
        <f t="shared" si="89"/>
        <v>308.40400000000011</v>
      </c>
      <c r="AK26" s="8">
        <f t="shared" si="89"/>
        <v>525.7339999999997</v>
      </c>
      <c r="AL26" s="8">
        <f t="shared" si="89"/>
        <v>1285.0350000000001</v>
      </c>
      <c r="AM26" s="8">
        <f t="shared" si="89"/>
        <v>1378.7320000000027</v>
      </c>
      <c r="AN26" s="8">
        <f t="shared" si="89"/>
        <v>1294.2560000000005</v>
      </c>
      <c r="AO26" s="8">
        <f t="shared" ref="AO26:AT26" si="90">AO17+SUM(AO18:AO25)</f>
        <v>583.53800000000126</v>
      </c>
      <c r="AP26" s="8">
        <f t="shared" si="90"/>
        <v>770.43899999999917</v>
      </c>
      <c r="AQ26" s="8">
        <f t="shared" si="90"/>
        <v>974.38100000001123</v>
      </c>
      <c r="AR26" s="8">
        <f t="shared" si="90"/>
        <v>1451.4480000000017</v>
      </c>
      <c r="AS26" s="8">
        <f t="shared" si="90"/>
        <v>303.90600000000131</v>
      </c>
      <c r="AT26" s="8">
        <f t="shared" si="90"/>
        <v>231.35299999999779</v>
      </c>
      <c r="AU26" s="8">
        <f t="shared" ref="AU26" si="91">AU17+SUM(AU18:AU25)</f>
        <v>2231.3070000000134</v>
      </c>
      <c r="AV26" s="8">
        <f t="shared" ref="AV26:AW26" si="92">AV17+SUM(AV18:AV25)</f>
        <v>710.42400000000134</v>
      </c>
      <c r="AW26" s="8">
        <f t="shared" si="92"/>
        <v>1126.4210000000003</v>
      </c>
      <c r="AX26" s="8">
        <f>AX17+SUM(AX18:AX25)</f>
        <v>1354.1069999999991</v>
      </c>
      <c r="AY26" s="8">
        <f t="shared" ref="AY26" si="93">AY17+SUM(AY18:AY25)</f>
        <v>3967.5060000000085</v>
      </c>
      <c r="AZ26" s="8">
        <f>AZ17+SUM(AZ18:AZ25)</f>
        <v>1280.5759999999932</v>
      </c>
      <c r="BA26" s="8">
        <f t="shared" ref="BA26" si="94">BA17+SUM(BA18:BA25)</f>
        <v>-1550.8029999999997</v>
      </c>
      <c r="BB26" s="8">
        <f>BB17+SUM(BB18:BB25)</f>
        <v>-6645.5789999999988</v>
      </c>
      <c r="BC26" s="8">
        <f t="shared" ref="BC26" si="95">BC17+SUM(BC18:BC25)</f>
        <v>5305.3940000000221</v>
      </c>
      <c r="BD26" s="8">
        <f>BD17+SUM(BD18:BD25)</f>
        <v>-953.04600000000119</v>
      </c>
      <c r="BE26" s="8">
        <f t="shared" ref="BE26" si="96">BE17+SUM(BE18:BE25)</f>
        <v>-2274.8120000000035</v>
      </c>
      <c r="BF26" s="8">
        <f>BF17+SUM(BF18:BF25)</f>
        <v>-707.68399999999747</v>
      </c>
      <c r="BG26" s="8">
        <f t="shared" ref="BG26" si="97">BG17+SUM(BG18:BG25)</f>
        <v>-801.02999999997337</v>
      </c>
      <c r="BH26" s="8">
        <f>BH17+SUM(BH18:BH25)</f>
        <v>301.05099999998856</v>
      </c>
      <c r="BJ26" s="8">
        <f t="shared" ref="BJ26:BK26" si="98">BJ17+SUM(BJ18:BJ25)</f>
        <v>1677.198000000003</v>
      </c>
      <c r="BK26" s="8">
        <f t="shared" si="98"/>
        <v>2286.3059999999982</v>
      </c>
      <c r="BL26" s="8">
        <f>BL17+SUM(BL18:BL25)</f>
        <v>4570.2070000000076</v>
      </c>
      <c r="BM26" s="8">
        <f>BM17+SUM(BM18:BM25)</f>
        <v>10237.05999999995</v>
      </c>
      <c r="BN26" s="8">
        <f t="shared" ref="BN26:BO26" si="99">BN17+SUM(BN18:BN25)</f>
        <v>3648.1410000000051</v>
      </c>
      <c r="BO26" s="8">
        <f t="shared" si="99"/>
        <v>18793.353000000003</v>
      </c>
      <c r="BP26" s="8">
        <f>BP17+SUM(BP18:BP25)</f>
        <v>-7783.0429999999978</v>
      </c>
      <c r="BQ26" s="8">
        <f>BQ17+SUM(BQ18:BQ25)</f>
        <v>-16766.357000000004</v>
      </c>
      <c r="BR26" s="8">
        <f t="shared" ref="BR26" si="100">BR17+SUM(BR18:BR25)</f>
        <v>-1247.2059999999838</v>
      </c>
      <c r="BT26" s="8">
        <f>BT17+SUM(BT18:BT25)</f>
        <v>16578.126999999993</v>
      </c>
      <c r="BU26" s="8">
        <f>BU17+SUM(BU18:BU25)</f>
        <v>-4239.3159999999989</v>
      </c>
      <c r="BW26" s="8">
        <f>BW17+SUM(BW18:BW25)</f>
        <v>-18686.03300000001</v>
      </c>
      <c r="BX26" s="8">
        <f>BX17+SUM(BX18:BX25)</f>
        <v>-497.2560000000085</v>
      </c>
    </row>
    <row r="27" spans="2:76" s="5" customFormat="1" ht="14.25" customHeight="1">
      <c r="B27" s="7" t="s">
        <v>273</v>
      </c>
      <c r="C27" s="4">
        <v>-80.891999999999996</v>
      </c>
      <c r="D27" s="4">
        <v>-97.286000000000001</v>
      </c>
      <c r="E27" s="4">
        <v>-100.19499999999999</v>
      </c>
      <c r="F27" s="4">
        <v>-194.03399999999999</v>
      </c>
      <c r="G27" s="4">
        <v>-248.74799999999999</v>
      </c>
      <c r="H27" s="4">
        <v>-244.52600000000001</v>
      </c>
      <c r="I27" s="4">
        <v>-481.03199999999998</v>
      </c>
      <c r="J27" s="4">
        <v>-759.49599999999998</v>
      </c>
      <c r="K27" s="4">
        <v>-1002.45</v>
      </c>
      <c r="L27" s="4">
        <v>-1913.883</v>
      </c>
      <c r="M27" s="4">
        <v>-1910.9590000000001</v>
      </c>
      <c r="N27" s="4">
        <v>-2759.02</v>
      </c>
      <c r="O27" s="4">
        <v>-1409.7670000000001</v>
      </c>
      <c r="P27" s="4">
        <v>-1845.277</v>
      </c>
      <c r="Q27" s="4">
        <v>-1993.6759999999999</v>
      </c>
      <c r="R27" s="6">
        <f t="shared" ref="R27:R28" si="101">SUM(BE27:BH27)</f>
        <v>-1793.4169999999999</v>
      </c>
      <c r="S27" s="6"/>
      <c r="T27" s="4">
        <v>-19.384</v>
      </c>
      <c r="U27" s="4">
        <v>-29.710999999999999</v>
      </c>
      <c r="V27" s="4">
        <v>-33.488999999999997</v>
      </c>
      <c r="W27" s="6">
        <f>E27-SUM(T27:V27)</f>
        <v>-17.61099999999999</v>
      </c>
      <c r="X27" s="4">
        <v>-65.533000000000001</v>
      </c>
      <c r="Y27" s="4">
        <v>-37.389000000000003</v>
      </c>
      <c r="Z27" s="4">
        <v>-36.076999999999998</v>
      </c>
      <c r="AA27" s="6">
        <f>F27-SUM(X27:Z27)</f>
        <v>-55.034999999999997</v>
      </c>
      <c r="AB27" s="4">
        <v>-30.347000000000001</v>
      </c>
      <c r="AC27" s="4">
        <v>-50.966000000000001</v>
      </c>
      <c r="AD27" s="4">
        <v>-122.949</v>
      </c>
      <c r="AE27" s="6">
        <f>G27-AB27-AC27-AD27</f>
        <v>-44.485999999999976</v>
      </c>
      <c r="AF27" s="4">
        <v>-60.704000000000001</v>
      </c>
      <c r="AG27" s="4">
        <v>-122.017</v>
      </c>
      <c r="AH27" s="4">
        <v>-47.253</v>
      </c>
      <c r="AI27" s="6">
        <f>H27-AF27-AG27-AH27</f>
        <v>-14.552000000000007</v>
      </c>
      <c r="AJ27" s="4">
        <v>-76.078999999999994</v>
      </c>
      <c r="AK27" s="4">
        <v>-65.67</v>
      </c>
      <c r="AL27" s="4">
        <v>-228.71700000000001</v>
      </c>
      <c r="AM27" s="6">
        <f>I27-AJ27-AK27-AL27</f>
        <v>-110.56599999999995</v>
      </c>
      <c r="AN27" s="4">
        <v>-220.655</v>
      </c>
      <c r="AO27" s="4">
        <v>-152.10900000000001</v>
      </c>
      <c r="AP27" s="4">
        <v>-159.66200000000001</v>
      </c>
      <c r="AQ27" s="6">
        <f>J27-AN27-AO27-AP27</f>
        <v>-227.06999999999996</v>
      </c>
      <c r="AR27" s="4">
        <v>-352.58800000000002</v>
      </c>
      <c r="AS27" s="4">
        <v>-195.339</v>
      </c>
      <c r="AT27" s="4">
        <v>-413.75400000000002</v>
      </c>
      <c r="AU27" s="6">
        <f>K27-AR27-AS27-AT27</f>
        <v>-40.769000000000062</v>
      </c>
      <c r="AV27" s="4">
        <v>-525.11800000000005</v>
      </c>
      <c r="AW27" s="4">
        <v>-412.41399999999999</v>
      </c>
      <c r="AX27" s="4">
        <v>-667.87400000000002</v>
      </c>
      <c r="AY27" s="6">
        <f>M27-AV27-AW27-AX27</f>
        <v>-305.55299999999988</v>
      </c>
      <c r="AZ27" s="4">
        <v>-1082.1310000000001</v>
      </c>
      <c r="BA27" s="4">
        <v>-275.48200000000003</v>
      </c>
      <c r="BB27" s="4">
        <v>-117.89700000000001</v>
      </c>
      <c r="BC27" s="6">
        <f t="shared" ref="BC27:BC28" si="102">O27-AZ27-BA27-BB27</f>
        <v>65.743000000000066</v>
      </c>
      <c r="BD27" s="4">
        <v>-850.654</v>
      </c>
      <c r="BE27" s="4">
        <v>-146.61699999999999</v>
      </c>
      <c r="BF27" s="4">
        <v>-104.99</v>
      </c>
      <c r="BG27" s="6">
        <f>Q27-BD27-BE27-BF27</f>
        <v>-891.41499999999996</v>
      </c>
      <c r="BH27" s="4">
        <v>-650.39499999999998</v>
      </c>
      <c r="BJ27" s="4">
        <v>-905.21699999999998</v>
      </c>
      <c r="BK27" s="4">
        <v>-723.66200000000003</v>
      </c>
      <c r="BL27" s="4">
        <v>-1074.9829999999999</v>
      </c>
      <c r="BM27" s="6">
        <f>N27-SUM(BJ27:BL27)</f>
        <v>-55.157999999999902</v>
      </c>
      <c r="BN27" s="4">
        <v>-1494.4649999999999</v>
      </c>
      <c r="BO27" s="4">
        <v>-372.03500000000003</v>
      </c>
      <c r="BP27" s="4">
        <v>-157.15</v>
      </c>
      <c r="BQ27" s="6">
        <f>P27-SUM(BN27:BP27)</f>
        <v>178.37300000000005</v>
      </c>
      <c r="BR27" s="4">
        <v>-1113.213</v>
      </c>
      <c r="BT27" s="4">
        <v>-2260.2240000000002</v>
      </c>
      <c r="BU27" s="4">
        <v>-1232.0309999999999</v>
      </c>
      <c r="BW27" s="6">
        <f>P27-BT27</f>
        <v>414.94700000000012</v>
      </c>
      <c r="BX27" s="6">
        <f>Q27-BU27</f>
        <v>-761.64499999999998</v>
      </c>
    </row>
    <row r="28" spans="2:76" s="5" customFormat="1" ht="14.25" customHeight="1">
      <c r="B28" s="7" t="s">
        <v>274</v>
      </c>
      <c r="C28" s="4">
        <v>-12.751999999999999</v>
      </c>
      <c r="D28" s="4">
        <v>205.15799999999999</v>
      </c>
      <c r="E28" s="4">
        <v>202.66399999999999</v>
      </c>
      <c r="F28" s="4">
        <v>218.44</v>
      </c>
      <c r="G28" s="4">
        <v>155.18299999999999</v>
      </c>
      <c r="H28" s="4">
        <v>83.372</v>
      </c>
      <c r="I28" s="4">
        <v>-137.88399999999999</v>
      </c>
      <c r="J28" s="4">
        <v>387.89100000000002</v>
      </c>
      <c r="K28" s="4">
        <v>1507.4929999999999</v>
      </c>
      <c r="L28" s="4">
        <f>1682.894</f>
        <v>1682.894</v>
      </c>
      <c r="M28" s="4">
        <f>3147.911</f>
        <v>3147.9110000000001</v>
      </c>
      <c r="N28" s="4">
        <v>4544.9160000000002</v>
      </c>
      <c r="O28" s="4">
        <v>812.89099999999996</v>
      </c>
      <c r="P28" s="4">
        <v>1064.0119999999999</v>
      </c>
      <c r="Q28" s="4">
        <v>-3069.0650000000001</v>
      </c>
      <c r="R28" s="6">
        <f t="shared" si="101"/>
        <v>-4786.1859999999997</v>
      </c>
      <c r="S28" s="6"/>
      <c r="T28" s="4">
        <v>21.533000000000001</v>
      </c>
      <c r="U28" s="4">
        <v>27.111999999999998</v>
      </c>
      <c r="V28" s="4">
        <v>14.343</v>
      </c>
      <c r="W28" s="6">
        <f>E28-SUM(T28:V28)</f>
        <v>139.67599999999999</v>
      </c>
      <c r="X28" s="4">
        <v>69.706000000000003</v>
      </c>
      <c r="Y28" s="4">
        <v>80.763000000000005</v>
      </c>
      <c r="Z28" s="4">
        <v>35.167999999999999</v>
      </c>
      <c r="AA28" s="6">
        <f>F28-SUM(X28:Z28)</f>
        <v>32.802999999999997</v>
      </c>
      <c r="AB28" s="4">
        <v>50.113</v>
      </c>
      <c r="AC28" s="4">
        <v>6.1109999999999998</v>
      </c>
      <c r="AD28" s="4">
        <v>43.862000000000002</v>
      </c>
      <c r="AE28" s="6">
        <f>G28-AB28-AC28-AD28</f>
        <v>55.096999999999987</v>
      </c>
      <c r="AF28" s="4">
        <v>25.956</v>
      </c>
      <c r="AG28" s="4">
        <v>52.408000000000001</v>
      </c>
      <c r="AH28" s="4">
        <v>30.739000000000001</v>
      </c>
      <c r="AI28" s="6">
        <f>H28-AF28-AG28-AH28</f>
        <v>-25.731000000000005</v>
      </c>
      <c r="AJ28" s="4">
        <v>27.12</v>
      </c>
      <c r="AK28" s="4">
        <v>-51.500999999999998</v>
      </c>
      <c r="AL28" s="4">
        <v>-15.111000000000001</v>
      </c>
      <c r="AM28" s="6">
        <f>I28-AJ28-AK28-AL28</f>
        <v>-98.391999999999982</v>
      </c>
      <c r="AN28" s="4">
        <v>26.591000000000001</v>
      </c>
      <c r="AO28" s="4">
        <v>109.726</v>
      </c>
      <c r="AP28" s="4">
        <v>106.041</v>
      </c>
      <c r="AQ28" s="6">
        <f>J28-AN28-AO28-AP28</f>
        <v>145.53300000000002</v>
      </c>
      <c r="AR28" s="4">
        <v>125.502</v>
      </c>
      <c r="AS28" s="4">
        <v>231.482</v>
      </c>
      <c r="AT28" s="4">
        <v>677.3</v>
      </c>
      <c r="AU28" s="6">
        <f>K28-AR28-AS28-AT28</f>
        <v>473.20900000000006</v>
      </c>
      <c r="AV28" s="4">
        <v>973.3</v>
      </c>
      <c r="AW28" s="4">
        <v>-30.884</v>
      </c>
      <c r="AX28" s="4">
        <v>460.15899999999999</v>
      </c>
      <c r="AY28" s="6">
        <f>M28-AV28-AW28-AX28</f>
        <v>1745.3359999999998</v>
      </c>
      <c r="AZ28" s="4">
        <v>339.97699999999998</v>
      </c>
      <c r="BA28" s="4">
        <v>1021.043</v>
      </c>
      <c r="BB28" s="4">
        <v>1155.549</v>
      </c>
      <c r="BC28" s="6">
        <f t="shared" si="102"/>
        <v>-1703.6779999999999</v>
      </c>
      <c r="BD28" s="4">
        <v>-147.87899999999999</v>
      </c>
      <c r="BE28" s="4">
        <v>-532.83399999999995</v>
      </c>
      <c r="BF28" s="4">
        <v>-1525.7660000000001</v>
      </c>
      <c r="BG28" s="6">
        <f>Q28-BD28-BE28-BF28</f>
        <v>-862.58600000000024</v>
      </c>
      <c r="BH28" s="4">
        <v>-1865</v>
      </c>
      <c r="BJ28" s="4">
        <v>662.99800000000005</v>
      </c>
      <c r="BK28" s="4">
        <v>378.94099999999997</v>
      </c>
      <c r="BL28" s="4">
        <v>-2021.7829999999999</v>
      </c>
      <c r="BM28" s="6">
        <f>N28-SUM(BJ28:BL28)</f>
        <v>5524.76</v>
      </c>
      <c r="BN28" s="4">
        <v>469.52100000000002</v>
      </c>
      <c r="BO28" s="4">
        <v>1378.905</v>
      </c>
      <c r="BP28" s="4">
        <v>1540.278</v>
      </c>
      <c r="BQ28" s="6">
        <f>P28-SUM(BN28:BP28)</f>
        <v>-2324.692</v>
      </c>
      <c r="BR28" s="4">
        <v>-193.523</v>
      </c>
      <c r="BT28" s="4">
        <v>3557.7350000000001</v>
      </c>
      <c r="BU28" s="4">
        <v>-2267.1120000000001</v>
      </c>
      <c r="BW28" s="6">
        <f>P28-BT28</f>
        <v>-2493.723</v>
      </c>
      <c r="BX28" s="6">
        <f>Q28-BU28</f>
        <v>-801.95299999999997</v>
      </c>
    </row>
    <row r="29" spans="2:76" s="5" customFormat="1" ht="14.25" customHeight="1">
      <c r="B29" s="5" t="s">
        <v>275</v>
      </c>
      <c r="C29" s="8">
        <f t="shared" ref="C29:AB29" si="103">SUM(C26,C28,C27)</f>
        <v>637.97800000000075</v>
      </c>
      <c r="D29" s="8">
        <f t="shared" si="103"/>
        <v>892.99299999999971</v>
      </c>
      <c r="E29" s="8">
        <f t="shared" si="103"/>
        <v>1304.150000000001</v>
      </c>
      <c r="F29" s="8">
        <f t="shared" si="103"/>
        <v>845.30300000000022</v>
      </c>
      <c r="G29" s="8">
        <f t="shared" si="103"/>
        <v>855.84099999999899</v>
      </c>
      <c r="H29" s="8">
        <f t="shared" ref="H29:K29" si="104">SUM(H26,H28,H27)</f>
        <v>953.02599999999984</v>
      </c>
      <c r="I29" s="8">
        <f t="shared" si="104"/>
        <v>2878.989</v>
      </c>
      <c r="J29" s="8">
        <f t="shared" si="104"/>
        <v>3251.0090000000096</v>
      </c>
      <c r="K29" s="8">
        <f t="shared" si="104"/>
        <v>4723.0570000000071</v>
      </c>
      <c r="L29" s="8">
        <f t="shared" ref="L29:M29" si="105">SUM(L26,L28,L27)</f>
        <v>7008.1720000000078</v>
      </c>
      <c r="M29" s="8">
        <f t="shared" si="105"/>
        <v>8395.4099999999871</v>
      </c>
      <c r="N29" s="8">
        <f t="shared" ref="N29" si="106">SUM(N26,N28,N27)</f>
        <v>20556.666999999958</v>
      </c>
      <c r="O29" s="8">
        <f t="shared" ref="O29:P29" si="107">SUM(O26,O28,O27)</f>
        <v>-2207.2879999999823</v>
      </c>
      <c r="P29" s="8">
        <f t="shared" si="107"/>
        <v>-2889.1709999999739</v>
      </c>
      <c r="Q29" s="8">
        <f t="shared" ref="Q29" si="108">SUM(Q26,Q28,Q27)</f>
        <v>-9799.3130000000292</v>
      </c>
      <c r="R29" s="8">
        <f>SUM(R26,R28,R27)</f>
        <v>-10062.078000000034</v>
      </c>
      <c r="S29" s="8"/>
      <c r="T29" s="8">
        <f t="shared" si="103"/>
        <v>156.6049999999999</v>
      </c>
      <c r="U29" s="8">
        <f t="shared" si="103"/>
        <v>653.05500000000006</v>
      </c>
      <c r="V29" s="8">
        <f t="shared" si="103"/>
        <v>264.12699999999973</v>
      </c>
      <c r="W29" s="8">
        <f t="shared" si="103"/>
        <v>230.36300000000125</v>
      </c>
      <c r="X29" s="8">
        <f t="shared" si="103"/>
        <v>240.73900000000009</v>
      </c>
      <c r="Y29" s="8">
        <f t="shared" si="103"/>
        <v>256.94699999999983</v>
      </c>
      <c r="Z29" s="8">
        <f t="shared" si="103"/>
        <v>257.53899999999953</v>
      </c>
      <c r="AA29" s="8">
        <f t="shared" si="103"/>
        <v>90.07800000000222</v>
      </c>
      <c r="AB29" s="8">
        <f t="shared" si="103"/>
        <v>177.58700000000013</v>
      </c>
      <c r="AC29" s="8">
        <f t="shared" ref="AC29:AH29" si="109">SUM(AC26,AC28,AC27)</f>
        <v>144.59000000000054</v>
      </c>
      <c r="AD29" s="8">
        <f t="shared" si="109"/>
        <v>252.75700000000074</v>
      </c>
      <c r="AE29" s="8">
        <f t="shared" si="109"/>
        <v>280.90699999999634</v>
      </c>
      <c r="AF29" s="8">
        <f t="shared" si="109"/>
        <v>226.09400000000011</v>
      </c>
      <c r="AG29" s="8">
        <f t="shared" si="109"/>
        <v>231.99500000000018</v>
      </c>
      <c r="AH29" s="8">
        <f t="shared" si="109"/>
        <v>253.0319999999997</v>
      </c>
      <c r="AI29" s="8">
        <f t="shared" ref="AI29:AN29" si="110">SUM(AI26,AI28,AI27)</f>
        <v>241.90500000000225</v>
      </c>
      <c r="AJ29" s="8">
        <f t="shared" si="110"/>
        <v>259.44500000000011</v>
      </c>
      <c r="AK29" s="8">
        <f t="shared" si="110"/>
        <v>408.5629999999997</v>
      </c>
      <c r="AL29" s="8">
        <f t="shared" si="110"/>
        <v>1041.2069999999999</v>
      </c>
      <c r="AM29" s="8">
        <f t="shared" si="110"/>
        <v>1169.7740000000026</v>
      </c>
      <c r="AN29" s="8">
        <f t="shared" si="110"/>
        <v>1100.1920000000005</v>
      </c>
      <c r="AO29" s="8">
        <f t="shared" ref="AO29:AT29" si="111">SUM(AO26,AO28,AO27)</f>
        <v>541.15500000000122</v>
      </c>
      <c r="AP29" s="8">
        <f t="shared" si="111"/>
        <v>716.81799999999907</v>
      </c>
      <c r="AQ29" s="8">
        <f t="shared" si="111"/>
        <v>892.84400000001119</v>
      </c>
      <c r="AR29" s="8">
        <f t="shared" si="111"/>
        <v>1224.3620000000017</v>
      </c>
      <c r="AS29" s="8">
        <f t="shared" si="111"/>
        <v>340.04900000000129</v>
      </c>
      <c r="AT29" s="8">
        <f t="shared" si="111"/>
        <v>494.89899999999773</v>
      </c>
      <c r="AU29" s="8">
        <f t="shared" ref="AU29" si="112">SUM(AU26,AU28,AU27)</f>
        <v>2663.747000000013</v>
      </c>
      <c r="AV29" s="8">
        <f t="shared" ref="AV29" si="113">SUM(AV26,AV28,AV27)</f>
        <v>1158.6060000000011</v>
      </c>
      <c r="AW29" s="8">
        <f>SUM(AW26,AW28,AW27)</f>
        <v>683.12300000000027</v>
      </c>
      <c r="AX29" s="8">
        <f t="shared" ref="AX29:AZ29" si="114">SUM(AX26,AX28,AX27)</f>
        <v>1146.3919999999991</v>
      </c>
      <c r="AY29" s="8">
        <f t="shared" si="114"/>
        <v>5407.2890000000079</v>
      </c>
      <c r="AZ29" s="8">
        <f t="shared" si="114"/>
        <v>538.42199999999298</v>
      </c>
      <c r="BA29" s="8">
        <f>SUM(BA26,BA28,BA27)</f>
        <v>-805.24199999999973</v>
      </c>
      <c r="BB29" s="8">
        <f t="shared" ref="BB29:BD29" si="115">SUM(BB26,BB28,BB27)</f>
        <v>-5607.9269999999988</v>
      </c>
      <c r="BC29" s="8">
        <f t="shared" si="115"/>
        <v>3667.4590000000221</v>
      </c>
      <c r="BD29" s="8">
        <f t="shared" si="115"/>
        <v>-1951.5790000000011</v>
      </c>
      <c r="BE29" s="8">
        <f>SUM(BE26,BE28,BE27)</f>
        <v>-2954.2630000000036</v>
      </c>
      <c r="BF29" s="8">
        <f t="shared" ref="BF29:BH29" si="116">SUM(BF26,BF28,BF27)</f>
        <v>-2338.4399999999973</v>
      </c>
      <c r="BG29" s="8">
        <f t="shared" si="116"/>
        <v>-2555.0309999999736</v>
      </c>
      <c r="BH29" s="8">
        <f t="shared" si="116"/>
        <v>-2214.3440000000114</v>
      </c>
      <c r="BI29" s="8"/>
      <c r="BJ29" s="8">
        <f t="shared" ref="BJ29" si="117">SUM(BJ26,BJ28,BJ27)</f>
        <v>1434.979000000003</v>
      </c>
      <c r="BK29" s="8">
        <f>SUM(BK26,BK28,BK27)</f>
        <v>1941.584999999998</v>
      </c>
      <c r="BL29" s="8">
        <f t="shared" ref="BL29:BN29" si="118">SUM(BL26,BL28,BL27)</f>
        <v>1473.4410000000078</v>
      </c>
      <c r="BM29" s="8">
        <f t="shared" si="118"/>
        <v>15706.661999999951</v>
      </c>
      <c r="BN29" s="8">
        <f t="shared" si="118"/>
        <v>2623.1970000000047</v>
      </c>
      <c r="BO29" s="8">
        <f t="shared" ref="BO29:BR29" si="119">SUM(BO26,BO28,BO27)</f>
        <v>19800.223000000002</v>
      </c>
      <c r="BP29" s="8">
        <f t="shared" si="119"/>
        <v>-6399.9149999999972</v>
      </c>
      <c r="BQ29" s="8">
        <f t="shared" si="119"/>
        <v>-18912.676000000003</v>
      </c>
      <c r="BR29" s="8">
        <f t="shared" si="119"/>
        <v>-2553.9419999999836</v>
      </c>
      <c r="BT29" s="8">
        <f t="shared" ref="BT29:BU29" si="120">SUM(BT26,BT28,BT27)</f>
        <v>17875.637999999992</v>
      </c>
      <c r="BU29" s="8">
        <f t="shared" si="120"/>
        <v>-7738.4589999999989</v>
      </c>
      <c r="BW29" s="8">
        <f t="shared" ref="BW29:BX29" si="121">SUM(BW26,BW28,BW27)</f>
        <v>-20764.809000000008</v>
      </c>
      <c r="BX29" s="8">
        <f t="shared" si="121"/>
        <v>-2060.8540000000085</v>
      </c>
    </row>
    <row r="30" spans="2:76" s="39" customFormat="1" ht="13.5" customHeight="1">
      <c r="B30" s="55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294"/>
      <c r="T30" s="56"/>
      <c r="X30" s="56"/>
    </row>
    <row r="31" spans="2:76" s="5" customFormat="1" ht="13.5" customHeight="1">
      <c r="B31" s="7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X31" s="4"/>
      <c r="BS31" s="39"/>
      <c r="BV31" s="39"/>
    </row>
    <row r="32" spans="2:76" s="5" customFormat="1" ht="13.5" customHeight="1">
      <c r="B32" s="324" t="s">
        <v>276</v>
      </c>
      <c r="C32" s="325"/>
      <c r="D32" s="325"/>
      <c r="E32" s="325"/>
      <c r="F32" s="325"/>
      <c r="G32" s="325"/>
      <c r="H32" s="325"/>
      <c r="I32" s="325"/>
      <c r="J32" s="325"/>
      <c r="K32" s="325"/>
      <c r="L32" s="325"/>
      <c r="M32" s="325"/>
      <c r="N32" s="325"/>
      <c r="O32" s="325"/>
      <c r="P32" s="325"/>
      <c r="Q32" s="323"/>
      <c r="R32" s="323"/>
      <c r="S32" s="25"/>
      <c r="T32" s="323"/>
      <c r="U32" s="323"/>
      <c r="V32" s="323"/>
      <c r="W32" s="323"/>
      <c r="X32" s="323"/>
      <c r="Y32" s="323"/>
      <c r="Z32" s="323"/>
      <c r="AA32" s="323"/>
      <c r="AB32" s="323"/>
      <c r="AC32" s="323"/>
      <c r="AD32" s="323"/>
      <c r="AE32" s="323"/>
      <c r="AF32" s="323"/>
      <c r="AG32" s="323"/>
      <c r="AH32" s="323"/>
      <c r="AI32" s="323"/>
      <c r="AJ32" s="323"/>
      <c r="AK32" s="323"/>
      <c r="AL32" s="323"/>
      <c r="AM32" s="323"/>
      <c r="AN32" s="323"/>
      <c r="AO32" s="323"/>
      <c r="AP32" s="323"/>
      <c r="AQ32" s="323"/>
      <c r="AR32" s="323"/>
      <c r="AS32" s="323"/>
      <c r="AT32" s="323"/>
      <c r="AU32" s="323"/>
      <c r="AV32" s="323"/>
      <c r="AW32" s="323"/>
      <c r="AX32" s="323"/>
      <c r="AY32" s="323"/>
      <c r="AZ32" s="323"/>
      <c r="BA32" s="323"/>
      <c r="BB32" s="323"/>
      <c r="BC32" s="323"/>
      <c r="BD32" s="323"/>
      <c r="BE32" s="323"/>
      <c r="BF32" s="323"/>
      <c r="BG32" s="323"/>
      <c r="BH32" s="323"/>
      <c r="BJ32" s="323"/>
      <c r="BK32" s="323"/>
      <c r="BL32" s="323"/>
      <c r="BM32" s="323"/>
      <c r="BN32" s="323"/>
      <c r="BO32" s="323"/>
      <c r="BP32" s="323"/>
      <c r="BQ32" s="323"/>
      <c r="BR32" s="323"/>
      <c r="BS32" s="302"/>
      <c r="BT32" s="323"/>
      <c r="BU32" s="323"/>
      <c r="BV32" s="302"/>
      <c r="BW32" s="323"/>
      <c r="BX32" s="323"/>
    </row>
    <row r="33" spans="2:76" s="39" customFormat="1" ht="13.5" customHeight="1">
      <c r="B33" s="310" t="str">
        <f>B9</f>
        <v>COGS</v>
      </c>
      <c r="C33" s="26">
        <f t="shared" ref="C33:AF33" si="122">-C9/C7</f>
        <v>0.68205038295807585</v>
      </c>
      <c r="D33" s="26">
        <f t="shared" si="122"/>
        <v>0.67980650990745517</v>
      </c>
      <c r="E33" s="26">
        <f t="shared" si="122"/>
        <v>0.66827143745730344</v>
      </c>
      <c r="F33" s="26">
        <f t="shared" si="122"/>
        <v>0.68781153414249374</v>
      </c>
      <c r="G33" s="26">
        <f t="shared" si="122"/>
        <v>0.68236544646404096</v>
      </c>
      <c r="H33" s="26">
        <f t="shared" ref="H33:I33" si="123">-H9/H7</f>
        <v>0.67881848637519282</v>
      </c>
      <c r="I33" s="26">
        <f t="shared" si="123"/>
        <v>0.66220860621558031</v>
      </c>
      <c r="J33" s="26">
        <f>-J9/J7</f>
        <v>0.6996624757640808</v>
      </c>
      <c r="K33" s="26">
        <f t="shared" ref="K33" si="124">-K9/K7</f>
        <v>0.70509134013067398</v>
      </c>
      <c r="L33" s="26">
        <f t="shared" ref="L33:Q33" si="125">-L9/L7</f>
        <v>0.73297827916978375</v>
      </c>
      <c r="M33" s="26">
        <f t="shared" si="125"/>
        <v>0.70681876003366884</v>
      </c>
      <c r="N33" s="26">
        <f t="shared" si="125"/>
        <v>0.70681875839519825</v>
      </c>
      <c r="O33" s="26">
        <f t="shared" si="125"/>
        <v>0.72441366067687551</v>
      </c>
      <c r="P33" s="26">
        <f t="shared" si="125"/>
        <v>0.72441366001130314</v>
      </c>
      <c r="Q33" s="26">
        <f t="shared" si="125"/>
        <v>0.71218996586781314</v>
      </c>
      <c r="R33" s="26">
        <f t="shared" ref="R33" si="126">-R9/R7</f>
        <v>0.70951385794290645</v>
      </c>
      <c r="S33" s="4"/>
      <c r="T33" s="26">
        <f t="shared" si="122"/>
        <v>0.66149333413466782</v>
      </c>
      <c r="U33" s="26">
        <f t="shared" si="122"/>
        <v>0.65837912129541798</v>
      </c>
      <c r="V33" s="26">
        <f t="shared" si="122"/>
        <v>0.6666814425218418</v>
      </c>
      <c r="W33" s="26">
        <f t="shared" si="122"/>
        <v>0.6836430708479958</v>
      </c>
      <c r="X33" s="26">
        <f t="shared" si="122"/>
        <v>0.68108739831696752</v>
      </c>
      <c r="Y33" s="26">
        <f t="shared" si="122"/>
        <v>0.692873078200549</v>
      </c>
      <c r="Z33" s="26">
        <f t="shared" si="122"/>
        <v>0.68295098361831097</v>
      </c>
      <c r="AA33" s="26">
        <f t="shared" si="122"/>
        <v>0.69341718206023728</v>
      </c>
      <c r="AB33" s="26">
        <f t="shared" si="122"/>
        <v>0.68750399926697459</v>
      </c>
      <c r="AC33" s="26">
        <f t="shared" si="122"/>
        <v>0.69685926964709022</v>
      </c>
      <c r="AD33" s="26">
        <f t="shared" si="122"/>
        <v>0.67376138105831695</v>
      </c>
      <c r="AE33" s="26">
        <f t="shared" si="122"/>
        <v>0.67490574247308799</v>
      </c>
      <c r="AF33" s="26">
        <f t="shared" si="122"/>
        <v>0.67565255325255569</v>
      </c>
      <c r="AG33" s="26">
        <f t="shared" ref="AG33:AL33" si="127">-AG9/AG7</f>
        <v>0.68634818928283259</v>
      </c>
      <c r="AH33" s="26">
        <f t="shared" si="127"/>
        <v>0.669477904974211</v>
      </c>
      <c r="AI33" s="26">
        <f t="shared" si="127"/>
        <v>0.68305182902595174</v>
      </c>
      <c r="AJ33" s="26">
        <f t="shared" si="127"/>
        <v>0.68230330164242736</v>
      </c>
      <c r="AK33" s="26">
        <f t="shared" si="127"/>
        <v>0.69110991404763633</v>
      </c>
      <c r="AL33" s="26">
        <f t="shared" si="127"/>
        <v>0.65427840399123649</v>
      </c>
      <c r="AM33" s="26">
        <f t="shared" ref="AM33:AR33" si="128">-AM9/AM7</f>
        <v>0.64062780401556196</v>
      </c>
      <c r="AN33" s="26">
        <f t="shared" si="128"/>
        <v>0.6547361199105286</v>
      </c>
      <c r="AO33" s="26">
        <f t="shared" si="128"/>
        <v>0.69773731503726255</v>
      </c>
      <c r="AP33" s="26">
        <f t="shared" si="128"/>
        <v>0.71756830625181844</v>
      </c>
      <c r="AQ33" s="26">
        <f t="shared" si="128"/>
        <v>0.71237854835011616</v>
      </c>
      <c r="AR33" s="26">
        <f t="shared" si="128"/>
        <v>0.69157452166112565</v>
      </c>
      <c r="AS33" s="26">
        <f t="shared" ref="AS33:AU33" si="129">-AS9/AS7</f>
        <v>0.70380669546687002</v>
      </c>
      <c r="AT33" s="26">
        <f t="shared" si="129"/>
        <v>0.71212038675097655</v>
      </c>
      <c r="AU33" s="26">
        <f t="shared" si="129"/>
        <v>0.70972025327695387</v>
      </c>
      <c r="AV33" s="26">
        <f t="shared" ref="AV33:AX33" si="130">-AV9/AV7</f>
        <v>0.68874879901989838</v>
      </c>
      <c r="AW33" s="26">
        <f t="shared" si="130"/>
        <v>0.68054759344383309</v>
      </c>
      <c r="AX33" s="26">
        <f t="shared" si="130"/>
        <v>0.67230979525655377</v>
      </c>
      <c r="AY33" s="26">
        <f t="shared" ref="AY33:BB33" si="131">-AY9/AY7</f>
        <v>0.74219029383326118</v>
      </c>
      <c r="AZ33" s="26">
        <f t="shared" si="131"/>
        <v>0.70321913131099922</v>
      </c>
      <c r="BA33" s="26">
        <f t="shared" si="131"/>
        <v>0.723215455924067</v>
      </c>
      <c r="BB33" s="26">
        <f t="shared" si="131"/>
        <v>0.73596733307146966</v>
      </c>
      <c r="BC33" s="26">
        <f t="shared" ref="BC33:BF33" si="132">-BC9/BC7</f>
        <v>0.72733176817821765</v>
      </c>
      <c r="BD33" s="26">
        <f t="shared" si="132"/>
        <v>0.71338339587653476</v>
      </c>
      <c r="BE33" s="26">
        <f t="shared" si="132"/>
        <v>0.71595695386371028</v>
      </c>
      <c r="BF33" s="26">
        <f t="shared" si="132"/>
        <v>0.70927243749596114</v>
      </c>
      <c r="BG33" s="26">
        <f t="shared" ref="BG33:BH33" si="133">-BG9/BG7</f>
        <v>0.71086264622655992</v>
      </c>
      <c r="BH33" s="26">
        <f t="shared" si="133"/>
        <v>0.70199213674069461</v>
      </c>
      <c r="BJ33" s="26">
        <f t="shared" ref="BJ33:BL33" si="134">-BJ9/BJ7</f>
        <v>0.71230681797816897</v>
      </c>
      <c r="BK33" s="26">
        <f t="shared" si="134"/>
        <v>0.68940521478212113</v>
      </c>
      <c r="BL33" s="26">
        <f t="shared" si="134"/>
        <v>0.70710272731865831</v>
      </c>
      <c r="BM33" s="26">
        <f t="shared" ref="BM33:BN33" si="135">-BM9/BM7</f>
        <v>0.71495203480034397</v>
      </c>
      <c r="BN33" s="26">
        <f t="shared" si="135"/>
        <v>0.70321912897422478</v>
      </c>
      <c r="BO33" s="26">
        <f t="shared" ref="BO33:BR33" si="136">-BO9/BO7</f>
        <v>0.72321545908830742</v>
      </c>
      <c r="BP33" s="26">
        <f t="shared" si="136"/>
        <v>0.73596733850631868</v>
      </c>
      <c r="BQ33" s="26">
        <f t="shared" si="136"/>
        <v>0.72799227334773819</v>
      </c>
      <c r="BR33" s="26">
        <f t="shared" si="136"/>
        <v>0.71338339953344776</v>
      </c>
      <c r="BT33" s="26">
        <f t="shared" ref="BT33:BU33" si="137">-BT9/BT7</f>
        <v>0.7220132897795698</v>
      </c>
      <c r="BU33" s="26">
        <f t="shared" si="137"/>
        <v>0.71291983138819115</v>
      </c>
      <c r="BW33" s="26">
        <f t="shared" ref="BW33:BX33" si="138">-BW9/BW7</f>
        <v>0.73046887741297195</v>
      </c>
      <c r="BX33" s="26">
        <f t="shared" si="138"/>
        <v>0.71027645938015693</v>
      </c>
    </row>
    <row r="34" spans="2:76" s="39" customFormat="1" ht="13.5" customHeight="1">
      <c r="B34" s="310" t="str">
        <f t="shared" ref="B34:B39" si="139">B12</f>
        <v>General administrative expenses</v>
      </c>
      <c r="C34" s="26">
        <f t="shared" ref="C34:AF34" si="140">-C12/C7</f>
        <v>4.2575323239118834E-2</v>
      </c>
      <c r="D34" s="26">
        <f t="shared" si="140"/>
        <v>4.2500617671765689E-2</v>
      </c>
      <c r="E34" s="26">
        <f t="shared" si="140"/>
        <v>4.7389590518789187E-2</v>
      </c>
      <c r="F34" s="26">
        <f t="shared" si="140"/>
        <v>4.4940088854392136E-2</v>
      </c>
      <c r="G34" s="26">
        <f t="shared" si="140"/>
        <v>4.4954457979785006E-2</v>
      </c>
      <c r="H34" s="26">
        <f t="shared" ref="H34:J34" si="141">-H12/H7</f>
        <v>4.991576391204082E-2</v>
      </c>
      <c r="I34" s="26">
        <f t="shared" si="141"/>
        <v>5.3237480091434621E-2</v>
      </c>
      <c r="J34" s="26">
        <f t="shared" si="141"/>
        <v>4.5564209909073526E-2</v>
      </c>
      <c r="K34" s="26">
        <f t="shared" ref="K34" si="142">-K12/K7</f>
        <v>4.5998369359880262E-2</v>
      </c>
      <c r="L34" s="26">
        <f t="shared" ref="L34:M34" si="143">-L12/L7</f>
        <v>4.7048226823111362E-2</v>
      </c>
      <c r="M34" s="26">
        <f t="shared" si="143"/>
        <v>5.7484321532951334E-2</v>
      </c>
      <c r="N34" s="26">
        <f t="shared" ref="N34" si="144">-N12/N7</f>
        <v>5.7484321501178159E-2</v>
      </c>
      <c r="O34" s="26">
        <f t="shared" ref="O34:P34" si="145">-O12/O7</f>
        <v>5.782402229211904E-2</v>
      </c>
      <c r="P34" s="26">
        <f t="shared" si="145"/>
        <v>5.7824023419224907E-2</v>
      </c>
      <c r="Q34" s="26">
        <f t="shared" ref="Q34" si="146">-Q12/Q7</f>
        <v>6.3709965871783139E-2</v>
      </c>
      <c r="R34" s="26">
        <f t="shared" ref="R34" si="147">-R12/R7</f>
        <v>6.3010980594029889E-2</v>
      </c>
      <c r="S34" s="145"/>
      <c r="T34" s="26">
        <f t="shared" si="140"/>
        <v>5.3802904024976693E-2</v>
      </c>
      <c r="U34" s="26">
        <f t="shared" si="140"/>
        <v>4.3734196460411219E-2</v>
      </c>
      <c r="V34" s="26">
        <f t="shared" si="140"/>
        <v>4.3183375546563783E-2</v>
      </c>
      <c r="W34" s="26">
        <f t="shared" si="140"/>
        <v>4.9383894444654353E-2</v>
      </c>
      <c r="X34" s="26">
        <f t="shared" si="140"/>
        <v>4.7315706044597471E-2</v>
      </c>
      <c r="Y34" s="26">
        <f t="shared" si="140"/>
        <v>4.1062999041508355E-2</v>
      </c>
      <c r="Z34" s="26">
        <f t="shared" si="140"/>
        <v>4.2625666178273812E-2</v>
      </c>
      <c r="AA34" s="26">
        <f t="shared" si="140"/>
        <v>4.8656144271875403E-2</v>
      </c>
      <c r="AB34" s="26">
        <f t="shared" si="140"/>
        <v>4.9075596652769726E-2</v>
      </c>
      <c r="AC34" s="26">
        <f t="shared" si="140"/>
        <v>4.2794161390551103E-2</v>
      </c>
      <c r="AD34" s="26">
        <f t="shared" si="140"/>
        <v>4.5946400024636132E-2</v>
      </c>
      <c r="AE34" s="26">
        <f t="shared" si="140"/>
        <v>4.2886129462379401E-2</v>
      </c>
      <c r="AF34" s="26">
        <f t="shared" si="140"/>
        <v>5.1324969860871025E-2</v>
      </c>
      <c r="AG34" s="26">
        <f t="shared" ref="AG34:AL34" si="148">-AG12/AG7</f>
        <v>5.1076344392235039E-2</v>
      </c>
      <c r="AH34" s="26">
        <f t="shared" si="148"/>
        <v>4.9617078733550569E-2</v>
      </c>
      <c r="AI34" s="26">
        <f t="shared" si="148"/>
        <v>4.7878423129631406E-2</v>
      </c>
      <c r="AJ34" s="26">
        <f t="shared" si="148"/>
        <v>6.2728193577158656E-2</v>
      </c>
      <c r="AK34" s="26">
        <f t="shared" si="148"/>
        <v>5.3157066233204285E-2</v>
      </c>
      <c r="AL34" s="26">
        <f t="shared" si="148"/>
        <v>4.6162995873315432E-2</v>
      </c>
      <c r="AM34" s="26">
        <f t="shared" ref="AM34:AR34" si="149">-AM12/AM7</f>
        <v>5.4089898430939906E-2</v>
      </c>
      <c r="AN34" s="26">
        <f t="shared" si="149"/>
        <v>4.3964354387701493E-2</v>
      </c>
      <c r="AO34" s="26">
        <f t="shared" si="149"/>
        <v>4.6854658192617873E-2</v>
      </c>
      <c r="AP34" s="26">
        <f t="shared" si="149"/>
        <v>4.3875139962794137E-2</v>
      </c>
      <c r="AQ34" s="26">
        <f t="shared" si="149"/>
        <v>4.7014971537439214E-2</v>
      </c>
      <c r="AR34" s="26">
        <f t="shared" si="149"/>
        <v>4.658903555357749E-2</v>
      </c>
      <c r="AS34" s="26">
        <f t="shared" ref="AS34:AU34" si="150">-AS12/AS7</f>
        <v>4.8056419647299502E-2</v>
      </c>
      <c r="AT34" s="26">
        <f t="shared" si="150"/>
        <v>3.7554080327897574E-2</v>
      </c>
      <c r="AU34" s="26">
        <f t="shared" si="150"/>
        <v>5.1258015691005403E-2</v>
      </c>
      <c r="AV34" s="26">
        <f t="shared" ref="AV34:AX34" si="151">-AV12/AV7</f>
        <v>6.2095299442784337E-2</v>
      </c>
      <c r="AW34" s="26">
        <f t="shared" si="151"/>
        <v>5.1882483192802802E-2</v>
      </c>
      <c r="AX34" s="26">
        <f t="shared" si="151"/>
        <v>5.7323949756125619E-2</v>
      </c>
      <c r="AY34" s="26">
        <f t="shared" ref="AY34:BB34" si="152">-AY12/AY7</f>
        <v>5.827322291381741E-2</v>
      </c>
      <c r="AZ34" s="26">
        <f t="shared" si="152"/>
        <v>5.9412505107400114E-2</v>
      </c>
      <c r="BA34" s="26">
        <f t="shared" si="152"/>
        <v>5.6638340453032385E-2</v>
      </c>
      <c r="BB34" s="26">
        <f t="shared" si="152"/>
        <v>5.5495725824962601E-2</v>
      </c>
      <c r="BC34" s="26">
        <f t="shared" ref="BC34:BF34" si="153">-BC12/BC7</f>
        <v>5.9505350303502069E-2</v>
      </c>
      <c r="BD34" s="26">
        <f t="shared" si="153"/>
        <v>6.9138554148741593E-2</v>
      </c>
      <c r="BE34" s="26">
        <f t="shared" si="153"/>
        <v>6.1075124103157429E-2</v>
      </c>
      <c r="BF34" s="26">
        <f t="shared" si="153"/>
        <v>5.5719984335650237E-2</v>
      </c>
      <c r="BG34" s="26">
        <f t="shared" ref="BG34:BH34" si="154">-BG12/BG7</f>
        <v>6.7980437129842988E-2</v>
      </c>
      <c r="BH34" s="26">
        <f t="shared" si="154"/>
        <v>6.5332319349838727E-2</v>
      </c>
      <c r="BJ34" s="26">
        <f t="shared" ref="BJ34:BL34" si="155">-BJ12/BJ7</f>
        <v>6.3557132395283364E-2</v>
      </c>
      <c r="BK34" s="26">
        <f t="shared" si="155"/>
        <v>5.2871281385097363E-2</v>
      </c>
      <c r="BL34" s="26">
        <f t="shared" si="155"/>
        <v>5.8460176095389414E-2</v>
      </c>
      <c r="BM34" s="26">
        <f t="shared" ref="BM34:BN34" si="156">-BM12/BM7</f>
        <v>5.6473866289373953E-2</v>
      </c>
      <c r="BN34" s="26">
        <f t="shared" si="156"/>
        <v>5.9412512281306812E-2</v>
      </c>
      <c r="BO34" s="26">
        <f t="shared" ref="BO34:BR34" si="157">-BO12/BO7</f>
        <v>5.663834085937474E-2</v>
      </c>
      <c r="BP34" s="26">
        <f t="shared" si="157"/>
        <v>5.5495727947651771E-2</v>
      </c>
      <c r="BQ34" s="26">
        <f t="shared" si="157"/>
        <v>5.9629281896823622E-2</v>
      </c>
      <c r="BR34" s="26">
        <f t="shared" si="157"/>
        <v>6.913855171639896E-2</v>
      </c>
      <c r="BT34" s="26">
        <f t="shared" ref="BT34:BU34" si="158">-BT12/BT7</f>
        <v>5.7024219379048197E-2</v>
      </c>
      <c r="BU34" s="26">
        <f t="shared" si="158"/>
        <v>6.196178544213457E-2</v>
      </c>
      <c r="BW34" s="26">
        <f t="shared" ref="BW34:BX34" si="159">-BW12/BW7</f>
        <v>5.984162357022569E-2</v>
      </c>
      <c r="BX34" s="26">
        <f t="shared" si="159"/>
        <v>6.8293213744615708E-2</v>
      </c>
    </row>
    <row r="35" spans="2:76" s="39" customFormat="1" ht="13.5" customHeight="1">
      <c r="B35" s="310" t="str">
        <f t="shared" si="139"/>
        <v>Marketing expenses</v>
      </c>
      <c r="C35" s="26">
        <f t="shared" ref="C35:AF35" si="160">-C13/C7</f>
        <v>0.18828837993315184</v>
      </c>
      <c r="D35" s="26">
        <f t="shared" si="160"/>
        <v>0.19214985069991036</v>
      </c>
      <c r="E35" s="26">
        <f t="shared" si="160"/>
        <v>0.20050257912253919</v>
      </c>
      <c r="F35" s="26">
        <f t="shared" si="160"/>
        <v>0.19326202161136047</v>
      </c>
      <c r="G35" s="26">
        <f t="shared" si="160"/>
        <v>0.18935330390764571</v>
      </c>
      <c r="H35" s="26">
        <f t="shared" ref="H35:J35" si="161">-H13/H7</f>
        <v>0.19174017046580349</v>
      </c>
      <c r="I35" s="26">
        <f t="shared" si="161"/>
        <v>0.18274541823162541</v>
      </c>
      <c r="J35" s="26">
        <f t="shared" si="161"/>
        <v>0.17481984928613548</v>
      </c>
      <c r="K35" s="26">
        <f t="shared" ref="K35" si="162">-K13/K7</f>
        <v>0.17981742637305306</v>
      </c>
      <c r="L35" s="26">
        <f t="shared" ref="L35:M35" si="163">-L13/L7</f>
        <v>0.18101610427852516</v>
      </c>
      <c r="M35" s="26">
        <f t="shared" si="163"/>
        <v>0.18295673249621625</v>
      </c>
      <c r="N35" s="26">
        <f t="shared" ref="N35" si="164">-N13/N7</f>
        <v>0.18295673248221511</v>
      </c>
      <c r="O35" s="26">
        <f t="shared" ref="O35:P35" si="165">-O13/O7</f>
        <v>0.19303702024684397</v>
      </c>
      <c r="P35" s="26">
        <f t="shared" si="165"/>
        <v>0.1930370210685107</v>
      </c>
      <c r="Q35" s="26">
        <f t="shared" ref="Q35" si="166">-Q13/Q7</f>
        <v>0.19835975463755626</v>
      </c>
      <c r="R35" s="26">
        <f t="shared" ref="R35" si="167">-R13/R7</f>
        <v>0.20015579741228232</v>
      </c>
      <c r="S35" s="145"/>
      <c r="T35" s="26">
        <f t="shared" si="160"/>
        <v>0.19620382888597399</v>
      </c>
      <c r="U35" s="26">
        <f t="shared" si="160"/>
        <v>0.20977730836487726</v>
      </c>
      <c r="V35" s="26">
        <f t="shared" si="160"/>
        <v>0.19815180991164366</v>
      </c>
      <c r="W35" s="26">
        <f t="shared" si="160"/>
        <v>0.19785971012802009</v>
      </c>
      <c r="X35" s="26">
        <f t="shared" si="160"/>
        <v>0.19219123509414893</v>
      </c>
      <c r="Y35" s="26">
        <f t="shared" si="160"/>
        <v>0.18744646643392304</v>
      </c>
      <c r="Z35" s="26">
        <f t="shared" si="160"/>
        <v>0.19261987532194405</v>
      </c>
      <c r="AA35" s="26">
        <f t="shared" si="160"/>
        <v>0.19990248300287847</v>
      </c>
      <c r="AB35" s="26">
        <f t="shared" si="160"/>
        <v>0.18558226866062702</v>
      </c>
      <c r="AC35" s="26">
        <f t="shared" si="160"/>
        <v>0.19383810514085534</v>
      </c>
      <c r="AD35" s="26">
        <f t="shared" si="160"/>
        <v>0.19617383603012001</v>
      </c>
      <c r="AE35" s="26">
        <f t="shared" si="160"/>
        <v>0.1810212533627758</v>
      </c>
      <c r="AF35" s="26">
        <f t="shared" si="160"/>
        <v>0.19993141274532006</v>
      </c>
      <c r="AG35" s="26">
        <f t="shared" ref="AG35:AL35" si="168">-AG13/AG7</f>
        <v>0.17807145569319852</v>
      </c>
      <c r="AH35" s="26">
        <f t="shared" si="168"/>
        <v>0.19448369266322346</v>
      </c>
      <c r="AI35" s="26">
        <f t="shared" si="168"/>
        <v>0.19604736515912788</v>
      </c>
      <c r="AJ35" s="26">
        <f t="shared" si="168"/>
        <v>0.19753710575616851</v>
      </c>
      <c r="AK35" s="26">
        <f t="shared" si="168"/>
        <v>0.18297757863794123</v>
      </c>
      <c r="AL35" s="26">
        <f t="shared" si="168"/>
        <v>0.17494043258778261</v>
      </c>
      <c r="AM35" s="26">
        <f t="shared" ref="AM35:AR35" si="169">-AM13/AM7</f>
        <v>0.18098039314205802</v>
      </c>
      <c r="AN35" s="26">
        <f t="shared" si="169"/>
        <v>0.17604303327204163</v>
      </c>
      <c r="AO35" s="26">
        <f t="shared" si="169"/>
        <v>0.17681215080291504</v>
      </c>
      <c r="AP35" s="26">
        <f t="shared" si="169"/>
        <v>0.1606948656798004</v>
      </c>
      <c r="AQ35" s="26">
        <f t="shared" si="169"/>
        <v>0.18421198826974883</v>
      </c>
      <c r="AR35" s="26">
        <f t="shared" si="169"/>
        <v>0.17501320372761422</v>
      </c>
      <c r="AS35" s="26">
        <f t="shared" ref="AS35:AU35" si="170">-AS13/AS7</f>
        <v>0.19457515582981549</v>
      </c>
      <c r="AT35" s="26">
        <f t="shared" si="170"/>
        <v>0.18530471819843175</v>
      </c>
      <c r="AU35" s="26">
        <f t="shared" si="170"/>
        <v>0.1663095263610728</v>
      </c>
      <c r="AV35" s="26">
        <f t="shared" ref="AV35:AX35" si="171">-AV13/AV7</f>
        <v>0.1764072972462194</v>
      </c>
      <c r="AW35" s="26">
        <f t="shared" si="171"/>
        <v>0.17972700544146228</v>
      </c>
      <c r="AX35" s="26">
        <f t="shared" si="171"/>
        <v>0.17867381058840631</v>
      </c>
      <c r="AY35" s="26">
        <f t="shared" ref="AY35:BB35" si="172">-AY13/AY7</f>
        <v>0.18886712122760321</v>
      </c>
      <c r="AZ35" s="26">
        <f t="shared" si="172"/>
        <v>0.18526127934728676</v>
      </c>
      <c r="BA35" s="26">
        <f t="shared" si="172"/>
        <v>0.20106238805485294</v>
      </c>
      <c r="BB35" s="26">
        <f t="shared" si="172"/>
        <v>0.19100449112482332</v>
      </c>
      <c r="BC35" s="26">
        <f t="shared" ref="BC35:BF35" si="173">-BC13/BC7</f>
        <v>0.19277496965414789</v>
      </c>
      <c r="BD35" s="26">
        <f t="shared" si="173"/>
        <v>0.19639734333701969</v>
      </c>
      <c r="BE35" s="26">
        <f t="shared" si="173"/>
        <v>0.19571001020141535</v>
      </c>
      <c r="BF35" s="26">
        <f t="shared" si="173"/>
        <v>0.20073536848274262</v>
      </c>
      <c r="BG35" s="26">
        <f t="shared" ref="BG35:BH35" si="174">-BG13/BG7</f>
        <v>0.1997802995599772</v>
      </c>
      <c r="BH35" s="26">
        <f t="shared" si="174"/>
        <v>0.20423107309278582</v>
      </c>
      <c r="BJ35" s="26">
        <f t="shared" ref="BJ35:BL35" si="175">-BJ13/BJ7</f>
        <v>0.17918049198180533</v>
      </c>
      <c r="BK35" s="26">
        <f t="shared" si="175"/>
        <v>0.18149185972572651</v>
      </c>
      <c r="BL35" s="26">
        <f t="shared" si="175"/>
        <v>0.18030644402667309</v>
      </c>
      <c r="BM35" s="26">
        <f t="shared" ref="BM35:BN35" si="176">-BM13/BM7</f>
        <v>0.18789275179539131</v>
      </c>
      <c r="BN35" s="26">
        <f t="shared" si="176"/>
        <v>0.1852612795264259</v>
      </c>
      <c r="BO35" s="26">
        <f t="shared" ref="BO35:BR35" si="177">-BO13/BO7</f>
        <v>0.20106239654230629</v>
      </c>
      <c r="BP35" s="26">
        <f t="shared" si="177"/>
        <v>0.19100448868174066</v>
      </c>
      <c r="BQ35" s="26">
        <f t="shared" si="177"/>
        <v>0.19282209903040548</v>
      </c>
      <c r="BR35" s="26">
        <f t="shared" si="177"/>
        <v>0.19639734735667616</v>
      </c>
      <c r="BT35" s="26">
        <f t="shared" ref="BT35:BU35" si="178">-BT13/BT7</f>
        <v>0.19307113828950573</v>
      </c>
      <c r="BU35" s="26">
        <f t="shared" si="178"/>
        <v>0.19758428947807966</v>
      </c>
      <c r="BW35" s="26">
        <f t="shared" ref="BW35:BX35" si="179">-BW13/BW7</f>
        <v>0.1929509563491876</v>
      </c>
      <c r="BX35" s="26">
        <f t="shared" si="179"/>
        <v>0.20039281082692306</v>
      </c>
    </row>
    <row r="36" spans="2:76" s="39" customFormat="1" ht="13.5" customHeight="1">
      <c r="B36" s="310" t="str">
        <f t="shared" si="139"/>
        <v>Research and development expenses</v>
      </c>
      <c r="C36" s="26">
        <f t="shared" ref="C36:AF36" si="180">-C14/C7</f>
        <v>8.1552445962065154E-3</v>
      </c>
      <c r="D36" s="26">
        <f t="shared" si="180"/>
        <v>8.8360946202553983E-3</v>
      </c>
      <c r="E36" s="26">
        <f t="shared" si="180"/>
        <v>9.4226130287375157E-3</v>
      </c>
      <c r="F36" s="26">
        <f t="shared" si="180"/>
        <v>8.1656427284552517E-3</v>
      </c>
      <c r="G36" s="26">
        <f t="shared" si="180"/>
        <v>7.6118449692065063E-3</v>
      </c>
      <c r="H36" s="26">
        <f t="shared" ref="H36:J36" si="181">-H14/H7</f>
        <v>8.0380948170910849E-3</v>
      </c>
      <c r="I36" s="26">
        <f t="shared" si="181"/>
        <v>7.7854580060624165E-3</v>
      </c>
      <c r="J36" s="26">
        <f t="shared" si="181"/>
        <v>6.5127471830558632E-3</v>
      </c>
      <c r="K36" s="26">
        <f t="shared" ref="K36" si="182">-K14/K7</f>
        <v>5.2614742722702432E-3</v>
      </c>
      <c r="L36" s="26">
        <f t="shared" ref="L36:M36" si="183">-L14/L7</f>
        <v>7.2375016832118173E-3</v>
      </c>
      <c r="M36" s="26">
        <f t="shared" si="183"/>
        <v>7.560391799669627E-3</v>
      </c>
      <c r="N36" s="26">
        <f t="shared" ref="N36" si="184">-N14/N7</f>
        <v>7.5603941073061898E-3</v>
      </c>
      <c r="O36" s="26">
        <f t="shared" ref="O36:P36" si="185">-O14/O7</f>
        <v>1.1314105950685509E-2</v>
      </c>
      <c r="P36" s="26">
        <f t="shared" si="185"/>
        <v>1.1314106188877043E-2</v>
      </c>
      <c r="Q36" s="26">
        <f t="shared" ref="Q36" si="186">-Q14/Q7</f>
        <v>1.2388761584415434E-2</v>
      </c>
      <c r="R36" s="26">
        <f t="shared" ref="R36" si="187">-R14/R7</f>
        <v>1.2435087492095008E-2</v>
      </c>
      <c r="S36" s="145"/>
      <c r="T36" s="26">
        <f t="shared" si="180"/>
        <v>9.8575486137432462E-3</v>
      </c>
      <c r="U36" s="26">
        <f t="shared" si="180"/>
        <v>9.8834313746288729E-3</v>
      </c>
      <c r="V36" s="26">
        <f t="shared" si="180"/>
        <v>9.7711669023456404E-3</v>
      </c>
      <c r="W36" s="26">
        <f t="shared" si="180"/>
        <v>8.3660172309375606E-3</v>
      </c>
      <c r="X36" s="26">
        <f t="shared" si="180"/>
        <v>8.7429389929857115E-3</v>
      </c>
      <c r="Y36" s="26">
        <f t="shared" si="180"/>
        <v>8.493844294406111E-3</v>
      </c>
      <c r="Z36" s="26">
        <f t="shared" si="180"/>
        <v>7.3494239476727197E-3</v>
      </c>
      <c r="AA36" s="26">
        <f t="shared" si="180"/>
        <v>8.1837862393772318E-3</v>
      </c>
      <c r="AB36" s="26">
        <f t="shared" si="180"/>
        <v>8.2304441051088764E-3</v>
      </c>
      <c r="AC36" s="26">
        <f t="shared" si="180"/>
        <v>7.1516838498421271E-3</v>
      </c>
      <c r="AD36" s="26">
        <f t="shared" si="180"/>
        <v>6.6291485290236717E-3</v>
      </c>
      <c r="AE36" s="26">
        <f t="shared" si="180"/>
        <v>8.5953261430470138E-3</v>
      </c>
      <c r="AF36" s="26">
        <f t="shared" si="180"/>
        <v>8.6270132655632149E-3</v>
      </c>
      <c r="AG36" s="26">
        <f t="shared" ref="AG36:AL36" si="188">-AG14/AG7</f>
        <v>7.3565427879823432E-3</v>
      </c>
      <c r="AH36" s="26">
        <f t="shared" si="188"/>
        <v>7.8730761315462597E-3</v>
      </c>
      <c r="AI36" s="26">
        <f t="shared" si="188"/>
        <v>8.4014408207442725E-3</v>
      </c>
      <c r="AJ36" s="26">
        <f t="shared" si="188"/>
        <v>9.3617943829748668E-3</v>
      </c>
      <c r="AK36" s="26">
        <f t="shared" si="188"/>
        <v>9.2183108832860124E-3</v>
      </c>
      <c r="AL36" s="26">
        <f t="shared" si="188"/>
        <v>7.0703555113834585E-3</v>
      </c>
      <c r="AM36" s="26">
        <f t="shared" ref="AM36:AR36" si="189">-AM14/AM7</f>
        <v>6.6658562479719212E-3</v>
      </c>
      <c r="AN36" s="26">
        <f t="shared" si="189"/>
        <v>6.7370034721692708E-3</v>
      </c>
      <c r="AO36" s="26">
        <f t="shared" si="189"/>
        <v>6.4870176396516566E-3</v>
      </c>
      <c r="AP36" s="26">
        <f t="shared" si="189"/>
        <v>6.2310444089823044E-3</v>
      </c>
      <c r="AQ36" s="26">
        <f t="shared" si="189"/>
        <v>6.6270758627262026E-3</v>
      </c>
      <c r="AR36" s="26">
        <f t="shared" si="189"/>
        <v>5.4883834714006818E-3</v>
      </c>
      <c r="AS36" s="26">
        <f t="shared" ref="AS36:AU36" si="190">-AS14/AS7</f>
        <v>5.2950918835697651E-3</v>
      </c>
      <c r="AT36" s="26">
        <f t="shared" si="190"/>
        <v>5.6261056909145055E-3</v>
      </c>
      <c r="AU36" s="26">
        <f t="shared" si="190"/>
        <v>4.7520047520047508E-3</v>
      </c>
      <c r="AV36" s="26">
        <f t="shared" ref="AV36:AX36" si="191">-AV14/AV7</f>
        <v>5.6845117179083592E-3</v>
      </c>
      <c r="AW36" s="26">
        <f t="shared" si="191"/>
        <v>4.4122819861156298E-3</v>
      </c>
      <c r="AX36" s="26">
        <f t="shared" si="191"/>
        <v>4.5016751983235114E-3</v>
      </c>
      <c r="AY36" s="26">
        <f t="shared" ref="AY36:BB36" si="192">-AY14/AY7</f>
        <v>1.1136596873669443E-2</v>
      </c>
      <c r="AZ36" s="26">
        <f t="shared" si="192"/>
        <v>8.4719291256497714E-3</v>
      </c>
      <c r="BA36" s="26">
        <f t="shared" si="192"/>
        <v>1.1123435844202379E-2</v>
      </c>
      <c r="BB36" s="26">
        <f t="shared" si="192"/>
        <v>1.4275522688913097E-2</v>
      </c>
      <c r="BC36" s="26">
        <f t="shared" ref="BC36:BF36" si="193">-BC14/BC7</f>
        <v>1.0729098466567928E-2</v>
      </c>
      <c r="BD36" s="26">
        <f t="shared" si="193"/>
        <v>1.1888361737142377E-2</v>
      </c>
      <c r="BE36" s="26">
        <f t="shared" si="193"/>
        <v>1.3193178459377987E-2</v>
      </c>
      <c r="BF36" s="26">
        <f t="shared" si="193"/>
        <v>1.19683182467191E-2</v>
      </c>
      <c r="BG36" s="26">
        <f t="shared" ref="BG36:BH36" si="194">-BG14/BG7</f>
        <v>1.2443776641025901E-2</v>
      </c>
      <c r="BH36" s="26">
        <f t="shared" si="194"/>
        <v>1.2163457168895036E-2</v>
      </c>
      <c r="BJ36" s="26">
        <f t="shared" ref="BJ36:BL36" si="195">-BJ14/BJ7</f>
        <v>9.2818368025979012E-3</v>
      </c>
      <c r="BK36" s="26">
        <f t="shared" si="195"/>
        <v>7.6815128173873147E-3</v>
      </c>
      <c r="BL36" s="26">
        <f t="shared" si="195"/>
        <v>5.5881480036598001E-3</v>
      </c>
      <c r="BM36" s="26">
        <f t="shared" ref="BM36:BN36" si="196">-BM14/BM7</f>
        <v>7.9855368815017185E-3</v>
      </c>
      <c r="BN36" s="26">
        <f t="shared" si="196"/>
        <v>8.4719236212559453E-3</v>
      </c>
      <c r="BO36" s="26">
        <f t="shared" ref="BO36:BR36" si="197">-BO14/BO7</f>
        <v>1.112343941984042E-2</v>
      </c>
      <c r="BP36" s="26">
        <f t="shared" si="197"/>
        <v>1.4275522461802841E-2</v>
      </c>
      <c r="BQ36" s="26">
        <f t="shared" si="197"/>
        <v>1.0735212662423723E-2</v>
      </c>
      <c r="BR36" s="26">
        <f t="shared" si="197"/>
        <v>1.1888359037734428E-2</v>
      </c>
      <c r="BT36" s="26">
        <f t="shared" ref="BT36:BU36" si="198">-BT14/BT7</f>
        <v>1.1475031401687277E-2</v>
      </c>
      <c r="BU36" s="26">
        <f t="shared" si="198"/>
        <v>1.2363463633400906E-2</v>
      </c>
      <c r="BW36" s="26">
        <f t="shared" ref="BW36:BX36" si="199">-BW14/BW7</f>
        <v>1.0908153333732649E-2</v>
      </c>
      <c r="BX36" s="26">
        <f t="shared" si="199"/>
        <v>1.2455085848323172E-2</v>
      </c>
    </row>
    <row r="37" spans="2:76" s="39" customFormat="1" ht="13.5" customHeight="1">
      <c r="B37" s="310" t="str">
        <f t="shared" si="139"/>
        <v>Other income from operating activities</v>
      </c>
      <c r="C37" s="26">
        <f t="shared" ref="C37:AF37" si="200">C15/C7</f>
        <v>1.7271570244380849E-2</v>
      </c>
      <c r="D37" s="26">
        <f t="shared" si="200"/>
        <v>3.3267236571815816E-2</v>
      </c>
      <c r="E37" s="26">
        <f t="shared" si="200"/>
        <v>4.2871497645527147E-2</v>
      </c>
      <c r="F37" s="26">
        <f t="shared" si="200"/>
        <v>3.4156288972881935E-2</v>
      </c>
      <c r="G37" s="26">
        <f t="shared" si="200"/>
        <v>4.9241603152854203E-2</v>
      </c>
      <c r="H37" s="26">
        <f t="shared" ref="H37:J37" si="201">H15/H7</f>
        <v>2.8762805370885328E-2</v>
      </c>
      <c r="I37" s="26">
        <f t="shared" si="201"/>
        <v>4.3289760497300836E-2</v>
      </c>
      <c r="J37" s="26">
        <f t="shared" si="201"/>
        <v>8.4717616719486868E-2</v>
      </c>
      <c r="K37" s="26">
        <f t="shared" ref="K37" si="202">K15/K7</f>
        <v>4.4093653440048182E-2</v>
      </c>
      <c r="L37" s="26">
        <f t="shared" ref="L37:M37" si="203">L15/L7</f>
        <v>4.592244343212596E-2</v>
      </c>
      <c r="M37" s="26">
        <f t="shared" si="203"/>
        <v>5.2263312281117781E-2</v>
      </c>
      <c r="N37" s="26">
        <f t="shared" ref="N37" si="204">N15/N7</f>
        <v>5.226331143183794E-2</v>
      </c>
      <c r="O37" s="26">
        <f t="shared" ref="O37:P37" si="205">O15/O7</f>
        <v>6.6893720383015096E-2</v>
      </c>
      <c r="P37" s="26">
        <f t="shared" si="205"/>
        <v>6.6893719715146363E-2</v>
      </c>
      <c r="Q37" s="26">
        <f t="shared" ref="Q37" si="206">Q15/Q7</f>
        <v>4.3601042507468241E-2</v>
      </c>
      <c r="R37" s="26">
        <f t="shared" ref="R37" si="207">R15/R7</f>
        <v>4.4029951536630668E-2</v>
      </c>
      <c r="S37" s="145"/>
      <c r="T37" s="26">
        <f t="shared" si="200"/>
        <v>2.5601220598795334E-2</v>
      </c>
      <c r="U37" s="26">
        <f t="shared" si="200"/>
        <v>2.0540181777956922E-2</v>
      </c>
      <c r="V37" s="26">
        <f t="shared" si="200"/>
        <v>3.1621472958470703E-2</v>
      </c>
      <c r="W37" s="26">
        <f t="shared" si="200"/>
        <v>8.601814124790734E-2</v>
      </c>
      <c r="X37" s="26">
        <f t="shared" si="200"/>
        <v>4.9348395664113365E-2</v>
      </c>
      <c r="Y37" s="26">
        <f t="shared" si="200"/>
        <v>8.219199194163614E-3</v>
      </c>
      <c r="Z37" s="26">
        <f t="shared" si="200"/>
        <v>2.8583483007053816E-2</v>
      </c>
      <c r="AA37" s="26">
        <f t="shared" si="200"/>
        <v>5.0136776176408292E-2</v>
      </c>
      <c r="AB37" s="26">
        <f t="shared" si="200"/>
        <v>5.128489585246198E-2</v>
      </c>
      <c r="AC37" s="26">
        <f t="shared" si="200"/>
        <v>6.1001770145793249E-2</v>
      </c>
      <c r="AD37" s="26">
        <f t="shared" si="200"/>
        <v>0.14724043403784115</v>
      </c>
      <c r="AE37" s="26">
        <f t="shared" si="200"/>
        <v>-6.4265870291608296E-2</v>
      </c>
      <c r="AF37" s="26">
        <f t="shared" si="200"/>
        <v>5.0467266971759697E-2</v>
      </c>
      <c r="AG37" s="26">
        <f t="shared" ref="AG37:AL37" si="208">AG15/AG7</f>
        <v>1.9849304665622479E-2</v>
      </c>
      <c r="AH37" s="26">
        <f t="shared" si="208"/>
        <v>1.9581367873760108E-2</v>
      </c>
      <c r="AI37" s="26">
        <f t="shared" si="208"/>
        <v>2.8884905866736615E-2</v>
      </c>
      <c r="AJ37" s="26">
        <f t="shared" si="208"/>
        <v>7.403281970789162E-2</v>
      </c>
      <c r="AK37" s="26">
        <f t="shared" si="208"/>
        <v>5.515754400878739E-2</v>
      </c>
      <c r="AL37" s="26">
        <f t="shared" si="208"/>
        <v>6.5846188125384536E-2</v>
      </c>
      <c r="AM37" s="26">
        <f t="shared" ref="AM37:AR37" si="209">AM15/AM7</f>
        <v>-1.7829461259299144E-3</v>
      </c>
      <c r="AN37" s="26">
        <f t="shared" si="209"/>
        <v>6.8548193928224796E-2</v>
      </c>
      <c r="AO37" s="26">
        <f t="shared" si="209"/>
        <v>3.1716792985255544E-2</v>
      </c>
      <c r="AP37" s="26">
        <f t="shared" si="209"/>
        <v>1.6365232360279661E-2</v>
      </c>
      <c r="AQ37" s="26">
        <f t="shared" si="209"/>
        <v>0.18333479953330875</v>
      </c>
      <c r="AR37" s="26">
        <f t="shared" si="209"/>
        <v>6.7504308187695844E-2</v>
      </c>
      <c r="AS37" s="26">
        <f t="shared" ref="AS37:AU37" si="210">AS15/AS7</f>
        <v>5.4985580551247866E-2</v>
      </c>
      <c r="AT37" s="26">
        <f t="shared" si="210"/>
        <v>3.4693150700927766E-2</v>
      </c>
      <c r="AU37" s="26">
        <f t="shared" si="210"/>
        <v>2.6508475735279858E-2</v>
      </c>
      <c r="AV37" s="26">
        <f t="shared" ref="AV37:AX37" si="211">AV15/AV7</f>
        <v>1.8359080459919949E-2</v>
      </c>
      <c r="AW37" s="26">
        <f t="shared" si="211"/>
        <v>0.10239323718761265</v>
      </c>
      <c r="AX37" s="26">
        <f t="shared" si="211"/>
        <v>2.7917143603452568E-2</v>
      </c>
      <c r="AY37" s="26">
        <f t="shared" ref="AY37:BB37" si="212">AY15/AY7</f>
        <v>5.5979334711018069E-2</v>
      </c>
      <c r="AZ37" s="26">
        <f t="shared" si="212"/>
        <v>4.5621518096092703E-2</v>
      </c>
      <c r="BA37" s="26">
        <f t="shared" si="212"/>
        <v>1.6505967700733429E-2</v>
      </c>
      <c r="BB37" s="26">
        <f t="shared" si="212"/>
        <v>3.1336223473204909E-2</v>
      </c>
      <c r="BC37" s="26">
        <f t="shared" ref="BC37:BF37" si="213">BC15/BC7</f>
        <v>0.13657040952659669</v>
      </c>
      <c r="BD37" s="26">
        <f t="shared" si="213"/>
        <v>6.1010675065724017E-2</v>
      </c>
      <c r="BE37" s="26">
        <f t="shared" si="213"/>
        <v>3.4477575277295773E-2</v>
      </c>
      <c r="BF37" s="26">
        <f t="shared" si="213"/>
        <v>3.1692569248590291E-2</v>
      </c>
      <c r="BG37" s="26">
        <f t="shared" ref="BG37:BH37" si="214">BG15/BG7</f>
        <v>4.7680861531890655E-2</v>
      </c>
      <c r="BH37" s="26">
        <f t="shared" si="214"/>
        <v>5.9978285380214644E-2</v>
      </c>
      <c r="BJ37" s="26">
        <f t="shared" ref="BJ37:BL37" si="215">BJ15/BJ7</f>
        <v>1.8322709896513922E-2</v>
      </c>
      <c r="BK37" s="26">
        <f t="shared" si="215"/>
        <v>0.10059805936050248</v>
      </c>
      <c r="BL37" s="26">
        <f t="shared" si="215"/>
        <v>2.8217969839489383E-2</v>
      </c>
      <c r="BM37" s="26">
        <f t="shared" ref="BM37:BN37" si="216">BM15/BM7</f>
        <v>5.6810489596697496E-2</v>
      </c>
      <c r="BN37" s="26">
        <f t="shared" si="216"/>
        <v>4.5621517165172536E-2</v>
      </c>
      <c r="BO37" s="26">
        <f t="shared" ref="BO37:BR37" si="217">BO15/BO7</f>
        <v>0.16128101514878929</v>
      </c>
      <c r="BP37" s="26">
        <f t="shared" si="217"/>
        <v>3.1336204716825973E-2</v>
      </c>
      <c r="BQ37" s="26">
        <f t="shared" si="217"/>
        <v>3.5112981724412982E-2</v>
      </c>
      <c r="BR37" s="26">
        <f t="shared" si="217"/>
        <v>6.1010675997484991E-2</v>
      </c>
      <c r="BT37" s="26">
        <f t="shared" ref="BT37:BU37" si="218">BT15/BT7</f>
        <v>8.3090114229051992E-2</v>
      </c>
      <c r="BU37" s="26">
        <f t="shared" si="218"/>
        <v>4.2263272234827225E-2</v>
      </c>
      <c r="BW37" s="26">
        <f t="shared" ref="BW37:BX37" si="219">BW15/BW7</f>
        <v>2.6036401702969069E-2</v>
      </c>
      <c r="BX37" s="26">
        <f t="shared" si="219"/>
        <v>4.7108307920371392E-2</v>
      </c>
    </row>
    <row r="38" spans="2:76" s="39" customFormat="1" ht="13.5" customHeight="1">
      <c r="B38" s="310" t="str">
        <f t="shared" si="139"/>
        <v>Other expenses from operating activities</v>
      </c>
      <c r="C38" s="26">
        <f t="shared" ref="C38:AF38" si="220">-C16/C7</f>
        <v>1.8786030051223295E-2</v>
      </c>
      <c r="D38" s="26">
        <f t="shared" si="220"/>
        <v>1.9422988684253253E-2</v>
      </c>
      <c r="E38" s="26">
        <f t="shared" si="220"/>
        <v>2.4215260622215021E-2</v>
      </c>
      <c r="F38" s="26">
        <f t="shared" si="220"/>
        <v>1.7837815039317698E-2</v>
      </c>
      <c r="G38" s="26">
        <f t="shared" si="220"/>
        <v>2.69308154388519E-2</v>
      </c>
      <c r="H38" s="26">
        <f t="shared" ref="H38:J38" si="221">-H16/H7</f>
        <v>1.716917842976343E-2</v>
      </c>
      <c r="I38" s="26">
        <f t="shared" si="221"/>
        <v>1.8594882038363073E-2</v>
      </c>
      <c r="J38" s="26">
        <f t="shared" si="221"/>
        <v>5.5200177131329832E-2</v>
      </c>
      <c r="K38" s="26">
        <f t="shared" ref="K38" si="222">-K16/K7</f>
        <v>4.0044951328564581E-2</v>
      </c>
      <c r="L38" s="26">
        <f t="shared" ref="L38:M38" si="223">-L16/L7</f>
        <v>4.1085354422096369E-2</v>
      </c>
      <c r="M38" s="26">
        <f t="shared" si="223"/>
        <v>5.7935096774302454E-2</v>
      </c>
      <c r="N38" s="26">
        <f t="shared" ref="N38" si="224">-N16/N7</f>
        <v>5.7935090700763983E-2</v>
      </c>
      <c r="O38" s="26">
        <f t="shared" ref="O38:P38" si="225">-O16/O7</f>
        <v>6.3685017310175618E-2</v>
      </c>
      <c r="P38" s="26">
        <f t="shared" si="225"/>
        <v>6.368501394365754E-2</v>
      </c>
      <c r="Q38" s="26">
        <f t="shared" ref="Q38" si="226">-Q16/Q7</f>
        <v>3.6923125948693007E-2</v>
      </c>
      <c r="R38" s="26">
        <f t="shared" ref="R38" si="227">-R16/R7</f>
        <v>4.3827545448545252E-2</v>
      </c>
      <c r="S38" s="145"/>
      <c r="T38" s="26">
        <f t="shared" si="220"/>
        <v>2.1867927785773799E-2</v>
      </c>
      <c r="U38" s="26">
        <f t="shared" si="220"/>
        <v>2.0276515851777321E-2</v>
      </c>
      <c r="V38" s="26">
        <f t="shared" si="220"/>
        <v>6.6768089442741279E-3</v>
      </c>
      <c r="W38" s="26">
        <f t="shared" si="220"/>
        <v>4.5313569877035192E-2</v>
      </c>
      <c r="X38" s="26">
        <f t="shared" si="220"/>
        <v>2.859618829697293E-2</v>
      </c>
      <c r="Y38" s="26">
        <f t="shared" si="220"/>
        <v>8.0690335278439749E-3</v>
      </c>
      <c r="Z38" s="26">
        <f t="shared" si="220"/>
        <v>1.0489906445498852E-2</v>
      </c>
      <c r="AA38" s="26">
        <f t="shared" si="220"/>
        <v>2.4770088431301331E-2</v>
      </c>
      <c r="AB38" s="26">
        <f t="shared" si="220"/>
        <v>2.5397285761397957E-2</v>
      </c>
      <c r="AC38" s="26">
        <f t="shared" si="220"/>
        <v>2.7154008826619235E-2</v>
      </c>
      <c r="AD38" s="26">
        <f t="shared" si="220"/>
        <v>4.493990458173721E-2</v>
      </c>
      <c r="AE38" s="26">
        <f t="shared" si="220"/>
        <v>9.1338827788928992E-3</v>
      </c>
      <c r="AF38" s="26">
        <f t="shared" si="220"/>
        <v>2.2215519003696962E-2</v>
      </c>
      <c r="AG38" s="26">
        <f t="shared" ref="AG38:AL38" si="228">-AG16/AG7</f>
        <v>1.8235203379372539E-2</v>
      </c>
      <c r="AH38" s="26">
        <f t="shared" si="228"/>
        <v>1.0989393461105942E-2</v>
      </c>
      <c r="AI38" s="26">
        <f t="shared" si="228"/>
        <v>1.8023049067871201E-2</v>
      </c>
      <c r="AJ38" s="26">
        <f t="shared" si="228"/>
        <v>2.2582474115316994E-2</v>
      </c>
      <c r="AK38" s="26">
        <f t="shared" si="228"/>
        <v>2.7756692975817943E-2</v>
      </c>
      <c r="AL38" s="26">
        <f t="shared" si="228"/>
        <v>2.6408519574423351E-2</v>
      </c>
      <c r="AM38" s="26">
        <f t="shared" ref="AM38:AR38" si="229">-AM16/AM7</f>
        <v>3.8955591780254666E-3</v>
      </c>
      <c r="AN38" s="26">
        <f t="shared" si="229"/>
        <v>5.7820298411545325E-2</v>
      </c>
      <c r="AO38" s="26">
        <f t="shared" si="229"/>
        <v>3.0402188901458287E-2</v>
      </c>
      <c r="AP38" s="26">
        <f t="shared" si="229"/>
        <v>1.8283934916198653E-2</v>
      </c>
      <c r="AQ38" s="26">
        <f t="shared" si="229"/>
        <v>9.9445927396056802E-2</v>
      </c>
      <c r="AR38" s="26">
        <f t="shared" si="229"/>
        <v>5.2196150494267679E-2</v>
      </c>
      <c r="AS38" s="26">
        <f t="shared" ref="AS38:AU38" si="230">-AS16/AS7</f>
        <v>4.3817553971283313E-2</v>
      </c>
      <c r="AT38" s="26">
        <f t="shared" si="230"/>
        <v>4.0560946559002296E-2</v>
      </c>
      <c r="AU38" s="26">
        <f t="shared" si="230"/>
        <v>2.7752126205734452E-2</v>
      </c>
      <c r="AV38" s="26">
        <f t="shared" ref="AV38:AX38" si="231">-AV16/AV7</f>
        <v>3.0248843001834703E-2</v>
      </c>
      <c r="AW38" s="26">
        <f t="shared" si="231"/>
        <v>0.10837996183099606</v>
      </c>
      <c r="AX38" s="26">
        <f t="shared" si="231"/>
        <v>4.6683662475325668E-2</v>
      </c>
      <c r="AY38" s="26">
        <f t="shared" ref="AY38:BB38" si="232">-AY16/AY7</f>
        <v>5.25015445158689E-2</v>
      </c>
      <c r="AZ38" s="26">
        <f t="shared" si="232"/>
        <v>5.0999816080320004E-2</v>
      </c>
      <c r="BA38" s="26">
        <f t="shared" si="232"/>
        <v>2.3390856957789263E-2</v>
      </c>
      <c r="BB38" s="26">
        <f t="shared" si="232"/>
        <v>5.2886749156451092E-2</v>
      </c>
      <c r="BC38" s="26">
        <f t="shared" ref="BC38:BF38" si="233">-BC16/BC7</f>
        <v>0.10486162870768678</v>
      </c>
      <c r="BD38" s="26">
        <f t="shared" si="233"/>
        <v>4.724687874028656E-2</v>
      </c>
      <c r="BE38" s="26">
        <f t="shared" si="233"/>
        <v>2.6781014121933414E-2</v>
      </c>
      <c r="BF38" s="26">
        <f t="shared" si="233"/>
        <v>3.6077761118473273E-2</v>
      </c>
      <c r="BG38" s="26">
        <f t="shared" ref="BG38:BH38" si="234">-BG16/BG7</f>
        <v>3.8163203307536919E-2</v>
      </c>
      <c r="BH38" s="26">
        <f t="shared" si="234"/>
        <v>7.4460181982760956E-2</v>
      </c>
      <c r="BJ38" s="26">
        <f t="shared" ref="BJ38:BL38" si="235">-BJ16/BJ7</f>
        <v>3.0201572616245596E-2</v>
      </c>
      <c r="BK38" s="26">
        <f t="shared" si="235"/>
        <v>0.10667025871660997</v>
      </c>
      <c r="BL38" s="26">
        <f t="shared" si="235"/>
        <v>4.776986606933975E-2</v>
      </c>
      <c r="BM38" s="26">
        <f t="shared" ref="BM38:BN38" si="236">-BM16/BM7</f>
        <v>4.8726861458157127E-2</v>
      </c>
      <c r="BN38" s="26">
        <f t="shared" si="236"/>
        <v>5.0999846544723747E-2</v>
      </c>
      <c r="BO38" s="26">
        <f t="shared" ref="BO38:BR38" si="237">-BO16/BO7</f>
        <v>2.3390853753639078E-2</v>
      </c>
      <c r="BP38" s="26">
        <f t="shared" si="237"/>
        <v>5.2886750379158382E-2</v>
      </c>
      <c r="BQ38" s="26">
        <f t="shared" si="237"/>
        <v>0.10898351358783837</v>
      </c>
      <c r="BR38" s="26">
        <f t="shared" si="237"/>
        <v>4.7246861804200596E-2</v>
      </c>
      <c r="BT38" s="26">
        <f t="shared" ref="BT38:BU38" si="238">-BT16/BT7</f>
        <v>4.152308290384004E-2</v>
      </c>
      <c r="BU38" s="26">
        <f t="shared" si="238"/>
        <v>3.654168050160371E-2</v>
      </c>
      <c r="BW38" s="26">
        <f t="shared" ref="BW38:BX38" si="239">-BW16/BW7</f>
        <v>0.1195911023931799</v>
      </c>
      <c r="BX38" s="26">
        <f t="shared" si="239"/>
        <v>3.7923170912201216E-2</v>
      </c>
    </row>
    <row r="39" spans="2:76" s="39" customFormat="1" ht="13.5" customHeight="1">
      <c r="B39" s="310" t="str">
        <f t="shared" si="139"/>
        <v>Operating Profit</v>
      </c>
      <c r="C39" s="26">
        <f t="shared" ref="C39:AF39" si="240">C17/C7</f>
        <v>7.7416209466604463E-2</v>
      </c>
      <c r="D39" s="26">
        <f t="shared" si="240"/>
        <v>9.055117498817597E-2</v>
      </c>
      <c r="E39" s="26">
        <f t="shared" si="240"/>
        <v>9.3070016895942756E-2</v>
      </c>
      <c r="F39" s="26">
        <f t="shared" si="240"/>
        <v>8.2139186596862576E-2</v>
      </c>
      <c r="G39" s="26">
        <f t="shared" si="240"/>
        <v>9.8025734393324127E-2</v>
      </c>
      <c r="H39" s="26">
        <f t="shared" ref="H39:J39" si="241">H17/H7</f>
        <v>8.3081111370993707E-2</v>
      </c>
      <c r="I39" s="26">
        <f t="shared" si="241"/>
        <v>0.11871791591423501</v>
      </c>
      <c r="J39" s="26">
        <f t="shared" si="241"/>
        <v>0.10295815744581141</v>
      </c>
      <c r="K39" s="26">
        <f t="shared" ref="K39" si="242">K17/K7</f>
        <v>6.7880091975606044E-2</v>
      </c>
      <c r="L39" s="26">
        <f t="shared" ref="L39:M39" si="243">L17/L7</f>
        <v>3.6556977055397538E-2</v>
      </c>
      <c r="M39" s="26">
        <f t="shared" si="243"/>
        <v>3.9508009644309311E-2</v>
      </c>
      <c r="N39" s="26">
        <f t="shared" ref="N39" si="244">N17/N7</f>
        <v>3.95080142451762E-2</v>
      </c>
      <c r="O39" s="26">
        <f t="shared" ref="O39:P39" si="245">O17/O7</f>
        <v>1.6619893906315467E-2</v>
      </c>
      <c r="P39" s="26">
        <f t="shared" si="245"/>
        <v>1.6619895083573043E-2</v>
      </c>
      <c r="Q39" s="26">
        <f t="shared" ref="Q39" si="246">Q17/Q7</f>
        <v>2.0029468597207185E-2</v>
      </c>
      <c r="R39" s="26">
        <f t="shared" ref="R39" si="247">R17/R7</f>
        <v>1.5086682646771798E-2</v>
      </c>
      <c r="S39" s="145"/>
      <c r="T39" s="26">
        <f t="shared" si="240"/>
        <v>8.2375677153659746E-2</v>
      </c>
      <c r="U39" s="26">
        <f t="shared" si="240"/>
        <v>7.8489608430844293E-2</v>
      </c>
      <c r="V39" s="26">
        <f t="shared" si="240"/>
        <v>0.1071568691318017</v>
      </c>
      <c r="W39" s="26">
        <f t="shared" si="240"/>
        <v>0.10145187871926431</v>
      </c>
      <c r="X39" s="26">
        <f t="shared" si="240"/>
        <v>9.141492891844083E-2</v>
      </c>
      <c r="Y39" s="26">
        <f t="shared" si="240"/>
        <v>7.0273777695933057E-2</v>
      </c>
      <c r="Z39" s="26">
        <f t="shared" si="240"/>
        <v>9.2547627495353446E-2</v>
      </c>
      <c r="AA39" s="26">
        <f t="shared" si="240"/>
        <v>7.5207092170738538E-2</v>
      </c>
      <c r="AB39" s="26">
        <f t="shared" si="240"/>
        <v>9.5495301405583821E-2</v>
      </c>
      <c r="AC39" s="26">
        <f t="shared" si="240"/>
        <v>9.3204541290835177E-2</v>
      </c>
      <c r="AD39" s="26">
        <f t="shared" si="240"/>
        <v>0.1797897638140071</v>
      </c>
      <c r="AE39" s="26">
        <f t="shared" si="240"/>
        <v>1.919179548820861E-2</v>
      </c>
      <c r="AF39" s="26">
        <f t="shared" si="240"/>
        <v>9.2715798843752764E-2</v>
      </c>
      <c r="AG39" s="26">
        <f t="shared" ref="AG39:AL39" si="248">AG17/AG7</f>
        <v>7.8761569130001444E-2</v>
      </c>
      <c r="AH39" s="26">
        <f t="shared" si="248"/>
        <v>8.7140221910122884E-2</v>
      </c>
      <c r="AI39" s="26">
        <f t="shared" si="248"/>
        <v>7.5482798663410108E-2</v>
      </c>
      <c r="AJ39" s="26">
        <f t="shared" si="248"/>
        <v>9.9519950233845328E-2</v>
      </c>
      <c r="AK39" s="26">
        <f t="shared" si="248"/>
        <v>9.0937981230901535E-2</v>
      </c>
      <c r="AL39" s="26">
        <f t="shared" si="248"/>
        <v>0.15698548058724318</v>
      </c>
      <c r="AM39" s="26">
        <f t="shared" ref="AM39:AR39" si="249">AM17/AM7</f>
        <v>0.11195754285951282</v>
      </c>
      <c r="AN39" s="26">
        <f t="shared" si="249"/>
        <v>0.1292473844742385</v>
      </c>
      <c r="AO39" s="26">
        <f t="shared" si="249"/>
        <v>7.3423462411350143E-2</v>
      </c>
      <c r="AP39" s="26">
        <f t="shared" si="249"/>
        <v>6.9711941140685713E-2</v>
      </c>
      <c r="AQ39" s="26">
        <f t="shared" si="249"/>
        <v>0.13365628811722163</v>
      </c>
      <c r="AR39" s="26">
        <f t="shared" si="249"/>
        <v>9.664301327971013E-2</v>
      </c>
      <c r="AS39" s="26">
        <f t="shared" ref="AS39:AU39" si="250">AS17/AS7</f>
        <v>5.9434663752409793E-2</v>
      </c>
      <c r="AT39" s="26">
        <f t="shared" si="250"/>
        <v>5.3526913173705074E-2</v>
      </c>
      <c r="AU39" s="26">
        <f t="shared" si="250"/>
        <v>6.6716549448508577E-2</v>
      </c>
      <c r="AV39" s="26">
        <f t="shared" ref="AV39:AX39" si="251">AV17/AV7</f>
        <v>5.5174330031274713E-2</v>
      </c>
      <c r="AW39" s="26">
        <f t="shared" si="251"/>
        <v>7.7443911292402787E-2</v>
      </c>
      <c r="AX39" s="26">
        <f t="shared" si="251"/>
        <v>6.8424250328717712E-2</v>
      </c>
      <c r="AY39" s="26">
        <f t="shared" ref="AY39:BB39" si="252">AY17/AY7</f>
        <v>3.0105553467979296E-3</v>
      </c>
      <c r="AZ39" s="26">
        <f t="shared" si="252"/>
        <v>3.8256857124436806E-2</v>
      </c>
      <c r="BA39" s="26">
        <f t="shared" si="252"/>
        <v>1.0754904667894278E-3</v>
      </c>
      <c r="BB39" s="26">
        <f t="shared" si="252"/>
        <v>-1.8293598393414923E-2</v>
      </c>
      <c r="BC39" s="26">
        <f t="shared" ref="BC39:BF39" si="253">BC17/BC7</f>
        <v>4.1367594216474388E-2</v>
      </c>
      <c r="BD39" s="26">
        <f t="shared" si="253"/>
        <v>2.2956141225998983E-2</v>
      </c>
      <c r="BE39" s="26">
        <f t="shared" si="253"/>
        <v>2.1761294527701352E-2</v>
      </c>
      <c r="BF39" s="26">
        <f t="shared" si="253"/>
        <v>1.7918699569043971E-2</v>
      </c>
      <c r="BG39" s="26">
        <f t="shared" ref="BG39:BH39" si="254">BG17/BG7</f>
        <v>1.8450498666947816E-2</v>
      </c>
      <c r="BH39" s="26">
        <f t="shared" si="254"/>
        <v>1.7991170452395248E-3</v>
      </c>
      <c r="BJ39" s="26">
        <f t="shared" ref="BJ39:BL39" si="255">BJ17/BJ7</f>
        <v>2.3794858122412683E-2</v>
      </c>
      <c r="BK39" s="26">
        <f t="shared" si="255"/>
        <v>6.2477931933560125E-2</v>
      </c>
      <c r="BL39" s="26">
        <f t="shared" si="255"/>
        <v>2.8990608325769083E-2</v>
      </c>
      <c r="BM39" s="26">
        <f t="shared" ref="BM39:BN39" si="256">BM17/BM7</f>
        <v>4.0779438371929384E-2</v>
      </c>
      <c r="BN39" s="26">
        <f t="shared" si="256"/>
        <v>3.8256826217235293E-2</v>
      </c>
      <c r="BO39" s="26">
        <f t="shared" ref="BO39:BR39" si="257">BO17/BO7</f>
        <v>0.14585052548532138</v>
      </c>
      <c r="BP39" s="26">
        <f t="shared" si="257"/>
        <v>-1.8293623259846369E-2</v>
      </c>
      <c r="BQ39" s="26">
        <f t="shared" si="257"/>
        <v>-6.5049398800816408E-2</v>
      </c>
      <c r="BR39" s="26">
        <f t="shared" si="257"/>
        <v>2.2956156549027048E-2</v>
      </c>
      <c r="BT39" s="26">
        <f t="shared" ref="BT39:BU39" si="258">BT17/BT7</f>
        <v>5.7983352475400929E-2</v>
      </c>
      <c r="BU39" s="26">
        <f t="shared" si="258"/>
        <v>2.0892221791417219E-2</v>
      </c>
      <c r="BW39" s="26">
        <f t="shared" ref="BW39:BX39" si="259">BW17/BW7</f>
        <v>-8.7724311356328744E-2</v>
      </c>
      <c r="BX39" s="26">
        <f t="shared" si="259"/>
        <v>1.7767567208151303E-2</v>
      </c>
    </row>
    <row r="40" spans="2:76" s="39" customFormat="1" ht="13.5" customHeight="1">
      <c r="B40" s="310" t="s">
        <v>277</v>
      </c>
      <c r="C40" s="26">
        <f t="shared" ref="C40:R40" si="260">C24/C150</f>
        <v>1.4280574851452276E-2</v>
      </c>
      <c r="D40" s="26">
        <f t="shared" si="260"/>
        <v>1.0604975733477738E-2</v>
      </c>
      <c r="E40" s="26">
        <f t="shared" si="260"/>
        <v>1.1609949911358953E-2</v>
      </c>
      <c r="F40" s="26">
        <f t="shared" si="260"/>
        <v>1.1842922674367264E-2</v>
      </c>
      <c r="G40" s="26">
        <f t="shared" si="260"/>
        <v>1.1540526636218426E-2</v>
      </c>
      <c r="H40" s="26">
        <f t="shared" si="260"/>
        <v>2.2680933997976088E-2</v>
      </c>
      <c r="I40" s="26">
        <f t="shared" si="260"/>
        <v>1.9295805135138875E-2</v>
      </c>
      <c r="J40" s="26">
        <f t="shared" si="260"/>
        <v>1.3592106547348796E-2</v>
      </c>
      <c r="K40" s="26">
        <f t="shared" si="260"/>
        <v>1.8116883378961227E-2</v>
      </c>
      <c r="L40" s="26">
        <f t="shared" si="260"/>
        <v>0.35172166716851183</v>
      </c>
      <c r="M40" s="26">
        <f t="shared" si="260"/>
        <v>0.46306529350088449</v>
      </c>
      <c r="N40" s="26">
        <f t="shared" si="260"/>
        <v>0.46306530183031641</v>
      </c>
      <c r="O40" s="26">
        <f t="shared" si="260"/>
        <v>0.43392982402627533</v>
      </c>
      <c r="P40" s="26">
        <f t="shared" si="260"/>
        <v>0.43392990041826685</v>
      </c>
      <c r="Q40" s="26">
        <f t="shared" si="260"/>
        <v>0.18008064344500005</v>
      </c>
      <c r="R40" s="26">
        <f t="shared" si="260"/>
        <v>0.25680372041504484</v>
      </c>
      <c r="S40" s="145"/>
      <c r="T40" s="26"/>
      <c r="U40" s="26"/>
      <c r="V40" s="26"/>
      <c r="W40" s="26">
        <f t="shared" ref="W40:BH40" si="261">SUM(T24:W24)/W150</f>
        <v>1.1609949911358953E-2</v>
      </c>
      <c r="X40" s="26">
        <f t="shared" si="261"/>
        <v>9.6070165519229287E-3</v>
      </c>
      <c r="Y40" s="26">
        <f t="shared" si="261"/>
        <v>1.4147624398310117E-2</v>
      </c>
      <c r="Z40" s="26">
        <f t="shared" si="261"/>
        <v>1.526873857404022E-2</v>
      </c>
      <c r="AA40" s="26">
        <f t="shared" si="261"/>
        <v>1.1842922674367264E-2</v>
      </c>
      <c r="AB40" s="26">
        <f t="shared" si="261"/>
        <v>1.2757774591971768E-2</v>
      </c>
      <c r="AC40" s="26">
        <f t="shared" si="261"/>
        <v>1.1441575602491766E-2</v>
      </c>
      <c r="AD40" s="26">
        <f t="shared" si="261"/>
        <v>1.0439121416352124E-2</v>
      </c>
      <c r="AE40" s="26">
        <f t="shared" si="261"/>
        <v>1.1540526636218428E-2</v>
      </c>
      <c r="AF40" s="26">
        <f t="shared" si="261"/>
        <v>1.343280080048187E-2</v>
      </c>
      <c r="AG40" s="26">
        <f t="shared" si="261"/>
        <v>1.9612697854324481E-2</v>
      </c>
      <c r="AH40" s="26">
        <f t="shared" si="261"/>
        <v>2.5448223524346725E-2</v>
      </c>
      <c r="AI40" s="26">
        <f t="shared" si="261"/>
        <v>2.2680933997976088E-2</v>
      </c>
      <c r="AJ40" s="26">
        <f t="shared" si="261"/>
        <v>1.9965548399362584E-2</v>
      </c>
      <c r="AK40" s="26">
        <f t="shared" si="261"/>
        <v>1.7270320035602981E-2</v>
      </c>
      <c r="AL40" s="26">
        <f t="shared" si="261"/>
        <v>1.5044603835773033E-2</v>
      </c>
      <c r="AM40" s="26">
        <f t="shared" si="261"/>
        <v>1.9295805135138872E-2</v>
      </c>
      <c r="AN40" s="26">
        <f t="shared" si="261"/>
        <v>2.9077923909041771E-2</v>
      </c>
      <c r="AO40" s="26">
        <f t="shared" si="261"/>
        <v>2.8401941231206873E-2</v>
      </c>
      <c r="AP40" s="26">
        <f t="shared" si="261"/>
        <v>3.251706267253756E-2</v>
      </c>
      <c r="AQ40" s="26">
        <f t="shared" si="261"/>
        <v>1.3592106547348796E-2</v>
      </c>
      <c r="AR40" s="26">
        <f t="shared" si="261"/>
        <v>1.2327146209496135E-2</v>
      </c>
      <c r="AS40" s="26">
        <f t="shared" si="261"/>
        <v>1.534983482086711E-2</v>
      </c>
      <c r="AT40" s="26">
        <f t="shared" si="261"/>
        <v>1.4101024038897458E-2</v>
      </c>
      <c r="AU40" s="26">
        <f t="shared" si="261"/>
        <v>1.8116883378961231E-2</v>
      </c>
      <c r="AV40" s="26">
        <f t="shared" si="261"/>
        <v>2.0079145509813046E-2</v>
      </c>
      <c r="AW40" s="26">
        <f t="shared" si="261"/>
        <v>2.6245733597899102E-2</v>
      </c>
      <c r="AX40" s="26">
        <f t="shared" si="261"/>
        <v>2.7499789264556013E-2</v>
      </c>
      <c r="AY40" s="26">
        <f t="shared" si="261"/>
        <v>0.4630652935008846</v>
      </c>
      <c r="AZ40" s="26">
        <f t="shared" si="261"/>
        <v>0.56393891218785253</v>
      </c>
      <c r="BA40" s="26">
        <f t="shared" si="261"/>
        <v>0.63111359244478826</v>
      </c>
      <c r="BB40" s="26">
        <f t="shared" si="261"/>
        <v>0.83740905932635223</v>
      </c>
      <c r="BC40" s="26">
        <f t="shared" si="261"/>
        <v>0.43392982402627533</v>
      </c>
      <c r="BD40" s="26">
        <f t="shared" si="261"/>
        <v>0.48581215565685387</v>
      </c>
      <c r="BE40" s="26">
        <f t="shared" si="261"/>
        <v>0.39328891163373658</v>
      </c>
      <c r="BF40" s="26">
        <f t="shared" si="261"/>
        <v>0.39599594766964757</v>
      </c>
      <c r="BG40" s="26">
        <f t="shared" si="261"/>
        <v>0.18008064344500005</v>
      </c>
      <c r="BH40" s="26">
        <f t="shared" si="261"/>
        <v>0.25680372041504484</v>
      </c>
      <c r="BJ40" s="26">
        <f>SUM(AZ24:BJ24)/BJ150</f>
        <v>0.9878504747365997</v>
      </c>
      <c r="BK40" s="26">
        <f>SUM(BI24:BK24)/BK150</f>
        <v>0.10365742718462298</v>
      </c>
      <c r="BL40" s="26"/>
      <c r="BM40" s="26"/>
      <c r="BN40" s="26"/>
      <c r="BO40" s="26"/>
      <c r="BP40" s="26"/>
      <c r="BQ40" s="26"/>
      <c r="BR40" s="26"/>
      <c r="BT40" s="26"/>
      <c r="BU40" s="26"/>
      <c r="BW40" s="26"/>
      <c r="BX40" s="26"/>
    </row>
    <row r="41" spans="2:76" s="39" customFormat="1" ht="13.5" customHeight="1">
      <c r="B41" s="310" t="s">
        <v>278</v>
      </c>
      <c r="C41" s="26">
        <f t="shared" ref="C41:R41" si="262">-C25/C149</f>
        <v>6.5913098236775811E-2</v>
      </c>
      <c r="D41" s="26">
        <f t="shared" si="262"/>
        <v>7.1277176901924838E-2</v>
      </c>
      <c r="E41" s="26">
        <f t="shared" si="262"/>
        <v>7.7940261576528808E-2</v>
      </c>
      <c r="F41" s="26">
        <f t="shared" si="262"/>
        <v>7.7957632976970712E-2</v>
      </c>
      <c r="G41" s="26">
        <f t="shared" si="262"/>
        <v>8.4461377521131475E-2</v>
      </c>
      <c r="H41" s="26">
        <f t="shared" si="262"/>
        <v>0.1048420572608459</v>
      </c>
      <c r="I41" s="26">
        <f t="shared" si="262"/>
        <v>7.8585213635446599E-2</v>
      </c>
      <c r="J41" s="26">
        <f t="shared" si="262"/>
        <v>5.5790818899583906E-2</v>
      </c>
      <c r="K41" s="26">
        <f t="shared" si="262"/>
        <v>7.9019369824532767E-2</v>
      </c>
      <c r="L41" s="26">
        <f t="shared" si="262"/>
        <v>0.30882565501924386</v>
      </c>
      <c r="M41" s="26">
        <f t="shared" si="262"/>
        <v>0.33056960849126321</v>
      </c>
      <c r="N41" s="26">
        <f t="shared" si="262"/>
        <v>0.34293333099535656</v>
      </c>
      <c r="O41" s="26">
        <f t="shared" si="262"/>
        <v>0.32185150385500882</v>
      </c>
      <c r="P41" s="26">
        <f t="shared" si="262"/>
        <v>0.34263824449614666</v>
      </c>
      <c r="Q41" s="26">
        <f t="shared" si="262"/>
        <v>0.19288062808415057</v>
      </c>
      <c r="R41" s="26">
        <f t="shared" si="262"/>
        <v>0.18631148734057784</v>
      </c>
      <c r="S41" s="145"/>
      <c r="T41" s="26"/>
      <c r="U41" s="26"/>
      <c r="V41" s="26"/>
      <c r="W41" s="26">
        <f t="shared" ref="W41:BH41" si="263">-SUM(T25:W25)/W149</f>
        <v>7.7940261576528808E-2</v>
      </c>
      <c r="X41" s="26">
        <f t="shared" si="263"/>
        <v>6.7178195822841055E-2</v>
      </c>
      <c r="Y41" s="26">
        <f t="shared" si="263"/>
        <v>7.0516845667206118E-2</v>
      </c>
      <c r="Z41" s="26">
        <f t="shared" si="263"/>
        <v>7.5721036803666042E-2</v>
      </c>
      <c r="AA41" s="26">
        <f t="shared" si="263"/>
        <v>7.7957632976970712E-2</v>
      </c>
      <c r="AB41" s="26">
        <f t="shared" si="263"/>
        <v>7.7550684068297751E-2</v>
      </c>
      <c r="AC41" s="26">
        <f t="shared" si="263"/>
        <v>7.581015821913456E-2</v>
      </c>
      <c r="AD41" s="26">
        <f t="shared" si="263"/>
        <v>7.437715872602621E-2</v>
      </c>
      <c r="AE41" s="26">
        <f t="shared" si="263"/>
        <v>8.4461377521131475E-2</v>
      </c>
      <c r="AF41" s="26">
        <f t="shared" si="263"/>
        <v>8.6888929767137954E-2</v>
      </c>
      <c r="AG41" s="26">
        <f t="shared" si="263"/>
        <v>9.8522076517969917E-2</v>
      </c>
      <c r="AH41" s="26">
        <f t="shared" si="263"/>
        <v>0.10600705208823152</v>
      </c>
      <c r="AI41" s="26">
        <f t="shared" si="263"/>
        <v>0.1048420572608459</v>
      </c>
      <c r="AJ41" s="26">
        <f t="shared" si="263"/>
        <v>9.7085572685479862E-2</v>
      </c>
      <c r="AK41" s="26">
        <f t="shared" si="263"/>
        <v>9.5072639221372754E-2</v>
      </c>
      <c r="AL41" s="26">
        <f t="shared" si="263"/>
        <v>8.5804147748102882E-2</v>
      </c>
      <c r="AM41" s="26">
        <f t="shared" si="263"/>
        <v>7.8585213635446613E-2</v>
      </c>
      <c r="AN41" s="26">
        <f t="shared" si="263"/>
        <v>6.7447984024013544E-2</v>
      </c>
      <c r="AO41" s="26">
        <f t="shared" si="263"/>
        <v>5.5378414810185739E-2</v>
      </c>
      <c r="AP41" s="26">
        <f t="shared" si="263"/>
        <v>6.9112090467791112E-2</v>
      </c>
      <c r="AQ41" s="26">
        <f t="shared" si="263"/>
        <v>5.5790818899583913E-2</v>
      </c>
      <c r="AR41" s="26">
        <f t="shared" si="263"/>
        <v>5.6743406575727365E-2</v>
      </c>
      <c r="AS41" s="26">
        <f t="shared" si="263"/>
        <v>6.2230624461124616E-2</v>
      </c>
      <c r="AT41" s="26">
        <f t="shared" si="263"/>
        <v>6.8718971725898359E-2</v>
      </c>
      <c r="AU41" s="26">
        <f t="shared" si="263"/>
        <v>7.9019369824532767E-2</v>
      </c>
      <c r="AV41" s="26">
        <f t="shared" si="263"/>
        <v>7.8361805490043443E-2</v>
      </c>
      <c r="AW41" s="26">
        <f t="shared" si="263"/>
        <v>7.9470383729441013E-2</v>
      </c>
      <c r="AX41" s="26">
        <f t="shared" si="263"/>
        <v>6.7103463372517866E-2</v>
      </c>
      <c r="AY41" s="26">
        <f t="shared" si="263"/>
        <v>0.33056960849126327</v>
      </c>
      <c r="AZ41" s="26">
        <f t="shared" si="263"/>
        <v>0.32444343611915372</v>
      </c>
      <c r="BA41" s="26">
        <f t="shared" si="263"/>
        <v>0.2837612188476526</v>
      </c>
      <c r="BB41" s="26">
        <f t="shared" si="263"/>
        <v>0.28785866481803241</v>
      </c>
      <c r="BC41" s="26">
        <f t="shared" si="263"/>
        <v>0.32185150385500882</v>
      </c>
      <c r="BD41" s="26">
        <f t="shared" si="263"/>
        <v>0.32905793473479128</v>
      </c>
      <c r="BE41" s="26">
        <f t="shared" si="263"/>
        <v>0.30728762310446239</v>
      </c>
      <c r="BF41" s="26">
        <f t="shared" si="263"/>
        <v>0.31575047285017982</v>
      </c>
      <c r="BG41" s="26">
        <f t="shared" si="263"/>
        <v>0.1928806280841506</v>
      </c>
      <c r="BH41" s="26">
        <f t="shared" si="263"/>
        <v>0.18631148734057784</v>
      </c>
      <c r="BJ41" s="26">
        <f>-SUM(AZ25:BJ25)/BJ149</f>
        <v>1.8125254531534658</v>
      </c>
      <c r="BK41" s="26">
        <f>-SUM(BI25:BK25)/BK149</f>
        <v>6.5398330550046915E-2</v>
      </c>
      <c r="BL41" s="26"/>
      <c r="BM41" s="26"/>
      <c r="BN41" s="26"/>
      <c r="BO41" s="26"/>
      <c r="BP41" s="26"/>
      <c r="BQ41" s="26"/>
      <c r="BR41" s="26"/>
      <c r="BT41" s="26"/>
      <c r="BU41" s="26"/>
      <c r="BW41" s="26"/>
      <c r="BX41" s="26"/>
    </row>
    <row r="42" spans="2:76" s="39" customFormat="1" ht="13.5" customHeight="1">
      <c r="B42" s="310" t="str">
        <f>B26</f>
        <v>Profit before tax</v>
      </c>
      <c r="C42" s="26">
        <f t="shared" ref="C42:AF42" si="264">C26/C7</f>
        <v>5.8464125833774035E-2</v>
      </c>
      <c r="D42" s="26">
        <f t="shared" si="264"/>
        <v>5.5422522783264247E-2</v>
      </c>
      <c r="E42" s="26">
        <f t="shared" si="264"/>
        <v>7.4656322012463638E-2</v>
      </c>
      <c r="F42" s="26">
        <f t="shared" si="264"/>
        <v>3.9389292435879894E-2</v>
      </c>
      <c r="G42" s="26">
        <f t="shared" si="264"/>
        <v>3.5288152295179814E-2</v>
      </c>
      <c r="H42" s="26">
        <f t="shared" ref="H42:J42" si="265">H26/H7</f>
        <v>3.4881595332857694E-2</v>
      </c>
      <c r="I42" s="26">
        <f t="shared" si="265"/>
        <v>8.5580927393131473E-2</v>
      </c>
      <c r="J42" s="26">
        <f t="shared" si="265"/>
        <v>5.3129631326280645E-2</v>
      </c>
      <c r="K42" s="26">
        <f t="shared" ref="K42" si="266">K26/K7</f>
        <v>3.1497576815375308E-2</v>
      </c>
      <c r="L42" s="26">
        <f t="shared" ref="L42:M42" si="267">L26/L7</f>
        <v>2.8149099262466479E-2</v>
      </c>
      <c r="M42" s="26">
        <f t="shared" si="267"/>
        <v>2.784268337692276E-2</v>
      </c>
      <c r="N42" s="26">
        <f t="shared" ref="N42" si="268">N26/N7</f>
        <v>5.0567364617059241E-2</v>
      </c>
      <c r="O42" s="26">
        <f t="shared" ref="O42:P42" si="269">O26/O7</f>
        <v>-3.7578314727954947E-3</v>
      </c>
      <c r="P42" s="26">
        <f t="shared" si="269"/>
        <v>-3.7578318499699769E-3</v>
      </c>
      <c r="Q42" s="26">
        <f t="shared" ref="Q42" si="270">Q26/Q7</f>
        <v>-9.0404099341489085E-3</v>
      </c>
      <c r="R42" s="26">
        <f t="shared" ref="R42" si="271">R26/R7</f>
        <v>-6.3888383072923825E-3</v>
      </c>
      <c r="S42" s="145"/>
      <c r="T42" s="26">
        <f t="shared" si="264"/>
        <v>4.3786883949278897E-2</v>
      </c>
      <c r="U42" s="26">
        <f t="shared" si="264"/>
        <v>0.16558775781931109</v>
      </c>
      <c r="V42" s="26">
        <f t="shared" si="264"/>
        <v>6.9374599276358542E-2</v>
      </c>
      <c r="W42" s="26">
        <f t="shared" si="264"/>
        <v>2.3928347086311176E-2</v>
      </c>
      <c r="X42" s="26">
        <f t="shared" si="264"/>
        <v>5.1047266722972044E-2</v>
      </c>
      <c r="Y42" s="26">
        <f t="shared" si="264"/>
        <v>4.2199120859058227E-2</v>
      </c>
      <c r="Z42" s="26">
        <f t="shared" si="264"/>
        <v>4.7512229737058272E-2</v>
      </c>
      <c r="AA42" s="26">
        <f t="shared" si="264"/>
        <v>1.9683921543334804E-2</v>
      </c>
      <c r="AB42" s="26">
        <f t="shared" si="264"/>
        <v>2.9877789973832988E-2</v>
      </c>
      <c r="AC42" s="26">
        <f t="shared" si="264"/>
        <v>2.9092154923307332E-2</v>
      </c>
      <c r="AD42" s="26">
        <f t="shared" si="264"/>
        <v>4.3118961238491044E-2</v>
      </c>
      <c r="AE42" s="26">
        <f t="shared" si="264"/>
        <v>3.6456224503530692E-2</v>
      </c>
      <c r="AF42" s="26">
        <f t="shared" si="264"/>
        <v>3.7791374493509798E-2</v>
      </c>
      <c r="AG42" s="26">
        <f t="shared" ref="AG42:AL42" si="272">AG26/AG7</f>
        <v>3.5787650102045675E-2</v>
      </c>
      <c r="AH42" s="26">
        <f t="shared" si="272"/>
        <v>3.2688285438513973E-2</v>
      </c>
      <c r="AI42" s="26">
        <f t="shared" si="272"/>
        <v>3.373007501137059E-2</v>
      </c>
      <c r="AJ42" s="26">
        <f t="shared" si="272"/>
        <v>3.9704266273645886E-2</v>
      </c>
      <c r="AK42" s="26">
        <f t="shared" si="272"/>
        <v>6.7125298881057713E-2</v>
      </c>
      <c r="AL42" s="26">
        <f t="shared" si="272"/>
        <v>0.10764100482863558</v>
      </c>
      <c r="AM42" s="26">
        <f t="shared" ref="AM42:AR42" si="273">AM26/AM7</f>
        <v>0.10339452694408453</v>
      </c>
      <c r="AN42" s="26">
        <f t="shared" si="273"/>
        <v>9.9682265935109704E-2</v>
      </c>
      <c r="AO42" s="26">
        <f t="shared" si="273"/>
        <v>4.0148711877892103E-2</v>
      </c>
      <c r="AP42" s="26">
        <f t="shared" si="273"/>
        <v>4.2453856360702806E-2</v>
      </c>
      <c r="AQ42" s="26">
        <f t="shared" si="273"/>
        <v>4.3270188741014619E-2</v>
      </c>
      <c r="AR42" s="26">
        <f t="shared" si="273"/>
        <v>5.1534854556613115E-2</v>
      </c>
      <c r="AS42" s="26">
        <f t="shared" ref="AS42:AU42" si="274">AS26/AS7</f>
        <v>9.4075051092517067E-3</v>
      </c>
      <c r="AT42" s="26">
        <f t="shared" si="274"/>
        <v>6.7539250202891818E-3</v>
      </c>
      <c r="AU42" s="26">
        <f t="shared" si="274"/>
        <v>5.6932890180313209E-2</v>
      </c>
      <c r="AV42" s="26">
        <f t="shared" ref="AV42:AX42" si="275">AV26/AV7</f>
        <v>1.7808961570817707E-2</v>
      </c>
      <c r="AW42" s="26">
        <f t="shared" si="275"/>
        <v>2.3992928182180639E-2</v>
      </c>
      <c r="AX42" s="26">
        <f t="shared" si="275"/>
        <v>2.3259296460505084E-2</v>
      </c>
      <c r="AY42" s="26">
        <f t="shared" ref="AY42:BB42" si="276">AY26/AY7</f>
        <v>3.5409479375055973E-2</v>
      </c>
      <c r="AZ42" s="26">
        <f t="shared" si="276"/>
        <v>1.7720497188959673E-2</v>
      </c>
      <c r="BA42" s="26">
        <f t="shared" si="276"/>
        <v>-1.5266160584775111E-2</v>
      </c>
      <c r="BB42" s="26">
        <f t="shared" si="276"/>
        <v>-6.305656985237991E-2</v>
      </c>
      <c r="BC42" s="26">
        <f t="shared" ref="BC42:BF42" si="277">BC26/BC7</f>
        <v>3.5533247289652667E-2</v>
      </c>
      <c r="BD42" s="26">
        <f t="shared" si="277"/>
        <v>-8.734114690638211E-3</v>
      </c>
      <c r="BE42" s="26">
        <f t="shared" si="277"/>
        <v>-1.8743782317775303E-2</v>
      </c>
      <c r="BF42" s="26">
        <f t="shared" si="277"/>
        <v>-5.6866918871033264E-3</v>
      </c>
      <c r="BG42" s="26">
        <f t="shared" ref="BG42:BH42" si="278">BG26/BG7</f>
        <v>-4.7396404998388758E-3</v>
      </c>
      <c r="BH42" s="26">
        <f t="shared" si="278"/>
        <v>2.3109473985442469E-3</v>
      </c>
      <c r="BJ42" s="26">
        <f t="shared" ref="BJ42:BL42" si="279">BJ26/BJ7</f>
        <v>2.4318181014130295E-2</v>
      </c>
      <c r="BK42" s="26">
        <f t="shared" si="279"/>
        <v>2.7688891900429953E-2</v>
      </c>
      <c r="BL42" s="26">
        <f t="shared" si="279"/>
        <v>4.9328311053651167E-2</v>
      </c>
      <c r="BM42" s="26">
        <f t="shared" ref="BM42:BN42" si="280">BM26/BM7</f>
        <v>8.0597646984500865E-2</v>
      </c>
      <c r="BN42" s="26">
        <f t="shared" si="280"/>
        <v>3.6554128956439544E-2</v>
      </c>
      <c r="BO42" s="26">
        <f t="shared" ref="BO42:BR42" si="281">BO26/BO7</f>
        <v>0.13698945062547344</v>
      </c>
      <c r="BP42" s="26">
        <f t="shared" si="281"/>
        <v>-5.5403387106473675E-2</v>
      </c>
      <c r="BQ42" s="26">
        <f t="shared" si="281"/>
        <v>-9.1385822038518472E-2</v>
      </c>
      <c r="BR42" s="26">
        <f t="shared" si="281"/>
        <v>-8.7340985128741035E-3</v>
      </c>
      <c r="BT42" s="26">
        <f t="shared" ref="BT42:BU42" si="282">BT26/BT7</f>
        <v>4.127010937764812E-2</v>
      </c>
      <c r="BU42" s="26">
        <f t="shared" si="282"/>
        <v>-1.1177588533639331E-2</v>
      </c>
      <c r="BW42" s="26">
        <f t="shared" ref="BW42:BX42" si="283">BW26/BW7</f>
        <v>-0.11734613155401268</v>
      </c>
      <c r="BX42" s="26">
        <f t="shared" si="283"/>
        <v>-3.4373159377545123E-3</v>
      </c>
    </row>
    <row r="43" spans="2:76" s="39" customFormat="1" ht="13.5" customHeight="1">
      <c r="B43" s="326" t="s">
        <v>279</v>
      </c>
      <c r="C43" s="26">
        <f>-C27/C26</f>
        <v>0.11056529191303693</v>
      </c>
      <c r="D43" s="26">
        <f t="shared" ref="D43:AB43" si="284">-D27/D26</f>
        <v>0.12391211036260659</v>
      </c>
      <c r="E43" s="26">
        <f t="shared" si="284"/>
        <v>8.3379033204319539E-2</v>
      </c>
      <c r="F43" s="26">
        <f t="shared" si="284"/>
        <v>0.23636826544621306</v>
      </c>
      <c r="G43" s="26">
        <f t="shared" ref="G43:J43" si="285">-G27/G26</f>
        <v>0.26200382133670974</v>
      </c>
      <c r="H43" s="26">
        <f t="shared" si="285"/>
        <v>0.21946723150657887</v>
      </c>
      <c r="I43" s="26">
        <f t="shared" si="285"/>
        <v>0.13752002984643663</v>
      </c>
      <c r="J43" s="26">
        <f t="shared" si="285"/>
        <v>0.20965413372774411</v>
      </c>
      <c r="K43" s="26">
        <f t="shared" ref="K43" si="286">-K27/K26</f>
        <v>0.23765923963267985</v>
      </c>
      <c r="L43" s="26">
        <f t="shared" ref="L43:M43" si="287">-L27/L26</f>
        <v>0.26437911796684699</v>
      </c>
      <c r="M43" s="26">
        <f t="shared" si="287"/>
        <v>0.26695120653079241</v>
      </c>
      <c r="N43" s="26">
        <f t="shared" ref="N43" si="288">-N27/N26</f>
        <v>0.14698490541491377</v>
      </c>
      <c r="O43" s="26">
        <f t="shared" ref="O43:P43" si="289">-O27/O26</f>
        <v>-0.87540765965480616</v>
      </c>
      <c r="P43" s="26">
        <f t="shared" si="289"/>
        <v>-0.87540763202914318</v>
      </c>
      <c r="Q43" s="26">
        <f t="shared" ref="Q43" si="290">-Q27/Q26</f>
        <v>-0.42091115684507435</v>
      </c>
      <c r="R43" s="26">
        <f t="shared" ref="R43" si="291">-R27/R26</f>
        <v>-0.5149834528603886</v>
      </c>
      <c r="S43" s="145"/>
      <c r="T43" s="26">
        <f t="shared" si="284"/>
        <v>0.12549852385145291</v>
      </c>
      <c r="U43" s="26">
        <f t="shared" si="284"/>
        <v>4.5315059467340997E-2</v>
      </c>
      <c r="V43" s="26">
        <f t="shared" si="284"/>
        <v>0.11822164484437286</v>
      </c>
      <c r="W43" s="26">
        <f t="shared" si="284"/>
        <v>0.16261611479436172</v>
      </c>
      <c r="X43" s="26">
        <f t="shared" si="284"/>
        <v>0.2770178301192901</v>
      </c>
      <c r="Y43" s="26">
        <f t="shared" si="284"/>
        <v>0.1750642637412034</v>
      </c>
      <c r="Z43" s="26">
        <f t="shared" si="284"/>
        <v>0.13959094285891191</v>
      </c>
      <c r="AA43" s="26">
        <f t="shared" si="284"/>
        <v>0.49002760217254837</v>
      </c>
      <c r="AB43" s="26">
        <f t="shared" si="284"/>
        <v>0.19228746491278079</v>
      </c>
      <c r="AC43" s="26">
        <f t="shared" ref="AC43:AH43" si="292">-AC27/AC26</f>
        <v>0.26902795006466179</v>
      </c>
      <c r="AD43" s="26">
        <f t="shared" si="292"/>
        <v>0.37050240474439716</v>
      </c>
      <c r="AE43" s="26">
        <f t="shared" si="292"/>
        <v>0.16458253174298021</v>
      </c>
      <c r="AF43" s="26">
        <f t="shared" si="292"/>
        <v>0.23272325775756963</v>
      </c>
      <c r="AG43" s="26">
        <f t="shared" si="292"/>
        <v>0.40456028434636121</v>
      </c>
      <c r="AH43" s="26">
        <f t="shared" si="292"/>
        <v>0.17530588470984562</v>
      </c>
      <c r="AI43" s="26">
        <f t="shared" ref="AI43:AN43" si="293">-AI27/AI26</f>
        <v>5.1568457907493905E-2</v>
      </c>
      <c r="AJ43" s="26">
        <f t="shared" si="293"/>
        <v>0.24668616490058484</v>
      </c>
      <c r="AK43" s="26">
        <f t="shared" si="293"/>
        <v>0.12491107670418888</v>
      </c>
      <c r="AL43" s="26">
        <f t="shared" si="293"/>
        <v>0.17798503542705063</v>
      </c>
      <c r="AM43" s="26">
        <f t="shared" si="293"/>
        <v>8.019397533385729E-2</v>
      </c>
      <c r="AN43" s="26">
        <f t="shared" si="293"/>
        <v>0.17048790965620395</v>
      </c>
      <c r="AO43" s="26">
        <f t="shared" ref="AO43:AT43" si="294">-AO27/AO26</f>
        <v>0.26066682889546128</v>
      </c>
      <c r="AP43" s="26">
        <f t="shared" si="294"/>
        <v>0.20723509583497224</v>
      </c>
      <c r="AQ43" s="26">
        <f t="shared" si="294"/>
        <v>0.23304025837941969</v>
      </c>
      <c r="AR43" s="26">
        <f t="shared" si="294"/>
        <v>0.24292155144379932</v>
      </c>
      <c r="AS43" s="26">
        <f t="shared" si="294"/>
        <v>0.64276124854395489</v>
      </c>
      <c r="AT43" s="26">
        <f t="shared" si="294"/>
        <v>1.7884099190414819</v>
      </c>
      <c r="AU43" s="26">
        <f t="shared" ref="AU43" si="295">-AU27/AU26</f>
        <v>1.8271353964290801E-2</v>
      </c>
      <c r="AV43" s="26">
        <f t="shared" ref="AV43:AX43" si="296">-AV27/AV26</f>
        <v>0.73916140220487914</v>
      </c>
      <c r="AW43" s="26">
        <f t="shared" si="296"/>
        <v>0.36612776217772919</v>
      </c>
      <c r="AX43" s="26">
        <f t="shared" si="296"/>
        <v>0.49322099361424204</v>
      </c>
      <c r="AY43" s="26">
        <f t="shared" ref="AY43:BB43" si="297">-AY27/AY26</f>
        <v>7.7013872190741295E-2</v>
      </c>
      <c r="AZ43" s="26">
        <f t="shared" si="297"/>
        <v>0.84503457818981909</v>
      </c>
      <c r="BA43" s="26">
        <f t="shared" si="297"/>
        <v>-0.1776382944835676</v>
      </c>
      <c r="BB43" s="26">
        <f t="shared" si="297"/>
        <v>-1.7740666388888014E-2</v>
      </c>
      <c r="BC43" s="26">
        <f t="shared" ref="BC43:BF43" si="298">-BC27/BC26</f>
        <v>-1.2391728116705336E-2</v>
      </c>
      <c r="BD43" s="26">
        <f t="shared" si="298"/>
        <v>-0.89256342296174473</v>
      </c>
      <c r="BE43" s="26">
        <f t="shared" si="298"/>
        <v>-6.445235914000795E-2</v>
      </c>
      <c r="BF43" s="26">
        <f t="shared" si="298"/>
        <v>-0.14835717636685353</v>
      </c>
      <c r="BG43" s="26">
        <f t="shared" ref="BG43:BH43" si="299">-BG27/BG26</f>
        <v>-1.1128359736839188</v>
      </c>
      <c r="BH43" s="26">
        <f t="shared" si="299"/>
        <v>2.1604146805691551</v>
      </c>
      <c r="BJ43" s="26">
        <f t="shared" ref="BJ43:BL43" si="300">-BJ27/BJ26</f>
        <v>0.53971981841142092</v>
      </c>
      <c r="BK43" s="26">
        <f t="shared" si="300"/>
        <v>0.31652018583689173</v>
      </c>
      <c r="BL43" s="26">
        <f t="shared" si="300"/>
        <v>0.23521538521121652</v>
      </c>
      <c r="BM43" s="26">
        <f t="shared" ref="BM43:BN43" si="301">-BM27/BM26</f>
        <v>5.3880704030258852E-3</v>
      </c>
      <c r="BN43" s="26">
        <f t="shared" si="301"/>
        <v>0.40965110723516385</v>
      </c>
      <c r="BO43" s="26">
        <f t="shared" ref="BO43:BR43" si="302">-BO27/BO26</f>
        <v>1.9796094927818361E-2</v>
      </c>
      <c r="BP43" s="26">
        <f t="shared" si="302"/>
        <v>-2.0191331334029641E-2</v>
      </c>
      <c r="BQ43" s="26">
        <f t="shared" si="302"/>
        <v>1.0638745196705521E-2</v>
      </c>
      <c r="BR43" s="26">
        <f t="shared" si="302"/>
        <v>-0.89256546232139233</v>
      </c>
      <c r="BT43" s="26">
        <f t="shared" ref="BT43:BU43" si="303">-BT27/BT26</f>
        <v>0.13633771776510104</v>
      </c>
      <c r="BU43" s="26">
        <f t="shared" si="303"/>
        <v>-0.29062023213178734</v>
      </c>
      <c r="BW43" s="26">
        <f t="shared" ref="BW43:BX43" si="304">-BW27/BW26</f>
        <v>2.2206264968064646E-2</v>
      </c>
      <c r="BX43" s="26">
        <f t="shared" si="304"/>
        <v>-1.5316959473590805</v>
      </c>
    </row>
    <row r="44" spans="2:76" s="39" customFormat="1" ht="13.5" customHeight="1">
      <c r="B44" s="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145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  <c r="BC44" s="51"/>
      <c r="BD44" s="51"/>
      <c r="BE44" s="51"/>
      <c r="BF44" s="51"/>
      <c r="BG44" s="51"/>
      <c r="BH44" s="51"/>
      <c r="BJ44" s="51"/>
      <c r="BK44" s="51"/>
      <c r="BL44" s="51"/>
      <c r="BM44" s="51"/>
      <c r="BN44" s="51"/>
      <c r="BO44" s="51"/>
      <c r="BP44" s="51"/>
      <c r="BQ44" s="51"/>
      <c r="BR44" s="51"/>
      <c r="BT44" s="51"/>
      <c r="BU44" s="51"/>
      <c r="BW44" s="51"/>
      <c r="BX44" s="51"/>
    </row>
    <row r="45" spans="2:76" s="39" customFormat="1" ht="13.5" customHeight="1">
      <c r="B45" s="20" t="s">
        <v>280</v>
      </c>
      <c r="C45" s="26">
        <f t="shared" ref="C45:AJ45" si="305">-C69/C7</f>
        <v>3.621270616754807E-2</v>
      </c>
      <c r="D45" s="26">
        <f t="shared" si="305"/>
        <v>4.5213008520340811E-2</v>
      </c>
      <c r="E45" s="26">
        <f t="shared" si="305"/>
        <v>5.1625007486252011E-2</v>
      </c>
      <c r="F45" s="26">
        <f t="shared" si="305"/>
        <v>4.7369863832700122E-2</v>
      </c>
      <c r="G45" s="26">
        <f t="shared" si="305"/>
        <v>6.68034250477543E-2</v>
      </c>
      <c r="H45" s="26">
        <f t="shared" si="305"/>
        <v>4.3191215465716318E-2</v>
      </c>
      <c r="I45" s="26">
        <f>-I69/I7</f>
        <v>4.2456828473082978E-2</v>
      </c>
      <c r="J45" s="26">
        <f>-J69/J7</f>
        <v>3.6890295068359953E-2</v>
      </c>
      <c r="K45" s="26">
        <f t="shared" ref="K45" si="306">-K69/K7</f>
        <v>4.4115779331546874E-2</v>
      </c>
      <c r="L45" s="26">
        <f t="shared" ref="L45:R45" si="307">-L69/L7</f>
        <v>4.1498027604323841E-2</v>
      </c>
      <c r="M45" s="26">
        <f t="shared" si="307"/>
        <v>5.3640445112313202E-2</v>
      </c>
      <c r="N45" s="26">
        <f t="shared" si="307"/>
        <v>4.9927593848661918E-2</v>
      </c>
      <c r="O45" s="26">
        <f t="shared" si="307"/>
        <v>5.5527104589114119E-2</v>
      </c>
      <c r="P45" s="26">
        <f t="shared" si="307"/>
        <v>5.395205214169297E-2</v>
      </c>
      <c r="Q45" s="26">
        <f t="shared" si="307"/>
        <v>3.4178322473977563E-2</v>
      </c>
      <c r="R45" s="26">
        <f t="shared" si="307"/>
        <v>3.1945213391015373E-2</v>
      </c>
      <c r="S45" s="145"/>
      <c r="T45" s="26">
        <f t="shared" si="305"/>
        <v>4.0678405272478783E-2</v>
      </c>
      <c r="U45" s="26">
        <f t="shared" si="305"/>
        <v>3.6827614005206642E-2</v>
      </c>
      <c r="V45" s="26">
        <f t="shared" si="305"/>
        <v>3.6621916234125966E-2</v>
      </c>
      <c r="W45" s="26">
        <f t="shared" si="305"/>
        <v>8.663790351108025E-2</v>
      </c>
      <c r="X45" s="26">
        <f t="shared" si="305"/>
        <v>2.7895536153175898E-2</v>
      </c>
      <c r="Y45" s="26">
        <f t="shared" si="305"/>
        <v>4.2335060304358144E-2</v>
      </c>
      <c r="Z45" s="26">
        <f t="shared" si="305"/>
        <v>4.3645040729022859E-2</v>
      </c>
      <c r="AA45" s="26">
        <f t="shared" si="305"/>
        <v>7.1204408525411184E-2</v>
      </c>
      <c r="AB45" s="26">
        <f t="shared" si="305"/>
        <v>4.407409917576291E-2</v>
      </c>
      <c r="AC45" s="26">
        <f t="shared" si="305"/>
        <v>6.9218889192436073E-2</v>
      </c>
      <c r="AD45" s="26">
        <f t="shared" si="305"/>
        <v>6.6425580732667869E-2</v>
      </c>
      <c r="AE45" s="26">
        <f t="shared" si="305"/>
        <v>8.1267427560558325E-2</v>
      </c>
      <c r="AF45" s="26">
        <f t="shared" si="305"/>
        <v>4.7112953240559433E-2</v>
      </c>
      <c r="AG45" s="26">
        <f t="shared" si="305"/>
        <v>9.6278893160567699E-3</v>
      </c>
      <c r="AH45" s="26">
        <f t="shared" si="305"/>
        <v>5.9718521247579572E-2</v>
      </c>
      <c r="AI45" s="26">
        <f t="shared" si="305"/>
        <v>5.7475886214128108E-2</v>
      </c>
      <c r="AJ45" s="26">
        <f t="shared" si="305"/>
        <v>3.9017303832055705E-2</v>
      </c>
      <c r="AK45" s="26">
        <f t="shared" ref="AK45:AP45" si="308">-AK69/AK7</f>
        <v>-0.11326409460314046</v>
      </c>
      <c r="AL45" s="26">
        <f t="shared" si="308"/>
        <v>4.8921378554726412E-2</v>
      </c>
      <c r="AM45" s="26">
        <f t="shared" si="308"/>
        <v>0.1301356441415015</v>
      </c>
      <c r="AN45" s="26">
        <f t="shared" si="308"/>
        <v>3.0490655519248813E-2</v>
      </c>
      <c r="AO45" s="26">
        <f t="shared" si="308"/>
        <v>3.5302283256827549E-2</v>
      </c>
      <c r="AP45" s="26">
        <f t="shared" si="308"/>
        <v>3.4708513705333142E-2</v>
      </c>
      <c r="AQ45" s="26">
        <f t="shared" ref="AQ45:AX45" si="309">-AQ69/AQ7</f>
        <v>4.3363489684428304E-2</v>
      </c>
      <c r="AR45" s="26">
        <f t="shared" si="309"/>
        <v>2.9217279476445347E-2</v>
      </c>
      <c r="AS45" s="26">
        <f t="shared" si="309"/>
        <v>3.6111724284253591E-2</v>
      </c>
      <c r="AT45" s="26">
        <f t="shared" si="309"/>
        <v>5.2565728398521666E-2</v>
      </c>
      <c r="AU45" s="26">
        <f t="shared" si="309"/>
        <v>5.4034305065232907E-2</v>
      </c>
      <c r="AV45" s="26">
        <f t="shared" si="309"/>
        <v>4.0382035445906017E-2</v>
      </c>
      <c r="AW45" s="26">
        <f t="shared" si="309"/>
        <v>4.9170485107770841E-2</v>
      </c>
      <c r="AX45" s="26">
        <f t="shared" si="309"/>
        <v>4.174792820961902E-2</v>
      </c>
      <c r="AY45" s="26">
        <f t="shared" ref="AY45:BB45" si="310">-AY69/AY7</f>
        <v>6.6412910568499364E-2</v>
      </c>
      <c r="AZ45" s="26">
        <f t="shared" si="310"/>
        <v>4.0776588567662843E-2</v>
      </c>
      <c r="BA45" s="26">
        <f t="shared" si="310"/>
        <v>5.1634863047309944E-2</v>
      </c>
      <c r="BB45" s="26">
        <f t="shared" si="310"/>
        <v>5.6495101984617296E-2</v>
      </c>
      <c r="BC45" s="26">
        <f t="shared" ref="BC45:BF45" si="311">-BC69/BC7</f>
        <v>6.4631261771607051E-2</v>
      </c>
      <c r="BD45" s="26">
        <f t="shared" si="311"/>
        <v>3.0164352341851376E-2</v>
      </c>
      <c r="BE45" s="26">
        <f t="shared" si="311"/>
        <v>3.1768252794710551E-2</v>
      </c>
      <c r="BF45" s="26">
        <f t="shared" si="311"/>
        <v>2.7467832982623303E-2</v>
      </c>
      <c r="BG45" s="26">
        <f t="shared" ref="BG45:BH45" si="312">-BG69/BG7</f>
        <v>4.3441758026225852E-2</v>
      </c>
      <c r="BH45" s="26">
        <f t="shared" si="312"/>
        <v>2.1472303113001998E-2</v>
      </c>
      <c r="BJ45" s="26">
        <f t="shared" ref="BJ45:BL45" si="313">-BJ69/BJ7</f>
        <v>3.7907583030331989E-2</v>
      </c>
      <c r="BK45" s="26">
        <f t="shared" si="313"/>
        <v>3.5197535800451568E-2</v>
      </c>
      <c r="BL45" s="26">
        <f t="shared" si="313"/>
        <v>5.0313364680324976E-2</v>
      </c>
      <c r="BM45" s="26">
        <f t="shared" ref="BM45:BN45" si="314">-BM69/BM7</f>
        <v>6.5748989456925921E-2</v>
      </c>
      <c r="BN45" s="26">
        <f t="shared" si="314"/>
        <v>4.0776608947008727E-2</v>
      </c>
      <c r="BO45" s="26">
        <f t="shared" ref="BO45:BR45" si="315">-BO69/BO7</f>
        <v>5.0978573446079666E-2</v>
      </c>
      <c r="BP45" s="26">
        <f t="shared" si="315"/>
        <v>5.2867744054309058E-2</v>
      </c>
      <c r="BQ45" s="26">
        <f t="shared" si="315"/>
        <v>6.4172770925367897E-2</v>
      </c>
      <c r="BR45" s="26">
        <f t="shared" si="315"/>
        <v>2.9794666477531484E-2</v>
      </c>
      <c r="BT45" s="26">
        <f t="shared" ref="BT45:BU45" si="316">-BT69/BT7</f>
        <v>0</v>
      </c>
      <c r="BU45" s="26">
        <f t="shared" si="316"/>
        <v>0</v>
      </c>
      <c r="BW45" s="26">
        <f t="shared" ref="BW45:BX45" si="317">-BW69/BW7</f>
        <v>0</v>
      </c>
      <c r="BX45" s="26">
        <f t="shared" si="317"/>
        <v>0</v>
      </c>
    </row>
    <row r="46" spans="2:76" s="39" customFormat="1" ht="13.5" customHeight="1">
      <c r="B46" s="20" t="s">
        <v>281</v>
      </c>
      <c r="C46" s="26">
        <f t="shared" ref="C46:AF46" si="318">C50/C7</f>
        <v>2.8181322520086049E-2</v>
      </c>
      <c r="D46" s="26">
        <f t="shared" si="318"/>
        <v>2.65959579559653E-2</v>
      </c>
      <c r="E46" s="26">
        <f t="shared" si="318"/>
        <v>2.7748398811841719E-2</v>
      </c>
      <c r="F46" s="26">
        <f t="shared" si="318"/>
        <v>2.6816965508644104E-2</v>
      </c>
      <c r="G46" s="26">
        <f t="shared" si="318"/>
        <v>2.6138937059476997E-2</v>
      </c>
      <c r="H46" s="26">
        <f t="shared" ref="H46:J46" si="319">H50/H7</f>
        <v>3.3472625329846274E-2</v>
      </c>
      <c r="I46" s="26">
        <f t="shared" si="319"/>
        <v>3.0376133497933073E-2</v>
      </c>
      <c r="J46" s="26">
        <f t="shared" si="319"/>
        <v>2.7386308110163023E-2</v>
      </c>
      <c r="K46" s="26">
        <f t="shared" ref="K46" si="320">K50/K7</f>
        <v>2.4915045686866977E-2</v>
      </c>
      <c r="L46" s="26">
        <f t="shared" ref="L46:M46" si="321">L50/L7</f>
        <v>3.1485235777778793E-2</v>
      </c>
      <c r="M46" s="26">
        <f t="shared" si="321"/>
        <v>3.4154870847677557E-2</v>
      </c>
      <c r="N46" s="26">
        <f t="shared" ref="N46" si="322">N50/N7</f>
        <v>3.4154869024482837E-2</v>
      </c>
      <c r="O46" s="26">
        <f t="shared" ref="O46:P46" si="323">O50/O7</f>
        <v>3.8840809754098551E-2</v>
      </c>
      <c r="P46" s="26">
        <f t="shared" si="323"/>
        <v>3.8618742390340854E-2</v>
      </c>
      <c r="Q46" s="26">
        <f t="shared" ref="Q46" si="324">Q50/Q7</f>
        <v>4.437846967935067E-2</v>
      </c>
      <c r="R46" s="26">
        <f t="shared" ref="R46" si="325">R50/R7</f>
        <v>4.4171066531741021E-2</v>
      </c>
      <c r="S46" s="145"/>
      <c r="T46" s="26">
        <f t="shared" si="318"/>
        <v>2.8126274823533946E-2</v>
      </c>
      <c r="U46" s="26">
        <f t="shared" si="318"/>
        <v>2.8266805672151122E-2</v>
      </c>
      <c r="V46" s="26">
        <f t="shared" si="318"/>
        <v>2.7199737071412444E-2</v>
      </c>
      <c r="W46" s="26">
        <f t="shared" si="318"/>
        <v>2.7495349573535059E-2</v>
      </c>
      <c r="X46" s="26">
        <f t="shared" si="318"/>
        <v>2.8958921975360007E-2</v>
      </c>
      <c r="Y46" s="26">
        <f t="shared" si="318"/>
        <v>2.7181368708676039E-2</v>
      </c>
      <c r="Z46" s="26">
        <f t="shared" si="318"/>
        <v>2.5736771570020644E-2</v>
      </c>
      <c r="AA46" s="26">
        <f t="shared" si="318"/>
        <v>2.5783816525029816E-2</v>
      </c>
      <c r="AB46" s="26">
        <f t="shared" si="318"/>
        <v>2.8910961266649729E-2</v>
      </c>
      <c r="AC46" s="26">
        <f t="shared" si="318"/>
        <v>2.5222158902180977E-2</v>
      </c>
      <c r="AD46" s="26">
        <f t="shared" si="318"/>
        <v>2.447631636701143E-2</v>
      </c>
      <c r="AE46" s="26">
        <f t="shared" si="318"/>
        <v>2.669503721341383E-2</v>
      </c>
      <c r="AF46" s="26">
        <f t="shared" si="318"/>
        <v>3.6570017169994827E-2</v>
      </c>
      <c r="AG46" s="26">
        <f t="shared" ref="AG46:AL46" si="326">AG50/AG7</f>
        <v>3.1001115382789879E-2</v>
      </c>
      <c r="AH46" s="26">
        <f t="shared" si="326"/>
        <v>3.3129471664335629E-2</v>
      </c>
      <c r="AI46" s="26">
        <f t="shared" si="326"/>
        <v>3.374513585538718E-2</v>
      </c>
      <c r="AJ46" s="26">
        <f t="shared" si="326"/>
        <v>3.6805403211935636E-2</v>
      </c>
      <c r="AK46" s="26">
        <f t="shared" si="326"/>
        <v>3.8550309883813201E-2</v>
      </c>
      <c r="AL46" s="26">
        <f t="shared" si="326"/>
        <v>2.7092796164901525E-2</v>
      </c>
      <c r="AM46" s="26">
        <f t="shared" ref="AM46:AR46" si="327">AM50/AM7</f>
        <v>2.476941500843928E-2</v>
      </c>
      <c r="AN46" s="26">
        <f t="shared" si="327"/>
        <v>2.6961800284569695E-2</v>
      </c>
      <c r="AO46" s="26">
        <f t="shared" si="327"/>
        <v>2.6571074692106608E-2</v>
      </c>
      <c r="AP46" s="26">
        <f t="shared" si="327"/>
        <v>2.5718273630568753E-2</v>
      </c>
      <c r="AQ46" s="26">
        <f t="shared" si="327"/>
        <v>2.9501527386624586E-2</v>
      </c>
      <c r="AR46" s="26">
        <f t="shared" si="327"/>
        <v>2.547134422734804E-2</v>
      </c>
      <c r="AS46" s="26">
        <f t="shared" ref="AS46:AU46" si="328">AS50/AS7</f>
        <v>2.4369352841742544E-2</v>
      </c>
      <c r="AT46" s="26">
        <f t="shared" si="328"/>
        <v>2.5879852632931053E-2</v>
      </c>
      <c r="AU46" s="26">
        <f t="shared" si="328"/>
        <v>2.412180788469449E-2</v>
      </c>
      <c r="AV46" s="26">
        <f t="shared" ref="AV46:AX46" si="329">AV50/AV7</f>
        <v>2.5273757784796451E-2</v>
      </c>
      <c r="AW46" s="26">
        <f t="shared" si="329"/>
        <v>2.3464663339953555E-2</v>
      </c>
      <c r="AX46" s="26">
        <f t="shared" si="329"/>
        <v>2.3232414686051018E-2</v>
      </c>
      <c r="AY46" s="26">
        <f t="shared" ref="AY46:BB46" si="330">AY50/AY7</f>
        <v>4.7471192680584737E-2</v>
      </c>
      <c r="AZ46" s="26">
        <f t="shared" si="330"/>
        <v>3.5647276122693625E-2</v>
      </c>
      <c r="BA46" s="26">
        <f t="shared" si="330"/>
        <v>3.8198748133939919E-2</v>
      </c>
      <c r="BB46" s="26">
        <f t="shared" si="330"/>
        <v>4.0944685589902878E-2</v>
      </c>
      <c r="BC46" s="26">
        <f t="shared" ref="BC46:BF46" si="331">BC50/BC7</f>
        <v>3.9338277412475559E-2</v>
      </c>
      <c r="BD46" s="26">
        <f t="shared" si="331"/>
        <v>4.3991218211991784E-2</v>
      </c>
      <c r="BE46" s="26">
        <f t="shared" si="331"/>
        <v>4.4798449867386882E-2</v>
      </c>
      <c r="BF46" s="26">
        <f t="shared" si="331"/>
        <v>5.3956330715263782E-2</v>
      </c>
      <c r="BG46" s="26">
        <f t="shared" ref="BG46:BH46" si="332">BG50/BG7</f>
        <v>3.7274379447051892E-2</v>
      </c>
      <c r="BH46" s="26">
        <f t="shared" si="332"/>
        <v>4.3186278092061145E-2</v>
      </c>
      <c r="BJ46" s="26">
        <f t="shared" ref="BJ46:BL46" si="333">BJ50/BJ7</f>
        <v>3.7622193495583482E-2</v>
      </c>
      <c r="BK46" s="26">
        <f t="shared" si="333"/>
        <v>3.4263966137844493E-2</v>
      </c>
      <c r="BL46" s="26">
        <f t="shared" si="333"/>
        <v>3.2299190006454807E-2</v>
      </c>
      <c r="BM46" s="26">
        <f t="shared" ref="BM46:BN46" si="334">BM50/BM7</f>
        <v>3.3554783852895786E-2</v>
      </c>
      <c r="BN46" s="26">
        <f t="shared" si="334"/>
        <v>3.5647274906334916E-2</v>
      </c>
      <c r="BO46" s="26">
        <f t="shared" ref="BO46:BR46" si="335">BO50/BO7</f>
        <v>3.8198746696539172E-2</v>
      </c>
      <c r="BP46" s="26">
        <f t="shared" si="335"/>
        <v>4.669478160067024E-2</v>
      </c>
      <c r="BQ46" s="26">
        <f t="shared" si="335"/>
        <v>3.4365439160898285E-2</v>
      </c>
      <c r="BR46" s="26">
        <f t="shared" si="335"/>
        <v>4.3257914839531737E-2</v>
      </c>
      <c r="BT46" s="26">
        <f t="shared" ref="BT46:BU46" si="336">BT50/BT7</f>
        <v>3.8231989910035936E-2</v>
      </c>
      <c r="BU46" s="26">
        <f t="shared" si="336"/>
        <v>4.4695807741709975E-2</v>
      </c>
      <c r="BW46" s="26">
        <f t="shared" ref="BW46:BX46" si="337">BW50/BW7</f>
        <v>3.9594371198730882E-2</v>
      </c>
      <c r="BX46" s="26">
        <f t="shared" si="337"/>
        <v>4.3546496632055141E-2</v>
      </c>
    </row>
    <row r="47" spans="2:76" s="39" customFormat="1" ht="13.5" customHeight="1"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S47" s="145"/>
    </row>
    <row r="48" spans="2:76" ht="13.5" customHeight="1">
      <c r="B48" s="16" t="s">
        <v>282</v>
      </c>
      <c r="C48" s="38">
        <f t="shared" ref="C48:H48" si="338">C3</f>
        <v>41975</v>
      </c>
      <c r="D48" s="38">
        <f t="shared" si="338"/>
        <v>42341</v>
      </c>
      <c r="E48" s="38">
        <f t="shared" si="338"/>
        <v>42735</v>
      </c>
      <c r="F48" s="38">
        <f t="shared" si="338"/>
        <v>43100</v>
      </c>
      <c r="G48" s="38">
        <f t="shared" si="338"/>
        <v>43465</v>
      </c>
      <c r="H48" s="38">
        <f t="shared" si="338"/>
        <v>43830</v>
      </c>
      <c r="I48" s="38">
        <f>I3</f>
        <v>44196</v>
      </c>
      <c r="J48" s="38">
        <f>J3</f>
        <v>44561</v>
      </c>
      <c r="K48" s="38">
        <f t="shared" ref="K48" si="339">K3</f>
        <v>44926</v>
      </c>
      <c r="L48" s="38">
        <f t="shared" ref="L48:Q48" si="340">L3</f>
        <v>44926</v>
      </c>
      <c r="M48" s="38">
        <f t="shared" si="340"/>
        <v>45291</v>
      </c>
      <c r="N48" s="38">
        <f t="shared" si="340"/>
        <v>45291</v>
      </c>
      <c r="O48" s="38">
        <f t="shared" si="340"/>
        <v>45657</v>
      </c>
      <c r="P48" s="38">
        <f t="shared" si="340"/>
        <v>45657</v>
      </c>
      <c r="Q48" s="38">
        <f t="shared" si="340"/>
        <v>46022</v>
      </c>
      <c r="R48" s="83" t="s">
        <v>241</v>
      </c>
      <c r="S48" s="223"/>
      <c r="T48" s="38">
        <f t="shared" ref="T48:AF48" si="341">T3</f>
        <v>42437</v>
      </c>
      <c r="U48" s="38">
        <f t="shared" si="341"/>
        <v>42527</v>
      </c>
      <c r="V48" s="38">
        <f t="shared" si="341"/>
        <v>42622</v>
      </c>
      <c r="W48" s="38">
        <f t="shared" si="341"/>
        <v>42714</v>
      </c>
      <c r="X48" s="38">
        <f t="shared" si="341"/>
        <v>42825</v>
      </c>
      <c r="Y48" s="38">
        <f t="shared" si="341"/>
        <v>42916</v>
      </c>
      <c r="Z48" s="38">
        <f t="shared" si="341"/>
        <v>43008</v>
      </c>
      <c r="AA48" s="38">
        <f t="shared" si="341"/>
        <v>43100</v>
      </c>
      <c r="AB48" s="38">
        <f t="shared" si="341"/>
        <v>43190</v>
      </c>
      <c r="AC48" s="38">
        <f t="shared" si="341"/>
        <v>43281</v>
      </c>
      <c r="AD48" s="38">
        <f t="shared" si="341"/>
        <v>43373</v>
      </c>
      <c r="AE48" s="38">
        <f t="shared" si="341"/>
        <v>43465</v>
      </c>
      <c r="AF48" s="38">
        <f t="shared" si="341"/>
        <v>43555</v>
      </c>
      <c r="AG48" s="38">
        <f t="shared" ref="AG48:AL48" si="342">AG3</f>
        <v>43646</v>
      </c>
      <c r="AH48" s="38">
        <f t="shared" si="342"/>
        <v>43738</v>
      </c>
      <c r="AI48" s="38">
        <f t="shared" si="342"/>
        <v>43830</v>
      </c>
      <c r="AJ48" s="38">
        <f t="shared" si="342"/>
        <v>43921</v>
      </c>
      <c r="AK48" s="38">
        <f t="shared" si="342"/>
        <v>44012</v>
      </c>
      <c r="AL48" s="38">
        <f t="shared" si="342"/>
        <v>44104</v>
      </c>
      <c r="AM48" s="226">
        <f t="shared" ref="AM48:AR48" si="343">AM3</f>
        <v>44196</v>
      </c>
      <c r="AN48" s="38">
        <f t="shared" si="343"/>
        <v>44286</v>
      </c>
      <c r="AO48" s="38">
        <f t="shared" si="343"/>
        <v>44377</v>
      </c>
      <c r="AP48" s="38">
        <f t="shared" si="343"/>
        <v>44469</v>
      </c>
      <c r="AQ48" s="226">
        <f t="shared" si="343"/>
        <v>44561</v>
      </c>
      <c r="AR48" s="38">
        <f t="shared" si="343"/>
        <v>44651</v>
      </c>
      <c r="AS48" s="38">
        <f t="shared" ref="AS48:AV48" si="344">AS3</f>
        <v>44742</v>
      </c>
      <c r="AT48" s="38">
        <f t="shared" si="344"/>
        <v>44834</v>
      </c>
      <c r="AU48" s="226">
        <f t="shared" si="344"/>
        <v>44926</v>
      </c>
      <c r="AV48" s="38">
        <f t="shared" si="344"/>
        <v>45016</v>
      </c>
      <c r="AW48" s="38">
        <f t="shared" ref="AW48:AZ48" si="345">AW3</f>
        <v>45107</v>
      </c>
      <c r="AX48" s="38">
        <f t="shared" si="345"/>
        <v>45199</v>
      </c>
      <c r="AY48" s="38">
        <f t="shared" si="345"/>
        <v>45291</v>
      </c>
      <c r="AZ48" s="38">
        <f t="shared" si="345"/>
        <v>45382</v>
      </c>
      <c r="BA48" s="38">
        <f t="shared" ref="BA48:BD48" si="346">BA3</f>
        <v>45473</v>
      </c>
      <c r="BB48" s="38">
        <f t="shared" si="346"/>
        <v>45565</v>
      </c>
      <c r="BC48" s="38">
        <f t="shared" si="346"/>
        <v>45657</v>
      </c>
      <c r="BD48" s="38">
        <f t="shared" si="346"/>
        <v>45747</v>
      </c>
      <c r="BE48" s="38">
        <f t="shared" ref="BE48:BH48" si="347">BE3</f>
        <v>45838</v>
      </c>
      <c r="BF48" s="38">
        <f t="shared" si="347"/>
        <v>45930</v>
      </c>
      <c r="BG48" s="38">
        <f t="shared" si="347"/>
        <v>46022</v>
      </c>
      <c r="BH48" s="38">
        <f t="shared" si="347"/>
        <v>46112</v>
      </c>
      <c r="BJ48" s="38">
        <f t="shared" ref="BJ48:BL48" si="348">BJ3</f>
        <v>45016</v>
      </c>
      <c r="BK48" s="38">
        <f t="shared" si="348"/>
        <v>45107</v>
      </c>
      <c r="BL48" s="38">
        <f t="shared" si="348"/>
        <v>45199</v>
      </c>
      <c r="BM48" s="38">
        <f t="shared" ref="BM48:BN48" si="349">BM3</f>
        <v>45291</v>
      </c>
      <c r="BN48" s="38">
        <f t="shared" si="349"/>
        <v>45382</v>
      </c>
      <c r="BO48" s="38">
        <f t="shared" ref="BO48:BR48" si="350">BO3</f>
        <v>45473</v>
      </c>
      <c r="BP48" s="38">
        <f t="shared" si="350"/>
        <v>45565</v>
      </c>
      <c r="BQ48" s="38">
        <f t="shared" si="350"/>
        <v>45657</v>
      </c>
      <c r="BR48" s="38">
        <f t="shared" si="350"/>
        <v>45747</v>
      </c>
      <c r="BS48" s="39"/>
      <c r="BT48" s="38">
        <f t="shared" ref="BT48:BU48" si="351">BT3</f>
        <v>45565</v>
      </c>
      <c r="BU48" s="38">
        <f t="shared" si="351"/>
        <v>45930</v>
      </c>
      <c r="BW48" s="38" t="e">
        <f>KPIS!#REF!</f>
        <v>#REF!</v>
      </c>
      <c r="BX48" s="38" t="e">
        <f>KPIS!#REF!</f>
        <v>#REF!</v>
      </c>
    </row>
    <row r="49" spans="2:77" s="5" customFormat="1" ht="13.5" customHeight="1">
      <c r="B49" s="15" t="s">
        <v>283</v>
      </c>
      <c r="C49" s="8">
        <f t="shared" ref="C49:AB49" si="352">C17</f>
        <v>968.78900000000067</v>
      </c>
      <c r="D49" s="8">
        <f t="shared" si="352"/>
        <v>1282.7569999999996</v>
      </c>
      <c r="E49" s="8">
        <f t="shared" si="352"/>
        <v>1498.0710000000008</v>
      </c>
      <c r="F49" s="8">
        <f t="shared" si="352"/>
        <v>1711.8310000000001</v>
      </c>
      <c r="G49" s="8">
        <f t="shared" si="352"/>
        <v>2637.3219999999992</v>
      </c>
      <c r="H49" s="8">
        <f t="shared" ref="H49:K49" si="353">H17</f>
        <v>2653.7579999999998</v>
      </c>
      <c r="I49" s="8">
        <f t="shared" si="353"/>
        <v>4852.2960000000003</v>
      </c>
      <c r="J49" s="8">
        <f t="shared" si="353"/>
        <v>7020.1440000000093</v>
      </c>
      <c r="K49" s="8">
        <f t="shared" si="353"/>
        <v>9090.1970000000074</v>
      </c>
      <c r="L49" s="8">
        <f t="shared" ref="L49:M49" si="354">L17</f>
        <v>9401.432000000008</v>
      </c>
      <c r="M49" s="8">
        <f t="shared" si="354"/>
        <v>10157.656999999985</v>
      </c>
      <c r="N49" s="8">
        <f t="shared" ref="N49" si="355">N17</f>
        <v>14665.503999999957</v>
      </c>
      <c r="O49" s="8">
        <f t="shared" ref="O49:P49" si="356">O17</f>
        <v>7122.4260000000213</v>
      </c>
      <c r="P49" s="8">
        <f t="shared" si="356"/>
        <v>9322.710000000021</v>
      </c>
      <c r="Q49" s="8">
        <f t="shared" ref="Q49" si="357">Q17</f>
        <v>10494.105999999971</v>
      </c>
      <c r="R49" s="8">
        <f t="shared" ref="R49" si="358">R17</f>
        <v>8223.5599999999686</v>
      </c>
      <c r="S49" s="8"/>
      <c r="T49" s="8">
        <f t="shared" si="352"/>
        <v>290.57599999999991</v>
      </c>
      <c r="U49" s="8">
        <f t="shared" si="352"/>
        <v>310.78400000000011</v>
      </c>
      <c r="V49" s="8">
        <f t="shared" si="352"/>
        <v>437.54699999999968</v>
      </c>
      <c r="W49" s="8">
        <f t="shared" si="352"/>
        <v>459.16400000000124</v>
      </c>
      <c r="X49" s="8">
        <f t="shared" si="352"/>
        <v>423.6400000000001</v>
      </c>
      <c r="Y49" s="8">
        <f t="shared" si="352"/>
        <v>355.66099999999983</v>
      </c>
      <c r="Z49" s="8">
        <f t="shared" si="352"/>
        <v>503.42299999999955</v>
      </c>
      <c r="AA49" s="8">
        <f t="shared" si="352"/>
        <v>429.10700000000224</v>
      </c>
      <c r="AB49" s="8">
        <f t="shared" si="352"/>
        <v>504.42700000000013</v>
      </c>
      <c r="AC49" s="8">
        <f t="shared" ref="AC49:AH49" si="359">AC17</f>
        <v>606.93800000000056</v>
      </c>
      <c r="AD49" s="8">
        <f t="shared" si="359"/>
        <v>1383.6640000000007</v>
      </c>
      <c r="AE49" s="8">
        <f t="shared" si="359"/>
        <v>142.29299999999648</v>
      </c>
      <c r="AF49" s="8">
        <f t="shared" si="359"/>
        <v>639.93900000000008</v>
      </c>
      <c r="AG49" s="8">
        <f t="shared" si="359"/>
        <v>663.77100000000019</v>
      </c>
      <c r="AH49" s="8">
        <f t="shared" si="359"/>
        <v>718.55399999999963</v>
      </c>
      <c r="AI49" s="8">
        <f t="shared" ref="AI49:AN49" si="360">AI17</f>
        <v>631.49400000000242</v>
      </c>
      <c r="AJ49" s="8">
        <f t="shared" si="360"/>
        <v>773.02400000000011</v>
      </c>
      <c r="AK49" s="8">
        <f t="shared" si="360"/>
        <v>712.2379999999996</v>
      </c>
      <c r="AL49" s="8">
        <f t="shared" si="360"/>
        <v>1874.1170000000002</v>
      </c>
      <c r="AM49" s="8">
        <f t="shared" si="360"/>
        <v>1492.9170000000026</v>
      </c>
      <c r="AN49" s="8">
        <f t="shared" si="360"/>
        <v>1678.1240000000007</v>
      </c>
      <c r="AO49" s="8">
        <f t="shared" ref="AO49:AT49" si="361">AO17</f>
        <v>1067.1670000000013</v>
      </c>
      <c r="AP49" s="8">
        <f t="shared" si="361"/>
        <v>1265.1099999999992</v>
      </c>
      <c r="AQ49" s="8">
        <f t="shared" si="361"/>
        <v>3009.7430000000109</v>
      </c>
      <c r="AR49" s="8">
        <f t="shared" si="361"/>
        <v>2721.8920000000016</v>
      </c>
      <c r="AS49" s="8">
        <f t="shared" si="361"/>
        <v>1920.0150000000012</v>
      </c>
      <c r="AT49" s="8">
        <f t="shared" si="361"/>
        <v>1833.5429999999978</v>
      </c>
      <c r="AU49" s="8">
        <f t="shared" ref="AU49" si="362">AU17</f>
        <v>2614.7470000000139</v>
      </c>
      <c r="AV49" s="8">
        <f t="shared" ref="AV49:AY49" si="363">AV17</f>
        <v>2200.9800000000014</v>
      </c>
      <c r="AW49" s="8">
        <f t="shared" si="363"/>
        <v>3635.84</v>
      </c>
      <c r="AX49" s="8">
        <f t="shared" si="363"/>
        <v>3983.5149999999994</v>
      </c>
      <c r="AY49" s="8">
        <f t="shared" si="363"/>
        <v>337.32200000000739</v>
      </c>
      <c r="AZ49" s="8">
        <f t="shared" ref="AZ49:BC49" si="364">AZ17</f>
        <v>2764.6409999999923</v>
      </c>
      <c r="BA49" s="8">
        <f t="shared" si="364"/>
        <v>109.25300000000061</v>
      </c>
      <c r="BB49" s="8">
        <f t="shared" si="364"/>
        <v>-1927.9759999999987</v>
      </c>
      <c r="BC49" s="8">
        <f t="shared" si="364"/>
        <v>6176.5080000000235</v>
      </c>
      <c r="BD49" s="8">
        <f t="shared" ref="BD49:BG49" si="365">BD17</f>
        <v>2504.9199999999983</v>
      </c>
      <c r="BE49" s="8">
        <f t="shared" si="365"/>
        <v>2641.0279999999984</v>
      </c>
      <c r="BF49" s="8">
        <f t="shared" si="365"/>
        <v>2229.9040000000023</v>
      </c>
      <c r="BG49" s="8">
        <f t="shared" si="365"/>
        <v>3118.2540000000299</v>
      </c>
      <c r="BH49" s="8">
        <f t="shared" ref="BH49" si="366">BH17</f>
        <v>234.37399999998888</v>
      </c>
      <c r="BJ49" s="8">
        <f t="shared" ref="BJ49:BL49" si="367">BJ17</f>
        <v>1641.1050000000032</v>
      </c>
      <c r="BK49" s="8">
        <f t="shared" si="367"/>
        <v>5158.8799999999974</v>
      </c>
      <c r="BL49" s="8">
        <f t="shared" si="367"/>
        <v>2685.9440000000068</v>
      </c>
      <c r="BM49" s="8">
        <f t="shared" ref="BM49:BN49" si="368">BM17</f>
        <v>5179.5749999999425</v>
      </c>
      <c r="BN49" s="8">
        <f t="shared" si="368"/>
        <v>3818.0720000000038</v>
      </c>
      <c r="BO49" s="8">
        <f t="shared" ref="BO49:BR49" si="369">BO17</f>
        <v>20008.989000000001</v>
      </c>
      <c r="BP49" s="8">
        <f t="shared" si="369"/>
        <v>-2569.8799999999974</v>
      </c>
      <c r="BQ49" s="8">
        <f t="shared" si="369"/>
        <v>-11934.471000000005</v>
      </c>
      <c r="BR49" s="8">
        <f t="shared" si="369"/>
        <v>3278.0780000000159</v>
      </c>
      <c r="BS49" s="39"/>
      <c r="BT49" s="8">
        <f t="shared" ref="BT49:BU49" si="370">BT17</f>
        <v>23291.805999999997</v>
      </c>
      <c r="BU49" s="8">
        <f t="shared" si="370"/>
        <v>7923.7780000000057</v>
      </c>
      <c r="BW49" s="8">
        <f t="shared" ref="BW49:BX49" si="371">BW17</f>
        <v>-13969.09600000002</v>
      </c>
      <c r="BX49" s="8">
        <f t="shared" si="371"/>
        <v>2570.3279999999868</v>
      </c>
    </row>
    <row r="50" spans="2:77" ht="13.5" customHeight="1">
      <c r="B50" s="7" t="s">
        <v>284</v>
      </c>
      <c r="C50" s="71">
        <v>352.66199999999998</v>
      </c>
      <c r="D50" s="71">
        <v>376.76100000000002</v>
      </c>
      <c r="E50" s="71">
        <v>446.64299999999997</v>
      </c>
      <c r="F50" s="71">
        <v>558.88199999999995</v>
      </c>
      <c r="G50" s="71">
        <v>703.25199999999995</v>
      </c>
      <c r="H50" s="71">
        <v>1069.175</v>
      </c>
      <c r="I50" s="71">
        <v>1241.548</v>
      </c>
      <c r="J50" s="71">
        <v>1867.32</v>
      </c>
      <c r="K50" s="71">
        <v>3336.511</v>
      </c>
      <c r="L50" s="71">
        <f>8097.122</f>
        <v>8097.1220000000003</v>
      </c>
      <c r="M50" s="71">
        <f>8781.345</f>
        <v>8781.3449999999993</v>
      </c>
      <c r="N50" s="71">
        <v>12678.398999999999</v>
      </c>
      <c r="O50" s="71">
        <v>16645.16</v>
      </c>
      <c r="P50" s="71">
        <v>21662.671999999999</v>
      </c>
      <c r="Q50" s="71">
        <v>23251.359</v>
      </c>
      <c r="R50" s="6">
        <f>SUM(BE50:BH50)</f>
        <v>24077.09</v>
      </c>
      <c r="S50" s="6"/>
      <c r="T50" s="71">
        <v>99.213999999999999</v>
      </c>
      <c r="U50" s="71">
        <v>111.92400000000001</v>
      </c>
      <c r="V50" s="71">
        <v>111.063</v>
      </c>
      <c r="W50" s="6">
        <f>E50-SUM(T50:V50)</f>
        <v>124.44199999999995</v>
      </c>
      <c r="X50" s="71">
        <v>134.203</v>
      </c>
      <c r="Y50" s="71">
        <v>137.56700000000001</v>
      </c>
      <c r="Z50" s="71">
        <v>139.99799999999999</v>
      </c>
      <c r="AA50" s="6">
        <f>F50-SUM(X50:Z50)</f>
        <v>147.11399999999998</v>
      </c>
      <c r="AB50" s="71">
        <v>152.714</v>
      </c>
      <c r="AC50" s="71">
        <f>164.244</f>
        <v>164.244</v>
      </c>
      <c r="AD50" s="71">
        <v>188.37</v>
      </c>
      <c r="AE50" s="6">
        <f>G50-AB50-AC50-AD50</f>
        <v>197.92399999999998</v>
      </c>
      <c r="AF50" s="71">
        <v>252.41200000000001</v>
      </c>
      <c r="AG50" s="71">
        <v>261.26499999999999</v>
      </c>
      <c r="AH50" s="71">
        <v>273.18400000000003</v>
      </c>
      <c r="AI50" s="6">
        <f>H50-AF50-AG50-AH50</f>
        <v>282.31399999999991</v>
      </c>
      <c r="AJ50" s="71">
        <v>285.887</v>
      </c>
      <c r="AK50" s="71">
        <v>301.93099999999998</v>
      </c>
      <c r="AL50" s="71">
        <v>323.43799999999999</v>
      </c>
      <c r="AM50" s="6">
        <f>I50-AJ50-AK50-AL50</f>
        <v>330.29200000000003</v>
      </c>
      <c r="AN50" s="71">
        <v>350.06700000000001</v>
      </c>
      <c r="AO50" s="71">
        <v>386.19499999999999</v>
      </c>
      <c r="AP50" s="71">
        <v>466.72699999999998</v>
      </c>
      <c r="AQ50" s="6">
        <f>J50-AN50-AO50-AP50</f>
        <v>664.33100000000002</v>
      </c>
      <c r="AR50" s="71">
        <v>717.38499999999999</v>
      </c>
      <c r="AS50" s="71">
        <v>787.24300000000005</v>
      </c>
      <c r="AT50" s="71">
        <v>886.50400000000002</v>
      </c>
      <c r="AU50" s="6">
        <f>K50-AR50-AS50-AT50</f>
        <v>945.37900000000025</v>
      </c>
      <c r="AV50" s="71">
        <v>1008.205</v>
      </c>
      <c r="AW50" s="71">
        <v>1101.6199999999999</v>
      </c>
      <c r="AX50" s="71">
        <v>1352.5419999999999</v>
      </c>
      <c r="AY50" s="6">
        <f>M50-AV50-AW50-AX50</f>
        <v>5318.9779999999992</v>
      </c>
      <c r="AZ50" s="71">
        <v>2576.0590000000002</v>
      </c>
      <c r="BA50" s="71">
        <v>3880.395</v>
      </c>
      <c r="BB50" s="71">
        <v>4315.1909999999998</v>
      </c>
      <c r="BC50" s="6">
        <f>O50-AZ50-BA50-BB50</f>
        <v>5873.5149999999985</v>
      </c>
      <c r="BD50" s="71">
        <v>4800.2179999999998</v>
      </c>
      <c r="BE50" s="71">
        <v>5436.8990000000003</v>
      </c>
      <c r="BF50" s="71">
        <f>16951.747-BE50-BD50</f>
        <v>6714.6299999999983</v>
      </c>
      <c r="BG50" s="6">
        <f t="shared" ref="BG50" si="372">Q50-BD50-BE50-BF50</f>
        <v>6299.6120000000001</v>
      </c>
      <c r="BH50" s="71">
        <v>5625.9489999999996</v>
      </c>
      <c r="BJ50" s="71">
        <v>2594.761</v>
      </c>
      <c r="BK50" s="71">
        <v>2829.2179999999998</v>
      </c>
      <c r="BL50" s="71">
        <v>2992.48</v>
      </c>
      <c r="BM50" s="6">
        <f>N50-SUM(BJ50:BL50)</f>
        <v>4261.9400000000005</v>
      </c>
      <c r="BN50" s="71">
        <v>3557.636</v>
      </c>
      <c r="BO50" s="71">
        <v>5240.4219999999996</v>
      </c>
      <c r="BP50" s="71">
        <f>15357.72-BO50-BN50</f>
        <v>6559.6619999999984</v>
      </c>
      <c r="BQ50" s="6">
        <f>P50-SUM(BN50:BP50)</f>
        <v>6304.9520000000011</v>
      </c>
      <c r="BR50" s="71">
        <v>6177.1149999999998</v>
      </c>
      <c r="BT50" s="71">
        <v>15357.72</v>
      </c>
      <c r="BU50" s="71">
        <v>16951.746999999999</v>
      </c>
      <c r="BW50" s="6">
        <f>P50-BT50</f>
        <v>6304.9519999999993</v>
      </c>
      <c r="BX50" s="6">
        <f>Q50-BU50</f>
        <v>6299.612000000001</v>
      </c>
    </row>
    <row r="51" spans="2:77" s="5" customFormat="1" ht="13.5" customHeight="1">
      <c r="B51" s="5" t="s">
        <v>282</v>
      </c>
      <c r="C51" s="8">
        <f t="shared" ref="C51:AB51" si="373">SUM(C49:C50)</f>
        <v>1321.4510000000007</v>
      </c>
      <c r="D51" s="8">
        <f t="shared" si="373"/>
        <v>1659.5179999999996</v>
      </c>
      <c r="E51" s="8">
        <f t="shared" si="373"/>
        <v>1944.7140000000009</v>
      </c>
      <c r="F51" s="8">
        <f t="shared" si="373"/>
        <v>2270.7130000000002</v>
      </c>
      <c r="G51" s="8">
        <f t="shared" si="373"/>
        <v>3340.5739999999992</v>
      </c>
      <c r="H51" s="8">
        <f t="shared" ref="H51:K51" si="374">SUM(H49:H50)</f>
        <v>3722.933</v>
      </c>
      <c r="I51" s="8">
        <f t="shared" si="374"/>
        <v>6093.8440000000001</v>
      </c>
      <c r="J51" s="8">
        <f t="shared" si="374"/>
        <v>8887.464000000009</v>
      </c>
      <c r="K51" s="8">
        <f t="shared" si="374"/>
        <v>12426.708000000008</v>
      </c>
      <c r="L51" s="8">
        <f t="shared" ref="L51:M51" si="375">SUM(L49:L50)</f>
        <v>17498.554000000007</v>
      </c>
      <c r="M51" s="8">
        <f t="shared" si="375"/>
        <v>18939.001999999986</v>
      </c>
      <c r="N51" s="8">
        <f t="shared" ref="N51" si="376">SUM(N49:N50)</f>
        <v>27343.902999999955</v>
      </c>
      <c r="O51" s="8">
        <f t="shared" ref="O51:P51" si="377">SUM(O49:O50)</f>
        <v>23767.586000000021</v>
      </c>
      <c r="P51" s="8">
        <f t="shared" si="377"/>
        <v>30985.38200000002</v>
      </c>
      <c r="Q51" s="8">
        <f t="shared" ref="Q51" si="378">SUM(Q49:Q50)</f>
        <v>33745.464999999967</v>
      </c>
      <c r="R51" s="8">
        <f t="shared" ref="R51" si="379">SUM(R49:R50)</f>
        <v>32300.649999999969</v>
      </c>
      <c r="S51" s="8"/>
      <c r="T51" s="8">
        <f t="shared" si="373"/>
        <v>389.78999999999991</v>
      </c>
      <c r="U51" s="8">
        <f t="shared" si="373"/>
        <v>422.70800000000008</v>
      </c>
      <c r="V51" s="8">
        <f t="shared" si="373"/>
        <v>548.60999999999967</v>
      </c>
      <c r="W51" s="8">
        <f t="shared" si="373"/>
        <v>583.60600000000113</v>
      </c>
      <c r="X51" s="8">
        <f t="shared" si="373"/>
        <v>557.84300000000007</v>
      </c>
      <c r="Y51" s="8">
        <f t="shared" si="373"/>
        <v>493.22799999999984</v>
      </c>
      <c r="Z51" s="8">
        <f t="shared" si="373"/>
        <v>643.42099999999959</v>
      </c>
      <c r="AA51" s="8">
        <f t="shared" si="373"/>
        <v>576.22100000000228</v>
      </c>
      <c r="AB51" s="8">
        <f t="shared" si="373"/>
        <v>657.14100000000008</v>
      </c>
      <c r="AC51" s="8">
        <f t="shared" ref="AC51:AH51" si="380">SUM(AC49:AC50)</f>
        <v>771.18200000000058</v>
      </c>
      <c r="AD51" s="8">
        <f t="shared" si="380"/>
        <v>1572.0340000000006</v>
      </c>
      <c r="AE51" s="8">
        <f t="shared" si="380"/>
        <v>340.21699999999646</v>
      </c>
      <c r="AF51" s="8">
        <f t="shared" si="380"/>
        <v>892.35100000000011</v>
      </c>
      <c r="AG51" s="8">
        <f t="shared" si="380"/>
        <v>925.03600000000017</v>
      </c>
      <c r="AH51" s="8">
        <f t="shared" si="380"/>
        <v>991.7379999999996</v>
      </c>
      <c r="AI51" s="8">
        <f t="shared" ref="AI51:AN51" si="381">SUM(AI49:AI50)</f>
        <v>913.80800000000227</v>
      </c>
      <c r="AJ51" s="8">
        <f t="shared" si="381"/>
        <v>1058.9110000000001</v>
      </c>
      <c r="AK51" s="8">
        <f t="shared" si="381"/>
        <v>1014.1689999999996</v>
      </c>
      <c r="AL51" s="8">
        <f t="shared" si="381"/>
        <v>2197.5550000000003</v>
      </c>
      <c r="AM51" s="8">
        <f t="shared" si="381"/>
        <v>1823.2090000000026</v>
      </c>
      <c r="AN51" s="8">
        <f t="shared" si="381"/>
        <v>2028.1910000000007</v>
      </c>
      <c r="AO51" s="8">
        <f t="shared" ref="AO51:AT51" si="382">SUM(AO49:AO50)</f>
        <v>1453.3620000000012</v>
      </c>
      <c r="AP51" s="8">
        <f t="shared" si="382"/>
        <v>1731.8369999999991</v>
      </c>
      <c r="AQ51" s="8">
        <f t="shared" si="382"/>
        <v>3674.074000000011</v>
      </c>
      <c r="AR51" s="8">
        <f t="shared" si="382"/>
        <v>3439.2770000000019</v>
      </c>
      <c r="AS51" s="8">
        <f t="shared" si="382"/>
        <v>2707.2580000000012</v>
      </c>
      <c r="AT51" s="8">
        <f t="shared" si="382"/>
        <v>2720.0469999999978</v>
      </c>
      <c r="AU51" s="8">
        <f t="shared" ref="AU51" si="383">SUM(AU49:AU50)</f>
        <v>3560.1260000000143</v>
      </c>
      <c r="AV51" s="8">
        <f t="shared" ref="AV51:AY51" si="384">SUM(AV49:AV50)</f>
        <v>3209.1850000000013</v>
      </c>
      <c r="AW51" s="8">
        <f t="shared" si="384"/>
        <v>4737.46</v>
      </c>
      <c r="AX51" s="8">
        <f t="shared" si="384"/>
        <v>5336.0569999999989</v>
      </c>
      <c r="AY51" s="8">
        <f t="shared" si="384"/>
        <v>5656.3000000000065</v>
      </c>
      <c r="AZ51" s="8">
        <f t="shared" ref="AZ51:BC51" si="385">SUM(AZ49:AZ50)</f>
        <v>5340.6999999999925</v>
      </c>
      <c r="BA51" s="8">
        <f t="shared" si="385"/>
        <v>3989.6480000000006</v>
      </c>
      <c r="BB51" s="8">
        <f t="shared" si="385"/>
        <v>2387.2150000000011</v>
      </c>
      <c r="BC51" s="8">
        <f t="shared" si="385"/>
        <v>12050.023000000023</v>
      </c>
      <c r="BD51" s="8">
        <f t="shared" ref="BD51:BG51" si="386">SUM(BD49:BD50)</f>
        <v>7305.1379999999981</v>
      </c>
      <c r="BE51" s="8">
        <f t="shared" si="386"/>
        <v>8077.9269999999988</v>
      </c>
      <c r="BF51" s="8">
        <f t="shared" si="386"/>
        <v>8944.5339999999997</v>
      </c>
      <c r="BG51" s="8">
        <f t="shared" si="386"/>
        <v>9417.8660000000309</v>
      </c>
      <c r="BH51" s="8">
        <f t="shared" ref="BH51" si="387">SUM(BH49:BH50)</f>
        <v>5860.3229999999885</v>
      </c>
      <c r="BJ51" s="8">
        <f t="shared" ref="BJ51:BL51" si="388">SUM(BJ49:BJ50)</f>
        <v>4235.8660000000036</v>
      </c>
      <c r="BK51" s="8">
        <f t="shared" si="388"/>
        <v>7988.0979999999972</v>
      </c>
      <c r="BL51" s="8">
        <f t="shared" si="388"/>
        <v>5678.4240000000063</v>
      </c>
      <c r="BM51" s="8">
        <f t="shared" ref="BM51:BN51" si="389">SUM(BM49:BM50)</f>
        <v>9441.514999999943</v>
      </c>
      <c r="BN51" s="8">
        <f t="shared" si="389"/>
        <v>7375.7080000000042</v>
      </c>
      <c r="BO51" s="8">
        <f t="shared" ref="BO51:BR51" si="390">SUM(BO49:BO50)</f>
        <v>25249.411</v>
      </c>
      <c r="BP51" s="8">
        <f t="shared" si="390"/>
        <v>3989.7820000000011</v>
      </c>
      <c r="BQ51" s="8">
        <f t="shared" si="390"/>
        <v>-5629.5190000000039</v>
      </c>
      <c r="BR51" s="8">
        <f t="shared" si="390"/>
        <v>9455.1930000000157</v>
      </c>
      <c r="BT51" s="8">
        <f t="shared" ref="BT51:BU51" si="391">SUM(BT49:BT50)</f>
        <v>38649.525999999998</v>
      </c>
      <c r="BU51" s="8">
        <f t="shared" si="391"/>
        <v>24875.525000000005</v>
      </c>
      <c r="BW51" s="8">
        <f t="shared" ref="BW51:BX51" si="392">SUM(BW49:BW50)</f>
        <v>-7664.1440000000202</v>
      </c>
      <c r="BX51" s="8">
        <f t="shared" si="392"/>
        <v>8869.9399999999878</v>
      </c>
    </row>
    <row r="52" spans="2:77" s="39" customFormat="1" ht="13.5" customHeight="1">
      <c r="B52" s="18" t="s">
        <v>285</v>
      </c>
      <c r="C52" s="19"/>
      <c r="D52" s="19">
        <f t="shared" ref="D52:J52" si="393">+D51/C51-1</f>
        <v>0.25583014428836082</v>
      </c>
      <c r="E52" s="19">
        <f t="shared" si="393"/>
        <v>0.17185471926185869</v>
      </c>
      <c r="F52" s="19">
        <f t="shared" si="393"/>
        <v>0.16763338979407738</v>
      </c>
      <c r="G52" s="19">
        <f t="shared" si="393"/>
        <v>0.4711564165088229</v>
      </c>
      <c r="H52" s="19">
        <f t="shared" si="393"/>
        <v>0.11445907200379368</v>
      </c>
      <c r="I52" s="19">
        <f t="shared" si="393"/>
        <v>0.63683955633904765</v>
      </c>
      <c r="J52" s="19">
        <f t="shared" si="393"/>
        <v>0.45843313350325499</v>
      </c>
      <c r="K52" s="19">
        <f>+K51/J51-1</f>
        <v>0.39822878607440715</v>
      </c>
      <c r="L52" s="19">
        <f>L51/J51-1</f>
        <v>0.9689029401413034</v>
      </c>
      <c r="M52" s="19">
        <f t="shared" ref="M52:N52" si="394">+M51/L51-1</f>
        <v>8.2318116114050266E-2</v>
      </c>
      <c r="N52" s="19">
        <f t="shared" si="394"/>
        <v>0.44378795672549032</v>
      </c>
      <c r="O52" s="19">
        <f>+O51/M51-1</f>
        <v>0.25495451133064129</v>
      </c>
      <c r="P52" s="26">
        <f>P51/N51-1</f>
        <v>0.13317334398092595</v>
      </c>
      <c r="Q52" s="26">
        <f>Q51/P51-1</f>
        <v>8.9076939571051561E-2</v>
      </c>
      <c r="R52" s="26"/>
      <c r="S52" s="145"/>
      <c r="T52" s="26"/>
      <c r="U52" s="69"/>
      <c r="V52" s="69"/>
      <c r="W52" s="69"/>
      <c r="X52" s="26">
        <f t="shared" ref="X52" si="395">X51/T51-1</f>
        <v>0.43113727904769283</v>
      </c>
      <c r="Y52" s="26">
        <f t="shared" ref="Y52" si="396">Y51/U51-1</f>
        <v>0.16682911134873191</v>
      </c>
      <c r="Z52" s="26">
        <f t="shared" ref="Z52" si="397">Z51/V51-1</f>
        <v>0.17282040064891269</v>
      </c>
      <c r="AA52" s="26">
        <f t="shared" ref="AA52" si="398">AA51/W51-1</f>
        <v>-1.265408511906807E-2</v>
      </c>
      <c r="AB52" s="26">
        <f t="shared" ref="AB52" si="399">AB51/X51-1</f>
        <v>0.17800348843671077</v>
      </c>
      <c r="AC52" s="26">
        <f t="shared" ref="AC52" si="400">AC51/Y51-1</f>
        <v>0.56354059380246224</v>
      </c>
      <c r="AD52" s="26">
        <f t="shared" ref="AD52" si="401">AD51/Z51-1</f>
        <v>1.4432432264411661</v>
      </c>
      <c r="AE52" s="26">
        <f t="shared" ref="AE52" si="402">AE51/AA51-1</f>
        <v>-0.40957202184579333</v>
      </c>
      <c r="AF52" s="26">
        <f t="shared" ref="AF52" si="403">AF51/AB51-1</f>
        <v>0.35792927240881345</v>
      </c>
      <c r="AG52" s="26">
        <f t="shared" ref="AG52" si="404">AG51/AC51-1</f>
        <v>0.19950413780404563</v>
      </c>
      <c r="AH52" s="26">
        <f t="shared" ref="AH52" si="405">AH51/AD51-1</f>
        <v>-0.36913705428763044</v>
      </c>
      <c r="AI52" s="26">
        <f t="shared" ref="AI52" si="406">AI51/AE51-1</f>
        <v>1.6859563161159254</v>
      </c>
      <c r="AJ52" s="26">
        <f t="shared" ref="AJ52" si="407">AJ51/AF51-1</f>
        <v>0.18665300985822841</v>
      </c>
      <c r="AK52" s="26">
        <f t="shared" ref="AK52" si="408">AK51/AG51-1</f>
        <v>9.6356249918921444E-2</v>
      </c>
      <c r="AL52" s="26">
        <f t="shared" ref="AL52" si="409">AL51/AH51-1</f>
        <v>1.2158624556082365</v>
      </c>
      <c r="AM52" s="26">
        <f t="shared" ref="AM52" si="410">AM51/AI51-1</f>
        <v>0.99517732390173652</v>
      </c>
      <c r="AN52" s="26">
        <f t="shared" ref="AN52" si="411">AN51/AJ51-1</f>
        <v>0.91535549257680815</v>
      </c>
      <c r="AO52" s="26">
        <f t="shared" ref="AO52" si="412">AO51/AK51-1</f>
        <v>0.43305701515230877</v>
      </c>
      <c r="AP52" s="26">
        <f t="shared" ref="AP52" si="413">AP51/AL51-1</f>
        <v>-0.21192552632357375</v>
      </c>
      <c r="AQ52" s="26">
        <f t="shared" ref="AQ52" si="414">AQ51/AM51-1</f>
        <v>1.0151688588636882</v>
      </c>
      <c r="AR52" s="26">
        <f t="shared" ref="AR52" si="415">AR51/AN51-1</f>
        <v>0.69573624969246017</v>
      </c>
      <c r="AS52" s="26">
        <f t="shared" ref="AS52" si="416">AS51/AO51-1</f>
        <v>0.86275545941066234</v>
      </c>
      <c r="AT52" s="26">
        <f t="shared" ref="AT52" si="417">AT51/AP51-1</f>
        <v>0.57061374713671054</v>
      </c>
      <c r="AU52" s="26">
        <f t="shared" ref="AU52" si="418">AU51/AQ51-1</f>
        <v>-3.1014073205927861E-2</v>
      </c>
      <c r="AV52" s="26">
        <f>AV51/AR51-1</f>
        <v>-6.6901270237901822E-2</v>
      </c>
      <c r="AW52" s="26">
        <f>AW51/AS51-1</f>
        <v>0.74991079535086724</v>
      </c>
      <c r="AX52" s="26">
        <f>AX51/AT51-1</f>
        <v>0.96175176384819938</v>
      </c>
      <c r="AY52" s="26">
        <f>AY51/AU51-1</f>
        <v>0.58879208207798928</v>
      </c>
      <c r="AZ52" s="26">
        <f t="shared" ref="AZ52:BH52" si="419">AZ51/BJ51-1</f>
        <v>0.26082836425892331</v>
      </c>
      <c r="BA52" s="26">
        <f t="shared" si="419"/>
        <v>-0.50055094466792949</v>
      </c>
      <c r="BB52" s="26">
        <f t="shared" si="419"/>
        <v>-0.57959902254569262</v>
      </c>
      <c r="BC52" s="26">
        <f t="shared" si="419"/>
        <v>0.27628066046604771</v>
      </c>
      <c r="BD52" s="26">
        <f t="shared" si="419"/>
        <v>-9.5678950413988773E-3</v>
      </c>
      <c r="BE52" s="26">
        <f t="shared" si="419"/>
        <v>-0.68007463619646424</v>
      </c>
      <c r="BF52" s="26">
        <f t="shared" si="419"/>
        <v>1.2418603322186517</v>
      </c>
      <c r="BG52" s="26">
        <f t="shared" si="419"/>
        <v>-2.6729432834315014</v>
      </c>
      <c r="BH52" s="26">
        <f t="shared" si="419"/>
        <v>-0.38020059453043642</v>
      </c>
      <c r="BJ52" s="26">
        <f>BJ51/AR51-1</f>
        <v>0.23161524936781808</v>
      </c>
      <c r="BK52" s="26">
        <f>BK51/BA51-1</f>
        <v>1.0022062096706268</v>
      </c>
      <c r="BL52" s="26">
        <f>BL51/AT51-1</f>
        <v>1.0876198095106484</v>
      </c>
      <c r="BM52" s="26">
        <f>BM51/AU51-1</f>
        <v>1.65201709152988</v>
      </c>
      <c r="BN52" s="26">
        <f>BN51/BJ51-1</f>
        <v>0.74125149379135169</v>
      </c>
      <c r="BO52" s="26">
        <f>BO51/BK51-1</f>
        <v>2.1608789726916231</v>
      </c>
      <c r="BP52" s="26">
        <f>BP51/BL51-1</f>
        <v>-0.2973786388617693</v>
      </c>
      <c r="BQ52" s="26">
        <f>BQ51/BM51-1</f>
        <v>-1.5962516608828179</v>
      </c>
      <c r="BR52" s="26">
        <f>BR51/BN51-1</f>
        <v>0.28193700184443449</v>
      </c>
      <c r="BT52" s="26"/>
      <c r="BU52" s="26">
        <f>BU51/BT51-1</f>
        <v>-0.35638214554041348</v>
      </c>
      <c r="BW52" s="26"/>
      <c r="BX52" s="26">
        <f>BX51/BW51-1</f>
        <v>-2.1573295073787708</v>
      </c>
    </row>
    <row r="53" spans="2:77" s="39" customFormat="1" ht="13.5" customHeight="1">
      <c r="B53" s="18" t="s">
        <v>286</v>
      </c>
      <c r="C53" s="19">
        <f t="shared" ref="C53:AF53" si="420">C51/C7</f>
        <v>0.10559753198669053</v>
      </c>
      <c r="D53" s="19">
        <f t="shared" si="420"/>
        <v>0.11714713294414127</v>
      </c>
      <c r="E53" s="19">
        <f t="shared" si="420"/>
        <v>0.12081841570778448</v>
      </c>
      <c r="F53" s="19">
        <f t="shared" si="420"/>
        <v>0.10895615210550669</v>
      </c>
      <c r="G53" s="19">
        <f t="shared" si="420"/>
        <v>0.12416467145280112</v>
      </c>
      <c r="H53" s="19">
        <f t="shared" ref="H53:J53" si="421">H51/H7</f>
        <v>0.11655373670083999</v>
      </c>
      <c r="I53" s="19">
        <f t="shared" si="421"/>
        <v>0.14909404941216808</v>
      </c>
      <c r="J53" s="19">
        <f t="shared" si="421"/>
        <v>0.13034446555597443</v>
      </c>
      <c r="K53" s="19">
        <f>K51/K7</f>
        <v>9.2795137662473021E-2</v>
      </c>
      <c r="L53" s="19">
        <f t="shared" ref="L53:M53" si="422">L51/L7</f>
        <v>6.8042212833176324E-2</v>
      </c>
      <c r="M53" s="19">
        <f t="shared" si="422"/>
        <v>7.3662880491986882E-2</v>
      </c>
      <c r="N53" s="19">
        <f t="shared" ref="N53" si="423">N51/N7</f>
        <v>7.366288326965903E-2</v>
      </c>
      <c r="O53" s="19">
        <f t="shared" ref="O53:P53" si="424">O51/O7</f>
        <v>5.5460703660414015E-2</v>
      </c>
      <c r="P53" s="19">
        <f t="shared" si="424"/>
        <v>5.5238637473913901E-2</v>
      </c>
      <c r="Q53" s="19">
        <f t="shared" ref="Q53" si="425">Q51/Q7</f>
        <v>6.4407938276557844E-2</v>
      </c>
      <c r="R53" s="19">
        <f t="shared" ref="R53" si="426">R51/R7</f>
        <v>5.9257749178512821E-2</v>
      </c>
      <c r="S53" s="294"/>
      <c r="T53" s="19">
        <f t="shared" si="420"/>
        <v>0.11050195197719369</v>
      </c>
      <c r="U53" s="19">
        <f t="shared" si="420"/>
        <v>0.10675641410299541</v>
      </c>
      <c r="V53" s="19">
        <f t="shared" si="420"/>
        <v>0.13435660620321413</v>
      </c>
      <c r="W53" s="19">
        <f t="shared" si="420"/>
        <v>0.12894722829279937</v>
      </c>
      <c r="X53" s="19">
        <f t="shared" si="420"/>
        <v>0.12037385089380083</v>
      </c>
      <c r="Y53" s="19">
        <f t="shared" si="420"/>
        <v>9.7455146404609103E-2</v>
      </c>
      <c r="Z53" s="19">
        <f t="shared" si="420"/>
        <v>0.11828439906537411</v>
      </c>
      <c r="AA53" s="19">
        <f t="shared" si="420"/>
        <v>0.10099090869576836</v>
      </c>
      <c r="AB53" s="19">
        <f t="shared" si="420"/>
        <v>0.12440626267223354</v>
      </c>
      <c r="AC53" s="19">
        <f t="shared" si="420"/>
        <v>0.11842670019301615</v>
      </c>
      <c r="AD53" s="19">
        <f t="shared" si="420"/>
        <v>0.20426608018101852</v>
      </c>
      <c r="AE53" s="19">
        <f t="shared" si="420"/>
        <v>4.5886832701622443E-2</v>
      </c>
      <c r="AF53" s="19">
        <f t="shared" si="420"/>
        <v>0.12928581601374761</v>
      </c>
      <c r="AG53" s="19">
        <f t="shared" ref="AG53:AL53" si="427">AG51/AG7</f>
        <v>0.10976268451279132</v>
      </c>
      <c r="AH53" s="19">
        <f t="shared" si="427"/>
        <v>0.12026969357445851</v>
      </c>
      <c r="AI53" s="19">
        <f t="shared" si="427"/>
        <v>0.10922793451879728</v>
      </c>
      <c r="AJ53" s="19">
        <f t="shared" si="427"/>
        <v>0.13632535344578095</v>
      </c>
      <c r="AK53" s="19">
        <f t="shared" si="427"/>
        <v>0.12948829111471474</v>
      </c>
      <c r="AL53" s="19">
        <f t="shared" si="427"/>
        <v>0.18407827675214472</v>
      </c>
      <c r="AM53" s="19">
        <f t="shared" ref="AM53:AR53" si="428">AM51/AM7</f>
        <v>0.13672695786795208</v>
      </c>
      <c r="AN53" s="19">
        <f t="shared" si="428"/>
        <v>0.15620918475880821</v>
      </c>
      <c r="AO53" s="19">
        <f t="shared" si="428"/>
        <v>9.9994537103456738E-2</v>
      </c>
      <c r="AP53" s="19">
        <f t="shared" si="428"/>
        <v>9.5430214771254449E-2</v>
      </c>
      <c r="AQ53" s="19">
        <f t="shared" si="428"/>
        <v>0.16315781550384623</v>
      </c>
      <c r="AR53" s="19">
        <f t="shared" si="428"/>
        <v>0.12211435750705818</v>
      </c>
      <c r="AS53" s="19">
        <f t="shared" ref="AS53:AU53" si="429">AS51/AS7</f>
        <v>8.3804016594152334E-2</v>
      </c>
      <c r="AT53" s="19">
        <f t="shared" si="429"/>
        <v>7.9406765806636123E-2</v>
      </c>
      <c r="AU53" s="19">
        <f t="shared" si="429"/>
        <v>9.0838357333203071E-2</v>
      </c>
      <c r="AV53" s="19">
        <f t="shared" ref="AV53:AX53" si="430">AV51/AV7</f>
        <v>8.0448087816071157E-2</v>
      </c>
      <c r="AW53" s="19">
        <f t="shared" si="430"/>
        <v>0.10090857463235633</v>
      </c>
      <c r="AX53" s="19">
        <f t="shared" si="430"/>
        <v>9.1656665014768726E-2</v>
      </c>
      <c r="AY53" s="19">
        <f t="shared" ref="AY53:BB53" si="431">AY51/AY7</f>
        <v>5.0481748027382665E-2</v>
      </c>
      <c r="AZ53" s="19">
        <f t="shared" si="431"/>
        <v>7.3904133247130424E-2</v>
      </c>
      <c r="BA53" s="19">
        <f t="shared" si="431"/>
        <v>3.9274238600729351E-2</v>
      </c>
      <c r="BB53" s="19">
        <f t="shared" si="431"/>
        <v>2.2651087196487951E-2</v>
      </c>
      <c r="BC53" s="19">
        <f t="shared" ref="BC53:BF53" si="432">BC51/BC7</f>
        <v>8.0705871628949946E-2</v>
      </c>
      <c r="BD53" s="19">
        <f t="shared" si="432"/>
        <v>6.6947359437990767E-2</v>
      </c>
      <c r="BE53" s="19">
        <f t="shared" si="432"/>
        <v>6.655974439508823E-2</v>
      </c>
      <c r="BF53" s="19">
        <f t="shared" si="432"/>
        <v>7.187503028430775E-2</v>
      </c>
      <c r="BG53" s="19">
        <f t="shared" ref="BG53:BH53" si="433">BG51/BG7</f>
        <v>5.5724878113999711E-2</v>
      </c>
      <c r="BH53" s="19">
        <f t="shared" si="433"/>
        <v>4.4985395137300668E-2</v>
      </c>
      <c r="BJ53" s="19">
        <f t="shared" ref="BJ53:BL53" si="434">BJ51/BJ7</f>
        <v>6.1417051617996168E-2</v>
      </c>
      <c r="BK53" s="19">
        <f t="shared" si="434"/>
        <v>9.6741898071404611E-2</v>
      </c>
      <c r="BL53" s="19">
        <f t="shared" si="434"/>
        <v>6.1289798332223887E-2</v>
      </c>
      <c r="BM53" s="19">
        <f t="shared" ref="BM53:BN53" si="435">BM51/BM7</f>
        <v>7.4334222224825178E-2</v>
      </c>
      <c r="BN53" s="19">
        <f t="shared" si="435"/>
        <v>7.3904101123570209E-2</v>
      </c>
      <c r="BO53" s="19">
        <f t="shared" ref="BO53:BR53" si="436">BO51/BO7</f>
        <v>0.18404927218186054</v>
      </c>
      <c r="BP53" s="19">
        <f t="shared" si="436"/>
        <v>2.8401158340823875E-2</v>
      </c>
      <c r="BQ53" s="19">
        <f t="shared" si="436"/>
        <v>-3.0683959639918122E-2</v>
      </c>
      <c r="BR53" s="19">
        <f t="shared" si="436"/>
        <v>6.6214071388558782E-2</v>
      </c>
      <c r="BT53" s="19">
        <f t="shared" ref="BT53:BU53" si="437">BT51/BT7</f>
        <v>9.6215342385436872E-2</v>
      </c>
      <c r="BU53" s="19">
        <f t="shared" si="437"/>
        <v>6.5588029533127201E-2</v>
      </c>
      <c r="BV53" s="5"/>
      <c r="BW53" s="19">
        <f t="shared" ref="BW53:BX53" si="438">BW51/BW7</f>
        <v>-4.8129940157597854E-2</v>
      </c>
      <c r="BX53" s="19">
        <f t="shared" si="438"/>
        <v>6.1314063840206441E-2</v>
      </c>
    </row>
    <row r="54" spans="2:77" s="39" customFormat="1" ht="13.5" customHeight="1">
      <c r="B54" s="55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294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G54" s="56"/>
      <c r="BH54" s="56"/>
      <c r="BJ54" s="56"/>
      <c r="BK54" s="56"/>
      <c r="BL54" s="56"/>
      <c r="BM54" s="56"/>
      <c r="BN54" s="56"/>
      <c r="BO54" s="56"/>
      <c r="BP54" s="56"/>
      <c r="BQ54" s="56"/>
      <c r="BR54" s="56"/>
      <c r="BT54" s="56"/>
      <c r="BU54" s="56"/>
      <c r="BV54" s="5"/>
      <c r="BW54" s="56"/>
      <c r="BX54" s="56"/>
    </row>
    <row r="55" spans="2:77" ht="13.5" customHeight="1">
      <c r="B55" s="289" t="s">
        <v>287</v>
      </c>
      <c r="C55" s="290">
        <f t="shared" ref="C55:Z55" si="439">C56-C51</f>
        <v>47.548999999999296</v>
      </c>
      <c r="D55" s="290">
        <f t="shared" si="439"/>
        <v>-132.51799999999957</v>
      </c>
      <c r="E55" s="290">
        <f t="shared" si="439"/>
        <v>-175.71400000000085</v>
      </c>
      <c r="F55" s="290">
        <f t="shared" ref="F55:J55" si="440">F56-F51</f>
        <v>-316.71300000000019</v>
      </c>
      <c r="G55" s="290">
        <f t="shared" si="440"/>
        <v>-543.57399999999916</v>
      </c>
      <c r="H55" s="290">
        <f t="shared" si="440"/>
        <v>-371.93299999999999</v>
      </c>
      <c r="I55" s="290">
        <f t="shared" si="440"/>
        <v>-1020.8440000000001</v>
      </c>
      <c r="J55" s="290">
        <f t="shared" si="440"/>
        <v>-1973.464000000009</v>
      </c>
      <c r="K55" s="290">
        <f>K56-K51</f>
        <v>-523.70800000000781</v>
      </c>
      <c r="L55" s="290">
        <f t="shared" ref="L55:M55" si="441">L56-L51</f>
        <v>-1140.5540000000074</v>
      </c>
      <c r="M55" s="290">
        <f t="shared" si="441"/>
        <v>1137.9980000000141</v>
      </c>
      <c r="N55" s="290">
        <f t="shared" ref="N55" si="442">N56-N51</f>
        <v>3242.0970000000452</v>
      </c>
      <c r="O55" s="290">
        <f t="shared" ref="O55:P55" si="443">O56-O51</f>
        <v>-840.58600000002116</v>
      </c>
      <c r="P55" s="290">
        <f t="shared" si="443"/>
        <v>-976.38200000001962</v>
      </c>
      <c r="Q55" s="290">
        <f t="shared" ref="Q55" si="444">Q56-Q51</f>
        <v>-3060.4649999999674</v>
      </c>
      <c r="R55" s="290">
        <f t="shared" ref="R55" si="445">R56-R51</f>
        <v>901.35000000003129</v>
      </c>
      <c r="S55" s="294"/>
      <c r="T55" s="290">
        <f>T56-T51</f>
        <v>31.210000000000093</v>
      </c>
      <c r="U55" s="288">
        <f t="shared" si="439"/>
        <v>18.291999999999916</v>
      </c>
      <c r="V55" s="288">
        <f t="shared" si="439"/>
        <v>-64.609999999999673</v>
      </c>
      <c r="W55" s="290">
        <f t="shared" si="439"/>
        <v>-160.60600000000113</v>
      </c>
      <c r="X55" s="290">
        <f t="shared" si="439"/>
        <v>-72.843000000000075</v>
      </c>
      <c r="Y55" s="290">
        <f t="shared" si="439"/>
        <v>2.7720000000001619</v>
      </c>
      <c r="Z55" s="290">
        <f t="shared" si="439"/>
        <v>-97.420999999999594</v>
      </c>
      <c r="AA55" s="290">
        <f t="shared" ref="AA55:AF55" si="446">AA56-AA51</f>
        <v>-149.22100000000228</v>
      </c>
      <c r="AB55" s="290">
        <f t="shared" si="446"/>
        <v>-134.14100000000008</v>
      </c>
      <c r="AC55" s="290">
        <f t="shared" si="446"/>
        <v>-192.18200000000058</v>
      </c>
      <c r="AD55" s="290">
        <f t="shared" si="446"/>
        <v>-785.03400000000056</v>
      </c>
      <c r="AE55" s="290">
        <f t="shared" si="446"/>
        <v>567.78300000000354</v>
      </c>
      <c r="AF55" s="290">
        <f t="shared" si="446"/>
        <v>-213.35100000000011</v>
      </c>
      <c r="AG55" s="290">
        <f t="shared" ref="AG55:AL55" si="447">AG56-AG51</f>
        <v>-38.036000000000172</v>
      </c>
      <c r="AH55" s="290">
        <f t="shared" si="447"/>
        <v>-77.737999999999602</v>
      </c>
      <c r="AI55" s="290">
        <f t="shared" si="447"/>
        <v>-42.808000000002266</v>
      </c>
      <c r="AJ55" s="290">
        <f t="shared" si="447"/>
        <v>-187.91100000000006</v>
      </c>
      <c r="AK55" s="290">
        <f t="shared" si="447"/>
        <v>-145.16899999999964</v>
      </c>
      <c r="AL55" s="290">
        <f t="shared" si="447"/>
        <v>-462.55500000000029</v>
      </c>
      <c r="AM55" s="290">
        <f t="shared" ref="AM55:AR55" si="448">AM56-AM51</f>
        <v>-225.20900000000256</v>
      </c>
      <c r="AN55" s="290">
        <f t="shared" si="448"/>
        <v>-138.19100000000071</v>
      </c>
      <c r="AO55" s="290">
        <f t="shared" si="448"/>
        <v>-26.362000000001217</v>
      </c>
      <c r="AP55" s="290">
        <f t="shared" si="448"/>
        <v>50.16300000000092</v>
      </c>
      <c r="AQ55" s="290">
        <f t="shared" si="448"/>
        <v>-1859.074000000011</v>
      </c>
      <c r="AR55" s="290">
        <f t="shared" si="448"/>
        <v>-446.27700000000186</v>
      </c>
      <c r="AS55" s="290">
        <f t="shared" ref="AS55" si="449">AS56-AS51</f>
        <v>-289.25800000000118</v>
      </c>
      <c r="AT55" s="290">
        <f>AT56-AT51</f>
        <v>211.95300000000225</v>
      </c>
      <c r="AU55" s="290">
        <f t="shared" ref="AU55" si="450">AU56-AU51</f>
        <v>-0.12600000001430089</v>
      </c>
      <c r="AV55" s="290">
        <f t="shared" ref="AV55:AW55" si="451">AV56-AV51</f>
        <v>481.81499999999869</v>
      </c>
      <c r="AW55" s="290">
        <f t="shared" si="451"/>
        <v>309.53999999999996</v>
      </c>
      <c r="AX55" s="290">
        <f>AX56-AX51</f>
        <v>1119.9430000000011</v>
      </c>
      <c r="AY55" s="290">
        <f>AY56-AY51</f>
        <v>-773.30000000000655</v>
      </c>
      <c r="AZ55" s="290">
        <f t="shared" ref="AZ55:BA55" si="452">AZ56-AZ51</f>
        <v>410.30000000000746</v>
      </c>
      <c r="BA55" s="290">
        <f t="shared" si="452"/>
        <v>1488.3519999999994</v>
      </c>
      <c r="BB55" s="290">
        <f>BB56-BB51</f>
        <v>1481.7849999999989</v>
      </c>
      <c r="BC55" s="290">
        <f>BC56-BC51</f>
        <v>-4221.0230000000229</v>
      </c>
      <c r="BD55" s="290">
        <f t="shared" ref="BD55:BE55" si="453">BD56-BD51</f>
        <v>-1520.1379999999981</v>
      </c>
      <c r="BE55" s="290">
        <f t="shared" si="453"/>
        <v>-932.92699999999877</v>
      </c>
      <c r="BF55" s="290">
        <f>BF56-BF51</f>
        <v>-290.53399999999965</v>
      </c>
      <c r="BG55" s="290">
        <f>BG56-BG51</f>
        <v>-316.86600000003091</v>
      </c>
      <c r="BH55" s="290">
        <f t="shared" ref="BH55" si="454">BH56-BH51</f>
        <v>2441.6770000000115</v>
      </c>
      <c r="BI55" s="39"/>
      <c r="BJ55" s="290">
        <f t="shared" ref="BJ55:BK55" si="455">BJ56-BJ51</f>
        <v>813.13399999999638</v>
      </c>
      <c r="BK55" s="290">
        <f t="shared" si="455"/>
        <v>546.90200000000277</v>
      </c>
      <c r="BL55" s="290">
        <f>BL56-BL51</f>
        <v>1371.5759999999937</v>
      </c>
      <c r="BM55" s="290">
        <f>BM56-BM51</f>
        <v>510.48500000005697</v>
      </c>
      <c r="BN55" s="290">
        <f t="shared" ref="BN55:BO55" si="456">BN56-BN51</f>
        <v>623.29199999999582</v>
      </c>
      <c r="BO55" s="290">
        <f t="shared" si="456"/>
        <v>-18476.411</v>
      </c>
      <c r="BP55" s="290">
        <f>BP56-BP51</f>
        <v>2244.2179999999989</v>
      </c>
      <c r="BQ55" s="290">
        <f>BQ56-BQ51</f>
        <v>14632.519000000004</v>
      </c>
      <c r="BR55" s="290">
        <f t="shared" ref="BR55" si="457">BR56-BR51</f>
        <v>-1884.1930000000157</v>
      </c>
      <c r="BS55" s="39"/>
      <c r="BT55" s="290">
        <f>BT56-BT51</f>
        <v>-16018.525999999998</v>
      </c>
      <c r="BU55" s="290">
        <f>BU56-BU51</f>
        <v>-1947.5250000000051</v>
      </c>
      <c r="BV55" s="5"/>
      <c r="BW55" s="290">
        <f>BW56-BW51</f>
        <v>15042.14400000002</v>
      </c>
      <c r="BX55" s="290">
        <f>BX56-BX51</f>
        <v>-1112.9399999999878</v>
      </c>
    </row>
    <row r="56" spans="2:77" s="5" customFormat="1" ht="13.5" customHeight="1">
      <c r="B56" s="5" t="s">
        <v>288</v>
      </c>
      <c r="C56" s="74">
        <v>1369</v>
      </c>
      <c r="D56" s="74">
        <v>1527</v>
      </c>
      <c r="E56" s="74">
        <v>1769</v>
      </c>
      <c r="F56" s="74">
        <v>1954</v>
      </c>
      <c r="G56" s="74">
        <v>2797</v>
      </c>
      <c r="H56" s="74">
        <v>3351</v>
      </c>
      <c r="I56" s="74">
        <v>5073</v>
      </c>
      <c r="J56" s="74">
        <v>6914</v>
      </c>
      <c r="K56" s="74">
        <v>11903</v>
      </c>
      <c r="L56" s="74">
        <v>16358</v>
      </c>
      <c r="M56" s="74">
        <v>20077</v>
      </c>
      <c r="N56" s="74">
        <v>30586</v>
      </c>
      <c r="O56" s="74">
        <v>22927</v>
      </c>
      <c r="P56" s="74">
        <v>30009</v>
      </c>
      <c r="Q56" s="74">
        <v>30685</v>
      </c>
      <c r="R56" s="8">
        <f>SUM(BE56:BH56)</f>
        <v>33202</v>
      </c>
      <c r="S56" s="8"/>
      <c r="T56" s="74">
        <v>421</v>
      </c>
      <c r="U56" s="74">
        <v>441</v>
      </c>
      <c r="V56" s="75">
        <v>484</v>
      </c>
      <c r="W56" s="82">
        <f>E56-SUM(T56:V56)</f>
        <v>423</v>
      </c>
      <c r="X56" s="74">
        <v>485</v>
      </c>
      <c r="Y56" s="74">
        <v>496</v>
      </c>
      <c r="Z56" s="75">
        <v>546</v>
      </c>
      <c r="AA56" s="82">
        <f>F56-SUM(X56:Z56)</f>
        <v>427</v>
      </c>
      <c r="AB56" s="74">
        <v>523</v>
      </c>
      <c r="AC56" s="74">
        <v>579</v>
      </c>
      <c r="AD56" s="75">
        <v>787</v>
      </c>
      <c r="AE56" s="82">
        <f>G56-AB56-AC56-AD56</f>
        <v>908</v>
      </c>
      <c r="AF56" s="74">
        <v>679</v>
      </c>
      <c r="AG56" s="74">
        <v>887</v>
      </c>
      <c r="AH56" s="74">
        <v>914</v>
      </c>
      <c r="AI56" s="82">
        <f>H56-AF56-AG56-AH56</f>
        <v>871</v>
      </c>
      <c r="AJ56" s="74">
        <v>871</v>
      </c>
      <c r="AK56" s="74">
        <v>869</v>
      </c>
      <c r="AL56" s="74">
        <v>1735</v>
      </c>
      <c r="AM56" s="8">
        <f>I56-AJ56-AK56-AL56</f>
        <v>1598</v>
      </c>
      <c r="AN56" s="74">
        <v>1890</v>
      </c>
      <c r="AO56" s="74">
        <v>1427</v>
      </c>
      <c r="AP56" s="74">
        <v>1782</v>
      </c>
      <c r="AQ56" s="8">
        <f>J56-AN56-AO56-AP56</f>
        <v>1815</v>
      </c>
      <c r="AR56" s="74">
        <v>2993</v>
      </c>
      <c r="AS56" s="74">
        <v>2418</v>
      </c>
      <c r="AT56" s="74">
        <v>2932</v>
      </c>
      <c r="AU56" s="8">
        <f>K56-AR56-AS56-AT56</f>
        <v>3560</v>
      </c>
      <c r="AV56" s="74">
        <v>3691</v>
      </c>
      <c r="AW56" s="74">
        <v>5047</v>
      </c>
      <c r="AX56" s="74">
        <v>6456</v>
      </c>
      <c r="AY56" s="8">
        <f>M56-AV56-AW56-AX56</f>
        <v>4883</v>
      </c>
      <c r="AZ56" s="74">
        <v>5751</v>
      </c>
      <c r="BA56" s="74">
        <v>5478</v>
      </c>
      <c r="BB56" s="74">
        <v>3869</v>
      </c>
      <c r="BC56" s="8">
        <f>O56-AZ56-BA56-BB56</f>
        <v>7829</v>
      </c>
      <c r="BD56" s="74">
        <v>5785</v>
      </c>
      <c r="BE56" s="74">
        <v>7145</v>
      </c>
      <c r="BF56" s="74">
        <v>8654</v>
      </c>
      <c r="BG56" s="8">
        <f t="shared" ref="BG56" si="458">Q56-BD56-BE56-BF56</f>
        <v>9101</v>
      </c>
      <c r="BH56" s="74">
        <v>8302</v>
      </c>
      <c r="BJ56" s="74">
        <v>5049</v>
      </c>
      <c r="BK56" s="74">
        <v>8535</v>
      </c>
      <c r="BL56" s="74">
        <v>7050</v>
      </c>
      <c r="BM56" s="8">
        <f>N56-SUM(BJ56:BL56)</f>
        <v>9952</v>
      </c>
      <c r="BN56" s="74">
        <v>7999</v>
      </c>
      <c r="BO56" s="74">
        <v>6773</v>
      </c>
      <c r="BP56" s="74">
        <v>6234</v>
      </c>
      <c r="BQ56" s="8">
        <f>P56-SUM(BN56:BP56)</f>
        <v>9003</v>
      </c>
      <c r="BR56" s="74">
        <v>7571</v>
      </c>
      <c r="BS56" s="39"/>
      <c r="BT56" s="74">
        <v>22631</v>
      </c>
      <c r="BU56" s="74">
        <v>22928</v>
      </c>
      <c r="BW56" s="8">
        <f>P56-BT56</f>
        <v>7378</v>
      </c>
      <c r="BX56" s="8">
        <f>Q56-BU56</f>
        <v>7757</v>
      </c>
    </row>
    <row r="57" spans="2:77" s="39" customFormat="1" ht="13.5" customHeight="1">
      <c r="B57" s="18" t="s">
        <v>285</v>
      </c>
      <c r="C57" s="69"/>
      <c r="D57" s="19">
        <f t="shared" ref="D57:J57" si="459">+D56/C56-1</f>
        <v>0.11541271000730458</v>
      </c>
      <c r="E57" s="19">
        <f t="shared" si="459"/>
        <v>0.15848068107400137</v>
      </c>
      <c r="F57" s="19">
        <f t="shared" si="459"/>
        <v>0.10457885811192758</v>
      </c>
      <c r="G57" s="19">
        <f t="shared" si="459"/>
        <v>0.43142272262026604</v>
      </c>
      <c r="H57" s="19">
        <f t="shared" si="459"/>
        <v>0.19806936002860209</v>
      </c>
      <c r="I57" s="19">
        <f t="shared" si="459"/>
        <v>0.51387645478961508</v>
      </c>
      <c r="J57" s="19">
        <f t="shared" si="459"/>
        <v>0.36290163611275372</v>
      </c>
      <c r="K57" s="19">
        <f>+K56/J56-1</f>
        <v>0.72157940410760779</v>
      </c>
      <c r="L57" s="19">
        <f>L56/J56-1</f>
        <v>1.3659242117442871</v>
      </c>
      <c r="M57" s="19">
        <f t="shared" ref="M57:N57" si="460">+M56/L56-1</f>
        <v>0.22735053184985943</v>
      </c>
      <c r="N57" s="19">
        <f t="shared" si="460"/>
        <v>0.52343477611196887</v>
      </c>
      <c r="O57" s="19">
        <f>+O56/M56-1</f>
        <v>0.14195347910544398</v>
      </c>
      <c r="P57" s="26">
        <f>P56/N56-1</f>
        <v>-1.8864840122932103E-2</v>
      </c>
      <c r="Q57" s="26">
        <f>Q56/P56-1</f>
        <v>2.252657536072511E-2</v>
      </c>
      <c r="R57" s="26"/>
      <c r="S57" s="145"/>
      <c r="T57" s="26"/>
      <c r="U57" s="69"/>
      <c r="V57" s="69"/>
      <c r="W57" s="69"/>
      <c r="X57" s="26">
        <f t="shared" ref="X57" si="461">X56/T56-1</f>
        <v>0.15201900237529697</v>
      </c>
      <c r="Y57" s="26">
        <f t="shared" ref="Y57" si="462">Y56/U56-1</f>
        <v>0.12471655328798192</v>
      </c>
      <c r="Z57" s="26">
        <f t="shared" ref="Z57" si="463">Z56/V56-1</f>
        <v>0.12809917355371891</v>
      </c>
      <c r="AA57" s="26">
        <f t="shared" ref="AA57" si="464">AA56/W56-1</f>
        <v>9.4562647754137252E-3</v>
      </c>
      <c r="AB57" s="26">
        <f t="shared" ref="AB57" si="465">AB56/X56-1</f>
        <v>7.8350515463917469E-2</v>
      </c>
      <c r="AC57" s="26">
        <f t="shared" ref="AC57" si="466">AC56/Y56-1</f>
        <v>0.16733870967741926</v>
      </c>
      <c r="AD57" s="26">
        <f t="shared" ref="AD57" si="467">AD56/Z56-1</f>
        <v>0.44139194139194138</v>
      </c>
      <c r="AE57" s="26">
        <f t="shared" ref="AE57" si="468">AE56/AA56-1</f>
        <v>1.1264637002341922</v>
      </c>
      <c r="AF57" s="26">
        <f t="shared" ref="AF57" si="469">AF56/AB56-1</f>
        <v>0.29827915869980881</v>
      </c>
      <c r="AG57" s="26">
        <f t="shared" ref="AG57" si="470">AG56/AC56-1</f>
        <v>0.53195164075993095</v>
      </c>
      <c r="AH57" s="26">
        <f t="shared" ref="AH57" si="471">AH56/AD56-1</f>
        <v>0.16137229987293522</v>
      </c>
      <c r="AI57" s="26">
        <f t="shared" ref="AI57" si="472">AI56/AE56-1</f>
        <v>-4.0748898678414136E-2</v>
      </c>
      <c r="AJ57" s="26">
        <f t="shared" ref="AJ57" si="473">AJ56/AF56-1</f>
        <v>0.28276877761413854</v>
      </c>
      <c r="AK57" s="26">
        <f t="shared" ref="AK57" si="474">AK56/AG56-1</f>
        <v>-2.0293122886133053E-2</v>
      </c>
      <c r="AL57" s="26">
        <f t="shared" ref="AL57" si="475">AL56/AH56-1</f>
        <v>0.89824945295404812</v>
      </c>
      <c r="AM57" s="26">
        <f t="shared" ref="AM57" si="476">AM56/AI56-1</f>
        <v>0.8346727898966706</v>
      </c>
      <c r="AN57" s="26">
        <f t="shared" ref="AN57" si="477">AN56/AJ56-1</f>
        <v>1.1699196326061996</v>
      </c>
      <c r="AO57" s="26">
        <f t="shared" ref="AO57" si="478">AO56/AK56-1</f>
        <v>0.64211737629459154</v>
      </c>
      <c r="AP57" s="26">
        <f t="shared" ref="AP57" si="479">AP56/AL56-1</f>
        <v>2.7089337175792538E-2</v>
      </c>
      <c r="AQ57" s="26">
        <f t="shared" ref="AQ57" si="480">AQ56/AM56-1</f>
        <v>0.13579474342928655</v>
      </c>
      <c r="AR57" s="26">
        <f t="shared" ref="AR57" si="481">AR56/AN56-1</f>
        <v>0.58359788359788367</v>
      </c>
      <c r="AS57" s="26">
        <f t="shared" ref="AS57" si="482">AS56/AO56-1</f>
        <v>0.69446391030133148</v>
      </c>
      <c r="AT57" s="26">
        <f t="shared" ref="AT57" si="483">AT56/AP56-1</f>
        <v>0.64534231200897874</v>
      </c>
      <c r="AU57" s="26">
        <f t="shared" ref="AU57" si="484">AU56/AQ56-1</f>
        <v>0.9614325068870524</v>
      </c>
      <c r="AV57" s="26">
        <f>AV56/AR56-1</f>
        <v>0.23321082525893755</v>
      </c>
      <c r="AW57" s="26">
        <f>AW56/AS56-1</f>
        <v>1.087262200165426</v>
      </c>
      <c r="AX57" s="26">
        <f>AX56/AT56-1</f>
        <v>1.2019099590723057</v>
      </c>
      <c r="AY57" s="26">
        <f>AY56/AU56-1</f>
        <v>0.37162921348314604</v>
      </c>
      <c r="AZ57" s="26">
        <f t="shared" ref="AZ57:BH57" si="485">AZ56/BJ56-1</f>
        <v>0.1390374331550801</v>
      </c>
      <c r="BA57" s="26">
        <f t="shared" si="485"/>
        <v>-0.35817223198594028</v>
      </c>
      <c r="BB57" s="26">
        <f t="shared" si="485"/>
        <v>-0.45120567375886522</v>
      </c>
      <c r="BC57" s="26">
        <f t="shared" si="485"/>
        <v>-0.21332395498392287</v>
      </c>
      <c r="BD57" s="26">
        <f t="shared" si="485"/>
        <v>-0.2767845980747593</v>
      </c>
      <c r="BE57" s="26">
        <f t="shared" si="485"/>
        <v>5.4923962793444581E-2</v>
      </c>
      <c r="BF57" s="26">
        <f t="shared" si="485"/>
        <v>0.38819377606673089</v>
      </c>
      <c r="BG57" s="26">
        <f t="shared" si="485"/>
        <v>1.0885260468732616E-2</v>
      </c>
      <c r="BH57" s="26">
        <f t="shared" si="485"/>
        <v>9.6552635054814484E-2</v>
      </c>
      <c r="BJ57" s="26">
        <f>BJ56/AR56-1</f>
        <v>0.68693618443033744</v>
      </c>
      <c r="BK57" s="26">
        <f>BK56/BA56-1</f>
        <v>0.55805038335158819</v>
      </c>
      <c r="BL57" s="26">
        <f>BL56/AT56-1</f>
        <v>1.4045020463847204</v>
      </c>
      <c r="BM57" s="26">
        <f>BM56/AU56-1</f>
        <v>1.7955056179775282</v>
      </c>
      <c r="BN57" s="26">
        <f>BN56/BJ56-1</f>
        <v>0.58427411368587845</v>
      </c>
      <c r="BO57" s="26">
        <f>BO56/BK56-1</f>
        <v>-0.20644405389572351</v>
      </c>
      <c r="BP57" s="26">
        <f>BP56/BL56-1</f>
        <v>-0.11574468085106382</v>
      </c>
      <c r="BQ57" s="26">
        <f>BQ56/BM56-1</f>
        <v>-9.5357717041800627E-2</v>
      </c>
      <c r="BR57" s="26">
        <f>BR56/BN56-1</f>
        <v>-5.3506688336041996E-2</v>
      </c>
      <c r="BT57" s="26"/>
      <c r="BU57" s="26">
        <f>BU56/BT56-1</f>
        <v>1.3123591533736878E-2</v>
      </c>
      <c r="BW57" s="26"/>
      <c r="BX57" s="26">
        <f>BX56/BW56-1</f>
        <v>5.1368934670642519E-2</v>
      </c>
    </row>
    <row r="58" spans="2:77" s="39" customFormat="1" ht="13.5" customHeight="1">
      <c r="B58" s="18" t="s">
        <v>286</v>
      </c>
      <c r="C58" s="19">
        <f t="shared" ref="C58:AF58" si="486">C56/C7</f>
        <v>0.1093971863427242</v>
      </c>
      <c r="D58" s="19">
        <f t="shared" si="486"/>
        <v>0.10779254699599748</v>
      </c>
      <c r="E58" s="19">
        <f t="shared" si="486"/>
        <v>0.10990190711182758</v>
      </c>
      <c r="F58" s="19">
        <f t="shared" si="486"/>
        <v>9.375923827192606E-2</v>
      </c>
      <c r="G58" s="19">
        <f t="shared" si="486"/>
        <v>0.10396075226996464</v>
      </c>
      <c r="H58" s="19">
        <f t="shared" ref="H58:J58" si="487">H56/H7</f>
        <v>0.10490964293059123</v>
      </c>
      <c r="I58" s="19">
        <f t="shared" si="487"/>
        <v>0.12411773466270694</v>
      </c>
      <c r="J58" s="19">
        <f t="shared" si="487"/>
        <v>0.10140143857167874</v>
      </c>
      <c r="K58" s="19">
        <f t="shared" ref="K58" si="488">K56/K7</f>
        <v>8.8884403141718277E-2</v>
      </c>
      <c r="L58" s="19">
        <f t="shared" ref="L58:M58" si="489">L56/L7</f>
        <v>6.3607228204404662E-2</v>
      </c>
      <c r="M58" s="19">
        <f t="shared" si="489"/>
        <v>7.8089101613570855E-2</v>
      </c>
      <c r="N58" s="19">
        <f t="shared" ref="N58" si="490">N56/N7</f>
        <v>8.2396903897947363E-2</v>
      </c>
      <c r="O58" s="19">
        <f t="shared" ref="O58:P58" si="491">O56/O7</f>
        <v>5.3499230120480516E-2</v>
      </c>
      <c r="P58" s="19">
        <f t="shared" si="491"/>
        <v>5.3498009866545494E-2</v>
      </c>
      <c r="Q58" s="19">
        <f t="shared" ref="Q58" si="492">Q56/Q7</f>
        <v>5.8566612906835909E-2</v>
      </c>
      <c r="R58" s="19">
        <f t="shared" ref="R58" si="493">R56/R7</f>
        <v>6.0911337332994371E-2</v>
      </c>
      <c r="S58" s="294"/>
      <c r="T58" s="19">
        <f t="shared" si="486"/>
        <v>0.11934970569383144</v>
      </c>
      <c r="U58" s="19">
        <f t="shared" si="486"/>
        <v>0.11137612398965945</v>
      </c>
      <c r="V58" s="19">
        <f t="shared" si="486"/>
        <v>0.11853337963645519</v>
      </c>
      <c r="W58" s="19">
        <f t="shared" si="486"/>
        <v>9.346147498115856E-2</v>
      </c>
      <c r="X58" s="19">
        <f t="shared" si="486"/>
        <v>0.10465546342518127</v>
      </c>
      <c r="Y58" s="19">
        <f t="shared" si="486"/>
        <v>9.8002855913869716E-2</v>
      </c>
      <c r="Z58" s="19">
        <f t="shared" si="486"/>
        <v>0.1003748430494098</v>
      </c>
      <c r="AA58" s="19">
        <f t="shared" si="486"/>
        <v>7.4837810515571146E-2</v>
      </c>
      <c r="AB58" s="19">
        <f t="shared" si="486"/>
        <v>9.9011437998204541E-2</v>
      </c>
      <c r="AC58" s="19">
        <f t="shared" si="486"/>
        <v>8.8914237380743208E-2</v>
      </c>
      <c r="AD58" s="19">
        <f t="shared" si="486"/>
        <v>0.10226076859817378</v>
      </c>
      <c r="AE58" s="19">
        <f t="shared" si="486"/>
        <v>0.12246667301479235</v>
      </c>
      <c r="AF58" s="19">
        <f t="shared" si="486"/>
        <v>9.8375044207194937E-2</v>
      </c>
      <c r="AG58" s="19">
        <f t="shared" ref="AG58:AL58" si="494">AG56/AG7</f>
        <v>0.10524941857705633</v>
      </c>
      <c r="AH58" s="19">
        <f t="shared" si="494"/>
        <v>0.11084227883478814</v>
      </c>
      <c r="AI58" s="19">
        <f t="shared" si="494"/>
        <v>0.10411107252931928</v>
      </c>
      <c r="AJ58" s="19">
        <f t="shared" si="494"/>
        <v>0.11213348699869508</v>
      </c>
      <c r="AK58" s="19">
        <f t="shared" si="494"/>
        <v>0.110953228681499</v>
      </c>
      <c r="AL58" s="19">
        <f t="shared" si="494"/>
        <v>0.14533233987998984</v>
      </c>
      <c r="AM58" s="19">
        <f t="shared" ref="AM58:AR58" si="495">AM56/AM7</f>
        <v>0.11983797725493189</v>
      </c>
      <c r="AN58" s="19">
        <f t="shared" si="495"/>
        <v>0.14556585607279957</v>
      </c>
      <c r="AO58" s="19">
        <f t="shared" si="495"/>
        <v>9.8180772888401269E-2</v>
      </c>
      <c r="AP58" s="19">
        <f t="shared" si="495"/>
        <v>9.8194369748640042E-2</v>
      </c>
      <c r="AQ58" s="19">
        <f t="shared" si="495"/>
        <v>8.0600291431114343E-2</v>
      </c>
      <c r="AR58" s="19">
        <f t="shared" si="495"/>
        <v>0.10626892571276607</v>
      </c>
      <c r="AS58" s="19">
        <f t="shared" ref="AS58:AU58" si="496">AS56/AS7</f>
        <v>7.4849944897996512E-2</v>
      </c>
      <c r="AT58" s="19">
        <f t="shared" si="496"/>
        <v>8.5594343533423253E-2</v>
      </c>
      <c r="AU58" s="19">
        <f t="shared" si="496"/>
        <v>9.0835142381534145E-2</v>
      </c>
      <c r="AV58" s="19">
        <f t="shared" ref="AV58:AX58" si="497">AV56/AV7</f>
        <v>9.2526262003941345E-2</v>
      </c>
      <c r="AW58" s="19">
        <f t="shared" si="497"/>
        <v>0.10750182084270947</v>
      </c>
      <c r="AX58" s="19">
        <f t="shared" si="497"/>
        <v>0.11089376094283607</v>
      </c>
      <c r="AY58" s="19">
        <f t="shared" ref="AY58:BB58" si="498">AY56/AY7</f>
        <v>4.3580145257095498E-2</v>
      </c>
      <c r="AZ58" s="19">
        <f t="shared" si="498"/>
        <v>7.9581828281732298E-2</v>
      </c>
      <c r="BA58" s="19">
        <f t="shared" si="498"/>
        <v>5.3925629292307327E-2</v>
      </c>
      <c r="BB58" s="19">
        <f t="shared" si="498"/>
        <v>3.6711002722089062E-2</v>
      </c>
      <c r="BC58" s="19">
        <f t="shared" ref="BC58:BF58" si="499">BC56/BC7</f>
        <v>5.2435274935412821E-2</v>
      </c>
      <c r="BD58" s="19">
        <f t="shared" si="499"/>
        <v>5.3016174964631291E-2</v>
      </c>
      <c r="BE58" s="19">
        <f t="shared" si="499"/>
        <v>5.8872700100273928E-2</v>
      </c>
      <c r="BF58" s="19">
        <f t="shared" si="499"/>
        <v>6.9540404461585062E-2</v>
      </c>
      <c r="BG58" s="19">
        <f t="shared" ref="BG58:BH58" si="500">BG56/BG7</f>
        <v>5.3850003356971703E-2</v>
      </c>
      <c r="BH58" s="19">
        <f t="shared" si="500"/>
        <v>6.3728356001857042E-2</v>
      </c>
      <c r="BJ58" s="19">
        <f t="shared" ref="BJ58:BL58" si="501">BJ56/BJ7</f>
        <v>7.3206917692689624E-2</v>
      </c>
      <c r="BK58" s="19">
        <f t="shared" si="501"/>
        <v>0.10336529422140774</v>
      </c>
      <c r="BL58" s="19">
        <f t="shared" si="501"/>
        <v>7.6093838403433395E-2</v>
      </c>
      <c r="BM58" s="19">
        <f t="shared" ref="BM58:BN58" si="502">BM56/BM7</f>
        <v>7.8353334139856221E-2</v>
      </c>
      <c r="BN58" s="19">
        <f t="shared" si="502"/>
        <v>8.014944529900557E-2</v>
      </c>
      <c r="BO58" s="19">
        <f t="shared" ref="BO58:BR58" si="503">BO56/BO7</f>
        <v>4.9370091068173493E-2</v>
      </c>
      <c r="BP58" s="19">
        <f t="shared" si="503"/>
        <v>4.4376565210002952E-2</v>
      </c>
      <c r="BQ58" s="19">
        <f t="shared" si="503"/>
        <v>4.907127742853034E-2</v>
      </c>
      <c r="BR58" s="19">
        <f t="shared" si="503"/>
        <v>5.3019196380526309E-2</v>
      </c>
      <c r="BT58" s="19">
        <f t="shared" ref="BT58:BU58" si="504">BT56/BT7</f>
        <v>5.6338321290792075E-2</v>
      </c>
      <c r="BU58" s="19">
        <f t="shared" si="504"/>
        <v>6.0453089578432616E-2</v>
      </c>
      <c r="BW58" s="19">
        <f t="shared" ref="BW58:BX58" si="505">BW56/BW7</f>
        <v>4.6332988848168305E-2</v>
      </c>
      <c r="BX58" s="19">
        <f t="shared" si="505"/>
        <v>5.3620790355795193E-2</v>
      </c>
    </row>
    <row r="59" spans="2:77" s="5" customFormat="1" ht="13.5" customHeight="1">
      <c r="B59" s="311" t="s">
        <v>289</v>
      </c>
      <c r="C59" s="312">
        <v>27.576000000000001</v>
      </c>
      <c r="D59" s="312">
        <v>19.05</v>
      </c>
      <c r="E59" s="312">
        <v>22.507000000000001</v>
      </c>
      <c r="F59" s="312">
        <v>31.562999999999999</v>
      </c>
      <c r="G59" s="312">
        <v>42</v>
      </c>
      <c r="H59" s="312"/>
      <c r="I59" s="312"/>
      <c r="J59" s="312"/>
      <c r="K59" s="312"/>
      <c r="L59" s="312"/>
      <c r="M59" s="312"/>
      <c r="N59" s="312"/>
      <c r="O59" s="312"/>
      <c r="P59" s="312"/>
      <c r="Q59" s="312"/>
      <c r="R59" s="312"/>
      <c r="S59" s="294"/>
      <c r="T59" s="308">
        <f>$E$59/4</f>
        <v>5.6267500000000004</v>
      </c>
      <c r="U59" s="308">
        <f>$E$59/4</f>
        <v>5.6267500000000004</v>
      </c>
      <c r="V59" s="308">
        <f>$E$59/4</f>
        <v>5.6267500000000004</v>
      </c>
      <c r="W59" s="308">
        <f>E59-SUM(T59:V59)</f>
        <v>5.6267500000000013</v>
      </c>
      <c r="X59" s="308">
        <f>$F$59/4</f>
        <v>7.8907499999999997</v>
      </c>
      <c r="Y59" s="308">
        <f>$F$59/4</f>
        <v>7.8907499999999997</v>
      </c>
      <c r="Z59" s="308">
        <f>$F$59/4</f>
        <v>7.8907499999999997</v>
      </c>
      <c r="AA59" s="308">
        <f>F59-SUM(X59:Z59)</f>
        <v>7.8907500000000006</v>
      </c>
      <c r="AB59" s="308">
        <f>+AA59</f>
        <v>7.8907500000000006</v>
      </c>
      <c r="AC59" s="308">
        <f>$F$59/4</f>
        <v>7.8907499999999997</v>
      </c>
      <c r="AD59" s="308">
        <f>$F$59/4</f>
        <v>7.8907499999999997</v>
      </c>
      <c r="AE59" s="308">
        <f>G59-AB59-AC59-AD59</f>
        <v>18.327750000000002</v>
      </c>
      <c r="AF59" s="312"/>
      <c r="AG59" s="312"/>
      <c r="AH59" s="312"/>
      <c r="AI59" s="312"/>
      <c r="AJ59" s="312"/>
      <c r="AK59" s="312"/>
      <c r="AL59" s="312"/>
      <c r="AM59" s="312"/>
      <c r="AN59" s="312"/>
      <c r="AO59" s="312"/>
      <c r="AP59" s="312"/>
      <c r="AQ59" s="312"/>
      <c r="AR59" s="312"/>
      <c r="AS59" s="312"/>
      <c r="AT59" s="312"/>
      <c r="AU59" s="312"/>
      <c r="AV59" s="312"/>
      <c r="AW59" s="312"/>
      <c r="AX59" s="312"/>
      <c r="AY59" s="312"/>
      <c r="AZ59" s="312"/>
      <c r="BA59" s="312"/>
      <c r="BB59" s="312"/>
      <c r="BC59" s="312"/>
      <c r="BD59" s="312"/>
      <c r="BE59" s="312"/>
      <c r="BF59" s="312"/>
      <c r="BG59" s="312"/>
      <c r="BH59" s="312"/>
      <c r="BI59" s="39"/>
      <c r="BJ59" s="312"/>
      <c r="BK59" s="312"/>
      <c r="BL59" s="312"/>
      <c r="BM59" s="312"/>
      <c r="BN59" s="312"/>
      <c r="BO59" s="312"/>
      <c r="BP59" s="312"/>
      <c r="BQ59" s="312"/>
      <c r="BR59" s="312"/>
      <c r="BS59" s="39"/>
      <c r="BT59" s="312"/>
      <c r="BU59" s="312"/>
      <c r="BV59" s="39"/>
      <c r="BW59" s="312"/>
      <c r="BX59" s="312"/>
    </row>
    <row r="60" spans="2:77" s="39" customFormat="1" ht="13.5" customHeight="1">
      <c r="B60" s="5" t="s">
        <v>290</v>
      </c>
      <c r="C60" s="8">
        <f t="shared" ref="C60:Z60" si="506">C56+C59</f>
        <v>1396.576</v>
      </c>
      <c r="D60" s="8">
        <f t="shared" si="506"/>
        <v>1546.05</v>
      </c>
      <c r="E60" s="8">
        <f t="shared" si="506"/>
        <v>1791.5070000000001</v>
      </c>
      <c r="F60" s="8">
        <f t="shared" ref="F60:K60" si="507">F56+F59</f>
        <v>1985.5630000000001</v>
      </c>
      <c r="G60" s="8">
        <f t="shared" si="507"/>
        <v>2839</v>
      </c>
      <c r="H60" s="8">
        <f t="shared" si="507"/>
        <v>3351</v>
      </c>
      <c r="I60" s="8">
        <f t="shared" si="507"/>
        <v>5073</v>
      </c>
      <c r="J60" s="8">
        <f t="shared" si="507"/>
        <v>6914</v>
      </c>
      <c r="K60" s="8">
        <f t="shared" si="507"/>
        <v>11903</v>
      </c>
      <c r="L60" s="8">
        <f t="shared" ref="L60:M60" si="508">L56+L59</f>
        <v>16358</v>
      </c>
      <c r="M60" s="8">
        <f t="shared" si="508"/>
        <v>20077</v>
      </c>
      <c r="N60" s="8">
        <f t="shared" ref="N60" si="509">N56+N59</f>
        <v>30586</v>
      </c>
      <c r="O60" s="8">
        <f t="shared" ref="O60:P60" si="510">O56+O59</f>
        <v>22927</v>
      </c>
      <c r="P60" s="8">
        <f t="shared" si="510"/>
        <v>30009</v>
      </c>
      <c r="Q60" s="8">
        <f t="shared" ref="Q60" si="511">Q56+Q59</f>
        <v>30685</v>
      </c>
      <c r="R60" s="8">
        <f t="shared" ref="R60" si="512">R56+R59</f>
        <v>33202</v>
      </c>
      <c r="S60" s="8"/>
      <c r="T60" s="8">
        <f t="shared" si="506"/>
        <v>426.62675000000002</v>
      </c>
      <c r="U60" s="8">
        <f t="shared" si="506"/>
        <v>446.62675000000002</v>
      </c>
      <c r="V60" s="8">
        <f t="shared" si="506"/>
        <v>489.62675000000002</v>
      </c>
      <c r="W60" s="8">
        <f t="shared" si="506"/>
        <v>428.62675000000002</v>
      </c>
      <c r="X60" s="8">
        <f t="shared" si="506"/>
        <v>492.89075000000003</v>
      </c>
      <c r="Y60" s="8">
        <f t="shared" si="506"/>
        <v>503.89075000000003</v>
      </c>
      <c r="Z60" s="8">
        <f t="shared" si="506"/>
        <v>553.89075000000003</v>
      </c>
      <c r="AA60" s="8">
        <f t="shared" ref="AA60:AF60" si="513">AA56+AA59</f>
        <v>434.89075000000003</v>
      </c>
      <c r="AB60" s="8">
        <f t="shared" si="513"/>
        <v>530.89075000000003</v>
      </c>
      <c r="AC60" s="8">
        <f t="shared" si="513"/>
        <v>586.89075000000003</v>
      </c>
      <c r="AD60" s="8">
        <f t="shared" si="513"/>
        <v>794.89075000000003</v>
      </c>
      <c r="AE60" s="8">
        <f t="shared" si="513"/>
        <v>926.32775000000004</v>
      </c>
      <c r="AF60" s="8">
        <f t="shared" si="513"/>
        <v>679</v>
      </c>
      <c r="AG60" s="8">
        <f t="shared" ref="AG60:AL60" si="514">AG56+AG59</f>
        <v>887</v>
      </c>
      <c r="AH60" s="8">
        <f t="shared" si="514"/>
        <v>914</v>
      </c>
      <c r="AI60" s="8">
        <f t="shared" si="514"/>
        <v>871</v>
      </c>
      <c r="AJ60" s="8">
        <f t="shared" si="514"/>
        <v>871</v>
      </c>
      <c r="AK60" s="8">
        <f t="shared" si="514"/>
        <v>869</v>
      </c>
      <c r="AL60" s="8">
        <f t="shared" si="514"/>
        <v>1735</v>
      </c>
      <c r="AM60" s="8">
        <f t="shared" ref="AM60:AR60" si="515">AM56+AM59</f>
        <v>1598</v>
      </c>
      <c r="AN60" s="8">
        <f t="shared" si="515"/>
        <v>1890</v>
      </c>
      <c r="AO60" s="8">
        <f t="shared" si="515"/>
        <v>1427</v>
      </c>
      <c r="AP60" s="8">
        <f t="shared" si="515"/>
        <v>1782</v>
      </c>
      <c r="AQ60" s="8">
        <f t="shared" si="515"/>
        <v>1815</v>
      </c>
      <c r="AR60" s="8">
        <f t="shared" si="515"/>
        <v>2993</v>
      </c>
      <c r="AS60" s="8">
        <f t="shared" ref="AS60:AU60" si="516">AS56+AS59</f>
        <v>2418</v>
      </c>
      <c r="AT60" s="8">
        <f t="shared" si="516"/>
        <v>2932</v>
      </c>
      <c r="AU60" s="8">
        <f t="shared" si="516"/>
        <v>3560</v>
      </c>
      <c r="AV60" s="8">
        <f t="shared" ref="AV60:AX60" si="517">AV56+AV59</f>
        <v>3691</v>
      </c>
      <c r="AW60" s="8">
        <f t="shared" si="517"/>
        <v>5047</v>
      </c>
      <c r="AX60" s="8">
        <f t="shared" si="517"/>
        <v>6456</v>
      </c>
      <c r="AY60" s="8">
        <f t="shared" ref="AY60:BB60" si="518">AY56+AY59</f>
        <v>4883</v>
      </c>
      <c r="AZ60" s="8">
        <f t="shared" si="518"/>
        <v>5751</v>
      </c>
      <c r="BA60" s="8">
        <f t="shared" si="518"/>
        <v>5478</v>
      </c>
      <c r="BB60" s="8">
        <f t="shared" si="518"/>
        <v>3869</v>
      </c>
      <c r="BC60" s="8">
        <f t="shared" ref="BC60:BF60" si="519">BC56+BC59</f>
        <v>7829</v>
      </c>
      <c r="BD60" s="8">
        <f t="shared" si="519"/>
        <v>5785</v>
      </c>
      <c r="BE60" s="8">
        <f t="shared" si="519"/>
        <v>7145</v>
      </c>
      <c r="BF60" s="8">
        <f t="shared" si="519"/>
        <v>8654</v>
      </c>
      <c r="BG60" s="8">
        <f t="shared" ref="BG60:BH60" si="520">BG56+BG59</f>
        <v>9101</v>
      </c>
      <c r="BH60" s="8">
        <f t="shared" si="520"/>
        <v>8302</v>
      </c>
      <c r="BJ60" s="8">
        <f t="shared" ref="BJ60:BL60" si="521">BJ56+BJ59</f>
        <v>5049</v>
      </c>
      <c r="BK60" s="8">
        <f t="shared" si="521"/>
        <v>8535</v>
      </c>
      <c r="BL60" s="8">
        <f t="shared" si="521"/>
        <v>7050</v>
      </c>
      <c r="BM60" s="8">
        <f t="shared" ref="BM60:BN60" si="522">BM56+BM59</f>
        <v>9952</v>
      </c>
      <c r="BN60" s="8">
        <f t="shared" si="522"/>
        <v>7999</v>
      </c>
      <c r="BO60" s="8">
        <f t="shared" ref="BO60:BR60" si="523">BO56+BO59</f>
        <v>6773</v>
      </c>
      <c r="BP60" s="8">
        <f t="shared" si="523"/>
        <v>6234</v>
      </c>
      <c r="BQ60" s="8">
        <f t="shared" si="523"/>
        <v>9003</v>
      </c>
      <c r="BR60" s="8">
        <f t="shared" si="523"/>
        <v>7571</v>
      </c>
      <c r="BT60" s="8">
        <f t="shared" ref="BT60:BU60" si="524">BT56+BT59</f>
        <v>22631</v>
      </c>
      <c r="BU60" s="8">
        <f t="shared" si="524"/>
        <v>22928</v>
      </c>
      <c r="BW60" s="8">
        <f t="shared" ref="BW60:BX60" si="525">BW56+BW59</f>
        <v>7378</v>
      </c>
      <c r="BX60" s="8">
        <f t="shared" si="525"/>
        <v>7757</v>
      </c>
    </row>
    <row r="61" spans="2:77" s="39" customFormat="1" ht="13.5" customHeight="1">
      <c r="B61" s="18" t="s">
        <v>291</v>
      </c>
      <c r="C61" s="19">
        <f t="shared" ref="C61:AE61" si="526">C59/C7</f>
        <v>2.2036061435989503E-3</v>
      </c>
      <c r="D61" s="19">
        <f t="shared" si="526"/>
        <v>1.3447596727398509E-3</v>
      </c>
      <c r="E61" s="19">
        <f t="shared" si="526"/>
        <v>1.3982827718292275E-3</v>
      </c>
      <c r="F61" s="19">
        <f t="shared" si="526"/>
        <v>1.5144947991692949E-3</v>
      </c>
      <c r="G61" s="19">
        <f t="shared" si="526"/>
        <v>1.5610838739143777E-3</v>
      </c>
      <c r="H61" s="19">
        <f t="shared" ref="H61:K61" si="527">H59/H7</f>
        <v>0</v>
      </c>
      <c r="I61" s="19">
        <f t="shared" si="527"/>
        <v>0</v>
      </c>
      <c r="J61" s="19">
        <f t="shared" si="527"/>
        <v>0</v>
      </c>
      <c r="K61" s="19">
        <f t="shared" si="527"/>
        <v>0</v>
      </c>
      <c r="L61" s="19">
        <f t="shared" ref="L61:M61" si="528">L59/L7</f>
        <v>0</v>
      </c>
      <c r="M61" s="19">
        <f t="shared" si="528"/>
        <v>0</v>
      </c>
      <c r="N61" s="19">
        <f t="shared" ref="N61" si="529">N59/N7</f>
        <v>0</v>
      </c>
      <c r="O61" s="19">
        <f t="shared" ref="O61:P61" si="530">O59/O7</f>
        <v>0</v>
      </c>
      <c r="P61" s="19">
        <f t="shared" si="530"/>
        <v>0</v>
      </c>
      <c r="Q61" s="19">
        <f t="shared" ref="Q61" si="531">Q59/Q7</f>
        <v>0</v>
      </c>
      <c r="R61" s="19">
        <f t="shared" ref="R61" si="532">R59/R7</f>
        <v>0</v>
      </c>
      <c r="S61" s="294"/>
      <c r="T61" s="19">
        <f t="shared" si="526"/>
        <v>1.595132913331986E-3</v>
      </c>
      <c r="U61" s="19">
        <f t="shared" si="526"/>
        <v>1.4210557951447082E-3</v>
      </c>
      <c r="V61" s="19">
        <f t="shared" si="526"/>
        <v>1.3780117641930254E-3</v>
      </c>
      <c r="W61" s="19">
        <f t="shared" si="526"/>
        <v>1.2432254239958251E-3</v>
      </c>
      <c r="X61" s="19">
        <f t="shared" si="526"/>
        <v>1.7027012330355651E-3</v>
      </c>
      <c r="Y61" s="19">
        <f t="shared" si="526"/>
        <v>1.5591049098838052E-3</v>
      </c>
      <c r="Z61" s="19">
        <f t="shared" si="526"/>
        <v>1.4506095106082972E-3</v>
      </c>
      <c r="AA61" s="19">
        <f t="shared" si="526"/>
        <v>1.3829659328471733E-3</v>
      </c>
      <c r="AB61" s="19">
        <f t="shared" si="526"/>
        <v>1.4938327043677486E-3</v>
      </c>
      <c r="AC61" s="19">
        <f t="shared" si="526"/>
        <v>1.2117444190191699E-3</v>
      </c>
      <c r="AD61" s="19">
        <f t="shared" si="526"/>
        <v>1.0253038879492245E-3</v>
      </c>
      <c r="AE61" s="19">
        <f t="shared" si="526"/>
        <v>2.4719587735097586E-3</v>
      </c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Z61" s="19"/>
      <c r="BA61" s="19"/>
      <c r="BB61" s="19"/>
      <c r="BC61" s="19"/>
      <c r="BD61" s="19"/>
      <c r="BE61" s="19"/>
      <c r="BF61" s="19"/>
      <c r="BG61" s="19"/>
      <c r="BH61" s="19"/>
      <c r="BJ61" s="19"/>
      <c r="BK61" s="19"/>
      <c r="BL61" s="19"/>
      <c r="BM61" s="19"/>
      <c r="BN61" s="19"/>
      <c r="BO61" s="19"/>
      <c r="BP61" s="19"/>
      <c r="BQ61" s="19"/>
      <c r="BR61" s="19"/>
      <c r="BT61" s="19"/>
      <c r="BU61" s="19"/>
      <c r="BW61" s="19"/>
      <c r="BX61" s="19"/>
    </row>
    <row r="62" spans="2:77" ht="13.5" customHeight="1"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S62" s="145"/>
      <c r="T62" s="51"/>
      <c r="U62" s="39"/>
      <c r="V62" s="39"/>
      <c r="W62" s="39"/>
      <c r="X62" s="51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  <c r="BP62" s="39"/>
      <c r="BS62" s="39"/>
      <c r="BT62" s="39"/>
      <c r="BU62" s="39"/>
      <c r="BV62" s="39"/>
      <c r="BW62" s="39"/>
      <c r="BX62" s="39"/>
      <c r="BY62" s="39"/>
    </row>
    <row r="63" spans="2:77" ht="13.5" customHeight="1">
      <c r="B63" s="16" t="s">
        <v>292</v>
      </c>
      <c r="C63" s="38">
        <f t="shared" ref="C63:H63" si="533">C3</f>
        <v>41975</v>
      </c>
      <c r="D63" s="38">
        <f t="shared" si="533"/>
        <v>42341</v>
      </c>
      <c r="E63" s="38">
        <f t="shared" si="533"/>
        <v>42735</v>
      </c>
      <c r="F63" s="38">
        <f t="shared" si="533"/>
        <v>43100</v>
      </c>
      <c r="G63" s="38">
        <f t="shared" si="533"/>
        <v>43465</v>
      </c>
      <c r="H63" s="38">
        <f t="shared" si="533"/>
        <v>43830</v>
      </c>
      <c r="I63" s="38">
        <f>I3</f>
        <v>44196</v>
      </c>
      <c r="J63" s="38">
        <f>J3</f>
        <v>44561</v>
      </c>
      <c r="K63" s="38">
        <f t="shared" ref="K63" si="534">K3</f>
        <v>44926</v>
      </c>
      <c r="L63" s="38">
        <f t="shared" ref="L63:Q63" si="535">L3</f>
        <v>44926</v>
      </c>
      <c r="M63" s="38">
        <f t="shared" si="535"/>
        <v>45291</v>
      </c>
      <c r="N63" s="38">
        <f t="shared" si="535"/>
        <v>45291</v>
      </c>
      <c r="O63" s="38">
        <f t="shared" si="535"/>
        <v>45657</v>
      </c>
      <c r="P63" s="38">
        <f t="shared" si="535"/>
        <v>45657</v>
      </c>
      <c r="Q63" s="38">
        <f t="shared" si="535"/>
        <v>46022</v>
      </c>
      <c r="R63" s="83" t="s">
        <v>241</v>
      </c>
      <c r="S63" s="145"/>
      <c r="T63" s="38">
        <f t="shared" ref="T63:AF63" si="536">T3</f>
        <v>42437</v>
      </c>
      <c r="U63" s="38">
        <f t="shared" si="536"/>
        <v>42527</v>
      </c>
      <c r="V63" s="38">
        <f t="shared" si="536"/>
        <v>42622</v>
      </c>
      <c r="W63" s="38">
        <f t="shared" si="536"/>
        <v>42714</v>
      </c>
      <c r="X63" s="38">
        <f t="shared" si="536"/>
        <v>42825</v>
      </c>
      <c r="Y63" s="38">
        <f t="shared" si="536"/>
        <v>42916</v>
      </c>
      <c r="Z63" s="38">
        <f t="shared" si="536"/>
        <v>43008</v>
      </c>
      <c r="AA63" s="38">
        <f t="shared" si="536"/>
        <v>43100</v>
      </c>
      <c r="AB63" s="38">
        <f t="shared" si="536"/>
        <v>43190</v>
      </c>
      <c r="AC63" s="38">
        <f t="shared" si="536"/>
        <v>43281</v>
      </c>
      <c r="AD63" s="38">
        <f t="shared" si="536"/>
        <v>43373</v>
      </c>
      <c r="AE63" s="38">
        <f t="shared" si="536"/>
        <v>43465</v>
      </c>
      <c r="AF63" s="38">
        <f t="shared" si="536"/>
        <v>43555</v>
      </c>
      <c r="AG63" s="38">
        <f t="shared" ref="AG63:AL63" si="537">AG3</f>
        <v>43646</v>
      </c>
      <c r="AH63" s="38">
        <f t="shared" si="537"/>
        <v>43738</v>
      </c>
      <c r="AI63" s="38">
        <f t="shared" si="537"/>
        <v>43830</v>
      </c>
      <c r="AJ63" s="38">
        <f t="shared" si="537"/>
        <v>43921</v>
      </c>
      <c r="AK63" s="38">
        <f t="shared" si="537"/>
        <v>44012</v>
      </c>
      <c r="AL63" s="38">
        <f t="shared" si="537"/>
        <v>44104</v>
      </c>
      <c r="AM63" s="226">
        <f t="shared" ref="AM63:AR63" si="538">AM3</f>
        <v>44196</v>
      </c>
      <c r="AN63" s="38">
        <f t="shared" si="538"/>
        <v>44286</v>
      </c>
      <c r="AO63" s="38">
        <f t="shared" si="538"/>
        <v>44377</v>
      </c>
      <c r="AP63" s="38">
        <f t="shared" si="538"/>
        <v>44469</v>
      </c>
      <c r="AQ63" s="226">
        <f t="shared" si="538"/>
        <v>44561</v>
      </c>
      <c r="AR63" s="38">
        <f t="shared" si="538"/>
        <v>44651</v>
      </c>
      <c r="AS63" s="38">
        <f t="shared" ref="AS63:AV63" si="539">AS3</f>
        <v>44742</v>
      </c>
      <c r="AT63" s="38">
        <f t="shared" si="539"/>
        <v>44834</v>
      </c>
      <c r="AU63" s="226">
        <f t="shared" si="539"/>
        <v>44926</v>
      </c>
      <c r="AV63" s="38">
        <f t="shared" si="539"/>
        <v>45016</v>
      </c>
      <c r="AW63" s="38">
        <f t="shared" ref="AW63:AZ63" si="540">AW3</f>
        <v>45107</v>
      </c>
      <c r="AX63" s="38">
        <f t="shared" si="540"/>
        <v>45199</v>
      </c>
      <c r="AY63" s="38">
        <f t="shared" si="540"/>
        <v>45291</v>
      </c>
      <c r="AZ63" s="38">
        <f t="shared" si="540"/>
        <v>45382</v>
      </c>
      <c r="BA63" s="38">
        <f t="shared" ref="BA63:BD63" si="541">BA3</f>
        <v>45473</v>
      </c>
      <c r="BB63" s="38">
        <f t="shared" si="541"/>
        <v>45565</v>
      </c>
      <c r="BC63" s="38">
        <f t="shared" si="541"/>
        <v>45657</v>
      </c>
      <c r="BD63" s="38">
        <f t="shared" si="541"/>
        <v>45747</v>
      </c>
      <c r="BE63" s="38">
        <f t="shared" ref="BE63:BH63" si="542">BE3</f>
        <v>45838</v>
      </c>
      <c r="BF63" s="38">
        <f t="shared" si="542"/>
        <v>45930</v>
      </c>
      <c r="BG63" s="38">
        <f t="shared" si="542"/>
        <v>46022</v>
      </c>
      <c r="BH63" s="38">
        <f t="shared" si="542"/>
        <v>46112</v>
      </c>
      <c r="BJ63" s="38">
        <f t="shared" ref="BJ63:BL63" si="543">BJ3</f>
        <v>45016</v>
      </c>
      <c r="BK63" s="38">
        <f t="shared" si="543"/>
        <v>45107</v>
      </c>
      <c r="BL63" s="38">
        <f t="shared" si="543"/>
        <v>45199</v>
      </c>
      <c r="BM63" s="38">
        <f t="shared" ref="BM63:BN63" si="544">BM3</f>
        <v>45291</v>
      </c>
      <c r="BN63" s="38">
        <f t="shared" si="544"/>
        <v>45382</v>
      </c>
      <c r="BO63" s="38">
        <f t="shared" ref="BO63:BR63" si="545">BO3</f>
        <v>45473</v>
      </c>
      <c r="BP63" s="38">
        <f t="shared" si="545"/>
        <v>45565</v>
      </c>
      <c r="BQ63" s="38">
        <f t="shared" si="545"/>
        <v>45657</v>
      </c>
      <c r="BR63" s="38">
        <f t="shared" si="545"/>
        <v>45747</v>
      </c>
      <c r="BW63" s="39"/>
      <c r="BX63" s="39"/>
    </row>
    <row r="64" spans="2:77" s="5" customFormat="1" ht="13.5" customHeight="1">
      <c r="B64" s="5" t="s">
        <v>293</v>
      </c>
      <c r="C64" s="8">
        <f t="shared" ref="C64:W64" si="546">C56</f>
        <v>1369</v>
      </c>
      <c r="D64" s="8">
        <f t="shared" si="546"/>
        <v>1527</v>
      </c>
      <c r="E64" s="8">
        <f t="shared" si="546"/>
        <v>1769</v>
      </c>
      <c r="F64" s="8">
        <f t="shared" si="546"/>
        <v>1954</v>
      </c>
      <c r="G64" s="8">
        <f t="shared" si="546"/>
        <v>2797</v>
      </c>
      <c r="H64" s="8">
        <f t="shared" ref="H64:K64" si="547">H56</f>
        <v>3351</v>
      </c>
      <c r="I64" s="8">
        <f t="shared" si="547"/>
        <v>5073</v>
      </c>
      <c r="J64" s="8">
        <f t="shared" si="547"/>
        <v>6914</v>
      </c>
      <c r="K64" s="8">
        <f t="shared" si="547"/>
        <v>11903</v>
      </c>
      <c r="L64" s="8">
        <f t="shared" ref="L64:M64" si="548">L56</f>
        <v>16358</v>
      </c>
      <c r="M64" s="8">
        <f t="shared" si="548"/>
        <v>20077</v>
      </c>
      <c r="N64" s="8">
        <f t="shared" ref="N64" si="549">N56</f>
        <v>30586</v>
      </c>
      <c r="O64" s="8">
        <f t="shared" ref="O64:P64" si="550">O56</f>
        <v>22927</v>
      </c>
      <c r="P64" s="8">
        <f t="shared" si="550"/>
        <v>30009</v>
      </c>
      <c r="Q64" s="8">
        <f t="shared" ref="Q64" si="551">Q56</f>
        <v>30685</v>
      </c>
      <c r="R64" s="8">
        <f>R56</f>
        <v>33202</v>
      </c>
      <c r="S64" s="145"/>
      <c r="T64" s="8">
        <f t="shared" si="546"/>
        <v>421</v>
      </c>
      <c r="U64" s="8">
        <f t="shared" si="546"/>
        <v>441</v>
      </c>
      <c r="V64" s="8">
        <f t="shared" si="546"/>
        <v>484</v>
      </c>
      <c r="W64" s="8">
        <f t="shared" si="546"/>
        <v>423</v>
      </c>
      <c r="X64" s="8">
        <f t="shared" ref="X64:AE64" si="552">X56</f>
        <v>485</v>
      </c>
      <c r="Y64" s="8">
        <f t="shared" si="552"/>
        <v>496</v>
      </c>
      <c r="Z64" s="8">
        <f t="shared" si="552"/>
        <v>546</v>
      </c>
      <c r="AA64" s="8">
        <f t="shared" si="552"/>
        <v>427</v>
      </c>
      <c r="AB64" s="8">
        <f t="shared" si="552"/>
        <v>523</v>
      </c>
      <c r="AC64" s="8">
        <f t="shared" si="552"/>
        <v>579</v>
      </c>
      <c r="AD64" s="8">
        <f t="shared" si="552"/>
        <v>787</v>
      </c>
      <c r="AE64" s="8">
        <f t="shared" si="552"/>
        <v>908</v>
      </c>
      <c r="AF64" s="8">
        <f t="shared" ref="AF64:AK64" si="553">AF56</f>
        <v>679</v>
      </c>
      <c r="AG64" s="8">
        <f t="shared" si="553"/>
        <v>887</v>
      </c>
      <c r="AH64" s="8">
        <f t="shared" si="553"/>
        <v>914</v>
      </c>
      <c r="AI64" s="8">
        <f t="shared" si="553"/>
        <v>871</v>
      </c>
      <c r="AJ64" s="8">
        <f t="shared" si="553"/>
        <v>871</v>
      </c>
      <c r="AK64" s="8">
        <f t="shared" si="553"/>
        <v>869</v>
      </c>
      <c r="AL64" s="8">
        <f t="shared" ref="AL64:AQ64" si="554">AL56</f>
        <v>1735</v>
      </c>
      <c r="AM64" s="8">
        <f t="shared" si="554"/>
        <v>1598</v>
      </c>
      <c r="AN64" s="8">
        <f t="shared" si="554"/>
        <v>1890</v>
      </c>
      <c r="AO64" s="8">
        <f t="shared" si="554"/>
        <v>1427</v>
      </c>
      <c r="AP64" s="8">
        <f t="shared" si="554"/>
        <v>1782</v>
      </c>
      <c r="AQ64" s="8">
        <f t="shared" si="554"/>
        <v>1815</v>
      </c>
      <c r="AR64" s="8">
        <f t="shared" ref="AR64:AW64" si="555">AR56</f>
        <v>2993</v>
      </c>
      <c r="AS64" s="8">
        <f t="shared" si="555"/>
        <v>2418</v>
      </c>
      <c r="AT64" s="8">
        <f t="shared" si="555"/>
        <v>2932</v>
      </c>
      <c r="AU64" s="8">
        <f t="shared" si="555"/>
        <v>3560</v>
      </c>
      <c r="AV64" s="8">
        <f t="shared" si="555"/>
        <v>3691</v>
      </c>
      <c r="AW64" s="8">
        <f t="shared" si="555"/>
        <v>5047</v>
      </c>
      <c r="AX64" s="8">
        <f t="shared" ref="AX64:BA64" si="556">AX56</f>
        <v>6456</v>
      </c>
      <c r="AY64" s="8">
        <f t="shared" si="556"/>
        <v>4883</v>
      </c>
      <c r="AZ64" s="8">
        <f t="shared" si="556"/>
        <v>5751</v>
      </c>
      <c r="BA64" s="8">
        <f t="shared" si="556"/>
        <v>5478</v>
      </c>
      <c r="BB64" s="8">
        <f t="shared" ref="BB64:BE64" si="557">BB56</f>
        <v>3869</v>
      </c>
      <c r="BC64" s="8">
        <f t="shared" si="557"/>
        <v>7829</v>
      </c>
      <c r="BD64" s="8">
        <f t="shared" si="557"/>
        <v>5785</v>
      </c>
      <c r="BE64" s="8">
        <f t="shared" si="557"/>
        <v>7145</v>
      </c>
      <c r="BF64" s="8">
        <f t="shared" ref="BF64:BH64" si="558">BF56</f>
        <v>8654</v>
      </c>
      <c r="BG64" s="8">
        <f t="shared" si="558"/>
        <v>9101</v>
      </c>
      <c r="BH64" s="8">
        <f t="shared" si="558"/>
        <v>8302</v>
      </c>
      <c r="BJ64" s="8">
        <f t="shared" ref="BJ64:BL64" si="559">BJ56</f>
        <v>5049</v>
      </c>
      <c r="BK64" s="8">
        <f t="shared" si="559"/>
        <v>8535</v>
      </c>
      <c r="BL64" s="8">
        <f t="shared" si="559"/>
        <v>7050</v>
      </c>
      <c r="BM64" s="8">
        <f t="shared" ref="BM64:BN64" si="560">BM56</f>
        <v>9952</v>
      </c>
      <c r="BN64" s="8">
        <f t="shared" si="560"/>
        <v>7999</v>
      </c>
      <c r="BO64" s="8">
        <f t="shared" ref="BO64:BR64" si="561">BO56</f>
        <v>6773</v>
      </c>
      <c r="BP64" s="8">
        <f t="shared" si="561"/>
        <v>6234</v>
      </c>
      <c r="BQ64" s="8">
        <f t="shared" si="561"/>
        <v>9003</v>
      </c>
      <c r="BR64" s="8">
        <f t="shared" si="561"/>
        <v>7571</v>
      </c>
      <c r="BW64" s="39"/>
      <c r="BX64" s="39"/>
    </row>
    <row r="65" spans="2:76" ht="13.5" customHeight="1">
      <c r="B65" s="7" t="s">
        <v>294</v>
      </c>
      <c r="C65" s="4">
        <f>136.542-34.229-140.281-265.71</f>
        <v>-303.678</v>
      </c>
      <c r="D65" s="4">
        <f>-325.237-30.689+308.94+32.071+110.794-6.203</f>
        <v>89.675999999999945</v>
      </c>
      <c r="E65" s="4">
        <f>-482.683-515.333+955.788+51.572+67.25-44.21</f>
        <v>32.38400000000005</v>
      </c>
      <c r="F65" s="4">
        <f>-1226.705-1035.079-0.973+489.579+3.949-117.104</f>
        <v>-1886.3329999999996</v>
      </c>
      <c r="G65" s="4">
        <f>-1283.364-1348.338-75.301+1158.876-32.673-216.048</f>
        <v>-1796.8480000000002</v>
      </c>
      <c r="H65" s="4">
        <f>-1548.013-287.696-42.848+916.705-30.402+104.601</f>
        <v>-887.65299999999979</v>
      </c>
      <c r="I65" s="4">
        <f>-2781.751-1550.665-286.948+4427.202-37.894-113.935-75.73+53.4</f>
        <v>-366.32100000000031</v>
      </c>
      <c r="J65" s="4">
        <f>-10244.163-8778.57-121.529+6575.905-68.446-89.181+51.304-494.036</f>
        <v>-13168.716</v>
      </c>
      <c r="K65" s="4">
        <f>-10787.883-11206.53-450.356+7587.759+488.993+1150.225+44.911-49.149</f>
        <v>-13222.029999999999</v>
      </c>
      <c r="L65" s="4">
        <f>7747.127-1532.436+162.7-1888.64+182.209-236.622+131.235-1829.579</f>
        <v>2735.9939999999997</v>
      </c>
      <c r="M65" s="4">
        <f>-10272.572+3980.62-677.844+2725.118+396.62+1520.718-4215.067</f>
        <v>-6542.4070000000002</v>
      </c>
      <c r="N65" s="4">
        <f>-14831.415+5747.171-978.663+3934.492+572.635+2392.648+322.484-7793.364</f>
        <v>-10634.012000000001</v>
      </c>
      <c r="O65" s="4">
        <f>29477.855+16655.526-399.786-25819.599-4524.519-975.662+463.484-6414.024</f>
        <v>8463.2750000000015</v>
      </c>
      <c r="P65" s="4">
        <f>38584.251+21800.806-523.289-33795.875-5064.418-1277.067+606.665-8395.464-857.83</f>
        <v>11077.779000000008</v>
      </c>
      <c r="Q65" s="4">
        <f>4499.407+3591.032-793.59-4046.54-2130.061+4875.13+595.634-5564.611-8573.68</f>
        <v>-7547.2789999999995</v>
      </c>
      <c r="R65" s="6">
        <f>SUM(BE65:BH65)</f>
        <v>-13405.011000000004</v>
      </c>
      <c r="S65" s="145"/>
      <c r="T65" s="4">
        <f>312.9-114.354-27.333-131.921+233.663-229.872</f>
        <v>43.083000000000027</v>
      </c>
      <c r="U65" s="4">
        <f>-244.725-176.589-36.46+315.601-14.975+26.851-T65</f>
        <v>-173.37999999999997</v>
      </c>
      <c r="V65" s="4">
        <f>-491.241-271.493-57.979+404.135+60.164+119.699-U65-T65</f>
        <v>-106.41800000000003</v>
      </c>
      <c r="W65" s="6">
        <f>E65-SUM(T65:V65)</f>
        <v>269.09900000000005</v>
      </c>
      <c r="X65" s="4">
        <f>-397.558-492.1-45.018+69.958-28.405-80.741</f>
        <v>-973.86400000000003</v>
      </c>
      <c r="Y65" s="4">
        <f>-1168.565-777.777-58.016+355.931-16.691-53.635-X65</f>
        <v>-744.88900000000012</v>
      </c>
      <c r="Z65" s="4">
        <f>-1708.636-1189.992-122.947+783.686+5.179-26.422-Y65-X65</f>
        <v>-540.37899999999945</v>
      </c>
      <c r="AA65" s="6">
        <f>F65-SUM(X65:Z65)</f>
        <v>372.79899999999998</v>
      </c>
      <c r="AB65" s="4">
        <f>-288.752-532.101-48.644+252.525 +15.188 +82.144</f>
        <v>-519.6400000000001</v>
      </c>
      <c r="AC65" s="4">
        <f>-1466.685-984.552+1033.78+29.055-15.965-AB65</f>
        <v>-884.72699999999986</v>
      </c>
      <c r="AD65" s="4">
        <f>-2948.333-2457.03+2469.209+133.906-138.607-AC65-AB65</f>
        <v>-1536.4880000000005</v>
      </c>
      <c r="AE65" s="6">
        <f>G65-AB65-AC65-AD65</f>
        <v>1144.0070000000003</v>
      </c>
      <c r="AF65" s="4">
        <f>-502.963-353.226-95.652+574.844+27.021+24.419</f>
        <v>-325.55700000000007</v>
      </c>
      <c r="AG65" s="4">
        <f>-1610.777-715.923-153.548+1481.376-14.597+105.217-AF65</f>
        <v>-582.69499999999948</v>
      </c>
      <c r="AH65" s="4">
        <f>-1741.538-610.973-127.601+1187.478-22.005+63.588-AG65-AF65</f>
        <v>-342.7990000000006</v>
      </c>
      <c r="AI65" s="6">
        <f>H65-AF65-AG65-AH65</f>
        <v>363.39800000000031</v>
      </c>
      <c r="AJ65" s="4">
        <f>341.191-192.842-147.645+22.199-8.942-64.809</f>
        <v>-50.848000000000042</v>
      </c>
      <c r="AK65" s="4">
        <f>509.181-265.909-148.481+352.537-17.921+452.987-AJ65</f>
        <v>933.24200000000008</v>
      </c>
      <c r="AL65" s="4">
        <f>-2668.901-1248.489-171.876+3631.161-14.583-28.178+35.897+519.86-AK65-AJ65</f>
        <v>-827.50300000000004</v>
      </c>
      <c r="AM65" s="6">
        <f>I65-AJ65-AK65-AL65</f>
        <v>-421.21200000000033</v>
      </c>
      <c r="AN65" s="4">
        <f>-3606.086-3088.414-44.935+2850.457+0.034-324.527-36.927+16.76</f>
        <v>-4233.6379999999999</v>
      </c>
      <c r="AO65" s="4">
        <f>-4801.992-5258.009-42.642+3442.163-21.272+16.406+21.471-142.353-AN65</f>
        <v>-2552.59</v>
      </c>
      <c r="AP65" s="4">
        <f>-5579.175-4993.662+20.61+2640.792+28.285+203.496+34.855-622.926-AO65-AN65</f>
        <v>-1481.4970000000003</v>
      </c>
      <c r="AQ65" s="6">
        <f>J65-AN65-AO65-AP65</f>
        <v>-4900.9910000000009</v>
      </c>
      <c r="AR65" s="4">
        <f>-5523.178-6672.516-765.194+7720.05+201.513+64.316+0.598-175.266</f>
        <v>-5149.6769999999988</v>
      </c>
      <c r="AS65" s="4">
        <f>-10403.605-11527.299-1384.945+10633.551+307.466+276.679+4.171+16.814-AR65</f>
        <v>-6927.4910000000027</v>
      </c>
      <c r="AT65" s="4">
        <f>-10003.137-13913.446-427.971+11304.933+526.529+571.103+4.459-329.711-AS65-AR65</f>
        <v>-190.07299999999668</v>
      </c>
      <c r="AU65" s="6">
        <f>K65-AR65-AS65-AT65</f>
        <v>-954.78900000000067</v>
      </c>
      <c r="AV65" s="4">
        <f>-5277.01-1213.66-160.22-366.866-98.384-103.305+28.48-461.775</f>
        <v>-7652.7400000000007</v>
      </c>
      <c r="AW65" s="4">
        <f>-16018.017-9987.468-456.243+6199.286+84.715+412.036+77.156+146.593-AV65</f>
        <v>-11889.201999999997</v>
      </c>
      <c r="AX65" s="4">
        <f>-25426.343-13885.366-335.794+9804.207+639.209+1377.193+112.935-786.99-AW65-AV65</f>
        <v>-8959.0070000000051</v>
      </c>
      <c r="AY65" s="6">
        <f>M65-AV65-AW65-AX65</f>
        <v>21958.542000000001</v>
      </c>
      <c r="AZ65" s="4">
        <f>3476.408+2819.995-1442.764-218.312-1566.118-939.865+50.187-249.436</f>
        <v>1930.095</v>
      </c>
      <c r="BA65" s="4">
        <f>615.696-169.818-2484.346-738.066-2460.477-1303.363+34.164+543.67-AZ65</f>
        <v>-7892.6350000000002</v>
      </c>
      <c r="BB65" s="4">
        <f>7234.511+1214.288-1891.494-13916.275-1693.205-1113.146+240.859-5154.338-BA65-AZ65</f>
        <v>-9116.2599999999984</v>
      </c>
      <c r="BC65" s="6">
        <f>O65-AZ65-BA65-BB65</f>
        <v>23542.075000000001</v>
      </c>
      <c r="BD65" s="4">
        <f>(-10905230-9585542-1335322+6875150-817242+966661+99786+1039501)/1000</f>
        <v>-13662.237999999999</v>
      </c>
      <c r="BE65" s="4">
        <f>-16802.895-17468.273+440.326-BD65</f>
        <v>-20168.604000000007</v>
      </c>
      <c r="BF65" s="4">
        <f>-1706.128-28628.696+1663.456-BE65-BD65</f>
        <v>5159.4740000000038</v>
      </c>
      <c r="BG65" s="6">
        <f>Q65-BD65-BE65-BF65</f>
        <v>21124.089</v>
      </c>
      <c r="BH65" s="4">
        <f>-5828.701+824.287-8633.085+584.5-1635.382-414.913+15.605-2991.31-1440.971</f>
        <v>-19519.97</v>
      </c>
      <c r="BI65" s="291"/>
      <c r="BJ65" s="4">
        <f>-1490.449+3319.745-30.211-2988.442-282.878-419.938+48.837-2074.759</f>
        <v>-3918.0950000000003</v>
      </c>
      <c r="BK65" s="4">
        <f>-16092.626-8446.634-418.797+12648.876-135.809-0.022+138.764-3505.52-BJ65</f>
        <v>-11893.673000000003</v>
      </c>
      <c r="BL65" s="4">
        <f>-12545.351-1186.894+179.818+9387.964-156.759+883.24+208.235-4864.251-BJ65-BK65</f>
        <v>7717.7700000000013</v>
      </c>
      <c r="BM65" s="6">
        <f>N65-SUM(BJ65:BL65)</f>
        <v>-2540.0139999999983</v>
      </c>
      <c r="BN65" s="4">
        <f>(4801053+3894521-1992512-301497-2091244-1297990+69310-369051)/1000</f>
        <v>2712.59</v>
      </c>
      <c r="BO65" s="4">
        <f>-1156.96-7618.512+499.225-BN65</f>
        <v>-10988.837</v>
      </c>
      <c r="BP65" s="4">
        <f>-17659.11-3578.896+747.266-BN65-BO65</f>
        <v>-12214.493000000002</v>
      </c>
      <c r="BQ65" s="6">
        <f>P65-SUM(BN65:BP65)</f>
        <v>31568.519000000008</v>
      </c>
      <c r="BR65" s="4">
        <f>-14271.183-12544.167+8997.199-1747.476+258.769+1265.026+130.585+1698.291-1328.257</f>
        <v>-17541.212999999996</v>
      </c>
      <c r="BW65" s="39"/>
      <c r="BX65" s="39"/>
    </row>
    <row r="66" spans="2:76" ht="13.5" customHeight="1">
      <c r="B66" s="7" t="s">
        <v>295</v>
      </c>
      <c r="C66" s="4">
        <v>-81.602999999999994</v>
      </c>
      <c r="D66" s="4">
        <v>-114.76500000000001</v>
      </c>
      <c r="E66" s="4">
        <v>-134.989</v>
      </c>
      <c r="F66" s="4">
        <v>-163.93899999999999</v>
      </c>
      <c r="G66" s="4">
        <v>-105.81</v>
      </c>
      <c r="H66" s="4">
        <v>-150.31100000000001</v>
      </c>
      <c r="I66" s="4">
        <v>-167.446</v>
      </c>
      <c r="J66" s="4">
        <v>-498.72300000000001</v>
      </c>
      <c r="K66" s="4">
        <v>-772.69500000000005</v>
      </c>
      <c r="L66" s="4">
        <v>-1459.741</v>
      </c>
      <c r="M66" s="4">
        <v>-812.61900000000003</v>
      </c>
      <c r="N66" s="4">
        <v>-1173.249</v>
      </c>
      <c r="O66" s="4">
        <v>-895.57</v>
      </c>
      <c r="P66" s="4">
        <v>-1172.2339999999999</v>
      </c>
      <c r="Q66" s="4">
        <v>-1127.2249999999999</v>
      </c>
      <c r="R66" s="6">
        <f t="shared" ref="R66:R67" si="562">SUM(BE66:BH66)</f>
        <v>-1414.0809999999999</v>
      </c>
      <c r="S66" s="145"/>
      <c r="T66" s="4">
        <v>-10.914</v>
      </c>
      <c r="U66" s="4">
        <f>-18.476-T66</f>
        <v>-7.5619999999999994</v>
      </c>
      <c r="V66" s="4">
        <f>-90.112-U66-T66</f>
        <v>-71.635999999999996</v>
      </c>
      <c r="W66" s="6">
        <f>E66-SUM(T66:V66)</f>
        <v>-44.87700000000001</v>
      </c>
      <c r="X66" s="4">
        <v>-17.928000000000001</v>
      </c>
      <c r="Y66" s="4">
        <f>-94.984-X66</f>
        <v>-77.055999999999997</v>
      </c>
      <c r="Z66" s="4">
        <f>-104.642-Y66-X66</f>
        <v>-9.6579999999999977</v>
      </c>
      <c r="AA66" s="6">
        <f>F66-SUM(X66:Z66)</f>
        <v>-59.296999999999997</v>
      </c>
      <c r="AB66" s="4">
        <v>-26.202999999999999</v>
      </c>
      <c r="AC66" s="4">
        <f>-56.206-AB66</f>
        <v>-30.003000000000004</v>
      </c>
      <c r="AD66" s="4">
        <f>-89.261-AC66-AB66</f>
        <v>-33.054999999999993</v>
      </c>
      <c r="AE66" s="6">
        <f>G66-AB66-AC66-AD66</f>
        <v>-16.549000000000007</v>
      </c>
      <c r="AF66" s="4">
        <v>-11.308999999999999</v>
      </c>
      <c r="AG66" s="4">
        <f>-66.955-AF66</f>
        <v>-55.646000000000001</v>
      </c>
      <c r="AH66" s="4">
        <f>-119.741-AG66-AF66</f>
        <v>-52.786000000000001</v>
      </c>
      <c r="AI66" s="6">
        <f>H66-AF66-AG66-AH66</f>
        <v>-30.570000000000007</v>
      </c>
      <c r="AJ66" s="4">
        <v>-20.355</v>
      </c>
      <c r="AK66" s="4">
        <f>-51.431-AJ66</f>
        <v>-31.075999999999997</v>
      </c>
      <c r="AL66" s="4">
        <f>-112.783-AK66-AJ66</f>
        <v>-61.352000000000004</v>
      </c>
      <c r="AM66" s="6">
        <f>I66-AJ66-AK66-AL66</f>
        <v>-54.663000000000011</v>
      </c>
      <c r="AN66" s="4">
        <v>-42.927999999999997</v>
      </c>
      <c r="AO66" s="4">
        <f>-101.444-AN66</f>
        <v>-58.516000000000005</v>
      </c>
      <c r="AP66" s="4">
        <f>-307.287-AO66-AN66</f>
        <v>-205.84299999999996</v>
      </c>
      <c r="AQ66" s="6">
        <f>J66-AN66-AO66-AP66</f>
        <v>-191.43600000000004</v>
      </c>
      <c r="AR66" s="4">
        <v>-216.37100000000001</v>
      </c>
      <c r="AS66" s="4">
        <f>-396.978-AR66</f>
        <v>-180.607</v>
      </c>
      <c r="AT66" s="4">
        <f>-472.909-AS66-AR66</f>
        <v>-75.931000000000012</v>
      </c>
      <c r="AU66" s="6">
        <f>K66-AR66-AS66-AT66</f>
        <v>-299.78600000000006</v>
      </c>
      <c r="AV66" s="4">
        <v>-208.02199999999999</v>
      </c>
      <c r="AW66" s="4">
        <f>-329.348-AV66</f>
        <v>-121.32600000000002</v>
      </c>
      <c r="AX66" s="4">
        <f>-408.718-AW66-AV66</f>
        <v>-79.37</v>
      </c>
      <c r="AY66" s="6">
        <f>M66-AV66-AW66-AX66</f>
        <v>-403.90099999999995</v>
      </c>
      <c r="AZ66" s="4">
        <v>-35.279000000000003</v>
      </c>
      <c r="BA66" s="4">
        <f>-369.662-AZ66</f>
        <v>-334.38299999999998</v>
      </c>
      <c r="BB66" s="4">
        <f>-560.616-BA66-AZ66</f>
        <v>-190.95400000000001</v>
      </c>
      <c r="BC66" s="6">
        <f t="shared" ref="BC66" si="563">O66-AZ66-BA66-BB66</f>
        <v>-334.95400000000012</v>
      </c>
      <c r="BD66" s="4">
        <v>-96.200999999999993</v>
      </c>
      <c r="BE66" s="4">
        <f>-440.326-BD66</f>
        <v>-344.125</v>
      </c>
      <c r="BF66" s="4">
        <f>-1663.456-BE66-BD66</f>
        <v>-1223.1299999999999</v>
      </c>
      <c r="BG66" s="6">
        <f t="shared" ref="BG66" si="564">Q66-BD66-BE66-BF66</f>
        <v>536.23099999999999</v>
      </c>
      <c r="BH66" s="4">
        <v>-383.05700000000002</v>
      </c>
      <c r="BI66" s="258"/>
      <c r="BJ66" s="4">
        <v>-359.05399999999997</v>
      </c>
      <c r="BK66" s="4">
        <f>-600.068-BJ66</f>
        <v>-241.01400000000001</v>
      </c>
      <c r="BL66" s="4">
        <f>-779.384-BJ66-BK66</f>
        <v>-179.31600000000003</v>
      </c>
      <c r="BM66" s="6">
        <f>N66-SUM(BJ66:BL66)</f>
        <v>-393.86500000000001</v>
      </c>
      <c r="BN66" s="4">
        <v>-48.722000000000001</v>
      </c>
      <c r="BO66" s="4">
        <f>-499.225-BN66</f>
        <v>-450.50300000000004</v>
      </c>
      <c r="BP66" s="4">
        <f>-747.266-BN66-BO66</f>
        <v>-248.04099999999994</v>
      </c>
      <c r="BQ66" s="6">
        <f>P66-SUM(BN66:BP66)</f>
        <v>-424.96799999999996</v>
      </c>
      <c r="BR66" s="4">
        <v>-125.896</v>
      </c>
      <c r="BW66" s="39"/>
      <c r="BX66" s="39"/>
    </row>
    <row r="67" spans="2:76" ht="13.5" customHeight="1">
      <c r="B67" s="7" t="s">
        <v>296</v>
      </c>
      <c r="C67" s="4">
        <v>-305.83300000000003</v>
      </c>
      <c r="D67" s="4">
        <v>-385.78699999999998</v>
      </c>
      <c r="E67" s="4">
        <v>-441.73399999999998</v>
      </c>
      <c r="F67" s="4">
        <v>-511.16800000000001</v>
      </c>
      <c r="G67" s="4">
        <v>-832.947</v>
      </c>
      <c r="H67" s="4">
        <v>-1434.6420000000001</v>
      </c>
      <c r="I67" s="4">
        <v>-1399.6659999999999</v>
      </c>
      <c r="J67" s="4">
        <v>-1493.546</v>
      </c>
      <c r="K67" s="4">
        <v>-2956.4180000000001</v>
      </c>
      <c r="L67" s="4">
        <f>-6927.345</f>
        <v>-6927.3450000000003</v>
      </c>
      <c r="M67" s="4">
        <f>-8307.889</f>
        <v>-8307.8889999999992</v>
      </c>
      <c r="N67" s="4">
        <v>-11640.263000000001</v>
      </c>
      <c r="O67" s="4">
        <v>-15170.927</v>
      </c>
      <c r="P67" s="4">
        <v>-19857.579000000002</v>
      </c>
      <c r="Q67" s="4">
        <v>-24865.884999999998</v>
      </c>
      <c r="R67" s="6">
        <f t="shared" si="562"/>
        <v>-26871.865999999995</v>
      </c>
      <c r="S67" s="6"/>
      <c r="T67" s="4">
        <v>-78.519000000000005</v>
      </c>
      <c r="U67" s="4">
        <f>-208.225-T67</f>
        <v>-129.70599999999999</v>
      </c>
      <c r="V67" s="4">
        <f>-317.759-U67-T67</f>
        <v>-109.53400000000002</v>
      </c>
      <c r="W67" s="6">
        <f>E67-SUM(T67:V67)</f>
        <v>-123.97499999999997</v>
      </c>
      <c r="X67" s="4">
        <v>-57.902000000000001</v>
      </c>
      <c r="Y67" s="4">
        <f>-197.842-X67</f>
        <v>-139.94</v>
      </c>
      <c r="Z67" s="4">
        <f>-360.256-Y67-X67</f>
        <v>-162.41399999999999</v>
      </c>
      <c r="AA67" s="6">
        <f>F67-SUM(X67:Z67)</f>
        <v>-150.91200000000003</v>
      </c>
      <c r="AB67" s="4">
        <v>-129.76499999999999</v>
      </c>
      <c r="AC67" s="4">
        <f>-345.096-AB67</f>
        <v>-215.33100000000002</v>
      </c>
      <c r="AD67" s="4">
        <f>-584.526-AC67-AB67</f>
        <v>-239.42999999999995</v>
      </c>
      <c r="AE67" s="6">
        <f>G67-AB67-AC67-AD67</f>
        <v>-248.42100000000005</v>
      </c>
      <c r="AF67" s="4">
        <v>-249.78200000000001</v>
      </c>
      <c r="AG67" s="4">
        <f>69.506-AF67</f>
        <v>319.28800000000001</v>
      </c>
      <c r="AH67" s="4">
        <f>-1001.007-AG67-AF67</f>
        <v>-1070.5130000000001</v>
      </c>
      <c r="AI67" s="6">
        <f>H67-AF67-AG67-AH67</f>
        <v>-433.63499999999999</v>
      </c>
      <c r="AJ67" s="4">
        <v>-365.16899999999998</v>
      </c>
      <c r="AK67" s="4">
        <f>-784.876-AJ67</f>
        <v>-419.70699999999999</v>
      </c>
      <c r="AL67" s="4">
        <f>134.413-AK67-AJ67</f>
        <v>919.28899999999999</v>
      </c>
      <c r="AM67" s="6">
        <f>I67-AJ67-AK67-AL67</f>
        <v>-1534.0789999999997</v>
      </c>
      <c r="AN67" s="4">
        <v>-202.887</v>
      </c>
      <c r="AO67" s="4">
        <f>-587.789-AN67</f>
        <v>-384.90199999999999</v>
      </c>
      <c r="AP67" s="4">
        <f>-978.801-AO67-AN67</f>
        <v>-391.01200000000011</v>
      </c>
      <c r="AQ67" s="6">
        <f>J67-AN67-AO67-AP67</f>
        <v>-514.74499999999989</v>
      </c>
      <c r="AR67" s="4">
        <v>-276.78399999999999</v>
      </c>
      <c r="AS67" s="4">
        <f>-1321.774-AR67</f>
        <v>-1044.9899999999998</v>
      </c>
      <c r="AT67" s="4">
        <f>-2000.208-AS67-AR67</f>
        <v>-678.43400000000031</v>
      </c>
      <c r="AU67" s="6">
        <f>K67-AR67-AS67-AT67</f>
        <v>-956.20999999999992</v>
      </c>
      <c r="AV67" s="4">
        <v>-1265.857</v>
      </c>
      <c r="AW67" s="4">
        <f>-2562.003-AV67</f>
        <v>-1296.1460000000002</v>
      </c>
      <c r="AX67" s="4">
        <f>-4631.615-AW67-AV67</f>
        <v>-2069.6119999999996</v>
      </c>
      <c r="AY67" s="6">
        <f>M67-AV67-AW67-AX67</f>
        <v>-3676.273999999999</v>
      </c>
      <c r="AZ67" s="4">
        <v>-2799.7640000000001</v>
      </c>
      <c r="BA67" s="4">
        <f>-4878.913-AZ67</f>
        <v>-2079.1489999999994</v>
      </c>
      <c r="BB67" s="4">
        <f>-10112.303-BA67-AZ67</f>
        <v>-5233.3900000000003</v>
      </c>
      <c r="BC67" s="6">
        <f>O67-AZ67-BA67-BB67</f>
        <v>-5058.6240000000007</v>
      </c>
      <c r="BD67" s="4">
        <v>-5126.3860000000004</v>
      </c>
      <c r="BE67" s="4">
        <f>-9794.051-BD67</f>
        <v>-4667.6649999999991</v>
      </c>
      <c r="BF67" s="4">
        <f>-18373.723-BE67-BD67</f>
        <v>-8579.6720000000023</v>
      </c>
      <c r="BG67" s="6">
        <f>Q67-BD67-BE67-BF67</f>
        <v>-6492.1619999999948</v>
      </c>
      <c r="BH67" s="4">
        <v>-7132.3670000000002</v>
      </c>
      <c r="BI67" s="258"/>
      <c r="BJ67" s="4">
        <v>-2507.9270000000001</v>
      </c>
      <c r="BK67" s="4">
        <f>-4518.246-BJ67</f>
        <v>-2010.319</v>
      </c>
      <c r="BL67" s="4">
        <f>-9240.774-BJ67-BK67</f>
        <v>-4722.5280000000002</v>
      </c>
      <c r="BM67" s="6">
        <f>N67-SUM(BJ67:BL67)</f>
        <v>-2399.4889999999996</v>
      </c>
      <c r="BN67" s="4">
        <v>-3866.5810000000001</v>
      </c>
      <c r="BO67" s="4">
        <f>-6588.907-BN67</f>
        <v>-2722.326</v>
      </c>
      <c r="BP67" s="4">
        <f>-13479.096-BN67-BO67</f>
        <v>-6890.1889999999994</v>
      </c>
      <c r="BQ67" s="6">
        <f>P67-SUM(BN67:BP67)</f>
        <v>-6378.483000000002</v>
      </c>
      <c r="BR67" s="4">
        <v>-6708.67</v>
      </c>
      <c r="BT67" s="258"/>
      <c r="BW67" s="39"/>
      <c r="BX67" s="39"/>
    </row>
    <row r="68" spans="2:76" s="5" customFormat="1" ht="13.5" customHeight="1">
      <c r="B68" s="5" t="s">
        <v>297</v>
      </c>
      <c r="C68" s="34">
        <f>SUM(C64:C67)</f>
        <v>677.88600000000019</v>
      </c>
      <c r="D68" s="34">
        <f t="shared" ref="D68:BO68" si="565">SUM(D64:D67)</f>
        <v>1116.1239999999998</v>
      </c>
      <c r="E68" s="34">
        <f t="shared" si="565"/>
        <v>1224.6610000000001</v>
      </c>
      <c r="F68" s="34">
        <f t="shared" si="565"/>
        <v>-607.4399999999996</v>
      </c>
      <c r="G68" s="34">
        <f t="shared" si="565"/>
        <v>61.394999999999868</v>
      </c>
      <c r="H68" s="34">
        <f t="shared" si="565"/>
        <v>878.39400000000001</v>
      </c>
      <c r="I68" s="34">
        <f t="shared" si="565"/>
        <v>3139.567</v>
      </c>
      <c r="J68" s="34">
        <f t="shared" si="565"/>
        <v>-8246.9850000000006</v>
      </c>
      <c r="K68" s="34">
        <f t="shared" si="565"/>
        <v>-5048.1429999999991</v>
      </c>
      <c r="L68" s="34">
        <f t="shared" si="565"/>
        <v>10706.907999999996</v>
      </c>
      <c r="M68" s="34">
        <f t="shared" si="565"/>
        <v>4414.0850000000009</v>
      </c>
      <c r="N68" s="34">
        <f t="shared" si="565"/>
        <v>7138.4759999999969</v>
      </c>
      <c r="O68" s="34">
        <f t="shared" si="565"/>
        <v>15323.778000000002</v>
      </c>
      <c r="P68" s="34">
        <f t="shared" si="565"/>
        <v>20056.966000000011</v>
      </c>
      <c r="Q68" s="34">
        <f t="shared" si="565"/>
        <v>-2855.3889999999956</v>
      </c>
      <c r="R68" s="34">
        <f t="shared" si="565"/>
        <v>-8488.9579999999987</v>
      </c>
      <c r="S68" s="6"/>
      <c r="T68" s="34">
        <f t="shared" si="565"/>
        <v>374.65000000000003</v>
      </c>
      <c r="U68" s="34">
        <f t="shared" si="565"/>
        <v>130.352</v>
      </c>
      <c r="V68" s="34">
        <f t="shared" si="565"/>
        <v>196.41200000000001</v>
      </c>
      <c r="W68" s="34">
        <f t="shared" si="565"/>
        <v>523.24700000000007</v>
      </c>
      <c r="X68" s="34">
        <f t="shared" si="565"/>
        <v>-564.69400000000007</v>
      </c>
      <c r="Y68" s="34">
        <f t="shared" si="565"/>
        <v>-465.8850000000001</v>
      </c>
      <c r="Z68" s="34">
        <f t="shared" si="565"/>
        <v>-166.45099999999942</v>
      </c>
      <c r="AA68" s="34">
        <f t="shared" si="565"/>
        <v>589.58999999999992</v>
      </c>
      <c r="AB68" s="34">
        <f t="shared" si="565"/>
        <v>-152.60800000000009</v>
      </c>
      <c r="AC68" s="34">
        <f t="shared" si="565"/>
        <v>-551.06099999999992</v>
      </c>
      <c r="AD68" s="34">
        <f t="shared" si="565"/>
        <v>-1021.9730000000004</v>
      </c>
      <c r="AE68" s="34">
        <f t="shared" si="565"/>
        <v>1787.0370000000005</v>
      </c>
      <c r="AF68" s="34">
        <f t="shared" si="565"/>
        <v>92.35199999999989</v>
      </c>
      <c r="AG68" s="34">
        <f t="shared" si="565"/>
        <v>567.94700000000057</v>
      </c>
      <c r="AH68" s="34">
        <f t="shared" si="565"/>
        <v>-552.09800000000087</v>
      </c>
      <c r="AI68" s="34">
        <f t="shared" si="565"/>
        <v>770.19300000000044</v>
      </c>
      <c r="AJ68" s="34">
        <f t="shared" si="565"/>
        <v>434.62799999999993</v>
      </c>
      <c r="AK68" s="34">
        <f t="shared" si="565"/>
        <v>1351.4590000000003</v>
      </c>
      <c r="AL68" s="34">
        <f t="shared" si="565"/>
        <v>1765.434</v>
      </c>
      <c r="AM68" s="34">
        <f t="shared" si="565"/>
        <v>-411.95400000000018</v>
      </c>
      <c r="AN68" s="34">
        <f t="shared" si="565"/>
        <v>-2589.453</v>
      </c>
      <c r="AO68" s="34">
        <f t="shared" si="565"/>
        <v>-1569.0080000000003</v>
      </c>
      <c r="AP68" s="34">
        <f t="shared" si="565"/>
        <v>-296.35200000000037</v>
      </c>
      <c r="AQ68" s="34">
        <f t="shared" si="565"/>
        <v>-3792.1720000000009</v>
      </c>
      <c r="AR68" s="34">
        <f t="shared" si="565"/>
        <v>-2649.831999999999</v>
      </c>
      <c r="AS68" s="34">
        <f t="shared" si="565"/>
        <v>-5735.0880000000025</v>
      </c>
      <c r="AT68" s="34">
        <f t="shared" si="565"/>
        <v>1987.5620000000031</v>
      </c>
      <c r="AU68" s="34">
        <f t="shared" si="565"/>
        <v>1349.2149999999992</v>
      </c>
      <c r="AV68" s="34">
        <f t="shared" si="565"/>
        <v>-5435.6190000000006</v>
      </c>
      <c r="AW68" s="34">
        <f t="shared" si="565"/>
        <v>-8259.6739999999972</v>
      </c>
      <c r="AX68" s="34">
        <f t="shared" si="565"/>
        <v>-4651.989000000005</v>
      </c>
      <c r="AY68" s="34">
        <f t="shared" si="565"/>
        <v>22761.367000000002</v>
      </c>
      <c r="AZ68" s="34">
        <f t="shared" si="565"/>
        <v>4846.0519999999997</v>
      </c>
      <c r="BA68" s="34">
        <f t="shared" si="565"/>
        <v>-4828.1669999999995</v>
      </c>
      <c r="BB68" s="34">
        <f t="shared" si="565"/>
        <v>-10671.603999999999</v>
      </c>
      <c r="BC68" s="34">
        <f t="shared" si="565"/>
        <v>25977.496999999999</v>
      </c>
      <c r="BD68" s="34">
        <f t="shared" si="565"/>
        <v>-13099.825000000001</v>
      </c>
      <c r="BE68" s="34">
        <f t="shared" si="565"/>
        <v>-18035.394000000008</v>
      </c>
      <c r="BF68" s="34">
        <f t="shared" si="565"/>
        <v>4010.6720000000023</v>
      </c>
      <c r="BG68" s="34">
        <f t="shared" si="565"/>
        <v>24269.158000000003</v>
      </c>
      <c r="BH68" s="34">
        <f t="shared" si="565"/>
        <v>-18733.394</v>
      </c>
      <c r="BI68" s="258"/>
      <c r="BJ68" s="34">
        <f t="shared" si="565"/>
        <v>-1736.0760000000005</v>
      </c>
      <c r="BK68" s="34">
        <f t="shared" si="565"/>
        <v>-5610.006000000003</v>
      </c>
      <c r="BL68" s="34">
        <f t="shared" si="565"/>
        <v>9865.9259999999995</v>
      </c>
      <c r="BM68" s="34">
        <f t="shared" si="565"/>
        <v>4618.6320000000023</v>
      </c>
      <c r="BN68" s="34">
        <f t="shared" si="565"/>
        <v>6796.2870000000003</v>
      </c>
      <c r="BO68" s="34">
        <f t="shared" si="565"/>
        <v>-7388.6659999999993</v>
      </c>
      <c r="BP68" s="34">
        <f t="shared" ref="BP68:BR68" si="566">SUM(BP64:BP67)</f>
        <v>-13118.723000000002</v>
      </c>
      <c r="BQ68" s="34">
        <f t="shared" si="566"/>
        <v>33768.068000000007</v>
      </c>
      <c r="BR68" s="34">
        <f t="shared" si="566"/>
        <v>-16804.778999999995</v>
      </c>
      <c r="BT68" s="1"/>
      <c r="BU68" s="1"/>
      <c r="BW68" s="39"/>
      <c r="BX68" s="39"/>
    </row>
    <row r="69" spans="2:76" ht="13.5" customHeight="1">
      <c r="B69" s="7" t="s">
        <v>298</v>
      </c>
      <c r="C69" s="4">
        <v>-453.16700000000003</v>
      </c>
      <c r="D69" s="4">
        <v>-640.49199999999996</v>
      </c>
      <c r="E69" s="4">
        <v>-830.96500000000003</v>
      </c>
      <c r="F69" s="4">
        <v>-987.21699999999998</v>
      </c>
      <c r="G69" s="4">
        <v>-1797.3050000000001</v>
      </c>
      <c r="H69" s="4">
        <v>-1379.604</v>
      </c>
      <c r="I69" s="4">
        <v>-1735.316</v>
      </c>
      <c r="J69" s="4">
        <v>-2515.3440000000001</v>
      </c>
      <c r="K69" s="4">
        <v>-5907.7870000000003</v>
      </c>
      <c r="L69" s="4">
        <f>-10672.132</f>
        <v>-10672.132</v>
      </c>
      <c r="M69" s="4">
        <f>-13791.159</f>
        <v>-13791.159</v>
      </c>
      <c r="N69" s="4">
        <v>-18533.286</v>
      </c>
      <c r="O69" s="4">
        <v>-23796.042000000001</v>
      </c>
      <c r="P69" s="4">
        <f>-31147.187+883.498</f>
        <v>-30263.689000000002</v>
      </c>
      <c r="Q69" s="4">
        <f>-18279.797+372.635</f>
        <v>-17907.162</v>
      </c>
      <c r="R69" s="6">
        <f t="shared" ref="R69:R71" si="567">SUM(BE69:BH69)</f>
        <v>-17412.932000000001</v>
      </c>
      <c r="S69" s="6"/>
      <c r="T69" s="4">
        <v>-143.49100000000001</v>
      </c>
      <c r="U69" s="4">
        <f>-289.312-T69</f>
        <v>-145.821</v>
      </c>
      <c r="V69" s="4">
        <f>-438.848-U69-T69</f>
        <v>-149.53600000000003</v>
      </c>
      <c r="W69" s="6">
        <f>E69-SUM(T69:V69)</f>
        <v>-392.11699999999996</v>
      </c>
      <c r="X69" s="4">
        <f>-129.275</f>
        <v>-129.27500000000001</v>
      </c>
      <c r="Y69" s="4">
        <f>-343.536-X69</f>
        <v>-214.261</v>
      </c>
      <c r="Z69" s="4">
        <f>-580.948-Y69-X69</f>
        <v>-237.41200000000001</v>
      </c>
      <c r="AA69" s="6">
        <f>F69-SUM(X69:Z69)</f>
        <v>-406.26900000000001</v>
      </c>
      <c r="AB69" s="4">
        <v>-232.809</v>
      </c>
      <c r="AC69" s="4">
        <f>-628.916-54.639-AB69</f>
        <v>-450.74600000000009</v>
      </c>
      <c r="AD69" s="4">
        <f>-1077.008-117.759-AC69-AB69</f>
        <v>-511.21199999999999</v>
      </c>
      <c r="AE69" s="6">
        <f>G69-AB69-AC69-AD69</f>
        <v>-602.53800000000001</v>
      </c>
      <c r="AF69" s="4">
        <v>-325.18099999999998</v>
      </c>
      <c r="AG69" s="4">
        <f>-406.321-AF69</f>
        <v>-81.140000000000043</v>
      </c>
      <c r="AH69" s="4">
        <f>-898.757-AG69-AF69</f>
        <v>-492.43599999999998</v>
      </c>
      <c r="AI69" s="6">
        <f>H69-AF69-AG69-AH69</f>
        <v>-480.84699999999992</v>
      </c>
      <c r="AJ69" s="4">
        <v>-303.06799999999998</v>
      </c>
      <c r="AK69" s="4">
        <f>584.031-AJ69</f>
        <v>887.09899999999993</v>
      </c>
      <c r="AL69" s="4">
        <f>0-AK69-AJ69</f>
        <v>-584.03099999999995</v>
      </c>
      <c r="AM69" s="6">
        <f>I69-AJ69-AK69-AL69</f>
        <v>-1735.3159999999998</v>
      </c>
      <c r="AN69" s="4">
        <v>-395.88499999999999</v>
      </c>
      <c r="AO69" s="4">
        <f>-908.983-AN69</f>
        <v>-513.09799999999996</v>
      </c>
      <c r="AP69" s="4">
        <f>-1538.862-AO69-AN69</f>
        <v>-629.87900000000013</v>
      </c>
      <c r="AQ69" s="6">
        <f>J69-AN69-AO69-AP69</f>
        <v>-976.48199999999974</v>
      </c>
      <c r="AR69" s="4">
        <v>-822.88699999999994</v>
      </c>
      <c r="AS69" s="4">
        <f>-1989.463-AR69</f>
        <v>-1166.576</v>
      </c>
      <c r="AT69" s="4">
        <f>-3790.081-AS69-AR69</f>
        <v>-1800.6180000000002</v>
      </c>
      <c r="AU69" s="6">
        <f>K69-AR69-AS69-AT69</f>
        <v>-2117.7060000000001</v>
      </c>
      <c r="AV69" s="4">
        <v>-1610.895</v>
      </c>
      <c r="AW69" s="4">
        <f>-3919.353-AV69</f>
        <v>-2308.4580000000001</v>
      </c>
      <c r="AX69" s="4">
        <f>-6349.829-AW69-AV69</f>
        <v>-2430.4759999999997</v>
      </c>
      <c r="AY69" s="6">
        <f>M69-AV69-AW69-AX69</f>
        <v>-7441.329999999999</v>
      </c>
      <c r="AZ69" s="4">
        <f>-2946.73</f>
        <v>-2946.73</v>
      </c>
      <c r="BA69" s="4">
        <f>-8192.024-AZ69</f>
        <v>-5245.2939999999999</v>
      </c>
      <c r="BB69" s="4">
        <f>-14146.085-BA69-AZ69</f>
        <v>-5954.0609999999997</v>
      </c>
      <c r="BC69" s="6">
        <f t="shared" ref="BC69:BC71" si="568">O69-AZ69-BA69-BB69</f>
        <v>-9649.9570000000022</v>
      </c>
      <c r="BD69" s="4">
        <v>-3291.4630000000002</v>
      </c>
      <c r="BE69" s="4">
        <f>-7146.971-BD69</f>
        <v>-3855.5079999999994</v>
      </c>
      <c r="BF69" s="4">
        <f>-10849.422+284.199-BE69-BD69</f>
        <v>-3418.252</v>
      </c>
      <c r="BG69" s="6">
        <f t="shared" ref="BG69:BG71" si="569">Q69-BD69-BE69-BF69</f>
        <v>-7341.9390000000003</v>
      </c>
      <c r="BH69" s="4">
        <f>-3258.357+461.124</f>
        <v>-2797.2330000000002</v>
      </c>
      <c r="BJ69" s="4">
        <f>-2614.444</f>
        <v>-2614.444</v>
      </c>
      <c r="BK69" s="4">
        <f>-5520.748-BJ69</f>
        <v>-2906.3039999999996</v>
      </c>
      <c r="BL69" s="4">
        <f>-10182.219-BJ69-BK69</f>
        <v>-4661.4709999999995</v>
      </c>
      <c r="BM69" s="6">
        <f>N69-SUM(BJ69:BL69)</f>
        <v>-8351.0670000000009</v>
      </c>
      <c r="BN69" s="4">
        <v>-4069.549</v>
      </c>
      <c r="BO69" s="4">
        <f>-11063.214-BN69</f>
        <v>-6993.665</v>
      </c>
      <c r="BP69" s="4">
        <f>-18855.884+365.833-BN69-BO69</f>
        <v>-7426.8370000000004</v>
      </c>
      <c r="BQ69" s="6">
        <f t="shared" ref="BQ69:BQ71" si="570">P69-SUM(BN69:BP69)</f>
        <v>-11773.638000000003</v>
      </c>
      <c r="BR69" s="4">
        <f>-4307.389+52.79</f>
        <v>-4254.5990000000002</v>
      </c>
      <c r="BW69" s="39"/>
      <c r="BX69" s="39"/>
    </row>
    <row r="70" spans="2:76" ht="13.5" customHeight="1">
      <c r="B70" s="7" t="s">
        <v>299</v>
      </c>
      <c r="C70" s="4">
        <v>0</v>
      </c>
      <c r="D70" s="4">
        <v>-1.327</v>
      </c>
      <c r="E70" s="4">
        <v>-745.60799999999995</v>
      </c>
      <c r="F70" s="4">
        <v>0</v>
      </c>
      <c r="G70" s="4">
        <v>0</v>
      </c>
      <c r="H70" s="4">
        <v>-406.32100000000003</v>
      </c>
      <c r="I70" s="4">
        <v>0</v>
      </c>
      <c r="J70" s="4">
        <v>-2136.0039999999999</v>
      </c>
      <c r="K70" s="4">
        <v>1353.7439999999999</v>
      </c>
      <c r="L70" s="4">
        <f>2478.338</f>
        <v>2478.3380000000002</v>
      </c>
      <c r="M70" s="4">
        <f>-1282.385</f>
        <v>-1282.385</v>
      </c>
      <c r="N70" s="4">
        <v>-1851.4929999999999</v>
      </c>
      <c r="O70" s="4">
        <v>9016.0120000000006</v>
      </c>
      <c r="P70" s="4">
        <v>11801.266</v>
      </c>
      <c r="Q70" s="4">
        <v>0</v>
      </c>
      <c r="R70" s="6">
        <f t="shared" si="567"/>
        <v>0</v>
      </c>
      <c r="S70" s="6"/>
      <c r="T70" s="4">
        <v>0</v>
      </c>
      <c r="U70" s="4">
        <f>0-T70</f>
        <v>0</v>
      </c>
      <c r="V70" s="4">
        <f>0-U70-T70</f>
        <v>0</v>
      </c>
      <c r="W70" s="6">
        <f>E70-SUM(T70:V70)</f>
        <v>-745.60799999999995</v>
      </c>
      <c r="X70" s="4">
        <v>0</v>
      </c>
      <c r="Y70" s="4">
        <f>0-X70</f>
        <v>0</v>
      </c>
      <c r="Z70" s="4">
        <f>0-Y70-X70</f>
        <v>0</v>
      </c>
      <c r="AA70" s="6">
        <f>F70-SUM(X70:Z70)</f>
        <v>0</v>
      </c>
      <c r="AB70" s="4">
        <v>-27.382999999999999</v>
      </c>
      <c r="AC70" s="4">
        <f>-57.237-AB70</f>
        <v>-29.854000000000003</v>
      </c>
      <c r="AD70" s="4">
        <f>-57.237-AC70-AB70</f>
        <v>0</v>
      </c>
      <c r="AE70" s="6">
        <f>G70-AB70-AC70-AD70</f>
        <v>57.237000000000002</v>
      </c>
      <c r="AF70" s="4">
        <v>-53.536999999999999</v>
      </c>
      <c r="AG70" s="4">
        <f>6.509-AF70</f>
        <v>60.045999999999999</v>
      </c>
      <c r="AH70" s="4">
        <f>-406.321-AG70-AF70</f>
        <v>-412.83000000000004</v>
      </c>
      <c r="AI70" s="6">
        <f>H70-AF70-AG70-AH70</f>
        <v>0</v>
      </c>
      <c r="AJ70" s="4">
        <v>0</v>
      </c>
      <c r="AK70" s="4">
        <f>-35.228-AJ70</f>
        <v>-35.228000000000002</v>
      </c>
      <c r="AL70" s="4">
        <f>13.36-AK70-AJ70</f>
        <v>48.588000000000001</v>
      </c>
      <c r="AM70" s="6">
        <f>I70-AJ70-AK70-AL70</f>
        <v>-13.36</v>
      </c>
      <c r="AN70" s="4">
        <v>-38.22</v>
      </c>
      <c r="AO70" s="4">
        <f>-361.486-2986.099-38.22-AN70</f>
        <v>-3347.585</v>
      </c>
      <c r="AP70" s="4">
        <f>-2055.799-38.22-AO70-AN70</f>
        <v>1291.7860000000003</v>
      </c>
      <c r="AQ70" s="6">
        <f>J70-AN70-AO70-AP70</f>
        <v>-41.985000000000355</v>
      </c>
      <c r="AR70" s="4">
        <v>-26.725000000000001</v>
      </c>
      <c r="AS70" s="4">
        <f>-26.725-AR70</f>
        <v>0</v>
      </c>
      <c r="AT70" s="4">
        <f>1352.972-26.725-AS70-AR70</f>
        <v>1352.972</v>
      </c>
      <c r="AU70" s="6">
        <f>K70-AR70-AS70-AT70</f>
        <v>27.496999999999844</v>
      </c>
      <c r="AV70" s="4">
        <v>-830.22</v>
      </c>
      <c r="AW70" s="4">
        <f>-830.021-AV70</f>
        <v>0.19900000000006912</v>
      </c>
      <c r="AX70" s="4">
        <f>-830.021-AW70-AV70</f>
        <v>0</v>
      </c>
      <c r="AY70" s="6">
        <f>M70-AV70-AW70-AX70</f>
        <v>-452.36400000000003</v>
      </c>
      <c r="AZ70" s="4">
        <v>-420.99</v>
      </c>
      <c r="BA70" s="4">
        <f>-454.607+7503.175-AZ70</f>
        <v>7469.558</v>
      </c>
      <c r="BB70" s="4">
        <f>8233.637-495.156-BA70-AZ70</f>
        <v>689.91300000000069</v>
      </c>
      <c r="BC70" s="6">
        <f t="shared" si="568"/>
        <v>1277.5309999999997</v>
      </c>
      <c r="BD70" s="4">
        <v>0</v>
      </c>
      <c r="BE70" s="4">
        <f>-466.679-BD70</f>
        <v>-466.67899999999997</v>
      </c>
      <c r="BF70" s="4">
        <f>-501.697-BE70-BD70</f>
        <v>-35.018000000000029</v>
      </c>
      <c r="BG70" s="6">
        <f t="shared" si="569"/>
        <v>501.697</v>
      </c>
      <c r="BH70" s="4">
        <v>0</v>
      </c>
      <c r="BJ70" s="4">
        <v>-1475.912</v>
      </c>
      <c r="BK70" s="4">
        <f>0-1807.421-BJ70</f>
        <v>-331.50900000000001</v>
      </c>
      <c r="BL70" s="4">
        <f>-1999.81-BJ70-BK70</f>
        <v>-192.3889999999999</v>
      </c>
      <c r="BM70" s="6">
        <f>N70-SUM(BJ70:BL70)</f>
        <v>148.31700000000001</v>
      </c>
      <c r="BN70" s="4">
        <v>0</v>
      </c>
      <c r="BO70" s="4">
        <f>-613.941-BN70</f>
        <v>-613.94100000000003</v>
      </c>
      <c r="BP70" s="4">
        <f>11308.747-660.013-BN70-BO70</f>
        <v>11262.674999999999</v>
      </c>
      <c r="BQ70" s="6">
        <f t="shared" si="570"/>
        <v>1152.5320000000011</v>
      </c>
      <c r="BR70" s="4">
        <v>0</v>
      </c>
      <c r="BW70" s="39"/>
      <c r="BX70" s="39"/>
    </row>
    <row r="71" spans="2:76" ht="13.5" customHeight="1">
      <c r="B71" s="7" t="s">
        <v>300</v>
      </c>
      <c r="C71" s="4">
        <v>3.9249999999999998</v>
      </c>
      <c r="D71" s="4">
        <v>18.844000000000001</v>
      </c>
      <c r="E71" s="4">
        <v>7.0060000000000002</v>
      </c>
      <c r="F71" s="4">
        <v>18.73</v>
      </c>
      <c r="G71" s="4">
        <v>37.506999999999998</v>
      </c>
      <c r="H71" s="4">
        <v>41.482999999999997</v>
      </c>
      <c r="I71" s="4">
        <v>172.91300000000001</v>
      </c>
      <c r="J71" s="4">
        <v>70.244</v>
      </c>
      <c r="K71" s="4">
        <v>194.36</v>
      </c>
      <c r="L71" s="4">
        <v>822.92700000000002</v>
      </c>
      <c r="M71" s="4">
        <v>646.14300000000003</v>
      </c>
      <c r="N71" s="4">
        <v>932.89300000000003</v>
      </c>
      <c r="O71" s="4">
        <v>674.98</v>
      </c>
      <c r="P71" s="4">
        <v>0</v>
      </c>
      <c r="Q71" s="4">
        <v>14.48</v>
      </c>
      <c r="R71" s="6">
        <f t="shared" si="567"/>
        <v>-36.679000000000002</v>
      </c>
      <c r="S71" s="6"/>
      <c r="T71" s="4">
        <v>1.58</v>
      </c>
      <c r="U71" s="4">
        <f>4.208-T71</f>
        <v>2.6280000000000001</v>
      </c>
      <c r="V71" s="4">
        <f>9.099-U71-T71</f>
        <v>4.891</v>
      </c>
      <c r="W71" s="6">
        <f>E71-SUM(T71:V71)</f>
        <v>-2.093</v>
      </c>
      <c r="X71" s="4">
        <v>1.0860000000000001</v>
      </c>
      <c r="Y71" s="4">
        <f>13.947-X71</f>
        <v>12.860999999999999</v>
      </c>
      <c r="Z71" s="4">
        <f>13.996-Y71-X71</f>
        <v>4.9000000000001487E-2</v>
      </c>
      <c r="AA71" s="6">
        <f>F71-SUM(X71:Z71)</f>
        <v>4.734</v>
      </c>
      <c r="AB71" s="4">
        <v>3.2559999999999998</v>
      </c>
      <c r="AC71" s="4">
        <f>7.488-AB71</f>
        <v>4.2320000000000011</v>
      </c>
      <c r="AD71" s="4">
        <f>9.909-AC71-AB71</f>
        <v>2.4209999999999998</v>
      </c>
      <c r="AE71" s="6">
        <f>G71-AB71-AC71-AD71</f>
        <v>27.597999999999999</v>
      </c>
      <c r="AF71" s="4">
        <v>5.15</v>
      </c>
      <c r="AG71" s="4">
        <f>0-AF71</f>
        <v>-5.15</v>
      </c>
      <c r="AH71" s="4">
        <f>3.685-AG71-AF71</f>
        <v>3.6850000000000005</v>
      </c>
      <c r="AI71" s="6">
        <f>H71-AF71-AG71-AH71</f>
        <v>37.797999999999995</v>
      </c>
      <c r="AJ71" s="4">
        <v>29.134</v>
      </c>
      <c r="AK71" s="4">
        <f>275.778+34.013-AJ71</f>
        <v>280.65699999999998</v>
      </c>
      <c r="AL71" s="4">
        <f>275.778-AK71-AJ71</f>
        <v>-34.012999999999963</v>
      </c>
      <c r="AM71" s="6">
        <f>I71-AJ71-AK71-AL71</f>
        <v>-102.86500000000002</v>
      </c>
      <c r="AN71" s="4">
        <v>11.928000000000001</v>
      </c>
      <c r="AO71" s="4">
        <f>22.017-AN71</f>
        <v>10.088999999999999</v>
      </c>
      <c r="AP71" s="4">
        <f>28.275-AO71-AN71</f>
        <v>6.2579999999999991</v>
      </c>
      <c r="AQ71" s="6">
        <f>J71-AN71-AO71-AP71</f>
        <v>41.969000000000008</v>
      </c>
      <c r="AR71" s="4">
        <v>63.512</v>
      </c>
      <c r="AS71" s="4">
        <f>179.947-AR71</f>
        <v>116.435</v>
      </c>
      <c r="AT71" s="4">
        <f>219.994-AS71-AR71</f>
        <v>40.046999999999997</v>
      </c>
      <c r="AU71" s="6">
        <f>K71-AR71-AS71-AT71</f>
        <v>-25.633999999999986</v>
      </c>
      <c r="AV71" s="4">
        <v>59.609000000000002</v>
      </c>
      <c r="AW71" s="4">
        <f>91.773-AV71</f>
        <v>32.163999999999994</v>
      </c>
      <c r="AX71" s="4">
        <f>183.399-AW71-AV71</f>
        <v>91.626000000000005</v>
      </c>
      <c r="AY71" s="6">
        <f>M71-AV71-AW71-AX71</f>
        <v>462.74400000000003</v>
      </c>
      <c r="AZ71" s="4">
        <v>57.04</v>
      </c>
      <c r="BA71" s="4">
        <f>59.573-AZ71</f>
        <v>2.5330000000000013</v>
      </c>
      <c r="BB71" s="4">
        <f>274.455-BA71-AZ71</f>
        <v>214.88199999999998</v>
      </c>
      <c r="BC71" s="6">
        <f t="shared" si="568"/>
        <v>400.52500000000009</v>
      </c>
      <c r="BD71" s="4">
        <f>(10821+40338)/1000</f>
        <v>51.158999999999999</v>
      </c>
      <c r="BE71" s="4">
        <f>11.137-BD71</f>
        <v>-40.021999999999998</v>
      </c>
      <c r="BF71" s="4">
        <f>13.196-BE71-BD71</f>
        <v>2.0589999999999975</v>
      </c>
      <c r="BG71" s="6">
        <f t="shared" si="569"/>
        <v>1.2839999999999989</v>
      </c>
      <c r="BH71" s="4">
        <v>0</v>
      </c>
      <c r="BJ71" s="4">
        <v>118.233</v>
      </c>
      <c r="BK71" s="4">
        <f>129.602-BJ71</f>
        <v>11.369</v>
      </c>
      <c r="BL71" s="4">
        <f>155.223-BJ71-BK71</f>
        <v>25.621000000000009</v>
      </c>
      <c r="BM71" s="6">
        <f>N71-SUM(BJ71:BL71)</f>
        <v>777.67000000000007</v>
      </c>
      <c r="BN71" s="4">
        <v>78.774000000000001</v>
      </c>
      <c r="BO71" s="4">
        <f>10519.338-BN71</f>
        <v>10440.564</v>
      </c>
      <c r="BP71" s="4">
        <f>0-BN71-BO71</f>
        <v>-10519.338</v>
      </c>
      <c r="BQ71" s="6">
        <f t="shared" si="570"/>
        <v>0</v>
      </c>
      <c r="BR71" s="4">
        <v>14.161</v>
      </c>
      <c r="BW71" s="39"/>
      <c r="BX71" s="39"/>
    </row>
    <row r="72" spans="2:76" s="5" customFormat="1" ht="13.5" customHeight="1">
      <c r="B72" s="15" t="s">
        <v>301</v>
      </c>
      <c r="C72" s="8">
        <f t="shared" ref="C72:R72" si="571">SUM(C68:C71)</f>
        <v>228.64400000000018</v>
      </c>
      <c r="D72" s="8">
        <f t="shared" si="571"/>
        <v>493.14899999999983</v>
      </c>
      <c r="E72" s="8">
        <f t="shared" si="571"/>
        <v>-344.90599999999995</v>
      </c>
      <c r="F72" s="8">
        <f t="shared" si="571"/>
        <v>-1575.9269999999997</v>
      </c>
      <c r="G72" s="8">
        <f t="shared" si="571"/>
        <v>-1698.4030000000002</v>
      </c>
      <c r="H72" s="8">
        <f t="shared" si="571"/>
        <v>-866.04800000000012</v>
      </c>
      <c r="I72" s="8">
        <f t="shared" si="571"/>
        <v>1577.164</v>
      </c>
      <c r="J72" s="8">
        <f t="shared" si="571"/>
        <v>-12828.089000000002</v>
      </c>
      <c r="K72" s="8">
        <f t="shared" si="571"/>
        <v>-9407.8259999999991</v>
      </c>
      <c r="L72" s="8">
        <f t="shared" si="571"/>
        <v>3336.0409999999965</v>
      </c>
      <c r="M72" s="8">
        <f t="shared" si="571"/>
        <v>-10013.315999999999</v>
      </c>
      <c r="N72" s="8">
        <f t="shared" si="571"/>
        <v>-12313.410000000003</v>
      </c>
      <c r="O72" s="8">
        <f t="shared" si="571"/>
        <v>1218.7280000000014</v>
      </c>
      <c r="P72" s="8">
        <f t="shared" si="571"/>
        <v>1594.5430000000088</v>
      </c>
      <c r="Q72" s="8">
        <f t="shared" si="571"/>
        <v>-20748.070999999996</v>
      </c>
      <c r="R72" s="8">
        <f t="shared" si="571"/>
        <v>-25938.569</v>
      </c>
      <c r="S72" s="8"/>
      <c r="T72" s="8">
        <f t="shared" ref="T72:BH72" si="572">SUM(T68:T71)</f>
        <v>232.73900000000003</v>
      </c>
      <c r="U72" s="8">
        <f t="shared" si="572"/>
        <v>-12.840999999999994</v>
      </c>
      <c r="V72" s="8">
        <f t="shared" si="572"/>
        <v>51.766999999999975</v>
      </c>
      <c r="W72" s="8">
        <f t="shared" si="572"/>
        <v>-616.5709999999998</v>
      </c>
      <c r="X72" s="8">
        <f t="shared" si="572"/>
        <v>-692.88300000000004</v>
      </c>
      <c r="Y72" s="8">
        <f t="shared" si="572"/>
        <v>-667.28500000000008</v>
      </c>
      <c r="Z72" s="8">
        <f t="shared" si="572"/>
        <v>-403.81399999999945</v>
      </c>
      <c r="AA72" s="8">
        <f t="shared" si="572"/>
        <v>188.05499999999992</v>
      </c>
      <c r="AB72" s="8">
        <f t="shared" si="572"/>
        <v>-409.5440000000001</v>
      </c>
      <c r="AC72" s="8">
        <f t="shared" si="572"/>
        <v>-1027.4290000000001</v>
      </c>
      <c r="AD72" s="8">
        <f t="shared" si="572"/>
        <v>-1530.7640000000004</v>
      </c>
      <c r="AE72" s="8">
        <f t="shared" si="572"/>
        <v>1269.3340000000005</v>
      </c>
      <c r="AF72" s="8">
        <f t="shared" si="572"/>
        <v>-281.21600000000012</v>
      </c>
      <c r="AG72" s="8">
        <f t="shared" si="572"/>
        <v>541.70300000000054</v>
      </c>
      <c r="AH72" s="8">
        <f t="shared" si="572"/>
        <v>-1453.679000000001</v>
      </c>
      <c r="AI72" s="8">
        <f t="shared" si="572"/>
        <v>327.14400000000052</v>
      </c>
      <c r="AJ72" s="8">
        <f t="shared" si="572"/>
        <v>160.69399999999996</v>
      </c>
      <c r="AK72" s="8">
        <f t="shared" si="572"/>
        <v>2483.9870000000001</v>
      </c>
      <c r="AL72" s="8">
        <f t="shared" si="572"/>
        <v>1195.9780000000001</v>
      </c>
      <c r="AM72" s="8">
        <f t="shared" si="572"/>
        <v>-2263.4950000000003</v>
      </c>
      <c r="AN72" s="8">
        <f t="shared" si="572"/>
        <v>-3011.6299999999997</v>
      </c>
      <c r="AO72" s="8">
        <f t="shared" si="572"/>
        <v>-5419.6020000000008</v>
      </c>
      <c r="AP72" s="8">
        <f t="shared" si="572"/>
        <v>371.81299999999982</v>
      </c>
      <c r="AQ72" s="8">
        <f t="shared" si="572"/>
        <v>-4768.670000000001</v>
      </c>
      <c r="AR72" s="8">
        <f t="shared" si="572"/>
        <v>-3435.9319999999989</v>
      </c>
      <c r="AS72" s="8">
        <f t="shared" si="572"/>
        <v>-6785.2290000000021</v>
      </c>
      <c r="AT72" s="8">
        <f t="shared" si="572"/>
        <v>1579.9630000000029</v>
      </c>
      <c r="AU72" s="8">
        <f t="shared" si="572"/>
        <v>-766.62800000000107</v>
      </c>
      <c r="AV72" s="8">
        <f t="shared" si="572"/>
        <v>-7817.1250000000009</v>
      </c>
      <c r="AW72" s="8">
        <f t="shared" si="572"/>
        <v>-10535.768999999997</v>
      </c>
      <c r="AX72" s="8">
        <f t="shared" si="572"/>
        <v>-6990.8390000000045</v>
      </c>
      <c r="AY72" s="8">
        <f t="shared" si="572"/>
        <v>15330.417000000005</v>
      </c>
      <c r="AZ72" s="8">
        <f t="shared" si="572"/>
        <v>1535.3719999999996</v>
      </c>
      <c r="BA72" s="8">
        <f t="shared" si="572"/>
        <v>-2601.3699999999994</v>
      </c>
      <c r="BB72" s="8">
        <f t="shared" si="572"/>
        <v>-15720.87</v>
      </c>
      <c r="BC72" s="8">
        <f t="shared" si="572"/>
        <v>18005.595999999998</v>
      </c>
      <c r="BD72" s="8">
        <f t="shared" si="572"/>
        <v>-16340.129000000001</v>
      </c>
      <c r="BE72" s="8">
        <f t="shared" si="572"/>
        <v>-22397.603000000006</v>
      </c>
      <c r="BF72" s="8">
        <f t="shared" si="572"/>
        <v>559.46100000000229</v>
      </c>
      <c r="BG72" s="8">
        <f t="shared" si="572"/>
        <v>17430.200000000004</v>
      </c>
      <c r="BH72" s="8">
        <f t="shared" si="572"/>
        <v>-21530.627</v>
      </c>
      <c r="BJ72" s="8">
        <f t="shared" ref="BJ72:BR72" si="573">SUM(BJ68:BJ71)</f>
        <v>-5708.1990000000005</v>
      </c>
      <c r="BK72" s="8">
        <f t="shared" si="573"/>
        <v>-8836.4500000000025</v>
      </c>
      <c r="BL72" s="8">
        <f t="shared" si="573"/>
        <v>5037.6869999999999</v>
      </c>
      <c r="BM72" s="8">
        <f t="shared" si="573"/>
        <v>-2806.4479999999985</v>
      </c>
      <c r="BN72" s="8">
        <f t="shared" si="573"/>
        <v>2805.5120000000002</v>
      </c>
      <c r="BO72" s="8">
        <f t="shared" si="573"/>
        <v>-4555.7079999999987</v>
      </c>
      <c r="BP72" s="8">
        <f t="shared" si="573"/>
        <v>-19802.223000000002</v>
      </c>
      <c r="BQ72" s="8">
        <f t="shared" si="573"/>
        <v>23146.962000000007</v>
      </c>
      <c r="BR72" s="8">
        <f t="shared" si="573"/>
        <v>-21045.216999999997</v>
      </c>
      <c r="BT72" s="258"/>
      <c r="BU72" s="1"/>
      <c r="BW72" s="39"/>
      <c r="BX72" s="39"/>
    </row>
    <row r="73" spans="2:76" s="5" customFormat="1" ht="13.5" customHeight="1">
      <c r="B73" s="7" t="s">
        <v>302</v>
      </c>
      <c r="C73" s="4">
        <v>0</v>
      </c>
      <c r="D73" s="4">
        <v>0</v>
      </c>
      <c r="E73" s="4">
        <v>558.58199999999999</v>
      </c>
      <c r="F73" s="4">
        <v>-19.001999999999999</v>
      </c>
      <c r="G73" s="4">
        <f>-57.237+9.044</f>
        <v>-48.192999999999998</v>
      </c>
      <c r="H73" s="4">
        <v>-167.68600000000001</v>
      </c>
      <c r="I73" s="4">
        <f>275.778-35.228</f>
        <v>240.55</v>
      </c>
      <c r="J73" s="4">
        <f>323.703-140.84+3.136</f>
        <v>185.99899999999997</v>
      </c>
      <c r="K73" s="4">
        <f>-304.214-13.002</f>
        <v>-317.21600000000001</v>
      </c>
      <c r="L73" s="4">
        <f>-24.673-522.335</f>
        <v>-547.00800000000004</v>
      </c>
      <c r="M73" s="4">
        <f>-11.73</f>
        <v>-11.73</v>
      </c>
      <c r="N73" s="4">
        <f>-16.936</f>
        <v>-16.936</v>
      </c>
      <c r="O73" s="4">
        <f>-526.203-167.966+22.514</f>
        <v>-671.65499999999997</v>
      </c>
      <c r="P73" s="4">
        <f>-688.759-219.855+29.482</f>
        <v>-879.13200000000006</v>
      </c>
      <c r="Q73" s="4">
        <f>-523.545-13.803</f>
        <v>-537.34799999999996</v>
      </c>
      <c r="R73" s="6">
        <f t="shared" ref="R73:R77" si="574">SUM(BE73:BH73)</f>
        <v>-357.83699999999999</v>
      </c>
      <c r="S73" s="6"/>
      <c r="T73" s="4">
        <v>0</v>
      </c>
      <c r="U73" s="4">
        <f>558.582-T73</f>
        <v>558.58199999999999</v>
      </c>
      <c r="V73" s="4">
        <f>558.582-U73-T73</f>
        <v>0</v>
      </c>
      <c r="W73" s="6">
        <f>E73-SUM(T73:V73)</f>
        <v>0</v>
      </c>
      <c r="X73" s="4">
        <v>0</v>
      </c>
      <c r="Y73" s="4">
        <f>0-X73</f>
        <v>0</v>
      </c>
      <c r="Z73" s="4">
        <f>0-Y73-X73</f>
        <v>0</v>
      </c>
      <c r="AA73" s="6">
        <f>F73-SUM(X73:Z73)</f>
        <v>-19.001999999999999</v>
      </c>
      <c r="AB73" s="4">
        <v>0</v>
      </c>
      <c r="AC73" s="4">
        <f>0-AB73</f>
        <v>0</v>
      </c>
      <c r="AD73" s="4">
        <f>0-AC73-AB73</f>
        <v>0</v>
      </c>
      <c r="AE73" s="6">
        <f>G73-AB73-AC73-AD73</f>
        <v>-48.192999999999998</v>
      </c>
      <c r="AF73" s="4">
        <v>0</v>
      </c>
      <c r="AG73" s="4">
        <f>-112.48-AF73</f>
        <v>-112.48</v>
      </c>
      <c r="AH73" s="4">
        <f>-112.48-AG73-AF73</f>
        <v>0</v>
      </c>
      <c r="AI73" s="6">
        <f>H73-AF73-AG73-AH73</f>
        <v>-55.206000000000003</v>
      </c>
      <c r="AJ73" s="4">
        <v>0</v>
      </c>
      <c r="AK73" s="4">
        <f>-35.228-AJ73</f>
        <v>-35.228000000000002</v>
      </c>
      <c r="AL73" s="4">
        <f>-35.228-AK73-AJ73</f>
        <v>0</v>
      </c>
      <c r="AM73" s="6">
        <f>I73-AJ73-AK73-AL73</f>
        <v>275.77800000000002</v>
      </c>
      <c r="AN73" s="4">
        <v>0</v>
      </c>
      <c r="AO73" s="4">
        <f>0-AN73</f>
        <v>0</v>
      </c>
      <c r="AP73" s="4">
        <f>0-AO73-AN73</f>
        <v>0</v>
      </c>
      <c r="AQ73" s="6">
        <f>J73-AN73-AO73-AP73</f>
        <v>185.99899999999997</v>
      </c>
      <c r="AR73" s="4">
        <v>0</v>
      </c>
      <c r="AS73" s="4">
        <f>-10.216-AR73</f>
        <v>-10.215999999999999</v>
      </c>
      <c r="AT73" s="4">
        <f>-12.01-AS73-AR73</f>
        <v>-1.7940000000000005</v>
      </c>
      <c r="AU73" s="6">
        <f>K73-AR73-AS73-AT73</f>
        <v>-305.20600000000002</v>
      </c>
      <c r="AV73" s="4">
        <v>0</v>
      </c>
      <c r="AW73" s="4">
        <f>-4.353-AV73</f>
        <v>-4.3529999999999998</v>
      </c>
      <c r="AX73" s="4">
        <f>-7.63-AW73-AV73</f>
        <v>-3.2770000000000001</v>
      </c>
      <c r="AY73" s="6">
        <f>M73-AV73-AW73-AX73</f>
        <v>-4.1000000000000005</v>
      </c>
      <c r="AZ73" s="4">
        <f>-2.356+17.399</f>
        <v>15.043000000000001</v>
      </c>
      <c r="BA73" s="4">
        <f>-9.002+19.516-AZ73</f>
        <v>-4.5290000000000035</v>
      </c>
      <c r="BB73" s="4">
        <f>-13.731+21.257-BA73-AZ73</f>
        <v>-2.987999999999996</v>
      </c>
      <c r="BC73" s="6">
        <f t="shared" ref="BC73:BC77" si="575">O73-AZ73-BA73-BB73</f>
        <v>-679.18100000000004</v>
      </c>
      <c r="BD73" s="4">
        <f>(-5533-442231)/1000</f>
        <v>-447.76400000000001</v>
      </c>
      <c r="BE73" s="4">
        <f>114.978+119.497-6.584-BD73</f>
        <v>675.65499999999997</v>
      </c>
      <c r="BF73" s="4">
        <f>-13.228-BE73-BD73</f>
        <v>-241.11899999999991</v>
      </c>
      <c r="BG73" s="6">
        <f t="shared" ref="BG73:BG77" si="576">Q73-BD73-BE73-BF73</f>
        <v>-524.12</v>
      </c>
      <c r="BH73" s="4">
        <f>-462.353+194.325-0.225</f>
        <v>-268.25300000000004</v>
      </c>
      <c r="BJ73" s="4">
        <f>0</f>
        <v>0</v>
      </c>
      <c r="BK73" s="4">
        <f>-5.098-BJ73</f>
        <v>-5.0979999999999999</v>
      </c>
      <c r="BL73" s="4">
        <f>-11.141-BJ73-BK73</f>
        <v>-6.0430000000000001</v>
      </c>
      <c r="BM73" s="6">
        <f>N73-SUM(BJ73:BL73)</f>
        <v>-5.7949999999999999</v>
      </c>
      <c r="BN73" s="4">
        <f>(-3254+24031-581403)/1000</f>
        <v>-560.62599999999998</v>
      </c>
      <c r="BO73" s="4">
        <f>80.454+64.226-12.157+26.35-BN73</f>
        <v>719.49900000000002</v>
      </c>
      <c r="BP73" s="4">
        <f>-18.303+28.333-BN73-BO73</f>
        <v>-148.84300000000007</v>
      </c>
      <c r="BQ73" s="6">
        <f t="shared" ref="BQ73:BQ77" si="577">P73-SUM(BN73:BP73)</f>
        <v>-889.16200000000003</v>
      </c>
      <c r="BR73" s="4">
        <f>-578.728-7.241</f>
        <v>-585.96899999999994</v>
      </c>
      <c r="BT73" s="258"/>
      <c r="BU73" s="1"/>
      <c r="BW73" s="39"/>
      <c r="BX73" s="39"/>
    </row>
    <row r="74" spans="2:76" ht="13.5" customHeight="1">
      <c r="B74" s="7" t="s">
        <v>303</v>
      </c>
      <c r="C74" s="4">
        <v>0</v>
      </c>
      <c r="D74" s="4">
        <v>-282.05599999999998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v>-1215.2660000000001</v>
      </c>
      <c r="K74" s="4">
        <v>-1882.894</v>
      </c>
      <c r="L74" s="4">
        <f>-4089.893</f>
        <v>-4089.893</v>
      </c>
      <c r="M74" s="4">
        <v>0</v>
      </c>
      <c r="N74" s="4">
        <v>0</v>
      </c>
      <c r="O74" s="4">
        <v>0</v>
      </c>
      <c r="P74" s="4">
        <v>0</v>
      </c>
      <c r="Q74" s="4">
        <f>5344.114</f>
        <v>5344.1139999999996</v>
      </c>
      <c r="R74" s="6">
        <f t="shared" si="574"/>
        <v>5344.1139999999987</v>
      </c>
      <c r="S74" s="6"/>
      <c r="T74" s="4">
        <v>0</v>
      </c>
      <c r="U74" s="4">
        <f>0-T74</f>
        <v>0</v>
      </c>
      <c r="V74" s="4">
        <f>0-U74-T74</f>
        <v>0</v>
      </c>
      <c r="W74" s="6">
        <f>E74-SUM(T74:V74)</f>
        <v>0</v>
      </c>
      <c r="X74" s="4">
        <v>0</v>
      </c>
      <c r="Y74" s="4">
        <f>0-X74</f>
        <v>0</v>
      </c>
      <c r="Z74" s="4">
        <f>0-Y74-X74</f>
        <v>0</v>
      </c>
      <c r="AA74" s="6">
        <f>F74-SUM(X74:Z74)</f>
        <v>0</v>
      </c>
      <c r="AB74" s="4">
        <v>0</v>
      </c>
      <c r="AC74" s="4">
        <f>0-AB74</f>
        <v>0</v>
      </c>
      <c r="AD74" s="4">
        <v>0</v>
      </c>
      <c r="AE74" s="6">
        <f>G74-AB74-AC74-AD74</f>
        <v>0</v>
      </c>
      <c r="AF74" s="4">
        <v>0</v>
      </c>
      <c r="AG74" s="4">
        <f>-AF74</f>
        <v>0</v>
      </c>
      <c r="AH74" s="4">
        <f>-AG74-AF74</f>
        <v>0</v>
      </c>
      <c r="AI74" s="6">
        <f>H74-AF74-AG74-AH74</f>
        <v>0</v>
      </c>
      <c r="AJ74" s="4">
        <v>0</v>
      </c>
      <c r="AK74" s="4">
        <f>0-AJ74</f>
        <v>0</v>
      </c>
      <c r="AL74" s="4">
        <f>-AK74-AJ74</f>
        <v>0</v>
      </c>
      <c r="AM74" s="6">
        <f>I74-AJ74-AK74-AL74</f>
        <v>0</v>
      </c>
      <c r="AN74" s="4">
        <v>0</v>
      </c>
      <c r="AO74" s="4">
        <f>0-AN74</f>
        <v>0</v>
      </c>
      <c r="AP74" s="4">
        <f>0-AO74-AN74</f>
        <v>0</v>
      </c>
      <c r="AQ74" s="6">
        <f>J74-AN74-AO74-AP74</f>
        <v>-1215.2660000000001</v>
      </c>
      <c r="AR74" s="4">
        <v>-1066.203</v>
      </c>
      <c r="AS74" s="4">
        <f>-1782.468-AR74</f>
        <v>-716.2650000000001</v>
      </c>
      <c r="AT74" s="4">
        <f>0-AS74-AR74</f>
        <v>1782.4680000000001</v>
      </c>
      <c r="AU74" s="6">
        <f>K74-AR74-AS74-AT74</f>
        <v>-1882.894</v>
      </c>
      <c r="AV74" s="4">
        <v>0</v>
      </c>
      <c r="AW74" s="4">
        <f>0-AV74</f>
        <v>0</v>
      </c>
      <c r="AX74" s="4">
        <f>0-AW74-AV74</f>
        <v>0</v>
      </c>
      <c r="AY74" s="6">
        <f>M74-AV74-AW74-AX74</f>
        <v>0</v>
      </c>
      <c r="AZ74" s="4">
        <v>0</v>
      </c>
      <c r="BA74" s="4">
        <f>0-AZ74</f>
        <v>0</v>
      </c>
      <c r="BB74" s="4">
        <f>0-BA74-AZ74</f>
        <v>0</v>
      </c>
      <c r="BC74" s="6">
        <f t="shared" si="575"/>
        <v>0</v>
      </c>
      <c r="BD74" s="4">
        <v>0</v>
      </c>
      <c r="BE74" s="4">
        <f>146.194-BD74</f>
        <v>146.19399999999999</v>
      </c>
      <c r="BF74" s="4">
        <f>157.165-BE74-BD74</f>
        <v>10.971000000000004</v>
      </c>
      <c r="BG74" s="6">
        <f t="shared" si="576"/>
        <v>5186.9489999999987</v>
      </c>
      <c r="BH74" s="4">
        <v>0</v>
      </c>
      <c r="BJ74" s="4">
        <v>0</v>
      </c>
      <c r="BK74" s="4">
        <f>0-BJ74</f>
        <v>0</v>
      </c>
      <c r="BL74" s="4">
        <f>0-BJ74-BK74</f>
        <v>0</v>
      </c>
      <c r="BM74" s="6">
        <f>N74-SUM(BJ74:BL74)</f>
        <v>0</v>
      </c>
      <c r="BN74" s="4">
        <v>0</v>
      </c>
      <c r="BO74" s="4">
        <f>0-BN74</f>
        <v>0</v>
      </c>
      <c r="BP74" s="4">
        <f>0-BN74-BO74</f>
        <v>0</v>
      </c>
      <c r="BQ74" s="6">
        <f t="shared" si="577"/>
        <v>0</v>
      </c>
      <c r="BR74" s="4">
        <v>0</v>
      </c>
      <c r="BT74" s="258"/>
      <c r="BW74" s="39"/>
      <c r="BX74" s="39"/>
    </row>
    <row r="75" spans="2:76" ht="13.5" customHeight="1">
      <c r="B75" s="7" t="s">
        <v>304</v>
      </c>
      <c r="C75" s="4">
        <f>14.1+12.944-353.883</f>
        <v>-326.839</v>
      </c>
      <c r="D75" s="4">
        <f>24.275-350</f>
        <v>-325.72500000000002</v>
      </c>
      <c r="E75" s="4">
        <f>12.809-262</f>
        <v>-249.191</v>
      </c>
      <c r="F75" s="4">
        <f>13.178-425.102</f>
        <v>-411.92399999999998</v>
      </c>
      <c r="G75" s="4">
        <f>-435.168+26.265</f>
        <v>-408.90300000000002</v>
      </c>
      <c r="H75" s="4">
        <v>0</v>
      </c>
      <c r="I75" s="4">
        <v>-27.085999999999999</v>
      </c>
      <c r="J75" s="4">
        <f>-1513.222+11.507</f>
        <v>-1501.7149999999999</v>
      </c>
      <c r="K75" s="4">
        <f>-1709.259+55.788</f>
        <v>-1653.471</v>
      </c>
      <c r="L75" s="4">
        <f>122.814-3656.896</f>
        <v>-3534.0820000000003</v>
      </c>
      <c r="M75" s="4">
        <f>24.83-3228.694</f>
        <v>-3203.864</v>
      </c>
      <c r="N75" s="4">
        <f>35.849-4661.547</f>
        <v>-4625.6979999999994</v>
      </c>
      <c r="O75" s="4">
        <f>58.192-1128.046</f>
        <v>-1069.854</v>
      </c>
      <c r="P75" s="4">
        <f>76.158-1476.526</f>
        <v>-1400.3680000000002</v>
      </c>
      <c r="Q75" s="4">
        <f>134.506-1019.947</f>
        <v>-885.44100000000003</v>
      </c>
      <c r="R75" s="6">
        <f t="shared" si="574"/>
        <v>-872.1</v>
      </c>
      <c r="S75" s="6"/>
      <c r="T75" s="4">
        <v>12.75</v>
      </c>
      <c r="U75" s="4">
        <f>12.809-262-T75</f>
        <v>-261.94100000000003</v>
      </c>
      <c r="V75" s="4">
        <f>12.809-262-U75-T75</f>
        <v>2.8421709430404007E-14</v>
      </c>
      <c r="W75" s="6">
        <f>E75-SUM(T75:V75)</f>
        <v>0</v>
      </c>
      <c r="X75" s="4">
        <v>13.085000000000001</v>
      </c>
      <c r="Y75" s="4">
        <f>13.178-425-X75</f>
        <v>-424.90699999999998</v>
      </c>
      <c r="Z75" s="4">
        <f>13.178-425-Y75-X75</f>
        <v>-2.1316282072803006E-14</v>
      </c>
      <c r="AA75" s="6">
        <f>F75-SUM(X75:Z75)</f>
        <v>-0.10199999999997544</v>
      </c>
      <c r="AB75" s="4">
        <f>26.264-435</f>
        <v>-408.73599999999999</v>
      </c>
      <c r="AC75" s="4">
        <f>26.264-435-AB75</f>
        <v>0</v>
      </c>
      <c r="AD75" s="4">
        <f>-435+26.264-AC75-AB75</f>
        <v>0</v>
      </c>
      <c r="AE75" s="6">
        <f>G75-AB75-AC75-AD75</f>
        <v>-0.16700000000003001</v>
      </c>
      <c r="AF75" s="4">
        <v>0</v>
      </c>
      <c r="AG75" s="4">
        <f>-587.333-AF75</f>
        <v>-587.33299999999997</v>
      </c>
      <c r="AH75" s="4">
        <f>-AG75-AF75</f>
        <v>587.33299999999997</v>
      </c>
      <c r="AI75" s="6">
        <f>H75-AF75-AG75-AH75</f>
        <v>0</v>
      </c>
      <c r="AJ75" s="4">
        <v>0</v>
      </c>
      <c r="AK75" s="4">
        <f>-584.031-27.086-AJ75</f>
        <v>-611.11699999999996</v>
      </c>
      <c r="AL75" s="4">
        <f>-947.143-27.086-AK75-AJ75</f>
        <v>-363.11200000000008</v>
      </c>
      <c r="AM75" s="6">
        <f>I75-AJ75-AK75-AL75</f>
        <v>947.14300000000003</v>
      </c>
      <c r="AN75" s="4">
        <v>-1500</v>
      </c>
      <c r="AO75" s="4">
        <f>-1513.222+11.165-AN75</f>
        <v>-2.0570000000000164</v>
      </c>
      <c r="AP75" s="4">
        <f>-1513.222+11.165-AO75-AN75</f>
        <v>0</v>
      </c>
      <c r="AQ75" s="6">
        <f>J75-AN75-AO75-AP75</f>
        <v>0.34200000000009823</v>
      </c>
      <c r="AR75" s="4">
        <f>-1384.556+55.531</f>
        <v>-1329.0250000000001</v>
      </c>
      <c r="AS75" s="4">
        <f>-1459.508+55.531-AR75</f>
        <v>-74.951999999999998</v>
      </c>
      <c r="AT75" s="4">
        <f>-1695.451+55.531-AS75-AR75</f>
        <v>-235.94299999999998</v>
      </c>
      <c r="AU75" s="6">
        <f>K75-AR75-AS75-AT75</f>
        <v>-13.550999999999931</v>
      </c>
      <c r="AV75" s="4">
        <v>16.75</v>
      </c>
      <c r="AW75" s="4">
        <f>-400.262+16.75-AV75</f>
        <v>-400.262</v>
      </c>
      <c r="AX75" s="4">
        <f>-2127.677+16.75-AW75-AV75</f>
        <v>-1727.4150000000002</v>
      </c>
      <c r="AY75" s="6">
        <f>M75-AV75-AW75-AX75</f>
        <v>-1092.9369999999997</v>
      </c>
      <c r="AZ75" s="4">
        <f>44.993</f>
        <v>44.993000000000002</v>
      </c>
      <c r="BA75" s="4">
        <f>47.558-AZ75</f>
        <v>2.5649999999999977</v>
      </c>
      <c r="BB75" s="4">
        <f>-859.56+54.464-BA75-AZ75</f>
        <v>-852.65400000000011</v>
      </c>
      <c r="BC75" s="6">
        <f t="shared" si="575"/>
        <v>-264.75799999999992</v>
      </c>
      <c r="BD75" s="4">
        <v>-13.340999999999999</v>
      </c>
      <c r="BE75" s="4">
        <f>-207.404-BD75</f>
        <v>-194.06299999999999</v>
      </c>
      <c r="BF75" s="4">
        <f>-426.921+128.465-BE75-BD75</f>
        <v>-91.052000000000035</v>
      </c>
      <c r="BG75" s="6">
        <f t="shared" si="576"/>
        <v>-586.98500000000001</v>
      </c>
      <c r="BH75" s="4">
        <v>0</v>
      </c>
      <c r="BJ75" s="4">
        <f>28.223</f>
        <v>28.222999999999999</v>
      </c>
      <c r="BK75" s="4">
        <f>30.595-BJ75</f>
        <v>2.3719999999999999</v>
      </c>
      <c r="BL75" s="4">
        <f>-4132.661+33.324-BJ75-BK75</f>
        <v>-4129.9320000000007</v>
      </c>
      <c r="BM75" s="6">
        <f>N75-SUM(BJ75:BL75)</f>
        <v>-526.36099999999897</v>
      </c>
      <c r="BN75" s="4">
        <f>(62137)/1000</f>
        <v>62.137</v>
      </c>
      <c r="BO75" s="4">
        <f>-800.047-BN75</f>
        <v>-862.18399999999997</v>
      </c>
      <c r="BP75" s="4">
        <f>72.597-1145.742-BN75-BO75</f>
        <v>-273.09799999999996</v>
      </c>
      <c r="BQ75" s="6">
        <f t="shared" si="577"/>
        <v>-327.22300000000018</v>
      </c>
      <c r="BR75" s="4">
        <f>-17.459</f>
        <v>-17.459</v>
      </c>
      <c r="BT75" s="258"/>
      <c r="BW75" s="39"/>
      <c r="BX75" s="39"/>
    </row>
    <row r="76" spans="2:76" ht="13.5" customHeight="1">
      <c r="B76" s="7" t="s">
        <v>305</v>
      </c>
      <c r="C76" s="4">
        <f>1494.043-2016.173+991.201</f>
        <v>469.07099999999991</v>
      </c>
      <c r="D76" s="4">
        <f>3496.842-3266.729</f>
        <v>230.11300000000028</v>
      </c>
      <c r="E76" s="4">
        <f>2603.563-3043.217</f>
        <v>-439.654</v>
      </c>
      <c r="F76" s="4">
        <f>2834.707-1529.456</f>
        <v>1305.251</v>
      </c>
      <c r="G76" s="4">
        <f>5548.94-2288.445</f>
        <v>3260.4949999999994</v>
      </c>
      <c r="H76" s="4">
        <f>4265.42-3811.499+1000-281.525</f>
        <v>1172.3960000000002</v>
      </c>
      <c r="I76" s="4">
        <f>4212.527-3614.211-303.233</f>
        <v>295.08300000000025</v>
      </c>
      <c r="J76" s="4">
        <f>12510.56-9522.41-635.575+6632.916</f>
        <v>8985.491</v>
      </c>
      <c r="K76" s="4">
        <f>13333.102-6424.351-804.16+4525</f>
        <v>10629.591</v>
      </c>
      <c r="L76" s="4">
        <f>26229.005-12393.074+10002.126-1607.394</f>
        <v>22230.663</v>
      </c>
      <c r="M76" s="4">
        <f>74858.309-56745.725+21045.448-1932.877</f>
        <v>37225.154999999992</v>
      </c>
      <c r="N76" s="4">
        <f>169700.299-146861.447+30385.163-2790.664</f>
        <v>50433.351000000017</v>
      </c>
      <c r="O76" s="4">
        <f>139009.053-121092.117+7575.89-4383.374</f>
        <v>21109.452000000016</v>
      </c>
      <c r="P76" s="4">
        <f>181952.188-158500.293+9916.259-5737.5</f>
        <v>27630.653999999988</v>
      </c>
      <c r="Q76" s="4">
        <f>234964.192-187598.544+14622.752-6236.91</f>
        <v>55751.49000000002</v>
      </c>
      <c r="R76" s="6">
        <f t="shared" si="574"/>
        <v>55991.504000000023</v>
      </c>
      <c r="S76" s="6"/>
      <c r="T76" s="4">
        <f>919.379-788.926</f>
        <v>130.45299999999997</v>
      </c>
      <c r="U76" s="4">
        <f>922.466-1246.689-T76</f>
        <v>-454.67600000000004</v>
      </c>
      <c r="V76" s="4">
        <f>1641.397-2002.69-U76-T76</f>
        <v>-37.07000000000005</v>
      </c>
      <c r="W76" s="6">
        <f>E76-SUM(T76:V76)</f>
        <v>-78.360999999999876</v>
      </c>
      <c r="X76" s="4">
        <f>1322.533-388.768</f>
        <v>933.76499999999987</v>
      </c>
      <c r="Y76" s="4">
        <f>1940.039-921.26-X76</f>
        <v>85.014000000000124</v>
      </c>
      <c r="Z76" s="4">
        <f>2546.888-1415.946-Y76-X76</f>
        <v>112.16300000000001</v>
      </c>
      <c r="AA76" s="6">
        <f>F76-SUM(X76:Z76)</f>
        <v>174.30899999999997</v>
      </c>
      <c r="AB76" s="4">
        <f>2016.538-1349.877</f>
        <v>666.66100000000006</v>
      </c>
      <c r="AC76" s="4">
        <f>3231.983-1796.089-AB76</f>
        <v>769.23300000000017</v>
      </c>
      <c r="AD76" s="4">
        <f>4403.465-2081.393-AC76-AB76</f>
        <v>886.17799999999988</v>
      </c>
      <c r="AE76" s="6">
        <f>G76-AB76-AC76-AD76</f>
        <v>938.42299999999932</v>
      </c>
      <c r="AF76" s="4">
        <f>2361.056-2035.645-60.36+500</f>
        <v>765.05100000000004</v>
      </c>
      <c r="AG76" s="4">
        <f>2996.566-3008.987-132.99+500-AF76</f>
        <v>-410.46200000000033</v>
      </c>
      <c r="AH76" s="4">
        <f>4072.46-4493.188-199.28+1000-AG76-AF76</f>
        <v>25.403000000000247</v>
      </c>
      <c r="AI76" s="6">
        <f>H76-AF76-AG76-AH76</f>
        <v>792.40400000000022</v>
      </c>
      <c r="AJ76" s="4">
        <f>2225.06-1720.904-77.873</f>
        <v>426.28299999999996</v>
      </c>
      <c r="AK76" s="4">
        <f>2571.435-2465.096+0-146.929-AJ76</f>
        <v>-466.87300000000005</v>
      </c>
      <c r="AL76" s="4">
        <f>3821.71-3778.035-225.703-AK76-AJ76</f>
        <v>-141.4379999999997</v>
      </c>
      <c r="AM76" s="6">
        <f>I76-AJ76-AK76-AL76</f>
        <v>477.11100000000005</v>
      </c>
      <c r="AN76" s="4">
        <f>984.809-898.51-86.074+1200</f>
        <v>1200.2249999999999</v>
      </c>
      <c r="AO76" s="4">
        <f>3877.96-2662.635+5122.336-246.907-AN76</f>
        <v>4890.5290000000005</v>
      </c>
      <c r="AP76" s="4">
        <f>5730.1-7003.729+5103.496-353.369-AO76-AN76</f>
        <v>-2614.2560000000003</v>
      </c>
      <c r="AQ76" s="6">
        <f>J76-AN76-AO76-AP76</f>
        <v>5508.9929999999995</v>
      </c>
      <c r="AR76" s="4">
        <f>5760.295-2140.841+700-349.298</f>
        <v>3970.1559999999999</v>
      </c>
      <c r="AS76" s="4">
        <f>9745.065-4307.041+1750-526.334-AR76</f>
        <v>2691.5340000000006</v>
      </c>
      <c r="AT76" s="4">
        <f>11308.561-5995.633+4525-799.462-AS76-AR76</f>
        <v>2376.7759999999998</v>
      </c>
      <c r="AU76" s="6">
        <f>K76-AR76-AS76-AT76</f>
        <v>1591.125</v>
      </c>
      <c r="AV76" s="4">
        <f>15375.196-10376.465+4400-284.329</f>
        <v>9114.402</v>
      </c>
      <c r="AW76" s="4">
        <f>25405.983-24594.582+4400-597.418-AV76</f>
        <v>-4500.4189999999981</v>
      </c>
      <c r="AX76" s="4">
        <f>35918.627-30856.186+15350.68-1008.365-AW76-AV76</f>
        <v>14790.772999999996</v>
      </c>
      <c r="AY76" s="6">
        <f>M76-AV76-AW76-AX76</f>
        <v>17820.39899999999</v>
      </c>
      <c r="AZ76" s="4">
        <f>5537.712-6026.679+4520.331-613.158</f>
        <v>3418.2060000000006</v>
      </c>
      <c r="BA76" s="4">
        <f>26181.639-26699.078+6545.115-1677.654-AZ76</f>
        <v>931.81599999999662</v>
      </c>
      <c r="BB76" s="4">
        <f>201973.432-192654.396+7128.909-2882.639-BA76-AZ76</f>
        <v>9215.283999999996</v>
      </c>
      <c r="BC76" s="6">
        <f t="shared" si="575"/>
        <v>7544.1460000000225</v>
      </c>
      <c r="BD76" s="4">
        <f>(42440167-33070040-1156374)/1000</f>
        <v>8213.7530000000006</v>
      </c>
      <c r="BE76" s="4">
        <f>96650.869-68702.66+13034.331-BD76</f>
        <v>32768.786999999997</v>
      </c>
      <c r="BF76" s="4">
        <f>149405.961-111254.196+13524.693-4467.527-BE76-BD76</f>
        <v>6226.3910000000142</v>
      </c>
      <c r="BG76" s="6">
        <f t="shared" si="576"/>
        <v>8542.559000000012</v>
      </c>
      <c r="BH76" s="4">
        <f>71165.022-61337.017-1374.238</f>
        <v>8453.766999999998</v>
      </c>
      <c r="BJ76" s="4">
        <f>15808.328-7031.11+7583.533-490.414</f>
        <v>15870.337</v>
      </c>
      <c r="BK76" s="4">
        <f>31153.046-30506.543+11874.063-BJ76</f>
        <v>-3349.7710000000025</v>
      </c>
      <c r="BL76" s="4">
        <f>218369.492-208552.24+16358.673-1802.194-BJ76-BK76</f>
        <v>11853.165000000014</v>
      </c>
      <c r="BM76" s="6">
        <f>N76-SUM(BJ76:BL76)</f>
        <v>26059.620000000006</v>
      </c>
      <c r="BN76" s="4">
        <f>(24635755-31905004+5827919-846795)/1000</f>
        <v>-2288.125</v>
      </c>
      <c r="BO76" s="4">
        <f>77038.045-74477.513+8839.091-BN76</f>
        <v>13687.747999999992</v>
      </c>
      <c r="BP76" s="4">
        <f>131566.221-118113.101+9502.409-3842.385-BN76-BO76</f>
        <v>7713.5210000000006</v>
      </c>
      <c r="BQ76" s="6">
        <f t="shared" si="577"/>
        <v>8517.5099999999948</v>
      </c>
      <c r="BR76" s="4">
        <f>55539.533-43277.274-1513.294</f>
        <v>10748.965000000006</v>
      </c>
      <c r="BT76" s="258"/>
      <c r="BW76" s="39"/>
      <c r="BX76" s="39"/>
    </row>
    <row r="77" spans="2:76" ht="13.5" customHeight="1">
      <c r="B77" s="7" t="s">
        <v>306</v>
      </c>
      <c r="C77" s="4">
        <f>23.293+17.783-9.731</f>
        <v>31.344999999999999</v>
      </c>
      <c r="D77" s="4">
        <f>22.196+40.748-6.868</f>
        <v>56.076000000000001</v>
      </c>
      <c r="E77" s="4">
        <f>29.604+14.253-11.12</f>
        <v>32.737000000000002</v>
      </c>
      <c r="F77" s="4">
        <f>29.727-22.387-9.782</f>
        <v>-2.4420000000000002</v>
      </c>
      <c r="G77" s="4">
        <f>58.468+368.123-16.641</f>
        <v>409.95</v>
      </c>
      <c r="H77" s="4">
        <f>-27.88-17.988+147.463</f>
        <v>101.595</v>
      </c>
      <c r="I77" s="4">
        <f>-399.379-8.009+231.696</f>
        <v>-175.69200000000004</v>
      </c>
      <c r="J77" s="4">
        <f>-204.839+229.017+14.723</f>
        <v>38.900999999999996</v>
      </c>
      <c r="K77" s="4">
        <f>-398.744+395.857-5.209</f>
        <v>-8.0960000000000001</v>
      </c>
      <c r="L77" s="4">
        <f>-793.283+752.737+78.357</f>
        <v>37.81099999999995</v>
      </c>
      <c r="M77" s="4">
        <f>3979.344+1944.317-69.155</f>
        <v>5854.5060000000003</v>
      </c>
      <c r="N77" s="4">
        <f>5745.325+2807.182-99.843</f>
        <v>8452.6639999999989</v>
      </c>
      <c r="O77" s="4">
        <f>-4158.393+2891.896-2486.003</f>
        <v>-3752.5</v>
      </c>
      <c r="P77" s="4">
        <f>-5443.015+3785.269-3253.99</f>
        <v>-4911.7360000000008</v>
      </c>
      <c r="Q77" s="4">
        <f>-6770.047+4436.772-3585.028</f>
        <v>-5918.3029999999999</v>
      </c>
      <c r="R77" s="6">
        <f t="shared" si="574"/>
        <v>-5090.308</v>
      </c>
      <c r="S77" s="6"/>
      <c r="T77" s="4">
        <f>7.008+27.278-2.525</f>
        <v>31.761000000000003</v>
      </c>
      <c r="U77" s="4">
        <f>15.108+14.08-5.015-T77</f>
        <v>-7.588000000000001</v>
      </c>
      <c r="V77" s="4">
        <f>23.136+15.537-8.086-U77-T77</f>
        <v>6.4140000000000015</v>
      </c>
      <c r="W77" s="6">
        <f>E77-SUM(T77:V77)</f>
        <v>2.1499999999999986</v>
      </c>
      <c r="X77" s="4">
        <f>5.855-12.706-1.626</f>
        <v>-8.4769999999999985</v>
      </c>
      <c r="Y77" s="4">
        <f>14.952-19.136-4.604-X77</f>
        <v>-0.31100000000000172</v>
      </c>
      <c r="Z77" s="4">
        <f>24.12-17.139-6.835-Y77-X77</f>
        <v>8.9340000000000011</v>
      </c>
      <c r="AA77" s="6">
        <f>F77-SUM(X77:Z77)</f>
        <v>-2.588000000000001</v>
      </c>
      <c r="AB77" s="4">
        <f>8.636 -36.93-2.269</f>
        <v>-30.563000000000002</v>
      </c>
      <c r="AC77" s="4">
        <f>18.009-49.757-5.34-AB77</f>
        <v>-6.5249999999999915</v>
      </c>
      <c r="AD77" s="4">
        <f>36.033+177.499-9.23-AC77-AB77</f>
        <v>241.39</v>
      </c>
      <c r="AE77" s="6">
        <f>G77-AB77-AC77-AD77</f>
        <v>205.64799999999997</v>
      </c>
      <c r="AF77" s="4">
        <f>31.887+31.24-3.306</f>
        <v>59.820999999999998</v>
      </c>
      <c r="AG77" s="4">
        <f>-506.95+40.668-5.106-AF77</f>
        <v>-531.20899999999995</v>
      </c>
      <c r="AH77" s="4">
        <f>111.902-154.998-13.864-AG77-AF77</f>
        <v>414.428</v>
      </c>
      <c r="AI77" s="6">
        <f>H77-AF77-AG77-AH77</f>
        <v>158.55499999999995</v>
      </c>
      <c r="AJ77" s="4">
        <f>41.087-39.221-2.858</f>
        <v>-0.99199999999999333</v>
      </c>
      <c r="AK77" s="4">
        <f>-208.258-784.876-4.663-AJ77</f>
        <v>-996.80500000000006</v>
      </c>
      <c r="AL77" s="4">
        <f>-1093.135-5.464-512.204-AK77-AJ77</f>
        <v>-613.00599999999986</v>
      </c>
      <c r="AM77" s="6">
        <f>I77-AJ77-AK77-AL77</f>
        <v>1435.1109999999999</v>
      </c>
      <c r="AN77" s="4">
        <f>104.905-159.833-7.817</f>
        <v>-62.744999999999997</v>
      </c>
      <c r="AO77" s="4">
        <f>-231.926+159.096-11.517-AN77</f>
        <v>-21.601999999999983</v>
      </c>
      <c r="AP77" s="4">
        <f>-89.192-855.398+185.153-15.836-AO77-AN77</f>
        <v>-690.92600000000004</v>
      </c>
      <c r="AQ77" s="6">
        <f>J77-AN77-AO77-AP77</f>
        <v>814.17399999999998</v>
      </c>
      <c r="AR77" s="4">
        <f>-178.029+84.943-13.705</f>
        <v>-106.791</v>
      </c>
      <c r="AS77" s="4">
        <f>-185.49+156.854-5.237-AR77</f>
        <v>72.918000000000006</v>
      </c>
      <c r="AT77" s="4">
        <f>-3.816+243.408-12.622-1882.894-AS77-AR77</f>
        <v>-1622.0510000000002</v>
      </c>
      <c r="AU77" s="6">
        <f>K77-AR77-AS77-AT77</f>
        <v>1647.8280000000002</v>
      </c>
      <c r="AV77" s="4">
        <f>127.91+281.677+20.955</f>
        <v>430.54199999999997</v>
      </c>
      <c r="AW77" s="4">
        <f>180.511+508.617+17.608-AV77</f>
        <v>276.19400000000002</v>
      </c>
      <c r="AX77" s="4">
        <f>2180.741+933.306-62.528-AW77-AV77</f>
        <v>2344.7830000000004</v>
      </c>
      <c r="AY77" s="6">
        <f>M77-AV77-AW77-AX77</f>
        <v>2802.9869999999992</v>
      </c>
      <c r="AZ77" s="4">
        <f>106.896+689.682-148.564</f>
        <v>648.01400000000001</v>
      </c>
      <c r="BA77" s="4">
        <f>-592.414-1435.672+1438.413-509.719-AZ77</f>
        <v>-1747.4059999999999</v>
      </c>
      <c r="BB77" s="4">
        <f>-2293.458+2121.287-1312.643-BA77-AZ77</f>
        <v>-385.42200000000037</v>
      </c>
      <c r="BC77" s="6">
        <f t="shared" si="575"/>
        <v>-2267.6859999999997</v>
      </c>
      <c r="BD77" s="4">
        <f>(-508673+604057-736507)/1000</f>
        <v>-641.12300000000005</v>
      </c>
      <c r="BE77" s="4">
        <f>-2831.714-2741.272+1236.88-1455.222-BD77</f>
        <v>-5150.2049999999999</v>
      </c>
      <c r="BF77" s="4">
        <f>-6237.929+3175.436-2432.343-BE77-BD77</f>
        <v>296.49200000000064</v>
      </c>
      <c r="BG77" s="6">
        <f t="shared" si="576"/>
        <v>-423.46700000000101</v>
      </c>
      <c r="BH77" s="4">
        <f>-1142.822+2011.645-681.951</f>
        <v>186.87200000000007</v>
      </c>
      <c r="BJ77" s="4">
        <f>229.902+495.465+85.628</f>
        <v>810.995</v>
      </c>
      <c r="BK77" s="4">
        <f>-689.443+303.228+934.003-540.038-1074.38-BJ77</f>
        <v>-1877.625</v>
      </c>
      <c r="BL77" s="4">
        <f>4559.478+1695.116-134.07-BJ77-BK77</f>
        <v>7187.1540000000005</v>
      </c>
      <c r="BM77" s="6">
        <f>N77-SUM(BJ77:BL77)</f>
        <v>2332.1399999999985</v>
      </c>
      <c r="BN77" s="4">
        <f>(147627+952478-205174)/1000</f>
        <v>894.93100000000004</v>
      </c>
      <c r="BO77" s="4">
        <f>-2265.65-1936.968+1942.557-688.37-BN77</f>
        <v>-3843.3620000000005</v>
      </c>
      <c r="BP77" s="4">
        <f>-3055.012+2827.548-1749.676-BN77-BO77</f>
        <v>971.29100000000017</v>
      </c>
      <c r="BQ77" s="6">
        <f t="shared" si="577"/>
        <v>-2934.5960000000005</v>
      </c>
      <c r="BR77" s="4">
        <f>-665.67+790.501-963.835</f>
        <v>-839.00400000000002</v>
      </c>
      <c r="BT77" s="258"/>
      <c r="BW77" s="39"/>
      <c r="BX77" s="39"/>
    </row>
    <row r="78" spans="2:76" s="5" customFormat="1" ht="13.5" customHeight="1">
      <c r="B78" s="15" t="s">
        <v>307</v>
      </c>
      <c r="C78" s="8">
        <f t="shared" ref="C78:K78" si="578">SUM(C72:C77)</f>
        <v>402.22100000000012</v>
      </c>
      <c r="D78" s="8">
        <f t="shared" si="578"/>
        <v>171.5570000000001</v>
      </c>
      <c r="E78" s="8">
        <f t="shared" si="578"/>
        <v>-442.43199999999996</v>
      </c>
      <c r="F78" s="8">
        <f t="shared" si="578"/>
        <v>-704.04399999999964</v>
      </c>
      <c r="G78" s="8">
        <f t="shared" si="578"/>
        <v>1514.9459999999992</v>
      </c>
      <c r="H78" s="8">
        <f t="shared" si="578"/>
        <v>240.25700000000003</v>
      </c>
      <c r="I78" s="8">
        <f t="shared" si="578"/>
        <v>1910.0190000000002</v>
      </c>
      <c r="J78" s="8">
        <f t="shared" si="578"/>
        <v>-6334.6790000000019</v>
      </c>
      <c r="K78" s="8">
        <f t="shared" si="578"/>
        <v>-2639.9119999999989</v>
      </c>
      <c r="L78" s="8">
        <f t="shared" ref="L78:M78" si="579">SUM(L72:L77)</f>
        <v>17433.531999999999</v>
      </c>
      <c r="M78" s="8">
        <f t="shared" si="579"/>
        <v>29850.750999999997</v>
      </c>
      <c r="N78" s="8">
        <f t="shared" ref="N78" si="580">SUM(N72:N77)</f>
        <v>41929.971000000012</v>
      </c>
      <c r="O78" s="8">
        <f t="shared" ref="O78:P78" si="581">SUM(O72:O77)</f>
        <v>16834.171000000017</v>
      </c>
      <c r="P78" s="8">
        <f t="shared" si="581"/>
        <v>22033.960999999996</v>
      </c>
      <c r="Q78" s="8">
        <f t="shared" ref="Q78" si="582">SUM(Q72:Q77)</f>
        <v>33006.441000000021</v>
      </c>
      <c r="R78" s="8">
        <f>SUM(R72:R77)</f>
        <v>29076.804000000022</v>
      </c>
      <c r="S78" s="8"/>
      <c r="T78" s="8">
        <f t="shared" ref="T78:Z78" si="583">SUM(T72:T77)</f>
        <v>407.70300000000003</v>
      </c>
      <c r="U78" s="8">
        <f t="shared" si="583"/>
        <v>-178.46400000000008</v>
      </c>
      <c r="V78" s="8">
        <f t="shared" si="583"/>
        <v>21.110999999999954</v>
      </c>
      <c r="W78" s="8">
        <f t="shared" si="583"/>
        <v>-692.7819999999997</v>
      </c>
      <c r="X78" s="121">
        <f t="shared" si="583"/>
        <v>245.48999999999987</v>
      </c>
      <c r="Y78" s="8">
        <f t="shared" si="583"/>
        <v>-1007.4889999999999</v>
      </c>
      <c r="Z78" s="8">
        <f t="shared" si="583"/>
        <v>-282.71699999999942</v>
      </c>
      <c r="AA78" s="8">
        <f t="shared" ref="AA78:AF78" si="584">SUM(AA72:AA77)</f>
        <v>340.67199999999985</v>
      </c>
      <c r="AB78" s="8">
        <f t="shared" si="584"/>
        <v>-182.18200000000002</v>
      </c>
      <c r="AC78" s="8">
        <f t="shared" si="584"/>
        <v>-264.72099999999989</v>
      </c>
      <c r="AD78" s="8">
        <f t="shared" si="584"/>
        <v>-403.19600000000048</v>
      </c>
      <c r="AE78" s="8">
        <f t="shared" si="584"/>
        <v>2365.0450000000001</v>
      </c>
      <c r="AF78" s="8">
        <f t="shared" si="584"/>
        <v>543.65599999999995</v>
      </c>
      <c r="AG78" s="8">
        <f t="shared" ref="AG78:AL78" si="585">SUM(AG72:AG77)</f>
        <v>-1099.7809999999997</v>
      </c>
      <c r="AH78" s="8">
        <f t="shared" si="585"/>
        <v>-426.51500000000078</v>
      </c>
      <c r="AI78" s="8">
        <f t="shared" si="585"/>
        <v>1222.8970000000008</v>
      </c>
      <c r="AJ78" s="8">
        <f t="shared" si="585"/>
        <v>585.9849999999999</v>
      </c>
      <c r="AK78" s="8">
        <f t="shared" si="585"/>
        <v>373.96399999999994</v>
      </c>
      <c r="AL78" s="8">
        <f t="shared" si="585"/>
        <v>78.42200000000048</v>
      </c>
      <c r="AM78" s="8">
        <f t="shared" ref="AM78:AR78" si="586">SUM(AM72:AM77)</f>
        <v>871.64799999999968</v>
      </c>
      <c r="AN78" s="8">
        <f t="shared" si="586"/>
        <v>-3374.1499999999992</v>
      </c>
      <c r="AO78" s="8">
        <f t="shared" si="586"/>
        <v>-552.73200000000008</v>
      </c>
      <c r="AP78" s="8">
        <f t="shared" si="586"/>
        <v>-2933.3690000000006</v>
      </c>
      <c r="AQ78" s="8">
        <f t="shared" si="586"/>
        <v>525.5719999999983</v>
      </c>
      <c r="AR78" s="8">
        <f t="shared" si="586"/>
        <v>-1967.794999999998</v>
      </c>
      <c r="AS78" s="8">
        <f t="shared" ref="AS78:AV78" si="587">SUM(AS72:AS77)</f>
        <v>-4822.2100000000028</v>
      </c>
      <c r="AT78" s="8">
        <f t="shared" si="587"/>
        <v>3879.4190000000026</v>
      </c>
      <c r="AU78" s="8">
        <f t="shared" si="587"/>
        <v>270.6739999999993</v>
      </c>
      <c r="AV78" s="8">
        <f t="shared" si="587"/>
        <v>1744.5689999999991</v>
      </c>
      <c r="AW78" s="8">
        <f>SUM(AW72:AW77)</f>
        <v>-15164.608999999995</v>
      </c>
      <c r="AX78" s="8">
        <f t="shared" ref="AX78:AY78" si="588">SUM(AX72:AX77)</f>
        <v>8414.0249999999905</v>
      </c>
      <c r="AY78" s="8">
        <f t="shared" si="588"/>
        <v>34856.765999999996</v>
      </c>
      <c r="AZ78" s="8">
        <f>SUM(AZ72:AZ77)</f>
        <v>5661.6279999999997</v>
      </c>
      <c r="BA78" s="8">
        <f>SUM(BA72:BA77)</f>
        <v>-3418.9240000000027</v>
      </c>
      <c r="BB78" s="8">
        <f t="shared" ref="BB78:BC78" si="589">SUM(BB72:BB77)</f>
        <v>-7746.6500000000033</v>
      </c>
      <c r="BC78" s="8">
        <f t="shared" si="589"/>
        <v>22338.11700000002</v>
      </c>
      <c r="BD78" s="8">
        <f>SUM(BD72:BD77)</f>
        <v>-9228.6039999999994</v>
      </c>
      <c r="BE78" s="8">
        <f>SUM(BE72:BE77)</f>
        <v>5848.7649999999903</v>
      </c>
      <c r="BF78" s="8">
        <f t="shared" ref="BF78:BG78" si="590">SUM(BF72:BF77)</f>
        <v>6761.1440000000166</v>
      </c>
      <c r="BG78" s="8">
        <f t="shared" si="590"/>
        <v>29625.136000000013</v>
      </c>
      <c r="BH78" s="8">
        <f>SUM(BH72:BH77)</f>
        <v>-13158.241000000004</v>
      </c>
      <c r="BJ78" s="8">
        <f t="shared" ref="BJ78" si="591">SUM(BJ72:BJ77)</f>
        <v>11001.356</v>
      </c>
      <c r="BK78" s="8">
        <f>SUM(BK72:BK77)</f>
        <v>-14066.572000000006</v>
      </c>
      <c r="BL78" s="8">
        <f t="shared" ref="BL78:BN78" si="592">SUM(BL72:BL77)</f>
        <v>19942.031000000014</v>
      </c>
      <c r="BM78" s="8">
        <f t="shared" si="592"/>
        <v>25053.15600000001</v>
      </c>
      <c r="BN78" s="8">
        <f t="shared" si="592"/>
        <v>913.82900000000063</v>
      </c>
      <c r="BO78" s="8">
        <f>SUM(BO72:BO77)</f>
        <v>5145.9929999999913</v>
      </c>
      <c r="BP78" s="8">
        <f t="shared" ref="BP78:BR78" si="593">SUM(BP72:BP77)</f>
        <v>-11539.352000000003</v>
      </c>
      <c r="BQ78" s="8">
        <f t="shared" si="593"/>
        <v>27513.490999999998</v>
      </c>
      <c r="BR78" s="8">
        <f t="shared" si="593"/>
        <v>-11738.683999999992</v>
      </c>
      <c r="BT78" s="1"/>
      <c r="BU78" s="1"/>
      <c r="BW78" s="39"/>
      <c r="BX78" s="39"/>
    </row>
    <row r="79" spans="2:76" s="332" customFormat="1" ht="13.5" customHeight="1">
      <c r="B79" s="7" t="s">
        <v>308</v>
      </c>
      <c r="C79" s="71"/>
      <c r="D79" s="71"/>
      <c r="E79" s="71"/>
      <c r="F79" s="71"/>
      <c r="G79" s="71"/>
      <c r="H79" s="242"/>
      <c r="I79" s="242"/>
      <c r="J79" s="242"/>
      <c r="K79" s="242"/>
      <c r="L79" s="71">
        <f>-7354.018</f>
        <v>-7354.018</v>
      </c>
      <c r="M79" s="71">
        <f>-10881.322</f>
        <v>-10881.322</v>
      </c>
      <c r="N79" s="71">
        <v>-15710.319</v>
      </c>
      <c r="O79" s="71">
        <v>-9245.9709999999995</v>
      </c>
      <c r="P79" s="71">
        <v>-12102.278</v>
      </c>
      <c r="Q79" s="71">
        <v>-8340.4760000000006</v>
      </c>
      <c r="R79" s="6">
        <f>SUM(BE79:BH79)</f>
        <v>-11748.384000000002</v>
      </c>
      <c r="S79" s="74"/>
      <c r="T79" s="74"/>
      <c r="U79" s="74"/>
      <c r="V79" s="74"/>
      <c r="W79" s="74"/>
      <c r="X79" s="331"/>
      <c r="Y79" s="74"/>
      <c r="Z79" s="74"/>
      <c r="AA79" s="74"/>
      <c r="AB79" s="74"/>
      <c r="AC79" s="74"/>
      <c r="AD79" s="74"/>
      <c r="AE79" s="74"/>
      <c r="AF79" s="74"/>
      <c r="AG79" s="74"/>
      <c r="AH79" s="74"/>
      <c r="AI79" s="74"/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  <c r="AW79" s="74"/>
      <c r="AX79" s="74"/>
      <c r="AY79" s="71">
        <f>M79-AV79-AW79-AX79</f>
        <v>-10881.322</v>
      </c>
      <c r="AZ79" s="71">
        <v>-4061.002</v>
      </c>
      <c r="BA79" s="71">
        <f>-6207.049-AZ79</f>
        <v>-2146.047</v>
      </c>
      <c r="BB79" s="71">
        <f>-8213.71-BA79-AZ79</f>
        <v>-2006.6609999999987</v>
      </c>
      <c r="BC79" s="71">
        <f>O79-AZ79-BA79-BB79</f>
        <v>-1032.2610000000004</v>
      </c>
      <c r="BD79" s="71">
        <v>-1990.039</v>
      </c>
      <c r="BE79" s="71">
        <f>-3373.757-BD79</f>
        <v>-1383.7180000000001</v>
      </c>
      <c r="BF79" s="71">
        <f>-6334.616-BE79-BD79</f>
        <v>-2960.8590000000004</v>
      </c>
      <c r="BG79" s="71">
        <f>Q79-BD79-BE79-BF79</f>
        <v>-2005.8600000000006</v>
      </c>
      <c r="BH79" s="71">
        <v>-5397.9470000000001</v>
      </c>
      <c r="BJ79" s="71">
        <v>-3421.694</v>
      </c>
      <c r="BK79" s="71">
        <f>-5024.131-BJ79</f>
        <v>-1602.4370000000004</v>
      </c>
      <c r="BL79" s="71">
        <f>-11894.522-BK79-BJ79</f>
        <v>-6870.3910000000014</v>
      </c>
      <c r="BM79" s="71">
        <f>N79-SUM(BJ79:BL79)</f>
        <v>-3815.7969999999987</v>
      </c>
      <c r="BN79" s="71">
        <v>-5608.3969999999999</v>
      </c>
      <c r="BO79" s="71">
        <f>-8382.545-BN79</f>
        <v>-2774.1480000000001</v>
      </c>
      <c r="BP79" s="71">
        <f>-10948.381-BO79-BN79</f>
        <v>-2565.8359999999993</v>
      </c>
      <c r="BQ79" s="71">
        <f t="shared" ref="BQ79:BQ81" si="594">P79-SUM(BN79:BP79)</f>
        <v>-1153.8970000000008</v>
      </c>
      <c r="BR79" s="71">
        <v>-2604.2849999999999</v>
      </c>
      <c r="BT79" s="333"/>
      <c r="BU79" s="333"/>
      <c r="BW79" s="334"/>
      <c r="BX79" s="334"/>
    </row>
    <row r="80" spans="2:76" ht="13.5" customHeight="1">
      <c r="B80" s="7" t="s">
        <v>309</v>
      </c>
      <c r="C80" s="71">
        <f>421.551-C78</f>
        <v>19.32999999999987</v>
      </c>
      <c r="D80" s="71">
        <f>392.352-D78</f>
        <v>220.79499999999987</v>
      </c>
      <c r="E80" s="71">
        <f>-41.55-E78</f>
        <v>400.88199999999995</v>
      </c>
      <c r="F80" s="71">
        <f>-113.54-F78</f>
        <v>590.50399999999968</v>
      </c>
      <c r="G80" s="71">
        <f>2301.513-G78</f>
        <v>786.56700000000069</v>
      </c>
      <c r="H80" s="71">
        <f>1102.101-H78</f>
        <v>861.84400000000005</v>
      </c>
      <c r="I80" s="71">
        <f>3791.784-I78</f>
        <v>1881.7649999999999</v>
      </c>
      <c r="J80" s="71">
        <f>-653.789-J78</f>
        <v>5680.8900000000021</v>
      </c>
      <c r="K80" s="71">
        <f>4548.13-K78</f>
        <v>7188.0419999999995</v>
      </c>
      <c r="L80" s="71">
        <f>-10451.966-L78-L79</f>
        <v>-20531.48</v>
      </c>
      <c r="M80" s="71">
        <f>-2394.408-M78-M79</f>
        <v>-21363.836999999996</v>
      </c>
      <c r="N80" s="71">
        <f>6960.082-N78-N79</f>
        <v>-19259.570000000011</v>
      </c>
      <c r="O80" s="71">
        <f>-8516.804-O78-O79</f>
        <v>-16105.004000000017</v>
      </c>
      <c r="P80" s="71">
        <f>-11147.847-P78-P79</f>
        <v>-21079.53</v>
      </c>
      <c r="Q80" s="71">
        <f>26270.233-Q78-Q79</f>
        <v>1604.26799999998</v>
      </c>
      <c r="R80" s="6">
        <f>SUM(BE80:BH80)</f>
        <v>-1538.6020000000144</v>
      </c>
      <c r="S80" s="6"/>
      <c r="T80" s="71">
        <f>305.705-T78</f>
        <v>-101.99800000000005</v>
      </c>
      <c r="U80" s="71">
        <f>282.333-305.705-U78</f>
        <v>155.09200000000013</v>
      </c>
      <c r="V80" s="71">
        <f>442.047-282.333-V78</f>
        <v>138.60300000000004</v>
      </c>
      <c r="W80" s="6">
        <f>E80-SUM(T80:V80)</f>
        <v>209.18499999999983</v>
      </c>
      <c r="X80" s="71">
        <f>342.018-X78</f>
        <v>96.528000000000105</v>
      </c>
      <c r="Y80" s="71">
        <f>-473.627-342.018-Y78</f>
        <v>191.84399999999994</v>
      </c>
      <c r="Z80" s="71">
        <f>-553.301+473.627-Z78</f>
        <v>203.04299999999938</v>
      </c>
      <c r="AA80" s="6">
        <f>F80-SUM(X80:Z80)</f>
        <v>99.089000000000226</v>
      </c>
      <c r="AB80" s="71">
        <f>-145.147-AB78</f>
        <v>37.035000000000025</v>
      </c>
      <c r="AC80" s="71">
        <f>0.366+145.147-AC78</f>
        <v>410.23399999999992</v>
      </c>
      <c r="AD80" s="71">
        <f>721.279-0.366-AD78</f>
        <v>1124.1090000000004</v>
      </c>
      <c r="AE80" s="6">
        <f>G80-AB80-AC80-AD80</f>
        <v>-784.81099999999969</v>
      </c>
      <c r="AF80" s="71">
        <f>877.577-AF78</f>
        <v>333.92100000000005</v>
      </c>
      <c r="AG80" s="71">
        <f>105.738-AG78-AF80-AF78</f>
        <v>327.94199999999978</v>
      </c>
      <c r="AH80" s="71">
        <f>-127.198-AH78-AG80-AG78-AF80-AF78</f>
        <v>193.57900000000086</v>
      </c>
      <c r="AI80" s="6">
        <f>H80-AF80-AG80-AH80</f>
        <v>6.4019999999993615</v>
      </c>
      <c r="AJ80" s="71">
        <f>555.662-AJ78</f>
        <v>-30.322999999999865</v>
      </c>
      <c r="AK80" s="71">
        <f>1606.853-AK78-AJ80-AJ78</f>
        <v>677.22700000000009</v>
      </c>
      <c r="AL80" s="71">
        <f>2787.37-AL78-AK80-AK78-AJ80-AJ78</f>
        <v>1102.0949999999993</v>
      </c>
      <c r="AM80" s="6">
        <f>I80-AJ80-AK80-AL80</f>
        <v>132.7660000000003</v>
      </c>
      <c r="AN80" s="71">
        <f>-2711.704-AN78</f>
        <v>662.445999999999</v>
      </c>
      <c r="AO80" s="71">
        <f>-2681.795-AO78-AN80-AN78</f>
        <v>582.64100000000008</v>
      </c>
      <c r="AP80" s="71">
        <f>-5037.114-AP78-AO80-AO78-AN80-AN78</f>
        <v>578.05000000000109</v>
      </c>
      <c r="AQ80" s="71">
        <f>J80-AN80-AO80-AP80</f>
        <v>3857.7530000000024</v>
      </c>
      <c r="AR80" s="71">
        <f>-635.891-AR78</f>
        <v>1331.9039999999982</v>
      </c>
      <c r="AS80" s="71">
        <f>-3978.561-AS78-AR80-AR78</f>
        <v>1479.5400000000025</v>
      </c>
      <c r="AT80" s="71">
        <f>724.238-AT78-AS80-AS78-AR80-AR78</f>
        <v>823.37999999999761</v>
      </c>
      <c r="AU80" s="6">
        <f>K80-AR80-AS80-AT80</f>
        <v>3553.2180000000008</v>
      </c>
      <c r="AV80" s="71">
        <f>4237.634-AV78</f>
        <v>2493.065000000001</v>
      </c>
      <c r="AW80" s="71">
        <f>-2891.821-AW78-AV80-AV78</f>
        <v>8035.153999999995</v>
      </c>
      <c r="AX80" s="71">
        <f>7905.257-AX78-AW80-AW78-AV80-AV78</f>
        <v>2383.0530000000094</v>
      </c>
      <c r="AY80" s="6">
        <f>M80-AV80-AW80-AX80</f>
        <v>-34275.109000000004</v>
      </c>
      <c r="AZ80" s="71">
        <f>-11014.58-AZ78-AZ79</f>
        <v>-12615.205999999998</v>
      </c>
      <c r="BA80" s="71">
        <f>-17856.794-BA78-AZ80-AZ78-BA79-AZ79</f>
        <v>-1277.2430000000008</v>
      </c>
      <c r="BB80" s="71">
        <f>-24420.435-BB78-BA80-BA78-AZ80-AZ78</f>
        <v>-5024.0399999999945</v>
      </c>
      <c r="BC80" s="6">
        <f>O80-AZ80-BA80-BB80</f>
        <v>2811.4849999999765</v>
      </c>
      <c r="BD80" s="71">
        <f>-12903.168-BD78-BD79</f>
        <v>-1684.5250000000003</v>
      </c>
      <c r="BE80" s="71">
        <f>-2215.323-BE78-BD80-BD78-BE79-BD79</f>
        <v>6222.7980000000089</v>
      </c>
      <c r="BF80" s="71">
        <f>4091.385-BF78-BE80-BE78-BD80-BD78</f>
        <v>-3828.1930000000175</v>
      </c>
      <c r="BG80" s="6">
        <f>Q80-BD80-BE80-BF80</f>
        <v>894.18799999998919</v>
      </c>
      <c r="BH80" s="71">
        <f>-23383.583-BH78-BH79</f>
        <v>-4827.394999999995</v>
      </c>
      <c r="BJ80" s="71">
        <f>2254.013-BJ78</f>
        <v>-8747.3430000000008</v>
      </c>
      <c r="BK80" s="71">
        <f>-13667.52-BK78-BJ80-BJ78</f>
        <v>-1854.9609999999939</v>
      </c>
      <c r="BL80" s="71">
        <f>3246.807-BL78-BK80-BK78-BJ80-BJ78</f>
        <v>-3027.7040000000125</v>
      </c>
      <c r="BM80" s="6">
        <f>N80-SUM(BJ80:BL80)</f>
        <v>-5629.5620000000035</v>
      </c>
      <c r="BN80" s="71">
        <f>-7089.926-BN78</f>
        <v>-8003.755000000001</v>
      </c>
      <c r="BO80" s="71">
        <f>-9476.211-BO78-BN80-BN78-BO79-BN79</f>
        <v>850.26700000000983</v>
      </c>
      <c r="BP80" s="71">
        <f>-33855.015-BP78-BO80-BO78-BN80-BN78</f>
        <v>-21221.996999999999</v>
      </c>
      <c r="BQ80" s="6">
        <f t="shared" si="594"/>
        <v>7295.9549999999908</v>
      </c>
      <c r="BR80" s="71">
        <f>-16885.799-BR78-BR79</f>
        <v>-2542.8300000000072</v>
      </c>
      <c r="BW80" s="39"/>
      <c r="BX80" s="39"/>
    </row>
    <row r="81" spans="2:76" ht="13.5" customHeight="1">
      <c r="B81" s="7" t="s">
        <v>310</v>
      </c>
      <c r="C81" s="4">
        <v>-66.754000000000005</v>
      </c>
      <c r="D81" s="4">
        <v>153.27799999999999</v>
      </c>
      <c r="E81" s="4">
        <v>317.04899999999998</v>
      </c>
      <c r="F81" s="4">
        <v>252.78100000000001</v>
      </c>
      <c r="G81" s="4">
        <v>454.87200000000001</v>
      </c>
      <c r="H81" s="4">
        <v>483.55900000000003</v>
      </c>
      <c r="I81" s="4">
        <v>1273.5050000000001</v>
      </c>
      <c r="J81" s="4">
        <v>4677.4769999999999</v>
      </c>
      <c r="K81" s="4">
        <v>3917.9639999999999</v>
      </c>
      <c r="L81" s="4">
        <f>7448.461</f>
        <v>7448.4610000000002</v>
      </c>
      <c r="M81" s="4">
        <f>10837.856</f>
        <v>10837.856</v>
      </c>
      <c r="N81" s="4">
        <v>5230.4629999999997</v>
      </c>
      <c r="O81" s="4">
        <v>-11169.611999999999</v>
      </c>
      <c r="P81" s="4">
        <v>-14620.163</v>
      </c>
      <c r="Q81" s="4">
        <v>4566.8509999999997</v>
      </c>
      <c r="R81" s="6">
        <f>SUM(BE81:BH81)</f>
        <v>-1204.0700000000006</v>
      </c>
      <c r="S81" s="6"/>
      <c r="T81" s="4">
        <v>18.059999999999999</v>
      </c>
      <c r="U81" s="4">
        <f>17.937-T81</f>
        <v>-0.12299999999999756</v>
      </c>
      <c r="V81" s="4">
        <f>113.067-U81-T81</f>
        <v>95.13</v>
      </c>
      <c r="W81" s="6">
        <f>E81-SUM(T81:V81)</f>
        <v>203.98199999999997</v>
      </c>
      <c r="X81" s="4">
        <v>101.96899999999999</v>
      </c>
      <c r="Y81" s="4">
        <f>69.985-X81</f>
        <v>-31.983999999999995</v>
      </c>
      <c r="Z81" s="4">
        <f>93.974-Y81-X81</f>
        <v>23.989000000000004</v>
      </c>
      <c r="AA81" s="6">
        <f>F81-SUM(X81:Z81)</f>
        <v>158.80700000000002</v>
      </c>
      <c r="AB81" s="4">
        <v>174.23599999999999</v>
      </c>
      <c r="AC81" s="4">
        <f>373.441-AB81</f>
        <v>199.20499999999998</v>
      </c>
      <c r="AD81" s="4">
        <f>919.976-AC81-AB81</f>
        <v>546.53499999999997</v>
      </c>
      <c r="AE81" s="6">
        <f>G81-AB81-AC81-AD81</f>
        <v>-465.10399999999993</v>
      </c>
      <c r="AF81" s="4">
        <v>256.34100000000001</v>
      </c>
      <c r="AG81" s="4">
        <f>339.943-AF81</f>
        <v>83.601999999999975</v>
      </c>
      <c r="AH81" s="4">
        <f>263.383-AG81-AF81</f>
        <v>-76.56</v>
      </c>
      <c r="AI81" s="6">
        <f>H81-AF81-AG81-AH81</f>
        <v>220.17600000000004</v>
      </c>
      <c r="AJ81" s="4">
        <v>341.53</v>
      </c>
      <c r="AK81" s="4">
        <f>713.495-AJ81</f>
        <v>371.96500000000003</v>
      </c>
      <c r="AL81" s="4">
        <f>1818.022-AK81-AJ81</f>
        <v>1104.5269999999998</v>
      </c>
      <c r="AM81" s="6">
        <f>I81-AJ81-AK81-AL81</f>
        <v>-544.51699999999971</v>
      </c>
      <c r="AN81" s="4">
        <v>928.55499999999995</v>
      </c>
      <c r="AO81" s="4">
        <f>1436.045-AN81</f>
        <v>507.49000000000012</v>
      </c>
      <c r="AP81" s="4">
        <f>1388.867-AO81-AN81</f>
        <v>-47.178000000000111</v>
      </c>
      <c r="AQ81" s="6">
        <f>J81-AN81-AO81-AP81</f>
        <v>3288.6099999999997</v>
      </c>
      <c r="AR81" s="4">
        <v>1313.73</v>
      </c>
      <c r="AS81" s="4">
        <f>2919.019-AR81</f>
        <v>1605.2889999999998</v>
      </c>
      <c r="AT81" s="4">
        <f>3687.901-AS81-AR81</f>
        <v>768.88200000000006</v>
      </c>
      <c r="AU81" s="6">
        <f>K81-AR81-AS81-AT81</f>
        <v>230.0630000000001</v>
      </c>
      <c r="AV81" s="4">
        <v>630.43799999999999</v>
      </c>
      <c r="AW81" s="4">
        <f>7071.102-AV81</f>
        <v>6440.6639999999998</v>
      </c>
      <c r="AX81" s="4">
        <f>7234.659-AW81-AV81</f>
        <v>163.5569999999999</v>
      </c>
      <c r="AY81" s="6">
        <f>M81-AV81-AW81-AX81</f>
        <v>3603.1970000000001</v>
      </c>
      <c r="AZ81" s="4">
        <v>1486.2529999999999</v>
      </c>
      <c r="BA81" s="4">
        <f>2227.535-AZ81</f>
        <v>741.28199999999993</v>
      </c>
      <c r="BB81" s="4">
        <f>-7622.657-BA81-AZ81</f>
        <v>-9850.1920000000009</v>
      </c>
      <c r="BC81" s="6">
        <f>O81-AZ81-BA81-BB81</f>
        <v>-3546.9549999999981</v>
      </c>
      <c r="BD81" s="4">
        <v>886.505</v>
      </c>
      <c r="BE81" s="4">
        <f>2861.913-BD81</f>
        <v>1975.4079999999999</v>
      </c>
      <c r="BF81" s="4">
        <f>3572.775-BE81-BD81</f>
        <v>710.86200000000019</v>
      </c>
      <c r="BG81" s="6">
        <f>Q81-BD81-BE81-BF81</f>
        <v>994.07599999999945</v>
      </c>
      <c r="BH81" s="4">
        <v>-4884.4160000000002</v>
      </c>
      <c r="BJ81" s="4">
        <v>784.01599999999996</v>
      </c>
      <c r="BK81" s="4">
        <f>12533.251-BJ81</f>
        <v>11749.235000000001</v>
      </c>
      <c r="BL81" s="4">
        <f>1139.701-BJ81-BK81</f>
        <v>-11393.550000000001</v>
      </c>
      <c r="BM81" s="6">
        <f>N81-SUM(BJ81:BL81)</f>
        <v>4090.7620000000006</v>
      </c>
      <c r="BN81" s="4">
        <v>-6069.06</v>
      </c>
      <c r="BO81" s="4">
        <f>-11630.891-BN81</f>
        <v>-5561.8309999999992</v>
      </c>
      <c r="BP81" s="4">
        <f>-8856.565-BN81-BO81</f>
        <v>2774.3259999999991</v>
      </c>
      <c r="BQ81" s="6">
        <f t="shared" si="594"/>
        <v>-5763.598</v>
      </c>
      <c r="BR81" s="4">
        <v>1160.1320000000001</v>
      </c>
      <c r="BW81" s="39"/>
      <c r="BX81" s="39"/>
    </row>
    <row r="82" spans="2:76" ht="13.5" customHeight="1">
      <c r="B82" s="7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6"/>
      <c r="S82" s="6"/>
      <c r="T82" s="4"/>
      <c r="U82" s="4"/>
      <c r="V82" s="4"/>
      <c r="W82" s="6"/>
      <c r="X82" s="4"/>
      <c r="Y82" s="4"/>
      <c r="Z82" s="4"/>
      <c r="AA82" s="6"/>
      <c r="AB82" s="4"/>
      <c r="AC82" s="4"/>
      <c r="AD82" s="4"/>
      <c r="AE82" s="6"/>
      <c r="AF82" s="4"/>
      <c r="AG82" s="4"/>
      <c r="AH82" s="4"/>
      <c r="AI82" s="6"/>
      <c r="AJ82" s="4"/>
      <c r="AK82" s="4"/>
      <c r="AL82" s="4"/>
      <c r="AM82" s="6"/>
      <c r="AN82" s="4"/>
      <c r="AO82" s="4"/>
      <c r="AP82" s="4"/>
      <c r="AQ82" s="6"/>
      <c r="AR82" s="4"/>
      <c r="AS82" s="4"/>
      <c r="AT82" s="4"/>
      <c r="AU82" s="6"/>
      <c r="AV82" s="4"/>
      <c r="AW82" s="4"/>
      <c r="AX82" s="4"/>
      <c r="AY82" s="6"/>
      <c r="AZ82" s="4"/>
      <c r="BA82" s="4"/>
      <c r="BB82" s="4"/>
      <c r="BC82" s="6"/>
      <c r="BD82" s="4"/>
      <c r="BE82" s="4"/>
      <c r="BF82" s="4"/>
      <c r="BG82" s="6"/>
      <c r="BH82" s="4"/>
      <c r="BJ82" s="4"/>
      <c r="BK82" s="4"/>
      <c r="BL82" s="4"/>
      <c r="BM82" s="4"/>
      <c r="BN82" s="4"/>
      <c r="BO82" s="4"/>
      <c r="BP82" s="4"/>
      <c r="BQ82" s="4"/>
      <c r="BR82" s="4"/>
      <c r="BW82" s="39"/>
      <c r="BX82" s="39"/>
    </row>
    <row r="83" spans="2:76" ht="13.5" customHeight="1">
      <c r="B83" s="15" t="s">
        <v>311</v>
      </c>
      <c r="C83" s="8">
        <f t="shared" ref="C83:M83" si="595">SUM(C78:C81)</f>
        <v>354.79699999999997</v>
      </c>
      <c r="D83" s="8">
        <f t="shared" si="595"/>
        <v>545.63</v>
      </c>
      <c r="E83" s="8">
        <f t="shared" si="595"/>
        <v>275.49899999999997</v>
      </c>
      <c r="F83" s="8">
        <f t="shared" si="595"/>
        <v>139.24100000000004</v>
      </c>
      <c r="G83" s="8">
        <f t="shared" si="595"/>
        <v>2756.3849999999998</v>
      </c>
      <c r="H83" s="8">
        <f t="shared" si="595"/>
        <v>1585.66</v>
      </c>
      <c r="I83" s="8">
        <f t="shared" si="595"/>
        <v>5065.2890000000007</v>
      </c>
      <c r="J83" s="8">
        <f t="shared" si="595"/>
        <v>4023.6880000000001</v>
      </c>
      <c r="K83" s="8">
        <f t="shared" si="595"/>
        <v>8466.094000000001</v>
      </c>
      <c r="L83" s="8">
        <f t="shared" si="595"/>
        <v>-3003.5050000000001</v>
      </c>
      <c r="M83" s="8">
        <f t="shared" si="595"/>
        <v>8443.4480000000003</v>
      </c>
      <c r="N83" s="8">
        <f t="shared" ref="N83" si="596">SUM(N78:N81)</f>
        <v>12190.545000000002</v>
      </c>
      <c r="O83" s="8">
        <f t="shared" ref="O83:P83" si="597">SUM(O78:O81)</f>
        <v>-19686.415999999997</v>
      </c>
      <c r="P83" s="8">
        <f t="shared" si="597"/>
        <v>-25768.010000000002</v>
      </c>
      <c r="Q83" s="8">
        <f t="shared" ref="Q83" si="598">SUM(Q78:Q81)</f>
        <v>30837.083999999999</v>
      </c>
      <c r="R83" s="8">
        <f t="shared" ref="R83" si="599">SUM(R78:R81)</f>
        <v>14585.748000000007</v>
      </c>
      <c r="S83" s="8"/>
      <c r="T83" s="8">
        <f t="shared" ref="T83:AY83" si="600">SUM(T78:T81)</f>
        <v>323.76499999999999</v>
      </c>
      <c r="U83" s="8">
        <f t="shared" si="600"/>
        <v>-23.494999999999955</v>
      </c>
      <c r="V83" s="8">
        <f t="shared" si="600"/>
        <v>254.84399999999999</v>
      </c>
      <c r="W83" s="8">
        <f t="shared" si="600"/>
        <v>-279.6149999999999</v>
      </c>
      <c r="X83" s="8">
        <f t="shared" si="600"/>
        <v>443.98699999999997</v>
      </c>
      <c r="Y83" s="8">
        <f t="shared" si="600"/>
        <v>-847.62900000000002</v>
      </c>
      <c r="Z83" s="8">
        <f t="shared" si="600"/>
        <v>-55.685000000000031</v>
      </c>
      <c r="AA83" s="8">
        <f t="shared" si="600"/>
        <v>598.5680000000001</v>
      </c>
      <c r="AB83" s="8">
        <f t="shared" si="600"/>
        <v>29.088999999999999</v>
      </c>
      <c r="AC83" s="8">
        <f t="shared" si="600"/>
        <v>344.71800000000002</v>
      </c>
      <c r="AD83" s="8">
        <f t="shared" si="600"/>
        <v>1267.4479999999999</v>
      </c>
      <c r="AE83" s="8">
        <f t="shared" si="600"/>
        <v>1115.1300000000006</v>
      </c>
      <c r="AF83" s="8">
        <f t="shared" si="600"/>
        <v>1133.9180000000001</v>
      </c>
      <c r="AG83" s="8">
        <f t="shared" si="600"/>
        <v>-688.23699999999997</v>
      </c>
      <c r="AH83" s="8">
        <f t="shared" si="600"/>
        <v>-309.49599999999992</v>
      </c>
      <c r="AI83" s="8">
        <f t="shared" si="600"/>
        <v>1449.4750000000004</v>
      </c>
      <c r="AJ83" s="8">
        <f t="shared" si="600"/>
        <v>897.19200000000001</v>
      </c>
      <c r="AK83" s="8">
        <f t="shared" si="600"/>
        <v>1423.1559999999999</v>
      </c>
      <c r="AL83" s="8">
        <f t="shared" si="600"/>
        <v>2285.0439999999999</v>
      </c>
      <c r="AM83" s="8">
        <f t="shared" si="600"/>
        <v>459.89700000000028</v>
      </c>
      <c r="AN83" s="8">
        <f t="shared" si="600"/>
        <v>-1783.1490000000003</v>
      </c>
      <c r="AO83" s="8">
        <f t="shared" si="600"/>
        <v>537.39900000000011</v>
      </c>
      <c r="AP83" s="8">
        <f t="shared" si="600"/>
        <v>-2402.4969999999994</v>
      </c>
      <c r="AQ83" s="8">
        <f t="shared" si="600"/>
        <v>7671.9350000000004</v>
      </c>
      <c r="AR83" s="8">
        <f t="shared" si="600"/>
        <v>677.83900000000017</v>
      </c>
      <c r="AS83" s="8">
        <f t="shared" si="600"/>
        <v>-1737.3810000000003</v>
      </c>
      <c r="AT83" s="8">
        <f t="shared" si="600"/>
        <v>5471.6810000000005</v>
      </c>
      <c r="AU83" s="8">
        <f t="shared" si="600"/>
        <v>4053.9549999999999</v>
      </c>
      <c r="AV83" s="8">
        <f t="shared" si="600"/>
        <v>4868.0720000000001</v>
      </c>
      <c r="AW83" s="8">
        <f t="shared" si="600"/>
        <v>-688.79100000000017</v>
      </c>
      <c r="AX83" s="8">
        <f t="shared" si="600"/>
        <v>10960.635</v>
      </c>
      <c r="AY83" s="8">
        <f t="shared" si="600"/>
        <v>-6696.468000000008</v>
      </c>
      <c r="AZ83" s="8">
        <f t="shared" ref="AZ83:BC83" si="601">SUM(AZ78:AZ81)</f>
        <v>-9528.3269999999975</v>
      </c>
      <c r="BA83" s="8">
        <f t="shared" si="601"/>
        <v>-6100.9320000000034</v>
      </c>
      <c r="BB83" s="8">
        <f t="shared" si="601"/>
        <v>-24627.542999999998</v>
      </c>
      <c r="BC83" s="8">
        <f t="shared" si="601"/>
        <v>20570.385999999999</v>
      </c>
      <c r="BD83" s="8">
        <f t="shared" ref="BD83:BG83" si="602">SUM(BD78:BD81)</f>
        <v>-12016.663</v>
      </c>
      <c r="BE83" s="8">
        <f t="shared" si="602"/>
        <v>12663.252999999999</v>
      </c>
      <c r="BF83" s="8">
        <f t="shared" si="602"/>
        <v>682.95399999999893</v>
      </c>
      <c r="BG83" s="8">
        <f t="shared" si="602"/>
        <v>29507.54</v>
      </c>
      <c r="BH83" s="8">
        <f t="shared" ref="BH83" si="603">SUM(BH78:BH81)</f>
        <v>-28267.999</v>
      </c>
      <c r="BJ83" s="8">
        <f t="shared" ref="BJ83:BL83" si="604">SUM(BJ78:BJ81)</f>
        <v>-383.66500000000053</v>
      </c>
      <c r="BK83" s="8">
        <f t="shared" si="604"/>
        <v>-5774.7350000000006</v>
      </c>
      <c r="BL83" s="8">
        <f t="shared" si="604"/>
        <v>-1349.6140000000014</v>
      </c>
      <c r="BM83" s="8">
        <f t="shared" ref="BM83:BN83" si="605">SUM(BM78:BM81)</f>
        <v>19698.559000000008</v>
      </c>
      <c r="BN83" s="8">
        <f t="shared" si="605"/>
        <v>-18767.383000000002</v>
      </c>
      <c r="BO83" s="8">
        <f t="shared" ref="BO83:BR83" si="606">SUM(BO78:BO81)</f>
        <v>-2339.7189999999982</v>
      </c>
      <c r="BP83" s="8">
        <f t="shared" si="606"/>
        <v>-32552.858999999997</v>
      </c>
      <c r="BQ83" s="8">
        <f t="shared" si="606"/>
        <v>27891.950999999986</v>
      </c>
      <c r="BR83" s="8">
        <f t="shared" si="606"/>
        <v>-15725.666999999999</v>
      </c>
      <c r="BW83" s="39"/>
      <c r="BX83" s="39"/>
    </row>
    <row r="84" spans="2:76" s="5" customFormat="1" ht="13.5" customHeight="1">
      <c r="B84" s="15" t="s">
        <v>312</v>
      </c>
      <c r="C84" s="25">
        <f>1265.726+C83</f>
        <v>1620.5230000000001</v>
      </c>
      <c r="D84" s="8">
        <f t="shared" ref="D84:I84" si="607">+C84+D83</f>
        <v>2166.1530000000002</v>
      </c>
      <c r="E84" s="8">
        <f t="shared" si="607"/>
        <v>2441.652</v>
      </c>
      <c r="F84" s="8">
        <f t="shared" si="607"/>
        <v>2580.893</v>
      </c>
      <c r="G84" s="8">
        <f t="shared" si="607"/>
        <v>5337.2780000000002</v>
      </c>
      <c r="H84" s="8">
        <f t="shared" si="607"/>
        <v>6922.9380000000001</v>
      </c>
      <c r="I84" s="8">
        <f t="shared" si="607"/>
        <v>11988.227000000001</v>
      </c>
      <c r="J84" s="8">
        <f>+I84+J83</f>
        <v>16011.915000000001</v>
      </c>
      <c r="K84" s="8">
        <f>+J84+K83</f>
        <v>24478.009000000002</v>
      </c>
      <c r="L84" s="8">
        <f>43336.634+L83</f>
        <v>40333.129000000001</v>
      </c>
      <c r="M84" s="8">
        <f>+L84+M83</f>
        <v>48776.577000000005</v>
      </c>
      <c r="N84" s="8">
        <f>58232.486+N83</f>
        <v>70423.031000000003</v>
      </c>
      <c r="O84" s="8">
        <f>N84+O83</f>
        <v>50736.615000000005</v>
      </c>
      <c r="P84" s="8">
        <f>92178.336+P83</f>
        <v>66410.326000000001</v>
      </c>
      <c r="Q84" s="8">
        <f>P84+Q83</f>
        <v>97247.41</v>
      </c>
      <c r="R84" s="8">
        <f>BH84</f>
        <v>78743.262000000002</v>
      </c>
      <c r="S84" s="8"/>
      <c r="T84" s="8">
        <f>+D84+T83</f>
        <v>2489.9180000000001</v>
      </c>
      <c r="U84" s="8">
        <f>+T84+U83</f>
        <v>2466.4230000000002</v>
      </c>
      <c r="V84" s="8">
        <f>+U84+V83</f>
        <v>2721.2670000000003</v>
      </c>
      <c r="W84" s="8">
        <f>+V84+W83</f>
        <v>2441.6520000000005</v>
      </c>
      <c r="X84" s="8">
        <f t="shared" ref="X84:AT84" si="608">W84+X83</f>
        <v>2885.6390000000006</v>
      </c>
      <c r="Y84" s="8">
        <f t="shared" si="608"/>
        <v>2038.0100000000007</v>
      </c>
      <c r="Z84" s="8">
        <f t="shared" si="608"/>
        <v>1982.3250000000007</v>
      </c>
      <c r="AA84" s="8">
        <f t="shared" si="608"/>
        <v>2580.8930000000009</v>
      </c>
      <c r="AB84" s="8">
        <f>AA84+AB83</f>
        <v>2609.9820000000009</v>
      </c>
      <c r="AC84" s="8">
        <f t="shared" si="608"/>
        <v>2954.7000000000007</v>
      </c>
      <c r="AD84" s="8">
        <f>AC84+AD83</f>
        <v>4222.148000000001</v>
      </c>
      <c r="AE84" s="8">
        <f t="shared" si="608"/>
        <v>5337.2780000000021</v>
      </c>
      <c r="AF84" s="8">
        <f t="shared" si="608"/>
        <v>6471.1960000000017</v>
      </c>
      <c r="AG84" s="8">
        <f t="shared" si="608"/>
        <v>5782.9590000000017</v>
      </c>
      <c r="AH84" s="8">
        <f t="shared" si="608"/>
        <v>5473.4630000000016</v>
      </c>
      <c r="AI84" s="8">
        <f t="shared" si="608"/>
        <v>6922.9380000000019</v>
      </c>
      <c r="AJ84" s="8">
        <f t="shared" si="608"/>
        <v>7820.1300000000019</v>
      </c>
      <c r="AK84" s="8">
        <f t="shared" si="608"/>
        <v>9243.2860000000019</v>
      </c>
      <c r="AL84" s="8">
        <f t="shared" si="608"/>
        <v>11528.330000000002</v>
      </c>
      <c r="AM84" s="8">
        <f t="shared" si="608"/>
        <v>11988.227000000003</v>
      </c>
      <c r="AN84" s="8">
        <f t="shared" si="608"/>
        <v>10205.078000000001</v>
      </c>
      <c r="AO84" s="8">
        <f t="shared" si="608"/>
        <v>10742.477000000001</v>
      </c>
      <c r="AP84" s="8">
        <f t="shared" si="608"/>
        <v>8339.9800000000014</v>
      </c>
      <c r="AQ84" s="8">
        <f>AP84+AQ83</f>
        <v>16011.915000000001</v>
      </c>
      <c r="AR84" s="8">
        <f t="shared" si="608"/>
        <v>16689.754000000001</v>
      </c>
      <c r="AS84" s="8">
        <f t="shared" si="608"/>
        <v>14952.373</v>
      </c>
      <c r="AT84" s="8">
        <f t="shared" si="608"/>
        <v>20424.054</v>
      </c>
      <c r="AU84" s="8">
        <f>AT84+AU83</f>
        <v>24478.008999999998</v>
      </c>
      <c r="AV84" s="8">
        <f>AU84+AV83</f>
        <v>29346.080999999998</v>
      </c>
      <c r="AW84" s="8">
        <f>AV84+AW83</f>
        <v>28657.289999999997</v>
      </c>
      <c r="AX84" s="8">
        <f>AW84+AX83</f>
        <v>39617.924999999996</v>
      </c>
      <c r="AY84" s="8">
        <f>AX84+AY83+15855.1</f>
        <v>48776.556999999986</v>
      </c>
      <c r="AZ84" s="8">
        <f>56124.098+AZ83</f>
        <v>46595.771000000001</v>
      </c>
      <c r="BA84" s="8">
        <f>60841.26+BA83+AZ83</f>
        <v>45212.001000000004</v>
      </c>
      <c r="BB84" s="8">
        <f>66268.026+BB83+BA83+AZ83-SUM(AZ79:BB79)</f>
        <v>34224.934000000001</v>
      </c>
      <c r="BC84" s="8">
        <f>BB84+BC83-4058.70499999999</f>
        <v>50736.615000000013</v>
      </c>
      <c r="BD84" s="8">
        <f>BC84+BD83+(55842.119-BC84)</f>
        <v>43825.455999999998</v>
      </c>
      <c r="BE84" s="8">
        <f>59196.396+BE83+BD83</f>
        <v>59842.986000000004</v>
      </c>
      <c r="BF84" s="8">
        <f>63638.723+BF83+BE83+BD83-SUM(BD79:BF79)</f>
        <v>71302.882999999987</v>
      </c>
      <c r="BG84" s="8">
        <f>BF84+BG83-(3563.01299999999)</f>
        <v>97247.409999999989</v>
      </c>
      <c r="BH84" s="8">
        <f>BH83+107011.261</f>
        <v>78743.262000000002</v>
      </c>
      <c r="BI84" s="8"/>
      <c r="BJ84" s="8">
        <f>46408.759+BJ83-BJ79</f>
        <v>49446.788</v>
      </c>
      <c r="BK84" s="8">
        <f>50309.356+BK83+BJ83-SUM(BJ79:BK79)</f>
        <v>49175.087</v>
      </c>
      <c r="BL84" s="8">
        <f>54796.728+BL83+BK83+BJ83-SUM(BJ79:BL79)</f>
        <v>59183.236000000004</v>
      </c>
      <c r="BM84" s="8">
        <f>N84</f>
        <v>70423.031000000003</v>
      </c>
      <c r="BN84" s="8">
        <f>77509.529+BN83-BN79</f>
        <v>64350.542999999991</v>
      </c>
      <c r="BO84" s="8">
        <f>82165.313+BO83+BN83</f>
        <v>61058.210999999996</v>
      </c>
      <c r="BP84" s="8">
        <f>88331.367+BP83+BO83+BN83-SUM(BN79:BP79)</f>
        <v>45619.787000000004</v>
      </c>
      <c r="BQ84" s="8">
        <f>P84</f>
        <v>66410.326000000001</v>
      </c>
      <c r="BR84" s="8">
        <f>BR83+73078.063</f>
        <v>57352.395999999993</v>
      </c>
      <c r="BW84" s="302"/>
      <c r="BX84" s="302"/>
    </row>
    <row r="85" spans="2:76" ht="11.25" customHeight="1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295"/>
      <c r="T85" s="48"/>
      <c r="U85" s="48"/>
      <c r="X85" s="48"/>
      <c r="Y85" s="48"/>
      <c r="AC85" s="48"/>
      <c r="BW85" s="39"/>
      <c r="BX85" s="39"/>
    </row>
    <row r="86" spans="2:76" ht="11.25" customHeight="1">
      <c r="B86" s="78" t="s">
        <v>313</v>
      </c>
      <c r="C86" s="327">
        <f t="shared" ref="C86:J86" si="609">C84-C150</f>
        <v>0</v>
      </c>
      <c r="D86" s="327">
        <f t="shared" si="609"/>
        <v>0</v>
      </c>
      <c r="E86" s="327">
        <f t="shared" si="609"/>
        <v>-0.21900000000005093</v>
      </c>
      <c r="F86" s="327">
        <f t="shared" si="609"/>
        <v>-1.0709999999999127</v>
      </c>
      <c r="G86" s="327">
        <f t="shared" si="609"/>
        <v>-4.2460000000000946</v>
      </c>
      <c r="H86" s="327">
        <f t="shared" si="609"/>
        <v>-14.122000000000298</v>
      </c>
      <c r="I86" s="327">
        <f t="shared" si="609"/>
        <v>-14.018999999998414</v>
      </c>
      <c r="J86" s="327">
        <f t="shared" si="609"/>
        <v>-2.6739999999990687</v>
      </c>
      <c r="K86" s="327">
        <f>K84-K150</f>
        <v>-51.209999999999127</v>
      </c>
      <c r="L86" s="327">
        <f t="shared" ref="L86:M86" si="610">L84-L150</f>
        <v>-84.381000000001222</v>
      </c>
      <c r="M86" s="327">
        <f t="shared" si="610"/>
        <v>-15.200999999993655</v>
      </c>
      <c r="N86" s="327">
        <f t="shared" ref="N86" si="611">N84-N150</f>
        <v>-21.947000000000116</v>
      </c>
      <c r="O86" s="327">
        <f t="shared" ref="O86:R86" si="612">O84-O150</f>
        <v>-79.209999999991851</v>
      </c>
      <c r="P86" s="327">
        <f t="shared" si="612"/>
        <v>-103.67999999999302</v>
      </c>
      <c r="Q86" s="327">
        <f t="shared" si="612"/>
        <v>-581.7439999999915</v>
      </c>
      <c r="R86" s="327">
        <f t="shared" si="612"/>
        <v>-718.41000000000349</v>
      </c>
      <c r="S86" s="328"/>
      <c r="T86" s="327">
        <f t="shared" ref="T86:AR86" si="613">T84-T150</f>
        <v>-1.0819999999998799</v>
      </c>
      <c r="U86" s="327">
        <f t="shared" si="613"/>
        <v>0</v>
      </c>
      <c r="V86" s="327">
        <f t="shared" si="613"/>
        <v>0</v>
      </c>
      <c r="W86" s="327">
        <f t="shared" si="613"/>
        <v>-0.21899999999959618</v>
      </c>
      <c r="X86" s="327">
        <f t="shared" si="613"/>
        <v>-0.79299999999921056</v>
      </c>
      <c r="Y86" s="327">
        <f t="shared" si="613"/>
        <v>0</v>
      </c>
      <c r="Z86" s="327">
        <f t="shared" si="613"/>
        <v>-0.5499999999992724</v>
      </c>
      <c r="AA86" s="327">
        <f t="shared" si="613"/>
        <v>-1.0709999999990032</v>
      </c>
      <c r="AB86" s="327">
        <f t="shared" si="613"/>
        <v>-1.6019999999989523</v>
      </c>
      <c r="AC86" s="327">
        <f t="shared" si="613"/>
        <v>-1.2739999999994325</v>
      </c>
      <c r="AD86" s="327">
        <f t="shared" si="613"/>
        <v>-3.0159999999987122</v>
      </c>
      <c r="AE86" s="327">
        <f t="shared" si="613"/>
        <v>-4.2459999999982756</v>
      </c>
      <c r="AF86" s="327">
        <f t="shared" si="613"/>
        <v>-6.9019999999982247</v>
      </c>
      <c r="AG86" s="327">
        <f t="shared" si="613"/>
        <v>-4.8219999999982974</v>
      </c>
      <c r="AH86" s="327">
        <f t="shared" si="613"/>
        <v>-8.1769999999987704</v>
      </c>
      <c r="AI86" s="327">
        <f t="shared" si="613"/>
        <v>-14.121999999998479</v>
      </c>
      <c r="AJ86" s="327">
        <f t="shared" si="613"/>
        <v>-6.501999999997679</v>
      </c>
      <c r="AK86" s="327">
        <f t="shared" si="613"/>
        <v>-9.8719999999975698</v>
      </c>
      <c r="AL86" s="327">
        <f t="shared" si="613"/>
        <v>-11.820999999998094</v>
      </c>
      <c r="AM86" s="327">
        <f t="shared" si="613"/>
        <v>-14.018999999996595</v>
      </c>
      <c r="AN86" s="327">
        <f t="shared" si="613"/>
        <v>-7.9619999999995343</v>
      </c>
      <c r="AO86" s="327">
        <f t="shared" si="613"/>
        <v>-1.0139999999992142</v>
      </c>
      <c r="AP86" s="327">
        <f t="shared" si="613"/>
        <v>-0.59499999999934516</v>
      </c>
      <c r="AQ86" s="327">
        <f t="shared" si="613"/>
        <v>-2.6739999999990687</v>
      </c>
      <c r="AR86" s="327">
        <f t="shared" si="613"/>
        <v>-4.7019999999974971</v>
      </c>
      <c r="AS86" s="327">
        <f t="shared" ref="AS86:AV86" si="614">AS84-AS150</f>
        <v>-3.8140000000003056</v>
      </c>
      <c r="AT86" s="327">
        <f t="shared" si="614"/>
        <v>-1.342000000000553</v>
      </c>
      <c r="AU86" s="327">
        <f t="shared" si="614"/>
        <v>-51.210000000002765</v>
      </c>
      <c r="AV86" s="327">
        <f t="shared" si="614"/>
        <v>-1.3830000000016298</v>
      </c>
      <c r="AW86" s="327">
        <f>AW84-AW150</f>
        <v>-8.5500000000029104</v>
      </c>
      <c r="AX86" s="327">
        <f>AX84-AX150</f>
        <v>-5.2150000000037835</v>
      </c>
      <c r="AY86" s="327">
        <f>AY84-AY150</f>
        <v>-15.221000000012282</v>
      </c>
      <c r="AZ86" s="327">
        <f t="shared" ref="AZ86" si="615">AZ84-AZ150</f>
        <v>-5.0140000000028522</v>
      </c>
      <c r="BA86" s="327">
        <f>BA84-BA150</f>
        <v>-45.022999999993772</v>
      </c>
      <c r="BB86" s="327">
        <f>BB84-BB150</f>
        <v>-84.658999999999651</v>
      </c>
      <c r="BC86" s="327">
        <f>BC84-BC150</f>
        <v>-79.209999999984575</v>
      </c>
      <c r="BD86" s="327">
        <f t="shared" ref="BD86" si="616">BD84-BD150</f>
        <v>-41.215000000003783</v>
      </c>
      <c r="BE86" s="327">
        <f>BE84-BE150</f>
        <v>-232.15799999999581</v>
      </c>
      <c r="BF86" s="327">
        <f>BF84-BF150</f>
        <v>-137.49200000001292</v>
      </c>
      <c r="BG86" s="327">
        <f>BG84-BG150</f>
        <v>-581.74400000000605</v>
      </c>
      <c r="BH86" s="344">
        <f t="shared" ref="BH86" si="617">BH84-BH150</f>
        <v>-718.41000000000349</v>
      </c>
      <c r="BI86" s="39"/>
      <c r="BJ86" s="327">
        <f t="shared" ref="BJ86" si="618">BJ84-BJ150</f>
        <v>0</v>
      </c>
      <c r="BK86" s="327">
        <f>BK84-BK150</f>
        <v>0</v>
      </c>
      <c r="BL86" s="327">
        <f>BL84-BL150</f>
        <v>0</v>
      </c>
      <c r="BM86" s="327">
        <f>BM84-BM150</f>
        <v>-21.947000000000116</v>
      </c>
      <c r="BN86" s="327"/>
      <c r="BO86" s="327"/>
      <c r="BP86" s="327"/>
      <c r="BQ86" s="327"/>
      <c r="BR86" s="327"/>
      <c r="BW86" s="39"/>
      <c r="BX86" s="39"/>
    </row>
    <row r="87" spans="2:76" ht="11.25" customHeight="1">
      <c r="B87" s="78" t="s">
        <v>314</v>
      </c>
      <c r="C87" s="329">
        <f>1003.049-SUM(C64:C66)-C80</f>
        <v>-5.6843418860808015E-14</v>
      </c>
      <c r="D87" s="329">
        <f>1722.706-SUM(D64:D66)-D80</f>
        <v>0</v>
      </c>
      <c r="E87" s="329">
        <f>2067.277-SUM(E64:E66)-E80</f>
        <v>0</v>
      </c>
      <c r="F87" s="329">
        <f>494.232-SUM(F64:F66)-F80</f>
        <v>0</v>
      </c>
      <c r="G87" s="329">
        <f>1680.909-SUM(G64:G66)-G80</f>
        <v>0</v>
      </c>
      <c r="H87" s="329">
        <f>3174.88-SUM(H64:H66)-H80</f>
        <v>0</v>
      </c>
      <c r="I87" s="329">
        <f>6420.998-SUM(I64:I66)-I80</f>
        <v>0</v>
      </c>
      <c r="J87" s="329">
        <f>-1072.549-SUM(J64:J66)-J80</f>
        <v>0</v>
      </c>
      <c r="K87" s="329">
        <f>5096.317-SUM(K64:K66)-K80</f>
        <v>0</v>
      </c>
      <c r="L87" s="329">
        <f>-2897.227-SUM(L64:L66)-L80</f>
        <v>0</v>
      </c>
      <c r="M87" s="329">
        <f>-8641.863-SUM(M64:M66)-M80</f>
        <v>0</v>
      </c>
      <c r="N87" s="329">
        <f>-480.831-SUM(N64:N66)-N80</f>
        <v>0</v>
      </c>
      <c r="O87" s="329">
        <f>14389.701-SUM(O64:O66)-O80</f>
        <v>1.4551915228366852E-11</v>
      </c>
      <c r="P87" s="329">
        <f>18835.015-SUM(P64:P66)-P80</f>
        <v>0</v>
      </c>
      <c r="Q87" s="329">
        <f>23614.764-SUM(Q64:Q66)-Q80</f>
        <v>1.6370904631912708E-11</v>
      </c>
      <c r="R87" s="329"/>
      <c r="S87" s="330"/>
      <c r="T87" s="329">
        <f>351.171-SUM(T64:T66)-T80</f>
        <v>0</v>
      </c>
      <c r="U87" s="329">
        <f>766.321-351.171-SUM(U64:U66)-U80</f>
        <v>0</v>
      </c>
      <c r="V87" s="329">
        <f>1210.87-766.321-SUM(V64:V66)-V80</f>
        <v>0</v>
      </c>
      <c r="W87" s="329">
        <f>E87-SUM(T87:V87)</f>
        <v>0</v>
      </c>
      <c r="X87" s="329">
        <f>-410.264-SUM(X64:X66)-X80</f>
        <v>0</v>
      </c>
      <c r="Y87" s="329">
        <f>-544.365+410.264-SUM(Y64:Y66)-Y80</f>
        <v>0</v>
      </c>
      <c r="Z87" s="329">
        <f>-345.359+544.365-SUM(Z64:Z66)-Z80</f>
        <v>0</v>
      </c>
      <c r="AA87" s="329">
        <f>U87-SUM(X87:Z87)</f>
        <v>0</v>
      </c>
      <c r="AB87" s="329">
        <f>14.192-SUM(AB64:AB66)-AB80</f>
        <v>7.1054273576010019E-14</v>
      </c>
      <c r="AC87" s="329">
        <f>88.696-14.192-SUM(AC64:AC66)-AC80</f>
        <v>0</v>
      </c>
      <c r="AD87" s="329">
        <f>430.262-88.696-SUM(AD64:AD66)-AD80</f>
        <v>0</v>
      </c>
      <c r="AE87" s="329">
        <f>1680.909-430.262-SUM(AE64:AE66)-AE80</f>
        <v>0</v>
      </c>
      <c r="AF87" s="329">
        <f>676.055-SUM(AF64:AF66)-AF80</f>
        <v>0</v>
      </c>
      <c r="AG87" s="329">
        <f>1252.656-SUM(AG64:AG66)-AG80-AF80-AF66-AF65-AF64</f>
        <v>0</v>
      </c>
      <c r="AH87" s="329">
        <f>1964.65-SUM(AH64:AH66)-AH80-AG64-AG65-AG66-AG80-AF64-AF65-AF66-AF80</f>
        <v>0</v>
      </c>
      <c r="AI87" s="329">
        <f>3174.88-1964.65-SUM(AI64:AI66)-AI80</f>
        <v>2.2737367544323206E-13</v>
      </c>
      <c r="AJ87" s="329">
        <f>769.474-SUM(AJ64:AJ66)-AJ80</f>
        <v>0</v>
      </c>
      <c r="AK87" s="329">
        <f>2904.991-SUM(AK64:AK66)-AK80-AJ80-AJ66-AJ65-AJ64</f>
        <v>-312.87600000000032</v>
      </c>
      <c r="AL87" s="329">
        <f>5166.107-SUM(AL64:AL66)-AL80-AK64-AK65-AK66-AK80-AJ64-AJ65-AJ66-AJ80</f>
        <v>-1.5987211554602254E-13</v>
      </c>
      <c r="AM87" s="329">
        <f>6420.998-5166.107-SUM(AM64:AM66)-AM80</f>
        <v>-2.2737367544323206E-13</v>
      </c>
      <c r="AN87" s="329">
        <f>-1724.12-SUM(AN64:AN66)-AN80</f>
        <v>9.0949470177292824E-13</v>
      </c>
      <c r="AO87" s="329">
        <f>-2325.585-SUM(AO64:AO66)-AO80-AN80-AN66-AN65-AN64</f>
        <v>0</v>
      </c>
      <c r="AP87" s="329">
        <f>-1652.875-SUM(AP64:AP66)-AP80-AO64-AO65-AO66-AO80-AN64-AN65-AN66-AN80</f>
        <v>0</v>
      </c>
      <c r="AQ87" s="329">
        <f>-1072.549+1652.875-SUM(AQ64:AQ66)-AQ80</f>
        <v>0</v>
      </c>
      <c r="AR87" s="327">
        <f>-1041.144-SUM(AR64:AR66)-AR80</f>
        <v>0</v>
      </c>
      <c r="AS87" s="329">
        <f>-4251.702-SUM(AS64:AS66)-AS80-AR80-AR66-AR65-AR64</f>
        <v>0</v>
      </c>
      <c r="AT87" s="329">
        <f>-762.326-SUM(AT64:AT66)-AT80-AS64-AS65-AS66-AS80-AR64-AR65-AR66-AR80</f>
        <v>0</v>
      </c>
      <c r="AU87" s="329">
        <f>5096.317+762.326-SUM(AU64:AU66)-AU80</f>
        <v>0</v>
      </c>
      <c r="AV87" s="327">
        <f>-1676.697-SUM(AV64:AV66)-AV80</f>
        <v>0</v>
      </c>
      <c r="AW87" s="329">
        <f>-605.071-SUM(AW64:AW66)-AW80-AV80-AV66-AV65-AV64</f>
        <v>0</v>
      </c>
      <c r="AX87" s="329">
        <f>-804.395-SUM(AX64:AX66)-AX80-AW64-AW65-AW66-AW80-AV64-AV65-AV66-AV80</f>
        <v>0</v>
      </c>
      <c r="AY87" s="329">
        <f>-8641.863+804.395-SUM(AY64:AY66)-AY80</f>
        <v>0</v>
      </c>
      <c r="AZ87" s="327">
        <f>-4969.39-SUM(AZ64:AZ66)-AZ80</f>
        <v>0</v>
      </c>
      <c r="BA87" s="329">
        <f>-8995.651-SUM(BA64:BA66)-BA80-AZ80-AZ66-AZ65-AZ64</f>
        <v>0</v>
      </c>
      <c r="BB87" s="329">
        <f>-11244.195-SUM(BB64:BB66)-BB80-BA64-BA65-BA66-BA80-AZ64-AZ65-AZ66-AZ80+AZ79+BA79+BB79</f>
        <v>-7.2759576141834259E-12</v>
      </c>
      <c r="BC87" s="329"/>
      <c r="BD87" s="327">
        <f>-9657.964-SUM(BD64:BD66)-BD80</f>
        <v>0</v>
      </c>
      <c r="BE87" s="329">
        <f>-16802.895-SUM(BE64:BE66)-BE80-BD80-BD66-BD65-BD64</f>
        <v>0</v>
      </c>
      <c r="BF87" s="329">
        <f>-1706.128-SUM(BF64:BF66)-BF80-BE64-BE65-BE66-BE80-BD64-BD65-BD66-BD80+BD79+BE79+BF79</f>
        <v>9.0949470177292824E-12</v>
      </c>
      <c r="BG87" s="329"/>
      <c r="BH87" s="327">
        <f>-16428.422-SUM(BH64:BH66)-BH80</f>
        <v>0</v>
      </c>
      <c r="BI87" s="39"/>
      <c r="BJ87" s="327">
        <f>-4553.798-SUM(BJ64:BJ66)-BJ80+BJ79</f>
        <v>0</v>
      </c>
      <c r="BK87" s="329">
        <f>-8406.009-SUM(BK64:BK66)-BK80-BJ80-BJ66-BJ65-BJ64+BJ79+BK79</f>
        <v>-2.7284841053187847E-12</v>
      </c>
      <c r="BL87" s="329">
        <f>10025.132-SUM(BL64:BL66)-BL80-BK64-BK65-BK66-BK80-BJ64-BJ65-BJ66-BJ80+BJ79+BK79+BL79</f>
        <v>9.0949470177292824E-12</v>
      </c>
      <c r="BM87" s="329"/>
      <c r="BN87" s="327">
        <f>8267.51-SUM(BN64:BN66)-BN80+BN79</f>
        <v>0</v>
      </c>
      <c r="BO87" s="329">
        <f>-1156.96+8382.545-SUM(BO64:BO66)-BO80-BN80-BN66-BN65-BN64+BN79+BO79</f>
        <v>-9.0949470177292824E-12</v>
      </c>
      <c r="BP87" s="329">
        <f>-17659.11-SUM(BP64:BP66)-BP80-BO64-BO65-BO66-BO80-BN64-BN65-BN66-BN80+BN79+BO79+BP79</f>
        <v>-7.2759576141834259E-12</v>
      </c>
      <c r="BQ87" s="329"/>
      <c r="BR87" s="327">
        <f>-12638.939-SUM(BR64:BR66)-BR80</f>
        <v>3.637978807091713E-12</v>
      </c>
      <c r="BW87" s="39"/>
      <c r="BX87" s="39"/>
    </row>
    <row r="88" spans="2:76" ht="13.5" customHeight="1">
      <c r="B88" s="7" t="s">
        <v>315</v>
      </c>
      <c r="C88" s="4">
        <v>-461.87</v>
      </c>
      <c r="D88" s="4">
        <v>-655.56500000000005</v>
      </c>
      <c r="E88" s="4">
        <v>-838.98299999999995</v>
      </c>
      <c r="F88" s="4">
        <v>-997.91200000000003</v>
      </c>
      <c r="G88" s="4">
        <v>-1810.143</v>
      </c>
      <c r="H88" s="4">
        <v>-1393.845</v>
      </c>
      <c r="I88" s="4">
        <v>-1754.87</v>
      </c>
      <c r="J88" s="4">
        <v>-2536.982</v>
      </c>
      <c r="K88" s="4">
        <v>-5933.6549999999997</v>
      </c>
      <c r="L88" s="4">
        <v>-10706.433999999999</v>
      </c>
      <c r="M88" s="4">
        <f>-13857.448</f>
        <v>-13857.448</v>
      </c>
      <c r="N88" s="4">
        <f>-13857.448</f>
        <v>-13857.448</v>
      </c>
      <c r="O88" s="4">
        <v>-23891.205000000002</v>
      </c>
      <c r="P88" s="4">
        <v>-31271.749</v>
      </c>
      <c r="Q88" s="4">
        <v>-18641.008000000002</v>
      </c>
      <c r="R88" s="6">
        <f>SUM(BE88:BH88)</f>
        <v>-18604.897000000001</v>
      </c>
      <c r="S88" s="6"/>
      <c r="T88" s="4">
        <v>-145.345</v>
      </c>
      <c r="U88" s="4">
        <f>-293.047-T88</f>
        <v>-147.70200000000003</v>
      </c>
      <c r="V88" s="4">
        <f>-444.452-U88-T88</f>
        <v>-151.405</v>
      </c>
      <c r="W88" s="4">
        <f>-838.983-V88-U88-T88</f>
        <v>-394.53099999999995</v>
      </c>
      <c r="X88" s="4">
        <v>-131.76400000000001</v>
      </c>
      <c r="Y88" s="4">
        <f>-348.649-X88</f>
        <v>-216.88499999999999</v>
      </c>
      <c r="Z88" s="4">
        <f>-588.902-Y88-X88</f>
        <v>-240.25300000000004</v>
      </c>
      <c r="AA88" s="4">
        <f>-997.912-Z88-Y88-X88</f>
        <v>-409.01</v>
      </c>
      <c r="AB88" s="4">
        <v>-235.94800000000001</v>
      </c>
      <c r="AC88" s="4">
        <v>-399.351</v>
      </c>
      <c r="AD88" s="4">
        <v>-451.51299999999998</v>
      </c>
      <c r="AE88" s="4">
        <f>G88-AB88-AC88-AD88</f>
        <v>-723.33100000000013</v>
      </c>
      <c r="AF88" s="4">
        <v>-328.49099999999999</v>
      </c>
      <c r="AG88" s="4">
        <v>-265.43599999999998</v>
      </c>
      <c r="AH88" s="4">
        <v>-315.00099999999998</v>
      </c>
      <c r="AI88" s="6">
        <f>H88-AF88-AG88-AH88</f>
        <v>-484.91700000000014</v>
      </c>
      <c r="AJ88" s="4">
        <v>-307.59500000000003</v>
      </c>
      <c r="AK88" s="4">
        <v>-285.92200000000003</v>
      </c>
      <c r="AL88" s="4">
        <v>-367.93099999999998</v>
      </c>
      <c r="AM88" s="6">
        <f>I88-AJ88-AK88-AL88</f>
        <v>-793.4219999999998</v>
      </c>
      <c r="AN88" s="4">
        <v>-400.96300000000002</v>
      </c>
      <c r="AO88" s="4">
        <v>-518.55499999999995</v>
      </c>
      <c r="AP88" s="4">
        <v>-635.30200000000002</v>
      </c>
      <c r="AQ88" s="6">
        <f>J88-AN88-AO88-AP88</f>
        <v>-982.16199999999992</v>
      </c>
      <c r="AR88" s="4">
        <v>-829.11699999999996</v>
      </c>
      <c r="AS88" s="4">
        <v>-1173</v>
      </c>
      <c r="AT88" s="4">
        <v>-1806.413</v>
      </c>
      <c r="AU88" s="6">
        <f>K88-AR88-AS88-AT88</f>
        <v>-2125.1249999999995</v>
      </c>
      <c r="AV88" s="4">
        <v>-2633.1640000000002</v>
      </c>
      <c r="AW88" s="4">
        <v>-2315.8200000000002</v>
      </c>
      <c r="AX88" s="4">
        <v>-2444.6309999999999</v>
      </c>
      <c r="AY88" s="6">
        <f>M88-AV88-AW88-AX88</f>
        <v>-6463.8330000000005</v>
      </c>
      <c r="AZ88" s="4">
        <v>-2964.7779999999998</v>
      </c>
      <c r="BA88" s="4">
        <v>-8230.2860000000001</v>
      </c>
      <c r="BB88" s="4">
        <v>-5243.366</v>
      </c>
      <c r="BC88" s="6">
        <f>O88-AZ88-BA88-BB88</f>
        <v>-7452.7750000000033</v>
      </c>
      <c r="BD88" s="4">
        <v>-3371.48</v>
      </c>
      <c r="BE88" s="4">
        <v>-3726.47</v>
      </c>
      <c r="BF88" s="4">
        <v>-3255.4380000000001</v>
      </c>
      <c r="BG88" s="6">
        <f>Q88-BD88-BE88-BF88</f>
        <v>-8287.6200000000026</v>
      </c>
      <c r="BH88" s="4">
        <v>-3335.3690000000001</v>
      </c>
      <c r="BJ88" s="4">
        <v>-2633.1640000000002</v>
      </c>
      <c r="BK88" s="4">
        <v>-5562.42</v>
      </c>
      <c r="BL88" s="4">
        <v>-4191.5460000000003</v>
      </c>
      <c r="BM88" s="6">
        <f>N88-SUM(BJ88:BL88)</f>
        <v>-1470.3179999999993</v>
      </c>
      <c r="BN88" s="4">
        <v>-4094.4740000000002</v>
      </c>
      <c r="BO88" s="4">
        <v>-6774.4759999999997</v>
      </c>
      <c r="BP88" s="4">
        <v>-6989.0919999999996</v>
      </c>
      <c r="BQ88" s="6">
        <f>R88-SUM(BN88:BP88)</f>
        <v>-746.85499999999956</v>
      </c>
      <c r="BR88" s="4">
        <v>-4412.1040000000003</v>
      </c>
      <c r="BW88" s="39"/>
      <c r="BX88" s="39"/>
    </row>
    <row r="89" spans="2:76" ht="11.25" customHeight="1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BW89" s="39"/>
      <c r="BX89" s="39"/>
    </row>
    <row r="90" spans="2:76" ht="13.5" customHeight="1">
      <c r="B90" s="16" t="s">
        <v>316</v>
      </c>
      <c r="C90" s="38">
        <f t="shared" ref="C90:Q90" si="619">C3</f>
        <v>41975</v>
      </c>
      <c r="D90" s="38">
        <f t="shared" si="619"/>
        <v>42341</v>
      </c>
      <c r="E90" s="38">
        <f t="shared" si="619"/>
        <v>42735</v>
      </c>
      <c r="F90" s="38">
        <f t="shared" si="619"/>
        <v>43100</v>
      </c>
      <c r="G90" s="38">
        <f t="shared" si="619"/>
        <v>43465</v>
      </c>
      <c r="H90" s="38">
        <f t="shared" si="619"/>
        <v>43830</v>
      </c>
      <c r="I90" s="38">
        <f t="shared" si="619"/>
        <v>44196</v>
      </c>
      <c r="J90" s="38">
        <f t="shared" si="619"/>
        <v>44561</v>
      </c>
      <c r="K90" s="38">
        <f t="shared" si="619"/>
        <v>44926</v>
      </c>
      <c r="L90" s="38">
        <f t="shared" si="619"/>
        <v>44926</v>
      </c>
      <c r="M90" s="38">
        <f t="shared" si="619"/>
        <v>45291</v>
      </c>
      <c r="N90" s="38">
        <f t="shared" si="619"/>
        <v>45291</v>
      </c>
      <c r="O90" s="38">
        <f t="shared" si="619"/>
        <v>45657</v>
      </c>
      <c r="P90" s="38">
        <f t="shared" si="619"/>
        <v>45657</v>
      </c>
      <c r="Q90" s="38">
        <f t="shared" si="619"/>
        <v>46022</v>
      </c>
      <c r="R90" s="83" t="s">
        <v>241</v>
      </c>
      <c r="S90" s="223"/>
      <c r="T90" s="38">
        <f t="shared" ref="T90:BH90" si="620">T3</f>
        <v>42437</v>
      </c>
      <c r="U90" s="38">
        <f t="shared" si="620"/>
        <v>42527</v>
      </c>
      <c r="V90" s="38">
        <f t="shared" si="620"/>
        <v>42622</v>
      </c>
      <c r="W90" s="38">
        <f t="shared" si="620"/>
        <v>42714</v>
      </c>
      <c r="X90" s="38">
        <f t="shared" si="620"/>
        <v>42825</v>
      </c>
      <c r="Y90" s="38">
        <f t="shared" si="620"/>
        <v>42916</v>
      </c>
      <c r="Z90" s="38">
        <f t="shared" si="620"/>
        <v>43008</v>
      </c>
      <c r="AA90" s="38">
        <f t="shared" si="620"/>
        <v>43100</v>
      </c>
      <c r="AB90" s="38">
        <f t="shared" si="620"/>
        <v>43190</v>
      </c>
      <c r="AC90" s="38">
        <f t="shared" si="620"/>
        <v>43281</v>
      </c>
      <c r="AD90" s="38">
        <f t="shared" si="620"/>
        <v>43373</v>
      </c>
      <c r="AE90" s="38">
        <f t="shared" si="620"/>
        <v>43465</v>
      </c>
      <c r="AF90" s="38">
        <f t="shared" si="620"/>
        <v>43555</v>
      </c>
      <c r="AG90" s="38">
        <f t="shared" si="620"/>
        <v>43646</v>
      </c>
      <c r="AH90" s="38">
        <f t="shared" si="620"/>
        <v>43738</v>
      </c>
      <c r="AI90" s="38">
        <f t="shared" si="620"/>
        <v>43830</v>
      </c>
      <c r="AJ90" s="38">
        <f t="shared" si="620"/>
        <v>43921</v>
      </c>
      <c r="AK90" s="38">
        <f t="shared" si="620"/>
        <v>44012</v>
      </c>
      <c r="AL90" s="38">
        <f t="shared" si="620"/>
        <v>44104</v>
      </c>
      <c r="AM90" s="226">
        <f t="shared" si="620"/>
        <v>44196</v>
      </c>
      <c r="AN90" s="38">
        <f t="shared" si="620"/>
        <v>44286</v>
      </c>
      <c r="AO90" s="38">
        <f t="shared" si="620"/>
        <v>44377</v>
      </c>
      <c r="AP90" s="38">
        <f t="shared" si="620"/>
        <v>44469</v>
      </c>
      <c r="AQ90" s="226">
        <f t="shared" si="620"/>
        <v>44561</v>
      </c>
      <c r="AR90" s="38">
        <f t="shared" si="620"/>
        <v>44651</v>
      </c>
      <c r="AS90" s="38">
        <f t="shared" si="620"/>
        <v>44742</v>
      </c>
      <c r="AT90" s="38">
        <f t="shared" si="620"/>
        <v>44834</v>
      </c>
      <c r="AU90" s="226">
        <f t="shared" si="620"/>
        <v>44926</v>
      </c>
      <c r="AV90" s="38">
        <f t="shared" si="620"/>
        <v>45016</v>
      </c>
      <c r="AW90" s="38">
        <f t="shared" si="620"/>
        <v>45107</v>
      </c>
      <c r="AX90" s="38">
        <f t="shared" si="620"/>
        <v>45199</v>
      </c>
      <c r="AY90" s="38">
        <f t="shared" si="620"/>
        <v>45291</v>
      </c>
      <c r="AZ90" s="38">
        <f t="shared" si="620"/>
        <v>45382</v>
      </c>
      <c r="BA90" s="38">
        <f t="shared" si="620"/>
        <v>45473</v>
      </c>
      <c r="BB90" s="38">
        <f t="shared" si="620"/>
        <v>45565</v>
      </c>
      <c r="BC90" s="38">
        <f t="shared" si="620"/>
        <v>45657</v>
      </c>
      <c r="BD90" s="38">
        <f t="shared" si="620"/>
        <v>45747</v>
      </c>
      <c r="BE90" s="38">
        <f t="shared" si="620"/>
        <v>45838</v>
      </c>
      <c r="BF90" s="38">
        <f t="shared" si="620"/>
        <v>45930</v>
      </c>
      <c r="BG90" s="38">
        <f t="shared" si="620"/>
        <v>46022</v>
      </c>
      <c r="BH90" s="38">
        <f t="shared" si="620"/>
        <v>46112</v>
      </c>
      <c r="BJ90" s="38">
        <f t="shared" ref="BJ90:BR90" si="621">BJ3</f>
        <v>45016</v>
      </c>
      <c r="BK90" s="38">
        <f t="shared" si="621"/>
        <v>45107</v>
      </c>
      <c r="BL90" s="38">
        <f t="shared" si="621"/>
        <v>45199</v>
      </c>
      <c r="BM90" s="38">
        <f t="shared" si="621"/>
        <v>45291</v>
      </c>
      <c r="BN90" s="38">
        <f t="shared" si="621"/>
        <v>45382</v>
      </c>
      <c r="BO90" s="38">
        <f t="shared" si="621"/>
        <v>45473</v>
      </c>
      <c r="BP90" s="38">
        <f t="shared" si="621"/>
        <v>45565</v>
      </c>
      <c r="BQ90" s="38">
        <f t="shared" si="621"/>
        <v>45657</v>
      </c>
      <c r="BR90" s="38">
        <f t="shared" si="621"/>
        <v>45747</v>
      </c>
      <c r="BW90" s="39"/>
      <c r="BX90" s="39"/>
    </row>
    <row r="91" spans="2:76" ht="13.5" customHeight="1">
      <c r="B91" s="1" t="str">
        <f t="shared" ref="B91:R91" si="622">+B7</f>
        <v>Revenues</v>
      </c>
      <c r="C91" s="6">
        <f t="shared" si="622"/>
        <v>12514.032999999999</v>
      </c>
      <c r="D91" s="6">
        <f t="shared" si="622"/>
        <v>14166.1</v>
      </c>
      <c r="E91" s="6">
        <f t="shared" si="622"/>
        <v>16096.172</v>
      </c>
      <c r="F91" s="6">
        <f t="shared" si="622"/>
        <v>20840.613000000001</v>
      </c>
      <c r="G91" s="6">
        <f t="shared" si="622"/>
        <v>26904.383999999998</v>
      </c>
      <c r="H91" s="6">
        <f t="shared" si="622"/>
        <v>31941.773000000001</v>
      </c>
      <c r="I91" s="6">
        <f t="shared" si="622"/>
        <v>40872.483</v>
      </c>
      <c r="J91" s="6">
        <f t="shared" si="622"/>
        <v>68184.437000000005</v>
      </c>
      <c r="K91" s="6">
        <f t="shared" si="622"/>
        <v>133915.508</v>
      </c>
      <c r="L91" s="6">
        <f t="shared" si="622"/>
        <v>257172.03</v>
      </c>
      <c r="M91" s="6">
        <f t="shared" si="622"/>
        <v>257103.739</v>
      </c>
      <c r="N91" s="6">
        <f t="shared" si="622"/>
        <v>371203.26799999998</v>
      </c>
      <c r="O91" s="6">
        <f t="shared" si="622"/>
        <v>428548.223</v>
      </c>
      <c r="P91" s="6">
        <f t="shared" si="622"/>
        <v>560936.75399999996</v>
      </c>
      <c r="Q91" s="6">
        <f t="shared" si="622"/>
        <v>523933.321</v>
      </c>
      <c r="R91" s="6">
        <f t="shared" si="622"/>
        <v>545087.35899999994</v>
      </c>
      <c r="S91" s="6"/>
      <c r="T91" s="33"/>
      <c r="U91" s="33"/>
      <c r="V91" s="71"/>
      <c r="W91" s="6">
        <f t="shared" ref="W91:W101" si="623">E91</f>
        <v>16096.172</v>
      </c>
      <c r="X91" s="6">
        <f>E7+X7-T7</f>
        <v>17202.976999999999</v>
      </c>
      <c r="Y91" s="6">
        <f>E7+X7+Y7-T7-U7</f>
        <v>18304.498</v>
      </c>
      <c r="Z91" s="6">
        <f>E7+X7+Y7+Z7-T7-U7-V7</f>
        <v>19660.87</v>
      </c>
      <c r="AA91" s="6">
        <f t="shared" ref="AA91:AA101" si="624">F91</f>
        <v>20840.613000000001</v>
      </c>
      <c r="AB91" s="6">
        <f>AB7+F7-X7</f>
        <v>21488.577000000001</v>
      </c>
      <c r="AC91" s="6">
        <f t="shared" ref="AC91:BH91" si="625">Z7+AA7+AB7+AC7</f>
        <v>22939.393000000004</v>
      </c>
      <c r="AD91" s="6">
        <f t="shared" si="625"/>
        <v>25195.794000000002</v>
      </c>
      <c r="AE91" s="6">
        <f t="shared" si="625"/>
        <v>26904.383999999998</v>
      </c>
      <c r="AF91" s="6">
        <f t="shared" si="625"/>
        <v>28524.322999999997</v>
      </c>
      <c r="AG91" s="6">
        <f t="shared" si="625"/>
        <v>30440.03</v>
      </c>
      <c r="AH91" s="6">
        <f t="shared" si="625"/>
        <v>30989.97</v>
      </c>
      <c r="AI91" s="6">
        <f t="shared" si="625"/>
        <v>31941.773000000001</v>
      </c>
      <c r="AJ91" s="6">
        <f t="shared" si="625"/>
        <v>32807.144</v>
      </c>
      <c r="AK91" s="6">
        <f t="shared" si="625"/>
        <v>32211.673000000003</v>
      </c>
      <c r="AL91" s="6">
        <f t="shared" si="625"/>
        <v>35903.877000000008</v>
      </c>
      <c r="AM91" s="6">
        <f t="shared" si="625"/>
        <v>40872.483</v>
      </c>
      <c r="AN91" s="6">
        <f t="shared" si="625"/>
        <v>46088.769</v>
      </c>
      <c r="AO91" s="6">
        <f t="shared" si="625"/>
        <v>52791.054000000004</v>
      </c>
      <c r="AP91" s="6">
        <f t="shared" si="625"/>
        <v>59000.579000000005</v>
      </c>
      <c r="AQ91" s="6">
        <f t="shared" si="625"/>
        <v>68184.437000000005</v>
      </c>
      <c r="AR91" s="6">
        <f t="shared" si="625"/>
        <v>83365.018000000011</v>
      </c>
      <c r="AS91" s="6">
        <f t="shared" si="625"/>
        <v>101135.23700000001</v>
      </c>
      <c r="AT91" s="6">
        <f t="shared" si="625"/>
        <v>117242.15700000001</v>
      </c>
      <c r="AU91" s="6">
        <f t="shared" si="625"/>
        <v>133915.508</v>
      </c>
      <c r="AV91" s="6">
        <f t="shared" si="625"/>
        <v>145642.49000000002</v>
      </c>
      <c r="AW91" s="6">
        <f t="shared" si="625"/>
        <v>160285.89899999998</v>
      </c>
      <c r="AX91" s="6">
        <f t="shared" si="625"/>
        <v>184249.182</v>
      </c>
      <c r="AY91" s="6">
        <f t="shared" si="625"/>
        <v>257103.739</v>
      </c>
      <c r="AZ91" s="6">
        <f t="shared" si="625"/>
        <v>289477.603</v>
      </c>
      <c r="BA91" s="6">
        <f t="shared" si="625"/>
        <v>344113.91099999996</v>
      </c>
      <c r="BB91" s="6">
        <f t="shared" si="625"/>
        <v>391286.77500000002</v>
      </c>
      <c r="BC91" s="6">
        <f t="shared" si="625"/>
        <v>428548.223</v>
      </c>
      <c r="BD91" s="6">
        <f t="shared" si="625"/>
        <v>465400.62400000001</v>
      </c>
      <c r="BE91" s="6">
        <f t="shared" si="625"/>
        <v>485179.826</v>
      </c>
      <c r="BF91" s="6">
        <f t="shared" si="625"/>
        <v>504234.71700000006</v>
      </c>
      <c r="BG91" s="6">
        <f t="shared" si="625"/>
        <v>523933.321</v>
      </c>
      <c r="BH91" s="6">
        <f t="shared" si="625"/>
        <v>545087.35899999994</v>
      </c>
      <c r="BJ91" s="6">
        <f>AS7+AT7+AU7+BJ7</f>
        <v>174720.005</v>
      </c>
      <c r="BK91" s="6">
        <f>AU7+AT7+BJ7+BK7</f>
        <v>224986.60700000002</v>
      </c>
      <c r="BL91" s="6">
        <f>AU7+BJ7+BK7+BL7</f>
        <v>283380.77</v>
      </c>
      <c r="BM91" s="6">
        <f>BJ7+BK7+BL7+BM7</f>
        <v>371203.26799999998</v>
      </c>
      <c r="BN91" s="6">
        <f>SUM(BK7:BN7)</f>
        <v>402035.44099999999</v>
      </c>
      <c r="BO91" s="6">
        <f>SUM(BL7:BO7)</f>
        <v>456652.52899999998</v>
      </c>
      <c r="BP91" s="6">
        <f>BN7+BO7+BP7+BM7</f>
        <v>504483.31799999997</v>
      </c>
      <c r="BQ91" s="6">
        <f>BN7+BO7+BP7+BQ7</f>
        <v>560936.75399999996</v>
      </c>
      <c r="BR91" s="6">
        <f>SUM(BO7:BR7)</f>
        <v>603933.02499999991</v>
      </c>
      <c r="BW91" s="39"/>
      <c r="BX91" s="39"/>
    </row>
    <row r="92" spans="2:76" ht="13.5" customHeight="1">
      <c r="B92" s="1" t="str">
        <f t="shared" ref="B92:R92" si="626">+B9</f>
        <v>COGS</v>
      </c>
      <c r="C92" s="6">
        <f t="shared" si="626"/>
        <v>-8535.2009999999991</v>
      </c>
      <c r="D92" s="6">
        <f t="shared" si="626"/>
        <v>-9630.2070000000003</v>
      </c>
      <c r="E92" s="6">
        <f t="shared" si="626"/>
        <v>-10756.611999999999</v>
      </c>
      <c r="F92" s="6">
        <f t="shared" si="626"/>
        <v>-14334.414000000001</v>
      </c>
      <c r="G92" s="6">
        <f t="shared" si="626"/>
        <v>-18358.621999999999</v>
      </c>
      <c r="H92" s="6">
        <f t="shared" si="626"/>
        <v>-21682.666000000001</v>
      </c>
      <c r="I92" s="6">
        <f t="shared" si="626"/>
        <v>-27066.11</v>
      </c>
      <c r="J92" s="6">
        <f t="shared" si="626"/>
        <v>-47706.091999999997</v>
      </c>
      <c r="K92" s="6">
        <f t="shared" si="626"/>
        <v>-94422.664999999994</v>
      </c>
      <c r="L92" s="6">
        <f t="shared" si="626"/>
        <v>-188501.51199999999</v>
      </c>
      <c r="M92" s="6">
        <f t="shared" si="626"/>
        <v>-181725.74600000001</v>
      </c>
      <c r="N92" s="6">
        <f t="shared" si="626"/>
        <v>-262373.43300000002</v>
      </c>
      <c r="O92" s="6">
        <f t="shared" si="626"/>
        <v>-310446.18699999998</v>
      </c>
      <c r="P92" s="6">
        <f t="shared" si="626"/>
        <v>-406350.24699999997</v>
      </c>
      <c r="Q92" s="6">
        <f t="shared" si="626"/>
        <v>-373140.054</v>
      </c>
      <c r="R92" s="6">
        <f t="shared" si="626"/>
        <v>-386747.03499999997</v>
      </c>
      <c r="S92" s="6"/>
      <c r="T92" s="33"/>
      <c r="U92" s="33"/>
      <c r="V92" s="71"/>
      <c r="W92" s="6">
        <f t="shared" si="623"/>
        <v>-10756.611999999999</v>
      </c>
      <c r="X92" s="6">
        <f>E9+X9-T9</f>
        <v>-11579.56</v>
      </c>
      <c r="Y92" s="6">
        <f>E9+X9+Y9-T9-U9</f>
        <v>-12479.355</v>
      </c>
      <c r="Z92" s="6">
        <f>E9+X9+Y9+Z9-T9-U9-V9</f>
        <v>-13472.123</v>
      </c>
      <c r="AA92" s="6">
        <f t="shared" si="624"/>
        <v>-14334.414000000001</v>
      </c>
      <c r="AB92" s="6">
        <f>AB9+F9-X9</f>
        <v>-14809.627999999999</v>
      </c>
      <c r="AC92" s="6">
        <f t="shared" ref="AC92:BH92" si="627">Z9+AA9+AB9+AC9</f>
        <v>-15840.816999999999</v>
      </c>
      <c r="AD92" s="6">
        <f t="shared" si="627"/>
        <v>-17311.105</v>
      </c>
      <c r="AE92" s="6">
        <f t="shared" si="627"/>
        <v>-18358.621999999999</v>
      </c>
      <c r="AF92" s="6">
        <f t="shared" si="627"/>
        <v>-19390.536</v>
      </c>
      <c r="AG92" s="6">
        <f t="shared" si="627"/>
        <v>-20636.931</v>
      </c>
      <c r="AH92" s="6">
        <f t="shared" si="627"/>
        <v>-20972.137999999999</v>
      </c>
      <c r="AI92" s="6">
        <f t="shared" si="627"/>
        <v>-21682.666000000001</v>
      </c>
      <c r="AJ92" s="6">
        <f t="shared" si="627"/>
        <v>-22319.016000000003</v>
      </c>
      <c r="AK92" s="6">
        <f t="shared" si="627"/>
        <v>-21947.610000000004</v>
      </c>
      <c r="AL92" s="6">
        <f t="shared" si="627"/>
        <v>-24238.005000000005</v>
      </c>
      <c r="AM92" s="6">
        <f t="shared" si="627"/>
        <v>-27066.109999999997</v>
      </c>
      <c r="AN92" s="6">
        <f t="shared" si="627"/>
        <v>-30267.271999999997</v>
      </c>
      <c r="AO92" s="6">
        <f t="shared" si="627"/>
        <v>-34995.612999999998</v>
      </c>
      <c r="AP92" s="6">
        <f t="shared" si="627"/>
        <v>-40206.936000000002</v>
      </c>
      <c r="AQ92" s="6">
        <f t="shared" si="627"/>
        <v>-47706.09199999999</v>
      </c>
      <c r="AR92" s="6">
        <f t="shared" si="627"/>
        <v>-58682.897999999994</v>
      </c>
      <c r="AS92" s="6">
        <f t="shared" si="627"/>
        <v>-71277.911999999997</v>
      </c>
      <c r="AT92" s="6">
        <f t="shared" si="627"/>
        <v>-82649.111000000004</v>
      </c>
      <c r="AU92" s="6">
        <f t="shared" si="627"/>
        <v>-94422.664999999979</v>
      </c>
      <c r="AV92" s="6">
        <f t="shared" si="627"/>
        <v>-102420.02499999999</v>
      </c>
      <c r="AW92" s="6">
        <f t="shared" si="627"/>
        <v>-111634.185</v>
      </c>
      <c r="AX92" s="6">
        <f t="shared" si="627"/>
        <v>-126381.239</v>
      </c>
      <c r="AY92" s="6">
        <f t="shared" si="627"/>
        <v>-181725.74599999998</v>
      </c>
      <c r="AZ92" s="6">
        <f t="shared" si="627"/>
        <v>-205068.908</v>
      </c>
      <c r="BA92" s="6">
        <f t="shared" si="627"/>
        <v>-246585.90300000002</v>
      </c>
      <c r="BB92" s="6">
        <f t="shared" si="627"/>
        <v>-285009.59699999995</v>
      </c>
      <c r="BC92" s="6">
        <f t="shared" si="627"/>
        <v>-310446.18700000003</v>
      </c>
      <c r="BD92" s="6">
        <f t="shared" si="627"/>
        <v>-337470.60100000002</v>
      </c>
      <c r="BE92" s="6">
        <f t="shared" si="627"/>
        <v>-350894.30799999996</v>
      </c>
      <c r="BF92" s="6">
        <f t="shared" si="627"/>
        <v>-361596.022</v>
      </c>
      <c r="BG92" s="6">
        <f t="shared" si="627"/>
        <v>-373140.054</v>
      </c>
      <c r="BH92" s="6">
        <f t="shared" si="627"/>
        <v>-386747.03499999997</v>
      </c>
      <c r="BJ92" s="6">
        <f>AS9+AT9+AU9+BJ9</f>
        <v>-124071.89899999999</v>
      </c>
      <c r="BK92" s="6">
        <f>AU9+AT9+BJ9+BK9</f>
        <v>-158260.72199999998</v>
      </c>
      <c r="BL92" s="6">
        <f>AU9+BJ9+BK9+BL9</f>
        <v>-199379.51599999997</v>
      </c>
      <c r="BM92" s="6">
        <f>BJ9+BK9+BL9+BM9</f>
        <v>-262373.43300000002</v>
      </c>
      <c r="BN92" s="6">
        <f>SUM(BK9:BN9)</f>
        <v>-283428.43900000001</v>
      </c>
      <c r="BO92" s="6">
        <f>SUM(BL9:BO9)</f>
        <v>-325720.11500000005</v>
      </c>
      <c r="BP92" s="6">
        <f>BM9+BN9+BO9+BP9</f>
        <v>-363596.28399999999</v>
      </c>
      <c r="BQ92" s="6">
        <f>BN9+BO9+BP9+BQ9</f>
        <v>-406350.24699999997</v>
      </c>
      <c r="BR92" s="6">
        <f>SUM(BO9:BR9)</f>
        <v>-438037.47799999994</v>
      </c>
      <c r="BW92" s="39"/>
      <c r="BX92" s="39"/>
    </row>
    <row r="93" spans="2:76" ht="13.5" customHeight="1">
      <c r="B93" s="1" t="s">
        <v>283</v>
      </c>
      <c r="C93" s="6">
        <f t="shared" ref="C93:R93" si="628">C17</f>
        <v>968.78900000000067</v>
      </c>
      <c r="D93" s="6">
        <f t="shared" si="628"/>
        <v>1282.7569999999996</v>
      </c>
      <c r="E93" s="6">
        <f t="shared" si="628"/>
        <v>1498.0710000000008</v>
      </c>
      <c r="F93" s="6">
        <f t="shared" si="628"/>
        <v>1711.8310000000001</v>
      </c>
      <c r="G93" s="6">
        <f t="shared" si="628"/>
        <v>2637.3219999999992</v>
      </c>
      <c r="H93" s="6">
        <f t="shared" si="628"/>
        <v>2653.7579999999998</v>
      </c>
      <c r="I93" s="6">
        <f t="shared" si="628"/>
        <v>4852.2960000000003</v>
      </c>
      <c r="J93" s="6">
        <f t="shared" si="628"/>
        <v>7020.1440000000093</v>
      </c>
      <c r="K93" s="6">
        <f t="shared" si="628"/>
        <v>9090.1970000000074</v>
      </c>
      <c r="L93" s="6">
        <f t="shared" si="628"/>
        <v>9401.432000000008</v>
      </c>
      <c r="M93" s="6">
        <f t="shared" si="628"/>
        <v>10157.656999999985</v>
      </c>
      <c r="N93" s="6">
        <f t="shared" si="628"/>
        <v>14665.503999999957</v>
      </c>
      <c r="O93" s="6">
        <f t="shared" si="628"/>
        <v>7122.4260000000213</v>
      </c>
      <c r="P93" s="6">
        <f t="shared" si="628"/>
        <v>9322.710000000021</v>
      </c>
      <c r="Q93" s="6">
        <f t="shared" si="628"/>
        <v>10494.105999999971</v>
      </c>
      <c r="R93" s="6">
        <f t="shared" si="628"/>
        <v>8223.5599999999686</v>
      </c>
      <c r="S93" s="6"/>
      <c r="T93" s="33"/>
      <c r="U93" s="33"/>
      <c r="V93" s="33"/>
      <c r="W93" s="6">
        <f t="shared" si="623"/>
        <v>1498.0710000000008</v>
      </c>
      <c r="X93" s="6">
        <f>E17+X17-T17</f>
        <v>1631.1350000000011</v>
      </c>
      <c r="Y93" s="6">
        <f>E17+X17+Y17-T17-U17</f>
        <v>1676.0120000000006</v>
      </c>
      <c r="Z93" s="6">
        <f>E17+X17+Y17+Z17-T17-U17-V17</f>
        <v>1741.8880000000004</v>
      </c>
      <c r="AA93" s="6">
        <f t="shared" si="624"/>
        <v>1711.8310000000001</v>
      </c>
      <c r="AB93" s="6">
        <f>AB17+F17-X17</f>
        <v>1792.6180000000002</v>
      </c>
      <c r="AC93" s="6">
        <f t="shared" ref="AC93:BH93" si="629">Z49+AA49+AB49+AC49</f>
        <v>2043.8950000000025</v>
      </c>
      <c r="AD93" s="6">
        <f t="shared" si="629"/>
        <v>2924.1360000000036</v>
      </c>
      <c r="AE93" s="6">
        <f t="shared" si="629"/>
        <v>2637.3219999999978</v>
      </c>
      <c r="AF93" s="6">
        <f t="shared" si="629"/>
        <v>2772.833999999998</v>
      </c>
      <c r="AG93" s="6">
        <f t="shared" si="629"/>
        <v>2829.6669999999972</v>
      </c>
      <c r="AH93" s="6">
        <f t="shared" si="629"/>
        <v>2164.5569999999962</v>
      </c>
      <c r="AI93" s="6">
        <f t="shared" si="629"/>
        <v>2653.7580000000025</v>
      </c>
      <c r="AJ93" s="6">
        <f t="shared" si="629"/>
        <v>2786.8430000000026</v>
      </c>
      <c r="AK93" s="6">
        <f t="shared" si="629"/>
        <v>2835.3100000000013</v>
      </c>
      <c r="AL93" s="6">
        <f t="shared" si="629"/>
        <v>3990.8730000000023</v>
      </c>
      <c r="AM93" s="6">
        <f t="shared" si="629"/>
        <v>4852.2960000000021</v>
      </c>
      <c r="AN93" s="6">
        <f t="shared" si="629"/>
        <v>5757.3960000000025</v>
      </c>
      <c r="AO93" s="6">
        <f t="shared" si="629"/>
        <v>6112.3250000000044</v>
      </c>
      <c r="AP93" s="6">
        <f t="shared" si="629"/>
        <v>5503.3180000000029</v>
      </c>
      <c r="AQ93" s="6">
        <f t="shared" si="629"/>
        <v>7020.1440000000121</v>
      </c>
      <c r="AR93" s="6">
        <f t="shared" si="629"/>
        <v>8063.912000000013</v>
      </c>
      <c r="AS93" s="6">
        <f t="shared" si="629"/>
        <v>8916.760000000013</v>
      </c>
      <c r="AT93" s="6">
        <f t="shared" si="629"/>
        <v>9485.193000000012</v>
      </c>
      <c r="AU93" s="6">
        <f t="shared" si="629"/>
        <v>9090.1970000000147</v>
      </c>
      <c r="AV93" s="6">
        <f t="shared" si="629"/>
        <v>8569.2850000000144</v>
      </c>
      <c r="AW93" s="6">
        <f t="shared" si="629"/>
        <v>10285.110000000013</v>
      </c>
      <c r="AX93" s="6">
        <f t="shared" si="629"/>
        <v>12435.082000000015</v>
      </c>
      <c r="AY93" s="6">
        <f t="shared" si="629"/>
        <v>10157.657000000008</v>
      </c>
      <c r="AZ93" s="6">
        <f t="shared" si="629"/>
        <v>10721.317999999999</v>
      </c>
      <c r="BA93" s="6">
        <f t="shared" si="629"/>
        <v>7194.7309999999998</v>
      </c>
      <c r="BB93" s="6">
        <f t="shared" si="629"/>
        <v>1283.2400000000016</v>
      </c>
      <c r="BC93" s="6">
        <f t="shared" si="629"/>
        <v>7122.4260000000177</v>
      </c>
      <c r="BD93" s="6">
        <f t="shared" si="629"/>
        <v>6862.7050000000236</v>
      </c>
      <c r="BE93" s="6">
        <f t="shared" si="629"/>
        <v>9394.4800000000214</v>
      </c>
      <c r="BF93" s="6">
        <f t="shared" si="629"/>
        <v>13552.360000000022</v>
      </c>
      <c r="BG93" s="6">
        <f t="shared" si="629"/>
        <v>10494.106000000029</v>
      </c>
      <c r="BH93" s="6">
        <f t="shared" si="629"/>
        <v>8223.5600000000195</v>
      </c>
      <c r="BJ93" s="6">
        <f>AS49+AT49+AU49+BJ49</f>
        <v>8009.4100000000162</v>
      </c>
      <c r="BK93" s="6">
        <f>AU49+AT49+BJ49+BK49</f>
        <v>11248.275000000012</v>
      </c>
      <c r="BL93" s="6">
        <f>AU49+BJ49+BK49+BL49</f>
        <v>12100.676000000021</v>
      </c>
      <c r="BM93" s="6">
        <f>BJ49+BK49+BL49+BM49</f>
        <v>14665.50399999995</v>
      </c>
      <c r="BN93" s="6">
        <f>SUM(BK49:BN49)</f>
        <v>16842.47099999995</v>
      </c>
      <c r="BO93" s="6">
        <f>SUM(BL49:BO49)</f>
        <v>31692.579999999954</v>
      </c>
      <c r="BP93" s="6">
        <f>BM49+BN49+BO49+BP49</f>
        <v>26436.75599999995</v>
      </c>
      <c r="BQ93" s="6">
        <f>BN49+BO49+BP49+BQ49</f>
        <v>9322.7100000000028</v>
      </c>
      <c r="BR93" s="6">
        <f>SUM(BO49:BR49)</f>
        <v>8782.7160000000149</v>
      </c>
      <c r="BW93" s="39"/>
      <c r="BX93" s="39"/>
    </row>
    <row r="94" spans="2:76" ht="13.5" customHeight="1">
      <c r="B94" s="1" t="s">
        <v>317</v>
      </c>
      <c r="C94" s="6">
        <f t="shared" ref="C94:R94" si="630">C51</f>
        <v>1321.4510000000007</v>
      </c>
      <c r="D94" s="6">
        <f t="shared" si="630"/>
        <v>1659.5179999999996</v>
      </c>
      <c r="E94" s="6">
        <f t="shared" si="630"/>
        <v>1944.7140000000009</v>
      </c>
      <c r="F94" s="6">
        <f t="shared" si="630"/>
        <v>2270.7130000000002</v>
      </c>
      <c r="G94" s="6">
        <f t="shared" si="630"/>
        <v>3340.5739999999992</v>
      </c>
      <c r="H94" s="6">
        <f t="shared" si="630"/>
        <v>3722.933</v>
      </c>
      <c r="I94" s="6">
        <f t="shared" si="630"/>
        <v>6093.8440000000001</v>
      </c>
      <c r="J94" s="6">
        <f t="shared" si="630"/>
        <v>8887.464000000009</v>
      </c>
      <c r="K94" s="6">
        <f t="shared" si="630"/>
        <v>12426.708000000008</v>
      </c>
      <c r="L94" s="6">
        <f t="shared" si="630"/>
        <v>17498.554000000007</v>
      </c>
      <c r="M94" s="6">
        <f t="shared" si="630"/>
        <v>18939.001999999986</v>
      </c>
      <c r="N94" s="6">
        <f t="shared" si="630"/>
        <v>27343.902999999955</v>
      </c>
      <c r="O94" s="6">
        <f t="shared" si="630"/>
        <v>23767.586000000021</v>
      </c>
      <c r="P94" s="6">
        <f t="shared" si="630"/>
        <v>30985.38200000002</v>
      </c>
      <c r="Q94" s="6">
        <f t="shared" si="630"/>
        <v>33745.464999999967</v>
      </c>
      <c r="R94" s="6">
        <f t="shared" si="630"/>
        <v>32300.649999999969</v>
      </c>
      <c r="S94" s="6"/>
      <c r="T94" s="6"/>
      <c r="U94" s="6"/>
      <c r="V94" s="6"/>
      <c r="W94" s="6">
        <f t="shared" si="623"/>
        <v>1944.7140000000009</v>
      </c>
      <c r="X94" s="6">
        <f>E51+X51-T51</f>
        <v>2112.7670000000007</v>
      </c>
      <c r="Y94" s="6">
        <f>E51+X51+Y51-T51-U51</f>
        <v>2183.2870000000007</v>
      </c>
      <c r="Z94" s="6">
        <f>E51+X51+Y51+Z51-T51-U51-V51</f>
        <v>2278.0980000000004</v>
      </c>
      <c r="AA94" s="6">
        <f t="shared" si="624"/>
        <v>2270.7130000000002</v>
      </c>
      <c r="AB94" s="6">
        <f>AB51+F51-X51</f>
        <v>2370.0110000000004</v>
      </c>
      <c r="AC94" s="6">
        <f t="shared" ref="AC94:BH94" si="631">Z51+AA51+AB51+AC51</f>
        <v>2647.9650000000024</v>
      </c>
      <c r="AD94" s="6">
        <f t="shared" si="631"/>
        <v>3576.5780000000036</v>
      </c>
      <c r="AE94" s="6">
        <f t="shared" si="631"/>
        <v>3340.5739999999978</v>
      </c>
      <c r="AF94" s="6">
        <f t="shared" si="631"/>
        <v>3575.7839999999978</v>
      </c>
      <c r="AG94" s="6">
        <f t="shared" si="631"/>
        <v>3729.6379999999972</v>
      </c>
      <c r="AH94" s="6">
        <f t="shared" si="631"/>
        <v>3149.341999999996</v>
      </c>
      <c r="AI94" s="6">
        <f t="shared" si="631"/>
        <v>3722.9330000000023</v>
      </c>
      <c r="AJ94" s="6">
        <f t="shared" si="631"/>
        <v>3889.4930000000022</v>
      </c>
      <c r="AK94" s="6">
        <f t="shared" si="631"/>
        <v>3978.626000000002</v>
      </c>
      <c r="AL94" s="6">
        <f t="shared" si="631"/>
        <v>5184.443000000002</v>
      </c>
      <c r="AM94" s="6">
        <f t="shared" si="631"/>
        <v>6093.8440000000028</v>
      </c>
      <c r="AN94" s="6">
        <f t="shared" si="631"/>
        <v>7063.1240000000034</v>
      </c>
      <c r="AO94" s="6">
        <f t="shared" si="631"/>
        <v>7502.3170000000046</v>
      </c>
      <c r="AP94" s="6">
        <f t="shared" si="631"/>
        <v>7036.5990000000038</v>
      </c>
      <c r="AQ94" s="6">
        <f t="shared" si="631"/>
        <v>8887.4640000000127</v>
      </c>
      <c r="AR94" s="6">
        <f t="shared" si="631"/>
        <v>10298.550000000014</v>
      </c>
      <c r="AS94" s="6">
        <f t="shared" si="631"/>
        <v>11552.446000000014</v>
      </c>
      <c r="AT94" s="6">
        <f t="shared" si="631"/>
        <v>12540.656000000014</v>
      </c>
      <c r="AU94" s="6">
        <f t="shared" si="631"/>
        <v>12426.708000000017</v>
      </c>
      <c r="AV94" s="6">
        <f t="shared" si="631"/>
        <v>12196.616000000015</v>
      </c>
      <c r="AW94" s="6">
        <f t="shared" si="631"/>
        <v>14226.818000000014</v>
      </c>
      <c r="AX94" s="6">
        <f t="shared" si="631"/>
        <v>16842.828000000016</v>
      </c>
      <c r="AY94" s="6">
        <f t="shared" si="631"/>
        <v>18939.002000000008</v>
      </c>
      <c r="AZ94" s="6">
        <f t="shared" si="631"/>
        <v>21070.517</v>
      </c>
      <c r="BA94" s="6">
        <f t="shared" si="631"/>
        <v>20322.704999999998</v>
      </c>
      <c r="BB94" s="6">
        <f t="shared" si="631"/>
        <v>17373.863000000001</v>
      </c>
      <c r="BC94" s="6">
        <f t="shared" si="631"/>
        <v>23767.586000000018</v>
      </c>
      <c r="BD94" s="6">
        <f t="shared" si="631"/>
        <v>25732.024000000023</v>
      </c>
      <c r="BE94" s="6">
        <f t="shared" si="631"/>
        <v>29820.303000000022</v>
      </c>
      <c r="BF94" s="6">
        <f t="shared" si="631"/>
        <v>36377.622000000018</v>
      </c>
      <c r="BG94" s="6">
        <f t="shared" si="631"/>
        <v>33745.465000000026</v>
      </c>
      <c r="BH94" s="6">
        <f t="shared" si="631"/>
        <v>32300.65000000002</v>
      </c>
      <c r="BJ94" s="6">
        <f>AS51+AT51+AU51+BJ51</f>
        <v>13223.297000000017</v>
      </c>
      <c r="BK94" s="6">
        <f>AU51+AT51+BJ51+BK51</f>
        <v>18504.137000000013</v>
      </c>
      <c r="BL94" s="6">
        <f>AU51+BJ51+BK51+BL51</f>
        <v>21462.514000000021</v>
      </c>
      <c r="BM94" s="6">
        <f>BJ51+BK51+BL51+BM51</f>
        <v>27343.902999999947</v>
      </c>
      <c r="BN94" s="6" cm="1">
        <f t="array" ref="BN94">SUM(+BK51:BN51)</f>
        <v>30483.744999999952</v>
      </c>
      <c r="BO94" s="6" cm="1">
        <f t="array" ref="BO94">SUM(+BL51:BO51)</f>
        <v>47745.057999999954</v>
      </c>
      <c r="BP94" s="6">
        <f>BM51+BN51+BO51+BP51</f>
        <v>46056.415999999947</v>
      </c>
      <c r="BQ94" s="6">
        <f>BN51+BO51+BP51+BQ51</f>
        <v>30985.382000000001</v>
      </c>
      <c r="BR94" s="6" cm="1">
        <f t="array" ref="BR94">SUM(+BO51:BR51)</f>
        <v>33064.867000000013</v>
      </c>
      <c r="BW94" s="39"/>
      <c r="BX94" s="39"/>
    </row>
    <row r="95" spans="2:76" s="5" customFormat="1" ht="13.5" customHeight="1">
      <c r="B95" s="1" t="s">
        <v>318</v>
      </c>
      <c r="C95" s="6">
        <f t="shared" ref="C95:R95" si="632">+C56</f>
        <v>1369</v>
      </c>
      <c r="D95" s="6">
        <f t="shared" si="632"/>
        <v>1527</v>
      </c>
      <c r="E95" s="6">
        <f t="shared" si="632"/>
        <v>1769</v>
      </c>
      <c r="F95" s="6">
        <f t="shared" si="632"/>
        <v>1954</v>
      </c>
      <c r="G95" s="6">
        <f t="shared" si="632"/>
        <v>2797</v>
      </c>
      <c r="H95" s="6">
        <f t="shared" si="632"/>
        <v>3351</v>
      </c>
      <c r="I95" s="6">
        <f t="shared" si="632"/>
        <v>5073</v>
      </c>
      <c r="J95" s="6">
        <f t="shared" si="632"/>
        <v>6914</v>
      </c>
      <c r="K95" s="6">
        <f t="shared" si="632"/>
        <v>11903</v>
      </c>
      <c r="L95" s="6">
        <f t="shared" si="632"/>
        <v>16358</v>
      </c>
      <c r="M95" s="6">
        <f t="shared" si="632"/>
        <v>20077</v>
      </c>
      <c r="N95" s="6">
        <f t="shared" si="632"/>
        <v>30586</v>
      </c>
      <c r="O95" s="6">
        <f t="shared" si="632"/>
        <v>22927</v>
      </c>
      <c r="P95" s="6">
        <f t="shared" si="632"/>
        <v>30009</v>
      </c>
      <c r="Q95" s="6">
        <f t="shared" si="632"/>
        <v>30685</v>
      </c>
      <c r="R95" s="6">
        <f t="shared" si="632"/>
        <v>33202</v>
      </c>
      <c r="S95" s="6"/>
      <c r="T95" s="71"/>
      <c r="U95" s="71"/>
      <c r="V95" s="71"/>
      <c r="W95" s="6">
        <f t="shared" si="623"/>
        <v>1769</v>
      </c>
      <c r="X95" s="6">
        <f>E56+X56-T56</f>
        <v>1833</v>
      </c>
      <c r="Y95" s="6">
        <f>E56+X56+Y56-T56-U56</f>
        <v>1888</v>
      </c>
      <c r="Z95" s="6">
        <f>E56+X56+Y56+Z56-T56-U56-V56</f>
        <v>1950</v>
      </c>
      <c r="AA95" s="6">
        <f t="shared" si="624"/>
        <v>1954</v>
      </c>
      <c r="AB95" s="6">
        <f>AB56+F56-X56</f>
        <v>1992</v>
      </c>
      <c r="AC95" s="6">
        <f t="shared" ref="AC95:BH95" si="633">Z56+AA56+AB56+AC56</f>
        <v>2075</v>
      </c>
      <c r="AD95" s="6">
        <f t="shared" si="633"/>
        <v>2316</v>
      </c>
      <c r="AE95" s="6">
        <f t="shared" si="633"/>
        <v>2797</v>
      </c>
      <c r="AF95" s="6">
        <f t="shared" si="633"/>
        <v>2953</v>
      </c>
      <c r="AG95" s="6">
        <f t="shared" si="633"/>
        <v>3261</v>
      </c>
      <c r="AH95" s="6">
        <f t="shared" si="633"/>
        <v>3388</v>
      </c>
      <c r="AI95" s="6">
        <f t="shared" si="633"/>
        <v>3351</v>
      </c>
      <c r="AJ95" s="6">
        <f t="shared" si="633"/>
        <v>3543</v>
      </c>
      <c r="AK95" s="6">
        <f t="shared" si="633"/>
        <v>3525</v>
      </c>
      <c r="AL95" s="6">
        <f t="shared" si="633"/>
        <v>4346</v>
      </c>
      <c r="AM95" s="6">
        <f t="shared" si="633"/>
        <v>5073</v>
      </c>
      <c r="AN95" s="6">
        <f t="shared" si="633"/>
        <v>6092</v>
      </c>
      <c r="AO95" s="6">
        <f t="shared" si="633"/>
        <v>6650</v>
      </c>
      <c r="AP95" s="6">
        <f t="shared" si="633"/>
        <v>6697</v>
      </c>
      <c r="AQ95" s="6">
        <f t="shared" si="633"/>
        <v>6914</v>
      </c>
      <c r="AR95" s="6">
        <f t="shared" si="633"/>
        <v>8017</v>
      </c>
      <c r="AS95" s="6">
        <f t="shared" si="633"/>
        <v>9008</v>
      </c>
      <c r="AT95" s="6">
        <f t="shared" si="633"/>
        <v>10158</v>
      </c>
      <c r="AU95" s="6">
        <f t="shared" si="633"/>
        <v>11903</v>
      </c>
      <c r="AV95" s="6">
        <f t="shared" si="633"/>
        <v>12601</v>
      </c>
      <c r="AW95" s="6">
        <f t="shared" si="633"/>
        <v>15230</v>
      </c>
      <c r="AX95" s="6">
        <f t="shared" si="633"/>
        <v>18754</v>
      </c>
      <c r="AY95" s="6">
        <f t="shared" si="633"/>
        <v>20077</v>
      </c>
      <c r="AZ95" s="6">
        <f t="shared" si="633"/>
        <v>22137</v>
      </c>
      <c r="BA95" s="6">
        <f t="shared" si="633"/>
        <v>22568</v>
      </c>
      <c r="BB95" s="6">
        <f t="shared" si="633"/>
        <v>19981</v>
      </c>
      <c r="BC95" s="6">
        <f t="shared" si="633"/>
        <v>22927</v>
      </c>
      <c r="BD95" s="6">
        <f t="shared" si="633"/>
        <v>22961</v>
      </c>
      <c r="BE95" s="6">
        <f t="shared" si="633"/>
        <v>24628</v>
      </c>
      <c r="BF95" s="6">
        <f t="shared" si="633"/>
        <v>29413</v>
      </c>
      <c r="BG95" s="6">
        <f t="shared" si="633"/>
        <v>30685</v>
      </c>
      <c r="BH95" s="6">
        <f t="shared" si="633"/>
        <v>33202</v>
      </c>
      <c r="BJ95" s="6">
        <f>AS56+AT56+AU56+BJ56</f>
        <v>13959</v>
      </c>
      <c r="BK95" s="6">
        <f>AU56+AT56+BJ56+BK56</f>
        <v>20076</v>
      </c>
      <c r="BL95" s="6">
        <f>AU56+BJ56+BK56+BL56</f>
        <v>24194</v>
      </c>
      <c r="BM95" s="6">
        <f>BJ56+BK56+BL56+BM56</f>
        <v>30586</v>
      </c>
      <c r="BN95" s="6">
        <f>SUM(BK56:BN56)</f>
        <v>33536</v>
      </c>
      <c r="BO95" s="6">
        <f>SUM(BL56:BO56)</f>
        <v>31774</v>
      </c>
      <c r="BP95" s="6">
        <f>BM56+BN56+BO56+BP56</f>
        <v>30958</v>
      </c>
      <c r="BQ95" s="6">
        <f>BN56+BO56+BP56+BQ56</f>
        <v>30009</v>
      </c>
      <c r="BR95" s="6">
        <f>SUM(BO56:BR56)</f>
        <v>29581</v>
      </c>
      <c r="BT95" s="1"/>
      <c r="BU95" s="1"/>
      <c r="BW95" s="39"/>
      <c r="BX95" s="39"/>
    </row>
    <row r="96" spans="2:76" s="5" customFormat="1" ht="13.5" customHeight="1">
      <c r="B96" s="1" t="s">
        <v>319</v>
      </c>
      <c r="C96" s="6">
        <f t="shared" ref="C96:R96" si="634">C60</f>
        <v>1396.576</v>
      </c>
      <c r="D96" s="6">
        <f t="shared" si="634"/>
        <v>1546.05</v>
      </c>
      <c r="E96" s="6">
        <f t="shared" si="634"/>
        <v>1791.5070000000001</v>
      </c>
      <c r="F96" s="6">
        <f t="shared" si="634"/>
        <v>1985.5630000000001</v>
      </c>
      <c r="G96" s="6">
        <f t="shared" si="634"/>
        <v>2839</v>
      </c>
      <c r="H96" s="6">
        <f t="shared" si="634"/>
        <v>3351</v>
      </c>
      <c r="I96" s="6">
        <f t="shared" si="634"/>
        <v>5073</v>
      </c>
      <c r="J96" s="6">
        <f t="shared" si="634"/>
        <v>6914</v>
      </c>
      <c r="K96" s="6">
        <f t="shared" si="634"/>
        <v>11903</v>
      </c>
      <c r="L96" s="6">
        <f t="shared" si="634"/>
        <v>16358</v>
      </c>
      <c r="M96" s="6">
        <f t="shared" si="634"/>
        <v>20077</v>
      </c>
      <c r="N96" s="6">
        <f t="shared" si="634"/>
        <v>30586</v>
      </c>
      <c r="O96" s="6">
        <f t="shared" si="634"/>
        <v>22927</v>
      </c>
      <c r="P96" s="6">
        <f t="shared" si="634"/>
        <v>30009</v>
      </c>
      <c r="Q96" s="6">
        <f t="shared" si="634"/>
        <v>30685</v>
      </c>
      <c r="R96" s="6">
        <f t="shared" si="634"/>
        <v>33202</v>
      </c>
      <c r="S96" s="6"/>
      <c r="T96" s="6"/>
      <c r="U96" s="6"/>
      <c r="V96" s="6"/>
      <c r="W96" s="6">
        <f t="shared" si="623"/>
        <v>1791.5070000000001</v>
      </c>
      <c r="X96" s="6">
        <f>E60+X60-T60</f>
        <v>1857.7710000000002</v>
      </c>
      <c r="Y96" s="6">
        <f>E60+X60+Y60-T60-U60</f>
        <v>1915.0350000000003</v>
      </c>
      <c r="Z96" s="6">
        <f>E60+X60+Y60+Z60-T60-U60-V60</f>
        <v>1979.2990000000004</v>
      </c>
      <c r="AA96" s="6">
        <f t="shared" si="624"/>
        <v>1985.5630000000001</v>
      </c>
      <c r="AB96" s="6">
        <f>AB60+F60-X60</f>
        <v>2023.5630000000001</v>
      </c>
      <c r="AC96" s="6">
        <f t="shared" ref="AC96:BH96" si="635">Z60+AA60+AB60+AC60</f>
        <v>2106.5630000000001</v>
      </c>
      <c r="AD96" s="6">
        <f t="shared" si="635"/>
        <v>2347.5630000000001</v>
      </c>
      <c r="AE96" s="6">
        <f t="shared" si="635"/>
        <v>2839</v>
      </c>
      <c r="AF96" s="6">
        <f t="shared" si="635"/>
        <v>2987.10925</v>
      </c>
      <c r="AG96" s="6">
        <f t="shared" si="635"/>
        <v>3287.2184999999999</v>
      </c>
      <c r="AH96" s="6">
        <f t="shared" si="635"/>
        <v>3406.3277499999999</v>
      </c>
      <c r="AI96" s="6">
        <f t="shared" si="635"/>
        <v>3351</v>
      </c>
      <c r="AJ96" s="6">
        <f t="shared" si="635"/>
        <v>3543</v>
      </c>
      <c r="AK96" s="6">
        <f t="shared" si="635"/>
        <v>3525</v>
      </c>
      <c r="AL96" s="6">
        <f t="shared" si="635"/>
        <v>4346</v>
      </c>
      <c r="AM96" s="6">
        <f t="shared" si="635"/>
        <v>5073</v>
      </c>
      <c r="AN96" s="6">
        <f t="shared" si="635"/>
        <v>6092</v>
      </c>
      <c r="AO96" s="6">
        <f t="shared" si="635"/>
        <v>6650</v>
      </c>
      <c r="AP96" s="6">
        <f t="shared" si="635"/>
        <v>6697</v>
      </c>
      <c r="AQ96" s="6">
        <f t="shared" si="635"/>
        <v>6914</v>
      </c>
      <c r="AR96" s="6">
        <f t="shared" si="635"/>
        <v>8017</v>
      </c>
      <c r="AS96" s="6">
        <f t="shared" si="635"/>
        <v>9008</v>
      </c>
      <c r="AT96" s="6">
        <f t="shared" si="635"/>
        <v>10158</v>
      </c>
      <c r="AU96" s="6">
        <f t="shared" si="635"/>
        <v>11903</v>
      </c>
      <c r="AV96" s="6">
        <f t="shared" si="635"/>
        <v>12601</v>
      </c>
      <c r="AW96" s="6">
        <f t="shared" si="635"/>
        <v>15230</v>
      </c>
      <c r="AX96" s="6">
        <f t="shared" si="635"/>
        <v>18754</v>
      </c>
      <c r="AY96" s="6">
        <f t="shared" si="635"/>
        <v>20077</v>
      </c>
      <c r="AZ96" s="6">
        <f t="shared" si="635"/>
        <v>22137</v>
      </c>
      <c r="BA96" s="6">
        <f t="shared" si="635"/>
        <v>22568</v>
      </c>
      <c r="BB96" s="6">
        <f t="shared" si="635"/>
        <v>19981</v>
      </c>
      <c r="BC96" s="6">
        <f t="shared" si="635"/>
        <v>22927</v>
      </c>
      <c r="BD96" s="6">
        <f t="shared" si="635"/>
        <v>22961</v>
      </c>
      <c r="BE96" s="6">
        <f t="shared" si="635"/>
        <v>24628</v>
      </c>
      <c r="BF96" s="6">
        <f t="shared" si="635"/>
        <v>29413</v>
      </c>
      <c r="BG96" s="6">
        <f t="shared" si="635"/>
        <v>30685</v>
      </c>
      <c r="BH96" s="6">
        <f t="shared" si="635"/>
        <v>33202</v>
      </c>
      <c r="BJ96" s="6">
        <f>AS60+AT60+AU60+BJ60</f>
        <v>13959</v>
      </c>
      <c r="BK96" s="6">
        <f>AU60+AT60+BJ60+BK60</f>
        <v>20076</v>
      </c>
      <c r="BL96" s="6">
        <f>AU60+BJ60+BK60+BL60</f>
        <v>24194</v>
      </c>
      <c r="BM96" s="6">
        <f>BJ60+BK60+BL60+BM60</f>
        <v>30586</v>
      </c>
      <c r="BN96" s="6">
        <f>SUM(BK60:BN60)</f>
        <v>33536</v>
      </c>
      <c r="BO96" s="6">
        <f>SUM(BL60:BO60)</f>
        <v>31774</v>
      </c>
      <c r="BP96" s="6">
        <f>BM60+BN60+BO60+BP60</f>
        <v>30958</v>
      </c>
      <c r="BQ96" s="6">
        <f>BN60+BO60+BP60+BQ60</f>
        <v>30009</v>
      </c>
      <c r="BR96" s="6">
        <f>SUM(BO60:BR60)</f>
        <v>29581</v>
      </c>
      <c r="BT96" s="1"/>
      <c r="BU96" s="1"/>
      <c r="BW96" s="39"/>
      <c r="BX96" s="39"/>
    </row>
    <row r="97" spans="2:76" s="5" customFormat="1" ht="13.5" customHeight="1">
      <c r="B97" s="310" t="s">
        <v>320</v>
      </c>
      <c r="C97" s="308">
        <f>C59</f>
        <v>27.576000000000001</v>
      </c>
      <c r="D97" s="308">
        <f>D59</f>
        <v>19.05</v>
      </c>
      <c r="E97" s="308">
        <f>E59</f>
        <v>22.507000000000001</v>
      </c>
      <c r="F97" s="308">
        <f>F59</f>
        <v>31.562999999999999</v>
      </c>
      <c r="G97" s="308">
        <f>G59</f>
        <v>42</v>
      </c>
      <c r="H97" s="308"/>
      <c r="I97" s="308"/>
      <c r="J97" s="308"/>
      <c r="K97" s="308"/>
      <c r="L97" s="308"/>
      <c r="M97" s="308"/>
      <c r="N97" s="308"/>
      <c r="O97" s="308"/>
      <c r="P97" s="308"/>
      <c r="Q97" s="308"/>
      <c r="R97" s="308"/>
      <c r="S97" s="6"/>
      <c r="T97" s="308"/>
      <c r="U97" s="308"/>
      <c r="V97" s="308"/>
      <c r="W97" s="308">
        <f t="shared" si="623"/>
        <v>22.507000000000001</v>
      </c>
      <c r="X97" s="308">
        <f>E59+X59-T59</f>
        <v>24.771000000000001</v>
      </c>
      <c r="Y97" s="308">
        <f>E59+X59+Y59-T59-U59</f>
        <v>27.034999999999997</v>
      </c>
      <c r="Z97" s="308">
        <f>E59+X59+Y59+Z59-T59-U59-V59</f>
        <v>29.298999999999992</v>
      </c>
      <c r="AA97" s="308">
        <f t="shared" si="624"/>
        <v>31.562999999999999</v>
      </c>
      <c r="AB97" s="308">
        <f>AB59+F59-X59</f>
        <v>31.562999999999999</v>
      </c>
      <c r="AC97" s="308">
        <f>Z59+AA59+AB59+AC59</f>
        <v>31.563000000000002</v>
      </c>
      <c r="AD97" s="308">
        <f>AA59+AB59+AC59+AD59</f>
        <v>31.563000000000002</v>
      </c>
      <c r="AE97" s="308">
        <f>AB59+AC59+AD59+AE59</f>
        <v>42</v>
      </c>
      <c r="AF97" s="308"/>
      <c r="AG97" s="308"/>
      <c r="AH97" s="308"/>
      <c r="AI97" s="308"/>
      <c r="AJ97" s="308"/>
      <c r="AK97" s="308"/>
      <c r="AL97" s="308"/>
      <c r="AM97" s="308"/>
      <c r="AN97" s="308"/>
      <c r="AO97" s="308"/>
      <c r="AP97" s="308"/>
      <c r="AQ97" s="308"/>
      <c r="AR97" s="308"/>
      <c r="AS97" s="308"/>
      <c r="AT97" s="308"/>
      <c r="AU97" s="308"/>
      <c r="AV97" s="308"/>
      <c r="AW97" s="308"/>
      <c r="AX97" s="308"/>
      <c r="AY97" s="308"/>
      <c r="AZ97" s="308"/>
      <c r="BA97" s="308"/>
      <c r="BB97" s="308"/>
      <c r="BC97" s="308"/>
      <c r="BD97" s="308"/>
      <c r="BE97" s="308"/>
      <c r="BF97" s="308"/>
      <c r="BG97" s="308"/>
      <c r="BH97" s="308"/>
      <c r="BJ97" s="308"/>
      <c r="BK97" s="308"/>
      <c r="BL97" s="308"/>
      <c r="BM97" s="308"/>
      <c r="BN97" s="308"/>
      <c r="BO97" s="308"/>
      <c r="BP97" s="308"/>
      <c r="BQ97" s="308"/>
      <c r="BR97" s="308"/>
      <c r="BT97" s="1"/>
      <c r="BU97" s="1"/>
      <c r="BW97" s="39"/>
      <c r="BX97" s="39"/>
    </row>
    <row r="98" spans="2:76" ht="13.5" customHeight="1">
      <c r="B98" s="1" t="s">
        <v>296</v>
      </c>
      <c r="C98" s="6">
        <f t="shared" ref="C98:R98" si="636">-C67</f>
        <v>305.83300000000003</v>
      </c>
      <c r="D98" s="6">
        <f t="shared" si="636"/>
        <v>385.78699999999998</v>
      </c>
      <c r="E98" s="6">
        <f t="shared" si="636"/>
        <v>441.73399999999998</v>
      </c>
      <c r="F98" s="6">
        <f t="shared" si="636"/>
        <v>511.16800000000001</v>
      </c>
      <c r="G98" s="6">
        <f t="shared" si="636"/>
        <v>832.947</v>
      </c>
      <c r="H98" s="6">
        <f t="shared" si="636"/>
        <v>1434.6420000000001</v>
      </c>
      <c r="I98" s="6">
        <f t="shared" si="636"/>
        <v>1399.6659999999999</v>
      </c>
      <c r="J98" s="6">
        <f t="shared" si="636"/>
        <v>1493.546</v>
      </c>
      <c r="K98" s="6">
        <f t="shared" si="636"/>
        <v>2956.4180000000001</v>
      </c>
      <c r="L98" s="6">
        <f t="shared" si="636"/>
        <v>6927.3450000000003</v>
      </c>
      <c r="M98" s="6">
        <f t="shared" si="636"/>
        <v>8307.8889999999992</v>
      </c>
      <c r="N98" s="6">
        <f t="shared" si="636"/>
        <v>11640.263000000001</v>
      </c>
      <c r="O98" s="6">
        <f t="shared" si="636"/>
        <v>15170.927</v>
      </c>
      <c r="P98" s="6">
        <f t="shared" si="636"/>
        <v>19857.579000000002</v>
      </c>
      <c r="Q98" s="6">
        <f t="shared" si="636"/>
        <v>24865.884999999998</v>
      </c>
      <c r="R98" s="6">
        <f t="shared" si="636"/>
        <v>26871.865999999995</v>
      </c>
      <c r="S98" s="6"/>
      <c r="T98" s="33"/>
      <c r="U98" s="33"/>
      <c r="V98" s="33"/>
      <c r="W98" s="6">
        <f t="shared" si="623"/>
        <v>441.73399999999998</v>
      </c>
      <c r="X98" s="6">
        <f>-(E67+X67-T67)</f>
        <v>421.11699999999996</v>
      </c>
      <c r="Y98" s="6">
        <f>-(E67+X67+Y67-T67-U67)</f>
        <v>431.351</v>
      </c>
      <c r="Z98" s="6">
        <f>-(E67+X67+Y67+Z67-T67-U67-V67)</f>
        <v>484.23099999999999</v>
      </c>
      <c r="AA98" s="6">
        <f t="shared" si="624"/>
        <v>511.16800000000001</v>
      </c>
      <c r="AB98" s="6">
        <f>-(AB67+F67-X67)</f>
        <v>583.03099999999995</v>
      </c>
      <c r="AC98" s="6">
        <f t="shared" ref="AC98:BH98" si="637">-(Z67+AA67+AB67+AC67)</f>
        <v>658.42200000000003</v>
      </c>
      <c r="AD98" s="6">
        <f t="shared" si="637"/>
        <v>735.43799999999999</v>
      </c>
      <c r="AE98" s="6">
        <f t="shared" si="637"/>
        <v>832.947</v>
      </c>
      <c r="AF98" s="6">
        <f t="shared" si="637"/>
        <v>952.96400000000006</v>
      </c>
      <c r="AG98" s="6">
        <f t="shared" si="637"/>
        <v>418.34500000000003</v>
      </c>
      <c r="AH98" s="6">
        <f t="shared" si="637"/>
        <v>1249.4280000000003</v>
      </c>
      <c r="AI98" s="6">
        <f t="shared" si="637"/>
        <v>1434.6420000000003</v>
      </c>
      <c r="AJ98" s="6">
        <f t="shared" si="637"/>
        <v>1550.029</v>
      </c>
      <c r="AK98" s="6">
        <f t="shared" si="637"/>
        <v>2289.0239999999999</v>
      </c>
      <c r="AL98" s="6">
        <f t="shared" si="637"/>
        <v>299.22199999999998</v>
      </c>
      <c r="AM98" s="6">
        <f t="shared" si="637"/>
        <v>1399.6659999999997</v>
      </c>
      <c r="AN98" s="6">
        <f t="shared" si="637"/>
        <v>1237.3839999999998</v>
      </c>
      <c r="AO98" s="6">
        <f t="shared" si="637"/>
        <v>1202.5789999999997</v>
      </c>
      <c r="AP98" s="6">
        <f t="shared" si="637"/>
        <v>2512.8799999999997</v>
      </c>
      <c r="AQ98" s="6">
        <f t="shared" si="637"/>
        <v>1493.546</v>
      </c>
      <c r="AR98" s="6">
        <f t="shared" si="637"/>
        <v>1567.4430000000002</v>
      </c>
      <c r="AS98" s="6">
        <f t="shared" si="637"/>
        <v>2227.5309999999999</v>
      </c>
      <c r="AT98" s="6">
        <f t="shared" si="637"/>
        <v>2514.953</v>
      </c>
      <c r="AU98" s="6">
        <f t="shared" si="637"/>
        <v>2956.4180000000001</v>
      </c>
      <c r="AV98" s="6">
        <f t="shared" si="637"/>
        <v>3945.491</v>
      </c>
      <c r="AW98" s="6">
        <f t="shared" si="637"/>
        <v>4196.6470000000008</v>
      </c>
      <c r="AX98" s="6">
        <f t="shared" si="637"/>
        <v>5587.8249999999998</v>
      </c>
      <c r="AY98" s="6">
        <f t="shared" si="637"/>
        <v>8307.8889999999992</v>
      </c>
      <c r="AZ98" s="6">
        <f t="shared" si="637"/>
        <v>9841.7959999999985</v>
      </c>
      <c r="BA98" s="6">
        <f t="shared" si="637"/>
        <v>10624.798999999997</v>
      </c>
      <c r="BB98" s="6">
        <f t="shared" si="637"/>
        <v>13788.576999999997</v>
      </c>
      <c r="BC98" s="6">
        <f t="shared" si="637"/>
        <v>15170.927</v>
      </c>
      <c r="BD98" s="6">
        <f t="shared" si="637"/>
        <v>17497.548999999999</v>
      </c>
      <c r="BE98" s="6">
        <f t="shared" si="637"/>
        <v>20086.065000000002</v>
      </c>
      <c r="BF98" s="6">
        <f t="shared" si="637"/>
        <v>23432.347000000002</v>
      </c>
      <c r="BG98" s="6">
        <f t="shared" si="637"/>
        <v>24865.884999999995</v>
      </c>
      <c r="BH98" s="6">
        <f t="shared" si="637"/>
        <v>26871.865999999995</v>
      </c>
      <c r="BI98" s="5"/>
      <c r="BJ98" s="6">
        <f>-(AS67+AT67+AU67+BJ67)</f>
        <v>5187.5609999999997</v>
      </c>
      <c r="BK98" s="6">
        <f>-(AU67+AT67+BJ67+BK67)</f>
        <v>6152.8899999999994</v>
      </c>
      <c r="BL98" s="6">
        <f>-(AU67+BJ67+BK67+BL67)</f>
        <v>10196.984</v>
      </c>
      <c r="BM98" s="6">
        <f>-(BJ67+BK67+BL67+BM67)</f>
        <v>11640.263000000001</v>
      </c>
      <c r="BN98" s="6">
        <f>-(SUM(BK67:BN67))</f>
        <v>12998.916999999999</v>
      </c>
      <c r="BO98" s="6">
        <f>-(SUM(BL67:BO67))</f>
        <v>13710.923999999999</v>
      </c>
      <c r="BP98" s="6">
        <f>-(BM67+BN67+BO67+BP67)</f>
        <v>15878.584999999999</v>
      </c>
      <c r="BQ98" s="6">
        <f>-(BN67+BO67+BP67+BQ67)</f>
        <v>19857.579000000002</v>
      </c>
      <c r="BR98" s="6">
        <f>-(SUM(BO67:BR67))</f>
        <v>22699.668000000001</v>
      </c>
      <c r="BW98" s="39"/>
      <c r="BX98" s="39"/>
    </row>
    <row r="99" spans="2:76" ht="13.5" customHeight="1">
      <c r="B99" s="1" t="s">
        <v>321</v>
      </c>
      <c r="C99" s="6">
        <f t="shared" ref="C99:R99" si="638">+C29</f>
        <v>637.97800000000075</v>
      </c>
      <c r="D99" s="6">
        <f t="shared" si="638"/>
        <v>892.99299999999971</v>
      </c>
      <c r="E99" s="6">
        <f t="shared" si="638"/>
        <v>1304.150000000001</v>
      </c>
      <c r="F99" s="6">
        <f t="shared" si="638"/>
        <v>845.30300000000022</v>
      </c>
      <c r="G99" s="6">
        <f t="shared" si="638"/>
        <v>855.84099999999899</v>
      </c>
      <c r="H99" s="6">
        <f t="shared" si="638"/>
        <v>953.02599999999984</v>
      </c>
      <c r="I99" s="6">
        <f t="shared" si="638"/>
        <v>2878.989</v>
      </c>
      <c r="J99" s="6">
        <f t="shared" si="638"/>
        <v>3251.0090000000096</v>
      </c>
      <c r="K99" s="6">
        <f t="shared" si="638"/>
        <v>4723.0570000000071</v>
      </c>
      <c r="L99" s="6">
        <f t="shared" si="638"/>
        <v>7008.1720000000078</v>
      </c>
      <c r="M99" s="6">
        <f t="shared" si="638"/>
        <v>8395.4099999999871</v>
      </c>
      <c r="N99" s="6">
        <f t="shared" si="638"/>
        <v>20556.666999999958</v>
      </c>
      <c r="O99" s="6">
        <f t="shared" si="638"/>
        <v>-2207.2879999999823</v>
      </c>
      <c r="P99" s="6">
        <f t="shared" si="638"/>
        <v>-2889.1709999999739</v>
      </c>
      <c r="Q99" s="6">
        <f t="shared" si="638"/>
        <v>-9799.3130000000292</v>
      </c>
      <c r="R99" s="6">
        <f t="shared" si="638"/>
        <v>-10062.078000000034</v>
      </c>
      <c r="S99" s="6"/>
      <c r="T99" s="33"/>
      <c r="U99" s="33"/>
      <c r="V99" s="33"/>
      <c r="W99" s="6">
        <f t="shared" si="623"/>
        <v>1304.150000000001</v>
      </c>
      <c r="X99" s="6">
        <f>E29+X29-T29</f>
        <v>1388.284000000001</v>
      </c>
      <c r="Y99" s="6">
        <f>E29+X29+Y29-T29-U29</f>
        <v>992.17600000000107</v>
      </c>
      <c r="Z99" s="6">
        <f>E29+X29+Y29+Z29-T29-U29-V29</f>
        <v>985.58800000000065</v>
      </c>
      <c r="AA99" s="6">
        <f t="shared" si="624"/>
        <v>845.30300000000022</v>
      </c>
      <c r="AB99" s="6">
        <f>AB29+F29-X29</f>
        <v>782.15100000000029</v>
      </c>
      <c r="AC99" s="6">
        <f t="shared" ref="AC99:BH99" si="639">Z29+AA29+AB29+AC29</f>
        <v>669.79400000000237</v>
      </c>
      <c r="AD99" s="6">
        <f t="shared" si="639"/>
        <v>665.01200000000358</v>
      </c>
      <c r="AE99" s="6">
        <f t="shared" si="639"/>
        <v>855.84099999999785</v>
      </c>
      <c r="AF99" s="6">
        <f t="shared" si="639"/>
        <v>904.34799999999768</v>
      </c>
      <c r="AG99" s="6">
        <f t="shared" si="639"/>
        <v>991.7529999999972</v>
      </c>
      <c r="AH99" s="6">
        <f t="shared" si="639"/>
        <v>992.02799999999638</v>
      </c>
      <c r="AI99" s="6">
        <f t="shared" si="639"/>
        <v>953.02600000000223</v>
      </c>
      <c r="AJ99" s="6">
        <f t="shared" si="639"/>
        <v>986.37700000000223</v>
      </c>
      <c r="AK99" s="6">
        <f t="shared" si="639"/>
        <v>1162.9450000000018</v>
      </c>
      <c r="AL99" s="6">
        <f t="shared" si="639"/>
        <v>1951.1200000000019</v>
      </c>
      <c r="AM99" s="6">
        <f t="shared" si="639"/>
        <v>2878.9890000000023</v>
      </c>
      <c r="AN99" s="6">
        <f t="shared" si="639"/>
        <v>3719.7360000000026</v>
      </c>
      <c r="AO99" s="6">
        <f t="shared" si="639"/>
        <v>3852.3280000000041</v>
      </c>
      <c r="AP99" s="6">
        <f t="shared" si="639"/>
        <v>3527.939000000003</v>
      </c>
      <c r="AQ99" s="6">
        <f t="shared" si="639"/>
        <v>3251.0090000000118</v>
      </c>
      <c r="AR99" s="6">
        <f t="shared" si="639"/>
        <v>3375.1790000000137</v>
      </c>
      <c r="AS99" s="6">
        <f t="shared" si="639"/>
        <v>3174.0730000000135</v>
      </c>
      <c r="AT99" s="6">
        <f t="shared" si="639"/>
        <v>2952.1540000000118</v>
      </c>
      <c r="AU99" s="6">
        <f t="shared" si="639"/>
        <v>4723.0570000000134</v>
      </c>
      <c r="AV99" s="6">
        <f t="shared" si="639"/>
        <v>4657.3010000000131</v>
      </c>
      <c r="AW99" s="6">
        <f t="shared" si="639"/>
        <v>5000.3750000000118</v>
      </c>
      <c r="AX99" s="6">
        <f t="shared" si="639"/>
        <v>5651.8680000000131</v>
      </c>
      <c r="AY99" s="6">
        <f t="shared" si="639"/>
        <v>8395.4100000000089</v>
      </c>
      <c r="AZ99" s="6">
        <f t="shared" si="639"/>
        <v>7775.2260000000006</v>
      </c>
      <c r="BA99" s="6">
        <f t="shared" si="639"/>
        <v>6286.8610000000008</v>
      </c>
      <c r="BB99" s="6">
        <f t="shared" si="639"/>
        <v>-467.45799999999781</v>
      </c>
      <c r="BC99" s="6">
        <f t="shared" si="639"/>
        <v>-2207.2879999999836</v>
      </c>
      <c r="BD99" s="6">
        <f t="shared" si="639"/>
        <v>-4697.288999999977</v>
      </c>
      <c r="BE99" s="6">
        <f t="shared" si="639"/>
        <v>-6846.3099999999813</v>
      </c>
      <c r="BF99" s="6">
        <f t="shared" si="639"/>
        <v>-3576.8229999999799</v>
      </c>
      <c r="BG99" s="6">
        <f t="shared" si="639"/>
        <v>-9799.3129999999746</v>
      </c>
      <c r="BH99" s="6">
        <f t="shared" si="639"/>
        <v>-10062.077999999987</v>
      </c>
      <c r="BJ99" s="6">
        <f>AS29+AT29+AU29+BJ29</f>
        <v>4933.6740000000154</v>
      </c>
      <c r="BK99" s="6">
        <f>AU29+AT29+BJ29+BK29</f>
        <v>6535.2100000000119</v>
      </c>
      <c r="BL99" s="6">
        <f>AU29+BJ29+BK29+BL29</f>
        <v>7513.7520000000222</v>
      </c>
      <c r="BM99" s="6">
        <f>BJ29+BK29+BL29+BM29</f>
        <v>20556.666999999961</v>
      </c>
      <c r="BN99" s="6">
        <f>SUM(BK29:BN29)</f>
        <v>21744.884999999962</v>
      </c>
      <c r="BO99" s="6">
        <f>SUM(BL29:BO29)</f>
        <v>39603.522999999965</v>
      </c>
      <c r="BP99" s="6">
        <f>BM29+BN29+BO29+BP29</f>
        <v>31730.166999999961</v>
      </c>
      <c r="BQ99" s="6">
        <f>BN29+BO29+BP29+BQ29</f>
        <v>-2889.1709999999948</v>
      </c>
      <c r="BR99" s="6">
        <f>SUM(BO29:BR29)</f>
        <v>-8066.3099999999822</v>
      </c>
      <c r="BW99" s="39"/>
      <c r="BX99" s="39"/>
    </row>
    <row r="100" spans="2:76" ht="13.5" customHeight="1">
      <c r="B100" s="1" t="s">
        <v>322</v>
      </c>
      <c r="C100" s="6">
        <f t="shared" ref="C100:R100" si="640">-C69</f>
        <v>453.16700000000003</v>
      </c>
      <c r="D100" s="6">
        <f t="shared" si="640"/>
        <v>640.49199999999996</v>
      </c>
      <c r="E100" s="6">
        <f t="shared" si="640"/>
        <v>830.96500000000003</v>
      </c>
      <c r="F100" s="6">
        <f t="shared" si="640"/>
        <v>987.21699999999998</v>
      </c>
      <c r="G100" s="6">
        <f t="shared" si="640"/>
        <v>1797.3050000000001</v>
      </c>
      <c r="H100" s="6">
        <f t="shared" si="640"/>
        <v>1379.604</v>
      </c>
      <c r="I100" s="6">
        <f t="shared" si="640"/>
        <v>1735.316</v>
      </c>
      <c r="J100" s="6">
        <f t="shared" si="640"/>
        <v>2515.3440000000001</v>
      </c>
      <c r="K100" s="6">
        <f t="shared" si="640"/>
        <v>5907.7870000000003</v>
      </c>
      <c r="L100" s="6">
        <f t="shared" si="640"/>
        <v>10672.132</v>
      </c>
      <c r="M100" s="6">
        <f t="shared" si="640"/>
        <v>13791.159</v>
      </c>
      <c r="N100" s="6">
        <f t="shared" si="640"/>
        <v>18533.286</v>
      </c>
      <c r="O100" s="6">
        <f t="shared" si="640"/>
        <v>23796.042000000001</v>
      </c>
      <c r="P100" s="6">
        <f t="shared" si="640"/>
        <v>30263.689000000002</v>
      </c>
      <c r="Q100" s="6">
        <f t="shared" si="640"/>
        <v>17907.162</v>
      </c>
      <c r="R100" s="6">
        <f t="shared" si="640"/>
        <v>17412.932000000001</v>
      </c>
      <c r="S100" s="6"/>
      <c r="T100" s="33"/>
      <c r="U100" s="33"/>
      <c r="V100" s="33"/>
      <c r="W100" s="6">
        <f t="shared" si="623"/>
        <v>830.96500000000003</v>
      </c>
      <c r="X100" s="6">
        <f>-(E69+X69-T69)</f>
        <v>816.74900000000002</v>
      </c>
      <c r="Y100" s="6">
        <f>-(E69+X69+Y69-T69-U69)</f>
        <v>885.18899999999996</v>
      </c>
      <c r="Z100" s="6">
        <f>-(E69+X69+Y69+Z69-T69-U69-V69)</f>
        <v>973.06500000000005</v>
      </c>
      <c r="AA100" s="6">
        <f t="shared" si="624"/>
        <v>987.21699999999998</v>
      </c>
      <c r="AB100" s="6">
        <f>-(AB69+F69-X69)</f>
        <v>1090.751</v>
      </c>
      <c r="AC100" s="6">
        <f t="shared" ref="AC100:BH100" si="641">-(Z69+AA69+AB69+AC69)</f>
        <v>1327.2360000000001</v>
      </c>
      <c r="AD100" s="6">
        <f t="shared" si="641"/>
        <v>1601.0360000000001</v>
      </c>
      <c r="AE100" s="6">
        <f t="shared" si="641"/>
        <v>1797.3050000000001</v>
      </c>
      <c r="AF100" s="6">
        <f t="shared" si="641"/>
        <v>1889.6770000000001</v>
      </c>
      <c r="AG100" s="6">
        <f t="shared" si="641"/>
        <v>1520.0710000000001</v>
      </c>
      <c r="AH100" s="6">
        <f t="shared" si="641"/>
        <v>1501.2950000000001</v>
      </c>
      <c r="AI100" s="6">
        <f t="shared" si="641"/>
        <v>1379.604</v>
      </c>
      <c r="AJ100" s="6">
        <f t="shared" si="641"/>
        <v>1357.491</v>
      </c>
      <c r="AK100" s="6">
        <f t="shared" si="641"/>
        <v>389.25199999999995</v>
      </c>
      <c r="AL100" s="6">
        <f t="shared" si="641"/>
        <v>480.84699999999998</v>
      </c>
      <c r="AM100" s="6">
        <f t="shared" si="641"/>
        <v>1735.3159999999998</v>
      </c>
      <c r="AN100" s="6">
        <f t="shared" si="641"/>
        <v>1828.1329999999998</v>
      </c>
      <c r="AO100" s="6">
        <f t="shared" si="641"/>
        <v>3228.33</v>
      </c>
      <c r="AP100" s="6">
        <f t="shared" si="641"/>
        <v>3274.1779999999999</v>
      </c>
      <c r="AQ100" s="6">
        <f t="shared" si="641"/>
        <v>2515.3440000000001</v>
      </c>
      <c r="AR100" s="6">
        <f t="shared" si="641"/>
        <v>2942.3459999999995</v>
      </c>
      <c r="AS100" s="6">
        <f t="shared" si="641"/>
        <v>3595.8239999999996</v>
      </c>
      <c r="AT100" s="6">
        <f t="shared" si="641"/>
        <v>4766.5630000000001</v>
      </c>
      <c r="AU100" s="6">
        <f t="shared" si="641"/>
        <v>5907.7870000000003</v>
      </c>
      <c r="AV100" s="6">
        <f t="shared" si="641"/>
        <v>6695.7950000000001</v>
      </c>
      <c r="AW100" s="6">
        <f t="shared" si="641"/>
        <v>7837.6770000000015</v>
      </c>
      <c r="AX100" s="6">
        <f t="shared" si="641"/>
        <v>8467.5349999999999</v>
      </c>
      <c r="AY100" s="6">
        <f t="shared" si="641"/>
        <v>13791.159</v>
      </c>
      <c r="AZ100" s="6">
        <f t="shared" si="641"/>
        <v>15126.993999999999</v>
      </c>
      <c r="BA100" s="6">
        <f t="shared" si="641"/>
        <v>18063.829999999998</v>
      </c>
      <c r="BB100" s="6">
        <f t="shared" si="641"/>
        <v>21587.415000000001</v>
      </c>
      <c r="BC100" s="6">
        <f t="shared" si="641"/>
        <v>23796.042000000001</v>
      </c>
      <c r="BD100" s="6">
        <f t="shared" si="641"/>
        <v>24140.775000000001</v>
      </c>
      <c r="BE100" s="6">
        <f t="shared" si="641"/>
        <v>22750.989000000001</v>
      </c>
      <c r="BF100" s="6">
        <f t="shared" si="641"/>
        <v>20215.18</v>
      </c>
      <c r="BG100" s="6">
        <f t="shared" si="641"/>
        <v>17907.162</v>
      </c>
      <c r="BH100" s="6">
        <f t="shared" si="641"/>
        <v>17412.932000000001</v>
      </c>
      <c r="BJ100" s="6">
        <f>-(AS69+AT69+AU69+BJ69)</f>
        <v>7699.344000000001</v>
      </c>
      <c r="BK100" s="6">
        <f>-(AU69+AT69+BJ69+BK69)</f>
        <v>9439.0720000000001</v>
      </c>
      <c r="BL100" s="6">
        <f>-(AU69+BJ69+BK69+BL69)</f>
        <v>12299.924999999999</v>
      </c>
      <c r="BM100" s="6">
        <f>-(BJ69+BK69+BL69+BM69)</f>
        <v>18533.286</v>
      </c>
      <c r="BN100" s="6">
        <f>-(SUM(BK69:BN69))</f>
        <v>19988.391</v>
      </c>
      <c r="BO100" s="6">
        <f>-(SUM(BL69:BO69))</f>
        <v>24075.752</v>
      </c>
      <c r="BP100" s="6">
        <f>-(BM69+BN69+BO69+BP69)</f>
        <v>26841.118000000002</v>
      </c>
      <c r="BQ100" s="6">
        <f>-(BN69+BO69+BP69+BQ69)</f>
        <v>30263.689000000002</v>
      </c>
      <c r="BR100" s="6">
        <f>-(SUM(BO69:BR69))</f>
        <v>30448.739000000001</v>
      </c>
      <c r="BW100" s="39"/>
      <c r="BX100" s="39"/>
    </row>
    <row r="101" spans="2:76" ht="13.5" customHeight="1">
      <c r="B101" s="1" t="s">
        <v>301</v>
      </c>
      <c r="C101" s="6">
        <f t="shared" ref="C101:M101" si="642">+C72</f>
        <v>228.64400000000018</v>
      </c>
      <c r="D101" s="6">
        <f t="shared" si="642"/>
        <v>493.14899999999983</v>
      </c>
      <c r="E101" s="6">
        <f t="shared" si="642"/>
        <v>-344.90599999999995</v>
      </c>
      <c r="F101" s="6">
        <f t="shared" si="642"/>
        <v>-1575.9269999999997</v>
      </c>
      <c r="G101" s="6">
        <f t="shared" si="642"/>
        <v>-1698.4030000000002</v>
      </c>
      <c r="H101" s="6">
        <f t="shared" si="642"/>
        <v>-866.04800000000012</v>
      </c>
      <c r="I101" s="6">
        <f t="shared" si="642"/>
        <v>1577.164</v>
      </c>
      <c r="J101" s="6">
        <f t="shared" si="642"/>
        <v>-12828.089000000002</v>
      </c>
      <c r="K101" s="6">
        <f t="shared" si="642"/>
        <v>-9407.8259999999991</v>
      </c>
      <c r="L101" s="6">
        <f t="shared" si="642"/>
        <v>3336.0409999999965</v>
      </c>
      <c r="M101" s="6">
        <f t="shared" si="642"/>
        <v>-10013.315999999999</v>
      </c>
      <c r="N101" s="6">
        <f t="shared" ref="N101" si="643">+N72</f>
        <v>-12313.410000000003</v>
      </c>
      <c r="O101" s="6">
        <f t="shared" ref="O101:P101" si="644">+O72</f>
        <v>1218.7280000000014</v>
      </c>
      <c r="P101" s="6">
        <f t="shared" si="644"/>
        <v>1594.5430000000088</v>
      </c>
      <c r="Q101" s="6">
        <f t="shared" ref="Q101" si="645">+Q72</f>
        <v>-20748.070999999996</v>
      </c>
      <c r="R101" s="6">
        <f t="shared" ref="R101" si="646">+R72</f>
        <v>-25938.569</v>
      </c>
      <c r="S101" s="6"/>
      <c r="T101" s="33"/>
      <c r="U101" s="33"/>
      <c r="V101" s="33"/>
      <c r="W101" s="6">
        <f t="shared" si="623"/>
        <v>-344.90599999999995</v>
      </c>
      <c r="X101" s="6">
        <f>(E72+X72-T72)</f>
        <v>-1270.528</v>
      </c>
      <c r="Y101" s="6">
        <f>(E72+X72+Y72-T72-U72)</f>
        <v>-1924.9720000000002</v>
      </c>
      <c r="Z101" s="6">
        <f>(E72+X72+Y72+Z72-T72-U72-V72)</f>
        <v>-2380.5529999999994</v>
      </c>
      <c r="AA101" s="6">
        <f t="shared" si="624"/>
        <v>-1575.9269999999997</v>
      </c>
      <c r="AB101" s="6">
        <f>AB72+F72-X72</f>
        <v>-1292.5879999999997</v>
      </c>
      <c r="AC101" s="6">
        <f t="shared" ref="AC101:AY101" si="647">Z72+AA72+AB72+AC72</f>
        <v>-1652.7319999999997</v>
      </c>
      <c r="AD101" s="6">
        <f t="shared" si="647"/>
        <v>-2779.6820000000007</v>
      </c>
      <c r="AE101" s="6">
        <f t="shared" si="647"/>
        <v>-1698.403</v>
      </c>
      <c r="AF101" s="6">
        <f t="shared" si="647"/>
        <v>-1570.0749999999998</v>
      </c>
      <c r="AG101" s="6">
        <f t="shared" si="647"/>
        <v>-0.94299999999941519</v>
      </c>
      <c r="AH101" s="6">
        <f t="shared" si="647"/>
        <v>76.141999999999825</v>
      </c>
      <c r="AI101" s="6">
        <f t="shared" si="647"/>
        <v>-866.048</v>
      </c>
      <c r="AJ101" s="6">
        <f t="shared" si="647"/>
        <v>-424.13799999999992</v>
      </c>
      <c r="AK101" s="6">
        <f t="shared" si="647"/>
        <v>1518.1459999999995</v>
      </c>
      <c r="AL101" s="6">
        <f t="shared" si="647"/>
        <v>4167.8030000000008</v>
      </c>
      <c r="AM101" s="6">
        <f t="shared" si="647"/>
        <v>1577.1639999999998</v>
      </c>
      <c r="AN101" s="6">
        <f t="shared" si="647"/>
        <v>-1595.1599999999999</v>
      </c>
      <c r="AO101" s="6">
        <f t="shared" si="647"/>
        <v>-9498.7489999999998</v>
      </c>
      <c r="AP101" s="6">
        <f t="shared" si="647"/>
        <v>-10322.914000000001</v>
      </c>
      <c r="AQ101" s="6">
        <f t="shared" si="647"/>
        <v>-12828.089</v>
      </c>
      <c r="AR101" s="6">
        <f t="shared" si="647"/>
        <v>-13252.391000000001</v>
      </c>
      <c r="AS101" s="6">
        <f t="shared" si="647"/>
        <v>-14618.018000000002</v>
      </c>
      <c r="AT101" s="6">
        <f t="shared" si="647"/>
        <v>-13409.867999999999</v>
      </c>
      <c r="AU101" s="6">
        <f t="shared" si="647"/>
        <v>-9407.8259999999973</v>
      </c>
      <c r="AV101" s="6">
        <f>AS72+AT72+AU72+AV72</f>
        <v>-13789.019</v>
      </c>
      <c r="AW101" s="6">
        <f>AT72+AU72+AV72+AW72</f>
        <v>-17539.558999999994</v>
      </c>
      <c r="AX101" s="6">
        <f>AU72+AV72+AW72+AX72</f>
        <v>-26110.361000000001</v>
      </c>
      <c r="AY101" s="6">
        <f t="shared" si="647"/>
        <v>-10013.315999999995</v>
      </c>
      <c r="AZ101" s="6">
        <f>AW72+AX72+AY72+AZ72</f>
        <v>-660.81899999999564</v>
      </c>
      <c r="BA101" s="6">
        <f>AX72+AY72+AZ72+BA72</f>
        <v>7273.5800000000017</v>
      </c>
      <c r="BB101" s="6">
        <f>AY72+AZ72+BA72+BB72</f>
        <v>-1456.4509999999955</v>
      </c>
      <c r="BC101" s="6">
        <f t="shared" ref="BC101" si="648">AZ72+BA72+BB72+BC72</f>
        <v>1218.7279999999955</v>
      </c>
      <c r="BD101" s="6">
        <f>BA72+BB72+BC72+BD72</f>
        <v>-16656.773000000005</v>
      </c>
      <c r="BE101" s="6">
        <f>BB72+BC72+BD72+BE72</f>
        <v>-36453.006000000008</v>
      </c>
      <c r="BF101" s="6">
        <f>BC72+BD72+BE72+BF72</f>
        <v>-20172.675000000007</v>
      </c>
      <c r="BG101" s="6">
        <f t="shared" ref="BG101" si="649">BD72+BE72+BF72+BG72</f>
        <v>-20748.070999999996</v>
      </c>
      <c r="BH101" s="6">
        <f>BE72+BF72+BG72+BH72</f>
        <v>-25938.569</v>
      </c>
      <c r="BJ101" s="6">
        <f>AS72+AT72+AU72+BJ72</f>
        <v>-11680.093000000001</v>
      </c>
      <c r="BK101" s="6">
        <f>AU72+AT72+BJ72+BK72</f>
        <v>-13731.314000000002</v>
      </c>
      <c r="BL101" s="6">
        <f>AU72+BJ72+BK72+BL72</f>
        <v>-10273.590000000004</v>
      </c>
      <c r="BM101" s="6">
        <f>BJ72+BK72+BL72+BM72</f>
        <v>-12313.410000000002</v>
      </c>
      <c r="BN101" s="6">
        <f>SUM(BK72:BN72)</f>
        <v>-3799.699000000001</v>
      </c>
      <c r="BO101" s="6">
        <f>SUM(BL72:BO72)</f>
        <v>481.0430000000033</v>
      </c>
      <c r="BP101" s="6">
        <f>BM72+BN72+BO72+BP72</f>
        <v>-24358.866999999998</v>
      </c>
      <c r="BQ101" s="6">
        <f>BN72+BO72+BP72+BQ72</f>
        <v>1594.5430000000051</v>
      </c>
      <c r="BR101" s="6">
        <f>SUM(BO72:BR72)</f>
        <v>-22256.185999999991</v>
      </c>
      <c r="BW101" s="39"/>
      <c r="BX101" s="39"/>
    </row>
    <row r="102" spans="2:76" ht="13.5" customHeight="1"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BJ102" s="48"/>
      <c r="BK102" s="48"/>
      <c r="BL102" s="48"/>
      <c r="BM102" s="48"/>
      <c r="BN102" s="48"/>
      <c r="BO102" s="48"/>
      <c r="BP102" s="48"/>
      <c r="BQ102" s="48"/>
      <c r="BR102" s="48"/>
      <c r="BW102" s="39"/>
      <c r="BX102" s="39"/>
    </row>
    <row r="103" spans="2:76" ht="13.5" customHeight="1">
      <c r="B103" s="16" t="s">
        <v>323</v>
      </c>
      <c r="C103" s="38">
        <f t="shared" ref="C103:Q103" si="650">C3</f>
        <v>41975</v>
      </c>
      <c r="D103" s="38">
        <f t="shared" si="650"/>
        <v>42341</v>
      </c>
      <c r="E103" s="38">
        <f t="shared" si="650"/>
        <v>42735</v>
      </c>
      <c r="F103" s="38">
        <f t="shared" si="650"/>
        <v>43100</v>
      </c>
      <c r="G103" s="38">
        <f t="shared" si="650"/>
        <v>43465</v>
      </c>
      <c r="H103" s="38">
        <f t="shared" si="650"/>
        <v>43830</v>
      </c>
      <c r="I103" s="38">
        <f t="shared" si="650"/>
        <v>44196</v>
      </c>
      <c r="J103" s="38">
        <f t="shared" si="650"/>
        <v>44561</v>
      </c>
      <c r="K103" s="38">
        <f t="shared" si="650"/>
        <v>44926</v>
      </c>
      <c r="L103" s="38">
        <f t="shared" si="650"/>
        <v>44926</v>
      </c>
      <c r="M103" s="38">
        <f t="shared" si="650"/>
        <v>45291</v>
      </c>
      <c r="N103" s="38">
        <f t="shared" si="650"/>
        <v>45291</v>
      </c>
      <c r="O103" s="38">
        <f t="shared" si="650"/>
        <v>45657</v>
      </c>
      <c r="P103" s="38">
        <f t="shared" si="650"/>
        <v>45657</v>
      </c>
      <c r="Q103" s="38">
        <f t="shared" si="650"/>
        <v>46022</v>
      </c>
      <c r="R103" s="83" t="s">
        <v>241</v>
      </c>
      <c r="S103" s="223"/>
      <c r="T103" s="38">
        <f t="shared" ref="T103:BH103" si="651">T3</f>
        <v>42437</v>
      </c>
      <c r="U103" s="38">
        <f t="shared" si="651"/>
        <v>42527</v>
      </c>
      <c r="V103" s="38">
        <f t="shared" si="651"/>
        <v>42622</v>
      </c>
      <c r="W103" s="38">
        <f t="shared" si="651"/>
        <v>42714</v>
      </c>
      <c r="X103" s="38">
        <f t="shared" si="651"/>
        <v>42825</v>
      </c>
      <c r="Y103" s="38">
        <f t="shared" si="651"/>
        <v>42916</v>
      </c>
      <c r="Z103" s="38">
        <f t="shared" si="651"/>
        <v>43008</v>
      </c>
      <c r="AA103" s="38">
        <f t="shared" si="651"/>
        <v>43100</v>
      </c>
      <c r="AB103" s="38">
        <f t="shared" si="651"/>
        <v>43190</v>
      </c>
      <c r="AC103" s="38">
        <f t="shared" si="651"/>
        <v>43281</v>
      </c>
      <c r="AD103" s="38">
        <f t="shared" si="651"/>
        <v>43373</v>
      </c>
      <c r="AE103" s="38">
        <f t="shared" si="651"/>
        <v>43465</v>
      </c>
      <c r="AF103" s="38">
        <f t="shared" si="651"/>
        <v>43555</v>
      </c>
      <c r="AG103" s="38">
        <f t="shared" si="651"/>
        <v>43646</v>
      </c>
      <c r="AH103" s="38">
        <f t="shared" si="651"/>
        <v>43738</v>
      </c>
      <c r="AI103" s="38">
        <f t="shared" si="651"/>
        <v>43830</v>
      </c>
      <c r="AJ103" s="38">
        <f t="shared" si="651"/>
        <v>43921</v>
      </c>
      <c r="AK103" s="38">
        <f t="shared" si="651"/>
        <v>44012</v>
      </c>
      <c r="AL103" s="38">
        <f t="shared" si="651"/>
        <v>44104</v>
      </c>
      <c r="AM103" s="226">
        <f t="shared" si="651"/>
        <v>44196</v>
      </c>
      <c r="AN103" s="38">
        <f t="shared" si="651"/>
        <v>44286</v>
      </c>
      <c r="AO103" s="38">
        <f t="shared" si="651"/>
        <v>44377</v>
      </c>
      <c r="AP103" s="38">
        <f t="shared" si="651"/>
        <v>44469</v>
      </c>
      <c r="AQ103" s="226">
        <f t="shared" si="651"/>
        <v>44561</v>
      </c>
      <c r="AR103" s="38">
        <f t="shared" si="651"/>
        <v>44651</v>
      </c>
      <c r="AS103" s="38">
        <f t="shared" si="651"/>
        <v>44742</v>
      </c>
      <c r="AT103" s="38">
        <f t="shared" si="651"/>
        <v>44834</v>
      </c>
      <c r="AU103" s="226">
        <f t="shared" si="651"/>
        <v>44926</v>
      </c>
      <c r="AV103" s="38">
        <f t="shared" si="651"/>
        <v>45016</v>
      </c>
      <c r="AW103" s="38">
        <f t="shared" si="651"/>
        <v>45107</v>
      </c>
      <c r="AX103" s="38">
        <f t="shared" si="651"/>
        <v>45199</v>
      </c>
      <c r="AY103" s="38">
        <f t="shared" si="651"/>
        <v>45291</v>
      </c>
      <c r="AZ103" s="38">
        <f t="shared" si="651"/>
        <v>45382</v>
      </c>
      <c r="BA103" s="38">
        <f t="shared" si="651"/>
        <v>45473</v>
      </c>
      <c r="BB103" s="38">
        <f t="shared" si="651"/>
        <v>45565</v>
      </c>
      <c r="BC103" s="38">
        <f t="shared" si="651"/>
        <v>45657</v>
      </c>
      <c r="BD103" s="38">
        <f t="shared" si="651"/>
        <v>45747</v>
      </c>
      <c r="BE103" s="38">
        <f t="shared" si="651"/>
        <v>45838</v>
      </c>
      <c r="BF103" s="38">
        <f t="shared" si="651"/>
        <v>45930</v>
      </c>
      <c r="BG103" s="38">
        <f t="shared" si="651"/>
        <v>46022</v>
      </c>
      <c r="BH103" s="38">
        <f t="shared" si="651"/>
        <v>46112</v>
      </c>
      <c r="BJ103" s="38">
        <f t="shared" ref="BJ103:BR103" si="652">BJ3</f>
        <v>45016</v>
      </c>
      <c r="BK103" s="38">
        <f t="shared" si="652"/>
        <v>45107</v>
      </c>
      <c r="BL103" s="38">
        <f t="shared" si="652"/>
        <v>45199</v>
      </c>
      <c r="BM103" s="38">
        <f t="shared" si="652"/>
        <v>45291</v>
      </c>
      <c r="BN103" s="38">
        <f t="shared" si="652"/>
        <v>45382</v>
      </c>
      <c r="BO103" s="38">
        <f t="shared" si="652"/>
        <v>45473</v>
      </c>
      <c r="BP103" s="38">
        <f t="shared" si="652"/>
        <v>45565</v>
      </c>
      <c r="BQ103" s="38">
        <f t="shared" si="652"/>
        <v>45657</v>
      </c>
      <c r="BR103" s="38">
        <f t="shared" si="652"/>
        <v>45747</v>
      </c>
      <c r="BW103" s="39"/>
      <c r="BX103" s="39"/>
    </row>
    <row r="104" spans="2:76" ht="13.5" customHeight="1">
      <c r="C104" s="100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BW104" s="39"/>
      <c r="BX104" s="39"/>
    </row>
    <row r="105" spans="2:76" s="5" customFormat="1" ht="13.5" customHeight="1">
      <c r="B105" s="1" t="s">
        <v>324</v>
      </c>
      <c r="C105" s="4">
        <v>1812.7460000000001</v>
      </c>
      <c r="D105" s="4">
        <v>2055.6750000000002</v>
      </c>
      <c r="E105" s="70">
        <v>2762.299</v>
      </c>
      <c r="F105" s="70">
        <v>3264.7710000000002</v>
      </c>
      <c r="G105" s="70">
        <v>4534.2759999999998</v>
      </c>
      <c r="H105" s="70">
        <v>6041.402</v>
      </c>
      <c r="I105" s="70">
        <v>7296.5680000000002</v>
      </c>
      <c r="J105" s="70">
        <v>13125.335999999999</v>
      </c>
      <c r="K105" s="70">
        <v>20822.335999999999</v>
      </c>
      <c r="L105" s="70">
        <f>44323.471</f>
        <v>44323.470999999998</v>
      </c>
      <c r="M105" s="70">
        <f>47007.175</f>
        <v>47007.175000000003</v>
      </c>
      <c r="N105" s="70">
        <v>64379.591</v>
      </c>
      <c r="O105" s="70">
        <v>90815.812999999995</v>
      </c>
      <c r="P105" s="70">
        <v>118870.913</v>
      </c>
      <c r="Q105" s="70">
        <v>112152.15399999999</v>
      </c>
      <c r="R105" s="6">
        <f>BH105</f>
        <v>117222.41</v>
      </c>
      <c r="S105" s="6"/>
      <c r="T105" s="70">
        <v>2091.4290000000001</v>
      </c>
      <c r="U105" s="70">
        <v>2131.098</v>
      </c>
      <c r="V105" s="70">
        <v>2210.6689999999999</v>
      </c>
      <c r="W105" s="73">
        <f>E105</f>
        <v>2762.299</v>
      </c>
      <c r="X105" s="70">
        <v>2800.8919999999998</v>
      </c>
      <c r="Y105" s="70">
        <v>2818.6060000000002</v>
      </c>
      <c r="Z105" s="70">
        <v>2926.06</v>
      </c>
      <c r="AA105" s="73">
        <f>F105</f>
        <v>3264.7710000000002</v>
      </c>
      <c r="AB105" s="70">
        <v>3407.3380000000002</v>
      </c>
      <c r="AC105" s="70">
        <v>3693.895</v>
      </c>
      <c r="AD105" s="70">
        <v>4468.4070000000002</v>
      </c>
      <c r="AE105" s="73">
        <f>G105</f>
        <v>4534.2759999999998</v>
      </c>
      <c r="AF105" s="70">
        <v>5508.5129999999999</v>
      </c>
      <c r="AG105" s="70">
        <v>5735.7209999999995</v>
      </c>
      <c r="AH105" s="70">
        <v>5614.8980000000001</v>
      </c>
      <c r="AI105" s="73">
        <f>H105</f>
        <v>6041.402</v>
      </c>
      <c r="AJ105" s="70">
        <v>6241.5349999999999</v>
      </c>
      <c r="AK105" s="70">
        <v>6449.55</v>
      </c>
      <c r="AL105" s="70">
        <v>6928.2809999999999</v>
      </c>
      <c r="AM105" s="73">
        <f>I105</f>
        <v>7296.5680000000002</v>
      </c>
      <c r="AN105" s="70">
        <v>7866.9660000000003</v>
      </c>
      <c r="AO105" s="70">
        <v>8443.8520000000008</v>
      </c>
      <c r="AP105" s="70">
        <v>9274.3719999999994</v>
      </c>
      <c r="AQ105" s="73">
        <f>J105</f>
        <v>13125.335999999999</v>
      </c>
      <c r="AR105" s="70">
        <v>14377.842000000001</v>
      </c>
      <c r="AS105" s="70">
        <v>16155.412</v>
      </c>
      <c r="AT105" s="70">
        <v>19884.651000000002</v>
      </c>
      <c r="AU105" s="73">
        <f>K105</f>
        <v>20822.335999999999</v>
      </c>
      <c r="AV105" s="70">
        <v>21484.716</v>
      </c>
      <c r="AW105" s="70">
        <v>27128.16</v>
      </c>
      <c r="AX105" s="70">
        <v>28840.82</v>
      </c>
      <c r="AY105" s="211">
        <f>M105</f>
        <v>47007.175000000003</v>
      </c>
      <c r="AZ105" s="70">
        <f>50352.089</f>
        <v>50352.089</v>
      </c>
      <c r="BA105" s="70">
        <v>80075.774999999994</v>
      </c>
      <c r="BB105" s="70">
        <v>87187.707999999999</v>
      </c>
      <c r="BC105" s="211">
        <f>O105</f>
        <v>90815.812999999995</v>
      </c>
      <c r="BD105" s="70">
        <v>100081.7</v>
      </c>
      <c r="BE105" s="70">
        <v>105490.742</v>
      </c>
      <c r="BF105" s="70">
        <v>109233.71400000001</v>
      </c>
      <c r="BG105" s="211">
        <f>Q105</f>
        <v>112152.15399999999</v>
      </c>
      <c r="BH105" s="70">
        <v>117222.41</v>
      </c>
      <c r="BJ105" s="70">
        <v>21484.716</v>
      </c>
      <c r="BK105" s="70">
        <v>27128.16</v>
      </c>
      <c r="BL105" s="70">
        <v>28840.82</v>
      </c>
      <c r="BM105" s="73">
        <f>N105</f>
        <v>64379.591</v>
      </c>
      <c r="BN105" s="6">
        <f>AZ105</f>
        <v>50352.089</v>
      </c>
      <c r="BO105" s="6">
        <v>80075.774999999994</v>
      </c>
      <c r="BP105" s="70">
        <v>28840.82</v>
      </c>
      <c r="BQ105" s="73">
        <f>P105</f>
        <v>118870.913</v>
      </c>
      <c r="BR105" s="6">
        <f>BD105</f>
        <v>100081.7</v>
      </c>
      <c r="BT105" s="1"/>
      <c r="BU105" s="1"/>
      <c r="BW105" s="39"/>
      <c r="BX105" s="39"/>
    </row>
    <row r="106" spans="2:76" s="5" customFormat="1" ht="13.5" customHeight="1">
      <c r="B106" s="1" t="s">
        <v>325</v>
      </c>
      <c r="C106" s="101">
        <v>174.89599999999999</v>
      </c>
      <c r="D106" s="101">
        <v>192.47</v>
      </c>
      <c r="E106" s="70">
        <v>227.571</v>
      </c>
      <c r="F106" s="70">
        <v>241.75800000000001</v>
      </c>
      <c r="G106" s="70">
        <v>289.56</v>
      </c>
      <c r="H106" s="70">
        <v>344.48599999999999</v>
      </c>
      <c r="I106" s="70">
        <v>419.517</v>
      </c>
      <c r="J106" s="70">
        <v>935.60900000000004</v>
      </c>
      <c r="K106" s="70">
        <v>2619.7629999999999</v>
      </c>
      <c r="L106" s="70">
        <f>4316.66</f>
        <v>4316.66</v>
      </c>
      <c r="M106" s="70">
        <f>3400.314</f>
        <v>3400.3139999999999</v>
      </c>
      <c r="N106" s="70">
        <v>4909.3329999999996</v>
      </c>
      <c r="O106" s="70">
        <v>7422.9979999999996</v>
      </c>
      <c r="P106" s="70">
        <v>9716.1329999999998</v>
      </c>
      <c r="Q106" s="70">
        <v>10916.272000000001</v>
      </c>
      <c r="R106" s="6">
        <f t="shared" ref="R106:R109" si="653">BH106</f>
        <v>10903.813</v>
      </c>
      <c r="S106" s="6"/>
      <c r="T106" s="70">
        <v>194.053</v>
      </c>
      <c r="U106" s="70">
        <v>203.86500000000001</v>
      </c>
      <c r="V106" s="70">
        <v>212.25299999999999</v>
      </c>
      <c r="W106" s="73">
        <f>E106</f>
        <v>227.571</v>
      </c>
      <c r="X106" s="70">
        <v>231.101</v>
      </c>
      <c r="Y106" s="70">
        <v>251.376</v>
      </c>
      <c r="Z106" s="70">
        <v>250.25700000000001</v>
      </c>
      <c r="AA106" s="73">
        <f>F106</f>
        <v>241.75800000000001</v>
      </c>
      <c r="AB106" s="70">
        <v>267.447</v>
      </c>
      <c r="AC106" s="70">
        <v>286.15300000000002</v>
      </c>
      <c r="AD106" s="70">
        <v>310.18099999999998</v>
      </c>
      <c r="AE106" s="73">
        <f>G106</f>
        <v>289.56</v>
      </c>
      <c r="AF106" s="70">
        <v>299.89400000000001</v>
      </c>
      <c r="AG106" s="70">
        <v>316.90100000000001</v>
      </c>
      <c r="AH106" s="70">
        <v>327.57400000000001</v>
      </c>
      <c r="AI106" s="73">
        <f>H106</f>
        <v>344.48599999999999</v>
      </c>
      <c r="AJ106" s="70">
        <v>355.11099999999999</v>
      </c>
      <c r="AK106" s="70">
        <v>362.51799999999997</v>
      </c>
      <c r="AL106" s="70">
        <v>385.423</v>
      </c>
      <c r="AM106" s="73">
        <f>I106</f>
        <v>419.517</v>
      </c>
      <c r="AN106" s="70">
        <v>417.82799999999997</v>
      </c>
      <c r="AO106" s="70">
        <v>483.084</v>
      </c>
      <c r="AP106" s="70">
        <v>687.95600000000002</v>
      </c>
      <c r="AQ106" s="73">
        <f>J106</f>
        <v>935.60900000000004</v>
      </c>
      <c r="AR106" s="70">
        <v>1086.2449999999999</v>
      </c>
      <c r="AS106" s="70">
        <v>1358.0450000000001</v>
      </c>
      <c r="AT106" s="70">
        <v>1467.038</v>
      </c>
      <c r="AU106" s="73">
        <f>K106</f>
        <v>2619.7629999999999</v>
      </c>
      <c r="AV106" s="70">
        <v>2464.491</v>
      </c>
      <c r="AW106" s="70">
        <v>2961.9279999999999</v>
      </c>
      <c r="AX106" s="70">
        <v>2886.1280000000002</v>
      </c>
      <c r="AY106" s="211">
        <f>M106</f>
        <v>3400.3139999999999</v>
      </c>
      <c r="AZ106" s="70">
        <f>3382.963</f>
        <v>3382.9630000000002</v>
      </c>
      <c r="BA106" s="70">
        <v>7168.2179999999998</v>
      </c>
      <c r="BB106" s="70">
        <v>8166.31</v>
      </c>
      <c r="BC106" s="211">
        <f t="shared" ref="BC106:BC109" si="654">O106</f>
        <v>7422.9979999999996</v>
      </c>
      <c r="BD106" s="70">
        <v>7977.0550000000003</v>
      </c>
      <c r="BE106" s="70">
        <v>9948.3529999999992</v>
      </c>
      <c r="BF106" s="70">
        <v>10336.289000000001</v>
      </c>
      <c r="BG106" s="211">
        <f t="shared" ref="BG106:BG109" si="655">Q106</f>
        <v>10916.272000000001</v>
      </c>
      <c r="BH106" s="70">
        <v>10903.813</v>
      </c>
      <c r="BJ106" s="70">
        <v>2464.491</v>
      </c>
      <c r="BK106" s="70">
        <v>2961.9279999999999</v>
      </c>
      <c r="BL106" s="70">
        <v>2886.1280000000002</v>
      </c>
      <c r="BM106" s="73">
        <f t="shared" ref="BM106:BM109" si="656">N106</f>
        <v>4909.3329999999996</v>
      </c>
      <c r="BN106" s="73">
        <f>AZ106</f>
        <v>3382.9630000000002</v>
      </c>
      <c r="BO106" s="73">
        <v>7168.2179999999998</v>
      </c>
      <c r="BP106" s="70">
        <v>2886.1280000000002</v>
      </c>
      <c r="BQ106" s="73">
        <f t="shared" ref="BQ106:BQ109" si="657">P106</f>
        <v>9716.1329999999998</v>
      </c>
      <c r="BR106" s="73">
        <f>BD106</f>
        <v>7977.0550000000003</v>
      </c>
      <c r="BT106" s="1"/>
      <c r="BU106" s="1"/>
      <c r="BW106" s="39"/>
      <c r="BX106" s="39"/>
    </row>
    <row r="107" spans="2:76" s="5" customFormat="1" ht="13.5" customHeight="1">
      <c r="B107" s="7" t="s">
        <v>326</v>
      </c>
      <c r="C107" s="4">
        <v>2124.9459999999999</v>
      </c>
      <c r="D107" s="4">
        <v>2140.0569999999998</v>
      </c>
      <c r="E107" s="70">
        <v>2761.57</v>
      </c>
      <c r="F107" s="70">
        <v>3779.9279999999999</v>
      </c>
      <c r="G107" s="70">
        <v>5087.6760000000004</v>
      </c>
      <c r="H107" s="70">
        <v>5630.2510000000002</v>
      </c>
      <c r="I107" s="70">
        <v>7095.6220000000003</v>
      </c>
      <c r="J107" s="70">
        <v>16828.699000000001</v>
      </c>
      <c r="K107" s="70">
        <v>29237.119999999999</v>
      </c>
      <c r="L107" s="70">
        <f>50870.483</f>
        <v>50870.483</v>
      </c>
      <c r="M107" s="70">
        <f>47448.681</f>
        <v>47448.680999999997</v>
      </c>
      <c r="N107" s="70">
        <v>68505.83</v>
      </c>
      <c r="O107" s="70">
        <v>71723.426999999996</v>
      </c>
      <c r="P107" s="70">
        <v>93880.448000000004</v>
      </c>
      <c r="Q107" s="70">
        <v>89980.221999999994</v>
      </c>
      <c r="R107" s="6">
        <f t="shared" si="653"/>
        <v>98375.176000000007</v>
      </c>
      <c r="S107" s="6"/>
      <c r="T107" s="70">
        <v>2254.721</v>
      </c>
      <c r="U107" s="70">
        <v>2311.029</v>
      </c>
      <c r="V107" s="70">
        <v>2401.5189999999998</v>
      </c>
      <c r="W107" s="73">
        <f>E107</f>
        <v>2761.57</v>
      </c>
      <c r="X107" s="70">
        <v>3255.2080000000001</v>
      </c>
      <c r="Y107" s="70">
        <v>3538.1019999999999</v>
      </c>
      <c r="Z107" s="70">
        <v>3945.39</v>
      </c>
      <c r="AA107" s="73">
        <f>F107</f>
        <v>3779.9279999999999</v>
      </c>
      <c r="AB107" s="70">
        <v>4310.1499999999996</v>
      </c>
      <c r="AC107" s="70">
        <v>4752.2539999999999</v>
      </c>
      <c r="AD107" s="70">
        <v>6201.33</v>
      </c>
      <c r="AE107" s="73">
        <f>G107</f>
        <v>5087.6760000000004</v>
      </c>
      <c r="AF107" s="70">
        <v>5438.9589999999998</v>
      </c>
      <c r="AG107" s="70">
        <v>6081.6409999999996</v>
      </c>
      <c r="AH107" s="70">
        <v>5979.2529999999997</v>
      </c>
      <c r="AI107" s="73">
        <f>H107</f>
        <v>5630.2510000000002</v>
      </c>
      <c r="AJ107" s="70">
        <v>5821.47</v>
      </c>
      <c r="AK107" s="70">
        <v>5875.1809999999996</v>
      </c>
      <c r="AL107" s="70">
        <v>6839.22</v>
      </c>
      <c r="AM107" s="73">
        <f>I107</f>
        <v>7095.6220000000003</v>
      </c>
      <c r="AN107" s="70">
        <v>10124.948</v>
      </c>
      <c r="AO107" s="70">
        <v>12508.504000000001</v>
      </c>
      <c r="AP107" s="70">
        <v>13193.736999999999</v>
      </c>
      <c r="AQ107" s="73">
        <f>J107</f>
        <v>16828.699000000001</v>
      </c>
      <c r="AR107" s="70">
        <v>23386.6</v>
      </c>
      <c r="AS107" s="70">
        <v>28310.400000000001</v>
      </c>
      <c r="AT107" s="70">
        <v>31948.79</v>
      </c>
      <c r="AU107" s="73">
        <f>K107</f>
        <v>29237.119999999999</v>
      </c>
      <c r="AV107" s="70">
        <v>30796.963</v>
      </c>
      <c r="AW107" s="70">
        <v>39654.546999999999</v>
      </c>
      <c r="AX107" s="70">
        <v>43814.212</v>
      </c>
      <c r="AY107" s="211">
        <f>M107</f>
        <v>47448.680999999997</v>
      </c>
      <c r="AZ107" s="70">
        <f>51824.145</f>
        <v>51824.144999999997</v>
      </c>
      <c r="BA107" s="70">
        <v>76225.411999999997</v>
      </c>
      <c r="BB107" s="70">
        <v>81551.013000000006</v>
      </c>
      <c r="BC107" s="211">
        <f t="shared" si="654"/>
        <v>71723.426999999996</v>
      </c>
      <c r="BD107" s="70">
        <v>88464.035999999993</v>
      </c>
      <c r="BE107" s="70">
        <v>92582.138999999996</v>
      </c>
      <c r="BF107" s="70">
        <v>92623.047000000006</v>
      </c>
      <c r="BG107" s="211">
        <f t="shared" si="655"/>
        <v>89980.221999999994</v>
      </c>
      <c r="BH107" s="70">
        <v>98375.176000000007</v>
      </c>
      <c r="BJ107" s="70">
        <v>30796.963</v>
      </c>
      <c r="BK107" s="70">
        <v>39654.546999999999</v>
      </c>
      <c r="BL107" s="70">
        <v>43814.212</v>
      </c>
      <c r="BM107" s="73">
        <f t="shared" si="656"/>
        <v>68505.83</v>
      </c>
      <c r="BN107" s="73">
        <f t="shared" ref="BN107:BN109" si="658">AZ107</f>
        <v>51824.144999999997</v>
      </c>
      <c r="BO107" s="73">
        <v>76225.411999999997</v>
      </c>
      <c r="BP107" s="70">
        <v>43814.212</v>
      </c>
      <c r="BQ107" s="73">
        <f t="shared" si="657"/>
        <v>93880.448000000004</v>
      </c>
      <c r="BR107" s="73">
        <f t="shared" ref="BR107:BR109" si="659">BD107</f>
        <v>88464.035999999993</v>
      </c>
      <c r="BT107" s="1"/>
      <c r="BU107" s="1"/>
      <c r="BW107" s="39"/>
      <c r="BX107" s="39"/>
    </row>
    <row r="108" spans="2:76" s="5" customFormat="1" ht="13.5" customHeight="1">
      <c r="B108" s="7" t="s">
        <v>327</v>
      </c>
      <c r="C108" s="4">
        <f>4411.527+22.371</f>
        <v>4433.8980000000001</v>
      </c>
      <c r="D108" s="4">
        <f>4781.575+8.95</f>
        <v>4790.5249999999996</v>
      </c>
      <c r="E108" s="70">
        <f>6.504+5288.765</f>
        <v>5295.2690000000002</v>
      </c>
      <c r="F108" s="70">
        <f>13.609+6504.009</f>
        <v>6517.6180000000004</v>
      </c>
      <c r="G108" s="70">
        <f>12.059+7744.252</f>
        <v>7756.3110000000006</v>
      </c>
      <c r="H108" s="70">
        <f>17.674+9498.171</f>
        <v>9515.8450000000012</v>
      </c>
      <c r="I108" s="70">
        <f>103.153+12046.292</f>
        <v>12149.445</v>
      </c>
      <c r="J108" s="70">
        <f>269.306+23142.238</f>
        <v>23411.544000000002</v>
      </c>
      <c r="K108" s="70">
        <f>420.397+33772.657</f>
        <v>34193.053999999996</v>
      </c>
      <c r="L108" s="70">
        <f>692.701+55255.964</f>
        <v>55948.665000000001</v>
      </c>
      <c r="M108" s="70">
        <f>575.652+65944.717</f>
        <v>66520.369000000006</v>
      </c>
      <c r="N108" s="70">
        <f>831.119+95210.184</f>
        <v>96041.303</v>
      </c>
      <c r="O108" s="70">
        <f>644.961+92282.011</f>
        <v>92926.971999999994</v>
      </c>
      <c r="P108" s="70">
        <f>844.204+120790.053</f>
        <v>121634.257</v>
      </c>
      <c r="Q108" s="70">
        <f>1013.974+115598.866</f>
        <v>116612.84</v>
      </c>
      <c r="R108" s="6">
        <f t="shared" si="653"/>
        <v>134310.39199999999</v>
      </c>
      <c r="S108" s="6"/>
      <c r="T108" s="70">
        <f>4464.759+26.235</f>
        <v>4490.9939999999997</v>
      </c>
      <c r="U108" s="70">
        <f>4995.907+31.55</f>
        <v>5027.4570000000003</v>
      </c>
      <c r="V108" s="70">
        <f>14.923+5259.88</f>
        <v>5274.8029999999999</v>
      </c>
      <c r="W108" s="73">
        <f>E108</f>
        <v>5295.2690000000002</v>
      </c>
      <c r="X108" s="70">
        <f>10.07+5662.353</f>
        <v>5672.4229999999998</v>
      </c>
      <c r="Y108" s="70">
        <f>13.166+6441.24</f>
        <v>6454.4059999999999</v>
      </c>
      <c r="Z108" s="70">
        <f>14.798+6995.297</f>
        <v>7010.0949999999993</v>
      </c>
      <c r="AA108" s="73">
        <f>F108</f>
        <v>6517.6180000000004</v>
      </c>
      <c r="AB108" s="70">
        <f>26.678+6700.839</f>
        <v>6727.5169999999998</v>
      </c>
      <c r="AC108" s="70">
        <f>21.731+7878.526</f>
        <v>7900.2569999999996</v>
      </c>
      <c r="AD108" s="70">
        <f>21.397+9392.843</f>
        <v>9414.2400000000016</v>
      </c>
      <c r="AE108" s="73">
        <f>G108</f>
        <v>7756.3110000000006</v>
      </c>
      <c r="AF108" s="70">
        <f>21.382+8208.631</f>
        <v>8230.012999999999</v>
      </c>
      <c r="AG108" s="70">
        <f>31.157+9454.764</f>
        <v>9485.9209999999985</v>
      </c>
      <c r="AH108" s="70">
        <f>34.888+9546.392</f>
        <v>9581.2800000000007</v>
      </c>
      <c r="AI108" s="73">
        <f>H108</f>
        <v>9515.8450000000012</v>
      </c>
      <c r="AJ108" s="70">
        <f>23.116+9133.748</f>
        <v>9156.8639999999996</v>
      </c>
      <c r="AK108" s="70">
        <f>39.037+8919.722</f>
        <v>8958.759</v>
      </c>
      <c r="AL108" s="70">
        <f>62.082+12049.085</f>
        <v>12111.166999999999</v>
      </c>
      <c r="AM108" s="73">
        <f>I108</f>
        <v>12149.445</v>
      </c>
      <c r="AN108" s="70">
        <f>145.25+15588.594</f>
        <v>15733.843999999999</v>
      </c>
      <c r="AO108" s="70">
        <f>175.116+17000.762</f>
        <v>17175.878000000001</v>
      </c>
      <c r="AP108" s="70">
        <f>125.637+19135.305</f>
        <v>19260.941999999999</v>
      </c>
      <c r="AQ108" s="73">
        <f>J108</f>
        <v>23411.544000000002</v>
      </c>
      <c r="AR108" s="70">
        <f>350.134+28576.054</f>
        <v>28926.188000000002</v>
      </c>
      <c r="AS108" s="70">
        <f>506.183+33285.596</f>
        <v>33791.778999999995</v>
      </c>
      <c r="AT108" s="70">
        <f>591.558+33476.323</f>
        <v>34067.880999999994</v>
      </c>
      <c r="AU108" s="73">
        <f>K108</f>
        <v>34193.053999999996</v>
      </c>
      <c r="AV108" s="70">
        <f>518.858+39105.096</f>
        <v>39623.953999999998</v>
      </c>
      <c r="AW108" s="70">
        <f>49980.622+555.898</f>
        <v>50536.520000000004</v>
      </c>
      <c r="AX108" s="70">
        <f>498.144+59434.373</f>
        <v>59932.517</v>
      </c>
      <c r="AY108" s="211">
        <f>M108</f>
        <v>66520.369000000006</v>
      </c>
      <c r="AZ108" s="70">
        <f>550.018+72528.236</f>
        <v>73078.254000000001</v>
      </c>
      <c r="BA108" s="70">
        <f>103397.266+882.363</f>
        <v>104279.629</v>
      </c>
      <c r="BB108" s="70">
        <f>802.97+106331.297</f>
        <v>107134.26700000001</v>
      </c>
      <c r="BC108" s="211">
        <f t="shared" si="654"/>
        <v>92926.971999999994</v>
      </c>
      <c r="BD108" s="70">
        <f>784.743+112067.67</f>
        <v>112852.413</v>
      </c>
      <c r="BE108" s="70">
        <v>129242.952</v>
      </c>
      <c r="BF108" s="70">
        <f>124041.403+1287.512</f>
        <v>125328.91500000001</v>
      </c>
      <c r="BG108" s="211">
        <f t="shared" si="655"/>
        <v>116612.84</v>
      </c>
      <c r="BH108" s="70">
        <f>2052.063+132258.329</f>
        <v>134310.39199999999</v>
      </c>
      <c r="BJ108" s="70">
        <f>518.858+39105.096</f>
        <v>39623.953999999998</v>
      </c>
      <c r="BK108" s="70">
        <f>49980.622+555.898</f>
        <v>50536.520000000004</v>
      </c>
      <c r="BL108" s="70">
        <f>498.144+59434.373</f>
        <v>59932.517</v>
      </c>
      <c r="BM108" s="73">
        <f t="shared" si="656"/>
        <v>96041.303</v>
      </c>
      <c r="BN108" s="73">
        <f t="shared" si="658"/>
        <v>73078.254000000001</v>
      </c>
      <c r="BO108" s="73">
        <v>104279.629</v>
      </c>
      <c r="BP108" s="70">
        <f>498.144+59434.373</f>
        <v>59932.517</v>
      </c>
      <c r="BQ108" s="73">
        <f t="shared" si="657"/>
        <v>121634.257</v>
      </c>
      <c r="BR108" s="73">
        <f t="shared" si="659"/>
        <v>112852.413</v>
      </c>
      <c r="BT108" s="1"/>
      <c r="BU108" s="1"/>
      <c r="BW108" s="39"/>
      <c r="BX108" s="39"/>
    </row>
    <row r="109" spans="2:76" s="5" customFormat="1" ht="13.5" customHeight="1">
      <c r="B109" s="7" t="s">
        <v>328</v>
      </c>
      <c r="C109" s="4">
        <f>1578.42+203.022</f>
        <v>1781.442</v>
      </c>
      <c r="D109" s="4">
        <f>413.983+1676.411</f>
        <v>2090.3940000000002</v>
      </c>
      <c r="E109" s="70">
        <f>506.164+2579.825</f>
        <v>3085.9889999999996</v>
      </c>
      <c r="F109" s="70">
        <f>550.948+3024.62</f>
        <v>3575.5679999999998</v>
      </c>
      <c r="G109" s="70">
        <f>441.597+4292.847</f>
        <v>4734.4439999999995</v>
      </c>
      <c r="H109" s="70">
        <f>605.967+4958.172</f>
        <v>5564.1389999999992</v>
      </c>
      <c r="I109" s="70">
        <f>995.829+8649.373</f>
        <v>9645.2019999999993</v>
      </c>
      <c r="J109" s="70">
        <f>1592.704+18076.327</f>
        <v>19669.031000000003</v>
      </c>
      <c r="K109" s="70">
        <f>2742.413+28185.125</f>
        <v>30927.538</v>
      </c>
      <c r="L109" s="70">
        <f>4516.749+46441.453</f>
        <v>50958.202000000005</v>
      </c>
      <c r="M109" s="70">
        <f>5226.271+48978.541</f>
        <v>54204.811999999998</v>
      </c>
      <c r="N109" s="70">
        <f>7545.626+70714.624</f>
        <v>78260.25</v>
      </c>
      <c r="O109" s="70">
        <f>5627.766+96761.843</f>
        <v>102389.609</v>
      </c>
      <c r="P109" s="70">
        <f>7366.313+126653.808</f>
        <v>134020.12100000001</v>
      </c>
      <c r="Q109" s="70">
        <f>7698.903+122664.127</f>
        <v>130363.03</v>
      </c>
      <c r="R109" s="6">
        <f t="shared" si="653"/>
        <v>135493.10999999999</v>
      </c>
      <c r="S109" s="6"/>
      <c r="T109" s="70">
        <f>(-253.019-1705.454)*-1</f>
        <v>1958.473</v>
      </c>
      <c r="U109" s="70">
        <f>(-394.635-2011.36)*-1</f>
        <v>2405.9949999999999</v>
      </c>
      <c r="V109" s="70">
        <f>(-2132.704-361.825)*-1</f>
        <v>2494.529</v>
      </c>
      <c r="W109" s="73">
        <f>E109</f>
        <v>3085.9889999999996</v>
      </c>
      <c r="X109" s="70">
        <f>(-269.963-2885.984)*-1</f>
        <v>3155.9470000000001</v>
      </c>
      <c r="Y109" s="70">
        <f>(-491.551-2950.369)*-1</f>
        <v>3441.92</v>
      </c>
      <c r="Z109" s="70">
        <f>(-515.535-3354.14)*-1</f>
        <v>3869.6749999999997</v>
      </c>
      <c r="AA109" s="73">
        <f>F109</f>
        <v>3575.5679999999998</v>
      </c>
      <c r="AB109" s="70">
        <f>391.704+3436.389</f>
        <v>3828.0930000000003</v>
      </c>
      <c r="AC109" s="70">
        <f>839.169+3770.179</f>
        <v>4609.348</v>
      </c>
      <c r="AD109" s="70">
        <f>770.426+5274.351</f>
        <v>6044.777</v>
      </c>
      <c r="AE109" s="73">
        <f>G109</f>
        <v>4734.4439999999995</v>
      </c>
      <c r="AF109" s="70">
        <f>480.582+4828.706</f>
        <v>5309.2880000000005</v>
      </c>
      <c r="AG109" s="70">
        <f>701.818+5502.03</f>
        <v>6203.848</v>
      </c>
      <c r="AH109" s="70">
        <f>613.649+5257.18</f>
        <v>5870.8290000000006</v>
      </c>
      <c r="AI109" s="73">
        <f>H109</f>
        <v>5564.1389999999992</v>
      </c>
      <c r="AJ109" s="70">
        <f>555.734+5022.906</f>
        <v>5578.64</v>
      </c>
      <c r="AK109" s="70">
        <f>813.13+4856.464</f>
        <v>5669.5940000000001</v>
      </c>
      <c r="AL109" s="70">
        <f>958.342+7863.698</f>
        <v>8822.0400000000009</v>
      </c>
      <c r="AM109" s="73">
        <f>I109</f>
        <v>9645.2019999999993</v>
      </c>
      <c r="AN109" s="70">
        <f>970.515+11174.213</f>
        <v>12144.727999999999</v>
      </c>
      <c r="AO109" s="70">
        <f>1448.169+12611.126</f>
        <v>14059.295</v>
      </c>
      <c r="AP109" s="70">
        <f>1429.319+13315.443</f>
        <v>14744.761999999999</v>
      </c>
      <c r="AQ109" s="73">
        <f>J109</f>
        <v>19669.031000000003</v>
      </c>
      <c r="AR109" s="70">
        <f>2685.041+24668.44</f>
        <v>27353.481</v>
      </c>
      <c r="AS109" s="70">
        <f>3622.605+26594.82</f>
        <v>30217.424999999999</v>
      </c>
      <c r="AT109" s="70">
        <f>3504.314+27679.439</f>
        <v>31183.752999999997</v>
      </c>
      <c r="AU109" s="73">
        <f>K109</f>
        <v>30927.538</v>
      </c>
      <c r="AV109" s="70">
        <f>2419.933+30939.02</f>
        <v>33358.953000000001</v>
      </c>
      <c r="AW109" s="70">
        <f>4184.248+40347.463</f>
        <v>44531.711000000003</v>
      </c>
      <c r="AX109" s="70">
        <f>4365.893+48646.041</f>
        <v>53011.933999999994</v>
      </c>
      <c r="AY109" s="211">
        <f>M109</f>
        <v>54204.811999999998</v>
      </c>
      <c r="AZ109" s="70">
        <f>5090.431+56818.44</f>
        <v>61908.870999999999</v>
      </c>
      <c r="BA109" s="70">
        <f>7807.421+100892.448</f>
        <v>108699.86900000001</v>
      </c>
      <c r="BB109" s="70">
        <f>5785.202+99459.157</f>
        <v>105244.35900000001</v>
      </c>
      <c r="BC109" s="211">
        <f t="shared" si="654"/>
        <v>102389.609</v>
      </c>
      <c r="BD109" s="70">
        <f>8838.644+110352.291</f>
        <v>119190.935</v>
      </c>
      <c r="BE109" s="70">
        <f>113655.811+9357.003</f>
        <v>123012.814</v>
      </c>
      <c r="BF109" s="70">
        <f>113126.43+5638.899</f>
        <v>118765.329</v>
      </c>
      <c r="BG109" s="211">
        <f t="shared" si="655"/>
        <v>130363.03</v>
      </c>
      <c r="BH109" s="70">
        <f>9166.001+126327.109</f>
        <v>135493.10999999999</v>
      </c>
      <c r="BJ109" s="70">
        <f>2419.933+30939.02</f>
        <v>33358.953000000001</v>
      </c>
      <c r="BK109" s="70">
        <f>4184.248+40347.463</f>
        <v>44531.711000000003</v>
      </c>
      <c r="BL109" s="70">
        <f>4365.893+48646.041</f>
        <v>53011.933999999994</v>
      </c>
      <c r="BM109" s="73">
        <f t="shared" si="656"/>
        <v>78260.25</v>
      </c>
      <c r="BN109" s="73">
        <f t="shared" si="658"/>
        <v>61908.870999999999</v>
      </c>
      <c r="BO109" s="73">
        <v>108699.86900000001</v>
      </c>
      <c r="BP109" s="70">
        <f>4365.893+48646.041</f>
        <v>53011.933999999994</v>
      </c>
      <c r="BQ109" s="73">
        <f t="shared" si="657"/>
        <v>134020.12100000001</v>
      </c>
      <c r="BR109" s="73">
        <f t="shared" si="659"/>
        <v>119190.935</v>
      </c>
      <c r="BT109" s="1"/>
      <c r="BU109" s="1"/>
      <c r="BW109" s="39"/>
      <c r="BX109" s="39"/>
    </row>
    <row r="110" spans="2:76" s="5" customFormat="1" ht="13.5" customHeight="1">
      <c r="B110" s="1" t="s">
        <v>329</v>
      </c>
      <c r="C110" s="8">
        <f t="shared" ref="C110:I110" si="660">C107+C108-C109</f>
        <v>4777.402</v>
      </c>
      <c r="D110" s="8">
        <f t="shared" si="660"/>
        <v>4840.1879999999992</v>
      </c>
      <c r="E110" s="77">
        <f t="shared" si="660"/>
        <v>4970.8500000000004</v>
      </c>
      <c r="F110" s="77">
        <f t="shared" si="660"/>
        <v>6721.978000000001</v>
      </c>
      <c r="G110" s="77">
        <f t="shared" si="660"/>
        <v>8109.5430000000015</v>
      </c>
      <c r="H110" s="77">
        <f t="shared" si="660"/>
        <v>9581.9570000000022</v>
      </c>
      <c r="I110" s="77">
        <f t="shared" si="660"/>
        <v>9599.8649999999998</v>
      </c>
      <c r="J110" s="77">
        <f t="shared" ref="J110:X110" si="661">J107+J108-J109</f>
        <v>20571.212</v>
      </c>
      <c r="K110" s="77">
        <f t="shared" si="661"/>
        <v>32502.635999999999</v>
      </c>
      <c r="L110" s="77">
        <f t="shared" ref="L110:M110" si="662">L107+L108-L109</f>
        <v>55860.945999999996</v>
      </c>
      <c r="M110" s="77">
        <f t="shared" si="662"/>
        <v>59764.238000000005</v>
      </c>
      <c r="N110" s="77">
        <f t="shared" ref="N110" si="663">N107+N108-N109</f>
        <v>86286.883000000002</v>
      </c>
      <c r="O110" s="77">
        <f t="shared" ref="O110:P110" si="664">O107+O108-O109</f>
        <v>62260.789999999979</v>
      </c>
      <c r="P110" s="77">
        <f t="shared" si="664"/>
        <v>81494.584000000003</v>
      </c>
      <c r="Q110" s="77">
        <f t="shared" ref="Q110" si="665">Q107+Q108-Q109</f>
        <v>76230.031999999977</v>
      </c>
      <c r="R110" s="77">
        <f t="shared" ref="R110" si="666">R107+R108-R109</f>
        <v>97192.458000000013</v>
      </c>
      <c r="S110" s="77"/>
      <c r="T110" s="77">
        <f t="shared" si="661"/>
        <v>4787.2420000000002</v>
      </c>
      <c r="U110" s="77">
        <f t="shared" si="661"/>
        <v>4932.4910000000009</v>
      </c>
      <c r="V110" s="77">
        <f t="shared" si="661"/>
        <v>5181.7929999999997</v>
      </c>
      <c r="W110" s="77">
        <f t="shared" si="661"/>
        <v>4970.8500000000004</v>
      </c>
      <c r="X110" s="77">
        <f t="shared" si="661"/>
        <v>5771.6839999999993</v>
      </c>
      <c r="Y110" s="77">
        <f t="shared" ref="Y110:AD110" si="667">Y107+Y108-Y109</f>
        <v>6550.5879999999997</v>
      </c>
      <c r="Z110" s="77">
        <f t="shared" si="667"/>
        <v>7085.8099999999995</v>
      </c>
      <c r="AA110" s="77">
        <f t="shared" si="667"/>
        <v>6721.978000000001</v>
      </c>
      <c r="AB110" s="77">
        <f t="shared" si="667"/>
        <v>7209.5739999999987</v>
      </c>
      <c r="AC110" s="77">
        <f t="shared" si="667"/>
        <v>8043.1629999999986</v>
      </c>
      <c r="AD110" s="77">
        <f t="shared" si="667"/>
        <v>9570.7930000000015</v>
      </c>
      <c r="AE110" s="77">
        <f t="shared" ref="AE110:AK110" si="668">AE107+AE108-AE109</f>
        <v>8109.5430000000015</v>
      </c>
      <c r="AF110" s="77">
        <f t="shared" si="668"/>
        <v>8359.6839999999975</v>
      </c>
      <c r="AG110" s="77">
        <f t="shared" si="668"/>
        <v>9363.7139999999981</v>
      </c>
      <c r="AH110" s="77">
        <f t="shared" si="668"/>
        <v>9689.7039999999979</v>
      </c>
      <c r="AI110" s="77">
        <f t="shared" si="668"/>
        <v>9581.9570000000022</v>
      </c>
      <c r="AJ110" s="77">
        <f t="shared" si="668"/>
        <v>9399.6939999999995</v>
      </c>
      <c r="AK110" s="77">
        <f t="shared" si="668"/>
        <v>9164.3459999999977</v>
      </c>
      <c r="AL110" s="77">
        <f t="shared" ref="AL110:AQ110" si="669">AL107+AL108-AL109</f>
        <v>10128.346999999998</v>
      </c>
      <c r="AM110" s="77">
        <f t="shared" si="669"/>
        <v>9599.8649999999998</v>
      </c>
      <c r="AN110" s="77">
        <f t="shared" si="669"/>
        <v>13714.064000000002</v>
      </c>
      <c r="AO110" s="77">
        <f t="shared" si="669"/>
        <v>15625.087000000001</v>
      </c>
      <c r="AP110" s="77">
        <f t="shared" si="669"/>
        <v>17709.916999999998</v>
      </c>
      <c r="AQ110" s="77">
        <f t="shared" si="669"/>
        <v>20571.212</v>
      </c>
      <c r="AR110" s="77">
        <f>AR107+AR108-AR109</f>
        <v>24959.307000000001</v>
      </c>
      <c r="AS110" s="77">
        <f>AS107+AS108-AS109</f>
        <v>31884.753999999997</v>
      </c>
      <c r="AT110" s="77">
        <f>AT107+AT108-AT109</f>
        <v>34832.918000000005</v>
      </c>
      <c r="AU110" s="77">
        <f t="shared" ref="AU110" si="670">AU107+AU108-AU109</f>
        <v>32502.635999999999</v>
      </c>
      <c r="AV110" s="77">
        <f>AV107+AV108-AV109</f>
        <v>37061.964</v>
      </c>
      <c r="AW110" s="77">
        <f>AW107+AW108-AW109</f>
        <v>45659.356000000007</v>
      </c>
      <c r="AX110" s="77">
        <f>AX107+AX108-AX109</f>
        <v>50734.794999999998</v>
      </c>
      <c r="AY110" s="77">
        <f t="shared" ref="AY110:AZ110" si="671">AY107+AY108-AY109</f>
        <v>59764.238000000005</v>
      </c>
      <c r="AZ110" s="77">
        <f t="shared" si="671"/>
        <v>62993.528000000006</v>
      </c>
      <c r="BA110" s="77">
        <f>BA107+BA108-BA109</f>
        <v>71805.171999999991</v>
      </c>
      <c r="BB110" s="77">
        <f>BB107+BB108-BB109</f>
        <v>83440.921000000017</v>
      </c>
      <c r="BC110" s="77">
        <f t="shared" ref="BC110:BD110" si="672">BC107+BC108-BC109</f>
        <v>62260.789999999979</v>
      </c>
      <c r="BD110" s="77">
        <f t="shared" si="672"/>
        <v>82125.513999999996</v>
      </c>
      <c r="BE110" s="77">
        <f>BE107+BE108-BE109</f>
        <v>98812.277000000016</v>
      </c>
      <c r="BF110" s="77">
        <f>BF107+BF108-BF109</f>
        <v>99186.633000000002</v>
      </c>
      <c r="BG110" s="77">
        <f t="shared" ref="BG110:BH110" si="673">BG107+BG108-BG109</f>
        <v>76230.031999999977</v>
      </c>
      <c r="BH110" s="77">
        <f t="shared" si="673"/>
        <v>97192.458000000013</v>
      </c>
      <c r="BJ110" s="77">
        <f t="shared" ref="BJ110:BO110" si="674">BJ107+BJ108-BJ109</f>
        <v>37061.964</v>
      </c>
      <c r="BK110" s="77">
        <f t="shared" si="674"/>
        <v>45659.356000000007</v>
      </c>
      <c r="BL110" s="77">
        <f t="shared" si="674"/>
        <v>50734.794999999998</v>
      </c>
      <c r="BM110" s="77">
        <f t="shared" si="674"/>
        <v>86286.883000000002</v>
      </c>
      <c r="BN110" s="77">
        <f t="shared" si="674"/>
        <v>62993.528000000006</v>
      </c>
      <c r="BO110" s="77">
        <f t="shared" si="674"/>
        <v>71805.171999999991</v>
      </c>
      <c r="BP110" s="77">
        <f t="shared" ref="BP110:BR110" si="675">BP107+BP108-BP109</f>
        <v>50734.794999999998</v>
      </c>
      <c r="BQ110" s="77">
        <f t="shared" si="675"/>
        <v>81494.584000000003</v>
      </c>
      <c r="BR110" s="77">
        <f t="shared" si="675"/>
        <v>82125.513999999996</v>
      </c>
      <c r="BT110" s="1"/>
      <c r="BU110" s="1"/>
      <c r="BW110" s="39"/>
      <c r="BX110" s="39"/>
    </row>
    <row r="111" spans="2:76" s="39" customFormat="1" ht="13.5" customHeight="1">
      <c r="B111" s="21" t="s">
        <v>330</v>
      </c>
      <c r="C111" s="35">
        <f t="shared" ref="C111:K111" si="676">+C110/C91</f>
        <v>0.38176357693798635</v>
      </c>
      <c r="D111" s="35">
        <f t="shared" si="676"/>
        <v>0.34167399637161949</v>
      </c>
      <c r="E111" s="35">
        <f t="shared" si="676"/>
        <v>0.30882187392132737</v>
      </c>
      <c r="F111" s="35">
        <f t="shared" si="676"/>
        <v>0.32254224000033016</v>
      </c>
      <c r="G111" s="35">
        <f t="shared" si="676"/>
        <v>0.30142087624083874</v>
      </c>
      <c r="H111" s="35">
        <f t="shared" si="676"/>
        <v>0.29998200162526989</v>
      </c>
      <c r="I111" s="35">
        <f t="shared" si="676"/>
        <v>0.23487354560768917</v>
      </c>
      <c r="J111" s="35">
        <f t="shared" si="676"/>
        <v>0.30169952125585486</v>
      </c>
      <c r="K111" s="35">
        <f t="shared" si="676"/>
        <v>0.24271002280034659</v>
      </c>
      <c r="L111" s="35">
        <f t="shared" ref="L111:M111" si="677">+L110/L91</f>
        <v>0.21721236947890482</v>
      </c>
      <c r="M111" s="35">
        <f t="shared" si="677"/>
        <v>0.23245184310602346</v>
      </c>
      <c r="N111" s="35">
        <f t="shared" ref="N111" si="678">+N110/N91</f>
        <v>0.23245184091428853</v>
      </c>
      <c r="O111" s="35">
        <f t="shared" ref="O111:P111" si="679">+O110/O91</f>
        <v>0.145283043210752</v>
      </c>
      <c r="P111" s="35">
        <f t="shared" si="679"/>
        <v>0.1452830170582832</v>
      </c>
      <c r="Q111" s="35">
        <f t="shared" ref="Q111" si="680">+Q110/Q91</f>
        <v>0.14549567462994012</v>
      </c>
      <c r="R111" s="35">
        <f>+R110/R91</f>
        <v>0.17830620430880331</v>
      </c>
      <c r="S111" s="296"/>
      <c r="T111" s="35"/>
      <c r="U111" s="35"/>
      <c r="V111" s="35"/>
      <c r="W111" s="35">
        <f>+W110/W91</f>
        <v>0.30882187392132737</v>
      </c>
      <c r="X111" s="35">
        <f>+X110/X91</f>
        <v>0.33550495359030008</v>
      </c>
      <c r="Y111" s="35">
        <f t="shared" ref="Y111:AD111" si="681">+Y110/Y91</f>
        <v>0.35786766728046843</v>
      </c>
      <c r="Z111" s="35">
        <f t="shared" si="681"/>
        <v>0.36040165058819879</v>
      </c>
      <c r="AA111" s="35">
        <f t="shared" si="681"/>
        <v>0.32254224000033016</v>
      </c>
      <c r="AB111" s="35">
        <f t="shared" si="681"/>
        <v>0.33550727905342442</v>
      </c>
      <c r="AC111" s="35">
        <f t="shared" si="681"/>
        <v>0.35062667089752536</v>
      </c>
      <c r="AD111" s="35">
        <f t="shared" si="681"/>
        <v>0.37985677292011522</v>
      </c>
      <c r="AE111" s="35">
        <f t="shared" ref="AE111:AK111" si="682">+AE110/AE91</f>
        <v>0.30142087624083874</v>
      </c>
      <c r="AF111" s="35">
        <f t="shared" si="682"/>
        <v>0.29307212654968179</v>
      </c>
      <c r="AG111" s="35">
        <f t="shared" si="682"/>
        <v>0.30761185189370704</v>
      </c>
      <c r="AH111" s="35">
        <f t="shared" si="682"/>
        <v>0.31267226138005288</v>
      </c>
      <c r="AI111" s="35">
        <f t="shared" si="682"/>
        <v>0.29998200162526989</v>
      </c>
      <c r="AJ111" s="35">
        <f t="shared" si="682"/>
        <v>0.28651363251857581</v>
      </c>
      <c r="AK111" s="35">
        <f t="shared" si="682"/>
        <v>0.28450388155871309</v>
      </c>
      <c r="AL111" s="35">
        <f t="shared" ref="AL111:AQ111" si="683">+AL110/AL91</f>
        <v>0.28209619256438506</v>
      </c>
      <c r="AM111" s="35">
        <f t="shared" si="683"/>
        <v>0.23487354560768917</v>
      </c>
      <c r="AN111" s="35">
        <f t="shared" si="683"/>
        <v>0.29755761105270573</v>
      </c>
      <c r="AO111" s="35">
        <f t="shared" si="683"/>
        <v>0.2959798264304403</v>
      </c>
      <c r="AP111" s="35">
        <f t="shared" si="683"/>
        <v>0.30016513905736408</v>
      </c>
      <c r="AQ111" s="35">
        <f t="shared" si="683"/>
        <v>0.30169952125585486</v>
      </c>
      <c r="AR111" s="35">
        <f>+AR110/AR91</f>
        <v>0.2993978481477686</v>
      </c>
      <c r="AS111" s="35">
        <f>+AS110/AS91</f>
        <v>0.31526849539097829</v>
      </c>
      <c r="AT111" s="35">
        <f>+AT110/AT91</f>
        <v>0.2971023298385751</v>
      </c>
      <c r="AU111" s="35">
        <f t="shared" ref="AU111" si="684">+AU110/AU91</f>
        <v>0.24271002280034659</v>
      </c>
      <c r="AV111" s="35">
        <f>+AV110/AV91</f>
        <v>0.25447219420651207</v>
      </c>
      <c r="AW111" s="35">
        <f>+AW110/AW91</f>
        <v>0.28486196405836056</v>
      </c>
      <c r="AX111" s="35">
        <f>+AX110/AX91</f>
        <v>0.27535967568094821</v>
      </c>
      <c r="AY111" s="35">
        <f t="shared" ref="AY111:AZ111" si="685">+AY110/AY91</f>
        <v>0.23245184310602346</v>
      </c>
      <c r="AZ111" s="35">
        <f t="shared" si="685"/>
        <v>0.21761105987878449</v>
      </c>
      <c r="BA111" s="35">
        <f>+BA110/BA91</f>
        <v>0.20866686787329558</v>
      </c>
      <c r="BB111" s="35">
        <f>+BB110/BB91</f>
        <v>0.21324748581139757</v>
      </c>
      <c r="BC111" s="35">
        <f t="shared" ref="BC111:BD111" si="686">+BC110/BC91</f>
        <v>0.145283043210752</v>
      </c>
      <c r="BD111" s="35">
        <f t="shared" si="686"/>
        <v>0.17646197655291496</v>
      </c>
      <c r="BE111" s="35">
        <f>+BE110/BE91</f>
        <v>0.20366114109616754</v>
      </c>
      <c r="BF111" s="35">
        <f>+BF110/BF91</f>
        <v>0.19670726678663022</v>
      </c>
      <c r="BG111" s="35">
        <f t="shared" ref="BG111:BH111" si="687">+BG110/BG91</f>
        <v>0.14549567462994012</v>
      </c>
      <c r="BH111" s="35">
        <f t="shared" si="687"/>
        <v>0.17830620430880331</v>
      </c>
      <c r="BJ111" s="35">
        <f t="shared" ref="BJ111:BO111" si="688">+BJ110/BJ91</f>
        <v>0.21212204063295442</v>
      </c>
      <c r="BK111" s="35">
        <f t="shared" si="688"/>
        <v>0.2029425511537227</v>
      </c>
      <c r="BL111" s="35">
        <f t="shared" si="688"/>
        <v>0.1790340078474626</v>
      </c>
      <c r="BM111" s="35">
        <f t="shared" si="688"/>
        <v>0.23245184091428853</v>
      </c>
      <c r="BN111" s="35">
        <f t="shared" si="688"/>
        <v>0.1566865046606675</v>
      </c>
      <c r="BO111" s="35">
        <f t="shared" si="688"/>
        <v>0.15724247089410073</v>
      </c>
      <c r="BP111" s="35">
        <f t="shared" ref="BP111:BR111" si="689">+BP110/BP91</f>
        <v>0.10056783483175553</v>
      </c>
      <c r="BQ111" s="35">
        <f t="shared" si="689"/>
        <v>0.1452830170582832</v>
      </c>
      <c r="BR111" s="35">
        <f t="shared" si="689"/>
        <v>0.13598447278156384</v>
      </c>
      <c r="BT111" s="1"/>
      <c r="BU111" s="1"/>
    </row>
    <row r="112" spans="2:76" ht="13.5" customHeight="1"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6"/>
      <c r="S112" s="6"/>
      <c r="T112" s="33"/>
      <c r="X112" s="33"/>
      <c r="Y112" s="33"/>
      <c r="AC112" s="33"/>
      <c r="BW112" s="39"/>
      <c r="BX112" s="39"/>
    </row>
    <row r="113" spans="1:76" ht="13.5" customHeight="1">
      <c r="B113" s="140" t="s">
        <v>331</v>
      </c>
      <c r="C113" s="335"/>
      <c r="D113" s="335"/>
      <c r="E113" s="335"/>
      <c r="F113" s="335"/>
      <c r="G113" s="335"/>
      <c r="H113" s="335"/>
      <c r="I113" s="335"/>
      <c r="J113" s="335"/>
      <c r="K113" s="335"/>
      <c r="L113" s="335"/>
      <c r="M113" s="335"/>
      <c r="N113" s="335"/>
      <c r="O113" s="335"/>
      <c r="P113" s="335"/>
      <c r="Q113" s="335"/>
      <c r="R113" s="336"/>
      <c r="S113" s="336"/>
      <c r="T113" s="335"/>
      <c r="U113" s="39"/>
      <c r="V113" s="39"/>
      <c r="W113" s="39"/>
      <c r="X113" s="335"/>
      <c r="Y113" s="335"/>
      <c r="Z113" s="39"/>
      <c r="AA113" s="39"/>
      <c r="AB113" s="39"/>
      <c r="AC113" s="335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  <c r="BP113" s="39"/>
      <c r="BQ113" s="39"/>
      <c r="BR113" s="39"/>
      <c r="BW113" s="39"/>
      <c r="BX113" s="39"/>
    </row>
    <row r="114" spans="1:76" ht="13.5" customHeight="1">
      <c r="A114" s="23"/>
      <c r="B114" s="337" t="s">
        <v>332</v>
      </c>
      <c r="C114" s="338">
        <f t="shared" ref="C114:H114" si="690">-C107/C92*365</f>
        <v>90.871356163727143</v>
      </c>
      <c r="D114" s="338">
        <f t="shared" si="690"/>
        <v>81.111528028421404</v>
      </c>
      <c r="E114" s="338">
        <f t="shared" si="690"/>
        <v>93.707298357512585</v>
      </c>
      <c r="F114" s="338">
        <f t="shared" si="690"/>
        <v>96.249049315863203</v>
      </c>
      <c r="G114" s="338">
        <f t="shared" si="690"/>
        <v>101.1514774910666</v>
      </c>
      <c r="H114" s="338">
        <f t="shared" si="690"/>
        <v>94.778087482415685</v>
      </c>
      <c r="I114" s="338">
        <f>-I107/I92*365</f>
        <v>95.688003558693879</v>
      </c>
      <c r="J114" s="338">
        <f>-J107/J92*365</f>
        <v>128.75661949002236</v>
      </c>
      <c r="K114" s="338">
        <f t="shared" ref="K114" si="691">-K107/K92*365</f>
        <v>113.01893247770542</v>
      </c>
      <c r="L114" s="338">
        <f t="shared" ref="L114:R114" si="692">-L107/L92*365</f>
        <v>98.501736659809922</v>
      </c>
      <c r="M114" s="338">
        <f t="shared" si="692"/>
        <v>95.30167819478919</v>
      </c>
      <c r="N114" s="338">
        <f t="shared" si="692"/>
        <v>95.301676179996463</v>
      </c>
      <c r="O114" s="338">
        <f t="shared" si="692"/>
        <v>84.327177949845463</v>
      </c>
      <c r="P114" s="338">
        <f t="shared" si="692"/>
        <v>84.327163015111935</v>
      </c>
      <c r="Q114" s="338">
        <f t="shared" si="692"/>
        <v>88.017302559537058</v>
      </c>
      <c r="R114" s="338">
        <f t="shared" si="692"/>
        <v>92.843476460007011</v>
      </c>
      <c r="S114" s="338"/>
      <c r="T114" s="339"/>
      <c r="U114" s="338"/>
      <c r="V114" s="338"/>
      <c r="W114" s="338">
        <f t="shared" ref="W114:AB114" si="693">-W107/W92*365</f>
        <v>93.707298357512585</v>
      </c>
      <c r="X114" s="338">
        <f t="shared" si="693"/>
        <v>102.60760512489249</v>
      </c>
      <c r="Y114" s="338">
        <f t="shared" si="693"/>
        <v>103.48349173494945</v>
      </c>
      <c r="Z114" s="338">
        <f t="shared" si="693"/>
        <v>106.89238437030303</v>
      </c>
      <c r="AA114" s="338">
        <f t="shared" si="693"/>
        <v>96.249049315863203</v>
      </c>
      <c r="AB114" s="338">
        <f t="shared" si="693"/>
        <v>106.22851228943766</v>
      </c>
      <c r="AC114" s="338">
        <f t="shared" ref="AC114:AH114" si="694">-AC107/AC92*365</f>
        <v>109.50020507149347</v>
      </c>
      <c r="AD114" s="338">
        <f t="shared" si="694"/>
        <v>130.75337767288687</v>
      </c>
      <c r="AE114" s="338">
        <f t="shared" si="694"/>
        <v>101.1514774910666</v>
      </c>
      <c r="AF114" s="338">
        <f t="shared" si="694"/>
        <v>102.3808746184221</v>
      </c>
      <c r="AG114" s="338">
        <f t="shared" si="694"/>
        <v>107.56439341683119</v>
      </c>
      <c r="AH114" s="338">
        <f t="shared" si="694"/>
        <v>104.06317872789126</v>
      </c>
      <c r="AI114" s="338">
        <f t="shared" ref="AI114:AN114" si="695">-AI107/AI92*365</f>
        <v>94.778087482415685</v>
      </c>
      <c r="AJ114" s="338">
        <f t="shared" si="695"/>
        <v>95.202967281353267</v>
      </c>
      <c r="AK114" s="338">
        <f t="shared" si="695"/>
        <v>97.707270404385696</v>
      </c>
      <c r="AL114" s="338">
        <f t="shared" si="695"/>
        <v>102.99178088295632</v>
      </c>
      <c r="AM114" s="338">
        <f t="shared" si="695"/>
        <v>95.688003558693907</v>
      </c>
      <c r="AN114" s="338">
        <f t="shared" si="695"/>
        <v>122.09907850301146</v>
      </c>
      <c r="AO114" s="338">
        <f t="shared" ref="AO114:AT114" si="696">-AO107/AO92*365</f>
        <v>130.46217993095308</v>
      </c>
      <c r="AP114" s="338">
        <f t="shared" si="696"/>
        <v>119.77321537259142</v>
      </c>
      <c r="AQ114" s="338">
        <f>-AQ107/AQ92*365</f>
        <v>128.75661949002239</v>
      </c>
      <c r="AR114" s="338">
        <f t="shared" si="696"/>
        <v>145.4616130239512</v>
      </c>
      <c r="AS114" s="338">
        <f t="shared" si="696"/>
        <v>144.97192341997899</v>
      </c>
      <c r="AT114" s="338">
        <f t="shared" si="696"/>
        <v>141.09417764941233</v>
      </c>
      <c r="AU114" s="338">
        <f>-AU107/AU92*365</f>
        <v>113.01893247770545</v>
      </c>
      <c r="AV114" s="338">
        <f t="shared" ref="AV114:AX114" si="697">-AV107/AV92*365</f>
        <v>109.75286810367407</v>
      </c>
      <c r="AW114" s="338">
        <f t="shared" si="697"/>
        <v>129.65481545818602</v>
      </c>
      <c r="AX114" s="338">
        <f t="shared" si="697"/>
        <v>126.53925144696517</v>
      </c>
      <c r="AY114" s="338">
        <f t="shared" ref="AY114:BB114" si="698">-AY107/AY92*365</f>
        <v>95.30167819478919</v>
      </c>
      <c r="AZ114" s="338">
        <f t="shared" si="698"/>
        <v>92.241252511082763</v>
      </c>
      <c r="BA114" s="338">
        <f t="shared" si="698"/>
        <v>112.82995111038441</v>
      </c>
      <c r="BB114" s="338">
        <f t="shared" si="698"/>
        <v>104.43900857485865</v>
      </c>
      <c r="BC114" s="338">
        <f t="shared" ref="BC114:BF114" si="699">-BC107/BC92*365</f>
        <v>84.327177949845435</v>
      </c>
      <c r="BD114" s="338">
        <f t="shared" si="699"/>
        <v>95.680551266745738</v>
      </c>
      <c r="BE114" s="338">
        <f t="shared" si="699"/>
        <v>96.303872603712918</v>
      </c>
      <c r="BF114" s="338">
        <f t="shared" si="699"/>
        <v>93.494978091877371</v>
      </c>
      <c r="BG114" s="338">
        <f t="shared" ref="BG114:BH114" si="700">-BG107/BG92*365</f>
        <v>88.017302559537058</v>
      </c>
      <c r="BH114" s="338">
        <f t="shared" si="700"/>
        <v>92.843476460007011</v>
      </c>
      <c r="BI114" s="39"/>
      <c r="BJ114" s="338">
        <f t="shared" ref="BJ114:BL114" si="701">-BJ107/BJ92*365</f>
        <v>90.599818215081896</v>
      </c>
      <c r="BK114" s="338">
        <f t="shared" si="701"/>
        <v>91.45610782061263</v>
      </c>
      <c r="BL114" s="338">
        <f t="shared" si="701"/>
        <v>80.209781329793188</v>
      </c>
      <c r="BM114" s="338">
        <f t="shared" ref="BM114:BN114" si="702">-BM107/BM92*365</f>
        <v>95.301676179996463</v>
      </c>
      <c r="BN114" s="338">
        <f t="shared" si="702"/>
        <v>66.73929049512212</v>
      </c>
      <c r="BO114" s="338">
        <f t="shared" ref="BO114:BR114" si="703">-BO107/BO92*365</f>
        <v>85.41773780228462</v>
      </c>
      <c r="BP114" s="338">
        <f t="shared" si="703"/>
        <v>43.983363097297222</v>
      </c>
      <c r="BQ114" s="338">
        <f t="shared" si="703"/>
        <v>84.327163015111935</v>
      </c>
      <c r="BR114" s="338">
        <f t="shared" si="703"/>
        <v>73.713722596129088</v>
      </c>
      <c r="BW114" s="39"/>
      <c r="BX114" s="39"/>
    </row>
    <row r="115" spans="1:76" ht="13.5" customHeight="1">
      <c r="A115" s="23"/>
      <c r="B115" s="337" t="s">
        <v>333</v>
      </c>
      <c r="C115" s="338">
        <f t="shared" ref="C115:H115" si="704">C108/C91*365</f>
        <v>129.32463658997864</v>
      </c>
      <c r="D115" s="338">
        <f t="shared" si="704"/>
        <v>123.43140490325493</v>
      </c>
      <c r="E115" s="338">
        <f t="shared" si="704"/>
        <v>120.07657379655237</v>
      </c>
      <c r="F115" s="338">
        <f t="shared" si="704"/>
        <v>114.14878103633515</v>
      </c>
      <c r="G115" s="338">
        <f t="shared" si="704"/>
        <v>105.226475915598</v>
      </c>
      <c r="H115" s="338">
        <f t="shared" si="704"/>
        <v>108.7379659544885</v>
      </c>
      <c r="I115" s="338">
        <f>I108/I91*365</f>
        <v>108.49713791550174</v>
      </c>
      <c r="J115" s="338">
        <f>J108/J91*365</f>
        <v>125.32498523086728</v>
      </c>
      <c r="K115" s="338">
        <f t="shared" ref="K115" si="705">K108/K91*365</f>
        <v>93.196560252006051</v>
      </c>
      <c r="L115" s="338">
        <f t="shared" ref="L115:R115" si="706">L108/L91*365</f>
        <v>79.407012982710441</v>
      </c>
      <c r="M115" s="338">
        <f t="shared" si="706"/>
        <v>94.436334451752188</v>
      </c>
      <c r="N115" s="338">
        <f t="shared" si="706"/>
        <v>94.436333451137614</v>
      </c>
      <c r="O115" s="338">
        <f t="shared" si="706"/>
        <v>79.14709001138479</v>
      </c>
      <c r="P115" s="338">
        <f t="shared" si="706"/>
        <v>79.14707583058464</v>
      </c>
      <c r="Q115" s="338">
        <f t="shared" si="706"/>
        <v>81.238747172562441</v>
      </c>
      <c r="R115" s="338">
        <f t="shared" si="706"/>
        <v>89.936580385824001</v>
      </c>
      <c r="S115" s="338"/>
      <c r="T115" s="339"/>
      <c r="U115" s="338"/>
      <c r="V115" s="338"/>
      <c r="W115" s="338">
        <f t="shared" ref="W115:AB115" si="707">W108/W91*365</f>
        <v>120.07657379655237</v>
      </c>
      <c r="X115" s="338">
        <f t="shared" si="707"/>
        <v>120.35326182206718</v>
      </c>
      <c r="Y115" s="338">
        <f t="shared" si="707"/>
        <v>128.70378581264561</v>
      </c>
      <c r="Z115" s="338">
        <f t="shared" si="707"/>
        <v>130.14096909241553</v>
      </c>
      <c r="AA115" s="338">
        <f t="shared" si="707"/>
        <v>114.14878103633515</v>
      </c>
      <c r="AB115" s="338">
        <f t="shared" si="707"/>
        <v>114.2720481211948</v>
      </c>
      <c r="AC115" s="338">
        <f t="shared" ref="AC115:AH115" si="708">AC108/AC91*365</f>
        <v>125.70488700376681</v>
      </c>
      <c r="AD115" s="338">
        <f t="shared" si="708"/>
        <v>136.3798100587741</v>
      </c>
      <c r="AE115" s="338">
        <f t="shared" si="708"/>
        <v>105.226475915598</v>
      </c>
      <c r="AF115" s="338">
        <f t="shared" si="708"/>
        <v>105.31204351458227</v>
      </c>
      <c r="AG115" s="338">
        <f t="shared" si="708"/>
        <v>113.74368438533075</v>
      </c>
      <c r="AH115" s="338">
        <f t="shared" si="708"/>
        <v>112.84835706520531</v>
      </c>
      <c r="AI115" s="338">
        <f t="shared" ref="AI115:AN115" si="709">AI108/AI91*365</f>
        <v>108.7379659544885</v>
      </c>
      <c r="AJ115" s="338">
        <f t="shared" si="709"/>
        <v>101.87584021333889</v>
      </c>
      <c r="AK115" s="338">
        <f t="shared" si="709"/>
        <v>101.51434962722985</v>
      </c>
      <c r="AL115" s="338">
        <f t="shared" si="709"/>
        <v>123.12252392687283</v>
      </c>
      <c r="AM115" s="338">
        <f t="shared" si="709"/>
        <v>108.49713791550174</v>
      </c>
      <c r="AN115" s="338">
        <f t="shared" si="709"/>
        <v>124.60417547711027</v>
      </c>
      <c r="AO115" s="338">
        <f t="shared" ref="AO115:AT115" si="710">AO108/AO91*365</f>
        <v>118.75488354523097</v>
      </c>
      <c r="AP115" s="338">
        <f t="shared" si="710"/>
        <v>119.15550574512156</v>
      </c>
      <c r="AQ115" s="338">
        <f t="shared" si="710"/>
        <v>125.32498523086728</v>
      </c>
      <c r="AR115" s="338">
        <f t="shared" si="710"/>
        <v>126.64854963505195</v>
      </c>
      <c r="AS115" s="338">
        <f t="shared" si="710"/>
        <v>121.95550928505756</v>
      </c>
      <c r="AT115" s="338">
        <f t="shared" si="710"/>
        <v>106.06062599991229</v>
      </c>
      <c r="AU115" s="338">
        <f t="shared" ref="AU115" si="711">AU108/AU91*365</f>
        <v>93.196560252006051</v>
      </c>
      <c r="AV115" s="338">
        <f t="shared" ref="AV115:AX115" si="712">AV108/AV91*365</f>
        <v>99.303048238189248</v>
      </c>
      <c r="AW115" s="338">
        <f t="shared" si="712"/>
        <v>115.08080196125053</v>
      </c>
      <c r="AX115" s="338">
        <f t="shared" si="712"/>
        <v>118.72708723884591</v>
      </c>
      <c r="AY115" s="338">
        <f t="shared" ref="AY115:BB115" si="713">AY108/AY91*365</f>
        <v>94.436334451752188</v>
      </c>
      <c r="AZ115" s="338">
        <f t="shared" si="713"/>
        <v>92.143787407276548</v>
      </c>
      <c r="BA115" s="338">
        <f t="shared" si="713"/>
        <v>110.60890992285401</v>
      </c>
      <c r="BB115" s="338">
        <f t="shared" si="713"/>
        <v>99.936951498041296</v>
      </c>
      <c r="BC115" s="338">
        <f t="shared" ref="BC115:BF115" si="714">BC108/BC91*365</f>
        <v>79.14709001138479</v>
      </c>
      <c r="BD115" s="338">
        <f t="shared" si="714"/>
        <v>88.5068231988447</v>
      </c>
      <c r="BE115" s="338">
        <f t="shared" si="714"/>
        <v>97.229264186264828</v>
      </c>
      <c r="BF115" s="338">
        <f t="shared" si="714"/>
        <v>90.721746108965348</v>
      </c>
      <c r="BG115" s="338">
        <f t="shared" ref="BG115:BH115" si="715">BG108/BG91*365</f>
        <v>81.238747172562441</v>
      </c>
      <c r="BH115" s="338">
        <f t="shared" si="715"/>
        <v>89.936580385824001</v>
      </c>
      <c r="BI115" s="39"/>
      <c r="BJ115" s="338">
        <f t="shared" ref="BJ115:BL115" si="716">BJ108/BJ91*365</f>
        <v>82.776687248835643</v>
      </c>
      <c r="BK115" s="338">
        <f t="shared" si="716"/>
        <v>81.986345969473646</v>
      </c>
      <c r="BL115" s="338">
        <f t="shared" si="716"/>
        <v>77.194259529325151</v>
      </c>
      <c r="BM115" s="338">
        <f t="shared" ref="BM115:BN115" si="717">BM108/BM91*365</f>
        <v>94.436333451137614</v>
      </c>
      <c r="BN115" s="338">
        <f t="shared" si="717"/>
        <v>66.346296843018877</v>
      </c>
      <c r="BO115" s="338">
        <f t="shared" ref="BO115:BR115" si="718">BO108/BO91*365</f>
        <v>83.350167069807256</v>
      </c>
      <c r="BP115" s="338">
        <f t="shared" si="718"/>
        <v>43.361926796160191</v>
      </c>
      <c r="BQ115" s="338">
        <f t="shared" si="718"/>
        <v>79.14707583058464</v>
      </c>
      <c r="BR115" s="338">
        <f t="shared" si="718"/>
        <v>68.204799273893016</v>
      </c>
      <c r="BW115" s="39"/>
      <c r="BX115" s="39"/>
    </row>
    <row r="116" spans="1:76" ht="13.5" customHeight="1">
      <c r="A116" s="23"/>
      <c r="B116" s="337" t="s">
        <v>334</v>
      </c>
      <c r="C116" s="338">
        <f t="shared" ref="C116:H116" si="719">-C109/C92*365</f>
        <v>76.181724367123877</v>
      </c>
      <c r="D116" s="338">
        <f t="shared" si="719"/>
        <v>79.229222175598096</v>
      </c>
      <c r="E116" s="338">
        <f t="shared" si="719"/>
        <v>104.71568417639308</v>
      </c>
      <c r="F116" s="338">
        <f t="shared" si="719"/>
        <v>91.045390484745297</v>
      </c>
      <c r="G116" s="338">
        <f t="shared" si="719"/>
        <v>94.128636670007154</v>
      </c>
      <c r="H116" s="338">
        <f t="shared" si="719"/>
        <v>93.66517636714967</v>
      </c>
      <c r="I116" s="338">
        <f>-I109/I92*365</f>
        <v>130.07036216138926</v>
      </c>
      <c r="J116" s="338">
        <f>-J109/J92*365</f>
        <v>150.48804070976934</v>
      </c>
      <c r="K116" s="338">
        <f t="shared" ref="K116" si="720">-K109/K92*365</f>
        <v>119.55340775437763</v>
      </c>
      <c r="L116" s="338">
        <f t="shared" ref="L116:R116" si="721">-L109/L92*365</f>
        <v>98.671589063964646</v>
      </c>
      <c r="M116" s="338">
        <f t="shared" si="721"/>
        <v>108.87151003908933</v>
      </c>
      <c r="N116" s="338">
        <f t="shared" si="721"/>
        <v>108.87150777190159</v>
      </c>
      <c r="O116" s="338">
        <f t="shared" si="721"/>
        <v>120.38223966010572</v>
      </c>
      <c r="P116" s="338">
        <f t="shared" si="721"/>
        <v>120.38221836001495</v>
      </c>
      <c r="Q116" s="338">
        <f t="shared" si="721"/>
        <v>127.51915920020743</v>
      </c>
      <c r="R116" s="338">
        <f t="shared" si="721"/>
        <v>127.87424511218295</v>
      </c>
      <c r="S116" s="338"/>
      <c r="T116" s="339"/>
      <c r="U116" s="338"/>
      <c r="V116" s="338"/>
      <c r="W116" s="338">
        <f t="shared" ref="W116:AB116" si="722">-W109/W92*365</f>
        <v>104.71568417639308</v>
      </c>
      <c r="X116" s="338">
        <f t="shared" si="722"/>
        <v>99.478793235666998</v>
      </c>
      <c r="Y116" s="338">
        <f t="shared" si="722"/>
        <v>100.67033111887594</v>
      </c>
      <c r="Z116" s="338">
        <f t="shared" si="722"/>
        <v>104.8410391591585</v>
      </c>
      <c r="AA116" s="338">
        <f t="shared" si="722"/>
        <v>91.045390484745297</v>
      </c>
      <c r="AB116" s="338">
        <f t="shared" si="722"/>
        <v>94.347673351417086</v>
      </c>
      <c r="AC116" s="338">
        <f t="shared" ref="AC116:AH116" si="723">-AC109/AC92*365</f>
        <v>106.20740205508341</v>
      </c>
      <c r="AD116" s="338">
        <f t="shared" si="723"/>
        <v>127.45249971044599</v>
      </c>
      <c r="AE116" s="338">
        <f t="shared" si="723"/>
        <v>94.128636670007154</v>
      </c>
      <c r="AF116" s="338">
        <f t="shared" si="723"/>
        <v>99.93999753281706</v>
      </c>
      <c r="AG116" s="338">
        <f t="shared" si="723"/>
        <v>109.72583665662302</v>
      </c>
      <c r="AH116" s="338">
        <f t="shared" si="723"/>
        <v>102.1761627259939</v>
      </c>
      <c r="AI116" s="338">
        <f t="shared" ref="AI116:AN116" si="724">-AI109/AI92*365</f>
        <v>93.66517636714967</v>
      </c>
      <c r="AJ116" s="338">
        <f t="shared" si="724"/>
        <v>91.231781902929754</v>
      </c>
      <c r="AK116" s="338">
        <f t="shared" si="724"/>
        <v>94.288253253998946</v>
      </c>
      <c r="AL116" s="338">
        <f t="shared" si="724"/>
        <v>132.85105766749368</v>
      </c>
      <c r="AM116" s="338">
        <f t="shared" si="724"/>
        <v>130.07036216138928</v>
      </c>
      <c r="AN116" s="338">
        <f t="shared" si="724"/>
        <v>146.45607043806262</v>
      </c>
      <c r="AO116" s="338">
        <f t="shared" ref="AO116:AT116" si="725">-AO109/AO92*365</f>
        <v>146.63674201106295</v>
      </c>
      <c r="AP116" s="338">
        <f t="shared" si="725"/>
        <v>133.85347567892265</v>
      </c>
      <c r="AQ116" s="338">
        <f t="shared" si="725"/>
        <v>150.48804070976936</v>
      </c>
      <c r="AR116" s="338">
        <f t="shared" si="725"/>
        <v>170.13509736686831</v>
      </c>
      <c r="AS116" s="338">
        <f t="shared" si="725"/>
        <v>154.73741886546847</v>
      </c>
      <c r="AT116" s="338">
        <f t="shared" si="725"/>
        <v>137.71557500479344</v>
      </c>
      <c r="AU116" s="338">
        <f t="shared" ref="AU116" si="726">-AU109/AU92*365</f>
        <v>119.55340775437764</v>
      </c>
      <c r="AV116" s="338">
        <f t="shared" ref="AV116:AX116" si="727">-AV109/AV92*365</f>
        <v>118.88317587307756</v>
      </c>
      <c r="AW116" s="338">
        <f t="shared" si="727"/>
        <v>145.60122882609841</v>
      </c>
      <c r="AX116" s="338">
        <f t="shared" si="727"/>
        <v>153.10307180957449</v>
      </c>
      <c r="AY116" s="338">
        <f t="shared" ref="AY116:BB116" si="728">-AY109/AY92*365</f>
        <v>108.87151003908936</v>
      </c>
      <c r="AZ116" s="338">
        <f t="shared" si="728"/>
        <v>110.19095061938887</v>
      </c>
      <c r="BA116" s="338">
        <f t="shared" si="728"/>
        <v>160.89910940691527</v>
      </c>
      <c r="BB116" s="338">
        <f t="shared" si="728"/>
        <v>134.78209660076817</v>
      </c>
      <c r="BC116" s="338">
        <f t="shared" ref="BC116:BF116" si="729">-BC109/BC92*365</f>
        <v>120.38223966010571</v>
      </c>
      <c r="BD116" s="338">
        <f t="shared" si="729"/>
        <v>128.91401842437824</v>
      </c>
      <c r="BE116" s="338">
        <f t="shared" si="729"/>
        <v>127.95783826165685</v>
      </c>
      <c r="BF116" s="338">
        <f t="shared" si="729"/>
        <v>119.88335724832724</v>
      </c>
      <c r="BG116" s="338">
        <f t="shared" ref="BG116:BH116" si="730">-BG109/BG92*365</f>
        <v>127.51915920020743</v>
      </c>
      <c r="BH116" s="338">
        <f t="shared" si="730"/>
        <v>127.87424511218295</v>
      </c>
      <c r="BI116" s="39"/>
      <c r="BJ116" s="338">
        <f t="shared" ref="BJ116:BL116" si="731">-BJ109/BJ92*365</f>
        <v>98.13678958037066</v>
      </c>
      <c r="BK116" s="338">
        <f t="shared" si="731"/>
        <v>102.70441275378487</v>
      </c>
      <c r="BL116" s="338">
        <f t="shared" si="731"/>
        <v>97.047862780447332</v>
      </c>
      <c r="BM116" s="338">
        <f t="shared" ref="BM116:BN116" si="732">-BM109/BM92*365</f>
        <v>108.87150777190159</v>
      </c>
      <c r="BN116" s="338">
        <f t="shared" si="732"/>
        <v>79.726431104537113</v>
      </c>
      <c r="BO116" s="338">
        <f t="shared" ref="BO116:BR116" si="733">-BO109/BO92*365</f>
        <v>121.80841881687287</v>
      </c>
      <c r="BP116" s="338">
        <f t="shared" si="733"/>
        <v>53.216594232299684</v>
      </c>
      <c r="BQ116" s="338">
        <f t="shared" si="733"/>
        <v>120.38221836001495</v>
      </c>
      <c r="BR116" s="338">
        <f t="shared" si="733"/>
        <v>99.317280963342597</v>
      </c>
      <c r="BW116" s="39"/>
      <c r="BX116" s="39"/>
    </row>
    <row r="117" spans="1:76" ht="13.5" customHeight="1">
      <c r="B117" s="39"/>
      <c r="C117" s="335"/>
      <c r="D117" s="335"/>
      <c r="E117" s="335"/>
      <c r="F117" s="335"/>
      <c r="G117" s="335"/>
      <c r="H117" s="335"/>
      <c r="I117" s="335"/>
      <c r="J117" s="335"/>
      <c r="K117" s="335"/>
      <c r="L117" s="335"/>
      <c r="M117" s="335"/>
      <c r="N117" s="335"/>
      <c r="O117" s="335"/>
      <c r="P117" s="335"/>
      <c r="Q117" s="335"/>
      <c r="R117" s="336"/>
      <c r="S117" s="336"/>
      <c r="T117" s="335"/>
      <c r="U117" s="39"/>
      <c r="V117" s="39"/>
      <c r="W117" s="39"/>
      <c r="X117" s="335"/>
      <c r="Y117" s="335"/>
      <c r="Z117" s="39"/>
      <c r="AA117" s="39"/>
      <c r="AB117" s="39"/>
      <c r="AC117" s="335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  <c r="BP117" s="39"/>
      <c r="BQ117" s="39"/>
      <c r="BR117" s="39"/>
      <c r="BW117" s="39"/>
      <c r="BX117" s="39"/>
    </row>
    <row r="118" spans="1:76" ht="13.5" customHeight="1">
      <c r="B118" s="140" t="s">
        <v>335</v>
      </c>
      <c r="C118" s="335"/>
      <c r="D118" s="335"/>
      <c r="E118" s="335"/>
      <c r="F118" s="335"/>
      <c r="G118" s="335"/>
      <c r="H118" s="335"/>
      <c r="I118" s="335"/>
      <c r="J118" s="335"/>
      <c r="K118" s="335"/>
      <c r="L118" s="335"/>
      <c r="M118" s="335"/>
      <c r="N118" s="335"/>
      <c r="O118" s="335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  <c r="BP118" s="39"/>
      <c r="BQ118" s="39"/>
      <c r="BR118" s="39"/>
      <c r="BW118" s="39"/>
      <c r="BX118" s="39"/>
    </row>
    <row r="119" spans="1:76" ht="13.5" customHeight="1">
      <c r="B119" s="337" t="s">
        <v>332</v>
      </c>
      <c r="C119" s="338">
        <f t="shared" ref="C119:H119" si="734">-C107/C92*365</f>
        <v>90.871356163727143</v>
      </c>
      <c r="D119" s="338">
        <f t="shared" si="734"/>
        <v>81.111528028421404</v>
      </c>
      <c r="E119" s="338">
        <f t="shared" si="734"/>
        <v>93.707298357512585</v>
      </c>
      <c r="F119" s="338">
        <f t="shared" si="734"/>
        <v>96.249049315863203</v>
      </c>
      <c r="G119" s="338">
        <f t="shared" si="734"/>
        <v>101.1514774910666</v>
      </c>
      <c r="H119" s="338">
        <f t="shared" si="734"/>
        <v>94.778087482415685</v>
      </c>
      <c r="I119" s="338">
        <f>-I107/I92*365</f>
        <v>95.688003558693879</v>
      </c>
      <c r="J119" s="338">
        <f>-J107/J92*365</f>
        <v>128.75661949002236</v>
      </c>
      <c r="K119" s="338">
        <f t="shared" ref="K119" si="735">-K107/K92*365</f>
        <v>113.01893247770542</v>
      </c>
      <c r="L119" s="338">
        <f t="shared" ref="L119:R119" si="736">-L107/L92*365</f>
        <v>98.501736659809922</v>
      </c>
      <c r="M119" s="338">
        <f t="shared" si="736"/>
        <v>95.30167819478919</v>
      </c>
      <c r="N119" s="338">
        <f t="shared" si="736"/>
        <v>95.301676179996463</v>
      </c>
      <c r="O119" s="338">
        <f t="shared" si="736"/>
        <v>84.327177949845463</v>
      </c>
      <c r="P119" s="338">
        <f t="shared" si="736"/>
        <v>84.327163015111935</v>
      </c>
      <c r="Q119" s="338">
        <f t="shared" si="736"/>
        <v>88.017302559537058</v>
      </c>
      <c r="R119" s="338">
        <f t="shared" si="736"/>
        <v>92.843476460007011</v>
      </c>
      <c r="S119" s="338"/>
      <c r="T119" s="338">
        <f t="shared" ref="T119:BH119" si="737">-T107/T9*365/4</f>
        <v>88.173781619313402</v>
      </c>
      <c r="U119" s="338">
        <f t="shared" si="737"/>
        <v>80.893891627146374</v>
      </c>
      <c r="V119" s="338">
        <f t="shared" si="737"/>
        <v>80.499992377541986</v>
      </c>
      <c r="W119" s="338">
        <f t="shared" si="737"/>
        <v>81.442627467583705</v>
      </c>
      <c r="X119" s="338">
        <f t="shared" si="737"/>
        <v>94.108519002437021</v>
      </c>
      <c r="Y119" s="338">
        <f t="shared" si="737"/>
        <v>92.067550854311349</v>
      </c>
      <c r="Z119" s="338">
        <f t="shared" si="737"/>
        <v>96.909312872427265</v>
      </c>
      <c r="AA119" s="338">
        <f t="shared" si="737"/>
        <v>87.179625675896659</v>
      </c>
      <c r="AB119" s="338">
        <f t="shared" si="737"/>
        <v>108.30130955246057</v>
      </c>
      <c r="AC119" s="338">
        <f t="shared" si="737"/>
        <v>95.560888878996849</v>
      </c>
      <c r="AD119" s="338">
        <f t="shared" si="737"/>
        <v>109.13044390123959</v>
      </c>
      <c r="AE119" s="338">
        <f t="shared" si="737"/>
        <v>92.77720123071316</v>
      </c>
      <c r="AF119" s="338">
        <f t="shared" si="737"/>
        <v>106.42420193375733</v>
      </c>
      <c r="AG119" s="338">
        <f t="shared" si="737"/>
        <v>95.941222165017237</v>
      </c>
      <c r="AH119" s="338">
        <f t="shared" si="737"/>
        <v>98.83318816183079</v>
      </c>
      <c r="AI119" s="338">
        <f t="shared" si="737"/>
        <v>89.905391475583997</v>
      </c>
      <c r="AJ119" s="338">
        <f t="shared" si="737"/>
        <v>100.2317323639904</v>
      </c>
      <c r="AK119" s="338">
        <f t="shared" si="737"/>
        <v>99.04377134499272</v>
      </c>
      <c r="AL119" s="338">
        <f t="shared" si="737"/>
        <v>79.898688073055041</v>
      </c>
      <c r="AM119" s="338">
        <f t="shared" si="737"/>
        <v>75.794074809650198</v>
      </c>
      <c r="AN119" s="338">
        <f t="shared" si="737"/>
        <v>108.68186661478241</v>
      </c>
      <c r="AO119" s="338">
        <f t="shared" si="737"/>
        <v>112.55084727127542</v>
      </c>
      <c r="AP119" s="338">
        <f t="shared" si="737"/>
        <v>92.452005133541178</v>
      </c>
      <c r="AQ119" s="338">
        <f t="shared" si="737"/>
        <v>95.726584863079225</v>
      </c>
      <c r="AR119" s="338">
        <f t="shared" si="737"/>
        <v>109.56215077510382</v>
      </c>
      <c r="AS119" s="338">
        <f t="shared" si="737"/>
        <v>113.62154046999113</v>
      </c>
      <c r="AT119" s="338">
        <f t="shared" si="737"/>
        <v>119.51295051173474</v>
      </c>
      <c r="AU119" s="338">
        <f t="shared" si="737"/>
        <v>95.914478057754735</v>
      </c>
      <c r="AV119" s="338">
        <f t="shared" si="737"/>
        <v>102.28239340417508</v>
      </c>
      <c r="AW119" s="338">
        <f t="shared" si="737"/>
        <v>113.25304279664681</v>
      </c>
      <c r="AX119" s="338">
        <f t="shared" si="737"/>
        <v>102.14615668857996</v>
      </c>
      <c r="AY119" s="338">
        <f t="shared" si="737"/>
        <v>52.064739052694449</v>
      </c>
      <c r="AZ119" s="338">
        <f t="shared" si="737"/>
        <v>93.056108355651389</v>
      </c>
      <c r="BA119" s="338">
        <f t="shared" si="737"/>
        <v>94.67561797364958</v>
      </c>
      <c r="BB119" s="338">
        <f t="shared" si="737"/>
        <v>95.940330991456662</v>
      </c>
      <c r="BC119" s="338">
        <f t="shared" si="737"/>
        <v>60.266865589372195</v>
      </c>
      <c r="BD119" s="338">
        <f t="shared" si="737"/>
        <v>103.70069169222438</v>
      </c>
      <c r="BE119" s="338">
        <f t="shared" si="737"/>
        <v>97.226553991233089</v>
      </c>
      <c r="BF119" s="338">
        <f t="shared" si="737"/>
        <v>95.754496053122963</v>
      </c>
      <c r="BG119" s="338">
        <f t="shared" si="737"/>
        <v>68.342499754453968</v>
      </c>
      <c r="BH119" s="338">
        <f t="shared" si="737"/>
        <v>98.160358107263235</v>
      </c>
      <c r="BI119" s="39"/>
      <c r="BJ119" s="338">
        <f t="shared" ref="BJ119:BR119" si="738">-BJ107/BJ9*365/4</f>
        <v>57.203211824688218</v>
      </c>
      <c r="BK119" s="338">
        <f t="shared" si="738"/>
        <v>63.565654301692192</v>
      </c>
      <c r="BL119" s="338">
        <f t="shared" si="738"/>
        <v>61.027522693370983</v>
      </c>
      <c r="BM119" s="338">
        <f t="shared" si="738"/>
        <v>68.838375556226737</v>
      </c>
      <c r="BN119" s="338">
        <f t="shared" si="738"/>
        <v>67.381266113636116</v>
      </c>
      <c r="BO119" s="338">
        <f t="shared" si="738"/>
        <v>70.10480819582861</v>
      </c>
      <c r="BP119" s="338">
        <f t="shared" si="738"/>
        <v>38.670182674912681</v>
      </c>
      <c r="BQ119" s="338">
        <f t="shared" si="738"/>
        <v>64.138879742362505</v>
      </c>
      <c r="BR119" s="338">
        <f t="shared" si="738"/>
        <v>79.24219884059417</v>
      </c>
      <c r="BW119" s="39"/>
      <c r="BX119" s="39"/>
    </row>
    <row r="120" spans="1:76" ht="13.5" customHeight="1">
      <c r="B120" s="337" t="s">
        <v>333</v>
      </c>
      <c r="C120" s="338">
        <f t="shared" ref="C120:H120" si="739">C108/C91*365</f>
        <v>129.32463658997864</v>
      </c>
      <c r="D120" s="338">
        <f t="shared" si="739"/>
        <v>123.43140490325493</v>
      </c>
      <c r="E120" s="338">
        <f t="shared" si="739"/>
        <v>120.07657379655237</v>
      </c>
      <c r="F120" s="338">
        <f t="shared" si="739"/>
        <v>114.14878103633515</v>
      </c>
      <c r="G120" s="338">
        <f t="shared" si="739"/>
        <v>105.226475915598</v>
      </c>
      <c r="H120" s="338">
        <f t="shared" si="739"/>
        <v>108.7379659544885</v>
      </c>
      <c r="I120" s="338">
        <f>I108/I91*365</f>
        <v>108.49713791550174</v>
      </c>
      <c r="J120" s="338">
        <f>J108/J91*365</f>
        <v>125.32498523086728</v>
      </c>
      <c r="K120" s="338">
        <f t="shared" ref="K120" si="740">K108/K91*365</f>
        <v>93.196560252006051</v>
      </c>
      <c r="L120" s="338">
        <f t="shared" ref="L120:R120" si="741">L108/L91*365</f>
        <v>79.407012982710441</v>
      </c>
      <c r="M120" s="338">
        <f t="shared" si="741"/>
        <v>94.436334451752188</v>
      </c>
      <c r="N120" s="338">
        <f t="shared" si="741"/>
        <v>94.436333451137614</v>
      </c>
      <c r="O120" s="338">
        <f t="shared" si="741"/>
        <v>79.14709001138479</v>
      </c>
      <c r="P120" s="338">
        <f t="shared" si="741"/>
        <v>79.14707583058464</v>
      </c>
      <c r="Q120" s="338">
        <f t="shared" si="741"/>
        <v>81.238747172562441</v>
      </c>
      <c r="R120" s="338">
        <f t="shared" si="741"/>
        <v>89.936580385824001</v>
      </c>
      <c r="S120" s="338"/>
      <c r="T120" s="338">
        <f t="shared" ref="T120:BH120" si="742">T108/T7*365/4</f>
        <v>116.17551451488028</v>
      </c>
      <c r="U120" s="338">
        <f t="shared" si="742"/>
        <v>115.86032657449472</v>
      </c>
      <c r="V120" s="338">
        <f t="shared" si="742"/>
        <v>117.87845179487456</v>
      </c>
      <c r="W120" s="338">
        <f t="shared" si="742"/>
        <v>106.76113042206362</v>
      </c>
      <c r="X120" s="338">
        <f t="shared" si="742"/>
        <v>111.69189231967</v>
      </c>
      <c r="Y120" s="338">
        <f t="shared" si="742"/>
        <v>116.37138646576607</v>
      </c>
      <c r="Z120" s="338">
        <f t="shared" si="742"/>
        <v>117.5950424295124</v>
      </c>
      <c r="AA120" s="338">
        <f t="shared" si="742"/>
        <v>104.23533678416842</v>
      </c>
      <c r="AB120" s="338">
        <f t="shared" si="742"/>
        <v>116.21745377604636</v>
      </c>
      <c r="AC120" s="338">
        <f t="shared" si="742"/>
        <v>110.70489813791472</v>
      </c>
      <c r="AD120" s="338">
        <f t="shared" si="742"/>
        <v>111.6226834914867</v>
      </c>
      <c r="AE120" s="338">
        <f t="shared" si="742"/>
        <v>95.459720569626526</v>
      </c>
      <c r="AF120" s="338">
        <f t="shared" si="742"/>
        <v>108.80492667002503</v>
      </c>
      <c r="AG120" s="338">
        <f t="shared" si="742"/>
        <v>102.70899084555506</v>
      </c>
      <c r="AH120" s="338">
        <f t="shared" si="742"/>
        <v>106.0268003047799</v>
      </c>
      <c r="AI120" s="338">
        <f t="shared" si="742"/>
        <v>103.79083311568816</v>
      </c>
      <c r="AJ120" s="338">
        <f t="shared" si="742"/>
        <v>107.57139723216962</v>
      </c>
      <c r="AK120" s="338">
        <f t="shared" si="742"/>
        <v>104.37605901920155</v>
      </c>
      <c r="AL120" s="338">
        <f t="shared" si="742"/>
        <v>92.572427544289695</v>
      </c>
      <c r="AM120" s="338">
        <f t="shared" si="742"/>
        <v>83.139423256111826</v>
      </c>
      <c r="AN120" s="338">
        <f t="shared" si="742"/>
        <v>110.57715899195721</v>
      </c>
      <c r="AO120" s="338">
        <f t="shared" si="742"/>
        <v>107.83364692240087</v>
      </c>
      <c r="AP120" s="338">
        <f t="shared" si="742"/>
        <v>96.847693892552655</v>
      </c>
      <c r="AQ120" s="338">
        <f t="shared" si="742"/>
        <v>94.868691911447669</v>
      </c>
      <c r="AR120" s="338">
        <f t="shared" si="742"/>
        <v>93.718137918460528</v>
      </c>
      <c r="AS120" s="338">
        <f t="shared" si="742"/>
        <v>95.450700020334523</v>
      </c>
      <c r="AT120" s="338">
        <f t="shared" si="742"/>
        <v>90.752603774383573</v>
      </c>
      <c r="AU120" s="338">
        <f t="shared" si="742"/>
        <v>79.611291356781052</v>
      </c>
      <c r="AV120" s="338">
        <f t="shared" si="742"/>
        <v>90.638280110009731</v>
      </c>
      <c r="AW120" s="338">
        <f t="shared" si="742"/>
        <v>98.224702320918951</v>
      </c>
      <c r="AX120" s="338">
        <f t="shared" si="742"/>
        <v>93.937496426141095</v>
      </c>
      <c r="AY120" s="338">
        <f t="shared" si="742"/>
        <v>54.173821441997312</v>
      </c>
      <c r="AZ120" s="338">
        <f t="shared" si="742"/>
        <v>92.276599167502951</v>
      </c>
      <c r="BA120" s="338">
        <f t="shared" si="742"/>
        <v>93.671083648711644</v>
      </c>
      <c r="BB120" s="338">
        <f t="shared" si="742"/>
        <v>92.759584138349453</v>
      </c>
      <c r="BC120" s="338">
        <f t="shared" si="742"/>
        <v>56.792621468049049</v>
      </c>
      <c r="BD120" s="338">
        <f t="shared" si="742"/>
        <v>94.373214977006185</v>
      </c>
      <c r="BE120" s="338">
        <f t="shared" si="742"/>
        <v>97.174309548883357</v>
      </c>
      <c r="BF120" s="338">
        <f t="shared" si="742"/>
        <v>91.897664534854968</v>
      </c>
      <c r="BG120" s="338">
        <f t="shared" si="742"/>
        <v>62.961615929433343</v>
      </c>
      <c r="BH120" s="338">
        <f t="shared" si="742"/>
        <v>94.078953077138479</v>
      </c>
      <c r="BI120" s="39"/>
      <c r="BJ120" s="338">
        <f t="shared" ref="BJ120:BR120" si="743">BJ108/BJ7*365/4</f>
        <v>52.42487877723191</v>
      </c>
      <c r="BK120" s="338">
        <f t="shared" si="743"/>
        <v>55.848231530023746</v>
      </c>
      <c r="BL120" s="338">
        <f t="shared" si="743"/>
        <v>59.027686923893413</v>
      </c>
      <c r="BM120" s="338">
        <f t="shared" si="743"/>
        <v>68.998242850506287</v>
      </c>
      <c r="BN120" s="338">
        <f t="shared" si="743"/>
        <v>66.8168288334398</v>
      </c>
      <c r="BO120" s="338">
        <f t="shared" si="743"/>
        <v>69.360977218520262</v>
      </c>
      <c r="BP120" s="338">
        <f t="shared" si="743"/>
        <v>38.929809345135155</v>
      </c>
      <c r="BQ120" s="338">
        <f t="shared" si="743"/>
        <v>60.496311092745692</v>
      </c>
      <c r="BR120" s="338">
        <f t="shared" si="743"/>
        <v>72.114669465892547</v>
      </c>
      <c r="BW120" s="39"/>
      <c r="BX120" s="39"/>
    </row>
    <row r="121" spans="1:76" ht="13.5" customHeight="1">
      <c r="B121" s="337" t="s">
        <v>334</v>
      </c>
      <c r="C121" s="338">
        <f t="shared" ref="C121:H121" si="744">-C109/C92*365</f>
        <v>76.181724367123877</v>
      </c>
      <c r="D121" s="338">
        <f t="shared" si="744"/>
        <v>79.229222175598096</v>
      </c>
      <c r="E121" s="338">
        <f t="shared" si="744"/>
        <v>104.71568417639308</v>
      </c>
      <c r="F121" s="338">
        <f t="shared" si="744"/>
        <v>91.045390484745297</v>
      </c>
      <c r="G121" s="338">
        <f t="shared" si="744"/>
        <v>94.128636670007154</v>
      </c>
      <c r="H121" s="338">
        <f t="shared" si="744"/>
        <v>93.66517636714967</v>
      </c>
      <c r="I121" s="338">
        <f>-I109/I92*365</f>
        <v>130.07036216138926</v>
      </c>
      <c r="J121" s="338">
        <f>-J109/J92*365</f>
        <v>150.48804070976934</v>
      </c>
      <c r="K121" s="338">
        <f t="shared" ref="K121" si="745">-K109/K92*365</f>
        <v>119.55340775437763</v>
      </c>
      <c r="L121" s="338">
        <f t="shared" ref="L121:R121" si="746">-L109/L92*365</f>
        <v>98.671589063964646</v>
      </c>
      <c r="M121" s="338">
        <f t="shared" si="746"/>
        <v>108.87151003908933</v>
      </c>
      <c r="N121" s="338">
        <f t="shared" si="746"/>
        <v>108.87150777190159</v>
      </c>
      <c r="O121" s="338">
        <f t="shared" si="746"/>
        <v>120.38223966010572</v>
      </c>
      <c r="P121" s="338">
        <f t="shared" si="746"/>
        <v>120.38221836001495</v>
      </c>
      <c r="Q121" s="338">
        <f t="shared" si="746"/>
        <v>127.51915920020743</v>
      </c>
      <c r="R121" s="338">
        <f t="shared" si="746"/>
        <v>127.87424511218295</v>
      </c>
      <c r="S121" s="338"/>
      <c r="T121" s="338">
        <f t="shared" ref="T121:BH121" si="747">-T109/T9*365/4</f>
        <v>76.58862032567292</v>
      </c>
      <c r="U121" s="338">
        <f t="shared" si="747"/>
        <v>84.218025297586507</v>
      </c>
      <c r="V121" s="338">
        <f t="shared" si="747"/>
        <v>83.617729231189699</v>
      </c>
      <c r="W121" s="338">
        <f t="shared" si="747"/>
        <v>91.010205244140508</v>
      </c>
      <c r="X121" s="338">
        <f t="shared" si="747"/>
        <v>91.238869596100798</v>
      </c>
      <c r="Y121" s="338">
        <f t="shared" si="747"/>
        <v>89.56472838727413</v>
      </c>
      <c r="Z121" s="338">
        <f t="shared" si="747"/>
        <v>95.04955030798223</v>
      </c>
      <c r="AA121" s="338">
        <f t="shared" si="747"/>
        <v>82.466300897454786</v>
      </c>
      <c r="AB121" s="338">
        <f t="shared" si="747"/>
        <v>96.188644244076784</v>
      </c>
      <c r="AC121" s="338">
        <f t="shared" si="747"/>
        <v>92.687257884916576</v>
      </c>
      <c r="AD121" s="338">
        <f t="shared" si="747"/>
        <v>106.37543838079949</v>
      </c>
      <c r="AE121" s="338">
        <f t="shared" si="747"/>
        <v>86.33577761310714</v>
      </c>
      <c r="AF121" s="338">
        <f t="shared" si="747"/>
        <v>103.88692730290386</v>
      </c>
      <c r="AG121" s="338">
        <f t="shared" si="747"/>
        <v>97.869104612718502</v>
      </c>
      <c r="AH121" s="338">
        <f t="shared" si="747"/>
        <v>97.041009507865439</v>
      </c>
      <c r="AI121" s="338">
        <f t="shared" si="747"/>
        <v>88.849696935281287</v>
      </c>
      <c r="AJ121" s="338">
        <f t="shared" si="747"/>
        <v>96.050782952596421</v>
      </c>
      <c r="AK121" s="338">
        <f t="shared" si="747"/>
        <v>95.57798674712194</v>
      </c>
      <c r="AL121" s="338">
        <f t="shared" si="747"/>
        <v>103.06283788619382</v>
      </c>
      <c r="AM121" s="338">
        <f t="shared" si="747"/>
        <v>103.02819991569274</v>
      </c>
      <c r="AN121" s="338">
        <f t="shared" si="747"/>
        <v>130.36231974414221</v>
      </c>
      <c r="AO121" s="338">
        <f t="shared" si="747"/>
        <v>126.50478141005559</v>
      </c>
      <c r="AP121" s="338">
        <f t="shared" si="747"/>
        <v>103.3204475818218</v>
      </c>
      <c r="AQ121" s="338">
        <f t="shared" si="747"/>
        <v>111.88322788327464</v>
      </c>
      <c r="AR121" s="338">
        <f t="shared" si="747"/>
        <v>128.14629786056707</v>
      </c>
      <c r="AS121" s="338">
        <f t="shared" si="747"/>
        <v>121.27523374930841</v>
      </c>
      <c r="AT121" s="338">
        <f t="shared" si="747"/>
        <v>116.6511260382368</v>
      </c>
      <c r="AU121" s="338">
        <f t="shared" si="747"/>
        <v>101.46001606455684</v>
      </c>
      <c r="AV121" s="338">
        <f t="shared" si="747"/>
        <v>110.79123465185144</v>
      </c>
      <c r="AW121" s="338">
        <f t="shared" si="747"/>
        <v>127.18218094108875</v>
      </c>
      <c r="AX121" s="338">
        <f t="shared" si="747"/>
        <v>123.58924352510687</v>
      </c>
      <c r="AY121" s="338">
        <f t="shared" si="747"/>
        <v>59.478142125391436</v>
      </c>
      <c r="AZ121" s="338">
        <f t="shared" si="747"/>
        <v>111.16437343929253</v>
      </c>
      <c r="BA121" s="338">
        <f t="shared" si="747"/>
        <v>135.01045125515037</v>
      </c>
      <c r="BB121" s="338">
        <f t="shared" si="747"/>
        <v>123.81426380863832</v>
      </c>
      <c r="BC121" s="338">
        <f t="shared" si="747"/>
        <v>86.034662054719917</v>
      </c>
      <c r="BD121" s="338">
        <f t="shared" si="747"/>
        <v>139.71985635996708</v>
      </c>
      <c r="BE121" s="338">
        <f t="shared" si="747"/>
        <v>129.18379431679057</v>
      </c>
      <c r="BF121" s="338">
        <f t="shared" si="747"/>
        <v>122.7806101755468</v>
      </c>
      <c r="BG121" s="338">
        <f t="shared" si="747"/>
        <v>99.014373911690015</v>
      </c>
      <c r="BH121" s="338">
        <f t="shared" si="747"/>
        <v>135.19723917613939</v>
      </c>
      <c r="BI121" s="39"/>
      <c r="BJ121" s="338">
        <f t="shared" ref="BJ121:BR121" si="748">-BJ109/BJ9*365/4</f>
        <v>61.961929645751717</v>
      </c>
      <c r="BK121" s="338">
        <f t="shared" si="748"/>
        <v>71.38367630044705</v>
      </c>
      <c r="BL121" s="338">
        <f t="shared" si="748"/>
        <v>73.838758191166022</v>
      </c>
      <c r="BM121" s="338">
        <f t="shared" si="748"/>
        <v>78.64014611054553</v>
      </c>
      <c r="BN121" s="338">
        <f t="shared" si="748"/>
        <v>80.493332049101241</v>
      </c>
      <c r="BO121" s="338">
        <f t="shared" si="748"/>
        <v>99.971692736232072</v>
      </c>
      <c r="BP121" s="338">
        <f t="shared" si="748"/>
        <v>46.788041554425625</v>
      </c>
      <c r="BQ121" s="338">
        <f t="shared" si="748"/>
        <v>91.562200724434874</v>
      </c>
      <c r="BR121" s="338">
        <f t="shared" si="748"/>
        <v>106.76600569373001</v>
      </c>
      <c r="BW121" s="39"/>
      <c r="BX121" s="39"/>
    </row>
    <row r="122" spans="1:76" ht="13.5" customHeight="1"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6"/>
      <c r="S122" s="6"/>
      <c r="T122" s="33"/>
      <c r="X122" s="33"/>
      <c r="Y122" s="33"/>
      <c r="AC122" s="33"/>
      <c r="BW122" s="39"/>
      <c r="BX122" s="39"/>
    </row>
    <row r="123" spans="1:76" ht="13.5" customHeight="1">
      <c r="B123" s="5" t="s">
        <v>336</v>
      </c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BW123" s="39"/>
      <c r="BX123" s="39"/>
    </row>
    <row r="124" spans="1:76" ht="13.5" customHeight="1">
      <c r="B124" s="1" t="s">
        <v>63</v>
      </c>
      <c r="C124" s="33"/>
      <c r="D124" s="33"/>
      <c r="E124" s="33"/>
      <c r="F124" s="33"/>
      <c r="G124" s="33"/>
      <c r="H124" s="71">
        <f>177.283+558.137</f>
        <v>735.42</v>
      </c>
      <c r="I124" s="71">
        <f>201.043+715.892</f>
        <v>916.93500000000006</v>
      </c>
      <c r="J124" s="71">
        <f>330.258+1104.364</f>
        <v>1434.6220000000001</v>
      </c>
      <c r="K124" s="71">
        <f>599.646+1694.002</f>
        <v>2293.6480000000001</v>
      </c>
      <c r="L124" s="71">
        <f>988.055+2791.256</f>
        <v>3779.3109999999997</v>
      </c>
      <c r="M124" s="71">
        <f>948.457+2862.632</f>
        <v>3811.0889999999999</v>
      </c>
      <c r="N124" s="71">
        <f>4133.033+1369.371</f>
        <v>5502.4040000000005</v>
      </c>
      <c r="O124" s="71">
        <f>6469.358+2442.191</f>
        <v>8911.5489999999991</v>
      </c>
      <c r="P124" s="71">
        <f>3196.64+8467.892</f>
        <v>11664.531999999999</v>
      </c>
      <c r="Q124" s="71">
        <f>3262.68+7810.685</f>
        <v>11073.365</v>
      </c>
      <c r="R124" s="6">
        <f>BH124</f>
        <v>12575.467000000001</v>
      </c>
      <c r="S124" s="6"/>
      <c r="T124" s="33"/>
      <c r="X124" s="33"/>
      <c r="Y124" s="33"/>
      <c r="AC124" s="33"/>
      <c r="AF124" s="71">
        <v>735.73900000000003</v>
      </c>
      <c r="AG124" s="71">
        <v>792.28099999999995</v>
      </c>
      <c r="AH124" s="71">
        <v>720.91800000000001</v>
      </c>
      <c r="AI124" s="6">
        <f t="shared" ref="AI124:AI137" si="749">H124</f>
        <v>735.42</v>
      </c>
      <c r="AJ124" s="71">
        <f>192.207+717.408</f>
        <v>909.61500000000001</v>
      </c>
      <c r="AK124" s="71">
        <f>178.171+689.414</f>
        <v>867.58500000000004</v>
      </c>
      <c r="AL124" s="71">
        <v>963.23400000000004</v>
      </c>
      <c r="AM124" s="6">
        <f t="shared" ref="AM124:AM137" si="750">I124</f>
        <v>916.93500000000006</v>
      </c>
      <c r="AN124" s="71">
        <f>223.311+832.138</f>
        <v>1055.4490000000001</v>
      </c>
      <c r="AO124" s="71">
        <f>255.076+731.732</f>
        <v>986.80799999999999</v>
      </c>
      <c r="AP124" s="71">
        <f>253.749+754.693</f>
        <v>1008.442</v>
      </c>
      <c r="AQ124" s="73">
        <f t="shared" ref="AQ124:AQ137" si="751">J124</f>
        <v>1434.6220000000001</v>
      </c>
      <c r="AR124" s="71">
        <f>436.356+1227.275</f>
        <v>1663.6310000000001</v>
      </c>
      <c r="AS124" s="71">
        <f>550.649+1512.114</f>
        <v>2062.7629999999999</v>
      </c>
      <c r="AT124" s="71">
        <f>557.223+1565.398</f>
        <v>2122.6210000000001</v>
      </c>
      <c r="AU124" s="73">
        <f t="shared" ref="AU124:AU141" si="752">K124</f>
        <v>2293.6480000000001</v>
      </c>
      <c r="AV124" s="71">
        <f>728.761+1824.417</f>
        <v>2553.1779999999999</v>
      </c>
      <c r="AW124" s="71">
        <f>878.444+2284.282</f>
        <v>3162.7260000000001</v>
      </c>
      <c r="AX124" s="71">
        <f>896.421+2678.343</f>
        <v>3574.7640000000001</v>
      </c>
      <c r="AY124" s="6">
        <f t="shared" ref="AY124:AY148" si="753">M124</f>
        <v>3811.0889999999999</v>
      </c>
      <c r="AZ124" s="71">
        <f>1541.942+3177.837</f>
        <v>4719.7790000000005</v>
      </c>
      <c r="BA124" s="71">
        <f>6852.217+2658.33</f>
        <v>9510.5469999999987</v>
      </c>
      <c r="BB124" s="71">
        <f>2755.042+7002.719</f>
        <v>9757.7610000000004</v>
      </c>
      <c r="BC124" s="6">
        <f t="shared" ref="BC124:BC148" si="754">O124</f>
        <v>8911.5489999999991</v>
      </c>
      <c r="BD124" s="71">
        <f>3426.317+6853.84</f>
        <v>10280.156999999999</v>
      </c>
      <c r="BE124" s="71">
        <f>3602.376+7810.7</f>
        <v>11413.076000000001</v>
      </c>
      <c r="BF124" s="71">
        <f>3508.168+7595.58</f>
        <v>11103.748</v>
      </c>
      <c r="BG124" s="6">
        <f>Q124</f>
        <v>11073.365</v>
      </c>
      <c r="BH124" s="71">
        <f>4500.736+8074.731</f>
        <v>12575.467000000001</v>
      </c>
      <c r="BJ124" s="71">
        <f>728.761+1824.417</f>
        <v>2553.1779999999999</v>
      </c>
      <c r="BK124" s="71">
        <f>878.444+2284.282</f>
        <v>3162.7260000000001</v>
      </c>
      <c r="BL124" s="71">
        <f>896.421+2678.343</f>
        <v>3574.7640000000001</v>
      </c>
      <c r="BM124" s="73">
        <f t="shared" ref="BM124:BM150" si="755">N124</f>
        <v>5502.4040000000005</v>
      </c>
      <c r="BN124" s="308">
        <f>AZ124</f>
        <v>4719.7790000000005</v>
      </c>
      <c r="BO124" s="308">
        <v>9510.5469999999987</v>
      </c>
      <c r="BP124" s="308">
        <f>2755.042+7002.719</f>
        <v>9757.7610000000004</v>
      </c>
      <c r="BQ124" s="309">
        <f>P124</f>
        <v>11664.531999999999</v>
      </c>
      <c r="BR124" s="308">
        <f>BD124</f>
        <v>10280.156999999999</v>
      </c>
      <c r="BW124" s="39"/>
      <c r="BX124" s="39"/>
    </row>
    <row r="125" spans="1:76" ht="13.5" customHeight="1">
      <c r="B125" s="1" t="s">
        <v>337</v>
      </c>
      <c r="C125" s="71">
        <v>1520</v>
      </c>
      <c r="D125" s="71">
        <v>2021</v>
      </c>
      <c r="E125" s="71">
        <v>1540</v>
      </c>
      <c r="F125" s="71">
        <v>2789</v>
      </c>
      <c r="G125" s="71">
        <v>4640</v>
      </c>
      <c r="H125" s="71">
        <v>4708</v>
      </c>
      <c r="I125" s="71">
        <v>4764</v>
      </c>
      <c r="J125" s="71">
        <v>6836</v>
      </c>
      <c r="K125" s="71">
        <v>5666</v>
      </c>
      <c r="L125" s="71">
        <f>9800.728+4102.903</f>
        <v>13903.630999999999</v>
      </c>
      <c r="M125" s="71">
        <v>14566</v>
      </c>
      <c r="N125" s="242"/>
      <c r="O125" s="71">
        <v>26772</v>
      </c>
      <c r="P125" s="307"/>
      <c r="Q125" s="71">
        <v>42084</v>
      </c>
      <c r="R125" s="6">
        <f t="shared" ref="R125:R148" si="756">BH125</f>
        <v>40886</v>
      </c>
      <c r="S125" s="6"/>
      <c r="T125" s="71">
        <v>2251</v>
      </c>
      <c r="U125" s="71">
        <v>1819</v>
      </c>
      <c r="V125" s="71">
        <v>1715</v>
      </c>
      <c r="W125" s="73">
        <f t="shared" ref="W125:W132" si="757">E125</f>
        <v>1540</v>
      </c>
      <c r="X125" s="71">
        <v>2468</v>
      </c>
      <c r="Y125" s="71">
        <v>2652</v>
      </c>
      <c r="Z125" s="71">
        <v>2737</v>
      </c>
      <c r="AA125" s="6">
        <f t="shared" ref="AA125:AA132" si="758">F125</f>
        <v>2789</v>
      </c>
      <c r="AB125" s="71">
        <v>3220</v>
      </c>
      <c r="AC125" s="71">
        <v>3666</v>
      </c>
      <c r="AD125" s="71">
        <v>4251</v>
      </c>
      <c r="AE125" s="6">
        <f t="shared" ref="AE125:AE132" si="759">G125</f>
        <v>4640</v>
      </c>
      <c r="AF125" s="71">
        <v>4687</v>
      </c>
      <c r="AG125" s="71">
        <v>4427</v>
      </c>
      <c r="AH125" s="71">
        <v>4219</v>
      </c>
      <c r="AI125" s="6">
        <f t="shared" si="749"/>
        <v>4708</v>
      </c>
      <c r="AJ125" s="71">
        <v>5051</v>
      </c>
      <c r="AK125" s="71">
        <v>4183</v>
      </c>
      <c r="AL125" s="71">
        <v>4212</v>
      </c>
      <c r="AM125" s="6">
        <f t="shared" si="750"/>
        <v>4764</v>
      </c>
      <c r="AN125" s="71">
        <v>4371</v>
      </c>
      <c r="AO125" s="71">
        <v>4884</v>
      </c>
      <c r="AP125" s="71">
        <v>5931</v>
      </c>
      <c r="AQ125" s="73">
        <f t="shared" si="751"/>
        <v>6836</v>
      </c>
      <c r="AR125" s="71">
        <v>8558</v>
      </c>
      <c r="AS125" s="71">
        <v>8943</v>
      </c>
      <c r="AT125" s="71">
        <v>6609</v>
      </c>
      <c r="AU125" s="73">
        <f t="shared" si="752"/>
        <v>5666</v>
      </c>
      <c r="AV125" s="71">
        <v>4194</v>
      </c>
      <c r="AW125" s="71">
        <v>1157</v>
      </c>
      <c r="AX125" s="71">
        <v>13017</v>
      </c>
      <c r="AY125" s="6">
        <f t="shared" si="753"/>
        <v>14566</v>
      </c>
      <c r="AZ125" s="71">
        <v>14976</v>
      </c>
      <c r="BA125" s="71">
        <v>22175</v>
      </c>
      <c r="BB125" s="71">
        <v>25641</v>
      </c>
      <c r="BC125" s="6">
        <f t="shared" si="754"/>
        <v>26772</v>
      </c>
      <c r="BD125" s="71">
        <v>35037</v>
      </c>
      <c r="BE125" s="71">
        <v>38121</v>
      </c>
      <c r="BF125" s="71">
        <v>40800</v>
      </c>
      <c r="BG125" s="6">
        <f t="shared" ref="BG125:BG148" si="760">Q125</f>
        <v>42084</v>
      </c>
      <c r="BH125" s="71">
        <v>40886</v>
      </c>
      <c r="BJ125" s="71">
        <v>4194</v>
      </c>
      <c r="BK125" s="71">
        <v>1157</v>
      </c>
      <c r="BL125" s="71">
        <v>13017</v>
      </c>
      <c r="BM125" s="73">
        <f t="shared" si="755"/>
        <v>0</v>
      </c>
      <c r="BN125" s="308">
        <f t="shared" ref="BN125:BN147" si="761">AZ125</f>
        <v>14976</v>
      </c>
      <c r="BO125" s="308">
        <v>22175</v>
      </c>
      <c r="BP125" s="308">
        <v>25641</v>
      </c>
      <c r="BQ125" s="309">
        <f t="shared" ref="BQ125:BQ148" si="762">P125</f>
        <v>0</v>
      </c>
      <c r="BR125" s="308">
        <f t="shared" ref="BR125:BR147" si="763">BD125</f>
        <v>35037</v>
      </c>
      <c r="BW125" s="39"/>
      <c r="BX125" s="39"/>
    </row>
    <row r="126" spans="1:76" ht="13.5" customHeight="1">
      <c r="B126" s="1" t="s">
        <v>338</v>
      </c>
      <c r="C126" s="71">
        <v>827</v>
      </c>
      <c r="D126" s="71">
        <v>608</v>
      </c>
      <c r="E126" s="71">
        <v>559</v>
      </c>
      <c r="F126" s="71">
        <v>527</v>
      </c>
      <c r="G126" s="71">
        <v>1580</v>
      </c>
      <c r="H126" s="71">
        <v>1591</v>
      </c>
      <c r="I126" s="71">
        <v>1896</v>
      </c>
      <c r="J126" s="71">
        <v>6818</v>
      </c>
      <c r="K126" s="71">
        <v>11716</v>
      </c>
      <c r="L126" s="71">
        <f>8149.466+650.253+10639.893</f>
        <v>19439.612000000001</v>
      </c>
      <c r="M126" s="71">
        <v>43201</v>
      </c>
      <c r="N126" s="242"/>
      <c r="O126" s="71">
        <v>43736</v>
      </c>
      <c r="P126" s="307"/>
      <c r="Q126" s="71">
        <v>110992</v>
      </c>
      <c r="R126" s="6">
        <f t="shared" si="756"/>
        <v>120266</v>
      </c>
      <c r="S126" s="6"/>
      <c r="T126" s="71">
        <v>533</v>
      </c>
      <c r="U126" s="71">
        <v>502</v>
      </c>
      <c r="V126" s="71">
        <v>543</v>
      </c>
      <c r="W126" s="73">
        <f t="shared" si="757"/>
        <v>559</v>
      </c>
      <c r="X126" s="71">
        <v>566</v>
      </c>
      <c r="Y126" s="71">
        <v>495</v>
      </c>
      <c r="Z126" s="71">
        <v>507</v>
      </c>
      <c r="AA126" s="6">
        <f t="shared" si="758"/>
        <v>527</v>
      </c>
      <c r="AB126" s="71">
        <v>637</v>
      </c>
      <c r="AC126" s="71">
        <v>786</v>
      </c>
      <c r="AD126" s="71">
        <v>780</v>
      </c>
      <c r="AE126" s="6">
        <f t="shared" si="759"/>
        <v>1580</v>
      </c>
      <c r="AF126" s="71">
        <v>1711</v>
      </c>
      <c r="AG126" s="71">
        <v>1787</v>
      </c>
      <c r="AH126" s="71">
        <v>1462</v>
      </c>
      <c r="AI126" s="6">
        <f t="shared" si="749"/>
        <v>1591</v>
      </c>
      <c r="AJ126" s="71">
        <v>1460</v>
      </c>
      <c r="AK126" s="71">
        <v>1799</v>
      </c>
      <c r="AL126" s="71">
        <v>1864</v>
      </c>
      <c r="AM126" s="6">
        <f t="shared" si="750"/>
        <v>1896</v>
      </c>
      <c r="AN126" s="71">
        <v>2271</v>
      </c>
      <c r="AO126" s="71">
        <v>2567</v>
      </c>
      <c r="AP126" s="71">
        <v>2789</v>
      </c>
      <c r="AQ126" s="73">
        <f t="shared" si="751"/>
        <v>6818</v>
      </c>
      <c r="AR126" s="71">
        <v>7271</v>
      </c>
      <c r="AS126" s="71">
        <v>7464</v>
      </c>
      <c r="AT126" s="71">
        <v>9015</v>
      </c>
      <c r="AU126" s="73">
        <f t="shared" si="752"/>
        <v>11716</v>
      </c>
      <c r="AV126" s="71">
        <v>21261</v>
      </c>
      <c r="AW126" s="71">
        <v>32337</v>
      </c>
      <c r="AX126" s="71">
        <v>36627</v>
      </c>
      <c r="AY126" s="6">
        <f t="shared" si="753"/>
        <v>43201</v>
      </c>
      <c r="AZ126" s="71">
        <v>36630</v>
      </c>
      <c r="BA126" s="71">
        <v>39640</v>
      </c>
      <c r="BB126" s="71">
        <v>39581</v>
      </c>
      <c r="BC126" s="6">
        <f t="shared" si="754"/>
        <v>43736</v>
      </c>
      <c r="BD126" s="71">
        <v>55181</v>
      </c>
      <c r="BE126" s="71">
        <v>80910</v>
      </c>
      <c r="BF126" s="71">
        <f>97609</f>
        <v>97609</v>
      </c>
      <c r="BG126" s="6">
        <f t="shared" si="760"/>
        <v>110992</v>
      </c>
      <c r="BH126" s="71">
        <v>120266</v>
      </c>
      <c r="BJ126" s="71">
        <v>21261</v>
      </c>
      <c r="BK126" s="71">
        <v>32337</v>
      </c>
      <c r="BL126" s="71">
        <v>36627</v>
      </c>
      <c r="BM126" s="73">
        <f t="shared" si="755"/>
        <v>0</v>
      </c>
      <c r="BN126" s="308">
        <f t="shared" si="761"/>
        <v>36630</v>
      </c>
      <c r="BO126" s="308">
        <v>39640</v>
      </c>
      <c r="BP126" s="308">
        <v>39581</v>
      </c>
      <c r="BQ126" s="309">
        <f t="shared" si="762"/>
        <v>0</v>
      </c>
      <c r="BR126" s="308">
        <f t="shared" si="763"/>
        <v>55181</v>
      </c>
      <c r="BW126" s="39"/>
      <c r="BX126" s="39"/>
    </row>
    <row r="127" spans="1:76" ht="13.5" customHeight="1">
      <c r="B127" s="1" t="s">
        <v>339</v>
      </c>
      <c r="C127" s="71">
        <v>0</v>
      </c>
      <c r="D127" s="71">
        <v>2</v>
      </c>
      <c r="E127" s="71">
        <v>2</v>
      </c>
      <c r="F127" s="71">
        <v>0.1</v>
      </c>
      <c r="G127" s="71">
        <v>0</v>
      </c>
      <c r="H127" s="71">
        <v>8</v>
      </c>
      <c r="I127" s="71">
        <v>170</v>
      </c>
      <c r="J127" s="71">
        <v>266</v>
      </c>
      <c r="K127" s="71">
        <v>1009</v>
      </c>
      <c r="L127" s="71">
        <v>1662.4369999999999</v>
      </c>
      <c r="M127" s="71">
        <v>3453</v>
      </c>
      <c r="N127" s="242"/>
      <c r="O127" s="71">
        <v>10955</v>
      </c>
      <c r="P127" s="307"/>
      <c r="Q127" s="71">
        <v>12629</v>
      </c>
      <c r="R127" s="6">
        <f t="shared" si="756"/>
        <v>13369</v>
      </c>
      <c r="S127" s="6"/>
      <c r="T127" s="71">
        <v>2</v>
      </c>
      <c r="U127" s="71">
        <v>3</v>
      </c>
      <c r="V127" s="71">
        <v>6</v>
      </c>
      <c r="W127" s="73">
        <f t="shared" si="757"/>
        <v>2</v>
      </c>
      <c r="X127" s="71">
        <v>1</v>
      </c>
      <c r="Y127" s="71">
        <v>0</v>
      </c>
      <c r="Z127" s="71">
        <v>0</v>
      </c>
      <c r="AA127" s="6">
        <f t="shared" si="758"/>
        <v>0.1</v>
      </c>
      <c r="AB127" s="71">
        <v>0.1</v>
      </c>
      <c r="AC127" s="71">
        <v>131.6</v>
      </c>
      <c r="AD127" s="71">
        <v>0</v>
      </c>
      <c r="AE127" s="6">
        <f t="shared" si="759"/>
        <v>0</v>
      </c>
      <c r="AF127" s="71">
        <v>0</v>
      </c>
      <c r="AG127" s="71">
        <v>0</v>
      </c>
      <c r="AH127" s="71">
        <v>0</v>
      </c>
      <c r="AI127" s="6">
        <f t="shared" si="749"/>
        <v>8</v>
      </c>
      <c r="AJ127" s="71">
        <v>108</v>
      </c>
      <c r="AK127" s="71">
        <v>322</v>
      </c>
      <c r="AL127" s="71">
        <v>314</v>
      </c>
      <c r="AM127" s="6">
        <f t="shared" si="750"/>
        <v>170</v>
      </c>
      <c r="AN127" s="71">
        <v>153</v>
      </c>
      <c r="AO127" s="71">
        <v>154</v>
      </c>
      <c r="AP127" s="71">
        <v>149</v>
      </c>
      <c r="AQ127" s="73">
        <f t="shared" si="751"/>
        <v>266</v>
      </c>
      <c r="AR127" s="71">
        <v>423</v>
      </c>
      <c r="AS127" s="71">
        <v>612</v>
      </c>
      <c r="AT127" s="71">
        <v>906</v>
      </c>
      <c r="AU127" s="73">
        <f t="shared" si="752"/>
        <v>1009</v>
      </c>
      <c r="AV127" s="71">
        <v>2286</v>
      </c>
      <c r="AW127" s="71">
        <v>3030</v>
      </c>
      <c r="AX127" s="71">
        <v>3183</v>
      </c>
      <c r="AY127" s="6">
        <f t="shared" si="753"/>
        <v>3453</v>
      </c>
      <c r="AZ127" s="71">
        <v>7200</v>
      </c>
      <c r="BA127" s="71">
        <v>8717</v>
      </c>
      <c r="BB127" s="71">
        <v>10112</v>
      </c>
      <c r="BC127" s="6">
        <f t="shared" si="754"/>
        <v>10955</v>
      </c>
      <c r="BD127" s="71">
        <v>11716</v>
      </c>
      <c r="BE127" s="71">
        <v>11809</v>
      </c>
      <c r="BF127" s="71">
        <v>12469</v>
      </c>
      <c r="BG127" s="6">
        <f t="shared" si="760"/>
        <v>12629</v>
      </c>
      <c r="BH127" s="71">
        <v>13369</v>
      </c>
      <c r="BJ127" s="71">
        <v>2286</v>
      </c>
      <c r="BK127" s="71">
        <v>3030</v>
      </c>
      <c r="BL127" s="71">
        <v>3183</v>
      </c>
      <c r="BM127" s="73">
        <f t="shared" si="755"/>
        <v>0</v>
      </c>
      <c r="BN127" s="308">
        <f t="shared" si="761"/>
        <v>7200</v>
      </c>
      <c r="BO127" s="308">
        <v>8717</v>
      </c>
      <c r="BP127" s="308">
        <v>10112</v>
      </c>
      <c r="BQ127" s="309">
        <f t="shared" si="762"/>
        <v>0</v>
      </c>
      <c r="BR127" s="308">
        <f t="shared" si="763"/>
        <v>11716</v>
      </c>
      <c r="BW127" s="39"/>
      <c r="BX127" s="39"/>
    </row>
    <row r="128" spans="1:76" ht="13.5" customHeight="1">
      <c r="B128" s="1" t="s">
        <v>340</v>
      </c>
      <c r="C128" s="71">
        <v>0</v>
      </c>
      <c r="D128" s="71">
        <v>19</v>
      </c>
      <c r="E128" s="71">
        <v>23</v>
      </c>
      <c r="F128" s="71">
        <v>34</v>
      </c>
      <c r="G128" s="71">
        <v>50</v>
      </c>
      <c r="H128" s="71">
        <v>57</v>
      </c>
      <c r="I128" s="71">
        <v>52</v>
      </c>
      <c r="J128" s="71">
        <v>124</v>
      </c>
      <c r="K128" s="71">
        <v>161</v>
      </c>
      <c r="L128" s="71">
        <v>264.59899999999999</v>
      </c>
      <c r="M128" s="71">
        <v>1176</v>
      </c>
      <c r="N128" s="242"/>
      <c r="O128" s="71">
        <v>629</v>
      </c>
      <c r="P128" s="307"/>
      <c r="Q128" s="71">
        <v>481</v>
      </c>
      <c r="R128" s="6">
        <f t="shared" si="756"/>
        <v>890</v>
      </c>
      <c r="S128" s="6"/>
      <c r="T128" s="71">
        <v>18</v>
      </c>
      <c r="U128" s="71">
        <v>18</v>
      </c>
      <c r="V128" s="71">
        <v>19</v>
      </c>
      <c r="W128" s="73">
        <f t="shared" si="757"/>
        <v>23</v>
      </c>
      <c r="X128" s="71">
        <v>20</v>
      </c>
      <c r="Y128" s="71">
        <v>22</v>
      </c>
      <c r="Z128" s="71">
        <v>32</v>
      </c>
      <c r="AA128" s="6">
        <f t="shared" si="758"/>
        <v>34</v>
      </c>
      <c r="AB128" s="71">
        <v>30</v>
      </c>
      <c r="AC128" s="71">
        <v>34</v>
      </c>
      <c r="AD128" s="71">
        <v>53</v>
      </c>
      <c r="AE128" s="6">
        <f t="shared" si="759"/>
        <v>50</v>
      </c>
      <c r="AF128" s="71">
        <v>49</v>
      </c>
      <c r="AG128" s="71">
        <v>45</v>
      </c>
      <c r="AH128" s="71">
        <v>45</v>
      </c>
      <c r="AI128" s="6">
        <f t="shared" si="749"/>
        <v>57</v>
      </c>
      <c r="AJ128" s="71">
        <v>51</v>
      </c>
      <c r="AK128" s="71">
        <v>28</v>
      </c>
      <c r="AL128" s="71">
        <v>70</v>
      </c>
      <c r="AM128" s="6">
        <f t="shared" si="750"/>
        <v>52</v>
      </c>
      <c r="AN128" s="71">
        <v>0</v>
      </c>
      <c r="AO128" s="71">
        <v>73</v>
      </c>
      <c r="AP128" s="71">
        <v>85</v>
      </c>
      <c r="AQ128" s="73">
        <f t="shared" si="751"/>
        <v>124</v>
      </c>
      <c r="AR128" s="71">
        <v>130</v>
      </c>
      <c r="AS128" s="71">
        <v>139</v>
      </c>
      <c r="AT128" s="71">
        <v>142</v>
      </c>
      <c r="AU128" s="73">
        <f t="shared" si="752"/>
        <v>161</v>
      </c>
      <c r="AV128" s="71">
        <v>169</v>
      </c>
      <c r="AW128" s="71">
        <v>207</v>
      </c>
      <c r="AX128" s="71">
        <v>205</v>
      </c>
      <c r="AY128" s="6">
        <f t="shared" si="753"/>
        <v>1176</v>
      </c>
      <c r="AZ128" s="71">
        <v>925</v>
      </c>
      <c r="BA128" s="71">
        <v>655</v>
      </c>
      <c r="BB128" s="71">
        <v>723</v>
      </c>
      <c r="BC128" s="6">
        <f t="shared" si="754"/>
        <v>629</v>
      </c>
      <c r="BD128" s="71">
        <v>497</v>
      </c>
      <c r="BE128" s="71">
        <v>565</v>
      </c>
      <c r="BF128" s="71">
        <v>588</v>
      </c>
      <c r="BG128" s="6">
        <f t="shared" si="760"/>
        <v>481</v>
      </c>
      <c r="BH128" s="71">
        <v>890</v>
      </c>
      <c r="BJ128" s="71">
        <v>169</v>
      </c>
      <c r="BK128" s="71">
        <v>207</v>
      </c>
      <c r="BL128" s="71">
        <v>205</v>
      </c>
      <c r="BM128" s="73">
        <f t="shared" si="755"/>
        <v>0</v>
      </c>
      <c r="BN128" s="308">
        <f t="shared" si="761"/>
        <v>925</v>
      </c>
      <c r="BO128" s="308">
        <v>655</v>
      </c>
      <c r="BP128" s="308">
        <v>723</v>
      </c>
      <c r="BQ128" s="309">
        <f t="shared" si="762"/>
        <v>0</v>
      </c>
      <c r="BR128" s="308">
        <f t="shared" si="763"/>
        <v>497</v>
      </c>
      <c r="BW128" s="39"/>
      <c r="BX128" s="39"/>
    </row>
    <row r="129" spans="2:78" ht="13.5" customHeight="1">
      <c r="B129" s="1" t="s">
        <v>341</v>
      </c>
      <c r="C129" s="71">
        <v>200</v>
      </c>
      <c r="D129" s="71">
        <v>142</v>
      </c>
      <c r="E129" s="71">
        <v>193</v>
      </c>
      <c r="F129" s="71">
        <v>248</v>
      </c>
      <c r="G129" s="71">
        <v>275</v>
      </c>
      <c r="H129" s="71">
        <v>361</v>
      </c>
      <c r="I129" s="71">
        <v>453</v>
      </c>
      <c r="J129" s="71">
        <v>736</v>
      </c>
      <c r="K129" s="71">
        <v>1208</v>
      </c>
      <c r="L129" s="71">
        <f>1080.584+910.453</f>
        <v>1991.037</v>
      </c>
      <c r="M129" s="71">
        <v>2309</v>
      </c>
      <c r="N129" s="242"/>
      <c r="O129" s="71">
        <v>3318</v>
      </c>
      <c r="P129" s="307"/>
      <c r="Q129" s="71">
        <v>3869</v>
      </c>
      <c r="R129" s="6">
        <f t="shared" si="756"/>
        <v>3881</v>
      </c>
      <c r="S129" s="6"/>
      <c r="T129" s="71">
        <v>142</v>
      </c>
      <c r="U129" s="71">
        <v>145</v>
      </c>
      <c r="V129" s="71">
        <v>163</v>
      </c>
      <c r="W129" s="73">
        <f t="shared" si="757"/>
        <v>193</v>
      </c>
      <c r="X129" s="71">
        <v>212</v>
      </c>
      <c r="Y129" s="71">
        <v>203</v>
      </c>
      <c r="Z129" s="71">
        <v>198</v>
      </c>
      <c r="AA129" s="6">
        <f t="shared" si="758"/>
        <v>248</v>
      </c>
      <c r="AB129" s="71">
        <v>251</v>
      </c>
      <c r="AC129" s="71">
        <v>265</v>
      </c>
      <c r="AD129" s="71">
        <v>316</v>
      </c>
      <c r="AE129" s="6">
        <f t="shared" si="759"/>
        <v>275</v>
      </c>
      <c r="AF129" s="71">
        <v>291</v>
      </c>
      <c r="AG129" s="71">
        <v>305</v>
      </c>
      <c r="AH129" s="71">
        <v>282</v>
      </c>
      <c r="AI129" s="6">
        <f t="shared" si="749"/>
        <v>361</v>
      </c>
      <c r="AJ129" s="71">
        <v>283</v>
      </c>
      <c r="AK129" s="71">
        <v>390</v>
      </c>
      <c r="AL129" s="71">
        <v>525</v>
      </c>
      <c r="AM129" s="6">
        <f t="shared" si="750"/>
        <v>453</v>
      </c>
      <c r="AN129" s="71">
        <v>527</v>
      </c>
      <c r="AO129" s="71">
        <v>613</v>
      </c>
      <c r="AP129" s="71">
        <v>636</v>
      </c>
      <c r="AQ129" s="73">
        <f t="shared" si="751"/>
        <v>736</v>
      </c>
      <c r="AR129" s="71">
        <v>1082</v>
      </c>
      <c r="AS129" s="71">
        <v>998</v>
      </c>
      <c r="AT129" s="71">
        <v>1058</v>
      </c>
      <c r="AU129" s="73">
        <f t="shared" si="752"/>
        <v>1208</v>
      </c>
      <c r="AV129" s="71">
        <v>1163</v>
      </c>
      <c r="AW129" s="71">
        <v>1516</v>
      </c>
      <c r="AX129" s="71">
        <v>1534</v>
      </c>
      <c r="AY129" s="6">
        <f t="shared" si="753"/>
        <v>2309</v>
      </c>
      <c r="AZ129" s="71">
        <v>2663</v>
      </c>
      <c r="BA129" s="71">
        <v>3020</v>
      </c>
      <c r="BB129" s="71">
        <v>3284</v>
      </c>
      <c r="BC129" s="6">
        <f t="shared" si="754"/>
        <v>3318</v>
      </c>
      <c r="BD129" s="71">
        <v>3133</v>
      </c>
      <c r="BE129" s="71">
        <v>3358</v>
      </c>
      <c r="BF129" s="71">
        <v>3604</v>
      </c>
      <c r="BG129" s="6">
        <f t="shared" si="760"/>
        <v>3869</v>
      </c>
      <c r="BH129" s="71">
        <v>3881</v>
      </c>
      <c r="BJ129" s="71">
        <v>1163</v>
      </c>
      <c r="BK129" s="71">
        <v>1516</v>
      </c>
      <c r="BL129" s="71">
        <v>1534</v>
      </c>
      <c r="BM129" s="73">
        <f t="shared" si="755"/>
        <v>0</v>
      </c>
      <c r="BN129" s="308">
        <f t="shared" si="761"/>
        <v>2663</v>
      </c>
      <c r="BO129" s="308">
        <v>3020</v>
      </c>
      <c r="BP129" s="308">
        <v>3284</v>
      </c>
      <c r="BQ129" s="309">
        <f t="shared" si="762"/>
        <v>0</v>
      </c>
      <c r="BR129" s="308">
        <f t="shared" si="763"/>
        <v>3133</v>
      </c>
      <c r="BW129" s="39"/>
      <c r="BX129" s="39"/>
      <c r="BY129" s="258"/>
      <c r="BZ129" s="258"/>
    </row>
    <row r="130" spans="2:78" ht="13.5" customHeight="1">
      <c r="B130" s="1" t="s">
        <v>342</v>
      </c>
      <c r="C130" s="71">
        <v>36</v>
      </c>
      <c r="D130" s="71">
        <v>36</v>
      </c>
      <c r="E130" s="71">
        <v>27</v>
      </c>
      <c r="F130" s="71">
        <v>0</v>
      </c>
      <c r="G130" s="71">
        <v>0</v>
      </c>
      <c r="H130" s="71">
        <v>0</v>
      </c>
      <c r="I130" s="71">
        <v>11</v>
      </c>
      <c r="J130" s="71">
        <v>243</v>
      </c>
      <c r="K130" s="71">
        <v>3</v>
      </c>
      <c r="L130" s="71">
        <v>4.2530000000000001</v>
      </c>
      <c r="M130" s="71">
        <v>792</v>
      </c>
      <c r="N130" s="242"/>
      <c r="O130" s="71">
        <v>1614</v>
      </c>
      <c r="P130" s="307"/>
      <c r="Q130" s="71">
        <v>1659</v>
      </c>
      <c r="R130" s="6">
        <f t="shared" si="756"/>
        <v>436</v>
      </c>
      <c r="S130" s="6"/>
      <c r="T130" s="71">
        <v>20</v>
      </c>
      <c r="U130" s="71">
        <v>21</v>
      </c>
      <c r="V130" s="71">
        <v>22</v>
      </c>
      <c r="W130" s="73">
        <f t="shared" si="757"/>
        <v>27</v>
      </c>
      <c r="X130" s="71">
        <v>0</v>
      </c>
      <c r="Y130" s="71">
        <v>0</v>
      </c>
      <c r="Z130" s="71">
        <v>0</v>
      </c>
      <c r="AA130" s="6">
        <f t="shared" si="758"/>
        <v>0</v>
      </c>
      <c r="AB130" s="71">
        <v>0</v>
      </c>
      <c r="AC130" s="71">
        <v>0</v>
      </c>
      <c r="AD130" s="71">
        <v>0</v>
      </c>
      <c r="AE130" s="6">
        <f t="shared" si="759"/>
        <v>0</v>
      </c>
      <c r="AF130" s="71">
        <v>9</v>
      </c>
      <c r="AG130" s="71">
        <v>0</v>
      </c>
      <c r="AH130" s="71">
        <v>1</v>
      </c>
      <c r="AI130" s="6">
        <f t="shared" si="749"/>
        <v>0</v>
      </c>
      <c r="AJ130" s="71">
        <v>0</v>
      </c>
      <c r="AK130" s="71">
        <v>3</v>
      </c>
      <c r="AL130" s="71">
        <v>11</v>
      </c>
      <c r="AM130" s="6">
        <f t="shared" si="750"/>
        <v>11</v>
      </c>
      <c r="AN130" s="71">
        <v>14</v>
      </c>
      <c r="AO130" s="71">
        <v>8</v>
      </c>
      <c r="AP130" s="71">
        <v>146</v>
      </c>
      <c r="AQ130" s="73">
        <f t="shared" si="751"/>
        <v>243</v>
      </c>
      <c r="AR130" s="71">
        <v>216</v>
      </c>
      <c r="AS130" s="71">
        <v>307</v>
      </c>
      <c r="AT130" s="71">
        <v>2</v>
      </c>
      <c r="AU130" s="73">
        <f t="shared" si="752"/>
        <v>3</v>
      </c>
      <c r="AV130" s="71">
        <v>0</v>
      </c>
      <c r="AW130" s="71">
        <v>135</v>
      </c>
      <c r="AX130" s="71">
        <v>501</v>
      </c>
      <c r="AY130" s="6">
        <f t="shared" si="753"/>
        <v>792</v>
      </c>
      <c r="AZ130" s="71">
        <v>528</v>
      </c>
      <c r="BA130" s="71">
        <v>1546</v>
      </c>
      <c r="BB130" s="71">
        <v>1416</v>
      </c>
      <c r="BC130" s="6">
        <f t="shared" si="754"/>
        <v>1614</v>
      </c>
      <c r="BD130" s="71">
        <v>1459</v>
      </c>
      <c r="BE130" s="71">
        <v>1365</v>
      </c>
      <c r="BF130" s="71">
        <v>1442</v>
      </c>
      <c r="BG130" s="6">
        <f t="shared" si="760"/>
        <v>1659</v>
      </c>
      <c r="BH130" s="71">
        <v>436</v>
      </c>
      <c r="BJ130" s="71">
        <v>0</v>
      </c>
      <c r="BK130" s="71">
        <v>135</v>
      </c>
      <c r="BL130" s="71">
        <v>501</v>
      </c>
      <c r="BM130" s="73">
        <f t="shared" si="755"/>
        <v>0</v>
      </c>
      <c r="BN130" s="308">
        <f t="shared" si="761"/>
        <v>528</v>
      </c>
      <c r="BO130" s="308">
        <v>1546</v>
      </c>
      <c r="BP130" s="308">
        <v>1416</v>
      </c>
      <c r="BQ130" s="309">
        <f t="shared" si="762"/>
        <v>0</v>
      </c>
      <c r="BR130" s="308">
        <f t="shared" si="763"/>
        <v>1459</v>
      </c>
      <c r="BW130" s="39"/>
      <c r="BX130" s="39"/>
      <c r="BY130" s="258"/>
      <c r="BZ130" s="258"/>
    </row>
    <row r="131" spans="2:78" ht="13.5" customHeight="1">
      <c r="B131" s="1" t="s">
        <v>343</v>
      </c>
      <c r="C131" s="71">
        <v>31</v>
      </c>
      <c r="D131" s="71">
        <v>49</v>
      </c>
      <c r="E131" s="71">
        <v>55</v>
      </c>
      <c r="F131" s="71">
        <v>14</v>
      </c>
      <c r="G131" s="71">
        <v>0</v>
      </c>
      <c r="H131" s="71">
        <v>0</v>
      </c>
      <c r="I131" s="71">
        <v>0</v>
      </c>
      <c r="J131" s="71">
        <v>0</v>
      </c>
      <c r="K131" s="71">
        <v>0</v>
      </c>
      <c r="L131" s="71">
        <v>0</v>
      </c>
      <c r="M131" s="71">
        <v>14</v>
      </c>
      <c r="N131" s="242"/>
      <c r="O131" s="71">
        <v>392</v>
      </c>
      <c r="P131" s="307"/>
      <c r="Q131" s="71">
        <v>2280</v>
      </c>
      <c r="R131" s="6">
        <f t="shared" si="756"/>
        <v>4212</v>
      </c>
      <c r="S131" s="6"/>
      <c r="T131" s="71">
        <v>48</v>
      </c>
      <c r="U131" s="71">
        <v>48</v>
      </c>
      <c r="V131" s="71">
        <v>49</v>
      </c>
      <c r="W131" s="73">
        <f t="shared" si="757"/>
        <v>55</v>
      </c>
      <c r="X131" s="71">
        <v>50</v>
      </c>
      <c r="Y131" s="71">
        <v>38</v>
      </c>
      <c r="Z131" s="71">
        <v>29</v>
      </c>
      <c r="AA131" s="6">
        <f t="shared" si="758"/>
        <v>14</v>
      </c>
      <c r="AB131" s="71">
        <v>15</v>
      </c>
      <c r="AC131" s="71">
        <v>17</v>
      </c>
      <c r="AD131" s="71">
        <v>6</v>
      </c>
      <c r="AE131" s="6">
        <f t="shared" si="759"/>
        <v>0</v>
      </c>
      <c r="AF131" s="71">
        <v>0</v>
      </c>
      <c r="AG131" s="71">
        <v>0</v>
      </c>
      <c r="AH131" s="71">
        <v>0</v>
      </c>
      <c r="AI131" s="6">
        <f t="shared" si="749"/>
        <v>0</v>
      </c>
      <c r="AJ131" s="71">
        <v>0</v>
      </c>
      <c r="AK131" s="71">
        <v>0</v>
      </c>
      <c r="AL131" s="71">
        <v>2</v>
      </c>
      <c r="AM131" s="6">
        <f t="shared" si="750"/>
        <v>0</v>
      </c>
      <c r="AN131" s="71">
        <v>0</v>
      </c>
      <c r="AO131" s="71">
        <v>0</v>
      </c>
      <c r="AP131" s="71">
        <v>0</v>
      </c>
      <c r="AQ131" s="73">
        <f t="shared" si="751"/>
        <v>0</v>
      </c>
      <c r="AR131" s="71">
        <v>0</v>
      </c>
      <c r="AS131" s="71">
        <v>0</v>
      </c>
      <c r="AT131" s="71">
        <v>0</v>
      </c>
      <c r="AU131" s="73">
        <f t="shared" si="752"/>
        <v>0</v>
      </c>
      <c r="AV131" s="71">
        <v>0</v>
      </c>
      <c r="AW131" s="71">
        <v>0</v>
      </c>
      <c r="AX131" s="71">
        <v>0</v>
      </c>
      <c r="AY131" s="6">
        <f t="shared" si="753"/>
        <v>14</v>
      </c>
      <c r="AZ131" s="71">
        <v>59</v>
      </c>
      <c r="BA131" s="71">
        <v>205</v>
      </c>
      <c r="BB131" s="71">
        <v>0</v>
      </c>
      <c r="BC131" s="6">
        <f t="shared" si="754"/>
        <v>392</v>
      </c>
      <c r="BD131" s="71">
        <v>490</v>
      </c>
      <c r="BE131" s="71">
        <v>1201</v>
      </c>
      <c r="BF131" s="71">
        <v>1242</v>
      </c>
      <c r="BG131" s="6">
        <f t="shared" si="760"/>
        <v>2280</v>
      </c>
      <c r="BH131" s="71">
        <v>4212</v>
      </c>
      <c r="BJ131" s="71">
        <v>0</v>
      </c>
      <c r="BK131" s="71">
        <v>0</v>
      </c>
      <c r="BL131" s="71">
        <v>0</v>
      </c>
      <c r="BM131" s="73">
        <f t="shared" si="755"/>
        <v>0</v>
      </c>
      <c r="BN131" s="308">
        <f t="shared" si="761"/>
        <v>59</v>
      </c>
      <c r="BO131" s="308">
        <v>205</v>
      </c>
      <c r="BP131" s="308">
        <v>0</v>
      </c>
      <c r="BQ131" s="309">
        <f t="shared" si="762"/>
        <v>0</v>
      </c>
      <c r="BR131" s="308">
        <f t="shared" si="763"/>
        <v>490</v>
      </c>
      <c r="BW131" s="39"/>
      <c r="BX131" s="39"/>
    </row>
    <row r="132" spans="2:78" ht="13.5" customHeight="1">
      <c r="B132" s="1" t="s">
        <v>344</v>
      </c>
      <c r="C132" s="71">
        <v>0</v>
      </c>
      <c r="D132" s="71">
        <v>0</v>
      </c>
      <c r="E132" s="71">
        <v>0</v>
      </c>
      <c r="F132" s="71">
        <v>0</v>
      </c>
      <c r="G132" s="71">
        <v>0</v>
      </c>
      <c r="H132" s="71">
        <v>0</v>
      </c>
      <c r="I132" s="71">
        <v>0</v>
      </c>
      <c r="J132" s="71">
        <v>33</v>
      </c>
      <c r="K132" s="71">
        <v>49</v>
      </c>
      <c r="L132" s="71">
        <v>81.238</v>
      </c>
      <c r="M132" s="71">
        <v>141</v>
      </c>
      <c r="N132" s="242"/>
      <c r="O132" s="71">
        <v>499</v>
      </c>
      <c r="P132" s="307"/>
      <c r="Q132" s="71">
        <v>992</v>
      </c>
      <c r="R132" s="6">
        <f t="shared" si="756"/>
        <v>896</v>
      </c>
      <c r="S132" s="6"/>
      <c r="T132" s="71">
        <v>0</v>
      </c>
      <c r="U132" s="71">
        <v>0</v>
      </c>
      <c r="V132" s="71">
        <v>0</v>
      </c>
      <c r="W132" s="73">
        <f t="shared" si="757"/>
        <v>0</v>
      </c>
      <c r="X132" s="71">
        <v>0</v>
      </c>
      <c r="Y132" s="71">
        <v>0</v>
      </c>
      <c r="Z132" s="71">
        <v>0</v>
      </c>
      <c r="AA132" s="6">
        <f t="shared" si="758"/>
        <v>0</v>
      </c>
      <c r="AB132" s="71">
        <v>0</v>
      </c>
      <c r="AC132" s="71">
        <v>0</v>
      </c>
      <c r="AD132" s="71">
        <v>0</v>
      </c>
      <c r="AE132" s="6">
        <f t="shared" si="759"/>
        <v>0</v>
      </c>
      <c r="AF132" s="71">
        <v>0</v>
      </c>
      <c r="AG132" s="71">
        <v>0</v>
      </c>
      <c r="AH132" s="71">
        <v>0</v>
      </c>
      <c r="AI132" s="6">
        <f t="shared" si="749"/>
        <v>0</v>
      </c>
      <c r="AJ132" s="71">
        <v>0</v>
      </c>
      <c r="AK132" s="71">
        <v>0</v>
      </c>
      <c r="AL132" s="71">
        <v>0</v>
      </c>
      <c r="AM132" s="6">
        <f t="shared" si="750"/>
        <v>0</v>
      </c>
      <c r="AN132" s="71">
        <v>0</v>
      </c>
      <c r="AO132" s="71">
        <v>0</v>
      </c>
      <c r="AP132" s="71">
        <v>0</v>
      </c>
      <c r="AQ132" s="73">
        <f t="shared" si="751"/>
        <v>33</v>
      </c>
      <c r="AR132" s="71">
        <v>0</v>
      </c>
      <c r="AS132" s="71">
        <v>43</v>
      </c>
      <c r="AT132" s="71">
        <v>47</v>
      </c>
      <c r="AU132" s="73">
        <f t="shared" si="752"/>
        <v>49</v>
      </c>
      <c r="AV132" s="71">
        <v>60</v>
      </c>
      <c r="AW132" s="71">
        <v>0</v>
      </c>
      <c r="AX132" s="71">
        <v>12</v>
      </c>
      <c r="AY132" s="6">
        <f t="shared" si="753"/>
        <v>141</v>
      </c>
      <c r="AZ132" s="71">
        <v>230</v>
      </c>
      <c r="BA132" s="71">
        <v>299</v>
      </c>
      <c r="BB132" s="71">
        <v>485</v>
      </c>
      <c r="BC132" s="6">
        <f t="shared" si="754"/>
        <v>499</v>
      </c>
      <c r="BD132" s="71">
        <v>518</v>
      </c>
      <c r="BE132" s="71">
        <v>781</v>
      </c>
      <c r="BF132" s="71">
        <v>854</v>
      </c>
      <c r="BG132" s="6">
        <f t="shared" si="760"/>
        <v>992</v>
      </c>
      <c r="BH132" s="71">
        <v>896</v>
      </c>
      <c r="BJ132" s="71">
        <v>60</v>
      </c>
      <c r="BK132" s="71">
        <v>0</v>
      </c>
      <c r="BL132" s="71">
        <v>12</v>
      </c>
      <c r="BM132" s="73">
        <f t="shared" si="755"/>
        <v>0</v>
      </c>
      <c r="BN132" s="308">
        <f t="shared" si="761"/>
        <v>230</v>
      </c>
      <c r="BO132" s="308">
        <v>299</v>
      </c>
      <c r="BP132" s="308">
        <v>485</v>
      </c>
      <c r="BQ132" s="309">
        <f t="shared" si="762"/>
        <v>0</v>
      </c>
      <c r="BR132" s="308">
        <f t="shared" si="763"/>
        <v>518</v>
      </c>
      <c r="BW132" s="39"/>
      <c r="BX132" s="39"/>
    </row>
    <row r="133" spans="2:78" ht="13.5" customHeight="1">
      <c r="B133" s="1" t="s">
        <v>345</v>
      </c>
      <c r="C133" s="71"/>
      <c r="D133" s="71"/>
      <c r="E133" s="71"/>
      <c r="F133" s="71"/>
      <c r="G133" s="71"/>
      <c r="H133" s="71">
        <v>58</v>
      </c>
      <c r="I133" s="71">
        <v>74</v>
      </c>
      <c r="J133" s="71">
        <v>228</v>
      </c>
      <c r="K133" s="71">
        <v>363</v>
      </c>
      <c r="L133" s="71">
        <v>598.05799999999999</v>
      </c>
      <c r="M133" s="71">
        <v>607</v>
      </c>
      <c r="N133" s="242"/>
      <c r="O133" s="71">
        <v>706</v>
      </c>
      <c r="P133" s="307"/>
      <c r="Q133" s="71">
        <v>997</v>
      </c>
      <c r="R133" s="6">
        <f t="shared" si="756"/>
        <v>1131</v>
      </c>
      <c r="S133" s="6"/>
      <c r="T133" s="71"/>
      <c r="U133" s="71"/>
      <c r="V133" s="71"/>
      <c r="W133" s="73"/>
      <c r="X133" s="71"/>
      <c r="Y133" s="71"/>
      <c r="Z133" s="71"/>
      <c r="AA133" s="6"/>
      <c r="AB133" s="71"/>
      <c r="AC133" s="71"/>
      <c r="AD133" s="71"/>
      <c r="AE133" s="6"/>
      <c r="AF133" s="71"/>
      <c r="AG133" s="71">
        <v>61</v>
      </c>
      <c r="AH133" s="71">
        <v>54</v>
      </c>
      <c r="AI133" s="6">
        <f t="shared" si="749"/>
        <v>58</v>
      </c>
      <c r="AJ133" s="71">
        <v>58</v>
      </c>
      <c r="AK133" s="71">
        <v>63</v>
      </c>
      <c r="AL133" s="71">
        <v>77</v>
      </c>
      <c r="AM133" s="6">
        <f t="shared" si="750"/>
        <v>74</v>
      </c>
      <c r="AN133" s="71">
        <v>94</v>
      </c>
      <c r="AO133" s="71">
        <v>100</v>
      </c>
      <c r="AP133" s="71">
        <v>157</v>
      </c>
      <c r="AQ133" s="73">
        <f t="shared" si="751"/>
        <v>228</v>
      </c>
      <c r="AR133" s="71">
        <v>279</v>
      </c>
      <c r="AS133" s="71">
        <v>293</v>
      </c>
      <c r="AT133" s="71">
        <v>338</v>
      </c>
      <c r="AU133" s="73">
        <f t="shared" si="752"/>
        <v>363</v>
      </c>
      <c r="AV133" s="71">
        <v>372</v>
      </c>
      <c r="AW133" s="71">
        <v>506</v>
      </c>
      <c r="AX133" s="71">
        <v>529</v>
      </c>
      <c r="AY133" s="6">
        <f t="shared" si="753"/>
        <v>607</v>
      </c>
      <c r="AZ133" s="71">
        <v>645</v>
      </c>
      <c r="BA133" s="71">
        <v>680</v>
      </c>
      <c r="BB133" s="71">
        <v>743</v>
      </c>
      <c r="BC133" s="6">
        <f t="shared" si="754"/>
        <v>706</v>
      </c>
      <c r="BD133" s="71">
        <v>741</v>
      </c>
      <c r="BE133" s="71">
        <v>840</v>
      </c>
      <c r="BF133" s="71">
        <v>905</v>
      </c>
      <c r="BG133" s="6">
        <f t="shared" si="760"/>
        <v>997</v>
      </c>
      <c r="BH133" s="71">
        <v>1131</v>
      </c>
      <c r="BJ133" s="71">
        <v>372</v>
      </c>
      <c r="BK133" s="71">
        <v>506</v>
      </c>
      <c r="BL133" s="71">
        <v>529</v>
      </c>
      <c r="BM133" s="73">
        <f t="shared" si="755"/>
        <v>0</v>
      </c>
      <c r="BN133" s="308">
        <f t="shared" si="761"/>
        <v>645</v>
      </c>
      <c r="BO133" s="308">
        <v>680</v>
      </c>
      <c r="BP133" s="308">
        <v>743</v>
      </c>
      <c r="BQ133" s="309">
        <f t="shared" si="762"/>
        <v>0</v>
      </c>
      <c r="BR133" s="308">
        <f t="shared" si="763"/>
        <v>741</v>
      </c>
      <c r="BW133" s="39"/>
      <c r="BX133" s="39"/>
    </row>
    <row r="134" spans="2:78" ht="13.5" customHeight="1">
      <c r="B134" s="1" t="s">
        <v>346</v>
      </c>
      <c r="C134" s="71">
        <v>0</v>
      </c>
      <c r="D134" s="71">
        <v>0</v>
      </c>
      <c r="E134" s="71">
        <v>0</v>
      </c>
      <c r="F134" s="71">
        <v>0</v>
      </c>
      <c r="G134" s="71">
        <v>6</v>
      </c>
      <c r="H134" s="71">
        <v>277</v>
      </c>
      <c r="I134" s="71">
        <v>0</v>
      </c>
      <c r="J134" s="71">
        <v>65</v>
      </c>
      <c r="K134" s="71">
        <v>566</v>
      </c>
      <c r="L134" s="71">
        <v>933.17700000000002</v>
      </c>
      <c r="M134" s="71">
        <v>572</v>
      </c>
      <c r="N134" s="242"/>
      <c r="O134" s="71">
        <v>1273</v>
      </c>
      <c r="P134" s="307"/>
      <c r="Q134" s="71">
        <v>1967</v>
      </c>
      <c r="R134" s="6">
        <f t="shared" si="756"/>
        <v>2630</v>
      </c>
      <c r="S134" s="6"/>
      <c r="T134" s="71">
        <v>0</v>
      </c>
      <c r="U134" s="71">
        <v>0</v>
      </c>
      <c r="V134" s="71">
        <v>0</v>
      </c>
      <c r="W134" s="73">
        <f>E134</f>
        <v>0</v>
      </c>
      <c r="X134" s="71">
        <v>0</v>
      </c>
      <c r="Y134" s="71">
        <v>0</v>
      </c>
      <c r="Z134" s="71">
        <v>0</v>
      </c>
      <c r="AA134" s="6">
        <f>F134</f>
        <v>0</v>
      </c>
      <c r="AB134" s="71">
        <v>0</v>
      </c>
      <c r="AC134" s="71">
        <v>0</v>
      </c>
      <c r="AD134" s="71">
        <v>21</v>
      </c>
      <c r="AE134" s="6">
        <f>G134</f>
        <v>6</v>
      </c>
      <c r="AF134" s="71">
        <v>0</v>
      </c>
      <c r="AG134" s="71">
        <v>44</v>
      </c>
      <c r="AH134" s="71">
        <v>259</v>
      </c>
      <c r="AI134" s="6">
        <f t="shared" si="749"/>
        <v>277</v>
      </c>
      <c r="AJ134" s="71">
        <v>272</v>
      </c>
      <c r="AK134" s="71">
        <v>0</v>
      </c>
      <c r="AL134" s="71">
        <v>0</v>
      </c>
      <c r="AM134" s="6">
        <f t="shared" si="750"/>
        <v>0</v>
      </c>
      <c r="AN134" s="71">
        <v>0</v>
      </c>
      <c r="AO134" s="71">
        <v>0</v>
      </c>
      <c r="AP134" s="71">
        <v>0</v>
      </c>
      <c r="AQ134" s="73">
        <f t="shared" si="751"/>
        <v>65</v>
      </c>
      <c r="AR134" s="71">
        <v>229</v>
      </c>
      <c r="AS134" s="71">
        <v>519</v>
      </c>
      <c r="AT134" s="71">
        <v>456</v>
      </c>
      <c r="AU134" s="73">
        <f t="shared" si="752"/>
        <v>566</v>
      </c>
      <c r="AV134" s="71">
        <v>605</v>
      </c>
      <c r="AW134" s="71">
        <v>724</v>
      </c>
      <c r="AX134" s="71">
        <v>527</v>
      </c>
      <c r="AY134" s="6">
        <f t="shared" si="753"/>
        <v>572</v>
      </c>
      <c r="AZ134" s="71">
        <v>924</v>
      </c>
      <c r="BA134" s="71">
        <v>1370</v>
      </c>
      <c r="BB134" s="71">
        <v>1540</v>
      </c>
      <c r="BC134" s="6">
        <f t="shared" si="754"/>
        <v>1273</v>
      </c>
      <c r="BD134" s="71">
        <v>1723</v>
      </c>
      <c r="BE134" s="71">
        <v>2113</v>
      </c>
      <c r="BF134" s="71">
        <v>2173</v>
      </c>
      <c r="BG134" s="6">
        <f t="shared" si="760"/>
        <v>1967</v>
      </c>
      <c r="BH134" s="71">
        <v>2630</v>
      </c>
      <c r="BJ134" s="71">
        <v>605</v>
      </c>
      <c r="BK134" s="71">
        <v>724</v>
      </c>
      <c r="BL134" s="71">
        <v>527</v>
      </c>
      <c r="BM134" s="73">
        <f t="shared" si="755"/>
        <v>0</v>
      </c>
      <c r="BN134" s="308">
        <f t="shared" si="761"/>
        <v>924</v>
      </c>
      <c r="BO134" s="308">
        <v>1370</v>
      </c>
      <c r="BP134" s="308">
        <v>1540</v>
      </c>
      <c r="BQ134" s="309">
        <f t="shared" si="762"/>
        <v>0</v>
      </c>
      <c r="BR134" s="308">
        <f t="shared" si="763"/>
        <v>1723</v>
      </c>
      <c r="BW134" s="39"/>
      <c r="BX134" s="39"/>
    </row>
    <row r="135" spans="2:78" ht="13.5" customHeight="1">
      <c r="B135" s="1" t="s">
        <v>347</v>
      </c>
      <c r="C135" s="71"/>
      <c r="D135" s="71"/>
      <c r="E135" s="71"/>
      <c r="F135" s="71"/>
      <c r="G135" s="71"/>
      <c r="H135" s="71"/>
      <c r="I135" s="71"/>
      <c r="J135" s="71"/>
      <c r="K135" s="71">
        <v>170</v>
      </c>
      <c r="L135" s="71">
        <v>279.49099999999999</v>
      </c>
      <c r="M135" s="71">
        <v>659</v>
      </c>
      <c r="N135" s="242"/>
      <c r="O135" s="71">
        <v>358</v>
      </c>
      <c r="P135" s="307"/>
      <c r="Q135" s="71">
        <v>357</v>
      </c>
      <c r="R135" s="6">
        <f t="shared" si="756"/>
        <v>212</v>
      </c>
      <c r="S135" s="6"/>
      <c r="T135" s="71"/>
      <c r="U135" s="71"/>
      <c r="V135" s="71"/>
      <c r="W135" s="73"/>
      <c r="X135" s="71"/>
      <c r="Y135" s="71"/>
      <c r="Z135" s="71"/>
      <c r="AA135" s="6"/>
      <c r="AB135" s="71"/>
      <c r="AC135" s="71"/>
      <c r="AD135" s="71"/>
      <c r="AE135" s="6"/>
      <c r="AF135" s="71">
        <v>28</v>
      </c>
      <c r="AG135" s="71">
        <v>0</v>
      </c>
      <c r="AH135" s="71">
        <v>0</v>
      </c>
      <c r="AI135" s="6">
        <f t="shared" si="749"/>
        <v>0</v>
      </c>
      <c r="AJ135" s="71">
        <v>0</v>
      </c>
      <c r="AK135" s="71">
        <v>0</v>
      </c>
      <c r="AL135" s="71">
        <v>0</v>
      </c>
      <c r="AM135" s="6">
        <f t="shared" si="750"/>
        <v>0</v>
      </c>
      <c r="AN135" s="71">
        <v>0</v>
      </c>
      <c r="AO135" s="71">
        <v>0</v>
      </c>
      <c r="AP135" s="71">
        <v>0</v>
      </c>
      <c r="AQ135" s="73">
        <f t="shared" si="751"/>
        <v>0</v>
      </c>
      <c r="AR135" s="71">
        <v>0</v>
      </c>
      <c r="AS135" s="71">
        <v>1</v>
      </c>
      <c r="AT135" s="71">
        <v>150</v>
      </c>
      <c r="AU135" s="73">
        <f t="shared" si="752"/>
        <v>170</v>
      </c>
      <c r="AV135" s="71">
        <v>179</v>
      </c>
      <c r="AW135" s="71">
        <v>221</v>
      </c>
      <c r="AX135" s="71">
        <v>296</v>
      </c>
      <c r="AY135" s="6">
        <f t="shared" si="753"/>
        <v>659</v>
      </c>
      <c r="AZ135" s="71">
        <v>404</v>
      </c>
      <c r="BA135" s="71">
        <v>295</v>
      </c>
      <c r="BB135" s="71">
        <v>289</v>
      </c>
      <c r="BC135" s="6">
        <f t="shared" si="754"/>
        <v>358</v>
      </c>
      <c r="BD135" s="71">
        <v>210</v>
      </c>
      <c r="BE135" s="71">
        <v>328</v>
      </c>
      <c r="BF135" s="71">
        <v>333</v>
      </c>
      <c r="BG135" s="6">
        <f t="shared" si="760"/>
        <v>357</v>
      </c>
      <c r="BH135" s="71">
        <v>212</v>
      </c>
      <c r="BJ135" s="71">
        <v>179</v>
      </c>
      <c r="BK135" s="71">
        <v>221</v>
      </c>
      <c r="BL135" s="71">
        <v>296</v>
      </c>
      <c r="BM135" s="73">
        <f t="shared" si="755"/>
        <v>0</v>
      </c>
      <c r="BN135" s="308">
        <f t="shared" si="761"/>
        <v>404</v>
      </c>
      <c r="BO135" s="308">
        <v>295</v>
      </c>
      <c r="BP135" s="308">
        <v>289</v>
      </c>
      <c r="BQ135" s="309">
        <f t="shared" si="762"/>
        <v>0</v>
      </c>
      <c r="BR135" s="308">
        <f t="shared" si="763"/>
        <v>210</v>
      </c>
      <c r="BS135" s="258"/>
      <c r="BW135" s="39"/>
      <c r="BX135" s="39"/>
    </row>
    <row r="136" spans="2:78" ht="13.5" customHeight="1">
      <c r="B136" s="1" t="s">
        <v>348</v>
      </c>
      <c r="C136" s="71">
        <v>0</v>
      </c>
      <c r="D136" s="71">
        <v>0</v>
      </c>
      <c r="E136" s="71">
        <v>182</v>
      </c>
      <c r="F136" s="71">
        <v>270</v>
      </c>
      <c r="G136" s="71">
        <v>611</v>
      </c>
      <c r="H136" s="71">
        <v>643</v>
      </c>
      <c r="I136" s="71">
        <v>635</v>
      </c>
      <c r="J136" s="71">
        <v>1755</v>
      </c>
      <c r="K136" s="71">
        <v>3093</v>
      </c>
      <c r="L136" s="71">
        <f>3482.131+1613.742</f>
        <v>5095.8729999999996</v>
      </c>
      <c r="M136" s="71">
        <v>2320</v>
      </c>
      <c r="N136" s="242"/>
      <c r="O136" s="71">
        <v>3573</v>
      </c>
      <c r="P136" s="307"/>
      <c r="Q136" s="71">
        <v>3617</v>
      </c>
      <c r="R136" s="6">
        <f t="shared" si="756"/>
        <v>4246</v>
      </c>
      <c r="S136" s="6"/>
      <c r="T136" s="71"/>
      <c r="U136" s="71"/>
      <c r="V136" s="71"/>
      <c r="W136" s="73">
        <f>E136</f>
        <v>182</v>
      </c>
      <c r="X136" s="71">
        <v>191</v>
      </c>
      <c r="Y136" s="71">
        <v>185</v>
      </c>
      <c r="Z136" s="71">
        <v>207</v>
      </c>
      <c r="AA136" s="6">
        <f>F136</f>
        <v>270</v>
      </c>
      <c r="AB136" s="71">
        <v>348</v>
      </c>
      <c r="AC136" s="71">
        <v>329</v>
      </c>
      <c r="AD136" s="71">
        <v>600</v>
      </c>
      <c r="AE136" s="6">
        <f>G136</f>
        <v>611</v>
      </c>
      <c r="AF136" s="71">
        <v>710</v>
      </c>
      <c r="AG136" s="71">
        <v>566</v>
      </c>
      <c r="AH136" s="71">
        <v>536</v>
      </c>
      <c r="AI136" s="6">
        <f t="shared" si="749"/>
        <v>643</v>
      </c>
      <c r="AJ136" s="71">
        <v>692</v>
      </c>
      <c r="AK136" s="71">
        <v>442</v>
      </c>
      <c r="AL136" s="71">
        <v>349</v>
      </c>
      <c r="AM136" s="6">
        <f t="shared" si="750"/>
        <v>635</v>
      </c>
      <c r="AN136" s="71">
        <v>919</v>
      </c>
      <c r="AO136" s="71">
        <v>928</v>
      </c>
      <c r="AP136" s="71">
        <v>997</v>
      </c>
      <c r="AQ136" s="73">
        <f t="shared" si="751"/>
        <v>1755</v>
      </c>
      <c r="AR136" s="71">
        <v>2656</v>
      </c>
      <c r="AS136" s="71">
        <v>3075</v>
      </c>
      <c r="AT136" s="71">
        <v>3379</v>
      </c>
      <c r="AU136" s="73">
        <f t="shared" si="752"/>
        <v>3093</v>
      </c>
      <c r="AV136" s="71">
        <v>1982</v>
      </c>
      <c r="AW136" s="71">
        <v>2213</v>
      </c>
      <c r="AX136" s="71">
        <v>1796</v>
      </c>
      <c r="AY136" s="6">
        <f t="shared" si="753"/>
        <v>2320</v>
      </c>
      <c r="AZ136" s="71">
        <v>2910</v>
      </c>
      <c r="BA136" s="71">
        <v>2340</v>
      </c>
      <c r="BB136" s="71">
        <v>2549</v>
      </c>
      <c r="BC136" s="6">
        <f t="shared" si="754"/>
        <v>3573</v>
      </c>
      <c r="BD136" s="71">
        <v>4432</v>
      </c>
      <c r="BE136" s="71">
        <v>3259</v>
      </c>
      <c r="BF136" s="71">
        <v>3396</v>
      </c>
      <c r="BG136" s="6">
        <f t="shared" si="760"/>
        <v>3617</v>
      </c>
      <c r="BH136" s="71">
        <v>4246</v>
      </c>
      <c r="BJ136" s="71">
        <v>1982</v>
      </c>
      <c r="BK136" s="71">
        <v>2213</v>
      </c>
      <c r="BL136" s="71">
        <v>1796</v>
      </c>
      <c r="BM136" s="73">
        <f t="shared" si="755"/>
        <v>0</v>
      </c>
      <c r="BN136" s="308">
        <f t="shared" si="761"/>
        <v>2910</v>
      </c>
      <c r="BO136" s="308">
        <v>2340</v>
      </c>
      <c r="BP136" s="308">
        <v>2549</v>
      </c>
      <c r="BQ136" s="309">
        <f t="shared" si="762"/>
        <v>0</v>
      </c>
      <c r="BR136" s="308">
        <f t="shared" si="763"/>
        <v>4432</v>
      </c>
      <c r="BS136"/>
      <c r="BW136" s="39"/>
      <c r="BX136" s="39"/>
    </row>
    <row r="137" spans="2:78" ht="13.5" customHeight="1">
      <c r="B137" s="1" t="s">
        <v>349</v>
      </c>
      <c r="C137" s="71"/>
      <c r="D137" s="71"/>
      <c r="E137" s="71"/>
      <c r="F137" s="71"/>
      <c r="G137" s="71"/>
      <c r="H137" s="71">
        <v>140</v>
      </c>
      <c r="I137" s="71">
        <v>179</v>
      </c>
      <c r="J137" s="71">
        <v>705</v>
      </c>
      <c r="K137" s="71">
        <v>1071</v>
      </c>
      <c r="L137" s="71">
        <v>1764.26</v>
      </c>
      <c r="M137" s="71">
        <v>2226</v>
      </c>
      <c r="N137" s="242"/>
      <c r="O137" s="71">
        <v>4300</v>
      </c>
      <c r="P137" s="307"/>
      <c r="Q137" s="71">
        <v>5961</v>
      </c>
      <c r="R137" s="6">
        <f t="shared" si="756"/>
        <v>7569</v>
      </c>
      <c r="S137" s="6"/>
      <c r="T137" s="71"/>
      <c r="U137" s="71"/>
      <c r="V137" s="71"/>
      <c r="W137" s="73"/>
      <c r="X137" s="71"/>
      <c r="Y137" s="71"/>
      <c r="Z137" s="71"/>
      <c r="AA137" s="6"/>
      <c r="AB137" s="71"/>
      <c r="AC137" s="71"/>
      <c r="AD137" s="71"/>
      <c r="AE137" s="6"/>
      <c r="AF137" s="71"/>
      <c r="AG137" s="71">
        <v>268</v>
      </c>
      <c r="AH137" s="71">
        <v>183</v>
      </c>
      <c r="AI137" s="6">
        <f t="shared" si="749"/>
        <v>140</v>
      </c>
      <c r="AJ137" s="71">
        <v>284</v>
      </c>
      <c r="AK137" s="71">
        <v>543</v>
      </c>
      <c r="AL137" s="71">
        <v>308</v>
      </c>
      <c r="AM137" s="6">
        <f t="shared" si="750"/>
        <v>179</v>
      </c>
      <c r="AN137" s="71">
        <v>382</v>
      </c>
      <c r="AO137" s="71">
        <v>633</v>
      </c>
      <c r="AP137" s="71">
        <v>634</v>
      </c>
      <c r="AQ137" s="73">
        <f t="shared" si="751"/>
        <v>705</v>
      </c>
      <c r="AR137" s="71">
        <v>1074</v>
      </c>
      <c r="AS137" s="71">
        <v>1675</v>
      </c>
      <c r="AT137" s="71">
        <v>1554</v>
      </c>
      <c r="AU137" s="73">
        <f t="shared" si="752"/>
        <v>1071</v>
      </c>
      <c r="AV137" s="71">
        <v>1270</v>
      </c>
      <c r="AW137" s="71">
        <v>1896</v>
      </c>
      <c r="AX137" s="71">
        <v>1922</v>
      </c>
      <c r="AY137" s="6">
        <f t="shared" si="753"/>
        <v>2226</v>
      </c>
      <c r="AZ137" s="71">
        <v>3145</v>
      </c>
      <c r="BA137" s="71">
        <v>3406</v>
      </c>
      <c r="BB137" s="71">
        <v>4358</v>
      </c>
      <c r="BC137" s="6">
        <f t="shared" si="754"/>
        <v>4300</v>
      </c>
      <c r="BD137" s="71">
        <v>5312</v>
      </c>
      <c r="BE137" s="71">
        <v>5398</v>
      </c>
      <c r="BF137" s="71">
        <v>5843</v>
      </c>
      <c r="BG137" s="6">
        <f t="shared" si="760"/>
        <v>5961</v>
      </c>
      <c r="BH137" s="71">
        <v>7569</v>
      </c>
      <c r="BJ137" s="71">
        <v>1270</v>
      </c>
      <c r="BK137" s="71">
        <v>1896</v>
      </c>
      <c r="BL137" s="71">
        <v>1922</v>
      </c>
      <c r="BM137" s="73">
        <f t="shared" si="755"/>
        <v>0</v>
      </c>
      <c r="BN137" s="308">
        <f t="shared" si="761"/>
        <v>3145</v>
      </c>
      <c r="BO137" s="308">
        <v>3406</v>
      </c>
      <c r="BP137" s="308">
        <v>4358</v>
      </c>
      <c r="BQ137" s="309">
        <f t="shared" si="762"/>
        <v>0</v>
      </c>
      <c r="BR137" s="308">
        <f t="shared" si="763"/>
        <v>5312</v>
      </c>
      <c r="BW137" s="39"/>
      <c r="BX137" s="39"/>
    </row>
    <row r="138" spans="2:78" ht="13.5" customHeight="1">
      <c r="B138" s="1" t="s">
        <v>350</v>
      </c>
      <c r="C138" s="71"/>
      <c r="D138" s="71"/>
      <c r="E138" s="71"/>
      <c r="F138" s="71"/>
      <c r="G138" s="71"/>
      <c r="H138" s="242"/>
      <c r="I138" s="242"/>
      <c r="J138" s="242"/>
      <c r="K138" s="71">
        <v>109</v>
      </c>
      <c r="L138" s="71">
        <v>179.679</v>
      </c>
      <c r="M138" s="71">
        <v>174</v>
      </c>
      <c r="N138" s="242"/>
      <c r="O138" s="71">
        <v>218</v>
      </c>
      <c r="P138" s="307"/>
      <c r="Q138" s="71">
        <v>233</v>
      </c>
      <c r="R138" s="6">
        <f t="shared" si="756"/>
        <v>232</v>
      </c>
      <c r="S138" s="6"/>
      <c r="T138" s="242"/>
      <c r="U138" s="242"/>
      <c r="V138" s="242"/>
      <c r="W138" s="243"/>
      <c r="X138" s="242"/>
      <c r="Y138" s="242"/>
      <c r="Z138" s="242"/>
      <c r="AA138" s="219"/>
      <c r="AB138" s="242"/>
      <c r="AC138" s="242"/>
      <c r="AD138" s="242"/>
      <c r="AE138" s="219"/>
      <c r="AF138" s="242"/>
      <c r="AG138" s="242"/>
      <c r="AH138" s="242"/>
      <c r="AI138" s="219"/>
      <c r="AJ138" s="242"/>
      <c r="AK138" s="242"/>
      <c r="AL138" s="242"/>
      <c r="AM138" s="219"/>
      <c r="AN138" s="242"/>
      <c r="AO138" s="242"/>
      <c r="AP138" s="242"/>
      <c r="AQ138" s="243"/>
      <c r="AR138" s="242"/>
      <c r="AS138" s="242"/>
      <c r="AT138" s="71">
        <v>108</v>
      </c>
      <c r="AU138" s="73">
        <f t="shared" si="752"/>
        <v>109</v>
      </c>
      <c r="AV138" s="71">
        <v>118</v>
      </c>
      <c r="AW138" s="71">
        <v>163</v>
      </c>
      <c r="AX138" s="71">
        <v>158</v>
      </c>
      <c r="AY138" s="6">
        <f t="shared" si="753"/>
        <v>174</v>
      </c>
      <c r="AZ138" s="71">
        <v>207</v>
      </c>
      <c r="BA138" s="71">
        <v>192</v>
      </c>
      <c r="BB138" s="71">
        <v>201</v>
      </c>
      <c r="BC138" s="6">
        <f t="shared" si="754"/>
        <v>218</v>
      </c>
      <c r="BD138" s="71">
        <v>213</v>
      </c>
      <c r="BE138" s="71">
        <v>234</v>
      </c>
      <c r="BF138" s="71">
        <v>255</v>
      </c>
      <c r="BG138" s="6">
        <f t="shared" si="760"/>
        <v>233</v>
      </c>
      <c r="BH138" s="71">
        <v>232</v>
      </c>
      <c r="BJ138" s="71">
        <v>118</v>
      </c>
      <c r="BK138" s="71">
        <v>163</v>
      </c>
      <c r="BL138" s="71">
        <v>158</v>
      </c>
      <c r="BM138" s="73">
        <f t="shared" si="755"/>
        <v>0</v>
      </c>
      <c r="BN138" s="308">
        <f t="shared" si="761"/>
        <v>207</v>
      </c>
      <c r="BO138" s="308">
        <v>192</v>
      </c>
      <c r="BP138" s="308">
        <v>201</v>
      </c>
      <c r="BQ138" s="309">
        <f t="shared" si="762"/>
        <v>0</v>
      </c>
      <c r="BR138" s="308">
        <f t="shared" si="763"/>
        <v>213</v>
      </c>
      <c r="BW138" s="39"/>
      <c r="BX138" s="39"/>
    </row>
    <row r="139" spans="2:78" ht="13.5" customHeight="1">
      <c r="B139" s="1" t="s">
        <v>351</v>
      </c>
      <c r="C139" s="71"/>
      <c r="D139" s="71"/>
      <c r="E139" s="71"/>
      <c r="F139" s="71"/>
      <c r="G139" s="71"/>
      <c r="H139" s="242"/>
      <c r="I139" s="242"/>
      <c r="J139" s="242"/>
      <c r="K139" s="71">
        <v>136</v>
      </c>
      <c r="L139" s="71">
        <v>223.80600000000001</v>
      </c>
      <c r="M139" s="71">
        <v>205</v>
      </c>
      <c r="N139" s="242"/>
      <c r="O139" s="71">
        <v>248</v>
      </c>
      <c r="P139" s="307"/>
      <c r="Q139" s="71">
        <v>331</v>
      </c>
      <c r="R139" s="6">
        <f t="shared" si="756"/>
        <v>346</v>
      </c>
      <c r="S139" s="6"/>
      <c r="T139" s="242"/>
      <c r="U139" s="242"/>
      <c r="V139" s="242"/>
      <c r="W139" s="243"/>
      <c r="X139" s="242"/>
      <c r="Y139" s="242"/>
      <c r="Z139" s="242"/>
      <c r="AA139" s="219"/>
      <c r="AB139" s="242"/>
      <c r="AC139" s="242"/>
      <c r="AD139" s="242"/>
      <c r="AE139" s="219"/>
      <c r="AF139" s="242"/>
      <c r="AG139" s="242"/>
      <c r="AH139" s="242"/>
      <c r="AI139" s="219"/>
      <c r="AJ139" s="242"/>
      <c r="AK139" s="242"/>
      <c r="AL139" s="242"/>
      <c r="AM139" s="219"/>
      <c r="AN139" s="242"/>
      <c r="AO139" s="242"/>
      <c r="AP139" s="242"/>
      <c r="AQ139" s="243"/>
      <c r="AR139" s="242"/>
      <c r="AS139" s="242"/>
      <c r="AT139" s="71">
        <v>126</v>
      </c>
      <c r="AU139" s="73">
        <f t="shared" si="752"/>
        <v>136</v>
      </c>
      <c r="AV139" s="71">
        <v>141</v>
      </c>
      <c r="AW139" s="71">
        <v>182</v>
      </c>
      <c r="AX139" s="71">
        <v>184</v>
      </c>
      <c r="AY139" s="6">
        <f t="shared" si="753"/>
        <v>205</v>
      </c>
      <c r="AZ139" s="71">
        <v>222</v>
      </c>
      <c r="BA139" s="71">
        <v>230</v>
      </c>
      <c r="BB139" s="71">
        <v>256</v>
      </c>
      <c r="BC139" s="6">
        <f t="shared" si="754"/>
        <v>248</v>
      </c>
      <c r="BD139" s="71">
        <v>272</v>
      </c>
      <c r="BE139" s="71">
        <v>305</v>
      </c>
      <c r="BF139" s="71">
        <v>305</v>
      </c>
      <c r="BG139" s="6">
        <f t="shared" si="760"/>
        <v>331</v>
      </c>
      <c r="BH139" s="71">
        <v>346</v>
      </c>
      <c r="BJ139" s="71">
        <v>141</v>
      </c>
      <c r="BK139" s="71">
        <v>182</v>
      </c>
      <c r="BL139" s="71">
        <v>184</v>
      </c>
      <c r="BM139" s="73">
        <f t="shared" si="755"/>
        <v>0</v>
      </c>
      <c r="BN139" s="308">
        <f t="shared" si="761"/>
        <v>222</v>
      </c>
      <c r="BO139" s="308">
        <v>230</v>
      </c>
      <c r="BP139" s="308">
        <v>256</v>
      </c>
      <c r="BQ139" s="309">
        <f t="shared" si="762"/>
        <v>0</v>
      </c>
      <c r="BR139" s="308">
        <f t="shared" si="763"/>
        <v>272</v>
      </c>
      <c r="BW139" s="39"/>
      <c r="BX139" s="39"/>
    </row>
    <row r="140" spans="2:78" ht="13.5" customHeight="1">
      <c r="B140" s="1" t="s">
        <v>352</v>
      </c>
      <c r="C140" s="71"/>
      <c r="D140" s="71"/>
      <c r="E140" s="71"/>
      <c r="F140" s="71"/>
      <c r="G140" s="71"/>
      <c r="H140" s="242"/>
      <c r="I140" s="242"/>
      <c r="J140" s="242"/>
      <c r="K140" s="71">
        <v>100</v>
      </c>
      <c r="L140" s="71">
        <v>165.572</v>
      </c>
      <c r="M140" s="71">
        <v>281</v>
      </c>
      <c r="N140" s="242"/>
      <c r="O140" s="71">
        <v>1209</v>
      </c>
      <c r="P140" s="307"/>
      <c r="Q140" s="71">
        <v>2124</v>
      </c>
      <c r="R140" s="6">
        <f t="shared" si="756"/>
        <v>1998</v>
      </c>
      <c r="S140" s="6"/>
      <c r="T140" s="242"/>
      <c r="U140" s="242"/>
      <c r="V140" s="242"/>
      <c r="W140" s="243"/>
      <c r="X140" s="242"/>
      <c r="Y140" s="242"/>
      <c r="Z140" s="242"/>
      <c r="AA140" s="219"/>
      <c r="AB140" s="242"/>
      <c r="AC140" s="242"/>
      <c r="AD140" s="242"/>
      <c r="AE140" s="219"/>
      <c r="AF140" s="242"/>
      <c r="AG140" s="242"/>
      <c r="AH140" s="242"/>
      <c r="AI140" s="219"/>
      <c r="AJ140" s="242"/>
      <c r="AK140" s="242"/>
      <c r="AL140" s="242"/>
      <c r="AM140" s="219"/>
      <c r="AN140" s="242"/>
      <c r="AO140" s="242"/>
      <c r="AP140" s="242"/>
      <c r="AQ140" s="243"/>
      <c r="AR140" s="242"/>
      <c r="AS140" s="242"/>
      <c r="AT140" s="71">
        <v>21</v>
      </c>
      <c r="AU140" s="73">
        <f t="shared" si="752"/>
        <v>100</v>
      </c>
      <c r="AV140" s="71">
        <v>207</v>
      </c>
      <c r="AW140" s="71">
        <v>321</v>
      </c>
      <c r="AX140" s="71">
        <v>287</v>
      </c>
      <c r="AY140" s="6">
        <f t="shared" si="753"/>
        <v>281</v>
      </c>
      <c r="AZ140" s="71">
        <v>571</v>
      </c>
      <c r="BA140" s="71">
        <v>747</v>
      </c>
      <c r="BB140" s="71">
        <v>1059</v>
      </c>
      <c r="BC140" s="6">
        <f t="shared" si="754"/>
        <v>1209</v>
      </c>
      <c r="BD140" s="71">
        <v>1560</v>
      </c>
      <c r="BE140" s="71">
        <v>1947</v>
      </c>
      <c r="BF140" s="71">
        <v>2033</v>
      </c>
      <c r="BG140" s="6">
        <f t="shared" si="760"/>
        <v>2124</v>
      </c>
      <c r="BH140" s="71">
        <v>1998</v>
      </c>
      <c r="BJ140" s="71">
        <v>207</v>
      </c>
      <c r="BK140" s="71">
        <v>321</v>
      </c>
      <c r="BL140" s="71">
        <v>287</v>
      </c>
      <c r="BM140" s="73">
        <f t="shared" si="755"/>
        <v>0</v>
      </c>
      <c r="BN140" s="308">
        <f t="shared" si="761"/>
        <v>571</v>
      </c>
      <c r="BO140" s="308">
        <v>747</v>
      </c>
      <c r="BP140" s="308">
        <v>1059</v>
      </c>
      <c r="BQ140" s="309">
        <f t="shared" si="762"/>
        <v>0</v>
      </c>
      <c r="BR140" s="308">
        <f t="shared" si="763"/>
        <v>1560</v>
      </c>
      <c r="BW140" s="39"/>
      <c r="BX140" s="39"/>
    </row>
    <row r="141" spans="2:78" ht="13.5" customHeight="1">
      <c r="B141" s="1" t="s">
        <v>353</v>
      </c>
      <c r="C141" s="71"/>
      <c r="D141" s="71"/>
      <c r="E141" s="71"/>
      <c r="F141" s="71"/>
      <c r="G141" s="71"/>
      <c r="H141" s="71"/>
      <c r="I141" s="71"/>
      <c r="J141" s="71">
        <v>0</v>
      </c>
      <c r="K141" s="71">
        <v>588</v>
      </c>
      <c r="L141" s="71">
        <v>968.31600000000003</v>
      </c>
      <c r="M141" s="71">
        <v>1844</v>
      </c>
      <c r="N141" s="242"/>
      <c r="O141" s="71">
        <v>303</v>
      </c>
      <c r="P141" s="307"/>
      <c r="Q141" s="71">
        <v>98</v>
      </c>
      <c r="R141" s="6">
        <f t="shared" si="756"/>
        <v>56</v>
      </c>
      <c r="S141" s="6"/>
      <c r="T141" s="71"/>
      <c r="U141" s="71"/>
      <c r="V141" s="71"/>
      <c r="W141" s="73"/>
      <c r="X141" s="71"/>
      <c r="Y141" s="71"/>
      <c r="Z141" s="71"/>
      <c r="AA141" s="6"/>
      <c r="AB141" s="71"/>
      <c r="AC141" s="71"/>
      <c r="AD141" s="71"/>
      <c r="AE141" s="6"/>
      <c r="AF141" s="71"/>
      <c r="AG141" s="71"/>
      <c r="AH141" s="71"/>
      <c r="AI141" s="6"/>
      <c r="AJ141" s="71"/>
      <c r="AK141" s="71"/>
      <c r="AL141" s="71"/>
      <c r="AM141" s="6"/>
      <c r="AN141" s="71">
        <v>0</v>
      </c>
      <c r="AO141" s="71">
        <v>0</v>
      </c>
      <c r="AP141" s="71">
        <v>0</v>
      </c>
      <c r="AQ141" s="73">
        <f>J141</f>
        <v>0</v>
      </c>
      <c r="AR141" s="71">
        <v>60</v>
      </c>
      <c r="AS141" s="71">
        <v>146</v>
      </c>
      <c r="AT141" s="71">
        <v>440</v>
      </c>
      <c r="AU141" s="73">
        <f t="shared" si="752"/>
        <v>588</v>
      </c>
      <c r="AV141" s="71">
        <v>325</v>
      </c>
      <c r="AW141" s="71">
        <v>452</v>
      </c>
      <c r="AX141" s="71">
        <v>929</v>
      </c>
      <c r="AY141" s="6">
        <f t="shared" si="753"/>
        <v>1844</v>
      </c>
      <c r="AZ141" s="71">
        <v>786</v>
      </c>
      <c r="BA141" s="71">
        <v>230</v>
      </c>
      <c r="BB141" s="71">
        <v>318</v>
      </c>
      <c r="BC141" s="6">
        <f t="shared" si="754"/>
        <v>303</v>
      </c>
      <c r="BD141" s="71">
        <v>35</v>
      </c>
      <c r="BE141" s="71">
        <v>58</v>
      </c>
      <c r="BF141" s="71">
        <v>68</v>
      </c>
      <c r="BG141" s="6">
        <f t="shared" si="760"/>
        <v>98</v>
      </c>
      <c r="BH141" s="71">
        <v>56</v>
      </c>
      <c r="BJ141" s="71">
        <v>325</v>
      </c>
      <c r="BK141" s="71">
        <v>452</v>
      </c>
      <c r="BL141" s="71">
        <v>929</v>
      </c>
      <c r="BM141" s="73">
        <f t="shared" si="755"/>
        <v>0</v>
      </c>
      <c r="BN141" s="308">
        <f t="shared" si="761"/>
        <v>786</v>
      </c>
      <c r="BO141" s="308">
        <v>230</v>
      </c>
      <c r="BP141" s="308">
        <v>318</v>
      </c>
      <c r="BQ141" s="309">
        <f t="shared" si="762"/>
        <v>0</v>
      </c>
      <c r="BR141" s="308">
        <f t="shared" si="763"/>
        <v>35</v>
      </c>
      <c r="BW141" s="39"/>
      <c r="BX141" s="39"/>
    </row>
    <row r="142" spans="2:78" ht="13.5" customHeight="1">
      <c r="B142" s="1" t="s">
        <v>354</v>
      </c>
      <c r="C142" s="71"/>
      <c r="D142" s="71"/>
      <c r="E142" s="71"/>
      <c r="F142" s="71"/>
      <c r="G142" s="71"/>
      <c r="H142" s="71"/>
      <c r="I142" s="71"/>
      <c r="J142" s="71"/>
      <c r="K142" s="71"/>
      <c r="L142" s="71">
        <v>0</v>
      </c>
      <c r="M142" s="71">
        <v>0</v>
      </c>
      <c r="N142" s="242"/>
      <c r="O142" s="71">
        <v>0</v>
      </c>
      <c r="P142" s="307"/>
      <c r="Q142" s="71">
        <v>0</v>
      </c>
      <c r="R142" s="6">
        <f t="shared" si="756"/>
        <v>0</v>
      </c>
      <c r="S142" s="6"/>
      <c r="T142" s="71"/>
      <c r="U142" s="71"/>
      <c r="V142" s="71"/>
      <c r="W142" s="73"/>
      <c r="X142" s="71"/>
      <c r="Y142" s="71"/>
      <c r="Z142" s="71"/>
      <c r="AA142" s="6"/>
      <c r="AB142" s="71"/>
      <c r="AC142" s="71"/>
      <c r="AD142" s="71"/>
      <c r="AE142" s="6"/>
      <c r="AF142" s="71"/>
      <c r="AG142" s="71"/>
      <c r="AH142" s="71"/>
      <c r="AI142" s="6"/>
      <c r="AJ142" s="71"/>
      <c r="AK142" s="71"/>
      <c r="AL142" s="71"/>
      <c r="AM142" s="6"/>
      <c r="AN142" s="71"/>
      <c r="AO142" s="71"/>
      <c r="AP142" s="71"/>
      <c r="AQ142" s="73"/>
      <c r="AR142" s="71"/>
      <c r="AS142" s="71"/>
      <c r="AT142" s="71"/>
      <c r="AU142" s="73"/>
      <c r="AV142" s="71"/>
      <c r="AW142" s="71"/>
      <c r="AX142" s="71">
        <v>50</v>
      </c>
      <c r="AY142" s="6">
        <f t="shared" si="753"/>
        <v>0</v>
      </c>
      <c r="AZ142" s="71">
        <v>0</v>
      </c>
      <c r="BA142" s="71">
        <v>0</v>
      </c>
      <c r="BB142" s="71">
        <v>0</v>
      </c>
      <c r="BC142" s="6">
        <f t="shared" si="754"/>
        <v>0</v>
      </c>
      <c r="BD142" s="71">
        <v>0</v>
      </c>
      <c r="BE142" s="71">
        <v>0</v>
      </c>
      <c r="BF142" s="71">
        <v>0</v>
      </c>
      <c r="BG142" s="6">
        <f t="shared" si="760"/>
        <v>0</v>
      </c>
      <c r="BH142" s="71">
        <v>0</v>
      </c>
      <c r="BJ142" s="71"/>
      <c r="BK142" s="71"/>
      <c r="BL142" s="71">
        <v>50</v>
      </c>
      <c r="BM142" s="73">
        <f t="shared" si="755"/>
        <v>0</v>
      </c>
      <c r="BN142" s="308">
        <f t="shared" si="761"/>
        <v>0</v>
      </c>
      <c r="BO142" s="308">
        <v>0</v>
      </c>
      <c r="BP142" s="308">
        <v>0</v>
      </c>
      <c r="BQ142" s="309">
        <f t="shared" si="762"/>
        <v>0</v>
      </c>
      <c r="BR142" s="308">
        <f t="shared" si="763"/>
        <v>0</v>
      </c>
      <c r="BW142" s="39"/>
      <c r="BX142" s="39"/>
    </row>
    <row r="143" spans="2:78" ht="13.5" customHeight="1">
      <c r="B143" s="1" t="s">
        <v>355</v>
      </c>
      <c r="C143" s="71"/>
      <c r="D143" s="71"/>
      <c r="E143" s="71"/>
      <c r="F143" s="71"/>
      <c r="G143" s="71"/>
      <c r="H143" s="71"/>
      <c r="I143" s="71"/>
      <c r="J143" s="71"/>
      <c r="K143" s="71"/>
      <c r="L143" s="71">
        <v>0</v>
      </c>
      <c r="M143" s="71">
        <v>103</v>
      </c>
      <c r="N143" s="242"/>
      <c r="O143" s="71">
        <v>186</v>
      </c>
      <c r="P143" s="307"/>
      <c r="Q143" s="71">
        <v>452</v>
      </c>
      <c r="R143" s="6">
        <f t="shared" si="756"/>
        <v>530</v>
      </c>
      <c r="S143" s="6"/>
      <c r="T143" s="71"/>
      <c r="U143" s="71"/>
      <c r="V143" s="71"/>
      <c r="W143" s="73"/>
      <c r="X143" s="71"/>
      <c r="Y143" s="71"/>
      <c r="Z143" s="71"/>
      <c r="AA143" s="6"/>
      <c r="AB143" s="71"/>
      <c r="AC143" s="71"/>
      <c r="AD143" s="71"/>
      <c r="AE143" s="6"/>
      <c r="AF143" s="71"/>
      <c r="AG143" s="71"/>
      <c r="AH143" s="71"/>
      <c r="AI143" s="6"/>
      <c r="AJ143" s="71"/>
      <c r="AK143" s="71"/>
      <c r="AL143" s="71"/>
      <c r="AM143" s="6"/>
      <c r="AN143" s="71"/>
      <c r="AO143" s="71"/>
      <c r="AP143" s="71"/>
      <c r="AQ143" s="73"/>
      <c r="AR143" s="71"/>
      <c r="AS143" s="71"/>
      <c r="AT143" s="71"/>
      <c r="AU143" s="73"/>
      <c r="AV143" s="71"/>
      <c r="AW143" s="71"/>
      <c r="AX143" s="71">
        <v>173</v>
      </c>
      <c r="AY143" s="6">
        <f t="shared" si="753"/>
        <v>103</v>
      </c>
      <c r="AZ143" s="71">
        <v>75</v>
      </c>
      <c r="BA143" s="71">
        <v>115</v>
      </c>
      <c r="BB143" s="71">
        <v>273</v>
      </c>
      <c r="BC143" s="6">
        <f t="shared" si="754"/>
        <v>186</v>
      </c>
      <c r="BD143" s="71">
        <v>388</v>
      </c>
      <c r="BE143" s="71">
        <v>381</v>
      </c>
      <c r="BF143" s="71">
        <v>519</v>
      </c>
      <c r="BG143" s="6">
        <f t="shared" si="760"/>
        <v>452</v>
      </c>
      <c r="BH143" s="71">
        <v>530</v>
      </c>
      <c r="BJ143" s="71"/>
      <c r="BK143" s="71"/>
      <c r="BL143" s="71">
        <v>173</v>
      </c>
      <c r="BM143" s="73">
        <f t="shared" si="755"/>
        <v>0</v>
      </c>
      <c r="BN143" s="308">
        <f t="shared" si="761"/>
        <v>75</v>
      </c>
      <c r="BO143" s="308">
        <v>115</v>
      </c>
      <c r="BP143" s="308">
        <v>273</v>
      </c>
      <c r="BQ143" s="309">
        <f t="shared" si="762"/>
        <v>0</v>
      </c>
      <c r="BR143" s="308">
        <f t="shared" si="763"/>
        <v>388</v>
      </c>
      <c r="BW143" s="39"/>
      <c r="BX143" s="39"/>
    </row>
    <row r="144" spans="2:78" ht="13.5" customHeight="1">
      <c r="B144" s="1" t="s">
        <v>356</v>
      </c>
      <c r="C144" s="71"/>
      <c r="D144" s="71"/>
      <c r="E144" s="71"/>
      <c r="F144" s="71"/>
      <c r="G144" s="71"/>
      <c r="H144" s="71"/>
      <c r="I144" s="71"/>
      <c r="J144" s="71"/>
      <c r="K144" s="71">
        <v>0</v>
      </c>
      <c r="L144" s="71">
        <v>0</v>
      </c>
      <c r="M144" s="71">
        <v>0</v>
      </c>
      <c r="N144" s="242"/>
      <c r="O144" s="71">
        <v>351</v>
      </c>
      <c r="P144" s="307"/>
      <c r="Q144" s="71">
        <v>62</v>
      </c>
      <c r="R144" s="6">
        <f t="shared" si="756"/>
        <v>0</v>
      </c>
      <c r="S144" s="6"/>
      <c r="T144" s="71"/>
      <c r="U144" s="71"/>
      <c r="V144" s="71"/>
      <c r="W144" s="73"/>
      <c r="X144" s="71"/>
      <c r="Y144" s="71"/>
      <c r="Z144" s="71"/>
      <c r="AA144" s="6"/>
      <c r="AB144" s="71"/>
      <c r="AC144" s="71"/>
      <c r="AD144" s="71"/>
      <c r="AE144" s="6"/>
      <c r="AF144" s="71"/>
      <c r="AG144" s="71"/>
      <c r="AH144" s="71"/>
      <c r="AI144" s="6"/>
      <c r="AJ144" s="71"/>
      <c r="AK144" s="71"/>
      <c r="AL144" s="71"/>
      <c r="AM144" s="6"/>
      <c r="AN144" s="71"/>
      <c r="AO144" s="71"/>
      <c r="AP144" s="71"/>
      <c r="AQ144" s="73"/>
      <c r="AR144" s="71"/>
      <c r="AS144" s="71"/>
      <c r="AT144" s="71"/>
      <c r="AU144" s="73"/>
      <c r="AV144" s="71"/>
      <c r="AW144" s="71"/>
      <c r="AX144" s="71">
        <v>0</v>
      </c>
      <c r="AY144" s="6">
        <f t="shared" si="753"/>
        <v>0</v>
      </c>
      <c r="AZ144" s="71">
        <v>0</v>
      </c>
      <c r="BA144" s="71">
        <v>0</v>
      </c>
      <c r="BB144" s="71">
        <v>0</v>
      </c>
      <c r="BC144" s="6">
        <f t="shared" si="754"/>
        <v>351</v>
      </c>
      <c r="BD144" s="71">
        <v>87</v>
      </c>
      <c r="BE144" s="71">
        <v>162</v>
      </c>
      <c r="BF144" s="71">
        <v>72</v>
      </c>
      <c r="BG144" s="6">
        <f t="shared" si="760"/>
        <v>62</v>
      </c>
      <c r="BH144" s="71">
        <v>0</v>
      </c>
      <c r="BJ144" s="71"/>
      <c r="BK144" s="71"/>
      <c r="BL144" s="71"/>
      <c r="BM144" s="73">
        <f t="shared" si="755"/>
        <v>0</v>
      </c>
      <c r="BN144" s="308">
        <f t="shared" si="761"/>
        <v>0</v>
      </c>
      <c r="BO144" s="308">
        <v>0</v>
      </c>
      <c r="BP144" s="308">
        <v>0</v>
      </c>
      <c r="BQ144" s="309">
        <f t="shared" si="762"/>
        <v>0</v>
      </c>
      <c r="BR144" s="308">
        <f t="shared" si="763"/>
        <v>87</v>
      </c>
      <c r="BW144" s="39"/>
      <c r="BX144" s="39"/>
    </row>
    <row r="145" spans="2:76" ht="13.5" customHeight="1">
      <c r="B145" s="1" t="s">
        <v>357</v>
      </c>
      <c r="C145" s="71">
        <v>1</v>
      </c>
      <c r="D145" s="71">
        <v>2</v>
      </c>
      <c r="E145" s="71">
        <v>0</v>
      </c>
      <c r="F145" s="71">
        <v>0.3</v>
      </c>
      <c r="G145" s="71">
        <v>0</v>
      </c>
      <c r="H145" s="71">
        <v>0</v>
      </c>
      <c r="I145" s="71">
        <v>0</v>
      </c>
      <c r="J145" s="71">
        <v>0</v>
      </c>
      <c r="K145" s="71">
        <v>0</v>
      </c>
      <c r="L145" s="71">
        <v>0</v>
      </c>
      <c r="M145" s="71">
        <v>3</v>
      </c>
      <c r="N145" s="242"/>
      <c r="O145" s="71">
        <v>2</v>
      </c>
      <c r="P145" s="307"/>
      <c r="Q145" s="71">
        <v>129</v>
      </c>
      <c r="R145" s="6">
        <f t="shared" si="756"/>
        <v>225</v>
      </c>
      <c r="S145" s="6"/>
      <c r="T145" s="71">
        <v>0</v>
      </c>
      <c r="U145" s="71">
        <v>0</v>
      </c>
      <c r="V145" s="71">
        <v>0</v>
      </c>
      <c r="W145" s="73">
        <f>E145</f>
        <v>0</v>
      </c>
      <c r="X145" s="71">
        <v>0</v>
      </c>
      <c r="Y145" s="71">
        <v>0</v>
      </c>
      <c r="Z145" s="71">
        <v>0</v>
      </c>
      <c r="AA145" s="6">
        <f>F145</f>
        <v>0.3</v>
      </c>
      <c r="AB145" s="71">
        <v>1</v>
      </c>
      <c r="AC145" s="71">
        <v>1</v>
      </c>
      <c r="AD145" s="71">
        <v>0</v>
      </c>
      <c r="AE145" s="6">
        <f>G145</f>
        <v>0</v>
      </c>
      <c r="AF145" s="71">
        <v>0</v>
      </c>
      <c r="AG145" s="71">
        <v>0</v>
      </c>
      <c r="AH145" s="71">
        <v>0</v>
      </c>
      <c r="AI145" s="6">
        <f>H145</f>
        <v>0</v>
      </c>
      <c r="AJ145" s="71">
        <v>0</v>
      </c>
      <c r="AK145" s="71">
        <v>0</v>
      </c>
      <c r="AL145" s="71">
        <v>0</v>
      </c>
      <c r="AM145" s="6">
        <f>I145</f>
        <v>0</v>
      </c>
      <c r="AN145" s="71">
        <v>0</v>
      </c>
      <c r="AO145" s="71">
        <v>0</v>
      </c>
      <c r="AP145" s="71">
        <v>0</v>
      </c>
      <c r="AQ145" s="73">
        <f>J145</f>
        <v>0</v>
      </c>
      <c r="AR145" s="71">
        <v>0</v>
      </c>
      <c r="AS145" s="71">
        <v>0</v>
      </c>
      <c r="AT145" s="71">
        <v>0</v>
      </c>
      <c r="AU145" s="73">
        <f>K145</f>
        <v>0</v>
      </c>
      <c r="AV145" s="71">
        <v>0</v>
      </c>
      <c r="AW145" s="71">
        <v>0</v>
      </c>
      <c r="AX145" s="71">
        <v>2</v>
      </c>
      <c r="AY145" s="6">
        <f t="shared" si="753"/>
        <v>3</v>
      </c>
      <c r="AZ145" s="71">
        <f>9</f>
        <v>9</v>
      </c>
      <c r="BA145" s="71"/>
      <c r="BB145" s="71">
        <v>55</v>
      </c>
      <c r="BC145" s="6">
        <f t="shared" si="754"/>
        <v>2</v>
      </c>
      <c r="BD145" s="71">
        <v>35</v>
      </c>
      <c r="BE145" s="71">
        <v>0</v>
      </c>
      <c r="BF145" s="71">
        <v>0</v>
      </c>
      <c r="BG145" s="6">
        <f t="shared" si="760"/>
        <v>129</v>
      </c>
      <c r="BH145" s="71">
        <f>223+2</f>
        <v>225</v>
      </c>
      <c r="BJ145" s="71">
        <v>0</v>
      </c>
      <c r="BK145" s="71">
        <v>0</v>
      </c>
      <c r="BL145" s="71">
        <v>2</v>
      </c>
      <c r="BM145" s="73">
        <f t="shared" si="755"/>
        <v>0</v>
      </c>
      <c r="BN145" s="308">
        <f t="shared" si="761"/>
        <v>9</v>
      </c>
      <c r="BO145" s="308"/>
      <c r="BP145" s="308">
        <v>55</v>
      </c>
      <c r="BQ145" s="309">
        <f t="shared" si="762"/>
        <v>0</v>
      </c>
      <c r="BR145" s="308">
        <f t="shared" si="763"/>
        <v>35</v>
      </c>
      <c r="BW145" s="39"/>
      <c r="BX145" s="39"/>
    </row>
    <row r="146" spans="2:76" ht="13.5" customHeight="1">
      <c r="B146" s="1" t="s">
        <v>358</v>
      </c>
      <c r="C146" s="71">
        <v>1162</v>
      </c>
      <c r="D146" s="71">
        <v>1461</v>
      </c>
      <c r="E146" s="71">
        <v>1773</v>
      </c>
      <c r="F146" s="71">
        <v>1901.799</v>
      </c>
      <c r="G146" s="71">
        <v>2657</v>
      </c>
      <c r="H146" s="71">
        <v>3002</v>
      </c>
      <c r="I146" s="71">
        <v>3712</v>
      </c>
      <c r="J146" s="71">
        <v>6566</v>
      </c>
      <c r="K146" s="71">
        <v>9463</v>
      </c>
      <c r="L146" s="71">
        <v>15591.562</v>
      </c>
      <c r="M146" s="71">
        <v>14966</v>
      </c>
      <c r="N146" s="242"/>
      <c r="O146" s="71">
        <v>18017</v>
      </c>
      <c r="P146" s="307"/>
      <c r="Q146" s="71">
        <v>21924</v>
      </c>
      <c r="R146" s="6">
        <f t="shared" si="756"/>
        <v>22228</v>
      </c>
      <c r="S146" s="6"/>
      <c r="T146" s="71">
        <v>1442</v>
      </c>
      <c r="U146" s="71">
        <v>1455</v>
      </c>
      <c r="V146" s="71">
        <v>1526</v>
      </c>
      <c r="W146" s="73">
        <f>E146</f>
        <v>1773</v>
      </c>
      <c r="X146" s="71">
        <v>1856</v>
      </c>
      <c r="Y146" s="71">
        <v>1767</v>
      </c>
      <c r="Z146" s="71">
        <v>1812</v>
      </c>
      <c r="AA146" s="6">
        <f>F146</f>
        <v>1901.799</v>
      </c>
      <c r="AB146" s="71">
        <v>2016</v>
      </c>
      <c r="AC146" s="71">
        <v>2302</v>
      </c>
      <c r="AD146" s="71">
        <v>3063</v>
      </c>
      <c r="AE146" s="6">
        <f>G146</f>
        <v>2657</v>
      </c>
      <c r="AF146" s="71">
        <v>2878</v>
      </c>
      <c r="AG146" s="71">
        <v>2908</v>
      </c>
      <c r="AH146" s="71">
        <v>2895</v>
      </c>
      <c r="AI146" s="6">
        <f>H146</f>
        <v>3002</v>
      </c>
      <c r="AJ146" s="71">
        <v>3334</v>
      </c>
      <c r="AK146" s="71">
        <v>3459</v>
      </c>
      <c r="AL146" s="71">
        <v>3997</v>
      </c>
      <c r="AM146" s="6">
        <f>I146</f>
        <v>3712</v>
      </c>
      <c r="AN146" s="71">
        <v>4263</v>
      </c>
      <c r="AO146" s="71">
        <v>4403</v>
      </c>
      <c r="AP146" s="71">
        <v>4528</v>
      </c>
      <c r="AQ146" s="73">
        <f>J146</f>
        <v>6566</v>
      </c>
      <c r="AR146" s="71">
        <v>7503</v>
      </c>
      <c r="AS146" s="71">
        <v>8435</v>
      </c>
      <c r="AT146" s="71">
        <v>9480</v>
      </c>
      <c r="AU146" s="73">
        <f>K146</f>
        <v>9463</v>
      </c>
      <c r="AV146" s="71">
        <v>9810</v>
      </c>
      <c r="AW146" s="71">
        <v>0</v>
      </c>
      <c r="AX146" s="71">
        <v>10941</v>
      </c>
      <c r="AY146" s="6">
        <f t="shared" si="753"/>
        <v>14966</v>
      </c>
      <c r="AZ146" s="71">
        <v>12490</v>
      </c>
      <c r="BA146" s="71">
        <v>16785</v>
      </c>
      <c r="BB146" s="71">
        <v>17069</v>
      </c>
      <c r="BC146" s="6">
        <f t="shared" si="754"/>
        <v>18017</v>
      </c>
      <c r="BD146" s="71">
        <v>18913</v>
      </c>
      <c r="BE146" s="71">
        <v>20321</v>
      </c>
      <c r="BF146" s="71">
        <v>20778</v>
      </c>
      <c r="BG146" s="6">
        <f t="shared" si="760"/>
        <v>21924</v>
      </c>
      <c r="BH146" s="71">
        <v>22228</v>
      </c>
      <c r="BJ146" s="71">
        <v>9810</v>
      </c>
      <c r="BK146" s="71">
        <v>0</v>
      </c>
      <c r="BL146" s="71">
        <v>10941</v>
      </c>
      <c r="BM146" s="73">
        <f t="shared" si="755"/>
        <v>0</v>
      </c>
      <c r="BN146" s="308">
        <f t="shared" si="761"/>
        <v>12490</v>
      </c>
      <c r="BO146" s="308">
        <v>16785</v>
      </c>
      <c r="BP146" s="308">
        <v>17069</v>
      </c>
      <c r="BQ146" s="309">
        <f t="shared" si="762"/>
        <v>0</v>
      </c>
      <c r="BR146" s="308">
        <f t="shared" si="763"/>
        <v>18913</v>
      </c>
      <c r="BW146" s="39"/>
      <c r="BX146" s="39"/>
    </row>
    <row r="147" spans="2:76" ht="13.5" customHeight="1">
      <c r="B147" s="1" t="s">
        <v>359</v>
      </c>
      <c r="C147" s="71">
        <v>987</v>
      </c>
      <c r="D147" s="71">
        <v>1115</v>
      </c>
      <c r="E147" s="71">
        <v>1304</v>
      </c>
      <c r="F147" s="71">
        <v>1590.499</v>
      </c>
      <c r="G147" s="71">
        <v>2130</v>
      </c>
      <c r="H147" s="71">
        <v>2351</v>
      </c>
      <c r="I147" s="71">
        <v>3187</v>
      </c>
      <c r="J147" s="71">
        <v>5225</v>
      </c>
      <c r="K147" s="71">
        <v>7098</v>
      </c>
      <c r="L147" s="71">
        <v>11696.035</v>
      </c>
      <c r="M147" s="71">
        <v>11606</v>
      </c>
      <c r="N147" s="242"/>
      <c r="O147" s="71">
        <v>13024</v>
      </c>
      <c r="P147" s="307"/>
      <c r="Q147" s="71">
        <v>17929</v>
      </c>
      <c r="R147" s="6">
        <f t="shared" si="756"/>
        <v>18269</v>
      </c>
      <c r="S147" s="6"/>
      <c r="T147" s="71">
        <v>1136</v>
      </c>
      <c r="U147" s="71">
        <v>1146</v>
      </c>
      <c r="V147" s="71">
        <v>1169</v>
      </c>
      <c r="W147" s="73">
        <f>E147</f>
        <v>1304</v>
      </c>
      <c r="X147" s="71">
        <v>1387</v>
      </c>
      <c r="Y147" s="71">
        <v>1435</v>
      </c>
      <c r="Z147" s="71">
        <v>1461</v>
      </c>
      <c r="AA147" s="6">
        <f>F147</f>
        <v>1590.499</v>
      </c>
      <c r="AB147" s="71">
        <v>1734</v>
      </c>
      <c r="AC147" s="71">
        <v>1911</v>
      </c>
      <c r="AD147" s="71">
        <v>2433</v>
      </c>
      <c r="AE147" s="6">
        <f>G147</f>
        <v>2130</v>
      </c>
      <c r="AF147" s="71">
        <v>2254</v>
      </c>
      <c r="AG147" s="71">
        <v>2359</v>
      </c>
      <c r="AH147" s="71">
        <v>2164</v>
      </c>
      <c r="AI147" s="6">
        <f>H147</f>
        <v>2351</v>
      </c>
      <c r="AJ147" s="71">
        <v>2576</v>
      </c>
      <c r="AK147" s="71">
        <v>2778</v>
      </c>
      <c r="AL147" s="71">
        <v>3198</v>
      </c>
      <c r="AM147" s="6">
        <f>I147</f>
        <v>3187</v>
      </c>
      <c r="AN147" s="71">
        <v>3491</v>
      </c>
      <c r="AO147" s="71">
        <v>7370</v>
      </c>
      <c r="AP147" s="71">
        <v>3641</v>
      </c>
      <c r="AQ147" s="73">
        <f>J147</f>
        <v>5225</v>
      </c>
      <c r="AR147" s="71">
        <v>5847</v>
      </c>
      <c r="AS147" s="71">
        <v>6145</v>
      </c>
      <c r="AT147" s="71">
        <v>6334</v>
      </c>
      <c r="AU147" s="73">
        <f>K147</f>
        <v>7098</v>
      </c>
      <c r="AV147" s="71">
        <v>7466</v>
      </c>
      <c r="AW147" s="71">
        <v>9882</v>
      </c>
      <c r="AX147" s="71">
        <v>10263</v>
      </c>
      <c r="AY147" s="6">
        <f t="shared" si="753"/>
        <v>11606</v>
      </c>
      <c r="AZ147" s="71">
        <v>16169</v>
      </c>
      <c r="BA147" s="71">
        <v>12250</v>
      </c>
      <c r="BB147" s="71">
        <v>13373</v>
      </c>
      <c r="BC147" s="6">
        <f t="shared" si="754"/>
        <v>13024</v>
      </c>
      <c r="BD147" s="71">
        <v>14545</v>
      </c>
      <c r="BE147" s="71">
        <v>16284</v>
      </c>
      <c r="BF147" s="71">
        <v>17152</v>
      </c>
      <c r="BG147" s="6">
        <f t="shared" si="760"/>
        <v>17929</v>
      </c>
      <c r="BH147" s="71">
        <v>18269</v>
      </c>
      <c r="BJ147" s="71">
        <v>7466</v>
      </c>
      <c r="BK147" s="71">
        <v>9882</v>
      </c>
      <c r="BL147" s="71">
        <v>10263</v>
      </c>
      <c r="BM147" s="73">
        <f t="shared" si="755"/>
        <v>0</v>
      </c>
      <c r="BN147" s="308">
        <f t="shared" si="761"/>
        <v>16169</v>
      </c>
      <c r="BO147" s="308">
        <v>12250</v>
      </c>
      <c r="BP147" s="308">
        <v>13373</v>
      </c>
      <c r="BQ147" s="309">
        <f t="shared" si="762"/>
        <v>0</v>
      </c>
      <c r="BR147" s="308">
        <f t="shared" si="763"/>
        <v>14545</v>
      </c>
      <c r="BW147" s="39"/>
      <c r="BX147" s="39"/>
    </row>
    <row r="148" spans="2:76" ht="13.5" customHeight="1">
      <c r="B148" s="1" t="s">
        <v>360</v>
      </c>
      <c r="C148" s="71"/>
      <c r="D148" s="71"/>
      <c r="E148" s="71"/>
      <c r="F148" s="71"/>
      <c r="G148" s="71"/>
      <c r="H148" s="71">
        <v>1024</v>
      </c>
      <c r="I148" s="71">
        <v>1026</v>
      </c>
      <c r="J148" s="71">
        <v>1544</v>
      </c>
      <c r="K148" s="71">
        <v>6496</v>
      </c>
      <c r="L148" s="71">
        <v>6135.83</v>
      </c>
      <c r="M148" s="71">
        <v>692</v>
      </c>
      <c r="N148" s="242"/>
      <c r="O148" s="71">
        <v>6364</v>
      </c>
      <c r="P148" s="307"/>
      <c r="Q148" s="71">
        <v>4731</v>
      </c>
      <c r="R148" s="6">
        <f t="shared" si="756"/>
        <v>4735</v>
      </c>
      <c r="S148" s="6"/>
      <c r="T148" s="71"/>
      <c r="U148" s="71"/>
      <c r="V148" s="71"/>
      <c r="W148" s="73"/>
      <c r="X148" s="71"/>
      <c r="Y148" s="71"/>
      <c r="Z148" s="71"/>
      <c r="AA148" s="6"/>
      <c r="AB148" s="71"/>
      <c r="AC148" s="71"/>
      <c r="AD148" s="71"/>
      <c r="AE148" s="6"/>
      <c r="AF148" s="71">
        <v>515</v>
      </c>
      <c r="AG148" s="71">
        <v>517</v>
      </c>
      <c r="AH148" s="71">
        <v>1032</v>
      </c>
      <c r="AI148" s="6">
        <f>H148</f>
        <v>1024</v>
      </c>
      <c r="AJ148" s="71">
        <v>1017</v>
      </c>
      <c r="AK148" s="71">
        <v>1015</v>
      </c>
      <c r="AL148" s="71">
        <v>1016</v>
      </c>
      <c r="AM148" s="6">
        <f>I148</f>
        <v>1026</v>
      </c>
      <c r="AN148" s="71">
        <v>1748</v>
      </c>
      <c r="AO148" s="71">
        <v>2064</v>
      </c>
      <c r="AP148" s="71">
        <v>1544</v>
      </c>
      <c r="AQ148" s="73">
        <f>J148</f>
        <v>1544</v>
      </c>
      <c r="AR148" s="71">
        <v>2261</v>
      </c>
      <c r="AS148" s="71">
        <v>3386</v>
      </c>
      <c r="AT148" s="71">
        <v>6255</v>
      </c>
      <c r="AU148" s="73">
        <f>K148</f>
        <v>6496</v>
      </c>
      <c r="AV148" s="71">
        <v>6239</v>
      </c>
      <c r="AW148" s="71">
        <v>6276</v>
      </c>
      <c r="AX148" s="71">
        <v>671</v>
      </c>
      <c r="AY148" s="6">
        <f t="shared" si="753"/>
        <v>692</v>
      </c>
      <c r="AZ148" s="71">
        <v>4993</v>
      </c>
      <c r="BA148" s="71">
        <v>6358</v>
      </c>
      <c r="BB148" s="71">
        <v>6360</v>
      </c>
      <c r="BC148" s="6">
        <f t="shared" si="754"/>
        <v>6364</v>
      </c>
      <c r="BD148" s="71">
        <v>2074</v>
      </c>
      <c r="BE148" s="71">
        <v>15400</v>
      </c>
      <c r="BF148" s="71">
        <v>9234</v>
      </c>
      <c r="BG148" s="6">
        <f t="shared" si="760"/>
        <v>4731</v>
      </c>
      <c r="BH148" s="71">
        <v>4735</v>
      </c>
      <c r="BJ148" s="71">
        <v>6239</v>
      </c>
      <c r="BK148" s="71">
        <v>6276</v>
      </c>
      <c r="BL148" s="71">
        <v>671</v>
      </c>
      <c r="BM148" s="73">
        <f t="shared" si="755"/>
        <v>0</v>
      </c>
      <c r="BN148" s="308">
        <f>AZ148</f>
        <v>4993</v>
      </c>
      <c r="BO148" s="308">
        <v>6358</v>
      </c>
      <c r="BP148" s="308">
        <v>6360</v>
      </c>
      <c r="BQ148" s="309">
        <f t="shared" si="762"/>
        <v>0</v>
      </c>
      <c r="BR148" s="308">
        <f>BD148</f>
        <v>2074</v>
      </c>
      <c r="BW148" s="39"/>
      <c r="BX148" s="39"/>
    </row>
    <row r="149" spans="2:76" ht="13.5" customHeight="1">
      <c r="B149" s="5" t="s">
        <v>361</v>
      </c>
      <c r="C149" s="8">
        <f t="shared" ref="C149:K149" si="764">SUM(C124:C148)</f>
        <v>4764</v>
      </c>
      <c r="D149" s="8">
        <f t="shared" si="764"/>
        <v>5455</v>
      </c>
      <c r="E149" s="8">
        <f t="shared" si="764"/>
        <v>5658</v>
      </c>
      <c r="F149" s="8">
        <f t="shared" si="764"/>
        <v>7374.6980000000003</v>
      </c>
      <c r="G149" s="8">
        <f t="shared" si="764"/>
        <v>11949</v>
      </c>
      <c r="H149" s="8">
        <f t="shared" si="764"/>
        <v>14955.42</v>
      </c>
      <c r="I149" s="8">
        <f t="shared" si="764"/>
        <v>17075.935000000001</v>
      </c>
      <c r="J149" s="8">
        <f t="shared" si="764"/>
        <v>32578.621999999999</v>
      </c>
      <c r="K149" s="8">
        <f t="shared" si="764"/>
        <v>51358.648000000001</v>
      </c>
      <c r="L149" s="8">
        <f t="shared" ref="L149:M149" si="765">SUM(L124:L148)</f>
        <v>84757.777000000002</v>
      </c>
      <c r="M149" s="8">
        <f t="shared" si="765"/>
        <v>105721.08900000001</v>
      </c>
      <c r="N149" s="25">
        <f>74336.432+8606.858+64192.475</f>
        <v>147135.76500000001</v>
      </c>
      <c r="O149" s="8">
        <f t="shared" ref="O149" si="766">SUM(O124:O148)</f>
        <v>146958.549</v>
      </c>
      <c r="P149" s="74">
        <f>67250.109+14252.329+99185.334</f>
        <v>180687.772</v>
      </c>
      <c r="Q149" s="8">
        <f t="shared" ref="Q149" si="767">SUM(Q124:Q148)</f>
        <v>246971.36499999999</v>
      </c>
      <c r="R149" s="8">
        <f t="shared" ref="R149" si="768">SUM(R124:R148)</f>
        <v>261818.467</v>
      </c>
      <c r="S149" s="8"/>
      <c r="T149" s="8">
        <f t="shared" ref="T149:BR149" si="769">SUM(T124:T148)</f>
        <v>5592</v>
      </c>
      <c r="U149" s="8">
        <f t="shared" si="769"/>
        <v>5157</v>
      </c>
      <c r="V149" s="8">
        <f t="shared" si="769"/>
        <v>5212</v>
      </c>
      <c r="W149" s="8">
        <f t="shared" si="769"/>
        <v>5658</v>
      </c>
      <c r="X149" s="8">
        <f t="shared" si="769"/>
        <v>6751</v>
      </c>
      <c r="Y149" s="8">
        <f t="shared" si="769"/>
        <v>6797</v>
      </c>
      <c r="Z149" s="8">
        <f t="shared" si="769"/>
        <v>6983</v>
      </c>
      <c r="AA149" s="8">
        <f t="shared" si="769"/>
        <v>7374.6980000000003</v>
      </c>
      <c r="AB149" s="8">
        <f t="shared" si="769"/>
        <v>8252.1</v>
      </c>
      <c r="AC149" s="8">
        <f t="shared" si="769"/>
        <v>9442.6</v>
      </c>
      <c r="AD149" s="8">
        <f t="shared" si="769"/>
        <v>11523</v>
      </c>
      <c r="AE149" s="8">
        <f t="shared" si="769"/>
        <v>11949</v>
      </c>
      <c r="AF149" s="8">
        <f t="shared" si="769"/>
        <v>13867.739</v>
      </c>
      <c r="AG149" s="8">
        <f t="shared" si="769"/>
        <v>14079.280999999999</v>
      </c>
      <c r="AH149" s="8">
        <f t="shared" si="769"/>
        <v>13852.918</v>
      </c>
      <c r="AI149" s="8">
        <f t="shared" si="769"/>
        <v>14955.42</v>
      </c>
      <c r="AJ149" s="8">
        <f t="shared" si="769"/>
        <v>16095.615</v>
      </c>
      <c r="AK149" s="8">
        <f t="shared" si="769"/>
        <v>15892.584999999999</v>
      </c>
      <c r="AL149" s="8">
        <f t="shared" si="769"/>
        <v>16906.234</v>
      </c>
      <c r="AM149" s="8">
        <f t="shared" si="769"/>
        <v>17075.935000000001</v>
      </c>
      <c r="AN149" s="8">
        <f t="shared" si="769"/>
        <v>19288.449000000001</v>
      </c>
      <c r="AO149" s="8">
        <f t="shared" si="769"/>
        <v>24783.808000000001</v>
      </c>
      <c r="AP149" s="8">
        <f t="shared" si="769"/>
        <v>22245.441999999999</v>
      </c>
      <c r="AQ149" s="8">
        <f t="shared" si="769"/>
        <v>32578.621999999999</v>
      </c>
      <c r="AR149" s="8">
        <f t="shared" si="769"/>
        <v>39252.631000000001</v>
      </c>
      <c r="AS149" s="8">
        <f t="shared" si="769"/>
        <v>44243.762999999999</v>
      </c>
      <c r="AT149" s="8">
        <f t="shared" si="769"/>
        <v>48542.620999999999</v>
      </c>
      <c r="AU149" s="8">
        <f t="shared" si="769"/>
        <v>51358.648000000001</v>
      </c>
      <c r="AV149" s="8">
        <f t="shared" si="769"/>
        <v>60400.178</v>
      </c>
      <c r="AW149" s="8">
        <f t="shared" si="769"/>
        <v>64380.726000000002</v>
      </c>
      <c r="AX149" s="8">
        <f t="shared" si="769"/>
        <v>87381.763999999996</v>
      </c>
      <c r="AY149" s="8">
        <f t="shared" si="769"/>
        <v>105721.08900000001</v>
      </c>
      <c r="AZ149" s="8">
        <f t="shared" si="769"/>
        <v>111480.77900000001</v>
      </c>
      <c r="BA149" s="8">
        <f t="shared" si="769"/>
        <v>130765.54699999999</v>
      </c>
      <c r="BB149" s="8">
        <f t="shared" si="769"/>
        <v>139442.761</v>
      </c>
      <c r="BC149" s="8">
        <f t="shared" si="769"/>
        <v>146958.549</v>
      </c>
      <c r="BD149" s="8">
        <f t="shared" si="769"/>
        <v>168851.15700000001</v>
      </c>
      <c r="BE149" s="8">
        <f t="shared" si="769"/>
        <v>216553.076</v>
      </c>
      <c r="BF149" s="8">
        <f t="shared" si="769"/>
        <v>232777.74799999999</v>
      </c>
      <c r="BG149" s="8">
        <f t="shared" si="769"/>
        <v>246971.36499999999</v>
      </c>
      <c r="BH149" s="8">
        <f t="shared" si="769"/>
        <v>261818.467</v>
      </c>
      <c r="BJ149" s="8">
        <f t="shared" si="769"/>
        <v>60400.178</v>
      </c>
      <c r="BK149" s="8">
        <f t="shared" si="769"/>
        <v>64380.726000000002</v>
      </c>
      <c r="BL149" s="8">
        <f t="shared" si="769"/>
        <v>87381.763999999996</v>
      </c>
      <c r="BM149" s="8">
        <f t="shared" si="769"/>
        <v>5502.4040000000005</v>
      </c>
      <c r="BN149" s="8">
        <f t="shared" si="769"/>
        <v>111480.77900000001</v>
      </c>
      <c r="BO149" s="8">
        <f t="shared" si="769"/>
        <v>130765.54699999999</v>
      </c>
      <c r="BP149" s="8">
        <f t="shared" si="769"/>
        <v>139442.761</v>
      </c>
      <c r="BQ149" s="8">
        <f t="shared" si="769"/>
        <v>11664.531999999999</v>
      </c>
      <c r="BR149" s="8">
        <f t="shared" si="769"/>
        <v>168851.15700000001</v>
      </c>
      <c r="BW149" s="39"/>
      <c r="BX149" s="39"/>
    </row>
    <row r="150" spans="2:76" ht="13.5" customHeight="1">
      <c r="B150" s="7" t="s">
        <v>362</v>
      </c>
      <c r="C150" s="4">
        <v>1620.5229999999999</v>
      </c>
      <c r="D150" s="4">
        <v>2166.1529999999998</v>
      </c>
      <c r="E150" s="4">
        <v>2441.8710000000001</v>
      </c>
      <c r="F150" s="4">
        <v>2581.9639999999999</v>
      </c>
      <c r="G150" s="4">
        <v>5341.5240000000003</v>
      </c>
      <c r="H150" s="4">
        <v>6937.06</v>
      </c>
      <c r="I150" s="4">
        <v>12002.245999999999</v>
      </c>
      <c r="J150" s="4">
        <v>16014.589</v>
      </c>
      <c r="K150" s="4">
        <v>24529.219000000001</v>
      </c>
      <c r="L150" s="4">
        <f>40417.51</f>
        <v>40417.51</v>
      </c>
      <c r="M150" s="4">
        <f>48791.778</f>
        <v>48791.777999999998</v>
      </c>
      <c r="N150" s="4">
        <v>70444.978000000003</v>
      </c>
      <c r="O150" s="4">
        <v>50815.824999999997</v>
      </c>
      <c r="P150" s="4">
        <v>66514.005999999994</v>
      </c>
      <c r="Q150" s="4">
        <v>97829.153999999995</v>
      </c>
      <c r="R150" s="6">
        <f>BH150</f>
        <v>79461.672000000006</v>
      </c>
      <c r="S150" s="6"/>
      <c r="T150" s="4">
        <v>2491</v>
      </c>
      <c r="U150" s="4">
        <v>2466.4229999999998</v>
      </c>
      <c r="V150" s="4">
        <v>2721.2669999999998</v>
      </c>
      <c r="W150" s="6">
        <f>E150</f>
        <v>2441.8710000000001</v>
      </c>
      <c r="X150" s="4">
        <v>2886.4319999999998</v>
      </c>
      <c r="Y150" s="4">
        <v>2038.01</v>
      </c>
      <c r="Z150" s="4">
        <v>1982.875</v>
      </c>
      <c r="AA150" s="6">
        <f>F150</f>
        <v>2581.9639999999999</v>
      </c>
      <c r="AB150" s="4">
        <v>2611.5839999999998</v>
      </c>
      <c r="AC150" s="4">
        <v>2955.9740000000002</v>
      </c>
      <c r="AD150" s="4">
        <v>4225.1639999999998</v>
      </c>
      <c r="AE150" s="6">
        <f>G150</f>
        <v>5341.5240000000003</v>
      </c>
      <c r="AF150" s="4">
        <v>6478.098</v>
      </c>
      <c r="AG150" s="4">
        <v>5787.7809999999999</v>
      </c>
      <c r="AH150" s="4">
        <v>5481.64</v>
      </c>
      <c r="AI150" s="6">
        <f>H150</f>
        <v>6937.06</v>
      </c>
      <c r="AJ150" s="4">
        <v>7826.6319999999996</v>
      </c>
      <c r="AK150" s="4">
        <v>9253.1579999999994</v>
      </c>
      <c r="AL150" s="4">
        <v>11540.151</v>
      </c>
      <c r="AM150" s="6">
        <f>I150</f>
        <v>12002.245999999999</v>
      </c>
      <c r="AN150" s="4">
        <v>10213.040000000001</v>
      </c>
      <c r="AO150" s="4">
        <v>10743.491</v>
      </c>
      <c r="AP150" s="4">
        <v>8340.5750000000007</v>
      </c>
      <c r="AQ150" s="6">
        <f>J150</f>
        <v>16014.589</v>
      </c>
      <c r="AR150" s="4">
        <v>16694.455999999998</v>
      </c>
      <c r="AS150" s="4">
        <v>14956.187</v>
      </c>
      <c r="AT150" s="4">
        <v>20425.396000000001</v>
      </c>
      <c r="AU150" s="6">
        <f>K150</f>
        <v>24529.219000000001</v>
      </c>
      <c r="AV150" s="4">
        <v>29347.464</v>
      </c>
      <c r="AW150" s="4">
        <v>28665.84</v>
      </c>
      <c r="AX150" s="4">
        <v>39623.14</v>
      </c>
      <c r="AY150" s="6">
        <f>M150</f>
        <v>48791.777999999998</v>
      </c>
      <c r="AZ150" s="4">
        <v>46600.785000000003</v>
      </c>
      <c r="BA150" s="4">
        <v>45257.023999999998</v>
      </c>
      <c r="BB150" s="4">
        <v>34309.593000000001</v>
      </c>
      <c r="BC150" s="6">
        <f>O150</f>
        <v>50815.824999999997</v>
      </c>
      <c r="BD150" s="4">
        <v>43866.671000000002</v>
      </c>
      <c r="BE150" s="4">
        <v>60075.144</v>
      </c>
      <c r="BF150" s="4">
        <v>71440.375</v>
      </c>
      <c r="BG150" s="6">
        <f>Q150</f>
        <v>97829.153999999995</v>
      </c>
      <c r="BH150" s="4">
        <v>79461.672000000006</v>
      </c>
      <c r="BJ150" s="4">
        <v>49446.788</v>
      </c>
      <c r="BK150" s="4">
        <v>49175.087</v>
      </c>
      <c r="BL150" s="4">
        <v>59183.235999999997</v>
      </c>
      <c r="BM150" s="4">
        <f t="shared" si="755"/>
        <v>70444.978000000003</v>
      </c>
      <c r="BN150" s="308">
        <f>AZ150</f>
        <v>46600.785000000003</v>
      </c>
      <c r="BO150" s="308">
        <f>BA150</f>
        <v>45257.023999999998</v>
      </c>
      <c r="BP150" s="308">
        <v>34309.593000000001</v>
      </c>
      <c r="BQ150" s="4">
        <f>P150</f>
        <v>66514.005999999994</v>
      </c>
      <c r="BR150" s="308">
        <f>BD150</f>
        <v>43866.671000000002</v>
      </c>
      <c r="BW150" s="39"/>
      <c r="BX150" s="39"/>
    </row>
    <row r="151" spans="2:76" ht="13.5" customHeight="1">
      <c r="B151" s="5" t="s">
        <v>26</v>
      </c>
      <c r="C151" s="8">
        <f t="shared" ref="C151:AB151" si="770">C149-C150</f>
        <v>3143.4769999999999</v>
      </c>
      <c r="D151" s="8">
        <f t="shared" si="770"/>
        <v>3288.8470000000002</v>
      </c>
      <c r="E151" s="8">
        <f t="shared" si="770"/>
        <v>3216.1289999999999</v>
      </c>
      <c r="F151" s="8">
        <f t="shared" si="770"/>
        <v>4792.7340000000004</v>
      </c>
      <c r="G151" s="8">
        <f t="shared" si="770"/>
        <v>6607.4759999999997</v>
      </c>
      <c r="H151" s="8">
        <f t="shared" ref="H151:J151" si="771">H149-H150</f>
        <v>8018.36</v>
      </c>
      <c r="I151" s="8">
        <f t="shared" si="771"/>
        <v>5073.6890000000021</v>
      </c>
      <c r="J151" s="8">
        <f t="shared" si="771"/>
        <v>16564.032999999999</v>
      </c>
      <c r="K151" s="8">
        <f>K149-K150</f>
        <v>26829.429</v>
      </c>
      <c r="L151" s="8">
        <f>L149-L150</f>
        <v>44340.267</v>
      </c>
      <c r="M151" s="8">
        <f t="shared" ref="M151:O151" si="772">M149-M150</f>
        <v>56929.311000000009</v>
      </c>
      <c r="N151" s="8">
        <f t="shared" ref="N151" si="773">N149-N150</f>
        <v>76690.787000000011</v>
      </c>
      <c r="O151" s="8">
        <f t="shared" si="772"/>
        <v>96142.724000000002</v>
      </c>
      <c r="P151" s="8">
        <f>P149-P150</f>
        <v>114173.766</v>
      </c>
      <c r="Q151" s="8">
        <f t="shared" ref="Q151" si="774">Q149-Q150</f>
        <v>149142.21100000001</v>
      </c>
      <c r="R151" s="8">
        <f t="shared" ref="R151" si="775">R149-R150</f>
        <v>182356.79499999998</v>
      </c>
      <c r="S151" s="8"/>
      <c r="T151" s="8">
        <f t="shared" si="770"/>
        <v>3101</v>
      </c>
      <c r="U151" s="8">
        <f t="shared" si="770"/>
        <v>2690.5770000000002</v>
      </c>
      <c r="V151" s="8">
        <f t="shared" si="770"/>
        <v>2490.7330000000002</v>
      </c>
      <c r="W151" s="8">
        <f t="shared" si="770"/>
        <v>3216.1289999999999</v>
      </c>
      <c r="X151" s="8">
        <f t="shared" si="770"/>
        <v>3864.5680000000002</v>
      </c>
      <c r="Y151" s="8">
        <f t="shared" si="770"/>
        <v>4758.99</v>
      </c>
      <c r="Z151" s="8">
        <f t="shared" si="770"/>
        <v>5000.125</v>
      </c>
      <c r="AA151" s="8">
        <f t="shared" si="770"/>
        <v>4792.7340000000004</v>
      </c>
      <c r="AB151" s="8">
        <f t="shared" si="770"/>
        <v>5640.5160000000005</v>
      </c>
      <c r="AC151" s="8">
        <f t="shared" ref="AC151:AH151" si="776">AC149-AC150</f>
        <v>6486.6260000000002</v>
      </c>
      <c r="AD151" s="8">
        <f t="shared" si="776"/>
        <v>7297.8360000000002</v>
      </c>
      <c r="AE151" s="8">
        <f t="shared" si="776"/>
        <v>6607.4759999999997</v>
      </c>
      <c r="AF151" s="8">
        <f t="shared" si="776"/>
        <v>7389.6409999999996</v>
      </c>
      <c r="AG151" s="8">
        <f t="shared" si="776"/>
        <v>8291.5</v>
      </c>
      <c r="AH151" s="8">
        <f t="shared" si="776"/>
        <v>8371.2779999999984</v>
      </c>
      <c r="AI151" s="8">
        <f t="shared" ref="AI151:AN151" si="777">AI149-AI150</f>
        <v>8018.36</v>
      </c>
      <c r="AJ151" s="8">
        <f t="shared" si="777"/>
        <v>8268.9830000000002</v>
      </c>
      <c r="AK151" s="8">
        <f t="shared" si="777"/>
        <v>6639.4269999999997</v>
      </c>
      <c r="AL151" s="8">
        <f t="shared" si="777"/>
        <v>5366.0830000000005</v>
      </c>
      <c r="AM151" s="8">
        <f t="shared" si="777"/>
        <v>5073.6890000000021</v>
      </c>
      <c r="AN151" s="8">
        <f t="shared" si="777"/>
        <v>9075.4089999999997</v>
      </c>
      <c r="AO151" s="8">
        <f t="shared" ref="AO151:AT151" si="778">AO149-AO150</f>
        <v>14040.317000000001</v>
      </c>
      <c r="AP151" s="8">
        <f t="shared" si="778"/>
        <v>13904.866999999998</v>
      </c>
      <c r="AQ151" s="8">
        <f t="shared" si="778"/>
        <v>16564.032999999999</v>
      </c>
      <c r="AR151" s="8">
        <f t="shared" si="778"/>
        <v>22558.175000000003</v>
      </c>
      <c r="AS151" s="8">
        <f t="shared" si="778"/>
        <v>29287.576000000001</v>
      </c>
      <c r="AT151" s="8">
        <f t="shared" si="778"/>
        <v>28117.224999999999</v>
      </c>
      <c r="AU151" s="8">
        <f t="shared" ref="AU151" si="779">AU149-AU150</f>
        <v>26829.429</v>
      </c>
      <c r="AV151" s="8">
        <f t="shared" ref="AV151:AY151" si="780">AV149-AV150</f>
        <v>31052.714</v>
      </c>
      <c r="AW151" s="8">
        <f t="shared" si="780"/>
        <v>35714.885999999999</v>
      </c>
      <c r="AX151" s="8">
        <f t="shared" si="780"/>
        <v>47758.623999999996</v>
      </c>
      <c r="AY151" s="8">
        <f t="shared" si="780"/>
        <v>56929.311000000009</v>
      </c>
      <c r="AZ151" s="8">
        <f t="shared" ref="AZ151:BC151" si="781">AZ149-AZ150</f>
        <v>64879.994000000006</v>
      </c>
      <c r="BA151" s="8">
        <f t="shared" si="781"/>
        <v>85508.522999999986</v>
      </c>
      <c r="BB151" s="8">
        <f t="shared" si="781"/>
        <v>105133.16800000001</v>
      </c>
      <c r="BC151" s="8">
        <f t="shared" si="781"/>
        <v>96142.724000000002</v>
      </c>
      <c r="BD151" s="8">
        <f t="shared" ref="BD151:BG151" si="782">BD149-BD150</f>
        <v>124984.486</v>
      </c>
      <c r="BE151" s="8">
        <f t="shared" si="782"/>
        <v>156477.932</v>
      </c>
      <c r="BF151" s="8">
        <f t="shared" si="782"/>
        <v>161337.37299999999</v>
      </c>
      <c r="BG151" s="8">
        <f t="shared" si="782"/>
        <v>149142.21100000001</v>
      </c>
      <c r="BH151" s="8">
        <f t="shared" ref="BH151" si="783">BH149-BH150</f>
        <v>182356.79499999998</v>
      </c>
      <c r="BJ151" s="8">
        <f t="shared" ref="BJ151:BL151" si="784">BJ149-BJ150</f>
        <v>10953.39</v>
      </c>
      <c r="BK151" s="8">
        <f t="shared" si="784"/>
        <v>15205.639000000003</v>
      </c>
      <c r="BL151" s="8">
        <f t="shared" si="784"/>
        <v>28198.527999999998</v>
      </c>
      <c r="BM151" s="8">
        <f t="shared" ref="BM151:BN151" si="785">BM149-BM150</f>
        <v>-64942.574000000001</v>
      </c>
      <c r="BN151" s="8">
        <f t="shared" si="785"/>
        <v>64879.994000000006</v>
      </c>
      <c r="BO151" s="8">
        <f t="shared" ref="BO151:BR151" si="786">BO149-BO150</f>
        <v>85508.522999999986</v>
      </c>
      <c r="BP151" s="8">
        <f t="shared" si="786"/>
        <v>105133.16800000001</v>
      </c>
      <c r="BQ151" s="8">
        <f t="shared" si="786"/>
        <v>-54849.473999999995</v>
      </c>
      <c r="BR151" s="8">
        <f t="shared" si="786"/>
        <v>124984.486</v>
      </c>
      <c r="BW151" s="39"/>
      <c r="BX151" s="39"/>
    </row>
    <row r="152" spans="2:76" ht="13.5" customHeight="1">
      <c r="B152" s="5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6"/>
      <c r="S152" s="6"/>
      <c r="T152" s="8"/>
      <c r="U152" s="8"/>
      <c r="V152" s="8"/>
      <c r="W152" s="8"/>
      <c r="X152" s="8"/>
      <c r="Y152" s="8"/>
      <c r="Z152" s="8"/>
      <c r="AA152" s="8"/>
      <c r="AC152" s="8"/>
      <c r="AD152" s="8"/>
      <c r="AE152" s="8"/>
      <c r="AI152" s="8"/>
      <c r="AM152" s="8"/>
      <c r="AQ152" s="8"/>
      <c r="AU152" s="8"/>
      <c r="BD152" s="6"/>
      <c r="BE152" s="6"/>
      <c r="BH152" s="6"/>
      <c r="BW152" s="39"/>
      <c r="BX152" s="39"/>
    </row>
    <row r="153" spans="2:76" ht="13.5" customHeight="1">
      <c r="B153" s="1" t="s">
        <v>363</v>
      </c>
      <c r="C153" s="6">
        <f t="shared" ref="C153:AE153" si="787">C149</f>
        <v>4764</v>
      </c>
      <c r="D153" s="6">
        <f t="shared" si="787"/>
        <v>5455</v>
      </c>
      <c r="E153" s="6">
        <f t="shared" si="787"/>
        <v>5658</v>
      </c>
      <c r="F153" s="6">
        <f t="shared" si="787"/>
        <v>7374.6980000000003</v>
      </c>
      <c r="G153" s="6">
        <f t="shared" si="787"/>
        <v>11949</v>
      </c>
      <c r="H153" s="6">
        <f>H149</f>
        <v>14955.42</v>
      </c>
      <c r="I153" s="6">
        <f>I149</f>
        <v>17075.935000000001</v>
      </c>
      <c r="J153" s="6">
        <f>J149</f>
        <v>32578.621999999999</v>
      </c>
      <c r="K153" s="6">
        <f t="shared" ref="K153" si="788">K149</f>
        <v>51358.648000000001</v>
      </c>
      <c r="L153" s="6">
        <f t="shared" ref="L153:Q153" si="789">L149</f>
        <v>84757.777000000002</v>
      </c>
      <c r="M153" s="6">
        <f t="shared" si="789"/>
        <v>105721.08900000001</v>
      </c>
      <c r="N153" s="6">
        <f t="shared" si="789"/>
        <v>147135.76500000001</v>
      </c>
      <c r="O153" s="6">
        <f t="shared" si="789"/>
        <v>146958.549</v>
      </c>
      <c r="P153" s="6">
        <f t="shared" si="789"/>
        <v>180687.772</v>
      </c>
      <c r="Q153" s="6">
        <f t="shared" si="789"/>
        <v>246971.36499999999</v>
      </c>
      <c r="R153" s="6">
        <f t="shared" ref="R153" si="790">R149</f>
        <v>261818.467</v>
      </c>
      <c r="S153" s="6"/>
      <c r="T153" s="6">
        <f t="shared" si="787"/>
        <v>5592</v>
      </c>
      <c r="U153" s="6">
        <f t="shared" si="787"/>
        <v>5157</v>
      </c>
      <c r="V153" s="6">
        <f t="shared" si="787"/>
        <v>5212</v>
      </c>
      <c r="W153" s="6">
        <f t="shared" si="787"/>
        <v>5658</v>
      </c>
      <c r="X153" s="6">
        <f t="shared" si="787"/>
        <v>6751</v>
      </c>
      <c r="Y153" s="6">
        <f t="shared" si="787"/>
        <v>6797</v>
      </c>
      <c r="Z153" s="6">
        <f t="shared" si="787"/>
        <v>6983</v>
      </c>
      <c r="AA153" s="6">
        <f t="shared" si="787"/>
        <v>7374.6980000000003</v>
      </c>
      <c r="AB153" s="6">
        <f t="shared" si="787"/>
        <v>8252.1</v>
      </c>
      <c r="AC153" s="6">
        <f t="shared" si="787"/>
        <v>9442.6</v>
      </c>
      <c r="AD153" s="6">
        <f t="shared" si="787"/>
        <v>11523</v>
      </c>
      <c r="AE153" s="6">
        <f t="shared" si="787"/>
        <v>11949</v>
      </c>
      <c r="AF153" s="6">
        <f t="shared" ref="AF153:AK153" si="791">AF149</f>
        <v>13867.739</v>
      </c>
      <c r="AG153" s="6">
        <f t="shared" si="791"/>
        <v>14079.280999999999</v>
      </c>
      <c r="AH153" s="6">
        <f t="shared" si="791"/>
        <v>13852.918</v>
      </c>
      <c r="AI153" s="6">
        <f t="shared" si="791"/>
        <v>14955.42</v>
      </c>
      <c r="AJ153" s="6">
        <f t="shared" si="791"/>
        <v>16095.615</v>
      </c>
      <c r="AK153" s="6">
        <f t="shared" si="791"/>
        <v>15892.584999999999</v>
      </c>
      <c r="AL153" s="6">
        <f>AL149</f>
        <v>16906.234</v>
      </c>
      <c r="AM153" s="6">
        <f>I153</f>
        <v>17075.935000000001</v>
      </c>
      <c r="AN153" s="6">
        <f>AN149</f>
        <v>19288.449000000001</v>
      </c>
      <c r="AO153" s="6">
        <f>AO149</f>
        <v>24783.808000000001</v>
      </c>
      <c r="AP153" s="6">
        <f>AP149</f>
        <v>22245.441999999999</v>
      </c>
      <c r="AQ153" s="73">
        <f>J153</f>
        <v>32578.621999999999</v>
      </c>
      <c r="AR153" s="6">
        <f t="shared" ref="AR153:AW153" si="792">AR149</f>
        <v>39252.631000000001</v>
      </c>
      <c r="AS153" s="6">
        <f t="shared" si="792"/>
        <v>44243.762999999999</v>
      </c>
      <c r="AT153" s="6">
        <f t="shared" si="792"/>
        <v>48542.620999999999</v>
      </c>
      <c r="AU153" s="73">
        <f>K153</f>
        <v>51358.648000000001</v>
      </c>
      <c r="AV153" s="6">
        <f t="shared" si="792"/>
        <v>60400.178</v>
      </c>
      <c r="AW153" s="6">
        <f t="shared" si="792"/>
        <v>64380.726000000002</v>
      </c>
      <c r="AX153" s="6">
        <f t="shared" ref="AX153:BA153" si="793">AX149</f>
        <v>87381.763999999996</v>
      </c>
      <c r="AY153" s="6">
        <f t="shared" si="793"/>
        <v>105721.08900000001</v>
      </c>
      <c r="AZ153" s="6">
        <f t="shared" si="793"/>
        <v>111480.77900000001</v>
      </c>
      <c r="BA153" s="6">
        <f t="shared" si="793"/>
        <v>130765.54699999999</v>
      </c>
      <c r="BB153" s="6">
        <f t="shared" ref="BB153:BE153" si="794">BB149</f>
        <v>139442.761</v>
      </c>
      <c r="BC153" s="6">
        <f t="shared" si="794"/>
        <v>146958.549</v>
      </c>
      <c r="BD153" s="6">
        <f t="shared" si="794"/>
        <v>168851.15700000001</v>
      </c>
      <c r="BE153" s="6">
        <f t="shared" si="794"/>
        <v>216553.076</v>
      </c>
      <c r="BF153" s="6">
        <f t="shared" ref="BF153:BH153" si="795">BF149</f>
        <v>232777.74799999999</v>
      </c>
      <c r="BG153" s="6">
        <f t="shared" si="795"/>
        <v>246971.36499999999</v>
      </c>
      <c r="BH153" s="6">
        <f t="shared" si="795"/>
        <v>261818.467</v>
      </c>
      <c r="BJ153" s="6">
        <f t="shared" ref="BJ153:BL153" si="796">BJ149</f>
        <v>60400.178</v>
      </c>
      <c r="BK153" s="6">
        <f t="shared" si="796"/>
        <v>64380.726000000002</v>
      </c>
      <c r="BL153" s="6">
        <f t="shared" si="796"/>
        <v>87381.763999999996</v>
      </c>
      <c r="BM153" s="6">
        <f t="shared" ref="BM153:BN153" si="797">BM149</f>
        <v>5502.4040000000005</v>
      </c>
      <c r="BN153" s="6">
        <f t="shared" si="797"/>
        <v>111480.77900000001</v>
      </c>
      <c r="BO153" s="6">
        <f t="shared" ref="BO153:BR153" si="798">BO149</f>
        <v>130765.54699999999</v>
      </c>
      <c r="BP153" s="6">
        <f t="shared" si="798"/>
        <v>139442.761</v>
      </c>
      <c r="BQ153" s="6">
        <f t="shared" si="798"/>
        <v>11664.531999999999</v>
      </c>
      <c r="BR153" s="6">
        <f t="shared" si="798"/>
        <v>168851.15700000001</v>
      </c>
      <c r="BW153" s="39"/>
      <c r="BX153" s="39"/>
    </row>
    <row r="154" spans="2:76" ht="13.5" customHeight="1">
      <c r="B154" s="5" t="s">
        <v>364</v>
      </c>
      <c r="C154" s="8">
        <f>C153-SUM(C150)</f>
        <v>3143.4769999999999</v>
      </c>
      <c r="D154" s="8">
        <f t="shared" ref="D154:AD154" si="799">D153-SUM(D150:D150)</f>
        <v>3288.8470000000002</v>
      </c>
      <c r="E154" s="8">
        <f t="shared" si="799"/>
        <v>3216.1289999999999</v>
      </c>
      <c r="F154" s="8">
        <f t="shared" si="799"/>
        <v>4792.7340000000004</v>
      </c>
      <c r="G154" s="8">
        <f t="shared" si="799"/>
        <v>6607.4759999999997</v>
      </c>
      <c r="H154" s="8">
        <f t="shared" ref="H154:J154" si="800">H153-SUM(H150:H150)</f>
        <v>8018.36</v>
      </c>
      <c r="I154" s="8">
        <f t="shared" si="800"/>
        <v>5073.6890000000021</v>
      </c>
      <c r="J154" s="8">
        <f t="shared" si="800"/>
        <v>16564.032999999999</v>
      </c>
      <c r="K154" s="257">
        <v>26858</v>
      </c>
      <c r="L154" s="257">
        <v>44254</v>
      </c>
      <c r="M154" s="257">
        <v>53570</v>
      </c>
      <c r="N154" s="257">
        <v>77344</v>
      </c>
      <c r="O154" s="257">
        <v>87110</v>
      </c>
      <c r="P154" s="257">
        <v>114174</v>
      </c>
      <c r="Q154" s="257">
        <v>138069</v>
      </c>
      <c r="R154" s="8">
        <f>BH154</f>
        <v>169781</v>
      </c>
      <c r="S154" s="8"/>
      <c r="T154" s="8">
        <f t="shared" si="799"/>
        <v>3101</v>
      </c>
      <c r="U154" s="8">
        <f t="shared" si="799"/>
        <v>2690.5770000000002</v>
      </c>
      <c r="V154" s="8">
        <f t="shared" si="799"/>
        <v>2490.7330000000002</v>
      </c>
      <c r="W154" s="8">
        <f t="shared" si="799"/>
        <v>3216.1289999999999</v>
      </c>
      <c r="X154" s="8">
        <f t="shared" si="799"/>
        <v>3864.5680000000002</v>
      </c>
      <c r="Y154" s="8">
        <f t="shared" si="799"/>
        <v>4758.99</v>
      </c>
      <c r="Z154" s="8">
        <f t="shared" si="799"/>
        <v>5000.125</v>
      </c>
      <c r="AA154" s="8">
        <f t="shared" si="799"/>
        <v>4792.7340000000004</v>
      </c>
      <c r="AB154" s="8">
        <f t="shared" si="799"/>
        <v>5640.5160000000005</v>
      </c>
      <c r="AC154" s="8">
        <f t="shared" si="799"/>
        <v>6486.6260000000002</v>
      </c>
      <c r="AD154" s="8">
        <f t="shared" si="799"/>
        <v>7297.8360000000002</v>
      </c>
      <c r="AE154" s="8">
        <f>G154</f>
        <v>6607.4759999999997</v>
      </c>
      <c r="AF154" s="8">
        <f>AF153-SUM(AF150:AF150)</f>
        <v>7389.6409999999996</v>
      </c>
      <c r="AG154" s="8">
        <f>AG153-SUM(AG150:AG150)</f>
        <v>8291.5</v>
      </c>
      <c r="AH154" s="8">
        <f>AH153-SUM(AH150:AH150)</f>
        <v>8371.2779999999984</v>
      </c>
      <c r="AI154" s="8">
        <f>H154</f>
        <v>8018.36</v>
      </c>
      <c r="AJ154" s="8">
        <f t="shared" ref="AJ154:AO154" si="801">AJ153-SUM(AJ150:AJ150)</f>
        <v>8268.9830000000002</v>
      </c>
      <c r="AK154" s="8">
        <f t="shared" si="801"/>
        <v>6639.4269999999997</v>
      </c>
      <c r="AL154" s="8">
        <f t="shared" si="801"/>
        <v>5366.0830000000005</v>
      </c>
      <c r="AM154" s="8">
        <f t="shared" si="801"/>
        <v>5073.6890000000021</v>
      </c>
      <c r="AN154" s="8">
        <f t="shared" si="801"/>
        <v>9075.4089999999997</v>
      </c>
      <c r="AO154" s="8">
        <f t="shared" si="801"/>
        <v>14040.317000000001</v>
      </c>
      <c r="AP154" s="8">
        <f t="shared" ref="AP154:AQ154" si="802">AP153-SUM(AP150:AP150)</f>
        <v>13904.866999999998</v>
      </c>
      <c r="AQ154" s="8">
        <f t="shared" si="802"/>
        <v>16564.032999999999</v>
      </c>
      <c r="AR154" s="257">
        <v>22577</v>
      </c>
      <c r="AS154" s="257">
        <v>29374</v>
      </c>
      <c r="AT154" s="257">
        <v>28411</v>
      </c>
      <c r="AU154" s="8">
        <f>K154</f>
        <v>26858</v>
      </c>
      <c r="AV154" s="257">
        <v>32561</v>
      </c>
      <c r="AW154" s="257">
        <v>37465</v>
      </c>
      <c r="AX154" s="257">
        <v>43731</v>
      </c>
      <c r="AY154" s="8">
        <f>M154</f>
        <v>53570</v>
      </c>
      <c r="AZ154" s="257">
        <v>61051</v>
      </c>
      <c r="BA154" s="257">
        <v>76985</v>
      </c>
      <c r="BB154" s="257">
        <v>97114</v>
      </c>
      <c r="BC154" s="8">
        <f>O154</f>
        <v>87110</v>
      </c>
      <c r="BD154" s="257">
        <v>115357</v>
      </c>
      <c r="BE154" s="257">
        <v>145059</v>
      </c>
      <c r="BF154" s="257">
        <v>150233</v>
      </c>
      <c r="BG154" s="8">
        <f>Q154</f>
        <v>138069</v>
      </c>
      <c r="BH154" s="257">
        <v>169781</v>
      </c>
      <c r="BJ154" s="257">
        <v>32561</v>
      </c>
      <c r="BK154" s="257">
        <v>37465</v>
      </c>
      <c r="BL154" s="257">
        <v>43731</v>
      </c>
      <c r="BM154" s="257">
        <f t="shared" ref="BM154" si="803">N154</f>
        <v>77344</v>
      </c>
      <c r="BN154" s="308">
        <f>AZ154</f>
        <v>61051</v>
      </c>
      <c r="BO154" s="308">
        <f>BA154</f>
        <v>76985</v>
      </c>
      <c r="BP154" s="308">
        <f>BB154</f>
        <v>97114</v>
      </c>
      <c r="BQ154" s="257">
        <f>P154</f>
        <v>114174</v>
      </c>
      <c r="BR154" s="308">
        <f>BD154</f>
        <v>115357</v>
      </c>
      <c r="BW154" s="39"/>
      <c r="BX154" s="39"/>
    </row>
    <row r="155" spans="2:76" ht="13.5" customHeight="1"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6"/>
      <c r="S155" s="6"/>
      <c r="T155" s="25"/>
      <c r="U155" s="25"/>
      <c r="V155" s="25"/>
      <c r="W155" s="25"/>
      <c r="X155" s="25"/>
      <c r="Y155" s="25"/>
      <c r="Z155" s="25"/>
      <c r="AA155" s="25"/>
      <c r="AC155" s="25"/>
      <c r="AD155" s="25"/>
      <c r="AE155" s="25"/>
      <c r="AI155" s="25"/>
      <c r="AM155" s="25"/>
      <c r="AQ155" s="25"/>
      <c r="AU155" s="25"/>
      <c r="BW155" s="39"/>
      <c r="BX155" s="39"/>
    </row>
    <row r="156" spans="2:76" ht="13.5" customHeight="1">
      <c r="B156" s="5" t="s">
        <v>365</v>
      </c>
      <c r="C156" s="8">
        <f t="shared" ref="C156:Q156" si="804">C59*8</f>
        <v>220.608</v>
      </c>
      <c r="D156" s="8">
        <f t="shared" si="804"/>
        <v>152.4</v>
      </c>
      <c r="E156" s="8">
        <f t="shared" si="804"/>
        <v>180.05600000000001</v>
      </c>
      <c r="F156" s="8">
        <f t="shared" si="804"/>
        <v>252.50399999999999</v>
      </c>
      <c r="G156" s="8">
        <f t="shared" si="804"/>
        <v>336</v>
      </c>
      <c r="H156" s="8">
        <f t="shared" si="804"/>
        <v>0</v>
      </c>
      <c r="I156" s="8">
        <f t="shared" si="804"/>
        <v>0</v>
      </c>
      <c r="J156" s="8">
        <f t="shared" si="804"/>
        <v>0</v>
      </c>
      <c r="K156" s="8">
        <f t="shared" si="804"/>
        <v>0</v>
      </c>
      <c r="L156" s="8">
        <f t="shared" si="804"/>
        <v>0</v>
      </c>
      <c r="M156" s="8">
        <f t="shared" si="804"/>
        <v>0</v>
      </c>
      <c r="N156" s="8">
        <f t="shared" si="804"/>
        <v>0</v>
      </c>
      <c r="O156" s="8">
        <f t="shared" si="804"/>
        <v>0</v>
      </c>
      <c r="P156" s="8">
        <f t="shared" si="804"/>
        <v>0</v>
      </c>
      <c r="Q156" s="8">
        <f t="shared" si="804"/>
        <v>0</v>
      </c>
      <c r="R156" s="8">
        <f>BG156</f>
        <v>0</v>
      </c>
      <c r="S156" s="8"/>
      <c r="T156" s="8">
        <f t="shared" ref="T156:BH156" si="805">T59*8*4</f>
        <v>180.05600000000001</v>
      </c>
      <c r="U156" s="8">
        <f t="shared" si="805"/>
        <v>180.05600000000001</v>
      </c>
      <c r="V156" s="8">
        <f t="shared" si="805"/>
        <v>180.05600000000001</v>
      </c>
      <c r="W156" s="8">
        <f t="shared" si="805"/>
        <v>180.05600000000004</v>
      </c>
      <c r="X156" s="8">
        <f t="shared" si="805"/>
        <v>252.50399999999999</v>
      </c>
      <c r="Y156" s="8">
        <f t="shared" si="805"/>
        <v>252.50399999999999</v>
      </c>
      <c r="Z156" s="8">
        <f t="shared" si="805"/>
        <v>252.50399999999999</v>
      </c>
      <c r="AA156" s="8">
        <f t="shared" si="805"/>
        <v>252.50400000000002</v>
      </c>
      <c r="AB156" s="8">
        <f t="shared" si="805"/>
        <v>252.50400000000002</v>
      </c>
      <c r="AC156" s="8">
        <f t="shared" si="805"/>
        <v>252.50399999999999</v>
      </c>
      <c r="AD156" s="8">
        <f t="shared" si="805"/>
        <v>252.50399999999999</v>
      </c>
      <c r="AE156" s="8">
        <f t="shared" si="805"/>
        <v>586.48800000000006</v>
      </c>
      <c r="AF156" s="8">
        <f t="shared" si="805"/>
        <v>0</v>
      </c>
      <c r="AG156" s="8">
        <f t="shared" si="805"/>
        <v>0</v>
      </c>
      <c r="AH156" s="8">
        <f t="shared" si="805"/>
        <v>0</v>
      </c>
      <c r="AI156" s="8">
        <f t="shared" si="805"/>
        <v>0</v>
      </c>
      <c r="AJ156" s="8">
        <f t="shared" si="805"/>
        <v>0</v>
      </c>
      <c r="AK156" s="8">
        <f t="shared" si="805"/>
        <v>0</v>
      </c>
      <c r="AL156" s="8">
        <f t="shared" si="805"/>
        <v>0</v>
      </c>
      <c r="AM156" s="8">
        <f t="shared" si="805"/>
        <v>0</v>
      </c>
      <c r="AN156" s="8">
        <f t="shared" si="805"/>
        <v>0</v>
      </c>
      <c r="AO156" s="8">
        <f t="shared" si="805"/>
        <v>0</v>
      </c>
      <c r="AP156" s="8">
        <f t="shared" si="805"/>
        <v>0</v>
      </c>
      <c r="AQ156" s="8">
        <f t="shared" si="805"/>
        <v>0</v>
      </c>
      <c r="AR156" s="8">
        <f t="shared" si="805"/>
        <v>0</v>
      </c>
      <c r="AS156" s="8">
        <f t="shared" si="805"/>
        <v>0</v>
      </c>
      <c r="AT156" s="8">
        <f t="shared" si="805"/>
        <v>0</v>
      </c>
      <c r="AU156" s="8">
        <f t="shared" si="805"/>
        <v>0</v>
      </c>
      <c r="AV156" s="8">
        <f t="shared" si="805"/>
        <v>0</v>
      </c>
      <c r="AW156" s="8">
        <f t="shared" si="805"/>
        <v>0</v>
      </c>
      <c r="AX156" s="8">
        <f t="shared" si="805"/>
        <v>0</v>
      </c>
      <c r="AY156" s="8">
        <f t="shared" si="805"/>
        <v>0</v>
      </c>
      <c r="AZ156" s="8">
        <f t="shared" si="805"/>
        <v>0</v>
      </c>
      <c r="BA156" s="8">
        <f t="shared" si="805"/>
        <v>0</v>
      </c>
      <c r="BB156" s="8">
        <f t="shared" si="805"/>
        <v>0</v>
      </c>
      <c r="BC156" s="8">
        <f t="shared" si="805"/>
        <v>0</v>
      </c>
      <c r="BD156" s="8">
        <f t="shared" si="805"/>
        <v>0</v>
      </c>
      <c r="BE156" s="8">
        <f t="shared" si="805"/>
        <v>0</v>
      </c>
      <c r="BF156" s="8">
        <f t="shared" si="805"/>
        <v>0</v>
      </c>
      <c r="BG156" s="8">
        <f t="shared" si="805"/>
        <v>0</v>
      </c>
      <c r="BH156" s="8">
        <f t="shared" si="805"/>
        <v>0</v>
      </c>
      <c r="BJ156" s="8">
        <f t="shared" ref="BJ156:BR156" si="806">BJ59*8*4</f>
        <v>0</v>
      </c>
      <c r="BK156" s="8">
        <f t="shared" si="806"/>
        <v>0</v>
      </c>
      <c r="BL156" s="8">
        <f t="shared" si="806"/>
        <v>0</v>
      </c>
      <c r="BM156" s="8">
        <f t="shared" si="806"/>
        <v>0</v>
      </c>
      <c r="BN156" s="8">
        <f t="shared" si="806"/>
        <v>0</v>
      </c>
      <c r="BO156" s="8">
        <f t="shared" si="806"/>
        <v>0</v>
      </c>
      <c r="BP156" s="8">
        <f t="shared" si="806"/>
        <v>0</v>
      </c>
      <c r="BQ156" s="8">
        <f t="shared" si="806"/>
        <v>0</v>
      </c>
      <c r="BR156" s="8">
        <f t="shared" si="806"/>
        <v>0</v>
      </c>
      <c r="BW156" s="39"/>
      <c r="BX156" s="39"/>
    </row>
    <row r="157" spans="2:76" ht="13.5" customHeight="1">
      <c r="B157" s="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6"/>
      <c r="S157" s="6"/>
      <c r="T157" s="25"/>
      <c r="U157" s="25"/>
      <c r="V157" s="25"/>
      <c r="W157" s="25"/>
      <c r="X157" s="25"/>
      <c r="Y157" s="25"/>
      <c r="Z157" s="25"/>
      <c r="AA157" s="25"/>
      <c r="AC157" s="25"/>
      <c r="AD157" s="25"/>
      <c r="AE157" s="25"/>
      <c r="AI157" s="25"/>
      <c r="AM157" s="25"/>
      <c r="AQ157" s="25"/>
      <c r="AU157" s="25"/>
      <c r="BW157" s="39"/>
      <c r="BX157" s="39"/>
    </row>
    <row r="158" spans="2:76" ht="13.5" customHeight="1">
      <c r="B158" s="5" t="s">
        <v>366</v>
      </c>
      <c r="C158" s="8">
        <f t="shared" ref="C158:AE158" si="807">C156+C151</f>
        <v>3364.085</v>
      </c>
      <c r="D158" s="8">
        <f t="shared" si="807"/>
        <v>3441.2470000000003</v>
      </c>
      <c r="E158" s="8">
        <f t="shared" si="807"/>
        <v>3396.1849999999999</v>
      </c>
      <c r="F158" s="8">
        <f t="shared" si="807"/>
        <v>5045.2380000000003</v>
      </c>
      <c r="G158" s="8">
        <f t="shared" si="807"/>
        <v>6943.4759999999997</v>
      </c>
      <c r="H158" s="8">
        <f t="shared" ref="H158:J158" si="808">H156+H151</f>
        <v>8018.36</v>
      </c>
      <c r="I158" s="8">
        <f t="shared" si="808"/>
        <v>5073.6890000000021</v>
      </c>
      <c r="J158" s="8">
        <f t="shared" si="808"/>
        <v>16564.032999999999</v>
      </c>
      <c r="K158" s="8">
        <f t="shared" ref="K158" si="809">K156+K151</f>
        <v>26829.429</v>
      </c>
      <c r="L158" s="8">
        <f t="shared" ref="L158:M158" si="810">L156+L151</f>
        <v>44340.267</v>
      </c>
      <c r="M158" s="8">
        <f t="shared" si="810"/>
        <v>56929.311000000009</v>
      </c>
      <c r="N158" s="8">
        <f t="shared" ref="N158" si="811">N156+N151</f>
        <v>76690.787000000011</v>
      </c>
      <c r="O158" s="8">
        <f t="shared" ref="O158:P158" si="812">O156+O151</f>
        <v>96142.724000000002</v>
      </c>
      <c r="P158" s="8">
        <f t="shared" si="812"/>
        <v>114173.766</v>
      </c>
      <c r="Q158" s="8">
        <f t="shared" ref="Q158" si="813">Q156+Q151</f>
        <v>149142.21100000001</v>
      </c>
      <c r="R158" s="8">
        <f>R156+R151</f>
        <v>182356.79499999998</v>
      </c>
      <c r="S158" s="8"/>
      <c r="T158" s="8">
        <f t="shared" si="807"/>
        <v>3281.056</v>
      </c>
      <c r="U158" s="8">
        <f t="shared" si="807"/>
        <v>2870.6330000000003</v>
      </c>
      <c r="V158" s="8">
        <f t="shared" si="807"/>
        <v>2670.7890000000002</v>
      </c>
      <c r="W158" s="8">
        <f t="shared" si="807"/>
        <v>3396.1849999999999</v>
      </c>
      <c r="X158" s="8">
        <f t="shared" si="807"/>
        <v>4117.0720000000001</v>
      </c>
      <c r="Y158" s="8">
        <f t="shared" si="807"/>
        <v>5011.4939999999997</v>
      </c>
      <c r="Z158" s="8">
        <f t="shared" si="807"/>
        <v>5252.6289999999999</v>
      </c>
      <c r="AA158" s="8">
        <f t="shared" si="807"/>
        <v>5045.2380000000003</v>
      </c>
      <c r="AB158" s="8">
        <f t="shared" si="807"/>
        <v>5893.02</v>
      </c>
      <c r="AC158" s="8">
        <f t="shared" si="807"/>
        <v>6739.13</v>
      </c>
      <c r="AD158" s="8">
        <f t="shared" si="807"/>
        <v>7550.34</v>
      </c>
      <c r="AE158" s="8">
        <f t="shared" si="807"/>
        <v>7193.9639999999999</v>
      </c>
      <c r="AF158" s="8">
        <f t="shared" ref="AF158:AK158" si="814">AF156+AF151</f>
        <v>7389.6409999999996</v>
      </c>
      <c r="AG158" s="8">
        <f t="shared" si="814"/>
        <v>8291.5</v>
      </c>
      <c r="AH158" s="8">
        <f t="shared" si="814"/>
        <v>8371.2779999999984</v>
      </c>
      <c r="AI158" s="8">
        <f t="shared" si="814"/>
        <v>8018.36</v>
      </c>
      <c r="AJ158" s="8">
        <f t="shared" si="814"/>
        <v>8268.9830000000002</v>
      </c>
      <c r="AK158" s="8">
        <f t="shared" si="814"/>
        <v>6639.4269999999997</v>
      </c>
      <c r="AL158" s="8">
        <f t="shared" ref="AL158:AQ158" si="815">AL156+AL151</f>
        <v>5366.0830000000005</v>
      </c>
      <c r="AM158" s="8">
        <f t="shared" si="815"/>
        <v>5073.6890000000021</v>
      </c>
      <c r="AN158" s="8">
        <f t="shared" si="815"/>
        <v>9075.4089999999997</v>
      </c>
      <c r="AO158" s="8">
        <f t="shared" si="815"/>
        <v>14040.317000000001</v>
      </c>
      <c r="AP158" s="8">
        <f t="shared" si="815"/>
        <v>13904.866999999998</v>
      </c>
      <c r="AQ158" s="8">
        <f t="shared" si="815"/>
        <v>16564.032999999999</v>
      </c>
      <c r="AR158" s="8">
        <f>AR156+AR151</f>
        <v>22558.175000000003</v>
      </c>
      <c r="AS158" s="8">
        <f>AS156+AS151</f>
        <v>29287.576000000001</v>
      </c>
      <c r="AT158" s="8">
        <f>AT156+AT151</f>
        <v>28117.224999999999</v>
      </c>
      <c r="AU158" s="8">
        <f t="shared" ref="AU158" si="816">AU156+AU151</f>
        <v>26829.429</v>
      </c>
      <c r="AV158" s="8">
        <f>AV156+AV151</f>
        <v>31052.714</v>
      </c>
      <c r="AW158" s="8">
        <f>AW156+AW151</f>
        <v>35714.885999999999</v>
      </c>
      <c r="AX158" s="8">
        <f>AX156+AX151</f>
        <v>47758.623999999996</v>
      </c>
      <c r="AY158" s="8">
        <f t="shared" ref="AY158" si="817">AY156+AY151</f>
        <v>56929.311000000009</v>
      </c>
      <c r="AZ158" s="8">
        <f>AZ156+AZ151</f>
        <v>64879.994000000006</v>
      </c>
      <c r="BA158" s="8">
        <f>BA156+BA151</f>
        <v>85508.522999999986</v>
      </c>
      <c r="BB158" s="8">
        <f>BB156+BB151</f>
        <v>105133.16800000001</v>
      </c>
      <c r="BC158" s="8">
        <f t="shared" ref="BC158" si="818">BC156+BC151</f>
        <v>96142.724000000002</v>
      </c>
      <c r="BD158" s="8">
        <f>BD156+BD151</f>
        <v>124984.486</v>
      </c>
      <c r="BE158" s="8">
        <f>BE156+BE151</f>
        <v>156477.932</v>
      </c>
      <c r="BF158" s="8">
        <f>BF156+BF151</f>
        <v>161337.37299999999</v>
      </c>
      <c r="BG158" s="8">
        <f t="shared" ref="BG158" si="819">BG156+BG151</f>
        <v>149142.21100000001</v>
      </c>
      <c r="BH158" s="8">
        <f>BH156+BH151</f>
        <v>182356.79499999998</v>
      </c>
      <c r="BJ158" s="8">
        <f t="shared" ref="BJ158:BO158" si="820">BJ156+BJ151</f>
        <v>10953.39</v>
      </c>
      <c r="BK158" s="8">
        <f t="shared" si="820"/>
        <v>15205.639000000003</v>
      </c>
      <c r="BL158" s="8">
        <f t="shared" si="820"/>
        <v>28198.527999999998</v>
      </c>
      <c r="BM158" s="8">
        <f t="shared" si="820"/>
        <v>-64942.574000000001</v>
      </c>
      <c r="BN158" s="8">
        <f t="shared" si="820"/>
        <v>64879.994000000006</v>
      </c>
      <c r="BO158" s="8">
        <f t="shared" si="820"/>
        <v>85508.522999999986</v>
      </c>
      <c r="BP158" s="8">
        <f t="shared" ref="BP158:BR158" si="821">BP156+BP151</f>
        <v>105133.16800000001</v>
      </c>
      <c r="BQ158" s="8">
        <f t="shared" si="821"/>
        <v>-54849.473999999995</v>
      </c>
      <c r="BR158" s="8">
        <f t="shared" si="821"/>
        <v>124984.486</v>
      </c>
      <c r="BW158" s="39"/>
      <c r="BX158" s="39"/>
    </row>
    <row r="159" spans="2:76" ht="13.5" customHeight="1">
      <c r="B159" s="1" t="s">
        <v>367</v>
      </c>
      <c r="C159" s="6">
        <f t="shared" ref="C159:J159" si="822">C153+C156</f>
        <v>4984.6080000000002</v>
      </c>
      <c r="D159" s="6">
        <f t="shared" si="822"/>
        <v>5607.4</v>
      </c>
      <c r="E159" s="6">
        <f t="shared" si="822"/>
        <v>5838.0559999999996</v>
      </c>
      <c r="F159" s="6">
        <f t="shared" si="822"/>
        <v>7627.2020000000002</v>
      </c>
      <c r="G159" s="6">
        <f t="shared" si="822"/>
        <v>12285</v>
      </c>
      <c r="H159" s="6">
        <f t="shared" si="822"/>
        <v>14955.42</v>
      </c>
      <c r="I159" s="6">
        <f t="shared" si="822"/>
        <v>17075.935000000001</v>
      </c>
      <c r="J159" s="6">
        <f t="shared" si="822"/>
        <v>32578.621999999999</v>
      </c>
      <c r="K159" s="6">
        <f t="shared" ref="K159" si="823">K153+K156</f>
        <v>51358.648000000001</v>
      </c>
      <c r="L159" s="6">
        <f t="shared" ref="L159:M159" si="824">L153+L156</f>
        <v>84757.777000000002</v>
      </c>
      <c r="M159" s="6">
        <f t="shared" si="824"/>
        <v>105721.08900000001</v>
      </c>
      <c r="N159" s="6">
        <f t="shared" ref="N159" si="825">N153+N156</f>
        <v>147135.76500000001</v>
      </c>
      <c r="O159" s="6">
        <f t="shared" ref="O159:P159" si="826">O153+O156</f>
        <v>146958.549</v>
      </c>
      <c r="P159" s="6">
        <f t="shared" si="826"/>
        <v>180687.772</v>
      </c>
      <c r="Q159" s="6">
        <f t="shared" ref="Q159" si="827">Q153+Q156</f>
        <v>246971.36499999999</v>
      </c>
      <c r="R159" s="6">
        <f>R153+R156</f>
        <v>261818.467</v>
      </c>
      <c r="S159" s="6"/>
      <c r="T159" s="6">
        <f t="shared" ref="T159:AA159" si="828">T153+T156</f>
        <v>5772.0559999999996</v>
      </c>
      <c r="U159" s="6">
        <f t="shared" si="828"/>
        <v>5337.0559999999996</v>
      </c>
      <c r="V159" s="6">
        <f t="shared" si="828"/>
        <v>5392.0559999999996</v>
      </c>
      <c r="W159" s="6">
        <f t="shared" si="828"/>
        <v>5838.0560000000005</v>
      </c>
      <c r="X159" s="6">
        <f t="shared" si="828"/>
        <v>7003.5039999999999</v>
      </c>
      <c r="Y159" s="6">
        <f t="shared" si="828"/>
        <v>7049.5039999999999</v>
      </c>
      <c r="Z159" s="6">
        <f t="shared" si="828"/>
        <v>7235.5039999999999</v>
      </c>
      <c r="AA159" s="6">
        <f t="shared" si="828"/>
        <v>7627.2020000000002</v>
      </c>
      <c r="AB159" s="6">
        <f t="shared" ref="AB159:AG159" si="829">AB153+AB156</f>
        <v>8504.6040000000012</v>
      </c>
      <c r="AC159" s="6">
        <f t="shared" si="829"/>
        <v>9695.1040000000012</v>
      </c>
      <c r="AD159" s="6">
        <f t="shared" si="829"/>
        <v>11775.504000000001</v>
      </c>
      <c r="AE159" s="6">
        <f t="shared" si="829"/>
        <v>12535.487999999999</v>
      </c>
      <c r="AF159" s="6">
        <f t="shared" si="829"/>
        <v>13867.739</v>
      </c>
      <c r="AG159" s="6">
        <f t="shared" si="829"/>
        <v>14079.280999999999</v>
      </c>
      <c r="AH159" s="6">
        <f t="shared" ref="AH159:AM159" si="830">AH153+AH156</f>
        <v>13852.918</v>
      </c>
      <c r="AI159" s="6">
        <f t="shared" si="830"/>
        <v>14955.42</v>
      </c>
      <c r="AJ159" s="6">
        <f t="shared" si="830"/>
        <v>16095.615</v>
      </c>
      <c r="AK159" s="6">
        <f t="shared" si="830"/>
        <v>15892.584999999999</v>
      </c>
      <c r="AL159" s="6">
        <f t="shared" si="830"/>
        <v>16906.234</v>
      </c>
      <c r="AM159" s="6">
        <f t="shared" si="830"/>
        <v>17075.935000000001</v>
      </c>
      <c r="AN159" s="6">
        <f t="shared" ref="AN159:AS159" si="831">AN153+AN156</f>
        <v>19288.449000000001</v>
      </c>
      <c r="AO159" s="6">
        <f t="shared" si="831"/>
        <v>24783.808000000001</v>
      </c>
      <c r="AP159" s="6">
        <f t="shared" si="831"/>
        <v>22245.441999999999</v>
      </c>
      <c r="AQ159" s="6">
        <f t="shared" si="831"/>
        <v>32578.621999999999</v>
      </c>
      <c r="AR159" s="6">
        <f t="shared" si="831"/>
        <v>39252.631000000001</v>
      </c>
      <c r="AS159" s="6">
        <f t="shared" si="831"/>
        <v>44243.762999999999</v>
      </c>
      <c r="AT159" s="6">
        <f t="shared" ref="AT159:AW159" si="832">AT153+AT156</f>
        <v>48542.620999999999</v>
      </c>
      <c r="AU159" s="6">
        <f t="shared" si="832"/>
        <v>51358.648000000001</v>
      </c>
      <c r="AV159" s="6">
        <f t="shared" si="832"/>
        <v>60400.178</v>
      </c>
      <c r="AW159" s="6">
        <f t="shared" si="832"/>
        <v>64380.726000000002</v>
      </c>
      <c r="AX159" s="6">
        <f t="shared" ref="AX159:BA159" si="833">AX153+AX156</f>
        <v>87381.763999999996</v>
      </c>
      <c r="AY159" s="6">
        <f t="shared" si="833"/>
        <v>105721.08900000001</v>
      </c>
      <c r="AZ159" s="6">
        <f t="shared" si="833"/>
        <v>111480.77900000001</v>
      </c>
      <c r="BA159" s="6">
        <f t="shared" si="833"/>
        <v>130765.54699999999</v>
      </c>
      <c r="BB159" s="6">
        <f t="shared" ref="BB159:BE159" si="834">BB153+BB156</f>
        <v>139442.761</v>
      </c>
      <c r="BC159" s="6">
        <f t="shared" si="834"/>
        <v>146958.549</v>
      </c>
      <c r="BD159" s="6">
        <f t="shared" si="834"/>
        <v>168851.15700000001</v>
      </c>
      <c r="BE159" s="6">
        <f t="shared" si="834"/>
        <v>216553.076</v>
      </c>
      <c r="BF159" s="6">
        <f t="shared" ref="BF159:BH159" si="835">BF153+BF156</f>
        <v>232777.74799999999</v>
      </c>
      <c r="BG159" s="6">
        <f t="shared" si="835"/>
        <v>246971.36499999999</v>
      </c>
      <c r="BH159" s="6">
        <f t="shared" si="835"/>
        <v>261818.467</v>
      </c>
      <c r="BJ159" s="6">
        <f t="shared" ref="BJ159:BL159" si="836">BJ153+BJ156</f>
        <v>60400.178</v>
      </c>
      <c r="BK159" s="6">
        <f t="shared" si="836"/>
        <v>64380.726000000002</v>
      </c>
      <c r="BL159" s="6">
        <f t="shared" si="836"/>
        <v>87381.763999999996</v>
      </c>
      <c r="BM159" s="6">
        <f t="shared" ref="BM159:BN159" si="837">BM153+BM156</f>
        <v>5502.4040000000005</v>
      </c>
      <c r="BN159" s="6">
        <f t="shared" si="837"/>
        <v>111480.77900000001</v>
      </c>
      <c r="BO159" s="6">
        <f t="shared" ref="BO159:BR159" si="838">BO153+BO156</f>
        <v>130765.54699999999</v>
      </c>
      <c r="BP159" s="6">
        <f t="shared" si="838"/>
        <v>139442.761</v>
      </c>
      <c r="BQ159" s="6">
        <f t="shared" si="838"/>
        <v>11664.531999999999</v>
      </c>
      <c r="BR159" s="6">
        <f t="shared" si="838"/>
        <v>168851.15700000001</v>
      </c>
      <c r="BW159" s="39"/>
      <c r="BX159" s="39"/>
    </row>
    <row r="160" spans="2:76" ht="13.5" customHeight="1"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BW160" s="39"/>
      <c r="BX160" s="39"/>
    </row>
    <row r="161" spans="2:76" ht="13.5" customHeight="1">
      <c r="B161" s="267" t="s">
        <v>368</v>
      </c>
      <c r="C161" s="303">
        <v>10135.9</v>
      </c>
      <c r="D161" s="303">
        <v>9439.9</v>
      </c>
      <c r="E161" s="303">
        <v>14325.4</v>
      </c>
      <c r="F161" s="303">
        <v>14541.7</v>
      </c>
      <c r="G161" s="303">
        <v>12278</v>
      </c>
      <c r="H161" s="303">
        <v>8850</v>
      </c>
      <c r="I161" s="303">
        <v>20542.099999999999</v>
      </c>
      <c r="J161" s="303">
        <v>34867.599999999999</v>
      </c>
      <c r="K161" s="303">
        <v>69767.663</v>
      </c>
      <c r="L161" s="303">
        <f>K161</f>
        <v>69767.663</v>
      </c>
      <c r="M161" s="303">
        <v>77818.751999999993</v>
      </c>
      <c r="N161" s="303">
        <v>77818.751999999993</v>
      </c>
      <c r="O161" s="303">
        <v>85750</v>
      </c>
      <c r="P161" s="303">
        <f>O161</f>
        <v>85750</v>
      </c>
      <c r="Q161" s="303">
        <f>71729.9</f>
        <v>71729.899999999994</v>
      </c>
      <c r="R161" s="304">
        <f>BH161</f>
        <v>71123.039999999994</v>
      </c>
      <c r="T161" s="303">
        <v>12946.9</v>
      </c>
      <c r="U161" s="303">
        <v>12791.5</v>
      </c>
      <c r="V161" s="303">
        <v>14271.4</v>
      </c>
      <c r="W161" s="305">
        <f>+E161</f>
        <v>14325.4</v>
      </c>
      <c r="X161" s="303">
        <v>15312</v>
      </c>
      <c r="Y161" s="303">
        <v>17609.5</v>
      </c>
      <c r="Z161" s="306">
        <v>15352.5</v>
      </c>
      <c r="AA161" s="305">
        <f>+F161</f>
        <v>14541.7</v>
      </c>
      <c r="AB161" s="306">
        <v>12061.7</v>
      </c>
      <c r="AC161" s="303">
        <v>8507.4</v>
      </c>
      <c r="AD161" s="306">
        <v>9358.7999999999993</v>
      </c>
      <c r="AE161" s="305">
        <f>G161</f>
        <v>12278</v>
      </c>
      <c r="AF161" s="306">
        <v>11419.8</v>
      </c>
      <c r="AG161" s="306">
        <v>13142.9</v>
      </c>
      <c r="AH161" s="306">
        <v>12865.9</v>
      </c>
      <c r="AI161" s="306">
        <f>H161</f>
        <v>8850</v>
      </c>
      <c r="AJ161" s="306">
        <v>10717</v>
      </c>
      <c r="AK161" s="306">
        <v>13446.9913</v>
      </c>
      <c r="AL161" s="306">
        <v>16758.099999999999</v>
      </c>
      <c r="AM161" s="306">
        <f>I161</f>
        <v>20542.099999999999</v>
      </c>
      <c r="AN161" s="306">
        <v>22609.9</v>
      </c>
      <c r="AO161" s="306">
        <v>22137</v>
      </c>
      <c r="AP161" s="306">
        <v>22055.8</v>
      </c>
      <c r="AQ161" s="305">
        <f>J161</f>
        <v>34867.599999999999</v>
      </c>
      <c r="AR161" s="306">
        <v>46794.18</v>
      </c>
      <c r="AS161" s="306">
        <v>46794.18</v>
      </c>
      <c r="AT161" s="306">
        <v>44391</v>
      </c>
      <c r="AU161" s="305">
        <f>K161</f>
        <v>69767.663</v>
      </c>
      <c r="AV161" s="306">
        <v>76289.714000000007</v>
      </c>
      <c r="AW161" s="306">
        <v>91569</v>
      </c>
      <c r="AX161" s="306">
        <v>102510</v>
      </c>
      <c r="AY161" s="305">
        <f>M161</f>
        <v>77818.751999999993</v>
      </c>
      <c r="AZ161" s="306">
        <v>100007.7</v>
      </c>
      <c r="BA161" s="306">
        <v>114540</v>
      </c>
      <c r="BB161" s="306">
        <v>80044</v>
      </c>
      <c r="BC161" s="305">
        <f>O161</f>
        <v>85750</v>
      </c>
      <c r="BD161" s="306">
        <v>71912</v>
      </c>
      <c r="BE161" s="306">
        <v>74339.360000000001</v>
      </c>
      <c r="BF161" s="306">
        <v>66511</v>
      </c>
      <c r="BG161" s="290">
        <f>Q161</f>
        <v>71729.899999999994</v>
      </c>
      <c r="BH161" s="306">
        <v>71123.039999999994</v>
      </c>
      <c r="BJ161" s="306">
        <v>76289.714000000007</v>
      </c>
      <c r="BK161" s="306">
        <v>91569</v>
      </c>
      <c r="BL161" s="306">
        <v>102510</v>
      </c>
      <c r="BM161" s="306">
        <f t="shared" ref="BM161:BM162" si="839">N161</f>
        <v>77818.751999999993</v>
      </c>
      <c r="BN161" s="305">
        <f t="shared" ref="BN161:BP162" si="840">AZ161</f>
        <v>100007.7</v>
      </c>
      <c r="BO161" s="305">
        <f t="shared" si="840"/>
        <v>114540</v>
      </c>
      <c r="BP161" s="305">
        <f t="shared" si="840"/>
        <v>80044</v>
      </c>
      <c r="BQ161" s="306">
        <f>P161</f>
        <v>85750</v>
      </c>
      <c r="BR161" s="305">
        <f>BD161</f>
        <v>71912</v>
      </c>
      <c r="BW161" s="39"/>
      <c r="BX161" s="39"/>
    </row>
    <row r="162" spans="2:76" ht="13.5" customHeight="1">
      <c r="B162" s="1" t="s">
        <v>369</v>
      </c>
      <c r="C162" s="79">
        <v>4398.6980000000003</v>
      </c>
      <c r="D162" s="79">
        <v>4675.8370000000004</v>
      </c>
      <c r="E162" s="79">
        <v>6004.5770000000002</v>
      </c>
      <c r="F162" s="79">
        <v>6915.0770000000002</v>
      </c>
      <c r="G162" s="79">
        <v>8219.1620000000003</v>
      </c>
      <c r="H162" s="79">
        <v>9815.9689999999991</v>
      </c>
      <c r="I162" s="79">
        <v>22975</v>
      </c>
      <c r="J162" s="79">
        <v>21055.215</v>
      </c>
      <c r="K162" s="79">
        <v>27105.68</v>
      </c>
      <c r="L162" s="79">
        <v>58039.41</v>
      </c>
      <c r="M162" s="79">
        <v>59563.339</v>
      </c>
      <c r="N162" s="79">
        <v>85996.828999999998</v>
      </c>
      <c r="O162" s="79">
        <v>98252.467000000004</v>
      </c>
      <c r="P162" s="79">
        <v>75063.592999999993</v>
      </c>
      <c r="Q162" s="79">
        <v>75905.153000000006</v>
      </c>
      <c r="R162" s="6">
        <f>BH162</f>
        <v>78357.091</v>
      </c>
      <c r="S162" s="6"/>
      <c r="T162" s="72">
        <v>4596.1940000000004</v>
      </c>
      <c r="U162" s="72">
        <v>4882.47</v>
      </c>
      <c r="V162" s="72">
        <v>5286.91</v>
      </c>
      <c r="W162" s="73">
        <f>+E162</f>
        <v>6004.5770000000002</v>
      </c>
      <c r="X162" s="72">
        <v>6051.5169999999998</v>
      </c>
      <c r="Y162" s="72">
        <v>6222.3819999999996</v>
      </c>
      <c r="Z162" s="70">
        <v>6545.473</v>
      </c>
      <c r="AA162" s="6">
        <f>F162</f>
        <v>6915.0770000000002</v>
      </c>
      <c r="AB162" s="70">
        <v>6779.9970000000003</v>
      </c>
      <c r="AC162" s="72">
        <v>7216.2939999999999</v>
      </c>
      <c r="AD162" s="70">
        <v>9001.4249999999993</v>
      </c>
      <c r="AE162" s="6">
        <f>G162</f>
        <v>8219.1620000000003</v>
      </c>
      <c r="AF162" s="70">
        <v>8796.2929999999997</v>
      </c>
      <c r="AG162" s="70">
        <v>9165.2890000000007</v>
      </c>
      <c r="AH162" s="70">
        <v>9152.6919999999991</v>
      </c>
      <c r="AI162" s="6">
        <f>H162</f>
        <v>9815.9689999999991</v>
      </c>
      <c r="AJ162" s="70">
        <v>10002.091</v>
      </c>
      <c r="AK162" s="70">
        <v>10880.947</v>
      </c>
      <c r="AL162" s="70">
        <v>12905.429</v>
      </c>
      <c r="AM162" s="6">
        <f>I162</f>
        <v>22975</v>
      </c>
      <c r="AN162" s="70">
        <v>14489.387000000001</v>
      </c>
      <c r="AO162" s="70">
        <v>15495.848</v>
      </c>
      <c r="AP162" s="70">
        <v>15848.014999999999</v>
      </c>
      <c r="AQ162" s="73">
        <f>J162</f>
        <v>21055.215</v>
      </c>
      <c r="AR162" s="70">
        <v>22520.144</v>
      </c>
      <c r="AS162" s="70">
        <v>24376.330999999998</v>
      </c>
      <c r="AT162" s="70">
        <v>25168.355</v>
      </c>
      <c r="AU162" s="73">
        <f>K162</f>
        <v>27105.68</v>
      </c>
      <c r="AV162" s="70">
        <v>26127.069</v>
      </c>
      <c r="AW162" s="70">
        <v>34043.771999999997</v>
      </c>
      <c r="AX162" s="70">
        <v>35907.563000000002</v>
      </c>
      <c r="AY162" s="211">
        <f>M162</f>
        <v>59563.339</v>
      </c>
      <c r="AZ162" s="70">
        <v>26127.069</v>
      </c>
      <c r="BA162" s="70">
        <v>34043.771999999997</v>
      </c>
      <c r="BB162" s="70">
        <v>35907.563000000002</v>
      </c>
      <c r="BC162" s="211">
        <f>O162</f>
        <v>98252.467000000004</v>
      </c>
      <c r="BD162" s="70">
        <v>79686.207999999999</v>
      </c>
      <c r="BE162" s="70">
        <v>87579.635999999999</v>
      </c>
      <c r="BF162" s="70">
        <v>74071.27</v>
      </c>
      <c r="BG162" s="211">
        <f>Q162</f>
        <v>75905.153000000006</v>
      </c>
      <c r="BH162" s="70">
        <v>78357.091</v>
      </c>
      <c r="BJ162" s="70">
        <v>26127.069</v>
      </c>
      <c r="BK162" s="70">
        <v>34043.771999999997</v>
      </c>
      <c r="BL162" s="70">
        <v>35907.563000000002</v>
      </c>
      <c r="BM162" s="70">
        <f t="shared" si="839"/>
        <v>85996.828999999998</v>
      </c>
      <c r="BN162" s="6">
        <f t="shared" si="840"/>
        <v>26127.069</v>
      </c>
      <c r="BO162" s="6">
        <f t="shared" si="840"/>
        <v>34043.771999999997</v>
      </c>
      <c r="BP162" s="6">
        <f t="shared" si="840"/>
        <v>35907.563000000002</v>
      </c>
      <c r="BQ162" s="70">
        <f>O162</f>
        <v>98252.467000000004</v>
      </c>
      <c r="BR162" s="6">
        <f>BD162</f>
        <v>79686.207999999999</v>
      </c>
      <c r="BW162" s="39"/>
      <c r="BX162" s="39"/>
    </row>
    <row r="163" spans="2:76" s="5" customFormat="1" ht="13.5" customHeight="1">
      <c r="B163" s="5" t="s">
        <v>370</v>
      </c>
      <c r="C163" s="82">
        <f t="shared" ref="C163:AA163" si="841">C153+C162</f>
        <v>9162.6980000000003</v>
      </c>
      <c r="D163" s="77">
        <f t="shared" si="841"/>
        <v>10130.837</v>
      </c>
      <c r="E163" s="77">
        <f t="shared" si="841"/>
        <v>11662.577000000001</v>
      </c>
      <c r="F163" s="77">
        <f t="shared" si="841"/>
        <v>14289.775000000001</v>
      </c>
      <c r="G163" s="77">
        <f t="shared" ref="G163:J163" si="842">G153+G162</f>
        <v>20168.162</v>
      </c>
      <c r="H163" s="77">
        <f t="shared" si="842"/>
        <v>24771.388999999999</v>
      </c>
      <c r="I163" s="77">
        <f t="shared" si="842"/>
        <v>40050.934999999998</v>
      </c>
      <c r="J163" s="77">
        <f t="shared" si="842"/>
        <v>53633.837</v>
      </c>
      <c r="K163" s="77">
        <f t="shared" ref="K163" si="843">K153+K162</f>
        <v>78464.328000000009</v>
      </c>
      <c r="L163" s="77">
        <f t="shared" ref="L163:M163" si="844">L153+L162</f>
        <v>142797.18700000001</v>
      </c>
      <c r="M163" s="77">
        <f t="shared" si="844"/>
        <v>165284.42800000001</v>
      </c>
      <c r="N163" s="77">
        <f t="shared" ref="N163" si="845">N153+N162</f>
        <v>233132.59400000001</v>
      </c>
      <c r="O163" s="77">
        <f t="shared" ref="O163:P163" si="846">O153+O162</f>
        <v>245211.016</v>
      </c>
      <c r="P163" s="77">
        <f t="shared" si="846"/>
        <v>255751.36499999999</v>
      </c>
      <c r="Q163" s="77">
        <f t="shared" ref="Q163" si="847">Q153+Q162</f>
        <v>322876.51799999998</v>
      </c>
      <c r="R163" s="77">
        <f>R153+R162</f>
        <v>340175.55800000002</v>
      </c>
      <c r="S163" s="77"/>
      <c r="T163" s="77">
        <f t="shared" si="841"/>
        <v>10188.194</v>
      </c>
      <c r="U163" s="77">
        <f t="shared" si="841"/>
        <v>10039.470000000001</v>
      </c>
      <c r="V163" s="77">
        <f t="shared" si="841"/>
        <v>10498.91</v>
      </c>
      <c r="W163" s="77">
        <f t="shared" si="841"/>
        <v>11662.577000000001</v>
      </c>
      <c r="X163" s="77">
        <f t="shared" si="841"/>
        <v>12802.517</v>
      </c>
      <c r="Y163" s="77">
        <f t="shared" si="841"/>
        <v>13019.382</v>
      </c>
      <c r="Z163" s="77">
        <f t="shared" si="841"/>
        <v>13528.473</v>
      </c>
      <c r="AA163" s="77">
        <f t="shared" si="841"/>
        <v>14289.775000000001</v>
      </c>
      <c r="AB163" s="77">
        <f t="shared" ref="AB163:AG163" si="848">AB153+AB162</f>
        <v>15032.097000000002</v>
      </c>
      <c r="AC163" s="77">
        <f t="shared" si="848"/>
        <v>16658.894</v>
      </c>
      <c r="AD163" s="77">
        <f t="shared" si="848"/>
        <v>20524.424999999999</v>
      </c>
      <c r="AE163" s="77">
        <f t="shared" si="848"/>
        <v>20168.162</v>
      </c>
      <c r="AF163" s="77">
        <f t="shared" si="848"/>
        <v>22664.031999999999</v>
      </c>
      <c r="AG163" s="77">
        <f t="shared" si="848"/>
        <v>23244.57</v>
      </c>
      <c r="AH163" s="77">
        <f t="shared" ref="AH163:AM163" si="849">AH153+AH162</f>
        <v>23005.61</v>
      </c>
      <c r="AI163" s="77">
        <f t="shared" si="849"/>
        <v>24771.388999999999</v>
      </c>
      <c r="AJ163" s="77">
        <f t="shared" si="849"/>
        <v>26097.705999999998</v>
      </c>
      <c r="AK163" s="77">
        <f t="shared" si="849"/>
        <v>26773.531999999999</v>
      </c>
      <c r="AL163" s="77">
        <f t="shared" si="849"/>
        <v>29811.663</v>
      </c>
      <c r="AM163" s="77">
        <f t="shared" si="849"/>
        <v>40050.934999999998</v>
      </c>
      <c r="AN163" s="77">
        <f t="shared" ref="AN163:AS163" si="850">AN153+AN162</f>
        <v>33777.836000000003</v>
      </c>
      <c r="AO163" s="77">
        <f t="shared" si="850"/>
        <v>40279.656000000003</v>
      </c>
      <c r="AP163" s="77">
        <f t="shared" si="850"/>
        <v>38093.456999999995</v>
      </c>
      <c r="AQ163" s="77">
        <f t="shared" si="850"/>
        <v>53633.837</v>
      </c>
      <c r="AR163" s="77">
        <f t="shared" si="850"/>
        <v>61772.775000000001</v>
      </c>
      <c r="AS163" s="77">
        <f t="shared" si="850"/>
        <v>68620.093999999997</v>
      </c>
      <c r="AT163" s="77">
        <f t="shared" ref="AT163:AV163" si="851">AT153+AT162</f>
        <v>73710.975999999995</v>
      </c>
      <c r="AU163" s="77">
        <f t="shared" si="851"/>
        <v>78464.328000000009</v>
      </c>
      <c r="AV163" s="77">
        <f t="shared" si="851"/>
        <v>86527.247000000003</v>
      </c>
      <c r="AW163" s="77">
        <f>AW153+AW162</f>
        <v>98424.497999999992</v>
      </c>
      <c r="AX163" s="77">
        <f t="shared" ref="AX163:AZ163" si="852">AX153+AX162</f>
        <v>123289.32699999999</v>
      </c>
      <c r="AY163" s="77">
        <f t="shared" si="852"/>
        <v>165284.42800000001</v>
      </c>
      <c r="AZ163" s="77">
        <f t="shared" si="852"/>
        <v>137607.848</v>
      </c>
      <c r="BA163" s="77">
        <f>BA153+BA162</f>
        <v>164809.31899999999</v>
      </c>
      <c r="BB163" s="77">
        <f t="shared" ref="BB163:BD163" si="853">BB153+BB162</f>
        <v>175350.32399999999</v>
      </c>
      <c r="BC163" s="77">
        <f t="shared" si="853"/>
        <v>245211.016</v>
      </c>
      <c r="BD163" s="77">
        <f t="shared" si="853"/>
        <v>248537.36499999999</v>
      </c>
      <c r="BE163" s="77">
        <f>BE153+BE162</f>
        <v>304132.712</v>
      </c>
      <c r="BF163" s="77">
        <f t="shared" ref="BF163:BH163" si="854">BF153+BF162</f>
        <v>306849.01799999998</v>
      </c>
      <c r="BG163" s="77">
        <f t="shared" si="854"/>
        <v>322876.51799999998</v>
      </c>
      <c r="BH163" s="77">
        <f t="shared" si="854"/>
        <v>340175.55800000002</v>
      </c>
      <c r="BJ163" s="77">
        <f t="shared" ref="BJ163" si="855">BJ153+BJ162</f>
        <v>86527.247000000003</v>
      </c>
      <c r="BK163" s="77">
        <f>BK153+BK162</f>
        <v>98424.497999999992</v>
      </c>
      <c r="BL163" s="77">
        <f t="shared" ref="BL163:BN163" si="856">BL153+BL162</f>
        <v>123289.32699999999</v>
      </c>
      <c r="BM163" s="77">
        <f t="shared" si="856"/>
        <v>91499.232999999993</v>
      </c>
      <c r="BN163" s="77">
        <f t="shared" si="856"/>
        <v>137607.848</v>
      </c>
      <c r="BO163" s="77">
        <f t="shared" ref="BO163:BR163" si="857">BO153+BO162</f>
        <v>164809.31899999999</v>
      </c>
      <c r="BP163" s="77">
        <f t="shared" si="857"/>
        <v>175350.32399999999</v>
      </c>
      <c r="BQ163" s="77">
        <f t="shared" si="857"/>
        <v>109916.99900000001</v>
      </c>
      <c r="BR163" s="77">
        <f t="shared" si="857"/>
        <v>248537.36499999999</v>
      </c>
      <c r="BT163" s="1"/>
      <c r="BU163" s="1"/>
      <c r="BW163" s="39"/>
      <c r="BX163" s="39"/>
    </row>
    <row r="164" spans="2:76" s="5" customFormat="1" ht="13.5" customHeight="1">
      <c r="B164" s="5" t="s">
        <v>371</v>
      </c>
      <c r="C164" s="82">
        <f t="shared" ref="C164:AE164" si="858">C151+C161</f>
        <v>13279.377</v>
      </c>
      <c r="D164" s="82">
        <f t="shared" si="858"/>
        <v>12728.746999999999</v>
      </c>
      <c r="E164" s="82">
        <f t="shared" si="858"/>
        <v>17541.528999999999</v>
      </c>
      <c r="F164" s="82">
        <f t="shared" si="858"/>
        <v>19334.434000000001</v>
      </c>
      <c r="G164" s="82">
        <f t="shared" si="858"/>
        <v>18885.475999999999</v>
      </c>
      <c r="H164" s="82">
        <f t="shared" ref="H164:J164" si="859">H151+H161</f>
        <v>16868.36</v>
      </c>
      <c r="I164" s="82">
        <f t="shared" si="859"/>
        <v>25615.789000000001</v>
      </c>
      <c r="J164" s="82">
        <f t="shared" si="859"/>
        <v>51431.633000000002</v>
      </c>
      <c r="K164" s="82">
        <f t="shared" ref="K164" si="860">K151+K161</f>
        <v>96597.092000000004</v>
      </c>
      <c r="L164" s="82">
        <f t="shared" ref="L164:M164" si="861">L151+L161</f>
        <v>114107.93</v>
      </c>
      <c r="M164" s="82">
        <f t="shared" si="861"/>
        <v>134748.06299999999</v>
      </c>
      <c r="N164" s="82">
        <f t="shared" ref="N164" si="862">N151+N161</f>
        <v>154509.53899999999</v>
      </c>
      <c r="O164" s="82">
        <f t="shared" ref="O164:P164" si="863">O151+O161</f>
        <v>181892.72399999999</v>
      </c>
      <c r="P164" s="82">
        <f t="shared" si="863"/>
        <v>199923.766</v>
      </c>
      <c r="Q164" s="82">
        <f t="shared" ref="Q164" si="864">Q151+Q161</f>
        <v>220872.111</v>
      </c>
      <c r="R164" s="82">
        <f>R151+R161</f>
        <v>253479.83499999996</v>
      </c>
      <c r="S164" s="77"/>
      <c r="T164" s="82">
        <f t="shared" si="858"/>
        <v>16047.9</v>
      </c>
      <c r="U164" s="82">
        <f t="shared" si="858"/>
        <v>15482.077000000001</v>
      </c>
      <c r="V164" s="82">
        <f t="shared" si="858"/>
        <v>16762.133000000002</v>
      </c>
      <c r="W164" s="82">
        <f t="shared" si="858"/>
        <v>17541.528999999999</v>
      </c>
      <c r="X164" s="82">
        <f t="shared" si="858"/>
        <v>19176.567999999999</v>
      </c>
      <c r="Y164" s="82">
        <f t="shared" si="858"/>
        <v>22368.489999999998</v>
      </c>
      <c r="Z164" s="82">
        <f t="shared" si="858"/>
        <v>20352.625</v>
      </c>
      <c r="AA164" s="82">
        <f t="shared" si="858"/>
        <v>19334.434000000001</v>
      </c>
      <c r="AB164" s="82">
        <f t="shared" si="858"/>
        <v>17702.216</v>
      </c>
      <c r="AC164" s="82">
        <f t="shared" si="858"/>
        <v>14994.026</v>
      </c>
      <c r="AD164" s="82">
        <f t="shared" si="858"/>
        <v>16656.635999999999</v>
      </c>
      <c r="AE164" s="82">
        <f t="shared" si="858"/>
        <v>18885.475999999999</v>
      </c>
      <c r="AF164" s="82">
        <f t="shared" ref="AF164:AK164" si="865">AF151+AF161</f>
        <v>18809.440999999999</v>
      </c>
      <c r="AG164" s="82">
        <f t="shared" si="865"/>
        <v>21434.400000000001</v>
      </c>
      <c r="AH164" s="82">
        <f t="shared" si="865"/>
        <v>21237.178</v>
      </c>
      <c r="AI164" s="82">
        <f t="shared" si="865"/>
        <v>16868.36</v>
      </c>
      <c r="AJ164" s="82">
        <f t="shared" si="865"/>
        <v>18985.983</v>
      </c>
      <c r="AK164" s="82">
        <f t="shared" si="865"/>
        <v>20086.418299999998</v>
      </c>
      <c r="AL164" s="82">
        <f t="shared" ref="AL164:AQ164" si="866">AL151+AL161</f>
        <v>22124.182999999997</v>
      </c>
      <c r="AM164" s="82">
        <f t="shared" si="866"/>
        <v>25615.789000000001</v>
      </c>
      <c r="AN164" s="82">
        <f t="shared" si="866"/>
        <v>31685.309000000001</v>
      </c>
      <c r="AO164" s="82">
        <f t="shared" si="866"/>
        <v>36177.317000000003</v>
      </c>
      <c r="AP164" s="82">
        <f t="shared" si="866"/>
        <v>35960.667000000001</v>
      </c>
      <c r="AQ164" s="82">
        <f t="shared" si="866"/>
        <v>51431.633000000002</v>
      </c>
      <c r="AR164" s="82">
        <f>AR151+AR161</f>
        <v>69352.35500000001</v>
      </c>
      <c r="AS164" s="82">
        <f>AS151+AS161</f>
        <v>76081.755999999994</v>
      </c>
      <c r="AT164" s="82">
        <f>AT151+AT161</f>
        <v>72508.225000000006</v>
      </c>
      <c r="AU164" s="82">
        <f t="shared" ref="AU164" si="867">AU151+AU161</f>
        <v>96597.092000000004</v>
      </c>
      <c r="AV164" s="82">
        <f>AV151+AV161</f>
        <v>107342.42800000001</v>
      </c>
      <c r="AW164" s="82">
        <f>AW151+AW161</f>
        <v>127283.886</v>
      </c>
      <c r="AX164" s="82">
        <f>AX151+AX161</f>
        <v>150268.62400000001</v>
      </c>
      <c r="AY164" s="82">
        <f t="shared" ref="AY164" si="868">AY151+AY161</f>
        <v>134748.06299999999</v>
      </c>
      <c r="AZ164" s="82">
        <f>AZ151+AZ161</f>
        <v>164887.69400000002</v>
      </c>
      <c r="BA164" s="82">
        <f>BA151+BA161</f>
        <v>200048.52299999999</v>
      </c>
      <c r="BB164" s="82">
        <f>BB151+BB161</f>
        <v>185177.16800000001</v>
      </c>
      <c r="BC164" s="82">
        <f t="shared" ref="BC164" si="869">BC151+BC161</f>
        <v>181892.72399999999</v>
      </c>
      <c r="BD164" s="82">
        <f>BD151+BD161</f>
        <v>196896.486</v>
      </c>
      <c r="BE164" s="82">
        <f>BE151+BE161</f>
        <v>230817.29200000002</v>
      </c>
      <c r="BF164" s="82">
        <f>BF151+BF161</f>
        <v>227848.37299999999</v>
      </c>
      <c r="BG164" s="82">
        <f t="shared" ref="BG164" si="870">BG151+BG161</f>
        <v>220872.111</v>
      </c>
      <c r="BH164" s="82">
        <f>BH151+BH161</f>
        <v>253479.83499999996</v>
      </c>
      <c r="BJ164" s="82">
        <f t="shared" ref="BJ164:BM164" si="871">BJ151+BJ161</f>
        <v>87243.104000000007</v>
      </c>
      <c r="BK164" s="82">
        <f t="shared" si="871"/>
        <v>106774.639</v>
      </c>
      <c r="BL164" s="82">
        <f t="shared" si="871"/>
        <v>130708.52799999999</v>
      </c>
      <c r="BM164" s="82">
        <f t="shared" si="871"/>
        <v>12876.177999999993</v>
      </c>
      <c r="BN164" s="82">
        <f>BN151+BN161</f>
        <v>164887.69400000002</v>
      </c>
      <c r="BO164" s="82">
        <f>BO151+BO161</f>
        <v>200048.52299999999</v>
      </c>
      <c r="BP164" s="82">
        <f t="shared" ref="BP164:BQ164" si="872">BP151+BP161</f>
        <v>185177.16800000001</v>
      </c>
      <c r="BQ164" s="82">
        <f t="shared" si="872"/>
        <v>30900.526000000005</v>
      </c>
      <c r="BR164" s="82">
        <f>BR151+BR161</f>
        <v>196896.486</v>
      </c>
      <c r="BT164" s="1"/>
      <c r="BU164" s="1"/>
      <c r="BW164" s="39"/>
      <c r="BX164" s="39"/>
    </row>
    <row r="165" spans="2:76" ht="13.5" customHeight="1">
      <c r="BW165" s="39"/>
      <c r="BX165" s="39"/>
    </row>
    <row r="166" spans="2:76" ht="13.5" customHeight="1">
      <c r="B166" s="16" t="s">
        <v>372</v>
      </c>
      <c r="C166" s="38">
        <f t="shared" ref="C166:Q166" si="873">C3</f>
        <v>41975</v>
      </c>
      <c r="D166" s="38">
        <f t="shared" si="873"/>
        <v>42341</v>
      </c>
      <c r="E166" s="38">
        <f t="shared" si="873"/>
        <v>42735</v>
      </c>
      <c r="F166" s="38">
        <f t="shared" si="873"/>
        <v>43100</v>
      </c>
      <c r="G166" s="38">
        <f t="shared" si="873"/>
        <v>43465</v>
      </c>
      <c r="H166" s="38">
        <f t="shared" si="873"/>
        <v>43830</v>
      </c>
      <c r="I166" s="38">
        <f t="shared" si="873"/>
        <v>44196</v>
      </c>
      <c r="J166" s="38">
        <f t="shared" si="873"/>
        <v>44561</v>
      </c>
      <c r="K166" s="38">
        <f t="shared" si="873"/>
        <v>44926</v>
      </c>
      <c r="L166" s="38">
        <f t="shared" si="873"/>
        <v>44926</v>
      </c>
      <c r="M166" s="38">
        <f t="shared" si="873"/>
        <v>45291</v>
      </c>
      <c r="N166" s="38">
        <f t="shared" si="873"/>
        <v>45291</v>
      </c>
      <c r="O166" s="38">
        <f t="shared" si="873"/>
        <v>45657</v>
      </c>
      <c r="P166" s="38">
        <f t="shared" si="873"/>
        <v>45657</v>
      </c>
      <c r="Q166" s="38">
        <f t="shared" si="873"/>
        <v>46022</v>
      </c>
      <c r="R166" s="83" t="s">
        <v>241</v>
      </c>
      <c r="S166" s="223"/>
      <c r="T166" s="38">
        <f t="shared" ref="T166:BH166" si="874">T3</f>
        <v>42437</v>
      </c>
      <c r="U166" s="38">
        <f t="shared" si="874"/>
        <v>42527</v>
      </c>
      <c r="V166" s="38">
        <f t="shared" si="874"/>
        <v>42622</v>
      </c>
      <c r="W166" s="38">
        <f t="shared" si="874"/>
        <v>42714</v>
      </c>
      <c r="X166" s="38">
        <f t="shared" si="874"/>
        <v>42825</v>
      </c>
      <c r="Y166" s="38">
        <f t="shared" si="874"/>
        <v>42916</v>
      </c>
      <c r="Z166" s="38">
        <f t="shared" si="874"/>
        <v>43008</v>
      </c>
      <c r="AA166" s="38">
        <f t="shared" si="874"/>
        <v>43100</v>
      </c>
      <c r="AB166" s="38">
        <f t="shared" si="874"/>
        <v>43190</v>
      </c>
      <c r="AC166" s="38">
        <f t="shared" si="874"/>
        <v>43281</v>
      </c>
      <c r="AD166" s="38">
        <f t="shared" si="874"/>
        <v>43373</v>
      </c>
      <c r="AE166" s="38">
        <f t="shared" si="874"/>
        <v>43465</v>
      </c>
      <c r="AF166" s="38">
        <f t="shared" si="874"/>
        <v>43555</v>
      </c>
      <c r="AG166" s="38">
        <f t="shared" si="874"/>
        <v>43646</v>
      </c>
      <c r="AH166" s="38">
        <f t="shared" si="874"/>
        <v>43738</v>
      </c>
      <c r="AI166" s="38">
        <f t="shared" si="874"/>
        <v>43830</v>
      </c>
      <c r="AJ166" s="38">
        <f t="shared" si="874"/>
        <v>43921</v>
      </c>
      <c r="AK166" s="38">
        <f t="shared" si="874"/>
        <v>44012</v>
      </c>
      <c r="AL166" s="38">
        <f t="shared" si="874"/>
        <v>44104</v>
      </c>
      <c r="AM166" s="226">
        <f t="shared" si="874"/>
        <v>44196</v>
      </c>
      <c r="AN166" s="38">
        <f t="shared" si="874"/>
        <v>44286</v>
      </c>
      <c r="AO166" s="38">
        <f t="shared" si="874"/>
        <v>44377</v>
      </c>
      <c r="AP166" s="38">
        <f t="shared" si="874"/>
        <v>44469</v>
      </c>
      <c r="AQ166" s="226">
        <f t="shared" si="874"/>
        <v>44561</v>
      </c>
      <c r="AR166" s="38">
        <f t="shared" si="874"/>
        <v>44651</v>
      </c>
      <c r="AS166" s="38">
        <f t="shared" si="874"/>
        <v>44742</v>
      </c>
      <c r="AT166" s="38">
        <f t="shared" si="874"/>
        <v>44834</v>
      </c>
      <c r="AU166" s="226">
        <f t="shared" si="874"/>
        <v>44926</v>
      </c>
      <c r="AV166" s="38">
        <f t="shared" si="874"/>
        <v>45016</v>
      </c>
      <c r="AW166" s="38">
        <f t="shared" si="874"/>
        <v>45107</v>
      </c>
      <c r="AX166" s="38">
        <f t="shared" si="874"/>
        <v>45199</v>
      </c>
      <c r="AY166" s="38">
        <f t="shared" si="874"/>
        <v>45291</v>
      </c>
      <c r="AZ166" s="38">
        <f t="shared" si="874"/>
        <v>45382</v>
      </c>
      <c r="BA166" s="38">
        <f t="shared" si="874"/>
        <v>45473</v>
      </c>
      <c r="BB166" s="38">
        <f t="shared" si="874"/>
        <v>45565</v>
      </c>
      <c r="BC166" s="38">
        <f t="shared" si="874"/>
        <v>45657</v>
      </c>
      <c r="BD166" s="38">
        <f t="shared" si="874"/>
        <v>45747</v>
      </c>
      <c r="BE166" s="38">
        <f t="shared" si="874"/>
        <v>45838</v>
      </c>
      <c r="BF166" s="38">
        <f t="shared" si="874"/>
        <v>45930</v>
      </c>
      <c r="BG166" s="38">
        <f t="shared" si="874"/>
        <v>46022</v>
      </c>
      <c r="BH166" s="38">
        <f t="shared" si="874"/>
        <v>46112</v>
      </c>
      <c r="BJ166" s="38">
        <f t="shared" ref="BJ166:BR166" si="875">BJ3</f>
        <v>45016</v>
      </c>
      <c r="BK166" s="38">
        <f t="shared" si="875"/>
        <v>45107</v>
      </c>
      <c r="BL166" s="38">
        <f t="shared" si="875"/>
        <v>45199</v>
      </c>
      <c r="BM166" s="38">
        <f t="shared" si="875"/>
        <v>45291</v>
      </c>
      <c r="BN166" s="38">
        <f t="shared" si="875"/>
        <v>45382</v>
      </c>
      <c r="BO166" s="38">
        <f t="shared" si="875"/>
        <v>45473</v>
      </c>
      <c r="BP166" s="38">
        <f t="shared" si="875"/>
        <v>45565</v>
      </c>
      <c r="BQ166" s="38">
        <f t="shared" si="875"/>
        <v>45657</v>
      </c>
      <c r="BR166" s="38">
        <f t="shared" si="875"/>
        <v>45747</v>
      </c>
      <c r="BW166" s="39"/>
      <c r="BX166" s="39"/>
    </row>
    <row r="167" spans="2:76" ht="13.5" customHeight="1">
      <c r="B167" s="5"/>
      <c r="BW167" s="39"/>
      <c r="BX167" s="39"/>
    </row>
    <row r="168" spans="2:76" s="5" customFormat="1" ht="13.5" customHeight="1">
      <c r="B168" s="5" t="s">
        <v>373</v>
      </c>
      <c r="C168" s="27">
        <f t="shared" ref="C168:J168" si="876">+C151/C95</f>
        <v>2.2961848064280495</v>
      </c>
      <c r="D168" s="27">
        <f t="shared" si="876"/>
        <v>2.1537963326784548</v>
      </c>
      <c r="E168" s="27">
        <f t="shared" si="876"/>
        <v>1.8180491803278689</v>
      </c>
      <c r="F168" s="27">
        <f t="shared" si="876"/>
        <v>2.4527809621289665</v>
      </c>
      <c r="G168" s="27">
        <f t="shared" si="876"/>
        <v>2.3623439399356454</v>
      </c>
      <c r="H168" s="27">
        <f t="shared" si="876"/>
        <v>2.3928260220829602</v>
      </c>
      <c r="I168" s="27">
        <f t="shared" si="876"/>
        <v>1.0001358170707673</v>
      </c>
      <c r="J168" s="27">
        <f t="shared" si="876"/>
        <v>2.3957236042811685</v>
      </c>
      <c r="K168" s="27">
        <f>+K151/K95</f>
        <v>2.2540056288330672</v>
      </c>
      <c r="L168" s="27">
        <f t="shared" ref="L168:M168" si="877">+L151/L95</f>
        <v>2.7106166401760605</v>
      </c>
      <c r="M168" s="27">
        <f t="shared" si="877"/>
        <v>2.8355486875529219</v>
      </c>
      <c r="N168" s="27">
        <f t="shared" ref="N168" si="878">+N151/N95</f>
        <v>2.5073820375335125</v>
      </c>
      <c r="O168" s="27">
        <f t="shared" ref="O168:P168" si="879">+O151/O95</f>
        <v>4.1934280106424744</v>
      </c>
      <c r="P168" s="27">
        <f t="shared" si="879"/>
        <v>3.8046508047585728</v>
      </c>
      <c r="Q168" s="27">
        <f t="shared" ref="Q168" si="880">+Q151/Q95</f>
        <v>4.8604272771712562</v>
      </c>
      <c r="R168" s="27">
        <f>+R151/R95</f>
        <v>5.4923436841154141</v>
      </c>
      <c r="S168" s="27"/>
      <c r="T168" s="27"/>
      <c r="U168" s="27"/>
      <c r="V168" s="27"/>
      <c r="W168" s="27">
        <f t="shared" ref="W168:AR168" si="881">+W151/W95</f>
        <v>1.8180491803278689</v>
      </c>
      <c r="X168" s="27">
        <f t="shared" si="881"/>
        <v>2.1083295144571741</v>
      </c>
      <c r="Y168" s="27">
        <f t="shared" si="881"/>
        <v>2.5206514830508473</v>
      </c>
      <c r="Z168" s="27">
        <f t="shared" si="881"/>
        <v>2.5641666666666665</v>
      </c>
      <c r="AA168" s="27">
        <f t="shared" si="881"/>
        <v>2.4527809621289665</v>
      </c>
      <c r="AB168" s="27">
        <f t="shared" si="881"/>
        <v>2.8315843373493981</v>
      </c>
      <c r="AC168" s="27">
        <f t="shared" si="881"/>
        <v>3.1260848192771085</v>
      </c>
      <c r="AD168" s="27">
        <f t="shared" si="881"/>
        <v>3.1510518134715029</v>
      </c>
      <c r="AE168" s="27">
        <f t="shared" si="881"/>
        <v>2.3623439399356454</v>
      </c>
      <c r="AF168" s="27">
        <f t="shared" si="881"/>
        <v>2.5024182187605821</v>
      </c>
      <c r="AG168" s="27">
        <f t="shared" si="881"/>
        <v>2.5426249616681997</v>
      </c>
      <c r="AH168" s="27">
        <f t="shared" si="881"/>
        <v>2.4708612750885472</v>
      </c>
      <c r="AI168" s="27">
        <f t="shared" si="881"/>
        <v>2.3928260220829602</v>
      </c>
      <c r="AJ168" s="27">
        <f t="shared" si="881"/>
        <v>2.3338930285069153</v>
      </c>
      <c r="AK168" s="27">
        <f t="shared" si="881"/>
        <v>1.8835253900709219</v>
      </c>
      <c r="AL168" s="27">
        <f t="shared" si="881"/>
        <v>1.2347176714219974</v>
      </c>
      <c r="AM168" s="27">
        <f t="shared" si="881"/>
        <v>1.0001358170707673</v>
      </c>
      <c r="AN168" s="27">
        <f t="shared" si="881"/>
        <v>1.4897257058437294</v>
      </c>
      <c r="AO168" s="27">
        <f t="shared" si="881"/>
        <v>2.1113258646616542</v>
      </c>
      <c r="AP168" s="27">
        <f t="shared" si="881"/>
        <v>2.0762829625205312</v>
      </c>
      <c r="AQ168" s="27">
        <f t="shared" si="881"/>
        <v>2.3957236042811685</v>
      </c>
      <c r="AR168" s="27">
        <f t="shared" si="881"/>
        <v>2.8137925657976801</v>
      </c>
      <c r="AS168" s="27">
        <f t="shared" ref="AS168:AU168" si="882">+AS151/AS95</f>
        <v>3.2512850799289521</v>
      </c>
      <c r="AT168" s="27">
        <f t="shared" si="882"/>
        <v>2.7679882850954911</v>
      </c>
      <c r="AU168" s="27">
        <f t="shared" si="882"/>
        <v>2.2540056288330672</v>
      </c>
      <c r="AV168" s="27">
        <f t="shared" ref="AV168:AX168" si="883">+AV151/AV95</f>
        <v>2.4643055313070392</v>
      </c>
      <c r="AW168" s="27">
        <f t="shared" si="883"/>
        <v>2.3450351936966514</v>
      </c>
      <c r="AX168" s="27">
        <f t="shared" si="883"/>
        <v>2.5465833422203263</v>
      </c>
      <c r="AY168" s="27">
        <f t="shared" ref="AY168:BB168" si="884">+AY151/AY95</f>
        <v>2.8355486875529219</v>
      </c>
      <c r="AZ168" s="27">
        <f t="shared" si="884"/>
        <v>2.9308394994805078</v>
      </c>
      <c r="BA168" s="27">
        <f t="shared" si="884"/>
        <v>3.7889278181495918</v>
      </c>
      <c r="BB168" s="27">
        <f t="shared" si="884"/>
        <v>5.2616569741254198</v>
      </c>
      <c r="BC168" s="27">
        <f t="shared" ref="BC168:BF168" si="885">+BC151/BC95</f>
        <v>4.1934280106424744</v>
      </c>
      <c r="BD168" s="27">
        <f t="shared" si="885"/>
        <v>5.4433380950307049</v>
      </c>
      <c r="BE168" s="27">
        <f t="shared" si="885"/>
        <v>6.3536597368848469</v>
      </c>
      <c r="BF168" s="27">
        <f t="shared" si="885"/>
        <v>5.4852403019073197</v>
      </c>
      <c r="BG168" s="27">
        <f t="shared" ref="BG168:BH168" si="886">+BG151/BG95</f>
        <v>4.8604272771712562</v>
      </c>
      <c r="BH168" s="27">
        <f t="shared" si="886"/>
        <v>5.4923436841154141</v>
      </c>
      <c r="BJ168" s="27">
        <f t="shared" ref="BJ168:BL168" si="887">+BJ151/BJ95</f>
        <v>0.78468300021491511</v>
      </c>
      <c r="BK168" s="27">
        <f t="shared" si="887"/>
        <v>0.75740381550109592</v>
      </c>
      <c r="BL168" s="27">
        <f t="shared" si="887"/>
        <v>1.1655174010085145</v>
      </c>
      <c r="BM168" s="27">
        <f t="shared" ref="BM168" si="888">+BM151/BM95</f>
        <v>-2.1232777741450337</v>
      </c>
      <c r="BN168" s="27">
        <f t="shared" ref="BN168:BO168" si="889">+BN151/BN95</f>
        <v>1.9346372256679392</v>
      </c>
      <c r="BO168" s="27">
        <f t="shared" si="889"/>
        <v>2.6911475734877568</v>
      </c>
      <c r="BP168" s="27">
        <f>+BP151/BP95</f>
        <v>3.3959935396343433</v>
      </c>
      <c r="BQ168" s="27">
        <f t="shared" ref="BQ168:BR168" si="890">+BQ151/BQ95</f>
        <v>-1.827767469759072</v>
      </c>
      <c r="BR168" s="27">
        <f t="shared" si="890"/>
        <v>4.2251609479057501</v>
      </c>
      <c r="BT168" s="1"/>
      <c r="BU168" s="1"/>
      <c r="BW168" s="39"/>
      <c r="BX168" s="39"/>
    </row>
    <row r="169" spans="2:76" ht="13.5" customHeight="1">
      <c r="B169" s="1" t="s">
        <v>374</v>
      </c>
      <c r="C169" s="28">
        <f t="shared" ref="C169:J169" si="891">+C153/C95</f>
        <v>3.4799123447772096</v>
      </c>
      <c r="D169" s="28">
        <f t="shared" si="891"/>
        <v>3.5723641126391619</v>
      </c>
      <c r="E169" s="28">
        <f t="shared" si="891"/>
        <v>3.1984171848501979</v>
      </c>
      <c r="F169" s="28">
        <f t="shared" si="891"/>
        <v>3.7741545547594679</v>
      </c>
      <c r="G169" s="28">
        <f t="shared" si="891"/>
        <v>4.2720772255988555</v>
      </c>
      <c r="H169" s="28">
        <f t="shared" si="891"/>
        <v>4.4629722470904207</v>
      </c>
      <c r="I169" s="28">
        <f t="shared" si="891"/>
        <v>3.3660427754780211</v>
      </c>
      <c r="J169" s="28">
        <f t="shared" si="891"/>
        <v>4.7119788834249352</v>
      </c>
      <c r="K169" s="28">
        <f t="shared" ref="K169" si="892">+K153/K95</f>
        <v>4.3147650172225491</v>
      </c>
      <c r="L169" s="28">
        <f t="shared" ref="L169:M169" si="893">+L153/L95</f>
        <v>5.181426641398704</v>
      </c>
      <c r="M169" s="28">
        <f t="shared" si="893"/>
        <v>5.265781192409225</v>
      </c>
      <c r="N169" s="28">
        <f t="shared" ref="N169" si="894">+N153/N95</f>
        <v>4.8105592427908199</v>
      </c>
      <c r="O169" s="28">
        <f t="shared" ref="O169:P169" si="895">+O153/O95</f>
        <v>6.4098464256117245</v>
      </c>
      <c r="P169" s="28">
        <f t="shared" si="895"/>
        <v>6.0211193975140791</v>
      </c>
      <c r="Q169" s="28">
        <f t="shared" ref="Q169" si="896">+Q153/Q95</f>
        <v>8.0486024116017596</v>
      </c>
      <c r="R169" s="28">
        <f>+R153/R95</f>
        <v>7.8856233660622852</v>
      </c>
      <c r="S169" s="28"/>
      <c r="T169" s="28"/>
      <c r="U169" s="28"/>
      <c r="V169" s="28"/>
      <c r="W169" s="28">
        <f t="shared" ref="W169:AR169" si="897">+W153/W95</f>
        <v>3.1984171848501979</v>
      </c>
      <c r="X169" s="28">
        <f t="shared" si="897"/>
        <v>3.6830332787779598</v>
      </c>
      <c r="Y169" s="28">
        <f t="shared" si="897"/>
        <v>3.6001059322033897</v>
      </c>
      <c r="Z169" s="28">
        <f t="shared" si="897"/>
        <v>3.5810256410256409</v>
      </c>
      <c r="AA169" s="28">
        <f t="shared" si="897"/>
        <v>3.7741545547594679</v>
      </c>
      <c r="AB169" s="28">
        <f t="shared" si="897"/>
        <v>4.142620481927711</v>
      </c>
      <c r="AC169" s="28">
        <f t="shared" si="897"/>
        <v>4.5506506024096387</v>
      </c>
      <c r="AD169" s="28">
        <f t="shared" si="897"/>
        <v>4.9753886010362693</v>
      </c>
      <c r="AE169" s="28">
        <f t="shared" si="897"/>
        <v>4.2720772255988555</v>
      </c>
      <c r="AF169" s="28">
        <f t="shared" si="897"/>
        <v>4.6961527260413138</v>
      </c>
      <c r="AG169" s="28">
        <f t="shared" si="897"/>
        <v>4.3174734743943572</v>
      </c>
      <c r="AH169" s="28">
        <f t="shared" si="897"/>
        <v>4.0888187721369542</v>
      </c>
      <c r="AI169" s="28">
        <f t="shared" si="897"/>
        <v>4.4629722470904207</v>
      </c>
      <c r="AJ169" s="28">
        <f t="shared" si="897"/>
        <v>4.5429339542760374</v>
      </c>
      <c r="AK169" s="28">
        <f t="shared" si="897"/>
        <v>4.5085347517730492</v>
      </c>
      <c r="AL169" s="28">
        <f t="shared" si="897"/>
        <v>3.8900676484123333</v>
      </c>
      <c r="AM169" s="28">
        <f t="shared" si="897"/>
        <v>3.3660427754780211</v>
      </c>
      <c r="AN169" s="28">
        <f t="shared" si="897"/>
        <v>3.1661932042022327</v>
      </c>
      <c r="AO169" s="28">
        <f t="shared" si="897"/>
        <v>3.7268884210526316</v>
      </c>
      <c r="AP169" s="28">
        <f t="shared" si="897"/>
        <v>3.3217025533821114</v>
      </c>
      <c r="AQ169" s="28">
        <f t="shared" si="897"/>
        <v>4.7119788834249352</v>
      </c>
      <c r="AR169" s="28">
        <f t="shared" si="897"/>
        <v>4.8961745041786209</v>
      </c>
      <c r="AS169" s="28">
        <f t="shared" ref="AS169:AU169" si="898">+AS153/AS95</f>
        <v>4.9116077930728244</v>
      </c>
      <c r="AT169" s="28">
        <f t="shared" si="898"/>
        <v>4.7787577278991931</v>
      </c>
      <c r="AU169" s="28">
        <f t="shared" si="898"/>
        <v>4.3147650172225491</v>
      </c>
      <c r="AV169" s="28">
        <f t="shared" ref="AV169:AX169" si="899">+AV153/AV95</f>
        <v>4.7932845012300609</v>
      </c>
      <c r="AW169" s="28">
        <f t="shared" si="899"/>
        <v>4.2272308601444522</v>
      </c>
      <c r="AX169" s="28">
        <f t="shared" si="899"/>
        <v>4.6593667484270016</v>
      </c>
      <c r="AY169" s="28">
        <f>+AY153/AY95</f>
        <v>5.265781192409225</v>
      </c>
      <c r="AZ169" s="28">
        <f t="shared" ref="AZ169:BB169" si="900">+AZ153/AZ95</f>
        <v>5.0359479152550035</v>
      </c>
      <c r="BA169" s="28">
        <f t="shared" si="900"/>
        <v>5.794290455512229</v>
      </c>
      <c r="BB169" s="28">
        <f t="shared" si="900"/>
        <v>6.9787678794855115</v>
      </c>
      <c r="BC169" s="28">
        <f>+BC153/BC95</f>
        <v>6.4098464256117245</v>
      </c>
      <c r="BD169" s="28">
        <f t="shared" ref="BD169:BF169" si="901">+BD153/BD95</f>
        <v>7.3538241801315278</v>
      </c>
      <c r="BE169" s="28">
        <f t="shared" si="901"/>
        <v>8.7929623193113535</v>
      </c>
      <c r="BF169" s="28">
        <f t="shared" si="901"/>
        <v>7.9141110393363476</v>
      </c>
      <c r="BG169" s="28">
        <f>+BG153/BG95</f>
        <v>8.0486024116017596</v>
      </c>
      <c r="BH169" s="28">
        <f t="shared" ref="BH169" si="902">+BH153/BH95</f>
        <v>7.8856233660622852</v>
      </c>
      <c r="BJ169" s="28">
        <f t="shared" ref="BJ169:BL169" si="903">+BJ153/BJ95</f>
        <v>4.3269702700766528</v>
      </c>
      <c r="BK169" s="28">
        <f t="shared" si="903"/>
        <v>3.2068502689778842</v>
      </c>
      <c r="BL169" s="28">
        <f t="shared" si="903"/>
        <v>3.6117121600396791</v>
      </c>
      <c r="BM169" s="28">
        <f t="shared" ref="BM169" si="904">+BM153/BM95</f>
        <v>0.17989943111227361</v>
      </c>
      <c r="BN169" s="28">
        <f t="shared" ref="BN169:BQ169" si="905">+BN153/BN95</f>
        <v>3.3242121600667942</v>
      </c>
      <c r="BO169" s="28">
        <f t="shared" si="905"/>
        <v>4.1154889847044753</v>
      </c>
      <c r="BP169" s="28">
        <f t="shared" si="905"/>
        <v>4.5042561211964598</v>
      </c>
      <c r="BQ169" s="28">
        <f t="shared" si="905"/>
        <v>0.38870112299643439</v>
      </c>
      <c r="BR169" s="28">
        <f t="shared" ref="BR169" si="906">+BR153/BR95</f>
        <v>5.7080949596024482</v>
      </c>
      <c r="BW169" s="39"/>
      <c r="BX169" s="39"/>
    </row>
    <row r="170" spans="2:76" ht="13.5" customHeight="1"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8"/>
      <c r="AV170" s="28"/>
      <c r="AW170" s="28"/>
      <c r="AX170" s="28"/>
      <c r="AZ170" s="28"/>
      <c r="BA170" s="28"/>
      <c r="BB170" s="28"/>
      <c r="BD170" s="28"/>
      <c r="BE170" s="28"/>
      <c r="BF170" s="28"/>
      <c r="BH170" s="28"/>
      <c r="BN170" s="28"/>
      <c r="BO170" s="28"/>
      <c r="BP170" s="28"/>
      <c r="BQ170" s="28"/>
      <c r="BR170" s="28"/>
      <c r="BW170" s="39"/>
      <c r="BX170" s="39"/>
    </row>
    <row r="171" spans="2:76" ht="13.5" customHeight="1">
      <c r="B171" s="5" t="s">
        <v>375</v>
      </c>
      <c r="C171" s="27">
        <f t="shared" ref="C171:J171" si="907">C154/C95</f>
        <v>2.2961848064280495</v>
      </c>
      <c r="D171" s="27">
        <f t="shared" si="907"/>
        <v>2.1537963326784548</v>
      </c>
      <c r="E171" s="27">
        <f t="shared" si="907"/>
        <v>1.8180491803278689</v>
      </c>
      <c r="F171" s="27">
        <f t="shared" si="907"/>
        <v>2.4527809621289665</v>
      </c>
      <c r="G171" s="27">
        <f t="shared" si="907"/>
        <v>2.3623439399356454</v>
      </c>
      <c r="H171" s="27">
        <f t="shared" si="907"/>
        <v>2.3928260220829602</v>
      </c>
      <c r="I171" s="27">
        <f t="shared" si="907"/>
        <v>1.0001358170707673</v>
      </c>
      <c r="J171" s="27">
        <f t="shared" si="907"/>
        <v>2.3957236042811685</v>
      </c>
      <c r="K171" s="27">
        <f t="shared" ref="K171" si="908">K154/K95</f>
        <v>2.256405948080316</v>
      </c>
      <c r="L171" s="27">
        <f t="shared" ref="L171:M171" si="909">L154/L95</f>
        <v>2.7053429514610587</v>
      </c>
      <c r="M171" s="27">
        <f t="shared" si="909"/>
        <v>2.6682273247995218</v>
      </c>
      <c r="N171" s="27">
        <f t="shared" ref="N171" si="910">N154/N95</f>
        <v>2.5287386385928201</v>
      </c>
      <c r="O171" s="27">
        <f t="shared" ref="O171:P171" si="911">O154/O95</f>
        <v>3.7994504296244602</v>
      </c>
      <c r="P171" s="27">
        <f t="shared" si="911"/>
        <v>3.8046586024192743</v>
      </c>
      <c r="Q171" s="27">
        <f t="shared" ref="Q171" si="912">Q154/Q95</f>
        <v>4.4995600456248983</v>
      </c>
      <c r="R171" s="27">
        <f>R154/R95</f>
        <v>5.1135774953316062</v>
      </c>
      <c r="S171" s="28"/>
      <c r="T171" s="27"/>
      <c r="U171" s="27"/>
      <c r="V171" s="27"/>
      <c r="W171" s="27">
        <f t="shared" ref="W171:AR171" si="913">W154/W95</f>
        <v>1.8180491803278689</v>
      </c>
      <c r="X171" s="27">
        <f t="shared" si="913"/>
        <v>2.1083295144571741</v>
      </c>
      <c r="Y171" s="27">
        <f t="shared" si="913"/>
        <v>2.5206514830508473</v>
      </c>
      <c r="Z171" s="27">
        <f t="shared" si="913"/>
        <v>2.5641666666666665</v>
      </c>
      <c r="AA171" s="27">
        <f t="shared" si="913"/>
        <v>2.4527809621289665</v>
      </c>
      <c r="AB171" s="27">
        <f t="shared" si="913"/>
        <v>2.8315843373493981</v>
      </c>
      <c r="AC171" s="27">
        <f t="shared" si="913"/>
        <v>3.1260848192771085</v>
      </c>
      <c r="AD171" s="27">
        <f t="shared" si="913"/>
        <v>3.1510518134715029</v>
      </c>
      <c r="AE171" s="27">
        <f t="shared" si="913"/>
        <v>2.3623439399356454</v>
      </c>
      <c r="AF171" s="27">
        <f t="shared" si="913"/>
        <v>2.5024182187605821</v>
      </c>
      <c r="AG171" s="27">
        <f t="shared" si="913"/>
        <v>2.5426249616681997</v>
      </c>
      <c r="AH171" s="27">
        <f t="shared" si="913"/>
        <v>2.4708612750885472</v>
      </c>
      <c r="AI171" s="27">
        <f t="shared" si="913"/>
        <v>2.3928260220829602</v>
      </c>
      <c r="AJ171" s="27">
        <f t="shared" si="913"/>
        <v>2.3338930285069153</v>
      </c>
      <c r="AK171" s="27">
        <f t="shared" si="913"/>
        <v>1.8835253900709219</v>
      </c>
      <c r="AL171" s="27">
        <f t="shared" si="913"/>
        <v>1.2347176714219974</v>
      </c>
      <c r="AM171" s="27">
        <f t="shared" si="913"/>
        <v>1.0001358170707673</v>
      </c>
      <c r="AN171" s="27">
        <f t="shared" si="913"/>
        <v>1.4897257058437294</v>
      </c>
      <c r="AO171" s="27">
        <f t="shared" si="913"/>
        <v>2.1113258646616542</v>
      </c>
      <c r="AP171" s="27">
        <f t="shared" si="913"/>
        <v>2.0762829625205312</v>
      </c>
      <c r="AQ171" s="27">
        <f>AQ154/AQ95</f>
        <v>2.3957236042811685</v>
      </c>
      <c r="AR171" s="27">
        <f t="shared" si="913"/>
        <v>2.8161407010103532</v>
      </c>
      <c r="AS171" s="27">
        <f t="shared" ref="AS171:AT171" si="914">AS154/AS95</f>
        <v>3.2608792184724691</v>
      </c>
      <c r="AT171" s="27">
        <f t="shared" si="914"/>
        <v>2.7969088403228981</v>
      </c>
      <c r="AU171" s="27">
        <f>AU154/AU95</f>
        <v>2.256405948080316</v>
      </c>
      <c r="AV171" s="27">
        <f t="shared" ref="AV171:AX171" si="915">AV154/AV95</f>
        <v>2.5840012697404968</v>
      </c>
      <c r="AW171" s="27">
        <f t="shared" si="915"/>
        <v>2.4599474720945502</v>
      </c>
      <c r="AX171" s="27">
        <f t="shared" si="915"/>
        <v>2.3318225445238348</v>
      </c>
      <c r="AY171" s="27">
        <f>AY154/AY95</f>
        <v>2.6682273247995218</v>
      </c>
      <c r="AZ171" s="27">
        <f t="shared" ref="AZ171:BB171" si="916">AZ154/AZ95</f>
        <v>2.7578714369607447</v>
      </c>
      <c r="BA171" s="27">
        <f t="shared" si="916"/>
        <v>3.4112460120524637</v>
      </c>
      <c r="BB171" s="27">
        <f t="shared" si="916"/>
        <v>4.860317301436365</v>
      </c>
      <c r="BC171" s="27">
        <f>BC154/BC95</f>
        <v>3.7994504296244602</v>
      </c>
      <c r="BD171" s="27">
        <f t="shared" ref="BD171:BF171" si="917">BD154/BD95</f>
        <v>5.0240407647750533</v>
      </c>
      <c r="BE171" s="27">
        <f t="shared" si="917"/>
        <v>5.890003248335228</v>
      </c>
      <c r="BF171" s="27">
        <f t="shared" si="917"/>
        <v>5.107707476285996</v>
      </c>
      <c r="BG171" s="27">
        <f>BG154/BG95</f>
        <v>4.4995600456248983</v>
      </c>
      <c r="BH171" s="27">
        <f t="shared" ref="BH171" si="918">BH154/BH95</f>
        <v>5.1135774953316062</v>
      </c>
      <c r="BJ171" s="27">
        <f t="shared" ref="BJ171:BL171" si="919">BJ154/BJ95</f>
        <v>2.3326169496382261</v>
      </c>
      <c r="BK171" s="27">
        <f t="shared" si="919"/>
        <v>1.8661585973301456</v>
      </c>
      <c r="BL171" s="27">
        <f t="shared" si="919"/>
        <v>1.8075142597338183</v>
      </c>
      <c r="BM171" s="27">
        <f t="shared" ref="BM171" si="920">BM154/BM95</f>
        <v>2.5287386385928201</v>
      </c>
      <c r="BN171" s="27">
        <f t="shared" ref="BN171:BQ171" si="921">BN154/BN95</f>
        <v>1.8204615935114503</v>
      </c>
      <c r="BO171" s="27">
        <f t="shared" si="921"/>
        <v>2.4228929313275005</v>
      </c>
      <c r="BP171" s="27">
        <f t="shared" si="921"/>
        <v>3.136959751921959</v>
      </c>
      <c r="BQ171" s="27">
        <f t="shared" si="921"/>
        <v>3.8046586024192743</v>
      </c>
      <c r="BR171" s="27">
        <f t="shared" ref="BR171" si="922">BR154/BR95</f>
        <v>3.8996991311990805</v>
      </c>
      <c r="BW171" s="39"/>
      <c r="BX171" s="39"/>
    </row>
    <row r="172" spans="2:76" s="5" customFormat="1" ht="13.5" customHeight="1">
      <c r="B172" s="340" t="s">
        <v>376</v>
      </c>
      <c r="C172" s="341">
        <f t="shared" ref="C172:AD172" si="923">C171</f>
        <v>2.2961848064280495</v>
      </c>
      <c r="D172" s="341">
        <f t="shared" si="923"/>
        <v>2.1537963326784548</v>
      </c>
      <c r="E172" s="341">
        <f t="shared" si="923"/>
        <v>1.8180491803278689</v>
      </c>
      <c r="F172" s="341">
        <f t="shared" si="923"/>
        <v>2.4527809621289665</v>
      </c>
      <c r="G172" s="341">
        <f t="shared" si="923"/>
        <v>2.3623439399356454</v>
      </c>
      <c r="H172" s="341">
        <f>H171</f>
        <v>2.3928260220829602</v>
      </c>
      <c r="I172" s="341">
        <f>I171</f>
        <v>1.0001358170707673</v>
      </c>
      <c r="J172" s="341">
        <f>J171</f>
        <v>2.3957236042811685</v>
      </c>
      <c r="K172" s="342">
        <v>2.2400000000000002</v>
      </c>
      <c r="L172" s="342">
        <v>2.71</v>
      </c>
      <c r="M172" s="342">
        <v>2.67</v>
      </c>
      <c r="N172" s="342">
        <v>2.5299999999999998</v>
      </c>
      <c r="O172" s="342">
        <v>3.8</v>
      </c>
      <c r="P172" s="342">
        <v>3.8</v>
      </c>
      <c r="Q172" s="342">
        <v>4.5</v>
      </c>
      <c r="R172" s="341">
        <f>BH172</f>
        <v>4.92</v>
      </c>
      <c r="S172" s="28"/>
      <c r="T172" s="341"/>
      <c r="U172" s="341"/>
      <c r="V172" s="341"/>
      <c r="W172" s="341">
        <f t="shared" si="923"/>
        <v>1.8180491803278689</v>
      </c>
      <c r="X172" s="341">
        <f t="shared" si="923"/>
        <v>2.1083295144571741</v>
      </c>
      <c r="Y172" s="341">
        <f t="shared" si="923"/>
        <v>2.5206514830508473</v>
      </c>
      <c r="Z172" s="341">
        <f t="shared" si="923"/>
        <v>2.5641666666666665</v>
      </c>
      <c r="AA172" s="341">
        <f t="shared" si="923"/>
        <v>2.4527809621289665</v>
      </c>
      <c r="AB172" s="341">
        <f t="shared" si="923"/>
        <v>2.8315843373493981</v>
      </c>
      <c r="AC172" s="341">
        <f t="shared" si="923"/>
        <v>3.1260848192771085</v>
      </c>
      <c r="AD172" s="341">
        <f t="shared" si="923"/>
        <v>3.1510518134715029</v>
      </c>
      <c r="AE172" s="341">
        <f>AE171</f>
        <v>2.3623439399356454</v>
      </c>
      <c r="AF172" s="342">
        <v>2.31</v>
      </c>
      <c r="AG172" s="342">
        <v>2.4</v>
      </c>
      <c r="AH172" s="342">
        <v>2.41</v>
      </c>
      <c r="AI172" s="341">
        <f>AI171</f>
        <v>2.3928260220829602</v>
      </c>
      <c r="AJ172" s="341">
        <f>AJ171</f>
        <v>2.3338930285069153</v>
      </c>
      <c r="AK172" s="342">
        <v>1.88</v>
      </c>
      <c r="AL172" s="342">
        <v>1.24</v>
      </c>
      <c r="AM172" s="341">
        <f>AM171</f>
        <v>1.0001358170707673</v>
      </c>
      <c r="AN172" s="342">
        <v>1.42</v>
      </c>
      <c r="AO172" s="342">
        <v>1.54</v>
      </c>
      <c r="AP172" s="342">
        <v>1.24</v>
      </c>
      <c r="AQ172" s="341">
        <f>AQ171</f>
        <v>2.3957236042811685</v>
      </c>
      <c r="AR172" s="342">
        <v>2.81</v>
      </c>
      <c r="AS172" s="342">
        <v>3.15</v>
      </c>
      <c r="AT172" s="342">
        <v>2.68</v>
      </c>
      <c r="AU172" s="341">
        <f>AU171</f>
        <v>2.256405948080316</v>
      </c>
      <c r="AV172" s="342">
        <v>2.56</v>
      </c>
      <c r="AW172" s="342">
        <v>2.4500000000000002</v>
      </c>
      <c r="AX172" s="342">
        <v>2.36</v>
      </c>
      <c r="AY172" s="341">
        <f>AY171</f>
        <v>2.6682273247995218</v>
      </c>
      <c r="AZ172" s="342">
        <v>2.65</v>
      </c>
      <c r="BA172" s="342">
        <v>3.45</v>
      </c>
      <c r="BB172" s="342">
        <v>4.29</v>
      </c>
      <c r="BC172" s="341">
        <f>O172</f>
        <v>3.8</v>
      </c>
      <c r="BD172" s="342">
        <v>5.01</v>
      </c>
      <c r="BE172" s="342">
        <v>5.86</v>
      </c>
      <c r="BF172" s="342">
        <v>5.17</v>
      </c>
      <c r="BG172" s="342">
        <v>4.5</v>
      </c>
      <c r="BH172" s="342">
        <v>4.92</v>
      </c>
      <c r="BI172" s="343"/>
      <c r="BJ172" s="342">
        <v>2.56</v>
      </c>
      <c r="BK172" s="342">
        <v>2.4500000000000002</v>
      </c>
      <c r="BL172" s="342">
        <v>4.29</v>
      </c>
      <c r="BM172" s="342">
        <f t="shared" ref="BM172" si="924">N172</f>
        <v>2.5299999999999998</v>
      </c>
      <c r="BN172" s="342">
        <f>AZ172</f>
        <v>2.65</v>
      </c>
      <c r="BO172" s="342">
        <f>BA172</f>
        <v>3.45</v>
      </c>
      <c r="BP172" s="342">
        <v>4.29</v>
      </c>
      <c r="BQ172" s="342">
        <f>P172</f>
        <v>3.8</v>
      </c>
      <c r="BR172" s="342">
        <f>BD172</f>
        <v>5.01</v>
      </c>
      <c r="BT172" s="1"/>
      <c r="BU172" s="1"/>
      <c r="BW172" s="39"/>
      <c r="BX172" s="39"/>
    </row>
    <row r="173" spans="2:76" ht="13.5" customHeight="1">
      <c r="C173" s="9"/>
      <c r="D173" s="9"/>
      <c r="E173" s="9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  <c r="AU173" s="28"/>
      <c r="AV173" s="28"/>
      <c r="AW173" s="28"/>
      <c r="AX173" s="28"/>
      <c r="AZ173" s="28"/>
      <c r="BA173" s="28"/>
      <c r="BB173" s="28"/>
      <c r="BD173" s="28"/>
      <c r="BE173" s="28"/>
      <c r="BF173" s="28"/>
      <c r="BH173" s="28"/>
      <c r="BJ173" s="28"/>
      <c r="BK173" s="28"/>
      <c r="BL173" s="28"/>
      <c r="BM173" s="28"/>
      <c r="BN173" s="28"/>
      <c r="BO173" s="28"/>
      <c r="BP173" s="28"/>
      <c r="BQ173" s="28"/>
      <c r="BR173" s="28"/>
      <c r="BW173" s="39"/>
      <c r="BX173" s="39"/>
    </row>
    <row r="174" spans="2:76" s="5" customFormat="1" ht="13.5" customHeight="1">
      <c r="B174" s="5" t="s">
        <v>377</v>
      </c>
      <c r="C174" s="27">
        <f t="shared" ref="C174:J174" si="925">C158/C96</f>
        <v>2.40880911600944</v>
      </c>
      <c r="D174" s="27">
        <f t="shared" si="925"/>
        <v>2.2258316354581034</v>
      </c>
      <c r="E174" s="27">
        <f t="shared" si="925"/>
        <v>1.8957140552618548</v>
      </c>
      <c r="F174" s="27">
        <f t="shared" si="925"/>
        <v>2.5409609264475619</v>
      </c>
      <c r="G174" s="27">
        <f t="shared" si="925"/>
        <v>2.4457470940471997</v>
      </c>
      <c r="H174" s="27">
        <f t="shared" si="925"/>
        <v>2.3928260220829602</v>
      </c>
      <c r="I174" s="27">
        <f t="shared" si="925"/>
        <v>1.0001358170707673</v>
      </c>
      <c r="J174" s="27">
        <f t="shared" si="925"/>
        <v>2.3957236042811685</v>
      </c>
      <c r="K174" s="27">
        <f t="shared" ref="K174" si="926">K158/K96</f>
        <v>2.2540056288330672</v>
      </c>
      <c r="L174" s="27">
        <f t="shared" ref="L174:M174" si="927">L158/L96</f>
        <v>2.7106166401760605</v>
      </c>
      <c r="M174" s="27">
        <f t="shared" si="927"/>
        <v>2.8355486875529219</v>
      </c>
      <c r="N174" s="27">
        <f t="shared" ref="N174" si="928">N158/N96</f>
        <v>2.5073820375335125</v>
      </c>
      <c r="O174" s="27">
        <f t="shared" ref="O174:P174" si="929">O158/O96</f>
        <v>4.1934280106424744</v>
      </c>
      <c r="P174" s="27">
        <f t="shared" si="929"/>
        <v>3.8046508047585728</v>
      </c>
      <c r="Q174" s="27">
        <f t="shared" ref="Q174" si="930">Q158/Q96</f>
        <v>4.8604272771712562</v>
      </c>
      <c r="R174" s="27">
        <f t="shared" ref="R174" si="931">R158/R96</f>
        <v>5.4923436841154141</v>
      </c>
      <c r="S174" s="27"/>
      <c r="T174" s="27"/>
      <c r="U174" s="27"/>
      <c r="V174" s="27"/>
      <c r="W174" s="27">
        <f t="shared" ref="W174:AR174" si="932">W158/W96</f>
        <v>1.8957140552618548</v>
      </c>
      <c r="X174" s="27">
        <f t="shared" si="932"/>
        <v>2.2161353579100975</v>
      </c>
      <c r="Y174" s="27">
        <f t="shared" si="932"/>
        <v>2.6169203173832325</v>
      </c>
      <c r="Z174" s="27">
        <f t="shared" si="932"/>
        <v>2.6537824755127946</v>
      </c>
      <c r="AA174" s="27">
        <f t="shared" si="932"/>
        <v>2.5409609264475619</v>
      </c>
      <c r="AB174" s="27">
        <f t="shared" si="932"/>
        <v>2.9121999166816157</v>
      </c>
      <c r="AC174" s="27">
        <f t="shared" si="932"/>
        <v>3.1991115385583053</v>
      </c>
      <c r="AD174" s="27">
        <f t="shared" si="932"/>
        <v>3.2162459537827099</v>
      </c>
      <c r="AE174" s="27">
        <f t="shared" si="932"/>
        <v>2.5339781613244101</v>
      </c>
      <c r="AF174" s="27">
        <f t="shared" si="932"/>
        <v>2.4738435663175022</v>
      </c>
      <c r="AG174" s="27">
        <f t="shared" si="932"/>
        <v>2.5223452593735405</v>
      </c>
      <c r="AH174" s="27">
        <f t="shared" si="932"/>
        <v>2.4575668034292937</v>
      </c>
      <c r="AI174" s="27">
        <f t="shared" si="932"/>
        <v>2.3928260220829602</v>
      </c>
      <c r="AJ174" s="27">
        <f t="shared" si="932"/>
        <v>2.3338930285069153</v>
      </c>
      <c r="AK174" s="27">
        <f t="shared" si="932"/>
        <v>1.8835253900709219</v>
      </c>
      <c r="AL174" s="27">
        <f t="shared" si="932"/>
        <v>1.2347176714219974</v>
      </c>
      <c r="AM174" s="27">
        <f t="shared" si="932"/>
        <v>1.0001358170707673</v>
      </c>
      <c r="AN174" s="27">
        <f t="shared" si="932"/>
        <v>1.4897257058437294</v>
      </c>
      <c r="AO174" s="27">
        <f t="shared" si="932"/>
        <v>2.1113258646616542</v>
      </c>
      <c r="AP174" s="27">
        <f t="shared" si="932"/>
        <v>2.0762829625205312</v>
      </c>
      <c r="AQ174" s="27">
        <f t="shared" si="932"/>
        <v>2.3957236042811685</v>
      </c>
      <c r="AR174" s="27">
        <f t="shared" si="932"/>
        <v>2.8137925657976801</v>
      </c>
      <c r="AS174" s="27">
        <f t="shared" ref="AS174:AV174" si="933">AS158/AS96</f>
        <v>3.2512850799289521</v>
      </c>
      <c r="AT174" s="27">
        <f t="shared" si="933"/>
        <v>2.7679882850954911</v>
      </c>
      <c r="AU174" s="27">
        <f t="shared" si="933"/>
        <v>2.2540056288330672</v>
      </c>
      <c r="AV174" s="27">
        <f t="shared" si="933"/>
        <v>2.4643055313070392</v>
      </c>
      <c r="AW174" s="27">
        <f t="shared" ref="AW174:AZ174" si="934">AW158/AW96</f>
        <v>2.3450351936966514</v>
      </c>
      <c r="AX174" s="27">
        <f t="shared" si="934"/>
        <v>2.5465833422203263</v>
      </c>
      <c r="AY174" s="27">
        <f t="shared" si="934"/>
        <v>2.8355486875529219</v>
      </c>
      <c r="AZ174" s="27">
        <f t="shared" si="934"/>
        <v>2.9308394994805078</v>
      </c>
      <c r="BA174" s="27">
        <f t="shared" ref="BA174:BC174" si="935">BA158/BA96</f>
        <v>3.7889278181495918</v>
      </c>
      <c r="BB174" s="27">
        <f t="shared" si="935"/>
        <v>5.2616569741254198</v>
      </c>
      <c r="BC174" s="27">
        <f t="shared" si="935"/>
        <v>4.1934280106424744</v>
      </c>
      <c r="BD174" s="27">
        <f>BD158/BD96</f>
        <v>5.4433380950307049</v>
      </c>
      <c r="BE174" s="27">
        <f t="shared" ref="BE174:BG174" si="936">BE158/BE96</f>
        <v>6.3536597368848469</v>
      </c>
      <c r="BF174" s="27">
        <f t="shared" si="936"/>
        <v>5.4852403019073197</v>
      </c>
      <c r="BG174" s="27">
        <f t="shared" si="936"/>
        <v>4.8604272771712562</v>
      </c>
      <c r="BH174" s="27">
        <f>BH158/BH96</f>
        <v>5.4923436841154141</v>
      </c>
      <c r="BJ174" s="27">
        <f t="shared" ref="BJ174:BL174" si="937">BJ158/BJ96</f>
        <v>0.78468300021491511</v>
      </c>
      <c r="BK174" s="27">
        <f t="shared" si="937"/>
        <v>0.75740381550109592</v>
      </c>
      <c r="BL174" s="27">
        <f t="shared" si="937"/>
        <v>1.1655174010085145</v>
      </c>
      <c r="BM174" s="27">
        <f t="shared" ref="BM174" si="938">BM158/BM96</f>
        <v>-2.1232777741450337</v>
      </c>
      <c r="BN174" s="27">
        <f t="shared" ref="BN174:BQ174" si="939">BN158/BN96</f>
        <v>1.9346372256679392</v>
      </c>
      <c r="BO174" s="27">
        <f t="shared" si="939"/>
        <v>2.6911475734877568</v>
      </c>
      <c r="BP174" s="27">
        <f t="shared" si="939"/>
        <v>3.3959935396343433</v>
      </c>
      <c r="BQ174" s="27">
        <f t="shared" si="939"/>
        <v>-1.827767469759072</v>
      </c>
      <c r="BR174" s="27">
        <f t="shared" ref="BR174" si="940">BR158/BR96</f>
        <v>4.2251609479057501</v>
      </c>
      <c r="BW174" s="302"/>
      <c r="BX174" s="302"/>
    </row>
    <row r="175" spans="2:76" ht="13.5" customHeight="1">
      <c r="B175" s="1" t="s">
        <v>378</v>
      </c>
      <c r="C175" s="28">
        <f t="shared" ref="C175:J175" si="941">C159/C96</f>
        <v>3.569163439726875</v>
      </c>
      <c r="D175" s="28">
        <f t="shared" si="941"/>
        <v>3.6269202160344101</v>
      </c>
      <c r="E175" s="28">
        <f t="shared" si="941"/>
        <v>3.2587402672721901</v>
      </c>
      <c r="F175" s="28">
        <f t="shared" si="941"/>
        <v>3.8413296379918442</v>
      </c>
      <c r="G175" s="28">
        <f t="shared" si="941"/>
        <v>4.3272278971468827</v>
      </c>
      <c r="H175" s="28">
        <f t="shared" si="941"/>
        <v>4.4629722470904207</v>
      </c>
      <c r="I175" s="28">
        <f t="shared" si="941"/>
        <v>3.3660427754780211</v>
      </c>
      <c r="J175" s="28">
        <f t="shared" si="941"/>
        <v>4.7119788834249352</v>
      </c>
      <c r="K175" s="28">
        <f t="shared" ref="K175" si="942">K159/K96</f>
        <v>4.3147650172225491</v>
      </c>
      <c r="L175" s="28">
        <f t="shared" ref="L175:M175" si="943">L159/L96</f>
        <v>5.181426641398704</v>
      </c>
      <c r="M175" s="28">
        <f t="shared" si="943"/>
        <v>5.265781192409225</v>
      </c>
      <c r="N175" s="28">
        <f t="shared" ref="N175" si="944">N159/N96</f>
        <v>4.8105592427908199</v>
      </c>
      <c r="O175" s="28">
        <f t="shared" ref="O175:P175" si="945">O159/O96</f>
        <v>6.4098464256117245</v>
      </c>
      <c r="P175" s="28">
        <f t="shared" si="945"/>
        <v>6.0211193975140791</v>
      </c>
      <c r="Q175" s="28">
        <f t="shared" ref="Q175" si="946">Q159/Q96</f>
        <v>8.0486024116017596</v>
      </c>
      <c r="R175" s="28">
        <f t="shared" ref="R175" si="947">R159/R96</f>
        <v>7.8856233660622852</v>
      </c>
      <c r="S175" s="28"/>
      <c r="T175" s="28"/>
      <c r="U175" s="28"/>
      <c r="V175" s="28"/>
      <c r="W175" s="28">
        <f t="shared" ref="W175:AR175" si="948">W159/W96</f>
        <v>3.2587402672721906</v>
      </c>
      <c r="X175" s="28">
        <f t="shared" si="948"/>
        <v>3.769842461745823</v>
      </c>
      <c r="Y175" s="28">
        <f t="shared" si="948"/>
        <v>3.6811358539138963</v>
      </c>
      <c r="Z175" s="28">
        <f t="shared" si="948"/>
        <v>3.6555891757637418</v>
      </c>
      <c r="AA175" s="28">
        <f t="shared" si="948"/>
        <v>3.8413296379918442</v>
      </c>
      <c r="AB175" s="28">
        <f t="shared" si="948"/>
        <v>4.2027868665319543</v>
      </c>
      <c r="AC175" s="28">
        <f t="shared" si="948"/>
        <v>4.6023328046680785</v>
      </c>
      <c r="AD175" s="28">
        <f t="shared" si="948"/>
        <v>5.016054521220517</v>
      </c>
      <c r="AE175" s="28">
        <f t="shared" si="948"/>
        <v>4.4154589644240927</v>
      </c>
      <c r="AF175" s="28">
        <f t="shared" si="948"/>
        <v>4.6425282235659777</v>
      </c>
      <c r="AG175" s="28">
        <f t="shared" si="948"/>
        <v>4.2830377719035102</v>
      </c>
      <c r="AH175" s="28">
        <f t="shared" si="948"/>
        <v>4.066818878482847</v>
      </c>
      <c r="AI175" s="28">
        <f t="shared" si="948"/>
        <v>4.4629722470904207</v>
      </c>
      <c r="AJ175" s="28">
        <f t="shared" si="948"/>
        <v>4.5429339542760374</v>
      </c>
      <c r="AK175" s="28">
        <f t="shared" si="948"/>
        <v>4.5085347517730492</v>
      </c>
      <c r="AL175" s="28">
        <f t="shared" si="948"/>
        <v>3.8900676484123333</v>
      </c>
      <c r="AM175" s="28">
        <f t="shared" si="948"/>
        <v>3.3660427754780211</v>
      </c>
      <c r="AN175" s="28">
        <f t="shared" si="948"/>
        <v>3.1661932042022327</v>
      </c>
      <c r="AO175" s="28">
        <f t="shared" si="948"/>
        <v>3.7268884210526316</v>
      </c>
      <c r="AP175" s="28">
        <f t="shared" si="948"/>
        <v>3.3217025533821114</v>
      </c>
      <c r="AQ175" s="28">
        <f t="shared" si="948"/>
        <v>4.7119788834249352</v>
      </c>
      <c r="AR175" s="28">
        <f t="shared" si="948"/>
        <v>4.8961745041786209</v>
      </c>
      <c r="AS175" s="28">
        <f t="shared" ref="AS175:AV175" si="949">AS159/AS96</f>
        <v>4.9116077930728244</v>
      </c>
      <c r="AT175" s="28">
        <f t="shared" si="949"/>
        <v>4.7787577278991931</v>
      </c>
      <c r="AU175" s="28">
        <f t="shared" si="949"/>
        <v>4.3147650172225491</v>
      </c>
      <c r="AV175" s="28">
        <f t="shared" si="949"/>
        <v>4.7932845012300609</v>
      </c>
      <c r="AW175" s="28">
        <f t="shared" ref="AW175:AZ175" si="950">AW159/AW96</f>
        <v>4.2272308601444522</v>
      </c>
      <c r="AX175" s="28">
        <f t="shared" si="950"/>
        <v>4.6593667484270016</v>
      </c>
      <c r="AY175" s="28">
        <f t="shared" si="950"/>
        <v>5.265781192409225</v>
      </c>
      <c r="AZ175" s="28">
        <f t="shared" si="950"/>
        <v>5.0359479152550035</v>
      </c>
      <c r="BA175" s="28">
        <f t="shared" ref="BA175:BD175" si="951">BA159/BA96</f>
        <v>5.794290455512229</v>
      </c>
      <c r="BB175" s="28">
        <f t="shared" si="951"/>
        <v>6.9787678794855115</v>
      </c>
      <c r="BC175" s="28">
        <f t="shared" si="951"/>
        <v>6.4098464256117245</v>
      </c>
      <c r="BD175" s="28">
        <f t="shared" si="951"/>
        <v>7.3538241801315278</v>
      </c>
      <c r="BE175" s="28">
        <f t="shared" ref="BE175:BH175" si="952">BE159/BE96</f>
        <v>8.7929623193113535</v>
      </c>
      <c r="BF175" s="28">
        <f t="shared" si="952"/>
        <v>7.9141110393363476</v>
      </c>
      <c r="BG175" s="28">
        <f t="shared" si="952"/>
        <v>8.0486024116017596</v>
      </c>
      <c r="BH175" s="28">
        <f t="shared" si="952"/>
        <v>7.8856233660622852</v>
      </c>
      <c r="BJ175" s="28">
        <f t="shared" ref="BJ175:BL175" si="953">BJ159/BJ96</f>
        <v>4.3269702700766528</v>
      </c>
      <c r="BK175" s="28">
        <f t="shared" si="953"/>
        <v>3.2068502689778842</v>
      </c>
      <c r="BL175" s="28">
        <f t="shared" si="953"/>
        <v>3.6117121600396791</v>
      </c>
      <c r="BM175" s="28">
        <f t="shared" ref="BM175" si="954">BM159/BM96</f>
        <v>0.17989943111227361</v>
      </c>
      <c r="BN175" s="28">
        <f t="shared" ref="BN175:BQ175" si="955">BN159/BN96</f>
        <v>3.3242121600667942</v>
      </c>
      <c r="BO175" s="28">
        <f t="shared" si="955"/>
        <v>4.1154889847044753</v>
      </c>
      <c r="BP175" s="28">
        <f t="shared" si="955"/>
        <v>4.5042561211964598</v>
      </c>
      <c r="BQ175" s="28">
        <f t="shared" si="955"/>
        <v>0.38870112299643439</v>
      </c>
      <c r="BR175" s="28">
        <f>BR159/BR96</f>
        <v>5.7080949596024482</v>
      </c>
      <c r="BW175" s="39"/>
      <c r="BX175" s="39"/>
    </row>
    <row r="176" spans="2:76" ht="13.5" customHeight="1"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8"/>
      <c r="AV176" s="28"/>
      <c r="AW176" s="28"/>
      <c r="AX176" s="28"/>
      <c r="AZ176" s="28"/>
      <c r="BA176" s="28"/>
      <c r="BB176" s="28"/>
      <c r="BD176" s="28"/>
      <c r="BE176" s="28"/>
      <c r="BF176" s="28"/>
      <c r="BH176" s="28"/>
      <c r="BJ176" s="28"/>
      <c r="BK176" s="28"/>
      <c r="BL176" s="28"/>
      <c r="BM176" s="28"/>
      <c r="BN176" s="28"/>
      <c r="BO176" s="28"/>
      <c r="BP176" s="28"/>
      <c r="BQ176" s="28"/>
      <c r="BR176" s="28"/>
      <c r="BW176" s="39"/>
      <c r="BX176" s="39"/>
    </row>
    <row r="177" spans="2:76" s="5" customFormat="1" ht="13.5" customHeight="1">
      <c r="B177" s="5" t="s">
        <v>379</v>
      </c>
      <c r="C177" s="27">
        <f t="shared" ref="C177:J177" si="956">+(C95-C100)/C98</f>
        <v>2.9945525826186183</v>
      </c>
      <c r="D177" s="27">
        <f t="shared" si="956"/>
        <v>2.2979208734353413</v>
      </c>
      <c r="E177" s="27">
        <f t="shared" si="956"/>
        <v>2.1235290921685901</v>
      </c>
      <c r="F177" s="27">
        <f t="shared" si="956"/>
        <v>1.8913214442218604</v>
      </c>
      <c r="G177" s="27">
        <f t="shared" si="956"/>
        <v>1.2001904082732755</v>
      </c>
      <c r="H177" s="27">
        <f t="shared" si="956"/>
        <v>1.3741379382452206</v>
      </c>
      <c r="I177" s="27">
        <f t="shared" si="956"/>
        <v>2.3846289043243174</v>
      </c>
      <c r="J177" s="27">
        <f t="shared" si="956"/>
        <v>2.9451091563299689</v>
      </c>
      <c r="K177" s="27">
        <f t="shared" ref="K177" si="957">+(K95-K100)/K98</f>
        <v>2.0278637865146267</v>
      </c>
      <c r="L177" s="27">
        <f t="shared" ref="L177:M177" si="958">+(L95-L100)/L98</f>
        <v>0.82078602985703764</v>
      </c>
      <c r="M177" s="27">
        <f t="shared" si="958"/>
        <v>0.75661109579100072</v>
      </c>
      <c r="N177" s="27">
        <f t="shared" ref="N177" si="959">+(N95-N100)/N98</f>
        <v>1.035433134113894</v>
      </c>
      <c r="O177" s="27">
        <f t="shared" ref="O177:P177" si="960">+(O95-O100)/O98</f>
        <v>-5.7283381562642899E-2</v>
      </c>
      <c r="P177" s="27">
        <f t="shared" si="960"/>
        <v>-1.2825783042333715E-2</v>
      </c>
      <c r="Q177" s="27">
        <f t="shared" ref="Q177" si="961">+(Q95-Q100)/Q98</f>
        <v>0.5138702282263431</v>
      </c>
      <c r="R177" s="27">
        <f t="shared" ref="R177" si="962">+(R95-R100)/R98</f>
        <v>0.5875687233629403</v>
      </c>
      <c r="S177" s="27"/>
      <c r="T177" s="27"/>
      <c r="U177" s="27"/>
      <c r="V177" s="27"/>
      <c r="W177" s="27">
        <f t="shared" ref="W177:AR177" si="963">+(W95-W100)/W98</f>
        <v>2.1235290921685901</v>
      </c>
      <c r="X177" s="27">
        <f t="shared" si="963"/>
        <v>2.4132272028913579</v>
      </c>
      <c r="Y177" s="27">
        <f t="shared" si="963"/>
        <v>2.3248143623174631</v>
      </c>
      <c r="Z177" s="27">
        <f t="shared" si="963"/>
        <v>2.0174978471018998</v>
      </c>
      <c r="AA177" s="27">
        <f t="shared" si="963"/>
        <v>1.8913214442218604</v>
      </c>
      <c r="AB177" s="27">
        <f t="shared" si="963"/>
        <v>1.5457994514871423</v>
      </c>
      <c r="AC177" s="27">
        <f t="shared" si="963"/>
        <v>1.1356910917314424</v>
      </c>
      <c r="AD177" s="27">
        <f t="shared" si="963"/>
        <v>0.97216080757317402</v>
      </c>
      <c r="AE177" s="27">
        <f t="shared" si="963"/>
        <v>1.2001904082732755</v>
      </c>
      <c r="AF177" s="27">
        <f t="shared" si="963"/>
        <v>1.1158060535340262</v>
      </c>
      <c r="AG177" s="27">
        <f t="shared" si="963"/>
        <v>4.1614672100778058</v>
      </c>
      <c r="AH177" s="27">
        <f t="shared" si="963"/>
        <v>1.5100550011685343</v>
      </c>
      <c r="AI177" s="27">
        <f t="shared" si="963"/>
        <v>1.3741379382452206</v>
      </c>
      <c r="AJ177" s="27">
        <f t="shared" si="963"/>
        <v>1.4099794261913809</v>
      </c>
      <c r="AK177" s="27">
        <f t="shared" si="963"/>
        <v>1.3699061259296539</v>
      </c>
      <c r="AL177" s="27">
        <f t="shared" si="963"/>
        <v>12.917342307718018</v>
      </c>
      <c r="AM177" s="27">
        <f t="shared" si="963"/>
        <v>2.3846289043243178</v>
      </c>
      <c r="AN177" s="27">
        <f t="shared" si="963"/>
        <v>3.4458720979097848</v>
      </c>
      <c r="AO177" s="27">
        <f t="shared" si="963"/>
        <v>2.8452766928409701</v>
      </c>
      <c r="AP177" s="27">
        <f t="shared" si="963"/>
        <v>1.3621112030817233</v>
      </c>
      <c r="AQ177" s="27">
        <f t="shared" si="963"/>
        <v>2.9451091563299689</v>
      </c>
      <c r="AR177" s="27">
        <f t="shared" si="963"/>
        <v>3.2375365483784737</v>
      </c>
      <c r="AS177" s="27">
        <f t="shared" ref="AS177:AV177" si="964">+(AS95-AS100)/AS98</f>
        <v>2.429674828318888</v>
      </c>
      <c r="AT177" s="27">
        <f t="shared" si="964"/>
        <v>2.1437525870264773</v>
      </c>
      <c r="AU177" s="27">
        <f t="shared" si="964"/>
        <v>2.0278637865146267</v>
      </c>
      <c r="AV177" s="27">
        <f t="shared" si="964"/>
        <v>1.4966971157708888</v>
      </c>
      <c r="AW177" s="27">
        <f t="shared" ref="AW177:AZ177" si="965">+(AW95-AW100)/AW98</f>
        <v>1.7614831554810297</v>
      </c>
      <c r="AX177" s="27">
        <f t="shared" si="965"/>
        <v>1.8408710007919002</v>
      </c>
      <c r="AY177" s="27">
        <f t="shared" si="965"/>
        <v>0.75661109579100072</v>
      </c>
      <c r="AZ177" s="27">
        <f t="shared" si="965"/>
        <v>0.71226898017394413</v>
      </c>
      <c r="BA177" s="27">
        <f t="shared" ref="BA177:BD177" si="966">+(BA95-BA100)/BA98</f>
        <v>0.42392990210920722</v>
      </c>
      <c r="BB177" s="27">
        <f t="shared" si="966"/>
        <v>-0.11650332010330008</v>
      </c>
      <c r="BC177" s="27">
        <f t="shared" si="966"/>
        <v>-5.7283381562642899E-2</v>
      </c>
      <c r="BD177" s="27">
        <f t="shared" si="966"/>
        <v>-6.7425157660653018E-2</v>
      </c>
      <c r="BE177" s="27">
        <f t="shared" ref="BE177:BH177" si="967">+(BE95-BE100)/BE98</f>
        <v>9.3448418094833327E-2</v>
      </c>
      <c r="BF177" s="27">
        <f t="shared" si="967"/>
        <v>0.39252662142635558</v>
      </c>
      <c r="BG177" s="27">
        <f t="shared" si="967"/>
        <v>0.5138702282263431</v>
      </c>
      <c r="BH177" s="27">
        <f t="shared" si="967"/>
        <v>0.5875687233629403</v>
      </c>
      <c r="BJ177" s="27">
        <f t="shared" ref="BJ177:BL177" si="968">+(BJ95-BJ100)/BJ98</f>
        <v>1.2066664854639781</v>
      </c>
      <c r="BK177" s="27">
        <f t="shared" si="968"/>
        <v>1.7287694075466977</v>
      </c>
      <c r="BL177" s="27">
        <f t="shared" si="968"/>
        <v>1.1664306818565175</v>
      </c>
      <c r="BM177" s="27">
        <f t="shared" ref="BM177" si="969">+(BM95-BM100)/BM98</f>
        <v>1.035433134113894</v>
      </c>
      <c r="BN177" s="27">
        <f t="shared" ref="BN177:BQ177" si="970">+(BN95-BN100)/BN98</f>
        <v>1.0422105933902033</v>
      </c>
      <c r="BO177" s="27">
        <f t="shared" si="970"/>
        <v>0.56146821322910112</v>
      </c>
      <c r="BP177" s="27">
        <f t="shared" si="970"/>
        <v>0.25927259891230847</v>
      </c>
      <c r="BQ177" s="27">
        <f t="shared" si="970"/>
        <v>-1.2825783042333715E-2</v>
      </c>
      <c r="BR177" s="27">
        <f t="shared" ref="BR177" si="971">+(BR95-BR100)/BR98</f>
        <v>-3.8226946755344673E-2</v>
      </c>
      <c r="BT177" s="1"/>
      <c r="BU177" s="1"/>
      <c r="BW177" s="39"/>
      <c r="BX177" s="39"/>
    </row>
    <row r="178" spans="2:76" ht="13.5" customHeight="1">
      <c r="B178" s="1" t="s">
        <v>380</v>
      </c>
      <c r="C178" s="28">
        <f t="shared" ref="C178:J178" si="972">+C95/C98</f>
        <v>4.4762991567293255</v>
      </c>
      <c r="D178" s="28">
        <f t="shared" si="972"/>
        <v>3.9581427056899274</v>
      </c>
      <c r="E178" s="28">
        <f t="shared" si="972"/>
        <v>4.0046724952120512</v>
      </c>
      <c r="F178" s="28">
        <f t="shared" si="972"/>
        <v>3.8226180042569173</v>
      </c>
      <c r="G178" s="28">
        <f t="shared" si="972"/>
        <v>3.3579567487487201</v>
      </c>
      <c r="H178" s="28">
        <f t="shared" si="972"/>
        <v>2.3357743604327768</v>
      </c>
      <c r="I178" s="28">
        <f t="shared" si="972"/>
        <v>3.6244361154732632</v>
      </c>
      <c r="J178" s="28">
        <f t="shared" si="972"/>
        <v>4.6292514592787901</v>
      </c>
      <c r="K178" s="28">
        <f t="shared" ref="K178" si="973">+K95/K98</f>
        <v>4.0261559765905899</v>
      </c>
      <c r="L178" s="28">
        <f t="shared" ref="L178:M178" si="974">+L95/L98</f>
        <v>2.3613664398120782</v>
      </c>
      <c r="M178" s="28">
        <f t="shared" si="974"/>
        <v>2.4166187102403511</v>
      </c>
      <c r="N178" s="28">
        <f t="shared" ref="N178" si="975">+N95/N98</f>
        <v>2.6276038608406012</v>
      </c>
      <c r="O178" s="28">
        <f t="shared" ref="O178:P178" si="976">+O95/O98</f>
        <v>1.5112458190590463</v>
      </c>
      <c r="P178" s="28">
        <f t="shared" si="976"/>
        <v>1.5112114120256048</v>
      </c>
      <c r="Q178" s="28">
        <f t="shared" ref="Q178" si="977">+Q95/Q98</f>
        <v>1.2340200238197836</v>
      </c>
      <c r="R178" s="28">
        <f t="shared" ref="R178" si="978">+R95/R98</f>
        <v>1.2355673402062963</v>
      </c>
      <c r="S178" s="28"/>
      <c r="T178" s="28"/>
      <c r="U178" s="28"/>
      <c r="V178" s="28"/>
      <c r="W178" s="28">
        <f t="shared" ref="W178:AR178" si="979">+W95/W98</f>
        <v>4.0046724952120512</v>
      </c>
      <c r="X178" s="28">
        <f t="shared" si="979"/>
        <v>4.3527095795230304</v>
      </c>
      <c r="Y178" s="28">
        <f t="shared" si="979"/>
        <v>4.3769459210712389</v>
      </c>
      <c r="Z178" s="28">
        <f t="shared" si="979"/>
        <v>4.0270036408243177</v>
      </c>
      <c r="AA178" s="28">
        <f t="shared" si="979"/>
        <v>3.8226180042569173</v>
      </c>
      <c r="AB178" s="28">
        <f t="shared" si="979"/>
        <v>3.4166279323054867</v>
      </c>
      <c r="AC178" s="28">
        <f t="shared" si="979"/>
        <v>3.1514742824510722</v>
      </c>
      <c r="AD178" s="28">
        <f t="shared" si="979"/>
        <v>3.1491437755460012</v>
      </c>
      <c r="AE178" s="28">
        <f t="shared" si="979"/>
        <v>3.3579567487487201</v>
      </c>
      <c r="AF178" s="28">
        <f t="shared" si="979"/>
        <v>3.0987529434480208</v>
      </c>
      <c r="AG178" s="28">
        <f t="shared" si="979"/>
        <v>7.7950017330193972</v>
      </c>
      <c r="AH178" s="28">
        <f t="shared" si="979"/>
        <v>2.7116408468515187</v>
      </c>
      <c r="AI178" s="28">
        <f t="shared" si="979"/>
        <v>2.3357743604327763</v>
      </c>
      <c r="AJ178" s="28">
        <f t="shared" si="979"/>
        <v>2.2857636857116868</v>
      </c>
      <c r="AK178" s="28">
        <f t="shared" si="979"/>
        <v>1.5399576413353464</v>
      </c>
      <c r="AL178" s="28">
        <f t="shared" si="979"/>
        <v>14.524333103849317</v>
      </c>
      <c r="AM178" s="28">
        <f t="shared" si="979"/>
        <v>3.6244361154732636</v>
      </c>
      <c r="AN178" s="28">
        <f t="shared" si="979"/>
        <v>4.9232897790823227</v>
      </c>
      <c r="AO178" s="28">
        <f t="shared" si="979"/>
        <v>5.5297822429960952</v>
      </c>
      <c r="AP178" s="28">
        <f t="shared" si="979"/>
        <v>2.6650695616185418</v>
      </c>
      <c r="AQ178" s="28">
        <f t="shared" si="979"/>
        <v>4.6292514592787901</v>
      </c>
      <c r="AR178" s="28">
        <f t="shared" si="979"/>
        <v>5.1146995456932078</v>
      </c>
      <c r="AS178" s="28">
        <f t="shared" ref="AS178:AV178" si="980">+AS95/AS98</f>
        <v>4.0439392313732112</v>
      </c>
      <c r="AT178" s="28">
        <f t="shared" si="980"/>
        <v>4.0390416838803747</v>
      </c>
      <c r="AU178" s="28">
        <f t="shared" si="980"/>
        <v>4.0261559765905899</v>
      </c>
      <c r="AV178" s="28">
        <f t="shared" si="980"/>
        <v>3.1937723340390334</v>
      </c>
      <c r="AW178" s="28">
        <f t="shared" ref="AW178:AZ178" si="981">+AW95/AW98</f>
        <v>3.6290876978692745</v>
      </c>
      <c r="AX178" s="28">
        <f t="shared" si="981"/>
        <v>3.3562253649675857</v>
      </c>
      <c r="AY178" s="28">
        <f t="shared" si="981"/>
        <v>2.4166187102403511</v>
      </c>
      <c r="AZ178" s="28">
        <f t="shared" si="981"/>
        <v>2.2492845817978755</v>
      </c>
      <c r="BA178" s="28">
        <f t="shared" ref="BA178:BD178" si="982">+BA95/BA98</f>
        <v>2.1240872415562877</v>
      </c>
      <c r="BB178" s="28">
        <f t="shared" si="982"/>
        <v>1.4490980468833008</v>
      </c>
      <c r="BC178" s="28">
        <f t="shared" si="982"/>
        <v>1.5112458190590463</v>
      </c>
      <c r="BD178" s="28">
        <f t="shared" si="982"/>
        <v>1.3122409315727592</v>
      </c>
      <c r="BE178" s="28">
        <f t="shared" ref="BE178:BH178" si="983">+BE95/BE98</f>
        <v>1.2261236832600113</v>
      </c>
      <c r="BF178" s="28">
        <f t="shared" si="983"/>
        <v>1.2552306433495544</v>
      </c>
      <c r="BG178" s="28">
        <f t="shared" si="983"/>
        <v>1.2340200238197838</v>
      </c>
      <c r="BH178" s="28">
        <f t="shared" si="983"/>
        <v>1.2355673402062963</v>
      </c>
      <c r="BJ178" s="28">
        <f t="shared" ref="BJ178:BL178" si="984">+BJ95/BJ98</f>
        <v>2.6908599243459501</v>
      </c>
      <c r="BK178" s="28">
        <f t="shared" si="984"/>
        <v>3.2628569664011549</v>
      </c>
      <c r="BL178" s="28">
        <f t="shared" si="984"/>
        <v>2.3726623480040763</v>
      </c>
      <c r="BM178" s="28">
        <f t="shared" ref="BM178" si="985">+BM95/BM98</f>
        <v>2.6276038608406012</v>
      </c>
      <c r="BN178" s="28">
        <f t="shared" ref="BN178:BQ178" si="986">+BN95/BN98</f>
        <v>2.5799072338103244</v>
      </c>
      <c r="BO178" s="28">
        <f t="shared" si="986"/>
        <v>2.3174222247895182</v>
      </c>
      <c r="BP178" s="28">
        <f t="shared" si="986"/>
        <v>1.9496699485502016</v>
      </c>
      <c r="BQ178" s="28">
        <f t="shared" si="986"/>
        <v>1.5112114120256048</v>
      </c>
      <c r="BR178" s="28">
        <f t="shared" ref="BR178" si="987">+BR95/BR98</f>
        <v>1.30314681254369</v>
      </c>
      <c r="BW178" s="39"/>
      <c r="BX178" s="39"/>
    </row>
    <row r="179" spans="2:76" ht="13.5" customHeight="1"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Z179" s="9"/>
      <c r="BA179" s="9"/>
      <c r="BB179" s="9"/>
      <c r="BD179" s="9"/>
      <c r="BE179" s="9"/>
      <c r="BF179" s="9"/>
      <c r="BH179" s="9"/>
      <c r="BJ179" s="9"/>
      <c r="BK179" s="9"/>
      <c r="BL179" s="9"/>
      <c r="BM179" s="9"/>
      <c r="BN179" s="9"/>
      <c r="BO179" s="9"/>
      <c r="BP179" s="9"/>
      <c r="BQ179" s="9"/>
      <c r="BR179" s="9"/>
      <c r="BW179" s="39"/>
      <c r="BX179" s="39"/>
    </row>
    <row r="180" spans="2:76" ht="13.5" customHeight="1">
      <c r="B180" s="1" t="s">
        <v>381</v>
      </c>
      <c r="C180" s="122">
        <f t="shared" ref="C180:J180" si="988">C101/C151</f>
        <v>7.2736018109882838E-2</v>
      </c>
      <c r="D180" s="122">
        <f t="shared" si="988"/>
        <v>0.14994586248615391</v>
      </c>
      <c r="E180" s="122">
        <f t="shared" si="988"/>
        <v>-0.10724258883894271</v>
      </c>
      <c r="F180" s="122">
        <f t="shared" si="988"/>
        <v>-0.32881587002324758</v>
      </c>
      <c r="G180" s="122">
        <f t="shared" si="988"/>
        <v>-0.25704262868302513</v>
      </c>
      <c r="H180" s="122">
        <f t="shared" si="988"/>
        <v>-0.10800812136147543</v>
      </c>
      <c r="I180" s="122">
        <f t="shared" si="988"/>
        <v>0.31085153228745382</v>
      </c>
      <c r="J180" s="122">
        <f t="shared" si="988"/>
        <v>-0.77445444596735602</v>
      </c>
      <c r="K180" s="122">
        <f t="shared" ref="K180" si="989">K101/K151</f>
        <v>-0.35065323231441115</v>
      </c>
      <c r="L180" s="122">
        <f t="shared" ref="L180:M180" si="990">L101/L151</f>
        <v>7.5237278115623363E-2</v>
      </c>
      <c r="M180" s="122">
        <f t="shared" si="990"/>
        <v>-0.17589034232295553</v>
      </c>
      <c r="N180" s="122">
        <f t="shared" ref="N180" si="991">N101/N151</f>
        <v>-0.16055918163937999</v>
      </c>
      <c r="O180" s="122">
        <f t="shared" ref="O180:P180" si="992">O101/O151</f>
        <v>1.2676237465458139E-2</v>
      </c>
      <c r="P180" s="122">
        <f t="shared" si="992"/>
        <v>1.3965931543328515E-2</v>
      </c>
      <c r="Q180" s="122">
        <f t="shared" ref="Q180" si="993">Q101/Q151</f>
        <v>-0.13911602128521477</v>
      </c>
      <c r="R180" s="122">
        <f t="shared" ref="R180" si="994">R101/R151</f>
        <v>-0.14224075938601577</v>
      </c>
      <c r="S180" s="99"/>
      <c r="T180" s="122"/>
      <c r="U180" s="99"/>
      <c r="V180" s="99"/>
      <c r="W180" s="122">
        <f t="shared" ref="W180:AR180" si="995">W101/W151</f>
        <v>-0.10724258883894271</v>
      </c>
      <c r="X180" s="122">
        <f t="shared" si="995"/>
        <v>-0.32876326668336536</v>
      </c>
      <c r="Y180" s="122">
        <f t="shared" si="995"/>
        <v>-0.40449170937530871</v>
      </c>
      <c r="Z180" s="122">
        <f t="shared" si="995"/>
        <v>-0.47609869753256157</v>
      </c>
      <c r="AA180" s="122">
        <f t="shared" si="995"/>
        <v>-0.32881587002324758</v>
      </c>
      <c r="AB180" s="122">
        <f t="shared" si="995"/>
        <v>-0.22916130368214532</v>
      </c>
      <c r="AC180" s="122">
        <f t="shared" si="995"/>
        <v>-0.25479070320995839</v>
      </c>
      <c r="AD180" s="122">
        <f t="shared" si="995"/>
        <v>-0.38089126694543429</v>
      </c>
      <c r="AE180" s="122">
        <f t="shared" si="995"/>
        <v>-0.25704262868302513</v>
      </c>
      <c r="AF180" s="122">
        <f t="shared" si="995"/>
        <v>-0.21246972620185473</v>
      </c>
      <c r="AG180" s="122">
        <f t="shared" si="995"/>
        <v>-1.1373092926483932E-4</v>
      </c>
      <c r="AH180" s="122">
        <f t="shared" si="995"/>
        <v>9.0956243479191397E-3</v>
      </c>
      <c r="AI180" s="122">
        <f t="shared" si="995"/>
        <v>-0.10800812136147542</v>
      </c>
      <c r="AJ180" s="122">
        <f t="shared" si="995"/>
        <v>-5.1292643847496107E-2</v>
      </c>
      <c r="AK180" s="122">
        <f t="shared" si="995"/>
        <v>0.22865617770931129</v>
      </c>
      <c r="AL180" s="122">
        <f t="shared" si="995"/>
        <v>0.7766937261313327</v>
      </c>
      <c r="AM180" s="122">
        <f t="shared" si="995"/>
        <v>0.31085153228745377</v>
      </c>
      <c r="AN180" s="122">
        <f t="shared" si="995"/>
        <v>-0.17576728497856128</v>
      </c>
      <c r="AO180" s="122">
        <f t="shared" si="995"/>
        <v>-0.67653379905881039</v>
      </c>
      <c r="AP180" s="122">
        <f t="shared" si="995"/>
        <v>-0.74239573812536297</v>
      </c>
      <c r="AQ180" s="122">
        <f t="shared" si="995"/>
        <v>-0.77445444596735591</v>
      </c>
      <c r="AR180" s="122">
        <f t="shared" si="995"/>
        <v>-0.58747620319462901</v>
      </c>
      <c r="AS180" s="122">
        <f t="shared" ref="AS180:AV180" si="996">AS101/AS151</f>
        <v>-0.49912010471607487</v>
      </c>
      <c r="AT180" s="122">
        <f t="shared" si="996"/>
        <v>-0.4769271505278348</v>
      </c>
      <c r="AU180" s="122">
        <f t="shared" si="996"/>
        <v>-0.35065323231441109</v>
      </c>
      <c r="AV180" s="122">
        <f t="shared" si="996"/>
        <v>-0.4440519756179766</v>
      </c>
      <c r="AW180" s="122">
        <f t="shared" ref="AW180:AZ180" si="997">AW101/AW151</f>
        <v>-0.49109939760132498</v>
      </c>
      <c r="AX180" s="122">
        <f t="shared" si="997"/>
        <v>-0.54671510217714825</v>
      </c>
      <c r="AY180" s="122">
        <f t="shared" si="997"/>
        <v>-0.17589034232295545</v>
      </c>
      <c r="AZ180" s="122">
        <f t="shared" si="997"/>
        <v>-1.0185250633654429E-2</v>
      </c>
      <c r="BA180" s="122">
        <f t="shared" ref="BA180:BD180" si="998">BA101/BA151</f>
        <v>8.5062631709823866E-2</v>
      </c>
      <c r="BB180" s="122">
        <f t="shared" si="998"/>
        <v>-1.3853392109329336E-2</v>
      </c>
      <c r="BC180" s="122">
        <f t="shared" si="998"/>
        <v>1.2676237465458078E-2</v>
      </c>
      <c r="BD180" s="122">
        <f t="shared" si="998"/>
        <v>-0.1332707244961587</v>
      </c>
      <c r="BE180" s="122">
        <f t="shared" ref="BE180:BH180" si="999">BE101/BE151</f>
        <v>-0.2329594054195451</v>
      </c>
      <c r="BF180" s="122">
        <f t="shared" si="999"/>
        <v>-0.12503411097439901</v>
      </c>
      <c r="BG180" s="122">
        <f t="shared" si="999"/>
        <v>-0.13911602128521477</v>
      </c>
      <c r="BH180" s="122">
        <f t="shared" si="999"/>
        <v>-0.14224075938601577</v>
      </c>
      <c r="BJ180" s="122">
        <f t="shared" ref="BJ180:BL180" si="1000">BJ101/BJ151</f>
        <v>-1.0663450310817018</v>
      </c>
      <c r="BK180" s="122">
        <f t="shared" si="1000"/>
        <v>-0.90304090475908305</v>
      </c>
      <c r="BL180" s="122">
        <f t="shared" si="1000"/>
        <v>-0.36433071967444558</v>
      </c>
      <c r="BM180" s="122">
        <f t="shared" ref="BM180" si="1001">BM101/BM151</f>
        <v>0.18960458820126228</v>
      </c>
      <c r="BN180" s="122">
        <f t="shared" ref="BN180:BQ180" si="1002">BN101/BN151</f>
        <v>-5.8565033159528351E-2</v>
      </c>
      <c r="BO180" s="122">
        <f t="shared" si="1002"/>
        <v>5.625673127344316E-3</v>
      </c>
      <c r="BP180" s="122">
        <f t="shared" si="1002"/>
        <v>-0.23169535802440575</v>
      </c>
      <c r="BQ180" s="122">
        <f t="shared" si="1002"/>
        <v>-2.907125417465271E-2</v>
      </c>
      <c r="BR180" s="122">
        <f t="shared" ref="BR180" si="1003">BR101/BR151</f>
        <v>-0.17807158882103166</v>
      </c>
      <c r="BW180" s="39"/>
      <c r="BX180" s="39"/>
    </row>
    <row r="181" spans="2:76" s="5" customFormat="1" ht="13.5" customHeight="1">
      <c r="B181" s="5" t="s">
        <v>382</v>
      </c>
      <c r="C181" s="80">
        <f t="shared" ref="C181:AH181" si="1004">C151/C162</f>
        <v>0.71463805880740161</v>
      </c>
      <c r="D181" s="80">
        <f t="shared" si="1004"/>
        <v>0.70337075479748334</v>
      </c>
      <c r="E181" s="80">
        <f t="shared" si="1004"/>
        <v>0.53561291661344335</v>
      </c>
      <c r="F181" s="80">
        <f t="shared" si="1004"/>
        <v>0.6930846901632477</v>
      </c>
      <c r="G181" s="80">
        <f t="shared" si="1004"/>
        <v>0.8039111529861559</v>
      </c>
      <c r="H181" s="80">
        <f t="shared" ref="H181:J181" si="1005">H151/H162</f>
        <v>0.81686892042955728</v>
      </c>
      <c r="I181" s="80">
        <f t="shared" si="1005"/>
        <v>0.22083521218716004</v>
      </c>
      <c r="J181" s="80">
        <f t="shared" si="1005"/>
        <v>0.7866950301861082</v>
      </c>
      <c r="K181" s="80">
        <f t="shared" ref="K181" si="1006">K151/K162</f>
        <v>0.9898083722673624</v>
      </c>
      <c r="L181" s="80">
        <f t="shared" ref="L181:M181" si="1007">L151/L162</f>
        <v>0.76396825880897135</v>
      </c>
      <c r="M181" s="80">
        <f t="shared" si="1007"/>
        <v>0.95577769741887719</v>
      </c>
      <c r="N181" s="80">
        <f t="shared" ref="N181" si="1008">N151/N162</f>
        <v>0.89178621923373491</v>
      </c>
      <c r="O181" s="80">
        <f t="shared" ref="O181:P181" si="1009">O151/O162</f>
        <v>0.97852732797029918</v>
      </c>
      <c r="P181" s="80">
        <f t="shared" si="1009"/>
        <v>1.5210271909046509</v>
      </c>
      <c r="Q181" s="80">
        <f t="shared" ref="Q181" si="1010">Q151/Q162</f>
        <v>1.9648496196299083</v>
      </c>
      <c r="R181" s="80">
        <f t="shared" ref="R181" si="1011">R151/R162</f>
        <v>2.3272532539524722</v>
      </c>
      <c r="S181" s="204"/>
      <c r="T181" s="80">
        <f t="shared" si="1004"/>
        <v>0.67468866631826241</v>
      </c>
      <c r="U181" s="81">
        <f t="shared" si="1004"/>
        <v>0.55106882377157462</v>
      </c>
      <c r="V181" s="81">
        <f t="shared" si="1004"/>
        <v>0.47111318331501773</v>
      </c>
      <c r="W181" s="80">
        <f t="shared" si="1004"/>
        <v>0.53561291661344335</v>
      </c>
      <c r="X181" s="80">
        <f t="shared" si="1004"/>
        <v>0.63861144238709078</v>
      </c>
      <c r="Y181" s="80">
        <f t="shared" si="1004"/>
        <v>0.7648180391367807</v>
      </c>
      <c r="Z181" s="80">
        <f t="shared" si="1004"/>
        <v>0.76390583232105613</v>
      </c>
      <c r="AA181" s="80">
        <f t="shared" si="1004"/>
        <v>0.6930846901632477</v>
      </c>
      <c r="AB181" s="80">
        <f t="shared" si="1004"/>
        <v>0.83193488138711569</v>
      </c>
      <c r="AC181" s="80">
        <f t="shared" si="1004"/>
        <v>0.89888604871143007</v>
      </c>
      <c r="AD181" s="80">
        <f t="shared" si="1004"/>
        <v>0.81074229913597018</v>
      </c>
      <c r="AE181" s="80">
        <f t="shared" si="1004"/>
        <v>0.8039111529861559</v>
      </c>
      <c r="AF181" s="80">
        <f t="shared" si="1004"/>
        <v>0.84008581796900128</v>
      </c>
      <c r="AG181" s="80">
        <f t="shared" si="1004"/>
        <v>0.90466323538734017</v>
      </c>
      <c r="AH181" s="80">
        <f t="shared" si="1004"/>
        <v>0.91462468091354976</v>
      </c>
      <c r="AI181" s="80">
        <f t="shared" ref="AI181:AN181" si="1012">AI151/AI162</f>
        <v>0.81686892042955728</v>
      </c>
      <c r="AJ181" s="80">
        <f t="shared" si="1012"/>
        <v>0.82672543171222901</v>
      </c>
      <c r="AK181" s="80">
        <f t="shared" si="1012"/>
        <v>0.61018834114346843</v>
      </c>
      <c r="AL181" s="80">
        <f t="shared" si="1012"/>
        <v>0.41580043561511987</v>
      </c>
      <c r="AM181" s="80">
        <f t="shared" si="1012"/>
        <v>0.22083521218716004</v>
      </c>
      <c r="AN181" s="80">
        <f t="shared" si="1012"/>
        <v>0.6263487199285932</v>
      </c>
      <c r="AO181" s="80">
        <f t="shared" ref="AO181:AT181" si="1013">AO151/AO162</f>
        <v>0.90606961296987432</v>
      </c>
      <c r="AP181" s="80">
        <f t="shared" si="1013"/>
        <v>0.87738855623243661</v>
      </c>
      <c r="AQ181" s="80">
        <f>AQ151/AQ162</f>
        <v>0.7866950301861082</v>
      </c>
      <c r="AR181" s="80">
        <f t="shared" si="1013"/>
        <v>1.0016887547433091</v>
      </c>
      <c r="AS181" s="80">
        <f t="shared" si="1013"/>
        <v>1.2014759727376529</v>
      </c>
      <c r="AT181" s="80">
        <f t="shared" si="1013"/>
        <v>1.1171657821895788</v>
      </c>
      <c r="AU181" s="80">
        <f>AU151/AU162</f>
        <v>0.9898083722673624</v>
      </c>
      <c r="AV181" s="80">
        <f t="shared" ref="AV181:AX181" si="1014">AV151/AV162</f>
        <v>1.1885265048291487</v>
      </c>
      <c r="AW181" s="80">
        <f t="shared" si="1014"/>
        <v>1.0490872163049383</v>
      </c>
      <c r="AX181" s="80">
        <f t="shared" si="1014"/>
        <v>1.3300435899813081</v>
      </c>
      <c r="AY181" s="80">
        <f t="shared" ref="AY181:BB181" si="1015">AY151/AY162</f>
        <v>0.95577769741887719</v>
      </c>
      <c r="AZ181" s="80">
        <f t="shared" si="1015"/>
        <v>2.4832480826685921</v>
      </c>
      <c r="BA181" s="80">
        <f t="shared" si="1015"/>
        <v>2.5117229371645418</v>
      </c>
      <c r="BB181" s="80">
        <f t="shared" si="1015"/>
        <v>2.9278836884586124</v>
      </c>
      <c r="BC181" s="80">
        <f t="shared" ref="BC181:BF181" si="1016">BC151/BC162</f>
        <v>0.97852732797029918</v>
      </c>
      <c r="BD181" s="80">
        <f t="shared" si="1016"/>
        <v>1.5684581954257379</v>
      </c>
      <c r="BE181" s="80">
        <f t="shared" si="1016"/>
        <v>1.7866931075164552</v>
      </c>
      <c r="BF181" s="80">
        <f t="shared" si="1016"/>
        <v>2.1781369888757136</v>
      </c>
      <c r="BG181" s="80">
        <f t="shared" ref="BG181:BH181" si="1017">BG151/BG162</f>
        <v>1.9648496196299083</v>
      </c>
      <c r="BH181" s="80">
        <f t="shared" si="1017"/>
        <v>2.3272532539524722</v>
      </c>
      <c r="BJ181" s="80">
        <f t="shared" ref="BJ181:BL181" si="1018">BJ151/BJ162</f>
        <v>0.41923531491419874</v>
      </c>
      <c r="BK181" s="80">
        <f t="shared" si="1018"/>
        <v>0.44664965445074667</v>
      </c>
      <c r="BL181" s="80">
        <f t="shared" si="1018"/>
        <v>0.78530887768685376</v>
      </c>
      <c r="BM181" s="80">
        <f t="shared" ref="BM181" si="1019">BM151/BM162</f>
        <v>-0.75517405415029903</v>
      </c>
      <c r="BN181" s="80">
        <f t="shared" ref="BN181:BQ181" si="1020">BN151/BN162</f>
        <v>2.4832480826685921</v>
      </c>
      <c r="BO181" s="80">
        <f t="shared" si="1020"/>
        <v>2.5117229371645418</v>
      </c>
      <c r="BP181" s="80">
        <f t="shared" si="1020"/>
        <v>2.9278836884586124</v>
      </c>
      <c r="BQ181" s="80">
        <f t="shared" si="1020"/>
        <v>-0.5582503490726598</v>
      </c>
      <c r="BR181" s="80">
        <f t="shared" ref="BR181" si="1021">BR151/BR162</f>
        <v>1.5684581954257379</v>
      </c>
      <c r="BT181" s="1"/>
      <c r="BU181" s="1"/>
      <c r="BW181" s="39"/>
      <c r="BX181" s="39"/>
    </row>
    <row r="182" spans="2:76" s="5" customFormat="1" ht="13.5" customHeight="1">
      <c r="C182" s="80"/>
      <c r="D182" s="80"/>
      <c r="E182" s="80"/>
      <c r="F182" s="80"/>
      <c r="G182" s="80"/>
      <c r="H182" s="80"/>
      <c r="I182" s="80"/>
      <c r="J182" s="80"/>
      <c r="K182" s="80"/>
      <c r="L182" s="80"/>
      <c r="M182" s="80"/>
      <c r="N182" s="80"/>
      <c r="O182" s="80"/>
      <c r="P182" s="80"/>
      <c r="Q182" s="80"/>
      <c r="R182" s="80"/>
      <c r="S182" s="204"/>
      <c r="T182" s="80"/>
      <c r="U182" s="81"/>
      <c r="V182" s="81"/>
      <c r="W182" s="80"/>
      <c r="X182" s="80"/>
      <c r="Y182" s="80"/>
      <c r="Z182" s="80"/>
      <c r="AA182" s="80"/>
      <c r="AB182" s="80"/>
      <c r="AC182" s="80"/>
      <c r="AD182" s="80"/>
      <c r="AE182" s="80"/>
      <c r="AF182" s="80"/>
      <c r="AG182" s="80"/>
      <c r="AH182" s="80"/>
      <c r="AI182" s="80"/>
      <c r="AJ182" s="80"/>
      <c r="AK182" s="80"/>
      <c r="AL182" s="80"/>
      <c r="AM182" s="80"/>
      <c r="AN182" s="80"/>
      <c r="AO182" s="80"/>
      <c r="AP182" s="80"/>
      <c r="AQ182" s="80"/>
      <c r="AR182" s="80"/>
      <c r="AS182" s="80"/>
      <c r="AT182" s="80"/>
      <c r="AU182" s="80"/>
      <c r="AV182" s="80"/>
      <c r="AW182" s="80"/>
      <c r="AX182" s="80"/>
      <c r="AZ182" s="80"/>
      <c r="BA182" s="80"/>
      <c r="BB182" s="80"/>
      <c r="BD182" s="80"/>
      <c r="BE182" s="80"/>
      <c r="BF182" s="80"/>
      <c r="BH182" s="80"/>
      <c r="BJ182" s="80"/>
      <c r="BK182" s="80"/>
      <c r="BL182" s="80"/>
      <c r="BM182" s="80"/>
      <c r="BN182" s="80"/>
      <c r="BO182" s="80"/>
      <c r="BP182" s="80"/>
      <c r="BQ182" s="80"/>
      <c r="BR182" s="80"/>
      <c r="BT182" s="1"/>
      <c r="BU182" s="1"/>
      <c r="BW182" s="39"/>
      <c r="BX182" s="39"/>
    </row>
    <row r="183" spans="2:76" ht="13.5" customHeight="1">
      <c r="B183" s="16" t="s">
        <v>383</v>
      </c>
      <c r="C183" s="83">
        <f t="shared" ref="C183:Q183" si="1022">C3</f>
        <v>41975</v>
      </c>
      <c r="D183" s="83">
        <f t="shared" si="1022"/>
        <v>42341</v>
      </c>
      <c r="E183" s="83">
        <f t="shared" si="1022"/>
        <v>42735</v>
      </c>
      <c r="F183" s="83">
        <f t="shared" si="1022"/>
        <v>43100</v>
      </c>
      <c r="G183" s="83">
        <f t="shared" si="1022"/>
        <v>43465</v>
      </c>
      <c r="H183" s="83">
        <f t="shared" si="1022"/>
        <v>43830</v>
      </c>
      <c r="I183" s="83">
        <f t="shared" si="1022"/>
        <v>44196</v>
      </c>
      <c r="J183" s="83">
        <f t="shared" si="1022"/>
        <v>44561</v>
      </c>
      <c r="K183" s="83">
        <f t="shared" si="1022"/>
        <v>44926</v>
      </c>
      <c r="L183" s="83">
        <f t="shared" si="1022"/>
        <v>44926</v>
      </c>
      <c r="M183" s="83">
        <f t="shared" si="1022"/>
        <v>45291</v>
      </c>
      <c r="N183" s="83">
        <f t="shared" si="1022"/>
        <v>45291</v>
      </c>
      <c r="O183" s="83">
        <f t="shared" si="1022"/>
        <v>45657</v>
      </c>
      <c r="P183" s="83">
        <f t="shared" si="1022"/>
        <v>45657</v>
      </c>
      <c r="Q183" s="83">
        <f t="shared" si="1022"/>
        <v>46022</v>
      </c>
      <c r="R183" s="83" t="s">
        <v>241</v>
      </c>
      <c r="S183" s="223"/>
      <c r="T183" s="83">
        <f t="shared" ref="T183:BH183" si="1023">T3</f>
        <v>42437</v>
      </c>
      <c r="U183" s="83">
        <f t="shared" si="1023"/>
        <v>42527</v>
      </c>
      <c r="V183" s="83">
        <f t="shared" si="1023"/>
        <v>42622</v>
      </c>
      <c r="W183" s="83">
        <f t="shared" si="1023"/>
        <v>42714</v>
      </c>
      <c r="X183" s="83">
        <f t="shared" si="1023"/>
        <v>42825</v>
      </c>
      <c r="Y183" s="83">
        <f t="shared" si="1023"/>
        <v>42916</v>
      </c>
      <c r="Z183" s="83">
        <f t="shared" si="1023"/>
        <v>43008</v>
      </c>
      <c r="AA183" s="83">
        <f t="shared" si="1023"/>
        <v>43100</v>
      </c>
      <c r="AB183" s="83">
        <f t="shared" si="1023"/>
        <v>43190</v>
      </c>
      <c r="AC183" s="83">
        <f t="shared" si="1023"/>
        <v>43281</v>
      </c>
      <c r="AD183" s="83">
        <f t="shared" si="1023"/>
        <v>43373</v>
      </c>
      <c r="AE183" s="83">
        <f t="shared" si="1023"/>
        <v>43465</v>
      </c>
      <c r="AF183" s="83">
        <f t="shared" si="1023"/>
        <v>43555</v>
      </c>
      <c r="AG183" s="83">
        <f t="shared" si="1023"/>
        <v>43646</v>
      </c>
      <c r="AH183" s="83">
        <f t="shared" si="1023"/>
        <v>43738</v>
      </c>
      <c r="AI183" s="83">
        <f t="shared" si="1023"/>
        <v>43830</v>
      </c>
      <c r="AJ183" s="83">
        <f t="shared" si="1023"/>
        <v>43921</v>
      </c>
      <c r="AK183" s="83">
        <f t="shared" si="1023"/>
        <v>44012</v>
      </c>
      <c r="AL183" s="83">
        <f t="shared" si="1023"/>
        <v>44104</v>
      </c>
      <c r="AM183" s="83">
        <f t="shared" si="1023"/>
        <v>44196</v>
      </c>
      <c r="AN183" s="83">
        <f t="shared" si="1023"/>
        <v>44286</v>
      </c>
      <c r="AO183" s="83">
        <f t="shared" si="1023"/>
        <v>44377</v>
      </c>
      <c r="AP183" s="83">
        <f t="shared" si="1023"/>
        <v>44469</v>
      </c>
      <c r="AQ183" s="83">
        <f t="shared" si="1023"/>
        <v>44561</v>
      </c>
      <c r="AR183" s="83">
        <f t="shared" si="1023"/>
        <v>44651</v>
      </c>
      <c r="AS183" s="83">
        <f t="shared" si="1023"/>
        <v>44742</v>
      </c>
      <c r="AT183" s="83">
        <f t="shared" si="1023"/>
        <v>44834</v>
      </c>
      <c r="AU183" s="83">
        <f t="shared" si="1023"/>
        <v>44926</v>
      </c>
      <c r="AV183" s="83">
        <f t="shared" si="1023"/>
        <v>45016</v>
      </c>
      <c r="AW183" s="83">
        <f t="shared" si="1023"/>
        <v>45107</v>
      </c>
      <c r="AX183" s="83">
        <f t="shared" si="1023"/>
        <v>45199</v>
      </c>
      <c r="AY183" s="83">
        <f t="shared" si="1023"/>
        <v>45291</v>
      </c>
      <c r="AZ183" s="83">
        <f t="shared" si="1023"/>
        <v>45382</v>
      </c>
      <c r="BA183" s="83">
        <f t="shared" si="1023"/>
        <v>45473</v>
      </c>
      <c r="BB183" s="83">
        <f t="shared" si="1023"/>
        <v>45565</v>
      </c>
      <c r="BC183" s="83">
        <f t="shared" si="1023"/>
        <v>45657</v>
      </c>
      <c r="BD183" s="83">
        <f t="shared" si="1023"/>
        <v>45747</v>
      </c>
      <c r="BE183" s="83">
        <f t="shared" si="1023"/>
        <v>45838</v>
      </c>
      <c r="BF183" s="83">
        <f t="shared" si="1023"/>
        <v>45930</v>
      </c>
      <c r="BG183" s="83">
        <f t="shared" si="1023"/>
        <v>46022</v>
      </c>
      <c r="BH183" s="83">
        <f t="shared" si="1023"/>
        <v>46112</v>
      </c>
      <c r="BJ183" s="83">
        <f t="shared" ref="BJ183:BR183" si="1024">BJ3</f>
        <v>45016</v>
      </c>
      <c r="BK183" s="83">
        <f t="shared" si="1024"/>
        <v>45107</v>
      </c>
      <c r="BL183" s="83">
        <f t="shared" si="1024"/>
        <v>45199</v>
      </c>
      <c r="BM183" s="83">
        <f t="shared" si="1024"/>
        <v>45291</v>
      </c>
      <c r="BN183" s="83">
        <f t="shared" si="1024"/>
        <v>45382</v>
      </c>
      <c r="BO183" s="83">
        <f t="shared" si="1024"/>
        <v>45473</v>
      </c>
      <c r="BP183" s="83">
        <f t="shared" si="1024"/>
        <v>45565</v>
      </c>
      <c r="BQ183" s="83">
        <f t="shared" si="1024"/>
        <v>45657</v>
      </c>
      <c r="BR183" s="83">
        <f t="shared" si="1024"/>
        <v>45747</v>
      </c>
      <c r="BW183" s="39"/>
      <c r="BX183" s="39"/>
    </row>
    <row r="184" spans="2:76" ht="13.5" customHeight="1">
      <c r="B184" s="1" t="str">
        <f t="shared" ref="B184:J184" si="1025">B91</f>
        <v>Revenues</v>
      </c>
      <c r="C184" s="23">
        <f t="shared" si="1025"/>
        <v>12514.032999999999</v>
      </c>
      <c r="D184" s="23">
        <f t="shared" si="1025"/>
        <v>14166.1</v>
      </c>
      <c r="E184" s="112">
        <f t="shared" si="1025"/>
        <v>16096.172</v>
      </c>
      <c r="F184" s="112">
        <f t="shared" si="1025"/>
        <v>20840.613000000001</v>
      </c>
      <c r="G184" s="112">
        <f t="shared" si="1025"/>
        <v>26904.383999999998</v>
      </c>
      <c r="H184" s="112">
        <f t="shared" si="1025"/>
        <v>31941.773000000001</v>
      </c>
      <c r="I184" s="112">
        <f t="shared" si="1025"/>
        <v>40872.483</v>
      </c>
      <c r="J184" s="112">
        <f t="shared" si="1025"/>
        <v>68184.437000000005</v>
      </c>
      <c r="K184" s="112">
        <f t="shared" ref="K184" si="1026">K91</f>
        <v>133915.508</v>
      </c>
      <c r="L184" s="112">
        <f t="shared" ref="L184:M184" si="1027">L91</f>
        <v>257172.03</v>
      </c>
      <c r="M184" s="112">
        <f t="shared" si="1027"/>
        <v>257103.739</v>
      </c>
      <c r="N184" s="112">
        <f t="shared" ref="N184" si="1028">N91</f>
        <v>371203.26799999998</v>
      </c>
      <c r="O184" s="112">
        <f t="shared" ref="O184:P184" si="1029">O91</f>
        <v>428548.223</v>
      </c>
      <c r="P184" s="112">
        <f t="shared" si="1029"/>
        <v>560936.75399999996</v>
      </c>
      <c r="Q184" s="112">
        <f t="shared" ref="Q184" si="1030">Q91</f>
        <v>523933.321</v>
      </c>
      <c r="R184" s="112">
        <f>R91</f>
        <v>545087.35899999994</v>
      </c>
      <c r="S184" s="112"/>
      <c r="T184" s="112"/>
      <c r="U184" s="112"/>
      <c r="V184" s="112"/>
      <c r="W184" s="112">
        <f t="shared" ref="W184:AR184" si="1031">W91</f>
        <v>16096.172</v>
      </c>
      <c r="X184" s="112">
        <f t="shared" si="1031"/>
        <v>17202.976999999999</v>
      </c>
      <c r="Y184" s="112">
        <f t="shared" si="1031"/>
        <v>18304.498</v>
      </c>
      <c r="Z184" s="112">
        <f t="shared" si="1031"/>
        <v>19660.87</v>
      </c>
      <c r="AA184" s="112">
        <f t="shared" si="1031"/>
        <v>20840.613000000001</v>
      </c>
      <c r="AB184" s="112">
        <f t="shared" si="1031"/>
        <v>21488.577000000001</v>
      </c>
      <c r="AC184" s="112">
        <f t="shared" si="1031"/>
        <v>22939.393000000004</v>
      </c>
      <c r="AD184" s="112">
        <f t="shared" si="1031"/>
        <v>25195.794000000002</v>
      </c>
      <c r="AE184" s="112">
        <f t="shared" si="1031"/>
        <v>26904.383999999998</v>
      </c>
      <c r="AF184" s="112">
        <f t="shared" si="1031"/>
        <v>28524.322999999997</v>
      </c>
      <c r="AG184" s="112">
        <f t="shared" si="1031"/>
        <v>30440.03</v>
      </c>
      <c r="AH184" s="112">
        <f t="shared" si="1031"/>
        <v>30989.97</v>
      </c>
      <c r="AI184" s="112">
        <f t="shared" si="1031"/>
        <v>31941.773000000001</v>
      </c>
      <c r="AJ184" s="112">
        <f t="shared" si="1031"/>
        <v>32807.144</v>
      </c>
      <c r="AK184" s="112">
        <f t="shared" si="1031"/>
        <v>32211.673000000003</v>
      </c>
      <c r="AL184" s="112">
        <f t="shared" si="1031"/>
        <v>35903.877000000008</v>
      </c>
      <c r="AM184" s="112">
        <f t="shared" si="1031"/>
        <v>40872.483</v>
      </c>
      <c r="AN184" s="112">
        <f t="shared" si="1031"/>
        <v>46088.769</v>
      </c>
      <c r="AO184" s="112">
        <f t="shared" si="1031"/>
        <v>52791.054000000004</v>
      </c>
      <c r="AP184" s="112">
        <f t="shared" si="1031"/>
        <v>59000.579000000005</v>
      </c>
      <c r="AQ184" s="112">
        <f t="shared" si="1031"/>
        <v>68184.437000000005</v>
      </c>
      <c r="AR184" s="112">
        <f t="shared" si="1031"/>
        <v>83365.018000000011</v>
      </c>
      <c r="AS184" s="112">
        <f t="shared" ref="AS184:AV184" si="1032">AS91</f>
        <v>101135.23700000001</v>
      </c>
      <c r="AT184" s="112">
        <f t="shared" si="1032"/>
        <v>117242.15700000001</v>
      </c>
      <c r="AU184" s="112">
        <f t="shared" si="1032"/>
        <v>133915.508</v>
      </c>
      <c r="AV184" s="112">
        <f t="shared" si="1032"/>
        <v>145642.49000000002</v>
      </c>
      <c r="AW184" s="112">
        <f t="shared" ref="AW184:AZ184" si="1033">AW91</f>
        <v>160285.89899999998</v>
      </c>
      <c r="AX184" s="112">
        <f t="shared" si="1033"/>
        <v>184249.182</v>
      </c>
      <c r="AY184" s="112">
        <f t="shared" si="1033"/>
        <v>257103.739</v>
      </c>
      <c r="AZ184" s="112">
        <f t="shared" si="1033"/>
        <v>289477.603</v>
      </c>
      <c r="BA184" s="112">
        <f t="shared" ref="BA184:BD184" si="1034">BA91</f>
        <v>344113.91099999996</v>
      </c>
      <c r="BB184" s="112">
        <f t="shared" si="1034"/>
        <v>391286.77500000002</v>
      </c>
      <c r="BC184" s="112">
        <f t="shared" si="1034"/>
        <v>428548.223</v>
      </c>
      <c r="BD184" s="112">
        <f t="shared" si="1034"/>
        <v>465400.62400000001</v>
      </c>
      <c r="BE184" s="112">
        <f t="shared" ref="BE184:BH184" si="1035">BE91</f>
        <v>485179.826</v>
      </c>
      <c r="BF184" s="112">
        <f t="shared" si="1035"/>
        <v>504234.71700000006</v>
      </c>
      <c r="BG184" s="112">
        <f t="shared" si="1035"/>
        <v>523933.321</v>
      </c>
      <c r="BH184" s="112">
        <f t="shared" si="1035"/>
        <v>545087.35899999994</v>
      </c>
      <c r="BJ184" s="112">
        <f t="shared" ref="BJ184:BL184" si="1036">BJ91</f>
        <v>174720.005</v>
      </c>
      <c r="BK184" s="112">
        <f t="shared" si="1036"/>
        <v>224986.60700000002</v>
      </c>
      <c r="BL184" s="112">
        <f t="shared" si="1036"/>
        <v>283380.77</v>
      </c>
      <c r="BM184" s="112">
        <f t="shared" ref="BM184:BN184" si="1037">BM91</f>
        <v>371203.26799999998</v>
      </c>
      <c r="BN184" s="112">
        <f t="shared" si="1037"/>
        <v>402035.44099999999</v>
      </c>
      <c r="BO184" s="112">
        <f t="shared" ref="BO184:BR184" si="1038">BO91</f>
        <v>456652.52899999998</v>
      </c>
      <c r="BP184" s="112">
        <f t="shared" si="1038"/>
        <v>504483.31799999997</v>
      </c>
      <c r="BQ184" s="112">
        <f t="shared" si="1038"/>
        <v>560936.75399999996</v>
      </c>
      <c r="BR184" s="112">
        <f t="shared" si="1038"/>
        <v>603933.02499999991</v>
      </c>
      <c r="BW184" s="39"/>
      <c r="BX184" s="39"/>
    </row>
    <row r="185" spans="2:76" ht="13.5" customHeight="1">
      <c r="B185" s="1" t="str">
        <f t="shared" ref="B185:J185" si="1039">B95</f>
        <v>Adjusted EBITDA</v>
      </c>
      <c r="C185" s="23">
        <f t="shared" si="1039"/>
        <v>1369</v>
      </c>
      <c r="D185" s="23">
        <f t="shared" si="1039"/>
        <v>1527</v>
      </c>
      <c r="E185" s="112">
        <f t="shared" si="1039"/>
        <v>1769</v>
      </c>
      <c r="F185" s="112">
        <f t="shared" si="1039"/>
        <v>1954</v>
      </c>
      <c r="G185" s="112">
        <f t="shared" si="1039"/>
        <v>2797</v>
      </c>
      <c r="H185" s="112">
        <f t="shared" si="1039"/>
        <v>3351</v>
      </c>
      <c r="I185" s="112">
        <f t="shared" si="1039"/>
        <v>5073</v>
      </c>
      <c r="J185" s="112">
        <f t="shared" si="1039"/>
        <v>6914</v>
      </c>
      <c r="K185" s="112">
        <f t="shared" ref="K185" si="1040">K95</f>
        <v>11903</v>
      </c>
      <c r="L185" s="112">
        <f t="shared" ref="L185:M185" si="1041">L95</f>
        <v>16358</v>
      </c>
      <c r="M185" s="112">
        <f t="shared" si="1041"/>
        <v>20077</v>
      </c>
      <c r="N185" s="112">
        <f t="shared" ref="N185" si="1042">N95</f>
        <v>30586</v>
      </c>
      <c r="O185" s="112">
        <f t="shared" ref="O185:P185" si="1043">O95</f>
        <v>22927</v>
      </c>
      <c r="P185" s="112">
        <f t="shared" si="1043"/>
        <v>30009</v>
      </c>
      <c r="Q185" s="112">
        <f t="shared" ref="Q185" si="1044">Q95</f>
        <v>30685</v>
      </c>
      <c r="R185" s="112">
        <f t="shared" ref="R185" si="1045">R95</f>
        <v>33202</v>
      </c>
      <c r="S185" s="112"/>
      <c r="T185" s="112"/>
      <c r="U185" s="112"/>
      <c r="V185" s="112"/>
      <c r="W185" s="112">
        <f t="shared" ref="W185:AR185" si="1046">W95</f>
        <v>1769</v>
      </c>
      <c r="X185" s="112">
        <f t="shared" si="1046"/>
        <v>1833</v>
      </c>
      <c r="Y185" s="112">
        <f t="shared" si="1046"/>
        <v>1888</v>
      </c>
      <c r="Z185" s="112">
        <f t="shared" si="1046"/>
        <v>1950</v>
      </c>
      <c r="AA185" s="112">
        <f t="shared" si="1046"/>
        <v>1954</v>
      </c>
      <c r="AB185" s="112">
        <f t="shared" si="1046"/>
        <v>1992</v>
      </c>
      <c r="AC185" s="112">
        <f t="shared" si="1046"/>
        <v>2075</v>
      </c>
      <c r="AD185" s="112">
        <f t="shared" si="1046"/>
        <v>2316</v>
      </c>
      <c r="AE185" s="112">
        <f t="shared" si="1046"/>
        <v>2797</v>
      </c>
      <c r="AF185" s="112">
        <f t="shared" si="1046"/>
        <v>2953</v>
      </c>
      <c r="AG185" s="112">
        <f t="shared" si="1046"/>
        <v>3261</v>
      </c>
      <c r="AH185" s="112">
        <f t="shared" si="1046"/>
        <v>3388</v>
      </c>
      <c r="AI185" s="112">
        <f t="shared" si="1046"/>
        <v>3351</v>
      </c>
      <c r="AJ185" s="112">
        <f t="shared" si="1046"/>
        <v>3543</v>
      </c>
      <c r="AK185" s="112">
        <f t="shared" si="1046"/>
        <v>3525</v>
      </c>
      <c r="AL185" s="112">
        <f t="shared" si="1046"/>
        <v>4346</v>
      </c>
      <c r="AM185" s="112">
        <f t="shared" si="1046"/>
        <v>5073</v>
      </c>
      <c r="AN185" s="112">
        <f t="shared" si="1046"/>
        <v>6092</v>
      </c>
      <c r="AO185" s="112">
        <f t="shared" si="1046"/>
        <v>6650</v>
      </c>
      <c r="AP185" s="112">
        <f t="shared" si="1046"/>
        <v>6697</v>
      </c>
      <c r="AQ185" s="112">
        <f t="shared" si="1046"/>
        <v>6914</v>
      </c>
      <c r="AR185" s="112">
        <f t="shared" si="1046"/>
        <v>8017</v>
      </c>
      <c r="AS185" s="112">
        <f t="shared" ref="AS185:AU185" si="1047">AS95</f>
        <v>9008</v>
      </c>
      <c r="AT185" s="112">
        <f t="shared" si="1047"/>
        <v>10158</v>
      </c>
      <c r="AU185" s="112">
        <f t="shared" si="1047"/>
        <v>11903</v>
      </c>
      <c r="AV185" s="112">
        <f t="shared" ref="AV185:AX185" si="1048">AV95</f>
        <v>12601</v>
      </c>
      <c r="AW185" s="112">
        <f t="shared" si="1048"/>
        <v>15230</v>
      </c>
      <c r="AX185" s="112">
        <f t="shared" si="1048"/>
        <v>18754</v>
      </c>
      <c r="AY185" s="112">
        <f t="shared" ref="AY185:BB185" si="1049">AY95</f>
        <v>20077</v>
      </c>
      <c r="AZ185" s="112">
        <f t="shared" si="1049"/>
        <v>22137</v>
      </c>
      <c r="BA185" s="112">
        <f t="shared" si="1049"/>
        <v>22568</v>
      </c>
      <c r="BB185" s="112">
        <f t="shared" si="1049"/>
        <v>19981</v>
      </c>
      <c r="BC185" s="112">
        <f t="shared" ref="BC185:BF185" si="1050">BC95</f>
        <v>22927</v>
      </c>
      <c r="BD185" s="112">
        <f t="shared" si="1050"/>
        <v>22961</v>
      </c>
      <c r="BE185" s="112">
        <f t="shared" si="1050"/>
        <v>24628</v>
      </c>
      <c r="BF185" s="112">
        <f t="shared" si="1050"/>
        <v>29413</v>
      </c>
      <c r="BG185" s="112">
        <f t="shared" ref="BG185:BH185" si="1051">BG95</f>
        <v>30685</v>
      </c>
      <c r="BH185" s="112">
        <f t="shared" si="1051"/>
        <v>33202</v>
      </c>
      <c r="BJ185" s="112">
        <f t="shared" ref="BJ185:BL185" si="1052">BJ95</f>
        <v>13959</v>
      </c>
      <c r="BK185" s="112">
        <f t="shared" si="1052"/>
        <v>20076</v>
      </c>
      <c r="BL185" s="112">
        <f t="shared" si="1052"/>
        <v>24194</v>
      </c>
      <c r="BM185" s="112">
        <f t="shared" ref="BM185:BN185" si="1053">BM95</f>
        <v>30586</v>
      </c>
      <c r="BN185" s="112">
        <f t="shared" si="1053"/>
        <v>33536</v>
      </c>
      <c r="BO185" s="112">
        <f t="shared" ref="BO185:BR185" si="1054">BO95</f>
        <v>31774</v>
      </c>
      <c r="BP185" s="112">
        <f t="shared" si="1054"/>
        <v>30958</v>
      </c>
      <c r="BQ185" s="112">
        <f t="shared" si="1054"/>
        <v>30009</v>
      </c>
      <c r="BR185" s="112">
        <f t="shared" si="1054"/>
        <v>29581</v>
      </c>
      <c r="BW185" s="39"/>
      <c r="BX185" s="39"/>
    </row>
    <row r="186" spans="2:76" ht="13.5" customHeight="1">
      <c r="B186" s="1" t="str">
        <f t="shared" ref="B186:J186" si="1055">B96</f>
        <v>Adjusted EBITDAR</v>
      </c>
      <c r="C186" s="23">
        <f t="shared" si="1055"/>
        <v>1396.576</v>
      </c>
      <c r="D186" s="23">
        <f t="shared" si="1055"/>
        <v>1546.05</v>
      </c>
      <c r="E186" s="112">
        <f t="shared" si="1055"/>
        <v>1791.5070000000001</v>
      </c>
      <c r="F186" s="112">
        <f t="shared" si="1055"/>
        <v>1985.5630000000001</v>
      </c>
      <c r="G186" s="112">
        <f t="shared" si="1055"/>
        <v>2839</v>
      </c>
      <c r="H186" s="112">
        <f t="shared" si="1055"/>
        <v>3351</v>
      </c>
      <c r="I186" s="112">
        <f t="shared" si="1055"/>
        <v>5073</v>
      </c>
      <c r="J186" s="112">
        <f t="shared" si="1055"/>
        <v>6914</v>
      </c>
      <c r="K186" s="112">
        <f t="shared" ref="K186" si="1056">K96</f>
        <v>11903</v>
      </c>
      <c r="L186" s="112">
        <f t="shared" ref="L186:M186" si="1057">L96</f>
        <v>16358</v>
      </c>
      <c r="M186" s="112">
        <f t="shared" si="1057"/>
        <v>20077</v>
      </c>
      <c r="N186" s="112">
        <f t="shared" ref="N186" si="1058">N96</f>
        <v>30586</v>
      </c>
      <c r="O186" s="112">
        <f t="shared" ref="O186:P186" si="1059">O96</f>
        <v>22927</v>
      </c>
      <c r="P186" s="112">
        <f t="shared" si="1059"/>
        <v>30009</v>
      </c>
      <c r="Q186" s="112">
        <f t="shared" ref="Q186" si="1060">Q96</f>
        <v>30685</v>
      </c>
      <c r="R186" s="112">
        <f t="shared" ref="R186" si="1061">R96</f>
        <v>33202</v>
      </c>
      <c r="S186" s="112"/>
      <c r="T186" s="112"/>
      <c r="U186" s="112"/>
      <c r="V186" s="112"/>
      <c r="W186" s="112">
        <f t="shared" ref="W186:AR186" si="1062">W96</f>
        <v>1791.5070000000001</v>
      </c>
      <c r="X186" s="112">
        <f t="shared" si="1062"/>
        <v>1857.7710000000002</v>
      </c>
      <c r="Y186" s="112">
        <f t="shared" si="1062"/>
        <v>1915.0350000000003</v>
      </c>
      <c r="Z186" s="112">
        <f t="shared" si="1062"/>
        <v>1979.2990000000004</v>
      </c>
      <c r="AA186" s="112">
        <f t="shared" si="1062"/>
        <v>1985.5630000000001</v>
      </c>
      <c r="AB186" s="112">
        <f t="shared" si="1062"/>
        <v>2023.5630000000001</v>
      </c>
      <c r="AC186" s="112">
        <f t="shared" si="1062"/>
        <v>2106.5630000000001</v>
      </c>
      <c r="AD186" s="112">
        <f t="shared" si="1062"/>
        <v>2347.5630000000001</v>
      </c>
      <c r="AE186" s="112">
        <f t="shared" si="1062"/>
        <v>2839</v>
      </c>
      <c r="AF186" s="112">
        <f t="shared" si="1062"/>
        <v>2987.10925</v>
      </c>
      <c r="AG186" s="112">
        <f t="shared" si="1062"/>
        <v>3287.2184999999999</v>
      </c>
      <c r="AH186" s="112">
        <f t="shared" si="1062"/>
        <v>3406.3277499999999</v>
      </c>
      <c r="AI186" s="112">
        <f t="shared" si="1062"/>
        <v>3351</v>
      </c>
      <c r="AJ186" s="112">
        <f t="shared" si="1062"/>
        <v>3543</v>
      </c>
      <c r="AK186" s="112">
        <f t="shared" si="1062"/>
        <v>3525</v>
      </c>
      <c r="AL186" s="112">
        <f t="shared" si="1062"/>
        <v>4346</v>
      </c>
      <c r="AM186" s="112">
        <f t="shared" si="1062"/>
        <v>5073</v>
      </c>
      <c r="AN186" s="112">
        <f t="shared" si="1062"/>
        <v>6092</v>
      </c>
      <c r="AO186" s="112">
        <f t="shared" si="1062"/>
        <v>6650</v>
      </c>
      <c r="AP186" s="112">
        <f t="shared" si="1062"/>
        <v>6697</v>
      </c>
      <c r="AQ186" s="112">
        <f t="shared" si="1062"/>
        <v>6914</v>
      </c>
      <c r="AR186" s="112">
        <f t="shared" si="1062"/>
        <v>8017</v>
      </c>
      <c r="AS186" s="112">
        <f t="shared" ref="AS186:AU186" si="1063">AS96</f>
        <v>9008</v>
      </c>
      <c r="AT186" s="112">
        <f t="shared" si="1063"/>
        <v>10158</v>
      </c>
      <c r="AU186" s="112">
        <f t="shared" si="1063"/>
        <v>11903</v>
      </c>
      <c r="AV186" s="112">
        <f t="shared" ref="AV186:AX186" si="1064">AV96</f>
        <v>12601</v>
      </c>
      <c r="AW186" s="112">
        <f t="shared" si="1064"/>
        <v>15230</v>
      </c>
      <c r="AX186" s="112">
        <f t="shared" si="1064"/>
        <v>18754</v>
      </c>
      <c r="AY186" s="112">
        <f t="shared" ref="AY186:BB186" si="1065">AY96</f>
        <v>20077</v>
      </c>
      <c r="AZ186" s="112">
        <f t="shared" si="1065"/>
        <v>22137</v>
      </c>
      <c r="BA186" s="112">
        <f t="shared" si="1065"/>
        <v>22568</v>
      </c>
      <c r="BB186" s="112">
        <f t="shared" si="1065"/>
        <v>19981</v>
      </c>
      <c r="BC186" s="112">
        <f t="shared" ref="BC186:BF186" si="1066">BC96</f>
        <v>22927</v>
      </c>
      <c r="BD186" s="112">
        <f t="shared" si="1066"/>
        <v>22961</v>
      </c>
      <c r="BE186" s="112">
        <f t="shared" si="1066"/>
        <v>24628</v>
      </c>
      <c r="BF186" s="112">
        <f t="shared" si="1066"/>
        <v>29413</v>
      </c>
      <c r="BG186" s="112">
        <f t="shared" ref="BG186:BH186" si="1067">BG96</f>
        <v>30685</v>
      </c>
      <c r="BH186" s="112">
        <f t="shared" si="1067"/>
        <v>33202</v>
      </c>
      <c r="BJ186" s="112">
        <f t="shared" ref="BJ186:BL186" si="1068">BJ96</f>
        <v>13959</v>
      </c>
      <c r="BK186" s="112">
        <f t="shared" si="1068"/>
        <v>20076</v>
      </c>
      <c r="BL186" s="112">
        <f t="shared" si="1068"/>
        <v>24194</v>
      </c>
      <c r="BM186" s="112">
        <f t="shared" ref="BM186:BN186" si="1069">BM96</f>
        <v>30586</v>
      </c>
      <c r="BN186" s="112">
        <f t="shared" si="1069"/>
        <v>33536</v>
      </c>
      <c r="BO186" s="112">
        <f t="shared" ref="BO186:BR186" si="1070">BO96</f>
        <v>31774</v>
      </c>
      <c r="BP186" s="112">
        <f t="shared" si="1070"/>
        <v>30958</v>
      </c>
      <c r="BQ186" s="112">
        <f t="shared" si="1070"/>
        <v>30009</v>
      </c>
      <c r="BR186" s="112">
        <f t="shared" si="1070"/>
        <v>29581</v>
      </c>
      <c r="BW186" s="39"/>
      <c r="BX186" s="39"/>
    </row>
    <row r="187" spans="2:76" ht="13.5" customHeight="1">
      <c r="B187" s="1" t="s">
        <v>384</v>
      </c>
      <c r="C187" s="47">
        <f t="shared" ref="C187:J187" si="1071">C185/C184</f>
        <v>0.1093971863427242</v>
      </c>
      <c r="D187" s="47">
        <f t="shared" si="1071"/>
        <v>0.10779254699599748</v>
      </c>
      <c r="E187" s="129">
        <f t="shared" si="1071"/>
        <v>0.10990190711182758</v>
      </c>
      <c r="F187" s="129">
        <f t="shared" si="1071"/>
        <v>9.375923827192606E-2</v>
      </c>
      <c r="G187" s="129">
        <f t="shared" si="1071"/>
        <v>0.10396075226996464</v>
      </c>
      <c r="H187" s="129">
        <f t="shared" si="1071"/>
        <v>0.10490964293059123</v>
      </c>
      <c r="I187" s="129">
        <f t="shared" si="1071"/>
        <v>0.12411773466270694</v>
      </c>
      <c r="J187" s="129">
        <f t="shared" si="1071"/>
        <v>0.10140143857167874</v>
      </c>
      <c r="K187" s="129">
        <f t="shared" ref="K187" si="1072">K185/K184</f>
        <v>8.8884403141718277E-2</v>
      </c>
      <c r="L187" s="129">
        <f t="shared" ref="L187:M187" si="1073">L185/L184</f>
        <v>6.3607228204404662E-2</v>
      </c>
      <c r="M187" s="129">
        <f t="shared" si="1073"/>
        <v>7.8089101613570855E-2</v>
      </c>
      <c r="N187" s="129">
        <f t="shared" ref="N187" si="1074">N185/N184</f>
        <v>8.2396903897947363E-2</v>
      </c>
      <c r="O187" s="129">
        <f t="shared" ref="O187:P187" si="1075">O185/O184</f>
        <v>5.3499230120480516E-2</v>
      </c>
      <c r="P187" s="129">
        <f t="shared" si="1075"/>
        <v>5.3498009866545494E-2</v>
      </c>
      <c r="Q187" s="129">
        <f t="shared" ref="Q187" si="1076">Q185/Q184</f>
        <v>5.8566612906835909E-2</v>
      </c>
      <c r="R187" s="129">
        <f>R185/R184</f>
        <v>6.0911337332994371E-2</v>
      </c>
      <c r="S187" s="297"/>
      <c r="T187" s="129"/>
      <c r="U187" s="129"/>
      <c r="V187" s="129"/>
      <c r="W187" s="129">
        <f t="shared" ref="W187:AB187" si="1077">W185/W184</f>
        <v>0.10990190711182758</v>
      </c>
      <c r="X187" s="129">
        <f t="shared" si="1077"/>
        <v>0.10655132538978573</v>
      </c>
      <c r="Y187" s="129">
        <f t="shared" si="1077"/>
        <v>0.10314404688945854</v>
      </c>
      <c r="Z187" s="129">
        <f t="shared" si="1077"/>
        <v>9.9181775781031059E-2</v>
      </c>
      <c r="AA187" s="129">
        <f t="shared" si="1077"/>
        <v>9.375923827192606E-2</v>
      </c>
      <c r="AB187" s="129">
        <f t="shared" si="1077"/>
        <v>9.2700414736629599E-2</v>
      </c>
      <c r="AC187" s="129">
        <f t="shared" ref="AC187:AH187" si="1078">AC185/AC184</f>
        <v>9.0455750071503624E-2</v>
      </c>
      <c r="AD187" s="129">
        <f t="shared" si="1078"/>
        <v>9.1920103807802203E-2</v>
      </c>
      <c r="AE187" s="129">
        <f t="shared" si="1078"/>
        <v>0.10396075226996464</v>
      </c>
      <c r="AF187" s="129">
        <f t="shared" si="1078"/>
        <v>0.10352568227473796</v>
      </c>
      <c r="AG187" s="129">
        <f t="shared" si="1078"/>
        <v>0.10712867234362122</v>
      </c>
      <c r="AH187" s="129">
        <f t="shared" si="1078"/>
        <v>0.1093256947328442</v>
      </c>
      <c r="AI187" s="129">
        <f t="shared" ref="AI187:AN187" si="1079">AI185/AI184</f>
        <v>0.10490964293059123</v>
      </c>
      <c r="AJ187" s="129">
        <f t="shared" si="1079"/>
        <v>0.10799477089502213</v>
      </c>
      <c r="AK187" s="129">
        <f t="shared" si="1079"/>
        <v>0.10943237875288253</v>
      </c>
      <c r="AL187" s="129">
        <f t="shared" si="1079"/>
        <v>0.12104542359032701</v>
      </c>
      <c r="AM187" s="129">
        <f t="shared" si="1079"/>
        <v>0.12411773466270694</v>
      </c>
      <c r="AN187" s="129">
        <f t="shared" si="1079"/>
        <v>0.13217970738163998</v>
      </c>
      <c r="AO187" s="129">
        <f t="shared" ref="AO187:AT187" si="1080">AO185/AO184</f>
        <v>0.12596831273723005</v>
      </c>
      <c r="AP187" s="129">
        <f t="shared" si="1080"/>
        <v>0.11350736066505381</v>
      </c>
      <c r="AQ187" s="129">
        <f t="shared" si="1080"/>
        <v>0.10140143857167874</v>
      </c>
      <c r="AR187" s="129">
        <f t="shared" si="1080"/>
        <v>9.6167435602305021E-2</v>
      </c>
      <c r="AS187" s="129">
        <f t="shared" si="1080"/>
        <v>8.9068857375595015E-2</v>
      </c>
      <c r="AT187" s="129">
        <f t="shared" si="1080"/>
        <v>8.6641189994482948E-2</v>
      </c>
      <c r="AU187" s="129">
        <f t="shared" ref="AU187" si="1081">AU185/AU184</f>
        <v>8.8884403141718277E-2</v>
      </c>
      <c r="AV187" s="129">
        <f t="shared" ref="AV187:AX187" si="1082">AV185/AV184</f>
        <v>8.652008078137087E-2</v>
      </c>
      <c r="AW187" s="129">
        <f t="shared" si="1082"/>
        <v>9.5017715812917528E-2</v>
      </c>
      <c r="AX187" s="129">
        <f t="shared" si="1082"/>
        <v>0.10178606925918401</v>
      </c>
      <c r="AY187" s="129">
        <f t="shared" ref="AY187:BB187" si="1083">AY185/AY184</f>
        <v>7.8089101613570855E-2</v>
      </c>
      <c r="AZ187" s="129">
        <f t="shared" si="1083"/>
        <v>7.6472237473929894E-2</v>
      </c>
      <c r="BA187" s="129">
        <f t="shared" si="1083"/>
        <v>6.5582934251094557E-2</v>
      </c>
      <c r="BB187" s="129">
        <f t="shared" si="1083"/>
        <v>5.1064848792806754E-2</v>
      </c>
      <c r="BC187" s="129">
        <f t="shared" ref="BC187:BF187" si="1084">BC185/BC184</f>
        <v>5.3499230120480516E-2</v>
      </c>
      <c r="BD187" s="129">
        <f t="shared" si="1084"/>
        <v>4.933598885763419E-2</v>
      </c>
      <c r="BE187" s="129">
        <f t="shared" si="1084"/>
        <v>5.0760560683328987E-2</v>
      </c>
      <c r="BF187" s="129">
        <f t="shared" si="1084"/>
        <v>5.8331961303648192E-2</v>
      </c>
      <c r="BG187" s="129">
        <f t="shared" ref="BG187:BH187" si="1085">BG185/BG184</f>
        <v>5.8566612906835909E-2</v>
      </c>
      <c r="BH187" s="129">
        <f t="shared" si="1085"/>
        <v>6.0911337332994371E-2</v>
      </c>
      <c r="BJ187" s="129">
        <f t="shared" ref="BJ187:BL187" si="1086">BJ185/BJ184</f>
        <v>7.98935416697132E-2</v>
      </c>
      <c r="BK187" s="129">
        <f t="shared" si="1086"/>
        <v>8.923197815059275E-2</v>
      </c>
      <c r="BL187" s="129">
        <f t="shared" si="1086"/>
        <v>8.5376294234785224E-2</v>
      </c>
      <c r="BM187" s="129">
        <f t="shared" ref="BM187:BN187" si="1087">BM185/BM184</f>
        <v>8.2396903897947363E-2</v>
      </c>
      <c r="BN187" s="129">
        <f t="shared" si="1087"/>
        <v>8.3415531517779792E-2</v>
      </c>
      <c r="BO187" s="129">
        <f t="shared" ref="BO187:BR187" si="1088">BO185/BO184</f>
        <v>6.958025628278082E-2</v>
      </c>
      <c r="BP187" s="129">
        <f t="shared" si="1088"/>
        <v>6.1365755606610568E-2</v>
      </c>
      <c r="BQ187" s="129">
        <f t="shared" si="1088"/>
        <v>5.3498009866545494E-2</v>
      </c>
      <c r="BR187" s="129">
        <f t="shared" si="1088"/>
        <v>4.8980596813694703E-2</v>
      </c>
      <c r="BW187" s="39"/>
      <c r="BX187" s="39"/>
    </row>
    <row r="188" spans="2:76" ht="13.5" customHeight="1">
      <c r="B188" s="1" t="str">
        <f t="shared" ref="B188:J188" si="1089">B97</f>
        <v xml:space="preserve">LTM RENT </v>
      </c>
      <c r="C188" s="23">
        <f t="shared" si="1089"/>
        <v>27.576000000000001</v>
      </c>
      <c r="D188" s="23">
        <f t="shared" si="1089"/>
        <v>19.05</v>
      </c>
      <c r="E188" s="112">
        <f t="shared" si="1089"/>
        <v>22.507000000000001</v>
      </c>
      <c r="F188" s="112">
        <f t="shared" si="1089"/>
        <v>31.562999999999999</v>
      </c>
      <c r="G188" s="112">
        <f t="shared" si="1089"/>
        <v>42</v>
      </c>
      <c r="H188" s="112">
        <f t="shared" si="1089"/>
        <v>0</v>
      </c>
      <c r="I188" s="112">
        <f t="shared" si="1089"/>
        <v>0</v>
      </c>
      <c r="J188" s="112">
        <f t="shared" si="1089"/>
        <v>0</v>
      </c>
      <c r="K188" s="112">
        <f t="shared" ref="K188" si="1090">K97</f>
        <v>0</v>
      </c>
      <c r="L188" s="112">
        <f t="shared" ref="L188:M188" si="1091">L97</f>
        <v>0</v>
      </c>
      <c r="M188" s="112">
        <f t="shared" si="1091"/>
        <v>0</v>
      </c>
      <c r="N188" s="112">
        <f t="shared" ref="N188" si="1092">N97</f>
        <v>0</v>
      </c>
      <c r="O188" s="112">
        <f t="shared" ref="O188:P188" si="1093">O97</f>
        <v>0</v>
      </c>
      <c r="P188" s="112">
        <f t="shared" si="1093"/>
        <v>0</v>
      </c>
      <c r="Q188" s="112">
        <f t="shared" ref="Q188" si="1094">Q97</f>
        <v>0</v>
      </c>
      <c r="R188" s="112">
        <f t="shared" ref="R188" si="1095">R97</f>
        <v>0</v>
      </c>
      <c r="S188" s="112"/>
      <c r="T188" s="112"/>
      <c r="U188" s="112"/>
      <c r="V188" s="112"/>
      <c r="W188" s="112">
        <f t="shared" ref="W188:AR188" si="1096">W97</f>
        <v>22.507000000000001</v>
      </c>
      <c r="X188" s="112">
        <f t="shared" si="1096"/>
        <v>24.771000000000001</v>
      </c>
      <c r="Y188" s="112">
        <f t="shared" si="1096"/>
        <v>27.034999999999997</v>
      </c>
      <c r="Z188" s="112">
        <f t="shared" si="1096"/>
        <v>29.298999999999992</v>
      </c>
      <c r="AA188" s="112">
        <f t="shared" si="1096"/>
        <v>31.562999999999999</v>
      </c>
      <c r="AB188" s="112">
        <f t="shared" si="1096"/>
        <v>31.562999999999999</v>
      </c>
      <c r="AC188" s="112">
        <f t="shared" si="1096"/>
        <v>31.563000000000002</v>
      </c>
      <c r="AD188" s="112">
        <f t="shared" si="1096"/>
        <v>31.563000000000002</v>
      </c>
      <c r="AE188" s="112">
        <f t="shared" si="1096"/>
        <v>42</v>
      </c>
      <c r="AF188" s="112">
        <f t="shared" si="1096"/>
        <v>0</v>
      </c>
      <c r="AG188" s="112">
        <f t="shared" si="1096"/>
        <v>0</v>
      </c>
      <c r="AH188" s="112">
        <f t="shared" si="1096"/>
        <v>0</v>
      </c>
      <c r="AI188" s="112">
        <f t="shared" si="1096"/>
        <v>0</v>
      </c>
      <c r="AJ188" s="112">
        <f t="shared" si="1096"/>
        <v>0</v>
      </c>
      <c r="AK188" s="112">
        <f t="shared" si="1096"/>
        <v>0</v>
      </c>
      <c r="AL188" s="112">
        <f t="shared" si="1096"/>
        <v>0</v>
      </c>
      <c r="AM188" s="112">
        <f t="shared" si="1096"/>
        <v>0</v>
      </c>
      <c r="AN188" s="112">
        <f t="shared" si="1096"/>
        <v>0</v>
      </c>
      <c r="AO188" s="112">
        <f t="shared" si="1096"/>
        <v>0</v>
      </c>
      <c r="AP188" s="112">
        <f t="shared" si="1096"/>
        <v>0</v>
      </c>
      <c r="AQ188" s="112">
        <f t="shared" si="1096"/>
        <v>0</v>
      </c>
      <c r="AR188" s="112">
        <f t="shared" si="1096"/>
        <v>0</v>
      </c>
      <c r="AS188" s="112">
        <f t="shared" ref="AS188:AU188" si="1097">AS97</f>
        <v>0</v>
      </c>
      <c r="AT188" s="112">
        <f t="shared" si="1097"/>
        <v>0</v>
      </c>
      <c r="AU188" s="112">
        <f t="shared" si="1097"/>
        <v>0</v>
      </c>
      <c r="AV188" s="112">
        <f t="shared" ref="AV188:AX188" si="1098">AV97</f>
        <v>0</v>
      </c>
      <c r="AW188" s="112">
        <f t="shared" si="1098"/>
        <v>0</v>
      </c>
      <c r="AX188" s="112">
        <f t="shared" si="1098"/>
        <v>0</v>
      </c>
      <c r="AY188" s="112">
        <f t="shared" ref="AY188:BB188" si="1099">AY97</f>
        <v>0</v>
      </c>
      <c r="AZ188" s="112">
        <f t="shared" si="1099"/>
        <v>0</v>
      </c>
      <c r="BA188" s="112">
        <f t="shared" si="1099"/>
        <v>0</v>
      </c>
      <c r="BB188" s="112">
        <f t="shared" si="1099"/>
        <v>0</v>
      </c>
      <c r="BC188" s="112">
        <f t="shared" ref="BC188:BF188" si="1100">BC97</f>
        <v>0</v>
      </c>
      <c r="BD188" s="112">
        <f t="shared" si="1100"/>
        <v>0</v>
      </c>
      <c r="BE188" s="112">
        <f t="shared" si="1100"/>
        <v>0</v>
      </c>
      <c r="BF188" s="112">
        <f t="shared" si="1100"/>
        <v>0</v>
      </c>
      <c r="BG188" s="112">
        <f t="shared" ref="BG188:BH188" si="1101">BG97</f>
        <v>0</v>
      </c>
      <c r="BH188" s="112">
        <f t="shared" si="1101"/>
        <v>0</v>
      </c>
      <c r="BJ188" s="112">
        <f t="shared" ref="BJ188:BL188" si="1102">BJ97</f>
        <v>0</v>
      </c>
      <c r="BK188" s="112">
        <f t="shared" si="1102"/>
        <v>0</v>
      </c>
      <c r="BL188" s="112">
        <f t="shared" si="1102"/>
        <v>0</v>
      </c>
      <c r="BM188" s="112">
        <f t="shared" ref="BM188:BN188" si="1103">BM97</f>
        <v>0</v>
      </c>
      <c r="BN188" s="112">
        <f t="shared" si="1103"/>
        <v>0</v>
      </c>
      <c r="BO188" s="112">
        <f t="shared" ref="BO188:BR188" si="1104">BO97</f>
        <v>0</v>
      </c>
      <c r="BP188" s="112">
        <f t="shared" si="1104"/>
        <v>0</v>
      </c>
      <c r="BQ188" s="112">
        <f t="shared" si="1104"/>
        <v>0</v>
      </c>
      <c r="BR188" s="112">
        <f t="shared" si="1104"/>
        <v>0</v>
      </c>
      <c r="BW188" s="39"/>
      <c r="BX188" s="39"/>
    </row>
    <row r="189" spans="2:76" ht="13.5" customHeight="1">
      <c r="B189" s="1" t="str">
        <f t="shared" ref="B189:J189" si="1105">B98</f>
        <v>Cash interest paid</v>
      </c>
      <c r="C189" s="23">
        <f t="shared" si="1105"/>
        <v>305.83300000000003</v>
      </c>
      <c r="D189" s="23">
        <f t="shared" si="1105"/>
        <v>385.78699999999998</v>
      </c>
      <c r="E189" s="112">
        <f t="shared" si="1105"/>
        <v>441.73399999999998</v>
      </c>
      <c r="F189" s="112">
        <f t="shared" si="1105"/>
        <v>511.16800000000001</v>
      </c>
      <c r="G189" s="112">
        <f t="shared" si="1105"/>
        <v>832.947</v>
      </c>
      <c r="H189" s="112">
        <f t="shared" si="1105"/>
        <v>1434.6420000000001</v>
      </c>
      <c r="I189" s="112">
        <f t="shared" si="1105"/>
        <v>1399.6659999999999</v>
      </c>
      <c r="J189" s="112">
        <f t="shared" si="1105"/>
        <v>1493.546</v>
      </c>
      <c r="K189" s="112">
        <f t="shared" ref="K189" si="1106">K98</f>
        <v>2956.4180000000001</v>
      </c>
      <c r="L189" s="112">
        <f t="shared" ref="L189:M189" si="1107">L98</f>
        <v>6927.3450000000003</v>
      </c>
      <c r="M189" s="112">
        <f t="shared" si="1107"/>
        <v>8307.8889999999992</v>
      </c>
      <c r="N189" s="112">
        <f t="shared" ref="N189" si="1108">N98</f>
        <v>11640.263000000001</v>
      </c>
      <c r="O189" s="112">
        <f t="shared" ref="O189:P189" si="1109">O98</f>
        <v>15170.927</v>
      </c>
      <c r="P189" s="112">
        <f t="shared" si="1109"/>
        <v>19857.579000000002</v>
      </c>
      <c r="Q189" s="112">
        <f t="shared" ref="Q189" si="1110">Q98</f>
        <v>24865.884999999998</v>
      </c>
      <c r="R189" s="112">
        <f t="shared" ref="R189" si="1111">R98</f>
        <v>26871.865999999995</v>
      </c>
      <c r="S189" s="112"/>
      <c r="T189" s="112"/>
      <c r="U189" s="112"/>
      <c r="V189" s="112"/>
      <c r="W189" s="112">
        <f t="shared" ref="W189:AR189" si="1112">W98</f>
        <v>441.73399999999998</v>
      </c>
      <c r="X189" s="112">
        <f t="shared" si="1112"/>
        <v>421.11699999999996</v>
      </c>
      <c r="Y189" s="112">
        <f t="shared" si="1112"/>
        <v>431.351</v>
      </c>
      <c r="Z189" s="112">
        <f t="shared" si="1112"/>
        <v>484.23099999999999</v>
      </c>
      <c r="AA189" s="112">
        <f t="shared" si="1112"/>
        <v>511.16800000000001</v>
      </c>
      <c r="AB189" s="112">
        <f t="shared" si="1112"/>
        <v>583.03099999999995</v>
      </c>
      <c r="AC189" s="112">
        <f t="shared" si="1112"/>
        <v>658.42200000000003</v>
      </c>
      <c r="AD189" s="112">
        <f t="shared" si="1112"/>
        <v>735.43799999999999</v>
      </c>
      <c r="AE189" s="112">
        <f t="shared" si="1112"/>
        <v>832.947</v>
      </c>
      <c r="AF189" s="112">
        <f t="shared" si="1112"/>
        <v>952.96400000000006</v>
      </c>
      <c r="AG189" s="112">
        <f t="shared" si="1112"/>
        <v>418.34500000000003</v>
      </c>
      <c r="AH189" s="112">
        <f t="shared" si="1112"/>
        <v>1249.4280000000003</v>
      </c>
      <c r="AI189" s="112">
        <f t="shared" si="1112"/>
        <v>1434.6420000000003</v>
      </c>
      <c r="AJ189" s="112">
        <f t="shared" si="1112"/>
        <v>1550.029</v>
      </c>
      <c r="AK189" s="112">
        <f t="shared" si="1112"/>
        <v>2289.0239999999999</v>
      </c>
      <c r="AL189" s="112">
        <f t="shared" si="1112"/>
        <v>299.22199999999998</v>
      </c>
      <c r="AM189" s="112">
        <f t="shared" si="1112"/>
        <v>1399.6659999999997</v>
      </c>
      <c r="AN189" s="112">
        <f t="shared" si="1112"/>
        <v>1237.3839999999998</v>
      </c>
      <c r="AO189" s="112">
        <f t="shared" si="1112"/>
        <v>1202.5789999999997</v>
      </c>
      <c r="AP189" s="112">
        <f t="shared" si="1112"/>
        <v>2512.8799999999997</v>
      </c>
      <c r="AQ189" s="112">
        <f t="shared" si="1112"/>
        <v>1493.546</v>
      </c>
      <c r="AR189" s="112">
        <f t="shared" si="1112"/>
        <v>1567.4430000000002</v>
      </c>
      <c r="AS189" s="112">
        <f t="shared" ref="AS189:AU189" si="1113">AS98</f>
        <v>2227.5309999999999</v>
      </c>
      <c r="AT189" s="112">
        <f t="shared" si="1113"/>
        <v>2514.953</v>
      </c>
      <c r="AU189" s="112">
        <f t="shared" si="1113"/>
        <v>2956.4180000000001</v>
      </c>
      <c r="AV189" s="112">
        <f t="shared" ref="AV189:AX189" si="1114">AV98</f>
        <v>3945.491</v>
      </c>
      <c r="AW189" s="112">
        <f t="shared" si="1114"/>
        <v>4196.6470000000008</v>
      </c>
      <c r="AX189" s="112">
        <f t="shared" si="1114"/>
        <v>5587.8249999999998</v>
      </c>
      <c r="AY189" s="112">
        <f t="shared" ref="AY189:BB189" si="1115">AY98</f>
        <v>8307.8889999999992</v>
      </c>
      <c r="AZ189" s="112">
        <f t="shared" si="1115"/>
        <v>9841.7959999999985</v>
      </c>
      <c r="BA189" s="112">
        <f t="shared" si="1115"/>
        <v>10624.798999999997</v>
      </c>
      <c r="BB189" s="112">
        <f t="shared" si="1115"/>
        <v>13788.576999999997</v>
      </c>
      <c r="BC189" s="112">
        <f t="shared" ref="BC189:BF189" si="1116">BC98</f>
        <v>15170.927</v>
      </c>
      <c r="BD189" s="112">
        <f t="shared" si="1116"/>
        <v>17497.548999999999</v>
      </c>
      <c r="BE189" s="112">
        <f t="shared" si="1116"/>
        <v>20086.065000000002</v>
      </c>
      <c r="BF189" s="112">
        <f t="shared" si="1116"/>
        <v>23432.347000000002</v>
      </c>
      <c r="BG189" s="112">
        <f t="shared" ref="BG189:BH189" si="1117">BG98</f>
        <v>24865.884999999995</v>
      </c>
      <c r="BH189" s="112">
        <f t="shared" si="1117"/>
        <v>26871.865999999995</v>
      </c>
      <c r="BJ189" s="112">
        <f t="shared" ref="BJ189:BL189" si="1118">BJ98</f>
        <v>5187.5609999999997</v>
      </c>
      <c r="BK189" s="112">
        <f t="shared" si="1118"/>
        <v>6152.8899999999994</v>
      </c>
      <c r="BL189" s="112">
        <f t="shared" si="1118"/>
        <v>10196.984</v>
      </c>
      <c r="BM189" s="112">
        <f t="shared" ref="BM189:BN189" si="1119">BM98</f>
        <v>11640.263000000001</v>
      </c>
      <c r="BN189" s="112">
        <f t="shared" si="1119"/>
        <v>12998.916999999999</v>
      </c>
      <c r="BO189" s="112">
        <f t="shared" ref="BO189:BR189" si="1120">BO98</f>
        <v>13710.923999999999</v>
      </c>
      <c r="BP189" s="112">
        <f t="shared" si="1120"/>
        <v>15878.584999999999</v>
      </c>
      <c r="BQ189" s="112">
        <f t="shared" si="1120"/>
        <v>19857.579000000002</v>
      </c>
      <c r="BR189" s="112">
        <f t="shared" si="1120"/>
        <v>22699.668000000001</v>
      </c>
      <c r="BW189" s="39"/>
      <c r="BX189" s="39"/>
    </row>
    <row r="190" spans="2:76" ht="13.5" customHeight="1">
      <c r="B190" s="1" t="str">
        <f t="shared" ref="B190:J190" si="1121">B100</f>
        <v>Capex</v>
      </c>
      <c r="C190" s="23">
        <f t="shared" si="1121"/>
        <v>453.16700000000003</v>
      </c>
      <c r="D190" s="23">
        <f t="shared" si="1121"/>
        <v>640.49199999999996</v>
      </c>
      <c r="E190" s="112">
        <f t="shared" si="1121"/>
        <v>830.96500000000003</v>
      </c>
      <c r="F190" s="112">
        <f t="shared" si="1121"/>
        <v>987.21699999999998</v>
      </c>
      <c r="G190" s="112">
        <f t="shared" si="1121"/>
        <v>1797.3050000000001</v>
      </c>
      <c r="H190" s="112">
        <f t="shared" si="1121"/>
        <v>1379.604</v>
      </c>
      <c r="I190" s="112">
        <f t="shared" si="1121"/>
        <v>1735.316</v>
      </c>
      <c r="J190" s="112">
        <f t="shared" si="1121"/>
        <v>2515.3440000000001</v>
      </c>
      <c r="K190" s="112">
        <f t="shared" ref="K190" si="1122">K100</f>
        <v>5907.7870000000003</v>
      </c>
      <c r="L190" s="112">
        <f t="shared" ref="L190:M190" si="1123">L100</f>
        <v>10672.132</v>
      </c>
      <c r="M190" s="112">
        <f t="shared" si="1123"/>
        <v>13791.159</v>
      </c>
      <c r="N190" s="112">
        <f t="shared" ref="N190" si="1124">N100</f>
        <v>18533.286</v>
      </c>
      <c r="O190" s="112">
        <f t="shared" ref="O190:P190" si="1125">O100</f>
        <v>23796.042000000001</v>
      </c>
      <c r="P190" s="112">
        <f t="shared" si="1125"/>
        <v>30263.689000000002</v>
      </c>
      <c r="Q190" s="112">
        <f t="shared" ref="Q190" si="1126">Q100</f>
        <v>17907.162</v>
      </c>
      <c r="R190" s="112">
        <f t="shared" ref="R190" si="1127">R100</f>
        <v>17412.932000000001</v>
      </c>
      <c r="S190" s="112"/>
      <c r="T190" s="112"/>
      <c r="U190" s="112"/>
      <c r="V190" s="112"/>
      <c r="W190" s="112">
        <f t="shared" ref="W190:AR190" si="1128">W100</f>
        <v>830.96500000000003</v>
      </c>
      <c r="X190" s="112">
        <f t="shared" si="1128"/>
        <v>816.74900000000002</v>
      </c>
      <c r="Y190" s="112">
        <f t="shared" si="1128"/>
        <v>885.18899999999996</v>
      </c>
      <c r="Z190" s="112">
        <f t="shared" si="1128"/>
        <v>973.06500000000005</v>
      </c>
      <c r="AA190" s="112">
        <f t="shared" si="1128"/>
        <v>987.21699999999998</v>
      </c>
      <c r="AB190" s="112">
        <f t="shared" si="1128"/>
        <v>1090.751</v>
      </c>
      <c r="AC190" s="112">
        <f t="shared" si="1128"/>
        <v>1327.2360000000001</v>
      </c>
      <c r="AD190" s="112">
        <f t="shared" si="1128"/>
        <v>1601.0360000000001</v>
      </c>
      <c r="AE190" s="112">
        <f t="shared" si="1128"/>
        <v>1797.3050000000001</v>
      </c>
      <c r="AF190" s="112">
        <f t="shared" si="1128"/>
        <v>1889.6770000000001</v>
      </c>
      <c r="AG190" s="112">
        <f t="shared" si="1128"/>
        <v>1520.0710000000001</v>
      </c>
      <c r="AH190" s="112">
        <f t="shared" si="1128"/>
        <v>1501.2950000000001</v>
      </c>
      <c r="AI190" s="112">
        <f t="shared" si="1128"/>
        <v>1379.604</v>
      </c>
      <c r="AJ190" s="112">
        <f t="shared" si="1128"/>
        <v>1357.491</v>
      </c>
      <c r="AK190" s="112">
        <f t="shared" si="1128"/>
        <v>389.25199999999995</v>
      </c>
      <c r="AL190" s="112">
        <f t="shared" si="1128"/>
        <v>480.84699999999998</v>
      </c>
      <c r="AM190" s="112">
        <f t="shared" si="1128"/>
        <v>1735.3159999999998</v>
      </c>
      <c r="AN190" s="112">
        <f t="shared" si="1128"/>
        <v>1828.1329999999998</v>
      </c>
      <c r="AO190" s="112">
        <f t="shared" si="1128"/>
        <v>3228.33</v>
      </c>
      <c r="AP190" s="112">
        <f t="shared" si="1128"/>
        <v>3274.1779999999999</v>
      </c>
      <c r="AQ190" s="112">
        <f t="shared" si="1128"/>
        <v>2515.3440000000001</v>
      </c>
      <c r="AR190" s="112">
        <f t="shared" si="1128"/>
        <v>2942.3459999999995</v>
      </c>
      <c r="AS190" s="112">
        <f t="shared" ref="AS190:AU190" si="1129">AS100</f>
        <v>3595.8239999999996</v>
      </c>
      <c r="AT190" s="112">
        <f t="shared" si="1129"/>
        <v>4766.5630000000001</v>
      </c>
      <c r="AU190" s="112">
        <f t="shared" si="1129"/>
        <v>5907.7870000000003</v>
      </c>
      <c r="AV190" s="112">
        <f t="shared" ref="AV190:AX190" si="1130">AV100</f>
        <v>6695.7950000000001</v>
      </c>
      <c r="AW190" s="112">
        <f t="shared" si="1130"/>
        <v>7837.6770000000015</v>
      </c>
      <c r="AX190" s="112">
        <f t="shared" si="1130"/>
        <v>8467.5349999999999</v>
      </c>
      <c r="AY190" s="112">
        <f t="shared" ref="AY190:BB190" si="1131">AY100</f>
        <v>13791.159</v>
      </c>
      <c r="AZ190" s="112">
        <f t="shared" si="1131"/>
        <v>15126.993999999999</v>
      </c>
      <c r="BA190" s="112">
        <f t="shared" si="1131"/>
        <v>18063.829999999998</v>
      </c>
      <c r="BB190" s="112">
        <f t="shared" si="1131"/>
        <v>21587.415000000001</v>
      </c>
      <c r="BC190" s="112">
        <f t="shared" ref="BC190:BF190" si="1132">BC100</f>
        <v>23796.042000000001</v>
      </c>
      <c r="BD190" s="112">
        <f t="shared" si="1132"/>
        <v>24140.775000000001</v>
      </c>
      <c r="BE190" s="112">
        <f t="shared" si="1132"/>
        <v>22750.989000000001</v>
      </c>
      <c r="BF190" s="112">
        <f t="shared" si="1132"/>
        <v>20215.18</v>
      </c>
      <c r="BG190" s="112">
        <f t="shared" ref="BG190:BH190" si="1133">BG100</f>
        <v>17907.162</v>
      </c>
      <c r="BH190" s="112">
        <f t="shared" si="1133"/>
        <v>17412.932000000001</v>
      </c>
      <c r="BJ190" s="112">
        <f t="shared" ref="BJ190:BL190" si="1134">BJ100</f>
        <v>7699.344000000001</v>
      </c>
      <c r="BK190" s="112">
        <f t="shared" si="1134"/>
        <v>9439.0720000000001</v>
      </c>
      <c r="BL190" s="112">
        <f t="shared" si="1134"/>
        <v>12299.924999999999</v>
      </c>
      <c r="BM190" s="112">
        <f t="shared" ref="BM190:BN190" si="1135">BM100</f>
        <v>18533.286</v>
      </c>
      <c r="BN190" s="112">
        <f t="shared" si="1135"/>
        <v>19988.391</v>
      </c>
      <c r="BO190" s="112">
        <f t="shared" ref="BO190:BR190" si="1136">BO100</f>
        <v>24075.752</v>
      </c>
      <c r="BP190" s="112">
        <f t="shared" si="1136"/>
        <v>26841.118000000002</v>
      </c>
      <c r="BQ190" s="112">
        <f t="shared" si="1136"/>
        <v>30263.689000000002</v>
      </c>
      <c r="BR190" s="112">
        <f t="shared" si="1136"/>
        <v>30448.739000000001</v>
      </c>
      <c r="BW190" s="39"/>
      <c r="BX190" s="39"/>
    </row>
    <row r="191" spans="2:76" ht="13.5" customHeight="1">
      <c r="B191" s="1" t="str">
        <f t="shared" ref="B191:J191" si="1137">B101</f>
        <v xml:space="preserve">Free cash flow </v>
      </c>
      <c r="C191" s="23">
        <f t="shared" si="1137"/>
        <v>228.64400000000018</v>
      </c>
      <c r="D191" s="23">
        <f t="shared" si="1137"/>
        <v>493.14899999999983</v>
      </c>
      <c r="E191" s="112">
        <f t="shared" si="1137"/>
        <v>-344.90599999999995</v>
      </c>
      <c r="F191" s="112">
        <f t="shared" si="1137"/>
        <v>-1575.9269999999997</v>
      </c>
      <c r="G191" s="112">
        <f t="shared" si="1137"/>
        <v>-1698.4030000000002</v>
      </c>
      <c r="H191" s="112">
        <f t="shared" si="1137"/>
        <v>-866.04800000000012</v>
      </c>
      <c r="I191" s="112">
        <f t="shared" si="1137"/>
        <v>1577.164</v>
      </c>
      <c r="J191" s="112">
        <f t="shared" si="1137"/>
        <v>-12828.089000000002</v>
      </c>
      <c r="K191" s="112">
        <f t="shared" ref="K191" si="1138">K101</f>
        <v>-9407.8259999999991</v>
      </c>
      <c r="L191" s="112">
        <f t="shared" ref="L191:M191" si="1139">L101</f>
        <v>3336.0409999999965</v>
      </c>
      <c r="M191" s="112">
        <f t="shared" si="1139"/>
        <v>-10013.315999999999</v>
      </c>
      <c r="N191" s="112">
        <f t="shared" ref="N191" si="1140">N101</f>
        <v>-12313.410000000003</v>
      </c>
      <c r="O191" s="112">
        <f t="shared" ref="O191:P191" si="1141">O101</f>
        <v>1218.7280000000014</v>
      </c>
      <c r="P191" s="112">
        <f t="shared" si="1141"/>
        <v>1594.5430000000088</v>
      </c>
      <c r="Q191" s="112">
        <f t="shared" ref="Q191" si="1142">Q101</f>
        <v>-20748.070999999996</v>
      </c>
      <c r="R191" s="112">
        <f t="shared" ref="R191" si="1143">R101</f>
        <v>-25938.569</v>
      </c>
      <c r="S191" s="112"/>
      <c r="T191" s="112"/>
      <c r="U191" s="112"/>
      <c r="V191" s="112"/>
      <c r="W191" s="112">
        <f t="shared" ref="W191:AR191" si="1144">W101</f>
        <v>-344.90599999999995</v>
      </c>
      <c r="X191" s="112">
        <f t="shared" si="1144"/>
        <v>-1270.528</v>
      </c>
      <c r="Y191" s="112">
        <f t="shared" si="1144"/>
        <v>-1924.9720000000002</v>
      </c>
      <c r="Z191" s="112">
        <f t="shared" si="1144"/>
        <v>-2380.5529999999994</v>
      </c>
      <c r="AA191" s="112">
        <f t="shared" si="1144"/>
        <v>-1575.9269999999997</v>
      </c>
      <c r="AB191" s="112">
        <f t="shared" si="1144"/>
        <v>-1292.5879999999997</v>
      </c>
      <c r="AC191" s="112">
        <f t="shared" si="1144"/>
        <v>-1652.7319999999997</v>
      </c>
      <c r="AD191" s="112">
        <f t="shared" si="1144"/>
        <v>-2779.6820000000007</v>
      </c>
      <c r="AE191" s="112">
        <f t="shared" si="1144"/>
        <v>-1698.403</v>
      </c>
      <c r="AF191" s="112">
        <f t="shared" si="1144"/>
        <v>-1570.0749999999998</v>
      </c>
      <c r="AG191" s="112">
        <f t="shared" si="1144"/>
        <v>-0.94299999999941519</v>
      </c>
      <c r="AH191" s="112">
        <f t="shared" si="1144"/>
        <v>76.141999999999825</v>
      </c>
      <c r="AI191" s="112">
        <f t="shared" si="1144"/>
        <v>-866.048</v>
      </c>
      <c r="AJ191" s="112">
        <f t="shared" si="1144"/>
        <v>-424.13799999999992</v>
      </c>
      <c r="AK191" s="112">
        <f t="shared" si="1144"/>
        <v>1518.1459999999995</v>
      </c>
      <c r="AL191" s="112">
        <f t="shared" si="1144"/>
        <v>4167.8030000000008</v>
      </c>
      <c r="AM191" s="112">
        <f t="shared" si="1144"/>
        <v>1577.1639999999998</v>
      </c>
      <c r="AN191" s="112">
        <f t="shared" si="1144"/>
        <v>-1595.1599999999999</v>
      </c>
      <c r="AO191" s="112">
        <f t="shared" si="1144"/>
        <v>-9498.7489999999998</v>
      </c>
      <c r="AP191" s="112">
        <f t="shared" si="1144"/>
        <v>-10322.914000000001</v>
      </c>
      <c r="AQ191" s="112">
        <f t="shared" si="1144"/>
        <v>-12828.089</v>
      </c>
      <c r="AR191" s="112">
        <f t="shared" si="1144"/>
        <v>-13252.391000000001</v>
      </c>
      <c r="AS191" s="112">
        <f t="shared" ref="AS191:AU191" si="1145">AS101</f>
        <v>-14618.018000000002</v>
      </c>
      <c r="AT191" s="112">
        <f t="shared" si="1145"/>
        <v>-13409.867999999999</v>
      </c>
      <c r="AU191" s="112">
        <f t="shared" si="1145"/>
        <v>-9407.8259999999973</v>
      </c>
      <c r="AV191" s="112">
        <f t="shared" ref="AV191:AX191" si="1146">AV101</f>
        <v>-13789.019</v>
      </c>
      <c r="AW191" s="112">
        <f t="shared" si="1146"/>
        <v>-17539.558999999994</v>
      </c>
      <c r="AX191" s="112">
        <f t="shared" si="1146"/>
        <v>-26110.361000000001</v>
      </c>
      <c r="AY191" s="112">
        <f t="shared" ref="AY191:BB191" si="1147">AY101</f>
        <v>-10013.315999999995</v>
      </c>
      <c r="AZ191" s="112">
        <f t="shared" si="1147"/>
        <v>-660.81899999999564</v>
      </c>
      <c r="BA191" s="112">
        <f t="shared" si="1147"/>
        <v>7273.5800000000017</v>
      </c>
      <c r="BB191" s="112">
        <f t="shared" si="1147"/>
        <v>-1456.4509999999955</v>
      </c>
      <c r="BC191" s="112">
        <f t="shared" ref="BC191:BF191" si="1148">BC101</f>
        <v>1218.7279999999955</v>
      </c>
      <c r="BD191" s="112">
        <f t="shared" si="1148"/>
        <v>-16656.773000000005</v>
      </c>
      <c r="BE191" s="112">
        <f t="shared" si="1148"/>
        <v>-36453.006000000008</v>
      </c>
      <c r="BF191" s="112">
        <f t="shared" si="1148"/>
        <v>-20172.675000000007</v>
      </c>
      <c r="BG191" s="112">
        <f t="shared" ref="BG191:BH191" si="1149">BG101</f>
        <v>-20748.070999999996</v>
      </c>
      <c r="BH191" s="112">
        <f t="shared" si="1149"/>
        <v>-25938.569</v>
      </c>
      <c r="BJ191" s="112">
        <f t="shared" ref="BJ191:BL191" si="1150">BJ101</f>
        <v>-11680.093000000001</v>
      </c>
      <c r="BK191" s="112">
        <f t="shared" si="1150"/>
        <v>-13731.314000000002</v>
      </c>
      <c r="BL191" s="112">
        <f t="shared" si="1150"/>
        <v>-10273.590000000004</v>
      </c>
      <c r="BM191" s="112">
        <f t="shared" ref="BM191:BN191" si="1151">BM101</f>
        <v>-12313.410000000002</v>
      </c>
      <c r="BN191" s="112">
        <f t="shared" si="1151"/>
        <v>-3799.699000000001</v>
      </c>
      <c r="BO191" s="112">
        <f t="shared" ref="BO191:BR191" si="1152">BO101</f>
        <v>481.0430000000033</v>
      </c>
      <c r="BP191" s="112">
        <f t="shared" si="1152"/>
        <v>-24358.866999999998</v>
      </c>
      <c r="BQ191" s="112">
        <f t="shared" si="1152"/>
        <v>1594.5430000000051</v>
      </c>
      <c r="BR191" s="112">
        <f t="shared" si="1152"/>
        <v>-22256.185999999991</v>
      </c>
      <c r="BW191" s="39"/>
      <c r="BX191" s="39"/>
    </row>
    <row r="192" spans="2:76" ht="13.5" customHeight="1">
      <c r="B192" s="1" t="s">
        <v>35</v>
      </c>
      <c r="C192" s="23">
        <f t="shared" ref="C192:AH192" si="1153">C150</f>
        <v>1620.5229999999999</v>
      </c>
      <c r="D192" s="23">
        <f t="shared" si="1153"/>
        <v>2166.1529999999998</v>
      </c>
      <c r="E192" s="112">
        <f t="shared" si="1153"/>
        <v>2441.8710000000001</v>
      </c>
      <c r="F192" s="112">
        <f t="shared" si="1153"/>
        <v>2581.9639999999999</v>
      </c>
      <c r="G192" s="112">
        <f t="shared" si="1153"/>
        <v>5341.5240000000003</v>
      </c>
      <c r="H192" s="112">
        <f t="shared" ref="H192:J192" si="1154">H150</f>
        <v>6937.06</v>
      </c>
      <c r="I192" s="112">
        <f t="shared" si="1154"/>
        <v>12002.245999999999</v>
      </c>
      <c r="J192" s="112">
        <f t="shared" si="1154"/>
        <v>16014.589</v>
      </c>
      <c r="K192" s="112">
        <f t="shared" ref="K192" si="1155">K150</f>
        <v>24529.219000000001</v>
      </c>
      <c r="L192" s="112">
        <f t="shared" ref="L192:M192" si="1156">L150</f>
        <v>40417.51</v>
      </c>
      <c r="M192" s="112">
        <f t="shared" si="1156"/>
        <v>48791.777999999998</v>
      </c>
      <c r="N192" s="112">
        <f t="shared" ref="N192" si="1157">N150</f>
        <v>70444.978000000003</v>
      </c>
      <c r="O192" s="112">
        <f t="shared" ref="O192:P192" si="1158">O150</f>
        <v>50815.824999999997</v>
      </c>
      <c r="P192" s="112">
        <f t="shared" si="1158"/>
        <v>66514.005999999994</v>
      </c>
      <c r="Q192" s="112">
        <f t="shared" ref="Q192" si="1159">Q150</f>
        <v>97829.153999999995</v>
      </c>
      <c r="R192" s="112">
        <f t="shared" ref="R192" si="1160">R150</f>
        <v>79461.672000000006</v>
      </c>
      <c r="S192" s="112"/>
      <c r="T192" s="112">
        <f t="shared" si="1153"/>
        <v>2491</v>
      </c>
      <c r="U192" s="112">
        <f t="shared" si="1153"/>
        <v>2466.4229999999998</v>
      </c>
      <c r="V192" s="112">
        <f t="shared" si="1153"/>
        <v>2721.2669999999998</v>
      </c>
      <c r="W192" s="112">
        <f t="shared" si="1153"/>
        <v>2441.8710000000001</v>
      </c>
      <c r="X192" s="112">
        <f t="shared" si="1153"/>
        <v>2886.4319999999998</v>
      </c>
      <c r="Y192" s="112">
        <f t="shared" si="1153"/>
        <v>2038.01</v>
      </c>
      <c r="Z192" s="112">
        <f t="shared" si="1153"/>
        <v>1982.875</v>
      </c>
      <c r="AA192" s="112">
        <f t="shared" si="1153"/>
        <v>2581.9639999999999</v>
      </c>
      <c r="AB192" s="112">
        <f t="shared" si="1153"/>
        <v>2611.5839999999998</v>
      </c>
      <c r="AC192" s="112">
        <f t="shared" si="1153"/>
        <v>2955.9740000000002</v>
      </c>
      <c r="AD192" s="112">
        <f t="shared" si="1153"/>
        <v>4225.1639999999998</v>
      </c>
      <c r="AE192" s="112">
        <f t="shared" si="1153"/>
        <v>5341.5240000000003</v>
      </c>
      <c r="AF192" s="112">
        <f t="shared" si="1153"/>
        <v>6478.098</v>
      </c>
      <c r="AG192" s="112">
        <f t="shared" si="1153"/>
        <v>5787.7809999999999</v>
      </c>
      <c r="AH192" s="112">
        <f t="shared" si="1153"/>
        <v>5481.64</v>
      </c>
      <c r="AI192" s="112">
        <f t="shared" ref="AI192:AN192" si="1161">AI150</f>
        <v>6937.06</v>
      </c>
      <c r="AJ192" s="112">
        <f t="shared" si="1161"/>
        <v>7826.6319999999996</v>
      </c>
      <c r="AK192" s="112">
        <f t="shared" si="1161"/>
        <v>9253.1579999999994</v>
      </c>
      <c r="AL192" s="112">
        <f t="shared" si="1161"/>
        <v>11540.151</v>
      </c>
      <c r="AM192" s="112">
        <f t="shared" si="1161"/>
        <v>12002.245999999999</v>
      </c>
      <c r="AN192" s="112">
        <f t="shared" si="1161"/>
        <v>10213.040000000001</v>
      </c>
      <c r="AO192" s="112">
        <f t="shared" ref="AO192:AT192" si="1162">AO150</f>
        <v>10743.491</v>
      </c>
      <c r="AP192" s="112">
        <f t="shared" si="1162"/>
        <v>8340.5750000000007</v>
      </c>
      <c r="AQ192" s="112">
        <f t="shared" si="1162"/>
        <v>16014.589</v>
      </c>
      <c r="AR192" s="112">
        <f t="shared" si="1162"/>
        <v>16694.455999999998</v>
      </c>
      <c r="AS192" s="112">
        <f t="shared" si="1162"/>
        <v>14956.187</v>
      </c>
      <c r="AT192" s="112">
        <f t="shared" si="1162"/>
        <v>20425.396000000001</v>
      </c>
      <c r="AU192" s="112">
        <f t="shared" ref="AU192" si="1163">AU150</f>
        <v>24529.219000000001</v>
      </c>
      <c r="AV192" s="112">
        <f t="shared" ref="AV192:AX192" si="1164">AV150</f>
        <v>29347.464</v>
      </c>
      <c r="AW192" s="112">
        <f t="shared" si="1164"/>
        <v>28665.84</v>
      </c>
      <c r="AX192" s="112">
        <f t="shared" si="1164"/>
        <v>39623.14</v>
      </c>
      <c r="AY192" s="112">
        <f t="shared" ref="AY192:BB192" si="1165">AY150</f>
        <v>48791.777999999998</v>
      </c>
      <c r="AZ192" s="112">
        <f t="shared" si="1165"/>
        <v>46600.785000000003</v>
      </c>
      <c r="BA192" s="112">
        <f t="shared" si="1165"/>
        <v>45257.023999999998</v>
      </c>
      <c r="BB192" s="112">
        <f t="shared" si="1165"/>
        <v>34309.593000000001</v>
      </c>
      <c r="BC192" s="112">
        <f t="shared" ref="BC192:BF192" si="1166">BC150</f>
        <v>50815.824999999997</v>
      </c>
      <c r="BD192" s="112">
        <f t="shared" si="1166"/>
        <v>43866.671000000002</v>
      </c>
      <c r="BE192" s="112">
        <f t="shared" si="1166"/>
        <v>60075.144</v>
      </c>
      <c r="BF192" s="112">
        <f t="shared" si="1166"/>
        <v>71440.375</v>
      </c>
      <c r="BG192" s="112">
        <f t="shared" ref="BG192:BH192" si="1167">BG150</f>
        <v>97829.153999999995</v>
      </c>
      <c r="BH192" s="112">
        <f t="shared" si="1167"/>
        <v>79461.672000000006</v>
      </c>
      <c r="BJ192" s="112">
        <f t="shared" ref="BJ192:BL192" si="1168">BJ150</f>
        <v>49446.788</v>
      </c>
      <c r="BK192" s="112">
        <f t="shared" si="1168"/>
        <v>49175.087</v>
      </c>
      <c r="BL192" s="112">
        <f t="shared" si="1168"/>
        <v>59183.235999999997</v>
      </c>
      <c r="BM192" s="112">
        <f t="shared" ref="BM192:BN192" si="1169">BM150</f>
        <v>70444.978000000003</v>
      </c>
      <c r="BN192" s="112">
        <f t="shared" si="1169"/>
        <v>46600.785000000003</v>
      </c>
      <c r="BO192" s="112">
        <f t="shared" ref="BO192:BR192" si="1170">BO150</f>
        <v>45257.023999999998</v>
      </c>
      <c r="BP192" s="112">
        <f t="shared" si="1170"/>
        <v>34309.593000000001</v>
      </c>
      <c r="BQ192" s="112">
        <f t="shared" si="1170"/>
        <v>66514.005999999994</v>
      </c>
      <c r="BR192" s="112">
        <f t="shared" si="1170"/>
        <v>43866.671000000002</v>
      </c>
      <c r="BW192" s="39"/>
      <c r="BX192" s="39"/>
    </row>
    <row r="193" spans="2:76" ht="13.5" customHeight="1">
      <c r="B193" s="1" t="s">
        <v>361</v>
      </c>
      <c r="C193" s="23">
        <f t="shared" ref="C193:AH193" si="1171">C153</f>
        <v>4764</v>
      </c>
      <c r="D193" s="23">
        <f t="shared" si="1171"/>
        <v>5455</v>
      </c>
      <c r="E193" s="112">
        <f t="shared" si="1171"/>
        <v>5658</v>
      </c>
      <c r="F193" s="112">
        <f t="shared" si="1171"/>
        <v>7374.6980000000003</v>
      </c>
      <c r="G193" s="112">
        <f t="shared" si="1171"/>
        <v>11949</v>
      </c>
      <c r="H193" s="112">
        <f t="shared" ref="H193:J193" si="1172">H153</f>
        <v>14955.42</v>
      </c>
      <c r="I193" s="112">
        <f t="shared" si="1172"/>
        <v>17075.935000000001</v>
      </c>
      <c r="J193" s="112">
        <f t="shared" si="1172"/>
        <v>32578.621999999999</v>
      </c>
      <c r="K193" s="112">
        <f t="shared" ref="K193" si="1173">K153</f>
        <v>51358.648000000001</v>
      </c>
      <c r="L193" s="112">
        <f t="shared" ref="L193:M193" si="1174">L153</f>
        <v>84757.777000000002</v>
      </c>
      <c r="M193" s="112">
        <f t="shared" si="1174"/>
        <v>105721.08900000001</v>
      </c>
      <c r="N193" s="112">
        <f t="shared" ref="N193" si="1175">N153</f>
        <v>147135.76500000001</v>
      </c>
      <c r="O193" s="112">
        <f t="shared" ref="O193:P193" si="1176">O153</f>
        <v>146958.549</v>
      </c>
      <c r="P193" s="112">
        <f t="shared" si="1176"/>
        <v>180687.772</v>
      </c>
      <c r="Q193" s="112">
        <f t="shared" ref="Q193" si="1177">Q153</f>
        <v>246971.36499999999</v>
      </c>
      <c r="R193" s="112">
        <f t="shared" ref="R193" si="1178">R153</f>
        <v>261818.467</v>
      </c>
      <c r="S193" s="112"/>
      <c r="T193" s="112">
        <f t="shared" si="1171"/>
        <v>5592</v>
      </c>
      <c r="U193" s="112">
        <f t="shared" si="1171"/>
        <v>5157</v>
      </c>
      <c r="V193" s="112">
        <f t="shared" si="1171"/>
        <v>5212</v>
      </c>
      <c r="W193" s="112">
        <f t="shared" si="1171"/>
        <v>5658</v>
      </c>
      <c r="X193" s="112">
        <f t="shared" si="1171"/>
        <v>6751</v>
      </c>
      <c r="Y193" s="112">
        <f t="shared" si="1171"/>
        <v>6797</v>
      </c>
      <c r="Z193" s="112">
        <f t="shared" si="1171"/>
        <v>6983</v>
      </c>
      <c r="AA193" s="112">
        <f t="shared" si="1171"/>
        <v>7374.6980000000003</v>
      </c>
      <c r="AB193" s="112">
        <f t="shared" si="1171"/>
        <v>8252.1</v>
      </c>
      <c r="AC193" s="112">
        <f t="shared" si="1171"/>
        <v>9442.6</v>
      </c>
      <c r="AD193" s="112">
        <f t="shared" si="1171"/>
        <v>11523</v>
      </c>
      <c r="AE193" s="112">
        <f t="shared" si="1171"/>
        <v>11949</v>
      </c>
      <c r="AF193" s="112">
        <f t="shared" si="1171"/>
        <v>13867.739</v>
      </c>
      <c r="AG193" s="112">
        <f t="shared" si="1171"/>
        <v>14079.280999999999</v>
      </c>
      <c r="AH193" s="112">
        <f t="shared" si="1171"/>
        <v>13852.918</v>
      </c>
      <c r="AI193" s="112">
        <f t="shared" ref="AI193:AN193" si="1179">AI153</f>
        <v>14955.42</v>
      </c>
      <c r="AJ193" s="112">
        <f t="shared" si="1179"/>
        <v>16095.615</v>
      </c>
      <c r="AK193" s="112">
        <f t="shared" si="1179"/>
        <v>15892.584999999999</v>
      </c>
      <c r="AL193" s="112">
        <f t="shared" si="1179"/>
        <v>16906.234</v>
      </c>
      <c r="AM193" s="112">
        <f t="shared" si="1179"/>
        <v>17075.935000000001</v>
      </c>
      <c r="AN193" s="112">
        <f t="shared" si="1179"/>
        <v>19288.449000000001</v>
      </c>
      <c r="AO193" s="112">
        <f t="shared" ref="AO193:AT193" si="1180">AO153</f>
        <v>24783.808000000001</v>
      </c>
      <c r="AP193" s="112">
        <f t="shared" si="1180"/>
        <v>22245.441999999999</v>
      </c>
      <c r="AQ193" s="112">
        <f t="shared" si="1180"/>
        <v>32578.621999999999</v>
      </c>
      <c r="AR193" s="112">
        <f t="shared" si="1180"/>
        <v>39252.631000000001</v>
      </c>
      <c r="AS193" s="112">
        <f t="shared" si="1180"/>
        <v>44243.762999999999</v>
      </c>
      <c r="AT193" s="112">
        <f t="shared" si="1180"/>
        <v>48542.620999999999</v>
      </c>
      <c r="AU193" s="112">
        <f t="shared" ref="AU193" si="1181">AU153</f>
        <v>51358.648000000001</v>
      </c>
      <c r="AV193" s="112">
        <f t="shared" ref="AV193:AX193" si="1182">AV153</f>
        <v>60400.178</v>
      </c>
      <c r="AW193" s="112">
        <f t="shared" si="1182"/>
        <v>64380.726000000002</v>
      </c>
      <c r="AX193" s="112">
        <f t="shared" si="1182"/>
        <v>87381.763999999996</v>
      </c>
      <c r="AY193" s="112">
        <f t="shared" ref="AY193:BB193" si="1183">AY153</f>
        <v>105721.08900000001</v>
      </c>
      <c r="AZ193" s="112">
        <f t="shared" si="1183"/>
        <v>111480.77900000001</v>
      </c>
      <c r="BA193" s="112">
        <f t="shared" si="1183"/>
        <v>130765.54699999999</v>
      </c>
      <c r="BB193" s="112">
        <f t="shared" si="1183"/>
        <v>139442.761</v>
      </c>
      <c r="BC193" s="112">
        <f t="shared" ref="BC193:BF193" si="1184">BC153</f>
        <v>146958.549</v>
      </c>
      <c r="BD193" s="112">
        <f t="shared" si="1184"/>
        <v>168851.15700000001</v>
      </c>
      <c r="BE193" s="112">
        <f t="shared" si="1184"/>
        <v>216553.076</v>
      </c>
      <c r="BF193" s="112">
        <f t="shared" si="1184"/>
        <v>232777.74799999999</v>
      </c>
      <c r="BG193" s="112">
        <f t="shared" ref="BG193:BH193" si="1185">BG153</f>
        <v>246971.36499999999</v>
      </c>
      <c r="BH193" s="112">
        <f t="shared" si="1185"/>
        <v>261818.467</v>
      </c>
      <c r="BJ193" s="112">
        <f t="shared" ref="BJ193:BL193" si="1186">BJ153</f>
        <v>60400.178</v>
      </c>
      <c r="BK193" s="112">
        <f t="shared" si="1186"/>
        <v>64380.726000000002</v>
      </c>
      <c r="BL193" s="112">
        <f t="shared" si="1186"/>
        <v>87381.763999999996</v>
      </c>
      <c r="BM193" s="112">
        <f t="shared" ref="BM193:BN193" si="1187">BM153</f>
        <v>5502.4040000000005</v>
      </c>
      <c r="BN193" s="112">
        <f t="shared" si="1187"/>
        <v>111480.77900000001</v>
      </c>
      <c r="BO193" s="112">
        <f t="shared" ref="BO193:BR193" si="1188">BO153</f>
        <v>130765.54699999999</v>
      </c>
      <c r="BP193" s="112">
        <f t="shared" si="1188"/>
        <v>139442.761</v>
      </c>
      <c r="BQ193" s="112">
        <f t="shared" si="1188"/>
        <v>11664.531999999999</v>
      </c>
      <c r="BR193" s="112">
        <f t="shared" si="1188"/>
        <v>168851.15700000001</v>
      </c>
      <c r="BW193" s="39"/>
      <c r="BX193" s="39"/>
    </row>
    <row r="194" spans="2:76" ht="13.5" customHeight="1">
      <c r="B194" s="1" t="s">
        <v>385</v>
      </c>
      <c r="C194" s="23">
        <f t="shared" ref="C194:AH194" si="1189">C159</f>
        <v>4984.6080000000002</v>
      </c>
      <c r="D194" s="23">
        <f t="shared" si="1189"/>
        <v>5607.4</v>
      </c>
      <c r="E194" s="112">
        <f t="shared" si="1189"/>
        <v>5838.0559999999996</v>
      </c>
      <c r="F194" s="112">
        <f t="shared" si="1189"/>
        <v>7627.2020000000002</v>
      </c>
      <c r="G194" s="112">
        <f t="shared" si="1189"/>
        <v>12285</v>
      </c>
      <c r="H194" s="112">
        <f t="shared" ref="H194:J194" si="1190">H159</f>
        <v>14955.42</v>
      </c>
      <c r="I194" s="112">
        <f t="shared" si="1190"/>
        <v>17075.935000000001</v>
      </c>
      <c r="J194" s="112">
        <f t="shared" si="1190"/>
        <v>32578.621999999999</v>
      </c>
      <c r="K194" s="112">
        <f t="shared" ref="K194" si="1191">K159</f>
        <v>51358.648000000001</v>
      </c>
      <c r="L194" s="112">
        <f t="shared" ref="L194:M194" si="1192">L159</f>
        <v>84757.777000000002</v>
      </c>
      <c r="M194" s="112">
        <f t="shared" si="1192"/>
        <v>105721.08900000001</v>
      </c>
      <c r="N194" s="112">
        <f t="shared" ref="N194" si="1193">N159</f>
        <v>147135.76500000001</v>
      </c>
      <c r="O194" s="112">
        <f t="shared" ref="O194:P194" si="1194">O159</f>
        <v>146958.549</v>
      </c>
      <c r="P194" s="112">
        <f t="shared" si="1194"/>
        <v>180687.772</v>
      </c>
      <c r="Q194" s="112">
        <f t="shared" ref="Q194" si="1195">Q159</f>
        <v>246971.36499999999</v>
      </c>
      <c r="R194" s="112">
        <f t="shared" ref="R194" si="1196">R159</f>
        <v>261818.467</v>
      </c>
      <c r="S194" s="112"/>
      <c r="T194" s="112">
        <f t="shared" si="1189"/>
        <v>5772.0559999999996</v>
      </c>
      <c r="U194" s="112">
        <f t="shared" si="1189"/>
        <v>5337.0559999999996</v>
      </c>
      <c r="V194" s="112">
        <f t="shared" si="1189"/>
        <v>5392.0559999999996</v>
      </c>
      <c r="W194" s="112">
        <f t="shared" si="1189"/>
        <v>5838.0560000000005</v>
      </c>
      <c r="X194" s="112">
        <f t="shared" si="1189"/>
        <v>7003.5039999999999</v>
      </c>
      <c r="Y194" s="112">
        <f t="shared" si="1189"/>
        <v>7049.5039999999999</v>
      </c>
      <c r="Z194" s="112">
        <f t="shared" si="1189"/>
        <v>7235.5039999999999</v>
      </c>
      <c r="AA194" s="112">
        <f t="shared" si="1189"/>
        <v>7627.2020000000002</v>
      </c>
      <c r="AB194" s="112">
        <f t="shared" si="1189"/>
        <v>8504.6040000000012</v>
      </c>
      <c r="AC194" s="112">
        <f t="shared" si="1189"/>
        <v>9695.1040000000012</v>
      </c>
      <c r="AD194" s="112">
        <f t="shared" si="1189"/>
        <v>11775.504000000001</v>
      </c>
      <c r="AE194" s="112">
        <f t="shared" si="1189"/>
        <v>12535.487999999999</v>
      </c>
      <c r="AF194" s="112">
        <f t="shared" si="1189"/>
        <v>13867.739</v>
      </c>
      <c r="AG194" s="112">
        <f t="shared" si="1189"/>
        <v>14079.280999999999</v>
      </c>
      <c r="AH194" s="112">
        <f t="shared" si="1189"/>
        <v>13852.918</v>
      </c>
      <c r="AI194" s="112">
        <f t="shared" ref="AI194:AN194" si="1197">AI159</f>
        <v>14955.42</v>
      </c>
      <c r="AJ194" s="112">
        <f t="shared" si="1197"/>
        <v>16095.615</v>
      </c>
      <c r="AK194" s="112">
        <f t="shared" si="1197"/>
        <v>15892.584999999999</v>
      </c>
      <c r="AL194" s="112">
        <f t="shared" si="1197"/>
        <v>16906.234</v>
      </c>
      <c r="AM194" s="112">
        <f t="shared" si="1197"/>
        <v>17075.935000000001</v>
      </c>
      <c r="AN194" s="112">
        <f t="shared" si="1197"/>
        <v>19288.449000000001</v>
      </c>
      <c r="AO194" s="112">
        <f t="shared" ref="AO194:AT194" si="1198">AO159</f>
        <v>24783.808000000001</v>
      </c>
      <c r="AP194" s="112">
        <f t="shared" si="1198"/>
        <v>22245.441999999999</v>
      </c>
      <c r="AQ194" s="112">
        <f t="shared" si="1198"/>
        <v>32578.621999999999</v>
      </c>
      <c r="AR194" s="112">
        <f t="shared" si="1198"/>
        <v>39252.631000000001</v>
      </c>
      <c r="AS194" s="112">
        <f t="shared" si="1198"/>
        <v>44243.762999999999</v>
      </c>
      <c r="AT194" s="112">
        <f t="shared" si="1198"/>
        <v>48542.620999999999</v>
      </c>
      <c r="AU194" s="112">
        <f t="shared" ref="AU194" si="1199">AU159</f>
        <v>51358.648000000001</v>
      </c>
      <c r="AV194" s="112">
        <f t="shared" ref="AV194:AX194" si="1200">AV159</f>
        <v>60400.178</v>
      </c>
      <c r="AW194" s="112">
        <f t="shared" si="1200"/>
        <v>64380.726000000002</v>
      </c>
      <c r="AX194" s="112">
        <f t="shared" si="1200"/>
        <v>87381.763999999996</v>
      </c>
      <c r="AY194" s="112">
        <f t="shared" ref="AY194:BB194" si="1201">AY159</f>
        <v>105721.08900000001</v>
      </c>
      <c r="AZ194" s="112">
        <f t="shared" si="1201"/>
        <v>111480.77900000001</v>
      </c>
      <c r="BA194" s="112">
        <f t="shared" si="1201"/>
        <v>130765.54699999999</v>
      </c>
      <c r="BB194" s="112">
        <f t="shared" si="1201"/>
        <v>139442.761</v>
      </c>
      <c r="BC194" s="112">
        <f t="shared" ref="BC194:BF194" si="1202">BC159</f>
        <v>146958.549</v>
      </c>
      <c r="BD194" s="112">
        <f t="shared" si="1202"/>
        <v>168851.15700000001</v>
      </c>
      <c r="BE194" s="112">
        <f t="shared" si="1202"/>
        <v>216553.076</v>
      </c>
      <c r="BF194" s="112">
        <f t="shared" si="1202"/>
        <v>232777.74799999999</v>
      </c>
      <c r="BG194" s="112">
        <f t="shared" ref="BG194:BH194" si="1203">BG159</f>
        <v>246971.36499999999</v>
      </c>
      <c r="BH194" s="112">
        <f t="shared" si="1203"/>
        <v>261818.467</v>
      </c>
      <c r="BJ194" s="112">
        <f t="shared" ref="BJ194:BL194" si="1204">BJ159</f>
        <v>60400.178</v>
      </c>
      <c r="BK194" s="112">
        <f t="shared" si="1204"/>
        <v>64380.726000000002</v>
      </c>
      <c r="BL194" s="112">
        <f t="shared" si="1204"/>
        <v>87381.763999999996</v>
      </c>
      <c r="BM194" s="112">
        <f t="shared" ref="BM194:BN194" si="1205">BM159</f>
        <v>5502.4040000000005</v>
      </c>
      <c r="BN194" s="112">
        <f t="shared" si="1205"/>
        <v>111480.77900000001</v>
      </c>
      <c r="BO194" s="112">
        <f t="shared" ref="BO194:BR194" si="1206">BO159</f>
        <v>130765.54699999999</v>
      </c>
      <c r="BP194" s="112">
        <f t="shared" si="1206"/>
        <v>139442.761</v>
      </c>
      <c r="BQ194" s="112">
        <f t="shared" si="1206"/>
        <v>11664.531999999999</v>
      </c>
      <c r="BR194" s="112">
        <f t="shared" si="1206"/>
        <v>168851.15700000001</v>
      </c>
      <c r="BW194" s="39"/>
      <c r="BX194" s="39"/>
    </row>
    <row r="195" spans="2:76" ht="13.5" customHeight="1">
      <c r="B195" s="1" t="s">
        <v>386</v>
      </c>
      <c r="C195" s="23">
        <f t="shared" ref="C195:AH195" si="1207">C151</f>
        <v>3143.4769999999999</v>
      </c>
      <c r="D195" s="23">
        <f t="shared" si="1207"/>
        <v>3288.8470000000002</v>
      </c>
      <c r="E195" s="112">
        <f t="shared" si="1207"/>
        <v>3216.1289999999999</v>
      </c>
      <c r="F195" s="112">
        <f t="shared" si="1207"/>
        <v>4792.7340000000004</v>
      </c>
      <c r="G195" s="112">
        <f t="shared" si="1207"/>
        <v>6607.4759999999997</v>
      </c>
      <c r="H195" s="112">
        <f t="shared" ref="H195:J195" si="1208">H151</f>
        <v>8018.36</v>
      </c>
      <c r="I195" s="112">
        <f t="shared" si="1208"/>
        <v>5073.6890000000021</v>
      </c>
      <c r="J195" s="112">
        <f t="shared" si="1208"/>
        <v>16564.032999999999</v>
      </c>
      <c r="K195" s="112">
        <f t="shared" ref="K195" si="1209">K151</f>
        <v>26829.429</v>
      </c>
      <c r="L195" s="112">
        <f t="shared" ref="L195:M195" si="1210">L151</f>
        <v>44340.267</v>
      </c>
      <c r="M195" s="112">
        <f t="shared" si="1210"/>
        <v>56929.311000000009</v>
      </c>
      <c r="N195" s="112">
        <f t="shared" ref="N195" si="1211">N151</f>
        <v>76690.787000000011</v>
      </c>
      <c r="O195" s="112">
        <f t="shared" ref="O195:P195" si="1212">O151</f>
        <v>96142.724000000002</v>
      </c>
      <c r="P195" s="112">
        <f t="shared" si="1212"/>
        <v>114173.766</v>
      </c>
      <c r="Q195" s="112">
        <f t="shared" ref="Q195" si="1213">Q151</f>
        <v>149142.21100000001</v>
      </c>
      <c r="R195" s="112">
        <f t="shared" ref="R195" si="1214">R151</f>
        <v>182356.79499999998</v>
      </c>
      <c r="S195" s="112"/>
      <c r="T195" s="112">
        <f t="shared" si="1207"/>
        <v>3101</v>
      </c>
      <c r="U195" s="112">
        <f t="shared" si="1207"/>
        <v>2690.5770000000002</v>
      </c>
      <c r="V195" s="112">
        <f t="shared" si="1207"/>
        <v>2490.7330000000002</v>
      </c>
      <c r="W195" s="112">
        <f t="shared" si="1207"/>
        <v>3216.1289999999999</v>
      </c>
      <c r="X195" s="112">
        <f t="shared" si="1207"/>
        <v>3864.5680000000002</v>
      </c>
      <c r="Y195" s="112">
        <f t="shared" si="1207"/>
        <v>4758.99</v>
      </c>
      <c r="Z195" s="112">
        <f t="shared" si="1207"/>
        <v>5000.125</v>
      </c>
      <c r="AA195" s="112">
        <f t="shared" si="1207"/>
        <v>4792.7340000000004</v>
      </c>
      <c r="AB195" s="112">
        <f t="shared" si="1207"/>
        <v>5640.5160000000005</v>
      </c>
      <c r="AC195" s="112">
        <f t="shared" si="1207"/>
        <v>6486.6260000000002</v>
      </c>
      <c r="AD195" s="112">
        <f t="shared" si="1207"/>
        <v>7297.8360000000002</v>
      </c>
      <c r="AE195" s="112">
        <f t="shared" si="1207"/>
        <v>6607.4759999999997</v>
      </c>
      <c r="AF195" s="112">
        <f t="shared" si="1207"/>
        <v>7389.6409999999996</v>
      </c>
      <c r="AG195" s="112">
        <f t="shared" si="1207"/>
        <v>8291.5</v>
      </c>
      <c r="AH195" s="112">
        <f t="shared" si="1207"/>
        <v>8371.2779999999984</v>
      </c>
      <c r="AI195" s="112">
        <f t="shared" ref="AI195:AN195" si="1215">AI151</f>
        <v>8018.36</v>
      </c>
      <c r="AJ195" s="112">
        <f t="shared" si="1215"/>
        <v>8268.9830000000002</v>
      </c>
      <c r="AK195" s="112">
        <f t="shared" si="1215"/>
        <v>6639.4269999999997</v>
      </c>
      <c r="AL195" s="112">
        <f t="shared" si="1215"/>
        <v>5366.0830000000005</v>
      </c>
      <c r="AM195" s="112">
        <f t="shared" si="1215"/>
        <v>5073.6890000000021</v>
      </c>
      <c r="AN195" s="112">
        <f t="shared" si="1215"/>
        <v>9075.4089999999997</v>
      </c>
      <c r="AO195" s="112">
        <f t="shared" ref="AO195:AT195" si="1216">AO151</f>
        <v>14040.317000000001</v>
      </c>
      <c r="AP195" s="112">
        <f t="shared" si="1216"/>
        <v>13904.866999999998</v>
      </c>
      <c r="AQ195" s="112">
        <f t="shared" si="1216"/>
        <v>16564.032999999999</v>
      </c>
      <c r="AR195" s="112">
        <f t="shared" si="1216"/>
        <v>22558.175000000003</v>
      </c>
      <c r="AS195" s="112">
        <f t="shared" si="1216"/>
        <v>29287.576000000001</v>
      </c>
      <c r="AT195" s="112">
        <f t="shared" si="1216"/>
        <v>28117.224999999999</v>
      </c>
      <c r="AU195" s="112">
        <f t="shared" ref="AU195" si="1217">AU151</f>
        <v>26829.429</v>
      </c>
      <c r="AV195" s="112">
        <f t="shared" ref="AV195:AX195" si="1218">AV151</f>
        <v>31052.714</v>
      </c>
      <c r="AW195" s="112">
        <f t="shared" si="1218"/>
        <v>35714.885999999999</v>
      </c>
      <c r="AX195" s="112">
        <f t="shared" si="1218"/>
        <v>47758.623999999996</v>
      </c>
      <c r="AY195" s="112">
        <f t="shared" ref="AY195:BB195" si="1219">AY151</f>
        <v>56929.311000000009</v>
      </c>
      <c r="AZ195" s="112">
        <f t="shared" si="1219"/>
        <v>64879.994000000006</v>
      </c>
      <c r="BA195" s="112">
        <f t="shared" si="1219"/>
        <v>85508.522999999986</v>
      </c>
      <c r="BB195" s="112">
        <f t="shared" si="1219"/>
        <v>105133.16800000001</v>
      </c>
      <c r="BC195" s="112">
        <f>BC151</f>
        <v>96142.724000000002</v>
      </c>
      <c r="BD195" s="112">
        <f>BD151</f>
        <v>124984.486</v>
      </c>
      <c r="BE195" s="112">
        <f t="shared" ref="BE195:BF195" si="1220">BE151</f>
        <v>156477.932</v>
      </c>
      <c r="BF195" s="112">
        <f t="shared" si="1220"/>
        <v>161337.37299999999</v>
      </c>
      <c r="BG195" s="112">
        <f>BG151</f>
        <v>149142.21100000001</v>
      </c>
      <c r="BH195" s="112">
        <f>BH151</f>
        <v>182356.79499999998</v>
      </c>
      <c r="BJ195" s="112">
        <f t="shared" ref="BJ195:BL195" si="1221">BJ151</f>
        <v>10953.39</v>
      </c>
      <c r="BK195" s="112">
        <f t="shared" si="1221"/>
        <v>15205.639000000003</v>
      </c>
      <c r="BL195" s="112">
        <f t="shared" si="1221"/>
        <v>28198.527999999998</v>
      </c>
      <c r="BM195" s="112">
        <f t="shared" ref="BM195:BN195" si="1222">BM151</f>
        <v>-64942.574000000001</v>
      </c>
      <c r="BN195" s="112">
        <f t="shared" si="1222"/>
        <v>64879.994000000006</v>
      </c>
      <c r="BO195" s="112">
        <f t="shared" ref="BO195:BR195" si="1223">BO151</f>
        <v>85508.522999999986</v>
      </c>
      <c r="BP195" s="112">
        <f t="shared" si="1223"/>
        <v>105133.16800000001</v>
      </c>
      <c r="BQ195" s="112">
        <f t="shared" si="1223"/>
        <v>-54849.473999999995</v>
      </c>
      <c r="BR195" s="112">
        <f t="shared" si="1223"/>
        <v>124984.486</v>
      </c>
      <c r="BW195" s="39"/>
      <c r="BX195" s="39"/>
    </row>
    <row r="196" spans="2:76" ht="13.5" customHeight="1">
      <c r="B196" s="1" t="s">
        <v>387</v>
      </c>
      <c r="C196" s="23">
        <f t="shared" ref="C196:AH196" si="1224">C158</f>
        <v>3364.085</v>
      </c>
      <c r="D196" s="23">
        <f t="shared" si="1224"/>
        <v>3441.2470000000003</v>
      </c>
      <c r="E196" s="112">
        <f t="shared" si="1224"/>
        <v>3396.1849999999999</v>
      </c>
      <c r="F196" s="112">
        <f t="shared" si="1224"/>
        <v>5045.2380000000003</v>
      </c>
      <c r="G196" s="112">
        <f t="shared" si="1224"/>
        <v>6943.4759999999997</v>
      </c>
      <c r="H196" s="112">
        <f t="shared" ref="H196:J196" si="1225">H158</f>
        <v>8018.36</v>
      </c>
      <c r="I196" s="112">
        <f t="shared" si="1225"/>
        <v>5073.6890000000021</v>
      </c>
      <c r="J196" s="112">
        <f t="shared" si="1225"/>
        <v>16564.032999999999</v>
      </c>
      <c r="K196" s="112">
        <f t="shared" ref="K196" si="1226">K158</f>
        <v>26829.429</v>
      </c>
      <c r="L196" s="112">
        <f t="shared" ref="L196:M196" si="1227">L158</f>
        <v>44340.267</v>
      </c>
      <c r="M196" s="112">
        <f t="shared" si="1227"/>
        <v>56929.311000000009</v>
      </c>
      <c r="N196" s="112">
        <f t="shared" ref="N196" si="1228">N158</f>
        <v>76690.787000000011</v>
      </c>
      <c r="O196" s="112">
        <f t="shared" ref="O196:P196" si="1229">O158</f>
        <v>96142.724000000002</v>
      </c>
      <c r="P196" s="112">
        <f t="shared" si="1229"/>
        <v>114173.766</v>
      </c>
      <c r="Q196" s="112">
        <f t="shared" ref="Q196" si="1230">Q158</f>
        <v>149142.21100000001</v>
      </c>
      <c r="R196" s="112">
        <f t="shared" ref="R196" si="1231">R158</f>
        <v>182356.79499999998</v>
      </c>
      <c r="S196" s="112"/>
      <c r="T196" s="112">
        <f t="shared" si="1224"/>
        <v>3281.056</v>
      </c>
      <c r="U196" s="112">
        <f t="shared" si="1224"/>
        <v>2870.6330000000003</v>
      </c>
      <c r="V196" s="112">
        <f t="shared" si="1224"/>
        <v>2670.7890000000002</v>
      </c>
      <c r="W196" s="112">
        <f t="shared" si="1224"/>
        <v>3396.1849999999999</v>
      </c>
      <c r="X196" s="112">
        <f t="shared" si="1224"/>
        <v>4117.0720000000001</v>
      </c>
      <c r="Y196" s="112">
        <f t="shared" si="1224"/>
        <v>5011.4939999999997</v>
      </c>
      <c r="Z196" s="112">
        <f t="shared" si="1224"/>
        <v>5252.6289999999999</v>
      </c>
      <c r="AA196" s="112">
        <f t="shared" si="1224"/>
        <v>5045.2380000000003</v>
      </c>
      <c r="AB196" s="112">
        <f t="shared" si="1224"/>
        <v>5893.02</v>
      </c>
      <c r="AC196" s="112">
        <f t="shared" si="1224"/>
        <v>6739.13</v>
      </c>
      <c r="AD196" s="112">
        <f t="shared" si="1224"/>
        <v>7550.34</v>
      </c>
      <c r="AE196" s="112">
        <f t="shared" si="1224"/>
        <v>7193.9639999999999</v>
      </c>
      <c r="AF196" s="112">
        <f t="shared" si="1224"/>
        <v>7389.6409999999996</v>
      </c>
      <c r="AG196" s="112">
        <f t="shared" si="1224"/>
        <v>8291.5</v>
      </c>
      <c r="AH196" s="112">
        <f t="shared" si="1224"/>
        <v>8371.2779999999984</v>
      </c>
      <c r="AI196" s="112">
        <f t="shared" ref="AI196:AN196" si="1232">AI158</f>
        <v>8018.36</v>
      </c>
      <c r="AJ196" s="112">
        <f t="shared" si="1232"/>
        <v>8268.9830000000002</v>
      </c>
      <c r="AK196" s="112">
        <f t="shared" si="1232"/>
        <v>6639.4269999999997</v>
      </c>
      <c r="AL196" s="112">
        <f t="shared" si="1232"/>
        <v>5366.0830000000005</v>
      </c>
      <c r="AM196" s="112">
        <f t="shared" si="1232"/>
        <v>5073.6890000000021</v>
      </c>
      <c r="AN196" s="112">
        <f t="shared" si="1232"/>
        <v>9075.4089999999997</v>
      </c>
      <c r="AO196" s="112">
        <f t="shared" ref="AO196:AT196" si="1233">AO158</f>
        <v>14040.317000000001</v>
      </c>
      <c r="AP196" s="112">
        <f t="shared" si="1233"/>
        <v>13904.866999999998</v>
      </c>
      <c r="AQ196" s="112">
        <f t="shared" si="1233"/>
        <v>16564.032999999999</v>
      </c>
      <c r="AR196" s="112">
        <f t="shared" si="1233"/>
        <v>22558.175000000003</v>
      </c>
      <c r="AS196" s="112">
        <f t="shared" si="1233"/>
        <v>29287.576000000001</v>
      </c>
      <c r="AT196" s="112">
        <f t="shared" si="1233"/>
        <v>28117.224999999999</v>
      </c>
      <c r="AU196" s="112">
        <f t="shared" ref="AU196" si="1234">AU158</f>
        <v>26829.429</v>
      </c>
      <c r="AV196" s="112">
        <f t="shared" ref="AV196:AX196" si="1235">AV158</f>
        <v>31052.714</v>
      </c>
      <c r="AW196" s="112">
        <f t="shared" si="1235"/>
        <v>35714.885999999999</v>
      </c>
      <c r="AX196" s="112">
        <f t="shared" si="1235"/>
        <v>47758.623999999996</v>
      </c>
      <c r="AY196" s="112">
        <f t="shared" ref="AY196:BB196" si="1236">AY158</f>
        <v>56929.311000000009</v>
      </c>
      <c r="AZ196" s="112">
        <f t="shared" si="1236"/>
        <v>64879.994000000006</v>
      </c>
      <c r="BA196" s="112">
        <f t="shared" si="1236"/>
        <v>85508.522999999986</v>
      </c>
      <c r="BB196" s="112">
        <f t="shared" si="1236"/>
        <v>105133.16800000001</v>
      </c>
      <c r="BC196" s="112">
        <f t="shared" ref="BC196:BF196" si="1237">BC158</f>
        <v>96142.724000000002</v>
      </c>
      <c r="BD196" s="112">
        <f t="shared" si="1237"/>
        <v>124984.486</v>
      </c>
      <c r="BE196" s="112">
        <f t="shared" si="1237"/>
        <v>156477.932</v>
      </c>
      <c r="BF196" s="112">
        <f t="shared" si="1237"/>
        <v>161337.37299999999</v>
      </c>
      <c r="BG196" s="112">
        <f t="shared" ref="BG196:BH196" si="1238">BG158</f>
        <v>149142.21100000001</v>
      </c>
      <c r="BH196" s="112">
        <f t="shared" si="1238"/>
        <v>182356.79499999998</v>
      </c>
      <c r="BJ196" s="112">
        <f t="shared" ref="BJ196:BL196" si="1239">BJ158</f>
        <v>10953.39</v>
      </c>
      <c r="BK196" s="112">
        <f t="shared" si="1239"/>
        <v>15205.639000000003</v>
      </c>
      <c r="BL196" s="112">
        <f t="shared" si="1239"/>
        <v>28198.527999999998</v>
      </c>
      <c r="BM196" s="112">
        <f t="shared" ref="BM196:BN196" si="1240">BM158</f>
        <v>-64942.574000000001</v>
      </c>
      <c r="BN196" s="112">
        <f t="shared" si="1240"/>
        <v>64879.994000000006</v>
      </c>
      <c r="BO196" s="112">
        <f t="shared" ref="BO196:BR196" si="1241">BO158</f>
        <v>85508.522999999986</v>
      </c>
      <c r="BP196" s="112">
        <f t="shared" si="1241"/>
        <v>105133.16800000001</v>
      </c>
      <c r="BQ196" s="112">
        <f t="shared" si="1241"/>
        <v>-54849.473999999995</v>
      </c>
      <c r="BR196" s="112">
        <f t="shared" si="1241"/>
        <v>124984.486</v>
      </c>
      <c r="BW196" s="39"/>
      <c r="BX196" s="39"/>
    </row>
    <row r="197" spans="2:76" ht="13.5" customHeight="1">
      <c r="B197" s="1" t="s">
        <v>388</v>
      </c>
      <c r="C197" s="42">
        <f t="shared" ref="C197:J197" si="1242">C169</f>
        <v>3.4799123447772096</v>
      </c>
      <c r="D197" s="42">
        <f t="shared" si="1242"/>
        <v>3.5723641126391619</v>
      </c>
      <c r="E197" s="127">
        <f t="shared" si="1242"/>
        <v>3.1984171848501979</v>
      </c>
      <c r="F197" s="127">
        <f t="shared" si="1242"/>
        <v>3.7741545547594679</v>
      </c>
      <c r="G197" s="127">
        <f t="shared" si="1242"/>
        <v>4.2720772255988555</v>
      </c>
      <c r="H197" s="127">
        <f t="shared" si="1242"/>
        <v>4.4629722470904207</v>
      </c>
      <c r="I197" s="127">
        <f t="shared" si="1242"/>
        <v>3.3660427754780211</v>
      </c>
      <c r="J197" s="127">
        <f t="shared" si="1242"/>
        <v>4.7119788834249352</v>
      </c>
      <c r="K197" s="127">
        <f t="shared" ref="K197" si="1243">K169</f>
        <v>4.3147650172225491</v>
      </c>
      <c r="L197" s="127">
        <f t="shared" ref="L197:M197" si="1244">L169</f>
        <v>5.181426641398704</v>
      </c>
      <c r="M197" s="127">
        <f t="shared" si="1244"/>
        <v>5.265781192409225</v>
      </c>
      <c r="N197" s="127">
        <f t="shared" ref="N197" si="1245">N169</f>
        <v>4.8105592427908199</v>
      </c>
      <c r="O197" s="127">
        <f t="shared" ref="O197:P197" si="1246">O169</f>
        <v>6.4098464256117245</v>
      </c>
      <c r="P197" s="127">
        <f t="shared" si="1246"/>
        <v>6.0211193975140791</v>
      </c>
      <c r="Q197" s="127">
        <f t="shared" ref="Q197" si="1247">Q169</f>
        <v>8.0486024116017596</v>
      </c>
      <c r="R197" s="127">
        <f>R169</f>
        <v>7.8856233660622852</v>
      </c>
      <c r="S197" s="127"/>
      <c r="T197" s="127"/>
      <c r="U197" s="127"/>
      <c r="V197" s="127"/>
      <c r="W197" s="127">
        <f t="shared" ref="W197:AH197" si="1248">W169</f>
        <v>3.1984171848501979</v>
      </c>
      <c r="X197" s="127">
        <f t="shared" si="1248"/>
        <v>3.6830332787779598</v>
      </c>
      <c r="Y197" s="127">
        <f t="shared" si="1248"/>
        <v>3.6001059322033897</v>
      </c>
      <c r="Z197" s="127">
        <f t="shared" si="1248"/>
        <v>3.5810256410256409</v>
      </c>
      <c r="AA197" s="127">
        <f t="shared" si="1248"/>
        <v>3.7741545547594679</v>
      </c>
      <c r="AB197" s="127">
        <f t="shared" si="1248"/>
        <v>4.142620481927711</v>
      </c>
      <c r="AC197" s="127">
        <f t="shared" si="1248"/>
        <v>4.5506506024096387</v>
      </c>
      <c r="AD197" s="127">
        <f t="shared" si="1248"/>
        <v>4.9753886010362693</v>
      </c>
      <c r="AE197" s="127">
        <f t="shared" si="1248"/>
        <v>4.2720772255988555</v>
      </c>
      <c r="AF197" s="127">
        <f t="shared" si="1248"/>
        <v>4.6961527260413138</v>
      </c>
      <c r="AG197" s="127">
        <f t="shared" si="1248"/>
        <v>4.3174734743943572</v>
      </c>
      <c r="AH197" s="127">
        <f t="shared" si="1248"/>
        <v>4.0888187721369542</v>
      </c>
      <c r="AI197" s="127">
        <f t="shared" ref="AI197:AN197" si="1249">AI169</f>
        <v>4.4629722470904207</v>
      </c>
      <c r="AJ197" s="127">
        <f t="shared" si="1249"/>
        <v>4.5429339542760374</v>
      </c>
      <c r="AK197" s="127">
        <f t="shared" si="1249"/>
        <v>4.5085347517730492</v>
      </c>
      <c r="AL197" s="127">
        <f t="shared" si="1249"/>
        <v>3.8900676484123333</v>
      </c>
      <c r="AM197" s="127">
        <f t="shared" si="1249"/>
        <v>3.3660427754780211</v>
      </c>
      <c r="AN197" s="127">
        <f t="shared" si="1249"/>
        <v>3.1661932042022327</v>
      </c>
      <c r="AO197" s="127">
        <f t="shared" ref="AO197:AT197" si="1250">AO169</f>
        <v>3.7268884210526316</v>
      </c>
      <c r="AP197" s="127">
        <f t="shared" si="1250"/>
        <v>3.3217025533821114</v>
      </c>
      <c r="AQ197" s="127">
        <f t="shared" si="1250"/>
        <v>4.7119788834249352</v>
      </c>
      <c r="AR197" s="127">
        <f t="shared" si="1250"/>
        <v>4.8961745041786209</v>
      </c>
      <c r="AS197" s="127">
        <f t="shared" si="1250"/>
        <v>4.9116077930728244</v>
      </c>
      <c r="AT197" s="127">
        <f t="shared" si="1250"/>
        <v>4.7787577278991931</v>
      </c>
      <c r="AU197" s="127">
        <f t="shared" ref="AU197" si="1251">AU169</f>
        <v>4.3147650172225491</v>
      </c>
      <c r="AV197" s="127">
        <f t="shared" ref="AV197:AX197" si="1252">AV169</f>
        <v>4.7932845012300609</v>
      </c>
      <c r="AW197" s="127">
        <f t="shared" si="1252"/>
        <v>4.2272308601444522</v>
      </c>
      <c r="AX197" s="127">
        <f t="shared" si="1252"/>
        <v>4.6593667484270016</v>
      </c>
      <c r="AY197" s="127">
        <f t="shared" ref="AY197:BB197" si="1253">AY169</f>
        <v>5.265781192409225</v>
      </c>
      <c r="AZ197" s="127">
        <f t="shared" si="1253"/>
        <v>5.0359479152550035</v>
      </c>
      <c r="BA197" s="127">
        <f t="shared" si="1253"/>
        <v>5.794290455512229</v>
      </c>
      <c r="BB197" s="127">
        <f t="shared" si="1253"/>
        <v>6.9787678794855115</v>
      </c>
      <c r="BC197" s="127">
        <f t="shared" ref="BC197:BF197" si="1254">BC169</f>
        <v>6.4098464256117245</v>
      </c>
      <c r="BD197" s="127">
        <f t="shared" si="1254"/>
        <v>7.3538241801315278</v>
      </c>
      <c r="BE197" s="127">
        <f t="shared" si="1254"/>
        <v>8.7929623193113535</v>
      </c>
      <c r="BF197" s="127">
        <f t="shared" si="1254"/>
        <v>7.9141110393363476</v>
      </c>
      <c r="BG197" s="127">
        <f t="shared" ref="BG197:BH197" si="1255">BG169</f>
        <v>8.0486024116017596</v>
      </c>
      <c r="BH197" s="127">
        <f t="shared" si="1255"/>
        <v>7.8856233660622852</v>
      </c>
      <c r="BJ197" s="127">
        <f t="shared" ref="BJ197:BL197" si="1256">BJ169</f>
        <v>4.3269702700766528</v>
      </c>
      <c r="BK197" s="127">
        <f t="shared" si="1256"/>
        <v>3.2068502689778842</v>
      </c>
      <c r="BL197" s="127">
        <f t="shared" si="1256"/>
        <v>3.6117121600396791</v>
      </c>
      <c r="BM197" s="127">
        <f t="shared" ref="BM197:BN197" si="1257">BM169</f>
        <v>0.17989943111227361</v>
      </c>
      <c r="BN197" s="127">
        <f t="shared" si="1257"/>
        <v>3.3242121600667942</v>
      </c>
      <c r="BO197" s="127">
        <f t="shared" ref="BO197:BR197" si="1258">BO169</f>
        <v>4.1154889847044753</v>
      </c>
      <c r="BP197" s="127">
        <f t="shared" si="1258"/>
        <v>4.5042561211964598</v>
      </c>
      <c r="BQ197" s="127">
        <f t="shared" si="1258"/>
        <v>0.38870112299643439</v>
      </c>
      <c r="BR197" s="127">
        <f t="shared" si="1258"/>
        <v>5.7080949596024482</v>
      </c>
      <c r="BW197" s="39"/>
      <c r="BX197" s="39"/>
    </row>
    <row r="198" spans="2:76" ht="13.5" customHeight="1">
      <c r="B198" s="5" t="s">
        <v>389</v>
      </c>
      <c r="C198" s="41">
        <f t="shared" ref="C198:J198" si="1259">C168</f>
        <v>2.2961848064280495</v>
      </c>
      <c r="D198" s="41">
        <f t="shared" si="1259"/>
        <v>2.1537963326784548</v>
      </c>
      <c r="E198" s="128">
        <f t="shared" si="1259"/>
        <v>1.8180491803278689</v>
      </c>
      <c r="F198" s="128">
        <f t="shared" si="1259"/>
        <v>2.4527809621289665</v>
      </c>
      <c r="G198" s="128">
        <f t="shared" si="1259"/>
        <v>2.3623439399356454</v>
      </c>
      <c r="H198" s="128">
        <f t="shared" si="1259"/>
        <v>2.3928260220829602</v>
      </c>
      <c r="I198" s="128">
        <f t="shared" si="1259"/>
        <v>1.0001358170707673</v>
      </c>
      <c r="J198" s="128">
        <f t="shared" si="1259"/>
        <v>2.3957236042811685</v>
      </c>
      <c r="K198" s="128">
        <f t="shared" ref="K198" si="1260">K168</f>
        <v>2.2540056288330672</v>
      </c>
      <c r="L198" s="128">
        <f t="shared" ref="L198:M198" si="1261">L168</f>
        <v>2.7106166401760605</v>
      </c>
      <c r="M198" s="128">
        <f t="shared" si="1261"/>
        <v>2.8355486875529219</v>
      </c>
      <c r="N198" s="128">
        <f t="shared" ref="N198" si="1262">N168</f>
        <v>2.5073820375335125</v>
      </c>
      <c r="O198" s="128">
        <f t="shared" ref="O198:P198" si="1263">O168</f>
        <v>4.1934280106424744</v>
      </c>
      <c r="P198" s="128">
        <f t="shared" si="1263"/>
        <v>3.8046508047585728</v>
      </c>
      <c r="Q198" s="128">
        <f t="shared" ref="Q198" si="1264">Q168</f>
        <v>4.8604272771712562</v>
      </c>
      <c r="R198" s="128">
        <f>R168</f>
        <v>5.4923436841154141</v>
      </c>
      <c r="S198" s="128"/>
      <c r="T198" s="128"/>
      <c r="U198" s="128"/>
      <c r="V198" s="128"/>
      <c r="W198" s="128">
        <f t="shared" ref="W198:AH198" si="1265">W168</f>
        <v>1.8180491803278689</v>
      </c>
      <c r="X198" s="128">
        <f t="shared" si="1265"/>
        <v>2.1083295144571741</v>
      </c>
      <c r="Y198" s="128">
        <f t="shared" si="1265"/>
        <v>2.5206514830508473</v>
      </c>
      <c r="Z198" s="128">
        <f t="shared" si="1265"/>
        <v>2.5641666666666665</v>
      </c>
      <c r="AA198" s="128">
        <f t="shared" si="1265"/>
        <v>2.4527809621289665</v>
      </c>
      <c r="AB198" s="128">
        <f t="shared" si="1265"/>
        <v>2.8315843373493981</v>
      </c>
      <c r="AC198" s="128">
        <f t="shared" si="1265"/>
        <v>3.1260848192771085</v>
      </c>
      <c r="AD198" s="128">
        <f t="shared" si="1265"/>
        <v>3.1510518134715029</v>
      </c>
      <c r="AE198" s="128">
        <f t="shared" si="1265"/>
        <v>2.3623439399356454</v>
      </c>
      <c r="AF198" s="128">
        <f t="shared" si="1265"/>
        <v>2.5024182187605821</v>
      </c>
      <c r="AG198" s="128">
        <f t="shared" si="1265"/>
        <v>2.5426249616681997</v>
      </c>
      <c r="AH198" s="128">
        <f t="shared" si="1265"/>
        <v>2.4708612750885472</v>
      </c>
      <c r="AI198" s="128">
        <f t="shared" ref="AI198:AN198" si="1266">AI168</f>
        <v>2.3928260220829602</v>
      </c>
      <c r="AJ198" s="128">
        <f t="shared" si="1266"/>
        <v>2.3338930285069153</v>
      </c>
      <c r="AK198" s="128">
        <f t="shared" si="1266"/>
        <v>1.8835253900709219</v>
      </c>
      <c r="AL198" s="128">
        <f t="shared" si="1266"/>
        <v>1.2347176714219974</v>
      </c>
      <c r="AM198" s="128">
        <f t="shared" si="1266"/>
        <v>1.0001358170707673</v>
      </c>
      <c r="AN198" s="128">
        <f t="shared" si="1266"/>
        <v>1.4897257058437294</v>
      </c>
      <c r="AO198" s="128">
        <f t="shared" ref="AO198:AT198" si="1267">AO168</f>
        <v>2.1113258646616542</v>
      </c>
      <c r="AP198" s="128">
        <f t="shared" si="1267"/>
        <v>2.0762829625205312</v>
      </c>
      <c r="AQ198" s="128">
        <f t="shared" si="1267"/>
        <v>2.3957236042811685</v>
      </c>
      <c r="AR198" s="128">
        <f t="shared" si="1267"/>
        <v>2.8137925657976801</v>
      </c>
      <c r="AS198" s="128">
        <f t="shared" si="1267"/>
        <v>3.2512850799289521</v>
      </c>
      <c r="AT198" s="128">
        <f t="shared" si="1267"/>
        <v>2.7679882850954911</v>
      </c>
      <c r="AU198" s="128">
        <f t="shared" ref="AU198" si="1268">AU168</f>
        <v>2.2540056288330672</v>
      </c>
      <c r="AV198" s="128">
        <f t="shared" ref="AV198:AX198" si="1269">AV168</f>
        <v>2.4643055313070392</v>
      </c>
      <c r="AW198" s="128">
        <f t="shared" si="1269"/>
        <v>2.3450351936966514</v>
      </c>
      <c r="AX198" s="128">
        <f t="shared" si="1269"/>
        <v>2.5465833422203263</v>
      </c>
      <c r="AY198" s="128">
        <f t="shared" ref="AY198:BB198" si="1270">AY168</f>
        <v>2.8355486875529219</v>
      </c>
      <c r="AZ198" s="128">
        <f t="shared" si="1270"/>
        <v>2.9308394994805078</v>
      </c>
      <c r="BA198" s="128">
        <f t="shared" si="1270"/>
        <v>3.7889278181495918</v>
      </c>
      <c r="BB198" s="128">
        <f t="shared" si="1270"/>
        <v>5.2616569741254198</v>
      </c>
      <c r="BC198" s="128">
        <f t="shared" ref="BC198:BF198" si="1271">BC168</f>
        <v>4.1934280106424744</v>
      </c>
      <c r="BD198" s="128">
        <f t="shared" si="1271"/>
        <v>5.4433380950307049</v>
      </c>
      <c r="BE198" s="128">
        <f t="shared" si="1271"/>
        <v>6.3536597368848469</v>
      </c>
      <c r="BF198" s="128">
        <f t="shared" si="1271"/>
        <v>5.4852403019073197</v>
      </c>
      <c r="BG198" s="128">
        <f t="shared" ref="BG198:BH198" si="1272">BG168</f>
        <v>4.8604272771712562</v>
      </c>
      <c r="BH198" s="128">
        <f t="shared" si="1272"/>
        <v>5.4923436841154141</v>
      </c>
      <c r="BJ198" s="128">
        <f t="shared" ref="BJ198:BL198" si="1273">BJ168</f>
        <v>0.78468300021491511</v>
      </c>
      <c r="BK198" s="128">
        <f t="shared" si="1273"/>
        <v>0.75740381550109592</v>
      </c>
      <c r="BL198" s="128">
        <f t="shared" si="1273"/>
        <v>1.1655174010085145</v>
      </c>
      <c r="BM198" s="128">
        <f t="shared" ref="BM198:BN198" si="1274">BM168</f>
        <v>-2.1232777741450337</v>
      </c>
      <c r="BN198" s="128">
        <f t="shared" si="1274"/>
        <v>1.9346372256679392</v>
      </c>
      <c r="BO198" s="128">
        <f t="shared" ref="BO198:BR198" si="1275">BO168</f>
        <v>2.6911475734877568</v>
      </c>
      <c r="BP198" s="128">
        <f t="shared" si="1275"/>
        <v>3.3959935396343433</v>
      </c>
      <c r="BQ198" s="128">
        <f t="shared" si="1275"/>
        <v>-1.827767469759072</v>
      </c>
      <c r="BR198" s="128">
        <f t="shared" si="1275"/>
        <v>4.2251609479057501</v>
      </c>
      <c r="BW198" s="39"/>
      <c r="BX198" s="39"/>
    </row>
    <row r="199" spans="2:76" ht="13.5" customHeight="1">
      <c r="B199" s="1" t="s">
        <v>390</v>
      </c>
      <c r="C199" s="42">
        <f t="shared" ref="C199:J199" si="1276">C175</f>
        <v>3.569163439726875</v>
      </c>
      <c r="D199" s="42">
        <f t="shared" si="1276"/>
        <v>3.6269202160344101</v>
      </c>
      <c r="E199" s="127">
        <f t="shared" si="1276"/>
        <v>3.2587402672721901</v>
      </c>
      <c r="F199" s="127">
        <f t="shared" si="1276"/>
        <v>3.8413296379918442</v>
      </c>
      <c r="G199" s="127">
        <f t="shared" si="1276"/>
        <v>4.3272278971468827</v>
      </c>
      <c r="H199" s="127">
        <f t="shared" si="1276"/>
        <v>4.4629722470904207</v>
      </c>
      <c r="I199" s="127">
        <f t="shared" si="1276"/>
        <v>3.3660427754780211</v>
      </c>
      <c r="J199" s="127">
        <f t="shared" si="1276"/>
        <v>4.7119788834249352</v>
      </c>
      <c r="K199" s="127">
        <f t="shared" ref="K199" si="1277">K175</f>
        <v>4.3147650172225491</v>
      </c>
      <c r="L199" s="127">
        <f t="shared" ref="L199:M199" si="1278">L175</f>
        <v>5.181426641398704</v>
      </c>
      <c r="M199" s="127">
        <f t="shared" si="1278"/>
        <v>5.265781192409225</v>
      </c>
      <c r="N199" s="127">
        <f t="shared" ref="N199" si="1279">N175</f>
        <v>4.8105592427908199</v>
      </c>
      <c r="O199" s="127">
        <f t="shared" ref="O199:P199" si="1280">O175</f>
        <v>6.4098464256117245</v>
      </c>
      <c r="P199" s="127">
        <f t="shared" si="1280"/>
        <v>6.0211193975140791</v>
      </c>
      <c r="Q199" s="127">
        <f t="shared" ref="Q199" si="1281">Q175</f>
        <v>8.0486024116017596</v>
      </c>
      <c r="R199" s="127">
        <f>R175</f>
        <v>7.8856233660622852</v>
      </c>
      <c r="S199" s="127"/>
      <c r="T199" s="127"/>
      <c r="U199" s="127"/>
      <c r="V199" s="127"/>
      <c r="W199" s="127">
        <f t="shared" ref="W199:AE199" si="1282">W175</f>
        <v>3.2587402672721906</v>
      </c>
      <c r="X199" s="127">
        <f t="shared" si="1282"/>
        <v>3.769842461745823</v>
      </c>
      <c r="Y199" s="127">
        <f t="shared" si="1282"/>
        <v>3.6811358539138963</v>
      </c>
      <c r="Z199" s="127">
        <f t="shared" si="1282"/>
        <v>3.6555891757637418</v>
      </c>
      <c r="AA199" s="127">
        <f t="shared" si="1282"/>
        <v>3.8413296379918442</v>
      </c>
      <c r="AB199" s="127">
        <f t="shared" si="1282"/>
        <v>4.2027868665319543</v>
      </c>
      <c r="AC199" s="127">
        <f t="shared" si="1282"/>
        <v>4.6023328046680785</v>
      </c>
      <c r="AD199" s="127">
        <f t="shared" si="1282"/>
        <v>5.016054521220517</v>
      </c>
      <c r="AE199" s="127">
        <f t="shared" si="1282"/>
        <v>4.4154589644240927</v>
      </c>
      <c r="AF199" s="127">
        <f t="shared" ref="AF199:AK199" si="1283">AF175</f>
        <v>4.6425282235659777</v>
      </c>
      <c r="AG199" s="127">
        <f t="shared" si="1283"/>
        <v>4.2830377719035102</v>
      </c>
      <c r="AH199" s="127">
        <f t="shared" si="1283"/>
        <v>4.066818878482847</v>
      </c>
      <c r="AI199" s="127">
        <f t="shared" si="1283"/>
        <v>4.4629722470904207</v>
      </c>
      <c r="AJ199" s="127">
        <f t="shared" si="1283"/>
        <v>4.5429339542760374</v>
      </c>
      <c r="AK199" s="127">
        <f t="shared" si="1283"/>
        <v>4.5085347517730492</v>
      </c>
      <c r="AL199" s="127">
        <f t="shared" ref="AL199:AQ199" si="1284">AL175</f>
        <v>3.8900676484123333</v>
      </c>
      <c r="AM199" s="127">
        <f t="shared" si="1284"/>
        <v>3.3660427754780211</v>
      </c>
      <c r="AN199" s="127">
        <f t="shared" si="1284"/>
        <v>3.1661932042022327</v>
      </c>
      <c r="AO199" s="127">
        <f t="shared" si="1284"/>
        <v>3.7268884210526316</v>
      </c>
      <c r="AP199" s="127">
        <f t="shared" si="1284"/>
        <v>3.3217025533821114</v>
      </c>
      <c r="AQ199" s="127">
        <f t="shared" si="1284"/>
        <v>4.7119788834249352</v>
      </c>
      <c r="AR199" s="127">
        <f>AR175</f>
        <v>4.8961745041786209</v>
      </c>
      <c r="AS199" s="127">
        <f>AS175</f>
        <v>4.9116077930728244</v>
      </c>
      <c r="AT199" s="127">
        <f>AT175</f>
        <v>4.7787577278991931</v>
      </c>
      <c r="AU199" s="127">
        <f t="shared" ref="AU199" si="1285">AU175</f>
        <v>4.3147650172225491</v>
      </c>
      <c r="AV199" s="127">
        <f>AV175</f>
        <v>4.7932845012300609</v>
      </c>
      <c r="AW199" s="127">
        <f>AW175</f>
        <v>4.2272308601444522</v>
      </c>
      <c r="AX199" s="127">
        <f>AX175</f>
        <v>4.6593667484270016</v>
      </c>
      <c r="AY199" s="127">
        <f t="shared" ref="AY199" si="1286">AY175</f>
        <v>5.265781192409225</v>
      </c>
      <c r="AZ199" s="127">
        <f>AZ175</f>
        <v>5.0359479152550035</v>
      </c>
      <c r="BA199" s="127">
        <f>BA175</f>
        <v>5.794290455512229</v>
      </c>
      <c r="BB199" s="127">
        <f>BB175</f>
        <v>6.9787678794855115</v>
      </c>
      <c r="BC199" s="127">
        <f t="shared" ref="BC199" si="1287">BC175</f>
        <v>6.4098464256117245</v>
      </c>
      <c r="BD199" s="127">
        <f>BD175</f>
        <v>7.3538241801315278</v>
      </c>
      <c r="BE199" s="127">
        <f>BE175</f>
        <v>8.7929623193113535</v>
      </c>
      <c r="BF199" s="127">
        <f>BF175</f>
        <v>7.9141110393363476</v>
      </c>
      <c r="BG199" s="127">
        <f t="shared" ref="BG199" si="1288">BG175</f>
        <v>8.0486024116017596</v>
      </c>
      <c r="BH199" s="127">
        <f>BH175</f>
        <v>7.8856233660622852</v>
      </c>
      <c r="BJ199" s="127">
        <f t="shared" ref="BJ199:BO199" si="1289">BJ175</f>
        <v>4.3269702700766528</v>
      </c>
      <c r="BK199" s="127">
        <f t="shared" si="1289"/>
        <v>3.2068502689778842</v>
      </c>
      <c r="BL199" s="127">
        <f t="shared" si="1289"/>
        <v>3.6117121600396791</v>
      </c>
      <c r="BM199" s="127">
        <f t="shared" si="1289"/>
        <v>0.17989943111227361</v>
      </c>
      <c r="BN199" s="127">
        <f t="shared" si="1289"/>
        <v>3.3242121600667942</v>
      </c>
      <c r="BO199" s="127">
        <f t="shared" si="1289"/>
        <v>4.1154889847044753</v>
      </c>
      <c r="BP199" s="127">
        <f t="shared" ref="BP199:BR199" si="1290">BP175</f>
        <v>4.5042561211964598</v>
      </c>
      <c r="BQ199" s="127">
        <f t="shared" si="1290"/>
        <v>0.38870112299643439</v>
      </c>
      <c r="BR199" s="127">
        <f t="shared" si="1290"/>
        <v>5.7080949596024482</v>
      </c>
      <c r="BW199" s="39"/>
      <c r="BX199" s="39"/>
    </row>
    <row r="200" spans="2:76" ht="13.5" customHeight="1">
      <c r="B200" s="5" t="s">
        <v>391</v>
      </c>
      <c r="C200" s="41">
        <f t="shared" ref="C200:J200" si="1291">C174</f>
        <v>2.40880911600944</v>
      </c>
      <c r="D200" s="41">
        <f t="shared" si="1291"/>
        <v>2.2258316354581034</v>
      </c>
      <c r="E200" s="41">
        <f t="shared" si="1291"/>
        <v>1.8957140552618548</v>
      </c>
      <c r="F200" s="41">
        <f t="shared" si="1291"/>
        <v>2.5409609264475619</v>
      </c>
      <c r="G200" s="41">
        <f t="shared" si="1291"/>
        <v>2.4457470940471997</v>
      </c>
      <c r="H200" s="41">
        <f t="shared" si="1291"/>
        <v>2.3928260220829602</v>
      </c>
      <c r="I200" s="41">
        <f t="shared" si="1291"/>
        <v>1.0001358170707673</v>
      </c>
      <c r="J200" s="41">
        <f t="shared" si="1291"/>
        <v>2.3957236042811685</v>
      </c>
      <c r="K200" s="41">
        <f t="shared" ref="K200" si="1292">K174</f>
        <v>2.2540056288330672</v>
      </c>
      <c r="L200" s="41">
        <f t="shared" ref="L200:M200" si="1293">L174</f>
        <v>2.7106166401760605</v>
      </c>
      <c r="M200" s="41">
        <f t="shared" si="1293"/>
        <v>2.8355486875529219</v>
      </c>
      <c r="N200" s="41">
        <f t="shared" ref="N200" si="1294">N174</f>
        <v>2.5073820375335125</v>
      </c>
      <c r="O200" s="41">
        <f t="shared" ref="O200:P200" si="1295">O174</f>
        <v>4.1934280106424744</v>
      </c>
      <c r="P200" s="41">
        <f t="shared" si="1295"/>
        <v>3.8046508047585728</v>
      </c>
      <c r="Q200" s="41">
        <f t="shared" ref="Q200" si="1296">Q174</f>
        <v>4.8604272771712562</v>
      </c>
      <c r="R200" s="41">
        <f>R174</f>
        <v>5.4923436841154141</v>
      </c>
      <c r="S200" s="41"/>
      <c r="T200" s="41"/>
      <c r="U200" s="41"/>
      <c r="V200" s="41"/>
      <c r="W200" s="41">
        <f t="shared" ref="W200:AE200" si="1297">W174</f>
        <v>1.8957140552618548</v>
      </c>
      <c r="X200" s="41">
        <f t="shared" si="1297"/>
        <v>2.2161353579100975</v>
      </c>
      <c r="Y200" s="41">
        <f t="shared" si="1297"/>
        <v>2.6169203173832325</v>
      </c>
      <c r="Z200" s="41">
        <f t="shared" si="1297"/>
        <v>2.6537824755127946</v>
      </c>
      <c r="AA200" s="41">
        <f t="shared" si="1297"/>
        <v>2.5409609264475619</v>
      </c>
      <c r="AB200" s="41">
        <f t="shared" si="1297"/>
        <v>2.9121999166816157</v>
      </c>
      <c r="AC200" s="41">
        <f t="shared" si="1297"/>
        <v>3.1991115385583053</v>
      </c>
      <c r="AD200" s="41">
        <f t="shared" si="1297"/>
        <v>3.2162459537827099</v>
      </c>
      <c r="AE200" s="41">
        <f t="shared" si="1297"/>
        <v>2.5339781613244101</v>
      </c>
      <c r="AF200" s="41">
        <f t="shared" ref="AF200:AK200" si="1298">AF174</f>
        <v>2.4738435663175022</v>
      </c>
      <c r="AG200" s="41">
        <f t="shared" si="1298"/>
        <v>2.5223452593735405</v>
      </c>
      <c r="AH200" s="41">
        <f t="shared" si="1298"/>
        <v>2.4575668034292937</v>
      </c>
      <c r="AI200" s="41">
        <f t="shared" si="1298"/>
        <v>2.3928260220829602</v>
      </c>
      <c r="AJ200" s="41">
        <f t="shared" si="1298"/>
        <v>2.3338930285069153</v>
      </c>
      <c r="AK200" s="41">
        <f t="shared" si="1298"/>
        <v>1.8835253900709219</v>
      </c>
      <c r="AL200" s="41">
        <f t="shared" ref="AL200:AQ200" si="1299">AL174</f>
        <v>1.2347176714219974</v>
      </c>
      <c r="AM200" s="41">
        <f t="shared" si="1299"/>
        <v>1.0001358170707673</v>
      </c>
      <c r="AN200" s="41">
        <f t="shared" si="1299"/>
        <v>1.4897257058437294</v>
      </c>
      <c r="AO200" s="41">
        <f t="shared" si="1299"/>
        <v>2.1113258646616542</v>
      </c>
      <c r="AP200" s="41">
        <f t="shared" si="1299"/>
        <v>2.0762829625205312</v>
      </c>
      <c r="AQ200" s="41">
        <f t="shared" si="1299"/>
        <v>2.3957236042811685</v>
      </c>
      <c r="AR200" s="41">
        <f>AR174</f>
        <v>2.8137925657976801</v>
      </c>
      <c r="AS200" s="41">
        <f>AS174</f>
        <v>3.2512850799289521</v>
      </c>
      <c r="AT200" s="41">
        <f>AT174</f>
        <v>2.7679882850954911</v>
      </c>
      <c r="AU200" s="41">
        <f t="shared" ref="AU200" si="1300">AU174</f>
        <v>2.2540056288330672</v>
      </c>
      <c r="AV200" s="41">
        <f>AV174</f>
        <v>2.4643055313070392</v>
      </c>
      <c r="AW200" s="41">
        <f>AW174</f>
        <v>2.3450351936966514</v>
      </c>
      <c r="AX200" s="41">
        <f>AX174</f>
        <v>2.5465833422203263</v>
      </c>
      <c r="AY200" s="41">
        <f t="shared" ref="AY200" si="1301">AY174</f>
        <v>2.8355486875529219</v>
      </c>
      <c r="AZ200" s="41">
        <f>AZ174</f>
        <v>2.9308394994805078</v>
      </c>
      <c r="BA200" s="41">
        <f>BA174</f>
        <v>3.7889278181495918</v>
      </c>
      <c r="BB200" s="41">
        <f>BB174</f>
        <v>5.2616569741254198</v>
      </c>
      <c r="BC200" s="41">
        <f t="shared" ref="BC200" si="1302">BC174</f>
        <v>4.1934280106424744</v>
      </c>
      <c r="BD200" s="41">
        <f>BD174</f>
        <v>5.4433380950307049</v>
      </c>
      <c r="BE200" s="41">
        <f>BE174</f>
        <v>6.3536597368848469</v>
      </c>
      <c r="BF200" s="41">
        <f>BF174</f>
        <v>5.4852403019073197</v>
      </c>
      <c r="BG200" s="41">
        <f t="shared" ref="BG200" si="1303">BG174</f>
        <v>4.8604272771712562</v>
      </c>
      <c r="BH200" s="41">
        <f>BH174</f>
        <v>5.4923436841154141</v>
      </c>
      <c r="BJ200" s="41">
        <f t="shared" ref="BJ200:BO200" si="1304">BJ174</f>
        <v>0.78468300021491511</v>
      </c>
      <c r="BK200" s="41">
        <f t="shared" si="1304"/>
        <v>0.75740381550109592</v>
      </c>
      <c r="BL200" s="41">
        <f t="shared" si="1304"/>
        <v>1.1655174010085145</v>
      </c>
      <c r="BM200" s="41">
        <f t="shared" si="1304"/>
        <v>-2.1232777741450337</v>
      </c>
      <c r="BN200" s="41">
        <f t="shared" si="1304"/>
        <v>1.9346372256679392</v>
      </c>
      <c r="BO200" s="41">
        <f t="shared" si="1304"/>
        <v>2.6911475734877568</v>
      </c>
      <c r="BP200" s="41">
        <f t="shared" ref="BP200:BR200" si="1305">BP174</f>
        <v>3.3959935396343433</v>
      </c>
      <c r="BQ200" s="41">
        <f t="shared" si="1305"/>
        <v>-1.827767469759072</v>
      </c>
      <c r="BR200" s="41">
        <f t="shared" si="1305"/>
        <v>4.2251609479057501</v>
      </c>
      <c r="BW200" s="39"/>
      <c r="BX200" s="39"/>
    </row>
    <row r="201" spans="2:76" ht="13.5" customHeight="1">
      <c r="R201" s="48"/>
      <c r="S201" s="295"/>
      <c r="T201" s="48"/>
      <c r="X201" s="48"/>
      <c r="Y201" s="48"/>
      <c r="AC201" s="48"/>
      <c r="AN201" s="48"/>
      <c r="AO201" s="48"/>
      <c r="AP201" s="48"/>
      <c r="AQ201" s="48"/>
      <c r="AR201" s="48"/>
      <c r="AS201" s="48"/>
      <c r="AT201" s="48"/>
      <c r="AU201" s="48"/>
      <c r="AV201" s="48"/>
      <c r="AW201" s="48"/>
      <c r="AX201" s="48"/>
      <c r="AY201" s="48"/>
      <c r="AZ201" s="48"/>
      <c r="BA201" s="48"/>
      <c r="BB201" s="48"/>
      <c r="BC201" s="48"/>
      <c r="BD201" s="48"/>
      <c r="BE201" s="48"/>
      <c r="BF201" s="48"/>
      <c r="BG201" s="48"/>
      <c r="BH201" s="48"/>
      <c r="BI201" s="48"/>
      <c r="BJ201" s="48"/>
      <c r="BK201" s="48"/>
      <c r="BL201" s="48"/>
      <c r="BM201" s="48"/>
      <c r="BN201" s="48"/>
      <c r="BO201" s="48"/>
      <c r="BP201" s="48"/>
      <c r="BQ201" s="48"/>
      <c r="BR201" s="48"/>
      <c r="BW201" s="39"/>
      <c r="BX201" s="39"/>
    </row>
    <row r="202" spans="2:76" ht="13.5" customHeight="1">
      <c r="B202" s="16" t="s">
        <v>392</v>
      </c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298"/>
      <c r="T202" s="38"/>
      <c r="U202" s="17"/>
      <c r="V202" s="17"/>
      <c r="W202" s="17"/>
      <c r="X202" s="38"/>
      <c r="Y202" s="38"/>
      <c r="Z202" s="17"/>
      <c r="AA202" s="17"/>
      <c r="AB202" s="17"/>
      <c r="AC202" s="38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  <c r="AX202" s="17"/>
      <c r="AY202" s="17"/>
      <c r="AZ202" s="17"/>
      <c r="BA202" s="17"/>
      <c r="BB202" s="17"/>
      <c r="BC202" s="17"/>
      <c r="BD202" s="17"/>
      <c r="BE202" s="17"/>
      <c r="BF202" s="17"/>
      <c r="BG202" s="17"/>
      <c r="BH202" s="17"/>
      <c r="BJ202" s="17"/>
      <c r="BK202" s="17"/>
      <c r="BL202" s="17"/>
      <c r="BM202" s="17"/>
      <c r="BN202" s="17"/>
      <c r="BO202" s="17"/>
      <c r="BP202" s="17"/>
      <c r="BQ202" s="17"/>
      <c r="BR202" s="17"/>
      <c r="BW202" s="39"/>
      <c r="BX202" s="39"/>
    </row>
    <row r="203" spans="2:76" s="2" customFormat="1" ht="13.5" customHeight="1">
      <c r="B203" s="63" t="s">
        <v>74</v>
      </c>
      <c r="C203" s="91">
        <f t="shared" ref="C203:Q203" si="1306">C3</f>
        <v>41975</v>
      </c>
      <c r="D203" s="91">
        <f t="shared" si="1306"/>
        <v>42341</v>
      </c>
      <c r="E203" s="91">
        <f t="shared" si="1306"/>
        <v>42735</v>
      </c>
      <c r="F203" s="91">
        <f t="shared" si="1306"/>
        <v>43100</v>
      </c>
      <c r="G203" s="83">
        <f t="shared" si="1306"/>
        <v>43465</v>
      </c>
      <c r="H203" s="83">
        <f t="shared" si="1306"/>
        <v>43830</v>
      </c>
      <c r="I203" s="83">
        <f t="shared" si="1306"/>
        <v>44196</v>
      </c>
      <c r="J203" s="83">
        <f t="shared" si="1306"/>
        <v>44561</v>
      </c>
      <c r="K203" s="83">
        <f t="shared" si="1306"/>
        <v>44926</v>
      </c>
      <c r="L203" s="83">
        <f t="shared" si="1306"/>
        <v>44926</v>
      </c>
      <c r="M203" s="83">
        <f t="shared" si="1306"/>
        <v>45291</v>
      </c>
      <c r="N203" s="83">
        <f t="shared" si="1306"/>
        <v>45291</v>
      </c>
      <c r="O203" s="83">
        <f t="shared" si="1306"/>
        <v>45657</v>
      </c>
      <c r="P203" s="83">
        <f t="shared" si="1306"/>
        <v>45657</v>
      </c>
      <c r="Q203" s="83">
        <f t="shared" si="1306"/>
        <v>46022</v>
      </c>
      <c r="R203" s="83" t="s">
        <v>241</v>
      </c>
      <c r="S203" s="223"/>
      <c r="T203" s="91">
        <f t="shared" ref="T203:BH203" si="1307">T3</f>
        <v>42437</v>
      </c>
      <c r="U203" s="91">
        <f t="shared" si="1307"/>
        <v>42527</v>
      </c>
      <c r="V203" s="91">
        <f t="shared" si="1307"/>
        <v>42622</v>
      </c>
      <c r="W203" s="91">
        <f t="shared" si="1307"/>
        <v>42714</v>
      </c>
      <c r="X203" s="91">
        <f t="shared" si="1307"/>
        <v>42825</v>
      </c>
      <c r="Y203" s="91">
        <f t="shared" si="1307"/>
        <v>42916</v>
      </c>
      <c r="Z203" s="91">
        <f t="shared" si="1307"/>
        <v>43008</v>
      </c>
      <c r="AA203" s="91">
        <f t="shared" si="1307"/>
        <v>43100</v>
      </c>
      <c r="AB203" s="91">
        <f t="shared" si="1307"/>
        <v>43190</v>
      </c>
      <c r="AC203" s="91">
        <f t="shared" si="1307"/>
        <v>43281</v>
      </c>
      <c r="AD203" s="91">
        <f t="shared" si="1307"/>
        <v>43373</v>
      </c>
      <c r="AE203" s="91">
        <f t="shared" si="1307"/>
        <v>43465</v>
      </c>
      <c r="AF203" s="91">
        <f t="shared" si="1307"/>
        <v>43555</v>
      </c>
      <c r="AG203" s="91">
        <f t="shared" si="1307"/>
        <v>43646</v>
      </c>
      <c r="AH203" s="91">
        <f t="shared" si="1307"/>
        <v>43738</v>
      </c>
      <c r="AI203" s="91">
        <f t="shared" si="1307"/>
        <v>43830</v>
      </c>
      <c r="AJ203" s="91">
        <f t="shared" si="1307"/>
        <v>43921</v>
      </c>
      <c r="AK203" s="91">
        <f t="shared" si="1307"/>
        <v>44012</v>
      </c>
      <c r="AL203" s="91">
        <f t="shared" si="1307"/>
        <v>44104</v>
      </c>
      <c r="AM203" s="91">
        <f t="shared" si="1307"/>
        <v>44196</v>
      </c>
      <c r="AN203" s="91">
        <f t="shared" si="1307"/>
        <v>44286</v>
      </c>
      <c r="AO203" s="91">
        <f t="shared" si="1307"/>
        <v>44377</v>
      </c>
      <c r="AP203" s="91">
        <f t="shared" si="1307"/>
        <v>44469</v>
      </c>
      <c r="AQ203" s="91">
        <f t="shared" si="1307"/>
        <v>44561</v>
      </c>
      <c r="AR203" s="91">
        <f t="shared" si="1307"/>
        <v>44651</v>
      </c>
      <c r="AS203" s="91">
        <f t="shared" si="1307"/>
        <v>44742</v>
      </c>
      <c r="AT203" s="91">
        <f t="shared" si="1307"/>
        <v>44834</v>
      </c>
      <c r="AU203" s="91">
        <f t="shared" si="1307"/>
        <v>44926</v>
      </c>
      <c r="AV203" s="91">
        <f t="shared" si="1307"/>
        <v>45016</v>
      </c>
      <c r="AW203" s="91">
        <f t="shared" si="1307"/>
        <v>45107</v>
      </c>
      <c r="AX203" s="91">
        <f t="shared" si="1307"/>
        <v>45199</v>
      </c>
      <c r="AY203" s="91">
        <f t="shared" si="1307"/>
        <v>45291</v>
      </c>
      <c r="AZ203" s="91">
        <f t="shared" si="1307"/>
        <v>45382</v>
      </c>
      <c r="BA203" s="91">
        <f t="shared" si="1307"/>
        <v>45473</v>
      </c>
      <c r="BB203" s="91">
        <f t="shared" si="1307"/>
        <v>45565</v>
      </c>
      <c r="BC203" s="91">
        <f t="shared" si="1307"/>
        <v>45657</v>
      </c>
      <c r="BD203" s="91">
        <f t="shared" si="1307"/>
        <v>45747</v>
      </c>
      <c r="BE203" s="91">
        <f t="shared" si="1307"/>
        <v>45838</v>
      </c>
      <c r="BF203" s="91">
        <f t="shared" si="1307"/>
        <v>45930</v>
      </c>
      <c r="BG203" s="91">
        <f t="shared" si="1307"/>
        <v>46022</v>
      </c>
      <c r="BH203" s="91">
        <f t="shared" si="1307"/>
        <v>46112</v>
      </c>
      <c r="BJ203" s="91">
        <f t="shared" ref="BJ203:BR203" si="1308">BJ3</f>
        <v>45016</v>
      </c>
      <c r="BK203" s="91">
        <f t="shared" si="1308"/>
        <v>45107</v>
      </c>
      <c r="BL203" s="91">
        <f t="shared" si="1308"/>
        <v>45199</v>
      </c>
      <c r="BM203" s="91">
        <f t="shared" si="1308"/>
        <v>45291</v>
      </c>
      <c r="BN203" s="91">
        <f t="shared" si="1308"/>
        <v>45382</v>
      </c>
      <c r="BO203" s="91">
        <f t="shared" si="1308"/>
        <v>45473</v>
      </c>
      <c r="BP203" s="91">
        <f t="shared" si="1308"/>
        <v>45565</v>
      </c>
      <c r="BQ203" s="91">
        <f t="shared" si="1308"/>
        <v>45657</v>
      </c>
      <c r="BR203" s="91">
        <f t="shared" si="1308"/>
        <v>45747</v>
      </c>
      <c r="BT203" s="1"/>
      <c r="BU203" s="1"/>
      <c r="BW203" s="39"/>
      <c r="BX203" s="39"/>
    </row>
    <row r="204" spans="2:76" s="5" customFormat="1" ht="13.5" customHeight="1">
      <c r="B204" s="11"/>
      <c r="C204" s="14" t="s">
        <v>244</v>
      </c>
      <c r="D204" s="14" t="s">
        <v>244</v>
      </c>
      <c r="E204" s="14" t="s">
        <v>244</v>
      </c>
      <c r="F204" s="14" t="s">
        <v>244</v>
      </c>
      <c r="G204" s="14" t="s">
        <v>244</v>
      </c>
      <c r="H204" s="14" t="s">
        <v>244</v>
      </c>
      <c r="I204" s="14" t="s">
        <v>244</v>
      </c>
      <c r="J204" s="14" t="s">
        <v>244</v>
      </c>
      <c r="K204" s="14" t="s">
        <v>244</v>
      </c>
      <c r="L204" s="14" t="s">
        <v>244</v>
      </c>
      <c r="M204" s="14" t="s">
        <v>244</v>
      </c>
      <c r="N204" s="14" t="s">
        <v>244</v>
      </c>
      <c r="O204" s="14" t="s">
        <v>244</v>
      </c>
      <c r="P204" s="14" t="s">
        <v>244</v>
      </c>
      <c r="Q204" s="14" t="s">
        <v>244</v>
      </c>
      <c r="R204" s="14" t="s">
        <v>244</v>
      </c>
      <c r="S204" s="293"/>
      <c r="T204" s="14" t="s">
        <v>244</v>
      </c>
      <c r="U204" s="14" t="s">
        <v>244</v>
      </c>
      <c r="V204" s="14" t="s">
        <v>244</v>
      </c>
      <c r="W204" s="14" t="s">
        <v>244</v>
      </c>
      <c r="X204" s="14" t="str">
        <f t="shared" ref="X204:BH204" si="1309">X4</f>
        <v>Act</v>
      </c>
      <c r="Y204" s="14" t="str">
        <f t="shared" si="1309"/>
        <v>Act</v>
      </c>
      <c r="Z204" s="14" t="str">
        <f t="shared" si="1309"/>
        <v>Act</v>
      </c>
      <c r="AA204" s="14" t="str">
        <f t="shared" si="1309"/>
        <v>Act</v>
      </c>
      <c r="AB204" s="14" t="str">
        <f t="shared" si="1309"/>
        <v>Act</v>
      </c>
      <c r="AC204" s="14" t="str">
        <f t="shared" si="1309"/>
        <v>Act</v>
      </c>
      <c r="AD204" s="14" t="str">
        <f t="shared" si="1309"/>
        <v>Act</v>
      </c>
      <c r="AE204" s="14" t="str">
        <f t="shared" si="1309"/>
        <v>Act</v>
      </c>
      <c r="AF204" s="14" t="str">
        <f t="shared" si="1309"/>
        <v>Act</v>
      </c>
      <c r="AG204" s="14" t="str">
        <f t="shared" si="1309"/>
        <v>Act</v>
      </c>
      <c r="AH204" s="14" t="str">
        <f t="shared" si="1309"/>
        <v>Act</v>
      </c>
      <c r="AI204" s="14" t="str">
        <f t="shared" si="1309"/>
        <v>Act</v>
      </c>
      <c r="AJ204" s="14" t="str">
        <f t="shared" si="1309"/>
        <v>Act</v>
      </c>
      <c r="AK204" s="14" t="str">
        <f t="shared" si="1309"/>
        <v>Act</v>
      </c>
      <c r="AL204" s="14" t="str">
        <f t="shared" si="1309"/>
        <v>Act</v>
      </c>
      <c r="AM204" s="14" t="str">
        <f t="shared" si="1309"/>
        <v>Act</v>
      </c>
      <c r="AN204" s="14" t="str">
        <f t="shared" si="1309"/>
        <v>Act</v>
      </c>
      <c r="AO204" s="14" t="str">
        <f t="shared" si="1309"/>
        <v>Act</v>
      </c>
      <c r="AP204" s="14" t="str">
        <f t="shared" si="1309"/>
        <v>Act</v>
      </c>
      <c r="AQ204" s="14" t="str">
        <f t="shared" si="1309"/>
        <v>Act</v>
      </c>
      <c r="AR204" s="14" t="str">
        <f t="shared" si="1309"/>
        <v>Act</v>
      </c>
      <c r="AS204" s="14" t="str">
        <f t="shared" si="1309"/>
        <v>Act</v>
      </c>
      <c r="AT204" s="14" t="str">
        <f t="shared" si="1309"/>
        <v>Act</v>
      </c>
      <c r="AU204" s="14" t="str">
        <f t="shared" si="1309"/>
        <v>Act</v>
      </c>
      <c r="AV204" s="14" t="str">
        <f t="shared" si="1309"/>
        <v>Act</v>
      </c>
      <c r="AW204" s="14" t="str">
        <f t="shared" si="1309"/>
        <v>Act</v>
      </c>
      <c r="AX204" s="14" t="str">
        <f t="shared" si="1309"/>
        <v>Act</v>
      </c>
      <c r="AY204" s="14" t="str">
        <f t="shared" si="1309"/>
        <v>Act</v>
      </c>
      <c r="AZ204" s="14" t="str">
        <f t="shared" si="1309"/>
        <v>Act</v>
      </c>
      <c r="BA204" s="14" t="str">
        <f t="shared" si="1309"/>
        <v>Act</v>
      </c>
      <c r="BB204" s="14" t="str">
        <f t="shared" si="1309"/>
        <v>Act</v>
      </c>
      <c r="BC204" s="14" t="str">
        <f t="shared" si="1309"/>
        <v>Act</v>
      </c>
      <c r="BD204" s="14" t="str">
        <f t="shared" si="1309"/>
        <v>Act</v>
      </c>
      <c r="BE204" s="14" t="str">
        <f t="shared" si="1309"/>
        <v>Act</v>
      </c>
      <c r="BF204" s="14" t="str">
        <f t="shared" si="1309"/>
        <v>Act</v>
      </c>
      <c r="BG204" s="14" t="str">
        <f t="shared" si="1309"/>
        <v>Act</v>
      </c>
      <c r="BH204" s="14" t="str">
        <f t="shared" si="1309"/>
        <v>Act</v>
      </c>
      <c r="BJ204" s="14" t="str">
        <f t="shared" ref="BJ204:BR204" si="1310">BJ4</f>
        <v>Act</v>
      </c>
      <c r="BK204" s="14" t="str">
        <f t="shared" si="1310"/>
        <v>Act</v>
      </c>
      <c r="BL204" s="14" t="str">
        <f t="shared" si="1310"/>
        <v>Act</v>
      </c>
      <c r="BM204" s="14" t="str">
        <f t="shared" si="1310"/>
        <v>Act</v>
      </c>
      <c r="BN204" s="14" t="str">
        <f t="shared" si="1310"/>
        <v>Act</v>
      </c>
      <c r="BO204" s="14" t="str">
        <f t="shared" si="1310"/>
        <v>Act</v>
      </c>
      <c r="BP204" s="14" t="str">
        <f t="shared" si="1310"/>
        <v>Act</v>
      </c>
      <c r="BQ204" s="14" t="str">
        <f t="shared" si="1310"/>
        <v>Act</v>
      </c>
      <c r="BR204" s="14" t="str">
        <f t="shared" si="1310"/>
        <v>Act</v>
      </c>
      <c r="BT204" s="1"/>
      <c r="BU204" s="1"/>
      <c r="BW204" s="39"/>
      <c r="BX204" s="39"/>
    </row>
    <row r="205" spans="2:76" s="3" customFormat="1" ht="13.5" customHeight="1">
      <c r="C205" s="22" t="s">
        <v>245</v>
      </c>
      <c r="D205" s="22" t="s">
        <v>245</v>
      </c>
      <c r="E205" s="22" t="s">
        <v>245</v>
      </c>
      <c r="F205" s="22" t="s">
        <v>245</v>
      </c>
      <c r="G205" s="22" t="s">
        <v>245</v>
      </c>
      <c r="H205" s="22" t="s">
        <v>245</v>
      </c>
      <c r="I205" s="22" t="s">
        <v>245</v>
      </c>
      <c r="J205" s="22" t="s">
        <v>245</v>
      </c>
      <c r="K205" s="22" t="s">
        <v>245</v>
      </c>
      <c r="L205" s="22" t="s">
        <v>245</v>
      </c>
      <c r="M205" s="22" t="s">
        <v>245</v>
      </c>
      <c r="N205" s="22" t="s">
        <v>245</v>
      </c>
      <c r="O205" s="22" t="s">
        <v>245</v>
      </c>
      <c r="P205" s="22" t="s">
        <v>245</v>
      </c>
      <c r="Q205" s="22" t="s">
        <v>245</v>
      </c>
      <c r="R205" s="22" t="s">
        <v>245</v>
      </c>
      <c r="S205" s="22"/>
      <c r="T205" s="22" t="s">
        <v>246</v>
      </c>
      <c r="U205" s="22" t="s">
        <v>247</v>
      </c>
      <c r="V205" s="22" t="s">
        <v>248</v>
      </c>
      <c r="W205" s="22" t="s">
        <v>249</v>
      </c>
      <c r="X205" s="22" t="str">
        <f t="shared" ref="X205:BH205" si="1311">X5</f>
        <v>Q1</v>
      </c>
      <c r="Y205" s="22" t="str">
        <f t="shared" si="1311"/>
        <v>Q2</v>
      </c>
      <c r="Z205" s="22" t="str">
        <f t="shared" si="1311"/>
        <v>Q3</v>
      </c>
      <c r="AA205" s="22" t="str">
        <f t="shared" si="1311"/>
        <v>Q4</v>
      </c>
      <c r="AB205" s="22" t="str">
        <f t="shared" si="1311"/>
        <v>Q1</v>
      </c>
      <c r="AC205" s="22" t="str">
        <f t="shared" si="1311"/>
        <v>Q2</v>
      </c>
      <c r="AD205" s="22" t="str">
        <f t="shared" si="1311"/>
        <v>Q3</v>
      </c>
      <c r="AE205" s="22" t="str">
        <f t="shared" si="1311"/>
        <v>Q4</v>
      </c>
      <c r="AF205" s="22" t="str">
        <f t="shared" si="1311"/>
        <v>Q1</v>
      </c>
      <c r="AG205" s="22" t="str">
        <f t="shared" si="1311"/>
        <v>Q2</v>
      </c>
      <c r="AH205" s="22" t="str">
        <f t="shared" si="1311"/>
        <v>Q3</v>
      </c>
      <c r="AI205" s="22" t="str">
        <f t="shared" si="1311"/>
        <v>Q4</v>
      </c>
      <c r="AJ205" s="22" t="str">
        <f t="shared" si="1311"/>
        <v>Q1</v>
      </c>
      <c r="AK205" s="22" t="str">
        <f t="shared" si="1311"/>
        <v>Q2</v>
      </c>
      <c r="AL205" s="22" t="str">
        <f t="shared" si="1311"/>
        <v>Q3</v>
      </c>
      <c r="AM205" s="22" t="str">
        <f t="shared" si="1311"/>
        <v>Q4</v>
      </c>
      <c r="AN205" s="22" t="str">
        <f t="shared" si="1311"/>
        <v>Q1</v>
      </c>
      <c r="AO205" s="22" t="str">
        <f t="shared" si="1311"/>
        <v>Q2</v>
      </c>
      <c r="AP205" s="22" t="str">
        <f t="shared" si="1311"/>
        <v>Q3</v>
      </c>
      <c r="AQ205" s="22" t="str">
        <f t="shared" si="1311"/>
        <v>Q4</v>
      </c>
      <c r="AR205" s="22" t="str">
        <f t="shared" si="1311"/>
        <v>Q1</v>
      </c>
      <c r="AS205" s="22" t="str">
        <f t="shared" si="1311"/>
        <v>Q2</v>
      </c>
      <c r="AT205" s="22" t="str">
        <f t="shared" si="1311"/>
        <v>Q3</v>
      </c>
      <c r="AU205" s="22" t="str">
        <f t="shared" si="1311"/>
        <v>Q4</v>
      </c>
      <c r="AV205" s="22" t="str">
        <f t="shared" si="1311"/>
        <v>Q1</v>
      </c>
      <c r="AW205" s="22" t="str">
        <f t="shared" si="1311"/>
        <v>Q2</v>
      </c>
      <c r="AX205" s="22" t="str">
        <f t="shared" si="1311"/>
        <v>Q3</v>
      </c>
      <c r="AY205" s="22" t="str">
        <f t="shared" si="1311"/>
        <v>Q4</v>
      </c>
      <c r="AZ205" s="22" t="str">
        <f t="shared" si="1311"/>
        <v>Q1</v>
      </c>
      <c r="BA205" s="22" t="str">
        <f t="shared" si="1311"/>
        <v>Q2</v>
      </c>
      <c r="BB205" s="22" t="str">
        <f t="shared" si="1311"/>
        <v>Q3</v>
      </c>
      <c r="BC205" s="22" t="str">
        <f t="shared" si="1311"/>
        <v>Q4</v>
      </c>
      <c r="BD205" s="22" t="str">
        <f t="shared" si="1311"/>
        <v>Q1</v>
      </c>
      <c r="BE205" s="22" t="str">
        <f t="shared" si="1311"/>
        <v>Q2</v>
      </c>
      <c r="BF205" s="22" t="str">
        <f t="shared" si="1311"/>
        <v>Q3</v>
      </c>
      <c r="BG205" s="22" t="str">
        <f t="shared" si="1311"/>
        <v>Q4</v>
      </c>
      <c r="BH205" s="22" t="str">
        <f t="shared" si="1311"/>
        <v>Q1</v>
      </c>
      <c r="BJ205" s="22" t="str">
        <f t="shared" ref="BJ205:BR205" si="1312">BJ5</f>
        <v>Q1</v>
      </c>
      <c r="BK205" s="22" t="str">
        <f t="shared" si="1312"/>
        <v>Q2</v>
      </c>
      <c r="BL205" s="22" t="str">
        <f t="shared" si="1312"/>
        <v>Q3</v>
      </c>
      <c r="BM205" s="22" t="str">
        <f t="shared" si="1312"/>
        <v>Q4</v>
      </c>
      <c r="BN205" s="22" t="str">
        <f t="shared" si="1312"/>
        <v>Q1</v>
      </c>
      <c r="BO205" s="22" t="str">
        <f t="shared" si="1312"/>
        <v>Q2</v>
      </c>
      <c r="BP205" s="22" t="str">
        <f t="shared" si="1312"/>
        <v>Q3</v>
      </c>
      <c r="BQ205" s="22" t="str">
        <f t="shared" si="1312"/>
        <v>Q4</v>
      </c>
      <c r="BR205" s="22" t="str">
        <f t="shared" si="1312"/>
        <v>Q1</v>
      </c>
      <c r="BT205" s="1"/>
      <c r="BU205" s="1"/>
      <c r="BW205" s="39"/>
      <c r="BX205" s="39"/>
    </row>
    <row r="206" spans="2:76" s="5" customFormat="1" ht="13.5" customHeight="1">
      <c r="B206" s="5" t="str">
        <f t="shared" ref="B206:R206" si="1313">B7</f>
        <v>Revenues</v>
      </c>
      <c r="C206" s="46">
        <f t="shared" si="1313"/>
        <v>12514.032999999999</v>
      </c>
      <c r="D206" s="46">
        <f t="shared" si="1313"/>
        <v>14166.1</v>
      </c>
      <c r="E206" s="46">
        <f t="shared" si="1313"/>
        <v>16096.172</v>
      </c>
      <c r="F206" s="46">
        <f t="shared" si="1313"/>
        <v>20840.613000000001</v>
      </c>
      <c r="G206" s="46">
        <f t="shared" si="1313"/>
        <v>26904.383999999998</v>
      </c>
      <c r="H206" s="46">
        <f t="shared" si="1313"/>
        <v>31941.773000000001</v>
      </c>
      <c r="I206" s="46">
        <f t="shared" si="1313"/>
        <v>40872.483</v>
      </c>
      <c r="J206" s="46">
        <f t="shared" si="1313"/>
        <v>68184.437000000005</v>
      </c>
      <c r="K206" s="46">
        <f t="shared" si="1313"/>
        <v>133915.508</v>
      </c>
      <c r="L206" s="46">
        <f t="shared" si="1313"/>
        <v>257172.03</v>
      </c>
      <c r="M206" s="46">
        <f t="shared" si="1313"/>
        <v>257103.739</v>
      </c>
      <c r="N206" s="46">
        <f t="shared" si="1313"/>
        <v>371203.26799999998</v>
      </c>
      <c r="O206" s="46">
        <f t="shared" si="1313"/>
        <v>428548.223</v>
      </c>
      <c r="P206" s="46">
        <f t="shared" si="1313"/>
        <v>560936.75399999996</v>
      </c>
      <c r="Q206" s="46">
        <f t="shared" si="1313"/>
        <v>523933.321</v>
      </c>
      <c r="R206" s="46">
        <f t="shared" si="1313"/>
        <v>545087.35899999994</v>
      </c>
      <c r="S206" s="46"/>
      <c r="T206" s="46">
        <f t="shared" ref="T206:BH206" si="1314">T7</f>
        <v>3527.4490000000001</v>
      </c>
      <c r="U206" s="46">
        <f t="shared" si="1314"/>
        <v>3959.556</v>
      </c>
      <c r="V206" s="46">
        <f t="shared" si="1314"/>
        <v>4083.2379999999998</v>
      </c>
      <c r="W206" s="46">
        <f t="shared" si="1314"/>
        <v>4525.9290000000001</v>
      </c>
      <c r="X206" s="46">
        <f t="shared" si="1314"/>
        <v>4634.2539999999999</v>
      </c>
      <c r="Y206" s="46">
        <f t="shared" si="1314"/>
        <v>5061.0770000000002</v>
      </c>
      <c r="Z206" s="46">
        <f t="shared" si="1314"/>
        <v>5439.61</v>
      </c>
      <c r="AA206" s="46">
        <f t="shared" si="1314"/>
        <v>5705.6720000000023</v>
      </c>
      <c r="AB206" s="46">
        <f t="shared" si="1314"/>
        <v>5282.2179999999998</v>
      </c>
      <c r="AC206" s="46">
        <f t="shared" si="1314"/>
        <v>6511.893</v>
      </c>
      <c r="AD206" s="46">
        <f t="shared" si="1314"/>
        <v>7696.0110000000004</v>
      </c>
      <c r="AE206" s="46">
        <f t="shared" si="1314"/>
        <v>7414.261999999997</v>
      </c>
      <c r="AF206" s="46">
        <f t="shared" si="1314"/>
        <v>6902.1570000000002</v>
      </c>
      <c r="AG206" s="46">
        <f t="shared" si="1314"/>
        <v>8427.6</v>
      </c>
      <c r="AH206" s="46">
        <f t="shared" si="1314"/>
        <v>8245.9509999999991</v>
      </c>
      <c r="AI206" s="46">
        <f t="shared" si="1314"/>
        <v>8366.0650000000041</v>
      </c>
      <c r="AJ206" s="46">
        <f t="shared" si="1314"/>
        <v>7767.5280000000002</v>
      </c>
      <c r="AK206" s="46">
        <f t="shared" si="1314"/>
        <v>7832.1289999999999</v>
      </c>
      <c r="AL206" s="46">
        <f t="shared" si="1314"/>
        <v>11938.155000000001</v>
      </c>
      <c r="AM206" s="46">
        <f t="shared" si="1314"/>
        <v>13334.671</v>
      </c>
      <c r="AN206" s="46">
        <f t="shared" si="1314"/>
        <v>12983.814</v>
      </c>
      <c r="AO206" s="46">
        <f t="shared" si="1314"/>
        <v>14534.414000000001</v>
      </c>
      <c r="AP206" s="46">
        <f t="shared" si="1314"/>
        <v>18147.68</v>
      </c>
      <c r="AQ206" s="46">
        <f t="shared" si="1314"/>
        <v>22518.529000000002</v>
      </c>
      <c r="AR206" s="46">
        <f t="shared" si="1314"/>
        <v>28164.395</v>
      </c>
      <c r="AS206" s="46">
        <f t="shared" si="1314"/>
        <v>32304.633000000002</v>
      </c>
      <c r="AT206" s="46">
        <f t="shared" si="1314"/>
        <v>34254.6</v>
      </c>
      <c r="AU206" s="46">
        <f t="shared" si="1314"/>
        <v>39191.879999999997</v>
      </c>
      <c r="AV206" s="46">
        <f t="shared" si="1314"/>
        <v>39891.377</v>
      </c>
      <c r="AW206" s="46">
        <f t="shared" si="1314"/>
        <v>46948.042000000001</v>
      </c>
      <c r="AX206" s="46">
        <f t="shared" si="1314"/>
        <v>58217.883000000002</v>
      </c>
      <c r="AY206" s="46">
        <f t="shared" si="1314"/>
        <v>112046.43700000001</v>
      </c>
      <c r="AZ206" s="46">
        <f t="shared" si="1314"/>
        <v>72265.240999999995</v>
      </c>
      <c r="BA206" s="46">
        <f t="shared" si="1314"/>
        <v>101584.35</v>
      </c>
      <c r="BB206" s="46">
        <f t="shared" si="1314"/>
        <v>105390.747</v>
      </c>
      <c r="BC206" s="46">
        <f t="shared" si="1314"/>
        <v>149307.88500000001</v>
      </c>
      <c r="BD206" s="46">
        <f t="shared" si="1314"/>
        <v>109117.64200000001</v>
      </c>
      <c r="BE206" s="46">
        <f t="shared" si="1314"/>
        <v>121363.552</v>
      </c>
      <c r="BF206" s="46">
        <f t="shared" si="1314"/>
        <v>124445.63800000001</v>
      </c>
      <c r="BG206" s="46">
        <f t="shared" si="1314"/>
        <v>169006.48899999997</v>
      </c>
      <c r="BH206" s="46">
        <f t="shared" si="1314"/>
        <v>130271.67999999999</v>
      </c>
      <c r="BJ206" s="46">
        <f t="shared" ref="BJ206:BR206" si="1315">BJ7</f>
        <v>68968.892000000007</v>
      </c>
      <c r="BK206" s="46">
        <f t="shared" si="1315"/>
        <v>82571.235000000001</v>
      </c>
      <c r="BL206" s="46">
        <f t="shared" si="1315"/>
        <v>92648.763000000006</v>
      </c>
      <c r="BM206" s="46">
        <f t="shared" si="1315"/>
        <v>127014.37799999997</v>
      </c>
      <c r="BN206" s="46">
        <f t="shared" si="1315"/>
        <v>99801.065000000002</v>
      </c>
      <c r="BO206" s="46">
        <f t="shared" si="1315"/>
        <v>137188.323</v>
      </c>
      <c r="BP206" s="46">
        <f t="shared" si="1315"/>
        <v>140479.552</v>
      </c>
      <c r="BQ206" s="46">
        <f t="shared" si="1315"/>
        <v>183467.81399999995</v>
      </c>
      <c r="BR206" s="46">
        <f t="shared" si="1315"/>
        <v>142797.33600000001</v>
      </c>
      <c r="BT206" s="1"/>
      <c r="BU206" s="1"/>
      <c r="BW206" s="39"/>
      <c r="BX206" s="39"/>
    </row>
    <row r="207" spans="2:76" s="39" customFormat="1" ht="13.5" customHeight="1">
      <c r="B207" s="20" t="str">
        <f>B8</f>
        <v xml:space="preserve">% y-o-y growth </v>
      </c>
      <c r="C207" s="58"/>
      <c r="D207" s="58">
        <f t="shared" ref="D207:J207" si="1316">+D206/C206-1</f>
        <v>0.1320171522641822</v>
      </c>
      <c r="E207" s="58">
        <f t="shared" si="1316"/>
        <v>0.13624582630364035</v>
      </c>
      <c r="F207" s="58">
        <f t="shared" si="1316"/>
        <v>0.29475585872218568</v>
      </c>
      <c r="G207" s="58">
        <f t="shared" si="1316"/>
        <v>0.29095933982364119</v>
      </c>
      <c r="H207" s="58">
        <f t="shared" si="1316"/>
        <v>0.1872330174888972</v>
      </c>
      <c r="I207" s="58">
        <f t="shared" si="1316"/>
        <v>0.27959343396498371</v>
      </c>
      <c r="J207" s="58">
        <f t="shared" si="1316"/>
        <v>0.6682235087112276</v>
      </c>
      <c r="K207" s="58">
        <f>+K206/J206-1</f>
        <v>0.96401868068515384</v>
      </c>
      <c r="L207" s="58">
        <f>L206/J206-1</f>
        <v>2.7717115710730291</v>
      </c>
      <c r="M207" s="58">
        <f t="shared" ref="M207:N207" si="1317">+M206/L206-1</f>
        <v>-2.655459849191244E-4</v>
      </c>
      <c r="N207" s="58">
        <f t="shared" si="1317"/>
        <v>0.44378790228328802</v>
      </c>
      <c r="O207" s="58">
        <f>O8</f>
        <v>0.66682999114221353</v>
      </c>
      <c r="P207" s="58">
        <f>P8</f>
        <v>0.51113096881463882</v>
      </c>
      <c r="Q207" s="58">
        <f>Q8</f>
        <v>-6.5967210627813411E-2</v>
      </c>
      <c r="R207" s="58"/>
      <c r="S207" s="299"/>
      <c r="T207" s="58"/>
      <c r="U207" s="58"/>
      <c r="V207" s="58"/>
      <c r="W207" s="58"/>
      <c r="X207" s="58">
        <f t="shared" ref="X207:AU207" si="1318">X206/T206-1</f>
        <v>0.31376924230513326</v>
      </c>
      <c r="Y207" s="58">
        <f t="shared" si="1318"/>
        <v>0.27819306002996291</v>
      </c>
      <c r="Z207" s="58">
        <f t="shared" si="1318"/>
        <v>0.33218049009144202</v>
      </c>
      <c r="AA207" s="58">
        <f t="shared" si="1318"/>
        <v>0.26066316992599803</v>
      </c>
      <c r="AB207" s="58">
        <f>AB206/X206-1</f>
        <v>0.13982056227388484</v>
      </c>
      <c r="AC207" s="58">
        <f>AC206/Y206-1</f>
        <v>0.28666151493051761</v>
      </c>
      <c r="AD207" s="58">
        <f>AD206/Z206-1</f>
        <v>0.41480933375738349</v>
      </c>
      <c r="AE207" s="58">
        <f>AE206/AA206-1</f>
        <v>0.29945464793629806</v>
      </c>
      <c r="AF207" s="58">
        <f t="shared" si="1318"/>
        <v>0.30667780087834329</v>
      </c>
      <c r="AG207" s="58">
        <f t="shared" si="1318"/>
        <v>0.29418588419680725</v>
      </c>
      <c r="AH207" s="58">
        <f t="shared" si="1318"/>
        <v>7.1457798072273926E-2</v>
      </c>
      <c r="AI207" s="58">
        <f t="shared" si="1318"/>
        <v>0.12837461098623271</v>
      </c>
      <c r="AJ207" s="58">
        <f t="shared" si="1318"/>
        <v>0.12537689304952071</v>
      </c>
      <c r="AK207" s="58">
        <f t="shared" si="1318"/>
        <v>-7.0657245241824485E-2</v>
      </c>
      <c r="AL207" s="58">
        <f t="shared" si="1318"/>
        <v>0.44775963378875305</v>
      </c>
      <c r="AM207" s="58">
        <f t="shared" si="1318"/>
        <v>0.59389999958164252</v>
      </c>
      <c r="AN207" s="58">
        <f t="shared" si="1318"/>
        <v>0.67155033107057993</v>
      </c>
      <c r="AO207" s="58">
        <f t="shared" si="1318"/>
        <v>0.85574241690860831</v>
      </c>
      <c r="AP207" s="58">
        <f t="shared" si="1318"/>
        <v>0.52014109382898766</v>
      </c>
      <c r="AQ207" s="58">
        <f t="shared" si="1318"/>
        <v>0.68872025414050353</v>
      </c>
      <c r="AR207" s="58">
        <f t="shared" si="1318"/>
        <v>1.1691927348928441</v>
      </c>
      <c r="AS207" s="58">
        <f t="shared" si="1318"/>
        <v>1.2226305787078862</v>
      </c>
      <c r="AT207" s="58">
        <f t="shared" si="1318"/>
        <v>0.88754705835677061</v>
      </c>
      <c r="AU207" s="58">
        <f t="shared" si="1318"/>
        <v>0.74042807147838086</v>
      </c>
      <c r="AV207" s="58">
        <f>AV206/AR206-1</f>
        <v>0.416376137318057</v>
      </c>
      <c r="AW207" s="58">
        <f>AW206/AS206-1</f>
        <v>0.45329129725757911</v>
      </c>
      <c r="AX207" s="58">
        <f>AX206/AT206-1</f>
        <v>0.69956394177716286</v>
      </c>
      <c r="AY207" s="58">
        <f>AY206/AU206-1</f>
        <v>1.8589196792805045</v>
      </c>
      <c r="AZ207" s="58">
        <f>AZ206/BJ206-1</f>
        <v>4.7794721713087407E-2</v>
      </c>
      <c r="BA207" s="58">
        <f>BA206/BK206-1</f>
        <v>0.23026317821212205</v>
      </c>
      <c r="BB207" s="58">
        <f>BB206/BL206-1</f>
        <v>0.13752999594824589</v>
      </c>
      <c r="BC207" s="58">
        <f>BC206/BM206-1</f>
        <v>0.17551955417204845</v>
      </c>
      <c r="BD207" s="58">
        <f>BD206/BN206-1</f>
        <v>9.3351478764279738E-2</v>
      </c>
      <c r="BE207" s="58">
        <f>BE8</f>
        <v>-0.11535071392337093</v>
      </c>
      <c r="BF207" s="58">
        <f>BF8</f>
        <v>-0.11413699553939349</v>
      </c>
      <c r="BG207" s="58">
        <f>BG8</f>
        <v>-7.88221360723248E-2</v>
      </c>
      <c r="BH207" s="58" t="e">
        <f>BH206/BS206-1</f>
        <v>#DIV/0!</v>
      </c>
      <c r="BJ207" s="58">
        <f>BJ206/AR206-1</f>
        <v>1.4487972136451006</v>
      </c>
      <c r="BK207" s="58">
        <f>BK206/BA206-1</f>
        <v>-0.18716578882475499</v>
      </c>
      <c r="BL207" s="58">
        <f>BL206/AT206-1</f>
        <v>1.7047101119265737</v>
      </c>
      <c r="BM207" s="58">
        <f>BM206/AU206-1</f>
        <v>2.2408340196999985</v>
      </c>
      <c r="BN207" s="58">
        <f>BN206/BJ206-1</f>
        <v>0.4470446328179376</v>
      </c>
      <c r="BO207" s="58">
        <f>BO206/BK206-1</f>
        <v>0.66145417347820956</v>
      </c>
      <c r="BP207" s="58">
        <f>BP8</f>
        <v>0.51625933742903807</v>
      </c>
      <c r="BQ207" s="58">
        <f>BQ8</f>
        <v>0.44446492506541269</v>
      </c>
      <c r="BR207" s="58">
        <f>BR206/BN206-1</f>
        <v>0.43081976129212651</v>
      </c>
      <c r="BT207" s="1"/>
      <c r="BU207" s="1"/>
    </row>
    <row r="208" spans="2:76" s="5" customFormat="1" ht="13.5" customHeight="1" thickBot="1">
      <c r="B208" s="24" t="str">
        <f t="shared" ref="B208:R208" si="1319">B56</f>
        <v xml:space="preserve">Adj. EBITDA </v>
      </c>
      <c r="C208" s="52">
        <f t="shared" si="1319"/>
        <v>1369</v>
      </c>
      <c r="D208" s="52">
        <f t="shared" si="1319"/>
        <v>1527</v>
      </c>
      <c r="E208" s="52">
        <f t="shared" si="1319"/>
        <v>1769</v>
      </c>
      <c r="F208" s="52">
        <f t="shared" si="1319"/>
        <v>1954</v>
      </c>
      <c r="G208" s="52">
        <f t="shared" si="1319"/>
        <v>2797</v>
      </c>
      <c r="H208" s="52">
        <f t="shared" si="1319"/>
        <v>3351</v>
      </c>
      <c r="I208" s="52">
        <f t="shared" si="1319"/>
        <v>5073</v>
      </c>
      <c r="J208" s="52">
        <f t="shared" si="1319"/>
        <v>6914</v>
      </c>
      <c r="K208" s="52">
        <f t="shared" si="1319"/>
        <v>11903</v>
      </c>
      <c r="L208" s="52">
        <f t="shared" si="1319"/>
        <v>16358</v>
      </c>
      <c r="M208" s="52">
        <f t="shared" si="1319"/>
        <v>20077</v>
      </c>
      <c r="N208" s="52">
        <f t="shared" si="1319"/>
        <v>30586</v>
      </c>
      <c r="O208" s="52">
        <f t="shared" si="1319"/>
        <v>22927</v>
      </c>
      <c r="P208" s="52">
        <f t="shared" si="1319"/>
        <v>30009</v>
      </c>
      <c r="Q208" s="52">
        <f t="shared" si="1319"/>
        <v>30685</v>
      </c>
      <c r="R208" s="52">
        <f t="shared" si="1319"/>
        <v>33202</v>
      </c>
      <c r="S208" s="8"/>
      <c r="T208" s="54">
        <f t="shared" ref="T208:BH208" si="1320">T56</f>
        <v>421</v>
      </c>
      <c r="U208" s="54">
        <f t="shared" si="1320"/>
        <v>441</v>
      </c>
      <c r="V208" s="54">
        <f t="shared" si="1320"/>
        <v>484</v>
      </c>
      <c r="W208" s="54">
        <f t="shared" si="1320"/>
        <v>423</v>
      </c>
      <c r="X208" s="54">
        <f t="shared" si="1320"/>
        <v>485</v>
      </c>
      <c r="Y208" s="54">
        <f t="shared" si="1320"/>
        <v>496</v>
      </c>
      <c r="Z208" s="54">
        <f t="shared" si="1320"/>
        <v>546</v>
      </c>
      <c r="AA208" s="54">
        <f t="shared" si="1320"/>
        <v>427</v>
      </c>
      <c r="AB208" s="54">
        <f t="shared" si="1320"/>
        <v>523</v>
      </c>
      <c r="AC208" s="54">
        <f t="shared" si="1320"/>
        <v>579</v>
      </c>
      <c r="AD208" s="54">
        <f t="shared" si="1320"/>
        <v>787</v>
      </c>
      <c r="AE208" s="54">
        <f t="shared" si="1320"/>
        <v>908</v>
      </c>
      <c r="AF208" s="54">
        <f t="shared" si="1320"/>
        <v>679</v>
      </c>
      <c r="AG208" s="54">
        <f t="shared" si="1320"/>
        <v>887</v>
      </c>
      <c r="AH208" s="54">
        <f t="shared" si="1320"/>
        <v>914</v>
      </c>
      <c r="AI208" s="54">
        <f t="shared" si="1320"/>
        <v>871</v>
      </c>
      <c r="AJ208" s="54">
        <f t="shared" si="1320"/>
        <v>871</v>
      </c>
      <c r="AK208" s="54">
        <f t="shared" si="1320"/>
        <v>869</v>
      </c>
      <c r="AL208" s="54">
        <f t="shared" si="1320"/>
        <v>1735</v>
      </c>
      <c r="AM208" s="54">
        <f t="shared" si="1320"/>
        <v>1598</v>
      </c>
      <c r="AN208" s="54">
        <f t="shared" si="1320"/>
        <v>1890</v>
      </c>
      <c r="AO208" s="54">
        <f t="shared" si="1320"/>
        <v>1427</v>
      </c>
      <c r="AP208" s="54">
        <f t="shared" si="1320"/>
        <v>1782</v>
      </c>
      <c r="AQ208" s="54">
        <f t="shared" si="1320"/>
        <v>1815</v>
      </c>
      <c r="AR208" s="54">
        <f t="shared" si="1320"/>
        <v>2993</v>
      </c>
      <c r="AS208" s="54">
        <f t="shared" si="1320"/>
        <v>2418</v>
      </c>
      <c r="AT208" s="54">
        <f t="shared" si="1320"/>
        <v>2932</v>
      </c>
      <c r="AU208" s="54">
        <f t="shared" si="1320"/>
        <v>3560</v>
      </c>
      <c r="AV208" s="54">
        <f t="shared" si="1320"/>
        <v>3691</v>
      </c>
      <c r="AW208" s="54">
        <f t="shared" si="1320"/>
        <v>5047</v>
      </c>
      <c r="AX208" s="54">
        <f t="shared" si="1320"/>
        <v>6456</v>
      </c>
      <c r="AY208" s="54">
        <f t="shared" si="1320"/>
        <v>4883</v>
      </c>
      <c r="AZ208" s="54">
        <f t="shared" si="1320"/>
        <v>5751</v>
      </c>
      <c r="BA208" s="54">
        <f t="shared" si="1320"/>
        <v>5478</v>
      </c>
      <c r="BB208" s="54">
        <f t="shared" si="1320"/>
        <v>3869</v>
      </c>
      <c r="BC208" s="54">
        <f t="shared" si="1320"/>
        <v>7829</v>
      </c>
      <c r="BD208" s="54">
        <f t="shared" si="1320"/>
        <v>5785</v>
      </c>
      <c r="BE208" s="54">
        <f t="shared" si="1320"/>
        <v>7145</v>
      </c>
      <c r="BF208" s="54">
        <f t="shared" si="1320"/>
        <v>8654</v>
      </c>
      <c r="BG208" s="54">
        <f t="shared" si="1320"/>
        <v>9101</v>
      </c>
      <c r="BH208" s="54">
        <f t="shared" si="1320"/>
        <v>8302</v>
      </c>
      <c r="BJ208" s="54">
        <f t="shared" ref="BJ208:BR208" si="1321">BJ56</f>
        <v>5049</v>
      </c>
      <c r="BK208" s="54">
        <f t="shared" si="1321"/>
        <v>8535</v>
      </c>
      <c r="BL208" s="54">
        <f t="shared" si="1321"/>
        <v>7050</v>
      </c>
      <c r="BM208" s="54">
        <f t="shared" si="1321"/>
        <v>9952</v>
      </c>
      <c r="BN208" s="54">
        <f t="shared" si="1321"/>
        <v>7999</v>
      </c>
      <c r="BO208" s="54">
        <f t="shared" si="1321"/>
        <v>6773</v>
      </c>
      <c r="BP208" s="54">
        <f t="shared" si="1321"/>
        <v>6234</v>
      </c>
      <c r="BQ208" s="54">
        <f t="shared" si="1321"/>
        <v>9003</v>
      </c>
      <c r="BR208" s="54">
        <f t="shared" si="1321"/>
        <v>7571</v>
      </c>
      <c r="BT208" s="1"/>
      <c r="BU208" s="1"/>
      <c r="BW208" s="39"/>
      <c r="BX208" s="39"/>
    </row>
    <row r="209" spans="2:76" s="39" customFormat="1" ht="13.5" customHeight="1" thickTop="1">
      <c r="B209" s="20" t="str">
        <f>B8</f>
        <v xml:space="preserve">% y-o-y growth </v>
      </c>
      <c r="C209" s="58"/>
      <c r="D209" s="58">
        <f t="shared" ref="D209:J209" si="1322">+D208/C208-1</f>
        <v>0.11541271000730458</v>
      </c>
      <c r="E209" s="58">
        <f t="shared" si="1322"/>
        <v>0.15848068107400137</v>
      </c>
      <c r="F209" s="58">
        <f t="shared" si="1322"/>
        <v>0.10457885811192758</v>
      </c>
      <c r="G209" s="58">
        <f t="shared" si="1322"/>
        <v>0.43142272262026604</v>
      </c>
      <c r="H209" s="58">
        <f t="shared" si="1322"/>
        <v>0.19806936002860209</v>
      </c>
      <c r="I209" s="58">
        <f t="shared" si="1322"/>
        <v>0.51387645478961508</v>
      </c>
      <c r="J209" s="58">
        <f t="shared" si="1322"/>
        <v>0.36290163611275372</v>
      </c>
      <c r="K209" s="58">
        <f>+K208/J208-1</f>
        <v>0.72157940410760779</v>
      </c>
      <c r="L209" s="58">
        <f>L208/J208-1</f>
        <v>1.3659242117442871</v>
      </c>
      <c r="M209" s="58">
        <f t="shared" ref="M209:N209" si="1323">+M208/L208-1</f>
        <v>0.22735053184985943</v>
      </c>
      <c r="N209" s="58">
        <f t="shared" si="1323"/>
        <v>0.52343477611196887</v>
      </c>
      <c r="O209" s="58">
        <f>O57</f>
        <v>0.14195347910544398</v>
      </c>
      <c r="P209" s="58">
        <f>P57</f>
        <v>-1.8864840122932103E-2</v>
      </c>
      <c r="Q209" s="58">
        <f>Q57</f>
        <v>2.252657536072511E-2</v>
      </c>
      <c r="R209" s="58"/>
      <c r="S209" s="299"/>
      <c r="T209" s="58"/>
      <c r="U209" s="58"/>
      <c r="V209" s="58"/>
      <c r="W209" s="58"/>
      <c r="X209" s="58">
        <f t="shared" ref="X209:AU209" si="1324">X208/T208-1</f>
        <v>0.15201900237529697</v>
      </c>
      <c r="Y209" s="58">
        <f t="shared" si="1324"/>
        <v>0.12471655328798192</v>
      </c>
      <c r="Z209" s="58">
        <f t="shared" si="1324"/>
        <v>0.12809917355371891</v>
      </c>
      <c r="AA209" s="58">
        <f t="shared" si="1324"/>
        <v>9.4562647754137252E-3</v>
      </c>
      <c r="AB209" s="58">
        <f>AB208/X208-1</f>
        <v>7.8350515463917469E-2</v>
      </c>
      <c r="AC209" s="58">
        <f>AC208/Y208-1</f>
        <v>0.16733870967741926</v>
      </c>
      <c r="AD209" s="58">
        <f>AD208/Z208-1</f>
        <v>0.44139194139194138</v>
      </c>
      <c r="AE209" s="58">
        <f>AE208/AA208-1</f>
        <v>1.1264637002341922</v>
      </c>
      <c r="AF209" s="58">
        <f t="shared" si="1324"/>
        <v>0.29827915869980881</v>
      </c>
      <c r="AG209" s="58">
        <f t="shared" si="1324"/>
        <v>0.53195164075993095</v>
      </c>
      <c r="AH209" s="58">
        <f t="shared" si="1324"/>
        <v>0.16137229987293522</v>
      </c>
      <c r="AI209" s="58">
        <f t="shared" si="1324"/>
        <v>-4.0748898678414136E-2</v>
      </c>
      <c r="AJ209" s="58">
        <f t="shared" si="1324"/>
        <v>0.28276877761413854</v>
      </c>
      <c r="AK209" s="58">
        <f t="shared" si="1324"/>
        <v>-2.0293122886133053E-2</v>
      </c>
      <c r="AL209" s="58">
        <f t="shared" si="1324"/>
        <v>0.89824945295404812</v>
      </c>
      <c r="AM209" s="58">
        <f t="shared" si="1324"/>
        <v>0.8346727898966706</v>
      </c>
      <c r="AN209" s="58">
        <f t="shared" si="1324"/>
        <v>1.1699196326061996</v>
      </c>
      <c r="AO209" s="58">
        <f t="shared" si="1324"/>
        <v>0.64211737629459154</v>
      </c>
      <c r="AP209" s="58">
        <f t="shared" si="1324"/>
        <v>2.7089337175792538E-2</v>
      </c>
      <c r="AQ209" s="58">
        <f t="shared" si="1324"/>
        <v>0.13579474342928655</v>
      </c>
      <c r="AR209" s="58">
        <f t="shared" si="1324"/>
        <v>0.58359788359788367</v>
      </c>
      <c r="AS209" s="58">
        <f t="shared" si="1324"/>
        <v>0.69446391030133148</v>
      </c>
      <c r="AT209" s="58">
        <f t="shared" si="1324"/>
        <v>0.64534231200897874</v>
      </c>
      <c r="AU209" s="58">
        <f t="shared" si="1324"/>
        <v>0.9614325068870524</v>
      </c>
      <c r="AV209" s="58">
        <f>AV208/AR208-1</f>
        <v>0.23321082525893755</v>
      </c>
      <c r="AW209" s="58">
        <f>AW208/AS208-1</f>
        <v>1.087262200165426</v>
      </c>
      <c r="AX209" s="58">
        <f>AX208/AT208-1</f>
        <v>1.2019099590723057</v>
      </c>
      <c r="AY209" s="58">
        <f>AY208/AU208-1</f>
        <v>0.37162921348314604</v>
      </c>
      <c r="AZ209" s="58">
        <f>AZ208/BJ208-1</f>
        <v>0.1390374331550801</v>
      </c>
      <c r="BA209" s="58">
        <f>BA208/BK208-1</f>
        <v>-0.35817223198594028</v>
      </c>
      <c r="BB209" s="58">
        <f>BB208/BL208-1</f>
        <v>-0.45120567375886522</v>
      </c>
      <c r="BC209" s="58">
        <f>BC208/BM208-1</f>
        <v>-0.21332395498392287</v>
      </c>
      <c r="BD209" s="58">
        <f>BD208/BN208-1</f>
        <v>-0.2767845980747593</v>
      </c>
      <c r="BE209" s="58">
        <f>BE57</f>
        <v>5.4923962793444581E-2</v>
      </c>
      <c r="BF209" s="58">
        <f>BF57</f>
        <v>0.38819377606673089</v>
      </c>
      <c r="BG209" s="58">
        <f>BG57</f>
        <v>1.0885260468732616E-2</v>
      </c>
      <c r="BH209" s="58" t="e">
        <f>BH208/BS208-1</f>
        <v>#DIV/0!</v>
      </c>
      <c r="BJ209" s="58">
        <f>BJ208/AR208-1</f>
        <v>0.68693618443033744</v>
      </c>
      <c r="BK209" s="58">
        <f>BK208/BA208-1</f>
        <v>0.55805038335158819</v>
      </c>
      <c r="BL209" s="58">
        <f>BL208/AT208-1</f>
        <v>1.4045020463847204</v>
      </c>
      <c r="BM209" s="58">
        <f>BM208/AU208-1</f>
        <v>1.7955056179775282</v>
      </c>
      <c r="BN209" s="58">
        <f>BN208/BJ208-1</f>
        <v>0.58427411368587845</v>
      </c>
      <c r="BO209" s="58">
        <f>BO208/BK208-1</f>
        <v>-0.20644405389572351</v>
      </c>
      <c r="BP209" s="58">
        <f>BP57</f>
        <v>-0.11574468085106382</v>
      </c>
      <c r="BQ209" s="58">
        <f>BQ57</f>
        <v>-9.5357717041800627E-2</v>
      </c>
      <c r="BR209" s="58">
        <f>BR208/BN208-1</f>
        <v>-5.3506688336041996E-2</v>
      </c>
      <c r="BT209" s="1"/>
      <c r="BU209" s="1"/>
    </row>
    <row r="210" spans="2:76" s="39" customFormat="1" ht="13.5" customHeight="1">
      <c r="B210" s="20" t="str">
        <f>B58</f>
        <v>% margin</v>
      </c>
      <c r="C210" s="58">
        <f t="shared" ref="C210:AE210" si="1325">C208/C206</f>
        <v>0.1093971863427242</v>
      </c>
      <c r="D210" s="58">
        <f t="shared" si="1325"/>
        <v>0.10779254699599748</v>
      </c>
      <c r="E210" s="58">
        <f t="shared" si="1325"/>
        <v>0.10990190711182758</v>
      </c>
      <c r="F210" s="58">
        <f t="shared" si="1325"/>
        <v>9.375923827192606E-2</v>
      </c>
      <c r="G210" s="58">
        <f t="shared" si="1325"/>
        <v>0.10396075226996464</v>
      </c>
      <c r="H210" s="58">
        <f t="shared" ref="H210:J210" si="1326">H208/H206</f>
        <v>0.10490964293059123</v>
      </c>
      <c r="I210" s="58">
        <f t="shared" si="1326"/>
        <v>0.12411773466270694</v>
      </c>
      <c r="J210" s="58">
        <f t="shared" si="1326"/>
        <v>0.10140143857167874</v>
      </c>
      <c r="K210" s="58">
        <f t="shared" ref="K210" si="1327">K208/K206</f>
        <v>8.8884403141718277E-2</v>
      </c>
      <c r="L210" s="58">
        <f t="shared" ref="L210:M210" si="1328">L208/L206</f>
        <v>6.3607228204404662E-2</v>
      </c>
      <c r="M210" s="58">
        <f t="shared" si="1328"/>
        <v>7.8089101613570855E-2</v>
      </c>
      <c r="N210" s="58">
        <f t="shared" ref="N210" si="1329">N208/N206</f>
        <v>8.2396903897947363E-2</v>
      </c>
      <c r="O210" s="58">
        <f t="shared" ref="O210:P210" si="1330">O208/O206</f>
        <v>5.3499230120480516E-2</v>
      </c>
      <c r="P210" s="58">
        <f t="shared" si="1330"/>
        <v>5.3498009866545494E-2</v>
      </c>
      <c r="Q210" s="58">
        <f t="shared" ref="Q210" si="1331">Q208/Q206</f>
        <v>5.8566612906835909E-2</v>
      </c>
      <c r="R210" s="58">
        <f t="shared" ref="R210" si="1332">R208/R206</f>
        <v>6.0911337332994371E-2</v>
      </c>
      <c r="S210" s="299"/>
      <c r="T210" s="58">
        <f t="shared" si="1325"/>
        <v>0.11934970569383144</v>
      </c>
      <c r="U210" s="58">
        <f t="shared" si="1325"/>
        <v>0.11137612398965945</v>
      </c>
      <c r="V210" s="58">
        <f t="shared" si="1325"/>
        <v>0.11853337963645519</v>
      </c>
      <c r="W210" s="58">
        <f t="shared" si="1325"/>
        <v>9.346147498115856E-2</v>
      </c>
      <c r="X210" s="58">
        <f t="shared" si="1325"/>
        <v>0.10465546342518127</v>
      </c>
      <c r="Y210" s="58">
        <f t="shared" si="1325"/>
        <v>9.8002855913869716E-2</v>
      </c>
      <c r="Z210" s="58">
        <f t="shared" si="1325"/>
        <v>0.1003748430494098</v>
      </c>
      <c r="AA210" s="58">
        <f t="shared" si="1325"/>
        <v>7.4837810515571146E-2</v>
      </c>
      <c r="AB210" s="58">
        <f t="shared" si="1325"/>
        <v>9.9011437998204541E-2</v>
      </c>
      <c r="AC210" s="58">
        <f t="shared" si="1325"/>
        <v>8.8914237380743208E-2</v>
      </c>
      <c r="AD210" s="58">
        <f t="shared" si="1325"/>
        <v>0.10226076859817378</v>
      </c>
      <c r="AE210" s="58">
        <f t="shared" si="1325"/>
        <v>0.12246667301479235</v>
      </c>
      <c r="AF210" s="58">
        <f t="shared" ref="AF210:AK210" si="1333">AF208/AF206</f>
        <v>9.8375044207194937E-2</v>
      </c>
      <c r="AG210" s="58">
        <f t="shared" si="1333"/>
        <v>0.10524941857705633</v>
      </c>
      <c r="AH210" s="58">
        <f t="shared" si="1333"/>
        <v>0.11084227883478814</v>
      </c>
      <c r="AI210" s="58">
        <f t="shared" si="1333"/>
        <v>0.10411107252931928</v>
      </c>
      <c r="AJ210" s="58">
        <f t="shared" si="1333"/>
        <v>0.11213348699869508</v>
      </c>
      <c r="AK210" s="58">
        <f t="shared" si="1333"/>
        <v>0.110953228681499</v>
      </c>
      <c r="AL210" s="58">
        <f t="shared" ref="AL210:AQ210" si="1334">AL208/AL206</f>
        <v>0.14533233987998984</v>
      </c>
      <c r="AM210" s="58">
        <f t="shared" si="1334"/>
        <v>0.11983797725493189</v>
      </c>
      <c r="AN210" s="58">
        <f t="shared" si="1334"/>
        <v>0.14556585607279957</v>
      </c>
      <c r="AO210" s="58">
        <f t="shared" si="1334"/>
        <v>9.8180772888401269E-2</v>
      </c>
      <c r="AP210" s="58">
        <f t="shared" si="1334"/>
        <v>9.8194369748640042E-2</v>
      </c>
      <c r="AQ210" s="58">
        <f t="shared" si="1334"/>
        <v>8.0600291431114343E-2</v>
      </c>
      <c r="AR210" s="58">
        <f>AR208/AR206</f>
        <v>0.10626892571276607</v>
      </c>
      <c r="AS210" s="58">
        <f>AS208/AS206</f>
        <v>7.4849944897996512E-2</v>
      </c>
      <c r="AT210" s="58">
        <f>AT208/AT206</f>
        <v>8.5594343533423253E-2</v>
      </c>
      <c r="AU210" s="58">
        <f t="shared" ref="AU210" si="1335">AU208/AU206</f>
        <v>9.0835142381534145E-2</v>
      </c>
      <c r="AV210" s="58">
        <f>AV208/AV206</f>
        <v>9.2526262003941345E-2</v>
      </c>
      <c r="AW210" s="58">
        <f>AW208/AW206</f>
        <v>0.10750182084270947</v>
      </c>
      <c r="AX210" s="58">
        <f>AX208/AX206</f>
        <v>0.11089376094283607</v>
      </c>
      <c r="AY210" s="58">
        <f t="shared" ref="AY210" si="1336">AY208/AY206</f>
        <v>4.3580145257095498E-2</v>
      </c>
      <c r="AZ210" s="58">
        <f>AZ208/AZ206</f>
        <v>7.9581828281732298E-2</v>
      </c>
      <c r="BA210" s="58">
        <f>BA208/BA206</f>
        <v>5.3925629292307327E-2</v>
      </c>
      <c r="BB210" s="58">
        <f>BB208/BB206</f>
        <v>3.6711002722089062E-2</v>
      </c>
      <c r="BC210" s="58">
        <f t="shared" ref="BC210" si="1337">BC208/BC206</f>
        <v>5.2435274935412821E-2</v>
      </c>
      <c r="BD210" s="58">
        <f>BD208/BD206</f>
        <v>5.3016174964631291E-2</v>
      </c>
      <c r="BE210" s="58">
        <f>BE208/BE206</f>
        <v>5.8872700100273928E-2</v>
      </c>
      <c r="BF210" s="58">
        <f>BF208/BF206</f>
        <v>6.9540404461585062E-2</v>
      </c>
      <c r="BG210" s="58">
        <f t="shared" ref="BG210" si="1338">BG208/BG206</f>
        <v>5.3850003356971703E-2</v>
      </c>
      <c r="BH210" s="58">
        <f>BH208/BH206</f>
        <v>6.3728356001857042E-2</v>
      </c>
      <c r="BJ210" s="58">
        <f t="shared" ref="BJ210:BO210" si="1339">BJ208/BJ206</f>
        <v>7.3206917692689624E-2</v>
      </c>
      <c r="BK210" s="58">
        <f t="shared" si="1339"/>
        <v>0.10336529422140774</v>
      </c>
      <c r="BL210" s="58">
        <f t="shared" si="1339"/>
        <v>7.6093838403433395E-2</v>
      </c>
      <c r="BM210" s="58">
        <f t="shared" si="1339"/>
        <v>7.8353334139856221E-2</v>
      </c>
      <c r="BN210" s="58">
        <f t="shared" si="1339"/>
        <v>8.014944529900557E-2</v>
      </c>
      <c r="BO210" s="58">
        <f t="shared" si="1339"/>
        <v>4.9370091068173493E-2</v>
      </c>
      <c r="BP210" s="58">
        <f t="shared" ref="BP210:BR210" si="1340">BP208/BP206</f>
        <v>4.4376565210002952E-2</v>
      </c>
      <c r="BQ210" s="58">
        <f t="shared" si="1340"/>
        <v>4.907127742853034E-2</v>
      </c>
      <c r="BR210" s="58">
        <f t="shared" si="1340"/>
        <v>5.3019196380526309E-2</v>
      </c>
      <c r="BT210" s="1"/>
      <c r="BU210" s="1"/>
    </row>
    <row r="211" spans="2:76" ht="13.5" customHeight="1">
      <c r="C211" s="44"/>
      <c r="U211" s="44"/>
      <c r="V211" s="44"/>
      <c r="W211" s="44"/>
      <c r="Z211" s="44"/>
      <c r="AA211" s="44"/>
      <c r="AB211" s="44"/>
      <c r="AE211" s="44"/>
      <c r="AF211" s="44"/>
      <c r="AG211" s="44"/>
      <c r="AH211" s="44"/>
      <c r="AI211" s="44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4"/>
      <c r="BJ211" s="44"/>
      <c r="BK211" s="44"/>
      <c r="BL211" s="44"/>
      <c r="BM211" s="44"/>
      <c r="BN211" s="44"/>
      <c r="BO211" s="44"/>
      <c r="BP211" s="44"/>
      <c r="BQ211" s="44"/>
      <c r="BR211" s="44"/>
      <c r="BW211" s="39"/>
      <c r="BX211" s="39"/>
    </row>
    <row r="212" spans="2:76" s="5" customFormat="1" ht="13.5" customHeight="1">
      <c r="B212" s="5" t="str">
        <f t="shared" ref="B212:R212" si="1341">B64</f>
        <v xml:space="preserve">Adjusted EBITDA </v>
      </c>
      <c r="C212" s="82">
        <f t="shared" si="1341"/>
        <v>1369</v>
      </c>
      <c r="D212" s="82">
        <f t="shared" si="1341"/>
        <v>1527</v>
      </c>
      <c r="E212" s="82">
        <f t="shared" si="1341"/>
        <v>1769</v>
      </c>
      <c r="F212" s="82">
        <f t="shared" si="1341"/>
        <v>1954</v>
      </c>
      <c r="G212" s="82">
        <f t="shared" si="1341"/>
        <v>2797</v>
      </c>
      <c r="H212" s="82">
        <f t="shared" si="1341"/>
        <v>3351</v>
      </c>
      <c r="I212" s="82">
        <f t="shared" si="1341"/>
        <v>5073</v>
      </c>
      <c r="J212" s="82">
        <f t="shared" si="1341"/>
        <v>6914</v>
      </c>
      <c r="K212" s="82">
        <f t="shared" si="1341"/>
        <v>11903</v>
      </c>
      <c r="L212" s="82">
        <f t="shared" si="1341"/>
        <v>16358</v>
      </c>
      <c r="M212" s="82">
        <f t="shared" si="1341"/>
        <v>20077</v>
      </c>
      <c r="N212" s="82">
        <f t="shared" si="1341"/>
        <v>30586</v>
      </c>
      <c r="O212" s="82">
        <f t="shared" si="1341"/>
        <v>22927</v>
      </c>
      <c r="P212" s="82">
        <f t="shared" si="1341"/>
        <v>30009</v>
      </c>
      <c r="Q212" s="82">
        <f t="shared" si="1341"/>
        <v>30685</v>
      </c>
      <c r="R212" s="82">
        <f t="shared" si="1341"/>
        <v>33202</v>
      </c>
      <c r="S212" s="77"/>
      <c r="T212" s="82">
        <f t="shared" ref="T212:BH212" si="1342">T64</f>
        <v>421</v>
      </c>
      <c r="U212" s="82">
        <f t="shared" si="1342"/>
        <v>441</v>
      </c>
      <c r="V212" s="82">
        <f t="shared" si="1342"/>
        <v>484</v>
      </c>
      <c r="W212" s="82">
        <f t="shared" si="1342"/>
        <v>423</v>
      </c>
      <c r="X212" s="82">
        <f t="shared" si="1342"/>
        <v>485</v>
      </c>
      <c r="Y212" s="82">
        <f t="shared" si="1342"/>
        <v>496</v>
      </c>
      <c r="Z212" s="82">
        <f t="shared" si="1342"/>
        <v>546</v>
      </c>
      <c r="AA212" s="82">
        <f t="shared" si="1342"/>
        <v>427</v>
      </c>
      <c r="AB212" s="82">
        <f t="shared" si="1342"/>
        <v>523</v>
      </c>
      <c r="AC212" s="82">
        <f t="shared" si="1342"/>
        <v>579</v>
      </c>
      <c r="AD212" s="82">
        <f t="shared" si="1342"/>
        <v>787</v>
      </c>
      <c r="AE212" s="82">
        <f t="shared" si="1342"/>
        <v>908</v>
      </c>
      <c r="AF212" s="82">
        <f t="shared" si="1342"/>
        <v>679</v>
      </c>
      <c r="AG212" s="82">
        <f t="shared" si="1342"/>
        <v>887</v>
      </c>
      <c r="AH212" s="82">
        <f t="shared" si="1342"/>
        <v>914</v>
      </c>
      <c r="AI212" s="82">
        <f t="shared" si="1342"/>
        <v>871</v>
      </c>
      <c r="AJ212" s="82">
        <f t="shared" si="1342"/>
        <v>871</v>
      </c>
      <c r="AK212" s="82">
        <f t="shared" si="1342"/>
        <v>869</v>
      </c>
      <c r="AL212" s="82">
        <f t="shared" si="1342"/>
        <v>1735</v>
      </c>
      <c r="AM212" s="82">
        <f t="shared" si="1342"/>
        <v>1598</v>
      </c>
      <c r="AN212" s="82">
        <f t="shared" si="1342"/>
        <v>1890</v>
      </c>
      <c r="AO212" s="82">
        <f t="shared" si="1342"/>
        <v>1427</v>
      </c>
      <c r="AP212" s="82">
        <f t="shared" si="1342"/>
        <v>1782</v>
      </c>
      <c r="AQ212" s="82">
        <f t="shared" si="1342"/>
        <v>1815</v>
      </c>
      <c r="AR212" s="82">
        <f t="shared" si="1342"/>
        <v>2993</v>
      </c>
      <c r="AS212" s="82">
        <f t="shared" si="1342"/>
        <v>2418</v>
      </c>
      <c r="AT212" s="82">
        <f t="shared" si="1342"/>
        <v>2932</v>
      </c>
      <c r="AU212" s="82">
        <f t="shared" si="1342"/>
        <v>3560</v>
      </c>
      <c r="AV212" s="82">
        <f t="shared" si="1342"/>
        <v>3691</v>
      </c>
      <c r="AW212" s="82">
        <f t="shared" si="1342"/>
        <v>5047</v>
      </c>
      <c r="AX212" s="82">
        <f t="shared" si="1342"/>
        <v>6456</v>
      </c>
      <c r="AY212" s="82">
        <f t="shared" si="1342"/>
        <v>4883</v>
      </c>
      <c r="AZ212" s="82">
        <f t="shared" si="1342"/>
        <v>5751</v>
      </c>
      <c r="BA212" s="82">
        <f t="shared" si="1342"/>
        <v>5478</v>
      </c>
      <c r="BB212" s="82">
        <f t="shared" si="1342"/>
        <v>3869</v>
      </c>
      <c r="BC212" s="82">
        <f t="shared" si="1342"/>
        <v>7829</v>
      </c>
      <c r="BD212" s="82">
        <f t="shared" si="1342"/>
        <v>5785</v>
      </c>
      <c r="BE212" s="82">
        <f t="shared" si="1342"/>
        <v>7145</v>
      </c>
      <c r="BF212" s="82">
        <f t="shared" si="1342"/>
        <v>8654</v>
      </c>
      <c r="BG212" s="82">
        <f t="shared" si="1342"/>
        <v>9101</v>
      </c>
      <c r="BH212" s="82">
        <f t="shared" si="1342"/>
        <v>8302</v>
      </c>
      <c r="BJ212" s="82">
        <f t="shared" ref="BJ212:BR212" si="1343">BJ64</f>
        <v>5049</v>
      </c>
      <c r="BK212" s="82">
        <f t="shared" si="1343"/>
        <v>8535</v>
      </c>
      <c r="BL212" s="82">
        <f t="shared" si="1343"/>
        <v>7050</v>
      </c>
      <c r="BM212" s="82">
        <f t="shared" si="1343"/>
        <v>9952</v>
      </c>
      <c r="BN212" s="82">
        <f t="shared" si="1343"/>
        <v>7999</v>
      </c>
      <c r="BO212" s="82">
        <f t="shared" si="1343"/>
        <v>6773</v>
      </c>
      <c r="BP212" s="82">
        <f t="shared" si="1343"/>
        <v>6234</v>
      </c>
      <c r="BQ212" s="82">
        <f t="shared" si="1343"/>
        <v>9003</v>
      </c>
      <c r="BR212" s="82">
        <f t="shared" si="1343"/>
        <v>7571</v>
      </c>
      <c r="BT212" s="1"/>
      <c r="BU212" s="1"/>
      <c r="BW212" s="39"/>
      <c r="BX212" s="39"/>
    </row>
    <row r="213" spans="2:76" ht="13.5" customHeight="1">
      <c r="B213" s="1" t="str">
        <f t="shared" ref="B213:R213" si="1344">B65</f>
        <v>Working Capital</v>
      </c>
      <c r="C213" s="89">
        <f t="shared" si="1344"/>
        <v>-303.678</v>
      </c>
      <c r="D213" s="89">
        <f t="shared" si="1344"/>
        <v>89.675999999999945</v>
      </c>
      <c r="E213" s="84">
        <f t="shared" si="1344"/>
        <v>32.38400000000005</v>
      </c>
      <c r="F213" s="84">
        <f t="shared" si="1344"/>
        <v>-1886.3329999999996</v>
      </c>
      <c r="G213" s="84">
        <f t="shared" si="1344"/>
        <v>-1796.8480000000002</v>
      </c>
      <c r="H213" s="84">
        <f t="shared" si="1344"/>
        <v>-887.65299999999979</v>
      </c>
      <c r="I213" s="84">
        <f t="shared" si="1344"/>
        <v>-366.32100000000031</v>
      </c>
      <c r="J213" s="84">
        <f t="shared" si="1344"/>
        <v>-13168.716</v>
      </c>
      <c r="K213" s="84">
        <f t="shared" si="1344"/>
        <v>-13222.029999999999</v>
      </c>
      <c r="L213" s="84">
        <f t="shared" si="1344"/>
        <v>2735.9939999999997</v>
      </c>
      <c r="M213" s="84">
        <f t="shared" si="1344"/>
        <v>-6542.4070000000002</v>
      </c>
      <c r="N213" s="84">
        <f t="shared" si="1344"/>
        <v>-10634.012000000001</v>
      </c>
      <c r="O213" s="84">
        <f t="shared" si="1344"/>
        <v>8463.2750000000015</v>
      </c>
      <c r="P213" s="84">
        <f t="shared" si="1344"/>
        <v>11077.779000000008</v>
      </c>
      <c r="Q213" s="84">
        <f t="shared" si="1344"/>
        <v>-7547.2789999999995</v>
      </c>
      <c r="R213" s="84">
        <f t="shared" si="1344"/>
        <v>-13405.011000000004</v>
      </c>
      <c r="S213" s="300"/>
      <c r="T213" s="84">
        <f t="shared" ref="T213:BH213" si="1345">T65</f>
        <v>43.083000000000027</v>
      </c>
      <c r="U213" s="84">
        <f t="shared" si="1345"/>
        <v>-173.37999999999997</v>
      </c>
      <c r="V213" s="84">
        <f t="shared" si="1345"/>
        <v>-106.41800000000003</v>
      </c>
      <c r="W213" s="84">
        <f t="shared" si="1345"/>
        <v>269.09900000000005</v>
      </c>
      <c r="X213" s="84">
        <f t="shared" si="1345"/>
        <v>-973.86400000000003</v>
      </c>
      <c r="Y213" s="84">
        <f t="shared" si="1345"/>
        <v>-744.88900000000012</v>
      </c>
      <c r="Z213" s="84">
        <f t="shared" si="1345"/>
        <v>-540.37899999999945</v>
      </c>
      <c r="AA213" s="84">
        <f t="shared" si="1345"/>
        <v>372.79899999999998</v>
      </c>
      <c r="AB213" s="84">
        <f t="shared" si="1345"/>
        <v>-519.6400000000001</v>
      </c>
      <c r="AC213" s="84">
        <f t="shared" si="1345"/>
        <v>-884.72699999999986</v>
      </c>
      <c r="AD213" s="84">
        <f t="shared" si="1345"/>
        <v>-1536.4880000000005</v>
      </c>
      <c r="AE213" s="84">
        <f t="shared" si="1345"/>
        <v>1144.0070000000003</v>
      </c>
      <c r="AF213" s="84">
        <f t="shared" si="1345"/>
        <v>-325.55700000000007</v>
      </c>
      <c r="AG213" s="84">
        <f t="shared" si="1345"/>
        <v>-582.69499999999948</v>
      </c>
      <c r="AH213" s="84">
        <f t="shared" si="1345"/>
        <v>-342.7990000000006</v>
      </c>
      <c r="AI213" s="84">
        <f t="shared" si="1345"/>
        <v>363.39800000000031</v>
      </c>
      <c r="AJ213" s="84">
        <f t="shared" si="1345"/>
        <v>-50.848000000000042</v>
      </c>
      <c r="AK213" s="84">
        <f t="shared" si="1345"/>
        <v>933.24200000000008</v>
      </c>
      <c r="AL213" s="84">
        <f t="shared" si="1345"/>
        <v>-827.50300000000004</v>
      </c>
      <c r="AM213" s="84">
        <f t="shared" si="1345"/>
        <v>-421.21200000000033</v>
      </c>
      <c r="AN213" s="84">
        <f t="shared" si="1345"/>
        <v>-4233.6379999999999</v>
      </c>
      <c r="AO213" s="84">
        <f t="shared" si="1345"/>
        <v>-2552.59</v>
      </c>
      <c r="AP213" s="84">
        <f t="shared" si="1345"/>
        <v>-1481.4970000000003</v>
      </c>
      <c r="AQ213" s="84">
        <f t="shared" si="1345"/>
        <v>-4900.9910000000009</v>
      </c>
      <c r="AR213" s="84">
        <f t="shared" si="1345"/>
        <v>-5149.6769999999988</v>
      </c>
      <c r="AS213" s="84">
        <f t="shared" si="1345"/>
        <v>-6927.4910000000027</v>
      </c>
      <c r="AT213" s="84">
        <f t="shared" si="1345"/>
        <v>-190.07299999999668</v>
      </c>
      <c r="AU213" s="84">
        <f t="shared" si="1345"/>
        <v>-954.78900000000067</v>
      </c>
      <c r="AV213" s="84">
        <f t="shared" si="1345"/>
        <v>-7652.7400000000007</v>
      </c>
      <c r="AW213" s="84">
        <f t="shared" si="1345"/>
        <v>-11889.201999999997</v>
      </c>
      <c r="AX213" s="84">
        <f t="shared" si="1345"/>
        <v>-8959.0070000000051</v>
      </c>
      <c r="AY213" s="84">
        <f t="shared" si="1345"/>
        <v>21958.542000000001</v>
      </c>
      <c r="AZ213" s="84">
        <f t="shared" si="1345"/>
        <v>1930.095</v>
      </c>
      <c r="BA213" s="84">
        <f t="shared" si="1345"/>
        <v>-7892.6350000000002</v>
      </c>
      <c r="BB213" s="84">
        <f t="shared" si="1345"/>
        <v>-9116.2599999999984</v>
      </c>
      <c r="BC213" s="84">
        <f t="shared" si="1345"/>
        <v>23542.075000000001</v>
      </c>
      <c r="BD213" s="84">
        <f t="shared" si="1345"/>
        <v>-13662.237999999999</v>
      </c>
      <c r="BE213" s="84">
        <f t="shared" si="1345"/>
        <v>-20168.604000000007</v>
      </c>
      <c r="BF213" s="84">
        <f t="shared" si="1345"/>
        <v>5159.4740000000038</v>
      </c>
      <c r="BG213" s="84">
        <f t="shared" si="1345"/>
        <v>21124.089</v>
      </c>
      <c r="BH213" s="84">
        <f t="shared" si="1345"/>
        <v>-19519.97</v>
      </c>
      <c r="BJ213" s="84">
        <f t="shared" ref="BJ213:BR213" si="1346">BJ65</f>
        <v>-3918.0950000000003</v>
      </c>
      <c r="BK213" s="84">
        <f t="shared" si="1346"/>
        <v>-11893.673000000003</v>
      </c>
      <c r="BL213" s="84">
        <f t="shared" si="1346"/>
        <v>7717.7700000000013</v>
      </c>
      <c r="BM213" s="84">
        <f t="shared" si="1346"/>
        <v>-2540.0139999999983</v>
      </c>
      <c r="BN213" s="84">
        <f t="shared" si="1346"/>
        <v>2712.59</v>
      </c>
      <c r="BO213" s="84">
        <f t="shared" si="1346"/>
        <v>-10988.837</v>
      </c>
      <c r="BP213" s="84">
        <f t="shared" si="1346"/>
        <v>-12214.493000000002</v>
      </c>
      <c r="BQ213" s="84">
        <f t="shared" si="1346"/>
        <v>31568.519000000008</v>
      </c>
      <c r="BR213" s="84">
        <f t="shared" si="1346"/>
        <v>-17541.212999999996</v>
      </c>
      <c r="BW213" s="39"/>
      <c r="BX213" s="39"/>
    </row>
    <row r="214" spans="2:76" ht="13.5" customHeight="1">
      <c r="B214" s="1" t="str">
        <f t="shared" ref="B214:R214" si="1347">B66</f>
        <v>Taxes, net</v>
      </c>
      <c r="C214" s="89">
        <f t="shared" si="1347"/>
        <v>-81.602999999999994</v>
      </c>
      <c r="D214" s="89">
        <f t="shared" si="1347"/>
        <v>-114.76500000000001</v>
      </c>
      <c r="E214" s="84">
        <f t="shared" si="1347"/>
        <v>-134.989</v>
      </c>
      <c r="F214" s="84">
        <f t="shared" si="1347"/>
        <v>-163.93899999999999</v>
      </c>
      <c r="G214" s="84">
        <f t="shared" si="1347"/>
        <v>-105.81</v>
      </c>
      <c r="H214" s="84">
        <f t="shared" si="1347"/>
        <v>-150.31100000000001</v>
      </c>
      <c r="I214" s="84">
        <f t="shared" si="1347"/>
        <v>-167.446</v>
      </c>
      <c r="J214" s="84">
        <f t="shared" si="1347"/>
        <v>-498.72300000000001</v>
      </c>
      <c r="K214" s="84">
        <f t="shared" si="1347"/>
        <v>-772.69500000000005</v>
      </c>
      <c r="L214" s="84">
        <f t="shared" si="1347"/>
        <v>-1459.741</v>
      </c>
      <c r="M214" s="84">
        <f t="shared" si="1347"/>
        <v>-812.61900000000003</v>
      </c>
      <c r="N214" s="84">
        <f t="shared" si="1347"/>
        <v>-1173.249</v>
      </c>
      <c r="O214" s="84">
        <f t="shared" si="1347"/>
        <v>-895.57</v>
      </c>
      <c r="P214" s="84">
        <f t="shared" si="1347"/>
        <v>-1172.2339999999999</v>
      </c>
      <c r="Q214" s="84">
        <f t="shared" si="1347"/>
        <v>-1127.2249999999999</v>
      </c>
      <c r="R214" s="84">
        <f t="shared" si="1347"/>
        <v>-1414.0809999999999</v>
      </c>
      <c r="S214" s="300"/>
      <c r="T214" s="84">
        <f t="shared" ref="T214:BH214" si="1348">T66</f>
        <v>-10.914</v>
      </c>
      <c r="U214" s="84">
        <f t="shared" si="1348"/>
        <v>-7.5619999999999994</v>
      </c>
      <c r="V214" s="84">
        <f t="shared" si="1348"/>
        <v>-71.635999999999996</v>
      </c>
      <c r="W214" s="84">
        <f t="shared" si="1348"/>
        <v>-44.87700000000001</v>
      </c>
      <c r="X214" s="84">
        <f t="shared" si="1348"/>
        <v>-17.928000000000001</v>
      </c>
      <c r="Y214" s="84">
        <f t="shared" si="1348"/>
        <v>-77.055999999999997</v>
      </c>
      <c r="Z214" s="84">
        <f t="shared" si="1348"/>
        <v>-9.6579999999999977</v>
      </c>
      <c r="AA214" s="84">
        <f t="shared" si="1348"/>
        <v>-59.296999999999997</v>
      </c>
      <c r="AB214" s="84">
        <f t="shared" si="1348"/>
        <v>-26.202999999999999</v>
      </c>
      <c r="AC214" s="84">
        <f t="shared" si="1348"/>
        <v>-30.003000000000004</v>
      </c>
      <c r="AD214" s="84">
        <f t="shared" si="1348"/>
        <v>-33.054999999999993</v>
      </c>
      <c r="AE214" s="84">
        <f t="shared" si="1348"/>
        <v>-16.549000000000007</v>
      </c>
      <c r="AF214" s="84">
        <f t="shared" si="1348"/>
        <v>-11.308999999999999</v>
      </c>
      <c r="AG214" s="84">
        <f t="shared" si="1348"/>
        <v>-55.646000000000001</v>
      </c>
      <c r="AH214" s="84">
        <f t="shared" si="1348"/>
        <v>-52.786000000000001</v>
      </c>
      <c r="AI214" s="84">
        <f t="shared" si="1348"/>
        <v>-30.570000000000007</v>
      </c>
      <c r="AJ214" s="84">
        <f t="shared" si="1348"/>
        <v>-20.355</v>
      </c>
      <c r="AK214" s="84">
        <f t="shared" si="1348"/>
        <v>-31.075999999999997</v>
      </c>
      <c r="AL214" s="84">
        <f t="shared" si="1348"/>
        <v>-61.352000000000004</v>
      </c>
      <c r="AM214" s="84">
        <f t="shared" si="1348"/>
        <v>-54.663000000000011</v>
      </c>
      <c r="AN214" s="84">
        <f t="shared" si="1348"/>
        <v>-42.927999999999997</v>
      </c>
      <c r="AO214" s="84">
        <f t="shared" si="1348"/>
        <v>-58.516000000000005</v>
      </c>
      <c r="AP214" s="84">
        <f t="shared" si="1348"/>
        <v>-205.84299999999996</v>
      </c>
      <c r="AQ214" s="84">
        <f t="shared" si="1348"/>
        <v>-191.43600000000004</v>
      </c>
      <c r="AR214" s="84">
        <f t="shared" si="1348"/>
        <v>-216.37100000000001</v>
      </c>
      <c r="AS214" s="84">
        <f t="shared" si="1348"/>
        <v>-180.607</v>
      </c>
      <c r="AT214" s="84">
        <f t="shared" si="1348"/>
        <v>-75.931000000000012</v>
      </c>
      <c r="AU214" s="84">
        <f t="shared" si="1348"/>
        <v>-299.78600000000006</v>
      </c>
      <c r="AV214" s="84">
        <f t="shared" si="1348"/>
        <v>-208.02199999999999</v>
      </c>
      <c r="AW214" s="84">
        <f t="shared" si="1348"/>
        <v>-121.32600000000002</v>
      </c>
      <c r="AX214" s="84">
        <f t="shared" si="1348"/>
        <v>-79.37</v>
      </c>
      <c r="AY214" s="84">
        <f t="shared" si="1348"/>
        <v>-403.90099999999995</v>
      </c>
      <c r="AZ214" s="84">
        <f t="shared" si="1348"/>
        <v>-35.279000000000003</v>
      </c>
      <c r="BA214" s="84">
        <f t="shared" si="1348"/>
        <v>-334.38299999999998</v>
      </c>
      <c r="BB214" s="84">
        <f t="shared" si="1348"/>
        <v>-190.95400000000001</v>
      </c>
      <c r="BC214" s="84">
        <f t="shared" si="1348"/>
        <v>-334.95400000000012</v>
      </c>
      <c r="BD214" s="84">
        <f t="shared" si="1348"/>
        <v>-96.200999999999993</v>
      </c>
      <c r="BE214" s="84">
        <f t="shared" si="1348"/>
        <v>-344.125</v>
      </c>
      <c r="BF214" s="84">
        <f t="shared" si="1348"/>
        <v>-1223.1299999999999</v>
      </c>
      <c r="BG214" s="84">
        <f t="shared" si="1348"/>
        <v>536.23099999999999</v>
      </c>
      <c r="BH214" s="84">
        <f t="shared" si="1348"/>
        <v>-383.05700000000002</v>
      </c>
      <c r="BJ214" s="84">
        <f t="shared" ref="BJ214:BR214" si="1349">BJ66</f>
        <v>-359.05399999999997</v>
      </c>
      <c r="BK214" s="84">
        <f t="shared" si="1349"/>
        <v>-241.01400000000001</v>
      </c>
      <c r="BL214" s="84">
        <f t="shared" si="1349"/>
        <v>-179.31600000000003</v>
      </c>
      <c r="BM214" s="84">
        <f t="shared" si="1349"/>
        <v>-393.86500000000001</v>
      </c>
      <c r="BN214" s="84">
        <f t="shared" si="1349"/>
        <v>-48.722000000000001</v>
      </c>
      <c r="BO214" s="84">
        <f t="shared" si="1349"/>
        <v>-450.50300000000004</v>
      </c>
      <c r="BP214" s="84">
        <f t="shared" si="1349"/>
        <v>-248.04099999999994</v>
      </c>
      <c r="BQ214" s="84">
        <f t="shared" si="1349"/>
        <v>-424.96799999999996</v>
      </c>
      <c r="BR214" s="84">
        <f t="shared" si="1349"/>
        <v>-125.896</v>
      </c>
      <c r="BW214" s="39"/>
      <c r="BX214" s="39"/>
    </row>
    <row r="215" spans="2:76" s="5" customFormat="1" ht="13.5" customHeight="1" thickBot="1">
      <c r="B215" s="24" t="str">
        <f t="shared" ref="B215:R215" si="1350">B68</f>
        <v xml:space="preserve">Net cash from operations </v>
      </c>
      <c r="C215" s="85">
        <f t="shared" si="1350"/>
        <v>677.88600000000019</v>
      </c>
      <c r="D215" s="85">
        <f t="shared" si="1350"/>
        <v>1116.1239999999998</v>
      </c>
      <c r="E215" s="85">
        <f t="shared" si="1350"/>
        <v>1224.6610000000001</v>
      </c>
      <c r="F215" s="85">
        <f t="shared" si="1350"/>
        <v>-607.4399999999996</v>
      </c>
      <c r="G215" s="85">
        <f t="shared" si="1350"/>
        <v>61.394999999999868</v>
      </c>
      <c r="H215" s="85">
        <f t="shared" si="1350"/>
        <v>878.39400000000001</v>
      </c>
      <c r="I215" s="85">
        <f t="shared" si="1350"/>
        <v>3139.567</v>
      </c>
      <c r="J215" s="85">
        <f t="shared" si="1350"/>
        <v>-8246.9850000000006</v>
      </c>
      <c r="K215" s="85">
        <f t="shared" si="1350"/>
        <v>-5048.1429999999991</v>
      </c>
      <c r="L215" s="85">
        <f t="shared" si="1350"/>
        <v>10706.907999999996</v>
      </c>
      <c r="M215" s="85">
        <f t="shared" si="1350"/>
        <v>4414.0850000000009</v>
      </c>
      <c r="N215" s="85">
        <f t="shared" si="1350"/>
        <v>7138.4759999999969</v>
      </c>
      <c r="O215" s="85">
        <f t="shared" si="1350"/>
        <v>15323.778000000002</v>
      </c>
      <c r="P215" s="85">
        <f t="shared" si="1350"/>
        <v>20056.966000000011</v>
      </c>
      <c r="Q215" s="85">
        <f t="shared" si="1350"/>
        <v>-2855.3889999999956</v>
      </c>
      <c r="R215" s="85">
        <f t="shared" si="1350"/>
        <v>-8488.9579999999987</v>
      </c>
      <c r="S215" s="286"/>
      <c r="T215" s="85">
        <f t="shared" ref="T215:BH215" si="1351">T68</f>
        <v>374.65000000000003</v>
      </c>
      <c r="U215" s="85">
        <f t="shared" si="1351"/>
        <v>130.352</v>
      </c>
      <c r="V215" s="85">
        <f t="shared" si="1351"/>
        <v>196.41200000000001</v>
      </c>
      <c r="W215" s="85">
        <f t="shared" si="1351"/>
        <v>523.24700000000007</v>
      </c>
      <c r="X215" s="85">
        <f t="shared" si="1351"/>
        <v>-564.69400000000007</v>
      </c>
      <c r="Y215" s="85">
        <f t="shared" si="1351"/>
        <v>-465.8850000000001</v>
      </c>
      <c r="Z215" s="85">
        <f t="shared" si="1351"/>
        <v>-166.45099999999942</v>
      </c>
      <c r="AA215" s="85">
        <f t="shared" si="1351"/>
        <v>589.58999999999992</v>
      </c>
      <c r="AB215" s="85">
        <f t="shared" si="1351"/>
        <v>-152.60800000000009</v>
      </c>
      <c r="AC215" s="85">
        <f t="shared" si="1351"/>
        <v>-551.06099999999992</v>
      </c>
      <c r="AD215" s="85">
        <f t="shared" si="1351"/>
        <v>-1021.9730000000004</v>
      </c>
      <c r="AE215" s="85">
        <f t="shared" si="1351"/>
        <v>1787.0370000000005</v>
      </c>
      <c r="AF215" s="85">
        <f t="shared" si="1351"/>
        <v>92.35199999999989</v>
      </c>
      <c r="AG215" s="85">
        <f t="shared" si="1351"/>
        <v>567.94700000000057</v>
      </c>
      <c r="AH215" s="85">
        <f t="shared" si="1351"/>
        <v>-552.09800000000087</v>
      </c>
      <c r="AI215" s="85">
        <f t="shared" si="1351"/>
        <v>770.19300000000044</v>
      </c>
      <c r="AJ215" s="85">
        <f t="shared" si="1351"/>
        <v>434.62799999999993</v>
      </c>
      <c r="AK215" s="85">
        <f t="shared" si="1351"/>
        <v>1351.4590000000003</v>
      </c>
      <c r="AL215" s="85">
        <f t="shared" si="1351"/>
        <v>1765.434</v>
      </c>
      <c r="AM215" s="85">
        <f t="shared" si="1351"/>
        <v>-411.95400000000018</v>
      </c>
      <c r="AN215" s="85">
        <f t="shared" si="1351"/>
        <v>-2589.453</v>
      </c>
      <c r="AO215" s="85">
        <f t="shared" si="1351"/>
        <v>-1569.0080000000003</v>
      </c>
      <c r="AP215" s="85">
        <f t="shared" si="1351"/>
        <v>-296.35200000000037</v>
      </c>
      <c r="AQ215" s="85">
        <f t="shared" si="1351"/>
        <v>-3792.1720000000009</v>
      </c>
      <c r="AR215" s="85">
        <f t="shared" si="1351"/>
        <v>-2649.831999999999</v>
      </c>
      <c r="AS215" s="85">
        <f t="shared" si="1351"/>
        <v>-5735.0880000000025</v>
      </c>
      <c r="AT215" s="85">
        <f t="shared" si="1351"/>
        <v>1987.5620000000031</v>
      </c>
      <c r="AU215" s="85">
        <f t="shared" si="1351"/>
        <v>1349.2149999999992</v>
      </c>
      <c r="AV215" s="85">
        <f t="shared" si="1351"/>
        <v>-5435.6190000000006</v>
      </c>
      <c r="AW215" s="85">
        <f t="shared" si="1351"/>
        <v>-8259.6739999999972</v>
      </c>
      <c r="AX215" s="85">
        <f t="shared" si="1351"/>
        <v>-4651.989000000005</v>
      </c>
      <c r="AY215" s="85">
        <f t="shared" si="1351"/>
        <v>22761.367000000002</v>
      </c>
      <c r="AZ215" s="85">
        <f t="shared" si="1351"/>
        <v>4846.0519999999997</v>
      </c>
      <c r="BA215" s="85">
        <f t="shared" si="1351"/>
        <v>-4828.1669999999995</v>
      </c>
      <c r="BB215" s="85">
        <f t="shared" si="1351"/>
        <v>-10671.603999999999</v>
      </c>
      <c r="BC215" s="85">
        <f t="shared" si="1351"/>
        <v>25977.496999999999</v>
      </c>
      <c r="BD215" s="85">
        <f t="shared" si="1351"/>
        <v>-13099.825000000001</v>
      </c>
      <c r="BE215" s="85">
        <f t="shared" si="1351"/>
        <v>-18035.394000000008</v>
      </c>
      <c r="BF215" s="85">
        <f t="shared" si="1351"/>
        <v>4010.6720000000023</v>
      </c>
      <c r="BG215" s="85">
        <f t="shared" si="1351"/>
        <v>24269.158000000003</v>
      </c>
      <c r="BH215" s="85">
        <f t="shared" si="1351"/>
        <v>-18733.394</v>
      </c>
      <c r="BJ215" s="85">
        <f t="shared" ref="BJ215:BR215" si="1352">BJ68</f>
        <v>-1736.0760000000005</v>
      </c>
      <c r="BK215" s="85">
        <f t="shared" si="1352"/>
        <v>-5610.006000000003</v>
      </c>
      <c r="BL215" s="85">
        <f t="shared" si="1352"/>
        <v>9865.9259999999995</v>
      </c>
      <c r="BM215" s="85">
        <f t="shared" si="1352"/>
        <v>4618.6320000000023</v>
      </c>
      <c r="BN215" s="85">
        <f t="shared" si="1352"/>
        <v>6796.2870000000003</v>
      </c>
      <c r="BO215" s="85">
        <f t="shared" si="1352"/>
        <v>-7388.6659999999993</v>
      </c>
      <c r="BP215" s="85">
        <f t="shared" si="1352"/>
        <v>-13118.723000000002</v>
      </c>
      <c r="BQ215" s="85">
        <f t="shared" si="1352"/>
        <v>33768.068000000007</v>
      </c>
      <c r="BR215" s="85">
        <f t="shared" si="1352"/>
        <v>-16804.778999999995</v>
      </c>
      <c r="BT215" s="1"/>
      <c r="BU215" s="1"/>
      <c r="BW215" s="39"/>
      <c r="BX215" s="39"/>
    </row>
    <row r="216" spans="2:76" s="5" customFormat="1" ht="13.5" customHeight="1" thickTop="1">
      <c r="B216" s="1" t="str">
        <f t="shared" ref="B216:R216" si="1353">B69</f>
        <v>Net Capex (Purchase of PPE and intangible assets)</v>
      </c>
      <c r="C216" s="86">
        <f t="shared" si="1353"/>
        <v>-453.16700000000003</v>
      </c>
      <c r="D216" s="86">
        <f t="shared" si="1353"/>
        <v>-640.49199999999996</v>
      </c>
      <c r="E216" s="86">
        <f t="shared" si="1353"/>
        <v>-830.96500000000003</v>
      </c>
      <c r="F216" s="86">
        <f t="shared" si="1353"/>
        <v>-987.21699999999998</v>
      </c>
      <c r="G216" s="86">
        <f t="shared" si="1353"/>
        <v>-1797.3050000000001</v>
      </c>
      <c r="H216" s="86">
        <f t="shared" si="1353"/>
        <v>-1379.604</v>
      </c>
      <c r="I216" s="86">
        <f t="shared" si="1353"/>
        <v>-1735.316</v>
      </c>
      <c r="J216" s="86">
        <f t="shared" si="1353"/>
        <v>-2515.3440000000001</v>
      </c>
      <c r="K216" s="86">
        <f t="shared" si="1353"/>
        <v>-5907.7870000000003</v>
      </c>
      <c r="L216" s="86">
        <f t="shared" si="1353"/>
        <v>-10672.132</v>
      </c>
      <c r="M216" s="86">
        <f t="shared" si="1353"/>
        <v>-13791.159</v>
      </c>
      <c r="N216" s="86">
        <f t="shared" si="1353"/>
        <v>-18533.286</v>
      </c>
      <c r="O216" s="86">
        <f t="shared" si="1353"/>
        <v>-23796.042000000001</v>
      </c>
      <c r="P216" s="86">
        <f t="shared" si="1353"/>
        <v>-30263.689000000002</v>
      </c>
      <c r="Q216" s="86">
        <f t="shared" si="1353"/>
        <v>-17907.162</v>
      </c>
      <c r="R216" s="86">
        <f t="shared" si="1353"/>
        <v>-17412.932000000001</v>
      </c>
      <c r="S216" s="73"/>
      <c r="T216" s="86">
        <f t="shared" ref="T216:BH216" si="1354">T69</f>
        <v>-143.49100000000001</v>
      </c>
      <c r="U216" s="86">
        <f t="shared" si="1354"/>
        <v>-145.821</v>
      </c>
      <c r="V216" s="86">
        <f t="shared" si="1354"/>
        <v>-149.53600000000003</v>
      </c>
      <c r="W216" s="86">
        <f t="shared" si="1354"/>
        <v>-392.11699999999996</v>
      </c>
      <c r="X216" s="86">
        <f t="shared" si="1354"/>
        <v>-129.27500000000001</v>
      </c>
      <c r="Y216" s="86">
        <f t="shared" si="1354"/>
        <v>-214.261</v>
      </c>
      <c r="Z216" s="86">
        <f t="shared" si="1354"/>
        <v>-237.41200000000001</v>
      </c>
      <c r="AA216" s="86">
        <f t="shared" si="1354"/>
        <v>-406.26900000000001</v>
      </c>
      <c r="AB216" s="86">
        <f t="shared" si="1354"/>
        <v>-232.809</v>
      </c>
      <c r="AC216" s="86">
        <f t="shared" si="1354"/>
        <v>-450.74600000000009</v>
      </c>
      <c r="AD216" s="86">
        <f t="shared" si="1354"/>
        <v>-511.21199999999999</v>
      </c>
      <c r="AE216" s="86">
        <f t="shared" si="1354"/>
        <v>-602.53800000000001</v>
      </c>
      <c r="AF216" s="86">
        <f t="shared" si="1354"/>
        <v>-325.18099999999998</v>
      </c>
      <c r="AG216" s="86">
        <f t="shared" si="1354"/>
        <v>-81.140000000000043</v>
      </c>
      <c r="AH216" s="86">
        <f t="shared" si="1354"/>
        <v>-492.43599999999998</v>
      </c>
      <c r="AI216" s="86">
        <f t="shared" si="1354"/>
        <v>-480.84699999999992</v>
      </c>
      <c r="AJ216" s="86">
        <f t="shared" si="1354"/>
        <v>-303.06799999999998</v>
      </c>
      <c r="AK216" s="86">
        <f t="shared" si="1354"/>
        <v>887.09899999999993</v>
      </c>
      <c r="AL216" s="86">
        <f t="shared" si="1354"/>
        <v>-584.03099999999995</v>
      </c>
      <c r="AM216" s="86">
        <f t="shared" si="1354"/>
        <v>-1735.3159999999998</v>
      </c>
      <c r="AN216" s="86">
        <f t="shared" si="1354"/>
        <v>-395.88499999999999</v>
      </c>
      <c r="AO216" s="86">
        <f t="shared" si="1354"/>
        <v>-513.09799999999996</v>
      </c>
      <c r="AP216" s="86">
        <f t="shared" si="1354"/>
        <v>-629.87900000000013</v>
      </c>
      <c r="AQ216" s="86">
        <f t="shared" si="1354"/>
        <v>-976.48199999999974</v>
      </c>
      <c r="AR216" s="86">
        <f t="shared" si="1354"/>
        <v>-822.88699999999994</v>
      </c>
      <c r="AS216" s="86">
        <f t="shared" si="1354"/>
        <v>-1166.576</v>
      </c>
      <c r="AT216" s="86">
        <f t="shared" si="1354"/>
        <v>-1800.6180000000002</v>
      </c>
      <c r="AU216" s="86">
        <f t="shared" si="1354"/>
        <v>-2117.7060000000001</v>
      </c>
      <c r="AV216" s="86">
        <f t="shared" si="1354"/>
        <v>-1610.895</v>
      </c>
      <c r="AW216" s="86">
        <f t="shared" si="1354"/>
        <v>-2308.4580000000001</v>
      </c>
      <c r="AX216" s="86">
        <f t="shared" si="1354"/>
        <v>-2430.4759999999997</v>
      </c>
      <c r="AY216" s="86">
        <f t="shared" si="1354"/>
        <v>-7441.329999999999</v>
      </c>
      <c r="AZ216" s="86">
        <f t="shared" si="1354"/>
        <v>-2946.73</v>
      </c>
      <c r="BA216" s="86">
        <f t="shared" si="1354"/>
        <v>-5245.2939999999999</v>
      </c>
      <c r="BB216" s="86">
        <f t="shared" si="1354"/>
        <v>-5954.0609999999997</v>
      </c>
      <c r="BC216" s="86">
        <f t="shared" si="1354"/>
        <v>-9649.9570000000022</v>
      </c>
      <c r="BD216" s="86">
        <f t="shared" si="1354"/>
        <v>-3291.4630000000002</v>
      </c>
      <c r="BE216" s="86">
        <f t="shared" si="1354"/>
        <v>-3855.5079999999994</v>
      </c>
      <c r="BF216" s="86">
        <f t="shared" si="1354"/>
        <v>-3418.252</v>
      </c>
      <c r="BG216" s="86">
        <f t="shared" si="1354"/>
        <v>-7341.9390000000003</v>
      </c>
      <c r="BH216" s="86">
        <f t="shared" si="1354"/>
        <v>-2797.2330000000002</v>
      </c>
      <c r="BJ216" s="86">
        <f t="shared" ref="BJ216:BR216" si="1355">BJ69</f>
        <v>-2614.444</v>
      </c>
      <c r="BK216" s="86">
        <f t="shared" si="1355"/>
        <v>-2906.3039999999996</v>
      </c>
      <c r="BL216" s="86">
        <f t="shared" si="1355"/>
        <v>-4661.4709999999995</v>
      </c>
      <c r="BM216" s="86">
        <f t="shared" si="1355"/>
        <v>-8351.0670000000009</v>
      </c>
      <c r="BN216" s="86">
        <f t="shared" si="1355"/>
        <v>-4069.549</v>
      </c>
      <c r="BO216" s="86">
        <f t="shared" si="1355"/>
        <v>-6993.665</v>
      </c>
      <c r="BP216" s="86">
        <f t="shared" si="1355"/>
        <v>-7426.8370000000004</v>
      </c>
      <c r="BQ216" s="86">
        <f t="shared" si="1355"/>
        <v>-11773.638000000003</v>
      </c>
      <c r="BR216" s="86">
        <f t="shared" si="1355"/>
        <v>-4254.5990000000002</v>
      </c>
      <c r="BT216" s="1"/>
      <c r="BU216" s="1"/>
      <c r="BW216" s="39"/>
      <c r="BX216" s="39"/>
    </row>
    <row r="217" spans="2:76" ht="13.5" customHeight="1">
      <c r="B217" s="1" t="str">
        <f t="shared" ref="B217:R217" si="1356">B70</f>
        <v>Acquisition</v>
      </c>
      <c r="C217" s="86">
        <f t="shared" si="1356"/>
        <v>0</v>
      </c>
      <c r="D217" s="86">
        <f t="shared" si="1356"/>
        <v>-1.327</v>
      </c>
      <c r="E217" s="86">
        <f t="shared" si="1356"/>
        <v>-745.60799999999995</v>
      </c>
      <c r="F217" s="86">
        <f t="shared" si="1356"/>
        <v>0</v>
      </c>
      <c r="G217" s="86">
        <f t="shared" si="1356"/>
        <v>0</v>
      </c>
      <c r="H217" s="86">
        <f t="shared" si="1356"/>
        <v>-406.32100000000003</v>
      </c>
      <c r="I217" s="86">
        <f t="shared" si="1356"/>
        <v>0</v>
      </c>
      <c r="J217" s="86">
        <f t="shared" si="1356"/>
        <v>-2136.0039999999999</v>
      </c>
      <c r="K217" s="86">
        <f t="shared" si="1356"/>
        <v>1353.7439999999999</v>
      </c>
      <c r="L217" s="86">
        <f t="shared" si="1356"/>
        <v>2478.3380000000002</v>
      </c>
      <c r="M217" s="86">
        <f t="shared" si="1356"/>
        <v>-1282.385</v>
      </c>
      <c r="N217" s="86">
        <f t="shared" si="1356"/>
        <v>-1851.4929999999999</v>
      </c>
      <c r="O217" s="86">
        <f t="shared" si="1356"/>
        <v>9016.0120000000006</v>
      </c>
      <c r="P217" s="86">
        <f t="shared" si="1356"/>
        <v>11801.266</v>
      </c>
      <c r="Q217" s="86">
        <f t="shared" si="1356"/>
        <v>0</v>
      </c>
      <c r="R217" s="86">
        <f t="shared" si="1356"/>
        <v>0</v>
      </c>
      <c r="S217" s="73"/>
      <c r="T217" s="86">
        <f t="shared" ref="T217:BH217" si="1357">T70</f>
        <v>0</v>
      </c>
      <c r="U217" s="86">
        <f t="shared" si="1357"/>
        <v>0</v>
      </c>
      <c r="V217" s="86">
        <f t="shared" si="1357"/>
        <v>0</v>
      </c>
      <c r="W217" s="86">
        <f t="shared" si="1357"/>
        <v>-745.60799999999995</v>
      </c>
      <c r="X217" s="86">
        <f t="shared" si="1357"/>
        <v>0</v>
      </c>
      <c r="Y217" s="86">
        <f t="shared" si="1357"/>
        <v>0</v>
      </c>
      <c r="Z217" s="86">
        <f t="shared" si="1357"/>
        <v>0</v>
      </c>
      <c r="AA217" s="86">
        <f t="shared" si="1357"/>
        <v>0</v>
      </c>
      <c r="AB217" s="86">
        <f t="shared" si="1357"/>
        <v>-27.382999999999999</v>
      </c>
      <c r="AC217" s="86">
        <f t="shared" si="1357"/>
        <v>-29.854000000000003</v>
      </c>
      <c r="AD217" s="86">
        <f t="shared" si="1357"/>
        <v>0</v>
      </c>
      <c r="AE217" s="86">
        <f t="shared" si="1357"/>
        <v>57.237000000000002</v>
      </c>
      <c r="AF217" s="86">
        <f t="shared" si="1357"/>
        <v>-53.536999999999999</v>
      </c>
      <c r="AG217" s="86">
        <f t="shared" si="1357"/>
        <v>60.045999999999999</v>
      </c>
      <c r="AH217" s="86">
        <f t="shared" si="1357"/>
        <v>-412.83000000000004</v>
      </c>
      <c r="AI217" s="86">
        <f t="shared" si="1357"/>
        <v>0</v>
      </c>
      <c r="AJ217" s="86">
        <f t="shared" si="1357"/>
        <v>0</v>
      </c>
      <c r="AK217" s="86">
        <f t="shared" si="1357"/>
        <v>-35.228000000000002</v>
      </c>
      <c r="AL217" s="86">
        <f t="shared" si="1357"/>
        <v>48.588000000000001</v>
      </c>
      <c r="AM217" s="86">
        <f t="shared" si="1357"/>
        <v>-13.36</v>
      </c>
      <c r="AN217" s="86">
        <f t="shared" si="1357"/>
        <v>-38.22</v>
      </c>
      <c r="AO217" s="86">
        <f t="shared" si="1357"/>
        <v>-3347.585</v>
      </c>
      <c r="AP217" s="86">
        <f t="shared" si="1357"/>
        <v>1291.7860000000003</v>
      </c>
      <c r="AQ217" s="86">
        <f t="shared" si="1357"/>
        <v>-41.985000000000355</v>
      </c>
      <c r="AR217" s="86">
        <f t="shared" si="1357"/>
        <v>-26.725000000000001</v>
      </c>
      <c r="AS217" s="86">
        <f t="shared" si="1357"/>
        <v>0</v>
      </c>
      <c r="AT217" s="86">
        <f t="shared" si="1357"/>
        <v>1352.972</v>
      </c>
      <c r="AU217" s="86">
        <f t="shared" si="1357"/>
        <v>27.496999999999844</v>
      </c>
      <c r="AV217" s="86">
        <f t="shared" si="1357"/>
        <v>-830.22</v>
      </c>
      <c r="AW217" s="86">
        <f t="shared" si="1357"/>
        <v>0.19900000000006912</v>
      </c>
      <c r="AX217" s="86">
        <f t="shared" si="1357"/>
        <v>0</v>
      </c>
      <c r="AY217" s="86">
        <f t="shared" si="1357"/>
        <v>-452.36400000000003</v>
      </c>
      <c r="AZ217" s="86">
        <f t="shared" si="1357"/>
        <v>-420.99</v>
      </c>
      <c r="BA217" s="86">
        <f t="shared" si="1357"/>
        <v>7469.558</v>
      </c>
      <c r="BB217" s="86">
        <f t="shared" si="1357"/>
        <v>689.91300000000069</v>
      </c>
      <c r="BC217" s="86">
        <f t="shared" si="1357"/>
        <v>1277.5309999999997</v>
      </c>
      <c r="BD217" s="86">
        <f t="shared" si="1357"/>
        <v>0</v>
      </c>
      <c r="BE217" s="86">
        <f t="shared" si="1357"/>
        <v>-466.67899999999997</v>
      </c>
      <c r="BF217" s="86">
        <f t="shared" si="1357"/>
        <v>-35.018000000000029</v>
      </c>
      <c r="BG217" s="86">
        <f t="shared" si="1357"/>
        <v>501.697</v>
      </c>
      <c r="BH217" s="86">
        <f t="shared" si="1357"/>
        <v>0</v>
      </c>
      <c r="BJ217" s="86">
        <f t="shared" ref="BJ217:BR217" si="1358">BJ70</f>
        <v>-1475.912</v>
      </c>
      <c r="BK217" s="86">
        <f t="shared" si="1358"/>
        <v>-331.50900000000001</v>
      </c>
      <c r="BL217" s="86">
        <f t="shared" si="1358"/>
        <v>-192.3889999999999</v>
      </c>
      <c r="BM217" s="86">
        <f t="shared" si="1358"/>
        <v>148.31700000000001</v>
      </c>
      <c r="BN217" s="86">
        <f t="shared" si="1358"/>
        <v>0</v>
      </c>
      <c r="BO217" s="86">
        <f t="shared" si="1358"/>
        <v>-613.94100000000003</v>
      </c>
      <c r="BP217" s="86">
        <f t="shared" si="1358"/>
        <v>11262.674999999999</v>
      </c>
      <c r="BQ217" s="86">
        <f t="shared" si="1358"/>
        <v>1152.5320000000011</v>
      </c>
      <c r="BR217" s="86">
        <f t="shared" si="1358"/>
        <v>0</v>
      </c>
      <c r="BW217" s="39"/>
      <c r="BX217" s="39"/>
    </row>
    <row r="218" spans="2:76" ht="13.5" customHeight="1">
      <c r="B218" s="1" t="str">
        <f t="shared" ref="B218:R218" si="1359">B71</f>
        <v>Disposal</v>
      </c>
      <c r="C218" s="86">
        <f t="shared" si="1359"/>
        <v>3.9249999999999998</v>
      </c>
      <c r="D218" s="86">
        <f t="shared" si="1359"/>
        <v>18.844000000000001</v>
      </c>
      <c r="E218" s="86">
        <f t="shared" si="1359"/>
        <v>7.0060000000000002</v>
      </c>
      <c r="F218" s="86">
        <f t="shared" si="1359"/>
        <v>18.73</v>
      </c>
      <c r="G218" s="86">
        <f t="shared" si="1359"/>
        <v>37.506999999999998</v>
      </c>
      <c r="H218" s="86">
        <f t="shared" si="1359"/>
        <v>41.482999999999997</v>
      </c>
      <c r="I218" s="86">
        <f t="shared" si="1359"/>
        <v>172.91300000000001</v>
      </c>
      <c r="J218" s="86">
        <f t="shared" si="1359"/>
        <v>70.244</v>
      </c>
      <c r="K218" s="86">
        <f t="shared" si="1359"/>
        <v>194.36</v>
      </c>
      <c r="L218" s="86">
        <f t="shared" si="1359"/>
        <v>822.92700000000002</v>
      </c>
      <c r="M218" s="86">
        <f t="shared" si="1359"/>
        <v>646.14300000000003</v>
      </c>
      <c r="N218" s="86">
        <f t="shared" si="1359"/>
        <v>932.89300000000003</v>
      </c>
      <c r="O218" s="86">
        <f t="shared" si="1359"/>
        <v>674.98</v>
      </c>
      <c r="P218" s="86">
        <f t="shared" si="1359"/>
        <v>0</v>
      </c>
      <c r="Q218" s="86">
        <f t="shared" si="1359"/>
        <v>14.48</v>
      </c>
      <c r="R218" s="86">
        <f t="shared" si="1359"/>
        <v>-36.679000000000002</v>
      </c>
      <c r="S218" s="73"/>
      <c r="T218" s="86">
        <f t="shared" ref="T218:BH218" si="1360">T71</f>
        <v>1.58</v>
      </c>
      <c r="U218" s="86">
        <f t="shared" si="1360"/>
        <v>2.6280000000000001</v>
      </c>
      <c r="V218" s="86">
        <f t="shared" si="1360"/>
        <v>4.891</v>
      </c>
      <c r="W218" s="86">
        <f t="shared" si="1360"/>
        <v>-2.093</v>
      </c>
      <c r="X218" s="86">
        <f t="shared" si="1360"/>
        <v>1.0860000000000001</v>
      </c>
      <c r="Y218" s="86">
        <f t="shared" si="1360"/>
        <v>12.860999999999999</v>
      </c>
      <c r="Z218" s="86">
        <f t="shared" si="1360"/>
        <v>4.9000000000001487E-2</v>
      </c>
      <c r="AA218" s="86">
        <f t="shared" si="1360"/>
        <v>4.734</v>
      </c>
      <c r="AB218" s="86">
        <f t="shared" si="1360"/>
        <v>3.2559999999999998</v>
      </c>
      <c r="AC218" s="86">
        <f t="shared" si="1360"/>
        <v>4.2320000000000011</v>
      </c>
      <c r="AD218" s="86">
        <f t="shared" si="1360"/>
        <v>2.4209999999999998</v>
      </c>
      <c r="AE218" s="86">
        <f t="shared" si="1360"/>
        <v>27.597999999999999</v>
      </c>
      <c r="AF218" s="86">
        <f t="shared" si="1360"/>
        <v>5.15</v>
      </c>
      <c r="AG218" s="86">
        <f t="shared" si="1360"/>
        <v>-5.15</v>
      </c>
      <c r="AH218" s="86">
        <f t="shared" si="1360"/>
        <v>3.6850000000000005</v>
      </c>
      <c r="AI218" s="86">
        <f t="shared" si="1360"/>
        <v>37.797999999999995</v>
      </c>
      <c r="AJ218" s="86">
        <f t="shared" si="1360"/>
        <v>29.134</v>
      </c>
      <c r="AK218" s="86">
        <f t="shared" si="1360"/>
        <v>280.65699999999998</v>
      </c>
      <c r="AL218" s="86">
        <f t="shared" si="1360"/>
        <v>-34.012999999999963</v>
      </c>
      <c r="AM218" s="86">
        <f t="shared" si="1360"/>
        <v>-102.86500000000002</v>
      </c>
      <c r="AN218" s="86">
        <f t="shared" si="1360"/>
        <v>11.928000000000001</v>
      </c>
      <c r="AO218" s="86">
        <f t="shared" si="1360"/>
        <v>10.088999999999999</v>
      </c>
      <c r="AP218" s="86">
        <f t="shared" si="1360"/>
        <v>6.2579999999999991</v>
      </c>
      <c r="AQ218" s="86">
        <f t="shared" si="1360"/>
        <v>41.969000000000008</v>
      </c>
      <c r="AR218" s="86">
        <f t="shared" si="1360"/>
        <v>63.512</v>
      </c>
      <c r="AS218" s="86">
        <f t="shared" si="1360"/>
        <v>116.435</v>
      </c>
      <c r="AT218" s="86">
        <f t="shared" si="1360"/>
        <v>40.046999999999997</v>
      </c>
      <c r="AU218" s="86">
        <f t="shared" si="1360"/>
        <v>-25.633999999999986</v>
      </c>
      <c r="AV218" s="86">
        <f t="shared" si="1360"/>
        <v>59.609000000000002</v>
      </c>
      <c r="AW218" s="86">
        <f t="shared" si="1360"/>
        <v>32.163999999999994</v>
      </c>
      <c r="AX218" s="86">
        <f t="shared" si="1360"/>
        <v>91.626000000000005</v>
      </c>
      <c r="AY218" s="86">
        <f t="shared" si="1360"/>
        <v>462.74400000000003</v>
      </c>
      <c r="AZ218" s="86">
        <f t="shared" si="1360"/>
        <v>57.04</v>
      </c>
      <c r="BA218" s="86">
        <f t="shared" si="1360"/>
        <v>2.5330000000000013</v>
      </c>
      <c r="BB218" s="86">
        <f t="shared" si="1360"/>
        <v>214.88199999999998</v>
      </c>
      <c r="BC218" s="86">
        <f t="shared" si="1360"/>
        <v>400.52500000000009</v>
      </c>
      <c r="BD218" s="86">
        <f t="shared" si="1360"/>
        <v>51.158999999999999</v>
      </c>
      <c r="BE218" s="86">
        <f t="shared" si="1360"/>
        <v>-40.021999999999998</v>
      </c>
      <c r="BF218" s="86">
        <f t="shared" si="1360"/>
        <v>2.0589999999999975</v>
      </c>
      <c r="BG218" s="86">
        <f t="shared" si="1360"/>
        <v>1.2839999999999989</v>
      </c>
      <c r="BH218" s="86">
        <f t="shared" si="1360"/>
        <v>0</v>
      </c>
      <c r="BJ218" s="86">
        <f t="shared" ref="BJ218:BR218" si="1361">BJ71</f>
        <v>118.233</v>
      </c>
      <c r="BK218" s="86">
        <f t="shared" si="1361"/>
        <v>11.369</v>
      </c>
      <c r="BL218" s="86">
        <f t="shared" si="1361"/>
        <v>25.621000000000009</v>
      </c>
      <c r="BM218" s="86">
        <f t="shared" si="1361"/>
        <v>777.67000000000007</v>
      </c>
      <c r="BN218" s="86">
        <f t="shared" si="1361"/>
        <v>78.774000000000001</v>
      </c>
      <c r="BO218" s="86">
        <f t="shared" si="1361"/>
        <v>10440.564</v>
      </c>
      <c r="BP218" s="86">
        <f t="shared" si="1361"/>
        <v>-10519.338</v>
      </c>
      <c r="BQ218" s="86">
        <f t="shared" si="1361"/>
        <v>0</v>
      </c>
      <c r="BR218" s="86">
        <f t="shared" si="1361"/>
        <v>14.161</v>
      </c>
      <c r="BW218" s="39"/>
      <c r="BX218" s="39"/>
    </row>
    <row r="219" spans="2:76" ht="13.5" customHeight="1">
      <c r="B219" s="1" t="str">
        <f t="shared" ref="B219:R219" si="1362">B67</f>
        <v>Cash interest paid</v>
      </c>
      <c r="C219" s="149">
        <f t="shared" si="1362"/>
        <v>-305.83300000000003</v>
      </c>
      <c r="D219" s="149">
        <f t="shared" si="1362"/>
        <v>-385.78699999999998</v>
      </c>
      <c r="E219" s="150">
        <f t="shared" si="1362"/>
        <v>-441.73399999999998</v>
      </c>
      <c r="F219" s="150">
        <f t="shared" si="1362"/>
        <v>-511.16800000000001</v>
      </c>
      <c r="G219" s="150">
        <f t="shared" si="1362"/>
        <v>-832.947</v>
      </c>
      <c r="H219" s="150">
        <f t="shared" si="1362"/>
        <v>-1434.6420000000001</v>
      </c>
      <c r="I219" s="150">
        <f t="shared" si="1362"/>
        <v>-1399.6659999999999</v>
      </c>
      <c r="J219" s="150">
        <f t="shared" si="1362"/>
        <v>-1493.546</v>
      </c>
      <c r="K219" s="150">
        <f t="shared" si="1362"/>
        <v>-2956.4180000000001</v>
      </c>
      <c r="L219" s="150">
        <f t="shared" si="1362"/>
        <v>-6927.3450000000003</v>
      </c>
      <c r="M219" s="150">
        <f t="shared" si="1362"/>
        <v>-8307.8889999999992</v>
      </c>
      <c r="N219" s="150">
        <f t="shared" si="1362"/>
        <v>-11640.263000000001</v>
      </c>
      <c r="O219" s="150">
        <f t="shared" si="1362"/>
        <v>-15170.927</v>
      </c>
      <c r="P219" s="150">
        <f t="shared" si="1362"/>
        <v>-19857.579000000002</v>
      </c>
      <c r="Q219" s="150">
        <f t="shared" si="1362"/>
        <v>-24865.884999999998</v>
      </c>
      <c r="R219" s="150">
        <f t="shared" si="1362"/>
        <v>-26871.865999999995</v>
      </c>
      <c r="S219" s="300"/>
      <c r="T219" s="150">
        <f t="shared" ref="T219:BH219" si="1363">T67</f>
        <v>-78.519000000000005</v>
      </c>
      <c r="U219" s="150">
        <f t="shared" si="1363"/>
        <v>-129.70599999999999</v>
      </c>
      <c r="V219" s="150">
        <f t="shared" si="1363"/>
        <v>-109.53400000000002</v>
      </c>
      <c r="W219" s="150">
        <f t="shared" si="1363"/>
        <v>-123.97499999999997</v>
      </c>
      <c r="X219" s="150">
        <f t="shared" si="1363"/>
        <v>-57.902000000000001</v>
      </c>
      <c r="Y219" s="150">
        <f t="shared" si="1363"/>
        <v>-139.94</v>
      </c>
      <c r="Z219" s="150">
        <f t="shared" si="1363"/>
        <v>-162.41399999999999</v>
      </c>
      <c r="AA219" s="150">
        <f t="shared" si="1363"/>
        <v>-150.91200000000003</v>
      </c>
      <c r="AB219" s="150">
        <f t="shared" si="1363"/>
        <v>-129.76499999999999</v>
      </c>
      <c r="AC219" s="150">
        <f t="shared" si="1363"/>
        <v>-215.33100000000002</v>
      </c>
      <c r="AD219" s="150">
        <f t="shared" si="1363"/>
        <v>-239.42999999999995</v>
      </c>
      <c r="AE219" s="150">
        <f t="shared" si="1363"/>
        <v>-248.42100000000005</v>
      </c>
      <c r="AF219" s="150">
        <f t="shared" si="1363"/>
        <v>-249.78200000000001</v>
      </c>
      <c r="AG219" s="150">
        <f t="shared" si="1363"/>
        <v>319.28800000000001</v>
      </c>
      <c r="AH219" s="150">
        <f t="shared" si="1363"/>
        <v>-1070.5130000000001</v>
      </c>
      <c r="AI219" s="150">
        <f t="shared" si="1363"/>
        <v>-433.63499999999999</v>
      </c>
      <c r="AJ219" s="150">
        <f t="shared" si="1363"/>
        <v>-365.16899999999998</v>
      </c>
      <c r="AK219" s="150">
        <f t="shared" si="1363"/>
        <v>-419.70699999999999</v>
      </c>
      <c r="AL219" s="150">
        <f t="shared" si="1363"/>
        <v>919.28899999999999</v>
      </c>
      <c r="AM219" s="150">
        <f t="shared" si="1363"/>
        <v>-1534.0789999999997</v>
      </c>
      <c r="AN219" s="150">
        <f t="shared" si="1363"/>
        <v>-202.887</v>
      </c>
      <c r="AO219" s="150">
        <f t="shared" si="1363"/>
        <v>-384.90199999999999</v>
      </c>
      <c r="AP219" s="150">
        <f t="shared" si="1363"/>
        <v>-391.01200000000011</v>
      </c>
      <c r="AQ219" s="150">
        <f t="shared" si="1363"/>
        <v>-514.74499999999989</v>
      </c>
      <c r="AR219" s="150">
        <f t="shared" si="1363"/>
        <v>-276.78399999999999</v>
      </c>
      <c r="AS219" s="150">
        <f t="shared" si="1363"/>
        <v>-1044.9899999999998</v>
      </c>
      <c r="AT219" s="150">
        <f t="shared" si="1363"/>
        <v>-678.43400000000031</v>
      </c>
      <c r="AU219" s="150">
        <f t="shared" si="1363"/>
        <v>-956.20999999999992</v>
      </c>
      <c r="AV219" s="150">
        <f t="shared" si="1363"/>
        <v>-1265.857</v>
      </c>
      <c r="AW219" s="150">
        <f t="shared" si="1363"/>
        <v>-1296.1460000000002</v>
      </c>
      <c r="AX219" s="150">
        <f t="shared" si="1363"/>
        <v>-2069.6119999999996</v>
      </c>
      <c r="AY219" s="150">
        <f t="shared" si="1363"/>
        <v>-3676.273999999999</v>
      </c>
      <c r="AZ219" s="150">
        <f t="shared" si="1363"/>
        <v>-2799.7640000000001</v>
      </c>
      <c r="BA219" s="150">
        <f t="shared" si="1363"/>
        <v>-2079.1489999999994</v>
      </c>
      <c r="BB219" s="150">
        <f t="shared" si="1363"/>
        <v>-5233.3900000000003</v>
      </c>
      <c r="BC219" s="150">
        <f t="shared" si="1363"/>
        <v>-5058.6240000000007</v>
      </c>
      <c r="BD219" s="150">
        <f t="shared" si="1363"/>
        <v>-5126.3860000000004</v>
      </c>
      <c r="BE219" s="150">
        <f t="shared" si="1363"/>
        <v>-4667.6649999999991</v>
      </c>
      <c r="BF219" s="150">
        <f t="shared" si="1363"/>
        <v>-8579.6720000000023</v>
      </c>
      <c r="BG219" s="150">
        <f t="shared" si="1363"/>
        <v>-6492.1619999999948</v>
      </c>
      <c r="BH219" s="150">
        <f t="shared" si="1363"/>
        <v>-7132.3670000000002</v>
      </c>
      <c r="BJ219" s="150">
        <f t="shared" ref="BJ219:BR219" si="1364">BJ67</f>
        <v>-2507.9270000000001</v>
      </c>
      <c r="BK219" s="150">
        <f t="shared" si="1364"/>
        <v>-2010.319</v>
      </c>
      <c r="BL219" s="150">
        <f t="shared" si="1364"/>
        <v>-4722.5280000000002</v>
      </c>
      <c r="BM219" s="150">
        <f t="shared" si="1364"/>
        <v>-2399.4889999999996</v>
      </c>
      <c r="BN219" s="150">
        <f t="shared" si="1364"/>
        <v>-3866.5810000000001</v>
      </c>
      <c r="BO219" s="150">
        <f t="shared" si="1364"/>
        <v>-2722.326</v>
      </c>
      <c r="BP219" s="150">
        <f t="shared" si="1364"/>
        <v>-6890.1889999999994</v>
      </c>
      <c r="BQ219" s="150">
        <f t="shared" si="1364"/>
        <v>-6378.483000000002</v>
      </c>
      <c r="BR219" s="150">
        <f t="shared" si="1364"/>
        <v>-6708.67</v>
      </c>
      <c r="BW219" s="39"/>
      <c r="BX219" s="39"/>
    </row>
    <row r="220" spans="2:76" s="5" customFormat="1" ht="13.5" customHeight="1" thickBot="1">
      <c r="B220" s="24" t="str">
        <f t="shared" ref="B220:M220" si="1365">B72</f>
        <v xml:space="preserve">Free cash flow </v>
      </c>
      <c r="C220" s="85">
        <f t="shared" si="1365"/>
        <v>228.64400000000018</v>
      </c>
      <c r="D220" s="85">
        <f t="shared" si="1365"/>
        <v>493.14899999999983</v>
      </c>
      <c r="E220" s="85">
        <f t="shared" si="1365"/>
        <v>-344.90599999999995</v>
      </c>
      <c r="F220" s="85">
        <f t="shared" si="1365"/>
        <v>-1575.9269999999997</v>
      </c>
      <c r="G220" s="85">
        <f t="shared" si="1365"/>
        <v>-1698.4030000000002</v>
      </c>
      <c r="H220" s="85">
        <f t="shared" si="1365"/>
        <v>-866.04800000000012</v>
      </c>
      <c r="I220" s="85">
        <f t="shared" si="1365"/>
        <v>1577.164</v>
      </c>
      <c r="J220" s="85">
        <f t="shared" si="1365"/>
        <v>-12828.089000000002</v>
      </c>
      <c r="K220" s="85">
        <f t="shared" si="1365"/>
        <v>-9407.8259999999991</v>
      </c>
      <c r="L220" s="85">
        <f t="shared" si="1365"/>
        <v>3336.0409999999965</v>
      </c>
      <c r="M220" s="85">
        <f t="shared" si="1365"/>
        <v>-10013.315999999999</v>
      </c>
      <c r="N220" s="85">
        <f t="shared" ref="N220" si="1366">N72</f>
        <v>-12313.410000000003</v>
      </c>
      <c r="O220" s="85">
        <f t="shared" ref="O220:P220" si="1367">O72</f>
        <v>1218.7280000000014</v>
      </c>
      <c r="P220" s="85">
        <f t="shared" si="1367"/>
        <v>1594.5430000000088</v>
      </c>
      <c r="Q220" s="85">
        <f t="shared" ref="Q220" si="1368">Q72</f>
        <v>-20748.070999999996</v>
      </c>
      <c r="R220" s="85">
        <f t="shared" ref="R220" si="1369">R72</f>
        <v>-25938.569</v>
      </c>
      <c r="S220" s="286"/>
      <c r="T220" s="85">
        <f t="shared" ref="T220:AY220" si="1370">T72</f>
        <v>232.73900000000003</v>
      </c>
      <c r="U220" s="85">
        <f t="shared" si="1370"/>
        <v>-12.840999999999994</v>
      </c>
      <c r="V220" s="85">
        <f t="shared" si="1370"/>
        <v>51.766999999999975</v>
      </c>
      <c r="W220" s="85">
        <f t="shared" si="1370"/>
        <v>-616.5709999999998</v>
      </c>
      <c r="X220" s="85">
        <f t="shared" si="1370"/>
        <v>-692.88300000000004</v>
      </c>
      <c r="Y220" s="85">
        <f t="shared" si="1370"/>
        <v>-667.28500000000008</v>
      </c>
      <c r="Z220" s="85">
        <f t="shared" si="1370"/>
        <v>-403.81399999999945</v>
      </c>
      <c r="AA220" s="85">
        <f t="shared" si="1370"/>
        <v>188.05499999999992</v>
      </c>
      <c r="AB220" s="85">
        <f t="shared" si="1370"/>
        <v>-409.5440000000001</v>
      </c>
      <c r="AC220" s="85">
        <f t="shared" si="1370"/>
        <v>-1027.4290000000001</v>
      </c>
      <c r="AD220" s="85">
        <f t="shared" si="1370"/>
        <v>-1530.7640000000004</v>
      </c>
      <c r="AE220" s="85">
        <f t="shared" si="1370"/>
        <v>1269.3340000000005</v>
      </c>
      <c r="AF220" s="85">
        <f t="shared" si="1370"/>
        <v>-281.21600000000012</v>
      </c>
      <c r="AG220" s="85">
        <f t="shared" si="1370"/>
        <v>541.70300000000054</v>
      </c>
      <c r="AH220" s="85">
        <f t="shared" si="1370"/>
        <v>-1453.679000000001</v>
      </c>
      <c r="AI220" s="85">
        <f t="shared" si="1370"/>
        <v>327.14400000000052</v>
      </c>
      <c r="AJ220" s="85">
        <f t="shared" si="1370"/>
        <v>160.69399999999996</v>
      </c>
      <c r="AK220" s="85">
        <f t="shared" si="1370"/>
        <v>2483.9870000000001</v>
      </c>
      <c r="AL220" s="85">
        <f t="shared" si="1370"/>
        <v>1195.9780000000001</v>
      </c>
      <c r="AM220" s="85">
        <f t="shared" si="1370"/>
        <v>-2263.4950000000003</v>
      </c>
      <c r="AN220" s="85">
        <f t="shared" si="1370"/>
        <v>-3011.6299999999997</v>
      </c>
      <c r="AO220" s="85">
        <f t="shared" si="1370"/>
        <v>-5419.6020000000008</v>
      </c>
      <c r="AP220" s="85">
        <f t="shared" si="1370"/>
        <v>371.81299999999982</v>
      </c>
      <c r="AQ220" s="85">
        <f t="shared" si="1370"/>
        <v>-4768.670000000001</v>
      </c>
      <c r="AR220" s="85">
        <f t="shared" si="1370"/>
        <v>-3435.9319999999989</v>
      </c>
      <c r="AS220" s="85">
        <f t="shared" si="1370"/>
        <v>-6785.2290000000021</v>
      </c>
      <c r="AT220" s="85">
        <f t="shared" si="1370"/>
        <v>1579.9630000000029</v>
      </c>
      <c r="AU220" s="85">
        <f t="shared" si="1370"/>
        <v>-766.62800000000107</v>
      </c>
      <c r="AV220" s="85">
        <f t="shared" si="1370"/>
        <v>-7817.1250000000009</v>
      </c>
      <c r="AW220" s="85">
        <f t="shared" si="1370"/>
        <v>-10535.768999999997</v>
      </c>
      <c r="AX220" s="85">
        <f t="shared" si="1370"/>
        <v>-6990.8390000000045</v>
      </c>
      <c r="AY220" s="85">
        <f t="shared" si="1370"/>
        <v>15330.417000000005</v>
      </c>
      <c r="AZ220" s="85">
        <f t="shared" ref="AZ220:BC220" si="1371">AZ72</f>
        <v>1535.3719999999996</v>
      </c>
      <c r="BA220" s="85">
        <f t="shared" si="1371"/>
        <v>-2601.3699999999994</v>
      </c>
      <c r="BB220" s="85">
        <f t="shared" si="1371"/>
        <v>-15720.87</v>
      </c>
      <c r="BC220" s="85">
        <f t="shared" si="1371"/>
        <v>18005.595999999998</v>
      </c>
      <c r="BD220" s="85">
        <f t="shared" ref="BD220:BG220" si="1372">BD72</f>
        <v>-16340.129000000001</v>
      </c>
      <c r="BE220" s="85">
        <f t="shared" si="1372"/>
        <v>-22397.603000000006</v>
      </c>
      <c r="BF220" s="85">
        <f t="shared" si="1372"/>
        <v>559.46100000000229</v>
      </c>
      <c r="BG220" s="85">
        <f t="shared" si="1372"/>
        <v>17430.200000000004</v>
      </c>
      <c r="BH220" s="85">
        <f t="shared" ref="BH220" si="1373">BH72</f>
        <v>-21530.627</v>
      </c>
      <c r="BJ220" s="85">
        <f t="shared" ref="BJ220:BL220" si="1374">BJ72</f>
        <v>-5708.1990000000005</v>
      </c>
      <c r="BK220" s="85">
        <f t="shared" si="1374"/>
        <v>-8836.4500000000025</v>
      </c>
      <c r="BL220" s="85">
        <f t="shared" si="1374"/>
        <v>5037.6869999999999</v>
      </c>
      <c r="BM220" s="85">
        <f t="shared" ref="BM220:BN220" si="1375">BM72</f>
        <v>-2806.4479999999985</v>
      </c>
      <c r="BN220" s="85">
        <f t="shared" si="1375"/>
        <v>2805.5120000000002</v>
      </c>
      <c r="BO220" s="85">
        <f t="shared" ref="BO220:BR220" si="1376">BO72</f>
        <v>-4555.7079999999987</v>
      </c>
      <c r="BP220" s="85">
        <f t="shared" si="1376"/>
        <v>-19802.223000000002</v>
      </c>
      <c r="BQ220" s="85">
        <f t="shared" si="1376"/>
        <v>23146.962000000007</v>
      </c>
      <c r="BR220" s="85">
        <f t="shared" si="1376"/>
        <v>-21045.216999999997</v>
      </c>
      <c r="BT220" s="1"/>
      <c r="BU220" s="1"/>
      <c r="BW220" s="39"/>
      <c r="BX220" s="39"/>
    </row>
    <row r="221" spans="2:76" ht="13.5" customHeight="1" thickTop="1">
      <c r="B221" s="118" t="str">
        <f t="shared" ref="B221:M221" si="1377">B73</f>
        <v>Other investing activities</v>
      </c>
      <c r="C221" s="119">
        <f t="shared" si="1377"/>
        <v>0</v>
      </c>
      <c r="D221" s="119">
        <f t="shared" si="1377"/>
        <v>0</v>
      </c>
      <c r="E221" s="119">
        <f t="shared" si="1377"/>
        <v>558.58199999999999</v>
      </c>
      <c r="F221" s="119">
        <f t="shared" si="1377"/>
        <v>-19.001999999999999</v>
      </c>
      <c r="G221" s="119">
        <f t="shared" si="1377"/>
        <v>-48.192999999999998</v>
      </c>
      <c r="H221" s="119">
        <f t="shared" si="1377"/>
        <v>-167.68600000000001</v>
      </c>
      <c r="I221" s="119">
        <f t="shared" si="1377"/>
        <v>240.55</v>
      </c>
      <c r="J221" s="119">
        <f t="shared" si="1377"/>
        <v>185.99899999999997</v>
      </c>
      <c r="K221" s="119">
        <f t="shared" si="1377"/>
        <v>-317.21600000000001</v>
      </c>
      <c r="L221" s="119">
        <f t="shared" si="1377"/>
        <v>-547.00800000000004</v>
      </c>
      <c r="M221" s="119">
        <f t="shared" si="1377"/>
        <v>-11.73</v>
      </c>
      <c r="N221" s="119">
        <f t="shared" ref="N221" si="1378">N73</f>
        <v>-16.936</v>
      </c>
      <c r="O221" s="119">
        <f t="shared" ref="O221:P221" si="1379">O73</f>
        <v>-671.65499999999997</v>
      </c>
      <c r="P221" s="119">
        <f t="shared" si="1379"/>
        <v>-879.13200000000006</v>
      </c>
      <c r="Q221" s="119">
        <f t="shared" ref="Q221" si="1380">Q73</f>
        <v>-537.34799999999996</v>
      </c>
      <c r="R221" s="119">
        <f t="shared" ref="R221" si="1381">R73</f>
        <v>-357.83699999999999</v>
      </c>
      <c r="S221" s="73"/>
      <c r="T221" s="119">
        <f t="shared" ref="T221:AY221" si="1382">T73</f>
        <v>0</v>
      </c>
      <c r="U221" s="119">
        <f t="shared" si="1382"/>
        <v>558.58199999999999</v>
      </c>
      <c r="V221" s="119">
        <f t="shared" si="1382"/>
        <v>0</v>
      </c>
      <c r="W221" s="119">
        <f t="shared" si="1382"/>
        <v>0</v>
      </c>
      <c r="X221" s="119">
        <f t="shared" si="1382"/>
        <v>0</v>
      </c>
      <c r="Y221" s="119">
        <f t="shared" si="1382"/>
        <v>0</v>
      </c>
      <c r="Z221" s="119">
        <f t="shared" si="1382"/>
        <v>0</v>
      </c>
      <c r="AA221" s="119">
        <f t="shared" si="1382"/>
        <v>-19.001999999999999</v>
      </c>
      <c r="AB221" s="119">
        <f t="shared" si="1382"/>
        <v>0</v>
      </c>
      <c r="AC221" s="119">
        <f t="shared" si="1382"/>
        <v>0</v>
      </c>
      <c r="AD221" s="119">
        <f t="shared" si="1382"/>
        <v>0</v>
      </c>
      <c r="AE221" s="119">
        <f t="shared" si="1382"/>
        <v>-48.192999999999998</v>
      </c>
      <c r="AF221" s="119">
        <f t="shared" si="1382"/>
        <v>0</v>
      </c>
      <c r="AG221" s="119">
        <f t="shared" si="1382"/>
        <v>-112.48</v>
      </c>
      <c r="AH221" s="119">
        <f t="shared" si="1382"/>
        <v>0</v>
      </c>
      <c r="AI221" s="119">
        <f t="shared" si="1382"/>
        <v>-55.206000000000003</v>
      </c>
      <c r="AJ221" s="119">
        <f t="shared" si="1382"/>
        <v>0</v>
      </c>
      <c r="AK221" s="119">
        <f t="shared" si="1382"/>
        <v>-35.228000000000002</v>
      </c>
      <c r="AL221" s="119">
        <f t="shared" si="1382"/>
        <v>0</v>
      </c>
      <c r="AM221" s="119">
        <f t="shared" si="1382"/>
        <v>275.77800000000002</v>
      </c>
      <c r="AN221" s="119">
        <f t="shared" si="1382"/>
        <v>0</v>
      </c>
      <c r="AO221" s="119">
        <f t="shared" si="1382"/>
        <v>0</v>
      </c>
      <c r="AP221" s="119">
        <f t="shared" si="1382"/>
        <v>0</v>
      </c>
      <c r="AQ221" s="119">
        <f t="shared" si="1382"/>
        <v>185.99899999999997</v>
      </c>
      <c r="AR221" s="119">
        <f t="shared" si="1382"/>
        <v>0</v>
      </c>
      <c r="AS221" s="119">
        <f t="shared" si="1382"/>
        <v>-10.215999999999999</v>
      </c>
      <c r="AT221" s="119">
        <f t="shared" si="1382"/>
        <v>-1.7940000000000005</v>
      </c>
      <c r="AU221" s="119">
        <f t="shared" si="1382"/>
        <v>-305.20600000000002</v>
      </c>
      <c r="AV221" s="119">
        <f t="shared" si="1382"/>
        <v>0</v>
      </c>
      <c r="AW221" s="119">
        <f t="shared" si="1382"/>
        <v>-4.3529999999999998</v>
      </c>
      <c r="AX221" s="119">
        <f t="shared" si="1382"/>
        <v>-3.2770000000000001</v>
      </c>
      <c r="AY221" s="119">
        <f t="shared" si="1382"/>
        <v>-4.1000000000000005</v>
      </c>
      <c r="AZ221" s="119">
        <f t="shared" ref="AZ221:BC221" si="1383">AZ73</f>
        <v>15.043000000000001</v>
      </c>
      <c r="BA221" s="119">
        <f t="shared" si="1383"/>
        <v>-4.5290000000000035</v>
      </c>
      <c r="BB221" s="119">
        <f t="shared" si="1383"/>
        <v>-2.987999999999996</v>
      </c>
      <c r="BC221" s="119">
        <f t="shared" si="1383"/>
        <v>-679.18100000000004</v>
      </c>
      <c r="BD221" s="119">
        <f t="shared" ref="BD221:BG221" si="1384">BD73</f>
        <v>-447.76400000000001</v>
      </c>
      <c r="BE221" s="119">
        <f t="shared" si="1384"/>
        <v>675.65499999999997</v>
      </c>
      <c r="BF221" s="119">
        <f t="shared" si="1384"/>
        <v>-241.11899999999991</v>
      </c>
      <c r="BG221" s="119">
        <f t="shared" si="1384"/>
        <v>-524.12</v>
      </c>
      <c r="BH221" s="119">
        <f t="shared" ref="BH221" si="1385">BH73</f>
        <v>-268.25300000000004</v>
      </c>
      <c r="BJ221" s="119">
        <f t="shared" ref="BJ221:BL221" si="1386">BJ73</f>
        <v>0</v>
      </c>
      <c r="BK221" s="119">
        <f t="shared" si="1386"/>
        <v>-5.0979999999999999</v>
      </c>
      <c r="BL221" s="119">
        <f t="shared" si="1386"/>
        <v>-6.0430000000000001</v>
      </c>
      <c r="BM221" s="119">
        <f t="shared" ref="BM221:BN221" si="1387">BM73</f>
        <v>-5.7949999999999999</v>
      </c>
      <c r="BN221" s="119">
        <f t="shared" si="1387"/>
        <v>-560.62599999999998</v>
      </c>
      <c r="BO221" s="119">
        <f t="shared" ref="BO221:BR221" si="1388">BO73</f>
        <v>719.49900000000002</v>
      </c>
      <c r="BP221" s="119">
        <f t="shared" si="1388"/>
        <v>-148.84300000000007</v>
      </c>
      <c r="BQ221" s="119">
        <f t="shared" si="1388"/>
        <v>-889.16200000000003</v>
      </c>
      <c r="BR221" s="119">
        <f t="shared" si="1388"/>
        <v>-585.96899999999994</v>
      </c>
      <c r="BW221" s="39"/>
      <c r="BX221" s="39"/>
    </row>
    <row r="222" spans="2:76" ht="13.5" customHeight="1">
      <c r="B222" s="1" t="str">
        <f t="shared" ref="B222:M222" si="1389">B74</f>
        <v>Equity Issuance/Buyback</v>
      </c>
      <c r="C222" s="89">
        <f t="shared" si="1389"/>
        <v>0</v>
      </c>
      <c r="D222" s="89">
        <f t="shared" si="1389"/>
        <v>-282.05599999999998</v>
      </c>
      <c r="E222" s="89">
        <f t="shared" si="1389"/>
        <v>0</v>
      </c>
      <c r="F222" s="89">
        <f t="shared" si="1389"/>
        <v>0</v>
      </c>
      <c r="G222" s="89">
        <f t="shared" si="1389"/>
        <v>0</v>
      </c>
      <c r="H222" s="89">
        <f t="shared" si="1389"/>
        <v>0</v>
      </c>
      <c r="I222" s="89">
        <f t="shared" si="1389"/>
        <v>0</v>
      </c>
      <c r="J222" s="89">
        <f t="shared" si="1389"/>
        <v>-1215.2660000000001</v>
      </c>
      <c r="K222" s="89">
        <f t="shared" si="1389"/>
        <v>-1882.894</v>
      </c>
      <c r="L222" s="89">
        <f t="shared" si="1389"/>
        <v>-4089.893</v>
      </c>
      <c r="M222" s="89">
        <f t="shared" si="1389"/>
        <v>0</v>
      </c>
      <c r="N222" s="89">
        <f t="shared" ref="N222" si="1390">N74</f>
        <v>0</v>
      </c>
      <c r="O222" s="89">
        <f t="shared" ref="O222:P222" si="1391">O74</f>
        <v>0</v>
      </c>
      <c r="P222" s="89">
        <f t="shared" si="1391"/>
        <v>0</v>
      </c>
      <c r="Q222" s="89">
        <f t="shared" ref="Q222" si="1392">Q74</f>
        <v>5344.1139999999996</v>
      </c>
      <c r="R222" s="89">
        <f t="shared" ref="R222" si="1393">R74</f>
        <v>5344.1139999999987</v>
      </c>
      <c r="S222" s="73"/>
      <c r="T222" s="89">
        <f t="shared" ref="T222:AY222" si="1394">T74</f>
        <v>0</v>
      </c>
      <c r="U222" s="89">
        <f t="shared" si="1394"/>
        <v>0</v>
      </c>
      <c r="V222" s="89">
        <f t="shared" si="1394"/>
        <v>0</v>
      </c>
      <c r="W222" s="89">
        <f t="shared" si="1394"/>
        <v>0</v>
      </c>
      <c r="X222" s="89">
        <f t="shared" si="1394"/>
        <v>0</v>
      </c>
      <c r="Y222" s="89">
        <f t="shared" si="1394"/>
        <v>0</v>
      </c>
      <c r="Z222" s="89">
        <f t="shared" si="1394"/>
        <v>0</v>
      </c>
      <c r="AA222" s="89">
        <f t="shared" si="1394"/>
        <v>0</v>
      </c>
      <c r="AB222" s="89">
        <f t="shared" si="1394"/>
        <v>0</v>
      </c>
      <c r="AC222" s="89">
        <f t="shared" si="1394"/>
        <v>0</v>
      </c>
      <c r="AD222" s="89">
        <f t="shared" si="1394"/>
        <v>0</v>
      </c>
      <c r="AE222" s="89">
        <f t="shared" si="1394"/>
        <v>0</v>
      </c>
      <c r="AF222" s="89">
        <f t="shared" si="1394"/>
        <v>0</v>
      </c>
      <c r="AG222" s="89">
        <f t="shared" si="1394"/>
        <v>0</v>
      </c>
      <c r="AH222" s="89">
        <f t="shared" si="1394"/>
        <v>0</v>
      </c>
      <c r="AI222" s="89">
        <f t="shared" si="1394"/>
        <v>0</v>
      </c>
      <c r="AJ222" s="89">
        <f t="shared" si="1394"/>
        <v>0</v>
      </c>
      <c r="AK222" s="89">
        <f t="shared" si="1394"/>
        <v>0</v>
      </c>
      <c r="AL222" s="89">
        <f t="shared" si="1394"/>
        <v>0</v>
      </c>
      <c r="AM222" s="89">
        <f t="shared" si="1394"/>
        <v>0</v>
      </c>
      <c r="AN222" s="89">
        <f t="shared" si="1394"/>
        <v>0</v>
      </c>
      <c r="AO222" s="89">
        <f t="shared" si="1394"/>
        <v>0</v>
      </c>
      <c r="AP222" s="89">
        <f t="shared" si="1394"/>
        <v>0</v>
      </c>
      <c r="AQ222" s="89">
        <f t="shared" si="1394"/>
        <v>-1215.2660000000001</v>
      </c>
      <c r="AR222" s="89">
        <f t="shared" si="1394"/>
        <v>-1066.203</v>
      </c>
      <c r="AS222" s="89">
        <f t="shared" si="1394"/>
        <v>-716.2650000000001</v>
      </c>
      <c r="AT222" s="89">
        <f t="shared" si="1394"/>
        <v>1782.4680000000001</v>
      </c>
      <c r="AU222" s="89">
        <f t="shared" si="1394"/>
        <v>-1882.894</v>
      </c>
      <c r="AV222" s="89">
        <f t="shared" si="1394"/>
        <v>0</v>
      </c>
      <c r="AW222" s="89">
        <f t="shared" si="1394"/>
        <v>0</v>
      </c>
      <c r="AX222" s="89">
        <f t="shared" si="1394"/>
        <v>0</v>
      </c>
      <c r="AY222" s="89">
        <f t="shared" si="1394"/>
        <v>0</v>
      </c>
      <c r="AZ222" s="89">
        <f t="shared" ref="AZ222:BC222" si="1395">AZ74</f>
        <v>0</v>
      </c>
      <c r="BA222" s="89">
        <f t="shared" si="1395"/>
        <v>0</v>
      </c>
      <c r="BB222" s="89">
        <f t="shared" si="1395"/>
        <v>0</v>
      </c>
      <c r="BC222" s="89">
        <f t="shared" si="1395"/>
        <v>0</v>
      </c>
      <c r="BD222" s="89">
        <f t="shared" ref="BD222:BG222" si="1396">BD74</f>
        <v>0</v>
      </c>
      <c r="BE222" s="89">
        <f t="shared" si="1396"/>
        <v>146.19399999999999</v>
      </c>
      <c r="BF222" s="89">
        <f t="shared" si="1396"/>
        <v>10.971000000000004</v>
      </c>
      <c r="BG222" s="89">
        <f t="shared" si="1396"/>
        <v>5186.9489999999987</v>
      </c>
      <c r="BH222" s="89">
        <f t="shared" ref="BH222" si="1397">BH74</f>
        <v>0</v>
      </c>
      <c r="BJ222" s="89">
        <f t="shared" ref="BJ222:BL222" si="1398">BJ74</f>
        <v>0</v>
      </c>
      <c r="BK222" s="89">
        <f t="shared" si="1398"/>
        <v>0</v>
      </c>
      <c r="BL222" s="89">
        <f t="shared" si="1398"/>
        <v>0</v>
      </c>
      <c r="BM222" s="89">
        <f t="shared" ref="BM222:BN222" si="1399">BM74</f>
        <v>0</v>
      </c>
      <c r="BN222" s="89">
        <f t="shared" si="1399"/>
        <v>0</v>
      </c>
      <c r="BO222" s="89">
        <f t="shared" ref="BO222:BR222" si="1400">BO74</f>
        <v>0</v>
      </c>
      <c r="BP222" s="89">
        <f t="shared" si="1400"/>
        <v>0</v>
      </c>
      <c r="BQ222" s="89">
        <f t="shared" si="1400"/>
        <v>0</v>
      </c>
      <c r="BR222" s="89">
        <f t="shared" si="1400"/>
        <v>0</v>
      </c>
      <c r="BW222" s="39"/>
      <c r="BX222" s="39"/>
    </row>
    <row r="223" spans="2:76" s="5" customFormat="1" ht="13.5" customHeight="1">
      <c r="B223" s="1" t="str">
        <f t="shared" ref="B223:M223" si="1401">B75</f>
        <v xml:space="preserve">Dividends received  / Dividends Paid </v>
      </c>
      <c r="C223" s="89">
        <f t="shared" si="1401"/>
        <v>-326.839</v>
      </c>
      <c r="D223" s="89">
        <f t="shared" si="1401"/>
        <v>-325.72500000000002</v>
      </c>
      <c r="E223" s="89">
        <f t="shared" si="1401"/>
        <v>-249.191</v>
      </c>
      <c r="F223" s="89">
        <f t="shared" si="1401"/>
        <v>-411.92399999999998</v>
      </c>
      <c r="G223" s="89">
        <f t="shared" si="1401"/>
        <v>-408.90300000000002</v>
      </c>
      <c r="H223" s="89">
        <f t="shared" si="1401"/>
        <v>0</v>
      </c>
      <c r="I223" s="89">
        <f t="shared" si="1401"/>
        <v>-27.085999999999999</v>
      </c>
      <c r="J223" s="89">
        <f t="shared" si="1401"/>
        <v>-1501.7149999999999</v>
      </c>
      <c r="K223" s="89">
        <f t="shared" si="1401"/>
        <v>-1653.471</v>
      </c>
      <c r="L223" s="89">
        <f t="shared" si="1401"/>
        <v>-3534.0820000000003</v>
      </c>
      <c r="M223" s="89">
        <f t="shared" si="1401"/>
        <v>-3203.864</v>
      </c>
      <c r="N223" s="89">
        <f t="shared" ref="N223" si="1402">N75</f>
        <v>-4625.6979999999994</v>
      </c>
      <c r="O223" s="89">
        <f t="shared" ref="O223:P223" si="1403">O75</f>
        <v>-1069.854</v>
      </c>
      <c r="P223" s="89">
        <f t="shared" si="1403"/>
        <v>-1400.3680000000002</v>
      </c>
      <c r="Q223" s="89">
        <f t="shared" ref="Q223" si="1404">Q75</f>
        <v>-885.44100000000003</v>
      </c>
      <c r="R223" s="89">
        <f t="shared" ref="R223" si="1405">R75</f>
        <v>-872.1</v>
      </c>
      <c r="S223" s="73"/>
      <c r="T223" s="89">
        <f t="shared" ref="T223:AY223" si="1406">T75</f>
        <v>12.75</v>
      </c>
      <c r="U223" s="89">
        <f t="shared" si="1406"/>
        <v>-261.94100000000003</v>
      </c>
      <c r="V223" s="89">
        <f t="shared" si="1406"/>
        <v>2.8421709430404007E-14</v>
      </c>
      <c r="W223" s="89">
        <f t="shared" si="1406"/>
        <v>0</v>
      </c>
      <c r="X223" s="89">
        <f t="shared" si="1406"/>
        <v>13.085000000000001</v>
      </c>
      <c r="Y223" s="89">
        <f t="shared" si="1406"/>
        <v>-424.90699999999998</v>
      </c>
      <c r="Z223" s="89">
        <f t="shared" si="1406"/>
        <v>-2.1316282072803006E-14</v>
      </c>
      <c r="AA223" s="89">
        <f t="shared" si="1406"/>
        <v>-0.10199999999997544</v>
      </c>
      <c r="AB223" s="89">
        <f t="shared" si="1406"/>
        <v>-408.73599999999999</v>
      </c>
      <c r="AC223" s="89">
        <f t="shared" si="1406"/>
        <v>0</v>
      </c>
      <c r="AD223" s="89">
        <f t="shared" si="1406"/>
        <v>0</v>
      </c>
      <c r="AE223" s="89">
        <f t="shared" si="1406"/>
        <v>-0.16700000000003001</v>
      </c>
      <c r="AF223" s="89">
        <f t="shared" si="1406"/>
        <v>0</v>
      </c>
      <c r="AG223" s="89">
        <f t="shared" si="1406"/>
        <v>-587.33299999999997</v>
      </c>
      <c r="AH223" s="89">
        <f t="shared" si="1406"/>
        <v>587.33299999999997</v>
      </c>
      <c r="AI223" s="89">
        <f t="shared" si="1406"/>
        <v>0</v>
      </c>
      <c r="AJ223" s="89">
        <f t="shared" si="1406"/>
        <v>0</v>
      </c>
      <c r="AK223" s="89">
        <f t="shared" si="1406"/>
        <v>-611.11699999999996</v>
      </c>
      <c r="AL223" s="89">
        <f t="shared" si="1406"/>
        <v>-363.11200000000008</v>
      </c>
      <c r="AM223" s="89">
        <f t="shared" si="1406"/>
        <v>947.14300000000003</v>
      </c>
      <c r="AN223" s="89">
        <f t="shared" si="1406"/>
        <v>-1500</v>
      </c>
      <c r="AO223" s="89">
        <f t="shared" si="1406"/>
        <v>-2.0570000000000164</v>
      </c>
      <c r="AP223" s="89">
        <f t="shared" si="1406"/>
        <v>0</v>
      </c>
      <c r="AQ223" s="89">
        <f t="shared" si="1406"/>
        <v>0.34200000000009823</v>
      </c>
      <c r="AR223" s="89">
        <f t="shared" si="1406"/>
        <v>-1329.0250000000001</v>
      </c>
      <c r="AS223" s="89">
        <f t="shared" si="1406"/>
        <v>-74.951999999999998</v>
      </c>
      <c r="AT223" s="89">
        <f t="shared" si="1406"/>
        <v>-235.94299999999998</v>
      </c>
      <c r="AU223" s="89">
        <f t="shared" si="1406"/>
        <v>-13.550999999999931</v>
      </c>
      <c r="AV223" s="89">
        <f t="shared" si="1406"/>
        <v>16.75</v>
      </c>
      <c r="AW223" s="89">
        <f t="shared" si="1406"/>
        <v>-400.262</v>
      </c>
      <c r="AX223" s="89">
        <f t="shared" si="1406"/>
        <v>-1727.4150000000002</v>
      </c>
      <c r="AY223" s="89">
        <f t="shared" si="1406"/>
        <v>-1092.9369999999997</v>
      </c>
      <c r="AZ223" s="89">
        <f t="shared" ref="AZ223:BC223" si="1407">AZ75</f>
        <v>44.993000000000002</v>
      </c>
      <c r="BA223" s="89">
        <f t="shared" si="1407"/>
        <v>2.5649999999999977</v>
      </c>
      <c r="BB223" s="89">
        <f t="shared" si="1407"/>
        <v>-852.65400000000011</v>
      </c>
      <c r="BC223" s="89">
        <f t="shared" si="1407"/>
        <v>-264.75799999999992</v>
      </c>
      <c r="BD223" s="89">
        <f t="shared" ref="BD223:BG223" si="1408">BD75</f>
        <v>-13.340999999999999</v>
      </c>
      <c r="BE223" s="89">
        <f t="shared" si="1408"/>
        <v>-194.06299999999999</v>
      </c>
      <c r="BF223" s="89">
        <f t="shared" si="1408"/>
        <v>-91.052000000000035</v>
      </c>
      <c r="BG223" s="89">
        <f t="shared" si="1408"/>
        <v>-586.98500000000001</v>
      </c>
      <c r="BH223" s="89">
        <f t="shared" ref="BH223" si="1409">BH75</f>
        <v>0</v>
      </c>
      <c r="BJ223" s="89">
        <f t="shared" ref="BJ223:BL223" si="1410">BJ75</f>
        <v>28.222999999999999</v>
      </c>
      <c r="BK223" s="89">
        <f t="shared" si="1410"/>
        <v>2.3719999999999999</v>
      </c>
      <c r="BL223" s="89">
        <f t="shared" si="1410"/>
        <v>-4129.9320000000007</v>
      </c>
      <c r="BM223" s="89">
        <f t="shared" ref="BM223:BN223" si="1411">BM75</f>
        <v>-526.36099999999897</v>
      </c>
      <c r="BN223" s="89">
        <f t="shared" si="1411"/>
        <v>62.137</v>
      </c>
      <c r="BO223" s="89">
        <f t="shared" ref="BO223:BR223" si="1412">BO75</f>
        <v>-862.18399999999997</v>
      </c>
      <c r="BP223" s="89">
        <f t="shared" si="1412"/>
        <v>-273.09799999999996</v>
      </c>
      <c r="BQ223" s="89">
        <f t="shared" si="1412"/>
        <v>-327.22300000000018</v>
      </c>
      <c r="BR223" s="89">
        <f t="shared" si="1412"/>
        <v>-17.459</v>
      </c>
      <c r="BT223" s="1"/>
      <c r="BU223" s="1"/>
      <c r="BW223" s="39"/>
      <c r="BX223" s="39"/>
    </row>
    <row r="224" spans="2:76" ht="13.5" customHeight="1">
      <c r="B224" s="1" t="str">
        <f t="shared" ref="B224:M224" si="1413">B76</f>
        <v>Change in debt</v>
      </c>
      <c r="C224" s="89">
        <f t="shared" si="1413"/>
        <v>469.07099999999991</v>
      </c>
      <c r="D224" s="86">
        <f t="shared" si="1413"/>
        <v>230.11300000000028</v>
      </c>
      <c r="E224" s="86">
        <f t="shared" si="1413"/>
        <v>-439.654</v>
      </c>
      <c r="F224" s="86">
        <f t="shared" si="1413"/>
        <v>1305.251</v>
      </c>
      <c r="G224" s="86">
        <f t="shared" si="1413"/>
        <v>3260.4949999999994</v>
      </c>
      <c r="H224" s="86">
        <f t="shared" si="1413"/>
        <v>1172.3960000000002</v>
      </c>
      <c r="I224" s="86">
        <f t="shared" si="1413"/>
        <v>295.08300000000025</v>
      </c>
      <c r="J224" s="86">
        <f t="shared" si="1413"/>
        <v>8985.491</v>
      </c>
      <c r="K224" s="86">
        <f t="shared" si="1413"/>
        <v>10629.591</v>
      </c>
      <c r="L224" s="86">
        <f t="shared" si="1413"/>
        <v>22230.663</v>
      </c>
      <c r="M224" s="86">
        <f t="shared" si="1413"/>
        <v>37225.154999999992</v>
      </c>
      <c r="N224" s="86">
        <f t="shared" ref="N224" si="1414">N76</f>
        <v>50433.351000000017</v>
      </c>
      <c r="O224" s="86">
        <f t="shared" ref="O224:P224" si="1415">O76</f>
        <v>21109.452000000016</v>
      </c>
      <c r="P224" s="86">
        <f t="shared" si="1415"/>
        <v>27630.653999999988</v>
      </c>
      <c r="Q224" s="86">
        <f t="shared" ref="Q224" si="1416">Q76</f>
        <v>55751.49000000002</v>
      </c>
      <c r="R224" s="86">
        <f t="shared" ref="R224" si="1417">R76</f>
        <v>55991.504000000023</v>
      </c>
      <c r="S224" s="73"/>
      <c r="T224" s="86">
        <f t="shared" ref="T224:AY224" si="1418">T76</f>
        <v>130.45299999999997</v>
      </c>
      <c r="U224" s="86">
        <f t="shared" si="1418"/>
        <v>-454.67600000000004</v>
      </c>
      <c r="V224" s="86">
        <f t="shared" si="1418"/>
        <v>-37.07000000000005</v>
      </c>
      <c r="W224" s="86">
        <f t="shared" si="1418"/>
        <v>-78.360999999999876</v>
      </c>
      <c r="X224" s="86">
        <f t="shared" si="1418"/>
        <v>933.76499999999987</v>
      </c>
      <c r="Y224" s="86">
        <f t="shared" si="1418"/>
        <v>85.014000000000124</v>
      </c>
      <c r="Z224" s="86">
        <f t="shared" si="1418"/>
        <v>112.16300000000001</v>
      </c>
      <c r="AA224" s="86">
        <f t="shared" si="1418"/>
        <v>174.30899999999997</v>
      </c>
      <c r="AB224" s="86">
        <f t="shared" si="1418"/>
        <v>666.66100000000006</v>
      </c>
      <c r="AC224" s="86">
        <f t="shared" si="1418"/>
        <v>769.23300000000017</v>
      </c>
      <c r="AD224" s="86">
        <f t="shared" si="1418"/>
        <v>886.17799999999988</v>
      </c>
      <c r="AE224" s="86">
        <f t="shared" si="1418"/>
        <v>938.42299999999932</v>
      </c>
      <c r="AF224" s="86">
        <f t="shared" si="1418"/>
        <v>765.05100000000004</v>
      </c>
      <c r="AG224" s="86">
        <f t="shared" si="1418"/>
        <v>-410.46200000000033</v>
      </c>
      <c r="AH224" s="86">
        <f t="shared" si="1418"/>
        <v>25.403000000000247</v>
      </c>
      <c r="AI224" s="86">
        <f t="shared" si="1418"/>
        <v>792.40400000000022</v>
      </c>
      <c r="AJ224" s="86">
        <f t="shared" si="1418"/>
        <v>426.28299999999996</v>
      </c>
      <c r="AK224" s="86">
        <f t="shared" si="1418"/>
        <v>-466.87300000000005</v>
      </c>
      <c r="AL224" s="86">
        <f t="shared" si="1418"/>
        <v>-141.4379999999997</v>
      </c>
      <c r="AM224" s="86">
        <f t="shared" si="1418"/>
        <v>477.11100000000005</v>
      </c>
      <c r="AN224" s="86">
        <f t="shared" si="1418"/>
        <v>1200.2249999999999</v>
      </c>
      <c r="AO224" s="86">
        <f t="shared" si="1418"/>
        <v>4890.5290000000005</v>
      </c>
      <c r="AP224" s="86">
        <f t="shared" si="1418"/>
        <v>-2614.2560000000003</v>
      </c>
      <c r="AQ224" s="86">
        <f t="shared" si="1418"/>
        <v>5508.9929999999995</v>
      </c>
      <c r="AR224" s="86">
        <f t="shared" si="1418"/>
        <v>3970.1559999999999</v>
      </c>
      <c r="AS224" s="86">
        <f t="shared" si="1418"/>
        <v>2691.5340000000006</v>
      </c>
      <c r="AT224" s="86">
        <f t="shared" si="1418"/>
        <v>2376.7759999999998</v>
      </c>
      <c r="AU224" s="86">
        <f t="shared" si="1418"/>
        <v>1591.125</v>
      </c>
      <c r="AV224" s="86">
        <f t="shared" si="1418"/>
        <v>9114.402</v>
      </c>
      <c r="AW224" s="86">
        <f t="shared" si="1418"/>
        <v>-4500.4189999999981</v>
      </c>
      <c r="AX224" s="86">
        <f t="shared" si="1418"/>
        <v>14790.772999999996</v>
      </c>
      <c r="AY224" s="86">
        <f t="shared" si="1418"/>
        <v>17820.39899999999</v>
      </c>
      <c r="AZ224" s="86">
        <f t="shared" ref="AZ224:BC224" si="1419">AZ76</f>
        <v>3418.2060000000006</v>
      </c>
      <c r="BA224" s="86">
        <f t="shared" si="1419"/>
        <v>931.81599999999662</v>
      </c>
      <c r="BB224" s="86">
        <f t="shared" si="1419"/>
        <v>9215.283999999996</v>
      </c>
      <c r="BC224" s="86">
        <f t="shared" si="1419"/>
        <v>7544.1460000000225</v>
      </c>
      <c r="BD224" s="86">
        <f t="shared" ref="BD224:BG224" si="1420">BD76</f>
        <v>8213.7530000000006</v>
      </c>
      <c r="BE224" s="86">
        <f t="shared" si="1420"/>
        <v>32768.786999999997</v>
      </c>
      <c r="BF224" s="86">
        <f t="shared" si="1420"/>
        <v>6226.3910000000142</v>
      </c>
      <c r="BG224" s="86">
        <f t="shared" si="1420"/>
        <v>8542.559000000012</v>
      </c>
      <c r="BH224" s="86">
        <f t="shared" ref="BH224" si="1421">BH76</f>
        <v>8453.766999999998</v>
      </c>
      <c r="BJ224" s="86">
        <f t="shared" ref="BJ224:BL224" si="1422">BJ76</f>
        <v>15870.337</v>
      </c>
      <c r="BK224" s="86">
        <f t="shared" si="1422"/>
        <v>-3349.7710000000025</v>
      </c>
      <c r="BL224" s="86">
        <f t="shared" si="1422"/>
        <v>11853.165000000014</v>
      </c>
      <c r="BM224" s="86">
        <f t="shared" ref="BM224:BN224" si="1423">BM76</f>
        <v>26059.620000000006</v>
      </c>
      <c r="BN224" s="86">
        <f t="shared" si="1423"/>
        <v>-2288.125</v>
      </c>
      <c r="BO224" s="86">
        <f t="shared" ref="BO224:BR224" si="1424">BO76</f>
        <v>13687.747999999992</v>
      </c>
      <c r="BP224" s="86">
        <f t="shared" si="1424"/>
        <v>7713.5210000000006</v>
      </c>
      <c r="BQ224" s="86">
        <f t="shared" si="1424"/>
        <v>8517.5099999999948</v>
      </c>
      <c r="BR224" s="86">
        <f t="shared" si="1424"/>
        <v>10748.965000000006</v>
      </c>
      <c r="BW224" s="39"/>
      <c r="BX224" s="39"/>
    </row>
    <row r="225" spans="2:76" ht="13.5" customHeight="1" thickBot="1">
      <c r="B225" s="49" t="str">
        <f t="shared" ref="B225:M225" si="1425">B77</f>
        <v>Other financing activities</v>
      </c>
      <c r="C225" s="87">
        <f t="shared" si="1425"/>
        <v>31.344999999999999</v>
      </c>
      <c r="D225" s="87">
        <f t="shared" si="1425"/>
        <v>56.076000000000001</v>
      </c>
      <c r="E225" s="87">
        <f t="shared" si="1425"/>
        <v>32.737000000000002</v>
      </c>
      <c r="F225" s="87">
        <f t="shared" si="1425"/>
        <v>-2.4420000000000002</v>
      </c>
      <c r="G225" s="87">
        <f t="shared" si="1425"/>
        <v>409.95</v>
      </c>
      <c r="H225" s="87">
        <f t="shared" si="1425"/>
        <v>101.595</v>
      </c>
      <c r="I225" s="87">
        <f t="shared" si="1425"/>
        <v>-175.69200000000004</v>
      </c>
      <c r="J225" s="87">
        <f t="shared" si="1425"/>
        <v>38.900999999999996</v>
      </c>
      <c r="K225" s="87">
        <f t="shared" si="1425"/>
        <v>-8.0960000000000001</v>
      </c>
      <c r="L225" s="87">
        <f t="shared" si="1425"/>
        <v>37.81099999999995</v>
      </c>
      <c r="M225" s="87">
        <f t="shared" si="1425"/>
        <v>5854.5060000000003</v>
      </c>
      <c r="N225" s="87">
        <f t="shared" ref="N225" si="1426">N77</f>
        <v>8452.6639999999989</v>
      </c>
      <c r="O225" s="87">
        <f t="shared" ref="O225:P225" si="1427">O77</f>
        <v>-3752.5</v>
      </c>
      <c r="P225" s="87">
        <f t="shared" si="1427"/>
        <v>-4911.7360000000008</v>
      </c>
      <c r="Q225" s="87">
        <f t="shared" ref="Q225" si="1428">Q77</f>
        <v>-5918.3029999999999</v>
      </c>
      <c r="R225" s="87">
        <f t="shared" ref="R225" si="1429">R77</f>
        <v>-5090.308</v>
      </c>
      <c r="S225" s="73"/>
      <c r="T225" s="87">
        <f t="shared" ref="T225:AY225" si="1430">T77</f>
        <v>31.761000000000003</v>
      </c>
      <c r="U225" s="87">
        <f t="shared" si="1430"/>
        <v>-7.588000000000001</v>
      </c>
      <c r="V225" s="87">
        <f t="shared" si="1430"/>
        <v>6.4140000000000015</v>
      </c>
      <c r="W225" s="87">
        <f t="shared" si="1430"/>
        <v>2.1499999999999986</v>
      </c>
      <c r="X225" s="87">
        <f t="shared" si="1430"/>
        <v>-8.4769999999999985</v>
      </c>
      <c r="Y225" s="87">
        <f t="shared" si="1430"/>
        <v>-0.31100000000000172</v>
      </c>
      <c r="Z225" s="87">
        <f t="shared" si="1430"/>
        <v>8.9340000000000011</v>
      </c>
      <c r="AA225" s="87">
        <f t="shared" si="1430"/>
        <v>-2.588000000000001</v>
      </c>
      <c r="AB225" s="87">
        <f t="shared" si="1430"/>
        <v>-30.563000000000002</v>
      </c>
      <c r="AC225" s="87">
        <f t="shared" si="1430"/>
        <v>-6.5249999999999915</v>
      </c>
      <c r="AD225" s="87">
        <f t="shared" si="1430"/>
        <v>241.39</v>
      </c>
      <c r="AE225" s="87">
        <f t="shared" si="1430"/>
        <v>205.64799999999997</v>
      </c>
      <c r="AF225" s="87">
        <f t="shared" si="1430"/>
        <v>59.820999999999998</v>
      </c>
      <c r="AG225" s="87">
        <f t="shared" si="1430"/>
        <v>-531.20899999999995</v>
      </c>
      <c r="AH225" s="87">
        <f t="shared" si="1430"/>
        <v>414.428</v>
      </c>
      <c r="AI225" s="87">
        <f t="shared" si="1430"/>
        <v>158.55499999999995</v>
      </c>
      <c r="AJ225" s="87">
        <f t="shared" si="1430"/>
        <v>-0.99199999999999333</v>
      </c>
      <c r="AK225" s="87">
        <f t="shared" si="1430"/>
        <v>-996.80500000000006</v>
      </c>
      <c r="AL225" s="87">
        <f t="shared" si="1430"/>
        <v>-613.00599999999986</v>
      </c>
      <c r="AM225" s="87">
        <f t="shared" si="1430"/>
        <v>1435.1109999999999</v>
      </c>
      <c r="AN225" s="87">
        <f t="shared" si="1430"/>
        <v>-62.744999999999997</v>
      </c>
      <c r="AO225" s="87">
        <f t="shared" si="1430"/>
        <v>-21.601999999999983</v>
      </c>
      <c r="AP225" s="87">
        <f t="shared" si="1430"/>
        <v>-690.92600000000004</v>
      </c>
      <c r="AQ225" s="87">
        <f t="shared" si="1430"/>
        <v>814.17399999999998</v>
      </c>
      <c r="AR225" s="87">
        <f t="shared" si="1430"/>
        <v>-106.791</v>
      </c>
      <c r="AS225" s="87">
        <f t="shared" si="1430"/>
        <v>72.918000000000006</v>
      </c>
      <c r="AT225" s="87">
        <f t="shared" si="1430"/>
        <v>-1622.0510000000002</v>
      </c>
      <c r="AU225" s="87">
        <f t="shared" si="1430"/>
        <v>1647.8280000000002</v>
      </c>
      <c r="AV225" s="87">
        <f t="shared" si="1430"/>
        <v>430.54199999999997</v>
      </c>
      <c r="AW225" s="87">
        <f t="shared" si="1430"/>
        <v>276.19400000000002</v>
      </c>
      <c r="AX225" s="87">
        <f t="shared" si="1430"/>
        <v>2344.7830000000004</v>
      </c>
      <c r="AY225" s="87">
        <f t="shared" si="1430"/>
        <v>2802.9869999999992</v>
      </c>
      <c r="AZ225" s="87">
        <f t="shared" ref="AZ225:BC225" si="1431">AZ77</f>
        <v>648.01400000000001</v>
      </c>
      <c r="BA225" s="87">
        <f t="shared" si="1431"/>
        <v>-1747.4059999999999</v>
      </c>
      <c r="BB225" s="87">
        <f t="shared" si="1431"/>
        <v>-385.42200000000037</v>
      </c>
      <c r="BC225" s="87">
        <f t="shared" si="1431"/>
        <v>-2267.6859999999997</v>
      </c>
      <c r="BD225" s="87">
        <f t="shared" ref="BD225:BG225" si="1432">BD77</f>
        <v>-641.12300000000005</v>
      </c>
      <c r="BE225" s="87">
        <f t="shared" si="1432"/>
        <v>-5150.2049999999999</v>
      </c>
      <c r="BF225" s="87">
        <f t="shared" si="1432"/>
        <v>296.49200000000064</v>
      </c>
      <c r="BG225" s="87">
        <f t="shared" si="1432"/>
        <v>-423.46700000000101</v>
      </c>
      <c r="BH225" s="87">
        <f t="shared" ref="BH225" si="1433">BH77</f>
        <v>186.87200000000007</v>
      </c>
      <c r="BJ225" s="87">
        <f t="shared" ref="BJ225:BL225" si="1434">BJ77</f>
        <v>810.995</v>
      </c>
      <c r="BK225" s="87">
        <f t="shared" si="1434"/>
        <v>-1877.625</v>
      </c>
      <c r="BL225" s="87">
        <f t="shared" si="1434"/>
        <v>7187.1540000000005</v>
      </c>
      <c r="BM225" s="87">
        <f t="shared" ref="BM225:BN225" si="1435">BM77</f>
        <v>2332.1399999999985</v>
      </c>
      <c r="BN225" s="87">
        <f t="shared" si="1435"/>
        <v>894.93100000000004</v>
      </c>
      <c r="BO225" s="87">
        <f t="shared" ref="BO225:BR225" si="1436">BO77</f>
        <v>-3843.3620000000005</v>
      </c>
      <c r="BP225" s="87">
        <f t="shared" si="1436"/>
        <v>971.29100000000017</v>
      </c>
      <c r="BQ225" s="87">
        <f t="shared" si="1436"/>
        <v>-2934.5960000000005</v>
      </c>
      <c r="BR225" s="87">
        <f t="shared" si="1436"/>
        <v>-839.00400000000002</v>
      </c>
      <c r="BW225" s="39"/>
      <c r="BX225" s="39"/>
    </row>
    <row r="226" spans="2:76" ht="13.5" customHeight="1" thickTop="1" thickBot="1">
      <c r="B226" s="64" t="str">
        <f t="shared" ref="B226:M226" si="1437">B78</f>
        <v>Cash flow after financing activities</v>
      </c>
      <c r="C226" s="90">
        <f t="shared" si="1437"/>
        <v>402.22100000000012</v>
      </c>
      <c r="D226" s="88">
        <f t="shared" si="1437"/>
        <v>171.5570000000001</v>
      </c>
      <c r="E226" s="88">
        <f t="shared" si="1437"/>
        <v>-442.43199999999996</v>
      </c>
      <c r="F226" s="88">
        <f t="shared" si="1437"/>
        <v>-704.04399999999964</v>
      </c>
      <c r="G226" s="88">
        <f t="shared" si="1437"/>
        <v>1514.9459999999992</v>
      </c>
      <c r="H226" s="88">
        <f t="shared" si="1437"/>
        <v>240.25700000000003</v>
      </c>
      <c r="I226" s="88">
        <f t="shared" si="1437"/>
        <v>1910.0190000000002</v>
      </c>
      <c r="J226" s="88">
        <f t="shared" si="1437"/>
        <v>-6334.6790000000019</v>
      </c>
      <c r="K226" s="88">
        <f t="shared" si="1437"/>
        <v>-2639.9119999999989</v>
      </c>
      <c r="L226" s="88">
        <f t="shared" si="1437"/>
        <v>17433.531999999999</v>
      </c>
      <c r="M226" s="88">
        <f t="shared" si="1437"/>
        <v>29850.750999999997</v>
      </c>
      <c r="N226" s="88">
        <f t="shared" ref="N226" si="1438">N78</f>
        <v>41929.971000000012</v>
      </c>
      <c r="O226" s="88">
        <f t="shared" ref="O226:P226" si="1439">O78</f>
        <v>16834.171000000017</v>
      </c>
      <c r="P226" s="88">
        <f t="shared" si="1439"/>
        <v>22033.960999999996</v>
      </c>
      <c r="Q226" s="88">
        <f t="shared" ref="Q226" si="1440">Q78</f>
        <v>33006.441000000021</v>
      </c>
      <c r="R226" s="88">
        <f t="shared" ref="R226" si="1441">R78</f>
        <v>29076.804000000022</v>
      </c>
      <c r="S226" s="77"/>
      <c r="T226" s="88">
        <f t="shared" ref="T226:AY226" si="1442">T78</f>
        <v>407.70300000000003</v>
      </c>
      <c r="U226" s="88">
        <f t="shared" si="1442"/>
        <v>-178.46400000000008</v>
      </c>
      <c r="V226" s="88">
        <f t="shared" si="1442"/>
        <v>21.110999999999954</v>
      </c>
      <c r="W226" s="88">
        <f t="shared" si="1442"/>
        <v>-692.7819999999997</v>
      </c>
      <c r="X226" s="88">
        <f t="shared" si="1442"/>
        <v>245.48999999999987</v>
      </c>
      <c r="Y226" s="88">
        <f t="shared" si="1442"/>
        <v>-1007.4889999999999</v>
      </c>
      <c r="Z226" s="88">
        <f t="shared" si="1442"/>
        <v>-282.71699999999942</v>
      </c>
      <c r="AA226" s="88">
        <f t="shared" si="1442"/>
        <v>340.67199999999985</v>
      </c>
      <c r="AB226" s="88">
        <f t="shared" si="1442"/>
        <v>-182.18200000000002</v>
      </c>
      <c r="AC226" s="88">
        <f t="shared" si="1442"/>
        <v>-264.72099999999989</v>
      </c>
      <c r="AD226" s="88">
        <f t="shared" si="1442"/>
        <v>-403.19600000000048</v>
      </c>
      <c r="AE226" s="88">
        <f t="shared" si="1442"/>
        <v>2365.0450000000001</v>
      </c>
      <c r="AF226" s="88">
        <f t="shared" si="1442"/>
        <v>543.65599999999995</v>
      </c>
      <c r="AG226" s="88">
        <f t="shared" si="1442"/>
        <v>-1099.7809999999997</v>
      </c>
      <c r="AH226" s="88">
        <f t="shared" si="1442"/>
        <v>-426.51500000000078</v>
      </c>
      <c r="AI226" s="88">
        <f t="shared" si="1442"/>
        <v>1222.8970000000008</v>
      </c>
      <c r="AJ226" s="88">
        <f t="shared" si="1442"/>
        <v>585.9849999999999</v>
      </c>
      <c r="AK226" s="88">
        <f t="shared" si="1442"/>
        <v>373.96399999999994</v>
      </c>
      <c r="AL226" s="88">
        <f t="shared" si="1442"/>
        <v>78.42200000000048</v>
      </c>
      <c r="AM226" s="88">
        <f t="shared" si="1442"/>
        <v>871.64799999999968</v>
      </c>
      <c r="AN226" s="88">
        <f t="shared" si="1442"/>
        <v>-3374.1499999999992</v>
      </c>
      <c r="AO226" s="88">
        <f t="shared" si="1442"/>
        <v>-552.73200000000008</v>
      </c>
      <c r="AP226" s="88">
        <f t="shared" si="1442"/>
        <v>-2933.3690000000006</v>
      </c>
      <c r="AQ226" s="88">
        <f t="shared" si="1442"/>
        <v>525.5719999999983</v>
      </c>
      <c r="AR226" s="88">
        <f t="shared" si="1442"/>
        <v>-1967.794999999998</v>
      </c>
      <c r="AS226" s="88">
        <f t="shared" si="1442"/>
        <v>-4822.2100000000028</v>
      </c>
      <c r="AT226" s="88">
        <f t="shared" si="1442"/>
        <v>3879.4190000000026</v>
      </c>
      <c r="AU226" s="88">
        <f t="shared" si="1442"/>
        <v>270.6739999999993</v>
      </c>
      <c r="AV226" s="88">
        <f t="shared" si="1442"/>
        <v>1744.5689999999991</v>
      </c>
      <c r="AW226" s="88">
        <f t="shared" si="1442"/>
        <v>-15164.608999999995</v>
      </c>
      <c r="AX226" s="88">
        <f t="shared" si="1442"/>
        <v>8414.0249999999905</v>
      </c>
      <c r="AY226" s="88">
        <f t="shared" si="1442"/>
        <v>34856.765999999996</v>
      </c>
      <c r="AZ226" s="88">
        <f t="shared" ref="AZ226:BC226" si="1443">AZ78</f>
        <v>5661.6279999999997</v>
      </c>
      <c r="BA226" s="88">
        <f t="shared" si="1443"/>
        <v>-3418.9240000000027</v>
      </c>
      <c r="BB226" s="88">
        <f t="shared" si="1443"/>
        <v>-7746.6500000000033</v>
      </c>
      <c r="BC226" s="88">
        <f t="shared" si="1443"/>
        <v>22338.11700000002</v>
      </c>
      <c r="BD226" s="88">
        <f t="shared" ref="BD226:BG226" si="1444">BD78</f>
        <v>-9228.6039999999994</v>
      </c>
      <c r="BE226" s="88">
        <f t="shared" si="1444"/>
        <v>5848.7649999999903</v>
      </c>
      <c r="BF226" s="88">
        <f t="shared" si="1444"/>
        <v>6761.1440000000166</v>
      </c>
      <c r="BG226" s="88">
        <f t="shared" si="1444"/>
        <v>29625.136000000013</v>
      </c>
      <c r="BH226" s="88">
        <f t="shared" ref="BH226" si="1445">BH78</f>
        <v>-13158.241000000004</v>
      </c>
      <c r="BJ226" s="88">
        <f t="shared" ref="BJ226:BL226" si="1446">BJ78</f>
        <v>11001.356</v>
      </c>
      <c r="BK226" s="88">
        <f t="shared" si="1446"/>
        <v>-14066.572000000006</v>
      </c>
      <c r="BL226" s="88">
        <f t="shared" si="1446"/>
        <v>19942.031000000014</v>
      </c>
      <c r="BM226" s="88">
        <f t="shared" ref="BM226:BN226" si="1447">BM78</f>
        <v>25053.15600000001</v>
      </c>
      <c r="BN226" s="88">
        <f t="shared" si="1447"/>
        <v>913.82900000000063</v>
      </c>
      <c r="BO226" s="88">
        <f t="shared" ref="BO226:BR226" si="1448">BO78</f>
        <v>5145.9929999999913</v>
      </c>
      <c r="BP226" s="88">
        <f t="shared" si="1448"/>
        <v>-11539.352000000003</v>
      </c>
      <c r="BQ226" s="88">
        <f t="shared" si="1448"/>
        <v>27513.490999999998</v>
      </c>
      <c r="BR226" s="88">
        <f t="shared" si="1448"/>
        <v>-11738.683999999992</v>
      </c>
      <c r="BW226" s="39"/>
      <c r="BX226" s="39"/>
    </row>
    <row r="227" spans="2:76" s="5" customFormat="1" ht="13.5" customHeight="1" thickTop="1">
      <c r="B227" s="1" t="str">
        <f t="shared" ref="B227:M227" si="1449">B80</f>
        <v>Balancing figure</v>
      </c>
      <c r="C227" s="86">
        <f t="shared" si="1449"/>
        <v>19.32999999999987</v>
      </c>
      <c r="D227" s="86">
        <f t="shared" si="1449"/>
        <v>220.79499999999987</v>
      </c>
      <c r="E227" s="86">
        <f t="shared" si="1449"/>
        <v>400.88199999999995</v>
      </c>
      <c r="F227" s="86">
        <f t="shared" si="1449"/>
        <v>590.50399999999968</v>
      </c>
      <c r="G227" s="86">
        <f t="shared" si="1449"/>
        <v>786.56700000000069</v>
      </c>
      <c r="H227" s="86">
        <f t="shared" si="1449"/>
        <v>861.84400000000005</v>
      </c>
      <c r="I227" s="86">
        <f t="shared" si="1449"/>
        <v>1881.7649999999999</v>
      </c>
      <c r="J227" s="86">
        <f t="shared" si="1449"/>
        <v>5680.8900000000021</v>
      </c>
      <c r="K227" s="86">
        <f t="shared" si="1449"/>
        <v>7188.0419999999995</v>
      </c>
      <c r="L227" s="86">
        <f t="shared" si="1449"/>
        <v>-20531.48</v>
      </c>
      <c r="M227" s="86">
        <f t="shared" si="1449"/>
        <v>-21363.836999999996</v>
      </c>
      <c r="N227" s="86">
        <f t="shared" ref="N227" si="1450">N80</f>
        <v>-19259.570000000011</v>
      </c>
      <c r="O227" s="86">
        <f t="shared" ref="O227:P227" si="1451">O80</f>
        <v>-16105.004000000017</v>
      </c>
      <c r="P227" s="86">
        <f t="shared" si="1451"/>
        <v>-21079.53</v>
      </c>
      <c r="Q227" s="86">
        <f t="shared" ref="Q227" si="1452">Q80</f>
        <v>1604.26799999998</v>
      </c>
      <c r="R227" s="86">
        <f t="shared" ref="R227" si="1453">R80</f>
        <v>-1538.6020000000144</v>
      </c>
      <c r="S227" s="73"/>
      <c r="T227" s="86">
        <f t="shared" ref="T227:AY227" si="1454">T80</f>
        <v>-101.99800000000005</v>
      </c>
      <c r="U227" s="86">
        <f t="shared" si="1454"/>
        <v>155.09200000000013</v>
      </c>
      <c r="V227" s="86">
        <f t="shared" si="1454"/>
        <v>138.60300000000004</v>
      </c>
      <c r="W227" s="86">
        <f t="shared" si="1454"/>
        <v>209.18499999999983</v>
      </c>
      <c r="X227" s="86">
        <f t="shared" si="1454"/>
        <v>96.528000000000105</v>
      </c>
      <c r="Y227" s="86">
        <f t="shared" si="1454"/>
        <v>191.84399999999994</v>
      </c>
      <c r="Z227" s="86">
        <f t="shared" si="1454"/>
        <v>203.04299999999938</v>
      </c>
      <c r="AA227" s="86">
        <f t="shared" si="1454"/>
        <v>99.089000000000226</v>
      </c>
      <c r="AB227" s="86">
        <f t="shared" si="1454"/>
        <v>37.035000000000025</v>
      </c>
      <c r="AC227" s="86">
        <f t="shared" si="1454"/>
        <v>410.23399999999992</v>
      </c>
      <c r="AD227" s="86">
        <f t="shared" si="1454"/>
        <v>1124.1090000000004</v>
      </c>
      <c r="AE227" s="86">
        <f t="shared" si="1454"/>
        <v>-784.81099999999969</v>
      </c>
      <c r="AF227" s="86">
        <f t="shared" si="1454"/>
        <v>333.92100000000005</v>
      </c>
      <c r="AG227" s="86">
        <f t="shared" si="1454"/>
        <v>327.94199999999978</v>
      </c>
      <c r="AH227" s="86">
        <f t="shared" si="1454"/>
        <v>193.57900000000086</v>
      </c>
      <c r="AI227" s="86">
        <f t="shared" si="1454"/>
        <v>6.4019999999993615</v>
      </c>
      <c r="AJ227" s="86">
        <f t="shared" si="1454"/>
        <v>-30.322999999999865</v>
      </c>
      <c r="AK227" s="86">
        <f t="shared" si="1454"/>
        <v>677.22700000000009</v>
      </c>
      <c r="AL227" s="86">
        <f t="shared" si="1454"/>
        <v>1102.0949999999993</v>
      </c>
      <c r="AM227" s="86">
        <f t="shared" si="1454"/>
        <v>132.7660000000003</v>
      </c>
      <c r="AN227" s="86">
        <f t="shared" si="1454"/>
        <v>662.445999999999</v>
      </c>
      <c r="AO227" s="86">
        <f t="shared" si="1454"/>
        <v>582.64100000000008</v>
      </c>
      <c r="AP227" s="86">
        <f t="shared" si="1454"/>
        <v>578.05000000000109</v>
      </c>
      <c r="AQ227" s="86">
        <f t="shared" si="1454"/>
        <v>3857.7530000000024</v>
      </c>
      <c r="AR227" s="86">
        <f t="shared" si="1454"/>
        <v>1331.9039999999982</v>
      </c>
      <c r="AS227" s="86">
        <f t="shared" si="1454"/>
        <v>1479.5400000000025</v>
      </c>
      <c r="AT227" s="86">
        <f t="shared" si="1454"/>
        <v>823.37999999999761</v>
      </c>
      <c r="AU227" s="86">
        <f t="shared" si="1454"/>
        <v>3553.2180000000008</v>
      </c>
      <c r="AV227" s="86">
        <f t="shared" si="1454"/>
        <v>2493.065000000001</v>
      </c>
      <c r="AW227" s="86">
        <f t="shared" si="1454"/>
        <v>8035.153999999995</v>
      </c>
      <c r="AX227" s="86">
        <f t="shared" si="1454"/>
        <v>2383.0530000000094</v>
      </c>
      <c r="AY227" s="86">
        <f t="shared" si="1454"/>
        <v>-34275.109000000004</v>
      </c>
      <c r="AZ227" s="86">
        <f t="shared" ref="AZ227:BC227" si="1455">AZ80</f>
        <v>-12615.205999999998</v>
      </c>
      <c r="BA227" s="86">
        <f t="shared" si="1455"/>
        <v>-1277.2430000000008</v>
      </c>
      <c r="BB227" s="86">
        <f t="shared" si="1455"/>
        <v>-5024.0399999999945</v>
      </c>
      <c r="BC227" s="86">
        <f t="shared" si="1455"/>
        <v>2811.4849999999765</v>
      </c>
      <c r="BD227" s="86">
        <f t="shared" ref="BD227:BG227" si="1456">BD80</f>
        <v>-1684.5250000000003</v>
      </c>
      <c r="BE227" s="86">
        <f t="shared" si="1456"/>
        <v>6222.7980000000089</v>
      </c>
      <c r="BF227" s="86">
        <f t="shared" si="1456"/>
        <v>-3828.1930000000175</v>
      </c>
      <c r="BG227" s="86">
        <f t="shared" si="1456"/>
        <v>894.18799999998919</v>
      </c>
      <c r="BH227" s="86">
        <f t="shared" ref="BH227" si="1457">BH80</f>
        <v>-4827.394999999995</v>
      </c>
      <c r="BJ227" s="86">
        <f t="shared" ref="BJ227:BL227" si="1458">BJ80</f>
        <v>-8747.3430000000008</v>
      </c>
      <c r="BK227" s="86">
        <f t="shared" si="1458"/>
        <v>-1854.9609999999939</v>
      </c>
      <c r="BL227" s="86">
        <f t="shared" si="1458"/>
        <v>-3027.7040000000125</v>
      </c>
      <c r="BM227" s="86">
        <f t="shared" ref="BM227:BN227" si="1459">BM80</f>
        <v>-5629.5620000000035</v>
      </c>
      <c r="BN227" s="86">
        <f t="shared" si="1459"/>
        <v>-8003.755000000001</v>
      </c>
      <c r="BO227" s="86">
        <f t="shared" ref="BO227:BR227" si="1460">BO80</f>
        <v>850.26700000000983</v>
      </c>
      <c r="BP227" s="86">
        <f t="shared" si="1460"/>
        <v>-21221.996999999999</v>
      </c>
      <c r="BQ227" s="86">
        <f t="shared" si="1460"/>
        <v>7295.9549999999908</v>
      </c>
      <c r="BR227" s="86">
        <f t="shared" si="1460"/>
        <v>-2542.8300000000072</v>
      </c>
      <c r="BT227" s="1"/>
      <c r="BU227" s="1"/>
      <c r="BW227" s="39"/>
      <c r="BX227" s="39"/>
    </row>
    <row r="228" spans="2:76" ht="13.5" customHeight="1" thickBot="1">
      <c r="B228" s="1" t="str">
        <f t="shared" ref="B228:M228" si="1461">B81</f>
        <v>Effect of currency translation differences</v>
      </c>
      <c r="C228" s="86">
        <f t="shared" si="1461"/>
        <v>-66.754000000000005</v>
      </c>
      <c r="D228" s="86">
        <f t="shared" si="1461"/>
        <v>153.27799999999999</v>
      </c>
      <c r="E228" s="86">
        <f t="shared" si="1461"/>
        <v>317.04899999999998</v>
      </c>
      <c r="F228" s="86">
        <f t="shared" si="1461"/>
        <v>252.78100000000001</v>
      </c>
      <c r="G228" s="86">
        <f t="shared" si="1461"/>
        <v>454.87200000000001</v>
      </c>
      <c r="H228" s="86">
        <f t="shared" si="1461"/>
        <v>483.55900000000003</v>
      </c>
      <c r="I228" s="86">
        <f t="shared" si="1461"/>
        <v>1273.5050000000001</v>
      </c>
      <c r="J228" s="86">
        <f t="shared" si="1461"/>
        <v>4677.4769999999999</v>
      </c>
      <c r="K228" s="86">
        <f t="shared" si="1461"/>
        <v>3917.9639999999999</v>
      </c>
      <c r="L228" s="86">
        <f t="shared" si="1461"/>
        <v>7448.4610000000002</v>
      </c>
      <c r="M228" s="86">
        <f t="shared" si="1461"/>
        <v>10837.856</v>
      </c>
      <c r="N228" s="86">
        <f t="shared" ref="N228" si="1462">N81</f>
        <v>5230.4629999999997</v>
      </c>
      <c r="O228" s="86">
        <f t="shared" ref="O228:P228" si="1463">O81</f>
        <v>-11169.611999999999</v>
      </c>
      <c r="P228" s="86">
        <f t="shared" si="1463"/>
        <v>-14620.163</v>
      </c>
      <c r="Q228" s="86">
        <f t="shared" ref="Q228" si="1464">Q81</f>
        <v>4566.8509999999997</v>
      </c>
      <c r="R228" s="86">
        <f t="shared" ref="R228" si="1465">R81</f>
        <v>-1204.0700000000006</v>
      </c>
      <c r="S228" s="73"/>
      <c r="T228" s="86">
        <f t="shared" ref="T228:AY228" si="1466">T81</f>
        <v>18.059999999999999</v>
      </c>
      <c r="U228" s="86">
        <f t="shared" si="1466"/>
        <v>-0.12299999999999756</v>
      </c>
      <c r="V228" s="86">
        <f t="shared" si="1466"/>
        <v>95.13</v>
      </c>
      <c r="W228" s="86">
        <f t="shared" si="1466"/>
        <v>203.98199999999997</v>
      </c>
      <c r="X228" s="86">
        <f t="shared" si="1466"/>
        <v>101.96899999999999</v>
      </c>
      <c r="Y228" s="86">
        <f t="shared" si="1466"/>
        <v>-31.983999999999995</v>
      </c>
      <c r="Z228" s="86">
        <f t="shared" si="1466"/>
        <v>23.989000000000004</v>
      </c>
      <c r="AA228" s="86">
        <f t="shared" si="1466"/>
        <v>158.80700000000002</v>
      </c>
      <c r="AB228" s="86">
        <f t="shared" si="1466"/>
        <v>174.23599999999999</v>
      </c>
      <c r="AC228" s="86">
        <f t="shared" si="1466"/>
        <v>199.20499999999998</v>
      </c>
      <c r="AD228" s="86">
        <f t="shared" si="1466"/>
        <v>546.53499999999997</v>
      </c>
      <c r="AE228" s="86">
        <f t="shared" si="1466"/>
        <v>-465.10399999999993</v>
      </c>
      <c r="AF228" s="86">
        <f t="shared" si="1466"/>
        <v>256.34100000000001</v>
      </c>
      <c r="AG228" s="86">
        <f t="shared" si="1466"/>
        <v>83.601999999999975</v>
      </c>
      <c r="AH228" s="86">
        <f t="shared" si="1466"/>
        <v>-76.56</v>
      </c>
      <c r="AI228" s="86">
        <f t="shared" si="1466"/>
        <v>220.17600000000004</v>
      </c>
      <c r="AJ228" s="86">
        <f t="shared" si="1466"/>
        <v>341.53</v>
      </c>
      <c r="AK228" s="86">
        <f t="shared" si="1466"/>
        <v>371.96500000000003</v>
      </c>
      <c r="AL228" s="86">
        <f t="shared" si="1466"/>
        <v>1104.5269999999998</v>
      </c>
      <c r="AM228" s="86">
        <f t="shared" si="1466"/>
        <v>-544.51699999999971</v>
      </c>
      <c r="AN228" s="86">
        <f t="shared" si="1466"/>
        <v>928.55499999999995</v>
      </c>
      <c r="AO228" s="86">
        <f t="shared" si="1466"/>
        <v>507.49000000000012</v>
      </c>
      <c r="AP228" s="86">
        <f t="shared" si="1466"/>
        <v>-47.178000000000111</v>
      </c>
      <c r="AQ228" s="86">
        <f t="shared" si="1466"/>
        <v>3288.6099999999997</v>
      </c>
      <c r="AR228" s="86">
        <f t="shared" si="1466"/>
        <v>1313.73</v>
      </c>
      <c r="AS228" s="86">
        <f t="shared" si="1466"/>
        <v>1605.2889999999998</v>
      </c>
      <c r="AT228" s="86">
        <f t="shared" si="1466"/>
        <v>768.88200000000006</v>
      </c>
      <c r="AU228" s="86">
        <f t="shared" si="1466"/>
        <v>230.0630000000001</v>
      </c>
      <c r="AV228" s="86">
        <f t="shared" si="1466"/>
        <v>630.43799999999999</v>
      </c>
      <c r="AW228" s="86">
        <f t="shared" si="1466"/>
        <v>6440.6639999999998</v>
      </c>
      <c r="AX228" s="86">
        <f t="shared" si="1466"/>
        <v>163.5569999999999</v>
      </c>
      <c r="AY228" s="86">
        <f t="shared" si="1466"/>
        <v>3603.1970000000001</v>
      </c>
      <c r="AZ228" s="86">
        <f t="shared" ref="AZ228:BC228" si="1467">AZ81</f>
        <v>1486.2529999999999</v>
      </c>
      <c r="BA228" s="86">
        <f t="shared" si="1467"/>
        <v>741.28199999999993</v>
      </c>
      <c r="BB228" s="86">
        <f t="shared" si="1467"/>
        <v>-9850.1920000000009</v>
      </c>
      <c r="BC228" s="86">
        <f t="shared" si="1467"/>
        <v>-3546.9549999999981</v>
      </c>
      <c r="BD228" s="86">
        <f t="shared" ref="BD228:BG228" si="1468">BD81</f>
        <v>886.505</v>
      </c>
      <c r="BE228" s="86">
        <f t="shared" si="1468"/>
        <v>1975.4079999999999</v>
      </c>
      <c r="BF228" s="86">
        <f t="shared" si="1468"/>
        <v>710.86200000000019</v>
      </c>
      <c r="BG228" s="86">
        <f t="shared" si="1468"/>
        <v>994.07599999999945</v>
      </c>
      <c r="BH228" s="86">
        <f t="shared" ref="BH228" si="1469">BH81</f>
        <v>-4884.4160000000002</v>
      </c>
      <c r="BJ228" s="86">
        <f t="shared" ref="BJ228:BL228" si="1470">BJ81</f>
        <v>784.01599999999996</v>
      </c>
      <c r="BK228" s="86">
        <f t="shared" si="1470"/>
        <v>11749.235000000001</v>
      </c>
      <c r="BL228" s="86">
        <f t="shared" si="1470"/>
        <v>-11393.550000000001</v>
      </c>
      <c r="BM228" s="86">
        <f t="shared" ref="BM228:BN228" si="1471">BM81</f>
        <v>4090.7620000000006</v>
      </c>
      <c r="BN228" s="86">
        <f t="shared" si="1471"/>
        <v>-6069.06</v>
      </c>
      <c r="BO228" s="86">
        <f t="shared" ref="BO228:BR228" si="1472">BO81</f>
        <v>-5561.8309999999992</v>
      </c>
      <c r="BP228" s="86">
        <f t="shared" si="1472"/>
        <v>2774.3259999999991</v>
      </c>
      <c r="BQ228" s="86">
        <f t="shared" si="1472"/>
        <v>-5763.598</v>
      </c>
      <c r="BR228" s="86">
        <f t="shared" si="1472"/>
        <v>1160.1320000000001</v>
      </c>
      <c r="BW228" s="39"/>
      <c r="BX228" s="39"/>
    </row>
    <row r="229" spans="2:76" ht="13.5" customHeight="1" thickTop="1" thickBot="1">
      <c r="B229" s="64" t="str">
        <f t="shared" ref="B229:J229" si="1473">B83</f>
        <v xml:space="preserve">Net change in cash </v>
      </c>
      <c r="C229" s="90">
        <f t="shared" si="1473"/>
        <v>354.79699999999997</v>
      </c>
      <c r="D229" s="90">
        <f t="shared" si="1473"/>
        <v>545.63</v>
      </c>
      <c r="E229" s="90">
        <f t="shared" si="1473"/>
        <v>275.49899999999997</v>
      </c>
      <c r="F229" s="90">
        <f t="shared" si="1473"/>
        <v>139.24100000000004</v>
      </c>
      <c r="G229" s="90">
        <f t="shared" si="1473"/>
        <v>2756.3849999999998</v>
      </c>
      <c r="H229" s="90">
        <f t="shared" si="1473"/>
        <v>1585.66</v>
      </c>
      <c r="I229" s="90">
        <f t="shared" si="1473"/>
        <v>5065.2890000000007</v>
      </c>
      <c r="J229" s="90">
        <f t="shared" si="1473"/>
        <v>4023.6880000000001</v>
      </c>
      <c r="K229" s="90">
        <f t="shared" ref="K229" si="1474">K83</f>
        <v>8466.094000000001</v>
      </c>
      <c r="L229" s="90">
        <f t="shared" ref="L229:M229" si="1475">L83</f>
        <v>-3003.5050000000001</v>
      </c>
      <c r="M229" s="90">
        <f t="shared" si="1475"/>
        <v>8443.4480000000003</v>
      </c>
      <c r="N229" s="90">
        <f t="shared" ref="N229" si="1476">N83</f>
        <v>12190.545000000002</v>
      </c>
      <c r="O229" s="90">
        <f t="shared" ref="O229:P229" si="1477">O83</f>
        <v>-19686.415999999997</v>
      </c>
      <c r="P229" s="90">
        <f t="shared" si="1477"/>
        <v>-25768.010000000002</v>
      </c>
      <c r="Q229" s="90">
        <f t="shared" ref="Q229" si="1478">Q83</f>
        <v>30837.083999999999</v>
      </c>
      <c r="R229" s="90">
        <f t="shared" ref="R229" si="1479">R83</f>
        <v>14585.748000000007</v>
      </c>
      <c r="S229" s="77"/>
      <c r="T229" s="90">
        <f t="shared" ref="T229:AR229" si="1480">T83</f>
        <v>323.76499999999999</v>
      </c>
      <c r="U229" s="90">
        <f t="shared" si="1480"/>
        <v>-23.494999999999955</v>
      </c>
      <c r="V229" s="90">
        <f t="shared" si="1480"/>
        <v>254.84399999999999</v>
      </c>
      <c r="W229" s="90">
        <f t="shared" si="1480"/>
        <v>-279.6149999999999</v>
      </c>
      <c r="X229" s="90">
        <f t="shared" si="1480"/>
        <v>443.98699999999997</v>
      </c>
      <c r="Y229" s="90">
        <f t="shared" si="1480"/>
        <v>-847.62900000000002</v>
      </c>
      <c r="Z229" s="90">
        <f t="shared" si="1480"/>
        <v>-55.685000000000031</v>
      </c>
      <c r="AA229" s="90">
        <f t="shared" si="1480"/>
        <v>598.5680000000001</v>
      </c>
      <c r="AB229" s="90">
        <f t="shared" si="1480"/>
        <v>29.088999999999999</v>
      </c>
      <c r="AC229" s="90">
        <f t="shared" si="1480"/>
        <v>344.71800000000002</v>
      </c>
      <c r="AD229" s="90">
        <f t="shared" si="1480"/>
        <v>1267.4479999999999</v>
      </c>
      <c r="AE229" s="90">
        <f t="shared" si="1480"/>
        <v>1115.1300000000006</v>
      </c>
      <c r="AF229" s="90">
        <f t="shared" si="1480"/>
        <v>1133.9180000000001</v>
      </c>
      <c r="AG229" s="90">
        <f t="shared" si="1480"/>
        <v>-688.23699999999997</v>
      </c>
      <c r="AH229" s="90">
        <f t="shared" si="1480"/>
        <v>-309.49599999999992</v>
      </c>
      <c r="AI229" s="90">
        <f t="shared" si="1480"/>
        <v>1449.4750000000004</v>
      </c>
      <c r="AJ229" s="90">
        <f t="shared" si="1480"/>
        <v>897.19200000000001</v>
      </c>
      <c r="AK229" s="90">
        <f t="shared" si="1480"/>
        <v>1423.1559999999999</v>
      </c>
      <c r="AL229" s="90">
        <f t="shared" si="1480"/>
        <v>2285.0439999999999</v>
      </c>
      <c r="AM229" s="90">
        <f t="shared" si="1480"/>
        <v>459.89700000000028</v>
      </c>
      <c r="AN229" s="90">
        <f t="shared" si="1480"/>
        <v>-1783.1490000000003</v>
      </c>
      <c r="AO229" s="90">
        <f t="shared" si="1480"/>
        <v>537.39900000000011</v>
      </c>
      <c r="AP229" s="90">
        <f t="shared" si="1480"/>
        <v>-2402.4969999999994</v>
      </c>
      <c r="AQ229" s="90">
        <f t="shared" si="1480"/>
        <v>7671.9350000000004</v>
      </c>
      <c r="AR229" s="90">
        <f t="shared" si="1480"/>
        <v>677.83900000000017</v>
      </c>
      <c r="AS229" s="90">
        <f t="shared" ref="AS229:AU229" si="1481">AS83</f>
        <v>-1737.3810000000003</v>
      </c>
      <c r="AT229" s="90">
        <f t="shared" si="1481"/>
        <v>5471.6810000000005</v>
      </c>
      <c r="AU229" s="90">
        <f t="shared" si="1481"/>
        <v>4053.9549999999999</v>
      </c>
      <c r="AV229" s="90">
        <f t="shared" ref="AV229:AX229" si="1482">AV83</f>
        <v>4868.0720000000001</v>
      </c>
      <c r="AW229" s="90">
        <f t="shared" si="1482"/>
        <v>-688.79100000000017</v>
      </c>
      <c r="AX229" s="90">
        <f t="shared" si="1482"/>
        <v>10960.635</v>
      </c>
      <c r="AY229" s="90">
        <f t="shared" ref="AY229:BB229" si="1483">AY83</f>
        <v>-6696.468000000008</v>
      </c>
      <c r="AZ229" s="90">
        <f t="shared" si="1483"/>
        <v>-9528.3269999999975</v>
      </c>
      <c r="BA229" s="90">
        <f t="shared" si="1483"/>
        <v>-6100.9320000000034</v>
      </c>
      <c r="BB229" s="90">
        <f t="shared" si="1483"/>
        <v>-24627.542999999998</v>
      </c>
      <c r="BC229" s="90">
        <f t="shared" ref="BC229:BF229" si="1484">BC83</f>
        <v>20570.385999999999</v>
      </c>
      <c r="BD229" s="90">
        <f t="shared" si="1484"/>
        <v>-12016.663</v>
      </c>
      <c r="BE229" s="90">
        <f t="shared" si="1484"/>
        <v>12663.252999999999</v>
      </c>
      <c r="BF229" s="90">
        <f t="shared" si="1484"/>
        <v>682.95399999999893</v>
      </c>
      <c r="BG229" s="90">
        <f t="shared" ref="BG229:BH229" si="1485">BG83</f>
        <v>29507.54</v>
      </c>
      <c r="BH229" s="90">
        <f t="shared" si="1485"/>
        <v>-28267.999</v>
      </c>
      <c r="BJ229" s="90">
        <f t="shared" ref="BJ229:BL229" si="1486">BJ83</f>
        <v>-383.66500000000053</v>
      </c>
      <c r="BK229" s="90">
        <f t="shared" si="1486"/>
        <v>-5774.7350000000006</v>
      </c>
      <c r="BL229" s="90">
        <f t="shared" si="1486"/>
        <v>-1349.6140000000014</v>
      </c>
      <c r="BM229" s="90">
        <f t="shared" ref="BM229:BN229" si="1487">BM83</f>
        <v>19698.559000000008</v>
      </c>
      <c r="BN229" s="90">
        <f t="shared" si="1487"/>
        <v>-18767.383000000002</v>
      </c>
      <c r="BO229" s="90">
        <f t="shared" ref="BO229:BR229" si="1488">BO83</f>
        <v>-2339.7189999999982</v>
      </c>
      <c r="BP229" s="90">
        <f t="shared" si="1488"/>
        <v>-32552.858999999997</v>
      </c>
      <c r="BQ229" s="90">
        <f t="shared" si="1488"/>
        <v>27891.950999999986</v>
      </c>
      <c r="BR229" s="90">
        <f t="shared" si="1488"/>
        <v>-15725.666999999999</v>
      </c>
      <c r="BW229" s="39"/>
      <c r="BX229" s="39"/>
    </row>
    <row r="230" spans="2:76" ht="13.5" customHeight="1" thickTop="1">
      <c r="B230" s="1" t="str">
        <f>B84</f>
        <v>Cash and cash equivalents</v>
      </c>
      <c r="C230" s="86">
        <f t="shared" ref="C230:AH230" si="1489">C150</f>
        <v>1620.5229999999999</v>
      </c>
      <c r="D230" s="86">
        <f t="shared" si="1489"/>
        <v>2166.1529999999998</v>
      </c>
      <c r="E230" s="86">
        <f t="shared" si="1489"/>
        <v>2441.8710000000001</v>
      </c>
      <c r="F230" s="86">
        <f t="shared" si="1489"/>
        <v>2581.9639999999999</v>
      </c>
      <c r="G230" s="86">
        <f t="shared" si="1489"/>
        <v>5341.5240000000003</v>
      </c>
      <c r="H230" s="86">
        <f t="shared" ref="H230:J230" si="1490">H150</f>
        <v>6937.06</v>
      </c>
      <c r="I230" s="86">
        <f t="shared" si="1490"/>
        <v>12002.245999999999</v>
      </c>
      <c r="J230" s="86">
        <f t="shared" si="1490"/>
        <v>16014.589</v>
      </c>
      <c r="K230" s="86">
        <f t="shared" ref="K230" si="1491">K150</f>
        <v>24529.219000000001</v>
      </c>
      <c r="L230" s="86">
        <f t="shared" ref="L230:M230" si="1492">L150</f>
        <v>40417.51</v>
      </c>
      <c r="M230" s="86">
        <f t="shared" si="1492"/>
        <v>48791.777999999998</v>
      </c>
      <c r="N230" s="86">
        <f t="shared" ref="N230" si="1493">N150</f>
        <v>70444.978000000003</v>
      </c>
      <c r="O230" s="86">
        <f t="shared" ref="O230:P230" si="1494">O150</f>
        <v>50815.824999999997</v>
      </c>
      <c r="P230" s="86">
        <f t="shared" si="1494"/>
        <v>66514.005999999994</v>
      </c>
      <c r="Q230" s="86">
        <f t="shared" ref="Q230" si="1495">Q150</f>
        <v>97829.153999999995</v>
      </c>
      <c r="R230" s="86">
        <f t="shared" ref="R230" si="1496">R150</f>
        <v>79461.672000000006</v>
      </c>
      <c r="S230" s="73"/>
      <c r="T230" s="86">
        <f t="shared" si="1489"/>
        <v>2491</v>
      </c>
      <c r="U230" s="86">
        <f t="shared" si="1489"/>
        <v>2466.4229999999998</v>
      </c>
      <c r="V230" s="86">
        <f t="shared" si="1489"/>
        <v>2721.2669999999998</v>
      </c>
      <c r="W230" s="86">
        <f t="shared" si="1489"/>
        <v>2441.8710000000001</v>
      </c>
      <c r="X230" s="86">
        <f t="shared" si="1489"/>
        <v>2886.4319999999998</v>
      </c>
      <c r="Y230" s="86">
        <f t="shared" si="1489"/>
        <v>2038.01</v>
      </c>
      <c r="Z230" s="86">
        <f t="shared" si="1489"/>
        <v>1982.875</v>
      </c>
      <c r="AA230" s="86">
        <f t="shared" si="1489"/>
        <v>2581.9639999999999</v>
      </c>
      <c r="AB230" s="86">
        <f t="shared" si="1489"/>
        <v>2611.5839999999998</v>
      </c>
      <c r="AC230" s="86">
        <f t="shared" si="1489"/>
        <v>2955.9740000000002</v>
      </c>
      <c r="AD230" s="86">
        <f t="shared" si="1489"/>
        <v>4225.1639999999998</v>
      </c>
      <c r="AE230" s="86">
        <f t="shared" si="1489"/>
        <v>5341.5240000000003</v>
      </c>
      <c r="AF230" s="86">
        <f t="shared" si="1489"/>
        <v>6478.098</v>
      </c>
      <c r="AG230" s="86">
        <f t="shared" si="1489"/>
        <v>5787.7809999999999</v>
      </c>
      <c r="AH230" s="86">
        <f t="shared" si="1489"/>
        <v>5481.64</v>
      </c>
      <c r="AI230" s="86">
        <f t="shared" ref="AI230:AN230" si="1497">AI150</f>
        <v>6937.06</v>
      </c>
      <c r="AJ230" s="86">
        <f t="shared" si="1497"/>
        <v>7826.6319999999996</v>
      </c>
      <c r="AK230" s="86">
        <f t="shared" si="1497"/>
        <v>9253.1579999999994</v>
      </c>
      <c r="AL230" s="86">
        <f t="shared" si="1497"/>
        <v>11540.151</v>
      </c>
      <c r="AM230" s="86">
        <f t="shared" si="1497"/>
        <v>12002.245999999999</v>
      </c>
      <c r="AN230" s="86">
        <f t="shared" si="1497"/>
        <v>10213.040000000001</v>
      </c>
      <c r="AO230" s="86">
        <f t="shared" ref="AO230:AT230" si="1498">AO150</f>
        <v>10743.491</v>
      </c>
      <c r="AP230" s="86">
        <f t="shared" si="1498"/>
        <v>8340.5750000000007</v>
      </c>
      <c r="AQ230" s="86">
        <f t="shared" si="1498"/>
        <v>16014.589</v>
      </c>
      <c r="AR230" s="86">
        <f t="shared" si="1498"/>
        <v>16694.455999999998</v>
      </c>
      <c r="AS230" s="86">
        <f t="shared" si="1498"/>
        <v>14956.187</v>
      </c>
      <c r="AT230" s="86">
        <f t="shared" si="1498"/>
        <v>20425.396000000001</v>
      </c>
      <c r="AU230" s="86">
        <f t="shared" ref="AU230" si="1499">AU150</f>
        <v>24529.219000000001</v>
      </c>
      <c r="AV230" s="86">
        <f t="shared" ref="AV230:AX230" si="1500">AV150</f>
        <v>29347.464</v>
      </c>
      <c r="AW230" s="86">
        <f t="shared" si="1500"/>
        <v>28665.84</v>
      </c>
      <c r="AX230" s="86">
        <f t="shared" si="1500"/>
        <v>39623.14</v>
      </c>
      <c r="AY230" s="86">
        <f t="shared" ref="AY230:BB230" si="1501">AY150</f>
        <v>48791.777999999998</v>
      </c>
      <c r="AZ230" s="86">
        <f t="shared" si="1501"/>
        <v>46600.785000000003</v>
      </c>
      <c r="BA230" s="86">
        <f t="shared" si="1501"/>
        <v>45257.023999999998</v>
      </c>
      <c r="BB230" s="86">
        <f t="shared" si="1501"/>
        <v>34309.593000000001</v>
      </c>
      <c r="BC230" s="86">
        <f t="shared" ref="BC230:BF230" si="1502">BC150</f>
        <v>50815.824999999997</v>
      </c>
      <c r="BD230" s="86">
        <f t="shared" si="1502"/>
        <v>43866.671000000002</v>
      </c>
      <c r="BE230" s="86">
        <f t="shared" si="1502"/>
        <v>60075.144</v>
      </c>
      <c r="BF230" s="86">
        <f t="shared" si="1502"/>
        <v>71440.375</v>
      </c>
      <c r="BG230" s="86">
        <f t="shared" ref="BG230:BH230" si="1503">BG150</f>
        <v>97829.153999999995</v>
      </c>
      <c r="BH230" s="86">
        <f t="shared" si="1503"/>
        <v>79461.672000000006</v>
      </c>
      <c r="BJ230" s="86">
        <f t="shared" ref="BJ230:BL230" si="1504">BJ150</f>
        <v>49446.788</v>
      </c>
      <c r="BK230" s="86">
        <f t="shared" si="1504"/>
        <v>49175.087</v>
      </c>
      <c r="BL230" s="86">
        <f t="shared" si="1504"/>
        <v>59183.235999999997</v>
      </c>
      <c r="BM230" s="86">
        <f t="shared" ref="BM230:BN230" si="1505">BM150</f>
        <v>70444.978000000003</v>
      </c>
      <c r="BN230" s="86">
        <f t="shared" si="1505"/>
        <v>46600.785000000003</v>
      </c>
      <c r="BO230" s="86">
        <f t="shared" ref="BO230:BR230" si="1506">BO150</f>
        <v>45257.023999999998</v>
      </c>
      <c r="BP230" s="86">
        <f t="shared" si="1506"/>
        <v>34309.593000000001</v>
      </c>
      <c r="BQ230" s="86">
        <f t="shared" si="1506"/>
        <v>66514.005999999994</v>
      </c>
      <c r="BR230" s="86">
        <f t="shared" si="1506"/>
        <v>43866.671000000002</v>
      </c>
      <c r="BW230" s="39"/>
      <c r="BX230" s="39"/>
    </row>
    <row r="231" spans="2:76" ht="13.5" customHeight="1">
      <c r="C231" s="40"/>
      <c r="D231" s="40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57"/>
      <c r="AP231" s="57"/>
      <c r="AQ231" s="57"/>
      <c r="AR231" s="57"/>
      <c r="AS231" s="57"/>
      <c r="AT231" s="57"/>
      <c r="AU231" s="57"/>
      <c r="AV231" s="57"/>
      <c r="AW231" s="57"/>
      <c r="AX231" s="57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  <c r="BJ231" s="57"/>
      <c r="BK231" s="57"/>
      <c r="BL231" s="57"/>
      <c r="BM231" s="57"/>
      <c r="BN231" s="57"/>
      <c r="BO231" s="57"/>
      <c r="BP231" s="57"/>
      <c r="BQ231" s="57"/>
      <c r="BR231" s="57"/>
      <c r="BW231" s="39"/>
      <c r="BX231" s="39"/>
    </row>
    <row r="232" spans="2:76" ht="13.5" customHeight="1">
      <c r="B232" s="1" t="s">
        <v>393</v>
      </c>
      <c r="C232" s="181">
        <f t="shared" ref="C232:AH232" si="1507">C153</f>
        <v>4764</v>
      </c>
      <c r="D232" s="181">
        <f t="shared" si="1507"/>
        <v>5455</v>
      </c>
      <c r="E232" s="181">
        <f t="shared" si="1507"/>
        <v>5658</v>
      </c>
      <c r="F232" s="181">
        <f t="shared" si="1507"/>
        <v>7374.6980000000003</v>
      </c>
      <c r="G232" s="181">
        <f t="shared" si="1507"/>
        <v>11949</v>
      </c>
      <c r="H232" s="181">
        <f t="shared" ref="H232:J232" si="1508">H153</f>
        <v>14955.42</v>
      </c>
      <c r="I232" s="181">
        <f t="shared" si="1508"/>
        <v>17075.935000000001</v>
      </c>
      <c r="J232" s="181">
        <f t="shared" si="1508"/>
        <v>32578.621999999999</v>
      </c>
      <c r="K232" s="181">
        <f t="shared" ref="K232" si="1509">K153</f>
        <v>51358.648000000001</v>
      </c>
      <c r="L232" s="181">
        <f t="shared" ref="L232:M232" si="1510">L153</f>
        <v>84757.777000000002</v>
      </c>
      <c r="M232" s="181">
        <f t="shared" si="1510"/>
        <v>105721.08900000001</v>
      </c>
      <c r="N232" s="181">
        <f t="shared" ref="N232" si="1511">N153</f>
        <v>147135.76500000001</v>
      </c>
      <c r="O232" s="181">
        <f t="shared" ref="O232:P232" si="1512">O153</f>
        <v>146958.549</v>
      </c>
      <c r="P232" s="181">
        <f t="shared" si="1512"/>
        <v>180687.772</v>
      </c>
      <c r="Q232" s="181">
        <f t="shared" ref="Q232" si="1513">Q153</f>
        <v>246971.36499999999</v>
      </c>
      <c r="R232" s="181">
        <f t="shared" ref="R232" si="1514">R153</f>
        <v>261818.467</v>
      </c>
      <c r="S232" s="181"/>
      <c r="T232" s="181">
        <f t="shared" si="1507"/>
        <v>5592</v>
      </c>
      <c r="U232" s="181">
        <f t="shared" si="1507"/>
        <v>5157</v>
      </c>
      <c r="V232" s="181">
        <f t="shared" si="1507"/>
        <v>5212</v>
      </c>
      <c r="W232" s="181">
        <f t="shared" si="1507"/>
        <v>5658</v>
      </c>
      <c r="X232" s="181">
        <f t="shared" si="1507"/>
        <v>6751</v>
      </c>
      <c r="Y232" s="181">
        <f t="shared" si="1507"/>
        <v>6797</v>
      </c>
      <c r="Z232" s="181">
        <f t="shared" si="1507"/>
        <v>6983</v>
      </c>
      <c r="AA232" s="181">
        <f t="shared" si="1507"/>
        <v>7374.6980000000003</v>
      </c>
      <c r="AB232" s="181">
        <f t="shared" si="1507"/>
        <v>8252.1</v>
      </c>
      <c r="AC232" s="181">
        <f t="shared" si="1507"/>
        <v>9442.6</v>
      </c>
      <c r="AD232" s="181">
        <f t="shared" si="1507"/>
        <v>11523</v>
      </c>
      <c r="AE232" s="181">
        <f t="shared" si="1507"/>
        <v>11949</v>
      </c>
      <c r="AF232" s="181">
        <f t="shared" si="1507"/>
        <v>13867.739</v>
      </c>
      <c r="AG232" s="181">
        <f t="shared" si="1507"/>
        <v>14079.280999999999</v>
      </c>
      <c r="AH232" s="181">
        <f t="shared" si="1507"/>
        <v>13852.918</v>
      </c>
      <c r="AI232" s="181">
        <f t="shared" ref="AI232:AL232" si="1515">AI153</f>
        <v>14955.42</v>
      </c>
      <c r="AJ232" s="181">
        <f t="shared" si="1515"/>
        <v>16095.615</v>
      </c>
      <c r="AK232" s="181">
        <f t="shared" si="1515"/>
        <v>15892.584999999999</v>
      </c>
      <c r="AL232" s="181">
        <f t="shared" si="1515"/>
        <v>16906.234</v>
      </c>
      <c r="AM232" s="181">
        <f t="shared" ref="AM232:AP232" si="1516">AM153</f>
        <v>17075.935000000001</v>
      </c>
      <c r="AN232" s="181">
        <f t="shared" si="1516"/>
        <v>19288.449000000001</v>
      </c>
      <c r="AO232" s="181">
        <f t="shared" si="1516"/>
        <v>24783.808000000001</v>
      </c>
      <c r="AP232" s="181">
        <f t="shared" si="1516"/>
        <v>22245.441999999999</v>
      </c>
      <c r="AQ232" s="181">
        <f t="shared" ref="AQ232:AS232" si="1517">AQ153</f>
        <v>32578.621999999999</v>
      </c>
      <c r="AR232" s="181">
        <f t="shared" si="1517"/>
        <v>39252.631000000001</v>
      </c>
      <c r="AS232" s="181">
        <f t="shared" si="1517"/>
        <v>44243.762999999999</v>
      </c>
      <c r="AT232" s="181">
        <f t="shared" ref="AT232:AW232" si="1518">AT153</f>
        <v>48542.620999999999</v>
      </c>
      <c r="AU232" s="181">
        <f t="shared" si="1518"/>
        <v>51358.648000000001</v>
      </c>
      <c r="AV232" s="181">
        <f t="shared" si="1518"/>
        <v>60400.178</v>
      </c>
      <c r="AW232" s="181">
        <f t="shared" si="1518"/>
        <v>64380.726000000002</v>
      </c>
      <c r="AX232" s="181">
        <f t="shared" ref="AX232:BA232" si="1519">AX153</f>
        <v>87381.763999999996</v>
      </c>
      <c r="AY232" s="181">
        <f t="shared" si="1519"/>
        <v>105721.08900000001</v>
      </c>
      <c r="AZ232" s="181">
        <f t="shared" si="1519"/>
        <v>111480.77900000001</v>
      </c>
      <c r="BA232" s="181">
        <f t="shared" si="1519"/>
        <v>130765.54699999999</v>
      </c>
      <c r="BB232" s="181">
        <f t="shared" ref="BB232:BC232" si="1520">BB153</f>
        <v>139442.761</v>
      </c>
      <c r="BC232" s="181">
        <f t="shared" si="1520"/>
        <v>146958.549</v>
      </c>
      <c r="BD232" s="181">
        <f>BD153</f>
        <v>168851.15700000001</v>
      </c>
      <c r="BE232" s="181">
        <f t="shared" ref="BE232:BG232" si="1521">BE153</f>
        <v>216553.076</v>
      </c>
      <c r="BF232" s="181">
        <f t="shared" si="1521"/>
        <v>232777.74799999999</v>
      </c>
      <c r="BG232" s="181">
        <f t="shared" si="1521"/>
        <v>246971.36499999999</v>
      </c>
      <c r="BH232" s="181">
        <f>BH153</f>
        <v>261818.467</v>
      </c>
      <c r="BJ232" s="181">
        <f t="shared" ref="BJ232:BL232" si="1522">BJ153</f>
        <v>60400.178</v>
      </c>
      <c r="BK232" s="181">
        <f t="shared" si="1522"/>
        <v>64380.726000000002</v>
      </c>
      <c r="BL232" s="181">
        <f t="shared" si="1522"/>
        <v>87381.763999999996</v>
      </c>
      <c r="BM232" s="181">
        <f t="shared" ref="BM232:BN232" si="1523">BM153</f>
        <v>5502.4040000000005</v>
      </c>
      <c r="BN232" s="181">
        <f t="shared" si="1523"/>
        <v>111480.77900000001</v>
      </c>
      <c r="BO232" s="181">
        <f t="shared" ref="BO232:BR232" si="1524">BO153</f>
        <v>130765.54699999999</v>
      </c>
      <c r="BP232" s="181">
        <f t="shared" si="1524"/>
        <v>139442.761</v>
      </c>
      <c r="BQ232" s="181">
        <f t="shared" si="1524"/>
        <v>11664.531999999999</v>
      </c>
      <c r="BR232" s="181">
        <f t="shared" si="1524"/>
        <v>168851.15700000001</v>
      </c>
      <c r="BW232" s="39"/>
      <c r="BX232" s="39"/>
    </row>
    <row r="233" spans="2:76" ht="13.5" customHeight="1">
      <c r="B233" s="1" t="s">
        <v>386</v>
      </c>
      <c r="C233" s="181">
        <f t="shared" ref="C233:O233" si="1525">C151</f>
        <v>3143.4769999999999</v>
      </c>
      <c r="D233" s="181">
        <f t="shared" si="1525"/>
        <v>3288.8470000000002</v>
      </c>
      <c r="E233" s="181">
        <f t="shared" si="1525"/>
        <v>3216.1289999999999</v>
      </c>
      <c r="F233" s="181">
        <f t="shared" si="1525"/>
        <v>4792.7340000000004</v>
      </c>
      <c r="G233" s="181">
        <f t="shared" si="1525"/>
        <v>6607.4759999999997</v>
      </c>
      <c r="H233" s="181">
        <f t="shared" si="1525"/>
        <v>8018.36</v>
      </c>
      <c r="I233" s="181">
        <f t="shared" si="1525"/>
        <v>5073.6890000000021</v>
      </c>
      <c r="J233" s="181">
        <f t="shared" si="1525"/>
        <v>16564.032999999999</v>
      </c>
      <c r="K233" s="181">
        <f t="shared" si="1525"/>
        <v>26829.429</v>
      </c>
      <c r="L233" s="181">
        <f t="shared" si="1525"/>
        <v>44340.267</v>
      </c>
      <c r="M233" s="181">
        <f t="shared" si="1525"/>
        <v>56929.311000000009</v>
      </c>
      <c r="N233" s="181">
        <f t="shared" si="1525"/>
        <v>76690.787000000011</v>
      </c>
      <c r="O233" s="181">
        <f t="shared" si="1525"/>
        <v>96142.724000000002</v>
      </c>
      <c r="P233" s="181">
        <f t="shared" ref="P233:Q233" si="1526">P151</f>
        <v>114173.766</v>
      </c>
      <c r="Q233" s="181">
        <f t="shared" si="1526"/>
        <v>149142.21100000001</v>
      </c>
      <c r="R233" s="181">
        <f t="shared" ref="R233:BM233" si="1527">R151</f>
        <v>182356.79499999998</v>
      </c>
      <c r="S233" s="181"/>
      <c r="T233" s="181">
        <f t="shared" si="1527"/>
        <v>3101</v>
      </c>
      <c r="U233" s="181">
        <f t="shared" si="1527"/>
        <v>2690.5770000000002</v>
      </c>
      <c r="V233" s="181">
        <f t="shared" si="1527"/>
        <v>2490.7330000000002</v>
      </c>
      <c r="W233" s="181">
        <f t="shared" si="1527"/>
        <v>3216.1289999999999</v>
      </c>
      <c r="X233" s="181">
        <f t="shared" si="1527"/>
        <v>3864.5680000000002</v>
      </c>
      <c r="Y233" s="181">
        <f t="shared" si="1527"/>
        <v>4758.99</v>
      </c>
      <c r="Z233" s="181">
        <f t="shared" si="1527"/>
        <v>5000.125</v>
      </c>
      <c r="AA233" s="181">
        <f t="shared" si="1527"/>
        <v>4792.7340000000004</v>
      </c>
      <c r="AB233" s="181">
        <f t="shared" si="1527"/>
        <v>5640.5160000000005</v>
      </c>
      <c r="AC233" s="181">
        <f t="shared" si="1527"/>
        <v>6486.6260000000002</v>
      </c>
      <c r="AD233" s="181">
        <f t="shared" si="1527"/>
        <v>7297.8360000000002</v>
      </c>
      <c r="AE233" s="181">
        <f t="shared" si="1527"/>
        <v>6607.4759999999997</v>
      </c>
      <c r="AF233" s="181">
        <f t="shared" si="1527"/>
        <v>7389.6409999999996</v>
      </c>
      <c r="AG233" s="181">
        <f t="shared" si="1527"/>
        <v>8291.5</v>
      </c>
      <c r="AH233" s="181">
        <f t="shared" si="1527"/>
        <v>8371.2779999999984</v>
      </c>
      <c r="AI233" s="181">
        <f t="shared" si="1527"/>
        <v>8018.36</v>
      </c>
      <c r="AJ233" s="181">
        <f t="shared" si="1527"/>
        <v>8268.9830000000002</v>
      </c>
      <c r="AK233" s="181">
        <f t="shared" si="1527"/>
        <v>6639.4269999999997</v>
      </c>
      <c r="AL233" s="181">
        <f t="shared" si="1527"/>
        <v>5366.0830000000005</v>
      </c>
      <c r="AM233" s="181">
        <f t="shared" si="1527"/>
        <v>5073.6890000000021</v>
      </c>
      <c r="AN233" s="181">
        <f t="shared" si="1527"/>
        <v>9075.4089999999997</v>
      </c>
      <c r="AO233" s="181">
        <f t="shared" si="1527"/>
        <v>14040.317000000001</v>
      </c>
      <c r="AP233" s="181">
        <f t="shared" si="1527"/>
        <v>13904.866999999998</v>
      </c>
      <c r="AQ233" s="181">
        <f t="shared" si="1527"/>
        <v>16564.032999999999</v>
      </c>
      <c r="AR233" s="181">
        <f t="shared" si="1527"/>
        <v>22558.175000000003</v>
      </c>
      <c r="AS233" s="181">
        <f t="shared" si="1527"/>
        <v>29287.576000000001</v>
      </c>
      <c r="AT233" s="181">
        <f t="shared" si="1527"/>
        <v>28117.224999999999</v>
      </c>
      <c r="AU233" s="181">
        <f t="shared" si="1527"/>
        <v>26829.429</v>
      </c>
      <c r="AV233" s="181">
        <f t="shared" si="1527"/>
        <v>31052.714</v>
      </c>
      <c r="AW233" s="181">
        <f t="shared" si="1527"/>
        <v>35714.885999999999</v>
      </c>
      <c r="AX233" s="181">
        <f t="shared" si="1527"/>
        <v>47758.623999999996</v>
      </c>
      <c r="AY233" s="181">
        <f t="shared" si="1527"/>
        <v>56929.311000000009</v>
      </c>
      <c r="AZ233" s="181">
        <f t="shared" si="1527"/>
        <v>64879.994000000006</v>
      </c>
      <c r="BA233" s="181">
        <f t="shared" si="1527"/>
        <v>85508.522999999986</v>
      </c>
      <c r="BB233" s="181">
        <f t="shared" si="1527"/>
        <v>105133.16800000001</v>
      </c>
      <c r="BC233" s="181">
        <f t="shared" si="1527"/>
        <v>96142.724000000002</v>
      </c>
      <c r="BD233" s="181">
        <f>BD151</f>
        <v>124984.486</v>
      </c>
      <c r="BE233" s="181">
        <f t="shared" ref="BE233:BG233" si="1528">BE151</f>
        <v>156477.932</v>
      </c>
      <c r="BF233" s="181">
        <f t="shared" si="1528"/>
        <v>161337.37299999999</v>
      </c>
      <c r="BG233" s="181">
        <f t="shared" si="1528"/>
        <v>149142.21100000001</v>
      </c>
      <c r="BH233" s="181">
        <f>BH151</f>
        <v>182356.79499999998</v>
      </c>
      <c r="BJ233" s="181">
        <f t="shared" si="1527"/>
        <v>10953.39</v>
      </c>
      <c r="BK233" s="181">
        <f t="shared" si="1527"/>
        <v>15205.639000000003</v>
      </c>
      <c r="BL233" s="181">
        <f t="shared" si="1527"/>
        <v>28198.527999999998</v>
      </c>
      <c r="BM233" s="181">
        <f t="shared" si="1527"/>
        <v>-64942.574000000001</v>
      </c>
      <c r="BN233" s="181">
        <f>BN151</f>
        <v>64879.994000000006</v>
      </c>
      <c r="BO233" s="181">
        <f>BO151</f>
        <v>85508.522999999986</v>
      </c>
      <c r="BP233" s="181">
        <f t="shared" ref="BP233:BQ233" si="1529">BP151</f>
        <v>105133.16800000001</v>
      </c>
      <c r="BQ233" s="181">
        <f t="shared" si="1529"/>
        <v>-54849.473999999995</v>
      </c>
      <c r="BR233" s="181">
        <f>BR151</f>
        <v>124984.486</v>
      </c>
      <c r="BW233" s="39"/>
      <c r="BX233" s="39"/>
    </row>
    <row r="234" spans="2:76" ht="13.5" customHeight="1">
      <c r="C234" s="40"/>
      <c r="D234" s="40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7"/>
      <c r="AT234" s="57"/>
      <c r="AU234" s="57"/>
      <c r="AV234" s="57"/>
      <c r="AW234" s="57"/>
      <c r="AX234" s="57"/>
      <c r="AY234" s="57"/>
      <c r="AZ234" s="57"/>
      <c r="BA234" s="57"/>
      <c r="BB234" s="57"/>
      <c r="BC234" s="57"/>
      <c r="BD234" s="57"/>
      <c r="BE234" s="57"/>
      <c r="BF234" s="57"/>
      <c r="BG234" s="57"/>
      <c r="BH234" s="57"/>
      <c r="BJ234" s="57"/>
      <c r="BK234" s="57"/>
      <c r="BL234" s="57"/>
      <c r="BM234" s="57"/>
      <c r="BN234" s="57"/>
      <c r="BO234" s="57"/>
      <c r="BP234" s="57"/>
      <c r="BQ234" s="57"/>
      <c r="BR234" s="57"/>
      <c r="BW234" s="39"/>
      <c r="BX234" s="39"/>
    </row>
    <row r="235" spans="2:76" s="5" customFormat="1" ht="13.5" customHeight="1">
      <c r="B235" s="5" t="str">
        <f t="shared" ref="B235:G236" si="1530">B168</f>
        <v>Total Net Leverage</v>
      </c>
      <c r="C235" s="41">
        <f t="shared" si="1530"/>
        <v>2.2961848064280495</v>
      </c>
      <c r="D235" s="41">
        <f t="shared" si="1530"/>
        <v>2.1537963326784548</v>
      </c>
      <c r="E235" s="41">
        <f t="shared" si="1530"/>
        <v>1.8180491803278689</v>
      </c>
      <c r="F235" s="41">
        <f t="shared" si="1530"/>
        <v>2.4527809621289665</v>
      </c>
      <c r="G235" s="41">
        <f t="shared" si="1530"/>
        <v>2.3623439399356454</v>
      </c>
      <c r="H235" s="41">
        <f t="shared" ref="H235:J236" si="1531">H168</f>
        <v>2.3928260220829602</v>
      </c>
      <c r="I235" s="41">
        <f t="shared" si="1531"/>
        <v>1.0001358170707673</v>
      </c>
      <c r="J235" s="41">
        <f t="shared" si="1531"/>
        <v>2.3957236042811685</v>
      </c>
      <c r="K235" s="41">
        <f t="shared" ref="K235" si="1532">K168</f>
        <v>2.2540056288330672</v>
      </c>
      <c r="L235" s="41">
        <f t="shared" ref="L235:M235" si="1533">L168</f>
        <v>2.7106166401760605</v>
      </c>
      <c r="M235" s="41">
        <f t="shared" si="1533"/>
        <v>2.8355486875529219</v>
      </c>
      <c r="N235" s="41">
        <f t="shared" ref="N235" si="1534">N168</f>
        <v>2.5073820375335125</v>
      </c>
      <c r="O235" s="41">
        <f t="shared" ref="O235:P235" si="1535">O168</f>
        <v>4.1934280106424744</v>
      </c>
      <c r="P235" s="41">
        <f t="shared" si="1535"/>
        <v>3.8046508047585728</v>
      </c>
      <c r="Q235" s="41">
        <f t="shared" ref="Q235" si="1536">Q168</f>
        <v>4.8604272771712562</v>
      </c>
      <c r="R235" s="41">
        <f t="shared" ref="R235:R236" si="1537">R168</f>
        <v>5.4923436841154141</v>
      </c>
      <c r="S235" s="41"/>
      <c r="T235" s="41"/>
      <c r="U235" s="41"/>
      <c r="V235" s="41"/>
      <c r="W235" s="41">
        <f t="shared" ref="W235:AH235" si="1538">W168</f>
        <v>1.8180491803278689</v>
      </c>
      <c r="X235" s="41">
        <f t="shared" si="1538"/>
        <v>2.1083295144571741</v>
      </c>
      <c r="Y235" s="41">
        <f t="shared" si="1538"/>
        <v>2.5206514830508473</v>
      </c>
      <c r="Z235" s="41">
        <f t="shared" si="1538"/>
        <v>2.5641666666666665</v>
      </c>
      <c r="AA235" s="41">
        <f t="shared" si="1538"/>
        <v>2.4527809621289665</v>
      </c>
      <c r="AB235" s="41">
        <f t="shared" si="1538"/>
        <v>2.8315843373493981</v>
      </c>
      <c r="AC235" s="41">
        <f t="shared" si="1538"/>
        <v>3.1260848192771085</v>
      </c>
      <c r="AD235" s="41">
        <f t="shared" si="1538"/>
        <v>3.1510518134715029</v>
      </c>
      <c r="AE235" s="41">
        <f t="shared" si="1538"/>
        <v>2.3623439399356454</v>
      </c>
      <c r="AF235" s="41">
        <f t="shared" si="1538"/>
        <v>2.5024182187605821</v>
      </c>
      <c r="AG235" s="41">
        <f t="shared" si="1538"/>
        <v>2.5426249616681997</v>
      </c>
      <c r="AH235" s="41">
        <f t="shared" si="1538"/>
        <v>2.4708612750885472</v>
      </c>
      <c r="AI235" s="41">
        <f t="shared" ref="AI235:AL236" si="1539">AI168</f>
        <v>2.3928260220829602</v>
      </c>
      <c r="AJ235" s="41">
        <f t="shared" si="1539"/>
        <v>2.3338930285069153</v>
      </c>
      <c r="AK235" s="41">
        <f t="shared" si="1539"/>
        <v>1.8835253900709219</v>
      </c>
      <c r="AL235" s="41">
        <f t="shared" si="1539"/>
        <v>1.2347176714219974</v>
      </c>
      <c r="AM235" s="41">
        <f t="shared" ref="AM235:AP236" si="1540">AM168</f>
        <v>1.0001358170707673</v>
      </c>
      <c r="AN235" s="41">
        <f t="shared" si="1540"/>
        <v>1.4897257058437294</v>
      </c>
      <c r="AO235" s="41">
        <f t="shared" si="1540"/>
        <v>2.1113258646616542</v>
      </c>
      <c r="AP235" s="41">
        <f t="shared" si="1540"/>
        <v>2.0762829625205312</v>
      </c>
      <c r="AQ235" s="41">
        <f t="shared" ref="AQ235:AS236" si="1541">AQ168</f>
        <v>2.3957236042811685</v>
      </c>
      <c r="AR235" s="41">
        <f t="shared" si="1541"/>
        <v>2.8137925657976801</v>
      </c>
      <c r="AS235" s="41">
        <f t="shared" si="1541"/>
        <v>3.2512850799289521</v>
      </c>
      <c r="AT235" s="41">
        <f t="shared" ref="AT235:AW235" si="1542">AT168</f>
        <v>2.7679882850954911</v>
      </c>
      <c r="AU235" s="41">
        <f t="shared" si="1542"/>
        <v>2.2540056288330672</v>
      </c>
      <c r="AV235" s="41">
        <f t="shared" si="1542"/>
        <v>2.4643055313070392</v>
      </c>
      <c r="AW235" s="41">
        <f t="shared" si="1542"/>
        <v>2.3450351936966514</v>
      </c>
      <c r="AX235" s="41">
        <f t="shared" ref="AX235:BA235" si="1543">AX168</f>
        <v>2.5465833422203263</v>
      </c>
      <c r="AY235" s="41">
        <f t="shared" si="1543"/>
        <v>2.8355486875529219</v>
      </c>
      <c r="AZ235" s="41">
        <f t="shared" si="1543"/>
        <v>2.9308394994805078</v>
      </c>
      <c r="BA235" s="41">
        <f t="shared" si="1543"/>
        <v>3.7889278181495918</v>
      </c>
      <c r="BB235" s="41">
        <f t="shared" ref="BB235:BE235" si="1544">BB168</f>
        <v>5.2616569741254198</v>
      </c>
      <c r="BC235" s="41">
        <f t="shared" si="1544"/>
        <v>4.1934280106424744</v>
      </c>
      <c r="BD235" s="41">
        <f t="shared" si="1544"/>
        <v>5.4433380950307049</v>
      </c>
      <c r="BE235" s="41">
        <f t="shared" si="1544"/>
        <v>6.3536597368848469</v>
      </c>
      <c r="BF235" s="41">
        <f t="shared" ref="BF235:BH235" si="1545">BF168</f>
        <v>5.4852403019073197</v>
      </c>
      <c r="BG235" s="41">
        <f t="shared" si="1545"/>
        <v>4.8604272771712562</v>
      </c>
      <c r="BH235" s="41">
        <f t="shared" si="1545"/>
        <v>5.4923436841154141</v>
      </c>
      <c r="BJ235" s="41">
        <f t="shared" ref="BJ235:BL235" si="1546">BJ168</f>
        <v>0.78468300021491511</v>
      </c>
      <c r="BK235" s="41">
        <f t="shared" si="1546"/>
        <v>0.75740381550109592</v>
      </c>
      <c r="BL235" s="41">
        <f t="shared" si="1546"/>
        <v>1.1655174010085145</v>
      </c>
      <c r="BM235" s="41">
        <f t="shared" ref="BM235" si="1547">BM168</f>
        <v>-2.1232777741450337</v>
      </c>
      <c r="BN235" s="41">
        <f>BN168</f>
        <v>1.9346372256679392</v>
      </c>
      <c r="BO235" s="41">
        <f>BO168</f>
        <v>2.6911475734877568</v>
      </c>
      <c r="BP235" s="41">
        <f>BP168</f>
        <v>3.3959935396343433</v>
      </c>
      <c r="BQ235" s="41">
        <f t="shared" ref="BQ235" si="1548">BQ168</f>
        <v>-1.827767469759072</v>
      </c>
      <c r="BR235" s="41">
        <f>BR168</f>
        <v>4.2251609479057501</v>
      </c>
      <c r="BT235" s="1"/>
      <c r="BU235" s="1"/>
      <c r="BW235" s="39"/>
      <c r="BX235" s="39"/>
    </row>
    <row r="236" spans="2:76" ht="12.75">
      <c r="B236" s="1" t="str">
        <f t="shared" si="1530"/>
        <v xml:space="preserve">Total Gross Leverage </v>
      </c>
      <c r="C236" s="42">
        <f t="shared" si="1530"/>
        <v>3.4799123447772096</v>
      </c>
      <c r="D236" s="42">
        <f t="shared" si="1530"/>
        <v>3.5723641126391619</v>
      </c>
      <c r="E236" s="42">
        <f t="shared" si="1530"/>
        <v>3.1984171848501979</v>
      </c>
      <c r="F236" s="42">
        <f t="shared" si="1530"/>
        <v>3.7741545547594679</v>
      </c>
      <c r="G236" s="42">
        <f t="shared" si="1530"/>
        <v>4.2720772255988555</v>
      </c>
      <c r="H236" s="42">
        <f t="shared" si="1531"/>
        <v>4.4629722470904207</v>
      </c>
      <c r="I236" s="42">
        <f t="shared" si="1531"/>
        <v>3.3660427754780211</v>
      </c>
      <c r="J236" s="42">
        <f t="shared" si="1531"/>
        <v>4.7119788834249352</v>
      </c>
      <c r="K236" s="42">
        <f t="shared" ref="K236" si="1549">K169</f>
        <v>4.3147650172225491</v>
      </c>
      <c r="L236" s="42">
        <f t="shared" ref="L236:M236" si="1550">L169</f>
        <v>5.181426641398704</v>
      </c>
      <c r="M236" s="42">
        <f t="shared" si="1550"/>
        <v>5.265781192409225</v>
      </c>
      <c r="N236" s="42">
        <f t="shared" ref="N236" si="1551">N169</f>
        <v>4.8105592427908199</v>
      </c>
      <c r="O236" s="42">
        <f t="shared" ref="O236:P236" si="1552">O169</f>
        <v>6.4098464256117245</v>
      </c>
      <c r="P236" s="42">
        <f t="shared" si="1552"/>
        <v>6.0211193975140791</v>
      </c>
      <c r="Q236" s="42">
        <f t="shared" ref="Q236" si="1553">Q169</f>
        <v>8.0486024116017596</v>
      </c>
      <c r="R236" s="42">
        <f t="shared" si="1537"/>
        <v>7.8856233660622852</v>
      </c>
      <c r="S236" s="42"/>
      <c r="T236" s="42"/>
      <c r="U236" s="42"/>
      <c r="V236" s="42"/>
      <c r="W236" s="42">
        <f t="shared" ref="W236:AH236" si="1554">W169</f>
        <v>3.1984171848501979</v>
      </c>
      <c r="X236" s="42">
        <f t="shared" si="1554"/>
        <v>3.6830332787779598</v>
      </c>
      <c r="Y236" s="42">
        <f t="shared" si="1554"/>
        <v>3.6001059322033897</v>
      </c>
      <c r="Z236" s="42">
        <f t="shared" si="1554"/>
        <v>3.5810256410256409</v>
      </c>
      <c r="AA236" s="42">
        <f t="shared" si="1554"/>
        <v>3.7741545547594679</v>
      </c>
      <c r="AB236" s="42">
        <f t="shared" si="1554"/>
        <v>4.142620481927711</v>
      </c>
      <c r="AC236" s="42">
        <f t="shared" si="1554"/>
        <v>4.5506506024096387</v>
      </c>
      <c r="AD236" s="42">
        <f t="shared" si="1554"/>
        <v>4.9753886010362693</v>
      </c>
      <c r="AE236" s="42">
        <f t="shared" si="1554"/>
        <v>4.2720772255988555</v>
      </c>
      <c r="AF236" s="42">
        <f t="shared" si="1554"/>
        <v>4.6961527260413138</v>
      </c>
      <c r="AG236" s="42">
        <f t="shared" si="1554"/>
        <v>4.3174734743943572</v>
      </c>
      <c r="AH236" s="42">
        <f t="shared" si="1554"/>
        <v>4.0888187721369542</v>
      </c>
      <c r="AI236" s="42">
        <f t="shared" si="1539"/>
        <v>4.4629722470904207</v>
      </c>
      <c r="AJ236" s="42">
        <f t="shared" si="1539"/>
        <v>4.5429339542760374</v>
      </c>
      <c r="AK236" s="42">
        <f t="shared" si="1539"/>
        <v>4.5085347517730492</v>
      </c>
      <c r="AL236" s="42">
        <f t="shared" si="1539"/>
        <v>3.8900676484123333</v>
      </c>
      <c r="AM236" s="42">
        <f t="shared" si="1540"/>
        <v>3.3660427754780211</v>
      </c>
      <c r="AN236" s="42">
        <f t="shared" si="1540"/>
        <v>3.1661932042022327</v>
      </c>
      <c r="AO236" s="42">
        <f t="shared" si="1540"/>
        <v>3.7268884210526316</v>
      </c>
      <c r="AP236" s="42">
        <f t="shared" si="1540"/>
        <v>3.3217025533821114</v>
      </c>
      <c r="AQ236" s="42">
        <f t="shared" si="1541"/>
        <v>4.7119788834249352</v>
      </c>
      <c r="AR236" s="42">
        <f t="shared" si="1541"/>
        <v>4.8961745041786209</v>
      </c>
      <c r="AS236" s="42">
        <f t="shared" si="1541"/>
        <v>4.9116077930728244</v>
      </c>
      <c r="AT236" s="42">
        <f t="shared" ref="AT236:AW236" si="1555">AT169</f>
        <v>4.7787577278991931</v>
      </c>
      <c r="AU236" s="42">
        <f t="shared" si="1555"/>
        <v>4.3147650172225491</v>
      </c>
      <c r="AV236" s="42">
        <f t="shared" si="1555"/>
        <v>4.7932845012300609</v>
      </c>
      <c r="AW236" s="42">
        <f t="shared" si="1555"/>
        <v>4.2272308601444522</v>
      </c>
      <c r="AX236" s="42">
        <f t="shared" ref="AX236:BA236" si="1556">AX169</f>
        <v>4.6593667484270016</v>
      </c>
      <c r="AY236" s="42">
        <f t="shared" si="1556"/>
        <v>5.265781192409225</v>
      </c>
      <c r="AZ236" s="42">
        <f t="shared" si="1556"/>
        <v>5.0359479152550035</v>
      </c>
      <c r="BA236" s="42">
        <f t="shared" si="1556"/>
        <v>5.794290455512229</v>
      </c>
      <c r="BB236" s="42">
        <f t="shared" ref="BB236:BE236" si="1557">BB169</f>
        <v>6.9787678794855115</v>
      </c>
      <c r="BC236" s="42">
        <f t="shared" si="1557"/>
        <v>6.4098464256117245</v>
      </c>
      <c r="BD236" s="42">
        <f t="shared" si="1557"/>
        <v>7.3538241801315278</v>
      </c>
      <c r="BE236" s="42">
        <f t="shared" si="1557"/>
        <v>8.7929623193113535</v>
      </c>
      <c r="BF236" s="42">
        <f t="shared" ref="BF236:BH236" si="1558">BF169</f>
        <v>7.9141110393363476</v>
      </c>
      <c r="BG236" s="42">
        <f t="shared" si="1558"/>
        <v>8.0486024116017596</v>
      </c>
      <c r="BH236" s="42">
        <f t="shared" si="1558"/>
        <v>7.8856233660622852</v>
      </c>
      <c r="BJ236" s="42">
        <f t="shared" ref="BJ236:BL236" si="1559">BJ169</f>
        <v>4.3269702700766528</v>
      </c>
      <c r="BK236" s="42">
        <f t="shared" si="1559"/>
        <v>3.2068502689778842</v>
      </c>
      <c r="BL236" s="42">
        <f t="shared" si="1559"/>
        <v>3.6117121600396791</v>
      </c>
      <c r="BM236" s="42">
        <f t="shared" ref="BM236:BN236" si="1560">BM169</f>
        <v>0.17989943111227361</v>
      </c>
      <c r="BN236" s="42">
        <f t="shared" si="1560"/>
        <v>3.3242121600667942</v>
      </c>
      <c r="BO236" s="42">
        <f t="shared" ref="BO236:BR236" si="1561">BO169</f>
        <v>4.1154889847044753</v>
      </c>
      <c r="BP236" s="42">
        <f t="shared" si="1561"/>
        <v>4.5042561211964598</v>
      </c>
      <c r="BQ236" s="42">
        <f t="shared" si="1561"/>
        <v>0.38870112299643439</v>
      </c>
      <c r="BR236" s="42">
        <f t="shared" si="1561"/>
        <v>5.7080949596024482</v>
      </c>
      <c r="BW236" s="39"/>
      <c r="BX236" s="39"/>
    </row>
    <row r="237" spans="2:76" ht="12.75">
      <c r="C237" s="62"/>
      <c r="D237" s="62"/>
      <c r="E237" s="62"/>
      <c r="F237" s="62"/>
      <c r="G237" s="62"/>
      <c r="H237" s="62"/>
      <c r="I237" s="62"/>
      <c r="J237" s="62"/>
      <c r="K237" s="62"/>
      <c r="L237" s="62"/>
      <c r="M237" s="62"/>
      <c r="N237" s="62"/>
      <c r="O237" s="62"/>
      <c r="P237" s="62"/>
      <c r="Q237" s="62"/>
      <c r="R237" s="62"/>
      <c r="S237" s="62"/>
      <c r="T237" s="62"/>
      <c r="U237" s="62"/>
      <c r="V237" s="62"/>
      <c r="W237" s="62"/>
      <c r="X237" s="62"/>
      <c r="Y237" s="62"/>
      <c r="Z237" s="62"/>
      <c r="AA237" s="62"/>
      <c r="AB237" s="62"/>
      <c r="AC237" s="62"/>
      <c r="AD237" s="62"/>
      <c r="AE237" s="62"/>
      <c r="AF237" s="62"/>
      <c r="AG237" s="62"/>
      <c r="AH237" s="62"/>
      <c r="AI237" s="62"/>
      <c r="AJ237" s="62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J237" s="62"/>
      <c r="BK237" s="62"/>
      <c r="BL237" s="62"/>
      <c r="BM237" s="62"/>
      <c r="BN237" s="62"/>
      <c r="BO237" s="62"/>
      <c r="BP237" s="62"/>
      <c r="BQ237" s="62"/>
      <c r="BR237" s="62"/>
      <c r="BW237" s="39"/>
      <c r="BX237" s="39"/>
    </row>
    <row r="238" spans="2:76" s="5" customFormat="1" ht="13.5" customHeight="1">
      <c r="B238" s="5" t="str">
        <f t="shared" ref="B238:G238" si="1562">B171</f>
        <v>Net Leverage (based on company reported debt)</v>
      </c>
      <c r="C238" s="41">
        <f t="shared" si="1562"/>
        <v>2.2961848064280495</v>
      </c>
      <c r="D238" s="41">
        <f t="shared" si="1562"/>
        <v>2.1537963326784548</v>
      </c>
      <c r="E238" s="41">
        <f t="shared" si="1562"/>
        <v>1.8180491803278689</v>
      </c>
      <c r="F238" s="41">
        <f t="shared" si="1562"/>
        <v>2.4527809621289665</v>
      </c>
      <c r="G238" s="41">
        <f t="shared" si="1562"/>
        <v>2.3623439399356454</v>
      </c>
      <c r="H238" s="41">
        <f t="shared" ref="H238:J238" si="1563">H171</f>
        <v>2.3928260220829602</v>
      </c>
      <c r="I238" s="41">
        <f t="shared" si="1563"/>
        <v>1.0001358170707673</v>
      </c>
      <c r="J238" s="41">
        <f t="shared" si="1563"/>
        <v>2.3957236042811685</v>
      </c>
      <c r="K238" s="41">
        <f t="shared" ref="K238" si="1564">K171</f>
        <v>2.256405948080316</v>
      </c>
      <c r="L238" s="41">
        <f t="shared" ref="L238:M238" si="1565">L171</f>
        <v>2.7053429514610587</v>
      </c>
      <c r="M238" s="41">
        <f t="shared" si="1565"/>
        <v>2.6682273247995218</v>
      </c>
      <c r="N238" s="41">
        <f t="shared" ref="N238" si="1566">N171</f>
        <v>2.5287386385928201</v>
      </c>
      <c r="O238" s="41">
        <f t="shared" ref="O238:P238" si="1567">O171</f>
        <v>3.7994504296244602</v>
      </c>
      <c r="P238" s="41">
        <f t="shared" si="1567"/>
        <v>3.8046586024192743</v>
      </c>
      <c r="Q238" s="41">
        <f t="shared" ref="Q238" si="1568">Q171</f>
        <v>4.4995600456248983</v>
      </c>
      <c r="R238" s="41">
        <f t="shared" ref="R238" si="1569">R171</f>
        <v>5.1135774953316062</v>
      </c>
      <c r="S238" s="41"/>
      <c r="T238" s="41"/>
      <c r="U238" s="41"/>
      <c r="V238" s="41"/>
      <c r="W238" s="41">
        <f t="shared" ref="W238:AH238" si="1570">W171</f>
        <v>1.8180491803278689</v>
      </c>
      <c r="X238" s="41">
        <f t="shared" si="1570"/>
        <v>2.1083295144571741</v>
      </c>
      <c r="Y238" s="41">
        <f t="shared" si="1570"/>
        <v>2.5206514830508473</v>
      </c>
      <c r="Z238" s="41">
        <f t="shared" si="1570"/>
        <v>2.5641666666666665</v>
      </c>
      <c r="AA238" s="41">
        <f t="shared" si="1570"/>
        <v>2.4527809621289665</v>
      </c>
      <c r="AB238" s="41">
        <f t="shared" si="1570"/>
        <v>2.8315843373493981</v>
      </c>
      <c r="AC238" s="41">
        <f t="shared" si="1570"/>
        <v>3.1260848192771085</v>
      </c>
      <c r="AD238" s="41">
        <f t="shared" si="1570"/>
        <v>3.1510518134715029</v>
      </c>
      <c r="AE238" s="41">
        <f t="shared" si="1570"/>
        <v>2.3623439399356454</v>
      </c>
      <c r="AF238" s="41">
        <f t="shared" si="1570"/>
        <v>2.5024182187605821</v>
      </c>
      <c r="AG238" s="41">
        <f t="shared" si="1570"/>
        <v>2.5426249616681997</v>
      </c>
      <c r="AH238" s="41">
        <f t="shared" si="1570"/>
        <v>2.4708612750885472</v>
      </c>
      <c r="AI238" s="41">
        <f t="shared" ref="AI238:AN238" si="1571">AI171</f>
        <v>2.3928260220829602</v>
      </c>
      <c r="AJ238" s="41">
        <f t="shared" si="1571"/>
        <v>2.3338930285069153</v>
      </c>
      <c r="AK238" s="41">
        <f t="shared" si="1571"/>
        <v>1.8835253900709219</v>
      </c>
      <c r="AL238" s="41">
        <f t="shared" si="1571"/>
        <v>1.2347176714219974</v>
      </c>
      <c r="AM238" s="41">
        <f t="shared" si="1571"/>
        <v>1.0001358170707673</v>
      </c>
      <c r="AN238" s="41">
        <f t="shared" si="1571"/>
        <v>1.4897257058437294</v>
      </c>
      <c r="AO238" s="41">
        <f t="shared" ref="AO238:AT238" si="1572">AO171</f>
        <v>2.1113258646616542</v>
      </c>
      <c r="AP238" s="41">
        <f t="shared" si="1572"/>
        <v>2.0762829625205312</v>
      </c>
      <c r="AQ238" s="41">
        <f t="shared" si="1572"/>
        <v>2.3957236042811685</v>
      </c>
      <c r="AR238" s="41">
        <f t="shared" si="1572"/>
        <v>2.8161407010103532</v>
      </c>
      <c r="AS238" s="41">
        <f t="shared" si="1572"/>
        <v>3.2608792184724691</v>
      </c>
      <c r="AT238" s="41">
        <f t="shared" si="1572"/>
        <v>2.7969088403228981</v>
      </c>
      <c r="AU238" s="41">
        <f t="shared" ref="AU238" si="1573">AU171</f>
        <v>2.256405948080316</v>
      </c>
      <c r="AV238" s="41">
        <f t="shared" ref="AV238:AX238" si="1574">AV171</f>
        <v>2.5840012697404968</v>
      </c>
      <c r="AW238" s="41">
        <f t="shared" si="1574"/>
        <v>2.4599474720945502</v>
      </c>
      <c r="AX238" s="41">
        <f t="shared" si="1574"/>
        <v>2.3318225445238348</v>
      </c>
      <c r="AY238" s="41">
        <f t="shared" ref="AY238:BB238" si="1575">AY171</f>
        <v>2.6682273247995218</v>
      </c>
      <c r="AZ238" s="41">
        <f t="shared" si="1575"/>
        <v>2.7578714369607447</v>
      </c>
      <c r="BA238" s="41">
        <f t="shared" si="1575"/>
        <v>3.4112460120524637</v>
      </c>
      <c r="BB238" s="41">
        <f t="shared" si="1575"/>
        <v>4.860317301436365</v>
      </c>
      <c r="BC238" s="41">
        <f t="shared" ref="BC238" si="1576">BC171</f>
        <v>3.7994504296244602</v>
      </c>
      <c r="BD238" s="41">
        <f>BD171</f>
        <v>5.0240407647750533</v>
      </c>
      <c r="BE238" s="41">
        <f t="shared" ref="BE238:BG238" si="1577">BE171</f>
        <v>5.890003248335228</v>
      </c>
      <c r="BF238" s="41">
        <f t="shared" si="1577"/>
        <v>5.107707476285996</v>
      </c>
      <c r="BG238" s="41">
        <f t="shared" si="1577"/>
        <v>4.4995600456248983</v>
      </c>
      <c r="BH238" s="41">
        <f>BH171</f>
        <v>5.1135774953316062</v>
      </c>
      <c r="BJ238" s="41">
        <f t="shared" ref="BJ238:BL238" si="1578">BJ171</f>
        <v>2.3326169496382261</v>
      </c>
      <c r="BK238" s="41">
        <f t="shared" si="1578"/>
        <v>1.8661585973301456</v>
      </c>
      <c r="BL238" s="41">
        <f t="shared" si="1578"/>
        <v>1.8075142597338183</v>
      </c>
      <c r="BM238" s="41">
        <f t="shared" ref="BM238" si="1579">BM171</f>
        <v>2.5287386385928201</v>
      </c>
      <c r="BN238" s="41">
        <f>BN171</f>
        <v>1.8204615935114503</v>
      </c>
      <c r="BO238" s="41">
        <f>BO171</f>
        <v>2.4228929313275005</v>
      </c>
      <c r="BP238" s="41">
        <f t="shared" ref="BP238:BQ238" si="1580">BP171</f>
        <v>3.136959751921959</v>
      </c>
      <c r="BQ238" s="41">
        <f t="shared" si="1580"/>
        <v>3.8046586024192743</v>
      </c>
      <c r="BR238" s="41">
        <f>BR171</f>
        <v>3.8996991311990805</v>
      </c>
      <c r="BT238" s="1"/>
      <c r="BU238" s="1"/>
      <c r="BW238" s="39"/>
      <c r="BX238" s="39"/>
    </row>
    <row r="239" spans="2:76" ht="12.75">
      <c r="C239" s="62"/>
      <c r="D239" s="62"/>
      <c r="E239" s="62"/>
      <c r="F239" s="62"/>
      <c r="G239" s="62"/>
      <c r="H239" s="62"/>
      <c r="I239" s="62"/>
      <c r="J239" s="62"/>
      <c r="K239" s="62"/>
      <c r="L239" s="62"/>
      <c r="M239" s="62"/>
      <c r="N239" s="62"/>
      <c r="O239" s="62"/>
      <c r="P239" s="62"/>
      <c r="Q239" s="62"/>
      <c r="R239" s="62"/>
      <c r="S239" s="62"/>
      <c r="T239" s="62"/>
      <c r="U239" s="62"/>
      <c r="V239" s="62"/>
      <c r="W239" s="62"/>
      <c r="X239" s="62"/>
      <c r="Y239" s="62"/>
      <c r="Z239" s="62"/>
      <c r="AA239" s="62"/>
      <c r="AB239" s="62"/>
      <c r="AC239" s="62"/>
      <c r="AD239" s="62"/>
      <c r="AE239" s="62"/>
      <c r="AF239" s="62"/>
      <c r="AG239" s="62"/>
      <c r="AH239" s="62"/>
      <c r="AI239" s="62"/>
      <c r="AJ239" s="62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J239" s="62"/>
      <c r="BK239" s="62"/>
      <c r="BL239" s="62"/>
      <c r="BM239" s="62"/>
      <c r="BN239" s="62"/>
      <c r="BO239" s="62"/>
      <c r="BP239" s="62"/>
      <c r="BQ239" s="62"/>
      <c r="BR239" s="62"/>
      <c r="BW239" s="39"/>
      <c r="BX239" s="39"/>
    </row>
    <row r="240" spans="2:76" ht="12.75">
      <c r="B240" s="1" t="str">
        <f t="shared" ref="B240:G241" si="1581">B174</f>
        <v>Lease adjusted net leverage</v>
      </c>
      <c r="C240" s="42">
        <f t="shared" si="1581"/>
        <v>2.40880911600944</v>
      </c>
      <c r="D240" s="42">
        <f t="shared" si="1581"/>
        <v>2.2258316354581034</v>
      </c>
      <c r="E240" s="42">
        <f t="shared" si="1581"/>
        <v>1.8957140552618548</v>
      </c>
      <c r="F240" s="42">
        <f t="shared" si="1581"/>
        <v>2.5409609264475619</v>
      </c>
      <c r="G240" s="42">
        <f t="shared" si="1581"/>
        <v>2.4457470940471997</v>
      </c>
      <c r="H240" s="42">
        <f t="shared" ref="H240:J241" si="1582">H174</f>
        <v>2.3928260220829602</v>
      </c>
      <c r="I240" s="42">
        <f t="shared" si="1582"/>
        <v>1.0001358170707673</v>
      </c>
      <c r="J240" s="42">
        <f t="shared" si="1582"/>
        <v>2.3957236042811685</v>
      </c>
      <c r="K240" s="42">
        <f t="shared" ref="K240" si="1583">K174</f>
        <v>2.2540056288330672</v>
      </c>
      <c r="L240" s="42">
        <f t="shared" ref="L240:M240" si="1584">L174</f>
        <v>2.7106166401760605</v>
      </c>
      <c r="M240" s="42">
        <f t="shared" si="1584"/>
        <v>2.8355486875529219</v>
      </c>
      <c r="N240" s="42">
        <f t="shared" ref="N240" si="1585">N174</f>
        <v>2.5073820375335125</v>
      </c>
      <c r="O240" s="42">
        <f t="shared" ref="O240:P240" si="1586">O174</f>
        <v>4.1934280106424744</v>
      </c>
      <c r="P240" s="42">
        <f t="shared" si="1586"/>
        <v>3.8046508047585728</v>
      </c>
      <c r="Q240" s="42">
        <f t="shared" ref="Q240" si="1587">Q174</f>
        <v>4.8604272771712562</v>
      </c>
      <c r="R240" s="42">
        <f t="shared" ref="R240:R241" si="1588">R174</f>
        <v>5.4923436841154141</v>
      </c>
      <c r="S240" s="42"/>
      <c r="T240" s="42"/>
      <c r="U240" s="42"/>
      <c r="V240" s="42"/>
      <c r="W240" s="42">
        <f t="shared" ref="W240:AE240" si="1589">W174</f>
        <v>1.8957140552618548</v>
      </c>
      <c r="X240" s="42">
        <f t="shared" si="1589"/>
        <v>2.2161353579100975</v>
      </c>
      <c r="Y240" s="42">
        <f t="shared" si="1589"/>
        <v>2.6169203173832325</v>
      </c>
      <c r="Z240" s="42">
        <f t="shared" si="1589"/>
        <v>2.6537824755127946</v>
      </c>
      <c r="AA240" s="42">
        <f t="shared" si="1589"/>
        <v>2.5409609264475619</v>
      </c>
      <c r="AB240" s="42">
        <f t="shared" si="1589"/>
        <v>2.9121999166816157</v>
      </c>
      <c r="AC240" s="42">
        <f t="shared" si="1589"/>
        <v>3.1991115385583053</v>
      </c>
      <c r="AD240" s="42">
        <f t="shared" si="1589"/>
        <v>3.2162459537827099</v>
      </c>
      <c r="AE240" s="42">
        <f t="shared" si="1589"/>
        <v>2.5339781613244101</v>
      </c>
      <c r="AF240" s="42">
        <f t="shared" ref="AF240:AI241" si="1590">AF174</f>
        <v>2.4738435663175022</v>
      </c>
      <c r="AG240" s="42">
        <f t="shared" si="1590"/>
        <v>2.5223452593735405</v>
      </c>
      <c r="AH240" s="42">
        <f t="shared" si="1590"/>
        <v>2.4575668034292937</v>
      </c>
      <c r="AI240" s="42">
        <f t="shared" si="1590"/>
        <v>2.3928260220829602</v>
      </c>
      <c r="AJ240" s="42">
        <f t="shared" ref="AJ240:AM241" si="1591">AJ174</f>
        <v>2.3338930285069153</v>
      </c>
      <c r="AK240" s="42">
        <f t="shared" si="1591"/>
        <v>1.8835253900709219</v>
      </c>
      <c r="AL240" s="42">
        <f t="shared" si="1591"/>
        <v>1.2347176714219974</v>
      </c>
      <c r="AM240" s="42">
        <f t="shared" si="1591"/>
        <v>1.0001358170707673</v>
      </c>
      <c r="AN240" s="42">
        <f t="shared" ref="AN240:AQ241" si="1592">AN174</f>
        <v>1.4897257058437294</v>
      </c>
      <c r="AO240" s="42">
        <f t="shared" si="1592"/>
        <v>2.1113258646616542</v>
      </c>
      <c r="AP240" s="42">
        <f t="shared" si="1592"/>
        <v>2.0762829625205312</v>
      </c>
      <c r="AQ240" s="42">
        <f t="shared" si="1592"/>
        <v>2.3957236042811685</v>
      </c>
      <c r="AR240" s="42">
        <f t="shared" ref="AR240:AU241" si="1593">AR174</f>
        <v>2.8137925657976801</v>
      </c>
      <c r="AS240" s="42">
        <f t="shared" si="1593"/>
        <v>3.2512850799289521</v>
      </c>
      <c r="AT240" s="42">
        <f t="shared" si="1593"/>
        <v>2.7679882850954911</v>
      </c>
      <c r="AU240" s="42">
        <f t="shared" si="1593"/>
        <v>2.2540056288330672</v>
      </c>
      <c r="AV240" s="42">
        <f t="shared" ref="AV240:AX240" si="1594">AV174</f>
        <v>2.4643055313070392</v>
      </c>
      <c r="AW240" s="42">
        <f t="shared" si="1594"/>
        <v>2.3450351936966514</v>
      </c>
      <c r="AX240" s="42">
        <f t="shared" si="1594"/>
        <v>2.5465833422203263</v>
      </c>
      <c r="AY240" s="42">
        <f t="shared" ref="AY240:BB240" si="1595">AY174</f>
        <v>2.8355486875529219</v>
      </c>
      <c r="AZ240" s="42">
        <f t="shared" si="1595"/>
        <v>2.9308394994805078</v>
      </c>
      <c r="BA240" s="42">
        <f t="shared" si="1595"/>
        <v>3.7889278181495918</v>
      </c>
      <c r="BB240" s="42">
        <f t="shared" si="1595"/>
        <v>5.2616569741254198</v>
      </c>
      <c r="BC240" s="42">
        <f t="shared" ref="BC240:BF240" si="1596">BC174</f>
        <v>4.1934280106424744</v>
      </c>
      <c r="BD240" s="42">
        <f t="shared" si="1596"/>
        <v>5.4433380950307049</v>
      </c>
      <c r="BE240" s="42">
        <f t="shared" si="1596"/>
        <v>6.3536597368848469</v>
      </c>
      <c r="BF240" s="42">
        <f t="shared" si="1596"/>
        <v>5.4852403019073197</v>
      </c>
      <c r="BG240" s="42">
        <f t="shared" ref="BG240:BH240" si="1597">BG174</f>
        <v>4.8604272771712562</v>
      </c>
      <c r="BH240" s="42">
        <f t="shared" si="1597"/>
        <v>5.4923436841154141</v>
      </c>
      <c r="BJ240" s="42">
        <f t="shared" ref="BJ240:BL240" si="1598">BJ174</f>
        <v>0.78468300021491511</v>
      </c>
      <c r="BK240" s="42">
        <f t="shared" si="1598"/>
        <v>0.75740381550109592</v>
      </c>
      <c r="BL240" s="42">
        <f t="shared" si="1598"/>
        <v>1.1655174010085145</v>
      </c>
      <c r="BM240" s="42">
        <f t="shared" ref="BM240:BN240" si="1599">BM174</f>
        <v>-2.1232777741450337</v>
      </c>
      <c r="BN240" s="42">
        <f t="shared" si="1599"/>
        <v>1.9346372256679392</v>
      </c>
      <c r="BO240" s="42">
        <f t="shared" ref="BO240:BR240" si="1600">BO174</f>
        <v>2.6911475734877568</v>
      </c>
      <c r="BP240" s="42">
        <f t="shared" si="1600"/>
        <v>3.3959935396343433</v>
      </c>
      <c r="BQ240" s="42">
        <f t="shared" si="1600"/>
        <v>-1.827767469759072</v>
      </c>
      <c r="BR240" s="42">
        <f t="shared" si="1600"/>
        <v>4.2251609479057501</v>
      </c>
      <c r="BW240" s="39"/>
      <c r="BX240" s="39"/>
    </row>
    <row r="241" spans="2:76" ht="12.75">
      <c r="B241" s="1" t="str">
        <f t="shared" si="1581"/>
        <v>Lease adjusted gross leverage</v>
      </c>
      <c r="C241" s="42">
        <f t="shared" si="1581"/>
        <v>3.569163439726875</v>
      </c>
      <c r="D241" s="42">
        <f t="shared" si="1581"/>
        <v>3.6269202160344101</v>
      </c>
      <c r="E241" s="42">
        <f t="shared" si="1581"/>
        <v>3.2587402672721901</v>
      </c>
      <c r="F241" s="42">
        <f t="shared" si="1581"/>
        <v>3.8413296379918442</v>
      </c>
      <c r="G241" s="42">
        <f t="shared" si="1581"/>
        <v>4.3272278971468827</v>
      </c>
      <c r="H241" s="42">
        <f t="shared" si="1582"/>
        <v>4.4629722470904207</v>
      </c>
      <c r="I241" s="42">
        <f t="shared" si="1582"/>
        <v>3.3660427754780211</v>
      </c>
      <c r="J241" s="42">
        <f t="shared" si="1582"/>
        <v>4.7119788834249352</v>
      </c>
      <c r="K241" s="42">
        <f t="shared" ref="K241" si="1601">K175</f>
        <v>4.3147650172225491</v>
      </c>
      <c r="L241" s="42">
        <f t="shared" ref="L241:M241" si="1602">L175</f>
        <v>5.181426641398704</v>
      </c>
      <c r="M241" s="42">
        <f t="shared" si="1602"/>
        <v>5.265781192409225</v>
      </c>
      <c r="N241" s="42">
        <f t="shared" ref="N241" si="1603">N175</f>
        <v>4.8105592427908199</v>
      </c>
      <c r="O241" s="42">
        <f t="shared" ref="O241:P241" si="1604">O175</f>
        <v>6.4098464256117245</v>
      </c>
      <c r="P241" s="42">
        <f t="shared" si="1604"/>
        <v>6.0211193975140791</v>
      </c>
      <c r="Q241" s="42">
        <f t="shared" ref="Q241" si="1605">Q175</f>
        <v>8.0486024116017596</v>
      </c>
      <c r="R241" s="42">
        <f t="shared" si="1588"/>
        <v>7.8856233660622852</v>
      </c>
      <c r="S241" s="42"/>
      <c r="T241" s="42"/>
      <c r="U241" s="42"/>
      <c r="V241" s="42"/>
      <c r="W241" s="42">
        <f t="shared" ref="W241:AE241" si="1606">W175</f>
        <v>3.2587402672721906</v>
      </c>
      <c r="X241" s="42">
        <f t="shared" si="1606"/>
        <v>3.769842461745823</v>
      </c>
      <c r="Y241" s="42">
        <f t="shared" si="1606"/>
        <v>3.6811358539138963</v>
      </c>
      <c r="Z241" s="42">
        <f t="shared" si="1606"/>
        <v>3.6555891757637418</v>
      </c>
      <c r="AA241" s="42">
        <f t="shared" si="1606"/>
        <v>3.8413296379918442</v>
      </c>
      <c r="AB241" s="42">
        <f t="shared" si="1606"/>
        <v>4.2027868665319543</v>
      </c>
      <c r="AC241" s="42">
        <f t="shared" si="1606"/>
        <v>4.6023328046680785</v>
      </c>
      <c r="AD241" s="42">
        <f t="shared" si="1606"/>
        <v>5.016054521220517</v>
      </c>
      <c r="AE241" s="42">
        <f t="shared" si="1606"/>
        <v>4.4154589644240927</v>
      </c>
      <c r="AF241" s="42">
        <f t="shared" si="1590"/>
        <v>4.6425282235659777</v>
      </c>
      <c r="AG241" s="42">
        <f t="shared" si="1590"/>
        <v>4.2830377719035102</v>
      </c>
      <c r="AH241" s="42">
        <f t="shared" si="1590"/>
        <v>4.066818878482847</v>
      </c>
      <c r="AI241" s="42">
        <f t="shared" si="1590"/>
        <v>4.4629722470904207</v>
      </c>
      <c r="AJ241" s="42">
        <f t="shared" si="1591"/>
        <v>4.5429339542760374</v>
      </c>
      <c r="AK241" s="42">
        <f t="shared" si="1591"/>
        <v>4.5085347517730492</v>
      </c>
      <c r="AL241" s="42">
        <f t="shared" si="1591"/>
        <v>3.8900676484123333</v>
      </c>
      <c r="AM241" s="42">
        <f t="shared" si="1591"/>
        <v>3.3660427754780211</v>
      </c>
      <c r="AN241" s="42">
        <f t="shared" si="1592"/>
        <v>3.1661932042022327</v>
      </c>
      <c r="AO241" s="42">
        <f t="shared" si="1592"/>
        <v>3.7268884210526316</v>
      </c>
      <c r="AP241" s="42">
        <f t="shared" si="1592"/>
        <v>3.3217025533821114</v>
      </c>
      <c r="AQ241" s="42">
        <f t="shared" si="1592"/>
        <v>4.7119788834249352</v>
      </c>
      <c r="AR241" s="42">
        <f t="shared" si="1593"/>
        <v>4.8961745041786209</v>
      </c>
      <c r="AS241" s="42">
        <f t="shared" si="1593"/>
        <v>4.9116077930728244</v>
      </c>
      <c r="AT241" s="42">
        <f t="shared" si="1593"/>
        <v>4.7787577278991931</v>
      </c>
      <c r="AU241" s="42">
        <f t="shared" si="1593"/>
        <v>4.3147650172225491</v>
      </c>
      <c r="AV241" s="42">
        <f t="shared" ref="AV241:AX241" si="1607">AV175</f>
        <v>4.7932845012300609</v>
      </c>
      <c r="AW241" s="42">
        <f t="shared" si="1607"/>
        <v>4.2272308601444522</v>
      </c>
      <c r="AX241" s="42">
        <f t="shared" si="1607"/>
        <v>4.6593667484270016</v>
      </c>
      <c r="AY241" s="42">
        <f t="shared" ref="AY241:BB241" si="1608">AY175</f>
        <v>5.265781192409225</v>
      </c>
      <c r="AZ241" s="42">
        <f t="shared" si="1608"/>
        <v>5.0359479152550035</v>
      </c>
      <c r="BA241" s="42">
        <f t="shared" si="1608"/>
        <v>5.794290455512229</v>
      </c>
      <c r="BB241" s="42">
        <f t="shared" si="1608"/>
        <v>6.9787678794855115</v>
      </c>
      <c r="BC241" s="42">
        <f t="shared" ref="BC241:BF241" si="1609">BC175</f>
        <v>6.4098464256117245</v>
      </c>
      <c r="BD241" s="42">
        <f t="shared" si="1609"/>
        <v>7.3538241801315278</v>
      </c>
      <c r="BE241" s="42">
        <f t="shared" si="1609"/>
        <v>8.7929623193113535</v>
      </c>
      <c r="BF241" s="42">
        <f t="shared" si="1609"/>
        <v>7.9141110393363476</v>
      </c>
      <c r="BG241" s="42">
        <f t="shared" ref="BG241:BH241" si="1610">BG175</f>
        <v>8.0486024116017596</v>
      </c>
      <c r="BH241" s="42">
        <f t="shared" si="1610"/>
        <v>7.8856233660622852</v>
      </c>
      <c r="BJ241" s="42">
        <f t="shared" ref="BJ241:BL241" si="1611">BJ175</f>
        <v>4.3269702700766528</v>
      </c>
      <c r="BK241" s="42">
        <f t="shared" si="1611"/>
        <v>3.2068502689778842</v>
      </c>
      <c r="BL241" s="42">
        <f t="shared" si="1611"/>
        <v>3.6117121600396791</v>
      </c>
      <c r="BM241" s="42">
        <f t="shared" ref="BM241:BN241" si="1612">BM175</f>
        <v>0.17989943111227361</v>
      </c>
      <c r="BN241" s="42">
        <f t="shared" si="1612"/>
        <v>3.3242121600667942</v>
      </c>
      <c r="BO241" s="42">
        <f t="shared" ref="BO241:BR241" si="1613">BO175</f>
        <v>4.1154889847044753</v>
      </c>
      <c r="BP241" s="42">
        <f t="shared" si="1613"/>
        <v>4.5042561211964598</v>
      </c>
      <c r="BQ241" s="42">
        <f t="shared" si="1613"/>
        <v>0.38870112299643439</v>
      </c>
      <c r="BR241" s="42">
        <f t="shared" si="1613"/>
        <v>5.7080949596024482</v>
      </c>
      <c r="BW241" s="39"/>
      <c r="BX241" s="39"/>
    </row>
    <row r="242" spans="2:76" ht="12.75">
      <c r="C242" s="62"/>
      <c r="D242" s="62"/>
      <c r="E242" s="62"/>
      <c r="F242" s="62"/>
      <c r="G242" s="62"/>
      <c r="H242" s="62"/>
      <c r="I242" s="62"/>
      <c r="J242" s="62"/>
      <c r="K242" s="62"/>
      <c r="L242" s="62"/>
      <c r="M242" s="62"/>
      <c r="N242" s="62"/>
      <c r="O242" s="62"/>
      <c r="P242" s="62"/>
      <c r="Q242" s="62"/>
      <c r="R242" s="62"/>
      <c r="S242" s="62"/>
      <c r="T242" s="62"/>
      <c r="U242" s="62"/>
      <c r="V242" s="62"/>
      <c r="W242" s="62"/>
      <c r="X242" s="62"/>
      <c r="Y242" s="62"/>
      <c r="Z242" s="62"/>
      <c r="AA242" s="62"/>
      <c r="AB242" s="62"/>
      <c r="AC242" s="62"/>
      <c r="AD242" s="62"/>
      <c r="AE242" s="62"/>
      <c r="AF242" s="62"/>
      <c r="AG242" s="62"/>
      <c r="AH242" s="62"/>
      <c r="AI242" s="62"/>
      <c r="AJ242" s="62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J242" s="62"/>
      <c r="BK242" s="62"/>
      <c r="BL242" s="62"/>
      <c r="BM242" s="62"/>
      <c r="BN242" s="62"/>
      <c r="BO242" s="62"/>
      <c r="BP242" s="62"/>
      <c r="BQ242" s="62"/>
      <c r="BR242" s="62"/>
      <c r="BW242" s="39"/>
      <c r="BX242" s="39"/>
    </row>
    <row r="243" spans="2:76" ht="12.75">
      <c r="B243" s="1" t="str">
        <f t="shared" ref="B243:G244" si="1614">B177</f>
        <v>EBITDA - Capex / Interest</v>
      </c>
      <c r="C243" s="42">
        <f t="shared" si="1614"/>
        <v>2.9945525826186183</v>
      </c>
      <c r="D243" s="42">
        <f t="shared" si="1614"/>
        <v>2.2979208734353413</v>
      </c>
      <c r="E243" s="42">
        <f t="shared" si="1614"/>
        <v>2.1235290921685901</v>
      </c>
      <c r="F243" s="42">
        <f t="shared" si="1614"/>
        <v>1.8913214442218604</v>
      </c>
      <c r="G243" s="42">
        <f t="shared" si="1614"/>
        <v>1.2001904082732755</v>
      </c>
      <c r="H243" s="42">
        <f t="shared" ref="H243:J244" si="1615">H177</f>
        <v>1.3741379382452206</v>
      </c>
      <c r="I243" s="42">
        <f t="shared" si="1615"/>
        <v>2.3846289043243174</v>
      </c>
      <c r="J243" s="42">
        <f t="shared" si="1615"/>
        <v>2.9451091563299689</v>
      </c>
      <c r="K243" s="42">
        <f t="shared" ref="K243" si="1616">K177</f>
        <v>2.0278637865146267</v>
      </c>
      <c r="L243" s="42">
        <f t="shared" ref="L243:M243" si="1617">L177</f>
        <v>0.82078602985703764</v>
      </c>
      <c r="M243" s="42">
        <f t="shared" si="1617"/>
        <v>0.75661109579100072</v>
      </c>
      <c r="N243" s="42">
        <f t="shared" ref="N243" si="1618">N177</f>
        <v>1.035433134113894</v>
      </c>
      <c r="O243" s="42">
        <f t="shared" ref="O243:P243" si="1619">O177</f>
        <v>-5.7283381562642899E-2</v>
      </c>
      <c r="P243" s="42">
        <f t="shared" si="1619"/>
        <v>-1.2825783042333715E-2</v>
      </c>
      <c r="Q243" s="42">
        <f t="shared" ref="Q243" si="1620">Q177</f>
        <v>0.5138702282263431</v>
      </c>
      <c r="R243" s="42">
        <f t="shared" ref="R243:R244" si="1621">R177</f>
        <v>0.5875687233629403</v>
      </c>
      <c r="S243" s="42"/>
      <c r="T243" s="42"/>
      <c r="U243" s="42"/>
      <c r="V243" s="42"/>
      <c r="W243" s="42">
        <f t="shared" ref="W243:AE243" si="1622">W177</f>
        <v>2.1235290921685901</v>
      </c>
      <c r="X243" s="42">
        <f t="shared" si="1622"/>
        <v>2.4132272028913579</v>
      </c>
      <c r="Y243" s="42">
        <f t="shared" si="1622"/>
        <v>2.3248143623174631</v>
      </c>
      <c r="Z243" s="42">
        <f t="shared" si="1622"/>
        <v>2.0174978471018998</v>
      </c>
      <c r="AA243" s="42">
        <f t="shared" si="1622"/>
        <v>1.8913214442218604</v>
      </c>
      <c r="AB243" s="42">
        <f t="shared" si="1622"/>
        <v>1.5457994514871423</v>
      </c>
      <c r="AC243" s="42">
        <f t="shared" si="1622"/>
        <v>1.1356910917314424</v>
      </c>
      <c r="AD243" s="42">
        <f t="shared" si="1622"/>
        <v>0.97216080757317402</v>
      </c>
      <c r="AE243" s="42">
        <f t="shared" si="1622"/>
        <v>1.2001904082732755</v>
      </c>
      <c r="AF243" s="42">
        <f t="shared" ref="AF243:AI244" si="1623">AF177</f>
        <v>1.1158060535340262</v>
      </c>
      <c r="AG243" s="42">
        <f t="shared" si="1623"/>
        <v>4.1614672100778058</v>
      </c>
      <c r="AH243" s="42">
        <f t="shared" si="1623"/>
        <v>1.5100550011685343</v>
      </c>
      <c r="AI243" s="42">
        <f t="shared" si="1623"/>
        <v>1.3741379382452206</v>
      </c>
      <c r="AJ243" s="42">
        <f t="shared" ref="AJ243:AM244" si="1624">AJ177</f>
        <v>1.4099794261913809</v>
      </c>
      <c r="AK243" s="42">
        <f t="shared" si="1624"/>
        <v>1.3699061259296539</v>
      </c>
      <c r="AL243" s="42">
        <f t="shared" si="1624"/>
        <v>12.917342307718018</v>
      </c>
      <c r="AM243" s="42">
        <f t="shared" si="1624"/>
        <v>2.3846289043243178</v>
      </c>
      <c r="AN243" s="42">
        <f t="shared" ref="AN243:AQ244" si="1625">AN177</f>
        <v>3.4458720979097848</v>
      </c>
      <c r="AO243" s="42">
        <f t="shared" si="1625"/>
        <v>2.8452766928409701</v>
      </c>
      <c r="AP243" s="42">
        <f t="shared" si="1625"/>
        <v>1.3621112030817233</v>
      </c>
      <c r="AQ243" s="42">
        <f t="shared" si="1625"/>
        <v>2.9451091563299689</v>
      </c>
      <c r="AR243" s="42">
        <f t="shared" ref="AR243:AU244" si="1626">AR177</f>
        <v>3.2375365483784737</v>
      </c>
      <c r="AS243" s="42">
        <f t="shared" si="1626"/>
        <v>2.429674828318888</v>
      </c>
      <c r="AT243" s="42">
        <f t="shared" si="1626"/>
        <v>2.1437525870264773</v>
      </c>
      <c r="AU243" s="42">
        <f t="shared" si="1626"/>
        <v>2.0278637865146267</v>
      </c>
      <c r="AV243" s="42">
        <f t="shared" ref="AV243:AX243" si="1627">AV177</f>
        <v>1.4966971157708888</v>
      </c>
      <c r="AW243" s="42">
        <f t="shared" si="1627"/>
        <v>1.7614831554810297</v>
      </c>
      <c r="AX243" s="42">
        <f t="shared" si="1627"/>
        <v>1.8408710007919002</v>
      </c>
      <c r="AY243" s="42">
        <f t="shared" ref="AY243:BB243" si="1628">AY177</f>
        <v>0.75661109579100072</v>
      </c>
      <c r="AZ243" s="42">
        <f t="shared" si="1628"/>
        <v>0.71226898017394413</v>
      </c>
      <c r="BA243" s="42">
        <f t="shared" si="1628"/>
        <v>0.42392990210920722</v>
      </c>
      <c r="BB243" s="42">
        <f t="shared" si="1628"/>
        <v>-0.11650332010330008</v>
      </c>
      <c r="BC243" s="42">
        <f t="shared" ref="BC243:BF243" si="1629">BC177</f>
        <v>-5.7283381562642899E-2</v>
      </c>
      <c r="BD243" s="42">
        <f t="shared" si="1629"/>
        <v>-6.7425157660653018E-2</v>
      </c>
      <c r="BE243" s="42">
        <f t="shared" si="1629"/>
        <v>9.3448418094833327E-2</v>
      </c>
      <c r="BF243" s="42">
        <f t="shared" si="1629"/>
        <v>0.39252662142635558</v>
      </c>
      <c r="BG243" s="42">
        <f t="shared" ref="BG243:BH243" si="1630">BG177</f>
        <v>0.5138702282263431</v>
      </c>
      <c r="BH243" s="42">
        <f t="shared" si="1630"/>
        <v>0.5875687233629403</v>
      </c>
      <c r="BJ243" s="42">
        <f t="shared" ref="BJ243:BL243" si="1631">BJ177</f>
        <v>1.2066664854639781</v>
      </c>
      <c r="BK243" s="42">
        <f t="shared" si="1631"/>
        <v>1.7287694075466977</v>
      </c>
      <c r="BL243" s="42">
        <f t="shared" si="1631"/>
        <v>1.1664306818565175</v>
      </c>
      <c r="BM243" s="42">
        <f t="shared" ref="BM243:BN243" si="1632">BM177</f>
        <v>1.035433134113894</v>
      </c>
      <c r="BN243" s="42">
        <f t="shared" si="1632"/>
        <v>1.0422105933902033</v>
      </c>
      <c r="BO243" s="42">
        <f t="shared" ref="BO243:BR243" si="1633">BO177</f>
        <v>0.56146821322910112</v>
      </c>
      <c r="BP243" s="42">
        <f t="shared" si="1633"/>
        <v>0.25927259891230847</v>
      </c>
      <c r="BQ243" s="42">
        <f t="shared" si="1633"/>
        <v>-1.2825783042333715E-2</v>
      </c>
      <c r="BR243" s="42">
        <f t="shared" si="1633"/>
        <v>-3.8226946755344673E-2</v>
      </c>
      <c r="BW243" s="39"/>
      <c r="BX243" s="39"/>
    </row>
    <row r="244" spans="2:76" ht="12.75">
      <c r="B244" s="1" t="str">
        <f t="shared" si="1614"/>
        <v>EBITDA/Interest</v>
      </c>
      <c r="C244" s="42">
        <f t="shared" si="1614"/>
        <v>4.4762991567293255</v>
      </c>
      <c r="D244" s="42">
        <f t="shared" si="1614"/>
        <v>3.9581427056899274</v>
      </c>
      <c r="E244" s="42">
        <f t="shared" si="1614"/>
        <v>4.0046724952120512</v>
      </c>
      <c r="F244" s="42">
        <f t="shared" si="1614"/>
        <v>3.8226180042569173</v>
      </c>
      <c r="G244" s="42">
        <f t="shared" si="1614"/>
        <v>3.3579567487487201</v>
      </c>
      <c r="H244" s="42">
        <f t="shared" si="1615"/>
        <v>2.3357743604327768</v>
      </c>
      <c r="I244" s="42">
        <f t="shared" si="1615"/>
        <v>3.6244361154732632</v>
      </c>
      <c r="J244" s="42">
        <f t="shared" si="1615"/>
        <v>4.6292514592787901</v>
      </c>
      <c r="K244" s="42">
        <f t="shared" ref="K244" si="1634">K178</f>
        <v>4.0261559765905899</v>
      </c>
      <c r="L244" s="42">
        <f t="shared" ref="L244:M244" si="1635">L178</f>
        <v>2.3613664398120782</v>
      </c>
      <c r="M244" s="42">
        <f t="shared" si="1635"/>
        <v>2.4166187102403511</v>
      </c>
      <c r="N244" s="42">
        <f t="shared" ref="N244" si="1636">N178</f>
        <v>2.6276038608406012</v>
      </c>
      <c r="O244" s="42">
        <f t="shared" ref="O244:P244" si="1637">O178</f>
        <v>1.5112458190590463</v>
      </c>
      <c r="P244" s="42">
        <f t="shared" si="1637"/>
        <v>1.5112114120256048</v>
      </c>
      <c r="Q244" s="42">
        <f t="shared" ref="Q244" si="1638">Q178</f>
        <v>1.2340200238197836</v>
      </c>
      <c r="R244" s="42">
        <f t="shared" si="1621"/>
        <v>1.2355673402062963</v>
      </c>
      <c r="S244" s="42"/>
      <c r="T244" s="42"/>
      <c r="U244" s="42"/>
      <c r="V244" s="42"/>
      <c r="W244" s="42">
        <f t="shared" ref="W244:AE244" si="1639">W178</f>
        <v>4.0046724952120512</v>
      </c>
      <c r="X244" s="42">
        <f t="shared" si="1639"/>
        <v>4.3527095795230304</v>
      </c>
      <c r="Y244" s="42">
        <f t="shared" si="1639"/>
        <v>4.3769459210712389</v>
      </c>
      <c r="Z244" s="42">
        <f t="shared" si="1639"/>
        <v>4.0270036408243177</v>
      </c>
      <c r="AA244" s="42">
        <f t="shared" si="1639"/>
        <v>3.8226180042569173</v>
      </c>
      <c r="AB244" s="42">
        <f t="shared" si="1639"/>
        <v>3.4166279323054867</v>
      </c>
      <c r="AC244" s="42">
        <f t="shared" si="1639"/>
        <v>3.1514742824510722</v>
      </c>
      <c r="AD244" s="42">
        <f t="shared" si="1639"/>
        <v>3.1491437755460012</v>
      </c>
      <c r="AE244" s="42">
        <f t="shared" si="1639"/>
        <v>3.3579567487487201</v>
      </c>
      <c r="AF244" s="42">
        <f t="shared" si="1623"/>
        <v>3.0987529434480208</v>
      </c>
      <c r="AG244" s="42">
        <f t="shared" si="1623"/>
        <v>7.7950017330193972</v>
      </c>
      <c r="AH244" s="42">
        <f t="shared" si="1623"/>
        <v>2.7116408468515187</v>
      </c>
      <c r="AI244" s="42">
        <f t="shared" si="1623"/>
        <v>2.3357743604327763</v>
      </c>
      <c r="AJ244" s="42">
        <f t="shared" si="1624"/>
        <v>2.2857636857116868</v>
      </c>
      <c r="AK244" s="42">
        <f t="shared" si="1624"/>
        <v>1.5399576413353464</v>
      </c>
      <c r="AL244" s="42">
        <f t="shared" si="1624"/>
        <v>14.524333103849317</v>
      </c>
      <c r="AM244" s="42">
        <f t="shared" si="1624"/>
        <v>3.6244361154732636</v>
      </c>
      <c r="AN244" s="42">
        <f t="shared" si="1625"/>
        <v>4.9232897790823227</v>
      </c>
      <c r="AO244" s="42">
        <f t="shared" si="1625"/>
        <v>5.5297822429960952</v>
      </c>
      <c r="AP244" s="42">
        <f t="shared" si="1625"/>
        <v>2.6650695616185418</v>
      </c>
      <c r="AQ244" s="42">
        <f t="shared" si="1625"/>
        <v>4.6292514592787901</v>
      </c>
      <c r="AR244" s="42">
        <f t="shared" si="1626"/>
        <v>5.1146995456932078</v>
      </c>
      <c r="AS244" s="42">
        <f t="shared" si="1626"/>
        <v>4.0439392313732112</v>
      </c>
      <c r="AT244" s="42">
        <f t="shared" si="1626"/>
        <v>4.0390416838803747</v>
      </c>
      <c r="AU244" s="42">
        <f t="shared" si="1626"/>
        <v>4.0261559765905899</v>
      </c>
      <c r="AV244" s="42">
        <f t="shared" ref="AV244:AX244" si="1640">AV178</f>
        <v>3.1937723340390334</v>
      </c>
      <c r="AW244" s="42">
        <f t="shared" si="1640"/>
        <v>3.6290876978692745</v>
      </c>
      <c r="AX244" s="42">
        <f t="shared" si="1640"/>
        <v>3.3562253649675857</v>
      </c>
      <c r="AY244" s="42">
        <f t="shared" ref="AY244:BB244" si="1641">AY178</f>
        <v>2.4166187102403511</v>
      </c>
      <c r="AZ244" s="42">
        <f t="shared" si="1641"/>
        <v>2.2492845817978755</v>
      </c>
      <c r="BA244" s="42">
        <f t="shared" si="1641"/>
        <v>2.1240872415562877</v>
      </c>
      <c r="BB244" s="42">
        <f t="shared" si="1641"/>
        <v>1.4490980468833008</v>
      </c>
      <c r="BC244" s="42">
        <f t="shared" ref="BC244:BF244" si="1642">BC178</f>
        <v>1.5112458190590463</v>
      </c>
      <c r="BD244" s="42">
        <f t="shared" si="1642"/>
        <v>1.3122409315727592</v>
      </c>
      <c r="BE244" s="42">
        <f t="shared" si="1642"/>
        <v>1.2261236832600113</v>
      </c>
      <c r="BF244" s="42">
        <f t="shared" si="1642"/>
        <v>1.2552306433495544</v>
      </c>
      <c r="BG244" s="42">
        <f t="shared" ref="BG244:BH244" si="1643">BG178</f>
        <v>1.2340200238197838</v>
      </c>
      <c r="BH244" s="42">
        <f t="shared" si="1643"/>
        <v>1.2355673402062963</v>
      </c>
      <c r="BJ244" s="42">
        <f t="shared" ref="BJ244:BL244" si="1644">BJ178</f>
        <v>2.6908599243459501</v>
      </c>
      <c r="BK244" s="42">
        <f t="shared" si="1644"/>
        <v>3.2628569664011549</v>
      </c>
      <c r="BL244" s="42">
        <f t="shared" si="1644"/>
        <v>2.3726623480040763</v>
      </c>
      <c r="BM244" s="42">
        <f t="shared" ref="BM244:BN244" si="1645">BM178</f>
        <v>2.6276038608406012</v>
      </c>
      <c r="BN244" s="42">
        <f t="shared" si="1645"/>
        <v>2.5799072338103244</v>
      </c>
      <c r="BO244" s="42">
        <f t="shared" ref="BO244:BR244" si="1646">BO178</f>
        <v>2.3174222247895182</v>
      </c>
      <c r="BP244" s="42">
        <f t="shared" si="1646"/>
        <v>1.9496699485502016</v>
      </c>
      <c r="BQ244" s="42">
        <f t="shared" si="1646"/>
        <v>1.5112114120256048</v>
      </c>
      <c r="BR244" s="42">
        <f t="shared" si="1646"/>
        <v>1.30314681254369</v>
      </c>
      <c r="BW244" s="39"/>
      <c r="BX244" s="39"/>
    </row>
    <row r="245" spans="2:76" ht="13.5" customHeight="1">
      <c r="C245" s="53"/>
      <c r="D245" s="53"/>
      <c r="E245" s="53"/>
      <c r="F245" s="53"/>
      <c r="G245" s="53"/>
      <c r="H245" s="53"/>
      <c r="I245" s="53"/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J245" s="53"/>
      <c r="BK245" s="53"/>
      <c r="BL245" s="53"/>
      <c r="BM245" s="53"/>
      <c r="BN245" s="53"/>
      <c r="BO245" s="53"/>
      <c r="BP245" s="53"/>
      <c r="BQ245" s="53"/>
      <c r="BR245" s="53"/>
      <c r="BW245" s="39"/>
      <c r="BX245" s="39"/>
    </row>
    <row r="246" spans="2:76" ht="13.5" customHeight="1">
      <c r="B246" s="1" t="str">
        <f t="shared" ref="B246:G247" si="1647">B180</f>
        <v>FCF/Net debt (%)</v>
      </c>
      <c r="C246" s="123">
        <f t="shared" si="1647"/>
        <v>7.2736018109882838E-2</v>
      </c>
      <c r="D246" s="123">
        <f t="shared" si="1647"/>
        <v>0.14994586248615391</v>
      </c>
      <c r="E246" s="123">
        <f t="shared" si="1647"/>
        <v>-0.10724258883894271</v>
      </c>
      <c r="F246" s="123">
        <f t="shared" si="1647"/>
        <v>-0.32881587002324758</v>
      </c>
      <c r="G246" s="123">
        <f t="shared" si="1647"/>
        <v>-0.25704262868302513</v>
      </c>
      <c r="H246" s="123">
        <f t="shared" ref="H246:J247" si="1648">H180</f>
        <v>-0.10800812136147543</v>
      </c>
      <c r="I246" s="123">
        <f t="shared" si="1648"/>
        <v>0.31085153228745382</v>
      </c>
      <c r="J246" s="123">
        <f t="shared" si="1648"/>
        <v>-0.77445444596735602</v>
      </c>
      <c r="K246" s="123">
        <f t="shared" ref="K246" si="1649">K180</f>
        <v>-0.35065323231441115</v>
      </c>
      <c r="L246" s="123">
        <f t="shared" ref="L246:M246" si="1650">L180</f>
        <v>7.5237278115623363E-2</v>
      </c>
      <c r="M246" s="123">
        <f t="shared" si="1650"/>
        <v>-0.17589034232295553</v>
      </c>
      <c r="N246" s="123">
        <f t="shared" ref="N246" si="1651">N180</f>
        <v>-0.16055918163937999</v>
      </c>
      <c r="O246" s="123">
        <f t="shared" ref="O246:P246" si="1652">O180</f>
        <v>1.2676237465458139E-2</v>
      </c>
      <c r="P246" s="123">
        <f t="shared" si="1652"/>
        <v>1.3965931543328515E-2</v>
      </c>
      <c r="Q246" s="123">
        <f t="shared" ref="Q246" si="1653">Q180</f>
        <v>-0.13911602128521477</v>
      </c>
      <c r="R246" s="123">
        <f t="shared" ref="R246:R247" si="1654">R180</f>
        <v>-0.14224075938601577</v>
      </c>
      <c r="S246" s="287"/>
      <c r="T246" s="123"/>
      <c r="U246" s="123"/>
      <c r="V246" s="123"/>
      <c r="W246" s="123">
        <f t="shared" ref="W246:AE246" si="1655">W180</f>
        <v>-0.10724258883894271</v>
      </c>
      <c r="X246" s="123">
        <f t="shared" si="1655"/>
        <v>-0.32876326668336536</v>
      </c>
      <c r="Y246" s="123">
        <f t="shared" si="1655"/>
        <v>-0.40449170937530871</v>
      </c>
      <c r="Z246" s="123">
        <f t="shared" si="1655"/>
        <v>-0.47609869753256157</v>
      </c>
      <c r="AA246" s="123">
        <f t="shared" si="1655"/>
        <v>-0.32881587002324758</v>
      </c>
      <c r="AB246" s="123">
        <f t="shared" si="1655"/>
        <v>-0.22916130368214532</v>
      </c>
      <c r="AC246" s="123">
        <f t="shared" si="1655"/>
        <v>-0.25479070320995839</v>
      </c>
      <c r="AD246" s="123">
        <f t="shared" si="1655"/>
        <v>-0.38089126694543429</v>
      </c>
      <c r="AE246" s="123">
        <f t="shared" si="1655"/>
        <v>-0.25704262868302513</v>
      </c>
      <c r="AF246" s="123">
        <f t="shared" ref="AF246:AI247" si="1656">AF180</f>
        <v>-0.21246972620185473</v>
      </c>
      <c r="AG246" s="123">
        <f t="shared" si="1656"/>
        <v>-1.1373092926483932E-4</v>
      </c>
      <c r="AH246" s="123">
        <f t="shared" si="1656"/>
        <v>9.0956243479191397E-3</v>
      </c>
      <c r="AI246" s="123">
        <f t="shared" si="1656"/>
        <v>-0.10800812136147542</v>
      </c>
      <c r="AJ246" s="123">
        <f t="shared" ref="AJ246:AM247" si="1657">AJ180</f>
        <v>-5.1292643847496107E-2</v>
      </c>
      <c r="AK246" s="123">
        <f t="shared" si="1657"/>
        <v>0.22865617770931129</v>
      </c>
      <c r="AL246" s="123">
        <f t="shared" si="1657"/>
        <v>0.7766937261313327</v>
      </c>
      <c r="AM246" s="123">
        <f t="shared" si="1657"/>
        <v>0.31085153228745377</v>
      </c>
      <c r="AN246" s="123">
        <f t="shared" ref="AN246:AQ247" si="1658">AN180</f>
        <v>-0.17576728497856128</v>
      </c>
      <c r="AO246" s="123">
        <f t="shared" si="1658"/>
        <v>-0.67653379905881039</v>
      </c>
      <c r="AP246" s="123">
        <f t="shared" si="1658"/>
        <v>-0.74239573812536297</v>
      </c>
      <c r="AQ246" s="123">
        <f t="shared" si="1658"/>
        <v>-0.77445444596735591</v>
      </c>
      <c r="AR246" s="123">
        <f t="shared" ref="AR246:AU247" si="1659">AR180</f>
        <v>-0.58747620319462901</v>
      </c>
      <c r="AS246" s="123">
        <f t="shared" si="1659"/>
        <v>-0.49912010471607487</v>
      </c>
      <c r="AT246" s="123">
        <f t="shared" si="1659"/>
        <v>-0.4769271505278348</v>
      </c>
      <c r="AU246" s="123">
        <f t="shared" si="1659"/>
        <v>-0.35065323231441109</v>
      </c>
      <c r="AV246" s="123">
        <f t="shared" ref="AV246:AX246" si="1660">AV180</f>
        <v>-0.4440519756179766</v>
      </c>
      <c r="AW246" s="123">
        <f t="shared" si="1660"/>
        <v>-0.49109939760132498</v>
      </c>
      <c r="AX246" s="123">
        <f t="shared" si="1660"/>
        <v>-0.54671510217714825</v>
      </c>
      <c r="AY246" s="123">
        <f t="shared" ref="AY246:BB246" si="1661">AY180</f>
        <v>-0.17589034232295545</v>
      </c>
      <c r="AZ246" s="123">
        <f t="shared" si="1661"/>
        <v>-1.0185250633654429E-2</v>
      </c>
      <c r="BA246" s="123">
        <f t="shared" si="1661"/>
        <v>8.5062631709823866E-2</v>
      </c>
      <c r="BB246" s="123">
        <f t="shared" si="1661"/>
        <v>-1.3853392109329336E-2</v>
      </c>
      <c r="BC246" s="123">
        <f t="shared" ref="BC246:BF246" si="1662">BC180</f>
        <v>1.2676237465458078E-2</v>
      </c>
      <c r="BD246" s="123">
        <f t="shared" si="1662"/>
        <v>-0.1332707244961587</v>
      </c>
      <c r="BE246" s="123">
        <f t="shared" si="1662"/>
        <v>-0.2329594054195451</v>
      </c>
      <c r="BF246" s="123">
        <f t="shared" si="1662"/>
        <v>-0.12503411097439901</v>
      </c>
      <c r="BG246" s="123">
        <f t="shared" ref="BG246:BH246" si="1663">BG180</f>
        <v>-0.13911602128521477</v>
      </c>
      <c r="BH246" s="123">
        <f t="shared" si="1663"/>
        <v>-0.14224075938601577</v>
      </c>
      <c r="BJ246" s="123">
        <f t="shared" ref="BJ246:BL246" si="1664">BJ180</f>
        <v>-1.0663450310817018</v>
      </c>
      <c r="BK246" s="123">
        <f t="shared" si="1664"/>
        <v>-0.90304090475908305</v>
      </c>
      <c r="BL246" s="123">
        <f t="shared" si="1664"/>
        <v>-0.36433071967444558</v>
      </c>
      <c r="BM246" s="123">
        <f t="shared" ref="BM246:BN246" si="1665">BM180</f>
        <v>0.18960458820126228</v>
      </c>
      <c r="BN246" s="123">
        <f t="shared" si="1665"/>
        <v>-5.8565033159528351E-2</v>
      </c>
      <c r="BO246" s="123">
        <f t="shared" ref="BO246:BR246" si="1666">BO180</f>
        <v>5.625673127344316E-3</v>
      </c>
      <c r="BP246" s="123">
        <f t="shared" si="1666"/>
        <v>-0.23169535802440575</v>
      </c>
      <c r="BQ246" s="123">
        <f t="shared" si="1666"/>
        <v>-2.907125417465271E-2</v>
      </c>
      <c r="BR246" s="123">
        <f t="shared" si="1666"/>
        <v>-0.17807158882103166</v>
      </c>
      <c r="BW246" s="39"/>
      <c r="BX246" s="39"/>
    </row>
    <row r="247" spans="2:76" s="5" customFormat="1" ht="12.75" customHeight="1">
      <c r="B247" s="5" t="str">
        <f t="shared" si="1647"/>
        <v xml:space="preserve">Gearing (Net debt / Equity) </v>
      </c>
      <c r="C247" s="80">
        <f t="shared" si="1647"/>
        <v>0.71463805880740161</v>
      </c>
      <c r="D247" s="80">
        <f t="shared" si="1647"/>
        <v>0.70337075479748334</v>
      </c>
      <c r="E247" s="80">
        <f t="shared" si="1647"/>
        <v>0.53561291661344335</v>
      </c>
      <c r="F247" s="80">
        <f t="shared" si="1647"/>
        <v>0.6930846901632477</v>
      </c>
      <c r="G247" s="80">
        <f t="shared" si="1647"/>
        <v>0.8039111529861559</v>
      </c>
      <c r="H247" s="80">
        <f t="shared" si="1648"/>
        <v>0.81686892042955728</v>
      </c>
      <c r="I247" s="80">
        <f t="shared" si="1648"/>
        <v>0.22083521218716004</v>
      </c>
      <c r="J247" s="80">
        <f t="shared" si="1648"/>
        <v>0.7866950301861082</v>
      </c>
      <c r="K247" s="80">
        <f t="shared" ref="K247" si="1667">K181</f>
        <v>0.9898083722673624</v>
      </c>
      <c r="L247" s="80">
        <f t="shared" ref="L247:M247" si="1668">L181</f>
        <v>0.76396825880897135</v>
      </c>
      <c r="M247" s="80">
        <f t="shared" si="1668"/>
        <v>0.95577769741887719</v>
      </c>
      <c r="N247" s="80">
        <f t="shared" ref="N247" si="1669">N181</f>
        <v>0.89178621923373491</v>
      </c>
      <c r="O247" s="80">
        <f t="shared" ref="O247:P247" si="1670">O181</f>
        <v>0.97852732797029918</v>
      </c>
      <c r="P247" s="80">
        <f t="shared" si="1670"/>
        <v>1.5210271909046509</v>
      </c>
      <c r="Q247" s="80">
        <f t="shared" ref="Q247" si="1671">Q181</f>
        <v>1.9648496196299083</v>
      </c>
      <c r="R247" s="80">
        <f t="shared" si="1654"/>
        <v>2.3272532539524722</v>
      </c>
      <c r="S247" s="204"/>
      <c r="T247" s="80">
        <f>T181</f>
        <v>0.67468866631826241</v>
      </c>
      <c r="U247" s="80">
        <f>U181</f>
        <v>0.55106882377157462</v>
      </c>
      <c r="V247" s="80">
        <f>V181</f>
        <v>0.47111318331501773</v>
      </c>
      <c r="W247" s="80">
        <f t="shared" ref="W247:AE247" si="1672">W181</f>
        <v>0.53561291661344335</v>
      </c>
      <c r="X247" s="80">
        <f t="shared" si="1672"/>
        <v>0.63861144238709078</v>
      </c>
      <c r="Y247" s="80">
        <f t="shared" si="1672"/>
        <v>0.7648180391367807</v>
      </c>
      <c r="Z247" s="80">
        <f t="shared" si="1672"/>
        <v>0.76390583232105613</v>
      </c>
      <c r="AA247" s="80">
        <f t="shared" si="1672"/>
        <v>0.6930846901632477</v>
      </c>
      <c r="AB247" s="80">
        <f t="shared" si="1672"/>
        <v>0.83193488138711569</v>
      </c>
      <c r="AC247" s="80">
        <f t="shared" si="1672"/>
        <v>0.89888604871143007</v>
      </c>
      <c r="AD247" s="80">
        <f t="shared" si="1672"/>
        <v>0.81074229913597018</v>
      </c>
      <c r="AE247" s="80">
        <f t="shared" si="1672"/>
        <v>0.8039111529861559</v>
      </c>
      <c r="AF247" s="80">
        <f t="shared" si="1656"/>
        <v>0.84008581796900128</v>
      </c>
      <c r="AG247" s="80">
        <f t="shared" si="1656"/>
        <v>0.90466323538734017</v>
      </c>
      <c r="AH247" s="80">
        <f t="shared" si="1656"/>
        <v>0.91462468091354976</v>
      </c>
      <c r="AI247" s="80">
        <f t="shared" si="1656"/>
        <v>0.81686892042955728</v>
      </c>
      <c r="AJ247" s="80">
        <f t="shared" si="1657"/>
        <v>0.82672543171222901</v>
      </c>
      <c r="AK247" s="80">
        <f t="shared" si="1657"/>
        <v>0.61018834114346843</v>
      </c>
      <c r="AL247" s="80">
        <f t="shared" si="1657"/>
        <v>0.41580043561511987</v>
      </c>
      <c r="AM247" s="80">
        <f t="shared" si="1657"/>
        <v>0.22083521218716004</v>
      </c>
      <c r="AN247" s="80">
        <f t="shared" si="1658"/>
        <v>0.6263487199285932</v>
      </c>
      <c r="AO247" s="80">
        <f t="shared" si="1658"/>
        <v>0.90606961296987432</v>
      </c>
      <c r="AP247" s="80">
        <f t="shared" si="1658"/>
        <v>0.87738855623243661</v>
      </c>
      <c r="AQ247" s="80">
        <f t="shared" si="1658"/>
        <v>0.7866950301861082</v>
      </c>
      <c r="AR247" s="80">
        <f t="shared" si="1659"/>
        <v>1.0016887547433091</v>
      </c>
      <c r="AS247" s="80">
        <f t="shared" si="1659"/>
        <v>1.2014759727376529</v>
      </c>
      <c r="AT247" s="80">
        <f t="shared" si="1659"/>
        <v>1.1171657821895788</v>
      </c>
      <c r="AU247" s="80">
        <f t="shared" si="1659"/>
        <v>0.9898083722673624</v>
      </c>
      <c r="AV247" s="80">
        <f t="shared" ref="AV247:AX247" si="1673">AV181</f>
        <v>1.1885265048291487</v>
      </c>
      <c r="AW247" s="80">
        <f t="shared" si="1673"/>
        <v>1.0490872163049383</v>
      </c>
      <c r="AX247" s="80">
        <f t="shared" si="1673"/>
        <v>1.3300435899813081</v>
      </c>
      <c r="AY247" s="80">
        <f t="shared" ref="AY247:BB247" si="1674">AY181</f>
        <v>0.95577769741887719</v>
      </c>
      <c r="AZ247" s="80">
        <f t="shared" si="1674"/>
        <v>2.4832480826685921</v>
      </c>
      <c r="BA247" s="80">
        <f t="shared" si="1674"/>
        <v>2.5117229371645418</v>
      </c>
      <c r="BB247" s="80">
        <f t="shared" si="1674"/>
        <v>2.9278836884586124</v>
      </c>
      <c r="BC247" s="80">
        <f t="shared" ref="BC247:BF247" si="1675">BC181</f>
        <v>0.97852732797029918</v>
      </c>
      <c r="BD247" s="80">
        <f t="shared" si="1675"/>
        <v>1.5684581954257379</v>
      </c>
      <c r="BE247" s="80">
        <f t="shared" si="1675"/>
        <v>1.7866931075164552</v>
      </c>
      <c r="BF247" s="80">
        <f t="shared" si="1675"/>
        <v>2.1781369888757136</v>
      </c>
      <c r="BG247" s="80">
        <f t="shared" ref="BG247:BH247" si="1676">BG181</f>
        <v>1.9648496196299083</v>
      </c>
      <c r="BH247" s="80">
        <f t="shared" si="1676"/>
        <v>2.3272532539524722</v>
      </c>
      <c r="BJ247" s="80">
        <f t="shared" ref="BJ247:BL247" si="1677">BJ181</f>
        <v>0.41923531491419874</v>
      </c>
      <c r="BK247" s="80">
        <f t="shared" si="1677"/>
        <v>0.44664965445074667</v>
      </c>
      <c r="BL247" s="80">
        <f t="shared" si="1677"/>
        <v>0.78530887768685376</v>
      </c>
      <c r="BM247" s="80">
        <f t="shared" ref="BM247:BN247" si="1678">BM181</f>
        <v>-0.75517405415029903</v>
      </c>
      <c r="BN247" s="80">
        <f t="shared" si="1678"/>
        <v>2.4832480826685921</v>
      </c>
      <c r="BO247" s="80">
        <f t="shared" ref="BO247:BR247" si="1679">BO181</f>
        <v>2.5117229371645418</v>
      </c>
      <c r="BP247" s="80">
        <f t="shared" si="1679"/>
        <v>2.9278836884586124</v>
      </c>
      <c r="BQ247" s="80">
        <f t="shared" si="1679"/>
        <v>-0.5582503490726598</v>
      </c>
      <c r="BR247" s="80">
        <f t="shared" si="1679"/>
        <v>1.5684581954257379</v>
      </c>
      <c r="BT247" s="1"/>
      <c r="BU247" s="1"/>
      <c r="BW247" s="39"/>
      <c r="BX247" s="39"/>
    </row>
    <row r="248" spans="2:76" s="5" customFormat="1" ht="13.5" customHeight="1"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48"/>
      <c r="Q248" s="48"/>
      <c r="BT248" s="1"/>
      <c r="BU248" s="1"/>
      <c r="BW248" s="39"/>
      <c r="BX248" s="39"/>
    </row>
    <row r="249" spans="2:76" s="5" customFormat="1" ht="13.5" customHeight="1">
      <c r="B249" s="345" t="s">
        <v>394</v>
      </c>
      <c r="C249" s="346">
        <v>0.45748</v>
      </c>
      <c r="D249" s="346">
        <v>0.36892999999999998</v>
      </c>
      <c r="E249" s="346">
        <v>0.33179999999999998</v>
      </c>
      <c r="F249" s="346">
        <f>AVERAGE(X249:AA249)</f>
        <v>0.27457816666666668</v>
      </c>
      <c r="G249" s="346">
        <v>0.21959999999999999</v>
      </c>
      <c r="H249" s="346">
        <v>0.16809830388811375</v>
      </c>
      <c r="I249" s="346">
        <f>AVERAGE(H250:I250)</f>
        <v>0.15562979622721193</v>
      </c>
      <c r="J249" s="346">
        <f>AVERAGE(I250:J250)</f>
        <v>0.10522768199999999</v>
      </c>
      <c r="K249" s="346">
        <f>AVERAGE(AR249:AU249)</f>
        <v>6.1666114867696936E-2</v>
      </c>
      <c r="L249" s="346">
        <f>K249</f>
        <v>6.1666114867696936E-2</v>
      </c>
      <c r="M249" s="347">
        <f>AVERAGE(AV249:AY249)</f>
        <v>4.5185193922402327E-2</v>
      </c>
      <c r="N249" s="347">
        <f>AVERAGE(AV249:AY249)</f>
        <v>4.5185193922402327E-2</v>
      </c>
      <c r="O249" s="347">
        <f>AVERAGE(AZ249:BC249)</f>
        <v>3.0504496138146653E-2</v>
      </c>
      <c r="P249" s="347">
        <f>O249</f>
        <v>3.0504496138146653E-2</v>
      </c>
      <c r="Q249" s="347">
        <f>AVERAGE(BD249:BG249)</f>
        <v>2.5300331698943475E-2</v>
      </c>
      <c r="R249" s="347">
        <f>AVERAGE(BE249:BH249)</f>
        <v>2.5300331698943475E-2</v>
      </c>
      <c r="S249" s="348"/>
      <c r="T249" s="347">
        <v>0.34012999999999999</v>
      </c>
      <c r="U249" s="347">
        <v>0.34521000000000002</v>
      </c>
      <c r="V249" s="347">
        <v>0.33715000000000001</v>
      </c>
      <c r="W249" s="347">
        <v>0.30462</v>
      </c>
      <c r="X249" s="347">
        <v>0.27077000000000001</v>
      </c>
      <c r="Y249" s="347">
        <v>0.27961000000000003</v>
      </c>
      <c r="Z249" s="347">
        <v>0.28473999999999999</v>
      </c>
      <c r="AA249" s="347">
        <f>AVERAGE(0.260192,0.257123,0.272263)</f>
        <v>0.26319266666666663</v>
      </c>
      <c r="AB249" s="347">
        <v>0.26205000000000001</v>
      </c>
      <c r="AC249" s="347">
        <v>0.25357000000000002</v>
      </c>
      <c r="AD249" s="347">
        <v>0.17981</v>
      </c>
      <c r="AE249" s="347">
        <v>0.18223</v>
      </c>
      <c r="AF249" s="347">
        <v>0.18436</v>
      </c>
      <c r="AG249" s="347">
        <v>0.17039000000000001</v>
      </c>
      <c r="AH249" s="347">
        <v>0.17624000000000001</v>
      </c>
      <c r="AI249" s="347">
        <f>H249</f>
        <v>0.16809830388811375</v>
      </c>
      <c r="AJ249" s="347">
        <f>AVERAGE(AI250:AJ250)</f>
        <v>0.16099664098387428</v>
      </c>
      <c r="AK249" s="347">
        <v>0.14574300000000001</v>
      </c>
      <c r="AL249" s="347">
        <v>0.13850000000000001</v>
      </c>
      <c r="AM249" s="347">
        <f>AVERAGE(AL250:AM250)</f>
        <v>0.13241999999999998</v>
      </c>
      <c r="AN249" s="347">
        <f>AVERAGE(AM250:AN250)</f>
        <v>0.12823710606042243</v>
      </c>
      <c r="AO249" s="347">
        <f>AVERAGE(AN250:AO250)</f>
        <v>0.1178272589755805</v>
      </c>
      <c r="AP249" s="347">
        <v>0.11704000000000001</v>
      </c>
      <c r="AQ249" s="347">
        <f t="shared" ref="AQ249:AU249" si="1680">AVERAGE(AP250:AQ250)</f>
        <v>9.3837682000000006E-2</v>
      </c>
      <c r="AR249" s="347">
        <f t="shared" si="1680"/>
        <v>7.1665844917518748E-2</v>
      </c>
      <c r="AS249" s="347">
        <f t="shared" si="1680"/>
        <v>6.4133162917518749E-2</v>
      </c>
      <c r="AT249" s="347">
        <f t="shared" si="1680"/>
        <v>5.7082725817875123E-2</v>
      </c>
      <c r="AU249" s="347">
        <f t="shared" si="1680"/>
        <v>5.3782725817875118E-2</v>
      </c>
      <c r="AV249" s="347">
        <f>AVERAGE(AU250:AV250)</f>
        <v>5.28E-2</v>
      </c>
      <c r="AW249" s="347">
        <f>1/20.9458</f>
        <v>4.7742268139674783E-2</v>
      </c>
      <c r="AX249" s="347">
        <f>1/26.8093</f>
        <v>3.7300489009410916E-2</v>
      </c>
      <c r="AY249" s="347">
        <f>1/23.3111</f>
        <v>4.2898018540523615E-2</v>
      </c>
      <c r="AZ249" s="349">
        <f>1/30.9728</f>
        <v>3.2286393222440334E-2</v>
      </c>
      <c r="BA249" s="349">
        <f>1/32.3486</f>
        <v>3.0913238903692897E-2</v>
      </c>
      <c r="BB249" s="349">
        <f>1/33.4971</f>
        <v>2.9853330586826918E-2</v>
      </c>
      <c r="BC249" s="349">
        <f>1/34.5244</f>
        <v>2.8965021839626466E-2</v>
      </c>
      <c r="BD249" s="349">
        <f>1/36.2169</f>
        <v>2.7611418978432719E-2</v>
      </c>
      <c r="BE249" s="349">
        <f>1/38.7697</f>
        <v>2.579333861236997E-2</v>
      </c>
      <c r="BF249" s="349">
        <f>1/40.7857</f>
        <v>2.4518397379473689E-2</v>
      </c>
      <c r="BG249" s="349">
        <f>1/42.9587</f>
        <v>2.3278171825497511E-2</v>
      </c>
      <c r="BH249" s="349">
        <f>1/36.2169</f>
        <v>2.7611418978432719E-2</v>
      </c>
      <c r="BI249" s="1"/>
      <c r="BJ249" s="347">
        <f>AVERAGE(BI250:BJ250)</f>
        <v>5.21E-2</v>
      </c>
      <c r="BK249" s="347">
        <f>1/20.9458</f>
        <v>4.7742268139674783E-2</v>
      </c>
      <c r="BL249" s="347">
        <f t="shared" ref="BL249:BR250" si="1681">AX249</f>
        <v>3.7300489009410916E-2</v>
      </c>
      <c r="BM249" s="347">
        <f t="shared" si="1681"/>
        <v>4.2898018540523615E-2</v>
      </c>
      <c r="BN249" s="347">
        <f t="shared" si="1681"/>
        <v>3.2286393222440334E-2</v>
      </c>
      <c r="BO249" s="347">
        <f t="shared" si="1681"/>
        <v>3.0913238903692897E-2</v>
      </c>
      <c r="BP249" s="347">
        <f t="shared" si="1681"/>
        <v>2.9853330586826918E-2</v>
      </c>
      <c r="BQ249" s="347">
        <f t="shared" si="1681"/>
        <v>2.8965021839626466E-2</v>
      </c>
      <c r="BR249" s="347">
        <f t="shared" si="1681"/>
        <v>2.7611418978432719E-2</v>
      </c>
      <c r="BT249" s="1"/>
      <c r="BU249" s="1"/>
      <c r="BW249" s="39"/>
      <c r="BX249" s="39"/>
    </row>
    <row r="250" spans="2:76" s="5" customFormat="1" ht="13.5" customHeight="1">
      <c r="B250" s="345" t="s">
        <v>395</v>
      </c>
      <c r="C250" s="346">
        <f>501.230584/1162.304</f>
        <v>0.43123880155277794</v>
      </c>
      <c r="D250" s="346">
        <f>502.551654/1461.219</f>
        <v>0.3439263067343088</v>
      </c>
      <c r="E250" s="346">
        <f>503.67481/1772.532</f>
        <v>0.28415555262189907</v>
      </c>
      <c r="F250" s="346">
        <f>504.201724/1901.799</f>
        <v>0.26511830324866087</v>
      </c>
      <c r="G250" s="346">
        <f>505.002896/2656.77</f>
        <v>0.19008152606360357</v>
      </c>
      <c r="H250" s="346">
        <v>0.17596959245442387</v>
      </c>
      <c r="I250" s="346">
        <v>0.13528999999999999</v>
      </c>
      <c r="J250" s="346">
        <v>7.5165363999999998E-2</v>
      </c>
      <c r="K250" s="346">
        <v>5.3499999999999999E-2</v>
      </c>
      <c r="L250" s="346">
        <f>K250</f>
        <v>5.3499999999999999E-2</v>
      </c>
      <c r="M250" s="347">
        <f>AY250</f>
        <v>3.3924985073006564E-2</v>
      </c>
      <c r="N250" s="347">
        <f>AY250</f>
        <v>3.3924985073006564E-2</v>
      </c>
      <c r="O250" s="347">
        <f>BC250</f>
        <v>2.8300551860761285E-2</v>
      </c>
      <c r="P250" s="347">
        <f>O250</f>
        <v>2.8300551860761285E-2</v>
      </c>
      <c r="Q250" s="347">
        <f>BG250</f>
        <v>2.3278171825497511E-2</v>
      </c>
      <c r="R250" s="347">
        <f>BH250</f>
        <v>2.6356225472237673E-2</v>
      </c>
      <c r="S250" s="348"/>
      <c r="T250" s="347">
        <f>508.833117/1441.728</f>
        <v>0.3529328118757491</v>
      </c>
      <c r="U250" s="347">
        <f>502.875344/1455.121</f>
        <v>0.34559005333577064</v>
      </c>
      <c r="V250" s="347">
        <f>509.384007/1526.064</f>
        <v>0.33378941315698424</v>
      </c>
      <c r="W250" s="347">
        <f>E250</f>
        <v>0.28415555262189907</v>
      </c>
      <c r="X250" s="347">
        <f>510.099011/1856.046</f>
        <v>0.27483101765796752</v>
      </c>
      <c r="Y250" s="347">
        <f>503.861981/1767.094</f>
        <v>0.2851359242915204</v>
      </c>
      <c r="Z250" s="347">
        <f>510.237024/1812.413</f>
        <v>0.28152359533947285</v>
      </c>
      <c r="AA250" s="347">
        <f>F250</f>
        <v>0.26511830324866087</v>
      </c>
      <c r="AB250" s="347">
        <f>510.624155/2016</f>
        <v>0.25328579117063493</v>
      </c>
      <c r="AC250" s="347">
        <f>504.682352/2301.705</f>
        <v>0.2192645677877921</v>
      </c>
      <c r="AD250" s="347">
        <f>511.330568/3062.972</f>
        <v>0.16693935432645157</v>
      </c>
      <c r="AE250" s="347">
        <f>G250</f>
        <v>0.19008152606360357</v>
      </c>
      <c r="AF250" s="347">
        <v>0.17965</v>
      </c>
      <c r="AG250" s="347">
        <v>0.17263999999999999</v>
      </c>
      <c r="AH250" s="347">
        <v>0.17702999999999999</v>
      </c>
      <c r="AI250" s="347">
        <v>0.17083769752468136</v>
      </c>
      <c r="AJ250" s="347">
        <f>1/6.6157</f>
        <v>0.15115558444306723</v>
      </c>
      <c r="AK250" s="347">
        <v>0.145924</v>
      </c>
      <c r="AL250" s="347">
        <v>0.12955</v>
      </c>
      <c r="AM250" s="347">
        <f>I250</f>
        <v>0.13528999999999999</v>
      </c>
      <c r="AN250" s="347">
        <f>1/8.2519</f>
        <v>0.1211842121208449</v>
      </c>
      <c r="AO250" s="347">
        <f>1/8.73589</f>
        <v>0.11447030583031609</v>
      </c>
      <c r="AP250" s="347">
        <v>0.11251</v>
      </c>
      <c r="AQ250" s="347">
        <f>J250</f>
        <v>7.5165363999999998E-2</v>
      </c>
      <c r="AR250" s="347">
        <f>1/14.67</f>
        <v>6.8166325835037497E-2</v>
      </c>
      <c r="AS250" s="347">
        <v>6.0100000000000001E-2</v>
      </c>
      <c r="AT250" s="347">
        <f>1/18.4961</f>
        <v>5.4065451635750245E-2</v>
      </c>
      <c r="AU250" s="347">
        <f>K250</f>
        <v>5.3499999999999999E-2</v>
      </c>
      <c r="AV250" s="347">
        <v>5.21E-2</v>
      </c>
      <c r="AW250" s="347">
        <f>1/26.0366</f>
        <v>3.840747255786086E-2</v>
      </c>
      <c r="AX250" s="347">
        <f>1/27.4071</f>
        <v>3.6486895731398065E-2</v>
      </c>
      <c r="AY250" s="347">
        <f>1/29.4768</f>
        <v>3.3924985073006564E-2</v>
      </c>
      <c r="AZ250" s="349">
        <f>1/32.4379</f>
        <v>3.0828136223368344E-2</v>
      </c>
      <c r="BA250" s="349">
        <f>1/32.6485</f>
        <v>3.0629278527344289E-2</v>
      </c>
      <c r="BB250" s="349">
        <f>1/34.1605</f>
        <v>2.9273576206437259E-2</v>
      </c>
      <c r="BC250" s="349">
        <f>1/35.335</f>
        <v>2.8300551860761285E-2</v>
      </c>
      <c r="BD250" s="349">
        <f>1/37.9417</f>
        <v>2.6356225472237673E-2</v>
      </c>
      <c r="BE250" s="349">
        <f>1/39.8136</f>
        <v>2.5117045431711775E-2</v>
      </c>
      <c r="BF250" s="349">
        <f>1/41.5852</f>
        <v>2.4047016727104836E-2</v>
      </c>
      <c r="BG250" s="349">
        <f>1/42.9587</f>
        <v>2.3278171825497511E-2</v>
      </c>
      <c r="BH250" s="349">
        <f>1/37.9417</f>
        <v>2.6356225472237673E-2</v>
      </c>
      <c r="BI250" s="1"/>
      <c r="BJ250" s="347">
        <v>5.21E-2</v>
      </c>
      <c r="BK250" s="347">
        <f>1/26.0366</f>
        <v>3.840747255786086E-2</v>
      </c>
      <c r="BL250" s="347">
        <f t="shared" si="1681"/>
        <v>3.6486895731398065E-2</v>
      </c>
      <c r="BM250" s="347">
        <f t="shared" si="1681"/>
        <v>3.3924985073006564E-2</v>
      </c>
      <c r="BN250" s="347">
        <f t="shared" si="1681"/>
        <v>3.0828136223368344E-2</v>
      </c>
      <c r="BO250" s="347">
        <f t="shared" si="1681"/>
        <v>3.0629278527344289E-2</v>
      </c>
      <c r="BP250" s="347">
        <f t="shared" si="1681"/>
        <v>2.9273576206437259E-2</v>
      </c>
      <c r="BQ250" s="347">
        <f t="shared" si="1681"/>
        <v>2.8300551860761285E-2</v>
      </c>
      <c r="BR250" s="347">
        <f t="shared" si="1681"/>
        <v>2.6356225472237673E-2</v>
      </c>
      <c r="BT250" s="1"/>
      <c r="BU250" s="1"/>
      <c r="BW250" s="39"/>
      <c r="BX250" s="39"/>
    </row>
    <row r="251" spans="2:76" s="5" customFormat="1" ht="13.5" customHeight="1"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31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  <c r="AZ251" s="92"/>
      <c r="BA251" s="92"/>
      <c r="BB251" s="92"/>
      <c r="BD251" s="92"/>
      <c r="BE251" s="92"/>
      <c r="BF251" s="92"/>
      <c r="BH251" s="92"/>
      <c r="BJ251" s="92"/>
      <c r="BK251" s="92"/>
      <c r="BL251" s="92"/>
      <c r="BM251" s="92"/>
      <c r="BN251" s="92"/>
      <c r="BO251" s="92"/>
      <c r="BP251" s="92"/>
      <c r="BQ251" s="92"/>
      <c r="BR251" s="92"/>
      <c r="BT251" s="1"/>
      <c r="BU251" s="1"/>
      <c r="BW251" s="39"/>
      <c r="BX251" s="39"/>
    </row>
    <row r="252" spans="2:76" ht="13.5" customHeight="1">
      <c r="B252" s="16" t="s">
        <v>396</v>
      </c>
      <c r="C252" s="83">
        <f t="shared" ref="C252:R252" si="1682">C3</f>
        <v>41975</v>
      </c>
      <c r="D252" s="83">
        <f t="shared" si="1682"/>
        <v>42341</v>
      </c>
      <c r="E252" s="83">
        <f t="shared" si="1682"/>
        <v>42735</v>
      </c>
      <c r="F252" s="83">
        <f t="shared" si="1682"/>
        <v>43100</v>
      </c>
      <c r="G252" s="83">
        <f t="shared" si="1682"/>
        <v>43465</v>
      </c>
      <c r="H252" s="83">
        <f t="shared" si="1682"/>
        <v>43830</v>
      </c>
      <c r="I252" s="83">
        <f t="shared" si="1682"/>
        <v>44196</v>
      </c>
      <c r="J252" s="83">
        <f t="shared" si="1682"/>
        <v>44561</v>
      </c>
      <c r="K252" s="83">
        <f t="shared" si="1682"/>
        <v>44926</v>
      </c>
      <c r="L252" s="83">
        <f t="shared" si="1682"/>
        <v>44926</v>
      </c>
      <c r="M252" s="83">
        <f t="shared" si="1682"/>
        <v>45291</v>
      </c>
      <c r="N252" s="83">
        <f t="shared" si="1682"/>
        <v>45291</v>
      </c>
      <c r="O252" s="83">
        <f t="shared" si="1682"/>
        <v>45657</v>
      </c>
      <c r="P252" s="83">
        <f t="shared" si="1682"/>
        <v>45657</v>
      </c>
      <c r="Q252" s="83">
        <f t="shared" si="1682"/>
        <v>46022</v>
      </c>
      <c r="R252" s="83">
        <f t="shared" si="1682"/>
        <v>46112</v>
      </c>
      <c r="S252" s="223"/>
      <c r="T252" s="83">
        <f t="shared" ref="T252:BH252" si="1683">T3</f>
        <v>42437</v>
      </c>
      <c r="U252" s="83">
        <f t="shared" si="1683"/>
        <v>42527</v>
      </c>
      <c r="V252" s="83">
        <f t="shared" si="1683"/>
        <v>42622</v>
      </c>
      <c r="W252" s="83">
        <f t="shared" si="1683"/>
        <v>42714</v>
      </c>
      <c r="X252" s="83">
        <f t="shared" si="1683"/>
        <v>42825</v>
      </c>
      <c r="Y252" s="83">
        <f t="shared" si="1683"/>
        <v>42916</v>
      </c>
      <c r="Z252" s="83">
        <f t="shared" si="1683"/>
        <v>43008</v>
      </c>
      <c r="AA252" s="83">
        <f t="shared" si="1683"/>
        <v>43100</v>
      </c>
      <c r="AB252" s="83">
        <f t="shared" si="1683"/>
        <v>43190</v>
      </c>
      <c r="AC252" s="83">
        <f t="shared" si="1683"/>
        <v>43281</v>
      </c>
      <c r="AD252" s="83">
        <f t="shared" si="1683"/>
        <v>43373</v>
      </c>
      <c r="AE252" s="83">
        <f t="shared" si="1683"/>
        <v>43465</v>
      </c>
      <c r="AF252" s="83">
        <f t="shared" si="1683"/>
        <v>43555</v>
      </c>
      <c r="AG252" s="83">
        <f t="shared" si="1683"/>
        <v>43646</v>
      </c>
      <c r="AH252" s="83">
        <f t="shared" si="1683"/>
        <v>43738</v>
      </c>
      <c r="AI252" s="83">
        <f t="shared" si="1683"/>
        <v>43830</v>
      </c>
      <c r="AJ252" s="83">
        <f t="shared" si="1683"/>
        <v>43921</v>
      </c>
      <c r="AK252" s="83">
        <f t="shared" si="1683"/>
        <v>44012</v>
      </c>
      <c r="AL252" s="83">
        <f t="shared" si="1683"/>
        <v>44104</v>
      </c>
      <c r="AM252" s="83">
        <f t="shared" si="1683"/>
        <v>44196</v>
      </c>
      <c r="AN252" s="83">
        <f t="shared" si="1683"/>
        <v>44286</v>
      </c>
      <c r="AO252" s="83">
        <f t="shared" si="1683"/>
        <v>44377</v>
      </c>
      <c r="AP252" s="83">
        <f t="shared" si="1683"/>
        <v>44469</v>
      </c>
      <c r="AQ252" s="83">
        <f t="shared" si="1683"/>
        <v>44561</v>
      </c>
      <c r="AR252" s="83">
        <f t="shared" si="1683"/>
        <v>44651</v>
      </c>
      <c r="AS252" s="83">
        <f t="shared" si="1683"/>
        <v>44742</v>
      </c>
      <c r="AT252" s="83">
        <f t="shared" si="1683"/>
        <v>44834</v>
      </c>
      <c r="AU252" s="83">
        <f t="shared" si="1683"/>
        <v>44926</v>
      </c>
      <c r="AV252" s="83">
        <f t="shared" si="1683"/>
        <v>45016</v>
      </c>
      <c r="AW252" s="83">
        <f t="shared" si="1683"/>
        <v>45107</v>
      </c>
      <c r="AX252" s="83">
        <f t="shared" si="1683"/>
        <v>45199</v>
      </c>
      <c r="AY252" s="83">
        <f t="shared" si="1683"/>
        <v>45291</v>
      </c>
      <c r="AZ252" s="83">
        <f t="shared" si="1683"/>
        <v>45382</v>
      </c>
      <c r="BA252" s="83">
        <f t="shared" si="1683"/>
        <v>45473</v>
      </c>
      <c r="BB252" s="83">
        <f t="shared" si="1683"/>
        <v>45565</v>
      </c>
      <c r="BC252" s="83">
        <f t="shared" si="1683"/>
        <v>45657</v>
      </c>
      <c r="BD252" s="83">
        <f t="shared" si="1683"/>
        <v>45747</v>
      </c>
      <c r="BE252" s="83">
        <f t="shared" si="1683"/>
        <v>45838</v>
      </c>
      <c r="BF252" s="83">
        <f t="shared" si="1683"/>
        <v>45930</v>
      </c>
      <c r="BG252" s="83">
        <f t="shared" si="1683"/>
        <v>46022</v>
      </c>
      <c r="BH252" s="83">
        <f t="shared" si="1683"/>
        <v>46112</v>
      </c>
      <c r="BJ252" s="83">
        <f t="shared" ref="BJ252:BR252" si="1684">BJ3</f>
        <v>45016</v>
      </c>
      <c r="BK252" s="83">
        <f t="shared" si="1684"/>
        <v>45107</v>
      </c>
      <c r="BL252" s="83">
        <f t="shared" si="1684"/>
        <v>45199</v>
      </c>
      <c r="BM252" s="83">
        <f t="shared" si="1684"/>
        <v>45291</v>
      </c>
      <c r="BN252" s="83">
        <f t="shared" si="1684"/>
        <v>45382</v>
      </c>
      <c r="BO252" s="83">
        <f t="shared" si="1684"/>
        <v>45473</v>
      </c>
      <c r="BP252" s="83">
        <f t="shared" si="1684"/>
        <v>45565</v>
      </c>
      <c r="BQ252" s="83">
        <f t="shared" si="1684"/>
        <v>45657</v>
      </c>
      <c r="BR252" s="83">
        <f t="shared" si="1684"/>
        <v>45747</v>
      </c>
      <c r="BW252" s="39"/>
      <c r="BX252" s="39"/>
    </row>
    <row r="253" spans="2:76" ht="13.5" customHeight="1">
      <c r="B253" s="1" t="s">
        <v>254</v>
      </c>
      <c r="C253" s="23">
        <f t="shared" ref="C253:G255" si="1685">C184*C$249</f>
        <v>5724.9198168399998</v>
      </c>
      <c r="D253" s="23">
        <f t="shared" si="1685"/>
        <v>5226.2992729999996</v>
      </c>
      <c r="E253" s="23">
        <f t="shared" si="1685"/>
        <v>5340.7098696000003</v>
      </c>
      <c r="F253" s="23">
        <f t="shared" si="1685"/>
        <v>5722.3773097495005</v>
      </c>
      <c r="G253" s="23">
        <f t="shared" si="1685"/>
        <v>5908.2027263999989</v>
      </c>
      <c r="H253" s="23">
        <f t="shared" ref="H253:I255" si="1686">H184*H$249</f>
        <v>5369.3578644791469</v>
      </c>
      <c r="I253" s="23">
        <f t="shared" si="1686"/>
        <v>6360.9762005901839</v>
      </c>
      <c r="J253" s="23">
        <f t="shared" ref="J253:K255" si="1687">J184*J$249</f>
        <v>7174.8902539850342</v>
      </c>
      <c r="K253" s="23">
        <f t="shared" si="1687"/>
        <v>8258.0490988939873</v>
      </c>
      <c r="L253" s="23">
        <f>L184*L$249</f>
        <v>15858.799942738802</v>
      </c>
      <c r="M253" s="23">
        <f t="shared" ref="M253:O253" si="1688">M184*M$249</f>
        <v>11617.282304889713</v>
      </c>
      <c r="N253" s="23">
        <f t="shared" ref="N253" si="1689">N184*N$249</f>
        <v>16772.89164920948</v>
      </c>
      <c r="O253" s="23">
        <f t="shared" si="1688"/>
        <v>13072.647613513111</v>
      </c>
      <c r="P253" s="23">
        <f t="shared" ref="P253:Q253" si="1690">P184*P$249</f>
        <v>17111.093046137517</v>
      </c>
      <c r="Q253" s="23">
        <f t="shared" si="1690"/>
        <v>13255.686809429028</v>
      </c>
      <c r="R253" s="23">
        <f>R184*R$249</f>
        <v>13790.89098760108</v>
      </c>
      <c r="S253" s="23"/>
      <c r="T253" s="112"/>
      <c r="U253" s="112"/>
      <c r="V253" s="112"/>
      <c r="W253" s="23">
        <f t="shared" ref="W253:AU255" si="1691">W184*AVERAGE(T$249:W$249)</f>
        <v>5340.3477057300015</v>
      </c>
      <c r="X253" s="23">
        <f t="shared" si="1691"/>
        <v>5409.2610804374999</v>
      </c>
      <c r="Y253" s="23">
        <f t="shared" si="1691"/>
        <v>5455.4268226749991</v>
      </c>
      <c r="Z253" s="23">
        <f t="shared" si="1691"/>
        <v>5602.0699934500008</v>
      </c>
      <c r="AA253" s="23">
        <f t="shared" si="1691"/>
        <v>5722.3773097495005</v>
      </c>
      <c r="AB253" s="23">
        <f t="shared" ref="AB253:AD255" si="1692">AB184*AVERAGE(Y$249:AB$249)</f>
        <v>5853.4489790755006</v>
      </c>
      <c r="AC253" s="23">
        <f t="shared" si="1692"/>
        <v>6099.3131492161674</v>
      </c>
      <c r="AD253" s="23">
        <f t="shared" si="1692"/>
        <v>6038.314808266</v>
      </c>
      <c r="AE253" s="23">
        <f t="shared" si="1691"/>
        <v>5903.2254153599997</v>
      </c>
      <c r="AF253" s="23">
        <f t="shared" si="1691"/>
        <v>5704.650667577499</v>
      </c>
      <c r="AG253" s="23">
        <f t="shared" si="1691"/>
        <v>5454.7772759250001</v>
      </c>
      <c r="AH253" s="23">
        <f t="shared" si="1691"/>
        <v>5525.6666008499997</v>
      </c>
      <c r="AI253" s="23">
        <f t="shared" si="1691"/>
        <v>5582.5299774372879</v>
      </c>
      <c r="AJ253" s="23">
        <f t="shared" si="1691"/>
        <v>5542.1513927018432</v>
      </c>
      <c r="AK253" s="23">
        <f t="shared" si="1691"/>
        <v>5243.0774644321273</v>
      </c>
      <c r="AL253" s="23">
        <f t="shared" si="1691"/>
        <v>5505.3025330291603</v>
      </c>
      <c r="AM253" s="23">
        <f>AM184*AVERAGE(AJ$249:AM$249)</f>
        <v>5902.5959639748771</v>
      </c>
      <c r="AN253" s="23">
        <f t="shared" si="1691"/>
        <v>6278.4437790735765</v>
      </c>
      <c r="AO253" s="23">
        <f t="shared" si="1691"/>
        <v>6823.0373829428354</v>
      </c>
      <c r="AP253" s="23">
        <f t="shared" si="1691"/>
        <v>7309.056111432883</v>
      </c>
      <c r="AQ253" s="23">
        <f>AQ184*AVERAGE(AN$249:AQ$249)</f>
        <v>7789.0840546943455</v>
      </c>
      <c r="AR253" s="23">
        <f t="shared" si="1691"/>
        <v>8344.2294431630926</v>
      </c>
      <c r="AS253" s="23">
        <f t="shared" si="1691"/>
        <v>8765.3072972105037</v>
      </c>
      <c r="AT253" s="23">
        <f t="shared" si="1691"/>
        <v>8403.9006862317601</v>
      </c>
      <c r="AU253" s="23">
        <f t="shared" ref="AU253:BH255" si="1693">AU184*AVERAGE(AR$249:AU$249)</f>
        <v>8258.0490988939873</v>
      </c>
      <c r="AV253" s="23">
        <f t="shared" si="1693"/>
        <v>8294.2893605220852</v>
      </c>
      <c r="AW253" s="23">
        <f t="shared" si="1693"/>
        <v>8471.4191049360179</v>
      </c>
      <c r="AX253" s="23">
        <f t="shared" si="1693"/>
        <v>8826.7096217543658</v>
      </c>
      <c r="AY253" s="23">
        <f t="shared" ref="AY253:AY255" si="1694">AY184*AVERAGE(AV$249:AY$249)</f>
        <v>11617.282304889713</v>
      </c>
      <c r="AZ253" s="23">
        <f t="shared" si="1693"/>
        <v>11595.544198034064</v>
      </c>
      <c r="BA253" s="23">
        <f t="shared" si="1693"/>
        <v>12336.323668513987</v>
      </c>
      <c r="BB253" s="23">
        <f t="shared" si="1693"/>
        <v>13298.955253190281</v>
      </c>
      <c r="BC253" s="23">
        <f>BC184*AVERAGE(AZ$249:BC$249)</f>
        <v>13072.647613513111</v>
      </c>
      <c r="BD253" s="23">
        <f t="shared" si="1693"/>
        <v>13652.877554912775</v>
      </c>
      <c r="BE253" s="23">
        <f t="shared" si="1693"/>
        <v>13612.09724783779</v>
      </c>
      <c r="BF253" s="23">
        <f t="shared" si="1693"/>
        <v>13474.182396096832</v>
      </c>
      <c r="BG253" s="23">
        <f>BG184*AVERAGE(BD$249:BG$249)</f>
        <v>13255.686809429028</v>
      </c>
      <c r="BH253" s="23">
        <f t="shared" si="1693"/>
        <v>13790.89098760108</v>
      </c>
      <c r="BJ253" s="23">
        <f>BJ184*AVERAGE(AZ$249:BJ$249)</f>
        <v>5292.8058717350959</v>
      </c>
      <c r="BK253" s="23">
        <f>BK184*AVERAGE(BI$249:BK$249)</f>
        <v>11231.586571964817</v>
      </c>
      <c r="BL253" s="23">
        <f t="shared" ref="BL253:BM255" si="1695">BL184*AVERAGE(AU$249:AX$249)</f>
        <v>13575.74422869981</v>
      </c>
      <c r="BM253" s="23">
        <f t="shared" si="1695"/>
        <v>16772.89164920948</v>
      </c>
      <c r="BN253" s="23">
        <f t="shared" ref="BN253:BO255" si="1696">BN184*AVERAGE(BD$249:BN$249)</f>
        <v>13715.033604359141</v>
      </c>
      <c r="BO253" s="23">
        <f t="shared" si="1696"/>
        <v>15729.018920349581</v>
      </c>
      <c r="BP253" s="23">
        <f t="shared" ref="BP253:BP255" si="1697">BP184*AVERAGE(AY$249:BB$249)</f>
        <v>17146.250527028322</v>
      </c>
      <c r="BQ253" s="23">
        <f t="shared" ref="BQ253:BR255" si="1698">BQ184*AVERAGE(BN$249:BQ$249)</f>
        <v>17111.093046137517</v>
      </c>
      <c r="BR253" s="23">
        <f t="shared" si="1698"/>
        <v>17716.829794566573</v>
      </c>
      <c r="BW253" s="39"/>
      <c r="BX253" s="39"/>
    </row>
    <row r="254" spans="2:76" ht="13.5" customHeight="1">
      <c r="B254" s="1" t="s">
        <v>318</v>
      </c>
      <c r="C254" s="23">
        <f t="shared" si="1685"/>
        <v>626.29012</v>
      </c>
      <c r="D254" s="23">
        <f t="shared" si="1685"/>
        <v>563.35610999999994</v>
      </c>
      <c r="E254" s="23">
        <f t="shared" si="1685"/>
        <v>586.95420000000001</v>
      </c>
      <c r="F254" s="23">
        <f t="shared" si="1685"/>
        <v>536.52573766666671</v>
      </c>
      <c r="G254" s="23">
        <f t="shared" si="1685"/>
        <v>614.22119999999995</v>
      </c>
      <c r="H254" s="23">
        <f t="shared" si="1686"/>
        <v>563.29741632906916</v>
      </c>
      <c r="I254" s="23">
        <f t="shared" si="1686"/>
        <v>789.50995626064616</v>
      </c>
      <c r="J254" s="23">
        <f t="shared" si="1687"/>
        <v>727.54419334799991</v>
      </c>
      <c r="K254" s="23">
        <f t="shared" si="1687"/>
        <v>734.01176527019663</v>
      </c>
      <c r="L254" s="23">
        <f>L185*L$249</f>
        <v>1008.7343070057865</v>
      </c>
      <c r="M254" s="23">
        <f t="shared" ref="M254:O254" si="1699">M185*M$249</f>
        <v>907.18313838007157</v>
      </c>
      <c r="N254" s="23">
        <f t="shared" ref="N254" si="1700">N185*N$249</f>
        <v>1382.0343413105975</v>
      </c>
      <c r="O254" s="23">
        <f t="shared" si="1699"/>
        <v>699.37658295928827</v>
      </c>
      <c r="P254" s="23">
        <f t="shared" ref="P254:Q254" si="1701">P185*P$249</f>
        <v>915.40942460964288</v>
      </c>
      <c r="Q254" s="23">
        <f t="shared" si="1701"/>
        <v>776.34067818208052</v>
      </c>
      <c r="R254" s="23">
        <f t="shared" ref="R254" si="1702">R185*R$249</f>
        <v>840.02161306832124</v>
      </c>
      <c r="S254" s="23"/>
      <c r="T254" s="112"/>
      <c r="U254" s="112"/>
      <c r="V254" s="112"/>
      <c r="W254" s="23">
        <f t="shared" si="1691"/>
        <v>586.91439750000006</v>
      </c>
      <c r="X254" s="23">
        <f t="shared" si="1691"/>
        <v>576.36393750000002</v>
      </c>
      <c r="Y254" s="23">
        <f t="shared" si="1691"/>
        <v>562.69479999999987</v>
      </c>
      <c r="Z254" s="23">
        <f t="shared" si="1691"/>
        <v>555.6232500000001</v>
      </c>
      <c r="AA254" s="23">
        <f t="shared" si="1691"/>
        <v>536.52573766666671</v>
      </c>
      <c r="AB254" s="23">
        <f t="shared" si="1692"/>
        <v>542.61714800000004</v>
      </c>
      <c r="AC254" s="23">
        <f t="shared" si="1692"/>
        <v>551.71794583333326</v>
      </c>
      <c r="AD254" s="23">
        <f t="shared" si="1692"/>
        <v>555.04252399999996</v>
      </c>
      <c r="AE254" s="23">
        <f t="shared" si="1691"/>
        <v>613.703755</v>
      </c>
      <c r="AF254" s="23">
        <f t="shared" si="1691"/>
        <v>590.57785249999995</v>
      </c>
      <c r="AG254" s="23">
        <f t="shared" si="1691"/>
        <v>584.36304749999999</v>
      </c>
      <c r="AH254" s="23">
        <f t="shared" si="1691"/>
        <v>604.09733999999992</v>
      </c>
      <c r="AI254" s="23">
        <f t="shared" si="1691"/>
        <v>585.66122658226732</v>
      </c>
      <c r="AJ254" s="23">
        <f t="shared" si="1691"/>
        <v>598.52336992036339</v>
      </c>
      <c r="AK254" s="23">
        <f t="shared" si="1691"/>
        <v>573.76243891843956</v>
      </c>
      <c r="AL254" s="23">
        <f t="shared" si="1691"/>
        <v>666.39167710341496</v>
      </c>
      <c r="AM254" s="23">
        <f t="shared" si="1691"/>
        <v>732.61683967779868</v>
      </c>
      <c r="AN254" s="23">
        <f t="shared" si="1691"/>
        <v>829.88286153002332</v>
      </c>
      <c r="AO254" s="23">
        <f t="shared" si="1691"/>
        <v>859.48650687235477</v>
      </c>
      <c r="AP254" s="23">
        <f t="shared" si="1691"/>
        <v>829.63166816152795</v>
      </c>
      <c r="AQ254" s="23">
        <f>AQ185*AVERAGE(AN$249:AQ$249)</f>
        <v>789.82432830173104</v>
      </c>
      <c r="AR254" s="23">
        <f t="shared" si="1691"/>
        <v>802.44314762624424</v>
      </c>
      <c r="AS254" s="23">
        <f t="shared" si="1691"/>
        <v>780.71590550850453</v>
      </c>
      <c r="AT254" s="23">
        <f t="shared" si="1691"/>
        <v>728.12395605057156</v>
      </c>
      <c r="AU254" s="23">
        <f t="shared" si="1693"/>
        <v>734.01176527019663</v>
      </c>
      <c r="AV254" s="23">
        <f t="shared" si="1693"/>
        <v>717.6225854964357</v>
      </c>
      <c r="AW254" s="23">
        <f t="shared" si="1693"/>
        <v>804.93489304493073</v>
      </c>
      <c r="AX254" s="23">
        <f t="shared" si="1693"/>
        <v>898.4360768905957</v>
      </c>
      <c r="AY254" s="23">
        <f t="shared" si="1694"/>
        <v>907.18313838007157</v>
      </c>
      <c r="AZ254" s="23">
        <f t="shared" si="1693"/>
        <v>886.73720955151089</v>
      </c>
      <c r="BA254" s="23">
        <f t="shared" si="1693"/>
        <v>809.05230405237432</v>
      </c>
      <c r="BB254" s="23">
        <f t="shared" si="1693"/>
        <v>679.1091391064648</v>
      </c>
      <c r="BC254" s="23">
        <f t="shared" si="1693"/>
        <v>699.37658295928827</v>
      </c>
      <c r="BD254" s="23">
        <f t="shared" si="1693"/>
        <v>673.57821492382061</v>
      </c>
      <c r="BE254" s="23">
        <f t="shared" si="1693"/>
        <v>690.95768837624564</v>
      </c>
      <c r="BF254" s="23">
        <f t="shared" si="1693"/>
        <v>785.97548612741809</v>
      </c>
      <c r="BG254" s="23">
        <f t="shared" si="1693"/>
        <v>776.34067818208052</v>
      </c>
      <c r="BH254" s="23">
        <f t="shared" si="1693"/>
        <v>840.02161306832124</v>
      </c>
      <c r="BJ254" s="23">
        <f>BJ185*AVERAGE(AZ$249:BJ$249)</f>
        <v>422.86100646317061</v>
      </c>
      <c r="BK254" s="23">
        <f>BK185*AVERAGE(BI$249:BK$249)</f>
        <v>1002.2166875860555</v>
      </c>
      <c r="BL254" s="23">
        <f t="shared" si="1695"/>
        <v>1159.0467337256623</v>
      </c>
      <c r="BM254" s="23">
        <f t="shared" si="1695"/>
        <v>1382.0343413105975</v>
      </c>
      <c r="BN254" s="23">
        <f t="shared" si="1696"/>
        <v>1144.0468178918291</v>
      </c>
      <c r="BO254" s="23">
        <f t="shared" si="1696"/>
        <v>1094.4291675546324</v>
      </c>
      <c r="BP254" s="23">
        <f t="shared" si="1697"/>
        <v>1052.1926194113375</v>
      </c>
      <c r="BQ254" s="23">
        <f t="shared" si="1698"/>
        <v>915.40942460964288</v>
      </c>
      <c r="BR254" s="23">
        <f t="shared" si="1698"/>
        <v>867.78089698451879</v>
      </c>
      <c r="BW254" s="39"/>
      <c r="BX254" s="39"/>
    </row>
    <row r="255" spans="2:76" ht="13.5" customHeight="1">
      <c r="B255" s="1" t="s">
        <v>319</v>
      </c>
      <c r="C255" s="23">
        <f t="shared" si="1685"/>
        <v>638.90558848000001</v>
      </c>
      <c r="D255" s="23">
        <f t="shared" si="1685"/>
        <v>570.38422649999995</v>
      </c>
      <c r="E255" s="23">
        <f t="shared" si="1685"/>
        <v>594.42202259999999</v>
      </c>
      <c r="F255" s="23">
        <f t="shared" si="1685"/>
        <v>545.19224834116676</v>
      </c>
      <c r="G255" s="23">
        <f t="shared" si="1685"/>
        <v>623.44439999999997</v>
      </c>
      <c r="H255" s="23">
        <f t="shared" si="1686"/>
        <v>563.29741632906916</v>
      </c>
      <c r="I255" s="23">
        <f t="shared" si="1686"/>
        <v>789.50995626064616</v>
      </c>
      <c r="J255" s="23">
        <f t="shared" si="1687"/>
        <v>727.54419334799991</v>
      </c>
      <c r="K255" s="23">
        <f t="shared" si="1687"/>
        <v>734.01176527019663</v>
      </c>
      <c r="L255" s="23">
        <f>L186*L$249</f>
        <v>1008.7343070057865</v>
      </c>
      <c r="M255" s="23">
        <f t="shared" ref="M255:O255" si="1703">M186*M$249</f>
        <v>907.18313838007157</v>
      </c>
      <c r="N255" s="23">
        <f t="shared" ref="N255" si="1704">N186*N$249</f>
        <v>1382.0343413105975</v>
      </c>
      <c r="O255" s="23">
        <f t="shared" si="1703"/>
        <v>699.37658295928827</v>
      </c>
      <c r="P255" s="23">
        <f t="shared" ref="P255:Q255" si="1705">P186*P$249</f>
        <v>915.40942460964288</v>
      </c>
      <c r="Q255" s="23">
        <f t="shared" si="1705"/>
        <v>776.34067818208052</v>
      </c>
      <c r="R255" s="23">
        <f t="shared" ref="R255" si="1706">R186*R$249</f>
        <v>840.02161306832124</v>
      </c>
      <c r="S255" s="23"/>
      <c r="T255" s="112"/>
      <c r="U255" s="112"/>
      <c r="V255" s="112"/>
      <c r="W255" s="23">
        <f t="shared" si="1691"/>
        <v>594.38171369250017</v>
      </c>
      <c r="X255" s="23">
        <f t="shared" si="1691"/>
        <v>584.15286881250017</v>
      </c>
      <c r="Y255" s="23">
        <f t="shared" si="1691"/>
        <v>570.75224381249996</v>
      </c>
      <c r="Z255" s="23">
        <f t="shared" si="1691"/>
        <v>563.97156056500023</v>
      </c>
      <c r="AA255" s="23">
        <f t="shared" si="1691"/>
        <v>545.19224834116676</v>
      </c>
      <c r="AB255" s="23">
        <f t="shared" si="1692"/>
        <v>551.21485133450005</v>
      </c>
      <c r="AC255" s="23">
        <f t="shared" si="1692"/>
        <v>560.1101740378333</v>
      </c>
      <c r="AD255" s="23">
        <f t="shared" si="1692"/>
        <v>562.60677580699996</v>
      </c>
      <c r="AE255" s="23">
        <f t="shared" si="1691"/>
        <v>622.91918499999997</v>
      </c>
      <c r="AF255" s="23">
        <f t="shared" si="1691"/>
        <v>597.39944668062492</v>
      </c>
      <c r="AG255" s="23">
        <f t="shared" si="1691"/>
        <v>589.06133715375006</v>
      </c>
      <c r="AH255" s="23">
        <f t="shared" si="1691"/>
        <v>607.36526946375</v>
      </c>
      <c r="AI255" s="23">
        <f t="shared" si="1691"/>
        <v>585.66122658226732</v>
      </c>
      <c r="AJ255" s="23">
        <f t="shared" si="1691"/>
        <v>598.52336992036339</v>
      </c>
      <c r="AK255" s="23">
        <f t="shared" si="1691"/>
        <v>573.76243891843956</v>
      </c>
      <c r="AL255" s="23">
        <f t="shared" si="1691"/>
        <v>666.39167710341496</v>
      </c>
      <c r="AM255" s="23">
        <f t="shared" si="1691"/>
        <v>732.61683967779868</v>
      </c>
      <c r="AN255" s="23">
        <f t="shared" si="1691"/>
        <v>829.88286153002332</v>
      </c>
      <c r="AO255" s="23">
        <f t="shared" si="1691"/>
        <v>859.48650687235477</v>
      </c>
      <c r="AP255" s="23">
        <f t="shared" si="1691"/>
        <v>829.63166816152795</v>
      </c>
      <c r="AQ255" s="23">
        <f t="shared" si="1691"/>
        <v>789.82432830173104</v>
      </c>
      <c r="AR255" s="23">
        <f t="shared" si="1691"/>
        <v>802.44314762624424</v>
      </c>
      <c r="AS255" s="23">
        <f t="shared" si="1691"/>
        <v>780.71590550850453</v>
      </c>
      <c r="AT255" s="23">
        <f t="shared" si="1691"/>
        <v>728.12395605057156</v>
      </c>
      <c r="AU255" s="23">
        <f t="shared" si="1691"/>
        <v>734.01176527019663</v>
      </c>
      <c r="AV255" s="23">
        <f>AV186*AVERAGE(AS$249:AV$249)</f>
        <v>717.6225854964357</v>
      </c>
      <c r="AW255" s="23">
        <f>AW186*AVERAGE(AT$249:AW$249)</f>
        <v>804.93489304493073</v>
      </c>
      <c r="AX255" s="23">
        <f>AX186*AVERAGE(AU$249:AX$249)</f>
        <v>898.4360768905957</v>
      </c>
      <c r="AY255" s="23">
        <f t="shared" si="1694"/>
        <v>907.18313838007157</v>
      </c>
      <c r="AZ255" s="23">
        <f>AZ186*AVERAGE(AW$249:AZ$249)</f>
        <v>886.73720955151089</v>
      </c>
      <c r="BA255" s="23">
        <f>BA186*AVERAGE(AX$249:BA$249)</f>
        <v>809.05230405237432</v>
      </c>
      <c r="BB255" s="23">
        <f>BB186*AVERAGE(AY$249:BB$249)</f>
        <v>679.1091391064648</v>
      </c>
      <c r="BC255" s="23">
        <f t="shared" si="1693"/>
        <v>699.37658295928827</v>
      </c>
      <c r="BD255" s="23">
        <f>BD186*AVERAGE(BA$249:BD$249)</f>
        <v>673.57821492382061</v>
      </c>
      <c r="BE255" s="23">
        <f>BE186*AVERAGE(BB$249:BE$249)</f>
        <v>690.95768837624564</v>
      </c>
      <c r="BF255" s="23">
        <f>BF186*AVERAGE(BC$249:BF$249)</f>
        <v>785.97548612741809</v>
      </c>
      <c r="BG255" s="23">
        <f t="shared" si="1693"/>
        <v>776.34067818208052</v>
      </c>
      <c r="BH255" s="23">
        <f>BH186*AVERAGE(BE$249:BH$249)</f>
        <v>840.02161306832124</v>
      </c>
      <c r="BJ255" s="23">
        <f>BJ186*AVERAGE(AZ$249:BJ$249)</f>
        <v>422.86100646317061</v>
      </c>
      <c r="BK255" s="23">
        <f>BK186*AVERAGE(BI$249:BK$249)</f>
        <v>1002.2166875860555</v>
      </c>
      <c r="BL255" s="23">
        <f t="shared" si="1695"/>
        <v>1159.0467337256623</v>
      </c>
      <c r="BM255" s="23">
        <f t="shared" si="1695"/>
        <v>1382.0343413105975</v>
      </c>
      <c r="BN255" s="23">
        <f t="shared" si="1696"/>
        <v>1144.0468178918291</v>
      </c>
      <c r="BO255" s="23">
        <f t="shared" si="1696"/>
        <v>1094.4291675546324</v>
      </c>
      <c r="BP255" s="23">
        <f t="shared" si="1697"/>
        <v>1052.1926194113375</v>
      </c>
      <c r="BQ255" s="23">
        <f t="shared" si="1698"/>
        <v>915.40942460964288</v>
      </c>
      <c r="BR255" s="23">
        <f t="shared" si="1698"/>
        <v>867.78089698451879</v>
      </c>
      <c r="BW255" s="39"/>
      <c r="BX255" s="39"/>
    </row>
    <row r="256" spans="2:76" ht="13.5" customHeight="1">
      <c r="B256" s="1" t="s">
        <v>384</v>
      </c>
      <c r="C256" s="47">
        <f t="shared" ref="C256:J256" si="1707">C254/C253</f>
        <v>0.1093971863427242</v>
      </c>
      <c r="D256" s="47">
        <f t="shared" si="1707"/>
        <v>0.10779254699599748</v>
      </c>
      <c r="E256" s="47">
        <f t="shared" si="1707"/>
        <v>0.10990190711182758</v>
      </c>
      <c r="F256" s="47">
        <f t="shared" si="1707"/>
        <v>9.3759238271926074E-2</v>
      </c>
      <c r="G256" s="47">
        <f t="shared" si="1707"/>
        <v>0.10396075226996464</v>
      </c>
      <c r="H256" s="47">
        <f t="shared" si="1707"/>
        <v>0.10490964293059123</v>
      </c>
      <c r="I256" s="47">
        <f t="shared" si="1707"/>
        <v>0.12411773466270694</v>
      </c>
      <c r="J256" s="47">
        <f t="shared" si="1707"/>
        <v>0.10140143857167874</v>
      </c>
      <c r="K256" s="47">
        <f t="shared" ref="K256" si="1708">K254/K253</f>
        <v>8.8884403141718291E-2</v>
      </c>
      <c r="L256" s="47">
        <f t="shared" ref="L256:M256" si="1709">L254/L253</f>
        <v>6.3607228204404662E-2</v>
      </c>
      <c r="M256" s="47">
        <f t="shared" si="1709"/>
        <v>7.8089101613570869E-2</v>
      </c>
      <c r="N256" s="47">
        <f t="shared" ref="N256" si="1710">N254/N253</f>
        <v>8.2396903897947377E-2</v>
      </c>
      <c r="O256" s="47">
        <f t="shared" ref="O256:P256" si="1711">O254/O253</f>
        <v>5.3499230120480509E-2</v>
      </c>
      <c r="P256" s="47">
        <f t="shared" si="1711"/>
        <v>5.3498009866545494E-2</v>
      </c>
      <c r="Q256" s="47">
        <f t="shared" ref="Q256" si="1712">Q254/Q253</f>
        <v>5.8566612906835902E-2</v>
      </c>
      <c r="R256" s="47">
        <f>R254/R253</f>
        <v>6.0911337332994364E-2</v>
      </c>
      <c r="S256" s="295"/>
      <c r="T256" s="129"/>
      <c r="U256" s="129"/>
      <c r="V256" s="129"/>
      <c r="W256" s="47">
        <f t="shared" ref="W256:AE256" si="1713">W254/W253</f>
        <v>0.10990190711182757</v>
      </c>
      <c r="X256" s="129">
        <f t="shared" si="1713"/>
        <v>0.10655132538978573</v>
      </c>
      <c r="Y256" s="129">
        <f t="shared" si="1713"/>
        <v>0.10314404688945852</v>
      </c>
      <c r="Z256" s="129">
        <f t="shared" si="1713"/>
        <v>9.9181775781031059E-2</v>
      </c>
      <c r="AA256" s="129">
        <f t="shared" si="1713"/>
        <v>9.3759238271926074E-2</v>
      </c>
      <c r="AB256" s="129">
        <f t="shared" si="1713"/>
        <v>9.2700414736629599E-2</v>
      </c>
      <c r="AC256" s="129">
        <f t="shared" si="1713"/>
        <v>9.045575007150361E-2</v>
      </c>
      <c r="AD256" s="129">
        <f t="shared" si="1713"/>
        <v>9.1920103807802203E-2</v>
      </c>
      <c r="AE256" s="129">
        <f t="shared" si="1713"/>
        <v>0.10396075226996464</v>
      </c>
      <c r="AF256" s="129">
        <f t="shared" ref="AF256:AK256" si="1714">AF254/AF253</f>
        <v>0.10352568227473796</v>
      </c>
      <c r="AG256" s="129">
        <f t="shared" si="1714"/>
        <v>0.10712867234362121</v>
      </c>
      <c r="AH256" s="129">
        <f t="shared" si="1714"/>
        <v>0.1093256947328442</v>
      </c>
      <c r="AI256" s="129">
        <f t="shared" si="1714"/>
        <v>0.10490964293059121</v>
      </c>
      <c r="AJ256" s="129">
        <f t="shared" si="1714"/>
        <v>0.10799477089502213</v>
      </c>
      <c r="AK256" s="129">
        <f t="shared" si="1714"/>
        <v>0.10943237875288253</v>
      </c>
      <c r="AL256" s="129">
        <f t="shared" ref="AL256:AQ256" si="1715">AL254/AL253</f>
        <v>0.12104542359032701</v>
      </c>
      <c r="AM256" s="129">
        <f t="shared" si="1715"/>
        <v>0.12411773466270694</v>
      </c>
      <c r="AN256" s="129">
        <f t="shared" si="1715"/>
        <v>0.13217970738164</v>
      </c>
      <c r="AO256" s="129">
        <f t="shared" si="1715"/>
        <v>0.12596831273723005</v>
      </c>
      <c r="AP256" s="129">
        <f t="shared" si="1715"/>
        <v>0.11350736066505381</v>
      </c>
      <c r="AQ256" s="129">
        <f t="shared" si="1715"/>
        <v>0.10140143857167874</v>
      </c>
      <c r="AR256" s="129">
        <f>AR254/AR253</f>
        <v>9.6167435602305021E-2</v>
      </c>
      <c r="AS256" s="129">
        <f>AS254/AS253</f>
        <v>8.9068857375595015E-2</v>
      </c>
      <c r="AT256" s="129">
        <f>AT254/AT253</f>
        <v>8.6641189994482948E-2</v>
      </c>
      <c r="AU256" s="129">
        <f t="shared" ref="AU256" si="1716">AU254/AU253</f>
        <v>8.8884403141718291E-2</v>
      </c>
      <c r="AV256" s="129">
        <f>AV254/AV253</f>
        <v>8.652008078137087E-2</v>
      </c>
      <c r="AW256" s="129">
        <f>AW254/AW253</f>
        <v>9.5017715812917528E-2</v>
      </c>
      <c r="AX256" s="129">
        <f>AX254/AX253</f>
        <v>0.101786069259184</v>
      </c>
      <c r="AY256" s="129">
        <f t="shared" ref="AY256" si="1717">AY254/AY253</f>
        <v>7.8089101613570869E-2</v>
      </c>
      <c r="AZ256" s="129">
        <f>AZ254/AZ253</f>
        <v>7.6472237473929894E-2</v>
      </c>
      <c r="BA256" s="129">
        <f>BA254/BA253</f>
        <v>6.5582934251094543E-2</v>
      </c>
      <c r="BB256" s="129">
        <f>BB254/BB253</f>
        <v>5.1064848792806754E-2</v>
      </c>
      <c r="BC256" s="129">
        <f t="shared" ref="BC256" si="1718">BC254/BC253</f>
        <v>5.3499230120480509E-2</v>
      </c>
      <c r="BD256" s="129">
        <f>BD254/BD253</f>
        <v>4.933598885763419E-2</v>
      </c>
      <c r="BE256" s="129">
        <f>BE254/BE253</f>
        <v>5.0760560683328987E-2</v>
      </c>
      <c r="BF256" s="129">
        <f>BF254/BF253</f>
        <v>5.8331961303648192E-2</v>
      </c>
      <c r="BG256" s="129">
        <f t="shared" ref="BG256" si="1719">BG254/BG253</f>
        <v>5.8566612906835902E-2</v>
      </c>
      <c r="BH256" s="129">
        <f>BH254/BH253</f>
        <v>6.0911337332994364E-2</v>
      </c>
      <c r="BJ256" s="129">
        <f t="shared" ref="BJ256:BO256" si="1720">BJ254/BJ253</f>
        <v>7.98935416697132E-2</v>
      </c>
      <c r="BK256" s="129">
        <f t="shared" si="1720"/>
        <v>8.923197815059275E-2</v>
      </c>
      <c r="BL256" s="129">
        <f t="shared" si="1720"/>
        <v>8.5376294234785224E-2</v>
      </c>
      <c r="BM256" s="129">
        <f t="shared" si="1720"/>
        <v>8.2396903897947377E-2</v>
      </c>
      <c r="BN256" s="129">
        <f t="shared" si="1720"/>
        <v>8.3415531517779806E-2</v>
      </c>
      <c r="BO256" s="129">
        <f t="shared" si="1720"/>
        <v>6.958025628278082E-2</v>
      </c>
      <c r="BP256" s="129">
        <f t="shared" ref="BP256:BQ256" si="1721">BP254/BP253</f>
        <v>6.1365755606610561E-2</v>
      </c>
      <c r="BQ256" s="129">
        <f t="shared" si="1721"/>
        <v>5.3498009866545494E-2</v>
      </c>
      <c r="BR256" s="129">
        <f t="shared" ref="BR256" si="1722">BR254/BR253</f>
        <v>4.8980596813694703E-2</v>
      </c>
      <c r="BW256" s="39"/>
      <c r="BX256" s="39"/>
    </row>
    <row r="257" spans="2:76" ht="13.5" customHeight="1">
      <c r="B257" s="1" t="s">
        <v>320</v>
      </c>
      <c r="C257" s="23">
        <f t="shared" ref="C257:G260" si="1723">C188*C$249</f>
        <v>12.615468480000001</v>
      </c>
      <c r="D257" s="23">
        <f t="shared" si="1723"/>
        <v>7.0281165000000003</v>
      </c>
      <c r="E257" s="23">
        <f t="shared" si="1723"/>
        <v>7.4678225999999999</v>
      </c>
      <c r="F257" s="23">
        <f t="shared" si="1723"/>
        <v>8.6665106744999996</v>
      </c>
      <c r="G257" s="23">
        <f t="shared" si="1723"/>
        <v>9.2232000000000003</v>
      </c>
      <c r="H257" s="23">
        <f t="shared" ref="H257:I260" si="1724">H188*H$249</f>
        <v>0</v>
      </c>
      <c r="I257" s="23">
        <f t="shared" si="1724"/>
        <v>0</v>
      </c>
      <c r="J257" s="23">
        <f t="shared" ref="J257:K260" si="1725">J188*J$249</f>
        <v>0</v>
      </c>
      <c r="K257" s="23">
        <f t="shared" si="1725"/>
        <v>0</v>
      </c>
      <c r="L257" s="23">
        <f>L188*L$249</f>
        <v>0</v>
      </c>
      <c r="M257" s="23">
        <f t="shared" ref="M257:O257" si="1726">M188*M$249</f>
        <v>0</v>
      </c>
      <c r="N257" s="23">
        <f t="shared" ref="N257" si="1727">N188*N$249</f>
        <v>0</v>
      </c>
      <c r="O257" s="23">
        <f t="shared" si="1726"/>
        <v>0</v>
      </c>
      <c r="P257" s="23">
        <f t="shared" ref="P257:Q257" si="1728">P188*P$249</f>
        <v>0</v>
      </c>
      <c r="Q257" s="23">
        <f t="shared" si="1728"/>
        <v>0</v>
      </c>
      <c r="R257" s="23">
        <f t="shared" ref="R257" si="1729">R188*R$249</f>
        <v>0</v>
      </c>
      <c r="S257" s="23"/>
      <c r="T257" s="112"/>
      <c r="U257" s="112"/>
      <c r="V257" s="112"/>
      <c r="W257" s="23">
        <f t="shared" ref="W257:AU260" si="1730">W188*AVERAGE(T$249:W$249)</f>
        <v>7.467316192500002</v>
      </c>
      <c r="X257" s="23">
        <f t="shared" si="1730"/>
        <v>7.7889313125000008</v>
      </c>
      <c r="Y257" s="23">
        <f t="shared" si="1730"/>
        <v>8.0574438124999972</v>
      </c>
      <c r="Z257" s="23">
        <f t="shared" si="1730"/>
        <v>8.3483105649999985</v>
      </c>
      <c r="AA257" s="23">
        <f t="shared" si="1730"/>
        <v>8.6665106744999996</v>
      </c>
      <c r="AB257" s="23">
        <f t="shared" ref="AB257:AD260" si="1731">AB188*AVERAGE(Y$249:AB$249)</f>
        <v>8.5977033345000002</v>
      </c>
      <c r="AC257" s="23">
        <f t="shared" si="1731"/>
        <v>8.3922282045000003</v>
      </c>
      <c r="AD257" s="23">
        <f t="shared" si="1731"/>
        <v>7.5642518070000007</v>
      </c>
      <c r="AE257" s="23">
        <f t="shared" si="1730"/>
        <v>9.2154299999999996</v>
      </c>
      <c r="AF257" s="23">
        <f t="shared" si="1730"/>
        <v>0</v>
      </c>
      <c r="AG257" s="23">
        <f t="shared" si="1730"/>
        <v>0</v>
      </c>
      <c r="AH257" s="23">
        <f t="shared" si="1730"/>
        <v>0</v>
      </c>
      <c r="AI257" s="23">
        <f t="shared" si="1730"/>
        <v>0</v>
      </c>
      <c r="AJ257" s="23">
        <f t="shared" si="1730"/>
        <v>0</v>
      </c>
      <c r="AK257" s="23">
        <f t="shared" si="1730"/>
        <v>0</v>
      </c>
      <c r="AL257" s="23">
        <f t="shared" si="1730"/>
        <v>0</v>
      </c>
      <c r="AM257" s="23">
        <f t="shared" si="1730"/>
        <v>0</v>
      </c>
      <c r="AN257" s="23">
        <f t="shared" si="1730"/>
        <v>0</v>
      </c>
      <c r="AO257" s="23">
        <f t="shared" si="1730"/>
        <v>0</v>
      </c>
      <c r="AP257" s="23">
        <f t="shared" si="1730"/>
        <v>0</v>
      </c>
      <c r="AQ257" s="23">
        <f t="shared" si="1730"/>
        <v>0</v>
      </c>
      <c r="AR257" s="23">
        <f t="shared" si="1730"/>
        <v>0</v>
      </c>
      <c r="AS257" s="23">
        <f t="shared" si="1730"/>
        <v>0</v>
      </c>
      <c r="AT257" s="23">
        <f t="shared" si="1730"/>
        <v>0</v>
      </c>
      <c r="AU257" s="23">
        <f t="shared" si="1730"/>
        <v>0</v>
      </c>
      <c r="AV257" s="23">
        <f t="shared" ref="AV257:BH260" si="1732">AV188*AVERAGE(AS$249:AV$249)</f>
        <v>0</v>
      </c>
      <c r="AW257" s="23">
        <f t="shared" si="1732"/>
        <v>0</v>
      </c>
      <c r="AX257" s="23">
        <f t="shared" si="1732"/>
        <v>0</v>
      </c>
      <c r="AY257" s="23">
        <f t="shared" ref="AY257:AY260" si="1733">AY188*AVERAGE(AV$249:AY$249)</f>
        <v>0</v>
      </c>
      <c r="AZ257" s="23">
        <f t="shared" si="1732"/>
        <v>0</v>
      </c>
      <c r="BA257" s="23">
        <f t="shared" si="1732"/>
        <v>0</v>
      </c>
      <c r="BB257" s="23">
        <f t="shared" si="1732"/>
        <v>0</v>
      </c>
      <c r="BC257" s="23">
        <f t="shared" si="1732"/>
        <v>0</v>
      </c>
      <c r="BD257" s="23">
        <f t="shared" si="1732"/>
        <v>0</v>
      </c>
      <c r="BE257" s="23">
        <f t="shared" si="1732"/>
        <v>0</v>
      </c>
      <c r="BF257" s="23">
        <f t="shared" si="1732"/>
        <v>0</v>
      </c>
      <c r="BG257" s="23">
        <f t="shared" si="1732"/>
        <v>0</v>
      </c>
      <c r="BH257" s="23">
        <f t="shared" si="1732"/>
        <v>0</v>
      </c>
      <c r="BJ257" s="23">
        <f>BJ188*AVERAGE(AZ$249:BJ$249)</f>
        <v>0</v>
      </c>
      <c r="BK257" s="23">
        <f>BK188*AVERAGE(BI$249:BK$249)</f>
        <v>0</v>
      </c>
      <c r="BL257" s="23">
        <f t="shared" ref="BL257:BM260" si="1734">BL188*AVERAGE(AU$249:AX$249)</f>
        <v>0</v>
      </c>
      <c r="BM257" s="23">
        <f t="shared" si="1734"/>
        <v>0</v>
      </c>
      <c r="BN257" s="23">
        <f t="shared" ref="BN257:BO260" si="1735">BN188*AVERAGE(BD$249:BN$249)</f>
        <v>0</v>
      </c>
      <c r="BO257" s="23">
        <f t="shared" si="1735"/>
        <v>0</v>
      </c>
      <c r="BP257" s="23">
        <f t="shared" ref="BP257:BP260" si="1736">BP188*AVERAGE(AY$249:BB$249)</f>
        <v>0</v>
      </c>
      <c r="BQ257" s="23">
        <f t="shared" ref="BQ257:BR260" si="1737">BQ188*AVERAGE(BN$249:BQ$249)</f>
        <v>0</v>
      </c>
      <c r="BR257" s="23">
        <f t="shared" si="1737"/>
        <v>0</v>
      </c>
      <c r="BW257" s="39"/>
      <c r="BX257" s="39"/>
    </row>
    <row r="258" spans="2:76" ht="13.5" customHeight="1">
      <c r="B258" s="1" t="s">
        <v>296</v>
      </c>
      <c r="C258" s="23">
        <f t="shared" si="1723"/>
        <v>139.91248084</v>
      </c>
      <c r="D258" s="23">
        <f t="shared" si="1723"/>
        <v>142.32839790999998</v>
      </c>
      <c r="E258" s="23">
        <f t="shared" si="1723"/>
        <v>146.56734119999999</v>
      </c>
      <c r="F258" s="23">
        <f t="shared" si="1723"/>
        <v>140.35557229866669</v>
      </c>
      <c r="G258" s="23">
        <f t="shared" si="1723"/>
        <v>182.9151612</v>
      </c>
      <c r="H258" s="23">
        <f t="shared" si="1724"/>
        <v>241.1608868866513</v>
      </c>
      <c r="I258" s="23">
        <f t="shared" si="1724"/>
        <v>217.8297343661568</v>
      </c>
      <c r="J258" s="23">
        <f t="shared" si="1725"/>
        <v>157.16238354037199</v>
      </c>
      <c r="K258" s="23">
        <f t="shared" si="1725"/>
        <v>182.31081198492686</v>
      </c>
      <c r="L258" s="23">
        <f>L189*L$249</f>
        <v>427.18245249816607</v>
      </c>
      <c r="M258" s="23">
        <f t="shared" ref="M258:O258" si="1738">M189*M$249</f>
        <v>375.39357555079312</v>
      </c>
      <c r="N258" s="23">
        <f t="shared" ref="N258" si="1739">N189*N$249</f>
        <v>525.9675409627647</v>
      </c>
      <c r="O258" s="23">
        <f t="shared" si="1738"/>
        <v>462.78148408360477</v>
      </c>
      <c r="P258" s="23">
        <f t="shared" ref="P258:Q258" si="1740">P189*P$249</f>
        <v>605.74544191844211</v>
      </c>
      <c r="Q258" s="23">
        <f t="shared" si="1740"/>
        <v>629.11513848778304</v>
      </c>
      <c r="R258" s="23">
        <f t="shared" ref="R258" si="1741">R189*R$249</f>
        <v>679.8671231695613</v>
      </c>
      <c r="S258" s="23"/>
      <c r="T258" s="112"/>
      <c r="U258" s="112"/>
      <c r="V258" s="112"/>
      <c r="W258" s="23">
        <f t="shared" si="1730"/>
        <v>146.55740218500003</v>
      </c>
      <c r="X258" s="23">
        <f t="shared" si="1730"/>
        <v>132.4149766875</v>
      </c>
      <c r="Y258" s="23">
        <f t="shared" si="1730"/>
        <v>128.55877366249999</v>
      </c>
      <c r="Z258" s="23">
        <f t="shared" si="1730"/>
        <v>137.97435998500004</v>
      </c>
      <c r="AA258" s="23">
        <f t="shared" si="1730"/>
        <v>140.35557229866669</v>
      </c>
      <c r="AB258" s="23">
        <f t="shared" si="1731"/>
        <v>158.81657550983331</v>
      </c>
      <c r="AC258" s="23">
        <f t="shared" si="1731"/>
        <v>175.06661847300001</v>
      </c>
      <c r="AD258" s="23">
        <f t="shared" si="1731"/>
        <v>176.251884182</v>
      </c>
      <c r="AE258" s="23">
        <f t="shared" si="1730"/>
        <v>182.761066005</v>
      </c>
      <c r="AF258" s="23">
        <f t="shared" si="1730"/>
        <v>190.58565277</v>
      </c>
      <c r="AG258" s="23">
        <f t="shared" si="1730"/>
        <v>74.966378137500016</v>
      </c>
      <c r="AH258" s="23">
        <f t="shared" si="1730"/>
        <v>222.77925954000006</v>
      </c>
      <c r="AI258" s="23">
        <f t="shared" si="1730"/>
        <v>250.73536061666289</v>
      </c>
      <c r="AJ258" s="23">
        <f t="shared" si="1730"/>
        <v>261.84831514374565</v>
      </c>
      <c r="AK258" s="23">
        <f t="shared" si="1730"/>
        <v>372.58326042066443</v>
      </c>
      <c r="AL258" s="23">
        <f t="shared" si="1730"/>
        <v>45.881051635121494</v>
      </c>
      <c r="AM258" s="23">
        <f t="shared" si="1730"/>
        <v>202.13263976433382</v>
      </c>
      <c r="AN258" s="23">
        <f t="shared" si="1730"/>
        <v>168.56266820936739</v>
      </c>
      <c r="AO258" s="23">
        <f t="shared" si="1730"/>
        <v>155.42863518015778</v>
      </c>
      <c r="AP258" s="23">
        <f t="shared" si="1730"/>
        <v>311.29831660291774</v>
      </c>
      <c r="AQ258" s="23">
        <f t="shared" si="1730"/>
        <v>170.61599164560852</v>
      </c>
      <c r="AR258" s="23">
        <f t="shared" si="1730"/>
        <v>156.88959643815932</v>
      </c>
      <c r="AS258" s="23">
        <f t="shared" si="1730"/>
        <v>193.05826839623273</v>
      </c>
      <c r="AT258" s="23">
        <f t="shared" si="1730"/>
        <v>180.27146363863486</v>
      </c>
      <c r="AU258" s="23">
        <f t="shared" si="1730"/>
        <v>182.31081198492686</v>
      </c>
      <c r="AV258" s="23">
        <f t="shared" si="1732"/>
        <v>224.69434588309795</v>
      </c>
      <c r="AW258" s="23">
        <f t="shared" si="1732"/>
        <v>221.80089324309458</v>
      </c>
      <c r="AX258" s="23">
        <f t="shared" si="1732"/>
        <v>267.69241608996441</v>
      </c>
      <c r="AY258" s="23">
        <f t="shared" si="1733"/>
        <v>375.39357555079312</v>
      </c>
      <c r="AZ258" s="23">
        <f t="shared" si="1732"/>
        <v>394.23077752248361</v>
      </c>
      <c r="BA258" s="23">
        <f t="shared" si="1732"/>
        <v>380.89410275803618</v>
      </c>
      <c r="BB258" s="23">
        <f t="shared" si="1732"/>
        <v>468.64264330980427</v>
      </c>
      <c r="BC258" s="23">
        <f t="shared" si="1732"/>
        <v>462.78148408360477</v>
      </c>
      <c r="BD258" s="23">
        <f t="shared" si="1732"/>
        <v>513.30376817046647</v>
      </c>
      <c r="BE258" s="23">
        <f t="shared" si="1732"/>
        <v>563.53017057718921</v>
      </c>
      <c r="BF258" s="23">
        <f t="shared" si="1732"/>
        <v>626.1602123017492</v>
      </c>
      <c r="BG258" s="23">
        <f t="shared" si="1732"/>
        <v>629.11513848778293</v>
      </c>
      <c r="BH258" s="23">
        <f t="shared" si="1732"/>
        <v>679.8671231695613</v>
      </c>
      <c r="BJ258" s="23">
        <f>BJ189*AVERAGE(AZ$249:BJ$249)</f>
        <v>157.14716423447894</v>
      </c>
      <c r="BK258" s="23">
        <f>BK189*AVERAGE(BI$249:BK$249)</f>
        <v>307.15924660696174</v>
      </c>
      <c r="BL258" s="23">
        <f t="shared" si="1734"/>
        <v>488.500495951593</v>
      </c>
      <c r="BM258" s="23">
        <f t="shared" si="1734"/>
        <v>525.9675409627647</v>
      </c>
      <c r="BN258" s="23">
        <f t="shared" si="1735"/>
        <v>443.44494363937264</v>
      </c>
      <c r="BO258" s="23">
        <f t="shared" si="1735"/>
        <v>472.26144456866712</v>
      </c>
      <c r="BP258" s="23">
        <f t="shared" si="1736"/>
        <v>539.67730291671205</v>
      </c>
      <c r="BQ258" s="23">
        <f t="shared" si="1737"/>
        <v>605.74544191844211</v>
      </c>
      <c r="BR258" s="23">
        <f t="shared" si="1737"/>
        <v>665.91184403133025</v>
      </c>
      <c r="BW258" s="39"/>
      <c r="BX258" s="39"/>
    </row>
    <row r="259" spans="2:76" ht="13.5" customHeight="1">
      <c r="B259" s="1" t="s">
        <v>322</v>
      </c>
      <c r="C259" s="23">
        <f t="shared" si="1723"/>
        <v>207.31483916000002</v>
      </c>
      <c r="D259" s="23">
        <f t="shared" si="1723"/>
        <v>236.29671355999997</v>
      </c>
      <c r="E259" s="23">
        <f t="shared" si="1723"/>
        <v>275.71418699999998</v>
      </c>
      <c r="F259" s="23">
        <f t="shared" si="1723"/>
        <v>271.06823396216669</v>
      </c>
      <c r="G259" s="23">
        <f t="shared" si="1723"/>
        <v>394.68817799999999</v>
      </c>
      <c r="H259" s="23">
        <f t="shared" si="1724"/>
        <v>231.9090924372573</v>
      </c>
      <c r="I259" s="23">
        <f t="shared" si="1724"/>
        <v>270.0668754698205</v>
      </c>
      <c r="J259" s="23">
        <f t="shared" si="1725"/>
        <v>264.68381855260799</v>
      </c>
      <c r="K259" s="23">
        <f t="shared" si="1725"/>
        <v>364.31027175588667</v>
      </c>
      <c r="L259" s="23">
        <f>L190*L$249</f>
        <v>658.10891779522422</v>
      </c>
      <c r="M259" s="23">
        <f t="shared" ref="M259:O259" si="1742">M190*M$249</f>
        <v>623.15619382968418</v>
      </c>
      <c r="N259" s="23">
        <f t="shared" ref="N259" si="1743">N190*N$249</f>
        <v>837.43012192934418</v>
      </c>
      <c r="O259" s="23">
        <f t="shared" si="1742"/>
        <v>725.88627129217559</v>
      </c>
      <c r="P259" s="23">
        <f t="shared" ref="P259:Q259" si="1744">P190*P$249</f>
        <v>923.17858422657139</v>
      </c>
      <c r="Q259" s="23">
        <f t="shared" si="1744"/>
        <v>453.05713838671602</v>
      </c>
      <c r="R259" s="23">
        <f t="shared" ref="R259" si="1745">R190*R$249</f>
        <v>440.55295545114723</v>
      </c>
      <c r="S259" s="23"/>
      <c r="T259" s="112"/>
      <c r="U259" s="112"/>
      <c r="V259" s="112"/>
      <c r="W259" s="23">
        <f t="shared" si="1730"/>
        <v>275.69549028750004</v>
      </c>
      <c r="X259" s="23">
        <f t="shared" si="1730"/>
        <v>256.81651368750005</v>
      </c>
      <c r="Y259" s="23">
        <f t="shared" si="1730"/>
        <v>263.81951658749995</v>
      </c>
      <c r="Z259" s="23">
        <f t="shared" si="1730"/>
        <v>277.26027577500008</v>
      </c>
      <c r="AA259" s="23">
        <f t="shared" si="1730"/>
        <v>271.06823396216669</v>
      </c>
      <c r="AB259" s="23">
        <f t="shared" si="1731"/>
        <v>297.11857268983334</v>
      </c>
      <c r="AC259" s="23">
        <f t="shared" si="1731"/>
        <v>352.89634677399999</v>
      </c>
      <c r="AD259" s="23">
        <f t="shared" si="1731"/>
        <v>383.69734993733334</v>
      </c>
      <c r="AE259" s="23">
        <f t="shared" si="1730"/>
        <v>394.35567657500002</v>
      </c>
      <c r="AF259" s="23">
        <f t="shared" si="1730"/>
        <v>377.92122742250001</v>
      </c>
      <c r="AG259" s="23">
        <f t="shared" si="1730"/>
        <v>272.39292302250004</v>
      </c>
      <c r="AH259" s="23">
        <f t="shared" si="1730"/>
        <v>267.68840497500003</v>
      </c>
      <c r="AI259" s="23">
        <f t="shared" si="1730"/>
        <v>241.11625509931434</v>
      </c>
      <c r="AJ259" s="23">
        <f t="shared" si="1730"/>
        <v>229.32263278480497</v>
      </c>
      <c r="AK259" s="23">
        <f t="shared" si="1730"/>
        <v>63.358348049327773</v>
      </c>
      <c r="AL259" s="23">
        <f t="shared" si="1730"/>
        <v>73.730427694465206</v>
      </c>
      <c r="AM259" s="23">
        <f t="shared" si="1730"/>
        <v>250.6055043883932</v>
      </c>
      <c r="AN259" s="23">
        <f t="shared" si="1730"/>
        <v>249.03746639813951</v>
      </c>
      <c r="AO259" s="23">
        <f t="shared" si="1730"/>
        <v>417.24903379416975</v>
      </c>
      <c r="AP259" s="23">
        <f t="shared" si="1730"/>
        <v>405.60874361621251</v>
      </c>
      <c r="AQ259" s="23">
        <f t="shared" si="1730"/>
        <v>287.34160908993198</v>
      </c>
      <c r="AR259" s="23">
        <f t="shared" si="1730"/>
        <v>294.50734509735423</v>
      </c>
      <c r="AS259" s="23">
        <f t="shared" si="1730"/>
        <v>311.64709038734594</v>
      </c>
      <c r="AT259" s="23">
        <f t="shared" si="1730"/>
        <v>341.66653950819853</v>
      </c>
      <c r="AU259" s="23">
        <f t="shared" si="1730"/>
        <v>364.31027175588667</v>
      </c>
      <c r="AV259" s="23">
        <f t="shared" si="1732"/>
        <v>381.32320608317644</v>
      </c>
      <c r="AW259" s="23">
        <f t="shared" si="1732"/>
        <v>414.23635572657355</v>
      </c>
      <c r="AX259" s="23">
        <f t="shared" si="1732"/>
        <v>405.64887097866108</v>
      </c>
      <c r="AY259" s="23">
        <f t="shared" si="1733"/>
        <v>623.15619382968418</v>
      </c>
      <c r="AZ259" s="23">
        <f t="shared" si="1732"/>
        <v>605.93885569239035</v>
      </c>
      <c r="BA259" s="23">
        <f t="shared" si="1732"/>
        <v>647.57990435618569</v>
      </c>
      <c r="BB259" s="23">
        <f t="shared" si="1732"/>
        <v>733.70756299404354</v>
      </c>
      <c r="BC259" s="23">
        <f t="shared" si="1732"/>
        <v>725.88627129217559</v>
      </c>
      <c r="BD259" s="23">
        <f t="shared" si="1732"/>
        <v>708.18780242052151</v>
      </c>
      <c r="BE259" s="23">
        <f t="shared" si="1732"/>
        <v>638.29668538709575</v>
      </c>
      <c r="BF259" s="23">
        <f t="shared" si="1732"/>
        <v>540.19093352100299</v>
      </c>
      <c r="BG259" s="23">
        <f t="shared" si="1732"/>
        <v>453.05713838671602</v>
      </c>
      <c r="BH259" s="23">
        <f t="shared" si="1732"/>
        <v>440.55295545114723</v>
      </c>
      <c r="BJ259" s="23">
        <f>BJ190*AVERAGE(AZ$249:BJ$249)</f>
        <v>233.23679009572135</v>
      </c>
      <c r="BK259" s="23">
        <f>BK190*AVERAGE(BI$249:BK$249)</f>
        <v>471.20917880684817</v>
      </c>
      <c r="BL259" s="23">
        <f t="shared" si="1734"/>
        <v>589.24476714559876</v>
      </c>
      <c r="BM259" s="23">
        <f t="shared" si="1734"/>
        <v>837.43012192934418</v>
      </c>
      <c r="BN259" s="23">
        <f t="shared" si="1735"/>
        <v>681.88380004555324</v>
      </c>
      <c r="BO259" s="23">
        <f t="shared" si="1735"/>
        <v>829.26937809566869</v>
      </c>
      <c r="BP259" s="23">
        <f t="shared" si="1736"/>
        <v>912.2690825101364</v>
      </c>
      <c r="BQ259" s="23">
        <f t="shared" si="1737"/>
        <v>923.17858422657139</v>
      </c>
      <c r="BR259" s="23">
        <f t="shared" si="1737"/>
        <v>893.23667359005788</v>
      </c>
      <c r="BW259" s="39"/>
      <c r="BX259" s="39"/>
    </row>
    <row r="260" spans="2:76" ht="13.5" customHeight="1">
      <c r="B260" s="1" t="s">
        <v>301</v>
      </c>
      <c r="C260" s="23">
        <f t="shared" si="1723"/>
        <v>104.60005712000007</v>
      </c>
      <c r="D260" s="23">
        <f t="shared" si="1723"/>
        <v>181.93746056999993</v>
      </c>
      <c r="E260" s="23">
        <f t="shared" si="1723"/>
        <v>-114.43981079999998</v>
      </c>
      <c r="F260" s="23">
        <f t="shared" si="1723"/>
        <v>-432.71514646049991</v>
      </c>
      <c r="G260" s="23">
        <f t="shared" si="1723"/>
        <v>-372.96929880000005</v>
      </c>
      <c r="H260" s="23">
        <f t="shared" si="1724"/>
        <v>-145.58119988569317</v>
      </c>
      <c r="I260" s="23">
        <f t="shared" si="1724"/>
        <v>245.45371193689448</v>
      </c>
      <c r="J260" s="23">
        <f t="shared" si="1725"/>
        <v>-1349.870069959698</v>
      </c>
      <c r="K260" s="23">
        <f t="shared" si="1725"/>
        <v>-580.14407877130577</v>
      </c>
      <c r="L260" s="23">
        <f>L191*L$249</f>
        <v>205.72068750934633</v>
      </c>
      <c r="M260" s="23">
        <f t="shared" ref="M260:O260" si="1746">M191*M$249</f>
        <v>-452.4536252662939</v>
      </c>
      <c r="N260" s="23">
        <f t="shared" ref="N260" si="1747">N191*N$249</f>
        <v>-556.38381869604814</v>
      </c>
      <c r="O260" s="23">
        <f t="shared" si="1746"/>
        <v>37.176683569451235</v>
      </c>
      <c r="P260" s="23">
        <f t="shared" ref="P260:Q260" si="1748">P191*P$249</f>
        <v>48.640730785609044</v>
      </c>
      <c r="Q260" s="23">
        <f t="shared" si="1748"/>
        <v>-524.93307841322974</v>
      </c>
      <c r="R260" s="23">
        <f t="shared" ref="R260" si="1749">R191*R$249</f>
        <v>-656.25439949593249</v>
      </c>
      <c r="S260" s="23"/>
      <c r="T260" s="112"/>
      <c r="U260" s="112"/>
      <c r="V260" s="112"/>
      <c r="W260" s="23">
        <f t="shared" si="1730"/>
        <v>-114.43205041500001</v>
      </c>
      <c r="X260" s="23">
        <f t="shared" si="1730"/>
        <v>-399.50164800000005</v>
      </c>
      <c r="Y260" s="23">
        <f t="shared" si="1730"/>
        <v>-573.71384245000002</v>
      </c>
      <c r="Z260" s="23">
        <f t="shared" si="1730"/>
        <v>-678.30286905499997</v>
      </c>
      <c r="AA260" s="23">
        <f t="shared" si="1730"/>
        <v>-432.71514646049991</v>
      </c>
      <c r="AB260" s="23">
        <f t="shared" si="1731"/>
        <v>-352.09860145533327</v>
      </c>
      <c r="AC260" s="23">
        <f t="shared" si="1731"/>
        <v>-439.44188147133326</v>
      </c>
      <c r="AD260" s="23">
        <f t="shared" si="1731"/>
        <v>-666.16654283133346</v>
      </c>
      <c r="AE260" s="23">
        <f t="shared" si="1730"/>
        <v>-372.65509424499999</v>
      </c>
      <c r="AF260" s="23">
        <f t="shared" si="1730"/>
        <v>-314.00322443749997</v>
      </c>
      <c r="AG260" s="23">
        <f t="shared" si="1730"/>
        <v>-0.16898324249989521</v>
      </c>
      <c r="AH260" s="23">
        <f t="shared" si="1730"/>
        <v>13.576499309999969</v>
      </c>
      <c r="AI260" s="23">
        <f t="shared" si="1730"/>
        <v>-151.3610068514233</v>
      </c>
      <c r="AJ260" s="23">
        <f t="shared" si="1730"/>
        <v>-71.650156667028796</v>
      </c>
      <c r="AK260" s="23">
        <f t="shared" si="1730"/>
        <v>247.10784442390724</v>
      </c>
      <c r="AL260" s="23">
        <f t="shared" si="1730"/>
        <v>639.06793166282671</v>
      </c>
      <c r="AM260" s="23">
        <f t="shared" si="1730"/>
        <v>227.76599750317277</v>
      </c>
      <c r="AN260" s="23">
        <f t="shared" si="1730"/>
        <v>-217.30071329583583</v>
      </c>
      <c r="AO260" s="23">
        <f t="shared" si="1730"/>
        <v>-1227.6761801003418</v>
      </c>
      <c r="AP260" s="23">
        <f t="shared" si="1730"/>
        <v>-1278.8138512928165</v>
      </c>
      <c r="AQ260" s="23">
        <f t="shared" si="1730"/>
        <v>-1465.4233118050079</v>
      </c>
      <c r="AR260" s="23">
        <f t="shared" si="1730"/>
        <v>-1326.4675499081591</v>
      </c>
      <c r="AS260" s="23">
        <f t="shared" si="1730"/>
        <v>-1266.9315230472491</v>
      </c>
      <c r="AT260" s="23">
        <f t="shared" si="1730"/>
        <v>-961.21737923567287</v>
      </c>
      <c r="AU260" s="23">
        <f t="shared" si="1730"/>
        <v>-580.14407877130566</v>
      </c>
      <c r="AV260" s="23">
        <f t="shared" si="1732"/>
        <v>-785.27985606217567</v>
      </c>
      <c r="AW260" s="23">
        <f t="shared" si="1732"/>
        <v>-926.99954351413317</v>
      </c>
      <c r="AX260" s="23">
        <f t="shared" si="1732"/>
        <v>-1250.8526342666744</v>
      </c>
      <c r="AY260" s="23">
        <f t="shared" si="1733"/>
        <v>-452.45362526629378</v>
      </c>
      <c r="AZ260" s="23">
        <f t="shared" si="1732"/>
        <v>-26.470289383322761</v>
      </c>
      <c r="BA260" s="23">
        <f t="shared" si="1732"/>
        <v>260.75446019626332</v>
      </c>
      <c r="BB260" s="23">
        <f t="shared" si="1732"/>
        <v>-49.501485649404266</v>
      </c>
      <c r="BC260" s="23">
        <f t="shared" si="1732"/>
        <v>37.176683569451058</v>
      </c>
      <c r="BD260" s="23">
        <f t="shared" si="1732"/>
        <v>-488.63897146166522</v>
      </c>
      <c r="BE260" s="23">
        <f t="shared" si="1732"/>
        <v>-1022.7174256994242</v>
      </c>
      <c r="BF260" s="23">
        <f t="shared" si="1732"/>
        <v>-539.05511303217691</v>
      </c>
      <c r="BG260" s="23">
        <f t="shared" si="1732"/>
        <v>-524.93307841322974</v>
      </c>
      <c r="BH260" s="23">
        <f t="shared" si="1732"/>
        <v>-656.25439949593249</v>
      </c>
      <c r="BJ260" s="23">
        <f>BJ191*AVERAGE(AZ$249:BJ$249)</f>
        <v>-353.82591027748651</v>
      </c>
      <c r="BK260" s="23">
        <f>BK191*AVERAGE(BI$249:BK$249)</f>
        <v>-685.48276714903523</v>
      </c>
      <c r="BL260" s="23">
        <f t="shared" si="1734"/>
        <v>-492.17041138863488</v>
      </c>
      <c r="BM260" s="23">
        <f t="shared" si="1734"/>
        <v>-556.38381869604814</v>
      </c>
      <c r="BN260" s="23">
        <f t="shared" si="1735"/>
        <v>-129.62289926934537</v>
      </c>
      <c r="BO260" s="23">
        <f t="shared" si="1735"/>
        <v>16.569128534272885</v>
      </c>
      <c r="BP260" s="23">
        <f t="shared" si="1736"/>
        <v>-827.90296771827605</v>
      </c>
      <c r="BQ260" s="23">
        <f t="shared" si="1737"/>
        <v>48.640730785608937</v>
      </c>
      <c r="BR260" s="23">
        <f t="shared" si="1737"/>
        <v>-652.90196580691259</v>
      </c>
      <c r="BW260" s="39"/>
      <c r="BX260" s="39"/>
    </row>
    <row r="261" spans="2:76" ht="13.5" customHeight="1">
      <c r="B261" s="1" t="s">
        <v>35</v>
      </c>
      <c r="C261" s="23">
        <f t="shared" ref="C261:AE261" si="1750">C192*C$250</f>
        <v>698.83239640871227</v>
      </c>
      <c r="D261" s="23">
        <f t="shared" si="1750"/>
        <v>744.99700111144318</v>
      </c>
      <c r="E261" s="23">
        <f t="shared" si="1750"/>
        <v>693.87120343638935</v>
      </c>
      <c r="F261" s="23">
        <f t="shared" si="1750"/>
        <v>684.52591472912536</v>
      </c>
      <c r="G261" s="23">
        <f t="shared" si="1750"/>
        <v>1015.325033425364</v>
      </c>
      <c r="H261" s="23">
        <f t="shared" ref="H261:I265" si="1751">H192*H$250</f>
        <v>1220.7116210318857</v>
      </c>
      <c r="I261" s="23">
        <f t="shared" si="1751"/>
        <v>1623.7838613399997</v>
      </c>
      <c r="J261" s="23">
        <f t="shared" ref="J261:K265" si="1752">J192*J$250</f>
        <v>1203.742411495396</v>
      </c>
      <c r="K261" s="23">
        <f t="shared" si="1752"/>
        <v>1312.3132165</v>
      </c>
      <c r="L261" s="23">
        <f>L192*L$250</f>
        <v>2162.336785</v>
      </c>
      <c r="M261" s="23">
        <f t="shared" ref="M261:O261" si="1753">M192*M$250</f>
        <v>1655.2603403354501</v>
      </c>
      <c r="N261" s="23">
        <f t="shared" ref="N261" si="1754">N192*N$250</f>
        <v>2389.844827118276</v>
      </c>
      <c r="O261" s="23">
        <f t="shared" si="1753"/>
        <v>1438.1158907598697</v>
      </c>
      <c r="P261" s="23">
        <f t="shared" ref="P261:Q261" si="1755">P192*P$250</f>
        <v>1882.3830762699872</v>
      </c>
      <c r="Q261" s="23">
        <f t="shared" si="1755"/>
        <v>2277.2838563550572</v>
      </c>
      <c r="R261" s="23">
        <f t="shared" ref="R261" si="1756">R192*R$250</f>
        <v>2094.3097436329954</v>
      </c>
      <c r="S261" s="23"/>
      <c r="T261" s="23">
        <f t="shared" si="1750"/>
        <v>879.15563438249103</v>
      </c>
      <c r="U261" s="23">
        <f t="shared" si="1750"/>
        <v>852.37125611857141</v>
      </c>
      <c r="V261" s="23">
        <f t="shared" si="1750"/>
        <v>908.33011497346695</v>
      </c>
      <c r="W261" s="23">
        <f t="shared" si="1750"/>
        <v>693.87120343638935</v>
      </c>
      <c r="X261" s="23">
        <f t="shared" si="1750"/>
        <v>793.28104396052242</v>
      </c>
      <c r="Y261" s="23">
        <f t="shared" si="1750"/>
        <v>581.10986506536153</v>
      </c>
      <c r="Z261" s="23">
        <f t="shared" si="1750"/>
        <v>558.22609910875724</v>
      </c>
      <c r="AA261" s="23">
        <f t="shared" si="1750"/>
        <v>684.52591472912536</v>
      </c>
      <c r="AB261" s="23">
        <f t="shared" si="1750"/>
        <v>661.47711964857137</v>
      </c>
      <c r="AC261" s="23">
        <f t="shared" si="1750"/>
        <v>648.14036150195102</v>
      </c>
      <c r="AD261" s="23">
        <f t="shared" si="1750"/>
        <v>705.34615008336743</v>
      </c>
      <c r="AE261" s="23">
        <f t="shared" si="1750"/>
        <v>1015.325033425364</v>
      </c>
      <c r="AF261" s="23">
        <f t="shared" ref="AF261:AG265" si="1757">AF192*AF$250</f>
        <v>1163.7903057000001</v>
      </c>
      <c r="AG261" s="23">
        <f t="shared" si="1757"/>
        <v>999.20251183999994</v>
      </c>
      <c r="AH261" s="23">
        <f t="shared" ref="AH261:AK265" si="1758">AH192*AH$250</f>
        <v>970.41472920000001</v>
      </c>
      <c r="AI261" s="23">
        <f t="shared" si="1758"/>
        <v>1185.1113579905661</v>
      </c>
      <c r="AJ261" s="23">
        <f t="shared" si="1758"/>
        <v>1183.0391341808122</v>
      </c>
      <c r="AK261" s="23">
        <f t="shared" si="1758"/>
        <v>1350.2578279919999</v>
      </c>
      <c r="AL261" s="23">
        <f t="shared" ref="AL261:AO265" si="1759">AL192*AL$250</f>
        <v>1495.0265620499999</v>
      </c>
      <c r="AM261" s="23">
        <f t="shared" si="1759"/>
        <v>1623.7838613399997</v>
      </c>
      <c r="AN261" s="23">
        <f t="shared" si="1759"/>
        <v>1237.659205758674</v>
      </c>
      <c r="AO261" s="23">
        <f t="shared" si="1759"/>
        <v>1229.8107004552485</v>
      </c>
      <c r="AP261" s="23">
        <f t="shared" ref="AP261:AR265" si="1760">AP192*AP$250</f>
        <v>938.3980932500001</v>
      </c>
      <c r="AQ261" s="23">
        <f t="shared" si="1760"/>
        <v>1203.742411495396</v>
      </c>
      <c r="AR261" s="23">
        <f t="shared" si="1760"/>
        <v>1137.9997273346967</v>
      </c>
      <c r="AS261" s="23">
        <f t="shared" ref="AS261:AU261" si="1761">AS192*AS$250</f>
        <v>898.86683870000002</v>
      </c>
      <c r="AT261" s="23">
        <f t="shared" si="1761"/>
        <v>1104.3082595790465</v>
      </c>
      <c r="AU261" s="23">
        <f t="shared" si="1761"/>
        <v>1312.3132165</v>
      </c>
      <c r="AV261" s="23">
        <f t="shared" ref="AV261:AX261" si="1762">AV192*AV$250</f>
        <v>1529.0028744000001</v>
      </c>
      <c r="AW261" s="23">
        <f t="shared" si="1762"/>
        <v>1100.9824631480301</v>
      </c>
      <c r="AX261" s="23">
        <f t="shared" si="1762"/>
        <v>1445.725377730588</v>
      </c>
      <c r="AY261" s="23">
        <f t="shared" ref="AY261:BB261" si="1763">AY192*AY$250</f>
        <v>1655.2603403354501</v>
      </c>
      <c r="AZ261" s="23">
        <f t="shared" si="1763"/>
        <v>1436.6153480959003</v>
      </c>
      <c r="BA261" s="23">
        <f t="shared" si="1763"/>
        <v>1386.189993414705</v>
      </c>
      <c r="BB261" s="23">
        <f t="shared" si="1763"/>
        <v>1004.3644852973464</v>
      </c>
      <c r="BC261" s="23">
        <f t="shared" ref="BC261:BF261" si="1764">BC192*BC$250</f>
        <v>1438.1158907598697</v>
      </c>
      <c r="BD261" s="23">
        <f t="shared" si="1764"/>
        <v>1156.1598715924697</v>
      </c>
      <c r="BE261" s="23">
        <f t="shared" si="1764"/>
        <v>1508.9101211646271</v>
      </c>
      <c r="BF261" s="23">
        <f t="shared" si="1764"/>
        <v>1717.9278926156421</v>
      </c>
      <c r="BG261" s="23">
        <f t="shared" ref="BG261:BH261" si="1765">BG192*BG$250</f>
        <v>2277.2838563550572</v>
      </c>
      <c r="BH261" s="23">
        <f t="shared" si="1765"/>
        <v>2094.3097436329954</v>
      </c>
      <c r="BJ261" s="23">
        <f t="shared" ref="BJ261:BL261" si="1766">BJ192*BJ$250</f>
        <v>2576.1776548000003</v>
      </c>
      <c r="BK261" s="23">
        <f t="shared" si="1766"/>
        <v>1888.6908044829204</v>
      </c>
      <c r="BL261" s="23">
        <f t="shared" si="1766"/>
        <v>2159.4125609787243</v>
      </c>
      <c r="BM261" s="23">
        <f t="shared" ref="BM261:BN261" si="1767">BM192*BM$250</f>
        <v>2389.844827118276</v>
      </c>
      <c r="BN261" s="23">
        <f t="shared" si="1767"/>
        <v>1436.6153480959003</v>
      </c>
      <c r="BO261" s="23">
        <f t="shared" ref="BO261:BQ261" si="1768">BO192*BO$250</f>
        <v>1386.189993414705</v>
      </c>
      <c r="BP261" s="23">
        <f t="shared" si="1768"/>
        <v>1004.3644852973464</v>
      </c>
      <c r="BQ261" s="23">
        <f t="shared" si="1768"/>
        <v>1882.3830762699872</v>
      </c>
      <c r="BR261" s="23">
        <f t="shared" ref="BR261" si="1769">BR192*BR$250</f>
        <v>1156.1598715924697</v>
      </c>
      <c r="BW261" s="39"/>
      <c r="BX261" s="39"/>
    </row>
    <row r="262" spans="2:76" ht="13.5" customHeight="1">
      <c r="B262" s="1" t="s">
        <v>361</v>
      </c>
      <c r="C262" s="23">
        <f t="shared" ref="C262:AE262" si="1770">C193*C$250</f>
        <v>2054.4216505974341</v>
      </c>
      <c r="D262" s="23">
        <f t="shared" si="1770"/>
        <v>1876.1180032356544</v>
      </c>
      <c r="E262" s="23">
        <f t="shared" si="1770"/>
        <v>1607.7521167347049</v>
      </c>
      <c r="F262" s="23">
        <f t="shared" si="1770"/>
        <v>1955.1674207312929</v>
      </c>
      <c r="G262" s="23">
        <f t="shared" si="1770"/>
        <v>2271.2841549339992</v>
      </c>
      <c r="H262" s="23">
        <f t="shared" si="1751"/>
        <v>2631.6991623847398</v>
      </c>
      <c r="I262" s="23">
        <f t="shared" si="1751"/>
        <v>2310.2032461500003</v>
      </c>
      <c r="J262" s="23">
        <f t="shared" si="1752"/>
        <v>2448.7839812484081</v>
      </c>
      <c r="K262" s="23">
        <f t="shared" si="1752"/>
        <v>2747.687668</v>
      </c>
      <c r="L262" s="23">
        <f>L193*L$250</f>
        <v>4534.5410695</v>
      </c>
      <c r="M262" s="23">
        <f t="shared" ref="M262:O262" si="1771">M193*M$250</f>
        <v>3586.5863662269985</v>
      </c>
      <c r="N262" s="23">
        <f t="shared" ref="N262" si="1772">N193*N$250</f>
        <v>4991.5786313304025</v>
      </c>
      <c r="O262" s="23">
        <f t="shared" si="1771"/>
        <v>4159.0080373567289</v>
      </c>
      <c r="P262" s="23">
        <f t="shared" ref="P262:Q262" si="1773">P193*P$250</f>
        <v>5113.5636620914111</v>
      </c>
      <c r="Q262" s="23">
        <f t="shared" si="1773"/>
        <v>5749.0418704476615</v>
      </c>
      <c r="R262" s="23">
        <f t="shared" ref="R262" si="1774">R193*R$250</f>
        <v>6900.546549047619</v>
      </c>
      <c r="S262" s="23"/>
      <c r="T262" s="23">
        <f t="shared" si="1770"/>
        <v>1973.600284009189</v>
      </c>
      <c r="U262" s="23">
        <f t="shared" si="1770"/>
        <v>1782.2079050525692</v>
      </c>
      <c r="V262" s="23">
        <f t="shared" si="1770"/>
        <v>1739.7104213742018</v>
      </c>
      <c r="W262" s="23">
        <f t="shared" si="1770"/>
        <v>1607.7521167347049</v>
      </c>
      <c r="X262" s="23">
        <f t="shared" si="1770"/>
        <v>1855.3842002089389</v>
      </c>
      <c r="Y262" s="23">
        <f t="shared" si="1770"/>
        <v>1938.0688774094642</v>
      </c>
      <c r="Z262" s="23">
        <f t="shared" si="1770"/>
        <v>1965.8792662555391</v>
      </c>
      <c r="AA262" s="23">
        <f t="shared" si="1770"/>
        <v>1955.1674207312929</v>
      </c>
      <c r="AB262" s="23">
        <f t="shared" si="1770"/>
        <v>2090.1396773191968</v>
      </c>
      <c r="AC262" s="23">
        <f t="shared" si="1770"/>
        <v>2070.4276077930058</v>
      </c>
      <c r="AD262" s="23">
        <f t="shared" si="1770"/>
        <v>1923.6421799037014</v>
      </c>
      <c r="AE262" s="23">
        <f t="shared" si="1770"/>
        <v>2271.2841549339992</v>
      </c>
      <c r="AF262" s="23">
        <f t="shared" si="1757"/>
        <v>2491.3393113500001</v>
      </c>
      <c r="AG262" s="23">
        <f t="shared" si="1757"/>
        <v>2430.6470718399996</v>
      </c>
      <c r="AH262" s="23">
        <f t="shared" si="1758"/>
        <v>2452.38207354</v>
      </c>
      <c r="AI262" s="23">
        <f t="shared" si="1758"/>
        <v>2554.94951831457</v>
      </c>
      <c r="AJ262" s="23">
        <f t="shared" si="1758"/>
        <v>2432.9420922955997</v>
      </c>
      <c r="AK262" s="23">
        <f t="shared" si="1758"/>
        <v>2319.1095735399999</v>
      </c>
      <c r="AL262" s="23">
        <f t="shared" si="1759"/>
        <v>2190.2026147000001</v>
      </c>
      <c r="AM262" s="23">
        <f t="shared" si="1759"/>
        <v>2310.2032461500003</v>
      </c>
      <c r="AN262" s="23">
        <f t="shared" si="1759"/>
        <v>2337.4554950980987</v>
      </c>
      <c r="AO262" s="23">
        <f t="shared" si="1759"/>
        <v>2837.0100813998347</v>
      </c>
      <c r="AP262" s="23">
        <f t="shared" si="1760"/>
        <v>2502.8346794199997</v>
      </c>
      <c r="AQ262" s="23">
        <f t="shared" si="1760"/>
        <v>2448.7839812484081</v>
      </c>
      <c r="AR262" s="23">
        <f t="shared" si="1760"/>
        <v>2675.7076346284939</v>
      </c>
      <c r="AS262" s="23">
        <f t="shared" ref="AS262:AU262" si="1775">AS193*AS$250</f>
        <v>2659.0501562999998</v>
      </c>
      <c r="AT262" s="23">
        <f t="shared" si="1775"/>
        <v>2624.4787279480543</v>
      </c>
      <c r="AU262" s="23">
        <f t="shared" si="1775"/>
        <v>2747.687668</v>
      </c>
      <c r="AV262" s="23">
        <f t="shared" ref="AV262:AX262" si="1776">AV193*AV$250</f>
        <v>3146.8492738</v>
      </c>
      <c r="AW262" s="23">
        <f t="shared" si="1776"/>
        <v>2472.7009671001592</v>
      </c>
      <c r="AX262" s="23">
        <f t="shared" si="1776"/>
        <v>3188.2893118936331</v>
      </c>
      <c r="AY262" s="23">
        <f t="shared" ref="AY262:BB262" si="1777">AY193*AY$250</f>
        <v>3586.5863662269985</v>
      </c>
      <c r="AZ262" s="23">
        <f t="shared" si="1777"/>
        <v>3436.7446412992213</v>
      </c>
      <c r="BA262" s="23">
        <f t="shared" si="1777"/>
        <v>4005.2543608435303</v>
      </c>
      <c r="BB262" s="23">
        <f t="shared" si="1777"/>
        <v>4081.9882905695172</v>
      </c>
      <c r="BC262" s="23">
        <f t="shared" ref="BC262:BF262" si="1778">BC193*BC$250</f>
        <v>4159.0080373567289</v>
      </c>
      <c r="BD262" s="23">
        <f t="shared" si="1778"/>
        <v>4450.2791651402031</v>
      </c>
      <c r="BE262" s="23">
        <f t="shared" si="1778"/>
        <v>5439.1734482689326</v>
      </c>
      <c r="BF262" s="23">
        <f t="shared" si="1778"/>
        <v>5597.6103998537938</v>
      </c>
      <c r="BG262" s="23">
        <f t="shared" ref="BG262:BH262" si="1779">BG193*BG$250</f>
        <v>5749.0418704476615</v>
      </c>
      <c r="BH262" s="23">
        <f t="shared" si="1779"/>
        <v>6900.546549047619</v>
      </c>
      <c r="BJ262" s="23">
        <f t="shared" ref="BJ262:BL262" si="1780">BJ193*BJ$250</f>
        <v>3146.8492738</v>
      </c>
      <c r="BK262" s="23">
        <f t="shared" si="1780"/>
        <v>2472.7009671001592</v>
      </c>
      <c r="BL262" s="23">
        <f t="shared" si="1780"/>
        <v>3188.2893118936331</v>
      </c>
      <c r="BM262" s="23">
        <f t="shared" ref="BM262:BN262" si="1781">BM193*BM$250</f>
        <v>186.66897356565161</v>
      </c>
      <c r="BN262" s="23">
        <f t="shared" si="1781"/>
        <v>3436.7446412992213</v>
      </c>
      <c r="BO262" s="23">
        <f t="shared" ref="BO262:BQ262" si="1782">BO193*BO$250</f>
        <v>4005.2543608435303</v>
      </c>
      <c r="BP262" s="23">
        <f t="shared" si="1782"/>
        <v>4081.9882905695172</v>
      </c>
      <c r="BQ262" s="23">
        <f t="shared" si="1782"/>
        <v>330.11269279750951</v>
      </c>
      <c r="BR262" s="23">
        <f t="shared" ref="BR262" si="1783">BR193*BR$250</f>
        <v>4450.2791651402031</v>
      </c>
      <c r="BW262" s="39"/>
      <c r="BX262" s="39"/>
    </row>
    <row r="263" spans="2:76" ht="13.5" customHeight="1">
      <c r="B263" s="1" t="s">
        <v>385</v>
      </c>
      <c r="C263" s="23">
        <f t="shared" ref="C263:AE263" si="1784">C194*C$250</f>
        <v>2149.5563801303892</v>
      </c>
      <c r="D263" s="23">
        <f t="shared" si="1784"/>
        <v>1928.5323723819631</v>
      </c>
      <c r="E263" s="23">
        <f t="shared" si="1784"/>
        <v>1658.9160289175934</v>
      </c>
      <c r="F263" s="23">
        <f t="shared" si="1784"/>
        <v>2022.1108527747926</v>
      </c>
      <c r="G263" s="23">
        <f t="shared" si="1784"/>
        <v>2335.1515476913696</v>
      </c>
      <c r="H263" s="23">
        <f t="shared" si="1751"/>
        <v>2631.6991623847398</v>
      </c>
      <c r="I263" s="23">
        <f t="shared" si="1751"/>
        <v>2310.2032461500003</v>
      </c>
      <c r="J263" s="23">
        <f t="shared" si="1752"/>
        <v>2448.7839812484081</v>
      </c>
      <c r="K263" s="23">
        <f t="shared" si="1752"/>
        <v>2747.687668</v>
      </c>
      <c r="L263" s="23">
        <f>L194*L$250</f>
        <v>4534.5410695</v>
      </c>
      <c r="M263" s="23">
        <f t="shared" ref="M263:O263" si="1785">M194*M$250</f>
        <v>3586.5863662269985</v>
      </c>
      <c r="N263" s="23">
        <f t="shared" ref="N263" si="1786">N194*N$250</f>
        <v>4991.5786313304025</v>
      </c>
      <c r="O263" s="23">
        <f t="shared" si="1785"/>
        <v>4159.0080373567289</v>
      </c>
      <c r="P263" s="23">
        <f t="shared" ref="P263:Q263" si="1787">P194*P$250</f>
        <v>5113.5636620914111</v>
      </c>
      <c r="Q263" s="23">
        <f t="shared" si="1787"/>
        <v>5749.0418704476615</v>
      </c>
      <c r="R263" s="23">
        <f t="shared" ref="R263" si="1788">R194*R$250</f>
        <v>6900.546549047619</v>
      </c>
      <c r="S263" s="23"/>
      <c r="T263" s="23">
        <f t="shared" si="1784"/>
        <v>2037.1479543842886</v>
      </c>
      <c r="U263" s="23">
        <f t="shared" si="1784"/>
        <v>1844.4334676959945</v>
      </c>
      <c r="V263" s="23">
        <f t="shared" si="1784"/>
        <v>1799.8112079495957</v>
      </c>
      <c r="W263" s="23">
        <f t="shared" si="1784"/>
        <v>1658.9160289175936</v>
      </c>
      <c r="X263" s="23">
        <f t="shared" si="1784"/>
        <v>1924.7801314916462</v>
      </c>
      <c r="Y263" s="23">
        <f t="shared" si="1784"/>
        <v>2010.0668388367703</v>
      </c>
      <c r="Z263" s="23">
        <f t="shared" si="1784"/>
        <v>2036.9651001731372</v>
      </c>
      <c r="AA263" s="23">
        <f t="shared" si="1784"/>
        <v>2022.1108527747926</v>
      </c>
      <c r="AB263" s="23">
        <f t="shared" si="1784"/>
        <v>2154.095352732947</v>
      </c>
      <c r="AC263" s="23">
        <f t="shared" si="1784"/>
        <v>2125.7927882176946</v>
      </c>
      <c r="AD263" s="23">
        <f t="shared" si="1784"/>
        <v>1965.7950346285479</v>
      </c>
      <c r="AE263" s="23">
        <f t="shared" si="1784"/>
        <v>2382.7646889919897</v>
      </c>
      <c r="AF263" s="23">
        <f t="shared" si="1757"/>
        <v>2491.3393113500001</v>
      </c>
      <c r="AG263" s="23">
        <f t="shared" si="1757"/>
        <v>2430.6470718399996</v>
      </c>
      <c r="AH263" s="23">
        <f t="shared" si="1758"/>
        <v>2452.38207354</v>
      </c>
      <c r="AI263" s="23">
        <f t="shared" si="1758"/>
        <v>2554.94951831457</v>
      </c>
      <c r="AJ263" s="23">
        <f t="shared" si="1758"/>
        <v>2432.9420922955997</v>
      </c>
      <c r="AK263" s="23">
        <f t="shared" si="1758"/>
        <v>2319.1095735399999</v>
      </c>
      <c r="AL263" s="23">
        <f t="shared" si="1759"/>
        <v>2190.2026147000001</v>
      </c>
      <c r="AM263" s="23">
        <f t="shared" si="1759"/>
        <v>2310.2032461500003</v>
      </c>
      <c r="AN263" s="23">
        <f t="shared" si="1759"/>
        <v>2337.4554950980987</v>
      </c>
      <c r="AO263" s="23">
        <f t="shared" si="1759"/>
        <v>2837.0100813998347</v>
      </c>
      <c r="AP263" s="23">
        <f t="shared" si="1760"/>
        <v>2502.8346794199997</v>
      </c>
      <c r="AQ263" s="23">
        <f t="shared" si="1760"/>
        <v>2448.7839812484081</v>
      </c>
      <c r="AR263" s="23">
        <f t="shared" si="1760"/>
        <v>2675.7076346284939</v>
      </c>
      <c r="AS263" s="23">
        <f t="shared" ref="AS263:AU263" si="1789">AS194*AS$250</f>
        <v>2659.0501562999998</v>
      </c>
      <c r="AT263" s="23">
        <f t="shared" si="1789"/>
        <v>2624.4787279480543</v>
      </c>
      <c r="AU263" s="23">
        <f t="shared" si="1789"/>
        <v>2747.687668</v>
      </c>
      <c r="AV263" s="23">
        <f t="shared" ref="AV263:AX263" si="1790">AV194*AV$250</f>
        <v>3146.8492738</v>
      </c>
      <c r="AW263" s="23">
        <f t="shared" si="1790"/>
        <v>2472.7009671001592</v>
      </c>
      <c r="AX263" s="23">
        <f t="shared" si="1790"/>
        <v>3188.2893118936331</v>
      </c>
      <c r="AY263" s="23">
        <f t="shared" ref="AY263:BB263" si="1791">AY194*AY$250</f>
        <v>3586.5863662269985</v>
      </c>
      <c r="AZ263" s="23">
        <f t="shared" si="1791"/>
        <v>3436.7446412992213</v>
      </c>
      <c r="BA263" s="23">
        <f t="shared" si="1791"/>
        <v>4005.2543608435303</v>
      </c>
      <c r="BB263" s="23">
        <f t="shared" si="1791"/>
        <v>4081.9882905695172</v>
      </c>
      <c r="BC263" s="23">
        <f t="shared" ref="BC263:BF263" si="1792">BC194*BC$250</f>
        <v>4159.0080373567289</v>
      </c>
      <c r="BD263" s="23">
        <f t="shared" si="1792"/>
        <v>4450.2791651402031</v>
      </c>
      <c r="BE263" s="23">
        <f t="shared" si="1792"/>
        <v>5439.1734482689326</v>
      </c>
      <c r="BF263" s="23">
        <f t="shared" si="1792"/>
        <v>5597.6103998537938</v>
      </c>
      <c r="BG263" s="23">
        <f t="shared" ref="BG263:BH263" si="1793">BG194*BG$250</f>
        <v>5749.0418704476615</v>
      </c>
      <c r="BH263" s="23">
        <f t="shared" si="1793"/>
        <v>6900.546549047619</v>
      </c>
      <c r="BJ263" s="23">
        <f t="shared" ref="BJ263:BL263" si="1794">BJ194*BJ$250</f>
        <v>3146.8492738</v>
      </c>
      <c r="BK263" s="23">
        <f t="shared" si="1794"/>
        <v>2472.7009671001592</v>
      </c>
      <c r="BL263" s="23">
        <f t="shared" si="1794"/>
        <v>3188.2893118936331</v>
      </c>
      <c r="BM263" s="23">
        <f t="shared" ref="BM263:BN263" si="1795">BM194*BM$250</f>
        <v>186.66897356565161</v>
      </c>
      <c r="BN263" s="23">
        <f t="shared" si="1795"/>
        <v>3436.7446412992213</v>
      </c>
      <c r="BO263" s="23">
        <f t="shared" ref="BO263:BQ263" si="1796">BO194*BO$250</f>
        <v>4005.2543608435303</v>
      </c>
      <c r="BP263" s="23">
        <f t="shared" si="1796"/>
        <v>4081.9882905695172</v>
      </c>
      <c r="BQ263" s="23">
        <f t="shared" si="1796"/>
        <v>330.11269279750951</v>
      </c>
      <c r="BR263" s="23">
        <f t="shared" ref="BR263" si="1797">BR194*BR$250</f>
        <v>4450.2791651402031</v>
      </c>
      <c r="BW263" s="39"/>
      <c r="BX263" s="39"/>
    </row>
    <row r="264" spans="2:76" ht="13.5" customHeight="1">
      <c r="B264" s="1" t="s">
        <v>386</v>
      </c>
      <c r="C264" s="23">
        <f t="shared" ref="C264:AE264" si="1798">C195*C$250</f>
        <v>1355.5892541887217</v>
      </c>
      <c r="D264" s="23">
        <f t="shared" si="1798"/>
        <v>1131.1210021242114</v>
      </c>
      <c r="E264" s="23">
        <f t="shared" si="1798"/>
        <v>913.88091329831559</v>
      </c>
      <c r="F264" s="23">
        <f t="shared" si="1798"/>
        <v>1270.6415060021675</v>
      </c>
      <c r="G264" s="23">
        <f t="shared" si="1798"/>
        <v>1255.959121508635</v>
      </c>
      <c r="H264" s="23">
        <f t="shared" si="1751"/>
        <v>1410.9875413528541</v>
      </c>
      <c r="I264" s="23">
        <f t="shared" si="1751"/>
        <v>686.41938481000022</v>
      </c>
      <c r="J264" s="23">
        <f t="shared" si="1752"/>
        <v>1245.041569753012</v>
      </c>
      <c r="K264" s="23">
        <f t="shared" si="1752"/>
        <v>1435.3744515000001</v>
      </c>
      <c r="L264" s="23">
        <f>L195*L$250</f>
        <v>2372.2042845000001</v>
      </c>
      <c r="M264" s="23">
        <f t="shared" ref="M264:O264" si="1799">M195*M$250</f>
        <v>1931.3260258915486</v>
      </c>
      <c r="N264" s="23">
        <f t="shared" ref="N264" si="1800">N195*N$250</f>
        <v>2601.7338042121264</v>
      </c>
      <c r="O264" s="23">
        <f t="shared" si="1799"/>
        <v>2720.8921465968588</v>
      </c>
      <c r="P264" s="23">
        <f t="shared" ref="P264:Q264" si="1801">P195*P$250</f>
        <v>3231.1805858214238</v>
      </c>
      <c r="Q264" s="23">
        <f t="shared" si="1801"/>
        <v>3471.7580140926052</v>
      </c>
      <c r="R264" s="23">
        <f t="shared" ref="R264" si="1802">R195*R$250</f>
        <v>4806.2368054146227</v>
      </c>
      <c r="S264" s="23"/>
      <c r="T264" s="23">
        <f t="shared" si="1798"/>
        <v>1094.444649626698</v>
      </c>
      <c r="U264" s="23">
        <f t="shared" si="1798"/>
        <v>929.83664893399782</v>
      </c>
      <c r="V264" s="23">
        <f t="shared" si="1798"/>
        <v>831.38030640073487</v>
      </c>
      <c r="W264" s="23">
        <f t="shared" si="1798"/>
        <v>913.88091329831559</v>
      </c>
      <c r="X264" s="23">
        <f t="shared" si="1798"/>
        <v>1062.1031562484163</v>
      </c>
      <c r="Y264" s="23">
        <f t="shared" si="1798"/>
        <v>1356.9590123441026</v>
      </c>
      <c r="Z264" s="23">
        <f t="shared" si="1798"/>
        <v>1407.6531671467817</v>
      </c>
      <c r="AA264" s="23">
        <f t="shared" si="1798"/>
        <v>1270.6415060021675</v>
      </c>
      <c r="AB264" s="23">
        <f t="shared" si="1798"/>
        <v>1428.6625576706251</v>
      </c>
      <c r="AC264" s="23">
        <f t="shared" si="1798"/>
        <v>1422.2872462910548</v>
      </c>
      <c r="AD264" s="23">
        <f t="shared" si="1798"/>
        <v>1218.2960298203341</v>
      </c>
      <c r="AE264" s="23">
        <f t="shared" si="1798"/>
        <v>1255.959121508635</v>
      </c>
      <c r="AF264" s="23">
        <f t="shared" si="1757"/>
        <v>1327.54900565</v>
      </c>
      <c r="AG264" s="23">
        <f t="shared" si="1757"/>
        <v>1431.4445599999999</v>
      </c>
      <c r="AH264" s="23">
        <f t="shared" si="1758"/>
        <v>1481.9673443399997</v>
      </c>
      <c r="AI264" s="23">
        <f t="shared" si="1758"/>
        <v>1369.8381603240041</v>
      </c>
      <c r="AJ264" s="23">
        <f t="shared" si="1758"/>
        <v>1249.9029581147875</v>
      </c>
      <c r="AK264" s="23">
        <f t="shared" si="1758"/>
        <v>968.85174554799994</v>
      </c>
      <c r="AL264" s="23">
        <f t="shared" si="1759"/>
        <v>695.17605265000009</v>
      </c>
      <c r="AM264" s="23">
        <f t="shared" si="1759"/>
        <v>686.41938481000022</v>
      </c>
      <c r="AN264" s="23">
        <f t="shared" si="1759"/>
        <v>1099.7962893394249</v>
      </c>
      <c r="AO264" s="23">
        <f t="shared" si="1759"/>
        <v>1607.1993809445862</v>
      </c>
      <c r="AP264" s="23">
        <f t="shared" si="1760"/>
        <v>1564.4365861699998</v>
      </c>
      <c r="AQ264" s="23">
        <f t="shared" si="1760"/>
        <v>1245.041569753012</v>
      </c>
      <c r="AR264" s="23">
        <f t="shared" si="1760"/>
        <v>1537.7079072937972</v>
      </c>
      <c r="AS264" s="23">
        <f t="shared" ref="AS264:AU264" si="1803">AS195*AS$250</f>
        <v>1760.1833176</v>
      </c>
      <c r="AT264" s="23">
        <f t="shared" si="1803"/>
        <v>1520.1704683690075</v>
      </c>
      <c r="AU264" s="23">
        <f t="shared" si="1803"/>
        <v>1435.3744515000001</v>
      </c>
      <c r="AV264" s="23">
        <f t="shared" ref="AV264:AX264" si="1804">AV195*AV$250</f>
        <v>1617.8463994000001</v>
      </c>
      <c r="AW264" s="23">
        <f t="shared" si="1804"/>
        <v>1371.7185039521289</v>
      </c>
      <c r="AX264" s="23">
        <f t="shared" si="1804"/>
        <v>1742.5639341630451</v>
      </c>
      <c r="AY264" s="23">
        <f t="shared" ref="AY264:BB264" si="1805">AY195*AY$250</f>
        <v>1931.3260258915486</v>
      </c>
      <c r="AZ264" s="23">
        <f t="shared" si="1805"/>
        <v>2000.1292932033209</v>
      </c>
      <c r="BA264" s="23">
        <f t="shared" si="1805"/>
        <v>2619.0643674288249</v>
      </c>
      <c r="BB264" s="23">
        <f t="shared" si="1805"/>
        <v>3077.623805272171</v>
      </c>
      <c r="BC264" s="23">
        <f>BC195*BC$250</f>
        <v>2720.8921465968588</v>
      </c>
      <c r="BD264" s="23">
        <f>BD195*BD$250</f>
        <v>3294.1192935477329</v>
      </c>
      <c r="BE264" s="23">
        <f t="shared" ref="BE264:BF264" si="1806">BE195*BE$250</f>
        <v>3930.263327104306</v>
      </c>
      <c r="BF264" s="23">
        <f t="shared" si="1806"/>
        <v>3879.6825072381521</v>
      </c>
      <c r="BG264" s="23">
        <f>BG195*BG$250</f>
        <v>3471.7580140926052</v>
      </c>
      <c r="BH264" s="23">
        <f>BH195*BH$250</f>
        <v>4806.2368054146227</v>
      </c>
      <c r="BJ264" s="23">
        <f t="shared" ref="BJ264:BL264" si="1807">BJ195*BJ$250</f>
        <v>570.67161899999996</v>
      </c>
      <c r="BK264" s="23">
        <f t="shared" si="1807"/>
        <v>584.01016261723896</v>
      </c>
      <c r="BL264" s="23">
        <f t="shared" si="1807"/>
        <v>1028.8767509149088</v>
      </c>
      <c r="BM264" s="23">
        <f t="shared" ref="BM264:BN264" si="1808">BM195*BM$250</f>
        <v>-2203.1758535526242</v>
      </c>
      <c r="BN264" s="23">
        <f t="shared" si="1808"/>
        <v>2000.1292932033209</v>
      </c>
      <c r="BO264" s="23">
        <f t="shared" ref="BO264:BQ264" si="1809">BO195*BO$250</f>
        <v>2619.0643674288249</v>
      </c>
      <c r="BP264" s="23">
        <f t="shared" si="1809"/>
        <v>3077.623805272171</v>
      </c>
      <c r="BQ264" s="23">
        <f t="shared" si="1809"/>
        <v>-1552.2703834724775</v>
      </c>
      <c r="BR264" s="23">
        <f t="shared" ref="BR264" si="1810">BR195*BR$250</f>
        <v>3294.1192935477329</v>
      </c>
      <c r="BW264" s="39"/>
      <c r="BX264" s="39"/>
    </row>
    <row r="265" spans="2:76" ht="13.5" customHeight="1">
      <c r="B265" s="1" t="s">
        <v>387</v>
      </c>
      <c r="C265" s="23">
        <f t="shared" ref="C265:AE265" si="1811">C196*C$250</f>
        <v>1450.7239837216771</v>
      </c>
      <c r="D265" s="23">
        <f t="shared" si="1811"/>
        <v>1183.53537127052</v>
      </c>
      <c r="E265" s="23">
        <f t="shared" si="1811"/>
        <v>965.04482548120427</v>
      </c>
      <c r="F265" s="23">
        <f t="shared" si="1811"/>
        <v>1337.5849380456673</v>
      </c>
      <c r="G265" s="23">
        <f t="shared" si="1811"/>
        <v>1319.8265142660057</v>
      </c>
      <c r="H265" s="23">
        <f t="shared" si="1751"/>
        <v>1410.9875413528541</v>
      </c>
      <c r="I265" s="23">
        <f t="shared" si="1751"/>
        <v>686.41938481000022</v>
      </c>
      <c r="J265" s="23">
        <f t="shared" si="1752"/>
        <v>1245.041569753012</v>
      </c>
      <c r="K265" s="23">
        <f t="shared" si="1752"/>
        <v>1435.3744515000001</v>
      </c>
      <c r="L265" s="23">
        <f>L196*L$250</f>
        <v>2372.2042845000001</v>
      </c>
      <c r="M265" s="23">
        <f t="shared" ref="M265:O265" si="1812">M196*M$250</f>
        <v>1931.3260258915486</v>
      </c>
      <c r="N265" s="23">
        <f t="shared" ref="N265" si="1813">N196*N$250</f>
        <v>2601.7338042121264</v>
      </c>
      <c r="O265" s="23">
        <f t="shared" si="1812"/>
        <v>2720.8921465968588</v>
      </c>
      <c r="P265" s="23">
        <f t="shared" ref="P265:Q265" si="1814">P196*P$250</f>
        <v>3231.1805858214238</v>
      </c>
      <c r="Q265" s="23">
        <f t="shared" si="1814"/>
        <v>3471.7580140926052</v>
      </c>
      <c r="R265" s="23">
        <f t="shared" ref="R265" si="1815">R196*R$250</f>
        <v>4806.2368054146227</v>
      </c>
      <c r="S265" s="23"/>
      <c r="T265" s="23">
        <f t="shared" si="1811"/>
        <v>1157.9923200017979</v>
      </c>
      <c r="U265" s="23">
        <f t="shared" si="1811"/>
        <v>992.06221157742334</v>
      </c>
      <c r="V265" s="23">
        <f t="shared" si="1811"/>
        <v>891.48109297612882</v>
      </c>
      <c r="W265" s="23">
        <f t="shared" si="1811"/>
        <v>965.04482548120427</v>
      </c>
      <c r="X265" s="23">
        <f t="shared" si="1811"/>
        <v>1131.4990875311237</v>
      </c>
      <c r="Y265" s="23">
        <f t="shared" si="1811"/>
        <v>1428.9569737714087</v>
      </c>
      <c r="Z265" s="23">
        <f t="shared" si="1811"/>
        <v>1478.7390010643799</v>
      </c>
      <c r="AA265" s="23">
        <f t="shared" si="1811"/>
        <v>1337.5849380456673</v>
      </c>
      <c r="AB265" s="23">
        <f t="shared" si="1811"/>
        <v>1492.6182330843751</v>
      </c>
      <c r="AC265" s="23">
        <f t="shared" si="1811"/>
        <v>1477.6524267157433</v>
      </c>
      <c r="AD265" s="23">
        <f t="shared" si="1811"/>
        <v>1260.4488845451804</v>
      </c>
      <c r="AE265" s="23">
        <f t="shared" si="1811"/>
        <v>1367.4396555666258</v>
      </c>
      <c r="AF265" s="23">
        <f t="shared" si="1757"/>
        <v>1327.54900565</v>
      </c>
      <c r="AG265" s="23">
        <f t="shared" si="1757"/>
        <v>1431.4445599999999</v>
      </c>
      <c r="AH265" s="23">
        <f t="shared" si="1758"/>
        <v>1481.9673443399997</v>
      </c>
      <c r="AI265" s="23">
        <f t="shared" si="1758"/>
        <v>1369.8381603240041</v>
      </c>
      <c r="AJ265" s="23">
        <f t="shared" si="1758"/>
        <v>1249.9029581147875</v>
      </c>
      <c r="AK265" s="23">
        <f t="shared" si="1758"/>
        <v>968.85174554799994</v>
      </c>
      <c r="AL265" s="23">
        <f t="shared" si="1759"/>
        <v>695.17605265000009</v>
      </c>
      <c r="AM265" s="23">
        <f t="shared" si="1759"/>
        <v>686.41938481000022</v>
      </c>
      <c r="AN265" s="23">
        <f t="shared" si="1759"/>
        <v>1099.7962893394249</v>
      </c>
      <c r="AO265" s="23">
        <f t="shared" si="1759"/>
        <v>1607.1993809445862</v>
      </c>
      <c r="AP265" s="23">
        <f t="shared" si="1760"/>
        <v>1564.4365861699998</v>
      </c>
      <c r="AQ265" s="23">
        <f t="shared" si="1760"/>
        <v>1245.041569753012</v>
      </c>
      <c r="AR265" s="23">
        <f t="shared" si="1760"/>
        <v>1537.7079072937972</v>
      </c>
      <c r="AS265" s="23">
        <f t="shared" ref="AS265:AU265" si="1816">AS196*AS$250</f>
        <v>1760.1833176</v>
      </c>
      <c r="AT265" s="23">
        <f t="shared" si="1816"/>
        <v>1520.1704683690075</v>
      </c>
      <c r="AU265" s="23">
        <f t="shared" si="1816"/>
        <v>1435.3744515000001</v>
      </c>
      <c r="AV265" s="23">
        <f t="shared" ref="AV265:AX265" si="1817">AV196*AV$250</f>
        <v>1617.8463994000001</v>
      </c>
      <c r="AW265" s="23">
        <f t="shared" si="1817"/>
        <v>1371.7185039521289</v>
      </c>
      <c r="AX265" s="23">
        <f t="shared" si="1817"/>
        <v>1742.5639341630451</v>
      </c>
      <c r="AY265" s="23">
        <f t="shared" ref="AY265:BB265" si="1818">AY196*AY$250</f>
        <v>1931.3260258915486</v>
      </c>
      <c r="AZ265" s="23">
        <f t="shared" si="1818"/>
        <v>2000.1292932033209</v>
      </c>
      <c r="BA265" s="23">
        <f t="shared" si="1818"/>
        <v>2619.0643674288249</v>
      </c>
      <c r="BB265" s="23">
        <f t="shared" si="1818"/>
        <v>3077.623805272171</v>
      </c>
      <c r="BC265" s="23">
        <f t="shared" ref="BC265:BF265" si="1819">BC196*BC$250</f>
        <v>2720.8921465968588</v>
      </c>
      <c r="BD265" s="23">
        <f t="shared" si="1819"/>
        <v>3294.1192935477329</v>
      </c>
      <c r="BE265" s="23">
        <f t="shared" si="1819"/>
        <v>3930.263327104306</v>
      </c>
      <c r="BF265" s="23">
        <f t="shared" si="1819"/>
        <v>3879.6825072381521</v>
      </c>
      <c r="BG265" s="23">
        <f t="shared" ref="BG265:BH265" si="1820">BG196*BG$250</f>
        <v>3471.7580140926052</v>
      </c>
      <c r="BH265" s="23">
        <f t="shared" si="1820"/>
        <v>4806.2368054146227</v>
      </c>
      <c r="BJ265" s="23">
        <f t="shared" ref="BJ265:BL265" si="1821">BJ196*BJ$250</f>
        <v>570.67161899999996</v>
      </c>
      <c r="BK265" s="23">
        <f t="shared" si="1821"/>
        <v>584.01016261723896</v>
      </c>
      <c r="BL265" s="23">
        <f t="shared" si="1821"/>
        <v>1028.8767509149088</v>
      </c>
      <c r="BM265" s="23">
        <f t="shared" ref="BM265:BN265" si="1822">BM196*BM$250</f>
        <v>-2203.1758535526242</v>
      </c>
      <c r="BN265" s="23">
        <f t="shared" si="1822"/>
        <v>2000.1292932033209</v>
      </c>
      <c r="BO265" s="23">
        <f t="shared" ref="BO265:BQ265" si="1823">BO196*BO$250</f>
        <v>2619.0643674288249</v>
      </c>
      <c r="BP265" s="23">
        <f t="shared" si="1823"/>
        <v>3077.623805272171</v>
      </c>
      <c r="BQ265" s="23">
        <f t="shared" si="1823"/>
        <v>-1552.2703834724775</v>
      </c>
      <c r="BR265" s="23">
        <f t="shared" ref="BR265" si="1824">BR196*BR$250</f>
        <v>3294.1192935477329</v>
      </c>
      <c r="BW265" s="39"/>
      <c r="BX265" s="39"/>
    </row>
    <row r="266" spans="2:76" ht="13.5" customHeight="1">
      <c r="B266" s="1" t="s">
        <v>388</v>
      </c>
      <c r="C266" s="42">
        <f>C262/C254</f>
        <v>3.2803034647863103</v>
      </c>
      <c r="D266" s="42">
        <f t="shared" ref="D266:AF266" si="1825">D262/D254</f>
        <v>3.3302523393873451</v>
      </c>
      <c r="E266" s="42">
        <f t="shared" si="1825"/>
        <v>2.7391440707549326</v>
      </c>
      <c r="F266" s="42">
        <f t="shared" si="1825"/>
        <v>3.6441260567186458</v>
      </c>
      <c r="G266" s="42">
        <f t="shared" si="1825"/>
        <v>3.6978276798879612</v>
      </c>
      <c r="H266" s="42">
        <f t="shared" ref="H266:J266" si="1826">H262/H254</f>
        <v>4.6719531922144375</v>
      </c>
      <c r="I266" s="42">
        <f t="shared" si="1826"/>
        <v>2.926123005581601</v>
      </c>
      <c r="J266" s="42">
        <f t="shared" si="1826"/>
        <v>3.3658216279338822</v>
      </c>
      <c r="K266" s="42">
        <f t="shared" ref="K266" si="1827">K262/K254</f>
        <v>3.7433836867567787</v>
      </c>
      <c r="L266" s="42">
        <f t="shared" ref="L266:M266" si="1828">L262/L254</f>
        <v>4.4952779319658731</v>
      </c>
      <c r="M266" s="42">
        <f t="shared" si="1828"/>
        <v>3.9535416990128951</v>
      </c>
      <c r="N266" s="42">
        <f t="shared" ref="N266" si="1829">N262/N254</f>
        <v>3.6117616488435713</v>
      </c>
      <c r="O266" s="42">
        <f t="shared" ref="O266:P266" si="1830">O262/O254</f>
        <v>5.9467361914787338</v>
      </c>
      <c r="P266" s="42">
        <f t="shared" si="1830"/>
        <v>5.5860946201990247</v>
      </c>
      <c r="Q266" s="42">
        <f t="shared" ref="Q266" si="1831">Q262/Q254</f>
        <v>7.4053080458310072</v>
      </c>
      <c r="R266" s="42">
        <f t="shared" ref="R266" si="1832">R262/R254</f>
        <v>8.2147250043272138</v>
      </c>
      <c r="S266" s="42"/>
      <c r="T266" s="42"/>
      <c r="U266" s="42"/>
      <c r="V266" s="42"/>
      <c r="W266" s="42">
        <f t="shared" si="1825"/>
        <v>2.7393298300110365</v>
      </c>
      <c r="X266" s="42">
        <f t="shared" si="1825"/>
        <v>3.2191191701839235</v>
      </c>
      <c r="Y266" s="42">
        <f t="shared" si="1825"/>
        <v>3.4442629955163344</v>
      </c>
      <c r="Z266" s="42">
        <f t="shared" si="1825"/>
        <v>3.538151555492933</v>
      </c>
      <c r="AA266" s="42">
        <f t="shared" si="1825"/>
        <v>3.6441260567186458</v>
      </c>
      <c r="AB266" s="42">
        <f t="shared" si="1825"/>
        <v>3.8519602357262706</v>
      </c>
      <c r="AC266" s="42">
        <f t="shared" si="1825"/>
        <v>3.7526921562534326</v>
      </c>
      <c r="AD266" s="42">
        <f t="shared" si="1825"/>
        <v>3.4657564001415171</v>
      </c>
      <c r="AE266" s="42">
        <f t="shared" si="1825"/>
        <v>3.7009455073873538</v>
      </c>
      <c r="AF266" s="42">
        <f t="shared" si="1825"/>
        <v>4.2184773790683261</v>
      </c>
      <c r="AG266" s="42">
        <f t="shared" ref="AG266:AL266" si="1833">AG262/AG254</f>
        <v>4.1594811346109282</v>
      </c>
      <c r="AH266" s="42">
        <f t="shared" si="1833"/>
        <v>4.0595809833229861</v>
      </c>
      <c r="AI266" s="42">
        <f t="shared" si="1833"/>
        <v>4.3625041275558623</v>
      </c>
      <c r="AJ266" s="42">
        <f t="shared" si="1833"/>
        <v>4.0649074281248447</v>
      </c>
      <c r="AK266" s="42">
        <f t="shared" si="1833"/>
        <v>4.0419334139606544</v>
      </c>
      <c r="AL266" s="42">
        <f t="shared" si="1833"/>
        <v>3.2866596176892382</v>
      </c>
      <c r="AM266" s="42">
        <f t="shared" ref="AM266:AR266" si="1834">AM262/AM254</f>
        <v>3.1533581007583944</v>
      </c>
      <c r="AN266" s="42">
        <f t="shared" si="1834"/>
        <v>2.8166089498325357</v>
      </c>
      <c r="AO266" s="42">
        <f t="shared" si="1834"/>
        <v>3.3008198019578319</v>
      </c>
      <c r="AP266" s="42">
        <f t="shared" si="1834"/>
        <v>3.0168022454667218</v>
      </c>
      <c r="AQ266" s="42">
        <f t="shared" si="1834"/>
        <v>3.1004159956857094</v>
      </c>
      <c r="AR266" s="42">
        <f t="shared" si="1834"/>
        <v>3.3344513471685402</v>
      </c>
      <c r="AS266" s="42">
        <f t="shared" ref="AS266:AU266" si="1835">AS262/AS254</f>
        <v>3.4059126214010944</v>
      </c>
      <c r="AT266" s="42">
        <f t="shared" si="1835"/>
        <v>3.6044394723441457</v>
      </c>
      <c r="AU266" s="42">
        <f t="shared" si="1835"/>
        <v>3.7433836867567787</v>
      </c>
      <c r="AV266" s="42">
        <f t="shared" ref="AV266:AX266" si="1836">AV262/AV254</f>
        <v>4.3851034476891195</v>
      </c>
      <c r="AW266" s="42">
        <f t="shared" si="1836"/>
        <v>3.0719266719154827</v>
      </c>
      <c r="AX266" s="42">
        <f t="shared" si="1836"/>
        <v>3.5487102465074734</v>
      </c>
      <c r="AY266" s="42">
        <f t="shared" ref="AY266:BB266" si="1837">AY262/AY254</f>
        <v>3.9535416990128951</v>
      </c>
      <c r="AZ266" s="42">
        <f t="shared" si="1837"/>
        <v>3.8757194400779</v>
      </c>
      <c r="BA266" s="42">
        <f t="shared" si="1837"/>
        <v>4.9505505895997652</v>
      </c>
      <c r="BB266" s="42">
        <f t="shared" si="1837"/>
        <v>6.0107986412027632</v>
      </c>
      <c r="BC266" s="42">
        <f t="shared" ref="BC266:BF266" si="1838">BC262/BC254</f>
        <v>5.9467361914787338</v>
      </c>
      <c r="BD266" s="42">
        <f t="shared" si="1838"/>
        <v>6.6069226506138037</v>
      </c>
      <c r="BE266" s="42">
        <f t="shared" si="1838"/>
        <v>7.8719341860874579</v>
      </c>
      <c r="BF266" s="42">
        <f t="shared" si="1838"/>
        <v>7.1218638477311735</v>
      </c>
      <c r="BG266" s="42">
        <f t="shared" ref="BG266:BH266" si="1839">BG262/BG254</f>
        <v>7.4053080458310072</v>
      </c>
      <c r="BH266" s="42">
        <f t="shared" si="1839"/>
        <v>8.2147250043272138</v>
      </c>
      <c r="BJ266" s="42">
        <f t="shared" ref="BJ266:BL266" si="1840">BJ262/BJ254</f>
        <v>7.4418052875586609</v>
      </c>
      <c r="BK266" s="42">
        <f t="shared" si="1840"/>
        <v>2.4672318848091823</v>
      </c>
      <c r="BL266" s="42">
        <f t="shared" si="1840"/>
        <v>2.7507858131355358</v>
      </c>
      <c r="BM266" s="42">
        <f t="shared" ref="BM266:BN266" si="1841">BM262/BM254</f>
        <v>0.13506825987307342</v>
      </c>
      <c r="BN266" s="42">
        <f t="shared" si="1841"/>
        <v>3.0040244748306879</v>
      </c>
      <c r="BO266" s="42">
        <f t="shared" ref="BO266:BQ266" si="1842">BO262/BO254</f>
        <v>3.6596743577227384</v>
      </c>
      <c r="BP266" s="42">
        <f t="shared" si="1842"/>
        <v>3.879506675168694</v>
      </c>
      <c r="BQ266" s="42">
        <f t="shared" si="1842"/>
        <v>0.36061753781733147</v>
      </c>
      <c r="BR266" s="42">
        <f t="shared" ref="BR266" si="1843">BR262/BR254</f>
        <v>5.1283442405849549</v>
      </c>
      <c r="BW266" s="39"/>
      <c r="BX266" s="39"/>
    </row>
    <row r="267" spans="2:76" ht="13.5" customHeight="1">
      <c r="B267" s="5" t="s">
        <v>389</v>
      </c>
      <c r="C267" s="41">
        <f>C264/C254</f>
        <v>2.1644749148984208</v>
      </c>
      <c r="D267" s="41">
        <f t="shared" ref="D267:AF267" si="1844">D264/D254</f>
        <v>2.00782592403979</v>
      </c>
      <c r="E267" s="41">
        <f t="shared" si="1844"/>
        <v>1.5569884554847986</v>
      </c>
      <c r="F267" s="41">
        <f t="shared" si="1844"/>
        <v>2.3682768911108472</v>
      </c>
      <c r="G267" s="41">
        <f t="shared" si="1844"/>
        <v>2.0447993678965086</v>
      </c>
      <c r="H267" s="41">
        <f t="shared" ref="H267:J267" si="1845">H264/H254</f>
        <v>2.5048713174437465</v>
      </c>
      <c r="I267" s="41">
        <f t="shared" si="1845"/>
        <v>0.86942460872955485</v>
      </c>
      <c r="J267" s="41">
        <f t="shared" si="1845"/>
        <v>1.711293391022203</v>
      </c>
      <c r="K267" s="41">
        <f t="shared" ref="K267" si="1846">K264/K254</f>
        <v>1.9555196788591327</v>
      </c>
      <c r="L267" s="41">
        <f t="shared" ref="L267:M267" si="1847">L264/L254</f>
        <v>2.3516641280312798</v>
      </c>
      <c r="M267" s="41">
        <f t="shared" si="1847"/>
        <v>2.1289262820076846</v>
      </c>
      <c r="N267" s="41">
        <f t="shared" ref="N267" si="1848">N264/N254</f>
        <v>1.8825391862150656</v>
      </c>
      <c r="O267" s="41">
        <f t="shared" ref="O267:P267" si="1849">O264/O254</f>
        <v>3.890453602383833</v>
      </c>
      <c r="P267" s="41">
        <f t="shared" si="1849"/>
        <v>3.5297654786537653</v>
      </c>
      <c r="Q267" s="41">
        <f t="shared" ref="Q267" si="1850">Q264/Q254</f>
        <v>4.4719516980898817</v>
      </c>
      <c r="R267" s="41">
        <f t="shared" ref="R267" si="1851">R264/R254</f>
        <v>5.7215632677104917</v>
      </c>
      <c r="S267" s="41"/>
      <c r="T267" s="41"/>
      <c r="U267" s="41"/>
      <c r="V267" s="41"/>
      <c r="W267" s="41">
        <f t="shared" si="1844"/>
        <v>1.557094045044815</v>
      </c>
      <c r="X267" s="41">
        <f t="shared" si="1844"/>
        <v>1.8427647657057245</v>
      </c>
      <c r="Y267" s="41">
        <f t="shared" si="1844"/>
        <v>2.4115364356381166</v>
      </c>
      <c r="Z267" s="41">
        <f t="shared" si="1844"/>
        <v>2.5334669979105113</v>
      </c>
      <c r="AA267" s="41">
        <f t="shared" si="1844"/>
        <v>2.3682768911108472</v>
      </c>
      <c r="AB267" s="41">
        <f t="shared" si="1844"/>
        <v>2.6329108155472909</v>
      </c>
      <c r="AC267" s="41">
        <f t="shared" si="1844"/>
        <v>2.5779245664064532</v>
      </c>
      <c r="AD267" s="41">
        <f t="shared" si="1844"/>
        <v>2.1949598042335476</v>
      </c>
      <c r="AE267" s="41">
        <f t="shared" si="1844"/>
        <v>2.0465234427458165</v>
      </c>
      <c r="AF267" s="41">
        <f t="shared" si="1844"/>
        <v>2.2478814605564641</v>
      </c>
      <c r="AG267" s="41">
        <f t="shared" ref="AG267:AL267" si="1852">AG264/AG254</f>
        <v>2.4495809003049596</v>
      </c>
      <c r="AH267" s="41">
        <f t="shared" si="1852"/>
        <v>2.4531929644649653</v>
      </c>
      <c r="AI267" s="41">
        <f t="shared" si="1852"/>
        <v>2.3389599620892509</v>
      </c>
      <c r="AJ267" s="41">
        <f t="shared" si="1852"/>
        <v>2.088311035007862</v>
      </c>
      <c r="AK267" s="41">
        <f t="shared" si="1852"/>
        <v>1.6885938845601609</v>
      </c>
      <c r="AL267" s="41">
        <f t="shared" si="1852"/>
        <v>1.0431943803255486</v>
      </c>
      <c r="AM267" s="41">
        <f t="shared" ref="AM267:AR267" si="1853">AM264/AM254</f>
        <v>0.9369418605118115</v>
      </c>
      <c r="AN267" s="41">
        <f t="shared" si="1853"/>
        <v>1.3252428027152803</v>
      </c>
      <c r="AO267" s="41">
        <f t="shared" si="1853"/>
        <v>1.8699530104237887</v>
      </c>
      <c r="AP267" s="41">
        <f t="shared" si="1853"/>
        <v>1.8857001802219133</v>
      </c>
      <c r="AQ267" s="41">
        <f t="shared" si="1853"/>
        <v>1.5763525193381704</v>
      </c>
      <c r="AR267" s="41">
        <f t="shared" si="1853"/>
        <v>1.9162826822592782</v>
      </c>
      <c r="AS267" s="41">
        <f t="shared" ref="AS267:AU267" si="1854">AS264/AS254</f>
        <v>2.2545759669819176</v>
      </c>
      <c r="AT267" s="41">
        <f t="shared" si="1854"/>
        <v>2.0877907610876969</v>
      </c>
      <c r="AU267" s="41">
        <f t="shared" si="1854"/>
        <v>1.9555196788591327</v>
      </c>
      <c r="AV267" s="41">
        <f t="shared" ref="AV267:AX267" si="1855">AV264/AV254</f>
        <v>2.2544530120673518</v>
      </c>
      <c r="AW267" s="41">
        <f t="shared" si="1855"/>
        <v>1.7041359690137832</v>
      </c>
      <c r="AX267" s="41">
        <f t="shared" si="1855"/>
        <v>1.939552494590264</v>
      </c>
      <c r="AY267" s="41">
        <f t="shared" ref="AY267:BB267" si="1856">AY264/AY254</f>
        <v>2.1289262820076846</v>
      </c>
      <c r="AZ267" s="41">
        <f t="shared" si="1856"/>
        <v>2.2556054619777774</v>
      </c>
      <c r="BA267" s="41">
        <f t="shared" si="1856"/>
        <v>3.2372003074590818</v>
      </c>
      <c r="BB267" s="41">
        <f t="shared" si="1856"/>
        <v>4.5318544959084814</v>
      </c>
      <c r="BC267" s="41">
        <f t="shared" ref="BC267" si="1857">BC264/BC254</f>
        <v>3.890453602383833</v>
      </c>
      <c r="BD267" s="41">
        <f>BD264/BD254</f>
        <v>4.8904777805503796</v>
      </c>
      <c r="BE267" s="41">
        <f t="shared" ref="BE267:BG267" si="1858">BE264/BE254</f>
        <v>5.6881389312570594</v>
      </c>
      <c r="BF267" s="41">
        <f t="shared" si="1858"/>
        <v>4.9361367825270808</v>
      </c>
      <c r="BG267" s="41">
        <f t="shared" si="1858"/>
        <v>4.4719516980898817</v>
      </c>
      <c r="BH267" s="41">
        <f>BH264/BH254</f>
        <v>5.7215632677104917</v>
      </c>
      <c r="BJ267" s="41">
        <f t="shared" ref="BJ267:BL267" si="1859">BJ264/BJ254</f>
        <v>1.3495489304467307</v>
      </c>
      <c r="BK267" s="41">
        <f t="shared" si="1859"/>
        <v>0.58271845784556731</v>
      </c>
      <c r="BL267" s="41">
        <f t="shared" si="1859"/>
        <v>0.88769220513453106</v>
      </c>
      <c r="BM267" s="41">
        <f t="shared" ref="BM267:BN267" si="1860">BM264/BM254</f>
        <v>-1.5941542027554321</v>
      </c>
      <c r="BN267" s="41">
        <f t="shared" si="1860"/>
        <v>1.748293218357114</v>
      </c>
      <c r="BO267" s="41">
        <f t="shared" ref="BO267:BQ267" si="1861">BO264/BO254</f>
        <v>2.3930871408341599</v>
      </c>
      <c r="BP267" s="41">
        <f t="shared" si="1861"/>
        <v>2.9249623581222099</v>
      </c>
      <c r="BQ267" s="41">
        <f t="shared" si="1861"/>
        <v>-1.6957116037279283</v>
      </c>
      <c r="BR267" s="41">
        <f t="shared" ref="BR267" si="1862">BR264/BR254</f>
        <v>3.7960265142901619</v>
      </c>
      <c r="BW267" s="39"/>
      <c r="BX267" s="39"/>
    </row>
    <row r="268" spans="2:76" ht="13.5" customHeight="1">
      <c r="B268" s="1" t="s">
        <v>390</v>
      </c>
      <c r="C268" s="42">
        <f>C263/C254</f>
        <v>3.4322054771203945</v>
      </c>
      <c r="D268" s="42">
        <f t="shared" ref="D268:AF268" si="1863">D263/D254</f>
        <v>3.4232918364584051</v>
      </c>
      <c r="E268" s="42">
        <f t="shared" si="1863"/>
        <v>2.8263125622367014</v>
      </c>
      <c r="F268" s="42">
        <f t="shared" si="1863"/>
        <v>3.768898136311015</v>
      </c>
      <c r="G268" s="42">
        <f t="shared" si="1863"/>
        <v>3.8018087745772529</v>
      </c>
      <c r="H268" s="42">
        <f t="shared" ref="H268:J268" si="1864">H263/H254</f>
        <v>4.6719531922144375</v>
      </c>
      <c r="I268" s="42">
        <f t="shared" si="1864"/>
        <v>2.926123005581601</v>
      </c>
      <c r="J268" s="42">
        <f t="shared" si="1864"/>
        <v>3.3658216279338822</v>
      </c>
      <c r="K268" s="42">
        <f t="shared" ref="K268" si="1865">K263/K254</f>
        <v>3.7433836867567787</v>
      </c>
      <c r="L268" s="42">
        <f t="shared" ref="L268:M268" si="1866">L263/L254</f>
        <v>4.4952779319658731</v>
      </c>
      <c r="M268" s="42">
        <f t="shared" si="1866"/>
        <v>3.9535416990128951</v>
      </c>
      <c r="N268" s="42">
        <f t="shared" ref="N268" si="1867">N263/N254</f>
        <v>3.6117616488435713</v>
      </c>
      <c r="O268" s="42">
        <f t="shared" ref="O268:P268" si="1868">O263/O254</f>
        <v>5.9467361914787338</v>
      </c>
      <c r="P268" s="42">
        <f t="shared" si="1868"/>
        <v>5.5860946201990247</v>
      </c>
      <c r="Q268" s="42">
        <f t="shared" ref="Q268" si="1869">Q263/Q254</f>
        <v>7.4053080458310072</v>
      </c>
      <c r="R268" s="42">
        <f t="shared" ref="R268" si="1870">R263/R254</f>
        <v>8.2147250043272138</v>
      </c>
      <c r="S268" s="42"/>
      <c r="T268" s="42"/>
      <c r="U268" s="42"/>
      <c r="V268" s="42"/>
      <c r="W268" s="42">
        <f t="shared" si="1863"/>
        <v>2.8265042329577432</v>
      </c>
      <c r="X268" s="42">
        <f t="shared" si="1863"/>
        <v>3.339522142624765</v>
      </c>
      <c r="Y268" s="42">
        <f t="shared" si="1863"/>
        <v>3.5722150601654232</v>
      </c>
      <c r="Z268" s="42">
        <f t="shared" si="1863"/>
        <v>3.6660904671882193</v>
      </c>
      <c r="AA268" s="42">
        <f t="shared" si="1863"/>
        <v>3.768898136311015</v>
      </c>
      <c r="AB268" s="42">
        <f t="shared" si="1863"/>
        <v>3.9698254297207485</v>
      </c>
      <c r="AC268" s="42">
        <f t="shared" si="1863"/>
        <v>3.8530426720247899</v>
      </c>
      <c r="AD268" s="42">
        <f t="shared" si="1863"/>
        <v>3.5417016708228792</v>
      </c>
      <c r="AE268" s="42">
        <f t="shared" si="1863"/>
        <v>3.8825975392508227</v>
      </c>
      <c r="AF268" s="42">
        <f t="shared" si="1863"/>
        <v>4.2184773790683261</v>
      </c>
      <c r="AG268" s="42">
        <f t="shared" ref="AG268:AL268" si="1871">AG263/AG254</f>
        <v>4.1594811346109282</v>
      </c>
      <c r="AH268" s="42">
        <f t="shared" si="1871"/>
        <v>4.0595809833229861</v>
      </c>
      <c r="AI268" s="42">
        <f t="shared" si="1871"/>
        <v>4.3625041275558623</v>
      </c>
      <c r="AJ268" s="42">
        <f t="shared" si="1871"/>
        <v>4.0649074281248447</v>
      </c>
      <c r="AK268" s="42">
        <f t="shared" si="1871"/>
        <v>4.0419334139606544</v>
      </c>
      <c r="AL268" s="42">
        <f t="shared" si="1871"/>
        <v>3.2866596176892382</v>
      </c>
      <c r="AM268" s="42">
        <f t="shared" ref="AM268:AR268" si="1872">AM263/AM254</f>
        <v>3.1533581007583944</v>
      </c>
      <c r="AN268" s="42">
        <f t="shared" si="1872"/>
        <v>2.8166089498325357</v>
      </c>
      <c r="AO268" s="42">
        <f t="shared" si="1872"/>
        <v>3.3008198019578319</v>
      </c>
      <c r="AP268" s="42">
        <f t="shared" si="1872"/>
        <v>3.0168022454667218</v>
      </c>
      <c r="AQ268" s="42">
        <f t="shared" si="1872"/>
        <v>3.1004159956857094</v>
      </c>
      <c r="AR268" s="42">
        <f t="shared" si="1872"/>
        <v>3.3344513471685402</v>
      </c>
      <c r="AS268" s="42">
        <f t="shared" ref="AS268:AU268" si="1873">AS263/AS254</f>
        <v>3.4059126214010944</v>
      </c>
      <c r="AT268" s="42">
        <f t="shared" si="1873"/>
        <v>3.6044394723441457</v>
      </c>
      <c r="AU268" s="42">
        <f t="shared" si="1873"/>
        <v>3.7433836867567787</v>
      </c>
      <c r="AV268" s="42">
        <f t="shared" ref="AV268:AX268" si="1874">AV263/AV254</f>
        <v>4.3851034476891195</v>
      </c>
      <c r="AW268" s="42">
        <f t="shared" si="1874"/>
        <v>3.0719266719154827</v>
      </c>
      <c r="AX268" s="42">
        <f t="shared" si="1874"/>
        <v>3.5487102465074734</v>
      </c>
      <c r="AY268" s="42">
        <f t="shared" ref="AY268:BB268" si="1875">AY263/AY254</f>
        <v>3.9535416990128951</v>
      </c>
      <c r="AZ268" s="42">
        <f t="shared" si="1875"/>
        <v>3.8757194400779</v>
      </c>
      <c r="BA268" s="42">
        <f t="shared" si="1875"/>
        <v>4.9505505895997652</v>
      </c>
      <c r="BB268" s="42">
        <f t="shared" si="1875"/>
        <v>6.0107986412027632</v>
      </c>
      <c r="BC268" s="42">
        <f t="shared" ref="BC268:BF268" si="1876">BC263/BC254</f>
        <v>5.9467361914787338</v>
      </c>
      <c r="BD268" s="42">
        <f t="shared" si="1876"/>
        <v>6.6069226506138037</v>
      </c>
      <c r="BE268" s="42">
        <f t="shared" si="1876"/>
        <v>7.8719341860874579</v>
      </c>
      <c r="BF268" s="42">
        <f t="shared" si="1876"/>
        <v>7.1218638477311735</v>
      </c>
      <c r="BG268" s="42">
        <f t="shared" ref="BG268:BH268" si="1877">BG263/BG254</f>
        <v>7.4053080458310072</v>
      </c>
      <c r="BH268" s="42">
        <f t="shared" si="1877"/>
        <v>8.2147250043272138</v>
      </c>
      <c r="BJ268" s="42">
        <f t="shared" ref="BJ268:BL268" si="1878">BJ263/BJ254</f>
        <v>7.4418052875586609</v>
      </c>
      <c r="BK268" s="42">
        <f t="shared" si="1878"/>
        <v>2.4672318848091823</v>
      </c>
      <c r="BL268" s="42">
        <f t="shared" si="1878"/>
        <v>2.7507858131355358</v>
      </c>
      <c r="BM268" s="42">
        <f t="shared" ref="BM268:BN268" si="1879">BM263/BM254</f>
        <v>0.13506825987307342</v>
      </c>
      <c r="BN268" s="42">
        <f t="shared" si="1879"/>
        <v>3.0040244748306879</v>
      </c>
      <c r="BO268" s="42">
        <f t="shared" ref="BO268:BQ268" si="1880">BO263/BO254</f>
        <v>3.6596743577227384</v>
      </c>
      <c r="BP268" s="42">
        <f t="shared" si="1880"/>
        <v>3.879506675168694</v>
      </c>
      <c r="BQ268" s="42">
        <f t="shared" si="1880"/>
        <v>0.36061753781733147</v>
      </c>
      <c r="BR268" s="42">
        <f t="shared" ref="BR268" si="1881">BR263/BR254</f>
        <v>5.1283442405849549</v>
      </c>
      <c r="BW268" s="39"/>
      <c r="BX268" s="39"/>
    </row>
    <row r="269" spans="2:76" ht="13.5" customHeight="1">
      <c r="B269" s="5" t="s">
        <v>391</v>
      </c>
      <c r="C269" s="41">
        <f>C265/C254</f>
        <v>2.3163769272325054</v>
      </c>
      <c r="D269" s="41">
        <f t="shared" ref="D269:AF269" si="1882">D265/D254</f>
        <v>2.1008654211108495</v>
      </c>
      <c r="E269" s="41">
        <f t="shared" si="1882"/>
        <v>1.6441569469665678</v>
      </c>
      <c r="F269" s="41">
        <f t="shared" si="1882"/>
        <v>2.4930489707032164</v>
      </c>
      <c r="G269" s="41">
        <f t="shared" si="1882"/>
        <v>2.1487804625858011</v>
      </c>
      <c r="H269" s="41">
        <f t="shared" ref="H269:J269" si="1883">H265/H254</f>
        <v>2.5048713174437465</v>
      </c>
      <c r="I269" s="41">
        <f t="shared" si="1883"/>
        <v>0.86942460872955485</v>
      </c>
      <c r="J269" s="41">
        <f t="shared" si="1883"/>
        <v>1.711293391022203</v>
      </c>
      <c r="K269" s="41">
        <f t="shared" ref="K269" si="1884">K265/K254</f>
        <v>1.9555196788591327</v>
      </c>
      <c r="L269" s="41">
        <f t="shared" ref="L269:M269" si="1885">L265/L254</f>
        <v>2.3516641280312798</v>
      </c>
      <c r="M269" s="41">
        <f t="shared" si="1885"/>
        <v>2.1289262820076846</v>
      </c>
      <c r="N269" s="41">
        <f t="shared" ref="N269" si="1886">N265/N254</f>
        <v>1.8825391862150656</v>
      </c>
      <c r="O269" s="41">
        <f t="shared" ref="O269:P269" si="1887">O265/O254</f>
        <v>3.890453602383833</v>
      </c>
      <c r="P269" s="41">
        <f t="shared" si="1887"/>
        <v>3.5297654786537653</v>
      </c>
      <c r="Q269" s="41">
        <f t="shared" ref="Q269" si="1888">Q265/Q254</f>
        <v>4.4719516980898817</v>
      </c>
      <c r="R269" s="41">
        <f t="shared" ref="R269" si="1889">R265/R254</f>
        <v>5.7215632677104917</v>
      </c>
      <c r="S269" s="41"/>
      <c r="T269" s="41"/>
      <c r="U269" s="41"/>
      <c r="V269" s="41"/>
      <c r="W269" s="41">
        <f t="shared" si="1882"/>
        <v>1.6442684479915219</v>
      </c>
      <c r="X269" s="41">
        <f t="shared" si="1882"/>
        <v>1.9631677381465658</v>
      </c>
      <c r="Y269" s="41">
        <f t="shared" si="1882"/>
        <v>2.5394885002872054</v>
      </c>
      <c r="Z269" s="41">
        <f t="shared" si="1882"/>
        <v>2.661405909605798</v>
      </c>
      <c r="AA269" s="41">
        <f t="shared" si="1882"/>
        <v>2.4930489707032164</v>
      </c>
      <c r="AB269" s="41">
        <f t="shared" si="1882"/>
        <v>2.7507760095417679</v>
      </c>
      <c r="AC269" s="41">
        <f t="shared" si="1882"/>
        <v>2.6782750821778105</v>
      </c>
      <c r="AD269" s="41">
        <f t="shared" si="1882"/>
        <v>2.2709050749149093</v>
      </c>
      <c r="AE269" s="41">
        <f t="shared" si="1882"/>
        <v>2.2281754746092859</v>
      </c>
      <c r="AF269" s="41">
        <f t="shared" si="1882"/>
        <v>2.2478814605564641</v>
      </c>
      <c r="AG269" s="41">
        <f t="shared" ref="AG269:AL269" si="1890">AG265/AG254</f>
        <v>2.4495809003049596</v>
      </c>
      <c r="AH269" s="41">
        <f t="shared" si="1890"/>
        <v>2.4531929644649653</v>
      </c>
      <c r="AI269" s="41">
        <f t="shared" si="1890"/>
        <v>2.3389599620892509</v>
      </c>
      <c r="AJ269" s="41">
        <f t="shared" si="1890"/>
        <v>2.088311035007862</v>
      </c>
      <c r="AK269" s="41">
        <f t="shared" si="1890"/>
        <v>1.6885938845601609</v>
      </c>
      <c r="AL269" s="41">
        <f t="shared" si="1890"/>
        <v>1.0431943803255486</v>
      </c>
      <c r="AM269" s="41">
        <f t="shared" ref="AM269:AR269" si="1891">AM265/AM254</f>
        <v>0.9369418605118115</v>
      </c>
      <c r="AN269" s="41">
        <f t="shared" si="1891"/>
        <v>1.3252428027152803</v>
      </c>
      <c r="AO269" s="41">
        <f t="shared" si="1891"/>
        <v>1.8699530104237887</v>
      </c>
      <c r="AP269" s="41">
        <f t="shared" si="1891"/>
        <v>1.8857001802219133</v>
      </c>
      <c r="AQ269" s="41">
        <f t="shared" si="1891"/>
        <v>1.5763525193381704</v>
      </c>
      <c r="AR269" s="41">
        <f t="shared" si="1891"/>
        <v>1.9162826822592782</v>
      </c>
      <c r="AS269" s="41">
        <f t="shared" ref="AS269:AV269" si="1892">AS265/AS254</f>
        <v>2.2545759669819176</v>
      </c>
      <c r="AT269" s="41">
        <f t="shared" si="1892"/>
        <v>2.0877907610876969</v>
      </c>
      <c r="AU269" s="41">
        <f t="shared" si="1892"/>
        <v>1.9555196788591327</v>
      </c>
      <c r="AV269" s="41">
        <f t="shared" si="1892"/>
        <v>2.2544530120673518</v>
      </c>
      <c r="AW269" s="41">
        <f t="shared" ref="AW269:AZ269" si="1893">AW265/AW254</f>
        <v>1.7041359690137832</v>
      </c>
      <c r="AX269" s="41">
        <f t="shared" si="1893"/>
        <v>1.939552494590264</v>
      </c>
      <c r="AY269" s="41">
        <f t="shared" si="1893"/>
        <v>2.1289262820076846</v>
      </c>
      <c r="AZ269" s="41">
        <f t="shared" si="1893"/>
        <v>2.2556054619777774</v>
      </c>
      <c r="BA269" s="41">
        <f t="shared" ref="BA269:BD269" si="1894">BA265/BA254</f>
        <v>3.2372003074590818</v>
      </c>
      <c r="BB269" s="41">
        <f t="shared" si="1894"/>
        <v>4.5318544959084814</v>
      </c>
      <c r="BC269" s="41">
        <f t="shared" si="1894"/>
        <v>3.890453602383833</v>
      </c>
      <c r="BD269" s="41">
        <f t="shared" si="1894"/>
        <v>4.8904777805503796</v>
      </c>
      <c r="BE269" s="41">
        <f t="shared" ref="BE269:BH269" si="1895">BE265/BE254</f>
        <v>5.6881389312570594</v>
      </c>
      <c r="BF269" s="41">
        <f t="shared" si="1895"/>
        <v>4.9361367825270808</v>
      </c>
      <c r="BG269" s="41">
        <f t="shared" si="1895"/>
        <v>4.4719516980898817</v>
      </c>
      <c r="BH269" s="41">
        <f t="shared" si="1895"/>
        <v>5.7215632677104917</v>
      </c>
      <c r="BJ269" s="41">
        <f t="shared" ref="BJ269:BL269" si="1896">BJ265/BJ254</f>
        <v>1.3495489304467307</v>
      </c>
      <c r="BK269" s="41">
        <f t="shared" si="1896"/>
        <v>0.58271845784556731</v>
      </c>
      <c r="BL269" s="41">
        <f t="shared" si="1896"/>
        <v>0.88769220513453106</v>
      </c>
      <c r="BM269" s="41">
        <f t="shared" ref="BM269:BN269" si="1897">BM265/BM254</f>
        <v>-1.5941542027554321</v>
      </c>
      <c r="BN269" s="41">
        <f t="shared" si="1897"/>
        <v>1.748293218357114</v>
      </c>
      <c r="BO269" s="41">
        <f t="shared" ref="BO269:BQ269" si="1898">BO265/BO254</f>
        <v>2.3930871408341599</v>
      </c>
      <c r="BP269" s="41">
        <f t="shared" si="1898"/>
        <v>2.9249623581222099</v>
      </c>
      <c r="BQ269" s="41">
        <f t="shared" si="1898"/>
        <v>-1.6957116037279283</v>
      </c>
      <c r="BR269" s="41">
        <f t="shared" ref="BR269" si="1899">BR265/BR254</f>
        <v>3.7960265142901619</v>
      </c>
      <c r="BW269" s="39"/>
      <c r="BX269" s="39"/>
    </row>
    <row r="270" spans="2:76" s="5" customFormat="1" ht="13.5" customHeight="1"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  <c r="AY270" s="92"/>
      <c r="AZ270" s="92"/>
      <c r="BA270" s="92"/>
      <c r="BB270" s="92"/>
      <c r="BC270" s="92"/>
      <c r="BD270" s="92"/>
      <c r="BE270" s="92"/>
      <c r="BF270" s="92"/>
      <c r="BG270" s="92"/>
      <c r="BH270" s="92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T270" s="1"/>
      <c r="BU270" s="1"/>
      <c r="BW270" s="39"/>
      <c r="BX270" s="39"/>
    </row>
    <row r="271" spans="2:76" ht="13.5" customHeight="1">
      <c r="B271" s="16" t="s">
        <v>392</v>
      </c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298"/>
      <c r="T271" s="38"/>
      <c r="U271" s="17"/>
      <c r="V271" s="17"/>
      <c r="W271" s="17"/>
      <c r="X271" s="38"/>
      <c r="Y271" s="38"/>
      <c r="Z271" s="17"/>
      <c r="AA271" s="17"/>
      <c r="AB271" s="17"/>
      <c r="AC271" s="38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  <c r="AX271" s="17"/>
      <c r="AY271" s="17"/>
      <c r="AZ271" s="17"/>
      <c r="BA271" s="17"/>
      <c r="BB271" s="17"/>
      <c r="BC271" s="17"/>
      <c r="BD271" s="17"/>
      <c r="BE271" s="17"/>
      <c r="BF271" s="17"/>
      <c r="BG271" s="17"/>
      <c r="BH271" s="17"/>
      <c r="BJ271" s="17"/>
      <c r="BK271" s="17"/>
      <c r="BL271" s="17"/>
      <c r="BM271" s="17"/>
      <c r="BN271" s="17"/>
      <c r="BO271" s="17"/>
      <c r="BP271" s="17"/>
      <c r="BQ271" s="17"/>
      <c r="BR271" s="17"/>
      <c r="BW271" s="39"/>
      <c r="BX271" s="39"/>
    </row>
    <row r="272" spans="2:76" s="2" customFormat="1" ht="13.5" customHeight="1">
      <c r="B272" s="63" t="s">
        <v>75</v>
      </c>
      <c r="C272" s="91">
        <f t="shared" ref="C272:Q272" si="1900">C3</f>
        <v>41975</v>
      </c>
      <c r="D272" s="91">
        <f t="shared" si="1900"/>
        <v>42341</v>
      </c>
      <c r="E272" s="91">
        <f t="shared" si="1900"/>
        <v>42735</v>
      </c>
      <c r="F272" s="91">
        <f t="shared" si="1900"/>
        <v>43100</v>
      </c>
      <c r="G272" s="91">
        <f t="shared" si="1900"/>
        <v>43465</v>
      </c>
      <c r="H272" s="91">
        <f t="shared" si="1900"/>
        <v>43830</v>
      </c>
      <c r="I272" s="91">
        <f t="shared" si="1900"/>
        <v>44196</v>
      </c>
      <c r="J272" s="91">
        <f t="shared" si="1900"/>
        <v>44561</v>
      </c>
      <c r="K272" s="91">
        <f t="shared" si="1900"/>
        <v>44926</v>
      </c>
      <c r="L272" s="91">
        <f t="shared" si="1900"/>
        <v>44926</v>
      </c>
      <c r="M272" s="91">
        <f t="shared" si="1900"/>
        <v>45291</v>
      </c>
      <c r="N272" s="91">
        <f t="shared" si="1900"/>
        <v>45291</v>
      </c>
      <c r="O272" s="91">
        <f t="shared" si="1900"/>
        <v>45657</v>
      </c>
      <c r="P272" s="91">
        <f t="shared" si="1900"/>
        <v>45657</v>
      </c>
      <c r="Q272" s="91">
        <f t="shared" si="1900"/>
        <v>46022</v>
      </c>
      <c r="R272" s="83" t="s">
        <v>241</v>
      </c>
      <c r="S272" s="223"/>
      <c r="T272" s="91">
        <f t="shared" ref="T272:BH272" si="1901">T3</f>
        <v>42437</v>
      </c>
      <c r="U272" s="91">
        <f t="shared" si="1901"/>
        <v>42527</v>
      </c>
      <c r="V272" s="91">
        <f t="shared" si="1901"/>
        <v>42622</v>
      </c>
      <c r="W272" s="91">
        <f t="shared" si="1901"/>
        <v>42714</v>
      </c>
      <c r="X272" s="91">
        <f t="shared" si="1901"/>
        <v>42825</v>
      </c>
      <c r="Y272" s="91">
        <f t="shared" si="1901"/>
        <v>42916</v>
      </c>
      <c r="Z272" s="91">
        <f t="shared" si="1901"/>
        <v>43008</v>
      </c>
      <c r="AA272" s="91">
        <f t="shared" si="1901"/>
        <v>43100</v>
      </c>
      <c r="AB272" s="91">
        <f t="shared" si="1901"/>
        <v>43190</v>
      </c>
      <c r="AC272" s="91">
        <f t="shared" si="1901"/>
        <v>43281</v>
      </c>
      <c r="AD272" s="91">
        <f t="shared" si="1901"/>
        <v>43373</v>
      </c>
      <c r="AE272" s="91">
        <f t="shared" si="1901"/>
        <v>43465</v>
      </c>
      <c r="AF272" s="91">
        <f t="shared" si="1901"/>
        <v>43555</v>
      </c>
      <c r="AG272" s="91">
        <f t="shared" si="1901"/>
        <v>43646</v>
      </c>
      <c r="AH272" s="91">
        <f t="shared" si="1901"/>
        <v>43738</v>
      </c>
      <c r="AI272" s="91">
        <f t="shared" si="1901"/>
        <v>43830</v>
      </c>
      <c r="AJ272" s="91">
        <f t="shared" si="1901"/>
        <v>43921</v>
      </c>
      <c r="AK272" s="91">
        <f t="shared" si="1901"/>
        <v>44012</v>
      </c>
      <c r="AL272" s="91">
        <f t="shared" si="1901"/>
        <v>44104</v>
      </c>
      <c r="AM272" s="91">
        <f t="shared" si="1901"/>
        <v>44196</v>
      </c>
      <c r="AN272" s="91">
        <f t="shared" si="1901"/>
        <v>44286</v>
      </c>
      <c r="AO272" s="91">
        <f t="shared" si="1901"/>
        <v>44377</v>
      </c>
      <c r="AP272" s="91">
        <f t="shared" si="1901"/>
        <v>44469</v>
      </c>
      <c r="AQ272" s="91">
        <f t="shared" si="1901"/>
        <v>44561</v>
      </c>
      <c r="AR272" s="91">
        <f t="shared" si="1901"/>
        <v>44651</v>
      </c>
      <c r="AS272" s="91">
        <f t="shared" si="1901"/>
        <v>44742</v>
      </c>
      <c r="AT272" s="91">
        <f t="shared" si="1901"/>
        <v>44834</v>
      </c>
      <c r="AU272" s="91">
        <f t="shared" si="1901"/>
        <v>44926</v>
      </c>
      <c r="AV272" s="91">
        <f t="shared" si="1901"/>
        <v>45016</v>
      </c>
      <c r="AW272" s="91">
        <f t="shared" si="1901"/>
        <v>45107</v>
      </c>
      <c r="AX272" s="91">
        <f t="shared" si="1901"/>
        <v>45199</v>
      </c>
      <c r="AY272" s="91">
        <f t="shared" si="1901"/>
        <v>45291</v>
      </c>
      <c r="AZ272" s="91">
        <f t="shared" si="1901"/>
        <v>45382</v>
      </c>
      <c r="BA272" s="91">
        <f t="shared" si="1901"/>
        <v>45473</v>
      </c>
      <c r="BB272" s="91">
        <f t="shared" si="1901"/>
        <v>45565</v>
      </c>
      <c r="BC272" s="91">
        <f t="shared" si="1901"/>
        <v>45657</v>
      </c>
      <c r="BD272" s="91">
        <f t="shared" si="1901"/>
        <v>45747</v>
      </c>
      <c r="BE272" s="91">
        <f t="shared" si="1901"/>
        <v>45838</v>
      </c>
      <c r="BF272" s="91">
        <f t="shared" si="1901"/>
        <v>45930</v>
      </c>
      <c r="BG272" s="91">
        <f t="shared" si="1901"/>
        <v>46022</v>
      </c>
      <c r="BH272" s="91">
        <f t="shared" si="1901"/>
        <v>46112</v>
      </c>
      <c r="BJ272" s="91">
        <f t="shared" ref="BJ272:BR272" si="1902">BJ3</f>
        <v>45016</v>
      </c>
      <c r="BK272" s="91">
        <f t="shared" si="1902"/>
        <v>45107</v>
      </c>
      <c r="BL272" s="91">
        <f t="shared" si="1902"/>
        <v>45199</v>
      </c>
      <c r="BM272" s="91">
        <f t="shared" si="1902"/>
        <v>45291</v>
      </c>
      <c r="BN272" s="91">
        <f t="shared" si="1902"/>
        <v>45382</v>
      </c>
      <c r="BO272" s="91">
        <f t="shared" si="1902"/>
        <v>45473</v>
      </c>
      <c r="BP272" s="91">
        <f t="shared" si="1902"/>
        <v>45565</v>
      </c>
      <c r="BQ272" s="91">
        <f t="shared" si="1902"/>
        <v>45657</v>
      </c>
      <c r="BR272" s="91">
        <f t="shared" si="1902"/>
        <v>45747</v>
      </c>
      <c r="BT272" s="1"/>
      <c r="BU272" s="1"/>
      <c r="BW272" s="39"/>
      <c r="BX272" s="39"/>
    </row>
    <row r="273" spans="2:76" s="5" customFormat="1" ht="13.5" customHeight="1">
      <c r="B273" s="11"/>
      <c r="C273" s="14" t="s">
        <v>244</v>
      </c>
      <c r="D273" s="14" t="s">
        <v>244</v>
      </c>
      <c r="E273" s="14" t="s">
        <v>244</v>
      </c>
      <c r="F273" s="14" t="s">
        <v>244</v>
      </c>
      <c r="G273" s="14" t="s">
        <v>244</v>
      </c>
      <c r="H273" s="14" t="s">
        <v>244</v>
      </c>
      <c r="I273" s="14" t="s">
        <v>244</v>
      </c>
      <c r="J273" s="14" t="s">
        <v>244</v>
      </c>
      <c r="K273" s="14" t="s">
        <v>244</v>
      </c>
      <c r="L273" s="14" t="s">
        <v>244</v>
      </c>
      <c r="M273" s="14" t="s">
        <v>244</v>
      </c>
      <c r="N273" s="14" t="s">
        <v>244</v>
      </c>
      <c r="O273" s="14" t="s">
        <v>244</v>
      </c>
      <c r="P273" s="14" t="s">
        <v>244</v>
      </c>
      <c r="Q273" s="14" t="s">
        <v>244</v>
      </c>
      <c r="R273" s="14" t="s">
        <v>244</v>
      </c>
      <c r="S273" s="293"/>
      <c r="T273" s="14" t="s">
        <v>244</v>
      </c>
      <c r="U273" s="14" t="s">
        <v>244</v>
      </c>
      <c r="V273" s="14" t="s">
        <v>244</v>
      </c>
      <c r="W273" s="14" t="s">
        <v>244</v>
      </c>
      <c r="X273" s="14" t="str">
        <f t="shared" ref="X273:BH273" si="1903">X4</f>
        <v>Act</v>
      </c>
      <c r="Y273" s="14" t="str">
        <f t="shared" si="1903"/>
        <v>Act</v>
      </c>
      <c r="Z273" s="14" t="str">
        <f t="shared" si="1903"/>
        <v>Act</v>
      </c>
      <c r="AA273" s="14" t="str">
        <f t="shared" si="1903"/>
        <v>Act</v>
      </c>
      <c r="AB273" s="14" t="str">
        <f t="shared" si="1903"/>
        <v>Act</v>
      </c>
      <c r="AC273" s="14" t="str">
        <f t="shared" si="1903"/>
        <v>Act</v>
      </c>
      <c r="AD273" s="14" t="str">
        <f t="shared" si="1903"/>
        <v>Act</v>
      </c>
      <c r="AE273" s="14" t="str">
        <f t="shared" si="1903"/>
        <v>Act</v>
      </c>
      <c r="AF273" s="14" t="str">
        <f t="shared" si="1903"/>
        <v>Act</v>
      </c>
      <c r="AG273" s="14" t="str">
        <f t="shared" si="1903"/>
        <v>Act</v>
      </c>
      <c r="AH273" s="14" t="str">
        <f t="shared" si="1903"/>
        <v>Act</v>
      </c>
      <c r="AI273" s="14" t="str">
        <f t="shared" si="1903"/>
        <v>Act</v>
      </c>
      <c r="AJ273" s="14" t="str">
        <f t="shared" si="1903"/>
        <v>Act</v>
      </c>
      <c r="AK273" s="14" t="str">
        <f t="shared" si="1903"/>
        <v>Act</v>
      </c>
      <c r="AL273" s="14" t="str">
        <f t="shared" si="1903"/>
        <v>Act</v>
      </c>
      <c r="AM273" s="14" t="str">
        <f t="shared" si="1903"/>
        <v>Act</v>
      </c>
      <c r="AN273" s="14" t="str">
        <f t="shared" si="1903"/>
        <v>Act</v>
      </c>
      <c r="AO273" s="14" t="str">
        <f t="shared" si="1903"/>
        <v>Act</v>
      </c>
      <c r="AP273" s="14" t="str">
        <f t="shared" si="1903"/>
        <v>Act</v>
      </c>
      <c r="AQ273" s="14" t="str">
        <f t="shared" si="1903"/>
        <v>Act</v>
      </c>
      <c r="AR273" s="14" t="str">
        <f t="shared" si="1903"/>
        <v>Act</v>
      </c>
      <c r="AS273" s="14" t="str">
        <f t="shared" si="1903"/>
        <v>Act</v>
      </c>
      <c r="AT273" s="14" t="str">
        <f t="shared" si="1903"/>
        <v>Act</v>
      </c>
      <c r="AU273" s="14" t="str">
        <f t="shared" si="1903"/>
        <v>Act</v>
      </c>
      <c r="AV273" s="14" t="str">
        <f t="shared" si="1903"/>
        <v>Act</v>
      </c>
      <c r="AW273" s="14" t="str">
        <f t="shared" si="1903"/>
        <v>Act</v>
      </c>
      <c r="AX273" s="14" t="str">
        <f t="shared" si="1903"/>
        <v>Act</v>
      </c>
      <c r="AY273" s="14" t="str">
        <f t="shared" si="1903"/>
        <v>Act</v>
      </c>
      <c r="AZ273" s="14" t="str">
        <f t="shared" si="1903"/>
        <v>Act</v>
      </c>
      <c r="BA273" s="14" t="str">
        <f t="shared" si="1903"/>
        <v>Act</v>
      </c>
      <c r="BB273" s="14" t="str">
        <f t="shared" si="1903"/>
        <v>Act</v>
      </c>
      <c r="BC273" s="14" t="str">
        <f t="shared" si="1903"/>
        <v>Act</v>
      </c>
      <c r="BD273" s="14" t="str">
        <f t="shared" si="1903"/>
        <v>Act</v>
      </c>
      <c r="BE273" s="14" t="str">
        <f t="shared" si="1903"/>
        <v>Act</v>
      </c>
      <c r="BF273" s="14" t="str">
        <f t="shared" si="1903"/>
        <v>Act</v>
      </c>
      <c r="BG273" s="14" t="str">
        <f t="shared" si="1903"/>
        <v>Act</v>
      </c>
      <c r="BH273" s="14" t="str">
        <f t="shared" si="1903"/>
        <v>Act</v>
      </c>
      <c r="BJ273" s="14" t="str">
        <f t="shared" ref="BJ273:BR273" si="1904">BJ4</f>
        <v>Act</v>
      </c>
      <c r="BK273" s="14" t="str">
        <f t="shared" si="1904"/>
        <v>Act</v>
      </c>
      <c r="BL273" s="14" t="str">
        <f t="shared" si="1904"/>
        <v>Act</v>
      </c>
      <c r="BM273" s="14" t="str">
        <f t="shared" si="1904"/>
        <v>Act</v>
      </c>
      <c r="BN273" s="14" t="str">
        <f t="shared" si="1904"/>
        <v>Act</v>
      </c>
      <c r="BO273" s="14" t="str">
        <f t="shared" si="1904"/>
        <v>Act</v>
      </c>
      <c r="BP273" s="14" t="str">
        <f t="shared" si="1904"/>
        <v>Act</v>
      </c>
      <c r="BQ273" s="14" t="str">
        <f t="shared" si="1904"/>
        <v>Act</v>
      </c>
      <c r="BR273" s="14" t="str">
        <f t="shared" si="1904"/>
        <v>Act</v>
      </c>
      <c r="BT273" s="1"/>
      <c r="BU273" s="1"/>
      <c r="BW273" s="39"/>
      <c r="BX273" s="39"/>
    </row>
    <row r="274" spans="2:76" s="3" customFormat="1" ht="13.5" customHeight="1">
      <c r="C274" s="22" t="s">
        <v>245</v>
      </c>
      <c r="D274" s="22" t="s">
        <v>245</v>
      </c>
      <c r="E274" s="22" t="s">
        <v>245</v>
      </c>
      <c r="F274" s="22" t="s">
        <v>245</v>
      </c>
      <c r="G274" s="22" t="s">
        <v>245</v>
      </c>
      <c r="H274" s="22" t="s">
        <v>245</v>
      </c>
      <c r="I274" s="22" t="s">
        <v>245</v>
      </c>
      <c r="J274" s="22" t="s">
        <v>245</v>
      </c>
      <c r="K274" s="22" t="s">
        <v>245</v>
      </c>
      <c r="L274" s="22" t="s">
        <v>245</v>
      </c>
      <c r="M274" s="22" t="s">
        <v>245</v>
      </c>
      <c r="N274" s="22" t="s">
        <v>245</v>
      </c>
      <c r="O274" s="22" t="s">
        <v>245</v>
      </c>
      <c r="P274" s="22" t="s">
        <v>245</v>
      </c>
      <c r="Q274" s="22" t="s">
        <v>245</v>
      </c>
      <c r="R274" s="22" t="s">
        <v>245</v>
      </c>
      <c r="S274" s="22"/>
      <c r="T274" s="22" t="s">
        <v>246</v>
      </c>
      <c r="U274" s="22" t="s">
        <v>247</v>
      </c>
      <c r="V274" s="22" t="s">
        <v>248</v>
      </c>
      <c r="W274" s="22" t="s">
        <v>249</v>
      </c>
      <c r="X274" s="22" t="str">
        <f t="shared" ref="X274:BH274" si="1905">X5</f>
        <v>Q1</v>
      </c>
      <c r="Y274" s="22" t="str">
        <f t="shared" si="1905"/>
        <v>Q2</v>
      </c>
      <c r="Z274" s="22" t="str">
        <f t="shared" si="1905"/>
        <v>Q3</v>
      </c>
      <c r="AA274" s="22" t="str">
        <f t="shared" si="1905"/>
        <v>Q4</v>
      </c>
      <c r="AB274" s="22" t="str">
        <f t="shared" si="1905"/>
        <v>Q1</v>
      </c>
      <c r="AC274" s="22" t="str">
        <f t="shared" si="1905"/>
        <v>Q2</v>
      </c>
      <c r="AD274" s="22" t="str">
        <f t="shared" si="1905"/>
        <v>Q3</v>
      </c>
      <c r="AE274" s="22" t="str">
        <f t="shared" si="1905"/>
        <v>Q4</v>
      </c>
      <c r="AF274" s="22" t="str">
        <f t="shared" si="1905"/>
        <v>Q1</v>
      </c>
      <c r="AG274" s="22" t="str">
        <f t="shared" si="1905"/>
        <v>Q2</v>
      </c>
      <c r="AH274" s="22" t="str">
        <f t="shared" si="1905"/>
        <v>Q3</v>
      </c>
      <c r="AI274" s="22" t="str">
        <f t="shared" si="1905"/>
        <v>Q4</v>
      </c>
      <c r="AJ274" s="22" t="str">
        <f t="shared" si="1905"/>
        <v>Q1</v>
      </c>
      <c r="AK274" s="22" t="str">
        <f t="shared" si="1905"/>
        <v>Q2</v>
      </c>
      <c r="AL274" s="22" t="str">
        <f t="shared" si="1905"/>
        <v>Q3</v>
      </c>
      <c r="AM274" s="22" t="str">
        <f t="shared" si="1905"/>
        <v>Q4</v>
      </c>
      <c r="AN274" s="22" t="str">
        <f t="shared" si="1905"/>
        <v>Q1</v>
      </c>
      <c r="AO274" s="22" t="str">
        <f t="shared" si="1905"/>
        <v>Q2</v>
      </c>
      <c r="AP274" s="22" t="str">
        <f t="shared" si="1905"/>
        <v>Q3</v>
      </c>
      <c r="AQ274" s="22" t="str">
        <f t="shared" si="1905"/>
        <v>Q4</v>
      </c>
      <c r="AR274" s="22" t="str">
        <f t="shared" si="1905"/>
        <v>Q1</v>
      </c>
      <c r="AS274" s="22" t="str">
        <f t="shared" si="1905"/>
        <v>Q2</v>
      </c>
      <c r="AT274" s="22" t="str">
        <f t="shared" si="1905"/>
        <v>Q3</v>
      </c>
      <c r="AU274" s="22" t="str">
        <f t="shared" si="1905"/>
        <v>Q4</v>
      </c>
      <c r="AV274" s="22" t="str">
        <f t="shared" si="1905"/>
        <v>Q1</v>
      </c>
      <c r="AW274" s="22" t="str">
        <f t="shared" si="1905"/>
        <v>Q2</v>
      </c>
      <c r="AX274" s="22" t="str">
        <f t="shared" si="1905"/>
        <v>Q3</v>
      </c>
      <c r="AY274" s="22" t="str">
        <f t="shared" si="1905"/>
        <v>Q4</v>
      </c>
      <c r="AZ274" s="22" t="str">
        <f t="shared" si="1905"/>
        <v>Q1</v>
      </c>
      <c r="BA274" s="22" t="str">
        <f t="shared" si="1905"/>
        <v>Q2</v>
      </c>
      <c r="BB274" s="22" t="str">
        <f t="shared" si="1905"/>
        <v>Q3</v>
      </c>
      <c r="BC274" s="22" t="str">
        <f t="shared" si="1905"/>
        <v>Q4</v>
      </c>
      <c r="BD274" s="22" t="str">
        <f t="shared" si="1905"/>
        <v>Q1</v>
      </c>
      <c r="BE274" s="22" t="str">
        <f t="shared" si="1905"/>
        <v>Q2</v>
      </c>
      <c r="BF274" s="22" t="str">
        <f t="shared" si="1905"/>
        <v>Q3</v>
      </c>
      <c r="BG274" s="22" t="str">
        <f t="shared" si="1905"/>
        <v>Q4</v>
      </c>
      <c r="BH274" s="22" t="str">
        <f t="shared" si="1905"/>
        <v>Q1</v>
      </c>
      <c r="BJ274" s="22" t="str">
        <f t="shared" ref="BJ274:BR274" si="1906">BJ5</f>
        <v>Q1</v>
      </c>
      <c r="BK274" s="22" t="str">
        <f t="shared" si="1906"/>
        <v>Q2</v>
      </c>
      <c r="BL274" s="22" t="str">
        <f t="shared" si="1906"/>
        <v>Q3</v>
      </c>
      <c r="BM274" s="22" t="str">
        <f t="shared" si="1906"/>
        <v>Q4</v>
      </c>
      <c r="BN274" s="22" t="str">
        <f t="shared" si="1906"/>
        <v>Q1</v>
      </c>
      <c r="BO274" s="22" t="str">
        <f t="shared" si="1906"/>
        <v>Q2</v>
      </c>
      <c r="BP274" s="22" t="str">
        <f t="shared" si="1906"/>
        <v>Q3</v>
      </c>
      <c r="BQ274" s="22" t="str">
        <f t="shared" si="1906"/>
        <v>Q4</v>
      </c>
      <c r="BR274" s="22" t="str">
        <f t="shared" si="1906"/>
        <v>Q1</v>
      </c>
      <c r="BT274" s="1"/>
      <c r="BU274" s="1"/>
      <c r="BW274" s="39"/>
      <c r="BX274" s="39"/>
    </row>
    <row r="275" spans="2:76" s="5" customFormat="1" ht="13.5" customHeight="1">
      <c r="B275" s="5" t="str">
        <f>B206</f>
        <v>Revenues</v>
      </c>
      <c r="C275" s="46">
        <f t="shared" ref="C275:AE275" si="1907">C206*C$249</f>
        <v>5724.9198168399998</v>
      </c>
      <c r="D275" s="46">
        <f t="shared" si="1907"/>
        <v>5226.2992729999996</v>
      </c>
      <c r="E275" s="46">
        <f t="shared" si="1907"/>
        <v>5340.7098696000003</v>
      </c>
      <c r="F275" s="46">
        <f t="shared" si="1907"/>
        <v>5722.3773097495005</v>
      </c>
      <c r="G275" s="46">
        <f t="shared" si="1907"/>
        <v>5908.2027263999989</v>
      </c>
      <c r="H275" s="46">
        <f t="shared" ref="H275:J275" si="1908">H206*H$249</f>
        <v>5369.3578644791469</v>
      </c>
      <c r="I275" s="46">
        <f t="shared" si="1908"/>
        <v>6360.9762005901839</v>
      </c>
      <c r="J275" s="46">
        <f t="shared" si="1908"/>
        <v>7174.8902539850342</v>
      </c>
      <c r="K275" s="46">
        <f t="shared" ref="K275" si="1909">K206*K$249</f>
        <v>8258.0490988939873</v>
      </c>
      <c r="L275" s="46">
        <f>L206*L$249</f>
        <v>15858.799942738802</v>
      </c>
      <c r="M275" s="46">
        <f t="shared" ref="M275:O275" si="1910">M206*M$249</f>
        <v>11617.282304889713</v>
      </c>
      <c r="N275" s="46">
        <f t="shared" ref="N275" si="1911">N206*N$249</f>
        <v>16772.89164920948</v>
      </c>
      <c r="O275" s="46">
        <f t="shared" si="1910"/>
        <v>13072.647613513111</v>
      </c>
      <c r="P275" s="46">
        <f t="shared" ref="P275:Q275" si="1912">P206*P$249</f>
        <v>17111.093046137517</v>
      </c>
      <c r="Q275" s="46">
        <f t="shared" si="1912"/>
        <v>13255.686809429028</v>
      </c>
      <c r="R275" s="46">
        <f t="shared" ref="R275" si="1913">R206*R$249</f>
        <v>13790.89098760108</v>
      </c>
      <c r="S275" s="46"/>
      <c r="T275" s="46">
        <f t="shared" si="1907"/>
        <v>1199.79122837</v>
      </c>
      <c r="U275" s="46">
        <f t="shared" si="1907"/>
        <v>1366.8783267600002</v>
      </c>
      <c r="V275" s="46">
        <f t="shared" si="1907"/>
        <v>1376.6636917000001</v>
      </c>
      <c r="W275" s="46">
        <f t="shared" si="1907"/>
        <v>1378.68849198</v>
      </c>
      <c r="X275" s="46">
        <f t="shared" si="1907"/>
        <v>1254.81695558</v>
      </c>
      <c r="Y275" s="46">
        <f t="shared" si="1907"/>
        <v>1415.1277399700002</v>
      </c>
      <c r="Z275" s="46">
        <f t="shared" si="1907"/>
        <v>1548.8745514</v>
      </c>
      <c r="AA275" s="46">
        <f t="shared" si="1907"/>
        <v>1501.6910288053336</v>
      </c>
      <c r="AB275" s="46">
        <f t="shared" si="1907"/>
        <v>1384.2052269000001</v>
      </c>
      <c r="AC275" s="46">
        <f t="shared" si="1907"/>
        <v>1651.2207080100002</v>
      </c>
      <c r="AD275" s="46">
        <f t="shared" si="1907"/>
        <v>1383.81973791</v>
      </c>
      <c r="AE275" s="46">
        <f t="shared" si="1907"/>
        <v>1351.1009642599995</v>
      </c>
      <c r="AF275" s="46">
        <f t="shared" ref="AF275:AK275" si="1914">AF206*AF$249</f>
        <v>1272.4816645200001</v>
      </c>
      <c r="AG275" s="46">
        <f t="shared" si="1914"/>
        <v>1435.9787640000002</v>
      </c>
      <c r="AH275" s="46">
        <f t="shared" si="1914"/>
        <v>1453.2664042399999</v>
      </c>
      <c r="AI275" s="46">
        <f t="shared" si="1914"/>
        <v>1406.3213367177132</v>
      </c>
      <c r="AJ275" s="46">
        <f t="shared" si="1914"/>
        <v>1250.5459167481911</v>
      </c>
      <c r="AK275" s="46">
        <f t="shared" si="1914"/>
        <v>1141.477976847</v>
      </c>
      <c r="AL275" s="46">
        <f t="shared" ref="AL275:AQ275" si="1915">AL206*AL$249</f>
        <v>1653.4344675000002</v>
      </c>
      <c r="AM275" s="46">
        <f t="shared" si="1915"/>
        <v>1765.7771338199998</v>
      </c>
      <c r="AN275" s="46">
        <f t="shared" si="1915"/>
        <v>1665.0067329867977</v>
      </c>
      <c r="AO275" s="46">
        <f t="shared" si="1915"/>
        <v>1712.5501624363028</v>
      </c>
      <c r="AP275" s="46">
        <f t="shared" si="1915"/>
        <v>2124.0044671999999</v>
      </c>
      <c r="AQ275" s="46">
        <f t="shared" si="1915"/>
        <v>2113.0865634097781</v>
      </c>
      <c r="AR275" s="46">
        <f>AR206*AR$249</f>
        <v>2018.4251642657405</v>
      </c>
      <c r="AS275" s="46">
        <f>AS206*AS$249</f>
        <v>2071.7982911796526</v>
      </c>
      <c r="AT275" s="46">
        <f>AT206*AT$249</f>
        <v>1955.345939800985</v>
      </c>
      <c r="AU275" s="46">
        <f t="shared" ref="AU275" si="1916">AU206*AU$249</f>
        <v>2107.8461363270635</v>
      </c>
      <c r="AV275" s="46">
        <f>AV206*AV$249</f>
        <v>2106.2647056000001</v>
      </c>
      <c r="AW275" s="46">
        <f>AW206*AW$249</f>
        <v>2241.4060097967135</v>
      </c>
      <c r="AX275" s="46">
        <f>AX206*AX$249</f>
        <v>2171.5555049926706</v>
      </c>
      <c r="AY275" s="46">
        <f t="shared" ref="AY275" si="1917">AY206*AY$249</f>
        <v>4806.5701318256115</v>
      </c>
      <c r="AZ275" s="46">
        <f>AZ206*AZ$249</f>
        <v>2333.1839872404171</v>
      </c>
      <c r="BA275" s="46">
        <f>BA206*BA$249</f>
        <v>3140.3012804263558</v>
      </c>
      <c r="BB275" s="46">
        <f>BB206*BB$249</f>
        <v>3146.2648109836373</v>
      </c>
      <c r="BC275" s="46">
        <f t="shared" ref="BC275" si="1918">BC206*BC$249</f>
        <v>4324.7061498534367</v>
      </c>
      <c r="BD275" s="46">
        <f>BD206*BD$249</f>
        <v>3012.8929312006271</v>
      </c>
      <c r="BE275" s="46">
        <f>BE206*BE$249</f>
        <v>3130.3711919359707</v>
      </c>
      <c r="BF275" s="46">
        <f>BF206*BF$249</f>
        <v>3051.2076046261313</v>
      </c>
      <c r="BG275" s="46">
        <f t="shared" ref="BG275" si="1919">BG206*BG$249</f>
        <v>3934.1620905660543</v>
      </c>
      <c r="BH275" s="46">
        <f>BH206*BH$249</f>
        <v>3596.9859375043138</v>
      </c>
      <c r="BJ275" s="46">
        <f t="shared" ref="BJ275:BO275" si="1920">BJ206*BJ$249</f>
        <v>3593.2792732000003</v>
      </c>
      <c r="BK275" s="46">
        <f t="shared" si="1920"/>
        <v>3942.1380419940992</v>
      </c>
      <c r="BL275" s="46">
        <f t="shared" si="1920"/>
        <v>3455.844166017017</v>
      </c>
      <c r="BM275" s="46">
        <f t="shared" si="1920"/>
        <v>5448.6651423570738</v>
      </c>
      <c r="BN275" s="46">
        <f t="shared" si="1920"/>
        <v>3222.2164286083271</v>
      </c>
      <c r="BO275" s="46">
        <f t="shared" si="1920"/>
        <v>4240.9354036959876</v>
      </c>
      <c r="BP275" s="46">
        <f t="shared" ref="BP275:BR275" si="1921">BP206*BP$249</f>
        <v>4193.7825065453426</v>
      </c>
      <c r="BQ275" s="46">
        <f t="shared" si="1921"/>
        <v>5314.1492393785247</v>
      </c>
      <c r="BR275" s="46">
        <f t="shared" si="1921"/>
        <v>3942.8370733000338</v>
      </c>
      <c r="BT275" s="1"/>
      <c r="BU275" s="1"/>
      <c r="BW275" s="39"/>
      <c r="BX275" s="39"/>
    </row>
    <row r="276" spans="2:76" s="39" customFormat="1" ht="13.5" customHeight="1">
      <c r="B276" s="20" t="str">
        <f>B207</f>
        <v xml:space="preserve">% y-o-y growth </v>
      </c>
      <c r="C276" s="58"/>
      <c r="D276" s="58">
        <f t="shared" ref="D276:J276" si="1922">+D275/C275-1</f>
        <v>-8.7096511356070883E-2</v>
      </c>
      <c r="E276" s="58">
        <f t="shared" si="1922"/>
        <v>2.1891321300918642E-2</v>
      </c>
      <c r="F276" s="58">
        <f t="shared" si="1922"/>
        <v>7.1463803402240567E-2</v>
      </c>
      <c r="G276" s="58">
        <f t="shared" si="1922"/>
        <v>3.2473464539623853E-2</v>
      </c>
      <c r="H276" s="58">
        <f t="shared" si="1922"/>
        <v>-9.120283898064252E-2</v>
      </c>
      <c r="I276" s="58">
        <f t="shared" si="1922"/>
        <v>0.18468099186889053</v>
      </c>
      <c r="J276" s="58">
        <f t="shared" si="1922"/>
        <v>0.12795426798159282</v>
      </c>
      <c r="K276" s="58">
        <f>+K275/J275-1</f>
        <v>0.15096521431911114</v>
      </c>
      <c r="L276" s="58">
        <f>L275/J275-1</f>
        <v>1.2103195144943997</v>
      </c>
      <c r="M276" s="58">
        <f t="shared" ref="M276:N276" si="1923">+M275/L275-1</f>
        <v>-0.26745514497716671</v>
      </c>
      <c r="N276" s="58">
        <f t="shared" si="1923"/>
        <v>0.44378790228328802</v>
      </c>
      <c r="O276" s="58">
        <f>+O275/M275-1</f>
        <v>0.12527588384512556</v>
      </c>
      <c r="P276" s="58">
        <f>+P275/N275-1</f>
        <v>2.0163571315025886E-2</v>
      </c>
      <c r="Q276" s="58">
        <f>Q275/P275-1</f>
        <v>-0.22531618677503307</v>
      </c>
      <c r="R276" s="58"/>
      <c r="S276" s="299"/>
      <c r="T276" s="58"/>
      <c r="U276" s="58"/>
      <c r="V276" s="58"/>
      <c r="W276" s="58"/>
      <c r="X276" s="58">
        <f t="shared" ref="X276:AU276" si="1924">X275/T275-1</f>
        <v>4.5862751709525584E-2</v>
      </c>
      <c r="Y276" s="58">
        <f t="shared" si="1924"/>
        <v>3.5298981822594833E-2</v>
      </c>
      <c r="Z276" s="58">
        <f t="shared" si="1924"/>
        <v>0.12509290448950683</v>
      </c>
      <c r="AA276" s="58">
        <f t="shared" si="1924"/>
        <v>8.9217062114360424E-2</v>
      </c>
      <c r="AB276" s="58">
        <f>AB275/X275-1</f>
        <v>0.10311326344820904</v>
      </c>
      <c r="AC276" s="58">
        <f>AC275/Y275-1</f>
        <v>0.16683509295422683</v>
      </c>
      <c r="AD276" s="58">
        <f>AD275/Z275-1</f>
        <v>-0.10656435238141782</v>
      </c>
      <c r="AE276" s="58">
        <f>AE275/AA275-1</f>
        <v>-0.10028032508467177</v>
      </c>
      <c r="AF276" s="58">
        <f t="shared" si="1924"/>
        <v>-8.0713148750500507E-2</v>
      </c>
      <c r="AG276" s="58">
        <f t="shared" si="1924"/>
        <v>-0.13035322471785304</v>
      </c>
      <c r="AH276" s="58">
        <f t="shared" si="1924"/>
        <v>5.0184763540723987E-2</v>
      </c>
      <c r="AI276" s="58">
        <f t="shared" si="1924"/>
        <v>4.0870648395960441E-2</v>
      </c>
      <c r="AJ276" s="58">
        <f t="shared" si="1924"/>
        <v>-1.7238557052280612E-2</v>
      </c>
      <c r="AK276" s="58">
        <f t="shared" si="1924"/>
        <v>-0.20508714650671545</v>
      </c>
      <c r="AL276" s="58">
        <f t="shared" si="1924"/>
        <v>0.13773666182332223</v>
      </c>
      <c r="AM276" s="58">
        <f t="shared" si="1924"/>
        <v>0.25560004510863732</v>
      </c>
      <c r="AN276" s="58">
        <f t="shared" si="1924"/>
        <v>0.33142390910070207</v>
      </c>
      <c r="AO276" s="58">
        <f t="shared" si="1924"/>
        <v>0.50029189977604571</v>
      </c>
      <c r="AP276" s="58">
        <f t="shared" si="1924"/>
        <v>0.28460154239526858</v>
      </c>
      <c r="AQ276" s="58">
        <f t="shared" si="1924"/>
        <v>0.19668927801688385</v>
      </c>
      <c r="AR276" s="58">
        <f t="shared" si="1924"/>
        <v>0.21226246373488089</v>
      </c>
      <c r="AS276" s="58">
        <f t="shared" si="1924"/>
        <v>0.20977378451342843</v>
      </c>
      <c r="AT276" s="58">
        <f t="shared" si="1924"/>
        <v>-7.9405919339402997E-2</v>
      </c>
      <c r="AU276" s="58">
        <f t="shared" si="1924"/>
        <v>-2.4799869411210596E-3</v>
      </c>
      <c r="AV276" s="58">
        <f t="shared" ref="AV276:AY276" si="1925">AV275/AR275-1</f>
        <v>4.351884969003228E-2</v>
      </c>
      <c r="AW276" s="58">
        <f t="shared" si="1925"/>
        <v>8.1864976595037442E-2</v>
      </c>
      <c r="AX276" s="58">
        <f t="shared" si="1925"/>
        <v>0.11057356183923717</v>
      </c>
      <c r="AY276" s="58">
        <f t="shared" si="1925"/>
        <v>1.2803230506193839</v>
      </c>
      <c r="AZ276" s="58">
        <f t="shared" ref="AZ276:BG276" si="1926">AZ275/BJ275-1</f>
        <v>-0.35068114392272198</v>
      </c>
      <c r="BA276" s="58">
        <f t="shared" si="1926"/>
        <v>-0.20340149254695827</v>
      </c>
      <c r="BB276" s="58">
        <f t="shared" si="1926"/>
        <v>-8.9581398975573823E-2</v>
      </c>
      <c r="BC276" s="58">
        <f t="shared" si="1926"/>
        <v>-0.20628153192350818</v>
      </c>
      <c r="BD276" s="58">
        <f t="shared" si="1926"/>
        <v>-6.4962581516632256E-2</v>
      </c>
      <c r="BE276" s="58">
        <f t="shared" si="1926"/>
        <v>-0.26186774992897954</v>
      </c>
      <c r="BF276" s="58">
        <f t="shared" si="1926"/>
        <v>-0.27244495873020735</v>
      </c>
      <c r="BG276" s="58">
        <f t="shared" si="1926"/>
        <v>-0.25968166994381514</v>
      </c>
      <c r="BH276" s="58">
        <f>BH275/BR275-1</f>
        <v>-8.7716314259532191E-2</v>
      </c>
      <c r="BJ276" s="58">
        <f>BJ275/AY275-1</f>
        <v>-0.25242341739530261</v>
      </c>
      <c r="BK276" s="58">
        <f>BK275/BA275-1</f>
        <v>0.2553375265505986</v>
      </c>
      <c r="BL276" s="58">
        <f>BL275/AT275-1</f>
        <v>0.76738248494726857</v>
      </c>
      <c r="BM276" s="58">
        <f>BM275/AU275-1</f>
        <v>1.5849444361491254</v>
      </c>
      <c r="BN276" s="58">
        <f>BN275/BJ275-1</f>
        <v>-0.10326579605409369</v>
      </c>
      <c r="BO276" s="58">
        <f>BO275/BK275-1</f>
        <v>7.5795763242918923E-2</v>
      </c>
      <c r="BP276" s="58">
        <f>BP275/BL275-1</f>
        <v>0.21353345378962096</v>
      </c>
      <c r="BQ276" s="58">
        <f>BQ275/BM275-1</f>
        <v>-2.4687863809585875E-2</v>
      </c>
      <c r="BR276" s="58">
        <f>BR275/BN275-1</f>
        <v>0.22364129184300086</v>
      </c>
      <c r="BT276" s="1"/>
      <c r="BU276" s="1"/>
    </row>
    <row r="277" spans="2:76" s="5" customFormat="1" ht="13.5" customHeight="1" thickBot="1">
      <c r="B277" s="24"/>
      <c r="C277" s="52"/>
      <c r="D277" s="52"/>
      <c r="E277" s="52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8"/>
      <c r="T277" s="52"/>
      <c r="U277" s="52"/>
      <c r="V277" s="52"/>
      <c r="W277" s="52"/>
      <c r="X277" s="52"/>
      <c r="Y277" s="52"/>
      <c r="Z277" s="52"/>
      <c r="AA277" s="52"/>
      <c r="AB277" s="52"/>
      <c r="AC277" s="52"/>
      <c r="AD277" s="52"/>
      <c r="AE277" s="52"/>
      <c r="AF277" s="52"/>
      <c r="AG277" s="52"/>
      <c r="AH277" s="52"/>
      <c r="AI277" s="52"/>
      <c r="AJ277" s="52"/>
      <c r="AK277" s="52"/>
      <c r="AL277" s="52"/>
      <c r="AM277" s="52"/>
      <c r="AN277" s="52"/>
      <c r="AO277" s="52"/>
      <c r="AP277" s="52"/>
      <c r="AQ277" s="52"/>
      <c r="AR277" s="52"/>
      <c r="AS277" s="52"/>
      <c r="AT277" s="52"/>
      <c r="AU277" s="52"/>
      <c r="AV277" s="52"/>
      <c r="AW277" s="52"/>
      <c r="AX277" s="52"/>
      <c r="AY277" s="52"/>
      <c r="AZ277" s="52"/>
      <c r="BA277" s="52"/>
      <c r="BB277" s="52"/>
      <c r="BC277" s="52"/>
      <c r="BD277" s="52"/>
      <c r="BE277" s="52"/>
      <c r="BF277" s="52"/>
      <c r="BG277" s="52"/>
      <c r="BH277" s="52"/>
      <c r="BJ277" s="52"/>
      <c r="BK277" s="52"/>
      <c r="BL277" s="52"/>
      <c r="BM277" s="52"/>
      <c r="BN277" s="52"/>
      <c r="BO277" s="52"/>
      <c r="BP277" s="52"/>
      <c r="BQ277" s="52"/>
      <c r="BR277" s="52"/>
      <c r="BT277" s="1"/>
      <c r="BU277" s="1"/>
      <c r="BW277" s="39"/>
      <c r="BX277" s="39"/>
    </row>
    <row r="278" spans="2:76" s="39" customFormat="1" ht="13.5" hidden="1" customHeight="1" thickTop="1">
      <c r="B278" s="20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301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43"/>
      <c r="AS278" s="43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J278" s="43"/>
      <c r="BK278" s="43"/>
      <c r="BL278" s="43"/>
      <c r="BM278" s="43"/>
      <c r="BN278" s="43"/>
      <c r="BO278" s="43"/>
      <c r="BP278" s="43"/>
      <c r="BQ278" s="43"/>
      <c r="BR278" s="43"/>
      <c r="BT278" s="1"/>
      <c r="BU278" s="1"/>
    </row>
    <row r="279" spans="2:76" s="39" customFormat="1" ht="13.5" hidden="1" customHeight="1">
      <c r="B279" s="20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301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43"/>
      <c r="AS279" s="43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J279" s="43"/>
      <c r="BK279" s="43"/>
      <c r="BL279" s="43"/>
      <c r="BM279" s="43"/>
      <c r="BN279" s="43"/>
      <c r="BO279" s="43"/>
      <c r="BP279" s="43"/>
      <c r="BQ279" s="43"/>
      <c r="BR279" s="43"/>
      <c r="BT279" s="1"/>
      <c r="BU279" s="1"/>
    </row>
    <row r="280" spans="2:76" ht="13.5" customHeight="1" thickTop="1">
      <c r="C280" s="44"/>
      <c r="U280" s="44"/>
      <c r="V280" s="44"/>
      <c r="W280" s="44"/>
      <c r="Z280" s="44"/>
      <c r="AA280" s="44"/>
      <c r="AB280" s="44"/>
      <c r="AE280" s="44"/>
      <c r="AF280" s="44"/>
      <c r="AG280" s="44"/>
      <c r="AH280" s="44"/>
      <c r="AI280" s="44"/>
      <c r="AJ280" s="44"/>
      <c r="AK280" s="44"/>
      <c r="AL280" s="44"/>
      <c r="AM280" s="44"/>
      <c r="AN280" s="44"/>
      <c r="AO280" s="44"/>
      <c r="AP280" s="44"/>
      <c r="AQ280" s="44"/>
      <c r="AR280" s="44"/>
      <c r="AS280" s="44"/>
      <c r="AT280" s="44"/>
      <c r="AU280" s="44"/>
      <c r="AV280" s="44"/>
      <c r="AW280" s="44"/>
      <c r="AX280" s="44"/>
      <c r="AY280" s="44"/>
      <c r="AZ280" s="44"/>
      <c r="BA280" s="44"/>
      <c r="BB280" s="44"/>
      <c r="BC280" s="44"/>
      <c r="BD280" s="44"/>
      <c r="BE280" s="44"/>
      <c r="BF280" s="44"/>
      <c r="BG280" s="44"/>
      <c r="BH280" s="44"/>
      <c r="BJ280" s="44"/>
      <c r="BK280" s="44"/>
      <c r="BL280" s="44"/>
      <c r="BM280" s="44"/>
      <c r="BN280" s="44"/>
      <c r="BO280" s="44"/>
      <c r="BP280" s="44"/>
      <c r="BQ280" s="44"/>
      <c r="BR280" s="44"/>
      <c r="BW280" s="39"/>
      <c r="BX280" s="39"/>
    </row>
    <row r="281" spans="2:76" s="5" customFormat="1" ht="13.5" customHeight="1" thickBot="1">
      <c r="B281" s="24" t="str">
        <f>B208</f>
        <v xml:space="preserve">Adj. EBITDA </v>
      </c>
      <c r="C281" s="52">
        <f t="shared" ref="C281:AE281" si="1927">C208*C$249</f>
        <v>626.29012</v>
      </c>
      <c r="D281" s="52">
        <f t="shared" si="1927"/>
        <v>563.35610999999994</v>
      </c>
      <c r="E281" s="52">
        <f t="shared" si="1927"/>
        <v>586.95420000000001</v>
      </c>
      <c r="F281" s="52">
        <f t="shared" si="1927"/>
        <v>536.52573766666671</v>
      </c>
      <c r="G281" s="52">
        <f t="shared" si="1927"/>
        <v>614.22119999999995</v>
      </c>
      <c r="H281" s="52">
        <f t="shared" ref="H281:J281" si="1928">H208*H$249</f>
        <v>563.29741632906916</v>
      </c>
      <c r="I281" s="52">
        <f t="shared" si="1928"/>
        <v>789.50995626064616</v>
      </c>
      <c r="J281" s="52">
        <f t="shared" si="1928"/>
        <v>727.54419334799991</v>
      </c>
      <c r="K281" s="52">
        <f t="shared" ref="K281" si="1929">K208*K$249</f>
        <v>734.01176527019663</v>
      </c>
      <c r="L281" s="52">
        <f>L208*L$249</f>
        <v>1008.7343070057865</v>
      </c>
      <c r="M281" s="52">
        <f t="shared" ref="M281:O281" si="1930">M208*M$249</f>
        <v>907.18313838007157</v>
      </c>
      <c r="N281" s="52">
        <f t="shared" ref="N281" si="1931">N208*N$249</f>
        <v>1382.0343413105975</v>
      </c>
      <c r="O281" s="52">
        <f t="shared" si="1930"/>
        <v>699.37658295928827</v>
      </c>
      <c r="P281" s="52">
        <f t="shared" ref="P281:Q281" si="1932">P208*P$249</f>
        <v>915.40942460964288</v>
      </c>
      <c r="Q281" s="52">
        <f t="shared" si="1932"/>
        <v>776.34067818208052</v>
      </c>
      <c r="R281" s="52">
        <f t="shared" ref="R281" si="1933">R208*R$249</f>
        <v>840.02161306832124</v>
      </c>
      <c r="S281" s="8"/>
      <c r="T281" s="54">
        <f t="shared" si="1927"/>
        <v>143.19472999999999</v>
      </c>
      <c r="U281" s="54">
        <f t="shared" si="1927"/>
        <v>152.23761000000002</v>
      </c>
      <c r="V281" s="54">
        <f t="shared" si="1927"/>
        <v>163.1806</v>
      </c>
      <c r="W281" s="54">
        <f t="shared" si="1927"/>
        <v>128.85426000000001</v>
      </c>
      <c r="X281" s="54">
        <f t="shared" si="1927"/>
        <v>131.32345000000001</v>
      </c>
      <c r="Y281" s="54">
        <f t="shared" si="1927"/>
        <v>138.68656000000001</v>
      </c>
      <c r="Z281" s="54">
        <f t="shared" si="1927"/>
        <v>155.46804</v>
      </c>
      <c r="AA281" s="54">
        <f t="shared" si="1927"/>
        <v>112.38326866666665</v>
      </c>
      <c r="AB281" s="54">
        <f t="shared" si="1927"/>
        <v>137.05215000000001</v>
      </c>
      <c r="AC281" s="54">
        <f t="shared" si="1927"/>
        <v>146.81703000000002</v>
      </c>
      <c r="AD281" s="54">
        <f t="shared" si="1927"/>
        <v>141.51047</v>
      </c>
      <c r="AE281" s="54">
        <f t="shared" si="1927"/>
        <v>165.46484000000001</v>
      </c>
      <c r="AF281" s="54">
        <f t="shared" ref="AF281:AK281" si="1934">AF208*AF$249</f>
        <v>125.18044</v>
      </c>
      <c r="AG281" s="54">
        <f t="shared" si="1934"/>
        <v>151.13593</v>
      </c>
      <c r="AH281" s="54">
        <f t="shared" si="1934"/>
        <v>161.08336</v>
      </c>
      <c r="AI281" s="54">
        <f t="shared" si="1934"/>
        <v>146.41362268654709</v>
      </c>
      <c r="AJ281" s="54">
        <f t="shared" si="1934"/>
        <v>140.2280742969545</v>
      </c>
      <c r="AK281" s="54">
        <f t="shared" si="1934"/>
        <v>126.65066700000001</v>
      </c>
      <c r="AL281" s="54">
        <f t="shared" ref="AL281:AQ281" si="1935">AL208*AL$249</f>
        <v>240.29750000000001</v>
      </c>
      <c r="AM281" s="54">
        <f t="shared" si="1935"/>
        <v>211.60715999999996</v>
      </c>
      <c r="AN281" s="54">
        <f t="shared" si="1935"/>
        <v>242.36813045419839</v>
      </c>
      <c r="AO281" s="54">
        <f t="shared" si="1935"/>
        <v>168.13949855815338</v>
      </c>
      <c r="AP281" s="54">
        <f t="shared" si="1935"/>
        <v>208.56528</v>
      </c>
      <c r="AQ281" s="54">
        <f t="shared" si="1935"/>
        <v>170.31539283000001</v>
      </c>
      <c r="AR281" s="54">
        <f>AR208*AR$249</f>
        <v>214.4958738381336</v>
      </c>
      <c r="AS281" s="54">
        <f>AS208*AS$249</f>
        <v>155.07398793456034</v>
      </c>
      <c r="AT281" s="54">
        <f>AT208*AT$249</f>
        <v>167.36655209800986</v>
      </c>
      <c r="AU281" s="54">
        <f t="shared" ref="AU281" si="1936">AU208*AU$249</f>
        <v>191.46650391163541</v>
      </c>
      <c r="AV281" s="54">
        <f>AV208*AV$249</f>
        <v>194.88480000000001</v>
      </c>
      <c r="AW281" s="54">
        <f>AW208*AW$249</f>
        <v>240.95522730093862</v>
      </c>
      <c r="AX281" s="54">
        <f>AX208*AX$249</f>
        <v>240.81195704475687</v>
      </c>
      <c r="AY281" s="54">
        <f t="shared" ref="AY281" si="1937">AY208*AY$249</f>
        <v>209.47102453337681</v>
      </c>
      <c r="AZ281" s="54">
        <f>AZ208*AZ$249</f>
        <v>185.67904742225437</v>
      </c>
      <c r="BA281" s="54">
        <f>BA208*BA$249</f>
        <v>169.3427227144297</v>
      </c>
      <c r="BB281" s="54">
        <f>BB208*BB$249</f>
        <v>115.50253604043334</v>
      </c>
      <c r="BC281" s="54">
        <f t="shared" ref="BC281" si="1938">BC208*BC$249</f>
        <v>226.76715598243561</v>
      </c>
      <c r="BD281" s="54">
        <f>BD208*BD$249</f>
        <v>159.73205879023328</v>
      </c>
      <c r="BE281" s="54">
        <f>BE208*BE$249</f>
        <v>184.29340438538344</v>
      </c>
      <c r="BF281" s="54">
        <f>BF208*BF$249</f>
        <v>212.18221092196532</v>
      </c>
      <c r="BG281" s="54">
        <f t="shared" ref="BG281" si="1939">BG208*BG$249</f>
        <v>211.85464178385286</v>
      </c>
      <c r="BH281" s="54">
        <f>BH208*BH$249</f>
        <v>229.23000035894844</v>
      </c>
      <c r="BJ281" s="54">
        <f t="shared" ref="BJ281:BO281" si="1940">BJ208*BJ$249</f>
        <v>263.05290000000002</v>
      </c>
      <c r="BK281" s="54">
        <f t="shared" si="1940"/>
        <v>407.48025857212428</v>
      </c>
      <c r="BL281" s="54">
        <f t="shared" si="1940"/>
        <v>262.96844751634694</v>
      </c>
      <c r="BM281" s="54">
        <f t="shared" si="1940"/>
        <v>426.92108051529101</v>
      </c>
      <c r="BN281" s="54">
        <f t="shared" si="1940"/>
        <v>258.25885938630023</v>
      </c>
      <c r="BO281" s="54">
        <f t="shared" si="1940"/>
        <v>209.375367094712</v>
      </c>
      <c r="BP281" s="54">
        <f t="shared" ref="BP281:BR281" si="1941">BP208*BP$249</f>
        <v>186.10566287827899</v>
      </c>
      <c r="BQ281" s="54">
        <f t="shared" si="1941"/>
        <v>260.77209162215706</v>
      </c>
      <c r="BR281" s="54">
        <f t="shared" si="1941"/>
        <v>209.04605308571411</v>
      </c>
      <c r="BT281" s="1"/>
      <c r="BU281" s="1"/>
      <c r="BW281" s="39"/>
      <c r="BX281" s="39"/>
    </row>
    <row r="282" spans="2:76" s="39" customFormat="1" ht="13.5" customHeight="1" thickTop="1">
      <c r="B282" s="20" t="str">
        <f>B209</f>
        <v xml:space="preserve">% y-o-y growth </v>
      </c>
      <c r="C282" s="58"/>
      <c r="D282" s="58">
        <f t="shared" ref="D282:J282" si="1942">+D281/C281-1</f>
        <v>-0.10048699155592633</v>
      </c>
      <c r="E282" s="58">
        <f t="shared" si="1942"/>
        <v>4.1888406961628766E-2</v>
      </c>
      <c r="F282" s="58">
        <f t="shared" si="1942"/>
        <v>-8.5915497892907644E-2</v>
      </c>
      <c r="G282" s="58">
        <f t="shared" si="1942"/>
        <v>0.14481218118487349</v>
      </c>
      <c r="H282" s="58">
        <f t="shared" si="1942"/>
        <v>-8.2907889976657878E-2</v>
      </c>
      <c r="I282" s="58">
        <f t="shared" si="1942"/>
        <v>0.40158632611129774</v>
      </c>
      <c r="J282" s="58">
        <f t="shared" si="1942"/>
        <v>-7.8486360331837424E-2</v>
      </c>
      <c r="K282" s="58">
        <f>+K281/J281-1</f>
        <v>8.8895932114232412E-3</v>
      </c>
      <c r="L282" s="58">
        <f>L281/J281-1</f>
        <v>0.38649214196021675</v>
      </c>
      <c r="M282" s="58">
        <f t="shared" ref="M282:N282" si="1943">+M281/L281-1</f>
        <v>-0.10067186960969732</v>
      </c>
      <c r="N282" s="58">
        <f t="shared" si="1943"/>
        <v>0.52343477611196865</v>
      </c>
      <c r="O282" s="58">
        <f>+O281/M281-1</f>
        <v>-0.22906792094026018</v>
      </c>
      <c r="P282" s="58">
        <f>+P281/N281-1</f>
        <v>-0.33763626760421117</v>
      </c>
      <c r="Q282" s="58">
        <f>Q281/P281-1</f>
        <v>-0.15191972322861469</v>
      </c>
      <c r="R282" s="58"/>
      <c r="S282" s="299"/>
      <c r="T282" s="58"/>
      <c r="U282" s="58"/>
      <c r="V282" s="58"/>
      <c r="W282" s="58"/>
      <c r="X282" s="58">
        <f t="shared" ref="X282:AU282" si="1944">X281/T281-1</f>
        <v>-8.2903050971219305E-2</v>
      </c>
      <c r="Y282" s="58">
        <f t="shared" si="1944"/>
        <v>-8.9012498291322406E-2</v>
      </c>
      <c r="Z282" s="58">
        <f t="shared" si="1944"/>
        <v>-4.7263951719750952E-2</v>
      </c>
      <c r="AA282" s="58">
        <f t="shared" si="1944"/>
        <v>-0.12782651759696073</v>
      </c>
      <c r="AB282" s="58">
        <f>AB281/X281-1</f>
        <v>4.3622825930936138E-2</v>
      </c>
      <c r="AC282" s="58">
        <f>AC281/Y281-1</f>
        <v>5.8624786713290744E-2</v>
      </c>
      <c r="AD282" s="58">
        <f>AD281/Z281-1</f>
        <v>-8.9777744673439019E-2</v>
      </c>
      <c r="AE282" s="58">
        <f>AE281/AA281-1</f>
        <v>0.47232628097671236</v>
      </c>
      <c r="AF282" s="58">
        <f t="shared" si="1944"/>
        <v>-8.6621844312548268E-2</v>
      </c>
      <c r="AG282" s="58">
        <f t="shared" si="1944"/>
        <v>2.9416887128148383E-2</v>
      </c>
      <c r="AH282" s="58">
        <f t="shared" si="1944"/>
        <v>0.13831407668987317</v>
      </c>
      <c r="AI282" s="58">
        <f t="shared" si="1944"/>
        <v>-0.11513755619292243</v>
      </c>
      <c r="AJ282" s="58">
        <f t="shared" si="1944"/>
        <v>0.12020755236963931</v>
      </c>
      <c r="AK282" s="58">
        <f t="shared" si="1944"/>
        <v>-0.16200822001756954</v>
      </c>
      <c r="AL282" s="58">
        <f t="shared" si="1944"/>
        <v>0.49175867699804643</v>
      </c>
      <c r="AM282" s="58">
        <f t="shared" si="1944"/>
        <v>0.44526961437887458</v>
      </c>
      <c r="AN282" s="58">
        <f t="shared" si="1944"/>
        <v>0.72838521579456783</v>
      </c>
      <c r="AO282" s="58">
        <f t="shared" si="1944"/>
        <v>0.32758478530676327</v>
      </c>
      <c r="AP282" s="58">
        <f t="shared" si="1944"/>
        <v>-0.13205389153029057</v>
      </c>
      <c r="AQ282" s="58">
        <f t="shared" si="1944"/>
        <v>-0.19513407377141667</v>
      </c>
      <c r="AR282" s="58">
        <f t="shared" si="1944"/>
        <v>-0.11499967658219801</v>
      </c>
      <c r="AS282" s="58">
        <f t="shared" si="1944"/>
        <v>-7.7706373193887845E-2</v>
      </c>
      <c r="AT282" s="58">
        <f t="shared" si="1944"/>
        <v>-0.19753397066851275</v>
      </c>
      <c r="AU282" s="58">
        <f t="shared" si="1944"/>
        <v>0.12418790063648188</v>
      </c>
      <c r="AV282" s="58">
        <f>AV281/AR281-1</f>
        <v>-9.1428676399308406E-2</v>
      </c>
      <c r="AW282" s="58">
        <f>AW281/AS281-1</f>
        <v>0.55380815641769199</v>
      </c>
      <c r="AX282" s="58">
        <f>AX281/AT281-1</f>
        <v>0.43882964682057479</v>
      </c>
      <c r="AY282" s="58">
        <f>AY281/AU281-1</f>
        <v>9.4034832484593434E-2</v>
      </c>
      <c r="AZ282" s="58">
        <f t="shared" ref="AZ282:BG282" si="1945">AZ281/BJ281-1</f>
        <v>-0.29413799497266768</v>
      </c>
      <c r="BA282" s="58">
        <f t="shared" si="1945"/>
        <v>-0.58441490317142342</v>
      </c>
      <c r="BB282" s="58">
        <f t="shared" si="1945"/>
        <v>-0.56077416461435603</v>
      </c>
      <c r="BC282" s="58">
        <f t="shared" si="1945"/>
        <v>-0.46883120480082852</v>
      </c>
      <c r="BD282" s="58">
        <f t="shared" si="1945"/>
        <v>-0.38150404919388203</v>
      </c>
      <c r="BE282" s="58">
        <f t="shared" si="1945"/>
        <v>-0.11979423872714989</v>
      </c>
      <c r="BF282" s="58">
        <f t="shared" si="1945"/>
        <v>0.14011689725283372</v>
      </c>
      <c r="BG282" s="58">
        <f t="shared" si="1945"/>
        <v>-0.18758698269438523</v>
      </c>
      <c r="BH282" s="58" t="e">
        <f>BH281/BS281-1</f>
        <v>#DIV/0!</v>
      </c>
      <c r="BJ282" s="58">
        <f>BJ281/AR281-1</f>
        <v>0.22637743697815527</v>
      </c>
      <c r="BK282" s="58">
        <f>BK281/BA281-1</f>
        <v>1.4062460555761627</v>
      </c>
      <c r="BL282" s="58">
        <f>BL281/AT281-1</f>
        <v>0.57121267194625958</v>
      </c>
      <c r="BM282" s="58">
        <f>BM281/AU281-1</f>
        <v>1.2297429147832633</v>
      </c>
      <c r="BN282" s="58">
        <f>BN281/BJ281-1</f>
        <v>-1.822462559317839E-2</v>
      </c>
      <c r="BO282" s="58">
        <f>BO281/BK281-1</f>
        <v>-0.48617052558964047</v>
      </c>
      <c r="BP282" s="58">
        <f>BP281/BL281-1</f>
        <v>-0.29228900031168159</v>
      </c>
      <c r="BQ282" s="58">
        <f>BQ281/BM281-1</f>
        <v>-0.38917963173098213</v>
      </c>
      <c r="BR282" s="58">
        <f>BR281/BN281-1</f>
        <v>-0.19055612038839775</v>
      </c>
      <c r="BT282" s="1"/>
      <c r="BU282" s="1"/>
    </row>
    <row r="283" spans="2:76" s="39" customFormat="1" ht="13.5" customHeight="1">
      <c r="B283" s="20" t="str">
        <f>B210</f>
        <v>% margin</v>
      </c>
      <c r="C283" s="58">
        <f>C281/C275</f>
        <v>0.1093971863427242</v>
      </c>
      <c r="D283" s="58">
        <f t="shared" ref="D283:Z283" si="1946">D281/D275</f>
        <v>0.10779254699599748</v>
      </c>
      <c r="E283" s="58">
        <f t="shared" si="1946"/>
        <v>0.10990190711182758</v>
      </c>
      <c r="F283" s="58">
        <f t="shared" ref="F283:J283" si="1947">F281/F275</f>
        <v>9.3759238271926074E-2</v>
      </c>
      <c r="G283" s="58">
        <f t="shared" si="1947"/>
        <v>0.10396075226996464</v>
      </c>
      <c r="H283" s="58">
        <f t="shared" si="1947"/>
        <v>0.10490964293059123</v>
      </c>
      <c r="I283" s="58">
        <f t="shared" si="1947"/>
        <v>0.12411773466270694</v>
      </c>
      <c r="J283" s="58">
        <f t="shared" si="1947"/>
        <v>0.10140143857167874</v>
      </c>
      <c r="K283" s="58">
        <f t="shared" ref="K283" si="1948">K281/K275</f>
        <v>8.8884403141718291E-2</v>
      </c>
      <c r="L283" s="58">
        <f t="shared" ref="L283:M283" si="1949">L281/L275</f>
        <v>6.3607228204404662E-2</v>
      </c>
      <c r="M283" s="58">
        <f t="shared" si="1949"/>
        <v>7.8089101613570869E-2</v>
      </c>
      <c r="N283" s="58">
        <f t="shared" ref="N283" si="1950">N281/N275</f>
        <v>8.2396903897947377E-2</v>
      </c>
      <c r="O283" s="58">
        <f t="shared" ref="O283:P283" si="1951">O281/O275</f>
        <v>5.3499230120480509E-2</v>
      </c>
      <c r="P283" s="58">
        <f t="shared" si="1951"/>
        <v>5.3498009866545494E-2</v>
      </c>
      <c r="Q283" s="58">
        <f t="shared" ref="Q283" si="1952">Q281/Q275</f>
        <v>5.8566612906835902E-2</v>
      </c>
      <c r="R283" s="58">
        <f t="shared" ref="R283" si="1953">R281/R275</f>
        <v>6.0911337332994364E-2</v>
      </c>
      <c r="S283" s="299"/>
      <c r="T283" s="58">
        <f t="shared" si="1946"/>
        <v>0.11934970569383142</v>
      </c>
      <c r="U283" s="58">
        <f t="shared" si="1946"/>
        <v>0.11137612398965945</v>
      </c>
      <c r="V283" s="58">
        <f t="shared" si="1946"/>
        <v>0.11853337963645517</v>
      </c>
      <c r="W283" s="58">
        <f t="shared" si="1946"/>
        <v>9.3461474981158574E-2</v>
      </c>
      <c r="X283" s="58">
        <f t="shared" si="1946"/>
        <v>0.10465546342518127</v>
      </c>
      <c r="Y283" s="58">
        <f t="shared" si="1946"/>
        <v>9.8002855913869716E-2</v>
      </c>
      <c r="Z283" s="58">
        <f t="shared" si="1946"/>
        <v>0.1003748430494098</v>
      </c>
      <c r="AA283" s="58">
        <f t="shared" ref="AA283:AF283" si="1954">AA281/AA275</f>
        <v>7.4837810515571146E-2</v>
      </c>
      <c r="AB283" s="58">
        <f t="shared" si="1954"/>
        <v>9.9011437998204541E-2</v>
      </c>
      <c r="AC283" s="58">
        <f t="shared" si="1954"/>
        <v>8.8914237380743208E-2</v>
      </c>
      <c r="AD283" s="58">
        <f t="shared" si="1954"/>
        <v>0.10226076859817378</v>
      </c>
      <c r="AE283" s="58">
        <f t="shared" si="1954"/>
        <v>0.12246667301479236</v>
      </c>
      <c r="AF283" s="58">
        <f t="shared" si="1954"/>
        <v>9.8375044207194937E-2</v>
      </c>
      <c r="AG283" s="58">
        <f t="shared" ref="AG283:AL283" si="1955">AG281/AG275</f>
        <v>0.10524941857705633</v>
      </c>
      <c r="AH283" s="58">
        <f t="shared" si="1955"/>
        <v>0.11084227883478813</v>
      </c>
      <c r="AI283" s="58">
        <f t="shared" si="1955"/>
        <v>0.10411107252931928</v>
      </c>
      <c r="AJ283" s="58">
        <f t="shared" si="1955"/>
        <v>0.11213348699869508</v>
      </c>
      <c r="AK283" s="58">
        <f t="shared" si="1955"/>
        <v>0.110953228681499</v>
      </c>
      <c r="AL283" s="58">
        <f t="shared" si="1955"/>
        <v>0.14533233987998981</v>
      </c>
      <c r="AM283" s="58">
        <f t="shared" ref="AM283:AR283" si="1956">AM281/AM275</f>
        <v>0.11983797725493189</v>
      </c>
      <c r="AN283" s="58">
        <f t="shared" si="1956"/>
        <v>0.14556585607279957</v>
      </c>
      <c r="AO283" s="58">
        <f t="shared" si="1956"/>
        <v>9.8180772888401283E-2</v>
      </c>
      <c r="AP283" s="58">
        <f t="shared" si="1956"/>
        <v>9.8194369748640056E-2</v>
      </c>
      <c r="AQ283" s="58">
        <f t="shared" si="1956"/>
        <v>8.0600291431114343E-2</v>
      </c>
      <c r="AR283" s="58">
        <f t="shared" si="1956"/>
        <v>0.10626892571276605</v>
      </c>
      <c r="AS283" s="58">
        <f t="shared" ref="AS283:AU283" si="1957">AS281/AS275</f>
        <v>7.4849944897996512E-2</v>
      </c>
      <c r="AT283" s="58">
        <f t="shared" si="1957"/>
        <v>8.5594343533423253E-2</v>
      </c>
      <c r="AU283" s="58">
        <f t="shared" si="1957"/>
        <v>9.0835142381534131E-2</v>
      </c>
      <c r="AV283" s="58">
        <f t="shared" ref="AV283:AX283" si="1958">AV281/AV275</f>
        <v>9.2526262003941359E-2</v>
      </c>
      <c r="AW283" s="58">
        <f t="shared" si="1958"/>
        <v>0.10750182084270947</v>
      </c>
      <c r="AX283" s="58">
        <f t="shared" si="1958"/>
        <v>0.11089376094283607</v>
      </c>
      <c r="AY283" s="58">
        <f t="shared" ref="AY283:BB283" si="1959">AY281/AY275</f>
        <v>4.3580145257095498E-2</v>
      </c>
      <c r="AZ283" s="58">
        <f t="shared" si="1959"/>
        <v>7.9581828281732311E-2</v>
      </c>
      <c r="BA283" s="58">
        <f t="shared" si="1959"/>
        <v>5.3925629292307327E-2</v>
      </c>
      <c r="BB283" s="58">
        <f t="shared" si="1959"/>
        <v>3.6711002722089062E-2</v>
      </c>
      <c r="BC283" s="58">
        <f t="shared" ref="BC283:BF283" si="1960">BC281/BC275</f>
        <v>5.2435274935412828E-2</v>
      </c>
      <c r="BD283" s="58">
        <f t="shared" si="1960"/>
        <v>5.3016174964631291E-2</v>
      </c>
      <c r="BE283" s="58">
        <f t="shared" si="1960"/>
        <v>5.8872700100273928E-2</v>
      </c>
      <c r="BF283" s="58">
        <f t="shared" si="1960"/>
        <v>6.9540404461585076E-2</v>
      </c>
      <c r="BG283" s="58">
        <f t="shared" ref="BG283:BH283" si="1961">BG281/BG275</f>
        <v>5.385000335697171E-2</v>
      </c>
      <c r="BH283" s="58">
        <f t="shared" si="1961"/>
        <v>6.3728356001857056E-2</v>
      </c>
      <c r="BJ283" s="58">
        <f t="shared" ref="BJ283:BL283" si="1962">BJ281/BJ275</f>
        <v>7.3206917692689624E-2</v>
      </c>
      <c r="BK283" s="58">
        <f t="shared" si="1962"/>
        <v>0.10336529422140774</v>
      </c>
      <c r="BL283" s="58">
        <f t="shared" si="1962"/>
        <v>7.6093838403433395E-2</v>
      </c>
      <c r="BM283" s="58">
        <f t="shared" ref="BM283:BN283" si="1963">BM281/BM275</f>
        <v>7.8353334139856207E-2</v>
      </c>
      <c r="BN283" s="58">
        <f t="shared" si="1963"/>
        <v>8.0149445299005584E-2</v>
      </c>
      <c r="BO283" s="58">
        <f t="shared" ref="BO283:BR283" si="1964">BO281/BO275</f>
        <v>4.9370091068173486E-2</v>
      </c>
      <c r="BP283" s="58">
        <f t="shared" si="1964"/>
        <v>4.4376565210002945E-2</v>
      </c>
      <c r="BQ283" s="58">
        <f t="shared" si="1964"/>
        <v>4.907127742853034E-2</v>
      </c>
      <c r="BR283" s="58">
        <f t="shared" si="1964"/>
        <v>5.3019196380526309E-2</v>
      </c>
      <c r="BT283" s="1"/>
      <c r="BU283" s="1"/>
    </row>
    <row r="284" spans="2:76" ht="13.5" customHeight="1">
      <c r="C284" s="44"/>
      <c r="U284" s="44"/>
      <c r="V284" s="44"/>
      <c r="W284" s="44"/>
      <c r="Z284" s="44"/>
      <c r="AA284" s="44"/>
      <c r="AB284" s="44"/>
      <c r="AE284" s="44"/>
      <c r="AF284" s="44"/>
      <c r="AG284" s="44"/>
      <c r="AH284" s="44"/>
      <c r="AI284" s="44"/>
      <c r="AJ284" s="44"/>
      <c r="AK284" s="44"/>
      <c r="AL284" s="44"/>
      <c r="AM284" s="44"/>
      <c r="AN284" s="44"/>
      <c r="AO284" s="44"/>
      <c r="AP284" s="44"/>
      <c r="AQ284" s="44"/>
      <c r="AR284" s="44"/>
      <c r="AS284" s="44"/>
      <c r="AT284" s="44"/>
      <c r="AU284" s="44"/>
      <c r="AV284" s="44"/>
      <c r="AW284" s="44"/>
      <c r="AX284" s="44"/>
      <c r="AY284" s="44"/>
      <c r="AZ284" s="44"/>
      <c r="BA284" s="44"/>
      <c r="BB284" s="44"/>
      <c r="BC284" s="44"/>
      <c r="BD284" s="44"/>
      <c r="BE284" s="44"/>
      <c r="BF284" s="44"/>
      <c r="BG284" s="44"/>
      <c r="BH284" s="44"/>
      <c r="BJ284" s="44"/>
      <c r="BK284" s="44"/>
      <c r="BL284" s="44"/>
      <c r="BM284" s="44"/>
      <c r="BN284" s="44"/>
      <c r="BO284" s="44"/>
      <c r="BP284" s="44"/>
      <c r="BQ284" s="44"/>
      <c r="BR284" s="44"/>
      <c r="BW284" s="39"/>
      <c r="BX284" s="39"/>
    </row>
    <row r="285" spans="2:76" s="5" customFormat="1" ht="13.5" customHeight="1">
      <c r="B285" s="5" t="str">
        <f t="shared" ref="B285:B302" si="1965">B212</f>
        <v xml:space="preserve">Adjusted EBITDA </v>
      </c>
      <c r="C285" s="82">
        <f t="shared" ref="C285:AB285" si="1966">C212*C$249</f>
        <v>626.29012</v>
      </c>
      <c r="D285" s="82">
        <f t="shared" si="1966"/>
        <v>563.35610999999994</v>
      </c>
      <c r="E285" s="82">
        <f t="shared" si="1966"/>
        <v>586.95420000000001</v>
      </c>
      <c r="F285" s="82">
        <f t="shared" si="1966"/>
        <v>536.52573766666671</v>
      </c>
      <c r="G285" s="82">
        <f t="shared" ref="G285:G302" si="1967">G212*G$249</f>
        <v>614.22119999999995</v>
      </c>
      <c r="H285" s="82">
        <f t="shared" ref="H285:I302" si="1968">H212*H$249</f>
        <v>563.29741632906916</v>
      </c>
      <c r="I285" s="82">
        <f t="shared" si="1968"/>
        <v>789.50995626064616</v>
      </c>
      <c r="J285" s="82">
        <f t="shared" ref="J285:K302" si="1969">J212*J$249</f>
        <v>727.54419334799991</v>
      </c>
      <c r="K285" s="82">
        <f t="shared" si="1969"/>
        <v>734.01176527019663</v>
      </c>
      <c r="L285" s="82">
        <f t="shared" ref="L285:L302" si="1970">L212*L$249</f>
        <v>1008.7343070057865</v>
      </c>
      <c r="M285" s="82">
        <f t="shared" ref="M285:O285" si="1971">M212*M$249</f>
        <v>907.18313838007157</v>
      </c>
      <c r="N285" s="82">
        <f t="shared" ref="N285" si="1972">N212*N$249</f>
        <v>1382.0343413105975</v>
      </c>
      <c r="O285" s="82">
        <f t="shared" si="1971"/>
        <v>699.37658295928827</v>
      </c>
      <c r="P285" s="82">
        <f t="shared" ref="P285:Q285" si="1973">P212*P$249</f>
        <v>915.40942460964288</v>
      </c>
      <c r="Q285" s="82">
        <f t="shared" si="1973"/>
        <v>776.34067818208052</v>
      </c>
      <c r="R285" s="82">
        <f t="shared" ref="R285" si="1974">R212*R$249</f>
        <v>840.02161306832124</v>
      </c>
      <c r="S285" s="77"/>
      <c r="T285" s="82">
        <f t="shared" si="1966"/>
        <v>143.19472999999999</v>
      </c>
      <c r="U285" s="82">
        <f t="shared" si="1966"/>
        <v>152.23761000000002</v>
      </c>
      <c r="V285" s="82">
        <f t="shared" si="1966"/>
        <v>163.1806</v>
      </c>
      <c r="W285" s="82">
        <f t="shared" si="1966"/>
        <v>128.85426000000001</v>
      </c>
      <c r="X285" s="82">
        <f t="shared" si="1966"/>
        <v>131.32345000000001</v>
      </c>
      <c r="Y285" s="82">
        <f t="shared" si="1966"/>
        <v>138.68656000000001</v>
      </c>
      <c r="Z285" s="82">
        <f t="shared" si="1966"/>
        <v>155.46804</v>
      </c>
      <c r="AA285" s="82">
        <f t="shared" si="1966"/>
        <v>112.38326866666665</v>
      </c>
      <c r="AB285" s="82">
        <f t="shared" si="1966"/>
        <v>137.05215000000001</v>
      </c>
      <c r="AC285" s="82">
        <f t="shared" ref="AC285:AF302" si="1975">AC212*AC$249</f>
        <v>146.81703000000002</v>
      </c>
      <c r="AD285" s="82">
        <f t="shared" si="1975"/>
        <v>141.51047</v>
      </c>
      <c r="AE285" s="82">
        <f t="shared" si="1975"/>
        <v>165.46484000000001</v>
      </c>
      <c r="AF285" s="82">
        <f t="shared" si="1975"/>
        <v>125.18044</v>
      </c>
      <c r="AG285" s="82">
        <f t="shared" ref="AG285:AJ302" si="1976">AG212*AG$249</f>
        <v>151.13593</v>
      </c>
      <c r="AH285" s="82">
        <f t="shared" si="1976"/>
        <v>161.08336</v>
      </c>
      <c r="AI285" s="82">
        <f t="shared" si="1976"/>
        <v>146.41362268654709</v>
      </c>
      <c r="AJ285" s="82">
        <f t="shared" si="1976"/>
        <v>140.2280742969545</v>
      </c>
      <c r="AK285" s="82">
        <f t="shared" ref="AK285:AN302" si="1977">AK212*AK$249</f>
        <v>126.65066700000001</v>
      </c>
      <c r="AL285" s="82">
        <f t="shared" si="1977"/>
        <v>240.29750000000001</v>
      </c>
      <c r="AM285" s="82">
        <f t="shared" si="1977"/>
        <v>211.60715999999996</v>
      </c>
      <c r="AN285" s="82">
        <f t="shared" si="1977"/>
        <v>242.36813045419839</v>
      </c>
      <c r="AO285" s="82">
        <f t="shared" ref="AO285:AR302" si="1978">AO212*AO$249</f>
        <v>168.13949855815338</v>
      </c>
      <c r="AP285" s="82">
        <f t="shared" si="1978"/>
        <v>208.56528</v>
      </c>
      <c r="AQ285" s="82">
        <f t="shared" si="1978"/>
        <v>170.31539283000001</v>
      </c>
      <c r="AR285" s="82">
        <f t="shared" si="1978"/>
        <v>214.4958738381336</v>
      </c>
      <c r="AS285" s="82">
        <f t="shared" ref="AS285:AU285" si="1979">AS212*AS$249</f>
        <v>155.07398793456034</v>
      </c>
      <c r="AT285" s="82">
        <f t="shared" si="1979"/>
        <v>167.36655209800986</v>
      </c>
      <c r="AU285" s="82">
        <f t="shared" si="1979"/>
        <v>191.46650391163541</v>
      </c>
      <c r="AV285" s="82">
        <f t="shared" ref="AV285:AX285" si="1980">AV212*AV$249</f>
        <v>194.88480000000001</v>
      </c>
      <c r="AW285" s="82">
        <f t="shared" si="1980"/>
        <v>240.95522730093862</v>
      </c>
      <c r="AX285" s="82">
        <f t="shared" si="1980"/>
        <v>240.81195704475687</v>
      </c>
      <c r="AY285" s="82">
        <f t="shared" ref="AY285:BB285" si="1981">AY212*AY$249</f>
        <v>209.47102453337681</v>
      </c>
      <c r="AZ285" s="82">
        <f t="shared" si="1981"/>
        <v>185.67904742225437</v>
      </c>
      <c r="BA285" s="82">
        <f t="shared" si="1981"/>
        <v>169.3427227144297</v>
      </c>
      <c r="BB285" s="82">
        <f t="shared" si="1981"/>
        <v>115.50253604043334</v>
      </c>
      <c r="BC285" s="82">
        <f t="shared" ref="BC285:BF285" si="1982">BC212*BC$249</f>
        <v>226.76715598243561</v>
      </c>
      <c r="BD285" s="82">
        <f t="shared" si="1982"/>
        <v>159.73205879023328</v>
      </c>
      <c r="BE285" s="82">
        <f t="shared" si="1982"/>
        <v>184.29340438538344</v>
      </c>
      <c r="BF285" s="82">
        <f t="shared" si="1982"/>
        <v>212.18221092196532</v>
      </c>
      <c r="BG285" s="82">
        <f t="shared" ref="BG285:BH285" si="1983">BG212*BG$249</f>
        <v>211.85464178385286</v>
      </c>
      <c r="BH285" s="82">
        <f t="shared" si="1983"/>
        <v>229.23000035894844</v>
      </c>
      <c r="BJ285" s="82">
        <f t="shared" ref="BJ285:BL285" si="1984">BJ212*BJ$249</f>
        <v>263.05290000000002</v>
      </c>
      <c r="BK285" s="82">
        <f t="shared" si="1984"/>
        <v>407.48025857212428</v>
      </c>
      <c r="BL285" s="82">
        <f t="shared" si="1984"/>
        <v>262.96844751634694</v>
      </c>
      <c r="BM285" s="82">
        <f t="shared" ref="BM285:BN285" si="1985">BM212*BM$249</f>
        <v>426.92108051529101</v>
      </c>
      <c r="BN285" s="82">
        <f t="shared" si="1985"/>
        <v>258.25885938630023</v>
      </c>
      <c r="BO285" s="82">
        <f t="shared" ref="BO285:BR285" si="1986">BO212*BO$249</f>
        <v>209.375367094712</v>
      </c>
      <c r="BP285" s="82">
        <f t="shared" si="1986"/>
        <v>186.10566287827899</v>
      </c>
      <c r="BQ285" s="82">
        <f t="shared" si="1986"/>
        <v>260.77209162215706</v>
      </c>
      <c r="BR285" s="82">
        <f t="shared" si="1986"/>
        <v>209.04605308571411</v>
      </c>
      <c r="BT285" s="1"/>
      <c r="BU285" s="1"/>
      <c r="BW285" s="39"/>
      <c r="BX285" s="39"/>
    </row>
    <row r="286" spans="2:76" ht="13.5" customHeight="1">
      <c r="B286" s="1" t="str">
        <f t="shared" si="1965"/>
        <v>Working Capital</v>
      </c>
      <c r="C286" s="89">
        <f t="shared" ref="C286:AB286" si="1987">C213*C$249</f>
        <v>-138.92661143999999</v>
      </c>
      <c r="D286" s="89">
        <f t="shared" si="1987"/>
        <v>33.084166679999981</v>
      </c>
      <c r="E286" s="84">
        <f t="shared" si="1987"/>
        <v>10.745011200000016</v>
      </c>
      <c r="F286" s="84">
        <f t="shared" si="1987"/>
        <v>-517.94585686283324</v>
      </c>
      <c r="G286" s="84">
        <f t="shared" si="1967"/>
        <v>-394.58782080000003</v>
      </c>
      <c r="H286" s="84">
        <f t="shared" si="1968"/>
        <v>-149.21296374119581</v>
      </c>
      <c r="I286" s="84">
        <f t="shared" si="1968"/>
        <v>-57.010462583748549</v>
      </c>
      <c r="J286" s="84">
        <f t="shared" si="1969"/>
        <v>-1385.7134595963118</v>
      </c>
      <c r="K286" s="84">
        <f t="shared" si="1969"/>
        <v>-815.35122076413484</v>
      </c>
      <c r="L286" s="84">
        <f t="shared" si="1970"/>
        <v>168.71812028132959</v>
      </c>
      <c r="M286" s="84">
        <f t="shared" ref="M286:O286" si="1988">M213*M$249</f>
        <v>-295.61992901428243</v>
      </c>
      <c r="N286" s="84">
        <f t="shared" ref="N286" si="1989">N213*N$249</f>
        <v>-480.49989439315345</v>
      </c>
      <c r="O286" s="84">
        <f t="shared" si="1988"/>
        <v>258.16793955357315</v>
      </c>
      <c r="P286" s="84">
        <f t="shared" ref="P286:Q286" si="1990">P213*P$249</f>
        <v>337.92206672474231</v>
      </c>
      <c r="Q286" s="84">
        <f t="shared" si="1990"/>
        <v>-190.94866212447039</v>
      </c>
      <c r="R286" s="84">
        <f t="shared" ref="R286" si="1991">R213*R$249</f>
        <v>-339.15122472798606</v>
      </c>
      <c r="S286" s="300"/>
      <c r="T286" s="84">
        <f t="shared" si="1987"/>
        <v>14.653820790000008</v>
      </c>
      <c r="U286" s="84">
        <f t="shared" si="1987"/>
        <v>-59.852509799999993</v>
      </c>
      <c r="V286" s="84">
        <f t="shared" si="1987"/>
        <v>-35.878828700000014</v>
      </c>
      <c r="W286" s="84">
        <f t="shared" si="1987"/>
        <v>81.972937380000019</v>
      </c>
      <c r="X286" s="84">
        <f t="shared" si="1987"/>
        <v>-263.69315528000004</v>
      </c>
      <c r="Y286" s="84">
        <f t="shared" si="1987"/>
        <v>-208.27841329000006</v>
      </c>
      <c r="Z286" s="84">
        <f t="shared" si="1987"/>
        <v>-153.86751645999985</v>
      </c>
      <c r="AA286" s="84">
        <f t="shared" si="1987"/>
        <v>98.117962940666644</v>
      </c>
      <c r="AB286" s="84">
        <f t="shared" si="1987"/>
        <v>-136.17166200000003</v>
      </c>
      <c r="AC286" s="84">
        <f t="shared" si="1975"/>
        <v>-224.34022538999997</v>
      </c>
      <c r="AD286" s="84">
        <f t="shared" si="1975"/>
        <v>-276.27590728000007</v>
      </c>
      <c r="AE286" s="84">
        <f t="shared" si="1975"/>
        <v>208.47239561000006</v>
      </c>
      <c r="AF286" s="84">
        <f t="shared" si="1975"/>
        <v>-60.01968852000001</v>
      </c>
      <c r="AG286" s="84">
        <f t="shared" si="1976"/>
        <v>-99.285401049999919</v>
      </c>
      <c r="AH286" s="84">
        <f t="shared" si="1976"/>
        <v>-60.414895760000107</v>
      </c>
      <c r="AI286" s="84">
        <f t="shared" si="1976"/>
        <v>61.086587436332813</v>
      </c>
      <c r="AJ286" s="84">
        <f t="shared" si="1976"/>
        <v>-8.1863572007480467</v>
      </c>
      <c r="AK286" s="84">
        <f t="shared" si="1977"/>
        <v>136.01348880600003</v>
      </c>
      <c r="AL286" s="84">
        <f t="shared" si="1977"/>
        <v>-114.60916550000002</v>
      </c>
      <c r="AM286" s="84">
        <f t="shared" si="1977"/>
        <v>-55.776893040000033</v>
      </c>
      <c r="AN286" s="84">
        <f t="shared" si="1977"/>
        <v>-542.90948522743474</v>
      </c>
      <c r="AO286" s="84">
        <f t="shared" si="1978"/>
        <v>-300.76468298847703</v>
      </c>
      <c r="AP286" s="84">
        <f t="shared" si="1978"/>
        <v>-173.39440888000004</v>
      </c>
      <c r="AQ286" s="84">
        <f t="shared" si="1978"/>
        <v>-459.89763494286211</v>
      </c>
      <c r="AR286" s="84">
        <f t="shared" si="1978"/>
        <v>-369.05595325731309</v>
      </c>
      <c r="AS286" s="84">
        <f t="shared" ref="AS286:AU286" si="1992">AS213*AS$249</f>
        <v>-444.28190891264506</v>
      </c>
      <c r="AT286" s="84">
        <f t="shared" si="1992"/>
        <v>-10.849884944380788</v>
      </c>
      <c r="AU286" s="84">
        <f t="shared" si="1992"/>
        <v>-51.3511550009232</v>
      </c>
      <c r="AV286" s="84">
        <f t="shared" ref="AV286:AX286" si="1993">AV213*AV$249</f>
        <v>-404.06467200000003</v>
      </c>
      <c r="AW286" s="84">
        <f t="shared" si="1993"/>
        <v>-567.61746985075763</v>
      </c>
      <c r="AX286" s="84">
        <f t="shared" si="1993"/>
        <v>-334.17534213873563</v>
      </c>
      <c r="AY286" s="84">
        <f t="shared" ref="AY286:BB286" si="1994">AY213*AY$249</f>
        <v>941.97794183886651</v>
      </c>
      <c r="AZ286" s="84">
        <f t="shared" si="1994"/>
        <v>62.315806126665976</v>
      </c>
      <c r="BA286" s="84">
        <f t="shared" si="1994"/>
        <v>-243.9869113346482</v>
      </c>
      <c r="BB286" s="84">
        <f t="shared" si="1994"/>
        <v>-272.15072349546671</v>
      </c>
      <c r="BC286" s="84">
        <f t="shared" ref="BC286:BF286" si="1995">BC213*BC$249</f>
        <v>681.89671652512425</v>
      </c>
      <c r="BD286" s="84">
        <f t="shared" si="1995"/>
        <v>-377.23377760106467</v>
      </c>
      <c r="BE286" s="84">
        <f t="shared" si="1995"/>
        <v>-520.21563231079961</v>
      </c>
      <c r="BF286" s="84">
        <f t="shared" si="1995"/>
        <v>126.50203380106272</v>
      </c>
      <c r="BG286" s="84">
        <f t="shared" ref="BG286:BH286" si="1996">BG213*BG$249</f>
        <v>491.73017339910189</v>
      </c>
      <c r="BH286" s="84">
        <f t="shared" si="1996"/>
        <v>-538.97407011643736</v>
      </c>
      <c r="BJ286" s="84">
        <f t="shared" ref="BJ286:BL286" si="1997">BJ213*BJ$249</f>
        <v>-204.13274950000002</v>
      </c>
      <c r="BK286" s="84">
        <f t="shared" si="1997"/>
        <v>-567.83092553161032</v>
      </c>
      <c r="BL286" s="84">
        <f t="shared" si="1997"/>
        <v>287.87659506216136</v>
      </c>
      <c r="BM286" s="84">
        <f t="shared" ref="BM286:BN286" si="1998">BM213*BM$249</f>
        <v>-108.96156766518948</v>
      </c>
      <c r="BN286" s="84">
        <f t="shared" si="1998"/>
        <v>87.579747391259431</v>
      </c>
      <c r="BO286" s="84">
        <f t="shared" ref="BO286:BR286" si="1999">BO213*BO$249</f>
        <v>-339.70054345473994</v>
      </c>
      <c r="BP286" s="84">
        <f t="shared" si="1999"/>
        <v>-364.64329747948335</v>
      </c>
      <c r="BQ286" s="84">
        <f t="shared" si="1999"/>
        <v>914.38284227966324</v>
      </c>
      <c r="BR286" s="84">
        <f t="shared" si="1999"/>
        <v>-484.33778153293065</v>
      </c>
      <c r="BW286" s="39"/>
      <c r="BX286" s="39"/>
    </row>
    <row r="287" spans="2:76" ht="13.5" customHeight="1">
      <c r="B287" s="1" t="str">
        <f t="shared" si="1965"/>
        <v>Taxes, net</v>
      </c>
      <c r="C287" s="89">
        <f t="shared" ref="C287:AB287" si="2000">C214*C$249</f>
        <v>-37.331740439999997</v>
      </c>
      <c r="D287" s="89">
        <f t="shared" si="2000"/>
        <v>-42.340251450000004</v>
      </c>
      <c r="E287" s="84">
        <f t="shared" si="2000"/>
        <v>-44.789350200000001</v>
      </c>
      <c r="F287" s="84">
        <f t="shared" si="2000"/>
        <v>-45.014070065166663</v>
      </c>
      <c r="G287" s="84">
        <f t="shared" si="1967"/>
        <v>-23.235876000000001</v>
      </c>
      <c r="H287" s="84">
        <f t="shared" si="1968"/>
        <v>-25.267024155726268</v>
      </c>
      <c r="I287" s="84">
        <f t="shared" si="1968"/>
        <v>-26.059586859061728</v>
      </c>
      <c r="J287" s="84">
        <f t="shared" si="1969"/>
        <v>-52.479465250085994</v>
      </c>
      <c r="K287" s="84">
        <f t="shared" si="1969"/>
        <v>-47.649098627695089</v>
      </c>
      <c r="L287" s="84">
        <f t="shared" si="1970"/>
        <v>-90.016556183086792</v>
      </c>
      <c r="M287" s="84">
        <f t="shared" ref="M287:O287" si="2001">M214*M$249</f>
        <v>-36.718347100028659</v>
      </c>
      <c r="N287" s="84">
        <f t="shared" ref="N287" si="2002">N214*N$249</f>
        <v>-53.013483584264605</v>
      </c>
      <c r="O287" s="84">
        <f t="shared" si="2001"/>
        <v>-27.31891160644</v>
      </c>
      <c r="P287" s="84">
        <f t="shared" ref="P287:Q287" si="2003">P214*P$249</f>
        <v>-35.758407526004198</v>
      </c>
      <c r="Q287" s="84">
        <f t="shared" si="2003"/>
        <v>-28.519166399341557</v>
      </c>
      <c r="R287" s="84">
        <f t="shared" ref="R287" si="2004">R214*R$249</f>
        <v>-35.776718349173684</v>
      </c>
      <c r="S287" s="300"/>
      <c r="T287" s="84">
        <f t="shared" si="2000"/>
        <v>-3.7121788199999997</v>
      </c>
      <c r="U287" s="84">
        <f t="shared" si="2000"/>
        <v>-2.61047802</v>
      </c>
      <c r="V287" s="84">
        <f t="shared" si="2000"/>
        <v>-24.1520774</v>
      </c>
      <c r="W287" s="84">
        <f t="shared" si="2000"/>
        <v>-13.670431740000003</v>
      </c>
      <c r="X287" s="84">
        <f t="shared" si="2000"/>
        <v>-4.8543645600000005</v>
      </c>
      <c r="Y287" s="84">
        <f t="shared" si="2000"/>
        <v>-21.54562816</v>
      </c>
      <c r="Z287" s="84">
        <f t="shared" si="2000"/>
        <v>-2.7500189199999991</v>
      </c>
      <c r="AA287" s="84">
        <f t="shared" si="2000"/>
        <v>-15.60653555533333</v>
      </c>
      <c r="AB287" s="84">
        <f t="shared" si="2000"/>
        <v>-6.8664961499999997</v>
      </c>
      <c r="AC287" s="84">
        <f t="shared" si="1975"/>
        <v>-7.6078607100000015</v>
      </c>
      <c r="AD287" s="84">
        <f t="shared" si="1975"/>
        <v>-5.9436195499999984</v>
      </c>
      <c r="AE287" s="84">
        <f t="shared" si="1975"/>
        <v>-3.0157242700000011</v>
      </c>
      <c r="AF287" s="84">
        <f t="shared" si="1975"/>
        <v>-2.0849272399999998</v>
      </c>
      <c r="AG287" s="84">
        <f t="shared" si="1976"/>
        <v>-9.4815219400000004</v>
      </c>
      <c r="AH287" s="84">
        <f t="shared" si="1976"/>
        <v>-9.303004640000001</v>
      </c>
      <c r="AI287" s="84">
        <f t="shared" si="1976"/>
        <v>-5.1387651498596387</v>
      </c>
      <c r="AJ287" s="84">
        <f t="shared" si="1976"/>
        <v>-3.2770866272267609</v>
      </c>
      <c r="AK287" s="84">
        <f t="shared" si="1977"/>
        <v>-4.5291094679999997</v>
      </c>
      <c r="AL287" s="84">
        <f t="shared" si="1977"/>
        <v>-8.4972520000000014</v>
      </c>
      <c r="AM287" s="84">
        <f t="shared" si="1977"/>
        <v>-7.2384744600000008</v>
      </c>
      <c r="AN287" s="84">
        <f t="shared" si="1977"/>
        <v>-5.5049624889618141</v>
      </c>
      <c r="AO287" s="84">
        <f t="shared" si="1978"/>
        <v>-6.8947798862150691</v>
      </c>
      <c r="AP287" s="84">
        <f t="shared" si="1978"/>
        <v>-24.091864719999997</v>
      </c>
      <c r="AQ287" s="84">
        <f t="shared" si="1978"/>
        <v>-17.963910491352003</v>
      </c>
      <c r="AR287" s="84">
        <f t="shared" si="1978"/>
        <v>-15.50641053064845</v>
      </c>
      <c r="AS287" s="84">
        <f t="shared" ref="AS287:AU287" si="2005">AS214*AS$249</f>
        <v>-11.582898155044308</v>
      </c>
      <c r="AT287" s="84">
        <f t="shared" si="2005"/>
        <v>-4.3343484540770767</v>
      </c>
      <c r="AU287" s="84">
        <f t="shared" si="2005"/>
        <v>-16.123308242037513</v>
      </c>
      <c r="AV287" s="84">
        <f t="shared" ref="AV287:AX287" si="2006">AV214*AV$249</f>
        <v>-10.9835616</v>
      </c>
      <c r="AW287" s="84">
        <f t="shared" si="2006"/>
        <v>-5.792378424314184</v>
      </c>
      <c r="AX287" s="84">
        <f t="shared" si="2006"/>
        <v>-2.9605398126769447</v>
      </c>
      <c r="AY287" s="84">
        <f t="shared" ref="AY287:BB287" si="2007">AY214*AY$249</f>
        <v>-17.326552586536028</v>
      </c>
      <c r="AZ287" s="84">
        <f t="shared" si="2007"/>
        <v>-1.1390316664944726</v>
      </c>
      <c r="BA287" s="84">
        <f t="shared" si="2007"/>
        <v>-10.336861564333542</v>
      </c>
      <c r="BB287" s="84">
        <f t="shared" si="2007"/>
        <v>-5.7006128888769476</v>
      </c>
      <c r="BC287" s="84">
        <f t="shared" ref="BC287:BF287" si="2008">BC214*BC$249</f>
        <v>-9.701949925270247</v>
      </c>
      <c r="BD287" s="84">
        <f t="shared" si="2008"/>
        <v>-2.6562461171442058</v>
      </c>
      <c r="BE287" s="84">
        <f t="shared" si="2008"/>
        <v>-8.8761326499818161</v>
      </c>
      <c r="BF287" s="84">
        <f t="shared" si="2008"/>
        <v>-29.989187386755649</v>
      </c>
      <c r="BG287" s="84">
        <f t="shared" ref="BG287:BH287" si="2009">BG214*BG$249</f>
        <v>12.482477356158356</v>
      </c>
      <c r="BH287" s="84">
        <f t="shared" si="2009"/>
        <v>-10.576747319621502</v>
      </c>
      <c r="BJ287" s="84">
        <f t="shared" ref="BJ287:BL287" si="2010">BJ214*BJ$249</f>
        <v>-18.706713399999998</v>
      </c>
      <c r="BK287" s="84">
        <f t="shared" si="2010"/>
        <v>-11.506555013415579</v>
      </c>
      <c r="BL287" s="84">
        <f t="shared" si="2010"/>
        <v>-6.6885744872115289</v>
      </c>
      <c r="BM287" s="84">
        <f t="shared" ref="BM287:BN287" si="2011">BM214*BM$249</f>
        <v>-16.896028072463334</v>
      </c>
      <c r="BN287" s="84">
        <f t="shared" si="2011"/>
        <v>-1.5730576505837379</v>
      </c>
      <c r="BO287" s="84">
        <f t="shared" ref="BO287:BR287" si="2012">BO214*BO$249</f>
        <v>-13.926506865830362</v>
      </c>
      <c r="BP287" s="84">
        <f t="shared" si="2012"/>
        <v>-7.4048499720871339</v>
      </c>
      <c r="BQ287" s="84">
        <f t="shared" si="2012"/>
        <v>-12.309207401142379</v>
      </c>
      <c r="BR287" s="84">
        <f t="shared" si="2012"/>
        <v>-3.4761672037087656</v>
      </c>
      <c r="BW287" s="39"/>
      <c r="BX287" s="39"/>
    </row>
    <row r="288" spans="2:76" s="5" customFormat="1" ht="13.5" customHeight="1" thickBot="1">
      <c r="B288" s="24" t="str">
        <f t="shared" si="1965"/>
        <v xml:space="preserve">Net cash from operations </v>
      </c>
      <c r="C288" s="85">
        <f t="shared" ref="C288:AB288" si="2013">C215*C$249</f>
        <v>310.11928728000009</v>
      </c>
      <c r="D288" s="85">
        <f t="shared" si="2013"/>
        <v>411.77162731999988</v>
      </c>
      <c r="E288" s="85">
        <f t="shared" si="2013"/>
        <v>406.34251979999999</v>
      </c>
      <c r="F288" s="85">
        <f t="shared" si="2013"/>
        <v>-166.7897615599999</v>
      </c>
      <c r="G288" s="85">
        <f t="shared" si="1967"/>
        <v>13.482341999999971</v>
      </c>
      <c r="H288" s="85">
        <f t="shared" si="1968"/>
        <v>147.6565415454958</v>
      </c>
      <c r="I288" s="85">
        <f t="shared" si="1968"/>
        <v>488.61017245167909</v>
      </c>
      <c r="J288" s="85">
        <f t="shared" si="1969"/>
        <v>-867.81111503877003</v>
      </c>
      <c r="K288" s="85">
        <f t="shared" si="1969"/>
        <v>-311.29936610656017</v>
      </c>
      <c r="L288" s="85">
        <f t="shared" si="1970"/>
        <v>660.25341860586298</v>
      </c>
      <c r="M288" s="85">
        <f t="shared" ref="M288:O288" si="2014">M215*M$249</f>
        <v>199.45128671496732</v>
      </c>
      <c r="N288" s="85">
        <f t="shared" ref="N288" si="2015">N215*N$249</f>
        <v>322.55342237041475</v>
      </c>
      <c r="O288" s="85">
        <f t="shared" si="2014"/>
        <v>467.44412682281671</v>
      </c>
      <c r="P288" s="85">
        <f t="shared" ref="P288:Q288" si="2016">P215*P$249</f>
        <v>611.82764188993906</v>
      </c>
      <c r="Q288" s="85">
        <f t="shared" si="2016"/>
        <v>-72.242288829514393</v>
      </c>
      <c r="R288" s="85">
        <f t="shared" ref="R288" si="2017">R215*R$249</f>
        <v>-214.77345317839976</v>
      </c>
      <c r="S288" s="286"/>
      <c r="T288" s="85">
        <f t="shared" si="2013"/>
        <v>127.42970450000001</v>
      </c>
      <c r="U288" s="85">
        <f t="shared" si="2013"/>
        <v>44.998813920000003</v>
      </c>
      <c r="V288" s="85">
        <f t="shared" si="2013"/>
        <v>66.220305800000006</v>
      </c>
      <c r="W288" s="85">
        <f t="shared" si="2013"/>
        <v>159.39150114000003</v>
      </c>
      <c r="X288" s="85">
        <f t="shared" si="2013"/>
        <v>-152.90219438000003</v>
      </c>
      <c r="Y288" s="85">
        <f t="shared" si="2013"/>
        <v>-130.26610485000003</v>
      </c>
      <c r="Z288" s="85">
        <f t="shared" si="2013"/>
        <v>-47.395257739999835</v>
      </c>
      <c r="AA288" s="85">
        <f t="shared" si="2013"/>
        <v>155.17576433999994</v>
      </c>
      <c r="AB288" s="85">
        <f t="shared" si="2013"/>
        <v>-39.990926400000028</v>
      </c>
      <c r="AC288" s="85">
        <f t="shared" si="1975"/>
        <v>-139.73253776999999</v>
      </c>
      <c r="AD288" s="85">
        <f t="shared" si="1975"/>
        <v>-183.76096513000007</v>
      </c>
      <c r="AE288" s="85">
        <f t="shared" si="1975"/>
        <v>325.65175251000011</v>
      </c>
      <c r="AF288" s="85">
        <f t="shared" si="1975"/>
        <v>17.026014719999978</v>
      </c>
      <c r="AG288" s="85">
        <f t="shared" si="1976"/>
        <v>96.772489330000099</v>
      </c>
      <c r="AH288" s="85">
        <f t="shared" si="1976"/>
        <v>-97.301751520000153</v>
      </c>
      <c r="AI288" s="85">
        <f t="shared" si="1976"/>
        <v>129.46813696649807</v>
      </c>
      <c r="AJ288" s="85">
        <f t="shared" si="1976"/>
        <v>69.973648077539295</v>
      </c>
      <c r="AK288" s="85">
        <f t="shared" si="1977"/>
        <v>196.96568903700006</v>
      </c>
      <c r="AL288" s="85">
        <f t="shared" si="1977"/>
        <v>244.51260900000003</v>
      </c>
      <c r="AM288" s="85">
        <f t="shared" si="1977"/>
        <v>-54.550948680000019</v>
      </c>
      <c r="AN288" s="85">
        <f t="shared" si="1977"/>
        <v>-332.06395899947904</v>
      </c>
      <c r="AO288" s="85">
        <f t="shared" si="1978"/>
        <v>-184.87191195075764</v>
      </c>
      <c r="AP288" s="85">
        <f t="shared" si="1978"/>
        <v>-34.685038080000048</v>
      </c>
      <c r="AQ288" s="85">
        <f t="shared" si="1978"/>
        <v>-355.84863022530413</v>
      </c>
      <c r="AR288" s="85">
        <f t="shared" si="1978"/>
        <v>-189.90244916947847</v>
      </c>
      <c r="AS288" s="85">
        <f t="shared" ref="AS288:AU288" si="2018">AS215*AS$249</f>
        <v>-367.80933305030692</v>
      </c>
      <c r="AT288" s="85">
        <f t="shared" si="2018"/>
        <v>113.4554566920277</v>
      </c>
      <c r="AU288" s="85">
        <f t="shared" si="2018"/>
        <v>72.564460414364333</v>
      </c>
      <c r="AV288" s="85">
        <f t="shared" ref="AV288:AX288" si="2019">AV215*AV$249</f>
        <v>-287.00068320000003</v>
      </c>
      <c r="AW288" s="85">
        <f t="shared" si="2019"/>
        <v>-394.33557085430004</v>
      </c>
      <c r="AX288" s="85">
        <f t="shared" si="2019"/>
        <v>-173.52146456640065</v>
      </c>
      <c r="AY288" s="85">
        <f t="shared" ref="AY288:BB288" si="2020">AY215*AY$249</f>
        <v>976.41754357366244</v>
      </c>
      <c r="AZ288" s="85">
        <f t="shared" si="2020"/>
        <v>156.46154044839341</v>
      </c>
      <c r="BA288" s="85">
        <f t="shared" si="2020"/>
        <v>-149.25427993792621</v>
      </c>
      <c r="BB288" s="85">
        <f t="shared" si="2020"/>
        <v>-318.58292210370445</v>
      </c>
      <c r="BC288" s="85">
        <f t="shared" ref="BC288:BF288" si="2021">BC215*BC$249</f>
        <v>752.43876794383095</v>
      </c>
      <c r="BD288" s="85">
        <f t="shared" si="2021"/>
        <v>-361.70475661914742</v>
      </c>
      <c r="BE288" s="85">
        <f t="shared" si="2021"/>
        <v>-465.19302444950586</v>
      </c>
      <c r="BF288" s="85">
        <f t="shared" si="2021"/>
        <v>98.335249854728559</v>
      </c>
      <c r="BG288" s="85">
        <f t="shared" ref="BG288:BH288" si="2022">BG215*BG$249</f>
        <v>564.94162998414754</v>
      </c>
      <c r="BH288" s="85">
        <f t="shared" si="2022"/>
        <v>-517.25559062205764</v>
      </c>
      <c r="BJ288" s="85">
        <f t="shared" ref="BJ288:BL288" si="2023">BJ215*BJ$249</f>
        <v>-90.449559600000029</v>
      </c>
      <c r="BK288" s="85">
        <f t="shared" si="2023"/>
        <v>-267.83441071718454</v>
      </c>
      <c r="BL288" s="85">
        <f t="shared" si="2023"/>
        <v>368.00386433066137</v>
      </c>
      <c r="BM288" s="85">
        <f t="shared" ref="BM288:BN288" si="2024">BM215*BM$249</f>
        <v>198.13016116785576</v>
      </c>
      <c r="BN288" s="85">
        <f t="shared" si="2024"/>
        <v>219.42759453455935</v>
      </c>
      <c r="BO288" s="85">
        <f t="shared" ref="BO288:BR288" si="2025">BO215*BO$249</f>
        <v>-228.40759723759297</v>
      </c>
      <c r="BP288" s="85">
        <f t="shared" si="2025"/>
        <v>-391.63757459600981</v>
      </c>
      <c r="BQ288" s="85">
        <f t="shared" si="2025"/>
        <v>978.09282710199182</v>
      </c>
      <c r="BR288" s="85">
        <f t="shared" si="2025"/>
        <v>-464.00379380896749</v>
      </c>
      <c r="BT288" s="1"/>
      <c r="BU288" s="1"/>
      <c r="BW288" s="39"/>
      <c r="BX288" s="39"/>
    </row>
    <row r="289" spans="2:76" s="5" customFormat="1" ht="13.5" customHeight="1" thickTop="1">
      <c r="B289" s="1" t="str">
        <f t="shared" si="1965"/>
        <v>Net Capex (Purchase of PPE and intangible assets)</v>
      </c>
      <c r="C289" s="86">
        <f t="shared" ref="C289:AB289" si="2026">C216*C$249</f>
        <v>-207.31483916000002</v>
      </c>
      <c r="D289" s="86">
        <f t="shared" si="2026"/>
        <v>-236.29671355999997</v>
      </c>
      <c r="E289" s="86">
        <f t="shared" si="2026"/>
        <v>-275.71418699999998</v>
      </c>
      <c r="F289" s="86">
        <f t="shared" si="2026"/>
        <v>-271.06823396216669</v>
      </c>
      <c r="G289" s="86">
        <f t="shared" si="1967"/>
        <v>-394.68817799999999</v>
      </c>
      <c r="H289" s="86">
        <f t="shared" si="1968"/>
        <v>-231.9090924372573</v>
      </c>
      <c r="I289" s="86">
        <f t="shared" si="1968"/>
        <v>-270.0668754698205</v>
      </c>
      <c r="J289" s="86">
        <f t="shared" si="1969"/>
        <v>-264.68381855260799</v>
      </c>
      <c r="K289" s="86">
        <f t="shared" si="1969"/>
        <v>-364.31027175588667</v>
      </c>
      <c r="L289" s="86">
        <f t="shared" si="1970"/>
        <v>-658.10891779522422</v>
      </c>
      <c r="M289" s="86">
        <f t="shared" ref="M289:O289" si="2027">M216*M$249</f>
        <v>-623.15619382968418</v>
      </c>
      <c r="N289" s="86">
        <f t="shared" ref="N289" si="2028">N216*N$249</f>
        <v>-837.43012192934418</v>
      </c>
      <c r="O289" s="86">
        <f t="shared" si="2027"/>
        <v>-725.88627129217559</v>
      </c>
      <c r="P289" s="86">
        <f t="shared" ref="P289:Q289" si="2029">P216*P$249</f>
        <v>-923.17858422657139</v>
      </c>
      <c r="Q289" s="86">
        <f t="shared" si="2029"/>
        <v>-453.05713838671602</v>
      </c>
      <c r="R289" s="86">
        <f t="shared" ref="R289" si="2030">R216*R$249</f>
        <v>-440.55295545114723</v>
      </c>
      <c r="S289" s="73"/>
      <c r="T289" s="86">
        <f t="shared" si="2026"/>
        <v>-48.805593830000007</v>
      </c>
      <c r="U289" s="86">
        <f t="shared" si="2026"/>
        <v>-50.338867409999999</v>
      </c>
      <c r="V289" s="86">
        <f t="shared" si="2026"/>
        <v>-50.416062400000008</v>
      </c>
      <c r="W289" s="86">
        <f t="shared" si="2026"/>
        <v>-119.44668053999999</v>
      </c>
      <c r="X289" s="86">
        <f t="shared" si="2026"/>
        <v>-35.003791750000005</v>
      </c>
      <c r="Y289" s="86">
        <f t="shared" si="2026"/>
        <v>-59.909518210000002</v>
      </c>
      <c r="Z289" s="86">
        <f t="shared" si="2026"/>
        <v>-67.600692879999997</v>
      </c>
      <c r="AA289" s="86">
        <f t="shared" si="2026"/>
        <v>-106.92702149399999</v>
      </c>
      <c r="AB289" s="86">
        <f t="shared" si="2026"/>
        <v>-61.007598450000003</v>
      </c>
      <c r="AC289" s="86">
        <f t="shared" si="1975"/>
        <v>-114.29566322000004</v>
      </c>
      <c r="AD289" s="86">
        <f t="shared" si="1975"/>
        <v>-91.921029719999993</v>
      </c>
      <c r="AE289" s="86">
        <f t="shared" si="1975"/>
        <v>-109.80049974000001</v>
      </c>
      <c r="AF289" s="86">
        <f t="shared" si="1975"/>
        <v>-59.950369159999994</v>
      </c>
      <c r="AG289" s="86">
        <f t="shared" si="1976"/>
        <v>-13.825444600000008</v>
      </c>
      <c r="AH289" s="86">
        <f t="shared" si="1976"/>
        <v>-86.786920640000005</v>
      </c>
      <c r="AI289" s="86">
        <f t="shared" si="1976"/>
        <v>-80.829565129687822</v>
      </c>
      <c r="AJ289" s="86">
        <f t="shared" si="1976"/>
        <v>-48.792929989700809</v>
      </c>
      <c r="AK289" s="86">
        <f t="shared" si="1977"/>
        <v>129.28846955700001</v>
      </c>
      <c r="AL289" s="86">
        <f t="shared" si="1977"/>
        <v>-80.888293500000003</v>
      </c>
      <c r="AM289" s="86">
        <f t="shared" si="1977"/>
        <v>-229.79054471999996</v>
      </c>
      <c r="AN289" s="86">
        <f t="shared" si="1977"/>
        <v>-50.767146732730332</v>
      </c>
      <c r="AO289" s="86">
        <f t="shared" si="1978"/>
        <v>-60.456930925852397</v>
      </c>
      <c r="AP289" s="86">
        <f t="shared" si="1978"/>
        <v>-73.72103816000002</v>
      </c>
      <c r="AQ289" s="86">
        <f t="shared" si="1978"/>
        <v>-91.630807394723988</v>
      </c>
      <c r="AR289" s="86">
        <f t="shared" si="1978"/>
        <v>-58.972892126642243</v>
      </c>
      <c r="AS289" s="86">
        <f t="shared" ref="AS289:AU289" si="2031">AS216*AS$249</f>
        <v>-74.816208663667354</v>
      </c>
      <c r="AT289" s="86">
        <f t="shared" si="2031"/>
        <v>-102.78418359673067</v>
      </c>
      <c r="AU289" s="86">
        <f t="shared" si="2031"/>
        <v>-113.89600116086905</v>
      </c>
      <c r="AV289" s="86">
        <f t="shared" ref="AV289:AX289" si="2032">AV216*AV$249</f>
        <v>-85.055256</v>
      </c>
      <c r="AW289" s="86">
        <f t="shared" si="2032"/>
        <v>-110.21102082517737</v>
      </c>
      <c r="AX289" s="86">
        <f t="shared" si="2032"/>
        <v>-90.657943325636992</v>
      </c>
      <c r="AY289" s="86">
        <f t="shared" ref="AY289:BB289" si="2033">AY216*AY$249</f>
        <v>-319.21831230615453</v>
      </c>
      <c r="AZ289" s="86">
        <f t="shared" si="2033"/>
        <v>-95.1392835003616</v>
      </c>
      <c r="BA289" s="86">
        <f t="shared" si="2033"/>
        <v>-162.14902654210692</v>
      </c>
      <c r="BB289" s="86">
        <f t="shared" si="2033"/>
        <v>-177.74855136713325</v>
      </c>
      <c r="BC289" s="86">
        <f t="shared" ref="BC289:BF289" si="2034">BC216*BC$249</f>
        <v>-279.51121525645635</v>
      </c>
      <c r="BD289" s="86">
        <f t="shared" si="2034"/>
        <v>-90.881963945009105</v>
      </c>
      <c r="BE289" s="86">
        <f t="shared" si="2034"/>
        <v>-99.446423366701296</v>
      </c>
      <c r="BF289" s="86">
        <f t="shared" si="2034"/>
        <v>-83.810060879180696</v>
      </c>
      <c r="BG289" s="86">
        <f t="shared" ref="BG289:BH289" si="2035">BG216*BG$249</f>
        <v>-170.90691757432137</v>
      </c>
      <c r="BH289" s="86">
        <f t="shared" si="2035"/>
        <v>-77.235572343298301</v>
      </c>
      <c r="BJ289" s="86">
        <f t="shared" ref="BJ289:BL289" si="2036">BJ216*BJ$249</f>
        <v>-136.21253239999999</v>
      </c>
      <c r="BK289" s="86">
        <f t="shared" si="2036"/>
        <v>-138.75354486340936</v>
      </c>
      <c r="BL289" s="86">
        <f t="shared" si="2036"/>
        <v>-173.8751478031877</v>
      </c>
      <c r="BM289" s="86">
        <f t="shared" ref="BM289:BN289" si="2037">BM216*BM$249</f>
        <v>-358.24422699915499</v>
      </c>
      <c r="BN289" s="86">
        <f t="shared" si="2037"/>
        <v>-131.39105925198885</v>
      </c>
      <c r="BO289" s="86">
        <f t="shared" ref="BO289:BR289" si="2038">BO216*BO$249</f>
        <v>-216.19683695739539</v>
      </c>
      <c r="BP289" s="86">
        <f t="shared" si="2038"/>
        <v>-221.71582017547789</v>
      </c>
      <c r="BQ289" s="86">
        <f t="shared" si="2038"/>
        <v>-341.02368180185613</v>
      </c>
      <c r="BR289" s="86">
        <f t="shared" si="2038"/>
        <v>-117.47551557422088</v>
      </c>
      <c r="BT289" s="1"/>
      <c r="BU289" s="1"/>
      <c r="BW289" s="39"/>
      <c r="BX289" s="39"/>
    </row>
    <row r="290" spans="2:76" ht="13.5" customHeight="1">
      <c r="B290" s="1" t="str">
        <f t="shared" si="1965"/>
        <v>Acquisition</v>
      </c>
      <c r="C290" s="86">
        <f t="shared" ref="C290:AB290" si="2039">C217*C$249</f>
        <v>0</v>
      </c>
      <c r="D290" s="86">
        <f t="shared" si="2039"/>
        <v>-0.48957010999999995</v>
      </c>
      <c r="E290" s="86">
        <f t="shared" si="2039"/>
        <v>-247.39273439999997</v>
      </c>
      <c r="F290" s="86">
        <f t="shared" si="2039"/>
        <v>0</v>
      </c>
      <c r="G290" s="86">
        <f t="shared" si="1967"/>
        <v>0</v>
      </c>
      <c r="H290" s="86">
        <f t="shared" si="1968"/>
        <v>-68.301870934122277</v>
      </c>
      <c r="I290" s="86">
        <f t="shared" si="1968"/>
        <v>0</v>
      </c>
      <c r="J290" s="86">
        <f t="shared" si="1969"/>
        <v>-224.76674966272796</v>
      </c>
      <c r="K290" s="86">
        <f t="shared" si="1969"/>
        <v>83.480133005455514</v>
      </c>
      <c r="L290" s="86">
        <f t="shared" si="1970"/>
        <v>152.8294757889783</v>
      </c>
      <c r="M290" s="86">
        <f t="shared" ref="M290:O290" si="2040">M217*M$249</f>
        <v>-57.944814908179907</v>
      </c>
      <c r="N290" s="86">
        <f t="shared" ref="N290" si="2041">N217*N$249</f>
        <v>-83.660070250970449</v>
      </c>
      <c r="O290" s="86">
        <f t="shared" si="2040"/>
        <v>275.02890323548388</v>
      </c>
      <c r="P290" s="86">
        <f t="shared" ref="P290:Q290" si="2042">P217*P$249</f>
        <v>359.99167312224137</v>
      </c>
      <c r="Q290" s="86">
        <f t="shared" si="2042"/>
        <v>0</v>
      </c>
      <c r="R290" s="86">
        <f t="shared" ref="R290" si="2043">R217*R$249</f>
        <v>0</v>
      </c>
      <c r="S290" s="73"/>
      <c r="T290" s="86">
        <f t="shared" si="2039"/>
        <v>0</v>
      </c>
      <c r="U290" s="86">
        <f t="shared" si="2039"/>
        <v>0</v>
      </c>
      <c r="V290" s="86">
        <f t="shared" si="2039"/>
        <v>0</v>
      </c>
      <c r="W290" s="86">
        <f t="shared" si="2039"/>
        <v>-227.12710895999999</v>
      </c>
      <c r="X290" s="86">
        <f t="shared" si="2039"/>
        <v>0</v>
      </c>
      <c r="Y290" s="86">
        <f t="shared" si="2039"/>
        <v>0</v>
      </c>
      <c r="Z290" s="86">
        <f t="shared" si="2039"/>
        <v>0</v>
      </c>
      <c r="AA290" s="86">
        <f t="shared" si="2039"/>
        <v>0</v>
      </c>
      <c r="AB290" s="86">
        <f t="shared" si="2039"/>
        <v>-7.1757151500000003</v>
      </c>
      <c r="AC290" s="86">
        <f t="shared" si="1975"/>
        <v>-7.5700787800000011</v>
      </c>
      <c r="AD290" s="86">
        <f t="shared" si="1975"/>
        <v>0</v>
      </c>
      <c r="AE290" s="86">
        <f t="shared" si="1975"/>
        <v>10.43029851</v>
      </c>
      <c r="AF290" s="86">
        <f t="shared" si="1975"/>
        <v>-9.8700813199999988</v>
      </c>
      <c r="AG290" s="86">
        <f t="shared" si="1976"/>
        <v>10.231237940000002</v>
      </c>
      <c r="AH290" s="86">
        <f t="shared" si="1976"/>
        <v>-72.757159200000004</v>
      </c>
      <c r="AI290" s="86">
        <f t="shared" si="1976"/>
        <v>0</v>
      </c>
      <c r="AJ290" s="86">
        <f t="shared" si="1976"/>
        <v>0</v>
      </c>
      <c r="AK290" s="86">
        <f t="shared" si="1977"/>
        <v>-5.1342344040000008</v>
      </c>
      <c r="AL290" s="86">
        <f t="shared" si="1977"/>
        <v>6.7294380000000009</v>
      </c>
      <c r="AM290" s="86">
        <f t="shared" si="1977"/>
        <v>-1.7691311999999997</v>
      </c>
      <c r="AN290" s="86">
        <f t="shared" si="1977"/>
        <v>-4.9012221936293452</v>
      </c>
      <c r="AO290" s="86">
        <f t="shared" si="1978"/>
        <v>-394.43676473776861</v>
      </c>
      <c r="AP290" s="86">
        <f t="shared" si="1978"/>
        <v>151.19063344000003</v>
      </c>
      <c r="AQ290" s="86">
        <f t="shared" si="1978"/>
        <v>-3.9397750787700336</v>
      </c>
      <c r="AR290" s="86">
        <f t="shared" si="1978"/>
        <v>-1.9152697054206886</v>
      </c>
      <c r="AS290" s="86">
        <f t="shared" ref="AS290:AU290" si="2044">AS217*AS$249</f>
        <v>0</v>
      </c>
      <c r="AT290" s="86">
        <f t="shared" si="2044"/>
        <v>77.231329715262135</v>
      </c>
      <c r="AU290" s="86">
        <f t="shared" si="2044"/>
        <v>1.4788636118141036</v>
      </c>
      <c r="AV290" s="86">
        <f t="shared" ref="AV290:AX290" si="2045">AV217*AV$249</f>
        <v>-43.835616000000002</v>
      </c>
      <c r="AW290" s="86">
        <f t="shared" si="2045"/>
        <v>9.5007113597985818E-3</v>
      </c>
      <c r="AX290" s="86">
        <f t="shared" si="2045"/>
        <v>0</v>
      </c>
      <c r="AY290" s="86">
        <f t="shared" ref="AY290:BB290" si="2046">AY217*AY$249</f>
        <v>-19.405519259065425</v>
      </c>
      <c r="AZ290" s="86">
        <f t="shared" si="2046"/>
        <v>-13.592248682715157</v>
      </c>
      <c r="BA290" s="86">
        <f t="shared" si="2046"/>
        <v>230.90823095899052</v>
      </c>
      <c r="BB290" s="86">
        <f t="shared" si="2046"/>
        <v>20.596200865149541</v>
      </c>
      <c r="BC290" s="86">
        <f t="shared" ref="BC290:BF290" si="2047">BC217*BC$249</f>
        <v>37.003713315799828</v>
      </c>
      <c r="BD290" s="86">
        <f t="shared" si="2047"/>
        <v>0</v>
      </c>
      <c r="BE290" s="86">
        <f t="shared" si="2047"/>
        <v>-12.037209470282205</v>
      </c>
      <c r="BF290" s="86">
        <f t="shared" si="2047"/>
        <v>-0.85858523943441034</v>
      </c>
      <c r="BG290" s="86">
        <f t="shared" ref="BG290:BH290" si="2048">BG217*BG$249</f>
        <v>11.678588970336625</v>
      </c>
      <c r="BH290" s="86">
        <f t="shared" si="2048"/>
        <v>0</v>
      </c>
      <c r="BJ290" s="86">
        <f t="shared" ref="BJ290:BL290" si="2049">BJ217*BJ$249</f>
        <v>-76.895015200000003</v>
      </c>
      <c r="BK290" s="86">
        <f t="shared" si="2049"/>
        <v>-15.826991568715448</v>
      </c>
      <c r="BL290" s="86">
        <f t="shared" si="2049"/>
        <v>-7.1762037800315523</v>
      </c>
      <c r="BM290" s="86">
        <f t="shared" ref="BM290:BN290" si="2050">BM217*BM$249</f>
        <v>6.3625054158748418</v>
      </c>
      <c r="BN290" s="86">
        <f t="shared" si="2050"/>
        <v>0</v>
      </c>
      <c r="BO290" s="86">
        <f t="shared" ref="BO290:BR290" si="2051">BO217*BO$249</f>
        <v>-18.978904805772121</v>
      </c>
      <c r="BP290" s="86">
        <f t="shared" si="2051"/>
        <v>336.22836006699083</v>
      </c>
      <c r="BQ290" s="86">
        <f t="shared" si="2051"/>
        <v>33.383114550868399</v>
      </c>
      <c r="BR290" s="86">
        <f t="shared" si="2051"/>
        <v>0</v>
      </c>
      <c r="BW290" s="39"/>
      <c r="BX290" s="39"/>
    </row>
    <row r="291" spans="2:76" ht="13.5" customHeight="1">
      <c r="B291" s="1" t="str">
        <f t="shared" si="1965"/>
        <v>Disposal</v>
      </c>
      <c r="C291" s="86">
        <f t="shared" ref="C291:AB291" si="2052">C218*C$249</f>
        <v>1.795609</v>
      </c>
      <c r="D291" s="86">
        <f t="shared" si="2052"/>
        <v>6.9521169199999999</v>
      </c>
      <c r="E291" s="86">
        <f t="shared" si="2052"/>
        <v>2.3245908000000002</v>
      </c>
      <c r="F291" s="86">
        <f t="shared" si="2052"/>
        <v>5.1428490616666673</v>
      </c>
      <c r="G291" s="86">
        <f t="shared" si="1967"/>
        <v>8.236537199999999</v>
      </c>
      <c r="H291" s="86">
        <f t="shared" si="1968"/>
        <v>6.9732219401906219</v>
      </c>
      <c r="I291" s="86">
        <f t="shared" si="1968"/>
        <v>26.910414955035897</v>
      </c>
      <c r="J291" s="86">
        <f t="shared" si="1969"/>
        <v>7.3916132944079989</v>
      </c>
      <c r="K291" s="86">
        <f t="shared" si="1969"/>
        <v>11.985426085685578</v>
      </c>
      <c r="L291" s="86">
        <f t="shared" si="1970"/>
        <v>50.746710909729238</v>
      </c>
      <c r="M291" s="86">
        <f t="shared" ref="M291:O291" si="2053">M218*M$249</f>
        <v>29.19609675660281</v>
      </c>
      <c r="N291" s="86">
        <f t="shared" ref="N291" si="2054">N218*N$249</f>
        <v>42.152951113851678</v>
      </c>
      <c r="O291" s="86">
        <f t="shared" si="2053"/>
        <v>20.589924803326227</v>
      </c>
      <c r="P291" s="86">
        <f t="shared" ref="P291:Q291" si="2055">P218*P$249</f>
        <v>0</v>
      </c>
      <c r="Q291" s="86">
        <f t="shared" si="2055"/>
        <v>0.36634880300070155</v>
      </c>
      <c r="R291" s="86">
        <f t="shared" ref="R291" si="2056">R218*R$249</f>
        <v>-0.92799086638554773</v>
      </c>
      <c r="S291" s="73"/>
      <c r="T291" s="86">
        <f t="shared" si="2052"/>
        <v>0.53740540000000003</v>
      </c>
      <c r="U291" s="86">
        <f t="shared" si="2052"/>
        <v>0.90721188000000008</v>
      </c>
      <c r="V291" s="86">
        <f t="shared" si="2052"/>
        <v>1.6490006500000001</v>
      </c>
      <c r="W291" s="86">
        <f t="shared" si="2052"/>
        <v>-0.63756966000000004</v>
      </c>
      <c r="X291" s="86">
        <f t="shared" si="2052"/>
        <v>0.29405622000000003</v>
      </c>
      <c r="Y291" s="86">
        <f t="shared" si="2052"/>
        <v>3.5960642100000002</v>
      </c>
      <c r="Z291" s="86">
        <f t="shared" si="2052"/>
        <v>1.3952260000000423E-2</v>
      </c>
      <c r="AA291" s="86">
        <f t="shared" si="2052"/>
        <v>1.2459540839999999</v>
      </c>
      <c r="AB291" s="86">
        <f t="shared" si="2052"/>
        <v>0.85323479999999996</v>
      </c>
      <c r="AC291" s="86">
        <f t="shared" si="1975"/>
        <v>1.0731082400000003</v>
      </c>
      <c r="AD291" s="86">
        <f t="shared" si="1975"/>
        <v>0.43532000999999998</v>
      </c>
      <c r="AE291" s="86">
        <f t="shared" si="1975"/>
        <v>5.02918354</v>
      </c>
      <c r="AF291" s="86">
        <f t="shared" si="1975"/>
        <v>0.94945400000000002</v>
      </c>
      <c r="AG291" s="86">
        <f t="shared" si="1976"/>
        <v>-0.87750850000000014</v>
      </c>
      <c r="AH291" s="86">
        <f t="shared" si="1976"/>
        <v>0.64944440000000014</v>
      </c>
      <c r="AI291" s="86">
        <f t="shared" si="1976"/>
        <v>6.3537796903629227</v>
      </c>
      <c r="AJ291" s="86">
        <f t="shared" si="1976"/>
        <v>4.6904761384241933</v>
      </c>
      <c r="AK291" s="86">
        <f t="shared" si="1977"/>
        <v>40.903793151000002</v>
      </c>
      <c r="AL291" s="86">
        <f t="shared" si="1977"/>
        <v>-4.7108004999999951</v>
      </c>
      <c r="AM291" s="86">
        <f t="shared" si="1977"/>
        <v>-13.621383300000002</v>
      </c>
      <c r="AN291" s="86">
        <f t="shared" si="1977"/>
        <v>1.529612201088719</v>
      </c>
      <c r="AO291" s="86">
        <f t="shared" si="1978"/>
        <v>1.1887592158046314</v>
      </c>
      <c r="AP291" s="86">
        <f t="shared" si="1978"/>
        <v>0.73243631999999992</v>
      </c>
      <c r="AQ291" s="86">
        <f t="shared" si="1978"/>
        <v>3.9382736758580008</v>
      </c>
      <c r="AR291" s="86">
        <f t="shared" si="1978"/>
        <v>4.5516411424014507</v>
      </c>
      <c r="AS291" s="86">
        <f t="shared" ref="AS291:AU291" si="2057">AS218*AS$249</f>
        <v>7.4673448243012954</v>
      </c>
      <c r="AT291" s="86">
        <f t="shared" si="2057"/>
        <v>2.2859919208284447</v>
      </c>
      <c r="AU291" s="86">
        <f t="shared" si="2057"/>
        <v>-1.37866639361541</v>
      </c>
      <c r="AV291" s="86">
        <f t="shared" ref="AV291:AX291" si="2058">AV218*AV$249</f>
        <v>3.1473552000000002</v>
      </c>
      <c r="AW291" s="86">
        <f t="shared" si="2058"/>
        <v>1.5355823124444994</v>
      </c>
      <c r="AX291" s="86">
        <f t="shared" si="2058"/>
        <v>3.4176946059762847</v>
      </c>
      <c r="AY291" s="86">
        <f t="shared" ref="AY291:BB291" si="2059">AY218*AY$249</f>
        <v>19.85080069151606</v>
      </c>
      <c r="AZ291" s="86">
        <f t="shared" si="2059"/>
        <v>1.8416158694079967</v>
      </c>
      <c r="BA291" s="86">
        <f t="shared" si="2059"/>
        <v>7.8303234143054151E-2</v>
      </c>
      <c r="BB291" s="86">
        <f t="shared" si="2059"/>
        <v>6.4149433831585414</v>
      </c>
      <c r="BC291" s="86">
        <f t="shared" ref="BC291:BF291" si="2060">BC218*BC$249</f>
        <v>11.601215372316393</v>
      </c>
      <c r="BD291" s="86">
        <f t="shared" si="2060"/>
        <v>1.4125725835176395</v>
      </c>
      <c r="BE291" s="86">
        <f t="shared" si="2060"/>
        <v>-1.032300997944271</v>
      </c>
      <c r="BF291" s="86">
        <f t="shared" si="2060"/>
        <v>5.0483380204336264E-2</v>
      </c>
      <c r="BG291" s="86">
        <f t="shared" ref="BG291:BH291" si="2061">BG218*BG$249</f>
        <v>2.9889172623938778E-2</v>
      </c>
      <c r="BH291" s="86">
        <f t="shared" si="2061"/>
        <v>0</v>
      </c>
      <c r="BJ291" s="86">
        <f t="shared" ref="BJ291:BL291" si="2062">BJ218*BJ$249</f>
        <v>6.1599393000000005</v>
      </c>
      <c r="BK291" s="86">
        <f t="shared" si="2062"/>
        <v>0.54278184647996264</v>
      </c>
      <c r="BL291" s="86">
        <f t="shared" si="2062"/>
        <v>0.95567582891011738</v>
      </c>
      <c r="BM291" s="86">
        <f t="shared" ref="BM291:BN291" si="2063">BM218*BM$249</f>
        <v>33.360502078409006</v>
      </c>
      <c r="BN291" s="86">
        <f t="shared" si="2063"/>
        <v>2.543328339704515</v>
      </c>
      <c r="BO291" s="86">
        <f t="shared" ref="BO291:BR291" si="2064">BO218*BO$249</f>
        <v>322.75164922129557</v>
      </c>
      <c r="BP291" s="86">
        <f t="shared" si="2064"/>
        <v>-314.03727486857071</v>
      </c>
      <c r="BQ291" s="86">
        <f t="shared" si="2064"/>
        <v>0</v>
      </c>
      <c r="BR291" s="86">
        <f t="shared" si="2064"/>
        <v>0.3910053041535857</v>
      </c>
      <c r="BW291" s="39"/>
      <c r="BX291" s="39"/>
    </row>
    <row r="292" spans="2:76" ht="13.5" customHeight="1">
      <c r="B292" s="1" t="str">
        <f t="shared" si="1965"/>
        <v>Cash interest paid</v>
      </c>
      <c r="C292" s="89">
        <f t="shared" ref="C292:AB292" si="2065">C219*C$249</f>
        <v>-139.91248084</v>
      </c>
      <c r="D292" s="89">
        <f t="shared" si="2065"/>
        <v>-142.32839790999998</v>
      </c>
      <c r="E292" s="84">
        <f t="shared" si="2065"/>
        <v>-146.56734119999999</v>
      </c>
      <c r="F292" s="84">
        <f t="shared" si="2065"/>
        <v>-140.35557229866669</v>
      </c>
      <c r="G292" s="84">
        <f t="shared" si="1967"/>
        <v>-182.9151612</v>
      </c>
      <c r="H292" s="84">
        <f t="shared" si="1968"/>
        <v>-241.1608868866513</v>
      </c>
      <c r="I292" s="84">
        <f t="shared" si="1968"/>
        <v>-217.8297343661568</v>
      </c>
      <c r="J292" s="84">
        <f t="shared" si="1969"/>
        <v>-157.16238354037199</v>
      </c>
      <c r="K292" s="84">
        <f t="shared" si="1969"/>
        <v>-182.31081198492686</v>
      </c>
      <c r="L292" s="84">
        <f t="shared" si="1970"/>
        <v>-427.18245249816607</v>
      </c>
      <c r="M292" s="84">
        <f t="shared" ref="M292:O292" si="2066">M219*M$249</f>
        <v>-375.39357555079312</v>
      </c>
      <c r="N292" s="84">
        <f t="shared" ref="N292" si="2067">N219*N$249</f>
        <v>-525.9675409627647</v>
      </c>
      <c r="O292" s="84">
        <f t="shared" si="2066"/>
        <v>-462.78148408360477</v>
      </c>
      <c r="P292" s="84">
        <f t="shared" ref="P292:Q292" si="2068">P219*P$249</f>
        <v>-605.74544191844211</v>
      </c>
      <c r="Q292" s="84">
        <f t="shared" si="2068"/>
        <v>-629.11513848778304</v>
      </c>
      <c r="R292" s="84">
        <f t="shared" ref="R292" si="2069">R219*R$249</f>
        <v>-679.8671231695613</v>
      </c>
      <c r="S292" s="300"/>
      <c r="T292" s="84">
        <f t="shared" si="2065"/>
        <v>-26.706667469999999</v>
      </c>
      <c r="U292" s="84">
        <f t="shared" si="2065"/>
        <v>-44.775808259999998</v>
      </c>
      <c r="V292" s="84">
        <f t="shared" si="2065"/>
        <v>-36.929388100000004</v>
      </c>
      <c r="W292" s="84">
        <f t="shared" si="2065"/>
        <v>-37.765264499999986</v>
      </c>
      <c r="X292" s="84">
        <f t="shared" si="2065"/>
        <v>-15.678124540000001</v>
      </c>
      <c r="Y292" s="84">
        <f t="shared" si="2065"/>
        <v>-39.128623400000002</v>
      </c>
      <c r="Z292" s="84">
        <f t="shared" si="2065"/>
        <v>-46.245762359999993</v>
      </c>
      <c r="AA292" s="84">
        <f t="shared" si="2065"/>
        <v>-39.718931712000007</v>
      </c>
      <c r="AB292" s="84">
        <f t="shared" si="2065"/>
        <v>-34.004918249999996</v>
      </c>
      <c r="AC292" s="84">
        <f t="shared" si="1975"/>
        <v>-54.601481670000005</v>
      </c>
      <c r="AD292" s="84">
        <f t="shared" si="1975"/>
        <v>-43.051908299999994</v>
      </c>
      <c r="AE292" s="84">
        <f t="shared" si="1975"/>
        <v>-45.269758830000008</v>
      </c>
      <c r="AF292" s="84">
        <f t="shared" si="1975"/>
        <v>-46.049809520000004</v>
      </c>
      <c r="AG292" s="84">
        <f t="shared" si="1976"/>
        <v>54.403482320000009</v>
      </c>
      <c r="AH292" s="84">
        <f t="shared" si="1976"/>
        <v>-188.66721112000005</v>
      </c>
      <c r="AI292" s="84">
        <f t="shared" si="1976"/>
        <v>-72.893308006522204</v>
      </c>
      <c r="AJ292" s="84">
        <f t="shared" si="1976"/>
        <v>-58.790982391440387</v>
      </c>
      <c r="AK292" s="84">
        <f t="shared" si="1977"/>
        <v>-61.169357301000005</v>
      </c>
      <c r="AL292" s="84">
        <f t="shared" si="1977"/>
        <v>127.3215265</v>
      </c>
      <c r="AM292" s="84">
        <f t="shared" si="1977"/>
        <v>-203.14274117999994</v>
      </c>
      <c r="AN292" s="84">
        <f t="shared" si="1977"/>
        <v>-26.017641737280925</v>
      </c>
      <c r="AO292" s="84">
        <f t="shared" si="1978"/>
        <v>-45.351947634218881</v>
      </c>
      <c r="AP292" s="84">
        <f t="shared" si="1978"/>
        <v>-45.764044480000017</v>
      </c>
      <c r="AQ292" s="84">
        <f t="shared" si="1978"/>
        <v>-48.302477621089992</v>
      </c>
      <c r="AR292" s="84">
        <f t="shared" si="1978"/>
        <v>-19.835959219650508</v>
      </c>
      <c r="AS292" s="84">
        <f t="shared" ref="AS292:AU292" si="2070">AS219*AS$249</f>
        <v>-67.018513917177899</v>
      </c>
      <c r="AT292" s="84">
        <f t="shared" si="2070"/>
        <v>-38.726862007524311</v>
      </c>
      <c r="AU292" s="84">
        <f t="shared" si="2070"/>
        <v>-51.427580254310364</v>
      </c>
      <c r="AV292" s="84">
        <f t="shared" ref="AV292:AX292" si="2071">AV219*AV$249</f>
        <v>-66.837249599999993</v>
      </c>
      <c r="AW292" s="84">
        <f t="shared" si="2071"/>
        <v>-61.880949880166924</v>
      </c>
      <c r="AX292" s="84">
        <f t="shared" si="2071"/>
        <v>-77.197539659744933</v>
      </c>
      <c r="AY292" s="84">
        <f t="shared" ref="AY292:BB292" si="2072">AY219*AY$249</f>
        <v>-157.70487021204488</v>
      </c>
      <c r="AZ292" s="84">
        <f t="shared" si="2072"/>
        <v>-90.394281434032436</v>
      </c>
      <c r="BA292" s="84">
        <f t="shared" si="2072"/>
        <v>-64.273229753374167</v>
      </c>
      <c r="BB292" s="84">
        <f t="shared" si="2072"/>
        <v>-156.23412175979414</v>
      </c>
      <c r="BC292" s="84">
        <f t="shared" ref="BC292:BF292" si="2073">BC219*BC$249</f>
        <v>-146.52315463845861</v>
      </c>
      <c r="BD292" s="84">
        <f t="shared" si="2073"/>
        <v>-141.54679169117179</v>
      </c>
      <c r="BE292" s="84">
        <f t="shared" si="2073"/>
        <v>-120.39466387410785</v>
      </c>
      <c r="BF292" s="84">
        <f t="shared" si="2073"/>
        <v>-210.35980748154384</v>
      </c>
      <c r="BG292" s="84">
        <f t="shared" ref="BG292:BH292" si="2074">BG219*BG$249</f>
        <v>-151.12566255496546</v>
      </c>
      <c r="BH292" s="84">
        <f t="shared" si="2074"/>
        <v>-196.93477354494723</v>
      </c>
      <c r="BJ292" s="84">
        <f t="shared" ref="BJ292:BL292" si="2075">BJ219*BJ$249</f>
        <v>-130.66299670000001</v>
      </c>
      <c r="BK292" s="84">
        <f t="shared" si="2075"/>
        <v>-95.97718874428287</v>
      </c>
      <c r="BL292" s="84">
        <f t="shared" si="2075"/>
        <v>-176.15260376063532</v>
      </c>
      <c r="BM292" s="84">
        <f t="shared" ref="BM292:BN292" si="2076">BM219*BM$249</f>
        <v>-102.93332360978245</v>
      </c>
      <c r="BN292" s="84">
        <f t="shared" si="2076"/>
        <v>-124.83795459241657</v>
      </c>
      <c r="BO292" s="84">
        <f t="shared" ref="BO292:BR292" si="2077">BO219*BO$249</f>
        <v>-84.155914011734666</v>
      </c>
      <c r="BP292" s="84">
        <f t="shared" si="2077"/>
        <v>-205.69509002271835</v>
      </c>
      <c r="BQ292" s="84">
        <f t="shared" si="2077"/>
        <v>-184.7528993986862</v>
      </c>
      <c r="BR292" s="84">
        <f t="shared" si="2077"/>
        <v>-185.23589815804223</v>
      </c>
      <c r="BW292" s="39"/>
      <c r="BX292" s="39"/>
    </row>
    <row r="293" spans="2:76" s="5" customFormat="1" ht="13.5" customHeight="1" thickBot="1">
      <c r="B293" s="24" t="str">
        <f t="shared" si="1965"/>
        <v xml:space="preserve">Free cash flow </v>
      </c>
      <c r="C293" s="85">
        <f t="shared" ref="C293:AB293" si="2078">C220*C$249</f>
        <v>104.60005712000007</v>
      </c>
      <c r="D293" s="85">
        <f t="shared" si="2078"/>
        <v>181.93746056999993</v>
      </c>
      <c r="E293" s="85">
        <f t="shared" si="2078"/>
        <v>-114.43981079999998</v>
      </c>
      <c r="F293" s="85">
        <f t="shared" si="2078"/>
        <v>-432.71514646049991</v>
      </c>
      <c r="G293" s="85">
        <f t="shared" si="1967"/>
        <v>-372.96929880000005</v>
      </c>
      <c r="H293" s="85">
        <f t="shared" si="1968"/>
        <v>-145.58119988569317</v>
      </c>
      <c r="I293" s="85">
        <f t="shared" si="1968"/>
        <v>245.45371193689448</v>
      </c>
      <c r="J293" s="85">
        <f t="shared" si="1969"/>
        <v>-1349.870069959698</v>
      </c>
      <c r="K293" s="85">
        <f t="shared" si="1969"/>
        <v>-580.14407877130577</v>
      </c>
      <c r="L293" s="85">
        <f t="shared" si="1970"/>
        <v>205.72068750934633</v>
      </c>
      <c r="M293" s="85">
        <f t="shared" ref="M293:O293" si="2079">M220*M$249</f>
        <v>-452.4536252662939</v>
      </c>
      <c r="N293" s="85">
        <f t="shared" ref="N293" si="2080">N220*N$249</f>
        <v>-556.38381869604814</v>
      </c>
      <c r="O293" s="85">
        <f t="shared" si="2079"/>
        <v>37.176683569451235</v>
      </c>
      <c r="P293" s="85">
        <f t="shared" ref="P293:Q293" si="2081">P220*P$249</f>
        <v>48.640730785609044</v>
      </c>
      <c r="Q293" s="85">
        <f t="shared" si="2081"/>
        <v>-524.93307841322974</v>
      </c>
      <c r="R293" s="85">
        <f t="shared" ref="R293" si="2082">R220*R$249</f>
        <v>-656.25439949593249</v>
      </c>
      <c r="S293" s="286"/>
      <c r="T293" s="85">
        <f t="shared" si="2078"/>
        <v>79.161516070000005</v>
      </c>
      <c r="U293" s="85">
        <f t="shared" si="2078"/>
        <v>-4.4328416099999979</v>
      </c>
      <c r="V293" s="85">
        <f t="shared" si="2078"/>
        <v>17.453244049999991</v>
      </c>
      <c r="W293" s="85">
        <f t="shared" si="2078"/>
        <v>-187.81985801999994</v>
      </c>
      <c r="X293" s="85">
        <f t="shared" si="2078"/>
        <v>-187.61192991000001</v>
      </c>
      <c r="Y293" s="85">
        <f t="shared" si="2078"/>
        <v>-186.57955885000004</v>
      </c>
      <c r="Z293" s="85">
        <f t="shared" si="2078"/>
        <v>-114.98199835999984</v>
      </c>
      <c r="AA293" s="85">
        <f t="shared" si="2078"/>
        <v>49.494696929999975</v>
      </c>
      <c r="AB293" s="85">
        <f t="shared" si="2078"/>
        <v>-107.32100520000003</v>
      </c>
      <c r="AC293" s="85">
        <f t="shared" si="1975"/>
        <v>-260.52517153000002</v>
      </c>
      <c r="AD293" s="85">
        <f t="shared" si="1975"/>
        <v>-275.24667484000008</v>
      </c>
      <c r="AE293" s="85">
        <f t="shared" si="1975"/>
        <v>231.31073482000011</v>
      </c>
      <c r="AF293" s="85">
        <f t="shared" si="1975"/>
        <v>-51.844981760000024</v>
      </c>
      <c r="AG293" s="85">
        <f t="shared" si="1976"/>
        <v>92.300774170000096</v>
      </c>
      <c r="AH293" s="85">
        <f t="shared" si="1976"/>
        <v>-256.19638696000021</v>
      </c>
      <c r="AI293" s="85">
        <f t="shared" si="1976"/>
        <v>54.99235152717317</v>
      </c>
      <c r="AJ293" s="85">
        <f t="shared" si="1976"/>
        <v>25.871194226262688</v>
      </c>
      <c r="AK293" s="85">
        <f t="shared" si="1977"/>
        <v>362.02371734100007</v>
      </c>
      <c r="AL293" s="85">
        <f t="shared" si="1977"/>
        <v>165.64295300000003</v>
      </c>
      <c r="AM293" s="85">
        <f t="shared" si="1977"/>
        <v>-299.73200789999999</v>
      </c>
      <c r="AN293" s="85">
        <f t="shared" si="1977"/>
        <v>-386.20271572474996</v>
      </c>
      <c r="AO293" s="85">
        <f t="shared" si="1978"/>
        <v>-638.57684839857404</v>
      </c>
      <c r="AP293" s="85">
        <f t="shared" si="1978"/>
        <v>43.516993519999978</v>
      </c>
      <c r="AQ293" s="85">
        <f t="shared" si="1978"/>
        <v>-447.48093902294011</v>
      </c>
      <c r="AR293" s="85">
        <f t="shared" si="1978"/>
        <v>-246.23896985913996</v>
      </c>
      <c r="AS293" s="85">
        <f t="shared" ref="AS293:AU293" si="2083">AS220*AS$249</f>
        <v>-435.15819688967298</v>
      </c>
      <c r="AT293" s="85">
        <f t="shared" si="2083"/>
        <v>90.188594731387596</v>
      </c>
      <c r="AU293" s="85">
        <f t="shared" si="2083"/>
        <v>-41.23134352830602</v>
      </c>
      <c r="AV293" s="85">
        <f t="shared" ref="AV293:AX293" si="2084">AV220*AV$249</f>
        <v>-412.74420000000003</v>
      </c>
      <c r="AW293" s="85">
        <f t="shared" si="2084"/>
        <v>-503.00150865567309</v>
      </c>
      <c r="AX293" s="85">
        <f t="shared" si="2084"/>
        <v>-260.76171328606137</v>
      </c>
      <c r="AY293" s="85">
        <f t="shared" ref="AY293:BB293" si="2085">AY220*AY$249</f>
        <v>657.64451269995868</v>
      </c>
      <c r="AZ293" s="85">
        <f t="shared" si="2085"/>
        <v>49.571624134724651</v>
      </c>
      <c r="BA293" s="85">
        <f t="shared" si="2085"/>
        <v>-80.416772286899572</v>
      </c>
      <c r="BB293" s="85">
        <f t="shared" si="2085"/>
        <v>-469.32032922252972</v>
      </c>
      <c r="BC293" s="85">
        <f t="shared" ref="BC293:BF293" si="2086">BC220*BC$249</f>
        <v>521.53248137549087</v>
      </c>
      <c r="BD293" s="85">
        <f t="shared" si="2086"/>
        <v>-451.17414798063885</v>
      </c>
      <c r="BE293" s="85">
        <f t="shared" si="2086"/>
        <v>-577.70895828443361</v>
      </c>
      <c r="BF293" s="85">
        <f t="shared" si="2086"/>
        <v>13.717087116317785</v>
      </c>
      <c r="BG293" s="85">
        <f t="shared" ref="BG293:BH293" si="2087">BG220*BG$249</f>
        <v>405.74319055278681</v>
      </c>
      <c r="BH293" s="85">
        <f t="shared" si="2087"/>
        <v>-594.4911629653559</v>
      </c>
      <c r="BJ293" s="85">
        <f t="shared" ref="BJ293:BL293" si="2088">BJ220*BJ$249</f>
        <v>-297.39716790000006</v>
      </c>
      <c r="BK293" s="85">
        <f t="shared" si="2088"/>
        <v>-421.87216530282933</v>
      </c>
      <c r="BL293" s="85">
        <f t="shared" si="2088"/>
        <v>187.90818857635225</v>
      </c>
      <c r="BM293" s="85">
        <f t="shared" ref="BM293:BN293" si="2089">BM220*BM$249</f>
        <v>-120.39105833701535</v>
      </c>
      <c r="BN293" s="85">
        <f t="shared" si="2089"/>
        <v>90.579863622275028</v>
      </c>
      <c r="BO293" s="85">
        <f t="shared" ref="BO293:BR293" si="2090">BO220*BO$249</f>
        <v>-140.83168977946491</v>
      </c>
      <c r="BP293" s="85">
        <f t="shared" si="2090"/>
        <v>-591.16230957306755</v>
      </c>
      <c r="BQ293" s="85">
        <f t="shared" si="2090"/>
        <v>670.4522598510041</v>
      </c>
      <c r="BR293" s="85">
        <f t="shared" si="2090"/>
        <v>-581.08830407903486</v>
      </c>
      <c r="BT293" s="1"/>
      <c r="BU293" s="1"/>
      <c r="BW293" s="39"/>
      <c r="BX293" s="39"/>
    </row>
    <row r="294" spans="2:76" ht="13.5" customHeight="1" thickTop="1">
      <c r="B294" s="118" t="str">
        <f t="shared" si="1965"/>
        <v>Other investing activities</v>
      </c>
      <c r="C294" s="119">
        <f t="shared" ref="C294:AB294" si="2091">C221*C$249</f>
        <v>0</v>
      </c>
      <c r="D294" s="119">
        <f t="shared" si="2091"/>
        <v>0</v>
      </c>
      <c r="E294" s="119">
        <f t="shared" si="2091"/>
        <v>185.33750759999998</v>
      </c>
      <c r="F294" s="119">
        <f t="shared" si="2091"/>
        <v>-5.2175343229999998</v>
      </c>
      <c r="G294" s="119">
        <f t="shared" si="1967"/>
        <v>-10.583182799999999</v>
      </c>
      <c r="H294" s="119">
        <f t="shared" si="1968"/>
        <v>-28.187732185782245</v>
      </c>
      <c r="I294" s="119">
        <f t="shared" si="1968"/>
        <v>37.436747482455829</v>
      </c>
      <c r="J294" s="119">
        <f t="shared" si="1969"/>
        <v>19.572243624317995</v>
      </c>
      <c r="K294" s="119">
        <f t="shared" si="1969"/>
        <v>-19.561478293871353</v>
      </c>
      <c r="L294" s="119">
        <f t="shared" si="1970"/>
        <v>-33.731858161549169</v>
      </c>
      <c r="M294" s="119">
        <f t="shared" ref="M294:O294" si="2092">M221*M$249</f>
        <v>-0.53002232470977928</v>
      </c>
      <c r="N294" s="119">
        <f t="shared" ref="N294" si="2093">N221*N$249</f>
        <v>-0.76525644426980577</v>
      </c>
      <c r="O294" s="119">
        <f t="shared" si="2092"/>
        <v>-20.48849735366689</v>
      </c>
      <c r="P294" s="119">
        <f t="shared" ref="P294:Q294" si="2094">P221*P$249</f>
        <v>-26.817478698921146</v>
      </c>
      <c r="Q294" s="119">
        <f t="shared" si="2094"/>
        <v>-13.595082637763877</v>
      </c>
      <c r="R294" s="119">
        <f t="shared" ref="R294" si="2095">R221*R$249</f>
        <v>-9.0533947941548352</v>
      </c>
      <c r="S294" s="73"/>
      <c r="T294" s="119">
        <f t="shared" si="2091"/>
        <v>0</v>
      </c>
      <c r="U294" s="119">
        <f t="shared" si="2091"/>
        <v>192.82809222</v>
      </c>
      <c r="V294" s="119">
        <f t="shared" si="2091"/>
        <v>0</v>
      </c>
      <c r="W294" s="119">
        <f t="shared" si="2091"/>
        <v>0</v>
      </c>
      <c r="X294" s="119">
        <f t="shared" si="2091"/>
        <v>0</v>
      </c>
      <c r="Y294" s="119">
        <f t="shared" si="2091"/>
        <v>0</v>
      </c>
      <c r="Z294" s="119">
        <f t="shared" si="2091"/>
        <v>0</v>
      </c>
      <c r="AA294" s="119">
        <f t="shared" si="2091"/>
        <v>-5.0011870519999988</v>
      </c>
      <c r="AB294" s="119">
        <f t="shared" si="2091"/>
        <v>0</v>
      </c>
      <c r="AC294" s="119">
        <f t="shared" si="1975"/>
        <v>0</v>
      </c>
      <c r="AD294" s="119">
        <f t="shared" si="1975"/>
        <v>0</v>
      </c>
      <c r="AE294" s="119">
        <f t="shared" si="1975"/>
        <v>-8.7822103899999995</v>
      </c>
      <c r="AF294" s="119">
        <f t="shared" si="1975"/>
        <v>0</v>
      </c>
      <c r="AG294" s="119">
        <f t="shared" si="1976"/>
        <v>-19.165467200000002</v>
      </c>
      <c r="AH294" s="119">
        <f t="shared" si="1976"/>
        <v>0</v>
      </c>
      <c r="AI294" s="119">
        <f t="shared" si="1976"/>
        <v>-9.2800349644472089</v>
      </c>
      <c r="AJ294" s="119">
        <f t="shared" si="1976"/>
        <v>0</v>
      </c>
      <c r="AK294" s="119">
        <f t="shared" si="1977"/>
        <v>-5.1342344040000008</v>
      </c>
      <c r="AL294" s="119">
        <f t="shared" si="1977"/>
        <v>0</v>
      </c>
      <c r="AM294" s="119">
        <f t="shared" si="1977"/>
        <v>36.518522759999996</v>
      </c>
      <c r="AN294" s="119">
        <f t="shared" si="1977"/>
        <v>0</v>
      </c>
      <c r="AO294" s="119">
        <f t="shared" si="1978"/>
        <v>0</v>
      </c>
      <c r="AP294" s="119">
        <f t="shared" si="1978"/>
        <v>0</v>
      </c>
      <c r="AQ294" s="119">
        <f t="shared" si="1978"/>
        <v>17.453715014317996</v>
      </c>
      <c r="AR294" s="119">
        <f t="shared" si="1978"/>
        <v>0</v>
      </c>
      <c r="AS294" s="119">
        <f t="shared" ref="AS294:AU294" si="2096">AS221*AS$249</f>
        <v>-0.65518439236537152</v>
      </c>
      <c r="AT294" s="119">
        <f t="shared" si="2096"/>
        <v>-0.102406410117268</v>
      </c>
      <c r="AU294" s="119">
        <f t="shared" si="2096"/>
        <v>-16.414810615970396</v>
      </c>
      <c r="AV294" s="119">
        <f t="shared" ref="AV294:AX294" si="2097">AV221*AV$249</f>
        <v>0</v>
      </c>
      <c r="AW294" s="119">
        <f t="shared" si="2097"/>
        <v>-0.20782209321200432</v>
      </c>
      <c r="AX294" s="119">
        <f t="shared" si="2097"/>
        <v>-0.12223370248383958</v>
      </c>
      <c r="AY294" s="119">
        <f t="shared" ref="AY294:BB294" si="2098">AY221*AY$249</f>
        <v>-0.17588187601614685</v>
      </c>
      <c r="AZ294" s="119">
        <f t="shared" si="2098"/>
        <v>0.48568421324516997</v>
      </c>
      <c r="BA294" s="119">
        <f t="shared" si="2098"/>
        <v>-0.14000605899482524</v>
      </c>
      <c r="BB294" s="119">
        <f t="shared" si="2098"/>
        <v>-8.9201751793438713E-2</v>
      </c>
      <c r="BC294" s="119">
        <f t="shared" ref="BC294:BF294" si="2099">BC221*BC$249</f>
        <v>-19.672492498059345</v>
      </c>
      <c r="BD294" s="119">
        <f t="shared" si="2099"/>
        <v>-12.363399407458948</v>
      </c>
      <c r="BE294" s="119">
        <f t="shared" si="2099"/>
        <v>17.427398200140832</v>
      </c>
      <c r="BF294" s="119">
        <f t="shared" si="2099"/>
        <v>-5.9118514577413146</v>
      </c>
      <c r="BG294" s="119">
        <f t="shared" ref="BG294:BH294" si="2100">BG221*BG$249</f>
        <v>-12.200555417179755</v>
      </c>
      <c r="BH294" s="119">
        <f t="shared" si="2100"/>
        <v>-7.406845975221513</v>
      </c>
      <c r="BJ294" s="119">
        <f t="shared" ref="BJ294:BL294" si="2101">BJ221*BJ$249</f>
        <v>0</v>
      </c>
      <c r="BK294" s="119">
        <f t="shared" si="2101"/>
        <v>-0.24339008297606204</v>
      </c>
      <c r="BL294" s="119">
        <f t="shared" si="2101"/>
        <v>-0.22540685508387018</v>
      </c>
      <c r="BM294" s="119">
        <f t="shared" ref="BM294:BN294" si="2102">BM221*BM$249</f>
        <v>-0.24859401744233434</v>
      </c>
      <c r="BN294" s="119">
        <f t="shared" si="2102"/>
        <v>-18.100591486723832</v>
      </c>
      <c r="BO294" s="119">
        <f t="shared" ref="BO294:BR294" si="2103">BO221*BO$249</f>
        <v>22.242044477968136</v>
      </c>
      <c r="BP294" s="119">
        <f t="shared" si="2103"/>
        <v>-4.4434592845350815</v>
      </c>
      <c r="BQ294" s="119">
        <f t="shared" si="2103"/>
        <v>-25.754596748965948</v>
      </c>
      <c r="BR294" s="119">
        <f t="shared" si="2103"/>
        <v>-16.17943556737324</v>
      </c>
      <c r="BW294" s="39"/>
      <c r="BX294" s="39"/>
    </row>
    <row r="295" spans="2:76" ht="13.5" customHeight="1">
      <c r="B295" s="1" t="str">
        <f t="shared" si="1965"/>
        <v>Equity Issuance/Buyback</v>
      </c>
      <c r="C295" s="89">
        <f t="shared" ref="C295:AB295" si="2104">C222*C$249</f>
        <v>0</v>
      </c>
      <c r="D295" s="89">
        <f t="shared" si="2104"/>
        <v>-104.05892007999999</v>
      </c>
      <c r="E295" s="89">
        <f t="shared" si="2104"/>
        <v>0</v>
      </c>
      <c r="F295" s="89">
        <f t="shared" si="2104"/>
        <v>0</v>
      </c>
      <c r="G295" s="89">
        <f t="shared" si="1967"/>
        <v>0</v>
      </c>
      <c r="H295" s="89">
        <f t="shared" si="1968"/>
        <v>0</v>
      </c>
      <c r="I295" s="89">
        <f t="shared" si="1968"/>
        <v>0</v>
      </c>
      <c r="J295" s="89">
        <f t="shared" si="1969"/>
        <v>-127.879624193412</v>
      </c>
      <c r="K295" s="89">
        <f t="shared" si="1969"/>
        <v>-116.11075768769736</v>
      </c>
      <c r="L295" s="89">
        <f t="shared" si="1970"/>
        <v>-252.20781153458964</v>
      </c>
      <c r="M295" s="89">
        <f t="shared" ref="M295:O295" si="2105">M222*M$249</f>
        <v>0</v>
      </c>
      <c r="N295" s="89">
        <f t="shared" ref="N295" si="2106">N222*N$249</f>
        <v>0</v>
      </c>
      <c r="O295" s="89">
        <f t="shared" si="2105"/>
        <v>0</v>
      </c>
      <c r="P295" s="89">
        <f t="shared" ref="P295:Q295" si="2107">P222*P$249</f>
        <v>0</v>
      </c>
      <c r="Q295" s="89">
        <f t="shared" si="2107"/>
        <v>135.20785683696761</v>
      </c>
      <c r="R295" s="89">
        <f t="shared" ref="R295" si="2108">R222*R$249</f>
        <v>135.20785683696758</v>
      </c>
      <c r="S295" s="73"/>
      <c r="T295" s="89">
        <f t="shared" si="2104"/>
        <v>0</v>
      </c>
      <c r="U295" s="89">
        <f t="shared" si="2104"/>
        <v>0</v>
      </c>
      <c r="V295" s="89">
        <f t="shared" si="2104"/>
        <v>0</v>
      </c>
      <c r="W295" s="89">
        <f t="shared" si="2104"/>
        <v>0</v>
      </c>
      <c r="X295" s="89">
        <f t="shared" si="2104"/>
        <v>0</v>
      </c>
      <c r="Y295" s="89">
        <f t="shared" si="2104"/>
        <v>0</v>
      </c>
      <c r="Z295" s="89">
        <f t="shared" si="2104"/>
        <v>0</v>
      </c>
      <c r="AA295" s="89">
        <f t="shared" si="2104"/>
        <v>0</v>
      </c>
      <c r="AB295" s="89">
        <f t="shared" si="2104"/>
        <v>0</v>
      </c>
      <c r="AC295" s="89">
        <f t="shared" si="1975"/>
        <v>0</v>
      </c>
      <c r="AD295" s="89">
        <f t="shared" si="1975"/>
        <v>0</v>
      </c>
      <c r="AE295" s="89">
        <f t="shared" si="1975"/>
        <v>0</v>
      </c>
      <c r="AF295" s="89">
        <f t="shared" si="1975"/>
        <v>0</v>
      </c>
      <c r="AG295" s="89">
        <f t="shared" si="1976"/>
        <v>0</v>
      </c>
      <c r="AH295" s="89">
        <f t="shared" si="1976"/>
        <v>0</v>
      </c>
      <c r="AI295" s="89">
        <f t="shared" si="1976"/>
        <v>0</v>
      </c>
      <c r="AJ295" s="89">
        <f t="shared" si="1976"/>
        <v>0</v>
      </c>
      <c r="AK295" s="89">
        <f t="shared" si="1977"/>
        <v>0</v>
      </c>
      <c r="AL295" s="89">
        <f t="shared" si="1977"/>
        <v>0</v>
      </c>
      <c r="AM295" s="89">
        <f t="shared" si="1977"/>
        <v>0</v>
      </c>
      <c r="AN295" s="89">
        <f t="shared" si="1977"/>
        <v>0</v>
      </c>
      <c r="AO295" s="89">
        <f t="shared" si="1978"/>
        <v>0</v>
      </c>
      <c r="AP295" s="89">
        <f t="shared" si="1978"/>
        <v>0</v>
      </c>
      <c r="AQ295" s="89">
        <f t="shared" si="1978"/>
        <v>-114.03774445341202</v>
      </c>
      <c r="AR295" s="89">
        <f t="shared" si="1978"/>
        <v>-76.410338848593241</v>
      </c>
      <c r="AS295" s="89">
        <f t="shared" ref="AS295:AU295" si="2109">AS222*AS$249</f>
        <v>-45.936339937116571</v>
      </c>
      <c r="AT295" s="89">
        <f t="shared" si="2109"/>
        <v>101.74813212313624</v>
      </c>
      <c r="AU295" s="89">
        <f t="shared" si="2109"/>
        <v>-101.26717174612216</v>
      </c>
      <c r="AV295" s="89">
        <f t="shared" ref="AV295:AX295" si="2110">AV222*AV$249</f>
        <v>0</v>
      </c>
      <c r="AW295" s="89">
        <f t="shared" si="2110"/>
        <v>0</v>
      </c>
      <c r="AX295" s="89">
        <f t="shared" si="2110"/>
        <v>0</v>
      </c>
      <c r="AY295" s="89">
        <f t="shared" ref="AY295:BB295" si="2111">AY222*AY$249</f>
        <v>0</v>
      </c>
      <c r="AZ295" s="89">
        <f t="shared" si="2111"/>
        <v>0</v>
      </c>
      <c r="BA295" s="89">
        <f t="shared" si="2111"/>
        <v>0</v>
      </c>
      <c r="BB295" s="89">
        <f t="shared" si="2111"/>
        <v>0</v>
      </c>
      <c r="BC295" s="89">
        <f t="shared" ref="BC295:BF295" si="2112">BC222*BC$249</f>
        <v>0</v>
      </c>
      <c r="BD295" s="89">
        <f t="shared" si="2112"/>
        <v>0</v>
      </c>
      <c r="BE295" s="89">
        <f t="shared" si="2112"/>
        <v>3.7708313450968149</v>
      </c>
      <c r="BF295" s="89">
        <f t="shared" si="2112"/>
        <v>0.26899133765020594</v>
      </c>
      <c r="BG295" s="89">
        <f t="shared" ref="BG295:BH295" si="2113">BG222*BG$249</f>
        <v>120.74269007209246</v>
      </c>
      <c r="BH295" s="89">
        <f t="shared" si="2113"/>
        <v>0</v>
      </c>
      <c r="BJ295" s="89">
        <f t="shared" ref="BJ295:BL295" si="2114">BJ222*BJ$249</f>
        <v>0</v>
      </c>
      <c r="BK295" s="89">
        <f t="shared" si="2114"/>
        <v>0</v>
      </c>
      <c r="BL295" s="89">
        <f t="shared" si="2114"/>
        <v>0</v>
      </c>
      <c r="BM295" s="89">
        <f t="shared" ref="BM295:BN295" si="2115">BM222*BM$249</f>
        <v>0</v>
      </c>
      <c r="BN295" s="89">
        <f t="shared" si="2115"/>
        <v>0</v>
      </c>
      <c r="BO295" s="89">
        <f t="shared" ref="BO295:BR295" si="2116">BO222*BO$249</f>
        <v>0</v>
      </c>
      <c r="BP295" s="89">
        <f t="shared" si="2116"/>
        <v>0</v>
      </c>
      <c r="BQ295" s="89">
        <f t="shared" si="2116"/>
        <v>0</v>
      </c>
      <c r="BR295" s="89">
        <f t="shared" si="2116"/>
        <v>0</v>
      </c>
      <c r="BW295" s="39"/>
      <c r="BX295" s="39"/>
    </row>
    <row r="296" spans="2:76" s="5" customFormat="1" ht="13.5" customHeight="1">
      <c r="B296" s="1" t="str">
        <f t="shared" si="1965"/>
        <v xml:space="preserve">Dividends received  / Dividends Paid </v>
      </c>
      <c r="C296" s="89">
        <f t="shared" ref="C296:AB296" si="2117">C223*C$249</f>
        <v>-149.52230571999999</v>
      </c>
      <c r="D296" s="89">
        <f t="shared" si="2117"/>
        <v>-120.16972425</v>
      </c>
      <c r="E296" s="89">
        <f t="shared" si="2117"/>
        <v>-82.681573799999995</v>
      </c>
      <c r="F296" s="89">
        <f t="shared" si="2117"/>
        <v>-113.105336726</v>
      </c>
      <c r="G296" s="89">
        <f t="shared" si="1967"/>
        <v>-89.795098800000005</v>
      </c>
      <c r="H296" s="89">
        <f t="shared" si="1968"/>
        <v>0</v>
      </c>
      <c r="I296" s="89">
        <f t="shared" si="1968"/>
        <v>-4.2153886606102624</v>
      </c>
      <c r="J296" s="89">
        <f t="shared" si="1969"/>
        <v>-158.02198847462998</v>
      </c>
      <c r="K296" s="89">
        <f t="shared" si="1969"/>
        <v>-101.96313261640572</v>
      </c>
      <c r="L296" s="89">
        <f t="shared" si="1970"/>
        <v>-217.93310656386015</v>
      </c>
      <c r="M296" s="89">
        <f t="shared" ref="M296:O296" si="2118">M223*M$249</f>
        <v>-144.76721614100362</v>
      </c>
      <c r="N296" s="89">
        <f t="shared" ref="N296" si="2119">N223*N$249</f>
        <v>-209.01306115646858</v>
      </c>
      <c r="O296" s="89">
        <f t="shared" si="2118"/>
        <v>-32.63535721138075</v>
      </c>
      <c r="P296" s="89">
        <f t="shared" ref="P296:Q296" si="2120">P223*P$249</f>
        <v>-42.717520247984154</v>
      </c>
      <c r="Q296" s="89">
        <f t="shared" si="2120"/>
        <v>-22.40195099984421</v>
      </c>
      <c r="R296" s="89">
        <f t="shared" ref="R296" si="2121">R223*R$249</f>
        <v>-22.064419274648603</v>
      </c>
      <c r="S296" s="73"/>
      <c r="T296" s="89">
        <f t="shared" si="2117"/>
        <v>4.3366575000000003</v>
      </c>
      <c r="U296" s="89">
        <f t="shared" si="2117"/>
        <v>-90.42465261000001</v>
      </c>
      <c r="V296" s="89">
        <f t="shared" si="2117"/>
        <v>9.5823793344607113E-15</v>
      </c>
      <c r="W296" s="89">
        <f t="shared" si="2117"/>
        <v>0</v>
      </c>
      <c r="X296" s="89">
        <f t="shared" si="2117"/>
        <v>3.5430254500000005</v>
      </c>
      <c r="Y296" s="89">
        <f t="shared" si="2117"/>
        <v>-118.80824627000001</v>
      </c>
      <c r="Z296" s="89">
        <f t="shared" si="2117"/>
        <v>-6.0695981574099277E-15</v>
      </c>
      <c r="AA296" s="89">
        <f t="shared" si="2117"/>
        <v>-2.6845651999993534E-2</v>
      </c>
      <c r="AB296" s="89">
        <f t="shared" si="2117"/>
        <v>-107.1092688</v>
      </c>
      <c r="AC296" s="89">
        <f t="shared" si="1975"/>
        <v>0</v>
      </c>
      <c r="AD296" s="89">
        <f t="shared" si="1975"/>
        <v>0</v>
      </c>
      <c r="AE296" s="89">
        <f t="shared" si="1975"/>
        <v>-3.0432410000005471E-2</v>
      </c>
      <c r="AF296" s="89">
        <f t="shared" si="1975"/>
        <v>0</v>
      </c>
      <c r="AG296" s="89">
        <f t="shared" si="1976"/>
        <v>-100.07566987</v>
      </c>
      <c r="AH296" s="89">
        <f t="shared" si="1976"/>
        <v>103.51156792</v>
      </c>
      <c r="AI296" s="89">
        <f t="shared" si="1976"/>
        <v>0</v>
      </c>
      <c r="AJ296" s="89">
        <f t="shared" si="1976"/>
        <v>0</v>
      </c>
      <c r="AK296" s="89">
        <f t="shared" si="1977"/>
        <v>-89.066024931000001</v>
      </c>
      <c r="AL296" s="89">
        <f t="shared" si="1977"/>
        <v>-50.291012000000016</v>
      </c>
      <c r="AM296" s="89">
        <f t="shared" si="1977"/>
        <v>125.42067605999999</v>
      </c>
      <c r="AN296" s="89">
        <f t="shared" si="1977"/>
        <v>-192.35565909063365</v>
      </c>
      <c r="AO296" s="89">
        <f t="shared" si="1978"/>
        <v>-0.24237067171277102</v>
      </c>
      <c r="AP296" s="89">
        <f t="shared" si="1978"/>
        <v>0</v>
      </c>
      <c r="AQ296" s="89">
        <f t="shared" si="1978"/>
        <v>3.2092487244009218E-2</v>
      </c>
      <c r="AR296" s="89">
        <f t="shared" si="1978"/>
        <v>-95.24569954150536</v>
      </c>
      <c r="AS296" s="89">
        <f t="shared" ref="AS296:AU296" si="2122">AS223*AS$249</f>
        <v>-4.8069088269938653</v>
      </c>
      <c r="AT296" s="89">
        <f t="shared" si="2122"/>
        <v>-13.468269577646909</v>
      </c>
      <c r="AU296" s="89">
        <f t="shared" si="2122"/>
        <v>-0.72880971755802204</v>
      </c>
      <c r="AV296" s="89">
        <f t="shared" ref="AV296:AX296" si="2123">AV223*AV$249</f>
        <v>0.88439999999999996</v>
      </c>
      <c r="AW296" s="89">
        <f t="shared" si="2123"/>
        <v>-19.109415730122507</v>
      </c>
      <c r="AX296" s="89">
        <f t="shared" si="2123"/>
        <v>-64.433424222191562</v>
      </c>
      <c r="AY296" s="89">
        <f t="shared" ref="AY296:BB296" si="2124">AY223*AY$249</f>
        <v>-46.884831689624242</v>
      </c>
      <c r="AZ296" s="89">
        <f t="shared" si="2124"/>
        <v>1.452661690257258</v>
      </c>
      <c r="BA296" s="89">
        <f t="shared" si="2124"/>
        <v>7.9292457787972212E-2</v>
      </c>
      <c r="BB296" s="89">
        <f t="shared" si="2124"/>
        <v>-25.45456173818032</v>
      </c>
      <c r="BC296" s="89">
        <f t="shared" ref="BC296:BF296" si="2125">BC223*BC$249</f>
        <v>-7.6687212522158221</v>
      </c>
      <c r="BD296" s="89">
        <f t="shared" si="2125"/>
        <v>-0.36836394059127087</v>
      </c>
      <c r="BE296" s="89">
        <f t="shared" si="2125"/>
        <v>-5.0055326711323529</v>
      </c>
      <c r="BF296" s="89">
        <f t="shared" si="2125"/>
        <v>-2.2324491181958392</v>
      </c>
      <c r="BG296" s="89">
        <f t="shared" ref="BG296:BH296" si="2126">BG223*BG$249</f>
        <v>-13.663937688989657</v>
      </c>
      <c r="BH296" s="89">
        <f t="shared" si="2126"/>
        <v>0</v>
      </c>
      <c r="BJ296" s="89">
        <f t="shared" ref="BJ296:BL296" si="2127">BJ223*BJ$249</f>
        <v>1.4704183</v>
      </c>
      <c r="BK296" s="89">
        <f t="shared" si="2127"/>
        <v>0.11324466002730858</v>
      </c>
      <c r="BL296" s="89">
        <f t="shared" si="2127"/>
        <v>-154.04848317561448</v>
      </c>
      <c r="BM296" s="89">
        <f t="shared" ref="BM296:BN296" si="2128">BM223*BM$249</f>
        <v>-22.579843937008505</v>
      </c>
      <c r="BN296" s="89">
        <f t="shared" si="2128"/>
        <v>2.0061796156627749</v>
      </c>
      <c r="BO296" s="89">
        <f t="shared" ref="BO296:BR296" si="2129">BO223*BO$249</f>
        <v>-26.652899970941554</v>
      </c>
      <c r="BP296" s="89">
        <f t="shared" si="2129"/>
        <v>-8.1528848766012558</v>
      </c>
      <c r="BQ296" s="89">
        <f t="shared" si="2129"/>
        <v>-9.4780213414280965</v>
      </c>
      <c r="BR296" s="89">
        <f t="shared" si="2129"/>
        <v>-0.48206776394445683</v>
      </c>
      <c r="BT296" s="1"/>
      <c r="BU296" s="1"/>
      <c r="BW296" s="39"/>
      <c r="BX296" s="39"/>
    </row>
    <row r="297" spans="2:76" ht="13.5" customHeight="1">
      <c r="B297" s="1" t="str">
        <f t="shared" si="1965"/>
        <v>Change in debt</v>
      </c>
      <c r="C297" s="89">
        <f t="shared" ref="C297:AB297" si="2130">C224*C$249</f>
        <v>214.59060107999997</v>
      </c>
      <c r="D297" s="86">
        <f t="shared" si="2130"/>
        <v>84.895589090000101</v>
      </c>
      <c r="E297" s="86">
        <f t="shared" si="2130"/>
        <v>-145.87719719999998</v>
      </c>
      <c r="F297" s="86">
        <f t="shared" si="2130"/>
        <v>358.39342661983335</v>
      </c>
      <c r="G297" s="86">
        <f t="shared" si="1967"/>
        <v>716.00470199999984</v>
      </c>
      <c r="H297" s="86">
        <f t="shared" si="1968"/>
        <v>197.07777908520904</v>
      </c>
      <c r="I297" s="86">
        <f t="shared" si="1968"/>
        <v>45.923707160114418</v>
      </c>
      <c r="J297" s="86">
        <f t="shared" si="1969"/>
        <v>945.52238956186193</v>
      </c>
      <c r="K297" s="86">
        <f t="shared" si="1969"/>
        <v>655.48557960263759</v>
      </c>
      <c r="L297" s="86">
        <f t="shared" si="1970"/>
        <v>1370.8786181430603</v>
      </c>
      <c r="M297" s="86">
        <f t="shared" ref="M297:O297" si="2131">M224*M$249</f>
        <v>1682.0258474664843</v>
      </c>
      <c r="N297" s="86">
        <f t="shared" ref="N297" si="2132">N224*N$249</f>
        <v>2278.8407450915843</v>
      </c>
      <c r="O297" s="86">
        <f t="shared" si="2131"/>
        <v>643.93319701239261</v>
      </c>
      <c r="P297" s="86">
        <f t="shared" ref="P297:Q297" si="2133">P224*P$249</f>
        <v>842.85917823746604</v>
      </c>
      <c r="Q297" s="86">
        <f t="shared" si="2133"/>
        <v>1410.5311897103306</v>
      </c>
      <c r="R297" s="86">
        <f t="shared" ref="R297" si="2134">R224*R$249</f>
        <v>1416.6036235227209</v>
      </c>
      <c r="S297" s="73"/>
      <c r="T297" s="86">
        <f t="shared" si="2130"/>
        <v>44.370978889999989</v>
      </c>
      <c r="U297" s="86">
        <f t="shared" si="2130"/>
        <v>-156.95870196000001</v>
      </c>
      <c r="V297" s="86">
        <f t="shared" si="2130"/>
        <v>-12.498150500000017</v>
      </c>
      <c r="W297" s="86">
        <f t="shared" si="2130"/>
        <v>-23.870327819999961</v>
      </c>
      <c r="X297" s="86">
        <f t="shared" si="2130"/>
        <v>252.83554904999997</v>
      </c>
      <c r="Y297" s="86">
        <f t="shared" si="2130"/>
        <v>23.770764540000037</v>
      </c>
      <c r="Z297" s="86">
        <f t="shared" si="2130"/>
        <v>31.937292620000001</v>
      </c>
      <c r="AA297" s="86">
        <f t="shared" si="2130"/>
        <v>45.876850533999985</v>
      </c>
      <c r="AB297" s="86">
        <f t="shared" si="2130"/>
        <v>174.69851505000003</v>
      </c>
      <c r="AC297" s="86">
        <f t="shared" si="1975"/>
        <v>195.05441181000006</v>
      </c>
      <c r="AD297" s="86">
        <f t="shared" si="1975"/>
        <v>159.34366617999999</v>
      </c>
      <c r="AE297" s="86">
        <f t="shared" si="1975"/>
        <v>171.00882328999987</v>
      </c>
      <c r="AF297" s="86">
        <f t="shared" si="1975"/>
        <v>141.04480236000001</v>
      </c>
      <c r="AG297" s="86">
        <f t="shared" si="1976"/>
        <v>-69.938620180000058</v>
      </c>
      <c r="AH297" s="86">
        <f t="shared" si="1976"/>
        <v>4.4770247200000437</v>
      </c>
      <c r="AI297" s="86">
        <f t="shared" si="1976"/>
        <v>133.20176839415691</v>
      </c>
      <c r="AJ297" s="86">
        <f t="shared" si="1976"/>
        <v>68.630131108528872</v>
      </c>
      <c r="AK297" s="86">
        <f t="shared" si="1977"/>
        <v>-68.043471639000018</v>
      </c>
      <c r="AL297" s="86">
        <f t="shared" si="1977"/>
        <v>-19.58916299999996</v>
      </c>
      <c r="AM297" s="86">
        <f t="shared" si="1977"/>
        <v>63.17903862</v>
      </c>
      <c r="AN297" s="86">
        <f t="shared" si="1977"/>
        <v>153.91338062137049</v>
      </c>
      <c r="AO297" s="86">
        <f t="shared" si="1978"/>
        <v>576.23762701058672</v>
      </c>
      <c r="AP297" s="86">
        <f t="shared" si="1978"/>
        <v>-305.97252224000005</v>
      </c>
      <c r="AQ297" s="86">
        <f t="shared" si="1978"/>
        <v>516.95113327422598</v>
      </c>
      <c r="AR297" s="86">
        <f t="shared" si="1978"/>
        <v>284.52458419435658</v>
      </c>
      <c r="AS297" s="86">
        <f t="shared" ref="AS297:AU297" si="2135">AS224*AS$249</f>
        <v>172.61658852004095</v>
      </c>
      <c r="AT297" s="86">
        <f t="shared" si="2135"/>
        <v>135.67285273850595</v>
      </c>
      <c r="AU297" s="86">
        <f t="shared" si="2135"/>
        <v>85.575039616966549</v>
      </c>
      <c r="AV297" s="86">
        <f t="shared" ref="AV297:AX297" si="2136">AV224*AV$249</f>
        <v>481.24042559999998</v>
      </c>
      <c r="AW297" s="86">
        <f t="shared" si="2136"/>
        <v>-214.86021063888697</v>
      </c>
      <c r="AX297" s="86">
        <f t="shared" si="2136"/>
        <v>551.70306572719153</v>
      </c>
      <c r="AY297" s="86">
        <f t="shared" ref="AY297:BB297" si="2137">AY224*AY$249</f>
        <v>764.45980670152812</v>
      </c>
      <c r="AZ297" s="86">
        <f t="shared" si="2137"/>
        <v>110.3615430313049</v>
      </c>
      <c r="BA297" s="86">
        <f t="shared" si="2137"/>
        <v>28.805450622283395</v>
      </c>
      <c r="BB297" s="86">
        <f t="shared" si="2137"/>
        <v>275.1069197034966</v>
      </c>
      <c r="BC297" s="86">
        <f t="shared" ref="BC297:BF297" si="2138">BC224*BC$249</f>
        <v>218.51635365133129</v>
      </c>
      <c r="BD297" s="86">
        <f t="shared" si="2138"/>
        <v>226.7933754683587</v>
      </c>
      <c r="BE297" s="86">
        <f t="shared" si="2138"/>
        <v>845.216419007627</v>
      </c>
      <c r="BF297" s="86">
        <f t="shared" si="2138"/>
        <v>152.66112877797892</v>
      </c>
      <c r="BG297" s="86">
        <f t="shared" ref="BG297:BH297" si="2139">BG224*BG$249</f>
        <v>198.85515623145048</v>
      </c>
      <c r="BH297" s="86">
        <f t="shared" si="2139"/>
        <v>233.42050258304818</v>
      </c>
      <c r="BJ297" s="86">
        <f t="shared" ref="BJ297:BL297" si="2140">BJ224*BJ$249</f>
        <v>826.8445577</v>
      </c>
      <c r="BK297" s="86">
        <f t="shared" si="2140"/>
        <v>-159.92566528850665</v>
      </c>
      <c r="BL297" s="86">
        <f t="shared" si="2140"/>
        <v>442.12885080923462</v>
      </c>
      <c r="BM297" s="86">
        <f t="shared" ref="BM297:BN297" si="2141">BM224*BM$249</f>
        <v>1117.9060619190002</v>
      </c>
      <c r="BN297" s="86">
        <f t="shared" si="2141"/>
        <v>-73.875303492096293</v>
      </c>
      <c r="BO297" s="86">
        <f t="shared" ref="BO297:BR297" si="2142">BO224*BO$249</f>
        <v>423.13262397754443</v>
      </c>
      <c r="BP297" s="86">
        <f t="shared" si="2142"/>
        <v>230.27429240143178</v>
      </c>
      <c r="BQ297" s="86">
        <f t="shared" si="2142"/>
        <v>246.70986316923666</v>
      </c>
      <c r="BR297" s="86">
        <f t="shared" si="2142"/>
        <v>296.7941761995092</v>
      </c>
      <c r="BW297" s="39"/>
      <c r="BX297" s="39"/>
    </row>
    <row r="298" spans="2:76" ht="13.5" customHeight="1" thickBot="1">
      <c r="B298" s="49" t="str">
        <f t="shared" si="1965"/>
        <v>Other financing activities</v>
      </c>
      <c r="C298" s="87">
        <f t="shared" ref="C298:AB298" si="2143">C225*C$249</f>
        <v>14.3397106</v>
      </c>
      <c r="D298" s="87">
        <f t="shared" si="2143"/>
        <v>20.688118679999999</v>
      </c>
      <c r="E298" s="87">
        <f t="shared" si="2143"/>
        <v>10.862136599999999</v>
      </c>
      <c r="F298" s="87">
        <f t="shared" si="2143"/>
        <v>-0.67051988300000009</v>
      </c>
      <c r="G298" s="87">
        <f t="shared" si="1967"/>
        <v>90.025019999999998</v>
      </c>
      <c r="H298" s="87">
        <f t="shared" si="1968"/>
        <v>17.077947183512915</v>
      </c>
      <c r="I298" s="87">
        <f t="shared" si="1968"/>
        <v>-27.342910158751323</v>
      </c>
      <c r="J298" s="87">
        <f t="shared" si="1969"/>
        <v>4.0934620574819993</v>
      </c>
      <c r="K298" s="87">
        <f t="shared" si="1969"/>
        <v>-0.49924886596887441</v>
      </c>
      <c r="L298" s="87">
        <f t="shared" si="1970"/>
        <v>2.3316574692624856</v>
      </c>
      <c r="M298" s="87">
        <f t="shared" ref="M298:O298" si="2144">M225*M$249</f>
        <v>264.53698892986796</v>
      </c>
      <c r="N298" s="87">
        <f t="shared" ref="N298" si="2145">N225*N$249</f>
        <v>381.93526200090889</v>
      </c>
      <c r="O298" s="87">
        <f t="shared" si="2144"/>
        <v>-114.46812175839531</v>
      </c>
      <c r="P298" s="87">
        <f t="shared" ref="P298:Q298" si="2146">P225*P$249</f>
        <v>-149.83003184359592</v>
      </c>
      <c r="Q298" s="87">
        <f t="shared" si="2146"/>
        <v>-149.73502899485226</v>
      </c>
      <c r="R298" s="87">
        <f t="shared" ref="R298" si="2147">R225*R$249</f>
        <v>-128.78648084978556</v>
      </c>
      <c r="S298" s="73"/>
      <c r="T298" s="87">
        <f t="shared" si="2143"/>
        <v>10.802868930000001</v>
      </c>
      <c r="U298" s="87">
        <f t="shared" si="2143"/>
        <v>-2.6194534800000007</v>
      </c>
      <c r="V298" s="87">
        <f t="shared" si="2143"/>
        <v>2.1624801000000007</v>
      </c>
      <c r="W298" s="87">
        <f t="shared" si="2143"/>
        <v>0.65493299999999954</v>
      </c>
      <c r="X298" s="87">
        <f t="shared" si="2143"/>
        <v>-2.2953172899999998</v>
      </c>
      <c r="Y298" s="87">
        <f t="shared" si="2143"/>
        <v>-8.6958710000000494E-2</v>
      </c>
      <c r="Z298" s="87">
        <f t="shared" si="2143"/>
        <v>2.54386716</v>
      </c>
      <c r="AA298" s="87">
        <f t="shared" si="2143"/>
        <v>-0.68114262133333348</v>
      </c>
      <c r="AB298" s="87">
        <f t="shared" si="2143"/>
        <v>-8.0090341500000015</v>
      </c>
      <c r="AC298" s="87">
        <f t="shared" si="1975"/>
        <v>-1.6545442499999981</v>
      </c>
      <c r="AD298" s="87">
        <f t="shared" si="1975"/>
        <v>43.4043359</v>
      </c>
      <c r="AE298" s="87">
        <f t="shared" si="1975"/>
        <v>37.475235039999994</v>
      </c>
      <c r="AF298" s="87">
        <f t="shared" si="1975"/>
        <v>11.02859956</v>
      </c>
      <c r="AG298" s="87">
        <f t="shared" si="1976"/>
        <v>-90.512701509999999</v>
      </c>
      <c r="AH298" s="87">
        <f t="shared" si="1976"/>
        <v>73.038790720000009</v>
      </c>
      <c r="AI298" s="87">
        <f t="shared" si="1976"/>
        <v>26.652826572979869</v>
      </c>
      <c r="AJ298" s="87">
        <f t="shared" si="1976"/>
        <v>-0.15970866785600221</v>
      </c>
      <c r="AK298" s="87">
        <f t="shared" si="1977"/>
        <v>-145.27735111500002</v>
      </c>
      <c r="AL298" s="87">
        <f t="shared" si="1977"/>
        <v>-84.901330999999985</v>
      </c>
      <c r="AM298" s="87">
        <f t="shared" si="1977"/>
        <v>190.03739861999995</v>
      </c>
      <c r="AN298" s="87">
        <f t="shared" si="1977"/>
        <v>-8.0462372197612062</v>
      </c>
      <c r="AO298" s="87">
        <f t="shared" si="1978"/>
        <v>-2.5453044483904876</v>
      </c>
      <c r="AP298" s="87">
        <f t="shared" si="1978"/>
        <v>-80.865979040000013</v>
      </c>
      <c r="AQ298" s="87">
        <f t="shared" si="1978"/>
        <v>76.400200904667997</v>
      </c>
      <c r="AR298" s="87">
        <f t="shared" si="1978"/>
        <v>-7.6532672445867442</v>
      </c>
      <c r="AS298" s="87">
        <f t="shared" ref="AS298:AU298" si="2148">AS225*AS$249</f>
        <v>4.6764619736196327</v>
      </c>
      <c r="AT298" s="87">
        <f t="shared" si="2148"/>
        <v>-92.59109249561017</v>
      </c>
      <c r="AU298" s="87">
        <f t="shared" si="2148"/>
        <v>88.624681519017528</v>
      </c>
      <c r="AV298" s="87">
        <f t="shared" ref="AV298:AX298" si="2149">AV225*AV$249</f>
        <v>22.732617599999998</v>
      </c>
      <c r="AW298" s="87">
        <f t="shared" si="2149"/>
        <v>13.186128006569337</v>
      </c>
      <c r="AX298" s="87">
        <f t="shared" si="2149"/>
        <v>87.461552520953575</v>
      </c>
      <c r="AY298" s="87">
        <f t="shared" ref="AY298:BB298" si="2150">AY225*AY$249</f>
        <v>120.24258829484663</v>
      </c>
      <c r="AZ298" s="87">
        <f t="shared" si="2150"/>
        <v>20.922034817646452</v>
      </c>
      <c r="BA298" s="87">
        <f t="shared" si="2150"/>
        <v>-54.017979139746387</v>
      </c>
      <c r="BB298" s="87">
        <f t="shared" si="2150"/>
        <v>-11.506130381436016</v>
      </c>
      <c r="BC298" s="87">
        <f t="shared" ref="BC298:BF298" si="2151">BC225*BC$249</f>
        <v>-65.683574515415174</v>
      </c>
      <c r="BD298" s="87">
        <f t="shared" si="2151"/>
        <v>-17.70231576970972</v>
      </c>
      <c r="BE298" s="87">
        <f t="shared" si="2151"/>
        <v>-132.84098148812089</v>
      </c>
      <c r="BF298" s="87">
        <f t="shared" si="2151"/>
        <v>7.2695086758349285</v>
      </c>
      <c r="BG298" s="87">
        <f t="shared" ref="BG298:BH298" si="2152">BG225*BG$249</f>
        <v>-9.8575375884279772</v>
      </c>
      <c r="BH298" s="87">
        <f t="shared" si="2152"/>
        <v>5.1598010873376809</v>
      </c>
      <c r="BJ298" s="87">
        <f t="shared" ref="BJ298:BL298" si="2153">BJ225*BJ$249</f>
        <v>42.2528395</v>
      </c>
      <c r="BK298" s="87">
        <f t="shared" si="2153"/>
        <v>-89.642076215756859</v>
      </c>
      <c r="BL298" s="87">
        <f t="shared" si="2153"/>
        <v>268.08435878594372</v>
      </c>
      <c r="BM298" s="87">
        <f t="shared" ref="BM298:BN298" si="2154">BM225*BM$249</f>
        <v>100.04418495909668</v>
      </c>
      <c r="BN298" s="87">
        <f t="shared" si="2154"/>
        <v>28.89409417295175</v>
      </c>
      <c r="BO298" s="87">
        <f t="shared" ref="BO298:BR298" si="2155">BO225*BO$249</f>
        <v>-118.81076769937496</v>
      </c>
      <c r="BP298" s="87">
        <f t="shared" si="2155"/>
        <v>28.996271319009708</v>
      </c>
      <c r="BQ298" s="87">
        <f t="shared" si="2155"/>
        <v>-85.000637230480478</v>
      </c>
      <c r="BR298" s="87">
        <f t="shared" si="2155"/>
        <v>-23.166090968580967</v>
      </c>
      <c r="BW298" s="39"/>
      <c r="BX298" s="39"/>
    </row>
    <row r="299" spans="2:76" ht="13.5" customHeight="1" thickTop="1" thickBot="1">
      <c r="B299" s="64" t="str">
        <f t="shared" si="1965"/>
        <v>Cash flow after financing activities</v>
      </c>
      <c r="C299" s="90">
        <f t="shared" ref="C299:AB299" si="2156">C226*C$249</f>
        <v>184.00806308000006</v>
      </c>
      <c r="D299" s="88">
        <f t="shared" si="2156"/>
        <v>63.292524010000037</v>
      </c>
      <c r="E299" s="88">
        <f t="shared" si="2156"/>
        <v>-146.79893759999999</v>
      </c>
      <c r="F299" s="88">
        <f t="shared" si="2156"/>
        <v>-193.31511077266657</v>
      </c>
      <c r="G299" s="88">
        <f t="shared" si="1967"/>
        <v>332.6821415999998</v>
      </c>
      <c r="H299" s="88">
        <f t="shared" si="1968"/>
        <v>40.386794197246552</v>
      </c>
      <c r="I299" s="88">
        <f t="shared" si="1968"/>
        <v>297.25586776010311</v>
      </c>
      <c r="J299" s="88">
        <f t="shared" si="1969"/>
        <v>-666.5835873840781</v>
      </c>
      <c r="K299" s="88">
        <f t="shared" si="1969"/>
        <v>-162.79311663261149</v>
      </c>
      <c r="L299" s="88">
        <f t="shared" si="1970"/>
        <v>1075.0581868616703</v>
      </c>
      <c r="M299" s="88">
        <f t="shared" ref="M299:O299" si="2157">M226*M$249</f>
        <v>1348.8119726643449</v>
      </c>
      <c r="N299" s="88">
        <f t="shared" ref="N299" si="2158">N226*N$249</f>
        <v>1894.6138707957064</v>
      </c>
      <c r="O299" s="88">
        <f t="shared" si="2157"/>
        <v>513.5179042584009</v>
      </c>
      <c r="P299" s="88">
        <f t="shared" ref="P299:Q299" si="2159">P226*P$249</f>
        <v>672.13487823257378</v>
      </c>
      <c r="Q299" s="88">
        <f t="shared" si="2159"/>
        <v>835.07390550160812</v>
      </c>
      <c r="R299" s="88">
        <f t="shared" ref="R299" si="2160">R226*R$249</f>
        <v>735.65278594516701</v>
      </c>
      <c r="S299" s="77"/>
      <c r="T299" s="88">
        <f t="shared" si="2156"/>
        <v>138.67202139</v>
      </c>
      <c r="U299" s="88">
        <f t="shared" si="2156"/>
        <v>-61.607557440000029</v>
      </c>
      <c r="V299" s="88">
        <f t="shared" si="2156"/>
        <v>7.1175736499999847</v>
      </c>
      <c r="W299" s="88">
        <f t="shared" si="2156"/>
        <v>-211.03525283999991</v>
      </c>
      <c r="X299" s="88">
        <f t="shared" si="2156"/>
        <v>66.47132729999997</v>
      </c>
      <c r="Y299" s="88">
        <f t="shared" si="2156"/>
        <v>-281.70399929000001</v>
      </c>
      <c r="Z299" s="88">
        <f t="shared" si="2156"/>
        <v>-80.500838579999836</v>
      </c>
      <c r="AA299" s="88">
        <f t="shared" si="2156"/>
        <v>89.662372138666612</v>
      </c>
      <c r="AB299" s="88">
        <f t="shared" si="2156"/>
        <v>-47.740793100000005</v>
      </c>
      <c r="AC299" s="88">
        <f t="shared" si="1975"/>
        <v>-67.125303969999976</v>
      </c>
      <c r="AD299" s="88">
        <f t="shared" si="1975"/>
        <v>-72.49867276000009</v>
      </c>
      <c r="AE299" s="88">
        <f t="shared" si="1975"/>
        <v>430.98215035000004</v>
      </c>
      <c r="AF299" s="88">
        <f t="shared" si="1975"/>
        <v>100.22842015999998</v>
      </c>
      <c r="AG299" s="88">
        <f t="shared" si="1976"/>
        <v>-187.39168458999995</v>
      </c>
      <c r="AH299" s="88">
        <f t="shared" si="1976"/>
        <v>-75.169003600000138</v>
      </c>
      <c r="AI299" s="88">
        <f t="shared" si="1976"/>
        <v>205.56691152986278</v>
      </c>
      <c r="AJ299" s="88">
        <f t="shared" si="1976"/>
        <v>94.34161666693555</v>
      </c>
      <c r="AK299" s="88">
        <f t="shared" si="1977"/>
        <v>54.502635251999997</v>
      </c>
      <c r="AL299" s="88">
        <f t="shared" si="1977"/>
        <v>10.861447000000068</v>
      </c>
      <c r="AM299" s="88">
        <f t="shared" si="1977"/>
        <v>115.42362815999994</v>
      </c>
      <c r="AN299" s="88">
        <f t="shared" si="1977"/>
        <v>-432.69123141377423</v>
      </c>
      <c r="AO299" s="88">
        <f t="shared" si="1978"/>
        <v>-65.126896508090567</v>
      </c>
      <c r="AP299" s="88">
        <f t="shared" si="1978"/>
        <v>-343.32150776000009</v>
      </c>
      <c r="AQ299" s="88">
        <f t="shared" si="1978"/>
        <v>49.318458204103841</v>
      </c>
      <c r="AR299" s="88">
        <f t="shared" si="1978"/>
        <v>-141.02369129946865</v>
      </c>
      <c r="AS299" s="88">
        <f t="shared" ref="AS299:AU299" si="2161">AS226*AS$249</f>
        <v>-309.26357955248824</v>
      </c>
      <c r="AT299" s="88">
        <f t="shared" si="2161"/>
        <v>221.44781110965545</v>
      </c>
      <c r="AU299" s="88">
        <f t="shared" si="2161"/>
        <v>14.557585528027492</v>
      </c>
      <c r="AV299" s="88">
        <f t="shared" ref="AV299:AX299" si="2162">AV226*AV$249</f>
        <v>92.113243199999943</v>
      </c>
      <c r="AW299" s="88">
        <f t="shared" si="2162"/>
        <v>-723.99282911132525</v>
      </c>
      <c r="AX299" s="88">
        <f t="shared" si="2162"/>
        <v>313.84724703740835</v>
      </c>
      <c r="AY299" s="88">
        <f t="shared" ref="AY299:BB299" si="2163">AY226*AY$249</f>
        <v>1495.286194130693</v>
      </c>
      <c r="AZ299" s="88">
        <f t="shared" si="2163"/>
        <v>182.79354788717842</v>
      </c>
      <c r="BA299" s="88">
        <f t="shared" si="2163"/>
        <v>-105.69001440556941</v>
      </c>
      <c r="BB299" s="88">
        <f t="shared" si="2163"/>
        <v>-231.26330339044284</v>
      </c>
      <c r="BC299" s="88">
        <f t="shared" ref="BC299:BF299" si="2164">BC226*BC$249</f>
        <v>647.02404676113179</v>
      </c>
      <c r="BD299" s="88">
        <f t="shared" si="2164"/>
        <v>-254.8148516300401</v>
      </c>
      <c r="BE299" s="88">
        <f t="shared" si="2164"/>
        <v>150.85917610917781</v>
      </c>
      <c r="BF299" s="88">
        <f t="shared" si="2164"/>
        <v>165.77241533184466</v>
      </c>
      <c r="BG299" s="88">
        <f t="shared" ref="BG299:BH299" si="2165">BG226*BG$249</f>
        <v>689.61900616173239</v>
      </c>
      <c r="BH299" s="88">
        <f t="shared" si="2165"/>
        <v>-363.3177052701916</v>
      </c>
      <c r="BJ299" s="88">
        <f t="shared" ref="BJ299:BL299" si="2166">BJ226*BJ$249</f>
        <v>573.17064759999994</v>
      </c>
      <c r="BK299" s="88">
        <f t="shared" si="2166"/>
        <v>-671.57005223004171</v>
      </c>
      <c r="BL299" s="88">
        <f t="shared" si="2166"/>
        <v>743.84750814083225</v>
      </c>
      <c r="BM299" s="88">
        <f t="shared" ref="BM299:BN299" si="2167">BM226*BM$249</f>
        <v>1074.7307505866308</v>
      </c>
      <c r="BN299" s="88">
        <f t="shared" si="2167"/>
        <v>29.504242432069447</v>
      </c>
      <c r="BO299" s="88">
        <f t="shared" ref="BO299:BR299" si="2168">BO226*BO$249</f>
        <v>159.07931100573106</v>
      </c>
      <c r="BP299" s="88">
        <f t="shared" si="2168"/>
        <v>-344.48809001376242</v>
      </c>
      <c r="BQ299" s="88">
        <f t="shared" si="2168"/>
        <v>796.92886769936615</v>
      </c>
      <c r="BR299" s="88">
        <f t="shared" si="2168"/>
        <v>-324.1217221794243</v>
      </c>
      <c r="BW299" s="39"/>
      <c r="BX299" s="39"/>
    </row>
    <row r="300" spans="2:76" s="5" customFormat="1" ht="13.5" customHeight="1" thickTop="1">
      <c r="B300" s="1" t="str">
        <f t="shared" si="1965"/>
        <v>Balancing figure</v>
      </c>
      <c r="C300" s="86">
        <f t="shared" ref="C300:AB300" si="2169">C227*C$249</f>
        <v>8.8430883999999406</v>
      </c>
      <c r="D300" s="86">
        <f t="shared" si="2169"/>
        <v>81.457899349999948</v>
      </c>
      <c r="E300" s="86">
        <f t="shared" si="2169"/>
        <v>133.01264759999998</v>
      </c>
      <c r="F300" s="86">
        <f t="shared" si="2169"/>
        <v>162.13950572933325</v>
      </c>
      <c r="G300" s="86">
        <f t="shared" si="1967"/>
        <v>172.73011320000015</v>
      </c>
      <c r="H300" s="86">
        <f t="shared" si="1968"/>
        <v>144.87451461614751</v>
      </c>
      <c r="I300" s="86">
        <f t="shared" si="1968"/>
        <v>292.85870349749945</v>
      </c>
      <c r="J300" s="86">
        <f t="shared" si="1969"/>
        <v>597.78688639698021</v>
      </c>
      <c r="K300" s="86">
        <f t="shared" ref="K300" si="2170">K227*K$249</f>
        <v>443.25862364582997</v>
      </c>
      <c r="L300" s="86">
        <f t="shared" si="1970"/>
        <v>-1266.0966040838223</v>
      </c>
      <c r="M300" s="86">
        <f t="shared" ref="M300:O300" si="2171">M227*M$249</f>
        <v>-965.32911777159381</v>
      </c>
      <c r="N300" s="86">
        <f t="shared" ref="N300" si="2172">N227*N$249</f>
        <v>-870.24740531208261</v>
      </c>
      <c r="O300" s="86">
        <f t="shared" si="2171"/>
        <v>-491.27503232283692</v>
      </c>
      <c r="P300" s="86">
        <f t="shared" ref="P300:Q300" si="2173">P227*P$249</f>
        <v>-643.02044147894651</v>
      </c>
      <c r="Q300" s="86">
        <f t="shared" si="2173"/>
        <v>40.588512534000145</v>
      </c>
      <c r="R300" s="86">
        <f t="shared" ref="R300" si="2174">R227*R$249</f>
        <v>-38.927140952658192</v>
      </c>
      <c r="S300" s="73"/>
      <c r="T300" s="86">
        <f t="shared" si="2169"/>
        <v>-34.692579740000014</v>
      </c>
      <c r="U300" s="86">
        <f t="shared" si="2169"/>
        <v>53.539309320000044</v>
      </c>
      <c r="V300" s="86">
        <f t="shared" si="2169"/>
        <v>46.73000145000001</v>
      </c>
      <c r="W300" s="86">
        <f t="shared" si="2169"/>
        <v>63.721934699999949</v>
      </c>
      <c r="X300" s="86">
        <f t="shared" si="2169"/>
        <v>26.136886560000029</v>
      </c>
      <c r="Y300" s="86">
        <f t="shared" si="2169"/>
        <v>53.641500839999985</v>
      </c>
      <c r="Z300" s="86">
        <f t="shared" si="2169"/>
        <v>57.814463819999823</v>
      </c>
      <c r="AA300" s="86">
        <f t="shared" si="2169"/>
        <v>26.079498147333389</v>
      </c>
      <c r="AB300" s="86">
        <f t="shared" si="2169"/>
        <v>9.7050217500000073</v>
      </c>
      <c r="AC300" s="86">
        <f t="shared" si="1975"/>
        <v>104.02303537999998</v>
      </c>
      <c r="AD300" s="86">
        <f t="shared" si="1975"/>
        <v>202.12603929000008</v>
      </c>
      <c r="AE300" s="86">
        <f t="shared" si="1975"/>
        <v>-143.01610852999994</v>
      </c>
      <c r="AF300" s="86">
        <f t="shared" si="1975"/>
        <v>61.561675560000005</v>
      </c>
      <c r="AG300" s="86">
        <f t="shared" si="1976"/>
        <v>55.878037379999967</v>
      </c>
      <c r="AH300" s="86">
        <f t="shared" si="1976"/>
        <v>34.116362960000153</v>
      </c>
      <c r="AI300" s="86">
        <f t="shared" si="1976"/>
        <v>1.0761653414915968</v>
      </c>
      <c r="AJ300" s="86">
        <f t="shared" si="1976"/>
        <v>-4.8819011445539982</v>
      </c>
      <c r="AK300" s="86">
        <f t="shared" si="1977"/>
        <v>98.701094661000027</v>
      </c>
      <c r="AL300" s="86">
        <f t="shared" si="1977"/>
        <v>152.64015749999993</v>
      </c>
      <c r="AM300" s="86">
        <f t="shared" si="1977"/>
        <v>17.580873720000039</v>
      </c>
      <c r="AN300" s="86">
        <f t="shared" si="1977"/>
        <v>84.950157961302466</v>
      </c>
      <c r="AO300" s="86">
        <f t="shared" si="1978"/>
        <v>68.650991996791205</v>
      </c>
      <c r="AP300" s="86">
        <f t="shared" si="1978"/>
        <v>67.654972000000129</v>
      </c>
      <c r="AQ300" s="86">
        <f t="shared" si="1978"/>
        <v>362.00259924854623</v>
      </c>
      <c r="AR300" s="86">
        <f t="shared" si="1978"/>
        <v>95.452025509022761</v>
      </c>
      <c r="AS300" s="86">
        <f t="shared" ref="AS300:AU300" si="2175">AS227*AS$249</f>
        <v>94.887579862985845</v>
      </c>
      <c r="AT300" s="86">
        <f t="shared" si="2175"/>
        <v>47.000774783921884</v>
      </c>
      <c r="AU300" s="86">
        <f t="shared" si="2175"/>
        <v>191.10174946513862</v>
      </c>
      <c r="AV300" s="86">
        <f t="shared" ref="AV300:AX300" si="2176">AV227*AV$249</f>
        <v>131.63383200000004</v>
      </c>
      <c r="AW300" s="86">
        <f t="shared" si="2176"/>
        <v>383.61647681158013</v>
      </c>
      <c r="AX300" s="86">
        <f t="shared" si="2176"/>
        <v>88.889042235344064</v>
      </c>
      <c r="AY300" s="86">
        <f t="shared" ref="AY300:BB300" si="2177">AY227*AY$249</f>
        <v>-1470.334261360468</v>
      </c>
      <c r="AZ300" s="86">
        <f t="shared" si="2177"/>
        <v>-407.2995014980886</v>
      </c>
      <c r="BA300" s="86">
        <f t="shared" si="2177"/>
        <v>-39.483717997069455</v>
      </c>
      <c r="BB300" s="86">
        <f t="shared" si="2177"/>
        <v>-149.98432700144176</v>
      </c>
      <c r="BC300" s="86">
        <f t="shared" ref="BC300:BF300" si="2178">BC227*BC$249</f>
        <v>81.434724426781528</v>
      </c>
      <c r="BD300" s="86">
        <f t="shared" si="2178"/>
        <v>-46.512125554644385</v>
      </c>
      <c r="BE300" s="86">
        <f t="shared" si="2178"/>
        <v>160.50673593037885</v>
      </c>
      <c r="BF300" s="86">
        <f t="shared" si="2178"/>
        <v>-93.861157219319949</v>
      </c>
      <c r="BG300" s="86">
        <f t="shared" ref="BG300:BH300" si="2179">BG227*BG$249</f>
        <v>20.815061908297718</v>
      </c>
      <c r="BH300" s="86">
        <f t="shared" si="2179"/>
        <v>-133.29122591939108</v>
      </c>
      <c r="BJ300" s="86">
        <f t="shared" ref="BJ300:BL300" si="2180">BJ227*BJ$249</f>
        <v>-455.73657030000004</v>
      </c>
      <c r="BK300" s="86">
        <f t="shared" si="2180"/>
        <v>-88.560045450638981</v>
      </c>
      <c r="BL300" s="86">
        <f t="shared" si="2180"/>
        <v>-112.93483977574994</v>
      </c>
      <c r="BM300" s="86">
        <f t="shared" ref="BM300:BN300" si="2181">BM227*BM$249</f>
        <v>-241.49705505102736</v>
      </c>
      <c r="BN300" s="86">
        <f t="shared" si="2181"/>
        <v>-258.41238118607299</v>
      </c>
      <c r="BO300" s="86">
        <f t="shared" ref="BO300:BR300" si="2182">BO227*BO$249</f>
        <v>26.284506902926552</v>
      </c>
      <c r="BP300" s="86">
        <f t="shared" si="2182"/>
        <v>-633.5472921536491</v>
      </c>
      <c r="BQ300" s="86">
        <f t="shared" si="2182"/>
        <v>211.32749591593165</v>
      </c>
      <c r="BR300" s="86">
        <f t="shared" si="2182"/>
        <v>-70.211144520928272</v>
      </c>
      <c r="BT300" s="1"/>
      <c r="BU300" s="1"/>
      <c r="BW300" s="39"/>
      <c r="BX300" s="39"/>
    </row>
    <row r="301" spans="2:76" ht="13.5" customHeight="1">
      <c r="B301" s="1" t="str">
        <f t="shared" si="1965"/>
        <v>Effect of currency translation differences</v>
      </c>
      <c r="C301" s="86">
        <f t="shared" ref="C301:AB301" si="2183">C228*C$249</f>
        <v>-30.538619920000002</v>
      </c>
      <c r="D301" s="86">
        <f t="shared" si="2183"/>
        <v>56.548852539999992</v>
      </c>
      <c r="E301" s="86">
        <f t="shared" si="2183"/>
        <v>105.19685819999999</v>
      </c>
      <c r="F301" s="86">
        <f t="shared" si="2183"/>
        <v>69.408143548166677</v>
      </c>
      <c r="G301" s="86">
        <f t="shared" si="1967"/>
        <v>99.889891199999994</v>
      </c>
      <c r="H301" s="86">
        <f t="shared" si="1968"/>
        <v>81.285447729832399</v>
      </c>
      <c r="I301" s="86">
        <f t="shared" si="1968"/>
        <v>198.19532364433556</v>
      </c>
      <c r="J301" s="86">
        <f t="shared" si="1969"/>
        <v>492.20006231831394</v>
      </c>
      <c r="K301" s="86">
        <f t="shared" ref="K301" si="2184">K228*K$249</f>
        <v>241.60561807150137</v>
      </c>
      <c r="L301" s="86">
        <f t="shared" si="1970"/>
        <v>459.31765161356083</v>
      </c>
      <c r="M301" s="86">
        <f t="shared" ref="M301:O301" si="2185">M228*M$249</f>
        <v>489.71062506307157</v>
      </c>
      <c r="N301" s="86">
        <f t="shared" ref="N301" si="2186">N228*N$249</f>
        <v>236.33948495895024</v>
      </c>
      <c r="O301" s="86">
        <f t="shared" si="2185"/>
        <v>-340.72338611859647</v>
      </c>
      <c r="P301" s="86">
        <f t="shared" ref="P301:Q301" si="2187">P228*P$249</f>
        <v>-445.98070577257459</v>
      </c>
      <c r="Q301" s="86">
        <f t="shared" si="2187"/>
        <v>115.5428451196517</v>
      </c>
      <c r="R301" s="86">
        <f t="shared" ref="R301" si="2188">R228*R$249</f>
        <v>-30.463370388746885</v>
      </c>
      <c r="S301" s="73"/>
      <c r="T301" s="86">
        <f t="shared" si="2183"/>
        <v>6.1427477999999995</v>
      </c>
      <c r="U301" s="86">
        <f t="shared" si="2183"/>
        <v>-4.2460829999999158E-2</v>
      </c>
      <c r="V301" s="86">
        <f t="shared" si="2183"/>
        <v>32.073079499999999</v>
      </c>
      <c r="W301" s="86">
        <f t="shared" si="2183"/>
        <v>62.136996839999995</v>
      </c>
      <c r="X301" s="86">
        <f t="shared" si="2183"/>
        <v>27.61014613</v>
      </c>
      <c r="Y301" s="86">
        <f t="shared" si="2183"/>
        <v>-8.9430462399999993</v>
      </c>
      <c r="Z301" s="86">
        <f t="shared" si="2183"/>
        <v>6.8306278600000008</v>
      </c>
      <c r="AA301" s="86">
        <f t="shared" si="2183"/>
        <v>41.796837815333333</v>
      </c>
      <c r="AB301" s="86">
        <f t="shared" si="2183"/>
        <v>45.658543799999997</v>
      </c>
      <c r="AC301" s="86">
        <f t="shared" si="1975"/>
        <v>50.512411849999999</v>
      </c>
      <c r="AD301" s="86">
        <f t="shared" si="1975"/>
        <v>98.272458349999994</v>
      </c>
      <c r="AE301" s="86">
        <f t="shared" si="1975"/>
        <v>-84.755901919999985</v>
      </c>
      <c r="AF301" s="86">
        <f t="shared" si="1975"/>
        <v>47.259026759999998</v>
      </c>
      <c r="AG301" s="86">
        <f t="shared" si="1976"/>
        <v>14.244944779999997</v>
      </c>
      <c r="AH301" s="86">
        <f t="shared" si="1976"/>
        <v>-13.492934400000001</v>
      </c>
      <c r="AI301" s="86">
        <f t="shared" si="1976"/>
        <v>37.011212156869341</v>
      </c>
      <c r="AJ301" s="86">
        <f t="shared" si="1976"/>
        <v>54.985182795222578</v>
      </c>
      <c r="AK301" s="86">
        <f t="shared" si="1977"/>
        <v>54.21129499500001</v>
      </c>
      <c r="AL301" s="86">
        <f t="shared" si="1977"/>
        <v>152.9769895</v>
      </c>
      <c r="AM301" s="86">
        <f t="shared" si="1977"/>
        <v>-72.104941139999951</v>
      </c>
      <c r="AN301" s="86">
        <f t="shared" si="1977"/>
        <v>119.07520601793554</v>
      </c>
      <c r="AO301" s="86">
        <f t="shared" si="1978"/>
        <v>59.79615565751736</v>
      </c>
      <c r="AP301" s="86">
        <f t="shared" si="1978"/>
        <v>-5.5217131200000136</v>
      </c>
      <c r="AQ301" s="86">
        <f t="shared" si="1978"/>
        <v>308.59553940201999</v>
      </c>
      <c r="AR301" s="86">
        <f t="shared" si="1978"/>
        <v>94.149570443491911</v>
      </c>
      <c r="AS301" s="86">
        <f t="shared" ref="AS301:AU301" si="2189">AS228*AS$249</f>
        <v>102.95226096670073</v>
      </c>
      <c r="AT301" s="86">
        <f t="shared" si="2189"/>
        <v>43.88988039229946</v>
      </c>
      <c r="AU301" s="86">
        <f t="shared" si="2189"/>
        <v>12.373415249837809</v>
      </c>
      <c r="AV301" s="86">
        <f t="shared" ref="AV301:AX301" si="2190">AV228*AV$249</f>
        <v>33.287126399999998</v>
      </c>
      <c r="AW301" s="86">
        <f t="shared" si="2190"/>
        <v>307.49190768555036</v>
      </c>
      <c r="AX301" s="86">
        <f t="shared" si="2190"/>
        <v>6.1007560809122179</v>
      </c>
      <c r="AY301" s="86">
        <f t="shared" ref="AY301:BB301" si="2191">AY228*AY$249</f>
        <v>154.57001171115908</v>
      </c>
      <c r="AZ301" s="86">
        <f t="shared" si="2191"/>
        <v>47.985748786031614</v>
      </c>
      <c r="BA301" s="86">
        <f t="shared" si="2191"/>
        <v>22.915427561007277</v>
      </c>
      <c r="BB301" s="86">
        <f t="shared" si="2191"/>
        <v>-294.06103811971786</v>
      </c>
      <c r="BC301" s="86">
        <f t="shared" ref="BC301:BF301" si="2192">BC228*BC$249</f>
        <v>-102.73762903917223</v>
      </c>
      <c r="BD301" s="86">
        <f t="shared" si="2192"/>
        <v>24.477660981475498</v>
      </c>
      <c r="BE301" s="86">
        <f t="shared" si="2192"/>
        <v>50.952367441584535</v>
      </c>
      <c r="BF301" s="86">
        <f t="shared" si="2192"/>
        <v>17.429196997967431</v>
      </c>
      <c r="BG301" s="86">
        <f t="shared" ref="BG301:BH301" si="2193">BG228*BG$249</f>
        <v>23.140271935603252</v>
      </c>
      <c r="BH301" s="86">
        <f t="shared" si="2193"/>
        <v>-134.86565664096042</v>
      </c>
      <c r="BJ301" s="86">
        <f t="shared" ref="BJ301:BL301" si="2194">BJ228*BJ$249</f>
        <v>40.847233599999996</v>
      </c>
      <c r="BK301" s="86">
        <f t="shared" si="2194"/>
        <v>560.93512780605192</v>
      </c>
      <c r="BL301" s="86">
        <f t="shared" si="2194"/>
        <v>-424.98498655317377</v>
      </c>
      <c r="BM301" s="86">
        <f t="shared" ref="BM301:BN301" si="2195">BM228*BM$249</f>
        <v>175.4855841208695</v>
      </c>
      <c r="BN301" s="86">
        <f t="shared" si="2195"/>
        <v>-195.94805765058373</v>
      </c>
      <c r="BO301" s="86">
        <f t="shared" ref="BO301:BR301" si="2196">BO228*BO$249</f>
        <v>-171.93421044496515</v>
      </c>
      <c r="BP301" s="86">
        <f t="shared" si="2196"/>
        <v>82.822871233629144</v>
      </c>
      <c r="BQ301" s="86">
        <f t="shared" si="2196"/>
        <v>-166.94274194482742</v>
      </c>
      <c r="BR301" s="86">
        <f t="shared" si="2196"/>
        <v>32.032890722287107</v>
      </c>
      <c r="BW301" s="39"/>
      <c r="BX301" s="39"/>
    </row>
    <row r="302" spans="2:76" s="5" customFormat="1" ht="13.5" customHeight="1" thickBot="1">
      <c r="B302" s="24" t="str">
        <f t="shared" si="1965"/>
        <v xml:space="preserve">Net change in cash </v>
      </c>
      <c r="C302" s="85">
        <f t="shared" ref="C302:AB302" si="2197">C229*C$249</f>
        <v>162.31253156</v>
      </c>
      <c r="D302" s="85">
        <f t="shared" si="2197"/>
        <v>201.2992759</v>
      </c>
      <c r="E302" s="85">
        <f t="shared" si="2197"/>
        <v>91.410568199999986</v>
      </c>
      <c r="F302" s="85">
        <f t="shared" si="2197"/>
        <v>38.23253850483335</v>
      </c>
      <c r="G302" s="85">
        <f t="shared" si="1967"/>
        <v>605.30214599999988</v>
      </c>
      <c r="H302" s="85">
        <f t="shared" si="1968"/>
        <v>266.54675654322648</v>
      </c>
      <c r="I302" s="85">
        <f t="shared" si="1968"/>
        <v>788.30989490193815</v>
      </c>
      <c r="J302" s="85">
        <f t="shared" si="1969"/>
        <v>423.40336133121599</v>
      </c>
      <c r="K302" s="85">
        <f t="shared" ref="K302" si="2198">K229*K$249</f>
        <v>522.07112508471994</v>
      </c>
      <c r="L302" s="85">
        <f t="shared" si="1970"/>
        <v>-185.21448433570208</v>
      </c>
      <c r="M302" s="85">
        <f t="shared" ref="M302:O302" si="2199">M229*M$249</f>
        <v>381.51883525372011</v>
      </c>
      <c r="N302" s="85">
        <f t="shared" ref="N302" si="2200">N229*N$249</f>
        <v>550.8321398447722</v>
      </c>
      <c r="O302" s="85">
        <f t="shared" si="2199"/>
        <v>-600.52420084594837</v>
      </c>
      <c r="P302" s="85">
        <f t="shared" ref="P302:Q302" si="2201">P229*P$249</f>
        <v>-786.04016153272437</v>
      </c>
      <c r="Q302" s="85">
        <f t="shared" si="2201"/>
        <v>780.18845382818267</v>
      </c>
      <c r="R302" s="85">
        <f t="shared" ref="R302" si="2202">R229*R$249</f>
        <v>369.02426247720155</v>
      </c>
      <c r="S302" s="286"/>
      <c r="T302" s="85">
        <f t="shared" si="2197"/>
        <v>110.12218944999999</v>
      </c>
      <c r="U302" s="85">
        <f t="shared" si="2197"/>
        <v>-8.1107089499999852</v>
      </c>
      <c r="V302" s="85">
        <f t="shared" si="2197"/>
        <v>85.920654600000006</v>
      </c>
      <c r="W302" s="85">
        <f t="shared" si="2197"/>
        <v>-85.176321299999969</v>
      </c>
      <c r="X302" s="85">
        <f t="shared" si="2197"/>
        <v>120.21835999</v>
      </c>
      <c r="Y302" s="85">
        <f t="shared" si="2197"/>
        <v>-237.00554469000002</v>
      </c>
      <c r="Z302" s="85">
        <f t="shared" si="2197"/>
        <v>-15.855746900000009</v>
      </c>
      <c r="AA302" s="85">
        <f t="shared" si="2197"/>
        <v>157.53870810133333</v>
      </c>
      <c r="AB302" s="85">
        <f t="shared" si="2197"/>
        <v>7.6227724499999994</v>
      </c>
      <c r="AC302" s="85">
        <f t="shared" si="1975"/>
        <v>87.410143260000012</v>
      </c>
      <c r="AD302" s="85">
        <f t="shared" si="1975"/>
        <v>227.89982487999998</v>
      </c>
      <c r="AE302" s="85">
        <f t="shared" si="1975"/>
        <v>203.21013990000012</v>
      </c>
      <c r="AF302" s="85">
        <f t="shared" si="1975"/>
        <v>209.04912248000002</v>
      </c>
      <c r="AG302" s="85">
        <f t="shared" si="1976"/>
        <v>-117.26870243</v>
      </c>
      <c r="AH302" s="85">
        <f t="shared" si="1976"/>
        <v>-54.545575039999989</v>
      </c>
      <c r="AI302" s="85">
        <f t="shared" si="1976"/>
        <v>243.65428902822376</v>
      </c>
      <c r="AJ302" s="85">
        <f t="shared" si="1976"/>
        <v>144.44489831760413</v>
      </c>
      <c r="AK302" s="85">
        <f t="shared" si="1977"/>
        <v>207.41502490800002</v>
      </c>
      <c r="AL302" s="85">
        <f t="shared" si="1977"/>
        <v>316.47859399999999</v>
      </c>
      <c r="AM302" s="85">
        <f t="shared" si="1977"/>
        <v>60.899560740000027</v>
      </c>
      <c r="AN302" s="85">
        <f t="shared" si="1977"/>
        <v>-228.66586743453624</v>
      </c>
      <c r="AO302" s="85">
        <f t="shared" si="1978"/>
        <v>63.320251146217998</v>
      </c>
      <c r="AP302" s="85">
        <f t="shared" si="1978"/>
        <v>-281.18824887999995</v>
      </c>
      <c r="AQ302" s="85">
        <f t="shared" si="1978"/>
        <v>719.91659685467005</v>
      </c>
      <c r="AR302" s="85">
        <f t="shared" si="1978"/>
        <v>48.577904653046005</v>
      </c>
      <c r="AS302" s="85">
        <f t="shared" ref="AS302:AU302" si="2203">AS229*AS$249</f>
        <v>-111.42373872280166</v>
      </c>
      <c r="AT302" s="85">
        <f t="shared" si="2203"/>
        <v>312.33846628587679</v>
      </c>
      <c r="AU302" s="85">
        <f t="shared" si="2203"/>
        <v>218.03275024300393</v>
      </c>
      <c r="AV302" s="85">
        <f t="shared" ref="AV302:AX302" si="2204">AV229*AV$249</f>
        <v>257.03420160000002</v>
      </c>
      <c r="AW302" s="85">
        <f t="shared" si="2204"/>
        <v>-32.884444614194742</v>
      </c>
      <c r="AX302" s="85">
        <f t="shared" si="2204"/>
        <v>408.83704535366462</v>
      </c>
      <c r="AY302" s="85">
        <f t="shared" ref="AY302:BB302" si="2205">AY229*AY$249</f>
        <v>-287.26520842002344</v>
      </c>
      <c r="AZ302" s="85">
        <f t="shared" si="2205"/>
        <v>-307.63531227399517</v>
      </c>
      <c r="BA302" s="85">
        <f t="shared" si="2205"/>
        <v>-188.59956845118504</v>
      </c>
      <c r="BB302" s="85">
        <f t="shared" si="2205"/>
        <v>-735.21418272029507</v>
      </c>
      <c r="BC302" s="85">
        <f t="shared" ref="BC302:BF302" si="2206">BC229*BC$249</f>
        <v>595.82167973954643</v>
      </c>
      <c r="BD302" s="85">
        <f t="shared" si="2206"/>
        <v>-331.79711681563026</v>
      </c>
      <c r="BE302" s="85">
        <f t="shared" si="2206"/>
        <v>326.62757256310982</v>
      </c>
      <c r="BF302" s="85">
        <f t="shared" si="2206"/>
        <v>16.744937563901047</v>
      </c>
      <c r="BG302" s="85">
        <f t="shared" ref="BG302:BH302" si="2207">BG229*BG$249</f>
        <v>686.88158626774089</v>
      </c>
      <c r="BH302" s="85">
        <f t="shared" si="2207"/>
        <v>-780.51956407091711</v>
      </c>
      <c r="BJ302" s="85">
        <f t="shared" ref="BJ302:BL302" si="2208">BJ229*BJ$249</f>
        <v>-19.988946500000029</v>
      </c>
      <c r="BK302" s="85">
        <f t="shared" si="2208"/>
        <v>-275.6989468055649</v>
      </c>
      <c r="BL302" s="85">
        <f t="shared" si="2208"/>
        <v>-50.341262173947158</v>
      </c>
      <c r="BM302" s="85">
        <f t="shared" ref="BM302:BN302" si="2209">BM229*BM$249</f>
        <v>845.02914920359865</v>
      </c>
      <c r="BN302" s="85">
        <f t="shared" si="2209"/>
        <v>-605.93110729414195</v>
      </c>
      <c r="BO302" s="85">
        <f t="shared" ref="BO302:BR302" si="2210">BO229*BO$249</f>
        <v>-72.328292414509392</v>
      </c>
      <c r="BP302" s="85">
        <f t="shared" si="2210"/>
        <v>-971.81126127336381</v>
      </c>
      <c r="BQ302" s="85">
        <f t="shared" si="2210"/>
        <v>807.8909698647908</v>
      </c>
      <c r="BR302" s="85">
        <f t="shared" si="2210"/>
        <v>-434.20798025231312</v>
      </c>
      <c r="BT302" s="1"/>
      <c r="BU302" s="1"/>
      <c r="BW302" s="39"/>
      <c r="BX302" s="39"/>
    </row>
    <row r="303" spans="2:76" ht="13.5" customHeight="1" thickTop="1">
      <c r="B303" s="1" t="s">
        <v>397</v>
      </c>
      <c r="C303" s="182">
        <f>C230*C$250</f>
        <v>698.83239640871227</v>
      </c>
      <c r="D303" s="182">
        <f t="shared" ref="D303:AD303" si="2211">D230*D$250</f>
        <v>744.99700111144318</v>
      </c>
      <c r="E303" s="182">
        <f t="shared" si="2211"/>
        <v>693.87120343638935</v>
      </c>
      <c r="F303" s="182">
        <f t="shared" si="2211"/>
        <v>684.52591472912536</v>
      </c>
      <c r="G303" s="182">
        <f t="shared" ref="G303:J303" si="2212">G230*G$250</f>
        <v>1015.325033425364</v>
      </c>
      <c r="H303" s="182">
        <f t="shared" si="2212"/>
        <v>1220.7116210318857</v>
      </c>
      <c r="I303" s="182">
        <f t="shared" si="2212"/>
        <v>1623.7838613399997</v>
      </c>
      <c r="J303" s="182">
        <f t="shared" si="2212"/>
        <v>1203.742411495396</v>
      </c>
      <c r="K303" s="182">
        <f t="shared" ref="K303" si="2213">K230*K$250</f>
        <v>1312.3132165</v>
      </c>
      <c r="L303" s="182">
        <f>L230*L$250</f>
        <v>2162.336785</v>
      </c>
      <c r="M303" s="182">
        <f t="shared" ref="M303:O303" si="2214">M230*M$250</f>
        <v>1655.2603403354501</v>
      </c>
      <c r="N303" s="182">
        <f t="shared" ref="N303" si="2215">N230*N$250</f>
        <v>2389.844827118276</v>
      </c>
      <c r="O303" s="182">
        <f t="shared" si="2214"/>
        <v>1438.1158907598697</v>
      </c>
      <c r="P303" s="182">
        <f t="shared" ref="P303:Q303" si="2216">P230*P$250</f>
        <v>1882.3830762699872</v>
      </c>
      <c r="Q303" s="182">
        <f t="shared" si="2216"/>
        <v>2277.2838563550572</v>
      </c>
      <c r="R303" s="182">
        <f t="shared" ref="R303" si="2217">R230*R$250</f>
        <v>2094.3097436329954</v>
      </c>
      <c r="S303" s="182"/>
      <c r="T303" s="182">
        <f t="shared" si="2211"/>
        <v>879.15563438249103</v>
      </c>
      <c r="U303" s="182">
        <f t="shared" si="2211"/>
        <v>852.37125611857141</v>
      </c>
      <c r="V303" s="182">
        <f t="shared" si="2211"/>
        <v>908.33011497346695</v>
      </c>
      <c r="W303" s="182">
        <f t="shared" si="2211"/>
        <v>693.87120343638935</v>
      </c>
      <c r="X303" s="182">
        <f t="shared" si="2211"/>
        <v>793.28104396052242</v>
      </c>
      <c r="Y303" s="182">
        <f t="shared" si="2211"/>
        <v>581.10986506536153</v>
      </c>
      <c r="Z303" s="182">
        <f t="shared" si="2211"/>
        <v>558.22609910875724</v>
      </c>
      <c r="AA303" s="182">
        <f t="shared" si="2211"/>
        <v>684.52591472912536</v>
      </c>
      <c r="AB303" s="182">
        <f t="shared" si="2211"/>
        <v>661.47711964857137</v>
      </c>
      <c r="AC303" s="182">
        <f t="shared" si="2211"/>
        <v>648.14036150195102</v>
      </c>
      <c r="AD303" s="182">
        <f t="shared" si="2211"/>
        <v>705.34615008336743</v>
      </c>
      <c r="AE303" s="182">
        <f t="shared" ref="AE303:AJ303" si="2218">AE230*AE$250</f>
        <v>1015.325033425364</v>
      </c>
      <c r="AF303" s="182">
        <f t="shared" si="2218"/>
        <v>1163.7903057000001</v>
      </c>
      <c r="AG303" s="182">
        <f t="shared" si="2218"/>
        <v>999.20251183999994</v>
      </c>
      <c r="AH303" s="182">
        <f t="shared" si="2218"/>
        <v>970.41472920000001</v>
      </c>
      <c r="AI303" s="182">
        <f t="shared" si="2218"/>
        <v>1185.1113579905661</v>
      </c>
      <c r="AJ303" s="182">
        <f t="shared" si="2218"/>
        <v>1183.0391341808122</v>
      </c>
      <c r="AK303" s="182">
        <f t="shared" ref="AK303:AP303" si="2219">AK230*AK$250</f>
        <v>1350.2578279919999</v>
      </c>
      <c r="AL303" s="182">
        <f t="shared" si="2219"/>
        <v>1495.0265620499999</v>
      </c>
      <c r="AM303" s="182">
        <f t="shared" si="2219"/>
        <v>1623.7838613399997</v>
      </c>
      <c r="AN303" s="182">
        <f t="shared" si="2219"/>
        <v>1237.659205758674</v>
      </c>
      <c r="AO303" s="182">
        <f t="shared" si="2219"/>
        <v>1229.8107004552485</v>
      </c>
      <c r="AP303" s="182">
        <f t="shared" si="2219"/>
        <v>938.3980932500001</v>
      </c>
      <c r="AQ303" s="182">
        <f t="shared" ref="AQ303:AX303" si="2220">AQ230*AQ$250</f>
        <v>1203.742411495396</v>
      </c>
      <c r="AR303" s="182">
        <f t="shared" si="2220"/>
        <v>1137.9997273346967</v>
      </c>
      <c r="AS303" s="182">
        <f t="shared" si="2220"/>
        <v>898.86683870000002</v>
      </c>
      <c r="AT303" s="182">
        <f t="shared" si="2220"/>
        <v>1104.3082595790465</v>
      </c>
      <c r="AU303" s="182">
        <f t="shared" si="2220"/>
        <v>1312.3132165</v>
      </c>
      <c r="AV303" s="182">
        <f t="shared" si="2220"/>
        <v>1529.0028744000001</v>
      </c>
      <c r="AW303" s="182">
        <f t="shared" si="2220"/>
        <v>1100.9824631480301</v>
      </c>
      <c r="AX303" s="182">
        <f t="shared" si="2220"/>
        <v>1445.725377730588</v>
      </c>
      <c r="AY303" s="182">
        <f t="shared" ref="AY303:BB303" si="2221">AY230*AY$250</f>
        <v>1655.2603403354501</v>
      </c>
      <c r="AZ303" s="182">
        <f t="shared" si="2221"/>
        <v>1436.6153480959003</v>
      </c>
      <c r="BA303" s="182">
        <f t="shared" si="2221"/>
        <v>1386.189993414705</v>
      </c>
      <c r="BB303" s="182">
        <f t="shared" si="2221"/>
        <v>1004.3644852973464</v>
      </c>
      <c r="BC303" s="182">
        <f t="shared" ref="BC303:BF303" si="2222">BC230*BC$250</f>
        <v>1438.1158907598697</v>
      </c>
      <c r="BD303" s="182">
        <f t="shared" si="2222"/>
        <v>1156.1598715924697</v>
      </c>
      <c r="BE303" s="182">
        <f t="shared" si="2222"/>
        <v>1508.9101211646271</v>
      </c>
      <c r="BF303" s="182">
        <f t="shared" si="2222"/>
        <v>1717.9278926156421</v>
      </c>
      <c r="BG303" s="182">
        <f t="shared" ref="BG303:BH303" si="2223">BG230*BG$250</f>
        <v>2277.2838563550572</v>
      </c>
      <c r="BH303" s="182">
        <f t="shared" si="2223"/>
        <v>2094.3097436329954</v>
      </c>
      <c r="BJ303" s="182">
        <f t="shared" ref="BJ303:BL303" si="2224">BJ230*BJ$250</f>
        <v>2576.1776548000003</v>
      </c>
      <c r="BK303" s="182">
        <f t="shared" si="2224"/>
        <v>1888.6908044829204</v>
      </c>
      <c r="BL303" s="182">
        <f t="shared" si="2224"/>
        <v>2159.4125609787243</v>
      </c>
      <c r="BM303" s="182">
        <f t="shared" ref="BM303:BN303" si="2225">BM230*BM$250</f>
        <v>2389.844827118276</v>
      </c>
      <c r="BN303" s="182">
        <f t="shared" si="2225"/>
        <v>1436.6153480959003</v>
      </c>
      <c r="BO303" s="182">
        <f t="shared" ref="BO303:BR303" si="2226">BO230*BO$250</f>
        <v>1386.189993414705</v>
      </c>
      <c r="BP303" s="182">
        <f t="shared" si="2226"/>
        <v>1004.3644852973464</v>
      </c>
      <c r="BQ303" s="182">
        <f t="shared" si="2226"/>
        <v>1882.3830762699872</v>
      </c>
      <c r="BR303" s="182">
        <f t="shared" si="2226"/>
        <v>1156.1598715924697</v>
      </c>
      <c r="BW303" s="39"/>
      <c r="BX303" s="39"/>
    </row>
    <row r="304" spans="2:76" ht="13.5" customHeight="1">
      <c r="C304" s="182"/>
      <c r="D304" s="182"/>
      <c r="E304" s="182"/>
      <c r="F304" s="182"/>
      <c r="G304" s="182"/>
      <c r="H304" s="182"/>
      <c r="I304" s="182"/>
      <c r="J304" s="182"/>
      <c r="K304" s="182"/>
      <c r="L304" s="182"/>
      <c r="M304" s="182"/>
      <c r="N304" s="182"/>
      <c r="O304" s="182"/>
      <c r="P304" s="182"/>
      <c r="Q304" s="182"/>
      <c r="R304" s="182"/>
      <c r="S304" s="182"/>
      <c r="T304" s="182"/>
      <c r="U304" s="182"/>
      <c r="V304" s="182"/>
      <c r="W304" s="182"/>
      <c r="X304" s="182"/>
      <c r="Y304" s="182"/>
      <c r="Z304" s="182"/>
      <c r="AA304" s="182"/>
      <c r="AB304" s="182"/>
      <c r="AC304" s="182"/>
      <c r="AD304" s="182"/>
      <c r="AE304" s="182"/>
      <c r="AF304" s="182"/>
      <c r="AG304" s="182"/>
      <c r="AH304" s="182"/>
      <c r="AI304" s="182"/>
      <c r="AJ304" s="182"/>
      <c r="AK304" s="182"/>
      <c r="AL304" s="182"/>
      <c r="AM304" s="182"/>
      <c r="AN304" s="182"/>
      <c r="AO304" s="182"/>
      <c r="AP304" s="182"/>
      <c r="AQ304" s="182"/>
      <c r="AR304" s="182"/>
      <c r="AS304" s="182"/>
      <c r="AT304" s="182"/>
      <c r="AU304" s="182"/>
      <c r="AV304" s="182"/>
      <c r="AW304" s="182"/>
      <c r="AX304" s="182"/>
      <c r="AY304" s="182"/>
      <c r="AZ304" s="182"/>
      <c r="BA304" s="182"/>
      <c r="BB304" s="182"/>
      <c r="BC304" s="182"/>
      <c r="BD304" s="182"/>
      <c r="BE304" s="182"/>
      <c r="BF304" s="182"/>
      <c r="BG304" s="182"/>
      <c r="BH304" s="182"/>
      <c r="BJ304" s="182"/>
      <c r="BK304" s="182"/>
      <c r="BL304" s="182"/>
      <c r="BM304" s="182"/>
      <c r="BN304" s="182"/>
      <c r="BO304" s="182"/>
      <c r="BP304" s="182"/>
      <c r="BQ304" s="182"/>
      <c r="BR304" s="182"/>
      <c r="BW304" s="39"/>
      <c r="BX304" s="39"/>
    </row>
    <row r="305" spans="2:76" ht="13.5" customHeight="1">
      <c r="B305" s="1" t="s">
        <v>393</v>
      </c>
      <c r="C305" s="182">
        <f t="shared" ref="C305:AE305" si="2227">C232*C$250</f>
        <v>2054.4216505974341</v>
      </c>
      <c r="D305" s="182">
        <f t="shared" si="2227"/>
        <v>1876.1180032356544</v>
      </c>
      <c r="E305" s="182">
        <f t="shared" si="2227"/>
        <v>1607.7521167347049</v>
      </c>
      <c r="F305" s="182">
        <f t="shared" si="2227"/>
        <v>1955.1674207312929</v>
      </c>
      <c r="G305" s="182">
        <f t="shared" si="2227"/>
        <v>2271.2841549339992</v>
      </c>
      <c r="H305" s="182">
        <f t="shared" ref="H305:J306" si="2228">H232*H$250</f>
        <v>2631.6991623847398</v>
      </c>
      <c r="I305" s="182">
        <f t="shared" si="2228"/>
        <v>2310.2032461500003</v>
      </c>
      <c r="J305" s="182">
        <f t="shared" si="2228"/>
        <v>2448.7839812484081</v>
      </c>
      <c r="K305" s="182">
        <f t="shared" ref="K305" si="2229">K232*K$250</f>
        <v>2747.687668</v>
      </c>
      <c r="L305" s="182">
        <f>L232*L$250</f>
        <v>4534.5410695</v>
      </c>
      <c r="M305" s="182">
        <f t="shared" ref="M305:O305" si="2230">M232*M$250</f>
        <v>3586.5863662269985</v>
      </c>
      <c r="N305" s="182">
        <f t="shared" ref="N305" si="2231">N232*N$250</f>
        <v>4991.5786313304025</v>
      </c>
      <c r="O305" s="182">
        <f t="shared" si="2230"/>
        <v>4159.0080373567289</v>
      </c>
      <c r="P305" s="182">
        <f t="shared" ref="P305:Q305" si="2232">P232*P$250</f>
        <v>5113.5636620914111</v>
      </c>
      <c r="Q305" s="182">
        <f t="shared" si="2232"/>
        <v>5749.0418704476615</v>
      </c>
      <c r="R305" s="182">
        <f t="shared" ref="R305:R306" si="2233">R232*R$250</f>
        <v>6900.546549047619</v>
      </c>
      <c r="S305" s="182"/>
      <c r="T305" s="182">
        <f t="shared" si="2227"/>
        <v>1973.600284009189</v>
      </c>
      <c r="U305" s="182">
        <f t="shared" si="2227"/>
        <v>1782.2079050525692</v>
      </c>
      <c r="V305" s="182">
        <f t="shared" si="2227"/>
        <v>1739.7104213742018</v>
      </c>
      <c r="W305" s="182">
        <f t="shared" si="2227"/>
        <v>1607.7521167347049</v>
      </c>
      <c r="X305" s="182">
        <f t="shared" si="2227"/>
        <v>1855.3842002089389</v>
      </c>
      <c r="Y305" s="182">
        <f t="shared" si="2227"/>
        <v>1938.0688774094642</v>
      </c>
      <c r="Z305" s="182">
        <f t="shared" si="2227"/>
        <v>1965.8792662555391</v>
      </c>
      <c r="AA305" s="182">
        <f t="shared" si="2227"/>
        <v>1955.1674207312929</v>
      </c>
      <c r="AB305" s="182">
        <f t="shared" si="2227"/>
        <v>2090.1396773191968</v>
      </c>
      <c r="AC305" s="182">
        <f t="shared" si="2227"/>
        <v>2070.4276077930058</v>
      </c>
      <c r="AD305" s="182">
        <f t="shared" si="2227"/>
        <v>1923.6421799037014</v>
      </c>
      <c r="AE305" s="182">
        <f t="shared" si="2227"/>
        <v>2271.2841549339992</v>
      </c>
      <c r="AF305" s="182">
        <f t="shared" ref="AF305:AI306" si="2234">AF232*AF$250</f>
        <v>2491.3393113500001</v>
      </c>
      <c r="AG305" s="182">
        <f t="shared" si="2234"/>
        <v>2430.6470718399996</v>
      </c>
      <c r="AH305" s="182">
        <f t="shared" si="2234"/>
        <v>2452.38207354</v>
      </c>
      <c r="AI305" s="182">
        <f t="shared" si="2234"/>
        <v>2554.94951831457</v>
      </c>
      <c r="AJ305" s="182">
        <f t="shared" ref="AJ305:AM306" si="2235">AJ232*AJ$250</f>
        <v>2432.9420922955997</v>
      </c>
      <c r="AK305" s="182">
        <f t="shared" si="2235"/>
        <v>2319.1095735399999</v>
      </c>
      <c r="AL305" s="182">
        <f t="shared" si="2235"/>
        <v>2190.2026147000001</v>
      </c>
      <c r="AM305" s="182">
        <f t="shared" si="2235"/>
        <v>2310.2032461500003</v>
      </c>
      <c r="AN305" s="182">
        <f t="shared" ref="AN305:AQ306" si="2236">AN232*AN$250</f>
        <v>2337.4554950980987</v>
      </c>
      <c r="AO305" s="182">
        <f t="shared" si="2236"/>
        <v>2837.0100813998347</v>
      </c>
      <c r="AP305" s="182">
        <f t="shared" si="2236"/>
        <v>2502.8346794199997</v>
      </c>
      <c r="AQ305" s="182">
        <f t="shared" si="2236"/>
        <v>2448.7839812484081</v>
      </c>
      <c r="AR305" s="182">
        <f t="shared" ref="AR305:AU306" si="2237">AR232*AR$250</f>
        <v>2675.7076346284939</v>
      </c>
      <c r="AS305" s="182">
        <f t="shared" si="2237"/>
        <v>2659.0501562999998</v>
      </c>
      <c r="AT305" s="182">
        <f t="shared" si="2237"/>
        <v>2624.4787279480543</v>
      </c>
      <c r="AU305" s="182">
        <f t="shared" si="2237"/>
        <v>2747.687668</v>
      </c>
      <c r="AV305" s="182">
        <f t="shared" ref="AV305:AX305" si="2238">AV232*AV$250</f>
        <v>3146.8492738</v>
      </c>
      <c r="AW305" s="182">
        <f t="shared" si="2238"/>
        <v>2472.7009671001592</v>
      </c>
      <c r="AX305" s="182">
        <f t="shared" si="2238"/>
        <v>3188.2893118936331</v>
      </c>
      <c r="AY305" s="182">
        <f t="shared" ref="AY305:BB305" si="2239">AY232*AY$250</f>
        <v>3586.5863662269985</v>
      </c>
      <c r="AZ305" s="182">
        <f t="shared" si="2239"/>
        <v>3436.7446412992213</v>
      </c>
      <c r="BA305" s="182">
        <f t="shared" si="2239"/>
        <v>4005.2543608435303</v>
      </c>
      <c r="BB305" s="182">
        <f t="shared" si="2239"/>
        <v>4081.9882905695172</v>
      </c>
      <c r="BC305" s="182">
        <f t="shared" ref="BC305" si="2240">BC232*BC$250</f>
        <v>4159.0080373567289</v>
      </c>
      <c r="BD305" s="182">
        <f>BD232*BD$250</f>
        <v>4450.2791651402031</v>
      </c>
      <c r="BE305" s="182">
        <f t="shared" ref="BE305:BG306" si="2241">BE232*BE$250</f>
        <v>5439.1734482689326</v>
      </c>
      <c r="BF305" s="182">
        <f t="shared" si="2241"/>
        <v>5597.6103998537938</v>
      </c>
      <c r="BG305" s="182">
        <f t="shared" si="2241"/>
        <v>5749.0418704476615</v>
      </c>
      <c r="BH305" s="182">
        <f>BH232*BH$250</f>
        <v>6900.546549047619</v>
      </c>
      <c r="BJ305" s="182">
        <f t="shared" ref="BJ305:BL305" si="2242">BJ232*BJ$250</f>
        <v>3146.8492738</v>
      </c>
      <c r="BK305" s="182">
        <f t="shared" si="2242"/>
        <v>2472.7009671001592</v>
      </c>
      <c r="BL305" s="182">
        <f t="shared" si="2242"/>
        <v>3188.2893118936331</v>
      </c>
      <c r="BM305" s="182">
        <f t="shared" ref="BM305:BN305" si="2243">BM232*BM$250</f>
        <v>186.66897356565161</v>
      </c>
      <c r="BN305" s="182">
        <f t="shared" si="2243"/>
        <v>3436.7446412992213</v>
      </c>
      <c r="BO305" s="182">
        <f t="shared" ref="BO305:BR305" si="2244">BO232*BO$250</f>
        <v>4005.2543608435303</v>
      </c>
      <c r="BP305" s="182">
        <f t="shared" si="2244"/>
        <v>4081.9882905695172</v>
      </c>
      <c r="BQ305" s="182">
        <f t="shared" si="2244"/>
        <v>330.11269279750951</v>
      </c>
      <c r="BR305" s="182">
        <f t="shared" si="2244"/>
        <v>4450.2791651402031</v>
      </c>
      <c r="BW305" s="39"/>
      <c r="BX305" s="39"/>
    </row>
    <row r="306" spans="2:76" ht="13.5" customHeight="1">
      <c r="B306" s="1" t="s">
        <v>386</v>
      </c>
      <c r="C306" s="182">
        <f t="shared" ref="C306:AE306" si="2245">C233*C$250</f>
        <v>1355.5892541887217</v>
      </c>
      <c r="D306" s="182">
        <f t="shared" si="2245"/>
        <v>1131.1210021242114</v>
      </c>
      <c r="E306" s="182">
        <f t="shared" si="2245"/>
        <v>913.88091329831559</v>
      </c>
      <c r="F306" s="182">
        <f t="shared" si="2245"/>
        <v>1270.6415060021675</v>
      </c>
      <c r="G306" s="182">
        <f t="shared" si="2245"/>
        <v>1255.959121508635</v>
      </c>
      <c r="H306" s="182">
        <f t="shared" si="2228"/>
        <v>1410.9875413528541</v>
      </c>
      <c r="I306" s="182">
        <f t="shared" si="2228"/>
        <v>686.41938481000022</v>
      </c>
      <c r="J306" s="182">
        <f t="shared" si="2228"/>
        <v>1245.041569753012</v>
      </c>
      <c r="K306" s="182">
        <f t="shared" ref="K306" si="2246">K233*K$250</f>
        <v>1435.3744515000001</v>
      </c>
      <c r="L306" s="182">
        <f>L233*L$250</f>
        <v>2372.2042845000001</v>
      </c>
      <c r="M306" s="182">
        <f t="shared" ref="M306:O306" si="2247">M233*M$250</f>
        <v>1931.3260258915486</v>
      </c>
      <c r="N306" s="182">
        <f t="shared" ref="N306" si="2248">N233*N$250</f>
        <v>2601.7338042121264</v>
      </c>
      <c r="O306" s="182">
        <f t="shared" si="2247"/>
        <v>2720.8921465968588</v>
      </c>
      <c r="P306" s="182">
        <f t="shared" ref="P306:Q306" si="2249">P233*P$250</f>
        <v>3231.1805858214238</v>
      </c>
      <c r="Q306" s="182">
        <f t="shared" si="2249"/>
        <v>3471.7580140926052</v>
      </c>
      <c r="R306" s="182">
        <f t="shared" si="2233"/>
        <v>4806.2368054146227</v>
      </c>
      <c r="S306" s="182"/>
      <c r="T306" s="182">
        <f t="shared" si="2245"/>
        <v>1094.444649626698</v>
      </c>
      <c r="U306" s="182">
        <f t="shared" si="2245"/>
        <v>929.83664893399782</v>
      </c>
      <c r="V306" s="182">
        <f t="shared" si="2245"/>
        <v>831.38030640073487</v>
      </c>
      <c r="W306" s="182">
        <f t="shared" si="2245"/>
        <v>913.88091329831559</v>
      </c>
      <c r="X306" s="182">
        <f t="shared" si="2245"/>
        <v>1062.1031562484163</v>
      </c>
      <c r="Y306" s="182">
        <f t="shared" si="2245"/>
        <v>1356.9590123441026</v>
      </c>
      <c r="Z306" s="182">
        <f t="shared" si="2245"/>
        <v>1407.6531671467817</v>
      </c>
      <c r="AA306" s="182">
        <f t="shared" si="2245"/>
        <v>1270.6415060021675</v>
      </c>
      <c r="AB306" s="182">
        <f t="shared" si="2245"/>
        <v>1428.6625576706251</v>
      </c>
      <c r="AC306" s="182">
        <f t="shared" si="2245"/>
        <v>1422.2872462910548</v>
      </c>
      <c r="AD306" s="182">
        <f t="shared" si="2245"/>
        <v>1218.2960298203341</v>
      </c>
      <c r="AE306" s="182">
        <f t="shared" si="2245"/>
        <v>1255.959121508635</v>
      </c>
      <c r="AF306" s="182">
        <f t="shared" si="2234"/>
        <v>1327.54900565</v>
      </c>
      <c r="AG306" s="182">
        <f t="shared" si="2234"/>
        <v>1431.4445599999999</v>
      </c>
      <c r="AH306" s="182">
        <f t="shared" si="2234"/>
        <v>1481.9673443399997</v>
      </c>
      <c r="AI306" s="182">
        <f t="shared" si="2234"/>
        <v>1369.8381603240041</v>
      </c>
      <c r="AJ306" s="182">
        <f t="shared" si="2235"/>
        <v>1249.9029581147875</v>
      </c>
      <c r="AK306" s="182">
        <f t="shared" si="2235"/>
        <v>968.85174554799994</v>
      </c>
      <c r="AL306" s="182">
        <f t="shared" si="2235"/>
        <v>695.17605265000009</v>
      </c>
      <c r="AM306" s="182">
        <f t="shared" si="2235"/>
        <v>686.41938481000022</v>
      </c>
      <c r="AN306" s="182">
        <f t="shared" si="2236"/>
        <v>1099.7962893394249</v>
      </c>
      <c r="AO306" s="182">
        <f t="shared" si="2236"/>
        <v>1607.1993809445862</v>
      </c>
      <c r="AP306" s="182">
        <f t="shared" si="2236"/>
        <v>1564.4365861699998</v>
      </c>
      <c r="AQ306" s="182">
        <f t="shared" si="2236"/>
        <v>1245.041569753012</v>
      </c>
      <c r="AR306" s="182">
        <f t="shared" si="2237"/>
        <v>1537.7079072937972</v>
      </c>
      <c r="AS306" s="182">
        <f t="shared" si="2237"/>
        <v>1760.1833176</v>
      </c>
      <c r="AT306" s="182">
        <f t="shared" si="2237"/>
        <v>1520.1704683690075</v>
      </c>
      <c r="AU306" s="182">
        <f t="shared" si="2237"/>
        <v>1435.3744515000001</v>
      </c>
      <c r="AV306" s="182">
        <f t="shared" ref="AV306:AX306" si="2250">AV233*AV$250</f>
        <v>1617.8463994000001</v>
      </c>
      <c r="AW306" s="182">
        <f t="shared" si="2250"/>
        <v>1371.7185039521289</v>
      </c>
      <c r="AX306" s="182">
        <f t="shared" si="2250"/>
        <v>1742.5639341630451</v>
      </c>
      <c r="AY306" s="182">
        <f t="shared" ref="AY306:BB306" si="2251">AY233*AY$250</f>
        <v>1931.3260258915486</v>
      </c>
      <c r="AZ306" s="182">
        <f t="shared" si="2251"/>
        <v>2000.1292932033209</v>
      </c>
      <c r="BA306" s="182">
        <f t="shared" si="2251"/>
        <v>2619.0643674288249</v>
      </c>
      <c r="BB306" s="182">
        <f t="shared" si="2251"/>
        <v>3077.623805272171</v>
      </c>
      <c r="BC306" s="182">
        <f t="shared" ref="BC306" si="2252">BC233*BC$250</f>
        <v>2720.8921465968588</v>
      </c>
      <c r="BD306" s="182">
        <f>BD233*BD$250</f>
        <v>3294.1192935477329</v>
      </c>
      <c r="BE306" s="182">
        <f t="shared" ref="BE306:BF306" si="2253">BE233*BE$250</f>
        <v>3930.263327104306</v>
      </c>
      <c r="BF306" s="182">
        <f t="shared" si="2253"/>
        <v>3879.6825072381521</v>
      </c>
      <c r="BG306" s="182">
        <f t="shared" si="2241"/>
        <v>3471.7580140926052</v>
      </c>
      <c r="BH306" s="182">
        <f>BH233*BH$250</f>
        <v>4806.2368054146227</v>
      </c>
      <c r="BJ306" s="182">
        <f t="shared" ref="BJ306:BL306" si="2254">BJ233*BJ$250</f>
        <v>570.67161899999996</v>
      </c>
      <c r="BK306" s="182">
        <f t="shared" si="2254"/>
        <v>584.01016261723896</v>
      </c>
      <c r="BL306" s="182">
        <f t="shared" si="2254"/>
        <v>1028.8767509149088</v>
      </c>
      <c r="BM306" s="182">
        <f t="shared" ref="BM306:BN306" si="2255">BM233*BM$250</f>
        <v>-2203.1758535526242</v>
      </c>
      <c r="BN306" s="182">
        <f t="shared" si="2255"/>
        <v>2000.1292932033209</v>
      </c>
      <c r="BO306" s="182">
        <f t="shared" ref="BO306:BR306" si="2256">BO233*BO$250</f>
        <v>2619.0643674288249</v>
      </c>
      <c r="BP306" s="182">
        <f t="shared" si="2256"/>
        <v>3077.623805272171</v>
      </c>
      <c r="BQ306" s="182">
        <f t="shared" si="2256"/>
        <v>-1552.2703834724775</v>
      </c>
      <c r="BR306" s="182">
        <f t="shared" si="2256"/>
        <v>3294.1192935477329</v>
      </c>
      <c r="BW306" s="39"/>
      <c r="BX306" s="39"/>
    </row>
    <row r="307" spans="2:76" ht="13.5" customHeight="1">
      <c r="C307" s="182"/>
      <c r="D307" s="182"/>
      <c r="E307" s="182"/>
      <c r="F307" s="182"/>
      <c r="G307" s="182"/>
      <c r="H307" s="182"/>
      <c r="I307" s="182"/>
      <c r="J307" s="182"/>
      <c r="K307" s="182"/>
      <c r="L307" s="182"/>
      <c r="M307" s="182"/>
      <c r="N307" s="182"/>
      <c r="O307" s="182"/>
      <c r="P307" s="182"/>
      <c r="Q307" s="182"/>
      <c r="R307" s="182"/>
      <c r="S307" s="182"/>
      <c r="T307" s="182"/>
      <c r="U307" s="182"/>
      <c r="V307" s="182"/>
      <c r="W307" s="182"/>
      <c r="X307" s="182"/>
      <c r="Y307" s="182"/>
      <c r="Z307" s="182"/>
      <c r="AA307" s="182"/>
      <c r="AB307" s="182"/>
      <c r="AC307" s="182"/>
      <c r="AD307" s="182"/>
      <c r="AE307" s="182"/>
      <c r="AF307" s="182"/>
      <c r="AG307" s="182"/>
      <c r="AH307" s="182"/>
      <c r="AI307" s="182"/>
      <c r="AJ307" s="182"/>
      <c r="AK307" s="182"/>
      <c r="AL307" s="182"/>
      <c r="AM307" s="182"/>
      <c r="AN307" s="182"/>
      <c r="AO307" s="182"/>
      <c r="AP307" s="182"/>
      <c r="AQ307" s="182"/>
      <c r="AR307" s="182"/>
      <c r="AS307" s="182"/>
      <c r="AT307" s="182"/>
      <c r="AU307" s="182"/>
      <c r="AV307" s="182"/>
      <c r="AW307" s="182"/>
      <c r="AX307" s="182"/>
      <c r="AY307" s="182"/>
      <c r="AZ307" s="182"/>
      <c r="BA307" s="182"/>
      <c r="BB307" s="182"/>
      <c r="BC307" s="182"/>
      <c r="BD307" s="182"/>
      <c r="BE307" s="182"/>
      <c r="BF307" s="182"/>
      <c r="BG307" s="182"/>
      <c r="BH307" s="182"/>
      <c r="BJ307" s="182"/>
      <c r="BK307" s="182"/>
      <c r="BL307" s="182"/>
      <c r="BM307" s="182"/>
      <c r="BN307" s="182"/>
      <c r="BO307" s="182"/>
      <c r="BP307" s="182"/>
      <c r="BQ307" s="182"/>
      <c r="BR307" s="182"/>
      <c r="BW307" s="39"/>
      <c r="BX307" s="39"/>
    </row>
    <row r="308" spans="2:76" ht="13.5" customHeight="1">
      <c r="B308" s="1" t="s">
        <v>369</v>
      </c>
      <c r="C308" s="182">
        <f>C162*C$250</f>
        <v>1896.8892539126014</v>
      </c>
      <c r="D308" s="182">
        <f t="shared" ref="D308:BN308" si="2257">D162*D$250</f>
        <v>1608.1433503016303</v>
      </c>
      <c r="E308" s="182">
        <f t="shared" si="2257"/>
        <v>1706.2338956957449</v>
      </c>
      <c r="F308" s="182">
        <f t="shared" si="2257"/>
        <v>1833.3134810738402</v>
      </c>
      <c r="G308" s="182">
        <f t="shared" si="2257"/>
        <v>1562.3108559239802</v>
      </c>
      <c r="H308" s="182">
        <f t="shared" si="2257"/>
        <v>1727.3120644752585</v>
      </c>
      <c r="I308" s="182">
        <f t="shared" si="2257"/>
        <v>3108.28775</v>
      </c>
      <c r="J308" s="182">
        <f t="shared" si="2257"/>
        <v>1582.6228995732599</v>
      </c>
      <c r="K308" s="182">
        <f t="shared" si="2257"/>
        <v>1450.1538800000001</v>
      </c>
      <c r="L308" s="182">
        <f t="shared" si="2257"/>
        <v>3105.1084350000001</v>
      </c>
      <c r="M308" s="182">
        <f t="shared" si="2257"/>
        <v>2020.6853864734296</v>
      </c>
      <c r="N308" s="182">
        <f t="shared" si="2257"/>
        <v>2917.4411401508978</v>
      </c>
      <c r="O308" s="182">
        <f t="shared" si="2257"/>
        <v>2780.5990377812368</v>
      </c>
      <c r="P308" s="182">
        <f t="shared" ref="P308:Q308" si="2258">P162*P$250</f>
        <v>2124.3411065515775</v>
      </c>
      <c r="Q308" s="182">
        <f t="shared" si="2258"/>
        <v>1766.933193974678</v>
      </c>
      <c r="R308" s="182">
        <f t="shared" si="2257"/>
        <v>2065.1971577446452</v>
      </c>
      <c r="S308" s="182"/>
      <c r="T308" s="182">
        <f t="shared" si="2257"/>
        <v>1622.1476723464468</v>
      </c>
      <c r="U308" s="182">
        <f t="shared" si="2257"/>
        <v>1687.3330677103002</v>
      </c>
      <c r="V308" s="182">
        <f t="shared" si="2257"/>
        <v>1764.7145863137914</v>
      </c>
      <c r="W308" s="182">
        <f t="shared" si="2257"/>
        <v>1706.2338956957449</v>
      </c>
      <c r="X308" s="182">
        <f t="shared" si="2257"/>
        <v>1663.1445754844906</v>
      </c>
      <c r="Y308" s="182">
        <f t="shared" si="2257"/>
        <v>1774.2246428649191</v>
      </c>
      <c r="Z308" s="182">
        <f t="shared" si="2257"/>
        <v>1842.7050921574453</v>
      </c>
      <c r="AA308" s="182">
        <f t="shared" si="2257"/>
        <v>1833.3134810738402</v>
      </c>
      <c r="AB308" s="182">
        <f t="shared" si="2257"/>
        <v>1717.2769042795314</v>
      </c>
      <c r="AC308" s="182">
        <f t="shared" si="2257"/>
        <v>1582.2775849396373</v>
      </c>
      <c r="AD308" s="182">
        <f t="shared" si="2257"/>
        <v>1502.6920775179792</v>
      </c>
      <c r="AE308" s="182">
        <f t="shared" si="2257"/>
        <v>1562.3108559239802</v>
      </c>
      <c r="AF308" s="182">
        <f t="shared" si="2257"/>
        <v>1580.2540374499999</v>
      </c>
      <c r="AG308" s="182">
        <f t="shared" si="2257"/>
        <v>1582.29549296</v>
      </c>
      <c r="AH308" s="182">
        <f t="shared" si="2257"/>
        <v>1620.3010647599997</v>
      </c>
      <c r="AI308" s="182">
        <f t="shared" si="2257"/>
        <v>1676.937542933649</v>
      </c>
      <c r="AJ308" s="182">
        <f t="shared" si="2257"/>
        <v>1511.8719107577429</v>
      </c>
      <c r="AK308" s="182">
        <f t="shared" si="2257"/>
        <v>1587.791310028</v>
      </c>
      <c r="AL308" s="182">
        <f t="shared" si="2257"/>
        <v>1671.89832695</v>
      </c>
      <c r="AM308" s="182">
        <f t="shared" si="2257"/>
        <v>3108.28775</v>
      </c>
      <c r="AN308" s="182">
        <f t="shared" si="2257"/>
        <v>1755.8849477090127</v>
      </c>
      <c r="AO308" s="182">
        <f t="shared" si="2257"/>
        <v>1773.8144596600919</v>
      </c>
      <c r="AP308" s="182">
        <f t="shared" si="2257"/>
        <v>1783.0601676499998</v>
      </c>
      <c r="AQ308" s="182">
        <f t="shared" si="2257"/>
        <v>1582.6228995732599</v>
      </c>
      <c r="AR308" s="182">
        <f t="shared" si="2257"/>
        <v>1535.1154737559648</v>
      </c>
      <c r="AS308" s="182">
        <f t="shared" si="2257"/>
        <v>1465.0174930999999</v>
      </c>
      <c r="AT308" s="182">
        <f t="shared" si="2257"/>
        <v>1360.7384800038928</v>
      </c>
      <c r="AU308" s="182">
        <f t="shared" si="2257"/>
        <v>1450.1538800000001</v>
      </c>
      <c r="AV308" s="182">
        <f t="shared" si="2257"/>
        <v>1361.2202949</v>
      </c>
      <c r="AW308" s="182">
        <f t="shared" si="2257"/>
        <v>1307.5352388560718</v>
      </c>
      <c r="AX308" s="182">
        <f t="shared" si="2257"/>
        <v>1310.1555071496073</v>
      </c>
      <c r="AY308" s="182">
        <f t="shared" si="2257"/>
        <v>2020.6853864734296</v>
      </c>
      <c r="AZ308" s="182">
        <f t="shared" si="2257"/>
        <v>805.44884224934412</v>
      </c>
      <c r="BA308" s="182">
        <f t="shared" si="2257"/>
        <v>1042.7361747094046</v>
      </c>
      <c r="BB308" s="182">
        <f t="shared" si="2257"/>
        <v>1051.142781867947</v>
      </c>
      <c r="BC308" s="182">
        <f t="shared" si="2257"/>
        <v>2780.5990377812368</v>
      </c>
      <c r="BD308" s="182">
        <f t="shared" si="2257"/>
        <v>2100.2276650756294</v>
      </c>
      <c r="BE308" s="182">
        <f t="shared" ref="BE308:BH308" si="2259">BE162*BE$250</f>
        <v>2199.7416963047799</v>
      </c>
      <c r="BF308" s="182">
        <f t="shared" si="2259"/>
        <v>1781.1930686878986</v>
      </c>
      <c r="BG308" s="182">
        <f t="shared" si="2259"/>
        <v>1766.933193974678</v>
      </c>
      <c r="BH308" s="182">
        <f t="shared" si="2259"/>
        <v>2065.1971577446452</v>
      </c>
      <c r="BI308" s="182"/>
      <c r="BJ308" s="182">
        <f t="shared" si="2257"/>
        <v>1361.2202949</v>
      </c>
      <c r="BK308" s="182">
        <f t="shared" si="2257"/>
        <v>1307.5352388560718</v>
      </c>
      <c r="BL308" s="182">
        <f t="shared" si="2257"/>
        <v>1310.1555071496073</v>
      </c>
      <c r="BM308" s="182">
        <f t="shared" si="2257"/>
        <v>2917.4411401508978</v>
      </c>
      <c r="BN308" s="182">
        <f t="shared" si="2257"/>
        <v>805.44884224934412</v>
      </c>
      <c r="BO308" s="182">
        <f t="shared" ref="BO308:BR308" si="2260">BO162*BO$250</f>
        <v>1042.7361747094046</v>
      </c>
      <c r="BP308" s="182">
        <f t="shared" si="2260"/>
        <v>1051.142781867947</v>
      </c>
      <c r="BQ308" s="182">
        <f t="shared" si="2260"/>
        <v>2780.5990377812368</v>
      </c>
      <c r="BR308" s="182">
        <f t="shared" si="2260"/>
        <v>2100.2276650756294</v>
      </c>
      <c r="BW308" s="39"/>
      <c r="BX308" s="39"/>
    </row>
    <row r="309" spans="2:76" ht="13.5" customHeight="1">
      <c r="C309" s="182"/>
      <c r="D309" s="182"/>
      <c r="E309" s="182"/>
      <c r="F309" s="182"/>
      <c r="G309" s="182"/>
      <c r="H309" s="182"/>
      <c r="I309" s="182"/>
      <c r="J309" s="182"/>
      <c r="K309" s="182"/>
      <c r="L309" s="182"/>
      <c r="M309" s="182"/>
      <c r="N309" s="182"/>
      <c r="O309" s="182"/>
      <c r="P309" s="182"/>
      <c r="Q309" s="182"/>
      <c r="R309" s="182"/>
      <c r="S309" s="182"/>
      <c r="T309" s="182"/>
      <c r="U309" s="182"/>
      <c r="V309" s="182"/>
      <c r="W309" s="182"/>
      <c r="X309" s="182"/>
      <c r="Y309" s="182"/>
      <c r="Z309" s="182"/>
      <c r="AA309" s="182"/>
      <c r="AB309" s="182"/>
      <c r="AC309" s="182"/>
      <c r="AD309" s="182"/>
      <c r="AE309" s="182"/>
      <c r="AF309" s="182"/>
      <c r="AG309" s="182"/>
      <c r="AH309" s="182"/>
      <c r="AI309" s="182"/>
      <c r="AJ309" s="182"/>
      <c r="AK309" s="182"/>
      <c r="AL309" s="182"/>
      <c r="AM309" s="182"/>
      <c r="AN309" s="182"/>
      <c r="AO309" s="182"/>
      <c r="AP309" s="182"/>
      <c r="AQ309" s="182"/>
      <c r="AR309" s="182"/>
      <c r="AS309" s="182"/>
      <c r="AT309" s="182"/>
      <c r="AU309" s="182"/>
      <c r="AV309" s="182"/>
      <c r="AW309" s="182"/>
      <c r="AX309" s="182"/>
      <c r="AY309" s="182"/>
      <c r="AZ309" s="182"/>
      <c r="BA309" s="182"/>
      <c r="BB309" s="182"/>
      <c r="BC309" s="182"/>
      <c r="BD309" s="182"/>
      <c r="BE309" s="182"/>
      <c r="BF309" s="182"/>
      <c r="BG309" s="182"/>
      <c r="BH309" s="182"/>
      <c r="BJ309" s="182"/>
      <c r="BK309" s="182"/>
      <c r="BL309" s="182"/>
      <c r="BM309" s="182"/>
      <c r="BN309" s="182"/>
      <c r="BO309" s="182"/>
      <c r="BP309" s="182"/>
      <c r="BQ309" s="182"/>
      <c r="BR309" s="182"/>
      <c r="BW309" s="39"/>
      <c r="BX309" s="39"/>
    </row>
    <row r="310" spans="2:76" ht="13.5" customHeight="1">
      <c r="B310" s="1" t="s">
        <v>364</v>
      </c>
      <c r="C310" s="182">
        <f>C154*C$250</f>
        <v>1355.5892541887217</v>
      </c>
      <c r="D310" s="182">
        <f t="shared" ref="D310:BN310" si="2261">D154*D$250</f>
        <v>1131.1210021242114</v>
      </c>
      <c r="E310" s="182">
        <f t="shared" si="2261"/>
        <v>913.88091329831559</v>
      </c>
      <c r="F310" s="182">
        <f t="shared" si="2261"/>
        <v>1270.6415060021675</v>
      </c>
      <c r="G310" s="182">
        <f t="shared" si="2261"/>
        <v>1255.959121508635</v>
      </c>
      <c r="H310" s="182">
        <f t="shared" si="2261"/>
        <v>1410.9875413528541</v>
      </c>
      <c r="I310" s="182">
        <f t="shared" si="2261"/>
        <v>686.41938481000022</v>
      </c>
      <c r="J310" s="182">
        <f t="shared" si="2261"/>
        <v>1245.041569753012</v>
      </c>
      <c r="K310" s="182">
        <f t="shared" si="2261"/>
        <v>1436.903</v>
      </c>
      <c r="L310" s="182">
        <f t="shared" si="2261"/>
        <v>2367.5889999999999</v>
      </c>
      <c r="M310" s="182">
        <f t="shared" si="2261"/>
        <v>1817.3614503609617</v>
      </c>
      <c r="N310" s="182">
        <f t="shared" si="2261"/>
        <v>2623.8940454866197</v>
      </c>
      <c r="O310" s="182">
        <f t="shared" si="2261"/>
        <v>2465.2610725909158</v>
      </c>
      <c r="P310" s="182">
        <f t="shared" ref="P310:Q310" si="2262">P154*P$250</f>
        <v>3231.1872081505589</v>
      </c>
      <c r="Q310" s="182">
        <f t="shared" si="2262"/>
        <v>3213.993905774616</v>
      </c>
      <c r="R310" s="182">
        <f t="shared" si="2261"/>
        <v>4474.7863169019847</v>
      </c>
      <c r="S310" s="182"/>
      <c r="T310" s="182">
        <f t="shared" si="2261"/>
        <v>1094.444649626698</v>
      </c>
      <c r="U310" s="182">
        <f t="shared" si="2261"/>
        <v>929.83664893399782</v>
      </c>
      <c r="V310" s="182">
        <f t="shared" si="2261"/>
        <v>831.38030640073487</v>
      </c>
      <c r="W310" s="182">
        <f t="shared" si="2261"/>
        <v>913.88091329831559</v>
      </c>
      <c r="X310" s="182">
        <f t="shared" si="2261"/>
        <v>1062.1031562484163</v>
      </c>
      <c r="Y310" s="182">
        <f t="shared" si="2261"/>
        <v>1356.9590123441026</v>
      </c>
      <c r="Z310" s="182">
        <f t="shared" si="2261"/>
        <v>1407.6531671467817</v>
      </c>
      <c r="AA310" s="182">
        <f t="shared" si="2261"/>
        <v>1270.6415060021675</v>
      </c>
      <c r="AB310" s="182">
        <f t="shared" si="2261"/>
        <v>1428.6625576706251</v>
      </c>
      <c r="AC310" s="182">
        <f t="shared" si="2261"/>
        <v>1422.2872462910548</v>
      </c>
      <c r="AD310" s="182">
        <f t="shared" si="2261"/>
        <v>1218.2960298203341</v>
      </c>
      <c r="AE310" s="182">
        <f t="shared" si="2261"/>
        <v>1255.959121508635</v>
      </c>
      <c r="AF310" s="182">
        <f t="shared" si="2261"/>
        <v>1327.54900565</v>
      </c>
      <c r="AG310" s="182">
        <f t="shared" si="2261"/>
        <v>1431.4445599999999</v>
      </c>
      <c r="AH310" s="182">
        <f t="shared" si="2261"/>
        <v>1481.9673443399997</v>
      </c>
      <c r="AI310" s="182">
        <f t="shared" si="2261"/>
        <v>1369.8381603240041</v>
      </c>
      <c r="AJ310" s="182">
        <f t="shared" si="2261"/>
        <v>1249.9029581147875</v>
      </c>
      <c r="AK310" s="182">
        <f t="shared" si="2261"/>
        <v>968.85174554799994</v>
      </c>
      <c r="AL310" s="182">
        <f t="shared" si="2261"/>
        <v>695.17605265000009</v>
      </c>
      <c r="AM310" s="182">
        <f t="shared" si="2261"/>
        <v>686.41938481000022</v>
      </c>
      <c r="AN310" s="182">
        <f t="shared" si="2261"/>
        <v>1099.7962893394249</v>
      </c>
      <c r="AO310" s="182">
        <f t="shared" si="2261"/>
        <v>1607.1993809445862</v>
      </c>
      <c r="AP310" s="182">
        <f t="shared" si="2261"/>
        <v>1564.4365861699998</v>
      </c>
      <c r="AQ310" s="182">
        <f t="shared" si="2261"/>
        <v>1245.041569753012</v>
      </c>
      <c r="AR310" s="182">
        <f t="shared" si="2261"/>
        <v>1538.9911383776416</v>
      </c>
      <c r="AS310" s="182">
        <f t="shared" si="2261"/>
        <v>1765.3774000000001</v>
      </c>
      <c r="AT310" s="182">
        <f t="shared" si="2261"/>
        <v>1536.0535464233003</v>
      </c>
      <c r="AU310" s="182">
        <f t="shared" si="2261"/>
        <v>1436.903</v>
      </c>
      <c r="AV310" s="182">
        <f t="shared" si="2261"/>
        <v>1696.4281000000001</v>
      </c>
      <c r="AW310" s="182">
        <f t="shared" si="2261"/>
        <v>1438.9359593802571</v>
      </c>
      <c r="AX310" s="182">
        <f t="shared" si="2261"/>
        <v>1595.6084372297687</v>
      </c>
      <c r="AY310" s="182">
        <f t="shared" si="2261"/>
        <v>1817.3614503609617</v>
      </c>
      <c r="AZ310" s="182">
        <f t="shared" si="2261"/>
        <v>1882.0885445728607</v>
      </c>
      <c r="BA310" s="182">
        <f t="shared" si="2261"/>
        <v>2357.9950074276003</v>
      </c>
      <c r="BB310" s="182">
        <f t="shared" si="2261"/>
        <v>2842.8740797119481</v>
      </c>
      <c r="BC310" s="182">
        <f t="shared" si="2261"/>
        <v>2465.2610725909158</v>
      </c>
      <c r="BD310" s="182">
        <f t="shared" si="2261"/>
        <v>3040.3751018009211</v>
      </c>
      <c r="BE310" s="182">
        <f t="shared" ref="BE310:BH310" si="2263">BE154*BE$250</f>
        <v>3643.4534932786783</v>
      </c>
      <c r="BF310" s="182">
        <f t="shared" si="2263"/>
        <v>3612.6554639631408</v>
      </c>
      <c r="BG310" s="182">
        <f t="shared" si="2263"/>
        <v>3213.993905774616</v>
      </c>
      <c r="BH310" s="182">
        <f t="shared" si="2263"/>
        <v>4474.7863169019847</v>
      </c>
      <c r="BJ310" s="182">
        <f t="shared" si="2261"/>
        <v>1696.4281000000001</v>
      </c>
      <c r="BK310" s="182">
        <f t="shared" si="2261"/>
        <v>1438.9359593802571</v>
      </c>
      <c r="BL310" s="182">
        <f t="shared" si="2261"/>
        <v>1595.6084372297687</v>
      </c>
      <c r="BM310" s="182">
        <f t="shared" si="2261"/>
        <v>2623.8940454866197</v>
      </c>
      <c r="BN310" s="182">
        <f t="shared" si="2261"/>
        <v>1882.0885445728607</v>
      </c>
      <c r="BO310" s="182">
        <f t="shared" ref="BO310:BR310" si="2264">BO154*BO$250</f>
        <v>2357.9950074276003</v>
      </c>
      <c r="BP310" s="182">
        <f t="shared" si="2264"/>
        <v>2842.8740797119481</v>
      </c>
      <c r="BQ310" s="182">
        <f t="shared" si="2264"/>
        <v>3231.1872081505589</v>
      </c>
      <c r="BR310" s="182">
        <f t="shared" si="2264"/>
        <v>3040.3751018009211</v>
      </c>
      <c r="BW310" s="39"/>
      <c r="BX310" s="39"/>
    </row>
    <row r="311" spans="2:76" ht="13.5" customHeight="1">
      <c r="C311" s="182"/>
      <c r="D311" s="182"/>
      <c r="E311" s="182"/>
      <c r="F311" s="182"/>
      <c r="G311" s="182"/>
      <c r="H311" s="182"/>
      <c r="I311" s="182"/>
      <c r="J311" s="182"/>
      <c r="K311" s="182"/>
      <c r="L311" s="182"/>
      <c r="M311" s="182"/>
      <c r="N311" s="182"/>
      <c r="O311" s="182"/>
      <c r="P311" s="182"/>
      <c r="Q311" s="182"/>
      <c r="R311" s="182"/>
      <c r="S311" s="182"/>
      <c r="T311" s="182"/>
      <c r="U311" s="182"/>
      <c r="V311" s="182"/>
      <c r="W311" s="182"/>
      <c r="X311" s="182"/>
      <c r="Y311" s="182"/>
      <c r="Z311" s="182"/>
      <c r="AA311" s="182"/>
      <c r="AB311" s="182"/>
      <c r="AC311" s="182"/>
      <c r="AD311" s="182"/>
      <c r="AE311" s="182"/>
      <c r="AF311" s="182"/>
      <c r="AG311" s="182"/>
      <c r="AH311" s="182"/>
      <c r="AI311" s="182"/>
      <c r="AJ311" s="182"/>
      <c r="AK311" s="182"/>
      <c r="AL311" s="182"/>
      <c r="AM311" s="182"/>
      <c r="AN311" s="182"/>
      <c r="AO311" s="182"/>
      <c r="AP311" s="182"/>
      <c r="AQ311" s="182"/>
      <c r="AR311" s="182"/>
      <c r="AS311" s="182"/>
      <c r="AT311" s="182"/>
      <c r="AU311" s="182"/>
      <c r="AV311" s="182"/>
      <c r="AW311" s="182"/>
      <c r="AX311" s="182"/>
      <c r="AY311" s="182"/>
      <c r="AZ311" s="182"/>
      <c r="BA311" s="182"/>
      <c r="BB311" s="182"/>
      <c r="BC311" s="182"/>
      <c r="BD311" s="182"/>
      <c r="BE311" s="182"/>
      <c r="BF311" s="182"/>
      <c r="BG311" s="182"/>
      <c r="BH311" s="182"/>
      <c r="BJ311" s="182"/>
      <c r="BK311" s="182"/>
      <c r="BL311" s="182"/>
      <c r="BM311" s="182"/>
      <c r="BN311" s="182"/>
      <c r="BO311" s="182"/>
      <c r="BP311" s="182"/>
      <c r="BQ311" s="182"/>
      <c r="BR311" s="182"/>
      <c r="BW311" s="39"/>
      <c r="BX311" s="39"/>
    </row>
    <row r="312" spans="2:76" ht="13.5" customHeight="1">
      <c r="B312" s="1" t="s">
        <v>398</v>
      </c>
      <c r="C312" s="182">
        <f>C156*C$250</f>
        <v>95.134729532955234</v>
      </c>
      <c r="D312" s="182">
        <f t="shared" ref="D312:BN312" si="2265">D156*D$250</f>
        <v>52.414369146308665</v>
      </c>
      <c r="E312" s="182">
        <f t="shared" si="2265"/>
        <v>51.163912182888659</v>
      </c>
      <c r="F312" s="182">
        <f t="shared" si="2265"/>
        <v>66.943432043499868</v>
      </c>
      <c r="G312" s="182">
        <f t="shared" si="2265"/>
        <v>63.867392757370801</v>
      </c>
      <c r="H312" s="182">
        <f t="shared" si="2265"/>
        <v>0</v>
      </c>
      <c r="I312" s="182">
        <f t="shared" si="2265"/>
        <v>0</v>
      </c>
      <c r="J312" s="182">
        <f t="shared" si="2265"/>
        <v>0</v>
      </c>
      <c r="K312" s="182">
        <f t="shared" si="2265"/>
        <v>0</v>
      </c>
      <c r="L312" s="182">
        <f t="shared" si="2265"/>
        <v>0</v>
      </c>
      <c r="M312" s="182">
        <f t="shared" si="2265"/>
        <v>0</v>
      </c>
      <c r="N312" s="182">
        <f t="shared" si="2265"/>
        <v>0</v>
      </c>
      <c r="O312" s="182">
        <f t="shared" si="2265"/>
        <v>0</v>
      </c>
      <c r="P312" s="182">
        <f t="shared" ref="P312:Q312" si="2266">P156*P$250</f>
        <v>0</v>
      </c>
      <c r="Q312" s="182">
        <f t="shared" si="2266"/>
        <v>0</v>
      </c>
      <c r="R312" s="182">
        <f t="shared" si="2265"/>
        <v>0</v>
      </c>
      <c r="S312" s="182"/>
      <c r="T312" s="182">
        <f t="shared" si="2265"/>
        <v>63.547670375099884</v>
      </c>
      <c r="U312" s="182">
        <f t="shared" si="2265"/>
        <v>62.225562643425519</v>
      </c>
      <c r="V312" s="182">
        <f t="shared" si="2265"/>
        <v>60.100786575393961</v>
      </c>
      <c r="W312" s="182">
        <f t="shared" si="2265"/>
        <v>51.163912182888673</v>
      </c>
      <c r="X312" s="182">
        <f t="shared" si="2265"/>
        <v>69.395931282707423</v>
      </c>
      <c r="Y312" s="182">
        <f t="shared" si="2265"/>
        <v>71.997961427306066</v>
      </c>
      <c r="Z312" s="182">
        <f t="shared" si="2265"/>
        <v>71.085833917598251</v>
      </c>
      <c r="AA312" s="182">
        <f t="shared" si="2265"/>
        <v>66.943432043499868</v>
      </c>
      <c r="AB312" s="182">
        <f t="shared" si="2265"/>
        <v>63.955675413750008</v>
      </c>
      <c r="AC312" s="182">
        <f t="shared" si="2265"/>
        <v>55.365180424688653</v>
      </c>
      <c r="AD312" s="182">
        <f t="shared" si="2265"/>
        <v>42.152854724846328</v>
      </c>
      <c r="AE312" s="182">
        <f t="shared" si="2265"/>
        <v>111.48053405799074</v>
      </c>
      <c r="AF312" s="182">
        <f t="shared" si="2265"/>
        <v>0</v>
      </c>
      <c r="AG312" s="182">
        <f t="shared" si="2265"/>
        <v>0</v>
      </c>
      <c r="AH312" s="182">
        <f t="shared" si="2265"/>
        <v>0</v>
      </c>
      <c r="AI312" s="182">
        <f t="shared" si="2265"/>
        <v>0</v>
      </c>
      <c r="AJ312" s="182">
        <f t="shared" si="2265"/>
        <v>0</v>
      </c>
      <c r="AK312" s="182">
        <f t="shared" si="2265"/>
        <v>0</v>
      </c>
      <c r="AL312" s="182">
        <f t="shared" si="2265"/>
        <v>0</v>
      </c>
      <c r="AM312" s="182">
        <f t="shared" si="2265"/>
        <v>0</v>
      </c>
      <c r="AN312" s="182">
        <f t="shared" si="2265"/>
        <v>0</v>
      </c>
      <c r="AO312" s="182">
        <f t="shared" si="2265"/>
        <v>0</v>
      </c>
      <c r="AP312" s="182">
        <f t="shared" si="2265"/>
        <v>0</v>
      </c>
      <c r="AQ312" s="182">
        <f t="shared" si="2265"/>
        <v>0</v>
      </c>
      <c r="AR312" s="182">
        <f t="shared" si="2265"/>
        <v>0</v>
      </c>
      <c r="AS312" s="182">
        <f t="shared" si="2265"/>
        <v>0</v>
      </c>
      <c r="AT312" s="182">
        <f t="shared" si="2265"/>
        <v>0</v>
      </c>
      <c r="AU312" s="182">
        <f t="shared" si="2265"/>
        <v>0</v>
      </c>
      <c r="AV312" s="182">
        <f t="shared" si="2265"/>
        <v>0</v>
      </c>
      <c r="AW312" s="182">
        <f t="shared" si="2265"/>
        <v>0</v>
      </c>
      <c r="AX312" s="182">
        <f t="shared" si="2265"/>
        <v>0</v>
      </c>
      <c r="AY312" s="182">
        <f t="shared" si="2265"/>
        <v>0</v>
      </c>
      <c r="AZ312" s="182">
        <f t="shared" si="2265"/>
        <v>0</v>
      </c>
      <c r="BA312" s="182">
        <f t="shared" si="2265"/>
        <v>0</v>
      </c>
      <c r="BB312" s="182">
        <f t="shared" si="2265"/>
        <v>0</v>
      </c>
      <c r="BC312" s="182">
        <f t="shared" si="2265"/>
        <v>0</v>
      </c>
      <c r="BD312" s="182">
        <f t="shared" si="2265"/>
        <v>0</v>
      </c>
      <c r="BE312" s="182">
        <f t="shared" ref="BE312:BH312" si="2267">BE156*BE$250</f>
        <v>0</v>
      </c>
      <c r="BF312" s="182">
        <f t="shared" si="2267"/>
        <v>0</v>
      </c>
      <c r="BG312" s="182">
        <f t="shared" si="2267"/>
        <v>0</v>
      </c>
      <c r="BH312" s="182">
        <f t="shared" si="2267"/>
        <v>0</v>
      </c>
      <c r="BJ312" s="182">
        <f t="shared" si="2265"/>
        <v>0</v>
      </c>
      <c r="BK312" s="182">
        <f t="shared" si="2265"/>
        <v>0</v>
      </c>
      <c r="BL312" s="182">
        <f t="shared" si="2265"/>
        <v>0</v>
      </c>
      <c r="BM312" s="182">
        <f t="shared" si="2265"/>
        <v>0</v>
      </c>
      <c r="BN312" s="182">
        <f t="shared" si="2265"/>
        <v>0</v>
      </c>
      <c r="BO312" s="182">
        <f t="shared" ref="BO312:BR312" si="2268">BO156*BO$250</f>
        <v>0</v>
      </c>
      <c r="BP312" s="182">
        <f t="shared" si="2268"/>
        <v>0</v>
      </c>
      <c r="BQ312" s="182">
        <f t="shared" si="2268"/>
        <v>0</v>
      </c>
      <c r="BR312" s="182">
        <f t="shared" si="2268"/>
        <v>0</v>
      </c>
      <c r="BW312" s="39"/>
      <c r="BX312" s="39"/>
    </row>
    <row r="313" spans="2:76" ht="13.5" customHeight="1">
      <c r="C313" s="182"/>
      <c r="D313" s="182"/>
      <c r="E313" s="182"/>
      <c r="F313" s="182"/>
      <c r="G313" s="182"/>
      <c r="H313" s="182"/>
      <c r="I313" s="182"/>
      <c r="J313" s="182"/>
      <c r="K313" s="182"/>
      <c r="L313" s="182"/>
      <c r="M313" s="182"/>
      <c r="N313" s="182"/>
      <c r="O313" s="182"/>
      <c r="P313" s="182"/>
      <c r="Q313" s="182"/>
      <c r="R313" s="182"/>
      <c r="S313" s="182"/>
      <c r="T313" s="182"/>
      <c r="U313" s="182"/>
      <c r="V313" s="182"/>
      <c r="W313" s="182"/>
      <c r="X313" s="182"/>
      <c r="Y313" s="182"/>
      <c r="Z313" s="182"/>
      <c r="AA313" s="182"/>
      <c r="AB313" s="182"/>
      <c r="AC313" s="182"/>
      <c r="AD313" s="182"/>
      <c r="AE313" s="182"/>
      <c r="AF313" s="182"/>
      <c r="AG313" s="182"/>
      <c r="AH313" s="182"/>
      <c r="AI313" s="182"/>
      <c r="AJ313" s="182"/>
      <c r="AK313" s="182"/>
      <c r="AL313" s="182"/>
      <c r="AM313" s="182"/>
      <c r="AN313" s="182"/>
      <c r="AO313" s="182"/>
      <c r="AP313" s="182"/>
      <c r="AQ313" s="182"/>
      <c r="AR313" s="182"/>
      <c r="AS313" s="182"/>
      <c r="AT313" s="182"/>
      <c r="AU313" s="182"/>
      <c r="AV313" s="182"/>
      <c r="AW313" s="182"/>
      <c r="AX313" s="182"/>
      <c r="AY313" s="182"/>
      <c r="AZ313" s="182"/>
      <c r="BA313" s="182"/>
      <c r="BB313" s="182"/>
      <c r="BC313" s="182"/>
      <c r="BD313" s="182"/>
      <c r="BE313" s="182"/>
      <c r="BF313" s="182"/>
      <c r="BG313" s="182"/>
      <c r="BH313" s="182"/>
      <c r="BJ313" s="182"/>
      <c r="BK313" s="182"/>
      <c r="BL313" s="182"/>
      <c r="BM313" s="182"/>
      <c r="BN313" s="182"/>
      <c r="BO313" s="182"/>
      <c r="BP313" s="182"/>
      <c r="BQ313" s="182"/>
      <c r="BR313" s="182"/>
      <c r="BW313" s="39"/>
      <c r="BX313" s="39"/>
    </row>
    <row r="314" spans="2:76" s="5" customFormat="1" ht="13.5" customHeight="1">
      <c r="B314" s="5" t="s">
        <v>399</v>
      </c>
      <c r="C314" s="350">
        <f t="shared" ref="C314:O314" si="2269">C285</f>
        <v>626.29012</v>
      </c>
      <c r="D314" s="350">
        <f t="shared" si="2269"/>
        <v>563.35610999999994</v>
      </c>
      <c r="E314" s="350">
        <f t="shared" si="2269"/>
        <v>586.95420000000001</v>
      </c>
      <c r="F314" s="350">
        <f t="shared" si="2269"/>
        <v>536.52573766666671</v>
      </c>
      <c r="G314" s="350">
        <f t="shared" si="2269"/>
        <v>614.22119999999995</v>
      </c>
      <c r="H314" s="350">
        <f t="shared" si="2269"/>
        <v>563.29741632906916</v>
      </c>
      <c r="I314" s="350">
        <f t="shared" si="2269"/>
        <v>789.50995626064616</v>
      </c>
      <c r="J314" s="350">
        <f t="shared" si="2269"/>
        <v>727.54419334799991</v>
      </c>
      <c r="K314" s="350">
        <f t="shared" si="2269"/>
        <v>734.01176527019663</v>
      </c>
      <c r="L314" s="350">
        <f t="shared" si="2269"/>
        <v>1008.7343070057865</v>
      </c>
      <c r="M314" s="350">
        <f t="shared" si="2269"/>
        <v>907.18313838007157</v>
      </c>
      <c r="N314" s="350">
        <f t="shared" si="2269"/>
        <v>1382.0343413105975</v>
      </c>
      <c r="O314" s="350">
        <f t="shared" si="2269"/>
        <v>699.37658295928827</v>
      </c>
      <c r="P314" s="350">
        <f t="shared" ref="P314:Q314" si="2270">P285</f>
        <v>915.40942460964288</v>
      </c>
      <c r="Q314" s="350">
        <f t="shared" si="2270"/>
        <v>776.34067818208052</v>
      </c>
      <c r="R314" s="350">
        <f>R285</f>
        <v>840.02161306832124</v>
      </c>
      <c r="S314" s="350"/>
      <c r="T314" s="350">
        <f>SUM(O281:T281)</f>
        <v>3374.3430288193331</v>
      </c>
      <c r="U314" s="350">
        <f t="shared" ref="U314:BG314" si="2271">SUM(R281:U281)</f>
        <v>1135.4539530683214</v>
      </c>
      <c r="V314" s="350">
        <f t="shared" si="2271"/>
        <v>458.61293999999998</v>
      </c>
      <c r="W314" s="350">
        <f t="shared" si="2271"/>
        <v>587.46720000000005</v>
      </c>
      <c r="X314" s="350">
        <f t="shared" si="2271"/>
        <v>575.59592000000009</v>
      </c>
      <c r="Y314" s="350">
        <f t="shared" si="2271"/>
        <v>562.04486999999995</v>
      </c>
      <c r="Z314" s="350">
        <f t="shared" si="2271"/>
        <v>554.33231000000001</v>
      </c>
      <c r="AA314" s="350">
        <f t="shared" si="2271"/>
        <v>537.86131866666665</v>
      </c>
      <c r="AB314" s="350">
        <f t="shared" si="2271"/>
        <v>543.59001866666665</v>
      </c>
      <c r="AC314" s="350">
        <f t="shared" si="2271"/>
        <v>551.72048866666671</v>
      </c>
      <c r="AD314" s="350">
        <f t="shared" si="2271"/>
        <v>537.76291866666668</v>
      </c>
      <c r="AE314" s="350">
        <f t="shared" si="2271"/>
        <v>590.84449000000006</v>
      </c>
      <c r="AF314" s="350">
        <f t="shared" si="2271"/>
        <v>578.97277999999994</v>
      </c>
      <c r="AG314" s="350">
        <f t="shared" si="2271"/>
        <v>583.29168000000004</v>
      </c>
      <c r="AH314" s="350">
        <f t="shared" si="2271"/>
        <v>602.86456999999996</v>
      </c>
      <c r="AI314" s="350">
        <f t="shared" si="2271"/>
        <v>583.81335268654709</v>
      </c>
      <c r="AJ314" s="350">
        <f t="shared" si="2271"/>
        <v>598.86098698350156</v>
      </c>
      <c r="AK314" s="350">
        <f t="shared" si="2271"/>
        <v>574.37572398350164</v>
      </c>
      <c r="AL314" s="350">
        <f t="shared" si="2271"/>
        <v>653.58986398350157</v>
      </c>
      <c r="AM314" s="350">
        <f t="shared" si="2271"/>
        <v>718.78340129695448</v>
      </c>
      <c r="AN314" s="350">
        <f t="shared" si="2271"/>
        <v>820.92345745419846</v>
      </c>
      <c r="AO314" s="350">
        <f t="shared" si="2271"/>
        <v>862.41228901235172</v>
      </c>
      <c r="AP314" s="350">
        <f t="shared" si="2271"/>
        <v>830.68006901235174</v>
      </c>
      <c r="AQ314" s="350">
        <f t="shared" si="2271"/>
        <v>789.38830184235189</v>
      </c>
      <c r="AR314" s="350">
        <f t="shared" si="2271"/>
        <v>761.51604522628691</v>
      </c>
      <c r="AS314" s="350">
        <f t="shared" si="2271"/>
        <v>748.45053460269401</v>
      </c>
      <c r="AT314" s="350">
        <f t="shared" si="2271"/>
        <v>707.25180670070381</v>
      </c>
      <c r="AU314" s="350">
        <f t="shared" si="2271"/>
        <v>728.40291778233916</v>
      </c>
      <c r="AV314" s="350">
        <f t="shared" si="2271"/>
        <v>708.79184394420565</v>
      </c>
      <c r="AW314" s="350">
        <f t="shared" si="2271"/>
        <v>794.67308331058393</v>
      </c>
      <c r="AX314" s="350">
        <f t="shared" si="2271"/>
        <v>868.11848825733091</v>
      </c>
      <c r="AY314" s="350">
        <f t="shared" si="2271"/>
        <v>886.12300887907236</v>
      </c>
      <c r="AZ314" s="350">
        <f t="shared" si="2271"/>
        <v>876.91725630132669</v>
      </c>
      <c r="BA314" s="350">
        <f t="shared" si="2271"/>
        <v>805.30475171481771</v>
      </c>
      <c r="BB314" s="350">
        <f t="shared" si="2271"/>
        <v>679.99533071049427</v>
      </c>
      <c r="BC314" s="350">
        <f t="shared" si="2271"/>
        <v>697.29146215955302</v>
      </c>
      <c r="BD314" s="350">
        <f>SUM(BA281:BD281)</f>
        <v>671.34447352753193</v>
      </c>
      <c r="BE314" s="350">
        <f t="shared" si="2271"/>
        <v>686.29515519848565</v>
      </c>
      <c r="BF314" s="350">
        <f t="shared" si="2271"/>
        <v>782.97483008001757</v>
      </c>
      <c r="BG314" s="350">
        <f t="shared" si="2271"/>
        <v>768.06231588143487</v>
      </c>
      <c r="BH314" s="350">
        <f>SUM(BE281:BH281)</f>
        <v>837.56025745015017</v>
      </c>
      <c r="BJ314" s="350"/>
      <c r="BK314" s="350"/>
      <c r="BL314" s="350"/>
      <c r="BM314" s="350">
        <f t="shared" ref="BM314:BP314" si="2272">SUM(BJ281:BM281)</f>
        <v>1360.4226866037623</v>
      </c>
      <c r="BN314" s="350">
        <f t="shared" si="2272"/>
        <v>1355.6286459900625</v>
      </c>
      <c r="BO314" s="350">
        <f t="shared" si="2272"/>
        <v>1157.5237545126502</v>
      </c>
      <c r="BP314" s="350">
        <f t="shared" si="2272"/>
        <v>1080.6609698745824</v>
      </c>
      <c r="BQ314" s="350">
        <f t="shared" ref="BQ314" si="2273">SUM(BN281:BQ281)</f>
        <v>914.51198098144823</v>
      </c>
      <c r="BR314" s="350">
        <f t="shared" ref="BR314" si="2274">SUM(BO281:BR281)</f>
        <v>865.29917468086217</v>
      </c>
      <c r="BW314" s="302"/>
      <c r="BX314" s="302"/>
    </row>
    <row r="315" spans="2:76" ht="13.5" customHeight="1">
      <c r="C315" s="40"/>
      <c r="D315" s="40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57"/>
      <c r="T315" s="57"/>
      <c r="U315" s="57"/>
      <c r="V315" s="57"/>
      <c r="W315" s="57"/>
      <c r="X315" s="57"/>
      <c r="Y315" s="57"/>
      <c r="Z315" s="57"/>
      <c r="AA315" s="57"/>
      <c r="AB315" s="57"/>
      <c r="AC315" s="57"/>
      <c r="AD315" s="57"/>
      <c r="AE315" s="57"/>
      <c r="AF315" s="57"/>
      <c r="AG315" s="57"/>
      <c r="AH315" s="57"/>
      <c r="AI315" s="57"/>
      <c r="AJ315" s="57"/>
      <c r="AK315" s="57"/>
      <c r="AL315" s="57"/>
      <c r="AM315" s="57"/>
      <c r="AN315" s="57"/>
      <c r="AO315" s="57"/>
      <c r="AP315" s="57"/>
      <c r="AQ315" s="57"/>
      <c r="AR315" s="57"/>
      <c r="AS315" s="57"/>
      <c r="AT315" s="57"/>
      <c r="AU315" s="57"/>
      <c r="AV315" s="57"/>
      <c r="AW315" s="57"/>
      <c r="AX315" s="57"/>
      <c r="AY315" s="57"/>
      <c r="AZ315" s="57"/>
      <c r="BA315" s="57"/>
      <c r="BB315" s="57"/>
      <c r="BC315" s="57"/>
      <c r="BD315" s="57"/>
      <c r="BE315" s="57"/>
      <c r="BF315" s="57"/>
      <c r="BG315" s="57"/>
      <c r="BH315" s="57"/>
      <c r="BM315" s="57"/>
      <c r="BN315" s="57"/>
      <c r="BO315" s="57"/>
      <c r="BP315" s="57"/>
      <c r="BQ315" s="57"/>
      <c r="BR315" s="57"/>
      <c r="BW315" s="39"/>
      <c r="BX315" s="39"/>
    </row>
    <row r="316" spans="2:76" s="5" customFormat="1" ht="13.5" customHeight="1">
      <c r="B316" s="5" t="str">
        <f>B235</f>
        <v>Total Net Leverage</v>
      </c>
      <c r="C316" s="41">
        <f t="shared" ref="C316:O316" si="2275">C306/C281</f>
        <v>2.1644749148984208</v>
      </c>
      <c r="D316" s="41">
        <f t="shared" si="2275"/>
        <v>2.00782592403979</v>
      </c>
      <c r="E316" s="41">
        <f t="shared" si="2275"/>
        <v>1.5569884554847986</v>
      </c>
      <c r="F316" s="41">
        <f t="shared" si="2275"/>
        <v>2.3682768911108472</v>
      </c>
      <c r="G316" s="41">
        <f t="shared" si="2275"/>
        <v>2.0447993678965086</v>
      </c>
      <c r="H316" s="41">
        <f t="shared" si="2275"/>
        <v>2.5048713174437465</v>
      </c>
      <c r="I316" s="41">
        <f t="shared" si="2275"/>
        <v>0.86942460872955485</v>
      </c>
      <c r="J316" s="41">
        <f t="shared" si="2275"/>
        <v>1.711293391022203</v>
      </c>
      <c r="K316" s="41">
        <f t="shared" si="2275"/>
        <v>1.9555196788591327</v>
      </c>
      <c r="L316" s="41">
        <f t="shared" si="2275"/>
        <v>2.3516641280312798</v>
      </c>
      <c r="M316" s="41">
        <f t="shared" si="2275"/>
        <v>2.1289262820076846</v>
      </c>
      <c r="N316" s="41">
        <f t="shared" si="2275"/>
        <v>1.8825391862150656</v>
      </c>
      <c r="O316" s="41">
        <f t="shared" si="2275"/>
        <v>3.890453602383833</v>
      </c>
      <c r="P316" s="41">
        <f t="shared" ref="P316:Q316" si="2276">P306/P281</f>
        <v>3.5297654786537653</v>
      </c>
      <c r="Q316" s="41">
        <f t="shared" si="2276"/>
        <v>4.4719516980898817</v>
      </c>
      <c r="R316" s="41">
        <f>R306/R281</f>
        <v>5.7215632677104917</v>
      </c>
      <c r="S316" s="41"/>
      <c r="T316" s="260"/>
      <c r="U316" s="260"/>
      <c r="V316" s="260"/>
      <c r="W316" s="260"/>
      <c r="X316" s="41">
        <f t="shared" ref="X316:BC316" si="2277">X306/X314</f>
        <v>1.8452235662970233</v>
      </c>
      <c r="Y316" s="41">
        <f t="shared" si="2277"/>
        <v>2.4143250561900915</v>
      </c>
      <c r="Z316" s="41">
        <f t="shared" si="2277"/>
        <v>2.5393669857468377</v>
      </c>
      <c r="AA316" s="41">
        <f t="shared" si="2277"/>
        <v>2.3623961454451288</v>
      </c>
      <c r="AB316" s="41">
        <f t="shared" si="2277"/>
        <v>2.628198658199961</v>
      </c>
      <c r="AC316" s="41">
        <f t="shared" si="2277"/>
        <v>2.577912684968926</v>
      </c>
      <c r="AD316" s="41">
        <f t="shared" si="2277"/>
        <v>2.2654890985064315</v>
      </c>
      <c r="AE316" s="41">
        <f t="shared" si="2277"/>
        <v>2.1257016740710148</v>
      </c>
      <c r="AF316" s="41">
        <f t="shared" si="2277"/>
        <v>2.2929385482509215</v>
      </c>
      <c r="AG316" s="41">
        <f t="shared" si="2277"/>
        <v>2.4540801953492628</v>
      </c>
      <c r="AH316" s="41">
        <f t="shared" si="2277"/>
        <v>2.4582093857995333</v>
      </c>
      <c r="AI316" s="41">
        <f t="shared" si="2277"/>
        <v>2.3463631895714423</v>
      </c>
      <c r="AJ316" s="41">
        <f t="shared" si="2277"/>
        <v>2.087133717643928</v>
      </c>
      <c r="AK316" s="41">
        <f t="shared" si="2277"/>
        <v>1.6867909020051641</v>
      </c>
      <c r="AL316" s="41">
        <f t="shared" si="2277"/>
        <v>1.0636273463805557</v>
      </c>
      <c r="AM316" s="41">
        <f t="shared" si="2277"/>
        <v>0.95497389557332923</v>
      </c>
      <c r="AN316" s="41">
        <f t="shared" si="2277"/>
        <v>1.3397062531871744</v>
      </c>
      <c r="AO316" s="41">
        <f t="shared" si="2277"/>
        <v>1.8636090897837003</v>
      </c>
      <c r="AP316" s="41">
        <f t="shared" si="2277"/>
        <v>1.883320239078395</v>
      </c>
      <c r="AQ316" s="41">
        <f t="shared" si="2277"/>
        <v>1.5772232332898928</v>
      </c>
      <c r="AR316" s="41">
        <f t="shared" si="2277"/>
        <v>2.0192718419174773</v>
      </c>
      <c r="AS316" s="41">
        <f t="shared" si="2277"/>
        <v>2.3517697379084272</v>
      </c>
      <c r="AT316" s="41">
        <f t="shared" si="2277"/>
        <v>2.1494048568932342</v>
      </c>
      <c r="AU316" s="41">
        <f t="shared" si="2277"/>
        <v>1.9705775697193426</v>
      </c>
      <c r="AV316" s="41">
        <f t="shared" si="2277"/>
        <v>2.2825409366975631</v>
      </c>
      <c r="AW316" s="41">
        <f t="shared" si="2277"/>
        <v>1.7261418975430642</v>
      </c>
      <c r="AX316" s="41">
        <f t="shared" si="2277"/>
        <v>2.0072881268328753</v>
      </c>
      <c r="AY316" s="41">
        <f t="shared" si="2277"/>
        <v>2.1795236175332326</v>
      </c>
      <c r="AZ316" s="41">
        <f t="shared" si="2277"/>
        <v>2.2808643333573944</v>
      </c>
      <c r="BA316" s="41">
        <f t="shared" si="2277"/>
        <v>3.2522648871148263</v>
      </c>
      <c r="BB316" s="41">
        <f t="shared" si="2277"/>
        <v>4.5259484385819393</v>
      </c>
      <c r="BC316" s="41">
        <f t="shared" si="2277"/>
        <v>3.9020872823684005</v>
      </c>
      <c r="BD316" s="41">
        <f>BD306/BD314</f>
        <v>4.9067496992103274</v>
      </c>
      <c r="BE316" s="41">
        <f>BE306/BE314</f>
        <v>5.7267828533156724</v>
      </c>
      <c r="BF316" s="41">
        <f t="shared" ref="BF316:BG316" si="2278">BF306/BF314</f>
        <v>4.955053927904248</v>
      </c>
      <c r="BG316" s="41">
        <f t="shared" si="2278"/>
        <v>4.5201514802980354</v>
      </c>
      <c r="BH316" s="41">
        <f>BH306/BH314</f>
        <v>5.7383773437944905</v>
      </c>
      <c r="BJ316" s="260"/>
      <c r="BK316" s="260"/>
      <c r="BL316" s="260"/>
      <c r="BM316" s="41">
        <f t="shared" ref="BM316:BN317" si="2279">BM267</f>
        <v>-1.5941542027554321</v>
      </c>
      <c r="BN316" s="41">
        <f>BN267</f>
        <v>1.748293218357114</v>
      </c>
      <c r="BO316" s="41">
        <f t="shared" ref="BO316" si="2280">BO267</f>
        <v>2.3930871408341599</v>
      </c>
      <c r="BP316" s="41">
        <f>BP306/BP314</f>
        <v>2.8479087253695754</v>
      </c>
      <c r="BQ316" s="41">
        <f t="shared" ref="BQ316:BR316" si="2281">BQ306/BQ314</f>
        <v>-1.6973756667535302</v>
      </c>
      <c r="BR316" s="41">
        <f t="shared" si="2281"/>
        <v>3.8069137125464878</v>
      </c>
      <c r="BW316" s="302"/>
      <c r="BX316" s="302"/>
    </row>
    <row r="317" spans="2:76" ht="12.75">
      <c r="B317" s="1" t="str">
        <f>B236</f>
        <v xml:space="preserve">Total Gross Leverage </v>
      </c>
      <c r="C317" s="42">
        <f t="shared" ref="C317:O317" si="2282">C305/C281</f>
        <v>3.2803034647863103</v>
      </c>
      <c r="D317" s="42">
        <f t="shared" si="2282"/>
        <v>3.3302523393873451</v>
      </c>
      <c r="E317" s="42">
        <f t="shared" si="2282"/>
        <v>2.7391440707549326</v>
      </c>
      <c r="F317" s="42">
        <f t="shared" si="2282"/>
        <v>3.6441260567186458</v>
      </c>
      <c r="G317" s="42">
        <f t="shared" si="2282"/>
        <v>3.6978276798879612</v>
      </c>
      <c r="H317" s="42">
        <f t="shared" si="2282"/>
        <v>4.6719531922144375</v>
      </c>
      <c r="I317" s="42">
        <f t="shared" si="2282"/>
        <v>2.926123005581601</v>
      </c>
      <c r="J317" s="42">
        <f t="shared" si="2282"/>
        <v>3.3658216279338822</v>
      </c>
      <c r="K317" s="42">
        <f t="shared" si="2282"/>
        <v>3.7433836867567787</v>
      </c>
      <c r="L317" s="42">
        <f t="shared" si="2282"/>
        <v>4.4952779319658731</v>
      </c>
      <c r="M317" s="42">
        <f t="shared" si="2282"/>
        <v>3.9535416990128951</v>
      </c>
      <c r="N317" s="42">
        <f t="shared" si="2282"/>
        <v>3.6117616488435713</v>
      </c>
      <c r="O317" s="42">
        <f t="shared" si="2282"/>
        <v>5.9467361914787338</v>
      </c>
      <c r="P317" s="42">
        <f t="shared" ref="P317:Q317" si="2283">P305/P281</f>
        <v>5.5860946201990247</v>
      </c>
      <c r="Q317" s="42">
        <f t="shared" si="2283"/>
        <v>7.4053080458310072</v>
      </c>
      <c r="R317" s="42">
        <f>R305/R281</f>
        <v>8.2147250043272138</v>
      </c>
      <c r="S317" s="42"/>
      <c r="T317" s="259"/>
      <c r="U317" s="259"/>
      <c r="V317" s="259"/>
      <c r="W317" s="259"/>
      <c r="X317" s="42">
        <f t="shared" ref="X317:BC317" si="2284">X305/X314</f>
        <v>3.223414440131783</v>
      </c>
      <c r="Y317" s="42">
        <f t="shared" si="2284"/>
        <v>3.4482458267245892</v>
      </c>
      <c r="Z317" s="42">
        <f t="shared" si="2284"/>
        <v>3.5463912725122211</v>
      </c>
      <c r="AA317" s="42">
        <f t="shared" si="2284"/>
        <v>3.635077208337016</v>
      </c>
      <c r="AB317" s="42">
        <f t="shared" si="2284"/>
        <v>3.845066328564958</v>
      </c>
      <c r="AC317" s="42">
        <f t="shared" si="2284"/>
        <v>3.7526748604108797</v>
      </c>
      <c r="AD317" s="42">
        <f t="shared" si="2284"/>
        <v>3.5771194203445522</v>
      </c>
      <c r="AE317" s="42">
        <f t="shared" si="2284"/>
        <v>3.8441319050533904</v>
      </c>
      <c r="AF317" s="42">
        <f t="shared" si="2284"/>
        <v>4.3030335749981203</v>
      </c>
      <c r="AG317" s="42">
        <f t="shared" si="2284"/>
        <v>4.1671211079849444</v>
      </c>
      <c r="AH317" s="42">
        <f t="shared" si="2284"/>
        <v>4.0678822335503977</v>
      </c>
      <c r="AI317" s="42">
        <f t="shared" si="2284"/>
        <v>4.3763122349932582</v>
      </c>
      <c r="AJ317" s="42">
        <f t="shared" si="2284"/>
        <v>4.0626157742391502</v>
      </c>
      <c r="AK317" s="42">
        <f t="shared" si="2284"/>
        <v>4.0376176720285866</v>
      </c>
      <c r="AL317" s="42">
        <f t="shared" si="2284"/>
        <v>3.3510351604156563</v>
      </c>
      <c r="AM317" s="42">
        <f t="shared" si="2284"/>
        <v>3.2140464595892566</v>
      </c>
      <c r="AN317" s="42">
        <f t="shared" si="2284"/>
        <v>2.8473488896844095</v>
      </c>
      <c r="AO317" s="42">
        <f t="shared" si="2284"/>
        <v>3.2896215853426947</v>
      </c>
      <c r="AP317" s="42">
        <f t="shared" si="2284"/>
        <v>3.012994741038844</v>
      </c>
      <c r="AQ317" s="42">
        <f t="shared" si="2284"/>
        <v>3.1021285412175423</v>
      </c>
      <c r="AR317" s="42">
        <f t="shared" si="2284"/>
        <v>3.5136589063378159</v>
      </c>
      <c r="AS317" s="42">
        <f t="shared" si="2284"/>
        <v>3.5527400053385287</v>
      </c>
      <c r="AT317" s="42">
        <f t="shared" si="2284"/>
        <v>3.710812334564578</v>
      </c>
      <c r="AU317" s="42">
        <f t="shared" si="2284"/>
        <v>3.772208486431492</v>
      </c>
      <c r="AV317" s="42">
        <f t="shared" si="2284"/>
        <v>4.4397368574231395</v>
      </c>
      <c r="AW317" s="42">
        <f t="shared" si="2284"/>
        <v>3.1115952195070733</v>
      </c>
      <c r="AX317" s="42">
        <f t="shared" si="2284"/>
        <v>3.6726430262922225</v>
      </c>
      <c r="AY317" s="42">
        <f t="shared" si="2284"/>
        <v>4.0475039360099201</v>
      </c>
      <c r="AZ317" s="42">
        <f t="shared" si="2284"/>
        <v>3.9191207797583649</v>
      </c>
      <c r="BA317" s="42">
        <f t="shared" si="2284"/>
        <v>4.9735883866508086</v>
      </c>
      <c r="BB317" s="42">
        <f t="shared" si="2284"/>
        <v>6.002965176693853</v>
      </c>
      <c r="BC317" s="42">
        <f t="shared" si="2284"/>
        <v>5.9645188031931928</v>
      </c>
      <c r="BD317" s="42">
        <f>BD305/BD314</f>
        <v>6.6289056373049844</v>
      </c>
      <c r="BE317" s="42">
        <f t="shared" ref="BE317:BG317" si="2285">BE305/BE314</f>
        <v>7.9254143163750754</v>
      </c>
      <c r="BF317" s="42">
        <f t="shared" si="2285"/>
        <v>7.1491575269178647</v>
      </c>
      <c r="BG317" s="42">
        <f t="shared" si="2285"/>
        <v>7.4851242556406534</v>
      </c>
      <c r="BH317" s="42">
        <f>BH305/BH314</f>
        <v>8.2388657862724877</v>
      </c>
      <c r="BJ317" s="259"/>
      <c r="BK317" s="259"/>
      <c r="BL317" s="259"/>
      <c r="BM317" s="42">
        <f t="shared" ref="BM317" si="2286">BM266</f>
        <v>0.13506825987307342</v>
      </c>
      <c r="BN317" s="42">
        <f t="shared" si="2279"/>
        <v>3.0040244748306879</v>
      </c>
      <c r="BO317" s="42">
        <f t="shared" ref="BO317" si="2287">BO268</f>
        <v>3.6596743577227384</v>
      </c>
      <c r="BP317" s="42">
        <f>BP305/BP314</f>
        <v>3.7773070411187866</v>
      </c>
      <c r="BQ317" s="42">
        <f t="shared" ref="BQ317:BR317" si="2288">BQ305/BQ314</f>
        <v>0.3609714248283929</v>
      </c>
      <c r="BR317" s="42">
        <f t="shared" si="2288"/>
        <v>5.143052594244697</v>
      </c>
      <c r="BW317" s="39"/>
      <c r="BX317" s="39"/>
    </row>
    <row r="318" spans="2:76" ht="12.75">
      <c r="C318" s="62"/>
      <c r="D318" s="62"/>
      <c r="E318" s="62"/>
      <c r="F318" s="62"/>
      <c r="G318" s="62"/>
      <c r="H318" s="62"/>
      <c r="I318" s="62"/>
      <c r="J318" s="62"/>
      <c r="K318" s="62"/>
      <c r="L318" s="62"/>
      <c r="M318" s="62"/>
      <c r="N318" s="62"/>
      <c r="O318" s="62"/>
      <c r="P318" s="62"/>
      <c r="Q318" s="62"/>
      <c r="R318" s="62"/>
      <c r="S318" s="62"/>
      <c r="T318" s="261"/>
      <c r="U318" s="261"/>
      <c r="V318" s="261"/>
      <c r="W318" s="261"/>
      <c r="X318" s="62"/>
      <c r="Y318" s="62"/>
      <c r="Z318" s="62"/>
      <c r="AA318" s="62"/>
      <c r="AB318" s="62"/>
      <c r="AC318" s="62"/>
      <c r="AD318" s="62"/>
      <c r="AE318" s="62"/>
      <c r="AF318" s="62"/>
      <c r="AG318" s="62"/>
      <c r="AH318" s="62"/>
      <c r="AI318" s="62"/>
      <c r="AJ318" s="62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M318" s="62"/>
      <c r="BN318" s="62"/>
      <c r="BO318" s="62"/>
      <c r="BP318" s="62"/>
      <c r="BQ318" s="62"/>
      <c r="BR318" s="62"/>
      <c r="BW318" s="39"/>
      <c r="BX318" s="39"/>
    </row>
    <row r="319" spans="2:76" s="5" customFormat="1" ht="13.5" customHeight="1">
      <c r="B319" s="5" t="str">
        <f>B238</f>
        <v>Net Leverage (based on company reported debt)</v>
      </c>
      <c r="C319" s="41">
        <f t="shared" ref="C319:O319" si="2289">C310/C281</f>
        <v>2.1644749148984208</v>
      </c>
      <c r="D319" s="41">
        <f t="shared" si="2289"/>
        <v>2.00782592403979</v>
      </c>
      <c r="E319" s="41">
        <f t="shared" si="2289"/>
        <v>1.5569884554847986</v>
      </c>
      <c r="F319" s="41">
        <f t="shared" si="2289"/>
        <v>2.3682768911108472</v>
      </c>
      <c r="G319" s="41">
        <f t="shared" si="2289"/>
        <v>2.0447993678965086</v>
      </c>
      <c r="H319" s="41">
        <f t="shared" si="2289"/>
        <v>2.5048713174437465</v>
      </c>
      <c r="I319" s="41">
        <f t="shared" si="2289"/>
        <v>0.86942460872955485</v>
      </c>
      <c r="J319" s="41">
        <f t="shared" si="2289"/>
        <v>1.711293391022203</v>
      </c>
      <c r="K319" s="41">
        <f t="shared" si="2289"/>
        <v>1.9576021366238763</v>
      </c>
      <c r="L319" s="41">
        <f t="shared" si="2289"/>
        <v>2.3470888058002952</v>
      </c>
      <c r="M319" s="41">
        <f t="shared" si="2289"/>
        <v>2.0033016195673201</v>
      </c>
      <c r="N319" s="41">
        <f t="shared" si="2289"/>
        <v>1.898573694629291</v>
      </c>
      <c r="O319" s="41">
        <f t="shared" si="2289"/>
        <v>3.5249408296737643</v>
      </c>
      <c r="P319" s="41">
        <f t="shared" ref="P319:Q319" si="2290">P310/P281</f>
        <v>3.5297727129349044</v>
      </c>
      <c r="Q319" s="41">
        <f t="shared" si="2290"/>
        <v>4.1399272202258812</v>
      </c>
      <c r="R319" s="41">
        <f>R310/R281</f>
        <v>5.3269895051355522</v>
      </c>
      <c r="S319" s="41"/>
      <c r="T319" s="260"/>
      <c r="U319" s="260"/>
      <c r="V319" s="260"/>
      <c r="W319" s="260"/>
      <c r="X319" s="41">
        <f t="shared" ref="X319:BC319" si="2291">X310/X314</f>
        <v>1.8452235662970233</v>
      </c>
      <c r="Y319" s="41">
        <f t="shared" si="2291"/>
        <v>2.4143250561900915</v>
      </c>
      <c r="Z319" s="41">
        <f t="shared" si="2291"/>
        <v>2.5393669857468377</v>
      </c>
      <c r="AA319" s="41">
        <f t="shared" si="2291"/>
        <v>2.3623961454451288</v>
      </c>
      <c r="AB319" s="41">
        <f t="shared" si="2291"/>
        <v>2.628198658199961</v>
      </c>
      <c r="AC319" s="41">
        <f t="shared" si="2291"/>
        <v>2.577912684968926</v>
      </c>
      <c r="AD319" s="41">
        <f t="shared" si="2291"/>
        <v>2.2654890985064315</v>
      </c>
      <c r="AE319" s="41">
        <f t="shared" si="2291"/>
        <v>2.1257016740710148</v>
      </c>
      <c r="AF319" s="41">
        <f t="shared" si="2291"/>
        <v>2.2929385482509215</v>
      </c>
      <c r="AG319" s="41">
        <f t="shared" si="2291"/>
        <v>2.4540801953492628</v>
      </c>
      <c r="AH319" s="41">
        <f t="shared" si="2291"/>
        <v>2.4582093857995333</v>
      </c>
      <c r="AI319" s="41">
        <f t="shared" si="2291"/>
        <v>2.3463631895714423</v>
      </c>
      <c r="AJ319" s="41">
        <f t="shared" si="2291"/>
        <v>2.087133717643928</v>
      </c>
      <c r="AK319" s="41">
        <f t="shared" si="2291"/>
        <v>1.6867909020051641</v>
      </c>
      <c r="AL319" s="41">
        <f t="shared" si="2291"/>
        <v>1.0636273463805557</v>
      </c>
      <c r="AM319" s="41">
        <f t="shared" si="2291"/>
        <v>0.95497389557332923</v>
      </c>
      <c r="AN319" s="41">
        <f t="shared" si="2291"/>
        <v>1.3397062531871744</v>
      </c>
      <c r="AO319" s="41">
        <f t="shared" si="2291"/>
        <v>1.8636090897837003</v>
      </c>
      <c r="AP319" s="41">
        <f t="shared" si="2291"/>
        <v>1.883320239078395</v>
      </c>
      <c r="AQ319" s="41">
        <f t="shared" si="2291"/>
        <v>1.5772232332898928</v>
      </c>
      <c r="AR319" s="41">
        <f t="shared" si="2291"/>
        <v>2.0209569424375364</v>
      </c>
      <c r="AS319" s="41">
        <f t="shared" si="2291"/>
        <v>2.3587095183746905</v>
      </c>
      <c r="AT319" s="41">
        <f t="shared" si="2291"/>
        <v>2.1718623153313916</v>
      </c>
      <c r="AU319" s="41">
        <f t="shared" si="2291"/>
        <v>1.9726760628234803</v>
      </c>
      <c r="AV319" s="41">
        <f t="shared" si="2291"/>
        <v>2.3934080428464113</v>
      </c>
      <c r="AW319" s="41">
        <f t="shared" si="2291"/>
        <v>1.8107269386622404</v>
      </c>
      <c r="AX319" s="41">
        <f t="shared" si="2291"/>
        <v>1.8380076669404977</v>
      </c>
      <c r="AY319" s="41">
        <f t="shared" si="2291"/>
        <v>2.0509132842176023</v>
      </c>
      <c r="AZ319" s="41">
        <f t="shared" si="2291"/>
        <v>2.1462555686395759</v>
      </c>
      <c r="BA319" s="41">
        <f t="shared" si="2291"/>
        <v>2.9280778517778274</v>
      </c>
      <c r="BB319" s="41">
        <f t="shared" si="2291"/>
        <v>4.1807258834285914</v>
      </c>
      <c r="BC319" s="41">
        <f t="shared" si="2291"/>
        <v>3.5354815114985865</v>
      </c>
      <c r="BD319" s="41">
        <f>BD310/BD314</f>
        <v>4.5287854770375713</v>
      </c>
      <c r="BE319" s="41">
        <f t="shared" ref="BE319:BG319" si="2292">BE310/BE314</f>
        <v>5.3088725247156132</v>
      </c>
      <c r="BF319" s="41">
        <f t="shared" si="2292"/>
        <v>4.6140122583428882</v>
      </c>
      <c r="BG319" s="41">
        <f t="shared" si="2292"/>
        <v>4.1845483619206201</v>
      </c>
      <c r="BH319" s="41">
        <f>BH310/BH314</f>
        <v>5.3426440391583583</v>
      </c>
      <c r="BJ319" s="260"/>
      <c r="BK319" s="260"/>
      <c r="BL319" s="260"/>
      <c r="BM319" s="41">
        <f t="shared" ref="BM319:BN319" si="2293">(BM154*BM$250)/BM254</f>
        <v>1.898573694629291</v>
      </c>
      <c r="BN319" s="41">
        <f t="shared" si="2293"/>
        <v>1.6451149683201289</v>
      </c>
      <c r="BO319" s="41">
        <f t="shared" ref="BO319" si="2294">(BO154*BO$250)/BO254</f>
        <v>2.1545432791198817</v>
      </c>
      <c r="BP319" s="41">
        <f>BP310/BP314</f>
        <v>2.6306808138373698</v>
      </c>
      <c r="BQ319" s="41">
        <f t="shared" ref="BQ319:BR319" si="2295">BQ310/BQ314</f>
        <v>3.5332366063513678</v>
      </c>
      <c r="BR319" s="41">
        <f t="shared" si="2295"/>
        <v>3.5136692496237107</v>
      </c>
      <c r="BT319" s="1"/>
      <c r="BU319" s="1"/>
      <c r="BW319" s="39"/>
      <c r="BX319" s="39"/>
    </row>
    <row r="320" spans="2:76" ht="12.75">
      <c r="C320" s="62"/>
      <c r="D320" s="62"/>
      <c r="E320" s="62"/>
      <c r="F320" s="62"/>
      <c r="G320" s="62"/>
      <c r="H320" s="62"/>
      <c r="I320" s="62"/>
      <c r="J320" s="62"/>
      <c r="K320" s="62"/>
      <c r="L320" s="62"/>
      <c r="M320" s="62"/>
      <c r="N320" s="62"/>
      <c r="O320" s="62"/>
      <c r="P320" s="62"/>
      <c r="Q320" s="62"/>
      <c r="R320" s="62"/>
      <c r="S320" s="62"/>
      <c r="T320" s="261"/>
      <c r="U320" s="261"/>
      <c r="V320" s="261"/>
      <c r="W320" s="261"/>
      <c r="X320" s="62"/>
      <c r="Y320" s="62"/>
      <c r="Z320" s="62"/>
      <c r="AA320" s="62"/>
      <c r="AB320" s="62"/>
      <c r="AC320" s="62"/>
      <c r="AD320" s="62"/>
      <c r="AE320" s="62"/>
      <c r="AF320" s="62"/>
      <c r="AG320" s="62"/>
      <c r="AH320" s="62"/>
      <c r="AI320" s="62"/>
      <c r="AJ320" s="62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M320" s="62"/>
      <c r="BN320" s="62"/>
      <c r="BO320" s="62"/>
      <c r="BP320" s="62"/>
      <c r="BQ320" s="62"/>
      <c r="BR320" s="62"/>
      <c r="BW320" s="39"/>
      <c r="BX320" s="39"/>
    </row>
    <row r="321" spans="2:76" ht="12.75">
      <c r="B321" s="1" t="str">
        <f>B240</f>
        <v>Lease adjusted net leverage</v>
      </c>
      <c r="C321" s="41">
        <f t="shared" ref="C321:O321" si="2296">(C306-C312)/C281</f>
        <v>2.0125729025643366</v>
      </c>
      <c r="D321" s="41">
        <f t="shared" si="2296"/>
        <v>1.91478642696873</v>
      </c>
      <c r="E321" s="41">
        <f t="shared" si="2296"/>
        <v>1.4698199640030294</v>
      </c>
      <c r="F321" s="41">
        <f t="shared" si="2296"/>
        <v>2.2435048115184784</v>
      </c>
      <c r="G321" s="41">
        <f t="shared" si="2296"/>
        <v>1.9408182732072161</v>
      </c>
      <c r="H321" s="41">
        <f t="shared" si="2296"/>
        <v>2.5048713174437465</v>
      </c>
      <c r="I321" s="41">
        <f t="shared" si="2296"/>
        <v>0.86942460872955485</v>
      </c>
      <c r="J321" s="41">
        <f t="shared" si="2296"/>
        <v>1.711293391022203</v>
      </c>
      <c r="K321" s="41">
        <f t="shared" si="2296"/>
        <v>1.9555196788591327</v>
      </c>
      <c r="L321" s="41">
        <f t="shared" si="2296"/>
        <v>2.3516641280312798</v>
      </c>
      <c r="M321" s="41">
        <f t="shared" si="2296"/>
        <v>2.1289262820076846</v>
      </c>
      <c r="N321" s="41">
        <f t="shared" si="2296"/>
        <v>1.8825391862150656</v>
      </c>
      <c r="O321" s="41">
        <f t="shared" si="2296"/>
        <v>3.890453602383833</v>
      </c>
      <c r="P321" s="41">
        <f t="shared" ref="P321:Q321" si="2297">(P306-P312)/P281</f>
        <v>3.5297654786537653</v>
      </c>
      <c r="Q321" s="41">
        <f t="shared" si="2297"/>
        <v>4.4719516980898817</v>
      </c>
      <c r="R321" s="41">
        <f>(R306-R312)/R281</f>
        <v>5.7215632677104917</v>
      </c>
      <c r="S321" s="41"/>
      <c r="T321" s="260"/>
      <c r="U321" s="260"/>
      <c r="V321" s="260"/>
      <c r="W321" s="260"/>
      <c r="X321" s="41">
        <f t="shared" ref="X321:BC321" si="2298">(X306-X312)/X314</f>
        <v>1.7246599401985141</v>
      </c>
      <c r="Y321" s="41">
        <f t="shared" si="2298"/>
        <v>2.2862250320277751</v>
      </c>
      <c r="Z321" s="41">
        <f t="shared" si="2298"/>
        <v>2.4111301273944927</v>
      </c>
      <c r="AA321" s="41">
        <f t="shared" si="2298"/>
        <v>2.2379338914770441</v>
      </c>
      <c r="AB321" s="41">
        <f t="shared" si="2298"/>
        <v>2.510544409193288</v>
      </c>
      <c r="AC321" s="41">
        <f t="shared" si="2298"/>
        <v>2.4775626317046573</v>
      </c>
      <c r="AD321" s="41">
        <f t="shared" si="2298"/>
        <v>2.1871035251214899</v>
      </c>
      <c r="AE321" s="41">
        <f t="shared" si="2298"/>
        <v>1.9370216813744749</v>
      </c>
      <c r="AF321" s="41">
        <f t="shared" si="2298"/>
        <v>2.2929385482509215</v>
      </c>
      <c r="AG321" s="41">
        <f t="shared" si="2298"/>
        <v>2.4540801953492628</v>
      </c>
      <c r="AH321" s="41">
        <f t="shared" si="2298"/>
        <v>2.4582093857995333</v>
      </c>
      <c r="AI321" s="41">
        <f t="shared" si="2298"/>
        <v>2.3463631895714423</v>
      </c>
      <c r="AJ321" s="41">
        <f t="shared" si="2298"/>
        <v>2.087133717643928</v>
      </c>
      <c r="AK321" s="41">
        <f t="shared" si="2298"/>
        <v>1.6867909020051641</v>
      </c>
      <c r="AL321" s="41">
        <f t="shared" si="2298"/>
        <v>1.0636273463805557</v>
      </c>
      <c r="AM321" s="41">
        <f t="shared" si="2298"/>
        <v>0.95497389557332923</v>
      </c>
      <c r="AN321" s="41">
        <f t="shared" si="2298"/>
        <v>1.3397062531871744</v>
      </c>
      <c r="AO321" s="41">
        <f t="shared" si="2298"/>
        <v>1.8636090897837003</v>
      </c>
      <c r="AP321" s="41">
        <f t="shared" si="2298"/>
        <v>1.883320239078395</v>
      </c>
      <c r="AQ321" s="41">
        <f t="shared" si="2298"/>
        <v>1.5772232332898928</v>
      </c>
      <c r="AR321" s="41">
        <f t="shared" si="2298"/>
        <v>2.0192718419174773</v>
      </c>
      <c r="AS321" s="41">
        <f t="shared" si="2298"/>
        <v>2.3517697379084272</v>
      </c>
      <c r="AT321" s="41">
        <f t="shared" si="2298"/>
        <v>2.1494048568932342</v>
      </c>
      <c r="AU321" s="41">
        <f t="shared" si="2298"/>
        <v>1.9705775697193426</v>
      </c>
      <c r="AV321" s="41">
        <f t="shared" si="2298"/>
        <v>2.2825409366975631</v>
      </c>
      <c r="AW321" s="41">
        <f t="shared" si="2298"/>
        <v>1.7261418975430642</v>
      </c>
      <c r="AX321" s="41">
        <f t="shared" si="2298"/>
        <v>2.0072881268328753</v>
      </c>
      <c r="AY321" s="41">
        <f t="shared" si="2298"/>
        <v>2.1795236175332326</v>
      </c>
      <c r="AZ321" s="41">
        <f t="shared" si="2298"/>
        <v>2.2808643333573944</v>
      </c>
      <c r="BA321" s="41">
        <f t="shared" si="2298"/>
        <v>3.2522648871148263</v>
      </c>
      <c r="BB321" s="41">
        <f t="shared" si="2298"/>
        <v>4.5259484385819393</v>
      </c>
      <c r="BC321" s="41">
        <f t="shared" si="2298"/>
        <v>3.9020872823684005</v>
      </c>
      <c r="BD321" s="41">
        <f>(BD306-BD312)/BD314</f>
        <v>4.9067496992103274</v>
      </c>
      <c r="BE321" s="41">
        <f t="shared" ref="BE321:BG321" si="2299">(BE306-BE312)/BE314</f>
        <v>5.7267828533156724</v>
      </c>
      <c r="BF321" s="41">
        <f t="shared" si="2299"/>
        <v>4.955053927904248</v>
      </c>
      <c r="BG321" s="41">
        <f t="shared" si="2299"/>
        <v>4.5201514802980354</v>
      </c>
      <c r="BH321" s="41">
        <f>(BH306-BH312)/BH314</f>
        <v>5.7383773437944905</v>
      </c>
      <c r="BJ321" s="260"/>
      <c r="BK321" s="260"/>
      <c r="BL321" s="260"/>
      <c r="BM321" s="41">
        <f t="shared" ref="BM321:BN321" si="2300">BM269</f>
        <v>-1.5941542027554321</v>
      </c>
      <c r="BN321" s="41">
        <f t="shared" si="2300"/>
        <v>1.748293218357114</v>
      </c>
      <c r="BO321" s="41">
        <f t="shared" ref="BO321" si="2301">BO269</f>
        <v>2.3930871408341599</v>
      </c>
      <c r="BP321" s="41">
        <f>(BP306-BP312)/BP314</f>
        <v>2.8479087253695754</v>
      </c>
      <c r="BQ321" s="41">
        <f t="shared" ref="BQ321:BR321" si="2302">(BQ306-BQ312)/BQ314</f>
        <v>-1.6973756667535302</v>
      </c>
      <c r="BR321" s="41">
        <f t="shared" si="2302"/>
        <v>3.8069137125464878</v>
      </c>
      <c r="BW321" s="39"/>
      <c r="BX321" s="39"/>
    </row>
    <row r="322" spans="2:76" ht="12.75">
      <c r="B322" s="1" t="str">
        <f>B241</f>
        <v>Lease adjusted gross leverage</v>
      </c>
      <c r="C322" s="42">
        <f t="shared" ref="C322:O322" si="2303">(C305-C312)/C281</f>
        <v>3.1284014524522261</v>
      </c>
      <c r="D322" s="42">
        <f t="shared" si="2303"/>
        <v>3.2372128423162856</v>
      </c>
      <c r="E322" s="42">
        <f t="shared" si="2303"/>
        <v>2.6519755792731634</v>
      </c>
      <c r="F322" s="42">
        <f t="shared" si="2303"/>
        <v>3.519353977126277</v>
      </c>
      <c r="G322" s="42">
        <f t="shared" si="2303"/>
        <v>3.5938465851986687</v>
      </c>
      <c r="H322" s="42">
        <f t="shared" si="2303"/>
        <v>4.6719531922144375</v>
      </c>
      <c r="I322" s="42">
        <f t="shared" si="2303"/>
        <v>2.926123005581601</v>
      </c>
      <c r="J322" s="42">
        <f t="shared" si="2303"/>
        <v>3.3658216279338822</v>
      </c>
      <c r="K322" s="42">
        <f t="shared" si="2303"/>
        <v>3.7433836867567787</v>
      </c>
      <c r="L322" s="42">
        <f t="shared" si="2303"/>
        <v>4.4952779319658731</v>
      </c>
      <c r="M322" s="42">
        <f t="shared" si="2303"/>
        <v>3.9535416990128951</v>
      </c>
      <c r="N322" s="42">
        <f t="shared" si="2303"/>
        <v>3.6117616488435713</v>
      </c>
      <c r="O322" s="42">
        <f t="shared" si="2303"/>
        <v>5.9467361914787338</v>
      </c>
      <c r="P322" s="42">
        <f t="shared" ref="P322:Q322" si="2304">(P305-P312)/P281</f>
        <v>5.5860946201990247</v>
      </c>
      <c r="Q322" s="42">
        <f t="shared" si="2304"/>
        <v>7.4053080458310072</v>
      </c>
      <c r="R322" s="42">
        <f>(R305-R312)/R281</f>
        <v>8.2147250043272138</v>
      </c>
      <c r="S322" s="42"/>
      <c r="T322" s="259"/>
      <c r="U322" s="259"/>
      <c r="V322" s="259"/>
      <c r="W322" s="259"/>
      <c r="X322" s="42">
        <f t="shared" ref="X322:BC322" si="2305">(X305-X312)/X314</f>
        <v>3.1028508140332738</v>
      </c>
      <c r="Y322" s="42">
        <f t="shared" si="2305"/>
        <v>3.3201458025622728</v>
      </c>
      <c r="Z322" s="42">
        <f t="shared" si="2305"/>
        <v>3.4181544141598761</v>
      </c>
      <c r="AA322" s="42">
        <f t="shared" si="2305"/>
        <v>3.5106149543689313</v>
      </c>
      <c r="AB322" s="42">
        <f t="shared" si="2305"/>
        <v>3.727412079558285</v>
      </c>
      <c r="AC322" s="42">
        <f t="shared" si="2305"/>
        <v>3.6523248071466106</v>
      </c>
      <c r="AD322" s="42">
        <f t="shared" si="2305"/>
        <v>3.498733846959611</v>
      </c>
      <c r="AE322" s="42">
        <f t="shared" si="2305"/>
        <v>3.6554519123568512</v>
      </c>
      <c r="AF322" s="42">
        <f t="shared" si="2305"/>
        <v>4.3030335749981203</v>
      </c>
      <c r="AG322" s="42">
        <f t="shared" si="2305"/>
        <v>4.1671211079849444</v>
      </c>
      <c r="AH322" s="42">
        <f t="shared" si="2305"/>
        <v>4.0678822335503977</v>
      </c>
      <c r="AI322" s="42">
        <f t="shared" si="2305"/>
        <v>4.3763122349932582</v>
      </c>
      <c r="AJ322" s="42">
        <f t="shared" si="2305"/>
        <v>4.0626157742391502</v>
      </c>
      <c r="AK322" s="42">
        <f t="shared" si="2305"/>
        <v>4.0376176720285866</v>
      </c>
      <c r="AL322" s="42">
        <f t="shared" si="2305"/>
        <v>3.3510351604156563</v>
      </c>
      <c r="AM322" s="42">
        <f t="shared" si="2305"/>
        <v>3.2140464595892566</v>
      </c>
      <c r="AN322" s="42">
        <f t="shared" si="2305"/>
        <v>2.8473488896844095</v>
      </c>
      <c r="AO322" s="42">
        <f t="shared" si="2305"/>
        <v>3.2896215853426947</v>
      </c>
      <c r="AP322" s="42">
        <f t="shared" si="2305"/>
        <v>3.012994741038844</v>
      </c>
      <c r="AQ322" s="42">
        <f t="shared" si="2305"/>
        <v>3.1021285412175423</v>
      </c>
      <c r="AR322" s="42">
        <f t="shared" si="2305"/>
        <v>3.5136589063378159</v>
      </c>
      <c r="AS322" s="42">
        <f t="shared" si="2305"/>
        <v>3.5527400053385287</v>
      </c>
      <c r="AT322" s="42">
        <f t="shared" si="2305"/>
        <v>3.710812334564578</v>
      </c>
      <c r="AU322" s="42">
        <f t="shared" si="2305"/>
        <v>3.772208486431492</v>
      </c>
      <c r="AV322" s="42">
        <f t="shared" si="2305"/>
        <v>4.4397368574231395</v>
      </c>
      <c r="AW322" s="42">
        <f t="shared" si="2305"/>
        <v>3.1115952195070733</v>
      </c>
      <c r="AX322" s="42">
        <f t="shared" si="2305"/>
        <v>3.6726430262922225</v>
      </c>
      <c r="AY322" s="42">
        <f t="shared" si="2305"/>
        <v>4.0475039360099201</v>
      </c>
      <c r="AZ322" s="42">
        <f t="shared" si="2305"/>
        <v>3.9191207797583649</v>
      </c>
      <c r="BA322" s="42">
        <f t="shared" si="2305"/>
        <v>4.9735883866508086</v>
      </c>
      <c r="BB322" s="42">
        <f t="shared" si="2305"/>
        <v>6.002965176693853</v>
      </c>
      <c r="BC322" s="42">
        <f t="shared" si="2305"/>
        <v>5.9645188031931928</v>
      </c>
      <c r="BD322" s="42">
        <f>(BD305-BD312)/BD314</f>
        <v>6.6289056373049844</v>
      </c>
      <c r="BE322" s="42">
        <f t="shared" ref="BE322:BG322" si="2306">(BE305-BE312)/BE314</f>
        <v>7.9254143163750754</v>
      </c>
      <c r="BF322" s="42">
        <f t="shared" si="2306"/>
        <v>7.1491575269178647</v>
      </c>
      <c r="BG322" s="42">
        <f t="shared" si="2306"/>
        <v>7.4851242556406534</v>
      </c>
      <c r="BH322" s="42">
        <f>(BH305-BH312)/BH314</f>
        <v>8.2388657862724877</v>
      </c>
      <c r="BJ322" s="259"/>
      <c r="BK322" s="259"/>
      <c r="BL322" s="259"/>
      <c r="BM322" s="42">
        <f t="shared" ref="BM322:BN322" si="2307">BM268</f>
        <v>0.13506825987307342</v>
      </c>
      <c r="BN322" s="42">
        <f t="shared" si="2307"/>
        <v>3.0040244748306879</v>
      </c>
      <c r="BO322" s="42">
        <f t="shared" ref="BO322" si="2308">BO268</f>
        <v>3.6596743577227384</v>
      </c>
      <c r="BP322" s="42">
        <f>(BP305-BP312)/BP314</f>
        <v>3.7773070411187866</v>
      </c>
      <c r="BQ322" s="42">
        <f t="shared" ref="BQ322:BR322" si="2309">(BQ305-BQ312)/BQ314</f>
        <v>0.3609714248283929</v>
      </c>
      <c r="BR322" s="42">
        <f t="shared" si="2309"/>
        <v>5.143052594244697</v>
      </c>
      <c r="BW322" s="39"/>
      <c r="BX322" s="39"/>
    </row>
    <row r="323" spans="2:76" ht="12.75">
      <c r="C323" s="62"/>
      <c r="D323" s="62"/>
      <c r="E323" s="62"/>
      <c r="F323" s="62"/>
      <c r="G323" s="62"/>
      <c r="H323" s="62"/>
      <c r="I323" s="62"/>
      <c r="J323" s="62"/>
      <c r="K323" s="62"/>
      <c r="L323" s="62"/>
      <c r="M323" s="62"/>
      <c r="N323" s="62"/>
      <c r="O323" s="62"/>
      <c r="P323" s="62"/>
      <c r="Q323" s="62"/>
      <c r="R323" s="62"/>
      <c r="S323" s="62"/>
      <c r="T323" s="261"/>
      <c r="U323" s="261"/>
      <c r="V323" s="261"/>
      <c r="W323" s="261"/>
      <c r="X323" s="62"/>
      <c r="Y323" s="62"/>
      <c r="Z323" s="62"/>
      <c r="AA323" s="62"/>
      <c r="AB323" s="62"/>
      <c r="AC323" s="62"/>
      <c r="AD323" s="62"/>
      <c r="AE323" s="62"/>
      <c r="AF323" s="62"/>
      <c r="AG323" s="62"/>
      <c r="AH323" s="62"/>
      <c r="AI323" s="62"/>
      <c r="AJ323" s="62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M323" s="62"/>
      <c r="BN323" s="62"/>
      <c r="BO323" s="62"/>
      <c r="BP323" s="62"/>
      <c r="BQ323" s="62"/>
      <c r="BR323" s="62"/>
      <c r="BW323" s="39"/>
      <c r="BX323" s="39"/>
    </row>
    <row r="324" spans="2:76" ht="12.75">
      <c r="B324" s="1" t="str">
        <f>B243</f>
        <v>EBITDA - Capex / Interest</v>
      </c>
      <c r="C324" s="41">
        <f t="shared" ref="C324:O324" si="2310">(C285+C289)/-C292</f>
        <v>2.9945525826186183</v>
      </c>
      <c r="D324" s="41">
        <f t="shared" si="2310"/>
        <v>2.2979208734353418</v>
      </c>
      <c r="E324" s="41">
        <f t="shared" si="2310"/>
        <v>2.1235290921685905</v>
      </c>
      <c r="F324" s="41">
        <f t="shared" si="2310"/>
        <v>1.8913214442218604</v>
      </c>
      <c r="G324" s="41">
        <f t="shared" si="2310"/>
        <v>1.2001904082732753</v>
      </c>
      <c r="H324" s="41">
        <f t="shared" si="2310"/>
        <v>1.3741379382452206</v>
      </c>
      <c r="I324" s="41">
        <f t="shared" si="2310"/>
        <v>2.3846289043243178</v>
      </c>
      <c r="J324" s="41">
        <f t="shared" si="2310"/>
        <v>2.9451091563299689</v>
      </c>
      <c r="K324" s="41">
        <f t="shared" si="2310"/>
        <v>2.0278637865146267</v>
      </c>
      <c r="L324" s="41">
        <f t="shared" si="2310"/>
        <v>0.82078602985703764</v>
      </c>
      <c r="M324" s="41">
        <f t="shared" si="2310"/>
        <v>0.75661109579100072</v>
      </c>
      <c r="N324" s="41">
        <f t="shared" si="2310"/>
        <v>1.0354331341138938</v>
      </c>
      <c r="O324" s="41">
        <f t="shared" si="2310"/>
        <v>-5.7283381562642982E-2</v>
      </c>
      <c r="P324" s="41">
        <f t="shared" ref="P324:Q324" si="2311">(P285+P289)/-P292</f>
        <v>-1.2825783042333727E-2</v>
      </c>
      <c r="Q324" s="41">
        <f t="shared" si="2311"/>
        <v>0.5138702282263431</v>
      </c>
      <c r="R324" s="41">
        <f>(R285+R289)/-R292</f>
        <v>0.5875687233629403</v>
      </c>
      <c r="S324" s="41"/>
      <c r="T324" s="260"/>
      <c r="U324" s="260"/>
      <c r="V324" s="260"/>
      <c r="W324" s="260"/>
      <c r="X324" s="41">
        <f t="shared" ref="X324:BG324" si="2312">(X314+SUM(U289:X289))/-SUM(U292:X292)</f>
        <v>2.3706538766331775</v>
      </c>
      <c r="Y324" s="41">
        <f t="shared" si="2312"/>
        <v>2.2954872755077305</v>
      </c>
      <c r="Z324" s="41">
        <f t="shared" si="2312"/>
        <v>1.9620803388645018</v>
      </c>
      <c r="AA324" s="41">
        <f t="shared" si="2312"/>
        <v>1.9067808818054539</v>
      </c>
      <c r="AB324" s="41">
        <f t="shared" si="2312"/>
        <v>1.5596979218943865</v>
      </c>
      <c r="AC324" s="41">
        <f t="shared" si="2312"/>
        <v>1.156488786350383</v>
      </c>
      <c r="AD324" s="41">
        <f t="shared" si="2312"/>
        <v>0.95468689919142935</v>
      </c>
      <c r="AE324" s="41">
        <f t="shared" si="2312"/>
        <v>1.2085120378869818</v>
      </c>
      <c r="AF324" s="41">
        <f t="shared" si="2312"/>
        <v>1.0742553853458663</v>
      </c>
      <c r="AG324" s="41">
        <f t="shared" si="2312"/>
        <v>3.8489690701737529</v>
      </c>
      <c r="AH324" s="41">
        <f t="shared" si="2312"/>
        <v>1.4739625675340027</v>
      </c>
      <c r="AI324" s="41">
        <f t="shared" si="2312"/>
        <v>1.3523372615102638</v>
      </c>
      <c r="AJ324" s="41">
        <f t="shared" si="2312"/>
        <v>1.386083369734445</v>
      </c>
      <c r="AK324" s="41">
        <f t="shared" si="2312"/>
        <v>1.2771379769102553</v>
      </c>
      <c r="AL324" s="41">
        <f t="shared" si="2312"/>
        <v>8.7341525720393385</v>
      </c>
      <c r="AM324" s="41">
        <f t="shared" si="2312"/>
        <v>2.4956391025212574</v>
      </c>
      <c r="AN324" s="41">
        <f t="shared" si="2312"/>
        <v>3.6118789883557865</v>
      </c>
      <c r="AO324" s="41">
        <f t="shared" si="2312"/>
        <v>2.9927778163345153</v>
      </c>
      <c r="AP324" s="41">
        <f t="shared" si="2312"/>
        <v>1.2987046216969957</v>
      </c>
      <c r="AQ324" s="41">
        <f t="shared" si="2312"/>
        <v>3.0997608325314761</v>
      </c>
      <c r="AR324" s="41">
        <f t="shared" si="2312"/>
        <v>2.9935392048273841</v>
      </c>
      <c r="AS324" s="41">
        <f t="shared" si="2312"/>
        <v>2.483457421106932</v>
      </c>
      <c r="AT324" s="41">
        <f t="shared" si="2312"/>
        <v>2.17989074940661</v>
      </c>
      <c r="AU324" s="41">
        <f t="shared" si="2312"/>
        <v>2.13511071678644</v>
      </c>
      <c r="AV324" s="41">
        <f t="shared" si="2312"/>
        <v>1.4831475796718638</v>
      </c>
      <c r="AW324" s="41">
        <f t="shared" si="2312"/>
        <v>1.7486270494187659</v>
      </c>
      <c r="AX324" s="41">
        <f t="shared" si="2312"/>
        <v>1.8197413014179122</v>
      </c>
      <c r="AY324" s="41">
        <f t="shared" si="2312"/>
        <v>0.77272978812412707</v>
      </c>
      <c r="AZ324" s="41">
        <f t="shared" si="2312"/>
        <v>0.67589310049618145</v>
      </c>
      <c r="BA324" s="41">
        <f t="shared" si="2312"/>
        <v>0.35459664253587686</v>
      </c>
      <c r="BB324" s="41">
        <f t="shared" si="2312"/>
        <v>-0.15846951014255659</v>
      </c>
      <c r="BC324" s="41">
        <f t="shared" si="2312"/>
        <v>-3.7725578007233744E-2</v>
      </c>
      <c r="BD324" s="41">
        <f>(BD314+SUM(BA289:BD289))/-SUM(BA292:BD292)</f>
        <v>-7.6578887316382127E-2</v>
      </c>
      <c r="BE324" s="41">
        <f t="shared" si="2312"/>
        <v>6.8544515991024471E-2</v>
      </c>
      <c r="BF324" s="41">
        <f t="shared" si="2312"/>
        <v>0.37058196166606178</v>
      </c>
      <c r="BG324" s="41">
        <f t="shared" si="2312"/>
        <v>0.51813121450347488</v>
      </c>
      <c r="BH324" s="41">
        <f>(BH314+SUM(BE289:BH289))/-SUM(BE292:BH292)</f>
        <v>0.59833877957849069</v>
      </c>
      <c r="BJ324" s="260"/>
      <c r="BK324" s="260"/>
      <c r="BL324" s="260"/>
      <c r="BM324" s="41">
        <f t="shared" ref="BM324:BN324" si="2313">(BM254-BM259)/BM258</f>
        <v>1.0354331341138938</v>
      </c>
      <c r="BN324" s="41">
        <f t="shared" si="2313"/>
        <v>1.0422105933902033</v>
      </c>
      <c r="BO324" s="41">
        <f t="shared" ref="BO324" si="2314">(BO254-BO259)/BO258</f>
        <v>0.56146821322910112</v>
      </c>
      <c r="BP324" s="41">
        <f>(BP314+SUM(BM289:BP289))/-SUM(BM292:BP292)</f>
        <v>0.29580068661063447</v>
      </c>
      <c r="BQ324" s="41">
        <f t="shared" ref="BQ324:BR324" si="2315">(BQ314+SUM(BN289:BQ289))/-SUM(BN292:BQ292)</f>
        <v>6.9807984522688715E-3</v>
      </c>
      <c r="BR324" s="41">
        <f t="shared" si="2315"/>
        <v>-4.7151868912819271E-2</v>
      </c>
      <c r="BW324" s="39"/>
      <c r="BX324" s="39"/>
    </row>
    <row r="325" spans="2:76" ht="12.75">
      <c r="B325" s="1" t="str">
        <f>B244</f>
        <v>EBITDA/Interest</v>
      </c>
      <c r="C325" s="42">
        <f t="shared" ref="C325:O325" si="2316">C285/-C292</f>
        <v>4.4762991567293264</v>
      </c>
      <c r="D325" s="42">
        <f t="shared" si="2316"/>
        <v>3.9581427056899274</v>
      </c>
      <c r="E325" s="42">
        <f t="shared" si="2316"/>
        <v>4.0046724952120512</v>
      </c>
      <c r="F325" s="42">
        <f t="shared" si="2316"/>
        <v>3.8226180042569173</v>
      </c>
      <c r="G325" s="42">
        <f t="shared" si="2316"/>
        <v>3.3579567487487196</v>
      </c>
      <c r="H325" s="42">
        <f t="shared" si="2316"/>
        <v>2.3357743604327768</v>
      </c>
      <c r="I325" s="42">
        <f t="shared" si="2316"/>
        <v>3.6244361154732632</v>
      </c>
      <c r="J325" s="42">
        <f t="shared" si="2316"/>
        <v>4.6292514592787901</v>
      </c>
      <c r="K325" s="42">
        <f t="shared" si="2316"/>
        <v>4.0261559765905899</v>
      </c>
      <c r="L325" s="42">
        <f t="shared" si="2316"/>
        <v>2.3613664398120777</v>
      </c>
      <c r="M325" s="42">
        <f t="shared" si="2316"/>
        <v>2.4166187102403516</v>
      </c>
      <c r="N325" s="42">
        <f t="shared" si="2316"/>
        <v>2.6276038608406012</v>
      </c>
      <c r="O325" s="42">
        <f t="shared" si="2316"/>
        <v>1.5112458190590463</v>
      </c>
      <c r="P325" s="42">
        <f t="shared" ref="P325:Q325" si="2317">P285/-P292</f>
        <v>1.5112114120256048</v>
      </c>
      <c r="Q325" s="42">
        <f t="shared" si="2317"/>
        <v>1.2340200238197836</v>
      </c>
      <c r="R325" s="42">
        <f>R285/-R292</f>
        <v>1.2355673402062963</v>
      </c>
      <c r="S325" s="42"/>
      <c r="T325" s="259"/>
      <c r="U325" s="259"/>
      <c r="V325" s="259"/>
      <c r="W325" s="259"/>
      <c r="X325" s="42">
        <f t="shared" ref="X325:BG325" si="2318">(X314)/-SUM(U292:X292)</f>
        <v>4.2589859027854837</v>
      </c>
      <c r="Y325" s="42">
        <f t="shared" si="2318"/>
        <v>4.3400678885043966</v>
      </c>
      <c r="Z325" s="42">
        <f t="shared" si="2318"/>
        <v>3.9932372550896136</v>
      </c>
      <c r="AA325" s="42">
        <f t="shared" si="2318"/>
        <v>3.8208127371517366</v>
      </c>
      <c r="AB325" s="42">
        <f t="shared" si="2318"/>
        <v>3.4166941965120698</v>
      </c>
      <c r="AC325" s="42">
        <f t="shared" si="2318"/>
        <v>3.1604343883641484</v>
      </c>
      <c r="AD325" s="42">
        <f t="shared" si="2318"/>
        <v>3.1378899489806416</v>
      </c>
      <c r="AE325" s="42">
        <f t="shared" si="2318"/>
        <v>3.3394616233106027</v>
      </c>
      <c r="AF325" s="42">
        <f t="shared" si="2318"/>
        <v>3.0637864017537804</v>
      </c>
      <c r="AG325" s="42">
        <f t="shared" si="2318"/>
        <v>7.2940641426238466</v>
      </c>
      <c r="AH325" s="42">
        <f t="shared" si="2318"/>
        <v>2.6724698930130866</v>
      </c>
      <c r="AI325" s="42">
        <f t="shared" si="2318"/>
        <v>2.3056775958328237</v>
      </c>
      <c r="AJ325" s="42">
        <f t="shared" si="2318"/>
        <v>2.2517971323476185</v>
      </c>
      <c r="AK325" s="42">
        <f t="shared" si="2318"/>
        <v>1.5054897018253242</v>
      </c>
      <c r="AL325" s="42">
        <f t="shared" si="2318"/>
        <v>9.9735801623013547</v>
      </c>
      <c r="AM325" s="42">
        <f t="shared" si="2318"/>
        <v>3.6713540435458705</v>
      </c>
      <c r="AN325" s="42">
        <f t="shared" si="2318"/>
        <v>5.0360864568024786</v>
      </c>
      <c r="AO325" s="42">
        <f t="shared" si="2318"/>
        <v>5.8591451726196642</v>
      </c>
      <c r="AP325" s="42">
        <f t="shared" si="2318"/>
        <v>2.5936351656616972</v>
      </c>
      <c r="AQ325" s="42">
        <f t="shared" si="2318"/>
        <v>4.7715598173566907</v>
      </c>
      <c r="AR325" s="42">
        <f t="shared" si="2318"/>
        <v>4.7817574068326865</v>
      </c>
      <c r="AS325" s="42">
        <f t="shared" si="2318"/>
        <v>4.136891539969981</v>
      </c>
      <c r="AT325" s="42">
        <f t="shared" si="2318"/>
        <v>4.0673815201805921</v>
      </c>
      <c r="AU325" s="42">
        <f t="shared" si="2318"/>
        <v>4.115063448311715</v>
      </c>
      <c r="AV325" s="42">
        <f t="shared" si="2318"/>
        <v>3.1641051419033701</v>
      </c>
      <c r="AW325" s="42">
        <f t="shared" si="2318"/>
        <v>3.630755662223482</v>
      </c>
      <c r="AX325" s="42">
        <f t="shared" si="2318"/>
        <v>3.3733865339922304</v>
      </c>
      <c r="AY325" s="42">
        <f t="shared" si="2318"/>
        <v>2.4369438532604559</v>
      </c>
      <c r="AZ325" s="42">
        <f t="shared" si="2318"/>
        <v>2.2648964274258816</v>
      </c>
      <c r="BA325" s="42">
        <f t="shared" si="2318"/>
        <v>2.0671635775300246</v>
      </c>
      <c r="BB325" s="42">
        <f t="shared" si="2318"/>
        <v>1.4511009260992114</v>
      </c>
      <c r="BC325" s="42">
        <f t="shared" si="2318"/>
        <v>1.5243849504525928</v>
      </c>
      <c r="BD325" s="42">
        <f>(BD314)/-SUM(BA292:BD292)</f>
        <v>1.3200441238237193</v>
      </c>
      <c r="BE325" s="42">
        <f t="shared" si="2318"/>
        <v>1.2153297260154037</v>
      </c>
      <c r="BF325" s="42">
        <f t="shared" si="2318"/>
        <v>1.2652616924987246</v>
      </c>
      <c r="BG325" s="42">
        <f t="shared" si="2318"/>
        <v>1.2320005510510001</v>
      </c>
      <c r="BH325" s="42">
        <f>(BH314)/-SUM(BE292:BH292)</f>
        <v>1.2338566054620381</v>
      </c>
      <c r="BJ325" s="259"/>
      <c r="BK325" s="259"/>
      <c r="BL325" s="259"/>
      <c r="BM325" s="42">
        <f t="shared" ref="BM325:BN325" si="2319">BM254/BM258</f>
        <v>2.6276038608406012</v>
      </c>
      <c r="BN325" s="42">
        <f t="shared" si="2319"/>
        <v>2.5799072338103244</v>
      </c>
      <c r="BO325" s="42">
        <f t="shared" ref="BO325" si="2320">BO254/BO258</f>
        <v>2.3174222247895186</v>
      </c>
      <c r="BP325" s="42">
        <f>(BP314)/-SUM(BM292:BP292)</f>
        <v>2.0877404373031112</v>
      </c>
      <c r="BQ325" s="42">
        <f t="shared" ref="BQ325:BR325" si="2321">(BQ314)/-SUM(BN292:BQ292)</f>
        <v>1.525605809366853</v>
      </c>
      <c r="BR325" s="42">
        <f t="shared" si="2321"/>
        <v>1.3113776595383038</v>
      </c>
      <c r="BW325" s="39"/>
      <c r="BX325" s="39"/>
    </row>
    <row r="326" spans="2:76" ht="13.5" customHeight="1">
      <c r="C326" s="53"/>
      <c r="D326" s="53"/>
      <c r="E326" s="53"/>
      <c r="F326" s="53"/>
      <c r="G326" s="53"/>
      <c r="H326" s="53"/>
      <c r="I326" s="53"/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262"/>
      <c r="U326" s="262"/>
      <c r="V326" s="262"/>
      <c r="W326" s="262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M326" s="53"/>
      <c r="BN326" s="53"/>
      <c r="BO326" s="53"/>
      <c r="BP326" s="53"/>
      <c r="BQ326" s="53"/>
      <c r="BR326" s="53"/>
      <c r="BW326" s="39"/>
      <c r="BX326" s="39"/>
    </row>
    <row r="327" spans="2:76" ht="13.5" customHeight="1">
      <c r="B327" s="1" t="str">
        <f>B246</f>
        <v>FCF/Net debt (%)</v>
      </c>
      <c r="C327" s="204">
        <f t="shared" ref="C327:O327" si="2322">C293/C306</f>
        <v>7.7162058342370068E-2</v>
      </c>
      <c r="D327" s="204">
        <f t="shared" si="2322"/>
        <v>0.16084703601853986</v>
      </c>
      <c r="E327" s="204">
        <f t="shared" si="2322"/>
        <v>-0.12522398611759136</v>
      </c>
      <c r="F327" s="204">
        <f t="shared" si="2322"/>
        <v>-0.34054856890513208</v>
      </c>
      <c r="G327" s="204">
        <f t="shared" si="2322"/>
        <v>-0.29695974368337419</v>
      </c>
      <c r="H327" s="204">
        <f t="shared" si="2322"/>
        <v>-0.10317681454941124</v>
      </c>
      <c r="I327" s="204">
        <f t="shared" si="2322"/>
        <v>0.35758563550013328</v>
      </c>
      <c r="J327" s="204">
        <f t="shared" si="2322"/>
        <v>-1.0841967872827585</v>
      </c>
      <c r="K327" s="204">
        <f t="shared" si="2322"/>
        <v>-0.40417612154448029</v>
      </c>
      <c r="L327" s="204">
        <f t="shared" si="2322"/>
        <v>8.6721320273100755E-2</v>
      </c>
      <c r="M327" s="204">
        <f t="shared" si="2322"/>
        <v>-0.234270971964679</v>
      </c>
      <c r="N327" s="204">
        <f t="shared" si="2322"/>
        <v>-0.21385117024473449</v>
      </c>
      <c r="O327" s="204">
        <f t="shared" si="2322"/>
        <v>1.3663416837727203E-2</v>
      </c>
      <c r="P327" s="204">
        <f t="shared" ref="P327:Q327" si="2323">P293/P306</f>
        <v>1.5053547610135724E-2</v>
      </c>
      <c r="Q327" s="204">
        <f t="shared" si="2323"/>
        <v>-0.15120094093033401</v>
      </c>
      <c r="R327" s="204">
        <f>R293/R306</f>
        <v>-0.13654225250753516</v>
      </c>
      <c r="S327" s="204"/>
      <c r="T327" s="263"/>
      <c r="U327" s="263"/>
      <c r="V327" s="263"/>
      <c r="W327" s="263"/>
      <c r="X327" s="204">
        <f t="shared" ref="X327:BG327" si="2324">SUM(U293:X293)/X306</f>
        <v>-0.34122051455916697</v>
      </c>
      <c r="Y327" s="204">
        <f t="shared" si="2324"/>
        <v>-0.4013077018363978</v>
      </c>
      <c r="Z327" s="204">
        <f t="shared" si="2324"/>
        <v>-0.48093760660676077</v>
      </c>
      <c r="AA327" s="204">
        <f t="shared" si="2324"/>
        <v>-0.34602898466095749</v>
      </c>
      <c r="AB327" s="204">
        <f t="shared" si="2324"/>
        <v>-0.25155545902033505</v>
      </c>
      <c r="AC327" s="204">
        <f t="shared" si="2324"/>
        <v>-0.30467367213621432</v>
      </c>
      <c r="AD327" s="204">
        <f t="shared" si="2324"/>
        <v>-0.48723638599359137</v>
      </c>
      <c r="AE327" s="204">
        <f t="shared" si="2324"/>
        <v>-0.32786267458719109</v>
      </c>
      <c r="AF327" s="204">
        <f t="shared" si="2324"/>
        <v>-0.26839392880682689</v>
      </c>
      <c r="AG327" s="204">
        <f t="shared" si="2324"/>
        <v>-2.4312136894773652E-3</v>
      </c>
      <c r="AH327" s="204">
        <f t="shared" si="2324"/>
        <v>1.0506399030630593E-2</v>
      </c>
      <c r="AI327" s="204">
        <f t="shared" si="2324"/>
        <v>-0.11734834645342747</v>
      </c>
      <c r="AJ327" s="204">
        <f t="shared" si="2324"/>
        <v>-6.6430810886151076E-2</v>
      </c>
      <c r="AK327" s="204">
        <f t="shared" si="2324"/>
        <v>0.19269292437393504</v>
      </c>
      <c r="AL327" s="204">
        <f t="shared" si="2324"/>
        <v>0.87536130419730129</v>
      </c>
      <c r="AM327" s="204">
        <f t="shared" si="2324"/>
        <v>0.36975333489090761</v>
      </c>
      <c r="AN327" s="204">
        <f t="shared" si="2324"/>
        <v>-0.14390669873855552</v>
      </c>
      <c r="AO327" s="204">
        <f t="shared" si="2324"/>
        <v>-0.72104844785482147</v>
      </c>
      <c r="AP327" s="204">
        <f t="shared" si="2324"/>
        <v>-0.81882167025984165</v>
      </c>
      <c r="AQ327" s="204">
        <f t="shared" si="2324"/>
        <v>-1.1475468324400562</v>
      </c>
      <c r="AR327" s="204">
        <f t="shared" si="2324"/>
        <v>-0.83811740685444591</v>
      </c>
      <c r="AS327" s="204">
        <f t="shared" si="2324"/>
        <v>-0.61661822459017335</v>
      </c>
      <c r="AT327" s="204">
        <f t="shared" si="2324"/>
        <v>-0.68327173343577485</v>
      </c>
      <c r="AU327" s="204">
        <f t="shared" si="2324"/>
        <v>-0.44060970632772284</v>
      </c>
      <c r="AV327" s="204">
        <f t="shared" si="2324"/>
        <v>-0.49383250844016519</v>
      </c>
      <c r="AW327" s="204">
        <f t="shared" si="2324"/>
        <v>-0.63189966086718419</v>
      </c>
      <c r="AX327" s="204">
        <f t="shared" si="2324"/>
        <v>-0.69882013600546689</v>
      </c>
      <c r="AY327" s="204">
        <f t="shared" si="2324"/>
        <v>-0.26865630260548873</v>
      </c>
      <c r="AZ327" s="204">
        <f t="shared" si="2324"/>
        <v>-2.8271714883235221E-2</v>
      </c>
      <c r="BA327" s="204">
        <f t="shared" si="2324"/>
        <v>0.13975893674620418</v>
      </c>
      <c r="BB327" s="204">
        <f t="shared" si="2324"/>
        <v>5.1169033413207332E-2</v>
      </c>
      <c r="BC327" s="204">
        <f t="shared" si="2324"/>
        <v>7.8529404509880604E-3</v>
      </c>
      <c r="BD327" s="204">
        <f>SUM(BA293:BD293)/BD306</f>
        <v>-0.14552562472571878</v>
      </c>
      <c r="BE327" s="204">
        <f t="shared" si="2324"/>
        <v>-0.24850013162647086</v>
      </c>
      <c r="BF327" s="204">
        <f>SUM(BC293:BF293)/BF306</f>
        <v>-0.1272355500359407</v>
      </c>
      <c r="BG327" s="204">
        <f t="shared" si="2324"/>
        <v>-0.17553724255037098</v>
      </c>
      <c r="BH327" s="204">
        <f>SUM(BE293:BH293)/BH306</f>
        <v>-0.15661730248760555</v>
      </c>
      <c r="BJ327" s="263"/>
      <c r="BK327" s="263"/>
      <c r="BL327" s="263"/>
      <c r="BM327" s="204">
        <f t="shared" ref="BM327:BN327" si="2325">BM260/BM264</f>
        <v>0.25253718072430686</v>
      </c>
      <c r="BN327" s="204">
        <f t="shared" si="2325"/>
        <v>-6.4807260065546518E-2</v>
      </c>
      <c r="BO327" s="204">
        <f t="shared" ref="BO327" si="2326">BO260/BO264</f>
        <v>6.326354075268127E-3</v>
      </c>
      <c r="BP327" s="204">
        <f>SUM(BM293:BP293)/BP306</f>
        <v>-0.24753031633114181</v>
      </c>
      <c r="BQ327" s="204">
        <f t="shared" ref="BQ327:BR327" si="2327">SUM(BN293:BQ293)/BQ306</f>
        <v>-1.8706872481704846E-2</v>
      </c>
      <c r="BR327" s="204">
        <f t="shared" si="2327"/>
        <v>-0.19508402286441096</v>
      </c>
      <c r="BW327" s="39"/>
      <c r="BX327" s="39"/>
    </row>
    <row r="328" spans="2:76" s="5" customFormat="1" ht="12.75" customHeight="1" thickBot="1">
      <c r="B328" s="202" t="str">
        <f>B247</f>
        <v xml:space="preserve">Gearing (Net debt / Equity) </v>
      </c>
      <c r="C328" s="203">
        <f t="shared" ref="C328:O328" si="2328">C306/C308</f>
        <v>0.71463805880740161</v>
      </c>
      <c r="D328" s="203">
        <f t="shared" si="2328"/>
        <v>0.70337075479748334</v>
      </c>
      <c r="E328" s="203">
        <f t="shared" si="2328"/>
        <v>0.53561291661344335</v>
      </c>
      <c r="F328" s="203">
        <f t="shared" si="2328"/>
        <v>0.69308469016324759</v>
      </c>
      <c r="G328" s="203">
        <f t="shared" si="2328"/>
        <v>0.8039111529861559</v>
      </c>
      <c r="H328" s="203">
        <f t="shared" si="2328"/>
        <v>0.81686892042955728</v>
      </c>
      <c r="I328" s="203">
        <f t="shared" si="2328"/>
        <v>0.22083521218716004</v>
      </c>
      <c r="J328" s="203">
        <f t="shared" si="2328"/>
        <v>0.78669503018610831</v>
      </c>
      <c r="K328" s="203">
        <f t="shared" si="2328"/>
        <v>0.9898083722673624</v>
      </c>
      <c r="L328" s="203">
        <f t="shared" si="2328"/>
        <v>0.76396825880897135</v>
      </c>
      <c r="M328" s="203">
        <f t="shared" si="2328"/>
        <v>0.95577769741887719</v>
      </c>
      <c r="N328" s="203">
        <f t="shared" si="2328"/>
        <v>0.89178621923373502</v>
      </c>
      <c r="O328" s="203">
        <f t="shared" si="2328"/>
        <v>0.97852732797029918</v>
      </c>
      <c r="P328" s="203">
        <f t="shared" ref="P328:Q328" si="2329">P306/P308</f>
        <v>1.5210271909046511</v>
      </c>
      <c r="Q328" s="203">
        <f t="shared" si="2329"/>
        <v>1.9648496196299083</v>
      </c>
      <c r="R328" s="203">
        <f>R306/R308</f>
        <v>2.3272532539524722</v>
      </c>
      <c r="S328" s="287"/>
      <c r="T328" s="264"/>
      <c r="U328" s="264"/>
      <c r="V328" s="264"/>
      <c r="W328" s="264"/>
      <c r="X328" s="203">
        <f t="shared" ref="X328:BC328" si="2330">X306/X308</f>
        <v>0.63861144238709078</v>
      </c>
      <c r="Y328" s="203">
        <f t="shared" si="2330"/>
        <v>0.7648180391367807</v>
      </c>
      <c r="Z328" s="203">
        <f t="shared" si="2330"/>
        <v>0.76390583232105613</v>
      </c>
      <c r="AA328" s="203">
        <f t="shared" si="2330"/>
        <v>0.69308469016324759</v>
      </c>
      <c r="AB328" s="203">
        <f t="shared" si="2330"/>
        <v>0.83193488138711569</v>
      </c>
      <c r="AC328" s="203">
        <f t="shared" si="2330"/>
        <v>0.89888604871143007</v>
      </c>
      <c r="AD328" s="203">
        <f t="shared" si="2330"/>
        <v>0.81074229913597018</v>
      </c>
      <c r="AE328" s="203">
        <f t="shared" si="2330"/>
        <v>0.8039111529861559</v>
      </c>
      <c r="AF328" s="203">
        <f t="shared" si="2330"/>
        <v>0.84008581796900128</v>
      </c>
      <c r="AG328" s="203">
        <f t="shared" si="2330"/>
        <v>0.90466323538734017</v>
      </c>
      <c r="AH328" s="203">
        <f t="shared" si="2330"/>
        <v>0.91462468091354976</v>
      </c>
      <c r="AI328" s="203">
        <f t="shared" si="2330"/>
        <v>0.81686892042955728</v>
      </c>
      <c r="AJ328" s="203">
        <f t="shared" si="2330"/>
        <v>0.82672543171222901</v>
      </c>
      <c r="AK328" s="203">
        <f t="shared" si="2330"/>
        <v>0.61018834114346843</v>
      </c>
      <c r="AL328" s="203">
        <f t="shared" si="2330"/>
        <v>0.41580043561511987</v>
      </c>
      <c r="AM328" s="203">
        <f t="shared" si="2330"/>
        <v>0.22083521218716004</v>
      </c>
      <c r="AN328" s="203">
        <f t="shared" si="2330"/>
        <v>0.6263487199285932</v>
      </c>
      <c r="AO328" s="203">
        <f t="shared" si="2330"/>
        <v>0.90606961296987432</v>
      </c>
      <c r="AP328" s="203">
        <f t="shared" si="2330"/>
        <v>0.87738855623243672</v>
      </c>
      <c r="AQ328" s="203">
        <f t="shared" si="2330"/>
        <v>0.78669503018610831</v>
      </c>
      <c r="AR328" s="203">
        <f t="shared" si="2330"/>
        <v>1.0016887547433091</v>
      </c>
      <c r="AS328" s="203">
        <f t="shared" si="2330"/>
        <v>1.2014759727376529</v>
      </c>
      <c r="AT328" s="203">
        <f t="shared" si="2330"/>
        <v>1.1171657821895788</v>
      </c>
      <c r="AU328" s="203">
        <f t="shared" si="2330"/>
        <v>0.9898083722673624</v>
      </c>
      <c r="AV328" s="203">
        <f t="shared" si="2330"/>
        <v>1.1885265048291487</v>
      </c>
      <c r="AW328" s="203">
        <f t="shared" si="2330"/>
        <v>1.0490872163049383</v>
      </c>
      <c r="AX328" s="203">
        <f t="shared" si="2330"/>
        <v>1.3300435899813081</v>
      </c>
      <c r="AY328" s="203">
        <f t="shared" si="2330"/>
        <v>0.95577769741887719</v>
      </c>
      <c r="AZ328" s="203">
        <f t="shared" si="2330"/>
        <v>2.4832480826685916</v>
      </c>
      <c r="BA328" s="203">
        <f t="shared" si="2330"/>
        <v>2.5117229371645422</v>
      </c>
      <c r="BB328" s="203">
        <f t="shared" si="2330"/>
        <v>2.9278836884586124</v>
      </c>
      <c r="BC328" s="203">
        <f t="shared" si="2330"/>
        <v>0.97852732797029918</v>
      </c>
      <c r="BD328" s="203">
        <f>BD306/BD308</f>
        <v>1.5684581954257379</v>
      </c>
      <c r="BE328" s="203">
        <f t="shared" ref="BE328:BG328" si="2331">BE306/BE308</f>
        <v>1.7866931075164554</v>
      </c>
      <c r="BF328" s="203">
        <f t="shared" si="2331"/>
        <v>2.1781369888757141</v>
      </c>
      <c r="BG328" s="203">
        <f t="shared" si="2331"/>
        <v>1.9648496196299083</v>
      </c>
      <c r="BH328" s="203">
        <f>BH306/BH308</f>
        <v>2.3272532539524722</v>
      </c>
      <c r="BJ328" s="264"/>
      <c r="BK328" s="264"/>
      <c r="BL328" s="264"/>
      <c r="BM328" s="203">
        <f t="shared" ref="BM328:BN328" si="2332">BM264/(BM162*BM$250)</f>
        <v>-0.75517405415029903</v>
      </c>
      <c r="BN328" s="203">
        <f t="shared" si="2332"/>
        <v>2.4832480826685916</v>
      </c>
      <c r="BO328" s="203">
        <f t="shared" ref="BO328" si="2333">BO264/(BO162*BO$250)</f>
        <v>2.5117229371645422</v>
      </c>
      <c r="BP328" s="203">
        <f>BP306/BP308</f>
        <v>2.9278836884586124</v>
      </c>
      <c r="BQ328" s="203">
        <f t="shared" ref="BQ328:BR328" si="2334">BQ306/BQ308</f>
        <v>-0.5582503490726598</v>
      </c>
      <c r="BR328" s="203">
        <f t="shared" si="2334"/>
        <v>1.5684581954257379</v>
      </c>
      <c r="BT328" s="1"/>
      <c r="BU328" s="1"/>
      <c r="BW328" s="39"/>
      <c r="BX328" s="39"/>
    </row>
    <row r="329" spans="2:76" s="5" customFormat="1" ht="13.5" customHeight="1" thickTop="1">
      <c r="BT329" s="1"/>
      <c r="BU329" s="1"/>
      <c r="BW329" s="39"/>
      <c r="BX329" s="39"/>
    </row>
    <row r="330" spans="2:76" ht="13.5" customHeight="1">
      <c r="B330" s="5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X330" s="6"/>
      <c r="Y330" s="6"/>
      <c r="AC330" s="6"/>
    </row>
    <row r="331" spans="2:76" ht="13.5" customHeight="1"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X331" s="6"/>
      <c r="Y331" s="6"/>
      <c r="AC331" s="6"/>
    </row>
  </sheetData>
  <customSheetViews>
    <customSheetView guid="{46EB06C9-2753-4B8D-B228-9BDD8DF82F27}" scale="80" showPageBreaks="1" fitToPage="1" printArea="1" hiddenRows="1">
      <pane xSplit="2" ySplit="5" topLeftCell="C6" activePane="bottomRight" state="frozen"/>
      <selection pane="bottomRight" activeCell="K9" sqref="K9"/>
      <rowBreaks count="1" manualBreakCount="1">
        <brk id="99" min="1" max="10" man="1"/>
      </rowBreaks>
      <pageMargins left="0" right="0" top="0" bottom="0" header="0" footer="0"/>
      <pageSetup paperSize="9" fitToHeight="0" orientation="portrait" r:id="rId1"/>
      <headerFooter alignWithMargins="0">
        <oddFooter>&amp;L&amp;8U.S. Bank Loan Team&amp;C&amp;"Arial,Bold"&amp;8- Confidential -&amp;R&amp;8&amp;D &amp;T</oddFooter>
      </headerFooter>
    </customSheetView>
  </customSheetViews>
  <pageMargins left="0.51181102362204722" right="0.47244094488188981" top="0.23622047244094491" bottom="0.43307086614173229" header="0.51181102362204722" footer="0.23622047244094491"/>
  <pageSetup paperSize="9" fitToHeight="0" orientation="portrait" r:id="rId2"/>
  <headerFooter alignWithMargins="0">
    <oddFooter>&amp;L&amp;8U.S. Bank Loan Team&amp;C&amp;"Arial,Bold"&amp;8- Confidential -&amp;R&amp;8&amp;D &amp;T</oddFooter>
  </headerFooter>
  <rowBreaks count="1" manualBreakCount="1">
    <brk id="100" min="1" max="10" man="1"/>
  </rowBreaks>
  <ignoredErrors>
    <ignoredError sqref="AB253:AH255 AB257:AH260 W257:AA260 W253:AA255" formulaRange="1"/>
    <ignoredError sqref="AB256:AH256 W256:AA256" formula="1" formulaRange="1"/>
    <ignoredError sqref="AI256:AM256 AE8:AM8 AM69:AM71 AE150:AM154 AE10:AM11 AE9:AI9 AK9 AE17:AM26 AE16:AI16 AK16 AM9 AM16 I17:I26 C256:I256 AE13:AM15 AE12:AL12 AM83:AM86 T69:AI71 AM81 AM72:AM78 T72:AI7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BT166"/>
  <sheetViews>
    <sheetView showGridLines="0" zoomScale="85" zoomScaleNormal="85" workbookViewId="0">
      <pane xSplit="2" ySplit="6" topLeftCell="C7" activePane="bottomRight" state="frozen"/>
      <selection pane="bottomRight" activeCell="I38" sqref="I38"/>
      <selection pane="bottomLeft" activeCell="I38" sqref="I38"/>
      <selection pane="topRight" activeCell="I38" sqref="I38"/>
    </sheetView>
  </sheetViews>
  <sheetFormatPr defaultColWidth="9.28515625" defaultRowHeight="12.75" outlineLevelCol="1"/>
  <cols>
    <col min="1" max="1" width="2.7109375" customWidth="1"/>
    <col min="2" max="2" width="50.7109375" customWidth="1"/>
    <col min="3" max="6" width="12.7109375" hidden="1" customWidth="1" outlineLevel="1"/>
    <col min="7" max="7" width="12.7109375" hidden="1" customWidth="1" outlineLevel="1" collapsed="1"/>
    <col min="8" max="13" width="12.7109375" hidden="1" customWidth="1" outlineLevel="1"/>
    <col min="14" max="14" width="12.7109375" customWidth="1" collapsed="1"/>
    <col min="15" max="18" width="12.7109375" customWidth="1"/>
    <col min="19" max="26" width="12.7109375" hidden="1" customWidth="1" outlineLevel="1"/>
    <col min="27" max="27" width="12.7109375" hidden="1" customWidth="1" outlineLevel="1" collapsed="1"/>
    <col min="28" max="38" width="12.7109375" hidden="1" customWidth="1" outlineLevel="1"/>
    <col min="39" max="39" width="12.7109375" hidden="1" customWidth="1" outlineLevel="1" collapsed="1"/>
    <col min="40" max="42" width="12.7109375" hidden="1" customWidth="1" outlineLevel="1"/>
    <col min="43" max="43" width="12.7109375" hidden="1" customWidth="1" outlineLevel="1" collapsed="1"/>
    <col min="44" max="47" width="12.7109375" hidden="1" customWidth="1" outlineLevel="1"/>
    <col min="48" max="48" width="12.7109375" hidden="1" customWidth="1" outlineLevel="1" collapsed="1"/>
    <col min="49" max="50" width="12.7109375" hidden="1" customWidth="1" outlineLevel="1"/>
    <col min="51" max="51" width="12.7109375" customWidth="1" collapsed="1"/>
    <col min="52" max="60" width="12.7109375" customWidth="1"/>
    <col min="61" max="64" width="12.7109375" hidden="1" customWidth="1" outlineLevel="1"/>
    <col min="65" max="65" width="12.7109375" customWidth="1" collapsed="1"/>
    <col min="66" max="79" width="12.7109375" customWidth="1"/>
  </cols>
  <sheetData>
    <row r="1" spans="2:72">
      <c r="B1" s="1"/>
      <c r="C1" s="5"/>
      <c r="D1" s="45"/>
      <c r="E1" s="45"/>
      <c r="F1" s="45"/>
      <c r="G1" s="45"/>
      <c r="H1" s="45"/>
      <c r="I1" s="45"/>
      <c r="J1" s="45"/>
      <c r="K1" s="45"/>
      <c r="L1" s="254"/>
      <c r="M1" s="45"/>
      <c r="N1" s="254"/>
      <c r="O1" s="45"/>
      <c r="P1" s="45"/>
      <c r="Q1" s="45"/>
      <c r="R1" s="45"/>
      <c r="S1" s="45"/>
      <c r="T1" s="45"/>
      <c r="U1" s="45"/>
      <c r="V1" s="45"/>
      <c r="W1" s="45"/>
      <c r="X1" s="5"/>
      <c r="Y1" s="45"/>
      <c r="Z1" s="45"/>
      <c r="AA1" s="5"/>
      <c r="AB1" s="5"/>
      <c r="AC1" s="5"/>
      <c r="AD1" s="45"/>
      <c r="AE1" s="5"/>
      <c r="AF1" s="5"/>
      <c r="AG1" s="5"/>
      <c r="AH1" s="45"/>
      <c r="AI1" s="5"/>
      <c r="AJ1" s="5"/>
      <c r="AK1" s="5"/>
      <c r="AL1" s="45"/>
      <c r="AN1" s="5"/>
      <c r="AO1" s="5"/>
      <c r="AP1" s="45"/>
    </row>
    <row r="2" spans="2:72" ht="21">
      <c r="B2" s="10" t="s">
        <v>239</v>
      </c>
      <c r="C2" s="12" t="s">
        <v>240</v>
      </c>
      <c r="D2" s="12" t="s">
        <v>240</v>
      </c>
      <c r="E2" s="12" t="s">
        <v>240</v>
      </c>
      <c r="F2" s="12" t="s">
        <v>240</v>
      </c>
      <c r="G2" s="12" t="s">
        <v>240</v>
      </c>
      <c r="H2" s="12" t="s">
        <v>240</v>
      </c>
      <c r="I2" s="12" t="s">
        <v>240</v>
      </c>
      <c r="J2" s="12" t="s">
        <v>240</v>
      </c>
      <c r="K2" s="12" t="s">
        <v>240</v>
      </c>
      <c r="L2" s="12" t="s">
        <v>240</v>
      </c>
      <c r="M2" s="12" t="s">
        <v>240</v>
      </c>
      <c r="N2" s="12" t="s">
        <v>240</v>
      </c>
      <c r="O2" s="12" t="s">
        <v>240</v>
      </c>
      <c r="P2" s="12" t="s">
        <v>240</v>
      </c>
      <c r="Q2" s="12" t="s">
        <v>240</v>
      </c>
      <c r="R2" s="223"/>
      <c r="S2" s="12" t="s">
        <v>242</v>
      </c>
      <c r="T2" s="12" t="s">
        <v>242</v>
      </c>
      <c r="U2" s="12" t="s">
        <v>242</v>
      </c>
      <c r="V2" s="12" t="s">
        <v>242</v>
      </c>
      <c r="W2" s="12" t="s">
        <v>242</v>
      </c>
      <c r="X2" s="12" t="s">
        <v>242</v>
      </c>
      <c r="Y2" s="12" t="s">
        <v>242</v>
      </c>
      <c r="Z2" s="12" t="s">
        <v>242</v>
      </c>
      <c r="AA2" s="12" t="s">
        <v>242</v>
      </c>
      <c r="AB2" s="12" t="s">
        <v>242</v>
      </c>
      <c r="AC2" s="12" t="s">
        <v>242</v>
      </c>
      <c r="AD2" s="12" t="s">
        <v>242</v>
      </c>
      <c r="AE2" s="12" t="s">
        <v>242</v>
      </c>
      <c r="AF2" s="12" t="s">
        <v>242</v>
      </c>
      <c r="AG2" s="12" t="s">
        <v>242</v>
      </c>
      <c r="AH2" s="12" t="s">
        <v>242</v>
      </c>
      <c r="AI2" s="12" t="s">
        <v>242</v>
      </c>
      <c r="AJ2" s="12" t="s">
        <v>242</v>
      </c>
      <c r="AK2" s="12" t="s">
        <v>242</v>
      </c>
      <c r="AL2" s="225" t="s">
        <v>242</v>
      </c>
      <c r="AM2" s="12" t="s">
        <v>242</v>
      </c>
      <c r="AN2" s="12" t="s">
        <v>242</v>
      </c>
      <c r="AO2" s="12" t="s">
        <v>242</v>
      </c>
      <c r="AP2" s="225" t="s">
        <v>242</v>
      </c>
      <c r="AQ2" s="12" t="s">
        <v>242</v>
      </c>
      <c r="AR2" s="12" t="s">
        <v>242</v>
      </c>
      <c r="AS2" s="12" t="s">
        <v>242</v>
      </c>
      <c r="AT2" s="225" t="s">
        <v>242</v>
      </c>
      <c r="AU2" s="12" t="s">
        <v>242</v>
      </c>
      <c r="AV2" s="12" t="s">
        <v>242</v>
      </c>
      <c r="AW2" s="12" t="s">
        <v>242</v>
      </c>
      <c r="AX2" s="12" t="s">
        <v>242</v>
      </c>
      <c r="AY2" s="12" t="s">
        <v>242</v>
      </c>
      <c r="AZ2" s="12" t="s">
        <v>242</v>
      </c>
      <c r="BA2" s="12" t="s">
        <v>242</v>
      </c>
      <c r="BB2" s="12" t="s">
        <v>242</v>
      </c>
      <c r="BC2" s="12" t="s">
        <v>242</v>
      </c>
      <c r="BD2" s="12" t="s">
        <v>242</v>
      </c>
      <c r="BE2" s="12" t="s">
        <v>242</v>
      </c>
      <c r="BF2" s="12" t="s">
        <v>242</v>
      </c>
      <c r="BG2" s="12" t="s">
        <v>242</v>
      </c>
      <c r="BI2" s="12" t="s">
        <v>242</v>
      </c>
      <c r="BJ2" s="12" t="s">
        <v>242</v>
      </c>
      <c r="BK2" s="12" t="s">
        <v>242</v>
      </c>
      <c r="BL2" s="12" t="s">
        <v>242</v>
      </c>
      <c r="BM2" s="12" t="s">
        <v>242</v>
      </c>
      <c r="BN2" s="12" t="s">
        <v>242</v>
      </c>
      <c r="BO2" s="12" t="s">
        <v>242</v>
      </c>
      <c r="BP2" s="12" t="s">
        <v>242</v>
      </c>
      <c r="BQ2" s="12" t="s">
        <v>242</v>
      </c>
      <c r="BS2" s="12" t="s">
        <v>243</v>
      </c>
      <c r="BT2" s="12" t="s">
        <v>243</v>
      </c>
    </row>
    <row r="3" spans="2:72">
      <c r="B3" s="11" t="s">
        <v>74</v>
      </c>
      <c r="C3" s="13">
        <v>41975</v>
      </c>
      <c r="D3" s="13">
        <v>42341</v>
      </c>
      <c r="E3" s="13">
        <v>42735</v>
      </c>
      <c r="F3" s="13">
        <v>43100</v>
      </c>
      <c r="G3" s="13">
        <v>43465</v>
      </c>
      <c r="H3" s="13">
        <v>43830</v>
      </c>
      <c r="I3" s="13">
        <v>44196</v>
      </c>
      <c r="J3" s="13">
        <v>44561</v>
      </c>
      <c r="K3" s="13">
        <v>44926</v>
      </c>
      <c r="L3" s="13">
        <v>44926</v>
      </c>
      <c r="M3" s="13">
        <v>45291</v>
      </c>
      <c r="N3" s="13">
        <v>45291</v>
      </c>
      <c r="O3" s="13">
        <v>45657</v>
      </c>
      <c r="P3" s="13">
        <v>45657</v>
      </c>
      <c r="Q3" s="13">
        <v>46022</v>
      </c>
      <c r="R3" s="223"/>
      <c r="S3" s="13">
        <v>42437</v>
      </c>
      <c r="T3" s="13">
        <v>42527</v>
      </c>
      <c r="U3" s="13">
        <v>42622</v>
      </c>
      <c r="V3" s="13">
        <v>42714</v>
      </c>
      <c r="W3" s="13">
        <v>42825</v>
      </c>
      <c r="X3" s="13">
        <v>42916</v>
      </c>
      <c r="Y3" s="13">
        <v>43008</v>
      </c>
      <c r="Z3" s="13">
        <v>43100</v>
      </c>
      <c r="AA3" s="13">
        <v>43190</v>
      </c>
      <c r="AB3" s="13">
        <v>43281</v>
      </c>
      <c r="AC3" s="13">
        <v>43373</v>
      </c>
      <c r="AD3" s="13">
        <v>43465</v>
      </c>
      <c r="AE3" s="13">
        <v>43555</v>
      </c>
      <c r="AF3" s="13">
        <v>43646</v>
      </c>
      <c r="AG3" s="13">
        <v>43738</v>
      </c>
      <c r="AH3" s="13">
        <v>43830</v>
      </c>
      <c r="AI3" s="13">
        <v>43921</v>
      </c>
      <c r="AJ3" s="13">
        <v>44012</v>
      </c>
      <c r="AK3" s="13">
        <v>44104</v>
      </c>
      <c r="AL3" s="14">
        <v>44196</v>
      </c>
      <c r="AM3" s="13">
        <v>44286</v>
      </c>
      <c r="AN3" s="13">
        <v>44377</v>
      </c>
      <c r="AO3" s="13">
        <v>44469</v>
      </c>
      <c r="AP3" s="14">
        <v>44561</v>
      </c>
      <c r="AQ3" s="13">
        <v>44651</v>
      </c>
      <c r="AR3" s="13">
        <v>44742</v>
      </c>
      <c r="AS3" s="13">
        <v>44834</v>
      </c>
      <c r="AT3" s="14">
        <v>44926</v>
      </c>
      <c r="AU3" s="13">
        <v>45016</v>
      </c>
      <c r="AV3" s="13">
        <v>45107</v>
      </c>
      <c r="AW3" s="13">
        <v>45199</v>
      </c>
      <c r="AX3" s="13">
        <v>45291</v>
      </c>
      <c r="AY3" s="13">
        <v>45382</v>
      </c>
      <c r="AZ3" s="13">
        <v>45473</v>
      </c>
      <c r="BA3" s="13">
        <v>45565</v>
      </c>
      <c r="BB3" s="13">
        <v>45657</v>
      </c>
      <c r="BC3" s="13">
        <v>45747</v>
      </c>
      <c r="BD3" s="13">
        <v>45838</v>
      </c>
      <c r="BE3" s="13">
        <v>45930</v>
      </c>
      <c r="BF3" s="13">
        <v>46022</v>
      </c>
      <c r="BG3" s="13">
        <v>46112</v>
      </c>
      <c r="BI3" s="13">
        <v>45016</v>
      </c>
      <c r="BJ3" s="13">
        <v>45107</v>
      </c>
      <c r="BK3" s="13">
        <v>45199</v>
      </c>
      <c r="BL3" s="13">
        <v>45291</v>
      </c>
      <c r="BM3" s="13">
        <v>45382</v>
      </c>
      <c r="BN3" s="13">
        <v>45473</v>
      </c>
      <c r="BO3" s="13">
        <v>45565</v>
      </c>
      <c r="BP3" s="13">
        <v>45657</v>
      </c>
      <c r="BQ3" s="13">
        <v>45747</v>
      </c>
      <c r="BS3" s="13">
        <v>45565</v>
      </c>
      <c r="BT3" s="13">
        <v>45930</v>
      </c>
    </row>
    <row r="4" spans="2:72">
      <c r="B4" s="11"/>
      <c r="C4" s="14" t="s">
        <v>244</v>
      </c>
      <c r="D4" s="14" t="s">
        <v>244</v>
      </c>
      <c r="E4" s="14" t="s">
        <v>244</v>
      </c>
      <c r="F4" s="14" t="s">
        <v>244</v>
      </c>
      <c r="G4" s="14" t="s">
        <v>244</v>
      </c>
      <c r="H4" s="14" t="s">
        <v>244</v>
      </c>
      <c r="I4" s="14" t="s">
        <v>244</v>
      </c>
      <c r="J4" s="14" t="s">
        <v>244</v>
      </c>
      <c r="K4" s="14" t="s">
        <v>244</v>
      </c>
      <c r="L4" s="14" t="s">
        <v>244</v>
      </c>
      <c r="M4" s="14" t="s">
        <v>244</v>
      </c>
      <c r="N4" s="14" t="s">
        <v>244</v>
      </c>
      <c r="O4" s="14" t="s">
        <v>244</v>
      </c>
      <c r="P4" s="14" t="s">
        <v>244</v>
      </c>
      <c r="Q4" s="14" t="s">
        <v>244</v>
      </c>
      <c r="R4" s="223"/>
      <c r="S4" s="14" t="s">
        <v>244</v>
      </c>
      <c r="T4" s="14" t="s">
        <v>244</v>
      </c>
      <c r="U4" s="14" t="s">
        <v>244</v>
      </c>
      <c r="V4" s="14" t="s">
        <v>244</v>
      </c>
      <c r="W4" s="14" t="s">
        <v>244</v>
      </c>
      <c r="X4" s="14" t="s">
        <v>244</v>
      </c>
      <c r="Y4" s="14" t="s">
        <v>244</v>
      </c>
      <c r="Z4" s="14" t="s">
        <v>244</v>
      </c>
      <c r="AA4" s="14" t="s">
        <v>244</v>
      </c>
      <c r="AB4" s="14" t="s">
        <v>244</v>
      </c>
      <c r="AC4" s="14" t="s">
        <v>244</v>
      </c>
      <c r="AD4" s="14" t="s">
        <v>244</v>
      </c>
      <c r="AE4" s="14" t="s">
        <v>244</v>
      </c>
      <c r="AF4" s="14" t="s">
        <v>244</v>
      </c>
      <c r="AG4" s="14" t="s">
        <v>244</v>
      </c>
      <c r="AH4" s="14" t="s">
        <v>244</v>
      </c>
      <c r="AI4" s="14" t="s">
        <v>244</v>
      </c>
      <c r="AJ4" s="14" t="s">
        <v>244</v>
      </c>
      <c r="AK4" s="14" t="s">
        <v>244</v>
      </c>
      <c r="AL4" s="14" t="s">
        <v>244</v>
      </c>
      <c r="AM4" s="14" t="s">
        <v>244</v>
      </c>
      <c r="AN4" s="14" t="s">
        <v>244</v>
      </c>
      <c r="AO4" s="14" t="s">
        <v>244</v>
      </c>
      <c r="AP4" s="14" t="s">
        <v>244</v>
      </c>
      <c r="AQ4" s="14" t="s">
        <v>244</v>
      </c>
      <c r="AR4" s="14" t="s">
        <v>244</v>
      </c>
      <c r="AS4" s="14" t="s">
        <v>244</v>
      </c>
      <c r="AT4" s="14" t="s">
        <v>244</v>
      </c>
      <c r="AU4" s="14" t="s">
        <v>244</v>
      </c>
      <c r="AV4" s="14" t="s">
        <v>244</v>
      </c>
      <c r="AW4" s="14" t="s">
        <v>244</v>
      </c>
      <c r="AX4" s="14" t="s">
        <v>244</v>
      </c>
      <c r="AY4" s="14" t="s">
        <v>244</v>
      </c>
      <c r="AZ4" s="14" t="s">
        <v>244</v>
      </c>
      <c r="BA4" s="14" t="s">
        <v>244</v>
      </c>
      <c r="BB4" s="14" t="s">
        <v>244</v>
      </c>
      <c r="BC4" s="14" t="s">
        <v>244</v>
      </c>
      <c r="BD4" s="14" t="s">
        <v>244</v>
      </c>
      <c r="BE4" s="14" t="s">
        <v>244</v>
      </c>
      <c r="BF4" s="14" t="s">
        <v>244</v>
      </c>
      <c r="BG4" s="14" t="s">
        <v>244</v>
      </c>
      <c r="BI4" s="14" t="s">
        <v>244</v>
      </c>
      <c r="BJ4" s="14" t="s">
        <v>244</v>
      </c>
      <c r="BK4" s="14" t="s">
        <v>244</v>
      </c>
      <c r="BL4" s="14" t="s">
        <v>244</v>
      </c>
      <c r="BM4" s="14" t="s">
        <v>244</v>
      </c>
      <c r="BN4" s="14" t="s">
        <v>244</v>
      </c>
      <c r="BO4" s="14" t="s">
        <v>244</v>
      </c>
      <c r="BP4" s="14" t="s">
        <v>244</v>
      </c>
      <c r="BQ4" s="14" t="s">
        <v>244</v>
      </c>
      <c r="BS4" s="14" t="s">
        <v>244</v>
      </c>
      <c r="BT4" s="14" t="s">
        <v>244</v>
      </c>
    </row>
    <row r="5" spans="2:72">
      <c r="B5" s="269"/>
      <c r="C5" s="22" t="s">
        <v>245</v>
      </c>
      <c r="D5" s="22" t="s">
        <v>245</v>
      </c>
      <c r="E5" s="22" t="s">
        <v>245</v>
      </c>
      <c r="F5" s="22" t="s">
        <v>245</v>
      </c>
      <c r="G5" s="22" t="s">
        <v>245</v>
      </c>
      <c r="H5" s="22" t="s">
        <v>245</v>
      </c>
      <c r="I5" s="22" t="s">
        <v>245</v>
      </c>
      <c r="J5" s="22" t="s">
        <v>245</v>
      </c>
      <c r="K5" s="22" t="s">
        <v>245</v>
      </c>
      <c r="L5" s="22" t="s">
        <v>245</v>
      </c>
      <c r="M5" s="22" t="s">
        <v>245</v>
      </c>
      <c r="N5" s="22" t="s">
        <v>245</v>
      </c>
      <c r="O5" s="22" t="s">
        <v>245</v>
      </c>
      <c r="P5" s="22" t="s">
        <v>245</v>
      </c>
      <c r="Q5" s="22" t="s">
        <v>245</v>
      </c>
      <c r="R5" s="223"/>
      <c r="S5" s="22" t="s">
        <v>246</v>
      </c>
      <c r="T5" s="22" t="s">
        <v>247</v>
      </c>
      <c r="U5" s="22" t="s">
        <v>248</v>
      </c>
      <c r="V5" s="22" t="s">
        <v>249</v>
      </c>
      <c r="W5" s="22" t="s">
        <v>246</v>
      </c>
      <c r="X5" s="22" t="s">
        <v>247</v>
      </c>
      <c r="Y5" s="22" t="s">
        <v>248</v>
      </c>
      <c r="Z5" s="22" t="s">
        <v>249</v>
      </c>
      <c r="AA5" s="22" t="s">
        <v>246</v>
      </c>
      <c r="AB5" s="22" t="s">
        <v>247</v>
      </c>
      <c r="AC5" s="22" t="s">
        <v>248</v>
      </c>
      <c r="AD5" s="22" t="s">
        <v>249</v>
      </c>
      <c r="AE5" s="22" t="s">
        <v>246</v>
      </c>
      <c r="AF5" s="22" t="s">
        <v>247</v>
      </c>
      <c r="AG5" s="22" t="s">
        <v>248</v>
      </c>
      <c r="AH5" s="22" t="s">
        <v>249</v>
      </c>
      <c r="AI5" s="22" t="s">
        <v>246</v>
      </c>
      <c r="AJ5" s="22" t="s">
        <v>247</v>
      </c>
      <c r="AK5" s="22" t="s">
        <v>248</v>
      </c>
      <c r="AL5" s="22" t="s">
        <v>249</v>
      </c>
      <c r="AM5" s="22" t="s">
        <v>246</v>
      </c>
      <c r="AN5" s="22" t="s">
        <v>247</v>
      </c>
      <c r="AO5" s="22" t="s">
        <v>248</v>
      </c>
      <c r="AP5" s="22" t="s">
        <v>249</v>
      </c>
      <c r="AQ5" s="22" t="s">
        <v>246</v>
      </c>
      <c r="AR5" s="22" t="s">
        <v>247</v>
      </c>
      <c r="AS5" s="22" t="s">
        <v>248</v>
      </c>
      <c r="AT5" s="22" t="s">
        <v>249</v>
      </c>
      <c r="AU5" s="22" t="s">
        <v>246</v>
      </c>
      <c r="AV5" s="22" t="s">
        <v>247</v>
      </c>
      <c r="AW5" s="22" t="s">
        <v>248</v>
      </c>
      <c r="AX5" s="22" t="s">
        <v>249</v>
      </c>
      <c r="AY5" s="22" t="s">
        <v>246</v>
      </c>
      <c r="AZ5" s="22" t="s">
        <v>247</v>
      </c>
      <c r="BA5" s="22" t="s">
        <v>248</v>
      </c>
      <c r="BB5" s="22" t="s">
        <v>249</v>
      </c>
      <c r="BC5" s="22" t="s">
        <v>246</v>
      </c>
      <c r="BD5" s="22" t="s">
        <v>247</v>
      </c>
      <c r="BE5" s="22" t="s">
        <v>248</v>
      </c>
      <c r="BF5" s="22" t="s">
        <v>249</v>
      </c>
      <c r="BG5" s="22" t="s">
        <v>246</v>
      </c>
      <c r="BI5" s="22" t="s">
        <v>246</v>
      </c>
      <c r="BJ5" s="22" t="s">
        <v>247</v>
      </c>
      <c r="BK5" s="22" t="s">
        <v>248</v>
      </c>
      <c r="BL5" s="22" t="s">
        <v>249</v>
      </c>
      <c r="BM5" s="22" t="s">
        <v>246</v>
      </c>
      <c r="BN5" s="22" t="s">
        <v>247</v>
      </c>
      <c r="BO5" s="22" t="s">
        <v>248</v>
      </c>
      <c r="BP5" s="22" t="s">
        <v>249</v>
      </c>
      <c r="BQ5" s="22" t="s">
        <v>246</v>
      </c>
      <c r="BS5" s="22" t="s">
        <v>243</v>
      </c>
      <c r="BT5" s="22" t="s">
        <v>243</v>
      </c>
    </row>
    <row r="6" spans="2:72">
      <c r="B6" s="268"/>
      <c r="C6" s="271"/>
      <c r="D6" s="271"/>
      <c r="E6" s="271"/>
      <c r="F6" s="271"/>
      <c r="G6" s="271"/>
      <c r="H6" s="271"/>
      <c r="I6" s="271"/>
      <c r="J6" s="271"/>
      <c r="K6" s="271"/>
      <c r="L6" s="272" t="s">
        <v>252</v>
      </c>
      <c r="M6" s="271"/>
      <c r="N6" s="272" t="s">
        <v>252</v>
      </c>
      <c r="O6" s="271"/>
      <c r="P6" s="272" t="s">
        <v>252</v>
      </c>
      <c r="Q6" s="272"/>
      <c r="R6" s="223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I6" s="253" t="s">
        <v>252</v>
      </c>
      <c r="BJ6" s="253" t="s">
        <v>252</v>
      </c>
      <c r="BK6" s="253" t="s">
        <v>252</v>
      </c>
      <c r="BL6" s="253" t="s">
        <v>252</v>
      </c>
      <c r="BM6" s="253" t="s">
        <v>252</v>
      </c>
      <c r="BN6" s="253" t="s">
        <v>252</v>
      </c>
      <c r="BO6" s="253" t="s">
        <v>252</v>
      </c>
      <c r="BP6" s="253" t="s">
        <v>252</v>
      </c>
      <c r="BQ6" s="253" t="s">
        <v>252</v>
      </c>
      <c r="BS6" s="253" t="s">
        <v>252</v>
      </c>
      <c r="BT6" s="253" t="s">
        <v>252</v>
      </c>
    </row>
    <row r="7" spans="2:72">
      <c r="B7" s="269"/>
      <c r="C7" s="1"/>
      <c r="D7" s="1"/>
      <c r="E7" s="1"/>
      <c r="F7" s="1"/>
      <c r="G7" s="1"/>
      <c r="H7" s="1"/>
      <c r="I7" s="1"/>
      <c r="J7" s="1"/>
      <c r="K7" s="1"/>
      <c r="L7" s="273"/>
      <c r="M7" s="1"/>
      <c r="N7" s="273"/>
      <c r="O7" s="1"/>
      <c r="P7" s="1"/>
      <c r="Q7" s="1"/>
      <c r="R7" s="223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70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I7" s="22"/>
      <c r="BJ7" s="22"/>
      <c r="BK7" s="22"/>
      <c r="BL7" s="22"/>
      <c r="BM7" s="22"/>
      <c r="BN7" s="22"/>
      <c r="BO7" s="22"/>
      <c r="BP7" s="22"/>
      <c r="BQ7" s="22"/>
      <c r="BS7" s="22"/>
      <c r="BT7" s="22"/>
    </row>
    <row r="8" spans="2:72" hidden="1">
      <c r="B8" s="5" t="s">
        <v>400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223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N8" s="5"/>
      <c r="AO8" s="5"/>
      <c r="AP8" s="5"/>
    </row>
    <row r="9" spans="2:72" hidden="1">
      <c r="B9" s="1" t="s">
        <v>401</v>
      </c>
      <c r="C9" s="134">
        <v>5179.326</v>
      </c>
      <c r="D9" s="134">
        <v>6113.5169999999998</v>
      </c>
      <c r="E9" s="134">
        <v>6897.6949999999997</v>
      </c>
      <c r="F9" s="134">
        <v>8223.0300000000007</v>
      </c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223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N9" s="102"/>
      <c r="AO9" s="227"/>
      <c r="AP9" s="102"/>
    </row>
    <row r="10" spans="2:72" hidden="1">
      <c r="B10" s="1" t="s">
        <v>402</v>
      </c>
      <c r="C10" s="134">
        <v>8762.3109999999997</v>
      </c>
      <c r="D10" s="134">
        <v>9791.5840000000007</v>
      </c>
      <c r="E10" s="134">
        <v>11204.569</v>
      </c>
      <c r="F10" s="134">
        <v>15450.157999999999</v>
      </c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223"/>
      <c r="S10" s="102"/>
      <c r="T10" s="102"/>
      <c r="U10" s="102"/>
      <c r="V10" s="102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N10" s="102"/>
      <c r="AO10" s="227"/>
      <c r="AP10" s="102"/>
    </row>
    <row r="11" spans="2:72" s="50" customFormat="1" hidden="1">
      <c r="B11" s="5" t="s">
        <v>403</v>
      </c>
      <c r="C11" s="146">
        <f>C9+C10</f>
        <v>13941.636999999999</v>
      </c>
      <c r="D11" s="146">
        <f>D9+D10</f>
        <v>15905.101000000001</v>
      </c>
      <c r="E11" s="146">
        <f>E9+E10</f>
        <v>18102.263999999999</v>
      </c>
      <c r="F11" s="146">
        <f>F9+F10</f>
        <v>23673.188000000002</v>
      </c>
      <c r="G11" s="197"/>
      <c r="H11" s="197"/>
      <c r="I11" s="197"/>
      <c r="J11" s="197"/>
      <c r="K11" s="197"/>
      <c r="L11" s="197"/>
      <c r="M11" s="197"/>
      <c r="N11" s="197"/>
      <c r="O11" s="197"/>
      <c r="P11" s="197"/>
      <c r="Q11" s="197"/>
      <c r="R11" s="223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N11" s="130"/>
      <c r="AO11" s="228"/>
      <c r="AP11" s="130"/>
    </row>
    <row r="12" spans="2:72" hidden="1">
      <c r="B12" s="5" t="s">
        <v>404</v>
      </c>
      <c r="C12" s="134">
        <v>-1427.604</v>
      </c>
      <c r="D12" s="134">
        <v>-1739.001</v>
      </c>
      <c r="E12" s="134">
        <v>-2006.0920000000001</v>
      </c>
      <c r="F12" s="134">
        <v>-2832.5749999999998</v>
      </c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223"/>
      <c r="S12" s="108"/>
      <c r="T12" s="106"/>
      <c r="U12" s="108"/>
      <c r="V12" s="109"/>
      <c r="W12" s="108"/>
      <c r="X12" s="107"/>
      <c r="Y12" s="109"/>
      <c r="Z12" s="109"/>
      <c r="AA12" s="107"/>
      <c r="AB12" s="107"/>
      <c r="AC12" s="107"/>
      <c r="AD12" s="109"/>
      <c r="AE12" s="107"/>
      <c r="AF12" s="107"/>
      <c r="AG12" s="107"/>
      <c r="AH12" s="109"/>
      <c r="AI12" s="107"/>
      <c r="AJ12" s="107"/>
      <c r="AK12" s="107"/>
      <c r="AL12" s="109"/>
      <c r="AN12" s="107"/>
      <c r="AO12" s="107"/>
      <c r="AP12" s="109"/>
    </row>
    <row r="13" spans="2:72" hidden="1">
      <c r="B13" s="5" t="s">
        <v>405</v>
      </c>
      <c r="C13" s="146">
        <f>C12+C11</f>
        <v>12514.032999999999</v>
      </c>
      <c r="D13" s="146">
        <f>D12+D11</f>
        <v>14166.1</v>
      </c>
      <c r="E13" s="146">
        <f>E12+E11</f>
        <v>16096.171999999999</v>
      </c>
      <c r="F13" s="146">
        <f>F12+F11</f>
        <v>20840.613000000001</v>
      </c>
      <c r="G13" s="197"/>
      <c r="H13" s="197"/>
      <c r="I13" s="197"/>
      <c r="J13" s="197"/>
      <c r="K13" s="197"/>
      <c r="L13" s="197"/>
      <c r="M13" s="197"/>
      <c r="N13" s="197"/>
      <c r="O13" s="197"/>
      <c r="P13" s="197"/>
      <c r="Q13" s="197"/>
      <c r="R13" s="223"/>
      <c r="S13" s="112"/>
      <c r="T13" s="106"/>
      <c r="U13" s="112"/>
      <c r="V13" s="106"/>
      <c r="W13" s="106"/>
      <c r="X13" s="131"/>
      <c r="Y13" s="112"/>
      <c r="Z13" s="112"/>
      <c r="AA13" s="131"/>
      <c r="AB13" s="131"/>
      <c r="AC13" s="131"/>
      <c r="AD13" s="112"/>
      <c r="AE13" s="131"/>
      <c r="AF13" s="131"/>
      <c r="AG13" s="131"/>
      <c r="AH13" s="112"/>
      <c r="AI13" s="131"/>
      <c r="AJ13" s="131"/>
      <c r="AK13" s="131"/>
      <c r="AL13" s="112"/>
      <c r="AN13" s="131"/>
      <c r="AO13" s="131"/>
      <c r="AP13" s="112"/>
    </row>
    <row r="14" spans="2:72" hidden="1">
      <c r="B14" s="76" t="s">
        <v>30</v>
      </c>
      <c r="C14" s="117">
        <f>C13-Model!C7</f>
        <v>0</v>
      </c>
      <c r="D14" s="117">
        <f>D13-Model!D7</f>
        <v>0</v>
      </c>
      <c r="E14" s="117">
        <f>E13-Model!E7</f>
        <v>0</v>
      </c>
      <c r="F14" s="117">
        <f>F13-Model!F7</f>
        <v>0</v>
      </c>
      <c r="G14" s="117"/>
      <c r="H14" s="117"/>
      <c r="I14" s="117"/>
      <c r="J14" s="117"/>
      <c r="K14" s="117"/>
      <c r="L14" s="117"/>
      <c r="M14" s="117"/>
      <c r="N14" s="117"/>
      <c r="O14" s="117"/>
      <c r="P14" s="117"/>
      <c r="Q14" s="117"/>
      <c r="R14" s="223"/>
      <c r="S14" s="117"/>
      <c r="T14" s="117"/>
      <c r="U14" s="117"/>
      <c r="V14" s="117"/>
      <c r="W14" s="117"/>
      <c r="X14" s="117"/>
      <c r="Y14" s="117"/>
      <c r="Z14" s="117"/>
      <c r="AA14" s="117"/>
      <c r="AB14" s="117"/>
      <c r="AC14" s="117"/>
      <c r="AD14" s="117"/>
      <c r="AE14" s="117"/>
      <c r="AF14" s="117"/>
      <c r="AG14" s="117"/>
      <c r="AH14" s="117"/>
      <c r="AI14" s="117"/>
      <c r="AJ14" s="117"/>
      <c r="AK14" s="117"/>
      <c r="AL14" s="117"/>
      <c r="AN14" s="117"/>
      <c r="AO14" s="117"/>
      <c r="AP14" s="117"/>
    </row>
    <row r="15" spans="2:72" hidden="1">
      <c r="B15" s="5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223"/>
      <c r="S15" s="110"/>
      <c r="T15" s="106"/>
      <c r="U15" s="110"/>
      <c r="V15" s="106"/>
      <c r="W15" s="105"/>
      <c r="X15" s="111"/>
      <c r="Y15" s="112"/>
      <c r="Z15" s="112"/>
      <c r="AA15" s="111"/>
      <c r="AB15" s="111"/>
      <c r="AC15" s="111"/>
      <c r="AD15" s="112"/>
      <c r="AE15" s="111"/>
      <c r="AF15" s="111"/>
      <c r="AG15" s="111"/>
      <c r="AH15" s="112"/>
      <c r="AI15" s="111"/>
      <c r="AJ15" s="111"/>
      <c r="AK15" s="111"/>
      <c r="AL15" s="112"/>
      <c r="AN15" s="111"/>
      <c r="AO15" s="111"/>
      <c r="AP15" s="112"/>
    </row>
    <row r="16" spans="2:72" hidden="1">
      <c r="B16" s="5" t="s">
        <v>406</v>
      </c>
      <c r="C16" s="132">
        <f>-C12/C11</f>
        <v>0.10239859207351333</v>
      </c>
      <c r="D16" s="132">
        <f>-D12/D11</f>
        <v>0.10933605514356683</v>
      </c>
      <c r="E16" s="132">
        <f>-E12/E11</f>
        <v>0.11081995047691273</v>
      </c>
      <c r="F16" s="132">
        <f>-F12/F11</f>
        <v>0.11965329722384664</v>
      </c>
      <c r="G16" s="198"/>
      <c r="H16" s="198"/>
      <c r="I16" s="198"/>
      <c r="J16" s="198"/>
      <c r="K16" s="198"/>
      <c r="L16" s="198"/>
      <c r="M16" s="198"/>
      <c r="N16" s="198"/>
      <c r="O16" s="198"/>
      <c r="P16" s="198"/>
      <c r="Q16" s="198"/>
      <c r="R16" s="223"/>
      <c r="S16" s="110"/>
      <c r="T16" s="106"/>
      <c r="U16" s="110"/>
      <c r="V16" s="106"/>
      <c r="W16" s="105"/>
      <c r="X16" s="111"/>
      <c r="Y16" s="112"/>
      <c r="Z16" s="112"/>
      <c r="AA16" s="111"/>
      <c r="AB16" s="111"/>
      <c r="AC16" s="111"/>
      <c r="AD16" s="112"/>
      <c r="AE16" s="111"/>
      <c r="AF16" s="111"/>
      <c r="AG16" s="111"/>
      <c r="AH16" s="112"/>
      <c r="AI16" s="111"/>
      <c r="AJ16" s="111"/>
      <c r="AK16" s="111"/>
      <c r="AL16" s="112"/>
      <c r="AN16" s="111"/>
      <c r="AO16" s="111"/>
      <c r="AP16" s="112"/>
    </row>
    <row r="17" spans="2:72" hidden="1">
      <c r="B17" s="5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223"/>
      <c r="S17" s="110"/>
      <c r="T17" s="106"/>
      <c r="U17" s="110"/>
      <c r="V17" s="106"/>
      <c r="W17" s="105"/>
      <c r="X17" s="111"/>
      <c r="Y17" s="112"/>
      <c r="Z17" s="112"/>
      <c r="AA17" s="111"/>
      <c r="AB17" s="111"/>
      <c r="AC17" s="111"/>
      <c r="AD17" s="112"/>
      <c r="AE17" s="111"/>
      <c r="AF17" s="111"/>
      <c r="AG17" s="111"/>
      <c r="AH17" s="112"/>
      <c r="AI17" s="111"/>
      <c r="AJ17" s="111"/>
      <c r="AK17" s="111"/>
      <c r="AL17" s="112"/>
      <c r="AN17" s="111"/>
      <c r="AO17" s="111"/>
      <c r="AP17" s="112"/>
    </row>
    <row r="18" spans="2:72">
      <c r="B18" s="311" t="s">
        <v>407</v>
      </c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10"/>
      <c r="T18" s="106"/>
      <c r="U18" s="110"/>
      <c r="V18" s="106"/>
      <c r="W18" s="105"/>
      <c r="X18" s="111"/>
      <c r="Y18" s="112"/>
      <c r="Z18" s="112"/>
      <c r="AA18" s="111"/>
      <c r="AB18" s="111"/>
      <c r="AC18" s="111"/>
      <c r="AD18" s="112"/>
      <c r="AE18" s="111"/>
      <c r="AF18" s="111"/>
      <c r="AG18" s="111"/>
      <c r="AH18" s="112"/>
      <c r="AI18" s="111"/>
      <c r="AJ18" s="111"/>
      <c r="AK18" s="111"/>
      <c r="AL18" s="112"/>
      <c r="AN18" s="111"/>
      <c r="AO18" s="111"/>
      <c r="AP18" s="112"/>
    </row>
    <row r="19" spans="2:72">
      <c r="B19" s="1" t="s">
        <v>408</v>
      </c>
      <c r="C19" s="134">
        <v>4851.9210000000003</v>
      </c>
      <c r="D19" s="134">
        <v>5724.4979999999996</v>
      </c>
      <c r="E19" s="134">
        <v>6449.4589999999998</v>
      </c>
      <c r="F19" s="134">
        <v>8125.0119999999997</v>
      </c>
      <c r="G19" s="134">
        <v>8425.0380000000005</v>
      </c>
      <c r="H19" s="134">
        <v>10326.217000000001</v>
      </c>
      <c r="I19" s="134">
        <v>14102.538</v>
      </c>
      <c r="J19" s="134">
        <v>20788.705000000002</v>
      </c>
      <c r="K19" s="134">
        <v>40764.764000000003</v>
      </c>
      <c r="L19" s="134">
        <v>78026.645999999993</v>
      </c>
      <c r="M19" s="134">
        <v>96151.667000000001</v>
      </c>
      <c r="N19" s="134">
        <v>138822.61300000001</v>
      </c>
      <c r="O19" s="134">
        <v>138873.152</v>
      </c>
      <c r="P19" s="134">
        <v>181774.30499999999</v>
      </c>
      <c r="Q19" s="134">
        <v>169831.853</v>
      </c>
      <c r="R19" s="134"/>
      <c r="S19" s="134">
        <v>1456.4010000000001</v>
      </c>
      <c r="T19" s="134">
        <v>1723.8230000000001</v>
      </c>
      <c r="U19" s="134">
        <v>1669.2360000000001</v>
      </c>
      <c r="V19" s="135">
        <f>E19-SUM(S19:U19)</f>
        <v>1599.9989999999998</v>
      </c>
      <c r="W19" s="134">
        <v>1959.143</v>
      </c>
      <c r="X19" s="134">
        <v>2062.9169999999999</v>
      </c>
      <c r="Y19" s="134">
        <v>2199.625</v>
      </c>
      <c r="Z19" s="135">
        <f>F19-SUM(W19:Y19)</f>
        <v>1903.3270000000002</v>
      </c>
      <c r="AA19" s="134">
        <v>1905.8920000000001</v>
      </c>
      <c r="AB19" s="134">
        <v>2361.7939999999999</v>
      </c>
      <c r="AC19" s="134">
        <v>2312.9789999999998</v>
      </c>
      <c r="AD19" s="135">
        <f>G19-AC19-AB19-AA19</f>
        <v>1844.3730000000012</v>
      </c>
      <c r="AE19" s="134">
        <v>2202.9760000000001</v>
      </c>
      <c r="AF19" s="134">
        <v>2925.826</v>
      </c>
      <c r="AG19" s="134">
        <v>2758.076</v>
      </c>
      <c r="AH19" s="135">
        <f>H19-AG19-AF19-AE19</f>
        <v>2439.3390000000004</v>
      </c>
      <c r="AI19" s="134">
        <v>2768.8589999999999</v>
      </c>
      <c r="AJ19" s="134">
        <v>3245.2150000000001</v>
      </c>
      <c r="AK19" s="134">
        <v>4103.9229999999998</v>
      </c>
      <c r="AL19" s="135">
        <f>I19-AK19-AJ19-AI19</f>
        <v>3984.5410000000015</v>
      </c>
      <c r="AM19" s="134">
        <v>4686.3980000000001</v>
      </c>
      <c r="AN19" s="134">
        <v>4789.277</v>
      </c>
      <c r="AO19" s="229">
        <v>5400.7330000000002</v>
      </c>
      <c r="AP19" s="135">
        <f>J19-AO19-AN19-AM19</f>
        <v>5912.2970000000014</v>
      </c>
      <c r="AQ19" s="134">
        <v>8378.8459999999995</v>
      </c>
      <c r="AR19" s="134">
        <v>9736.6260000000002</v>
      </c>
      <c r="AS19" s="134">
        <v>10127.509</v>
      </c>
      <c r="AT19" s="135">
        <f>K19-AQ19-AR19-AS19</f>
        <v>12521.783000000005</v>
      </c>
      <c r="AU19" s="134">
        <v>15023.915000000001</v>
      </c>
      <c r="AV19" s="134">
        <v>18398.135999999999</v>
      </c>
      <c r="AW19" s="134">
        <v>22403.286</v>
      </c>
      <c r="AX19" s="135">
        <f>M19-AU19-AV19-AW19</f>
        <v>40326.330000000009</v>
      </c>
      <c r="AY19" s="134">
        <v>30735.186000000002</v>
      </c>
      <c r="AZ19" s="134">
        <v>32045.407999999999</v>
      </c>
      <c r="BA19" s="134">
        <v>32077.025000000001</v>
      </c>
      <c r="BB19" s="135">
        <f>O19-AY19-AZ19-BA19</f>
        <v>44015.533000000003</v>
      </c>
      <c r="BC19" s="134">
        <v>37542.392999999996</v>
      </c>
      <c r="BD19" s="134">
        <v>40923.411999999997</v>
      </c>
      <c r="BE19" s="134">
        <v>39096.031000000003</v>
      </c>
      <c r="BF19" s="135">
        <f>Q19-BC19-BD19-BE19</f>
        <v>52270.017000000022</v>
      </c>
      <c r="BG19" s="134">
        <v>42227.284</v>
      </c>
      <c r="BI19" s="134">
        <v>25988.600999999999</v>
      </c>
      <c r="BJ19" s="134">
        <v>32401.136999999999</v>
      </c>
      <c r="BK19" s="134">
        <v>35756.205000000002</v>
      </c>
      <c r="BL19" s="135">
        <f>N19-SUM(BI19:BK19)</f>
        <v>44676.670000000013</v>
      </c>
      <c r="BM19" s="134">
        <v>42446.468999999997</v>
      </c>
      <c r="BN19" s="134">
        <v>43276.9</v>
      </c>
      <c r="BO19" s="134">
        <v>42756.752999999997</v>
      </c>
      <c r="BP19" s="135">
        <f>P19-SUM(BM19:BO19)</f>
        <v>53294.18299999999</v>
      </c>
      <c r="BQ19" s="134">
        <v>49130.036</v>
      </c>
      <c r="BS19" s="134">
        <v>137654.103</v>
      </c>
      <c r="BT19" s="134">
        <v>125874.50599999999</v>
      </c>
    </row>
    <row r="20" spans="2:72">
      <c r="B20" s="1" t="s">
        <v>409</v>
      </c>
      <c r="C20" s="134">
        <v>5331.7470000000003</v>
      </c>
      <c r="D20" s="134">
        <v>6419.5969999999998</v>
      </c>
      <c r="E20" s="134">
        <v>7190.9970000000003</v>
      </c>
      <c r="F20" s="134">
        <v>8953.34</v>
      </c>
      <c r="G20" s="134">
        <v>13271.626</v>
      </c>
      <c r="H20" s="134">
        <v>15066.834999999999</v>
      </c>
      <c r="I20" s="134">
        <v>19309.628000000001</v>
      </c>
      <c r="J20" s="134">
        <v>30129.077000000001</v>
      </c>
      <c r="K20" s="134">
        <v>54392.737999999998</v>
      </c>
      <c r="L20" s="134">
        <v>103752.72900000001</v>
      </c>
      <c r="M20" s="134">
        <v>99893.358999999997</v>
      </c>
      <c r="N20" s="134">
        <v>144224.823</v>
      </c>
      <c r="O20" s="134">
        <v>208278.726</v>
      </c>
      <c r="P20" s="134">
        <v>272620.87699999998</v>
      </c>
      <c r="Q20" s="134">
        <v>256629.72</v>
      </c>
      <c r="R20" s="134"/>
      <c r="S20" s="134">
        <v>1573.047</v>
      </c>
      <c r="T20" s="134">
        <v>1658.894</v>
      </c>
      <c r="U20" s="134">
        <v>1848.2629999999999</v>
      </c>
      <c r="V20" s="135">
        <f>E20-SUM(S20:U20)</f>
        <v>2110.7930000000006</v>
      </c>
      <c r="W20" s="134">
        <v>1823.521</v>
      </c>
      <c r="X20" s="134">
        <v>1964.6189999999999</v>
      </c>
      <c r="Y20" s="134">
        <v>2351.4340000000002</v>
      </c>
      <c r="Z20" s="135">
        <f>F20-SUM(W20:Y20)</f>
        <v>2813.7659999999996</v>
      </c>
      <c r="AA20" s="134">
        <v>2351.5520000000001</v>
      </c>
      <c r="AB20" s="134">
        <v>2831.94</v>
      </c>
      <c r="AC20" s="134">
        <v>3860.3449999999998</v>
      </c>
      <c r="AD20" s="135">
        <f>G20-AC20-AB20-AA20</f>
        <v>4227.7890000000007</v>
      </c>
      <c r="AE20" s="134">
        <v>3292.125</v>
      </c>
      <c r="AF20" s="134">
        <v>3543.0509999999999</v>
      </c>
      <c r="AG20" s="134">
        <v>3805.634</v>
      </c>
      <c r="AH20" s="135">
        <f>H20-AG20-AF20-AE20</f>
        <v>4426.0249999999996</v>
      </c>
      <c r="AI20" s="134">
        <v>3594.5320000000002</v>
      </c>
      <c r="AJ20" s="134">
        <v>3297.6080000000002</v>
      </c>
      <c r="AK20" s="134">
        <v>5510.2179999999998</v>
      </c>
      <c r="AL20" s="135">
        <f>I20-AK20-AJ20-AI20</f>
        <v>6907.2699999999995</v>
      </c>
      <c r="AM20" s="134">
        <v>5632.3059999999996</v>
      </c>
      <c r="AN20" s="134">
        <v>6511.0720000000001</v>
      </c>
      <c r="AO20" s="229">
        <v>7818.21</v>
      </c>
      <c r="AP20" s="135">
        <f>J20-AO20-AN20-AM20</f>
        <v>10167.489000000001</v>
      </c>
      <c r="AQ20" s="134">
        <v>10725.262000000001</v>
      </c>
      <c r="AR20" s="134">
        <v>11990.034</v>
      </c>
      <c r="AS20" s="134">
        <v>14187.081</v>
      </c>
      <c r="AT20" s="135">
        <f>K20-AQ20-AR20-AS20</f>
        <v>17490.360999999997</v>
      </c>
      <c r="AU20" s="134">
        <v>15131.829</v>
      </c>
      <c r="AV20" s="134">
        <v>16837.985000000001</v>
      </c>
      <c r="AW20" s="134">
        <v>22866.406999999999</v>
      </c>
      <c r="AX20" s="135">
        <f t="shared" ref="AX20:AX23" si="0">M20-AU20-AV20-AW20</f>
        <v>45057.137999999999</v>
      </c>
      <c r="AY20" s="134">
        <v>24715.517</v>
      </c>
      <c r="AZ20" s="134">
        <v>50281.43</v>
      </c>
      <c r="BA20" s="134">
        <v>55033.483999999997</v>
      </c>
      <c r="BB20" s="135">
        <f>O20-AY20-AZ20-BA20</f>
        <v>78248.295000000013</v>
      </c>
      <c r="BC20" s="134">
        <v>51013.381999999998</v>
      </c>
      <c r="BD20" s="134">
        <v>55485.017999999996</v>
      </c>
      <c r="BE20" s="134">
        <v>64022.46</v>
      </c>
      <c r="BF20" s="135">
        <f t="shared" ref="BF20:BF23" si="1">Q20-BC20-BD20-BE20</f>
        <v>86108.860000000015</v>
      </c>
      <c r="BG20" s="134">
        <v>63808.853999999999</v>
      </c>
      <c r="BI20" s="134">
        <v>26156.190999999999</v>
      </c>
      <c r="BJ20" s="134">
        <v>29606.278999999999</v>
      </c>
      <c r="BK20" s="134">
        <v>36315.807000000001</v>
      </c>
      <c r="BL20" s="135">
        <f t="shared" ref="BL20:BL23" si="2">N20-SUM(BI20:BK20)</f>
        <v>52146.546000000002</v>
      </c>
      <c r="BM20" s="134">
        <v>34133.076000000001</v>
      </c>
      <c r="BN20" s="134">
        <v>67904.407999999996</v>
      </c>
      <c r="BO20" s="134">
        <v>73356.337</v>
      </c>
      <c r="BP20" s="135">
        <f t="shared" ref="BP20:BP23" si="3">P20-SUM(BM20:BO20)</f>
        <v>97227.055999999982</v>
      </c>
      <c r="BQ20" s="134">
        <v>66758.911999999997</v>
      </c>
      <c r="BS20" s="134">
        <v>185255.23699999999</v>
      </c>
      <c r="BT20" s="134">
        <v>181807.092</v>
      </c>
    </row>
    <row r="21" spans="2:72">
      <c r="B21" s="1" t="s">
        <v>410</v>
      </c>
      <c r="C21" s="134">
        <v>1020.875</v>
      </c>
      <c r="D21" s="134">
        <v>1047.9259999999999</v>
      </c>
      <c r="E21" s="134">
        <v>1107.5609999999999</v>
      </c>
      <c r="F21" s="134">
        <v>1413.6279999999999</v>
      </c>
      <c r="G21" s="134">
        <v>1925.9390000000001</v>
      </c>
      <c r="H21" s="134">
        <v>2112.4540000000002</v>
      </c>
      <c r="I21" s="134">
        <v>2267.04</v>
      </c>
      <c r="J21" s="134">
        <v>3598.5390000000002</v>
      </c>
      <c r="K21" s="134">
        <v>7318.8980000000001</v>
      </c>
      <c r="L21" s="134">
        <v>14139.41</v>
      </c>
      <c r="M21" s="134">
        <v>12157.701999999999</v>
      </c>
      <c r="N21" s="134">
        <v>52362.328000000001</v>
      </c>
      <c r="O21" s="134">
        <v>45041.171999999999</v>
      </c>
      <c r="P21" s="134">
        <v>58955.438999999998</v>
      </c>
      <c r="Q21" s="134">
        <v>51286.23</v>
      </c>
      <c r="R21" s="134"/>
      <c r="S21" s="134">
        <v>213.499</v>
      </c>
      <c r="T21" s="134">
        <v>248.72900000000001</v>
      </c>
      <c r="U21" s="134">
        <v>275.28500000000003</v>
      </c>
      <c r="V21" s="135">
        <f>E21-SUM(S21:U21)</f>
        <v>370.04799999999989</v>
      </c>
      <c r="W21" s="134">
        <v>275.94900000000001</v>
      </c>
      <c r="X21" s="134">
        <v>344.14</v>
      </c>
      <c r="Y21" s="134">
        <v>347.05500000000001</v>
      </c>
      <c r="Z21" s="135">
        <f>F21-SUM(W21:Y21)</f>
        <v>446.48399999999992</v>
      </c>
      <c r="AA21" s="134">
        <v>374.41899999999998</v>
      </c>
      <c r="AB21" s="134">
        <v>411.42399999999998</v>
      </c>
      <c r="AC21" s="134">
        <v>556.28099999999995</v>
      </c>
      <c r="AD21" s="135">
        <f>G21-AC21-AB21-AA21</f>
        <v>583.81500000000017</v>
      </c>
      <c r="AE21" s="134">
        <v>508.34399999999999</v>
      </c>
      <c r="AF21" s="134">
        <v>560.053</v>
      </c>
      <c r="AG21" s="134">
        <v>439.017</v>
      </c>
      <c r="AH21" s="135">
        <f>H21-AG21-AF21-AE21</f>
        <v>605.04</v>
      </c>
      <c r="AI21" s="134">
        <v>391.68099999999998</v>
      </c>
      <c r="AJ21" s="134">
        <v>275.01</v>
      </c>
      <c r="AK21" s="134">
        <v>706.53200000000004</v>
      </c>
      <c r="AL21" s="135">
        <f>I21-AK21-AJ21-AI21</f>
        <v>893.81699999999978</v>
      </c>
      <c r="AM21" s="134">
        <v>736.21299999999997</v>
      </c>
      <c r="AN21" s="134">
        <v>770.74099999999999</v>
      </c>
      <c r="AO21" s="229">
        <v>822.1</v>
      </c>
      <c r="AP21" s="135">
        <f>J21-AO21-AN21-AM21</f>
        <v>1269.4850000000004</v>
      </c>
      <c r="AQ21" s="134">
        <v>1497.8430000000001</v>
      </c>
      <c r="AR21" s="134">
        <v>1936.5740000000001</v>
      </c>
      <c r="AS21" s="134">
        <v>1851.567</v>
      </c>
      <c r="AT21" s="135">
        <f>K21-AQ21-AR21-AS21</f>
        <v>2032.9140000000002</v>
      </c>
      <c r="AU21" s="134">
        <v>1863.2249999999999</v>
      </c>
      <c r="AV21" s="134">
        <v>8142.1350000000002</v>
      </c>
      <c r="AW21" s="134">
        <v>2716.2179999999998</v>
      </c>
      <c r="AX21" s="135">
        <f t="shared" si="0"/>
        <v>-563.87600000000111</v>
      </c>
      <c r="AY21" s="134">
        <v>3095.9450000000002</v>
      </c>
      <c r="AZ21" s="134">
        <v>11755.501</v>
      </c>
      <c r="BA21" s="134">
        <v>4583.4229999999998</v>
      </c>
      <c r="BB21" s="135">
        <f>O21-AY21-AZ21-BA21</f>
        <v>25606.303</v>
      </c>
      <c r="BC21" s="134">
        <v>5028.384</v>
      </c>
      <c r="BD21" s="134">
        <v>5785.6660000000002</v>
      </c>
      <c r="BE21" s="134">
        <v>5840.6790000000001</v>
      </c>
      <c r="BF21" s="135">
        <f t="shared" si="1"/>
        <v>34631.501000000004</v>
      </c>
      <c r="BG21" s="134">
        <v>6481.2709999999997</v>
      </c>
      <c r="BH21" s="134"/>
      <c r="BI21" s="134">
        <v>3213.3739999999998</v>
      </c>
      <c r="BJ21" s="134">
        <v>14258.333000000001</v>
      </c>
      <c r="BK21" s="134">
        <v>4319.7860000000001</v>
      </c>
      <c r="BL21" s="135">
        <f t="shared" si="2"/>
        <v>30570.834999999999</v>
      </c>
      <c r="BM21" s="134">
        <v>4275.6189999999997</v>
      </c>
      <c r="BN21" s="134">
        <v>5315.86</v>
      </c>
      <c r="BO21" s="134">
        <v>6109.4279999999999</v>
      </c>
      <c r="BP21" s="135">
        <f t="shared" si="3"/>
        <v>43254.531999999999</v>
      </c>
      <c r="BQ21" s="134">
        <v>6580.4189999999999</v>
      </c>
      <c r="BR21" s="134"/>
      <c r="BS21" s="134">
        <v>16696.785</v>
      </c>
      <c r="BT21" s="134">
        <v>17790.963</v>
      </c>
    </row>
    <row r="22" spans="2:72">
      <c r="B22" s="1" t="s">
        <v>411</v>
      </c>
      <c r="C22" s="134"/>
      <c r="D22" s="134"/>
      <c r="E22" s="134"/>
      <c r="F22" s="134">
        <v>1522.675</v>
      </c>
      <c r="G22" s="134">
        <v>2299.2550000000001</v>
      </c>
      <c r="H22" s="134">
        <v>3146.165</v>
      </c>
      <c r="I22" s="134">
        <v>3531.355</v>
      </c>
      <c r="J22" s="134">
        <v>10047.499</v>
      </c>
      <c r="K22" s="134">
        <v>24043.332999999999</v>
      </c>
      <c r="L22" s="134">
        <v>46740.94</v>
      </c>
      <c r="M22" s="134">
        <v>36267.326999999997</v>
      </c>
      <c r="N22" s="134">
        <v>17553.143</v>
      </c>
      <c r="O22" s="134">
        <v>18363.541000000001</v>
      </c>
      <c r="P22" s="134">
        <v>24036.467000000001</v>
      </c>
      <c r="Q22" s="134">
        <v>26066.708999999999</v>
      </c>
      <c r="R22" s="134"/>
      <c r="S22" s="134"/>
      <c r="T22" s="134"/>
      <c r="U22" s="134"/>
      <c r="V22" s="135"/>
      <c r="W22" s="134"/>
      <c r="X22" s="134"/>
      <c r="Y22" s="134"/>
      <c r="Z22" s="135">
        <f>F22-SUM(W22:Y22)</f>
        <v>1522.675</v>
      </c>
      <c r="AA22" s="134"/>
      <c r="AB22" s="134"/>
      <c r="AC22" s="134"/>
      <c r="AD22" s="135">
        <f>G22-AC22-AB22-AA22</f>
        <v>2299.2550000000001</v>
      </c>
      <c r="AE22" s="134">
        <v>622.98800000000006</v>
      </c>
      <c r="AF22" s="134">
        <v>1050.461</v>
      </c>
      <c r="AG22" s="134">
        <v>871.5</v>
      </c>
      <c r="AH22" s="135">
        <f>H22-AG22-AF22-AE22</f>
        <v>601.21599999999989</v>
      </c>
      <c r="AI22" s="134">
        <v>678.80100000000004</v>
      </c>
      <c r="AJ22" s="134">
        <v>688.44100000000003</v>
      </c>
      <c r="AK22" s="134">
        <v>1166.81</v>
      </c>
      <c r="AL22" s="135">
        <f>I22-AK22-AJ22-AI22</f>
        <v>997.303</v>
      </c>
      <c r="AM22" s="134">
        <v>1312.81</v>
      </c>
      <c r="AN22" s="134">
        <v>1684.6610000000001</v>
      </c>
      <c r="AO22" s="229">
        <v>3393.35</v>
      </c>
      <c r="AP22" s="135">
        <f>J22-AO22-AN22-AM22</f>
        <v>3656.6779999999994</v>
      </c>
      <c r="AQ22" s="134">
        <v>5438.4070000000002</v>
      </c>
      <c r="AR22" s="134">
        <v>6947.8239999999996</v>
      </c>
      <c r="AS22" s="134">
        <v>6136.6940000000004</v>
      </c>
      <c r="AT22" s="135">
        <f>K22-AQ22-AR22-AS22</f>
        <v>5520.4079999999985</v>
      </c>
      <c r="AU22" s="134">
        <v>5746.6750000000002</v>
      </c>
      <c r="AV22" s="134">
        <v>1894.3019999999999</v>
      </c>
      <c r="AW22" s="134">
        <v>6789.2129999999997</v>
      </c>
      <c r="AX22" s="135">
        <f t="shared" si="0"/>
        <v>21837.136999999999</v>
      </c>
      <c r="AY22" s="134">
        <v>9444.3610000000008</v>
      </c>
      <c r="AZ22" s="134">
        <v>3936.2550000000001</v>
      </c>
      <c r="BA22" s="134">
        <v>9184.6110000000008</v>
      </c>
      <c r="BB22" s="135">
        <f>O22-AY22-AZ22-BA22</f>
        <v>-4201.6860000000006</v>
      </c>
      <c r="BC22" s="134">
        <v>11040.313</v>
      </c>
      <c r="BD22" s="134">
        <v>14362.97</v>
      </c>
      <c r="BE22" s="134">
        <v>10797.89</v>
      </c>
      <c r="BF22" s="135">
        <f t="shared" si="1"/>
        <v>-10134.464</v>
      </c>
      <c r="BG22" s="134">
        <v>12751.896000000001</v>
      </c>
      <c r="BH22" s="134"/>
      <c r="BI22" s="134">
        <v>9923.3040000000001</v>
      </c>
      <c r="BJ22" s="134">
        <v>3341.0140000000001</v>
      </c>
      <c r="BK22" s="134">
        <v>10711.208000000001</v>
      </c>
      <c r="BL22" s="135">
        <f t="shared" si="2"/>
        <v>-6422.382999999998</v>
      </c>
      <c r="BM22" s="134">
        <v>13043.023999999999</v>
      </c>
      <c r="BN22" s="134">
        <v>15875.648999999999</v>
      </c>
      <c r="BO22" s="134">
        <v>12242.536</v>
      </c>
      <c r="BP22" s="135">
        <f t="shared" si="3"/>
        <v>-17124.742000000002</v>
      </c>
      <c r="BQ22" s="134">
        <v>14447.959000000001</v>
      </c>
      <c r="BR22" s="134"/>
      <c r="BS22" s="134">
        <v>44173.627999999997</v>
      </c>
      <c r="BT22" s="134">
        <v>38820.459000000003</v>
      </c>
    </row>
    <row r="23" spans="2:72">
      <c r="B23" s="1" t="s">
        <v>45</v>
      </c>
      <c r="C23" s="134">
        <v>1309.49</v>
      </c>
      <c r="D23" s="134">
        <v>974.07899999999995</v>
      </c>
      <c r="E23" s="134">
        <v>1348.155</v>
      </c>
      <c r="F23" s="134">
        <v>825.95799999999997</v>
      </c>
      <c r="G23" s="134">
        <v>982.52599999999995</v>
      </c>
      <c r="H23" s="134">
        <v>1290.1020000000001</v>
      </c>
      <c r="I23" s="134">
        <v>1661.922</v>
      </c>
      <c r="J23" s="134">
        <v>3620.6170000000002</v>
      </c>
      <c r="K23" s="134">
        <v>7395.7749999999996</v>
      </c>
      <c r="L23" s="134">
        <v>14512.305</v>
      </c>
      <c r="M23" s="134">
        <v>12633.683999999999</v>
      </c>
      <c r="N23" s="134">
        <v>18240.361000000001</v>
      </c>
      <c r="O23" s="134">
        <v>17991.632000000001</v>
      </c>
      <c r="P23" s="134">
        <v>23549.666000000001</v>
      </c>
      <c r="Q23" s="134">
        <v>20118.809000000001</v>
      </c>
      <c r="R23" s="134"/>
      <c r="S23" s="134">
        <v>284.50200000000001</v>
      </c>
      <c r="T23" s="134">
        <v>328.11</v>
      </c>
      <c r="U23" s="134">
        <v>290.45499999999998</v>
      </c>
      <c r="V23" s="135">
        <f>E23-SUM(S23:U23)</f>
        <v>445.08799999999997</v>
      </c>
      <c r="W23" s="134">
        <v>575.64099999999996</v>
      </c>
      <c r="X23" s="134">
        <v>689.40099999999995</v>
      </c>
      <c r="Y23" s="134">
        <v>541.49599999999998</v>
      </c>
      <c r="Z23" s="135">
        <f>F23-SUM(W23:Y23)</f>
        <v>-980.58</v>
      </c>
      <c r="AA23" s="134">
        <v>650.35500000000002</v>
      </c>
      <c r="AB23" s="134">
        <v>906.73500000000001</v>
      </c>
      <c r="AC23" s="134">
        <v>966.40599999999995</v>
      </c>
      <c r="AD23" s="135">
        <f>G23-AC23-AB23-AA23</f>
        <v>-1540.97</v>
      </c>
      <c r="AE23" s="134">
        <v>275.72399999999999</v>
      </c>
      <c r="AF23" s="134">
        <v>348.209</v>
      </c>
      <c r="AG23" s="134">
        <v>371.72399999999999</v>
      </c>
      <c r="AH23" s="135">
        <f>H23-AG23-AF23-AE23</f>
        <v>294.44500000000011</v>
      </c>
      <c r="AI23" s="134">
        <v>333.65499999999997</v>
      </c>
      <c r="AJ23" s="134">
        <v>325.85500000000002</v>
      </c>
      <c r="AK23" s="134">
        <v>450.67200000000003</v>
      </c>
      <c r="AL23" s="135">
        <f>I23-AK23-AJ23-AI23</f>
        <v>551.74</v>
      </c>
      <c r="AM23" s="134">
        <v>616.08699999999999</v>
      </c>
      <c r="AN23" s="134">
        <v>778.66300000000001</v>
      </c>
      <c r="AO23" s="229">
        <v>713.28700000000003</v>
      </c>
      <c r="AP23" s="135">
        <f>J23-AO23-AN23-AM23</f>
        <v>1512.58</v>
      </c>
      <c r="AQ23" s="134">
        <v>2124.0369999999998</v>
      </c>
      <c r="AR23" s="134">
        <v>1693.575</v>
      </c>
      <c r="AS23" s="134">
        <v>1951.749</v>
      </c>
      <c r="AT23" s="135">
        <f>K23-AQ23-AR23-AS23</f>
        <v>1626.4139999999995</v>
      </c>
      <c r="AU23" s="134">
        <v>2125.7330000000002</v>
      </c>
      <c r="AV23" s="134">
        <v>1675.4839999999999</v>
      </c>
      <c r="AW23" s="134">
        <v>3442.759</v>
      </c>
      <c r="AX23" s="135">
        <f t="shared" si="0"/>
        <v>5389.7079999999987</v>
      </c>
      <c r="AY23" s="134">
        <v>4274.232</v>
      </c>
      <c r="AZ23" s="134">
        <v>3565.7559999999999</v>
      </c>
      <c r="BA23" s="134">
        <v>4512.2039999999997</v>
      </c>
      <c r="BB23" s="135">
        <f>O23-AY23-AZ23-BA23</f>
        <v>5639.4400000000023</v>
      </c>
      <c r="BC23" s="134">
        <v>4493.17</v>
      </c>
      <c r="BD23" s="134">
        <v>4806.4859999999999</v>
      </c>
      <c r="BE23" s="134">
        <v>4688.5780000000004</v>
      </c>
      <c r="BF23" s="135">
        <f t="shared" si="1"/>
        <v>6130.5750000000016</v>
      </c>
      <c r="BG23" s="134">
        <v>5002.375</v>
      </c>
      <c r="BI23" s="134">
        <v>3687.422</v>
      </c>
      <c r="BJ23" s="134">
        <v>2964.4720000000002</v>
      </c>
      <c r="BK23" s="134">
        <v>5545.7569999999996</v>
      </c>
      <c r="BL23" s="135">
        <f t="shared" si="2"/>
        <v>6042.7100000000009</v>
      </c>
      <c r="BM23" s="134">
        <v>5902.8770000000004</v>
      </c>
      <c r="BN23" s="134">
        <v>4815.5060000000003</v>
      </c>
      <c r="BO23" s="134">
        <v>6014.4979999999996</v>
      </c>
      <c r="BP23" s="135">
        <f t="shared" si="3"/>
        <v>6816.7849999999999</v>
      </c>
      <c r="BQ23" s="134">
        <v>5880.01</v>
      </c>
      <c r="BS23" s="134">
        <v>17918.406999999999</v>
      </c>
      <c r="BT23" s="134">
        <v>14976.263999999999</v>
      </c>
    </row>
    <row r="24" spans="2:72">
      <c r="B24" s="133" t="s">
        <v>412</v>
      </c>
      <c r="C24" s="116">
        <f>SUM(C19:C23)</f>
        <v>12514.033000000001</v>
      </c>
      <c r="D24" s="116">
        <f t="shared" ref="D24:AA24" si="4">SUM(D19:D23)</f>
        <v>14166.099999999999</v>
      </c>
      <c r="E24" s="116">
        <f t="shared" si="4"/>
        <v>16096.172</v>
      </c>
      <c r="F24" s="116">
        <f t="shared" si="4"/>
        <v>20840.612999999998</v>
      </c>
      <c r="G24" s="116">
        <f>SUM(G19:G23)</f>
        <v>26904.384000000002</v>
      </c>
      <c r="H24" s="116">
        <f>SUM(H19:H23)</f>
        <v>31941.773000000001</v>
      </c>
      <c r="I24" s="116">
        <f>SUM(I19:I23)</f>
        <v>40872.483</v>
      </c>
      <c r="J24" s="116">
        <f>SUM(J19:J23)</f>
        <v>68184.437000000005</v>
      </c>
      <c r="K24" s="116">
        <f t="shared" ref="K24:M24" si="5">SUM(K19:K23)</f>
        <v>133915.508</v>
      </c>
      <c r="L24" s="116">
        <f>SUM(L19:L23)</f>
        <v>257172.03</v>
      </c>
      <c r="M24" s="116">
        <f t="shared" si="5"/>
        <v>257103.739</v>
      </c>
      <c r="N24" s="116">
        <f t="shared" ref="N24" si="6">SUM(N19:N23)</f>
        <v>371203.26799999992</v>
      </c>
      <c r="O24" s="116">
        <f t="shared" ref="O24:P24" si="7">SUM(O19:O23)</f>
        <v>428548.22300000006</v>
      </c>
      <c r="P24" s="116">
        <f t="shared" si="7"/>
        <v>560936.75399999996</v>
      </c>
      <c r="Q24" s="116">
        <f t="shared" ref="Q24" si="8">SUM(Q19:Q23)</f>
        <v>523933.32099999994</v>
      </c>
      <c r="R24" s="116"/>
      <c r="S24" s="116">
        <f t="shared" si="4"/>
        <v>3527.4490000000001</v>
      </c>
      <c r="T24" s="116">
        <f t="shared" si="4"/>
        <v>3959.556</v>
      </c>
      <c r="U24" s="116">
        <f t="shared" si="4"/>
        <v>4083.2389999999996</v>
      </c>
      <c r="V24" s="116">
        <f t="shared" si="4"/>
        <v>4525.9279999999999</v>
      </c>
      <c r="W24" s="116">
        <f t="shared" si="4"/>
        <v>4634.2539999999999</v>
      </c>
      <c r="X24" s="116">
        <f t="shared" si="4"/>
        <v>5061.0770000000002</v>
      </c>
      <c r="Y24" s="116">
        <f t="shared" si="4"/>
        <v>5439.6100000000006</v>
      </c>
      <c r="Z24" s="116">
        <f t="shared" si="4"/>
        <v>5705.6719999999996</v>
      </c>
      <c r="AA24" s="116">
        <f t="shared" si="4"/>
        <v>5282.2180000000008</v>
      </c>
      <c r="AB24" s="116">
        <f t="shared" ref="AB24:AG24" si="9">SUM(AB19:AB23)</f>
        <v>6511.893</v>
      </c>
      <c r="AC24" s="116">
        <f t="shared" si="9"/>
        <v>7696.0109999999995</v>
      </c>
      <c r="AD24" s="116">
        <f t="shared" si="9"/>
        <v>7414.2620000000034</v>
      </c>
      <c r="AE24" s="116">
        <f t="shared" si="9"/>
        <v>6902.1570000000011</v>
      </c>
      <c r="AF24" s="116">
        <f t="shared" si="9"/>
        <v>8427.6</v>
      </c>
      <c r="AG24" s="116">
        <f t="shared" si="9"/>
        <v>8245.9509999999991</v>
      </c>
      <c r="AH24" s="116">
        <f t="shared" ref="AH24:AM24" si="10">SUM(AH19:AH23)</f>
        <v>8366.0649999999987</v>
      </c>
      <c r="AI24" s="116">
        <f t="shared" si="10"/>
        <v>7767.5279999999993</v>
      </c>
      <c r="AJ24" s="116">
        <f t="shared" si="10"/>
        <v>7832.1290000000008</v>
      </c>
      <c r="AK24" s="116">
        <f t="shared" si="10"/>
        <v>11938.154999999999</v>
      </c>
      <c r="AL24" s="116">
        <f t="shared" si="10"/>
        <v>13334.671</v>
      </c>
      <c r="AM24" s="116">
        <f t="shared" si="10"/>
        <v>12983.813999999998</v>
      </c>
      <c r="AN24" s="116">
        <f t="shared" ref="AN24:AT24" si="11">SUM(AN19:AN23)</f>
        <v>14534.414000000001</v>
      </c>
      <c r="AO24" s="116">
        <f t="shared" si="11"/>
        <v>18147.68</v>
      </c>
      <c r="AP24" s="116">
        <f t="shared" si="11"/>
        <v>22518.529000000002</v>
      </c>
      <c r="AQ24" s="116">
        <f t="shared" si="11"/>
        <v>28164.395</v>
      </c>
      <c r="AR24" s="116">
        <f t="shared" si="11"/>
        <v>32304.633000000002</v>
      </c>
      <c r="AS24" s="116">
        <f t="shared" si="11"/>
        <v>34254.6</v>
      </c>
      <c r="AT24" s="116">
        <f t="shared" si="11"/>
        <v>39191.879999999997</v>
      </c>
      <c r="AU24" s="116">
        <f t="shared" ref="AU24:AX24" si="12">SUM(AU19:AU23)</f>
        <v>39891.377</v>
      </c>
      <c r="AV24" s="116">
        <f t="shared" si="12"/>
        <v>46948.042000000001</v>
      </c>
      <c r="AW24" s="116">
        <f t="shared" si="12"/>
        <v>58217.882999999994</v>
      </c>
      <c r="AX24" s="116">
        <f t="shared" si="12"/>
        <v>112046.43700000001</v>
      </c>
      <c r="AY24" s="116">
        <f t="shared" ref="AY24:BB24" si="13">SUM(AY19:AY23)</f>
        <v>72265.241000000009</v>
      </c>
      <c r="AZ24" s="116">
        <f t="shared" si="13"/>
        <v>101584.35</v>
      </c>
      <c r="BA24" s="116">
        <f t="shared" si="13"/>
        <v>105390.74699999999</v>
      </c>
      <c r="BB24" s="116">
        <f t="shared" si="13"/>
        <v>149307.88500000001</v>
      </c>
      <c r="BC24" s="116">
        <f t="shared" ref="BC24:BF24" si="14">SUM(BC19:BC23)</f>
        <v>109117.64199999999</v>
      </c>
      <c r="BD24" s="116">
        <f t="shared" si="14"/>
        <v>121363.552</v>
      </c>
      <c r="BE24" s="116">
        <f t="shared" si="14"/>
        <v>124445.63800000001</v>
      </c>
      <c r="BF24" s="116">
        <f t="shared" si="14"/>
        <v>169006.48900000003</v>
      </c>
      <c r="BG24" s="116">
        <f t="shared" ref="BG24" si="15">SUM(BG19:BG23)</f>
        <v>130271.67999999999</v>
      </c>
      <c r="BI24" s="116">
        <f t="shared" ref="BI24:BK24" si="16">SUM(BI19:BI23)</f>
        <v>68968.892000000007</v>
      </c>
      <c r="BJ24" s="116">
        <f t="shared" si="16"/>
        <v>82571.234999999986</v>
      </c>
      <c r="BK24" s="116">
        <f t="shared" si="16"/>
        <v>92648.763000000006</v>
      </c>
      <c r="BL24" s="116">
        <f t="shared" ref="BL24:BO24" si="17">SUM(BL19:BL23)</f>
        <v>127014.37800000001</v>
      </c>
      <c r="BM24" s="116">
        <f t="shared" si="17"/>
        <v>99801.065000000002</v>
      </c>
      <c r="BN24" s="116">
        <f t="shared" si="17"/>
        <v>137188.32299999997</v>
      </c>
      <c r="BO24" s="116">
        <f t="shared" si="17"/>
        <v>140479.552</v>
      </c>
      <c r="BP24" s="116">
        <f t="shared" ref="BP24:BQ24" si="18">SUM(BP19:BP23)</f>
        <v>183467.81399999998</v>
      </c>
      <c r="BQ24" s="116">
        <f t="shared" si="18"/>
        <v>142797.33600000001</v>
      </c>
      <c r="BS24" s="116">
        <f>SUM(BS19:BS23)</f>
        <v>401698.15999999992</v>
      </c>
      <c r="BT24" s="116">
        <f t="shared" ref="BT24" si="19">SUM(BT19:BT23)</f>
        <v>379269.28400000004</v>
      </c>
    </row>
    <row r="25" spans="2:72">
      <c r="B25" s="76" t="s">
        <v>30</v>
      </c>
      <c r="C25" s="117">
        <f>C24-Model!C7</f>
        <v>0</v>
      </c>
      <c r="D25" s="117">
        <f>D24-Model!D7</f>
        <v>0</v>
      </c>
      <c r="E25" s="117">
        <f>E24-Model!E7</f>
        <v>0</v>
      </c>
      <c r="F25" s="117">
        <f>F24-Model!F7</f>
        <v>0</v>
      </c>
      <c r="G25" s="117">
        <f>G24-Model!G7</f>
        <v>0</v>
      </c>
      <c r="H25" s="117">
        <f>H24-Model!H7</f>
        <v>0</v>
      </c>
      <c r="I25" s="117">
        <f>I24-Model!I7</f>
        <v>0</v>
      </c>
      <c r="J25" s="117">
        <f>J24-Model!J7</f>
        <v>0</v>
      </c>
      <c r="K25" s="117">
        <f>K24-Model!K7</f>
        <v>0</v>
      </c>
      <c r="L25" s="117">
        <f>L24-Model!L7</f>
        <v>0</v>
      </c>
      <c r="M25" s="117">
        <f>M24-Model!M7</f>
        <v>0</v>
      </c>
      <c r="N25" s="117">
        <f>N24-Model!N7</f>
        <v>0</v>
      </c>
      <c r="O25" s="117">
        <f>O24-Model!O7</f>
        <v>0</v>
      </c>
      <c r="P25" s="117">
        <f>P24-Model!P7</f>
        <v>0</v>
      </c>
      <c r="Q25" s="117">
        <f>Q24-Model!Q7</f>
        <v>0</v>
      </c>
      <c r="R25" s="117"/>
      <c r="S25" s="117">
        <f>S24-Model!T7</f>
        <v>0</v>
      </c>
      <c r="T25" s="117">
        <f>T24-Model!U7</f>
        <v>0</v>
      </c>
      <c r="U25" s="117">
        <f>U24-Model!V7</f>
        <v>9.9999999974897946E-4</v>
      </c>
      <c r="V25" s="117">
        <f>V24-Model!W7</f>
        <v>-1.0000000002037268E-3</v>
      </c>
      <c r="W25" s="117">
        <f>W24-Model!X7</f>
        <v>0</v>
      </c>
      <c r="X25" s="117">
        <f>X24-Model!Y7</f>
        <v>0</v>
      </c>
      <c r="Y25" s="117">
        <f>Y24-Model!Z7</f>
        <v>0</v>
      </c>
      <c r="Z25" s="117">
        <f>Z24-Model!AA7</f>
        <v>0</v>
      </c>
      <c r="AA25" s="117">
        <f>AA24-Model!AB7</f>
        <v>0</v>
      </c>
      <c r="AB25" s="117">
        <f>AB24-Model!AC7</f>
        <v>0</v>
      </c>
      <c r="AC25" s="117">
        <f>AC24-Model!AD7</f>
        <v>0</v>
      </c>
      <c r="AD25" s="117">
        <f>AD24-Model!AE7</f>
        <v>0</v>
      </c>
      <c r="AE25" s="117">
        <f>AE24-Model!AF7</f>
        <v>0</v>
      </c>
      <c r="AF25" s="117">
        <f>AF24-Model!AG7</f>
        <v>0</v>
      </c>
      <c r="AG25" s="117">
        <f>AG24-Model!AH7</f>
        <v>0</v>
      </c>
      <c r="AH25" s="117">
        <f>AH24-Model!AI7</f>
        <v>0</v>
      </c>
      <c r="AI25" s="117">
        <f>AI24-Model!AJ7</f>
        <v>0</v>
      </c>
      <c r="AJ25" s="142">
        <f>AJ24-Model!AK7</f>
        <v>0</v>
      </c>
      <c r="AK25" s="117">
        <f>AK24-Model!AL7</f>
        <v>0</v>
      </c>
      <c r="AL25" s="117">
        <f>AL24-Model!AM7</f>
        <v>0</v>
      </c>
      <c r="AM25" s="117">
        <f>AM24-Model!AN7</f>
        <v>0</v>
      </c>
      <c r="AN25" s="142">
        <f>AN24-Model!AO7</f>
        <v>0</v>
      </c>
      <c r="AO25" s="117">
        <f>AO24-[33]Model!AH6</f>
        <v>0</v>
      </c>
      <c r="AP25" s="117">
        <f>AP24-Model!AQ7</f>
        <v>0</v>
      </c>
      <c r="AQ25" s="117">
        <f>AQ24-Model!AR7</f>
        <v>0</v>
      </c>
      <c r="AR25" s="117">
        <f>AR24-Model!AS7</f>
        <v>0</v>
      </c>
      <c r="AS25" s="117">
        <f>AS24-Model!AT7</f>
        <v>0</v>
      </c>
      <c r="AT25" s="117">
        <f>AT24-Model!AU7</f>
        <v>0</v>
      </c>
      <c r="AU25" s="117">
        <f>AU24-Model!AV7</f>
        <v>0</v>
      </c>
      <c r="AV25" s="117">
        <f>AV24-Model!AW7</f>
        <v>0</v>
      </c>
      <c r="AW25" s="117">
        <f>AW24-Model!AX7</f>
        <v>0</v>
      </c>
      <c r="AX25" s="117">
        <f>AX24-Model!AY7</f>
        <v>0</v>
      </c>
      <c r="AY25" s="117">
        <f>AY24-Model!AZ7</f>
        <v>0</v>
      </c>
      <c r="AZ25" s="117">
        <f>AZ24-Model!BA7</f>
        <v>0</v>
      </c>
      <c r="BA25" s="117">
        <f>BA24-Model!BB7</f>
        <v>0</v>
      </c>
      <c r="BB25" s="117">
        <f>BB24-Model!BC7</f>
        <v>0</v>
      </c>
      <c r="BC25" s="117">
        <f>BC24-Model!BD7</f>
        <v>0</v>
      </c>
      <c r="BD25" s="117">
        <f>BD24-Model!BE7</f>
        <v>0</v>
      </c>
      <c r="BE25" s="117">
        <f>BE24-Model!BF7</f>
        <v>0</v>
      </c>
      <c r="BF25" s="117">
        <f>BF24-Model!BG7</f>
        <v>0</v>
      </c>
      <c r="BG25" s="117">
        <f>BG24-Model!BH7</f>
        <v>0</v>
      </c>
      <c r="BI25" s="117">
        <f>BI24-Model!BJ7</f>
        <v>0</v>
      </c>
      <c r="BJ25" s="117">
        <f>BJ24-Model!BK7</f>
        <v>0</v>
      </c>
      <c r="BK25" s="117">
        <f>BK24-Model!BL7</f>
        <v>0</v>
      </c>
      <c r="BL25" s="117">
        <f>BL24-Model!BM7</f>
        <v>0</v>
      </c>
      <c r="BM25" s="117">
        <f>BM24-Model!BN7</f>
        <v>0</v>
      </c>
      <c r="BN25" s="117">
        <f>BN24-Model!BO7</f>
        <v>0</v>
      </c>
      <c r="BO25" s="117">
        <f>BO24-Model!BP7</f>
        <v>0</v>
      </c>
      <c r="BP25" s="117">
        <f>BP24-Model!BQ7</f>
        <v>0</v>
      </c>
      <c r="BQ25" s="117">
        <f>BQ24-Model!BR7</f>
        <v>0</v>
      </c>
      <c r="BS25" s="117">
        <f>BS24-Model!BT7</f>
        <v>0</v>
      </c>
      <c r="BT25" s="117">
        <f>BT24-Model!BU7</f>
        <v>0</v>
      </c>
    </row>
    <row r="26" spans="2:72">
      <c r="B26" s="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10"/>
      <c r="T26" s="106"/>
      <c r="U26" s="110"/>
      <c r="V26" s="106"/>
      <c r="W26" s="105"/>
      <c r="X26" s="111"/>
      <c r="Y26" s="112"/>
      <c r="Z26" s="112"/>
      <c r="AA26" s="111"/>
      <c r="AB26" s="111"/>
      <c r="AC26" s="111"/>
      <c r="AD26" s="112"/>
      <c r="AE26" s="111"/>
      <c r="AF26" s="111"/>
      <c r="AG26" s="111"/>
      <c r="AH26" s="112"/>
      <c r="AI26" s="111"/>
      <c r="AJ26" s="111"/>
      <c r="AK26" s="111"/>
      <c r="AL26" s="112"/>
      <c r="AN26" s="111"/>
      <c r="AO26" s="111"/>
      <c r="AP26" s="112"/>
      <c r="AT26" s="112"/>
      <c r="AX26" s="112"/>
      <c r="BB26" s="112"/>
      <c r="BF26" s="112"/>
    </row>
    <row r="27" spans="2:72">
      <c r="B27" s="136" t="s">
        <v>413</v>
      </c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10"/>
      <c r="T27" s="106"/>
      <c r="U27" s="110"/>
      <c r="V27" s="106"/>
      <c r="W27" s="105"/>
      <c r="X27" s="111"/>
      <c r="Y27" s="112"/>
      <c r="Z27" s="112"/>
      <c r="AA27" s="111"/>
      <c r="AB27" s="111"/>
      <c r="AC27" s="111"/>
      <c r="AD27" s="112"/>
      <c r="AE27" s="111"/>
      <c r="AF27" s="111"/>
      <c r="AG27" s="111"/>
      <c r="AH27" s="112"/>
      <c r="AI27" s="111"/>
      <c r="AJ27" s="111"/>
      <c r="AK27" s="111"/>
      <c r="AL27" s="112"/>
      <c r="AN27" s="111"/>
      <c r="AO27" s="111"/>
      <c r="AP27" s="112"/>
      <c r="AT27" s="112"/>
      <c r="AX27" s="112"/>
      <c r="BB27" s="112"/>
      <c r="BF27" s="112"/>
    </row>
    <row r="28" spans="2:72">
      <c r="B28" s="1" t="s">
        <v>408</v>
      </c>
      <c r="C28" s="105"/>
      <c r="D28" s="137">
        <f t="shared" ref="D28:J30" si="20">D19/C19-1</f>
        <v>0.17984155141849989</v>
      </c>
      <c r="E28" s="137">
        <f t="shared" si="20"/>
        <v>0.12664184702309278</v>
      </c>
      <c r="F28" s="137">
        <f t="shared" si="20"/>
        <v>0.25979744967756213</v>
      </c>
      <c r="G28" s="137">
        <f>G19/F19-1</f>
        <v>3.6926222385887053E-2</v>
      </c>
      <c r="H28" s="137">
        <f>H19/G19-1</f>
        <v>0.22565821068106762</v>
      </c>
      <c r="I28" s="137">
        <f>I19/H19-1</f>
        <v>0.36570227025056701</v>
      </c>
      <c r="J28" s="137">
        <f>J19/I19-1</f>
        <v>0.47411090117254084</v>
      </c>
      <c r="K28" s="137">
        <f>K19/J19-1</f>
        <v>0.96090925336619093</v>
      </c>
      <c r="L28" s="255"/>
      <c r="M28" s="137">
        <f t="shared" ref="M28:M33" si="21">M19/L19-1</f>
        <v>0.23229270933931989</v>
      </c>
      <c r="N28" s="137">
        <f t="shared" ref="N28:N33" si="22">N19/L19-1</f>
        <v>0.77916929813951019</v>
      </c>
      <c r="O28" s="137">
        <f>O19/N19-1</f>
        <v>3.6405452186660803E-4</v>
      </c>
      <c r="P28" s="137">
        <f>P19/N19-1</f>
        <v>0.30939982378807396</v>
      </c>
      <c r="Q28" s="137">
        <f>Q19/P19-1</f>
        <v>-6.5699340729153066E-2</v>
      </c>
      <c r="R28" s="137"/>
      <c r="S28" s="110"/>
      <c r="T28" s="106"/>
      <c r="U28" s="110"/>
      <c r="V28" s="106"/>
      <c r="W28" s="137">
        <f t="shared" ref="W28:AD30" si="23">W19/S19-1</f>
        <v>0.34519476435404806</v>
      </c>
      <c r="X28" s="137">
        <f t="shared" si="23"/>
        <v>0.19671045113100338</v>
      </c>
      <c r="Y28" s="137">
        <f t="shared" si="23"/>
        <v>0.31774356651785607</v>
      </c>
      <c r="Z28" s="137">
        <f t="shared" si="23"/>
        <v>0.18958011848757428</v>
      </c>
      <c r="AA28" s="137">
        <f t="shared" si="23"/>
        <v>-2.7180762200615272E-2</v>
      </c>
      <c r="AB28" s="137">
        <f t="shared" si="23"/>
        <v>0.14488076834889618</v>
      </c>
      <c r="AC28" s="137">
        <f t="shared" si="23"/>
        <v>5.1533329544808604E-2</v>
      </c>
      <c r="AD28" s="137">
        <f t="shared" si="23"/>
        <v>-3.0974183626880203E-2</v>
      </c>
      <c r="AE28" s="137">
        <f t="shared" ref="AE28:AW33" si="24">AE19/AA19-1</f>
        <v>0.15587661840230194</v>
      </c>
      <c r="AF28" s="137">
        <f t="shared" si="24"/>
        <v>0.23881507023897952</v>
      </c>
      <c r="AG28" s="137">
        <f t="shared" si="24"/>
        <v>0.19243451842839909</v>
      </c>
      <c r="AH28" s="137">
        <f t="shared" si="24"/>
        <v>0.32258442299903489</v>
      </c>
      <c r="AI28" s="137">
        <f t="shared" si="24"/>
        <v>0.25687206760309689</v>
      </c>
      <c r="AJ28" s="137">
        <f t="shared" si="24"/>
        <v>0.10916199391214665</v>
      </c>
      <c r="AK28" s="137">
        <f t="shared" si="24"/>
        <v>0.48796588636426264</v>
      </c>
      <c r="AL28" s="137">
        <f t="shared" si="24"/>
        <v>0.63345111114117425</v>
      </c>
      <c r="AM28" s="137">
        <f t="shared" si="24"/>
        <v>0.69253761206330844</v>
      </c>
      <c r="AN28" s="137">
        <f t="shared" si="24"/>
        <v>0.47579651887471242</v>
      </c>
      <c r="AO28" s="230">
        <f>AO19/AK19-1</f>
        <v>0.3159927708195307</v>
      </c>
      <c r="AP28" s="137">
        <f>AP19/AL19-1</f>
        <v>0.4838088000600318</v>
      </c>
      <c r="AQ28" s="137">
        <f t="shared" si="24"/>
        <v>0.78790747179390208</v>
      </c>
      <c r="AR28" s="137">
        <f t="shared" si="24"/>
        <v>1.0330053993535975</v>
      </c>
      <c r="AS28" s="137">
        <f t="shared" si="24"/>
        <v>0.87521008722334526</v>
      </c>
      <c r="AT28" s="137">
        <f t="shared" ref="AT28:AT29" si="25">AT19/AP19-1</f>
        <v>1.1179218500017849</v>
      </c>
      <c r="AU28" s="137">
        <f t="shared" si="24"/>
        <v>0.79307687478681443</v>
      </c>
      <c r="AV28" s="137">
        <f>AV19/AR19-1</f>
        <v>0.88958023035905853</v>
      </c>
      <c r="AW28" s="137">
        <f t="shared" si="24"/>
        <v>1.2121220529154799</v>
      </c>
      <c r="AX28" s="137">
        <f t="shared" ref="AX28:AX29" si="26">AX19/AT19-1</f>
        <v>2.2204942379212285</v>
      </c>
      <c r="AY28" s="137">
        <f t="shared" ref="AY28:BG28" si="27">AY19/BI19-1</f>
        <v>0.1826410355832544</v>
      </c>
      <c r="AZ28" s="137">
        <f t="shared" si="27"/>
        <v>-1.0978904845221904E-2</v>
      </c>
      <c r="BA28" s="137">
        <f t="shared" si="27"/>
        <v>-0.10289626653611594</v>
      </c>
      <c r="BB28" s="137">
        <f t="shared" si="27"/>
        <v>-1.4798260479127245E-2</v>
      </c>
      <c r="BC28" s="137">
        <f t="shared" si="27"/>
        <v>-0.1155355466670267</v>
      </c>
      <c r="BD28" s="137">
        <f t="shared" si="27"/>
        <v>-5.4382083744445753E-2</v>
      </c>
      <c r="BE28" s="137">
        <f t="shared" si="27"/>
        <v>-8.5617399431617169E-2</v>
      </c>
      <c r="BF28" s="137">
        <f t="shared" si="27"/>
        <v>-1.9217219260120211E-2</v>
      </c>
      <c r="BG28" s="137">
        <f t="shared" si="27"/>
        <v>-0.14049963244480423</v>
      </c>
      <c r="BI28" s="137">
        <f t="shared" ref="BI28:BI33" si="28">BI19/AQ19-1</f>
        <v>2.1016921662004528</v>
      </c>
      <c r="BJ28" s="137">
        <f t="shared" ref="BJ28:BL33" si="29">BJ19/AR19-1</f>
        <v>2.3277581987846712</v>
      </c>
      <c r="BK28" s="137">
        <f t="shared" si="29"/>
        <v>2.5306021451079435</v>
      </c>
      <c r="BL28" s="137">
        <f t="shared" si="29"/>
        <v>2.5679160068498228</v>
      </c>
      <c r="BM28" s="137">
        <f>BM19/BI19-1</f>
        <v>0.63327256438313095</v>
      </c>
      <c r="BN28" s="137">
        <f t="shared" ref="BN28:BN33" si="30">BN19/AV19-1</f>
        <v>1.3522437272993311</v>
      </c>
      <c r="BO28" s="137">
        <f>BO19/BK19-1</f>
        <v>0.19578554267713799</v>
      </c>
      <c r="BP28" s="137">
        <f>BP19/BL19-1</f>
        <v>0.19288619765080917</v>
      </c>
      <c r="BQ28" s="137">
        <f>BQ19/BM19-1</f>
        <v>0.15745872760346691</v>
      </c>
      <c r="BS28" s="255"/>
      <c r="BT28" s="137">
        <f>BT19/BS19-1</f>
        <v>-8.5573889504768408E-2</v>
      </c>
    </row>
    <row r="29" spans="2:72">
      <c r="B29" s="1" t="s">
        <v>409</v>
      </c>
      <c r="C29" s="105"/>
      <c r="D29" s="137">
        <f t="shared" si="20"/>
        <v>0.20403256193514041</v>
      </c>
      <c r="E29" s="137">
        <f t="shared" si="20"/>
        <v>0.12016330620130833</v>
      </c>
      <c r="F29" s="137">
        <f t="shared" si="20"/>
        <v>0.24507630861200469</v>
      </c>
      <c r="G29" s="137">
        <f t="shared" si="20"/>
        <v>0.48231006529406906</v>
      </c>
      <c r="H29" s="137">
        <f t="shared" si="20"/>
        <v>0.13526669603257346</v>
      </c>
      <c r="I29" s="137">
        <f t="shared" si="20"/>
        <v>0.28159815913561159</v>
      </c>
      <c r="J29" s="137">
        <f t="shared" si="20"/>
        <v>0.56031369428763722</v>
      </c>
      <c r="K29" s="137">
        <f>K20/J20-1</f>
        <v>0.80532374091645731</v>
      </c>
      <c r="L29" s="255"/>
      <c r="M29" s="137">
        <f t="shared" si="21"/>
        <v>-3.7197768552189259E-2</v>
      </c>
      <c r="N29" s="137">
        <f t="shared" si="22"/>
        <v>0.39008221171705282</v>
      </c>
      <c r="O29" s="137">
        <f t="shared" ref="O29:Q33" si="31">O20/N20-1</f>
        <v>0.44412537084548886</v>
      </c>
      <c r="P29" s="137">
        <f t="shared" ref="P29:P32" si="32">P20/N20-1</f>
        <v>0.89024934355440299</v>
      </c>
      <c r="Q29" s="137">
        <f t="shared" si="31"/>
        <v>-5.8657125514272268E-2</v>
      </c>
      <c r="R29" s="137"/>
      <c r="S29" s="110"/>
      <c r="T29" s="106"/>
      <c r="U29" s="110"/>
      <c r="V29" s="106"/>
      <c r="W29" s="137">
        <f t="shared" si="23"/>
        <v>0.1592285545187142</v>
      </c>
      <c r="X29" s="137">
        <f t="shared" si="23"/>
        <v>0.18429447571695357</v>
      </c>
      <c r="Y29" s="137">
        <f t="shared" si="23"/>
        <v>0.27223993555029802</v>
      </c>
      <c r="Z29" s="137">
        <f t="shared" si="23"/>
        <v>0.33303739400310639</v>
      </c>
      <c r="AA29" s="137">
        <f t="shared" si="23"/>
        <v>0.28956672284004425</v>
      </c>
      <c r="AB29" s="137">
        <f t="shared" si="23"/>
        <v>0.44147033088858456</v>
      </c>
      <c r="AC29" s="137">
        <f t="shared" si="23"/>
        <v>0.64169821479148448</v>
      </c>
      <c r="AD29" s="137">
        <f t="shared" si="23"/>
        <v>0.50253752444233157</v>
      </c>
      <c r="AE29" s="137">
        <f t="shared" si="24"/>
        <v>0.39997967299893844</v>
      </c>
      <c r="AF29" s="137">
        <f t="shared" si="24"/>
        <v>0.25110383694569793</v>
      </c>
      <c r="AG29" s="137">
        <f t="shared" si="24"/>
        <v>-1.4172567477777176E-2</v>
      </c>
      <c r="AH29" s="137">
        <f t="shared" si="24"/>
        <v>4.6888811149278897E-2</v>
      </c>
      <c r="AI29" s="137">
        <f t="shared" si="24"/>
        <v>9.1857690701294903E-2</v>
      </c>
      <c r="AJ29" s="137">
        <f t="shared" si="24"/>
        <v>-6.9274475586154405E-2</v>
      </c>
      <c r="AK29" s="137">
        <f t="shared" si="24"/>
        <v>0.4479106503673238</v>
      </c>
      <c r="AL29" s="137">
        <f t="shared" si="24"/>
        <v>0.56060347603097593</v>
      </c>
      <c r="AM29" s="137">
        <f t="shared" si="24"/>
        <v>0.56690940573070403</v>
      </c>
      <c r="AN29" s="137">
        <f t="shared" si="24"/>
        <v>0.97448332245676261</v>
      </c>
      <c r="AO29" s="230">
        <f t="shared" si="24"/>
        <v>0.41885674940628492</v>
      </c>
      <c r="AP29" s="137">
        <f t="shared" si="24"/>
        <v>0.47199819899902606</v>
      </c>
      <c r="AQ29" s="137">
        <f t="shared" si="24"/>
        <v>0.90423993298659577</v>
      </c>
      <c r="AR29" s="137">
        <f t="shared" si="24"/>
        <v>0.8414838601078285</v>
      </c>
      <c r="AS29" s="137">
        <f t="shared" si="24"/>
        <v>0.81462009846243588</v>
      </c>
      <c r="AT29" s="137">
        <f t="shared" si="25"/>
        <v>0.7202242362888216</v>
      </c>
      <c r="AU29" s="137">
        <f t="shared" si="24"/>
        <v>0.41085868112126289</v>
      </c>
      <c r="AV29" s="137">
        <f t="shared" si="24"/>
        <v>0.40433171415527269</v>
      </c>
      <c r="AW29" s="137">
        <f t="shared" si="24"/>
        <v>0.6117767284193274</v>
      </c>
      <c r="AX29" s="137">
        <f t="shared" si="26"/>
        <v>1.5761125227775463</v>
      </c>
      <c r="AY29" s="137">
        <f t="shared" ref="AY29:AY33" si="33">AY20/BI20-1</f>
        <v>-5.5079655902497415E-2</v>
      </c>
      <c r="AZ29" s="137">
        <f t="shared" ref="AZ29:BB33" si="34">AZ20/BJ20-1</f>
        <v>0.69833669405061016</v>
      </c>
      <c r="BA29" s="137">
        <f t="shared" si="34"/>
        <v>0.51541404545959812</v>
      </c>
      <c r="BB29" s="137">
        <f t="shared" si="34"/>
        <v>0.50054607643620375</v>
      </c>
      <c r="BC29" s="137">
        <f t="shared" ref="BC29:BC33" si="35">BC20/BM20-1</f>
        <v>0.4945439432414469</v>
      </c>
      <c r="BD29" s="137">
        <f t="shared" ref="BD29:BD32" si="36">BD20/BN20-1</f>
        <v>-0.18289519584649061</v>
      </c>
      <c r="BE29" s="137">
        <f t="shared" ref="BE29:BE33" si="37">BE20/BO20-1</f>
        <v>-0.1272402273848543</v>
      </c>
      <c r="BF29" s="137">
        <f t="shared" ref="BF29:BF33" si="38">BF20/BP20-1</f>
        <v>-0.11435290193297598</v>
      </c>
      <c r="BG29" s="137">
        <f t="shared" ref="BG29:BG33" si="39">BG20/BQ20-1</f>
        <v>-4.4189725560536353E-2</v>
      </c>
      <c r="BI29" s="137">
        <f t="shared" si="28"/>
        <v>1.4387461117499969</v>
      </c>
      <c r="BJ29" s="137">
        <f t="shared" si="29"/>
        <v>1.4692406210024092</v>
      </c>
      <c r="BK29" s="137">
        <f t="shared" si="29"/>
        <v>1.5597800562356698</v>
      </c>
      <c r="BL29" s="137">
        <f t="shared" si="29"/>
        <v>1.9814448083718803</v>
      </c>
      <c r="BM29" s="137">
        <f t="shared" ref="BM29:BM33" si="40">BM20/BI20-1</f>
        <v>0.30497120165547043</v>
      </c>
      <c r="BN29" s="137">
        <f t="shared" si="30"/>
        <v>3.0328108143581307</v>
      </c>
      <c r="BO29" s="137">
        <f t="shared" ref="BO29:BO33" si="41">BO20/BK20-1</f>
        <v>1.019956130948708</v>
      </c>
      <c r="BP29" s="137">
        <f t="shared" ref="BP29:BQ33" si="42">BP20/BL20-1</f>
        <v>0.86449656704012523</v>
      </c>
      <c r="BQ29" s="137">
        <f t="shared" si="42"/>
        <v>0.95584224521692662</v>
      </c>
      <c r="BS29" s="255"/>
      <c r="BT29" s="137">
        <f t="shared" ref="BT29:BT33" si="43">BT20/BS20-1</f>
        <v>-1.8612942099984986E-2</v>
      </c>
    </row>
    <row r="30" spans="2:72">
      <c r="B30" s="1" t="s">
        <v>410</v>
      </c>
      <c r="C30" s="105"/>
      <c r="D30" s="137">
        <f t="shared" si="20"/>
        <v>2.6497857230317168E-2</v>
      </c>
      <c r="E30" s="137">
        <f t="shared" si="20"/>
        <v>5.69076442420553E-2</v>
      </c>
      <c r="F30" s="137">
        <f t="shared" si="20"/>
        <v>0.27634324429986257</v>
      </c>
      <c r="G30" s="137">
        <f t="shared" si="20"/>
        <v>0.36240863933085654</v>
      </c>
      <c r="H30" s="137">
        <f t="shared" si="20"/>
        <v>9.6843669503551277E-2</v>
      </c>
      <c r="I30" s="137">
        <f t="shared" si="20"/>
        <v>7.3178398204173822E-2</v>
      </c>
      <c r="J30" s="137">
        <f t="shared" si="20"/>
        <v>0.58732929282235879</v>
      </c>
      <c r="K30" s="137">
        <f>K21/J21-1</f>
        <v>1.033852627413514</v>
      </c>
      <c r="L30" s="255"/>
      <c r="M30" s="137">
        <f t="shared" si="21"/>
        <v>-0.14015492867099832</v>
      </c>
      <c r="N30" s="137">
        <f t="shared" si="22"/>
        <v>2.703289458329591</v>
      </c>
      <c r="O30" s="137">
        <f t="shared" si="31"/>
        <v>-0.13981723654456313</v>
      </c>
      <c r="P30" s="137">
        <f t="shared" si="32"/>
        <v>0.12591325198528214</v>
      </c>
      <c r="Q30" s="137">
        <f t="shared" si="31"/>
        <v>-0.13008484255371244</v>
      </c>
      <c r="R30" s="137"/>
      <c r="S30" s="110"/>
      <c r="T30" s="106"/>
      <c r="U30" s="110"/>
      <c r="V30" s="106"/>
      <c r="W30" s="137">
        <f t="shared" si="23"/>
        <v>0.29250722485819614</v>
      </c>
      <c r="X30" s="137">
        <f t="shared" si="23"/>
        <v>0.38359419287658447</v>
      </c>
      <c r="Y30" s="137">
        <f t="shared" si="23"/>
        <v>0.26071162613291676</v>
      </c>
      <c r="Z30" s="137">
        <f t="shared" si="23"/>
        <v>0.20655698720166038</v>
      </c>
      <c r="AA30" s="137">
        <f t="shared" si="23"/>
        <v>0.356841300385216</v>
      </c>
      <c r="AB30" s="137">
        <f t="shared" si="23"/>
        <v>0.19551345382693097</v>
      </c>
      <c r="AC30" s="137">
        <f t="shared" si="23"/>
        <v>0.60286121796257053</v>
      </c>
      <c r="AD30" s="137">
        <f t="shared" si="23"/>
        <v>0.30758325046362311</v>
      </c>
      <c r="AE30" s="137">
        <f t="shared" si="24"/>
        <v>0.35768751051629333</v>
      </c>
      <c r="AF30" s="137">
        <f t="shared" si="24"/>
        <v>0.3612550556117291</v>
      </c>
      <c r="AG30" s="137">
        <f t="shared" si="24"/>
        <v>-0.21079993744168857</v>
      </c>
      <c r="AH30" s="137">
        <f t="shared" si="24"/>
        <v>3.6355694869093513E-2</v>
      </c>
      <c r="AI30" s="137">
        <f t="shared" si="24"/>
        <v>-0.22949616794926275</v>
      </c>
      <c r="AJ30" s="137">
        <f t="shared" si="24"/>
        <v>-0.50895718798042333</v>
      </c>
      <c r="AK30" s="137">
        <f t="shared" si="24"/>
        <v>0.60934997961354576</v>
      </c>
      <c r="AL30" s="137">
        <f t="shared" si="24"/>
        <v>0.47728579928599735</v>
      </c>
      <c r="AM30" s="137">
        <f t="shared" si="24"/>
        <v>0.87962397971818906</v>
      </c>
      <c r="AN30" s="137">
        <f t="shared" si="24"/>
        <v>1.802592632995164</v>
      </c>
      <c r="AO30" s="230">
        <f t="shared" si="24"/>
        <v>0.1635707936795503</v>
      </c>
      <c r="AP30" s="137">
        <f t="shared" si="24"/>
        <v>0.42029632463916067</v>
      </c>
      <c r="AQ30" s="137">
        <f t="shared" si="24"/>
        <v>1.0345239760775757</v>
      </c>
      <c r="AR30" s="137">
        <f t="shared" si="24"/>
        <v>1.5126131865308841</v>
      </c>
      <c r="AS30" s="137">
        <f>AS22/AO21-1</f>
        <v>6.4646563678384625</v>
      </c>
      <c r="AT30" s="137">
        <f t="shared" ref="AT30" si="44">AT22/AP21-1</f>
        <v>3.3485413376290358</v>
      </c>
      <c r="AU30" s="137">
        <f t="shared" si="24"/>
        <v>0.24393878397135071</v>
      </c>
      <c r="AV30" s="137">
        <f t="shared" si="24"/>
        <v>3.2044016908210065</v>
      </c>
      <c r="AW30" s="137">
        <f>AW22/AS21-1</f>
        <v>2.6667390377987941</v>
      </c>
      <c r="AX30" s="137">
        <f t="shared" ref="AX30" si="45">AX22/AT21-1</f>
        <v>9.7417908480142277</v>
      </c>
      <c r="AY30" s="137">
        <f t="shared" si="33"/>
        <v>-3.6543832121626596E-2</v>
      </c>
      <c r="AZ30" s="137">
        <f t="shared" si="34"/>
        <v>-0.17553468557649765</v>
      </c>
      <c r="BA30" s="137">
        <f t="shared" si="34"/>
        <v>6.1030106583983557E-2</v>
      </c>
      <c r="BB30" s="137">
        <f t="shared" si="34"/>
        <v>-0.16239438667605899</v>
      </c>
      <c r="BC30" s="137">
        <f t="shared" si="35"/>
        <v>0.17605988746892565</v>
      </c>
      <c r="BD30" s="137">
        <f t="shared" si="36"/>
        <v>8.8378173992543108E-2</v>
      </c>
      <c r="BE30" s="137">
        <f t="shared" si="37"/>
        <v>-4.3989224523146797E-2</v>
      </c>
      <c r="BF30" s="137">
        <f t="shared" si="38"/>
        <v>-0.19935554961038526</v>
      </c>
      <c r="BG30" s="137">
        <f t="shared" si="39"/>
        <v>-1.506712566479429E-2</v>
      </c>
      <c r="BI30" s="137">
        <f t="shared" si="28"/>
        <v>1.1453343240913765</v>
      </c>
      <c r="BJ30" s="137">
        <f t="shared" si="29"/>
        <v>6.3626584886505757</v>
      </c>
      <c r="BK30" s="137">
        <f t="shared" si="29"/>
        <v>1.3330433087217477</v>
      </c>
      <c r="BL30" s="137">
        <f t="shared" si="29"/>
        <v>14.037938151835245</v>
      </c>
      <c r="BM30" s="137">
        <f t="shared" si="40"/>
        <v>0.33056998656241077</v>
      </c>
      <c r="BN30" s="137">
        <f t="shared" si="30"/>
        <v>-0.34711718732248975</v>
      </c>
      <c r="BO30" s="137">
        <f t="shared" si="41"/>
        <v>0.41428950415599286</v>
      </c>
      <c r="BP30" s="137">
        <f t="shared" si="42"/>
        <v>0.41489534060813194</v>
      </c>
      <c r="BQ30" s="137">
        <f t="shared" si="42"/>
        <v>0.53905645007190772</v>
      </c>
      <c r="BS30" s="255"/>
      <c r="BT30" s="137">
        <f t="shared" si="43"/>
        <v>6.5532256658991539E-2</v>
      </c>
    </row>
    <row r="31" spans="2:72">
      <c r="B31" s="1" t="s">
        <v>411</v>
      </c>
      <c r="C31" s="105"/>
      <c r="D31" s="137"/>
      <c r="E31" s="137"/>
      <c r="F31" s="137"/>
      <c r="G31" s="137">
        <f t="shared" ref="G31:J33" si="46">G22/F22-1</f>
        <v>0.51001034363866227</v>
      </c>
      <c r="H31" s="137">
        <f t="shared" si="46"/>
        <v>0.36834104960084879</v>
      </c>
      <c r="I31" s="137">
        <f t="shared" si="46"/>
        <v>0.12243159529141034</v>
      </c>
      <c r="J31" s="137">
        <f t="shared" si="46"/>
        <v>1.8452248499513644</v>
      </c>
      <c r="K31" s="137">
        <f>K22/J22-1</f>
        <v>1.3929669463017613</v>
      </c>
      <c r="L31" s="255"/>
      <c r="M31" s="137">
        <f t="shared" si="21"/>
        <v>-0.22407792825732653</v>
      </c>
      <c r="N31" s="137">
        <f t="shared" si="22"/>
        <v>-0.62445892187876417</v>
      </c>
      <c r="O31" s="137">
        <f t="shared" si="31"/>
        <v>4.616825602115826E-2</v>
      </c>
      <c r="P31" s="137">
        <f t="shared" si="32"/>
        <v>0.36935402394887351</v>
      </c>
      <c r="Q31" s="137">
        <f t="shared" si="31"/>
        <v>8.4465075503816767E-2</v>
      </c>
      <c r="R31" s="137"/>
      <c r="S31" s="110"/>
      <c r="T31" s="106"/>
      <c r="U31" s="110"/>
      <c r="V31" s="106"/>
      <c r="W31" s="137"/>
      <c r="X31" s="137"/>
      <c r="Y31" s="137"/>
      <c r="Z31" s="137" t="e">
        <f>Z22/V22-1</f>
        <v>#DIV/0!</v>
      </c>
      <c r="AA31" s="137"/>
      <c r="AB31" s="137"/>
      <c r="AC31" s="137"/>
      <c r="AD31" s="137">
        <f>AD22/Z22-1</f>
        <v>0.51001034363866227</v>
      </c>
      <c r="AE31" s="137"/>
      <c r="AF31" s="137"/>
      <c r="AG31" s="137"/>
      <c r="AH31" s="137">
        <f>AH22/AD22-1</f>
        <v>-0.73851704138949359</v>
      </c>
      <c r="AI31" s="137"/>
      <c r="AJ31" s="137">
        <f t="shared" si="24"/>
        <v>-0.34462964355649561</v>
      </c>
      <c r="AK31" s="137">
        <f t="shared" si="24"/>
        <v>0.33885255306942041</v>
      </c>
      <c r="AL31" s="137">
        <f t="shared" ref="AL31:AM33" si="47">AL22/AH22-1</f>
        <v>0.65880981211411571</v>
      </c>
      <c r="AM31" s="137">
        <f t="shared" si="47"/>
        <v>0.93401306126537809</v>
      </c>
      <c r="AN31" s="137">
        <f t="shared" si="24"/>
        <v>1.4470666331610116</v>
      </c>
      <c r="AO31" s="230">
        <f t="shared" si="24"/>
        <v>1.9082284176515456</v>
      </c>
      <c r="AP31" s="137">
        <f t="shared" si="24"/>
        <v>2.6665667304720828</v>
      </c>
      <c r="AQ31" s="137">
        <f t="shared" si="24"/>
        <v>3.142569754953116</v>
      </c>
      <c r="AR31" s="137">
        <f t="shared" si="24"/>
        <v>3.1241674140969602</v>
      </c>
      <c r="AS31" s="137">
        <f t="shared" si="24"/>
        <v>0.8084471097882624</v>
      </c>
      <c r="AT31" s="137">
        <f t="shared" ref="AT31:AT32" si="48">AT22/AP22-1</f>
        <v>0.50967845678509272</v>
      </c>
      <c r="AU31" s="137">
        <f t="shared" si="24"/>
        <v>5.6683510447084862E-2</v>
      </c>
      <c r="AV31" s="137">
        <f t="shared" si="24"/>
        <v>-0.72735319720246228</v>
      </c>
      <c r="AW31" s="137">
        <f t="shared" si="24"/>
        <v>0.10633070509952081</v>
      </c>
      <c r="AX31" s="137">
        <f t="shared" ref="AX31:AX32" si="49">AX22/AT22-1</f>
        <v>2.9557107010931083</v>
      </c>
      <c r="AY31" s="137">
        <f t="shared" si="33"/>
        <v>-4.8264469172767388E-2</v>
      </c>
      <c r="AZ31" s="137">
        <f t="shared" si="34"/>
        <v>0.17816177962738267</v>
      </c>
      <c r="BA31" s="137">
        <f t="shared" si="34"/>
        <v>-0.14252332696741576</v>
      </c>
      <c r="BB31" s="137">
        <f t="shared" si="34"/>
        <v>-0.34577461356633477</v>
      </c>
      <c r="BC31" s="137">
        <f t="shared" si="35"/>
        <v>-0.15354652418028203</v>
      </c>
      <c r="BD31" s="137">
        <f t="shared" si="36"/>
        <v>-9.5282970793823973E-2</v>
      </c>
      <c r="BE31" s="137">
        <f t="shared" si="37"/>
        <v>-0.11800218516817107</v>
      </c>
      <c r="BF31" s="137">
        <f t="shared" si="38"/>
        <v>-0.40819756583778033</v>
      </c>
      <c r="BG31" s="137">
        <f t="shared" si="39"/>
        <v>-0.11739118307298635</v>
      </c>
      <c r="BI31" s="137">
        <f t="shared" si="28"/>
        <v>0.82467108474963347</v>
      </c>
      <c r="BJ31" s="137">
        <f t="shared" si="29"/>
        <v>-0.51912800324245401</v>
      </c>
      <c r="BK31" s="137">
        <f t="shared" si="29"/>
        <v>0.74543622347798344</v>
      </c>
      <c r="BL31" s="137">
        <f t="shared" si="29"/>
        <v>-2.163389191523525</v>
      </c>
      <c r="BM31" s="137">
        <f t="shared" si="40"/>
        <v>0.31438319333963771</v>
      </c>
      <c r="BN31" s="137">
        <f t="shared" si="30"/>
        <v>7.3807381294006973</v>
      </c>
      <c r="BO31" s="137">
        <f t="shared" si="41"/>
        <v>0.14296501384344329</v>
      </c>
      <c r="BP31" s="137">
        <f t="shared" si="42"/>
        <v>1.666415565686445</v>
      </c>
      <c r="BQ31" s="137">
        <f t="shared" si="42"/>
        <v>0.10771543470287259</v>
      </c>
      <c r="BS31" s="255"/>
      <c r="BT31" s="137">
        <f t="shared" si="43"/>
        <v>-0.12118472587309326</v>
      </c>
    </row>
    <row r="32" spans="2:72">
      <c r="B32" s="1" t="s">
        <v>45</v>
      </c>
      <c r="C32" s="105"/>
      <c r="D32" s="137">
        <f t="shared" ref="D32:F33" si="50">D23/C23-1</f>
        <v>-0.25613864939785724</v>
      </c>
      <c r="E32" s="137">
        <f t="shared" si="50"/>
        <v>0.38403045338211794</v>
      </c>
      <c r="F32" s="137">
        <f t="shared" si="50"/>
        <v>-0.38734195993784104</v>
      </c>
      <c r="G32" s="137">
        <f t="shared" si="46"/>
        <v>0.1895592754110984</v>
      </c>
      <c r="H32" s="137">
        <f t="shared" si="46"/>
        <v>0.31304616875278635</v>
      </c>
      <c r="I32" s="137">
        <f t="shared" si="46"/>
        <v>0.28820976946008914</v>
      </c>
      <c r="J32" s="137">
        <f t="shared" si="46"/>
        <v>1.1785721592228757</v>
      </c>
      <c r="K32" s="137">
        <f>K23/J23-1</f>
        <v>1.0426836088987042</v>
      </c>
      <c r="L32" s="255"/>
      <c r="M32" s="137">
        <f t="shared" si="21"/>
        <v>-0.12945021483492813</v>
      </c>
      <c r="N32" s="137">
        <f t="shared" si="22"/>
        <v>0.25688930876246063</v>
      </c>
      <c r="O32" s="137">
        <f t="shared" si="31"/>
        <v>-1.3636188450436904E-2</v>
      </c>
      <c r="P32" s="137">
        <f t="shared" si="32"/>
        <v>0.29107455713184627</v>
      </c>
      <c r="Q32" s="137">
        <f t="shared" si="31"/>
        <v>-0.14568601524964298</v>
      </c>
      <c r="R32" s="137"/>
      <c r="S32" s="110"/>
      <c r="T32" s="106"/>
      <c r="U32" s="110"/>
      <c r="V32" s="106"/>
      <c r="W32" s="137">
        <f t="shared" ref="W32:Y33" si="51">W23/S23-1</f>
        <v>1.0233284827523179</v>
      </c>
      <c r="X32" s="137">
        <f t="shared" si="51"/>
        <v>1.1011276705982747</v>
      </c>
      <c r="Y32" s="137">
        <f t="shared" si="51"/>
        <v>0.86430255977690185</v>
      </c>
      <c r="Z32" s="137">
        <f>Z23/V23-1</f>
        <v>-3.2031148896398016</v>
      </c>
      <c r="AA32" s="137">
        <f t="shared" ref="AA32:AK33" si="52">AA23/W23-1</f>
        <v>0.12979270065891768</v>
      </c>
      <c r="AB32" s="137">
        <f t="shared" si="52"/>
        <v>0.31525048556645552</v>
      </c>
      <c r="AC32" s="137">
        <f t="shared" si="52"/>
        <v>0.78469647051871116</v>
      </c>
      <c r="AD32" s="137">
        <f>AD23/Z23-1</f>
        <v>0.57148830284117569</v>
      </c>
      <c r="AE32" s="137">
        <f t="shared" si="52"/>
        <v>-0.57604077772908646</v>
      </c>
      <c r="AF32" s="137">
        <f t="shared" si="52"/>
        <v>-0.61597489895063062</v>
      </c>
      <c r="AG32" s="137">
        <f t="shared" si="52"/>
        <v>-0.61535420930747531</v>
      </c>
      <c r="AH32" s="137">
        <f>AH23/AD23-1</f>
        <v>-1.1910776978137148</v>
      </c>
      <c r="AI32" s="137">
        <f t="shared" si="52"/>
        <v>0.21010503256880053</v>
      </c>
      <c r="AJ32" s="137">
        <f t="shared" si="52"/>
        <v>-6.4197077042810413E-2</v>
      </c>
      <c r="AK32" s="137">
        <f t="shared" si="52"/>
        <v>0.21238338121832334</v>
      </c>
      <c r="AL32" s="137">
        <f t="shared" si="47"/>
        <v>0.87383042673504319</v>
      </c>
      <c r="AM32" s="137">
        <f t="shared" si="47"/>
        <v>0.84647914762254439</v>
      </c>
      <c r="AN32" s="137">
        <f t="shared" si="24"/>
        <v>1.3895996685642387</v>
      </c>
      <c r="AO32" s="230">
        <f t="shared" si="24"/>
        <v>0.58271869563673806</v>
      </c>
      <c r="AP32" s="137">
        <f t="shared" si="24"/>
        <v>1.7414724326675608</v>
      </c>
      <c r="AQ32" s="137">
        <f t="shared" si="24"/>
        <v>2.4476250919107203</v>
      </c>
      <c r="AR32" s="137">
        <f t="shared" si="24"/>
        <v>1.1749781355990976</v>
      </c>
      <c r="AS32" s="137">
        <f>AS23/AO23-1</f>
        <v>1.7362744589485017</v>
      </c>
      <c r="AT32" s="137">
        <f t="shared" si="48"/>
        <v>7.5258168163006012E-2</v>
      </c>
      <c r="AU32" s="137">
        <f t="shared" si="24"/>
        <v>7.9847949918021577E-4</v>
      </c>
      <c r="AV32" s="137">
        <f t="shared" si="24"/>
        <v>-1.0682136899753503E-2</v>
      </c>
      <c r="AW32" s="137">
        <f>AW23/AS23-1</f>
        <v>0.76393532160129185</v>
      </c>
      <c r="AX32" s="137">
        <f t="shared" si="49"/>
        <v>2.3138598167502247</v>
      </c>
      <c r="AY32" s="137">
        <f t="shared" si="33"/>
        <v>0.15913828143347852</v>
      </c>
      <c r="AZ32" s="137">
        <f t="shared" si="34"/>
        <v>0.20283004865621934</v>
      </c>
      <c r="BA32" s="137">
        <f t="shared" si="34"/>
        <v>-0.18636824512866323</v>
      </c>
      <c r="BB32" s="137">
        <f t="shared" si="34"/>
        <v>-6.6736613208311923E-2</v>
      </c>
      <c r="BC32" s="137">
        <f t="shared" si="35"/>
        <v>-0.23881693621601807</v>
      </c>
      <c r="BD32" s="137">
        <f t="shared" si="36"/>
        <v>-1.8731157224184392E-3</v>
      </c>
      <c r="BE32" s="137">
        <f t="shared" si="37"/>
        <v>-0.22045397637508557</v>
      </c>
      <c r="BF32" s="137">
        <f t="shared" si="38"/>
        <v>-0.10066475618638382</v>
      </c>
      <c r="BG32" s="137">
        <f t="shared" si="39"/>
        <v>-0.14925739922211023</v>
      </c>
      <c r="BI32" s="137">
        <f t="shared" si="28"/>
        <v>0.73604414612363178</v>
      </c>
      <c r="BJ32" s="137">
        <f t="shared" si="29"/>
        <v>0.75042262669205684</v>
      </c>
      <c r="BK32" s="137">
        <f t="shared" si="29"/>
        <v>1.8414294051130549</v>
      </c>
      <c r="BL32" s="137">
        <f t="shared" si="29"/>
        <v>2.7153578363196593</v>
      </c>
      <c r="BM32" s="137">
        <f t="shared" si="40"/>
        <v>0.60081406467716469</v>
      </c>
      <c r="BN32" s="137">
        <f t="shared" si="30"/>
        <v>1.8740984694571838</v>
      </c>
      <c r="BO32" s="137">
        <f t="shared" si="41"/>
        <v>8.4522455635903215E-2</v>
      </c>
      <c r="BP32" s="137">
        <f t="shared" si="42"/>
        <v>0.12810063696586438</v>
      </c>
      <c r="BQ32" s="137">
        <f t="shared" si="42"/>
        <v>-3.8738737059912376E-3</v>
      </c>
      <c r="BS32" s="255"/>
      <c r="BT32" s="137">
        <f t="shared" si="43"/>
        <v>-0.16419668333239668</v>
      </c>
    </row>
    <row r="33" spans="2:72" s="50" customFormat="1">
      <c r="B33" s="133" t="s">
        <v>412</v>
      </c>
      <c r="C33" s="107"/>
      <c r="D33" s="138">
        <f t="shared" si="50"/>
        <v>0.13201715226418198</v>
      </c>
      <c r="E33" s="138">
        <f t="shared" si="50"/>
        <v>0.13624582630364057</v>
      </c>
      <c r="F33" s="138">
        <f t="shared" si="50"/>
        <v>0.29475585872218546</v>
      </c>
      <c r="G33" s="138">
        <f t="shared" si="46"/>
        <v>0.29095933982364164</v>
      </c>
      <c r="H33" s="138">
        <f t="shared" si="46"/>
        <v>0.18723301748889698</v>
      </c>
      <c r="I33" s="138">
        <f t="shared" si="46"/>
        <v>0.27959343396498371</v>
      </c>
      <c r="J33" s="138">
        <f t="shared" si="46"/>
        <v>0.6682235087112276</v>
      </c>
      <c r="K33" s="138">
        <f>K24/J24-1</f>
        <v>0.96401868068515384</v>
      </c>
      <c r="L33" s="256"/>
      <c r="M33" s="138">
        <f t="shared" si="21"/>
        <v>-2.655459849191244E-4</v>
      </c>
      <c r="N33" s="138">
        <f t="shared" si="22"/>
        <v>0.44340451020276173</v>
      </c>
      <c r="O33" s="138">
        <f t="shared" si="31"/>
        <v>0.1544839712995203</v>
      </c>
      <c r="P33" s="138">
        <f>P24/N24-1</f>
        <v>0.51113096881463904</v>
      </c>
      <c r="Q33" s="138">
        <f t="shared" si="31"/>
        <v>-6.5967210627813522E-2</v>
      </c>
      <c r="R33" s="138"/>
      <c r="S33" s="139"/>
      <c r="T33" s="113"/>
      <c r="U33" s="139"/>
      <c r="V33" s="113"/>
      <c r="W33" s="138">
        <f t="shared" si="51"/>
        <v>0.31376924230513326</v>
      </c>
      <c r="X33" s="138">
        <f t="shared" si="51"/>
        <v>0.27819306002996291</v>
      </c>
      <c r="Y33" s="138">
        <f t="shared" si="51"/>
        <v>0.33218016383562188</v>
      </c>
      <c r="Z33" s="138">
        <f>Z24/V24-1</f>
        <v>0.26066344846846867</v>
      </c>
      <c r="AA33" s="138">
        <f t="shared" si="52"/>
        <v>0.13982056227388506</v>
      </c>
      <c r="AB33" s="138">
        <f t="shared" si="52"/>
        <v>0.28666151493051761</v>
      </c>
      <c r="AC33" s="138">
        <f t="shared" si="52"/>
        <v>0.41480933375738305</v>
      </c>
      <c r="AD33" s="138">
        <f>AD24/Z24-1</f>
        <v>0.29945464793629983</v>
      </c>
      <c r="AE33" s="138">
        <f t="shared" si="52"/>
        <v>0.30667780087834307</v>
      </c>
      <c r="AF33" s="138">
        <f t="shared" si="52"/>
        <v>0.29418588419680725</v>
      </c>
      <c r="AG33" s="138">
        <f t="shared" si="52"/>
        <v>7.1457798072273926E-2</v>
      </c>
      <c r="AH33" s="138">
        <f>AH24/AD24-1</f>
        <v>0.12837461098623093</v>
      </c>
      <c r="AI33" s="138">
        <f t="shared" si="52"/>
        <v>0.12537689304952027</v>
      </c>
      <c r="AJ33" s="138">
        <f t="shared" si="52"/>
        <v>-7.0657245241824373E-2</v>
      </c>
      <c r="AK33" s="138">
        <f t="shared" si="52"/>
        <v>0.44775963378875283</v>
      </c>
      <c r="AL33" s="138">
        <f t="shared" si="47"/>
        <v>0.59389999958164341</v>
      </c>
      <c r="AM33" s="138">
        <f t="shared" si="47"/>
        <v>0.67155033107057993</v>
      </c>
      <c r="AN33" s="138">
        <f t="shared" si="24"/>
        <v>0.85574241690860808</v>
      </c>
      <c r="AO33" s="231">
        <f t="shared" si="24"/>
        <v>0.52014109382898788</v>
      </c>
      <c r="AP33" s="138">
        <f t="shared" si="24"/>
        <v>0.68872025414050353</v>
      </c>
      <c r="AQ33" s="138">
        <f t="shared" si="24"/>
        <v>1.1691927348928446</v>
      </c>
      <c r="AR33" s="138">
        <f t="shared" si="24"/>
        <v>1.2226305787078862</v>
      </c>
      <c r="AS33" s="138">
        <f t="shared" si="24"/>
        <v>0.88754705835677061</v>
      </c>
      <c r="AT33" s="138">
        <f>AT24/AP24-1</f>
        <v>0.74042807147838086</v>
      </c>
      <c r="AU33" s="138">
        <f t="shared" si="24"/>
        <v>0.416376137318057</v>
      </c>
      <c r="AV33" s="138">
        <f t="shared" si="24"/>
        <v>0.45329129725757911</v>
      </c>
      <c r="AW33" s="138">
        <f t="shared" si="24"/>
        <v>0.69956394177716263</v>
      </c>
      <c r="AX33" s="138">
        <f>AX24/AT24-1</f>
        <v>1.8589196792805045</v>
      </c>
      <c r="AY33" s="138">
        <f t="shared" si="33"/>
        <v>4.7794721713087629E-2</v>
      </c>
      <c r="AZ33" s="138">
        <f t="shared" si="34"/>
        <v>0.23026317821212228</v>
      </c>
      <c r="BA33" s="138">
        <f t="shared" si="34"/>
        <v>0.13752999594824566</v>
      </c>
      <c r="BB33" s="138">
        <f t="shared" si="34"/>
        <v>0.17551955417204801</v>
      </c>
      <c r="BC33" s="138">
        <f t="shared" si="35"/>
        <v>9.3351478764279516E-2</v>
      </c>
      <c r="BD33" s="138">
        <f>BD24/BN24-1</f>
        <v>-0.11535071392337071</v>
      </c>
      <c r="BE33" s="138">
        <f t="shared" si="37"/>
        <v>-0.11413699553939349</v>
      </c>
      <c r="BF33" s="138">
        <f t="shared" si="38"/>
        <v>-7.8822136072324689E-2</v>
      </c>
      <c r="BG33" s="138">
        <f t="shared" si="39"/>
        <v>-8.7716314259532191E-2</v>
      </c>
      <c r="BI33" s="138">
        <f t="shared" si="28"/>
        <v>1.4487972136451006</v>
      </c>
      <c r="BJ33" s="138">
        <f t="shared" si="29"/>
        <v>1.5560183581098097</v>
      </c>
      <c r="BK33" s="138">
        <f t="shared" si="29"/>
        <v>1.7047101119265737</v>
      </c>
      <c r="BL33" s="138">
        <f t="shared" si="29"/>
        <v>2.2408340196999994</v>
      </c>
      <c r="BM33" s="138">
        <f t="shared" si="40"/>
        <v>0.4470446328179376</v>
      </c>
      <c r="BN33" s="138">
        <f t="shared" si="30"/>
        <v>1.9221308739563616</v>
      </c>
      <c r="BO33" s="138">
        <f t="shared" si="41"/>
        <v>0.51625933742903807</v>
      </c>
      <c r="BP33" s="138">
        <f t="shared" si="42"/>
        <v>0.44446492506541246</v>
      </c>
      <c r="BQ33" s="138">
        <f t="shared" si="42"/>
        <v>0.43081976129212651</v>
      </c>
      <c r="BS33" s="256"/>
      <c r="BT33" s="138">
        <f t="shared" si="43"/>
        <v>-5.5835147464951995E-2</v>
      </c>
    </row>
    <row r="34" spans="2:72">
      <c r="B34" s="5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10"/>
      <c r="T34" s="106"/>
      <c r="U34" s="110"/>
      <c r="V34" s="106"/>
      <c r="W34" s="105"/>
      <c r="X34" s="111"/>
      <c r="Y34" s="112"/>
      <c r="Z34" s="112"/>
      <c r="AA34" s="111"/>
      <c r="AB34" s="111"/>
      <c r="AC34" s="111"/>
      <c r="AD34" s="112"/>
      <c r="AE34" s="111"/>
      <c r="AF34" s="111"/>
      <c r="AG34" s="111"/>
      <c r="AH34" s="112"/>
      <c r="AI34" s="111"/>
      <c r="AJ34" s="111"/>
      <c r="AK34" s="111"/>
      <c r="AL34" s="112"/>
      <c r="AN34" s="111"/>
      <c r="AO34" s="111"/>
      <c r="AP34" s="112"/>
      <c r="AT34" s="112"/>
      <c r="AX34" s="112"/>
      <c r="BB34" s="112"/>
      <c r="BF34" s="112"/>
    </row>
    <row r="35" spans="2:72">
      <c r="B35" s="311" t="s">
        <v>414</v>
      </c>
      <c r="C35" s="105"/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10"/>
      <c r="T35" s="106"/>
      <c r="U35" s="110"/>
      <c r="V35" s="106"/>
      <c r="W35" s="105"/>
      <c r="X35" s="111"/>
      <c r="Y35" s="112"/>
      <c r="Z35" s="112"/>
      <c r="AA35" s="111"/>
      <c r="AB35" s="111"/>
      <c r="AC35" s="111"/>
      <c r="AD35" s="112"/>
      <c r="AE35" s="111"/>
      <c r="AF35" s="111"/>
      <c r="AG35" s="111"/>
      <c r="AH35" s="112"/>
      <c r="AI35" s="111"/>
      <c r="AJ35" s="111"/>
      <c r="AK35" s="111"/>
      <c r="AL35" s="112"/>
      <c r="AN35" s="111"/>
      <c r="AO35" s="111"/>
      <c r="AP35" s="112"/>
      <c r="AT35" s="112"/>
      <c r="AX35" s="112"/>
      <c r="BB35" s="112"/>
      <c r="BF35" s="112"/>
    </row>
    <row r="36" spans="2:72">
      <c r="B36" s="1" t="s">
        <v>415</v>
      </c>
      <c r="C36" s="134">
        <v>9069.2340000000004</v>
      </c>
      <c r="D36" s="134">
        <v>10298.964</v>
      </c>
      <c r="E36" s="134">
        <v>11509.97</v>
      </c>
      <c r="F36" s="134">
        <v>15255.308999999999</v>
      </c>
      <c r="G36" s="134">
        <v>20657.411</v>
      </c>
      <c r="H36" s="134">
        <v>24475.896000000001</v>
      </c>
      <c r="I36" s="134">
        <v>31027.344000000001</v>
      </c>
      <c r="J36" s="134">
        <v>53109.741999999998</v>
      </c>
      <c r="K36" s="134">
        <v>105589.439</v>
      </c>
      <c r="L36" s="134">
        <v>202651.671</v>
      </c>
      <c r="M36" s="134">
        <v>197173.47</v>
      </c>
      <c r="N36" s="134">
        <v>284676.67099999997</v>
      </c>
      <c r="O36" s="134">
        <v>329738.88299999997</v>
      </c>
      <c r="P36" s="134">
        <v>431602.90600000002</v>
      </c>
      <c r="Q36" s="134">
        <v>401030.93800000002</v>
      </c>
      <c r="R36" s="134"/>
      <c r="S36" s="134">
        <v>2427.2049999999999</v>
      </c>
      <c r="T36" s="134">
        <v>2726.835</v>
      </c>
      <c r="U36" s="134">
        <v>3027.152</v>
      </c>
      <c r="V36" s="134">
        <f>E36-SUM(S36:U36)</f>
        <v>3328.7779999999993</v>
      </c>
      <c r="W36" s="134">
        <v>3362.1600000000003</v>
      </c>
      <c r="X36" s="134">
        <v>3630.0070000000001</v>
      </c>
      <c r="Y36" s="134">
        <v>4096.6009999999997</v>
      </c>
      <c r="Z36" s="135">
        <f>F36-SUM(W36:Y36)</f>
        <v>4166.5409999999993</v>
      </c>
      <c r="AA36" s="134">
        <v>3868.7040000000002</v>
      </c>
      <c r="AB36" s="134">
        <v>4720.6719999999996</v>
      </c>
      <c r="AC36" s="134">
        <v>6160.7039999999997</v>
      </c>
      <c r="AD36" s="135">
        <f>G36-AC36-AB36-AA36</f>
        <v>5907.3310000000001</v>
      </c>
      <c r="AE36" s="134">
        <v>5191.58</v>
      </c>
      <c r="AF36" s="134">
        <v>6344.5169999999998</v>
      </c>
      <c r="AG36" s="134">
        <v>6479.7969999999996</v>
      </c>
      <c r="AH36" s="135">
        <f>H36-AG36-AF36-AE36</f>
        <v>6460.0020000000022</v>
      </c>
      <c r="AI36" s="134">
        <v>5722.942</v>
      </c>
      <c r="AJ36" s="134">
        <v>5457.857</v>
      </c>
      <c r="AK36" s="134">
        <v>9358.7929999999997</v>
      </c>
      <c r="AL36" s="135">
        <f>I36-AK36-AJ36-AI36</f>
        <v>10487.752</v>
      </c>
      <c r="AM36" s="134">
        <v>9947.0220000000008</v>
      </c>
      <c r="AN36" s="134">
        <v>11148.14</v>
      </c>
      <c r="AO36" s="229">
        <v>14330.896000000001</v>
      </c>
      <c r="AP36" s="135">
        <f>J36-AO36-AN36-AM36</f>
        <v>17683.683999999997</v>
      </c>
      <c r="AQ36" s="134">
        <v>22184.888999999999</v>
      </c>
      <c r="AR36" s="134">
        <v>24615.955999999998</v>
      </c>
      <c r="AS36" s="134">
        <v>27529.062000000002</v>
      </c>
      <c r="AT36" s="135">
        <f>K36-AQ36-AR36-AS36</f>
        <v>31259.532000000003</v>
      </c>
      <c r="AU36" s="134">
        <v>30784.639999999999</v>
      </c>
      <c r="AV36" s="134">
        <v>35090.949000000001</v>
      </c>
      <c r="AW36" s="134">
        <v>44798.317999999999</v>
      </c>
      <c r="AX36" s="135">
        <f>M36-AU36-AV36-AW36</f>
        <v>86499.563000000024</v>
      </c>
      <c r="AY36" s="134">
        <v>54907.858</v>
      </c>
      <c r="AZ36" s="134">
        <f>75519.205</f>
        <v>75519.205000000002</v>
      </c>
      <c r="BA36" s="134">
        <v>81222.933000000005</v>
      </c>
      <c r="BB36" s="135">
        <f t="shared" ref="BB36:BB38" si="53">O36-AY36-AZ36-BA36</f>
        <v>118088.88699999994</v>
      </c>
      <c r="BC36" s="134">
        <v>81920.665999999997</v>
      </c>
      <c r="BD36" s="134">
        <v>88282.517000000007</v>
      </c>
      <c r="BE36" s="134">
        <v>96575.3</v>
      </c>
      <c r="BF36" s="135">
        <f t="shared" ref="BF36:BF38" si="54">Q36-BC36-BD36-BE36</f>
        <v>134252.45500000002</v>
      </c>
      <c r="BG36" s="134">
        <v>99421.739000000001</v>
      </c>
      <c r="BH36" s="134"/>
      <c r="BI36" s="134">
        <v>53388.571000000004</v>
      </c>
      <c r="BJ36" s="134">
        <v>61570.624000000003</v>
      </c>
      <c r="BK36" s="134">
        <v>71280.289999999994</v>
      </c>
      <c r="BL36" s="135">
        <f t="shared" ref="BL36:BL38" si="55">N36-SUM(BI36:BK36)</f>
        <v>98437.185999999987</v>
      </c>
      <c r="BM36" s="134">
        <v>75829.854999999996</v>
      </c>
      <c r="BN36" s="134">
        <v>101987.69</v>
      </c>
      <c r="BO36" s="134">
        <v>108265.304</v>
      </c>
      <c r="BP36" s="135">
        <f t="shared" ref="BP36:BP38" si="56">P36-SUM(BM36:BO36)</f>
        <v>145520.05700000003</v>
      </c>
      <c r="BQ36" s="134">
        <v>107205.882</v>
      </c>
      <c r="BS36" s="134">
        <v>304323.652</v>
      </c>
      <c r="BT36" s="134">
        <v>284841.201</v>
      </c>
    </row>
    <row r="37" spans="2:72">
      <c r="B37" s="1" t="s">
        <v>416</v>
      </c>
      <c r="C37" s="134">
        <v>1828.6120000000001</v>
      </c>
      <c r="D37" s="134">
        <v>1965.6420000000001</v>
      </c>
      <c r="E37" s="134">
        <v>2102.2460000000001</v>
      </c>
      <c r="F37" s="134">
        <v>2726.0210000000002</v>
      </c>
      <c r="G37" s="134">
        <v>2806.453</v>
      </c>
      <c r="H37" s="134">
        <v>3250.6060000000002</v>
      </c>
      <c r="I37" s="134">
        <v>4516.0770000000002</v>
      </c>
      <c r="J37" s="134">
        <v>5578.3029999999999</v>
      </c>
      <c r="K37" s="134">
        <v>9210.5580000000009</v>
      </c>
      <c r="L37" s="134">
        <v>17473.272000000001</v>
      </c>
      <c r="M37" s="134">
        <v>18924.272000000001</v>
      </c>
      <c r="N37" s="134">
        <v>27322.634999999998</v>
      </c>
      <c r="O37" s="134">
        <v>22155.742999999999</v>
      </c>
      <c r="P37" s="134">
        <v>29000.168000000001</v>
      </c>
      <c r="Q37" s="134">
        <v>25224.111000000001</v>
      </c>
      <c r="R37" s="134"/>
      <c r="S37" s="134">
        <v>531.74599999999998</v>
      </c>
      <c r="T37" s="134">
        <v>503.255</v>
      </c>
      <c r="U37" s="134">
        <v>472.822</v>
      </c>
      <c r="V37" s="134">
        <f>E37-SUM(S37:U37)</f>
        <v>594.42300000000023</v>
      </c>
      <c r="W37" s="134">
        <v>568.81299999999999</v>
      </c>
      <c r="X37" s="134">
        <v>595.524</v>
      </c>
      <c r="Y37" s="134">
        <v>676.67700000000002</v>
      </c>
      <c r="Z37" s="135">
        <f>F37-SUM(W37:Y37)</f>
        <v>885.00700000000006</v>
      </c>
      <c r="AA37" s="134">
        <v>632.01900000000001</v>
      </c>
      <c r="AB37" s="134">
        <v>703.50099999999998</v>
      </c>
      <c r="AC37" s="134">
        <v>662.68399999999997</v>
      </c>
      <c r="AD37" s="135">
        <f>G37-AC37-AB37-AA37</f>
        <v>808.24900000000025</v>
      </c>
      <c r="AE37" s="134">
        <v>725.47699999999998</v>
      </c>
      <c r="AF37" s="134">
        <v>759.42</v>
      </c>
      <c r="AG37" s="134">
        <v>799.20899999999995</v>
      </c>
      <c r="AH37" s="135">
        <f>H37-AG37-AF37-AE37</f>
        <v>966.50000000000034</v>
      </c>
      <c r="AI37" s="134">
        <v>980.404</v>
      </c>
      <c r="AJ37" s="134">
        <v>913.77300000000002</v>
      </c>
      <c r="AK37" s="134">
        <v>1166.4670000000001</v>
      </c>
      <c r="AL37" s="135">
        <f>I37-AK37-AJ37-AI37</f>
        <v>1455.433</v>
      </c>
      <c r="AM37" s="134">
        <v>1158.6569999999999</v>
      </c>
      <c r="AN37" s="134">
        <v>1102.8409999999999</v>
      </c>
      <c r="AO37" s="229">
        <v>1288.107</v>
      </c>
      <c r="AP37" s="135">
        <f>J37-AO37-AN37-AM37</f>
        <v>2028.6980000000001</v>
      </c>
      <c r="AQ37" s="134">
        <v>1822.33</v>
      </c>
      <c r="AR37" s="134">
        <v>1888.2919999999999</v>
      </c>
      <c r="AS37" s="134">
        <v>2126.2170000000001</v>
      </c>
      <c r="AT37" s="135">
        <f>K37-AQ37-AR37-AS37</f>
        <v>3373.7190000000014</v>
      </c>
      <c r="AU37" s="134">
        <v>2955.9349999999999</v>
      </c>
      <c r="AV37" s="134">
        <v>2796.145</v>
      </c>
      <c r="AW37" s="134">
        <v>4046.4720000000002</v>
      </c>
      <c r="AX37" s="135">
        <f t="shared" ref="AX37:AX38" si="57">M37-AU37-AV37-AW37</f>
        <v>9125.7200000000012</v>
      </c>
      <c r="AY37" s="134">
        <v>5306.2309999999998</v>
      </c>
      <c r="AZ37" s="134">
        <v>4562.9949999999999</v>
      </c>
      <c r="BA37" s="134">
        <v>4633.5839999999998</v>
      </c>
      <c r="BB37" s="135">
        <f t="shared" si="53"/>
        <v>7652.933</v>
      </c>
      <c r="BC37" s="134">
        <v>5640.0020000000004</v>
      </c>
      <c r="BD37" s="134">
        <v>5807.4359999999997</v>
      </c>
      <c r="BE37" s="134">
        <v>5859.6880000000001</v>
      </c>
      <c r="BF37" s="135">
        <f t="shared" si="54"/>
        <v>7916.9850000000006</v>
      </c>
      <c r="BG37" s="134">
        <v>5539.27</v>
      </c>
      <c r="BI37" s="134">
        <v>4931.6369999999997</v>
      </c>
      <c r="BJ37" s="134">
        <v>5187.5820000000003</v>
      </c>
      <c r="BK37" s="134">
        <v>6368.6229999999996</v>
      </c>
      <c r="BL37" s="135">
        <f t="shared" si="55"/>
        <v>10834.792999999998</v>
      </c>
      <c r="BM37" s="134">
        <v>7328.1080000000002</v>
      </c>
      <c r="BN37" s="134">
        <v>6162.2650000000003</v>
      </c>
      <c r="BO37" s="134">
        <v>6176.29</v>
      </c>
      <c r="BP37" s="135">
        <f t="shared" si="56"/>
        <v>9333.505000000001</v>
      </c>
      <c r="BQ37" s="134">
        <v>7380.8159999999998</v>
      </c>
      <c r="BS37" s="134">
        <v>21152.243999999999</v>
      </c>
      <c r="BT37" s="134">
        <v>18530.387999999999</v>
      </c>
    </row>
    <row r="38" spans="2:72">
      <c r="B38" s="1" t="s">
        <v>45</v>
      </c>
      <c r="C38" s="134">
        <v>1616.1869999999999</v>
      </c>
      <c r="D38" s="134">
        <v>1901.4939999999999</v>
      </c>
      <c r="E38" s="134">
        <v>2483.9569999999999</v>
      </c>
      <c r="F38" s="134">
        <v>2859.2829999999999</v>
      </c>
      <c r="G38" s="134">
        <v>3440.52</v>
      </c>
      <c r="H38" s="134">
        <v>4215.2709999999997</v>
      </c>
      <c r="I38" s="134">
        <v>5329.0619999999999</v>
      </c>
      <c r="J38" s="134">
        <v>9496.3919999999998</v>
      </c>
      <c r="K38" s="134">
        <v>19115.510999999999</v>
      </c>
      <c r="L38" s="134">
        <v>37047.087</v>
      </c>
      <c r="M38" s="134">
        <v>41005.997000000003</v>
      </c>
      <c r="N38" s="134">
        <v>59203.962</v>
      </c>
      <c r="O38" s="134">
        <v>76653.596999999994</v>
      </c>
      <c r="P38" s="134">
        <v>100333.68</v>
      </c>
      <c r="Q38" s="134">
        <v>97678.271999999997</v>
      </c>
      <c r="R38" s="134"/>
      <c r="S38" s="134">
        <v>568.49799999999993</v>
      </c>
      <c r="T38" s="134">
        <v>729.46600000000001</v>
      </c>
      <c r="U38" s="134">
        <v>583.26300000000003</v>
      </c>
      <c r="V38" s="134">
        <f>E38-SUM(S38:U38)</f>
        <v>602.73</v>
      </c>
      <c r="W38" s="134">
        <v>703.28099999999995</v>
      </c>
      <c r="X38" s="134">
        <v>835.54600000000005</v>
      </c>
      <c r="Y38" s="134">
        <v>666.33199999999999</v>
      </c>
      <c r="Z38" s="135">
        <f>F38-SUM(W38:Y38)</f>
        <v>654.1239999999998</v>
      </c>
      <c r="AA38" s="134">
        <v>781.495</v>
      </c>
      <c r="AB38" s="134">
        <v>1087.72</v>
      </c>
      <c r="AC38" s="134">
        <v>872.62300000000005</v>
      </c>
      <c r="AD38" s="135">
        <f>G38-AC38-AB38-AA38</f>
        <v>698.6819999999999</v>
      </c>
      <c r="AE38" s="134">
        <v>985.1</v>
      </c>
      <c r="AF38" s="134">
        <v>1323.663</v>
      </c>
      <c r="AG38" s="134">
        <v>966.94500000000005</v>
      </c>
      <c r="AH38" s="135">
        <f>H38-AG38-AF38-AE38</f>
        <v>939.56299999999953</v>
      </c>
      <c r="AI38" s="134">
        <v>1064.182</v>
      </c>
      <c r="AJ38" s="134">
        <v>1460.499</v>
      </c>
      <c r="AK38" s="134">
        <v>1412.895</v>
      </c>
      <c r="AL38" s="135">
        <f>I38-AK38-AJ38-AI38</f>
        <v>1391.4859999999996</v>
      </c>
      <c r="AM38" s="134">
        <v>1878.135</v>
      </c>
      <c r="AN38" s="134">
        <v>2283.433</v>
      </c>
      <c r="AO38" s="229">
        <v>2528.6770000000001</v>
      </c>
      <c r="AP38" s="135">
        <f>J38-AO38-AN38-AM38</f>
        <v>2806.1469999999999</v>
      </c>
      <c r="AQ38" s="134">
        <v>4157.1760000000004</v>
      </c>
      <c r="AR38" s="134">
        <v>5800.3850000000002</v>
      </c>
      <c r="AS38" s="134">
        <v>4599.3209999999999</v>
      </c>
      <c r="AT38" s="135">
        <f>K38-AQ38-AR38-AS38</f>
        <v>4558.628999999999</v>
      </c>
      <c r="AU38" s="134">
        <v>6150.8019999999997</v>
      </c>
      <c r="AV38" s="134">
        <v>9060.9480000000003</v>
      </c>
      <c r="AW38" s="134">
        <v>9373.0930000000008</v>
      </c>
      <c r="AX38" s="135">
        <f t="shared" si="57"/>
        <v>16421.154000000006</v>
      </c>
      <c r="AY38" s="134">
        <v>12051.152</v>
      </c>
      <c r="AZ38" s="134">
        <v>21502.15</v>
      </c>
      <c r="BA38" s="134">
        <v>19534.23</v>
      </c>
      <c r="BB38" s="135">
        <f t="shared" si="53"/>
        <v>23566.064999999991</v>
      </c>
      <c r="BC38" s="134">
        <v>21556.973999999998</v>
      </c>
      <c r="BD38" s="134">
        <v>27273.598999999998</v>
      </c>
      <c r="BE38" s="134">
        <v>22010.65</v>
      </c>
      <c r="BF38" s="135">
        <f t="shared" si="54"/>
        <v>26837.048999999992</v>
      </c>
      <c r="BG38" s="134">
        <v>25310.670999999998</v>
      </c>
      <c r="BI38" s="134">
        <v>10648.683999999999</v>
      </c>
      <c r="BJ38" s="134">
        <v>15813.029</v>
      </c>
      <c r="BK38" s="134">
        <v>14999.85</v>
      </c>
      <c r="BL38" s="135">
        <f t="shared" si="55"/>
        <v>17742.398999999998</v>
      </c>
      <c r="BM38" s="134">
        <v>16643.101999999999</v>
      </c>
      <c r="BN38" s="134">
        <v>29038.367999999999</v>
      </c>
      <c r="BO38" s="134">
        <v>26037.957999999999</v>
      </c>
      <c r="BP38" s="135">
        <f t="shared" si="56"/>
        <v>28614.251999999993</v>
      </c>
      <c r="BQ38" s="134">
        <v>28210.637999999999</v>
      </c>
      <c r="BS38" s="134">
        <v>76222.263999999996</v>
      </c>
      <c r="BT38" s="134">
        <v>75897.695000000007</v>
      </c>
    </row>
    <row r="39" spans="2:72">
      <c r="B39" s="5" t="s">
        <v>417</v>
      </c>
      <c r="C39" s="116">
        <f>SUM(C36:C38)</f>
        <v>12514.033000000001</v>
      </c>
      <c r="D39" s="116">
        <f t="shared" ref="D39:Z39" si="58">SUM(D36:D38)</f>
        <v>14166.1</v>
      </c>
      <c r="E39" s="116">
        <f t="shared" si="58"/>
        <v>16096.173000000001</v>
      </c>
      <c r="F39" s="116">
        <f t="shared" si="58"/>
        <v>20840.612999999998</v>
      </c>
      <c r="G39" s="116">
        <f>SUM(G36:G38)</f>
        <v>26904.384000000002</v>
      </c>
      <c r="H39" s="116">
        <f>SUM(H36:H38)</f>
        <v>31941.773000000001</v>
      </c>
      <c r="I39" s="116">
        <f>SUM(I36:I38)</f>
        <v>40872.483</v>
      </c>
      <c r="J39" s="116">
        <f>SUM(J36:J38)</f>
        <v>68184.437000000005</v>
      </c>
      <c r="K39" s="116">
        <f t="shared" ref="K39:M39" si="59">SUM(K36:K38)</f>
        <v>133915.508</v>
      </c>
      <c r="L39" s="116">
        <f>SUM(L36:L38)</f>
        <v>257172.03</v>
      </c>
      <c r="M39" s="116">
        <f t="shared" si="59"/>
        <v>257103.739</v>
      </c>
      <c r="N39" s="116">
        <f t="shared" ref="N39" si="60">SUM(N36:N38)</f>
        <v>371203.26799999998</v>
      </c>
      <c r="O39" s="116">
        <f t="shared" ref="O39:P39" si="61">SUM(O36:O38)</f>
        <v>428548.223</v>
      </c>
      <c r="P39" s="116">
        <f t="shared" si="61"/>
        <v>560936.75399999996</v>
      </c>
      <c r="Q39" s="116">
        <f t="shared" ref="Q39" si="62">SUM(Q36:Q38)</f>
        <v>523933.321</v>
      </c>
      <c r="R39" s="116"/>
      <c r="S39" s="116">
        <f t="shared" si="58"/>
        <v>3527.4490000000001</v>
      </c>
      <c r="T39" s="116">
        <f t="shared" si="58"/>
        <v>3959.556</v>
      </c>
      <c r="U39" s="116">
        <f t="shared" si="58"/>
        <v>4083.2370000000001</v>
      </c>
      <c r="V39" s="116">
        <f>E39-SUM(S39:U39)</f>
        <v>4525.9310000000005</v>
      </c>
      <c r="W39" s="116">
        <f t="shared" si="58"/>
        <v>4634.2540000000008</v>
      </c>
      <c r="X39" s="116">
        <f t="shared" si="58"/>
        <v>5061.0770000000002</v>
      </c>
      <c r="Y39" s="116">
        <f t="shared" si="58"/>
        <v>5439.61</v>
      </c>
      <c r="Z39" s="116">
        <f t="shared" si="58"/>
        <v>5705.6719999999987</v>
      </c>
      <c r="AA39" s="116">
        <f t="shared" ref="AA39:AF39" si="63">SUM(AA36:AA38)</f>
        <v>5282.2179999999998</v>
      </c>
      <c r="AB39" s="116">
        <f t="shared" si="63"/>
        <v>6511.893</v>
      </c>
      <c r="AC39" s="116">
        <f t="shared" si="63"/>
        <v>7696.0110000000004</v>
      </c>
      <c r="AD39" s="116">
        <f t="shared" si="63"/>
        <v>7414.2619999999997</v>
      </c>
      <c r="AE39" s="116">
        <f t="shared" si="63"/>
        <v>6902.1570000000002</v>
      </c>
      <c r="AF39" s="116">
        <f t="shared" si="63"/>
        <v>8427.6</v>
      </c>
      <c r="AG39" s="116">
        <f t="shared" ref="AG39:AM39" si="64">SUM(AG36:AG38)</f>
        <v>8245.9509999999991</v>
      </c>
      <c r="AH39" s="116">
        <f t="shared" si="64"/>
        <v>8366.0650000000023</v>
      </c>
      <c r="AI39" s="116">
        <f t="shared" si="64"/>
        <v>7767.5279999999993</v>
      </c>
      <c r="AJ39" s="116">
        <f t="shared" si="64"/>
        <v>7832.1289999999999</v>
      </c>
      <c r="AK39" s="116">
        <f t="shared" si="64"/>
        <v>11938.155000000001</v>
      </c>
      <c r="AL39" s="116">
        <f t="shared" si="64"/>
        <v>13334.671</v>
      </c>
      <c r="AM39" s="116">
        <f t="shared" si="64"/>
        <v>12983.814</v>
      </c>
      <c r="AN39" s="116">
        <f t="shared" ref="AN39:AT39" si="65">SUM(AN36:AN38)</f>
        <v>14534.414000000001</v>
      </c>
      <c r="AO39" s="116">
        <f t="shared" si="65"/>
        <v>18147.68</v>
      </c>
      <c r="AP39" s="116">
        <f t="shared" si="65"/>
        <v>22518.528999999999</v>
      </c>
      <c r="AQ39" s="116">
        <f t="shared" si="65"/>
        <v>28164.394999999997</v>
      </c>
      <c r="AR39" s="116">
        <f t="shared" si="65"/>
        <v>32304.633000000002</v>
      </c>
      <c r="AS39" s="116">
        <f t="shared" si="65"/>
        <v>34254.600000000006</v>
      </c>
      <c r="AT39" s="116">
        <f t="shared" si="65"/>
        <v>39191.880000000005</v>
      </c>
      <c r="AU39" s="116">
        <f t="shared" ref="AU39:AX39" si="66">SUM(AU36:AU38)</f>
        <v>39891.376999999993</v>
      </c>
      <c r="AV39" s="116">
        <f t="shared" si="66"/>
        <v>46948.042000000001</v>
      </c>
      <c r="AW39" s="116">
        <f t="shared" si="66"/>
        <v>58217.883000000002</v>
      </c>
      <c r="AX39" s="116">
        <f t="shared" si="66"/>
        <v>112046.43700000003</v>
      </c>
      <c r="AY39" s="116">
        <f t="shared" ref="AY39:BB39" si="67">SUM(AY36:AY38)</f>
        <v>72265.240999999995</v>
      </c>
      <c r="AZ39" s="116">
        <f t="shared" si="67"/>
        <v>101584.35</v>
      </c>
      <c r="BA39" s="116">
        <f t="shared" si="67"/>
        <v>105390.747</v>
      </c>
      <c r="BB39" s="116">
        <f t="shared" si="67"/>
        <v>149307.88499999995</v>
      </c>
      <c r="BC39" s="116">
        <f t="shared" ref="BC39:BF39" si="68">SUM(BC36:BC38)</f>
        <v>109117.64200000001</v>
      </c>
      <c r="BD39" s="116">
        <f t="shared" si="68"/>
        <v>121363.55200000001</v>
      </c>
      <c r="BE39" s="116">
        <f t="shared" si="68"/>
        <v>124445.63800000001</v>
      </c>
      <c r="BF39" s="116">
        <f t="shared" si="68"/>
        <v>169006.489</v>
      </c>
      <c r="BG39" s="116">
        <f t="shared" ref="BG39" si="69">SUM(BG36:BG38)</f>
        <v>130271.68000000001</v>
      </c>
      <c r="BI39" s="116">
        <f t="shared" ref="BI39:BK39" si="70">SUM(BI36:BI38)</f>
        <v>68968.892000000007</v>
      </c>
      <c r="BJ39" s="116">
        <f t="shared" si="70"/>
        <v>82571.235000000001</v>
      </c>
      <c r="BK39" s="116">
        <f t="shared" si="70"/>
        <v>92648.763000000006</v>
      </c>
      <c r="BL39" s="116">
        <f t="shared" ref="BL39:BO39" si="71">SUM(BL36:BL38)</f>
        <v>127014.378</v>
      </c>
      <c r="BM39" s="116">
        <f t="shared" si="71"/>
        <v>99801.064999999988</v>
      </c>
      <c r="BN39" s="116">
        <f t="shared" si="71"/>
        <v>137188.323</v>
      </c>
      <c r="BO39" s="116">
        <f t="shared" si="71"/>
        <v>140479.552</v>
      </c>
      <c r="BP39" s="116">
        <f t="shared" ref="BP39:BQ39" si="72">SUM(BP36:BP38)</f>
        <v>183467.81400000001</v>
      </c>
      <c r="BQ39" s="116">
        <f t="shared" si="72"/>
        <v>142797.33600000001</v>
      </c>
      <c r="BS39" s="116">
        <f t="shared" ref="BS39:BT39" si="73">SUM(BS36:BS38)</f>
        <v>401698.16000000003</v>
      </c>
      <c r="BT39" s="116">
        <f t="shared" si="73"/>
        <v>379269.28399999999</v>
      </c>
    </row>
    <row r="40" spans="2:72">
      <c r="B40" s="76" t="s">
        <v>30</v>
      </c>
      <c r="C40" s="117">
        <f>C39-Model!C7</f>
        <v>0</v>
      </c>
      <c r="D40" s="117">
        <f>D39-Model!D7</f>
        <v>0</v>
      </c>
      <c r="E40" s="117">
        <f>E39-Model!E7</f>
        <v>1.0000000002037268E-3</v>
      </c>
      <c r="F40" s="117">
        <f>F39-Model!F7</f>
        <v>0</v>
      </c>
      <c r="G40" s="117">
        <f>G39-Model!G7</f>
        <v>0</v>
      </c>
      <c r="H40" s="117">
        <f>H39-Model!H7</f>
        <v>0</v>
      </c>
      <c r="I40" s="117">
        <f>I39-Model!I7</f>
        <v>0</v>
      </c>
      <c r="J40" s="117">
        <f>J39-Model!J7</f>
        <v>0</v>
      </c>
      <c r="K40" s="117">
        <f>K39-Model!K7</f>
        <v>0</v>
      </c>
      <c r="L40" s="117">
        <f>L39-Model!L7</f>
        <v>0</v>
      </c>
      <c r="M40" s="117">
        <f>M39-Model!M7</f>
        <v>0</v>
      </c>
      <c r="N40" s="117">
        <f>N39-Model!N7</f>
        <v>0</v>
      </c>
      <c r="O40" s="117">
        <f>O39-Model!O7</f>
        <v>0</v>
      </c>
      <c r="P40" s="117">
        <f>P39-Model!P7</f>
        <v>0</v>
      </c>
      <c r="Q40" s="117">
        <f>Q39-Model!Q7</f>
        <v>0</v>
      </c>
      <c r="R40" s="117"/>
      <c r="S40" s="117">
        <f>S39-Model!T7</f>
        <v>0</v>
      </c>
      <c r="T40" s="117">
        <f>T39-Model!U7</f>
        <v>0</v>
      </c>
      <c r="U40" s="117">
        <f>U39-Model!V7</f>
        <v>-9.9999999974897946E-4</v>
      </c>
      <c r="V40" s="117">
        <f>V39-Model!W7</f>
        <v>2.0000000004074536E-3</v>
      </c>
      <c r="W40" s="117">
        <f>W39-Model!X7</f>
        <v>0</v>
      </c>
      <c r="X40" s="117">
        <f>X39-Model!Y7</f>
        <v>0</v>
      </c>
      <c r="Y40" s="117">
        <f>Y39-Model!Z7</f>
        <v>0</v>
      </c>
      <c r="Z40" s="117">
        <f>Z39-Model!AA7</f>
        <v>0</v>
      </c>
      <c r="AA40" s="117">
        <f>AA39-Model!AB7</f>
        <v>0</v>
      </c>
      <c r="AB40" s="117">
        <f>AB39-Model!AC7</f>
        <v>0</v>
      </c>
      <c r="AC40" s="117">
        <f>AC39-Model!AD7</f>
        <v>0</v>
      </c>
      <c r="AD40" s="117">
        <f>AD39-Model!AE7</f>
        <v>0</v>
      </c>
      <c r="AE40" s="117">
        <f>AE39-Model!AF7</f>
        <v>0</v>
      </c>
      <c r="AF40" s="117">
        <f>AF39-Model!AG7</f>
        <v>0</v>
      </c>
      <c r="AG40" s="117">
        <f>AG39-Model!AH7</f>
        <v>0</v>
      </c>
      <c r="AH40" s="117">
        <f>AH39-Model!AI7</f>
        <v>0</v>
      </c>
      <c r="AI40" s="117">
        <f>AI39-Model!AJ7</f>
        <v>0</v>
      </c>
      <c r="AJ40" s="117">
        <f>AJ39-Model!AK7</f>
        <v>0</v>
      </c>
      <c r="AK40" s="117">
        <f>AK39-Model!AL7</f>
        <v>0</v>
      </c>
      <c r="AL40" s="117">
        <f>AL39-Model!AM7</f>
        <v>0</v>
      </c>
      <c r="AM40" s="117">
        <f>AM39-Model!AN7</f>
        <v>0</v>
      </c>
      <c r="AN40" s="117">
        <f>AN39-Model!AO7</f>
        <v>0</v>
      </c>
      <c r="AO40" s="117">
        <f>AO39-[33]Model!AH6</f>
        <v>0</v>
      </c>
      <c r="AP40" s="117">
        <f>AP39-Model!AQ7</f>
        <v>0</v>
      </c>
      <c r="AQ40" s="117">
        <f>AQ39-Model!AR7</f>
        <v>0</v>
      </c>
      <c r="AR40" s="117">
        <f>AR39-Model!AS7</f>
        <v>0</v>
      </c>
      <c r="AS40" s="117">
        <f>AS39-Model!AT7</f>
        <v>0</v>
      </c>
      <c r="AT40" s="117">
        <f>AT39-Model!AU7</f>
        <v>0</v>
      </c>
      <c r="AU40" s="117">
        <f>AU39-Model!AV7</f>
        <v>0</v>
      </c>
      <c r="AV40" s="117">
        <f>AV39-Model!AW7</f>
        <v>0</v>
      </c>
      <c r="AW40" s="117">
        <f>AW39-Model!AX7</f>
        <v>0</v>
      </c>
      <c r="AX40" s="117">
        <f>AX39-Model!AY7</f>
        <v>0</v>
      </c>
      <c r="AY40" s="117">
        <f>AY39-Model!AZ7</f>
        <v>0</v>
      </c>
      <c r="AZ40" s="117">
        <f>AZ39-Model!BA7</f>
        <v>0</v>
      </c>
      <c r="BA40" s="117">
        <f>BA39-Model!BB7</f>
        <v>0</v>
      </c>
      <c r="BB40" s="117">
        <f>BB39-Model!BC7</f>
        <v>0</v>
      </c>
      <c r="BC40" s="117">
        <f>BC39-Model!BD7</f>
        <v>0</v>
      </c>
      <c r="BD40" s="117">
        <f>BD39-Model!BE7</f>
        <v>0</v>
      </c>
      <c r="BE40" s="117">
        <f>BE39-Model!BF7</f>
        <v>0</v>
      </c>
      <c r="BF40" s="117">
        <f>BF39-Model!BG7</f>
        <v>0</v>
      </c>
      <c r="BG40" s="117">
        <f>BG39-Model!BH7</f>
        <v>0</v>
      </c>
      <c r="BI40" s="117">
        <f>BI39-Model!BJ7</f>
        <v>0</v>
      </c>
      <c r="BJ40" s="117">
        <f>BJ39-Model!BK7</f>
        <v>0</v>
      </c>
      <c r="BK40" s="117">
        <f>BK39-Model!BL7</f>
        <v>0</v>
      </c>
      <c r="BL40" s="117">
        <f>BL39-Model!BM7</f>
        <v>0</v>
      </c>
      <c r="BM40" s="117">
        <f>BM39-Model!BN7</f>
        <v>0</v>
      </c>
      <c r="BN40" s="117">
        <f>BN39-Model!BO7</f>
        <v>0</v>
      </c>
      <c r="BO40" s="117">
        <f>BO39-Model!BP7</f>
        <v>0</v>
      </c>
      <c r="BP40" s="117">
        <f>BP39-Model!BQ7</f>
        <v>0</v>
      </c>
      <c r="BQ40" s="117">
        <f>BQ39-Model!BR7</f>
        <v>0</v>
      </c>
      <c r="BS40" s="117">
        <f>BS39-Model!BT7</f>
        <v>0</v>
      </c>
      <c r="BT40" s="117">
        <f>BT39-Model!BU7</f>
        <v>0</v>
      </c>
    </row>
    <row r="41" spans="2:72">
      <c r="B41" s="5"/>
      <c r="C41" s="105"/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110"/>
      <c r="T41" s="106"/>
      <c r="U41" s="110"/>
      <c r="V41" s="106"/>
      <c r="W41" s="105"/>
      <c r="X41" s="111"/>
      <c r="Y41" s="112"/>
      <c r="Z41" s="112"/>
      <c r="AA41" s="111"/>
      <c r="AB41" s="111"/>
      <c r="AC41" s="111"/>
      <c r="AD41" s="112"/>
      <c r="AE41" s="111"/>
      <c r="AF41" s="111"/>
      <c r="AG41" s="111"/>
      <c r="AH41" s="112"/>
      <c r="AI41" s="111"/>
      <c r="AJ41" s="111"/>
      <c r="AK41" s="111"/>
      <c r="AL41" s="112"/>
      <c r="AN41" s="111"/>
      <c r="AO41" s="111"/>
      <c r="AP41" s="112"/>
      <c r="AT41" s="112"/>
      <c r="AX41" s="112"/>
      <c r="BB41" s="112"/>
      <c r="BF41" s="112"/>
    </row>
    <row r="42" spans="2:72">
      <c r="B42" s="140" t="s">
        <v>418</v>
      </c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10"/>
      <c r="T42" s="106"/>
      <c r="U42" s="110"/>
      <c r="V42" s="106"/>
      <c r="W42" s="105"/>
      <c r="X42" s="111"/>
      <c r="Y42" s="112"/>
      <c r="Z42" s="112"/>
      <c r="AA42" s="111"/>
      <c r="AB42" s="111"/>
      <c r="AC42" s="111"/>
      <c r="AD42" s="112"/>
      <c r="AE42" s="111"/>
      <c r="AF42" s="111"/>
      <c r="AG42" s="111"/>
      <c r="AH42" s="112"/>
      <c r="AI42" s="111"/>
      <c r="AJ42" s="111"/>
      <c r="AK42" s="111"/>
      <c r="AL42" s="112"/>
      <c r="AN42" s="111"/>
      <c r="AO42" s="111"/>
      <c r="AP42" s="112"/>
      <c r="AT42" s="112"/>
      <c r="AX42" s="112"/>
      <c r="BB42" s="112"/>
      <c r="BF42" s="112"/>
    </row>
    <row r="43" spans="2:72">
      <c r="B43" s="1" t="str">
        <f>B36</f>
        <v>White Goods</v>
      </c>
      <c r="C43" s="105"/>
      <c r="D43" s="137">
        <f t="shared" ref="D43:J46" si="74">D36/C36-1</f>
        <v>0.1355935903737846</v>
      </c>
      <c r="E43" s="137">
        <f t="shared" si="74"/>
        <v>0.11758522507700775</v>
      </c>
      <c r="F43" s="137">
        <f t="shared" si="74"/>
        <v>0.32539954491627698</v>
      </c>
      <c r="G43" s="137">
        <f t="shared" si="74"/>
        <v>0.35411291898446629</v>
      </c>
      <c r="H43" s="137">
        <f t="shared" si="74"/>
        <v>0.18484818838139971</v>
      </c>
      <c r="I43" s="137">
        <f t="shared" si="74"/>
        <v>0.26766938378885086</v>
      </c>
      <c r="J43" s="137">
        <f t="shared" si="74"/>
        <v>0.71170764729330349</v>
      </c>
      <c r="K43" s="137">
        <f>K36/J36-1</f>
        <v>0.98813692222417493</v>
      </c>
      <c r="L43" s="255"/>
      <c r="M43" s="137">
        <f>M36/L36-1</f>
        <v>-2.7032597229361133E-2</v>
      </c>
      <c r="N43" s="137">
        <f>N36/L36-1</f>
        <v>0.40475856722642067</v>
      </c>
      <c r="O43" s="137">
        <f>O36/N36-1</f>
        <v>0.15829260557848812</v>
      </c>
      <c r="P43" s="137">
        <f>P36/N36-1</f>
        <v>0.51611617658687625</v>
      </c>
      <c r="Q43" s="137">
        <f>Q36/P36-1</f>
        <v>-7.0833554582229841E-2</v>
      </c>
      <c r="R43" s="137"/>
      <c r="S43" s="110"/>
      <c r="T43" s="106"/>
      <c r="U43" s="110"/>
      <c r="V43" s="106"/>
      <c r="W43" s="137">
        <f t="shared" ref="W43:AD46" si="75">W36/S36-1</f>
        <v>0.3851982012232178</v>
      </c>
      <c r="X43" s="137">
        <f t="shared" si="75"/>
        <v>0.33121622687107943</v>
      </c>
      <c r="Y43" s="137">
        <f t="shared" si="75"/>
        <v>0.35328553042595789</v>
      </c>
      <c r="Z43" s="137">
        <f t="shared" si="75"/>
        <v>0.25167283609781133</v>
      </c>
      <c r="AA43" s="137">
        <f t="shared" si="75"/>
        <v>0.15066028981369106</v>
      </c>
      <c r="AB43" s="137">
        <f t="shared" si="75"/>
        <v>0.30045809829016834</v>
      </c>
      <c r="AC43" s="137">
        <f>AC36/Y36-1</f>
        <v>0.50385746622626915</v>
      </c>
      <c r="AD43" s="137">
        <f t="shared" si="75"/>
        <v>0.41780220091437981</v>
      </c>
      <c r="AE43" s="137">
        <f t="shared" ref="AE43:AW46" si="76">AE36/AA36-1</f>
        <v>0.34194293489499317</v>
      </c>
      <c r="AF43" s="137">
        <f t="shared" si="76"/>
        <v>0.34398598335152286</v>
      </c>
      <c r="AG43" s="137">
        <f t="shared" si="76"/>
        <v>5.1794892272051918E-2</v>
      </c>
      <c r="AH43" s="137">
        <f t="shared" si="76"/>
        <v>9.3556802556010732E-2</v>
      </c>
      <c r="AI43" s="137">
        <f t="shared" si="76"/>
        <v>0.10235072945037937</v>
      </c>
      <c r="AJ43" s="137">
        <f t="shared" si="76"/>
        <v>-0.13975216710744098</v>
      </c>
      <c r="AK43" s="137">
        <f t="shared" si="76"/>
        <v>0.4443034249375406</v>
      </c>
      <c r="AL43" s="137">
        <f t="shared" si="76"/>
        <v>0.62349051904318253</v>
      </c>
      <c r="AM43" s="137">
        <f t="shared" si="76"/>
        <v>0.73809589543280385</v>
      </c>
      <c r="AN43" s="137">
        <f t="shared" si="76"/>
        <v>1.042585578918612</v>
      </c>
      <c r="AO43" s="230">
        <f t="shared" si="76"/>
        <v>0.53127609511183782</v>
      </c>
      <c r="AP43" s="137">
        <f t="shared" si="76"/>
        <v>0.68612720819485395</v>
      </c>
      <c r="AQ43" s="137">
        <f t="shared" si="76"/>
        <v>1.2303046077509427</v>
      </c>
      <c r="AR43" s="137">
        <f t="shared" si="76"/>
        <v>1.2080774012525857</v>
      </c>
      <c r="AS43" s="137">
        <f t="shared" si="76"/>
        <v>0.92095888491550015</v>
      </c>
      <c r="AT43" s="137">
        <f t="shared" ref="AT43:AT46" si="77">AT36/AP36-1</f>
        <v>0.76770473844703435</v>
      </c>
      <c r="AU43" s="137">
        <f t="shared" si="76"/>
        <v>0.38764002830935951</v>
      </c>
      <c r="AV43" s="137">
        <f t="shared" si="76"/>
        <v>0.42553671285405303</v>
      </c>
      <c r="AW43" s="137">
        <f t="shared" si="76"/>
        <v>0.62731000424206229</v>
      </c>
      <c r="AX43" s="137">
        <f t="shared" ref="AX43:AX46" si="78">AX36/AT36-1</f>
        <v>1.7671419712873506</v>
      </c>
      <c r="AY43" s="137">
        <f t="shared" ref="AY43:BG43" si="79">AY36/BI36-1</f>
        <v>2.8457157993608817E-2</v>
      </c>
      <c r="AZ43" s="137">
        <f t="shared" si="79"/>
        <v>0.22654603922805783</v>
      </c>
      <c r="BA43" s="137">
        <f t="shared" si="79"/>
        <v>0.13948656774544554</v>
      </c>
      <c r="BB43" s="137">
        <f t="shared" si="79"/>
        <v>0.19963696442927525</v>
      </c>
      <c r="BC43" s="137">
        <f t="shared" si="79"/>
        <v>8.0322071036533105E-2</v>
      </c>
      <c r="BD43" s="137">
        <f t="shared" si="79"/>
        <v>-0.13438065907758079</v>
      </c>
      <c r="BE43" s="137">
        <f t="shared" si="79"/>
        <v>-0.10797553387925651</v>
      </c>
      <c r="BF43" s="137">
        <f t="shared" si="79"/>
        <v>-7.742988995668143E-2</v>
      </c>
      <c r="BG43" s="137">
        <f t="shared" si="79"/>
        <v>-7.2609290225325474E-2</v>
      </c>
      <c r="BI43" s="137">
        <f t="shared" ref="BI43:BL46" si="80">BI36/AQ36-1</f>
        <v>1.406528651101207</v>
      </c>
      <c r="BJ43" s="137">
        <f t="shared" si="80"/>
        <v>1.5012485397682709</v>
      </c>
      <c r="BK43" s="137">
        <f t="shared" si="80"/>
        <v>1.5892742004794784</v>
      </c>
      <c r="BL43" s="137">
        <f t="shared" si="80"/>
        <v>2.1490294224494462</v>
      </c>
      <c r="BM43" s="137">
        <f>BM36/BI36-1</f>
        <v>0.42033872755275636</v>
      </c>
      <c r="BN43" s="137">
        <f>BN36/AV36-1</f>
        <v>1.9063816427421214</v>
      </c>
      <c r="BO43" s="137">
        <f>BO36/BK36-1</f>
        <v>0.51886733345220692</v>
      </c>
      <c r="BP43" s="137">
        <f>BP36/BL36-1</f>
        <v>0.47830370730020721</v>
      </c>
      <c r="BQ43" s="137">
        <f>BQ36/BM36-1</f>
        <v>0.41376878539461814</v>
      </c>
      <c r="BS43" s="255"/>
      <c r="BT43" s="137">
        <f>BT36/BS36-1</f>
        <v>-6.4018852534012072E-2</v>
      </c>
    </row>
    <row r="44" spans="2:72">
      <c r="B44" s="1" t="str">
        <f>B37</f>
        <v>Consumer Electronics</v>
      </c>
      <c r="C44" s="105"/>
      <c r="D44" s="137">
        <f t="shared" si="74"/>
        <v>7.4936618593774984E-2</v>
      </c>
      <c r="E44" s="137">
        <f t="shared" si="74"/>
        <v>6.949586954287712E-2</v>
      </c>
      <c r="F44" s="137">
        <f t="shared" si="74"/>
        <v>0.29671836692756237</v>
      </c>
      <c r="G44" s="137">
        <f t="shared" si="74"/>
        <v>2.9505275271173526E-2</v>
      </c>
      <c r="H44" s="137">
        <f t="shared" si="74"/>
        <v>0.15826133557198374</v>
      </c>
      <c r="I44" s="137">
        <f t="shared" si="74"/>
        <v>0.38930310225231857</v>
      </c>
      <c r="J44" s="137">
        <f t="shared" si="74"/>
        <v>0.23520989566829775</v>
      </c>
      <c r="K44" s="137">
        <f>K37/J37-1</f>
        <v>0.65113978211653278</v>
      </c>
      <c r="L44" s="255"/>
      <c r="M44" s="137">
        <f>M37/L37-1</f>
        <v>8.3041115596437898E-2</v>
      </c>
      <c r="N44" s="137">
        <f t="shared" ref="N44:N46" si="81">N37/L37-1</f>
        <v>0.563681661911976</v>
      </c>
      <c r="O44" s="137">
        <f t="shared" ref="O44:Q46" si="82">O37/N37-1</f>
        <v>-0.18910665095075929</v>
      </c>
      <c r="P44" s="137">
        <f t="shared" ref="P44:P46" si="83">P37/N37-1</f>
        <v>6.1397189546323228E-2</v>
      </c>
      <c r="Q44" s="137">
        <f t="shared" si="82"/>
        <v>-0.13020810775992753</v>
      </c>
      <c r="R44" s="137"/>
      <c r="S44" s="110"/>
      <c r="T44" s="106"/>
      <c r="U44" s="110"/>
      <c r="V44" s="106"/>
      <c r="W44" s="137">
        <f t="shared" si="75"/>
        <v>6.9708093713916064E-2</v>
      </c>
      <c r="X44" s="137">
        <f t="shared" si="75"/>
        <v>0.18334442777518367</v>
      </c>
      <c r="Y44" s="137">
        <f t="shared" si="75"/>
        <v>0.43114533587692616</v>
      </c>
      <c r="Z44" s="137">
        <f t="shared" si="75"/>
        <v>0.48885053236499876</v>
      </c>
      <c r="AA44" s="137">
        <f t="shared" si="75"/>
        <v>0.11111911999198343</v>
      </c>
      <c r="AB44" s="137">
        <f t="shared" si="75"/>
        <v>0.18131427112929122</v>
      </c>
      <c r="AC44" s="137">
        <f>AC37/Y37-1</f>
        <v>-2.0678994557226105E-2</v>
      </c>
      <c r="AD44" s="137">
        <f t="shared" si="75"/>
        <v>-8.6731517377828471E-2</v>
      </c>
      <c r="AE44" s="137">
        <f t="shared" si="76"/>
        <v>0.14787213675538236</v>
      </c>
      <c r="AF44" s="137">
        <f t="shared" si="76"/>
        <v>7.9486738469454865E-2</v>
      </c>
      <c r="AG44" s="137">
        <f t="shared" si="76"/>
        <v>0.20601825304368293</v>
      </c>
      <c r="AH44" s="137">
        <f t="shared" si="76"/>
        <v>0.19579486024727544</v>
      </c>
      <c r="AI44" s="137">
        <f t="shared" si="76"/>
        <v>0.35139225640509619</v>
      </c>
      <c r="AJ44" s="137">
        <f t="shared" si="76"/>
        <v>0.20325116536304022</v>
      </c>
      <c r="AK44" s="137">
        <f t="shared" si="76"/>
        <v>0.45952685718003705</v>
      </c>
      <c r="AL44" s="137">
        <f t="shared" si="76"/>
        <v>0.50587997930677653</v>
      </c>
      <c r="AM44" s="137">
        <f t="shared" si="76"/>
        <v>0.18181586366436697</v>
      </c>
      <c r="AN44" s="137">
        <f t="shared" si="76"/>
        <v>0.20690915577501179</v>
      </c>
      <c r="AO44" s="230">
        <f t="shared" si="76"/>
        <v>0.10428070404049139</v>
      </c>
      <c r="AP44" s="137">
        <f t="shared" si="76"/>
        <v>0.39387934724580242</v>
      </c>
      <c r="AQ44" s="137">
        <f t="shared" si="76"/>
        <v>0.57279505496449779</v>
      </c>
      <c r="AR44" s="137">
        <f t="shared" si="76"/>
        <v>0.71220692738119107</v>
      </c>
      <c r="AS44" s="137">
        <f t="shared" si="76"/>
        <v>0.65065246908835994</v>
      </c>
      <c r="AT44" s="137">
        <f t="shared" si="77"/>
        <v>0.66299715383955693</v>
      </c>
      <c r="AU44" s="137">
        <f t="shared" si="76"/>
        <v>0.62206351209715049</v>
      </c>
      <c r="AV44" s="137">
        <f t="shared" si="76"/>
        <v>0.48077998529888388</v>
      </c>
      <c r="AW44" s="137">
        <f t="shared" si="76"/>
        <v>0.90313218265115935</v>
      </c>
      <c r="AX44" s="137">
        <f t="shared" si="78"/>
        <v>1.7049437134509415</v>
      </c>
      <c r="AY44" s="137">
        <f t="shared" ref="AY44:BB46" si="84">AY37/BI37-1</f>
        <v>7.595733424824247E-2</v>
      </c>
      <c r="AZ44" s="137">
        <f t="shared" si="84"/>
        <v>-0.12040041005616886</v>
      </c>
      <c r="BA44" s="137">
        <f t="shared" si="84"/>
        <v>-0.27243550136348149</v>
      </c>
      <c r="BB44" s="137">
        <f t="shared" si="84"/>
        <v>-0.29367058512331512</v>
      </c>
      <c r="BC44" s="137">
        <f t="shared" ref="BC44:BC46" si="85">BC37/BM37-1</f>
        <v>-0.23036041499388382</v>
      </c>
      <c r="BD44" s="137">
        <f t="shared" ref="BD44:BD46" si="86">BD37/BN37-1</f>
        <v>-5.7580938177764329E-2</v>
      </c>
      <c r="BE44" s="137">
        <f t="shared" ref="BE44:BE46" si="87">BE37/BO37-1</f>
        <v>-5.1260870198776232E-2</v>
      </c>
      <c r="BF44" s="137">
        <f t="shared" ref="BF44:BF46" si="88">BF37/BP37-1</f>
        <v>-0.15176720856741388</v>
      </c>
      <c r="BG44" s="137">
        <f t="shared" ref="BG44:BG46" si="89">BG37/BQ37-1</f>
        <v>-0.24950439084242171</v>
      </c>
      <c r="BI44" s="137">
        <f t="shared" si="80"/>
        <v>1.7062260951638835</v>
      </c>
      <c r="BJ44" s="137">
        <f t="shared" si="80"/>
        <v>1.7472350674577877</v>
      </c>
      <c r="BK44" s="137">
        <f t="shared" si="80"/>
        <v>1.9952836422622897</v>
      </c>
      <c r="BL44" s="137">
        <f t="shared" si="80"/>
        <v>2.211527990327586</v>
      </c>
      <c r="BM44" s="137">
        <f t="shared" ref="BM44:BM46" si="90">BM37/BI37-1</f>
        <v>0.48593823916886025</v>
      </c>
      <c r="BN44" s="137">
        <f>BN37/AV37-1</f>
        <v>1.2038431483345824</v>
      </c>
      <c r="BO44" s="137">
        <f t="shared" ref="BO44:BO46" si="91">BO37/BK37-1</f>
        <v>-3.0200091919399208E-2</v>
      </c>
      <c r="BP44" s="137">
        <f t="shared" ref="BP44:BQ46" si="92">BP37/BL37-1</f>
        <v>-0.13856176117070229</v>
      </c>
      <c r="BQ44" s="137">
        <f t="shared" si="92"/>
        <v>7.1925795853444718E-3</v>
      </c>
      <c r="BS44" s="255"/>
      <c r="BT44" s="137">
        <f t="shared" ref="BT44:BT45" si="93">BT37/BS37-1</f>
        <v>-0.12395167151059716</v>
      </c>
    </row>
    <row r="45" spans="2:72">
      <c r="B45" s="1" t="s">
        <v>45</v>
      </c>
      <c r="C45" s="105"/>
      <c r="D45" s="137">
        <f t="shared" si="74"/>
        <v>0.1765309336110239</v>
      </c>
      <c r="E45" s="137">
        <f t="shared" si="74"/>
        <v>0.30631861052414577</v>
      </c>
      <c r="F45" s="137">
        <f t="shared" si="74"/>
        <v>0.1511000391713706</v>
      </c>
      <c r="G45" s="137">
        <f t="shared" si="74"/>
        <v>0.2032806826046949</v>
      </c>
      <c r="H45" s="137">
        <f t="shared" si="74"/>
        <v>0.22518427447013822</v>
      </c>
      <c r="I45" s="137">
        <f t="shared" si="74"/>
        <v>0.26422761430996977</v>
      </c>
      <c r="J45" s="137">
        <f t="shared" si="74"/>
        <v>0.78200065977839994</v>
      </c>
      <c r="K45" s="137">
        <f>K38/J38-1</f>
        <v>1.0129235398033272</v>
      </c>
      <c r="L45" s="255"/>
      <c r="M45" s="137">
        <f>M38/L38-1</f>
        <v>0.10686157321896861</v>
      </c>
      <c r="N45" s="137">
        <f t="shared" si="81"/>
        <v>0.59807333839769905</v>
      </c>
      <c r="O45" s="137">
        <f t="shared" si="82"/>
        <v>0.29473762245844282</v>
      </c>
      <c r="P45" s="137">
        <f t="shared" si="83"/>
        <v>0.69471225591287267</v>
      </c>
      <c r="Q45" s="137">
        <f t="shared" si="82"/>
        <v>-2.6465769021927543E-2</v>
      </c>
      <c r="R45" s="137"/>
      <c r="S45" s="110"/>
      <c r="T45" s="106"/>
      <c r="U45" s="110"/>
      <c r="V45" s="106"/>
      <c r="W45" s="137">
        <f t="shared" si="75"/>
        <v>0.23708614630130631</v>
      </c>
      <c r="X45" s="137">
        <f t="shared" si="75"/>
        <v>0.14542144527640777</v>
      </c>
      <c r="Y45" s="137">
        <f t="shared" si="75"/>
        <v>0.14242117192415771</v>
      </c>
      <c r="Z45" s="137">
        <f t="shared" si="75"/>
        <v>8.526869410847282E-2</v>
      </c>
      <c r="AA45" s="137">
        <f t="shared" si="75"/>
        <v>0.11121301442808784</v>
      </c>
      <c r="AB45" s="137">
        <f t="shared" si="75"/>
        <v>0.3018074408829674</v>
      </c>
      <c r="AC45" s="137">
        <f>AC38/Y38-1</f>
        <v>0.30959191514140105</v>
      </c>
      <c r="AD45" s="137">
        <f t="shared" si="75"/>
        <v>6.8118583020956525E-2</v>
      </c>
      <c r="AE45" s="137">
        <f t="shared" si="76"/>
        <v>0.2605326969462376</v>
      </c>
      <c r="AF45" s="137">
        <f t="shared" si="76"/>
        <v>0.21691519876438781</v>
      </c>
      <c r="AG45" s="137">
        <f t="shared" si="76"/>
        <v>0.10809020619442755</v>
      </c>
      <c r="AH45" s="137">
        <f t="shared" si="76"/>
        <v>0.34476485725981165</v>
      </c>
      <c r="AI45" s="137">
        <f t="shared" si="76"/>
        <v>8.0278144350827363E-2</v>
      </c>
      <c r="AJ45" s="137">
        <f t="shared" si="76"/>
        <v>0.1033767658384348</v>
      </c>
      <c r="AK45" s="137">
        <f t="shared" si="76"/>
        <v>0.46119479391278717</v>
      </c>
      <c r="AL45" s="137">
        <f t="shared" si="76"/>
        <v>0.48099275939984909</v>
      </c>
      <c r="AM45" s="137">
        <f t="shared" si="76"/>
        <v>0.76486258929393647</v>
      </c>
      <c r="AN45" s="137">
        <f t="shared" si="76"/>
        <v>0.56346084454696643</v>
      </c>
      <c r="AO45" s="230">
        <f t="shared" si="76"/>
        <v>0.7897133191072232</v>
      </c>
      <c r="AP45" s="137">
        <f t="shared" si="76"/>
        <v>1.0166548567502658</v>
      </c>
      <c r="AQ45" s="137">
        <f t="shared" si="76"/>
        <v>1.2134596288339234</v>
      </c>
      <c r="AR45" s="137">
        <f t="shared" si="76"/>
        <v>1.5402037195748681</v>
      </c>
      <c r="AS45" s="137">
        <f t="shared" si="76"/>
        <v>0.81886456830983145</v>
      </c>
      <c r="AT45" s="137">
        <f t="shared" si="77"/>
        <v>0.62451539423985958</v>
      </c>
      <c r="AU45" s="137">
        <f t="shared" si="76"/>
        <v>0.47956256843588019</v>
      </c>
      <c r="AV45" s="137">
        <f t="shared" si="76"/>
        <v>0.56212872076594911</v>
      </c>
      <c r="AW45" s="137">
        <f t="shared" si="76"/>
        <v>1.0379297291926353</v>
      </c>
      <c r="AX45" s="137">
        <f t="shared" si="78"/>
        <v>2.6022132970241731</v>
      </c>
      <c r="AY45" s="137">
        <f t="shared" si="84"/>
        <v>0.13170341048715506</v>
      </c>
      <c r="AZ45" s="137">
        <f t="shared" si="84"/>
        <v>0.35977427221565206</v>
      </c>
      <c r="BA45" s="137">
        <f t="shared" si="84"/>
        <v>0.30229502295022948</v>
      </c>
      <c r="BB45" s="137">
        <f t="shared" si="84"/>
        <v>0.3282344174539189</v>
      </c>
      <c r="BC45" s="137">
        <f t="shared" si="85"/>
        <v>0.2952497677416146</v>
      </c>
      <c r="BD45" s="137">
        <f t="shared" si="86"/>
        <v>-6.0773697750507227E-2</v>
      </c>
      <c r="BE45" s="137">
        <f t="shared" si="87"/>
        <v>-0.15467065428095383</v>
      </c>
      <c r="BF45" s="137">
        <f t="shared" si="88"/>
        <v>-6.210901476648778E-2</v>
      </c>
      <c r="BG45" s="137">
        <f t="shared" si="89"/>
        <v>-0.10279693071812135</v>
      </c>
      <c r="BI45" s="137">
        <f t="shared" si="80"/>
        <v>1.5615186847994886</v>
      </c>
      <c r="BJ45" s="137">
        <f t="shared" si="80"/>
        <v>1.7262033468468041</v>
      </c>
      <c r="BK45" s="137">
        <f t="shared" si="80"/>
        <v>2.2613183554702969</v>
      </c>
      <c r="BL45" s="137">
        <f t="shared" si="80"/>
        <v>2.892047148386061</v>
      </c>
      <c r="BM45" s="137">
        <f t="shared" si="90"/>
        <v>0.56292570988114599</v>
      </c>
      <c r="BN45" s="137">
        <f>BN38/AV38-1</f>
        <v>2.2047825459322796</v>
      </c>
      <c r="BO45" s="137">
        <f t="shared" si="91"/>
        <v>0.73588122547892132</v>
      </c>
      <c r="BP45" s="137">
        <f t="shared" si="92"/>
        <v>0.61276116042706485</v>
      </c>
      <c r="BQ45" s="137">
        <f t="shared" si="92"/>
        <v>0.69503485588203451</v>
      </c>
      <c r="BS45" s="255"/>
      <c r="BT45" s="137">
        <f t="shared" si="93"/>
        <v>-4.2581915436149531E-3</v>
      </c>
    </row>
    <row r="46" spans="2:72" s="50" customFormat="1">
      <c r="B46" s="133" t="s">
        <v>412</v>
      </c>
      <c r="C46" s="107"/>
      <c r="D46" s="138">
        <f t="shared" si="74"/>
        <v>0.13201715226418198</v>
      </c>
      <c r="E46" s="138">
        <f t="shared" si="74"/>
        <v>0.13624589689469935</v>
      </c>
      <c r="F46" s="138">
        <f t="shared" si="74"/>
        <v>0.29475577828344646</v>
      </c>
      <c r="G46" s="138">
        <f t="shared" si="74"/>
        <v>0.29095933982364164</v>
      </c>
      <c r="H46" s="138">
        <f t="shared" si="74"/>
        <v>0.18723301748889698</v>
      </c>
      <c r="I46" s="138">
        <f t="shared" si="74"/>
        <v>0.27959343396498371</v>
      </c>
      <c r="J46" s="138">
        <f t="shared" si="74"/>
        <v>0.6682235087112276</v>
      </c>
      <c r="K46" s="138">
        <f>K39/J39-1</f>
        <v>0.96401868068515384</v>
      </c>
      <c r="L46" s="256"/>
      <c r="M46" s="138">
        <f>M39/L39-1</f>
        <v>-2.655459849191244E-4</v>
      </c>
      <c r="N46" s="138">
        <f t="shared" si="81"/>
        <v>0.44340451020276195</v>
      </c>
      <c r="O46" s="138">
        <f t="shared" si="82"/>
        <v>0.15448397129952007</v>
      </c>
      <c r="P46" s="138">
        <f t="shared" si="83"/>
        <v>0.51113096881463882</v>
      </c>
      <c r="Q46" s="138">
        <f t="shared" si="82"/>
        <v>-6.5967210627813411E-2</v>
      </c>
      <c r="R46" s="138"/>
      <c r="S46" s="139"/>
      <c r="T46" s="113"/>
      <c r="U46" s="139"/>
      <c r="V46" s="113"/>
      <c r="W46" s="138">
        <f t="shared" si="75"/>
        <v>0.31376924230513348</v>
      </c>
      <c r="X46" s="138">
        <f t="shared" si="75"/>
        <v>0.27819306002996291</v>
      </c>
      <c r="Y46" s="138">
        <f t="shared" si="75"/>
        <v>0.33218081634742225</v>
      </c>
      <c r="Z46" s="138">
        <f t="shared" si="75"/>
        <v>0.26066261284142378</v>
      </c>
      <c r="AA46" s="138">
        <f t="shared" si="75"/>
        <v>0.13982056227388462</v>
      </c>
      <c r="AB46" s="138">
        <f t="shared" si="75"/>
        <v>0.28666151493051761</v>
      </c>
      <c r="AC46" s="138">
        <f>AC39/Y39-1</f>
        <v>0.41480933375738349</v>
      </c>
      <c r="AD46" s="138">
        <f t="shared" si="75"/>
        <v>0.29945464793629939</v>
      </c>
      <c r="AE46" s="138">
        <f t="shared" si="76"/>
        <v>0.30667780087834329</v>
      </c>
      <c r="AF46" s="138">
        <f t="shared" si="76"/>
        <v>0.29418588419680725</v>
      </c>
      <c r="AG46" s="138">
        <f t="shared" si="76"/>
        <v>7.1457798072273926E-2</v>
      </c>
      <c r="AH46" s="138">
        <f t="shared" si="76"/>
        <v>0.12837461098623204</v>
      </c>
      <c r="AI46" s="138">
        <f t="shared" si="76"/>
        <v>0.12537689304952049</v>
      </c>
      <c r="AJ46" s="138">
        <f t="shared" si="76"/>
        <v>-7.0657245241824485E-2</v>
      </c>
      <c r="AK46" s="138">
        <f t="shared" si="76"/>
        <v>0.44775963378875305</v>
      </c>
      <c r="AL46" s="138">
        <f t="shared" si="76"/>
        <v>0.59389999958164275</v>
      </c>
      <c r="AM46" s="138">
        <f t="shared" si="76"/>
        <v>0.67155033107058015</v>
      </c>
      <c r="AN46" s="138">
        <f t="shared" si="76"/>
        <v>0.85574241690860831</v>
      </c>
      <c r="AO46" s="231">
        <f t="shared" si="76"/>
        <v>0.52014109382898766</v>
      </c>
      <c r="AP46" s="138">
        <f t="shared" si="76"/>
        <v>0.68872025414050331</v>
      </c>
      <c r="AQ46" s="138">
        <f t="shared" si="76"/>
        <v>1.1691927348928441</v>
      </c>
      <c r="AR46" s="138">
        <f t="shared" si="76"/>
        <v>1.2226305787078862</v>
      </c>
      <c r="AS46" s="138">
        <f t="shared" si="76"/>
        <v>0.88754705835677106</v>
      </c>
      <c r="AT46" s="138">
        <f t="shared" si="77"/>
        <v>0.74042807147838152</v>
      </c>
      <c r="AU46" s="138">
        <f t="shared" si="76"/>
        <v>0.416376137318057</v>
      </c>
      <c r="AV46" s="138">
        <f t="shared" si="76"/>
        <v>0.45329129725757911</v>
      </c>
      <c r="AW46" s="138">
        <f t="shared" si="76"/>
        <v>0.69956394177716263</v>
      </c>
      <c r="AX46" s="138">
        <f t="shared" si="78"/>
        <v>1.8589196792805045</v>
      </c>
      <c r="AY46" s="138">
        <f t="shared" si="84"/>
        <v>4.7794721713087407E-2</v>
      </c>
      <c r="AZ46" s="138">
        <f t="shared" si="84"/>
        <v>0.23026317821212205</v>
      </c>
      <c r="BA46" s="138">
        <f t="shared" si="84"/>
        <v>0.13752999594824589</v>
      </c>
      <c r="BB46" s="138">
        <f t="shared" si="84"/>
        <v>0.17551955417204779</v>
      </c>
      <c r="BC46" s="138">
        <f t="shared" si="85"/>
        <v>9.335147876427996E-2</v>
      </c>
      <c r="BD46" s="138">
        <f t="shared" si="86"/>
        <v>-0.11535071392337082</v>
      </c>
      <c r="BE46" s="138">
        <f t="shared" si="87"/>
        <v>-0.11413699553939349</v>
      </c>
      <c r="BF46" s="138">
        <f t="shared" si="88"/>
        <v>-7.8822136072325022E-2</v>
      </c>
      <c r="BG46" s="138">
        <f t="shared" si="89"/>
        <v>-8.7716314259532191E-2</v>
      </c>
      <c r="BI46" s="138">
        <f t="shared" si="80"/>
        <v>1.4487972136451011</v>
      </c>
      <c r="BJ46" s="138">
        <f t="shared" si="80"/>
        <v>1.5560183581098102</v>
      </c>
      <c r="BK46" s="138">
        <f t="shared" si="80"/>
        <v>1.7047101119265733</v>
      </c>
      <c r="BL46" s="138">
        <f t="shared" si="80"/>
        <v>2.2408340196999985</v>
      </c>
      <c r="BM46" s="138">
        <f t="shared" si="90"/>
        <v>0.44704463281793738</v>
      </c>
      <c r="BN46" s="138">
        <f>BN39/AV39-1</f>
        <v>1.9221308739563621</v>
      </c>
      <c r="BO46" s="138">
        <f t="shared" si="91"/>
        <v>0.51625933742903807</v>
      </c>
      <c r="BP46" s="138">
        <f t="shared" si="92"/>
        <v>0.44446492506541291</v>
      </c>
      <c r="BQ46" s="138">
        <f t="shared" si="92"/>
        <v>0.43081976129212673</v>
      </c>
      <c r="BS46" s="256"/>
      <c r="BT46" s="138">
        <f>BT39/BS39-1</f>
        <v>-5.5835147464952439E-2</v>
      </c>
    </row>
    <row r="47" spans="2:72">
      <c r="B47" s="5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5"/>
      <c r="Q47" s="105"/>
      <c r="R47" s="105"/>
      <c r="S47" s="110"/>
      <c r="T47" s="106"/>
      <c r="U47" s="110"/>
      <c r="V47" s="106"/>
      <c r="W47" s="105"/>
      <c r="X47" s="111"/>
      <c r="Y47" s="112"/>
      <c r="Z47" s="112"/>
      <c r="AA47" s="111"/>
      <c r="AB47" s="111"/>
      <c r="AC47" s="111"/>
      <c r="AD47" s="112"/>
      <c r="AE47" s="111"/>
      <c r="AF47" s="111"/>
      <c r="AG47" s="111"/>
      <c r="AH47" s="112"/>
      <c r="AI47" s="111"/>
      <c r="AJ47" s="111"/>
      <c r="AK47" s="111"/>
      <c r="AL47" s="112"/>
      <c r="AN47" s="111"/>
      <c r="AO47" s="111"/>
      <c r="AP47" s="112"/>
      <c r="AT47" s="112"/>
      <c r="AX47" s="112"/>
      <c r="BB47" s="112"/>
      <c r="BF47" s="112"/>
    </row>
    <row r="48" spans="2:72">
      <c r="B48" s="5" t="s">
        <v>419</v>
      </c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5"/>
      <c r="Q48" s="105"/>
      <c r="R48" s="105"/>
      <c r="S48" s="110"/>
      <c r="T48" s="106"/>
      <c r="U48" s="110"/>
      <c r="V48" s="106"/>
      <c r="W48" s="105"/>
      <c r="X48" s="111"/>
      <c r="Y48" s="112"/>
      <c r="Z48" s="112"/>
      <c r="AA48" s="111"/>
      <c r="AB48" s="111"/>
      <c r="AC48" s="111"/>
      <c r="AD48" s="112"/>
      <c r="AE48" s="111"/>
      <c r="AF48" s="111"/>
      <c r="AG48" s="111"/>
      <c r="AH48" s="112"/>
      <c r="AI48" s="111"/>
      <c r="AJ48" s="111"/>
      <c r="AK48" s="111"/>
      <c r="AL48" s="112"/>
      <c r="AN48" s="111"/>
      <c r="AO48" s="111"/>
      <c r="AP48" s="112"/>
      <c r="AT48" s="112"/>
      <c r="AX48" s="112"/>
      <c r="BB48" s="112"/>
      <c r="BF48" s="112"/>
    </row>
    <row r="49" spans="2:72">
      <c r="B49" s="1" t="str">
        <f>B43</f>
        <v>White Goods</v>
      </c>
      <c r="C49" s="137">
        <f>C36/C$39</f>
        <v>0.72472511459734834</v>
      </c>
      <c r="D49" s="137">
        <f t="shared" ref="D49:Z49" si="94">D36/D$39</f>
        <v>0.7270147747086354</v>
      </c>
      <c r="E49" s="137">
        <f t="shared" si="94"/>
        <v>0.71507494359062862</v>
      </c>
      <c r="F49" s="137">
        <f t="shared" si="94"/>
        <v>0.73199905396256826</v>
      </c>
      <c r="G49" s="137">
        <f t="shared" ref="G49:H51" si="95">G36/G$39</f>
        <v>0.76780836164098754</v>
      </c>
      <c r="H49" s="137">
        <f t="shared" si="95"/>
        <v>0.76626604290250266</v>
      </c>
      <c r="I49" s="137">
        <f t="shared" ref="I49:J51" si="96">I36/I$39</f>
        <v>0.75912549770954707</v>
      </c>
      <c r="J49" s="137">
        <f t="shared" si="96"/>
        <v>0.77891296513895092</v>
      </c>
      <c r="K49" s="137">
        <f t="shared" ref="K49" si="97">K36/K$39</f>
        <v>0.78847805289287332</v>
      </c>
      <c r="L49" s="137">
        <f t="shared" ref="L49:M51" si="98">L36/L$39</f>
        <v>0.78800043301754086</v>
      </c>
      <c r="M49" s="137">
        <f t="shared" si="98"/>
        <v>0.76690238254372489</v>
      </c>
      <c r="N49" s="137">
        <f t="shared" ref="N49" si="99">N36/N$39</f>
        <v>0.76690238352104156</v>
      </c>
      <c r="O49" s="137">
        <f t="shared" ref="O49:P49" si="100">O36/O$39</f>
        <v>0.76943238894260912</v>
      </c>
      <c r="P49" s="137">
        <f t="shared" si="100"/>
        <v>0.76943238773760236</v>
      </c>
      <c r="Q49" s="137">
        <f t="shared" ref="Q49" si="101">Q36/Q$39</f>
        <v>0.76542361771260592</v>
      </c>
      <c r="R49" s="137"/>
      <c r="S49" s="137">
        <f t="shared" si="94"/>
        <v>0.68809074206317367</v>
      </c>
      <c r="T49" s="137">
        <f t="shared" si="94"/>
        <v>0.68867191169919051</v>
      </c>
      <c r="U49" s="137">
        <f t="shared" si="94"/>
        <v>0.74136083700260358</v>
      </c>
      <c r="V49" s="137">
        <f t="shared" si="94"/>
        <v>0.73549022289557642</v>
      </c>
      <c r="W49" s="137">
        <f t="shared" si="94"/>
        <v>0.7255018822878504</v>
      </c>
      <c r="X49" s="137">
        <f t="shared" si="94"/>
        <v>0.71724002618415006</v>
      </c>
      <c r="Y49" s="137">
        <f t="shared" si="94"/>
        <v>0.75310564544149305</v>
      </c>
      <c r="Z49" s="137">
        <f t="shared" si="94"/>
        <v>0.73024544698678795</v>
      </c>
      <c r="AA49" s="137">
        <f t="shared" ref="AA49:AB51" si="102">AA36/AA$39</f>
        <v>0.73240142682486797</v>
      </c>
      <c r="AB49" s="137">
        <f t="shared" si="102"/>
        <v>0.72493083040522921</v>
      </c>
      <c r="AC49" s="137">
        <f t="shared" ref="AC49:AD51" si="103">AC36/AC$39</f>
        <v>0.80050613233271095</v>
      </c>
      <c r="AD49" s="137">
        <f t="shared" si="103"/>
        <v>0.79675239423694499</v>
      </c>
      <c r="AE49" s="137">
        <f t="shared" ref="AE49:AF51" si="104">AE36/AE$39</f>
        <v>0.75216776436699428</v>
      </c>
      <c r="AF49" s="137">
        <f t="shared" si="104"/>
        <v>0.75282607147942471</v>
      </c>
      <c r="AG49" s="137">
        <f t="shared" ref="AG49:AJ51" si="105">AG36/AG$39</f>
        <v>0.78581560816939133</v>
      </c>
      <c r="AH49" s="137">
        <f t="shared" si="105"/>
        <v>0.77216732119580711</v>
      </c>
      <c r="AI49" s="137">
        <f t="shared" si="105"/>
        <v>0.73677777537461087</v>
      </c>
      <c r="AJ49" s="137">
        <f t="shared" si="105"/>
        <v>0.69685483985261221</v>
      </c>
      <c r="AK49" s="137">
        <f t="shared" ref="AK49:AL51" si="106">AK36/AK$39</f>
        <v>0.7839396456152562</v>
      </c>
      <c r="AL49" s="137">
        <f t="shared" si="106"/>
        <v>0.78650249413727569</v>
      </c>
      <c r="AM49" s="137">
        <f t="shared" ref="AM49:AP51" si="107">AM36/AM$39</f>
        <v>0.76610940360051372</v>
      </c>
      <c r="AN49" s="137">
        <f t="shared" si="107"/>
        <v>0.76701681952915324</v>
      </c>
      <c r="AO49" s="230">
        <f t="shared" si="107"/>
        <v>0.78968198689860081</v>
      </c>
      <c r="AP49" s="137">
        <f t="shared" si="107"/>
        <v>0.78529481210784235</v>
      </c>
      <c r="AQ49" s="137">
        <f t="shared" ref="AQ49:AR51" si="108">AQ36/AQ$39</f>
        <v>0.78769272338354868</v>
      </c>
      <c r="AR49" s="137">
        <f t="shared" si="108"/>
        <v>0.76199460306513922</v>
      </c>
      <c r="AS49" s="137">
        <f t="shared" ref="AS49:AV49" si="109">AS36/AS$39</f>
        <v>0.80366029671927264</v>
      </c>
      <c r="AT49" s="137">
        <f t="shared" si="109"/>
        <v>0.79760225842700072</v>
      </c>
      <c r="AU49" s="137">
        <f t="shared" si="109"/>
        <v>0.77171164083907173</v>
      </c>
      <c r="AV49" s="137">
        <f t="shared" si="109"/>
        <v>0.74744222559909956</v>
      </c>
      <c r="AW49" s="137">
        <f t="shared" ref="AW49:AX49" si="110">AW36/AW$39</f>
        <v>0.76949410888059944</v>
      </c>
      <c r="AX49" s="137">
        <f t="shared" si="110"/>
        <v>0.77199744423823136</v>
      </c>
      <c r="AY49" s="137">
        <f>AY36/AY$39</f>
        <v>0.75981007245239807</v>
      </c>
      <c r="AZ49" s="137">
        <f t="shared" ref="AZ49:BB49" si="111">AZ36/AZ$39</f>
        <v>0.74341377387363305</v>
      </c>
      <c r="BA49" s="137">
        <f t="shared" si="111"/>
        <v>0.7706837204598237</v>
      </c>
      <c r="BB49" s="137">
        <f t="shared" si="111"/>
        <v>0.79090857793612157</v>
      </c>
      <c r="BC49" s="137">
        <f>BC36/BC$39</f>
        <v>0.75075546445550934</v>
      </c>
      <c r="BD49" s="137">
        <f t="shared" ref="BD49:BF49" si="112">BD36/BD$39</f>
        <v>0.72742199404315389</v>
      </c>
      <c r="BE49" s="137">
        <f t="shared" si="112"/>
        <v>0.77604407476299009</v>
      </c>
      <c r="BF49" s="137">
        <f t="shared" si="112"/>
        <v>0.79436272414368669</v>
      </c>
      <c r="BG49" s="137">
        <f>BG36/BG$39</f>
        <v>0.76318766289035345</v>
      </c>
      <c r="BI49" s="137">
        <f t="shared" ref="BI49:BK51" si="113">BI36/BI$39</f>
        <v>0.77409639986676892</v>
      </c>
      <c r="BJ49" s="137">
        <f t="shared" si="113"/>
        <v>0.74566674459937532</v>
      </c>
      <c r="BK49" s="137">
        <f t="shared" si="113"/>
        <v>0.76936040689501695</v>
      </c>
      <c r="BL49" s="137">
        <f t="shared" ref="BL49:BO49" si="114">BL36/BL$39</f>
        <v>0.77500821206241699</v>
      </c>
      <c r="BM49" s="137">
        <f t="shared" si="114"/>
        <v>0.75981007817902546</v>
      </c>
      <c r="BN49" s="137">
        <f t="shared" si="114"/>
        <v>0.74341378165253902</v>
      </c>
      <c r="BO49" s="137">
        <f t="shared" si="114"/>
        <v>0.77068372199820234</v>
      </c>
      <c r="BP49" s="137">
        <f t="shared" ref="BP49:BQ49" si="115">BP36/BP$39</f>
        <v>0.79316395517744609</v>
      </c>
      <c r="BQ49" s="137">
        <f t="shared" si="115"/>
        <v>0.75075547627863304</v>
      </c>
      <c r="BS49" s="137">
        <f t="shared" ref="BS49:BT49" si="116">BS36/BS$39</f>
        <v>0.75759284533441718</v>
      </c>
      <c r="BT49" s="137">
        <f t="shared" si="116"/>
        <v>0.75102628400564075</v>
      </c>
    </row>
    <row r="50" spans="2:72">
      <c r="B50" s="1" t="str">
        <f>B44</f>
        <v>Consumer Electronics</v>
      </c>
      <c r="C50" s="137">
        <f>C37/C$39</f>
        <v>0.14612491432618085</v>
      </c>
      <c r="D50" s="137">
        <f t="shared" ref="D50:Z50" si="117">D37/D$39</f>
        <v>0.1387567502700108</v>
      </c>
      <c r="E50" s="137">
        <f t="shared" si="117"/>
        <v>0.13060533084479148</v>
      </c>
      <c r="F50" s="137">
        <f t="shared" si="117"/>
        <v>0.13080330218693664</v>
      </c>
      <c r="G50" s="137">
        <f t="shared" si="95"/>
        <v>0.10431210764758635</v>
      </c>
      <c r="H50" s="137">
        <f t="shared" si="95"/>
        <v>0.101766611390044</v>
      </c>
      <c r="I50" s="137">
        <f t="shared" si="96"/>
        <v>0.11049186808640914</v>
      </c>
      <c r="J50" s="137">
        <f t="shared" si="96"/>
        <v>8.1811968323504666E-2</v>
      </c>
      <c r="K50" s="137">
        <f t="shared" ref="K50" si="118">K37/K$39</f>
        <v>6.8778875109819254E-2</v>
      </c>
      <c r="L50" s="137">
        <f t="shared" si="98"/>
        <v>6.7943905097300042E-2</v>
      </c>
      <c r="M50" s="137">
        <f t="shared" si="98"/>
        <v>7.3605588443036996E-2</v>
      </c>
      <c r="N50" s="137">
        <f t="shared" ref="N50" si="119">N37/N$39</f>
        <v>7.3605588515454554E-2</v>
      </c>
      <c r="O50" s="137">
        <f t="shared" ref="O50:P50" si="120">O37/O$39</f>
        <v>5.1699533006814027E-2</v>
      </c>
      <c r="P50" s="137">
        <f t="shared" si="120"/>
        <v>5.1699532600069209E-2</v>
      </c>
      <c r="Q50" s="137">
        <f t="shared" ref="Q50" si="121">Q37/Q$39</f>
        <v>4.8143742703472762E-2</v>
      </c>
      <c r="R50" s="137"/>
      <c r="S50" s="137">
        <f t="shared" si="117"/>
        <v>0.15074519858401922</v>
      </c>
      <c r="T50" s="137">
        <f t="shared" si="117"/>
        <v>0.12709884643631761</v>
      </c>
      <c r="U50" s="137">
        <f t="shared" si="117"/>
        <v>0.1157958746945132</v>
      </c>
      <c r="V50" s="137">
        <f t="shared" si="117"/>
        <v>0.13133717681511278</v>
      </c>
      <c r="W50" s="137">
        <f t="shared" si="117"/>
        <v>0.12274100642735593</v>
      </c>
      <c r="X50" s="137">
        <f t="shared" si="117"/>
        <v>0.11766744509123256</v>
      </c>
      <c r="Y50" s="137">
        <f t="shared" si="117"/>
        <v>0.12439807265594409</v>
      </c>
      <c r="Z50" s="137">
        <f t="shared" si="117"/>
        <v>0.15511003787108693</v>
      </c>
      <c r="AA50" s="137">
        <f t="shared" si="102"/>
        <v>0.11965030598888574</v>
      </c>
      <c r="AB50" s="137">
        <f t="shared" si="102"/>
        <v>0.10803325546043216</v>
      </c>
      <c r="AC50" s="137">
        <f t="shared" si="103"/>
        <v>8.6107465282988807E-2</v>
      </c>
      <c r="AD50" s="137">
        <f t="shared" si="103"/>
        <v>0.10901273788274549</v>
      </c>
      <c r="AE50" s="137">
        <f t="shared" si="104"/>
        <v>0.10510873629794279</v>
      </c>
      <c r="AF50" s="137">
        <f t="shared" si="104"/>
        <v>9.0111063648013662E-2</v>
      </c>
      <c r="AG50" s="137">
        <f t="shared" si="105"/>
        <v>9.6921386023273728E-2</v>
      </c>
      <c r="AH50" s="137">
        <f t="shared" si="105"/>
        <v>0.11552623605004265</v>
      </c>
      <c r="AI50" s="137">
        <f t="shared" si="105"/>
        <v>0.12621827690868961</v>
      </c>
      <c r="AJ50" s="137">
        <f t="shared" si="105"/>
        <v>0.11666980970308329</v>
      </c>
      <c r="AK50" s="137">
        <f t="shared" si="106"/>
        <v>9.7709151874808123E-2</v>
      </c>
      <c r="AL50" s="137">
        <f t="shared" si="106"/>
        <v>0.10914652487489192</v>
      </c>
      <c r="AM50" s="137">
        <f t="shared" si="107"/>
        <v>8.9238570423143759E-2</v>
      </c>
      <c r="AN50" s="137">
        <f t="shared" si="107"/>
        <v>7.5877912931336611E-2</v>
      </c>
      <c r="AO50" s="230">
        <f t="shared" si="107"/>
        <v>7.0979155462296009E-2</v>
      </c>
      <c r="AP50" s="137">
        <f t="shared" si="107"/>
        <v>9.0090165303426353E-2</v>
      </c>
      <c r="AQ50" s="137">
        <f t="shared" si="108"/>
        <v>6.470332488945707E-2</v>
      </c>
      <c r="AR50" s="137">
        <f t="shared" si="108"/>
        <v>5.8452668383510188E-2</v>
      </c>
      <c r="AS50" s="137">
        <f t="shared" ref="AS50:AV50" si="122">AS37/AS$39</f>
        <v>6.2070991925172084E-2</v>
      </c>
      <c r="AT50" s="137">
        <f t="shared" si="122"/>
        <v>8.6082091494462651E-2</v>
      </c>
      <c r="AU50" s="137">
        <f t="shared" si="122"/>
        <v>7.4099598015881993E-2</v>
      </c>
      <c r="AV50" s="137">
        <f t="shared" si="122"/>
        <v>5.9558287862143428E-2</v>
      </c>
      <c r="AW50" s="137">
        <f t="shared" ref="AW50:AZ50" si="123">AW37/AW$39</f>
        <v>6.9505653443289933E-2</v>
      </c>
      <c r="AX50" s="137">
        <f t="shared" si="123"/>
        <v>8.1445874088794085E-2</v>
      </c>
      <c r="AY50" s="137">
        <f t="shared" si="123"/>
        <v>7.3427154280160778E-2</v>
      </c>
      <c r="AZ50" s="137">
        <f t="shared" si="123"/>
        <v>4.4918287118045248E-2</v>
      </c>
      <c r="BA50" s="137">
        <f t="shared" ref="BA50:BD50" si="124">BA37/BA$39</f>
        <v>4.3965757259505897E-2</v>
      </c>
      <c r="BB50" s="137">
        <f t="shared" si="124"/>
        <v>5.1256053891594558E-2</v>
      </c>
      <c r="BC50" s="137">
        <f t="shared" si="124"/>
        <v>5.1687352261516065E-2</v>
      </c>
      <c r="BD50" s="137">
        <f t="shared" si="124"/>
        <v>4.7851565847380595E-2</v>
      </c>
      <c r="BE50" s="137">
        <f t="shared" ref="BE50:BG50" si="125">BE37/BE$39</f>
        <v>4.7086326963103359E-2</v>
      </c>
      <c r="BF50" s="137">
        <f t="shared" si="125"/>
        <v>4.6844266435237293E-2</v>
      </c>
      <c r="BG50" s="137">
        <f t="shared" si="125"/>
        <v>4.2520907076657032E-2</v>
      </c>
      <c r="BI50" s="137">
        <f t="shared" ref="BI50:BJ50" si="126">BI37/BI$39</f>
        <v>7.1505237462709995E-2</v>
      </c>
      <c r="BJ50" s="137">
        <f t="shared" si="126"/>
        <v>6.2825534824566931E-2</v>
      </c>
      <c r="BK50" s="137">
        <f t="shared" si="113"/>
        <v>6.873942828572896E-2</v>
      </c>
      <c r="BL50" s="137">
        <f t="shared" ref="BL50:BO50" si="127">BL37/BL$39</f>
        <v>8.5303673258156631E-2</v>
      </c>
      <c r="BM50" s="137">
        <f t="shared" si="127"/>
        <v>7.3427152305438836E-2</v>
      </c>
      <c r="BN50" s="137">
        <f t="shared" si="127"/>
        <v>4.4918290895647146E-2</v>
      </c>
      <c r="BO50" s="137">
        <f t="shared" si="127"/>
        <v>4.3965758091255872E-2</v>
      </c>
      <c r="BP50" s="137">
        <f t="shared" ref="BP50:BQ50" si="128">BP37/BP$39</f>
        <v>5.0872710567097072E-2</v>
      </c>
      <c r="BQ50" s="137">
        <f t="shared" si="128"/>
        <v>5.1687350806040241E-2</v>
      </c>
      <c r="BS50" s="137">
        <f t="shared" ref="BS50:BT50" si="129">BS37/BS$39</f>
        <v>5.2657059718670352E-2</v>
      </c>
      <c r="BT50" s="137">
        <f t="shared" si="129"/>
        <v>4.8858130045669607E-2</v>
      </c>
    </row>
    <row r="51" spans="2:72">
      <c r="B51" s="1" t="str">
        <f>B45</f>
        <v>Other</v>
      </c>
      <c r="C51" s="137">
        <f>C38/C$39</f>
        <v>0.12914997107647069</v>
      </c>
      <c r="D51" s="137">
        <f t="shared" ref="D51:Z51" si="130">D38/D$39</f>
        <v>0.13422847502135379</v>
      </c>
      <c r="E51" s="137">
        <f t="shared" si="130"/>
        <v>0.15431972556457985</v>
      </c>
      <c r="F51" s="137">
        <f t="shared" si="130"/>
        <v>0.13719764385049518</v>
      </c>
      <c r="G51" s="137">
        <f t="shared" si="95"/>
        <v>0.12787953071142605</v>
      </c>
      <c r="H51" s="137">
        <f t="shared" si="95"/>
        <v>0.13196734570745336</v>
      </c>
      <c r="I51" s="137">
        <f t="shared" si="96"/>
        <v>0.13038263420404383</v>
      </c>
      <c r="J51" s="137">
        <f t="shared" si="96"/>
        <v>0.13927506653754432</v>
      </c>
      <c r="K51" s="137">
        <f t="shared" ref="K51" si="131">K38/K$39</f>
        <v>0.14274307199730743</v>
      </c>
      <c r="L51" s="137">
        <f t="shared" si="98"/>
        <v>0.14405566188515911</v>
      </c>
      <c r="M51" s="137">
        <f t="shared" si="98"/>
        <v>0.15949202901323814</v>
      </c>
      <c r="N51" s="137">
        <f t="shared" ref="N51" si="132">N38/N$39</f>
        <v>0.15949202796350381</v>
      </c>
      <c r="O51" s="137">
        <f t="shared" ref="O51:P51" si="133">O38/O$39</f>
        <v>0.17886807805057681</v>
      </c>
      <c r="P51" s="137">
        <f t="shared" si="133"/>
        <v>0.17886807966232857</v>
      </c>
      <c r="Q51" s="137">
        <f t="shared" ref="Q51" si="134">Q38/Q$39</f>
        <v>0.18643263958392139</v>
      </c>
      <c r="R51" s="137"/>
      <c r="S51" s="137">
        <f t="shared" si="130"/>
        <v>0.16116405935280706</v>
      </c>
      <c r="T51" s="137">
        <f t="shared" si="130"/>
        <v>0.18422924186449188</v>
      </c>
      <c r="U51" s="137">
        <f t="shared" si="130"/>
        <v>0.14284328830288323</v>
      </c>
      <c r="V51" s="137">
        <f t="shared" si="130"/>
        <v>0.13317260028931063</v>
      </c>
      <c r="W51" s="137">
        <f t="shared" si="130"/>
        <v>0.15175711128479358</v>
      </c>
      <c r="X51" s="137">
        <f t="shared" si="130"/>
        <v>0.1650925287246173</v>
      </c>
      <c r="Y51" s="137">
        <f t="shared" si="130"/>
        <v>0.12249628190256287</v>
      </c>
      <c r="Z51" s="137">
        <f t="shared" si="130"/>
        <v>0.11464451514212523</v>
      </c>
      <c r="AA51" s="137">
        <f t="shared" si="102"/>
        <v>0.1479482671862464</v>
      </c>
      <c r="AB51" s="137">
        <f t="shared" si="102"/>
        <v>0.16703591413433852</v>
      </c>
      <c r="AC51" s="137">
        <f t="shared" si="103"/>
        <v>0.11338640238430013</v>
      </c>
      <c r="AD51" s="137">
        <f t="shared" si="103"/>
        <v>9.4234867880309589E-2</v>
      </c>
      <c r="AE51" s="137">
        <f t="shared" si="104"/>
        <v>0.14272349933506293</v>
      </c>
      <c r="AF51" s="137">
        <f t="shared" si="104"/>
        <v>0.15706286487256158</v>
      </c>
      <c r="AG51" s="137">
        <f t="shared" si="105"/>
        <v>0.11726300580733504</v>
      </c>
      <c r="AH51" s="137">
        <f t="shared" si="105"/>
        <v>0.11230644275415017</v>
      </c>
      <c r="AI51" s="137">
        <f t="shared" si="105"/>
        <v>0.13700394771669958</v>
      </c>
      <c r="AJ51" s="137">
        <f t="shared" si="105"/>
        <v>0.18647535044430449</v>
      </c>
      <c r="AK51" s="137">
        <f t="shared" si="106"/>
        <v>0.11835120250993557</v>
      </c>
      <c r="AL51" s="137">
        <f t="shared" si="106"/>
        <v>0.10435098098783237</v>
      </c>
      <c r="AM51" s="137">
        <f t="shared" si="107"/>
        <v>0.14465202597634255</v>
      </c>
      <c r="AN51" s="137">
        <f t="shared" si="107"/>
        <v>0.15710526753951001</v>
      </c>
      <c r="AO51" s="230">
        <f t="shared" si="107"/>
        <v>0.1393388576391032</v>
      </c>
      <c r="AP51" s="137">
        <f t="shared" si="107"/>
        <v>0.12461502258873126</v>
      </c>
      <c r="AQ51" s="137">
        <f t="shared" si="108"/>
        <v>0.14760395172699434</v>
      </c>
      <c r="AR51" s="137">
        <f t="shared" si="108"/>
        <v>0.17955272855135052</v>
      </c>
      <c r="AS51" s="137">
        <f t="shared" ref="AS51:AV51" si="135">AS38/AS$39</f>
        <v>0.13426871135555515</v>
      </c>
      <c r="AT51" s="137">
        <f t="shared" si="135"/>
        <v>0.11631565007853664</v>
      </c>
      <c r="AU51" s="137">
        <f t="shared" si="135"/>
        <v>0.15418876114504648</v>
      </c>
      <c r="AV51" s="137">
        <f t="shared" si="135"/>
        <v>0.19299948653875704</v>
      </c>
      <c r="AW51" s="137">
        <f t="shared" ref="AW51:AZ51" si="136">AW38/AW$39</f>
        <v>0.16100023767611063</v>
      </c>
      <c r="AX51" s="137">
        <f t="shared" si="136"/>
        <v>0.14655668167297459</v>
      </c>
      <c r="AY51" s="137">
        <f t="shared" si="136"/>
        <v>0.16676277326744127</v>
      </c>
      <c r="AZ51" s="137">
        <f t="shared" si="136"/>
        <v>0.21166793900832165</v>
      </c>
      <c r="BA51" s="137">
        <f t="shared" ref="BA51:BD51" si="137">BA38/BA$39</f>
        <v>0.18535052228067042</v>
      </c>
      <c r="BB51" s="137">
        <f t="shared" si="137"/>
        <v>0.15783536817228372</v>
      </c>
      <c r="BC51" s="137">
        <f t="shared" si="137"/>
        <v>0.1975571832829745</v>
      </c>
      <c r="BD51" s="137">
        <f t="shared" si="137"/>
        <v>0.22472644010946546</v>
      </c>
      <c r="BE51" s="137">
        <f t="shared" ref="BE51:BG51" si="138">BE38/BE$39</f>
        <v>0.17686959827390655</v>
      </c>
      <c r="BF51" s="137">
        <f t="shared" si="138"/>
        <v>0.15879300942107608</v>
      </c>
      <c r="BG51" s="137">
        <f t="shared" si="138"/>
        <v>0.19429143003298949</v>
      </c>
      <c r="BI51" s="137">
        <f t="shared" ref="BI51:BJ51" si="139">BI38/BI$39</f>
        <v>0.15439836267052107</v>
      </c>
      <c r="BJ51" s="137">
        <f t="shared" si="139"/>
        <v>0.19150772057605775</v>
      </c>
      <c r="BK51" s="137">
        <f t="shared" si="113"/>
        <v>0.16190016481925398</v>
      </c>
      <c r="BL51" s="137">
        <f t="shared" ref="BL51:BO51" si="140">BL38/BL$39</f>
        <v>0.13968811467942627</v>
      </c>
      <c r="BM51" s="137">
        <f t="shared" si="140"/>
        <v>0.16676276951553573</v>
      </c>
      <c r="BN51" s="137">
        <f t="shared" si="140"/>
        <v>0.21166792745181379</v>
      </c>
      <c r="BO51" s="137">
        <f t="shared" si="140"/>
        <v>0.18535051991054186</v>
      </c>
      <c r="BP51" s="137">
        <f t="shared" ref="BP51:BQ51" si="141">BP38/BP$39</f>
        <v>0.15596333425545689</v>
      </c>
      <c r="BQ51" s="137">
        <f t="shared" si="141"/>
        <v>0.19755717291532662</v>
      </c>
      <c r="BS51" s="137">
        <f t="shared" ref="BS51:BT51" si="142">BS38/BS$39</f>
        <v>0.18975009494691236</v>
      </c>
      <c r="BT51" s="137">
        <f t="shared" si="142"/>
        <v>0.20011558594868972</v>
      </c>
    </row>
    <row r="52" spans="2:72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45"/>
      <c r="T52" s="45"/>
      <c r="U52" s="1"/>
      <c r="V52" s="1"/>
      <c r="W52" s="1"/>
      <c r="Y52" s="1"/>
      <c r="Z52" s="1"/>
      <c r="AD52" s="1"/>
      <c r="AH52" s="1"/>
      <c r="AL52" s="1"/>
      <c r="AP52" s="1"/>
      <c r="AT52" s="1"/>
      <c r="AX52" s="1"/>
      <c r="BB52" s="1"/>
      <c r="BF52" s="1"/>
    </row>
    <row r="53" spans="2:72">
      <c r="B53" s="104" t="s">
        <v>420</v>
      </c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222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I53" s="38"/>
      <c r="BJ53" s="38"/>
      <c r="BK53" s="38"/>
      <c r="BL53" s="38"/>
      <c r="BM53" s="38"/>
      <c r="BN53" s="38"/>
      <c r="BO53" s="38"/>
      <c r="BP53" s="38"/>
      <c r="BQ53" s="38"/>
      <c r="BS53" s="38"/>
      <c r="BT53" s="38"/>
    </row>
    <row r="54" spans="2:72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U54" s="1"/>
      <c r="V54" s="1"/>
      <c r="W54" s="1"/>
      <c r="Y54" s="1"/>
      <c r="Z54" s="1"/>
      <c r="AD54" s="1"/>
      <c r="AH54" s="1"/>
      <c r="AL54" s="1"/>
      <c r="AP54" s="1"/>
      <c r="AT54" s="1"/>
      <c r="AX54" s="1"/>
      <c r="BB54" s="1"/>
      <c r="BF54" s="1"/>
    </row>
    <row r="55" spans="2:72">
      <c r="B55" s="1" t="s">
        <v>415</v>
      </c>
      <c r="C55" s="134">
        <v>3079.8850000000002</v>
      </c>
      <c r="D55" s="134">
        <v>3578.3649999999998</v>
      </c>
      <c r="E55" s="134">
        <v>4104.7430000000004</v>
      </c>
      <c r="F55" s="134">
        <v>5052.607</v>
      </c>
      <c r="G55" s="134">
        <v>6782.0219999999999</v>
      </c>
      <c r="H55" s="134">
        <v>8274.1759999999995</v>
      </c>
      <c r="I55" s="134">
        <v>11240.272000000001</v>
      </c>
      <c r="J55" s="134">
        <v>16410.538</v>
      </c>
      <c r="K55" s="134">
        <v>31067.883999999998</v>
      </c>
      <c r="L55" s="134">
        <v>55151.328999999998</v>
      </c>
      <c r="M55" s="134">
        <v>60830.75</v>
      </c>
      <c r="N55" s="134">
        <v>87826.7</v>
      </c>
      <c r="O55" s="134">
        <v>89246.197</v>
      </c>
      <c r="P55" s="134">
        <v>116816.38800000001</v>
      </c>
      <c r="Q55" s="134">
        <v>112529.819</v>
      </c>
      <c r="R55" s="134"/>
      <c r="S55" s="134">
        <v>886.87900000000013</v>
      </c>
      <c r="T55" s="134">
        <v>1009.377</v>
      </c>
      <c r="U55" s="134">
        <v>1079.1210000000001</v>
      </c>
      <c r="V55" s="135">
        <f>E55-SUM(S55:U55)</f>
        <v>1129.366</v>
      </c>
      <c r="W55" s="134">
        <v>1173.1109999999999</v>
      </c>
      <c r="X55" s="134">
        <v>1206.1320000000001</v>
      </c>
      <c r="Y55" s="134">
        <v>1354.248</v>
      </c>
      <c r="Z55" s="135">
        <f>F55-SUM(W55:Y55)</f>
        <v>1319.116</v>
      </c>
      <c r="AA55" s="134">
        <v>1258.539</v>
      </c>
      <c r="AB55" s="134">
        <v>1506.8130000000001</v>
      </c>
      <c r="AC55" s="134">
        <v>2038.0319999999999</v>
      </c>
      <c r="AD55" s="135">
        <f>G55-AC55-AB55-AA55</f>
        <v>1978.6379999999997</v>
      </c>
      <c r="AE55" s="134">
        <v>1777.673</v>
      </c>
      <c r="AF55" s="134">
        <v>2061.7550000000001</v>
      </c>
      <c r="AG55" s="134">
        <v>2278.904</v>
      </c>
      <c r="AH55" s="135">
        <f>H55-AG55-AF55-AE55</f>
        <v>2155.8439999999991</v>
      </c>
      <c r="AI55" s="134">
        <v>1920.481</v>
      </c>
      <c r="AJ55" s="134">
        <v>1839.614</v>
      </c>
      <c r="AK55" s="134">
        <v>3485.8519999999999</v>
      </c>
      <c r="AL55" s="135">
        <f>I55-AK55-AJ55-AI55</f>
        <v>3994.3250000000007</v>
      </c>
      <c r="AM55" s="134">
        <v>3626.23</v>
      </c>
      <c r="AN55" s="134">
        <v>3496.681</v>
      </c>
      <c r="AO55" s="229">
        <v>4079.1759999999999</v>
      </c>
      <c r="AP55" s="135">
        <f>J55-AO55-AN55-AM55</f>
        <v>5208.4510000000009</v>
      </c>
      <c r="AQ55" s="134">
        <v>6869.1139999999996</v>
      </c>
      <c r="AR55" s="134">
        <v>7280.3680000000004</v>
      </c>
      <c r="AS55" s="134">
        <v>7827.2889999999998</v>
      </c>
      <c r="AT55" s="135">
        <f>K55-AQ55-AR55-AS55</f>
        <v>9091.1129999999939</v>
      </c>
      <c r="AU55" s="134">
        <v>9928.4760000000006</v>
      </c>
      <c r="AV55" s="134">
        <v>11574.68</v>
      </c>
      <c r="AW55" s="134">
        <v>15219.464</v>
      </c>
      <c r="AX55" s="135">
        <f>M55-AU55-AV55-AW55</f>
        <v>24108.129999999997</v>
      </c>
      <c r="AY55" s="134">
        <v>17292.722000000002</v>
      </c>
      <c r="AZ55" s="134">
        <v>19809.071</v>
      </c>
      <c r="BA55" s="134">
        <v>20370.495999999999</v>
      </c>
      <c r="BB55" s="135">
        <f t="shared" ref="BB55:BB57" si="143">O55-AY55-AZ55-BA55</f>
        <v>31773.90800000001</v>
      </c>
      <c r="BC55" s="134">
        <v>22902.089</v>
      </c>
      <c r="BD55" s="134">
        <v>23885.338</v>
      </c>
      <c r="BE55" s="134">
        <v>27575.848999999998</v>
      </c>
      <c r="BF55" s="135">
        <f t="shared" ref="BF55:BF57" si="144">Q55-BC55-BD55-BE55</f>
        <v>38166.543000000005</v>
      </c>
      <c r="BG55" s="134">
        <v>28810.343000000001</v>
      </c>
      <c r="BI55" s="134">
        <v>16128.601000000001</v>
      </c>
      <c r="BJ55" s="134">
        <v>19111.560000000001</v>
      </c>
      <c r="BK55" s="134">
        <v>22396.6</v>
      </c>
      <c r="BL55" s="135">
        <f t="shared" ref="BL55:BL57" si="145">N55-SUM(BI55:BK55)</f>
        <v>30189.938999999998</v>
      </c>
      <c r="BM55" s="134">
        <v>23881.911</v>
      </c>
      <c r="BN55" s="134">
        <v>26751.888999999999</v>
      </c>
      <c r="BO55" s="134">
        <v>27152.651000000002</v>
      </c>
      <c r="BP55" s="135">
        <f t="shared" ref="BP55:BP57" si="146">P55-SUM(BM55:BO55)</f>
        <v>39029.937000000005</v>
      </c>
      <c r="BQ55" s="134">
        <v>29970.931</v>
      </c>
      <c r="BS55" s="134">
        <v>83128.373999999996</v>
      </c>
      <c r="BT55" s="134">
        <v>79353.282999999996</v>
      </c>
    </row>
    <row r="56" spans="2:72">
      <c r="B56" s="1" t="s">
        <v>416</v>
      </c>
      <c r="C56" s="134">
        <v>442.29300000000001</v>
      </c>
      <c r="D56" s="134">
        <v>433.09399999999999</v>
      </c>
      <c r="E56" s="134">
        <v>612.85699999999997</v>
      </c>
      <c r="F56" s="134">
        <v>555.00699999999995</v>
      </c>
      <c r="G56" s="134">
        <v>626.43499999999995</v>
      </c>
      <c r="H56" s="134">
        <v>762.19899999999996</v>
      </c>
      <c r="I56" s="134">
        <v>1009.669</v>
      </c>
      <c r="J56" s="134">
        <v>1073.278</v>
      </c>
      <c r="K56" s="134">
        <v>2473.0329999999999</v>
      </c>
      <c r="L56" s="134">
        <v>3086.7820000000002</v>
      </c>
      <c r="M56" s="134">
        <v>2573.8560000000002</v>
      </c>
      <c r="N56" s="134">
        <v>3716.1030000000001</v>
      </c>
      <c r="O56" s="134">
        <v>3255.1550000000002</v>
      </c>
      <c r="P56" s="134">
        <v>4260.7489999999998</v>
      </c>
      <c r="Q56" s="134">
        <v>2719.0659999999998</v>
      </c>
      <c r="S56" s="134">
        <v>168.50900000000001</v>
      </c>
      <c r="T56" s="134">
        <v>159.346</v>
      </c>
      <c r="U56" s="134">
        <v>134.822</v>
      </c>
      <c r="V56" s="135">
        <f>E56-SUM(S56:U56)</f>
        <v>150.17999999999995</v>
      </c>
      <c r="W56" s="134">
        <v>102.78700000000001</v>
      </c>
      <c r="X56" s="134">
        <v>101.386</v>
      </c>
      <c r="Y56" s="134">
        <v>141.04400000000001</v>
      </c>
      <c r="Z56" s="135">
        <f>F56-SUM(W56:Y56)</f>
        <v>209.78999999999996</v>
      </c>
      <c r="AA56" s="134">
        <v>153.096</v>
      </c>
      <c r="AB56" s="134">
        <v>151.07900000000001</v>
      </c>
      <c r="AC56" s="134">
        <v>164.279</v>
      </c>
      <c r="AD56" s="135">
        <f>G56-AC56-AB56-AA56</f>
        <v>157.98099999999994</v>
      </c>
      <c r="AE56" s="134">
        <v>168.68</v>
      </c>
      <c r="AF56" s="134">
        <v>194.55500000000001</v>
      </c>
      <c r="AG56" s="134">
        <v>179.95400000000001</v>
      </c>
      <c r="AH56" s="135">
        <f>H56-AG56-AF56-AE56</f>
        <v>219.00999999999988</v>
      </c>
      <c r="AI56" s="134">
        <v>228.42099999999999</v>
      </c>
      <c r="AJ56" s="134">
        <v>199.083</v>
      </c>
      <c r="AK56" s="134">
        <v>247.804</v>
      </c>
      <c r="AL56" s="135">
        <f>I56-AK56-AJ56-AI56</f>
        <v>334.36100000000005</v>
      </c>
      <c r="AM56" s="134">
        <v>237.101</v>
      </c>
      <c r="AN56" s="134">
        <v>234.96299999999999</v>
      </c>
      <c r="AO56" s="229">
        <v>232.404</v>
      </c>
      <c r="AP56" s="135">
        <f>J56-AO56-AN56-AM56</f>
        <v>368.81000000000006</v>
      </c>
      <c r="AQ56" s="134">
        <v>466.529</v>
      </c>
      <c r="AR56" s="134">
        <v>518.55999999999995</v>
      </c>
      <c r="AS56" s="134">
        <v>545.28399999999999</v>
      </c>
      <c r="AT56" s="135">
        <f>K56-AQ56-AR56-AS56</f>
        <v>942.66</v>
      </c>
      <c r="AU56" s="134">
        <v>591.82500000000005</v>
      </c>
      <c r="AV56" s="134">
        <v>653.702</v>
      </c>
      <c r="AW56" s="134">
        <v>964.65800000000002</v>
      </c>
      <c r="AX56" s="135">
        <f t="shared" ref="AX56:AX57" si="147">M56-AU56-AV56-AW56</f>
        <v>363.67100000000016</v>
      </c>
      <c r="AY56" s="134">
        <v>674.66700000000003</v>
      </c>
      <c r="AZ56" s="134">
        <v>763.14099999999996</v>
      </c>
      <c r="BA56" s="134">
        <v>846.89300000000003</v>
      </c>
      <c r="BB56" s="135">
        <f t="shared" si="143"/>
        <v>970.45400000000018</v>
      </c>
      <c r="BC56" s="134">
        <v>607.46799999999996</v>
      </c>
      <c r="BD56" s="134">
        <v>617.92200000000003</v>
      </c>
      <c r="BE56" s="134">
        <v>558.26400000000001</v>
      </c>
      <c r="BF56" s="135">
        <f t="shared" si="144"/>
        <v>935.41199999999992</v>
      </c>
      <c r="BG56" s="134">
        <v>872.32600000000002</v>
      </c>
      <c r="BI56" s="134">
        <v>774.24400000000003</v>
      </c>
      <c r="BJ56" s="134">
        <v>1199.9839999999999</v>
      </c>
      <c r="BK56" s="134">
        <v>599.851</v>
      </c>
      <c r="BL56" s="135">
        <f t="shared" si="145"/>
        <v>1142.0239999999999</v>
      </c>
      <c r="BM56" s="134">
        <v>931.74099999999999</v>
      </c>
      <c r="BN56" s="134">
        <v>1030.6120000000001</v>
      </c>
      <c r="BO56" s="134">
        <v>1128.8579999999999</v>
      </c>
      <c r="BP56" s="135">
        <f t="shared" si="146"/>
        <v>1169.5379999999996</v>
      </c>
      <c r="BQ56" s="134">
        <v>794.96600000000001</v>
      </c>
      <c r="BS56" s="134">
        <v>3298.64</v>
      </c>
      <c r="BT56" s="134">
        <v>1914.8389999999999</v>
      </c>
    </row>
    <row r="57" spans="2:72">
      <c r="B57" s="1" t="s">
        <v>45</v>
      </c>
      <c r="C57" s="134">
        <v>456.654</v>
      </c>
      <c r="D57" s="134">
        <v>524.43399999999997</v>
      </c>
      <c r="E57" s="134">
        <v>621.96</v>
      </c>
      <c r="F57" s="134">
        <v>898.58500000000004</v>
      </c>
      <c r="G57" s="134">
        <v>1137.3050000000001</v>
      </c>
      <c r="H57" s="134">
        <v>1222.732</v>
      </c>
      <c r="I57" s="134">
        <v>1556.432</v>
      </c>
      <c r="J57" s="134">
        <v>2994.529</v>
      </c>
      <c r="K57" s="134">
        <v>5951.9260000000004</v>
      </c>
      <c r="L57" s="134">
        <v>10432.406999999999</v>
      </c>
      <c r="M57" s="134">
        <v>11973.387000000001</v>
      </c>
      <c r="N57" s="134">
        <v>17287.031999999999</v>
      </c>
      <c r="O57" s="134">
        <v>25600.714</v>
      </c>
      <c r="P57" s="134">
        <v>33509.370000000003</v>
      </c>
      <c r="Q57" s="134">
        <v>35544.381999999998</v>
      </c>
      <c r="R57" s="134"/>
      <c r="S57" s="134">
        <v>138.67699999999999</v>
      </c>
      <c r="T57" s="134">
        <v>183.94399999999999</v>
      </c>
      <c r="U57" s="134">
        <v>147.07499999999999</v>
      </c>
      <c r="V57" s="135">
        <f>E57-SUM(S57:U57)</f>
        <v>152.26400000000007</v>
      </c>
      <c r="W57" s="134">
        <v>202.024</v>
      </c>
      <c r="X57" s="134">
        <v>246.875</v>
      </c>
      <c r="Y57" s="134">
        <v>229.33099999999999</v>
      </c>
      <c r="Z57" s="135">
        <f>F57-SUM(W57:Y57)</f>
        <v>220.35500000000002</v>
      </c>
      <c r="AA57" s="134">
        <v>239.03700000000001</v>
      </c>
      <c r="AB57" s="134">
        <v>316.12799999999999</v>
      </c>
      <c r="AC57" s="134">
        <v>308.42500000000001</v>
      </c>
      <c r="AD57" s="135">
        <f>G57-AC57-AB57-AA57</f>
        <v>273.71500000000015</v>
      </c>
      <c r="AE57" s="134">
        <v>292.34399999999999</v>
      </c>
      <c r="AF57" s="134">
        <v>387.02199999999999</v>
      </c>
      <c r="AG57" s="134">
        <v>266.61099999999999</v>
      </c>
      <c r="AH57" s="135">
        <f>H57-AG57-AF57-AE57</f>
        <v>276.75499999999994</v>
      </c>
      <c r="AI57" s="134">
        <v>320.89299999999997</v>
      </c>
      <c r="AJ57" s="134">
        <v>380.57</v>
      </c>
      <c r="AK57" s="134">
        <v>397.91399999999999</v>
      </c>
      <c r="AL57" s="135">
        <f>I57-AK57-AJ57-AI57</f>
        <v>457.05500000000012</v>
      </c>
      <c r="AM57" s="134">
        <v>619.51099999999997</v>
      </c>
      <c r="AN57" s="134">
        <v>661.56700000000001</v>
      </c>
      <c r="AO57" s="229">
        <v>813.9</v>
      </c>
      <c r="AP57" s="135">
        <f>J57-AO57-AN57-AM57</f>
        <v>899.55099999999993</v>
      </c>
      <c r="AQ57" s="134">
        <v>1350.9739999999999</v>
      </c>
      <c r="AR57" s="134">
        <v>1769.4880000000001</v>
      </c>
      <c r="AS57" s="134">
        <v>1488.6279999999999</v>
      </c>
      <c r="AT57" s="135">
        <f>K57-AQ57-AR57-AS57</f>
        <v>1342.836</v>
      </c>
      <c r="AU57" s="134">
        <v>1895.7159999999999</v>
      </c>
      <c r="AV57" s="134">
        <v>2769.2829999999999</v>
      </c>
      <c r="AW57" s="134">
        <v>2893.308</v>
      </c>
      <c r="AX57" s="135">
        <f t="shared" si="147"/>
        <v>4415.0800000000008</v>
      </c>
      <c r="AY57" s="134">
        <v>3479.5520000000001</v>
      </c>
      <c r="AZ57" s="134">
        <v>7544.7659999999996</v>
      </c>
      <c r="BA57" s="134">
        <v>6609.2110000000002</v>
      </c>
      <c r="BB57" s="135">
        <f t="shared" si="143"/>
        <v>7967.1850000000004</v>
      </c>
      <c r="BC57" s="134">
        <v>7765.3710000000001</v>
      </c>
      <c r="BD57" s="134">
        <v>9969.2129999999997</v>
      </c>
      <c r="BE57" s="134">
        <v>8045.6639999999998</v>
      </c>
      <c r="BF57" s="135">
        <f t="shared" si="144"/>
        <v>9764.1339999999982</v>
      </c>
      <c r="BG57" s="134">
        <v>9139.3160000000007</v>
      </c>
      <c r="BI57" s="134">
        <v>2939.0349999999999</v>
      </c>
      <c r="BJ57" s="134">
        <v>5334.6509999999998</v>
      </c>
      <c r="BK57" s="134">
        <v>4140.1189999999997</v>
      </c>
      <c r="BL57" s="135">
        <f t="shared" si="145"/>
        <v>4873.226999999999</v>
      </c>
      <c r="BM57" s="134">
        <v>4805.3950000000004</v>
      </c>
      <c r="BN57" s="134">
        <v>10189.106</v>
      </c>
      <c r="BO57" s="134">
        <v>8809.6810000000005</v>
      </c>
      <c r="BP57" s="135">
        <f t="shared" si="146"/>
        <v>9705.1880000000019</v>
      </c>
      <c r="BQ57" s="134">
        <v>10162.19</v>
      </c>
      <c r="BS57" s="134">
        <v>25239.736000000001</v>
      </c>
      <c r="BT57" s="134">
        <v>27612.567999999999</v>
      </c>
    </row>
    <row r="58" spans="2:72">
      <c r="B58" s="5" t="s">
        <v>417</v>
      </c>
      <c r="C58" s="116">
        <f t="shared" ref="C58:U58" si="148">SUM(C55:C57)</f>
        <v>3978.8320000000003</v>
      </c>
      <c r="D58" s="116">
        <f t="shared" si="148"/>
        <v>4535.893</v>
      </c>
      <c r="E58" s="116">
        <f t="shared" si="148"/>
        <v>5339.56</v>
      </c>
      <c r="F58" s="116">
        <f t="shared" si="148"/>
        <v>6506.1989999999996</v>
      </c>
      <c r="G58" s="116">
        <f>SUM(G55:G57)</f>
        <v>8545.7620000000006</v>
      </c>
      <c r="H58" s="116">
        <f>SUM(H55:H57)</f>
        <v>10259.107</v>
      </c>
      <c r="I58" s="116">
        <f>SUM(I55:I57)</f>
        <v>13806.373000000001</v>
      </c>
      <c r="J58" s="116">
        <f>SUM(J55:J57)</f>
        <v>20478.344999999998</v>
      </c>
      <c r="K58" s="116">
        <f t="shared" ref="K58:M58" si="149">SUM(K55:K57)</f>
        <v>39492.843000000001</v>
      </c>
      <c r="L58" s="116">
        <f>SUM(L55:L57)</f>
        <v>68670.517999999996</v>
      </c>
      <c r="M58" s="116">
        <f t="shared" si="149"/>
        <v>75377.993000000002</v>
      </c>
      <c r="N58" s="116">
        <f t="shared" ref="N58" si="150">SUM(N55:N57)</f>
        <v>108829.83499999999</v>
      </c>
      <c r="O58" s="116">
        <f t="shared" ref="O58:P58" si="151">SUM(O55:O57)</f>
        <v>118102.06599999999</v>
      </c>
      <c r="P58" s="116">
        <f t="shared" si="151"/>
        <v>154586.50700000001</v>
      </c>
      <c r="Q58" s="116">
        <f t="shared" ref="Q58" si="152">SUM(Q55:Q57)</f>
        <v>150793.26699999999</v>
      </c>
      <c r="R58" s="116"/>
      <c r="S58" s="116">
        <f t="shared" si="148"/>
        <v>1194.0650000000001</v>
      </c>
      <c r="T58" s="116">
        <f t="shared" si="148"/>
        <v>1352.6669999999999</v>
      </c>
      <c r="U58" s="116">
        <f t="shared" si="148"/>
        <v>1361.0180000000003</v>
      </c>
      <c r="V58" s="116">
        <f>E58-SUM(S58:U58)</f>
        <v>1431.8100000000004</v>
      </c>
      <c r="W58" s="116">
        <f t="shared" ref="W58:AC58" si="153">SUM(W55:W57)</f>
        <v>1477.922</v>
      </c>
      <c r="X58" s="116">
        <f t="shared" si="153"/>
        <v>1554.393</v>
      </c>
      <c r="Y58" s="116">
        <f t="shared" si="153"/>
        <v>1724.623</v>
      </c>
      <c r="Z58" s="116">
        <f t="shared" si="153"/>
        <v>1749.261</v>
      </c>
      <c r="AA58" s="116">
        <f t="shared" si="153"/>
        <v>1650.672</v>
      </c>
      <c r="AB58" s="116">
        <f t="shared" si="153"/>
        <v>1974.02</v>
      </c>
      <c r="AC58" s="116">
        <f t="shared" si="153"/>
        <v>2510.7359999999999</v>
      </c>
      <c r="AD58" s="116">
        <f t="shared" ref="AD58:AJ58" si="154">SUM(AD55:AD57)</f>
        <v>2410.3339999999998</v>
      </c>
      <c r="AE58" s="116">
        <f t="shared" si="154"/>
        <v>2238.6970000000001</v>
      </c>
      <c r="AF58" s="116">
        <f t="shared" si="154"/>
        <v>2643.3319999999999</v>
      </c>
      <c r="AG58" s="116">
        <f t="shared" si="154"/>
        <v>2725.4690000000001</v>
      </c>
      <c r="AH58" s="116">
        <f t="shared" si="154"/>
        <v>2651.608999999999</v>
      </c>
      <c r="AI58" s="116">
        <f t="shared" si="154"/>
        <v>2469.7950000000001</v>
      </c>
      <c r="AJ58" s="116">
        <f t="shared" si="154"/>
        <v>2419.2670000000003</v>
      </c>
      <c r="AK58" s="116">
        <f t="shared" ref="AK58:AP58" si="155">SUM(AK55:AK57)</f>
        <v>4131.57</v>
      </c>
      <c r="AL58" s="116">
        <f t="shared" si="155"/>
        <v>4785.7410000000009</v>
      </c>
      <c r="AM58" s="116">
        <f t="shared" si="155"/>
        <v>4482.8420000000006</v>
      </c>
      <c r="AN58" s="116">
        <f t="shared" si="155"/>
        <v>4393.2110000000002</v>
      </c>
      <c r="AO58" s="116">
        <f t="shared" si="155"/>
        <v>5125.4799999999996</v>
      </c>
      <c r="AP58" s="116">
        <f t="shared" si="155"/>
        <v>6476.8120000000017</v>
      </c>
      <c r="AQ58" s="116">
        <f>SUM(AQ55:AQ57)</f>
        <v>8686.6170000000002</v>
      </c>
      <c r="AR58" s="116">
        <f>SUM(AR55:AR57)</f>
        <v>9568.4159999999993</v>
      </c>
      <c r="AS58" s="116">
        <f>SUM(AS55:AS57)</f>
        <v>9861.2010000000009</v>
      </c>
      <c r="AT58" s="116">
        <f t="shared" ref="AT58" si="156">SUM(AT55:AT57)</f>
        <v>11376.608999999993</v>
      </c>
      <c r="AU58" s="116">
        <f>SUM(AU55:AU57)</f>
        <v>12416.017000000002</v>
      </c>
      <c r="AV58" s="116">
        <f>SUM(AV55:AV57)</f>
        <v>14997.664999999999</v>
      </c>
      <c r="AW58" s="116">
        <f>SUM(AW55:AW57)</f>
        <v>19077.43</v>
      </c>
      <c r="AX58" s="116">
        <f t="shared" ref="AX58" si="157">SUM(AX55:AX57)</f>
        <v>28886.880999999998</v>
      </c>
      <c r="AY58" s="116">
        <f>SUM(AY55:AY57)</f>
        <v>21446.941000000003</v>
      </c>
      <c r="AZ58" s="116">
        <f>SUM(AZ55:AZ57)</f>
        <v>28116.977999999999</v>
      </c>
      <c r="BA58" s="116">
        <f>SUM(BA55:BA57)</f>
        <v>27826.6</v>
      </c>
      <c r="BB58" s="116">
        <f t="shared" ref="BB58" si="158">SUM(BB55:BB57)</f>
        <v>40711.547000000013</v>
      </c>
      <c r="BC58" s="116">
        <f>SUM(BC55:BC57)</f>
        <v>31274.928</v>
      </c>
      <c r="BD58" s="116">
        <f>SUM(BD55:BD57)</f>
        <v>34472.472999999998</v>
      </c>
      <c r="BE58" s="116">
        <f>SUM(BE55:BE57)</f>
        <v>36179.776999999995</v>
      </c>
      <c r="BF58" s="116">
        <f t="shared" ref="BF58" si="159">SUM(BF55:BF57)</f>
        <v>48866.089</v>
      </c>
      <c r="BG58" s="116">
        <f>SUM(BG55:BG57)</f>
        <v>38821.985000000001</v>
      </c>
      <c r="BI58" s="116">
        <f t="shared" ref="BI58:BN58" si="160">SUM(BI55:BI57)</f>
        <v>19841.88</v>
      </c>
      <c r="BJ58" s="116">
        <f t="shared" si="160"/>
        <v>25646.195</v>
      </c>
      <c r="BK58" s="116">
        <f t="shared" si="160"/>
        <v>27136.569999999996</v>
      </c>
      <c r="BL58" s="116">
        <f t="shared" si="160"/>
        <v>36205.19</v>
      </c>
      <c r="BM58" s="116">
        <f t="shared" si="160"/>
        <v>29619.047000000002</v>
      </c>
      <c r="BN58" s="116">
        <f t="shared" si="160"/>
        <v>37971.607000000004</v>
      </c>
      <c r="BO58" s="116">
        <f t="shared" ref="BO58:BS58" si="161">SUM(BO55:BO57)</f>
        <v>37091.19</v>
      </c>
      <c r="BP58" s="116">
        <f t="shared" si="161"/>
        <v>49904.663000000008</v>
      </c>
      <c r="BQ58" s="116">
        <f t="shared" si="161"/>
        <v>40928.087</v>
      </c>
      <c r="BS58" s="116">
        <f t="shared" si="161"/>
        <v>111666.75</v>
      </c>
      <c r="BT58" s="116">
        <f t="shared" ref="BT58" si="162">SUM(BT55:BT57)</f>
        <v>108880.69</v>
      </c>
    </row>
    <row r="59" spans="2:72">
      <c r="B59" s="76" t="s">
        <v>30</v>
      </c>
      <c r="C59" s="117">
        <f>C58-Model!C10</f>
        <v>0</v>
      </c>
      <c r="D59" s="117">
        <f>D58-Model!D10</f>
        <v>0</v>
      </c>
      <c r="E59" s="117">
        <f>E58-Model!E10</f>
        <v>0</v>
      </c>
      <c r="F59" s="117">
        <f>F58-Model!F10</f>
        <v>0</v>
      </c>
      <c r="G59" s="117">
        <f>G58-Model!G10</f>
        <v>0</v>
      </c>
      <c r="H59" s="117">
        <f>H58-Model!H10</f>
        <v>0</v>
      </c>
      <c r="I59" s="117">
        <f>I58-Model!I10</f>
        <v>0</v>
      </c>
      <c r="J59" s="117">
        <f>J58-Model!J10</f>
        <v>0</v>
      </c>
      <c r="K59" s="117">
        <f>K58-Model!K10</f>
        <v>0</v>
      </c>
      <c r="L59" s="117">
        <f>L58-Model!L10</f>
        <v>0</v>
      </c>
      <c r="M59" s="117">
        <f>M58-Model!M10</f>
        <v>0</v>
      </c>
      <c r="N59" s="117">
        <f>N58-Model!N10</f>
        <v>0</v>
      </c>
      <c r="O59" s="117">
        <f>O58-Model!O10</f>
        <v>2.9999999969732016E-2</v>
      </c>
      <c r="P59" s="117">
        <f>P58-Model!P10</f>
        <v>0</v>
      </c>
      <c r="Q59" s="117">
        <f>Q58-Model!Q10</f>
        <v>0</v>
      </c>
      <c r="R59" s="117"/>
      <c r="S59" s="117">
        <f>S58-Model!T10</f>
        <v>0</v>
      </c>
      <c r="T59" s="117">
        <f>T58-Model!U10</f>
        <v>0</v>
      </c>
      <c r="U59" s="117">
        <f>U58-Model!V10</f>
        <v>-9.9999999952160579E-4</v>
      </c>
      <c r="V59" s="117">
        <f>V58-Model!W10</f>
        <v>9.9999999929423211E-4</v>
      </c>
      <c r="W59" s="117">
        <f>W58-Model!X10</f>
        <v>0</v>
      </c>
      <c r="X59" s="117">
        <f>X58-Model!Y10</f>
        <v>0</v>
      </c>
      <c r="Y59" s="117">
        <f>Y58-Model!Z10</f>
        <v>0</v>
      </c>
      <c r="Z59" s="117">
        <f>Z58-Model!AA10</f>
        <v>-2.2737367544323206E-12</v>
      </c>
      <c r="AA59" s="117">
        <f>AA58-Model!AB10</f>
        <v>0</v>
      </c>
      <c r="AB59" s="117">
        <f>AB58-Model!AC10</f>
        <v>0</v>
      </c>
      <c r="AC59" s="117">
        <f>AC58-Model!AD10</f>
        <v>0</v>
      </c>
      <c r="AD59" s="117">
        <f>AD58-Model!AE10</f>
        <v>0</v>
      </c>
      <c r="AE59" s="117">
        <f>AE58-Model!AF10</f>
        <v>0</v>
      </c>
      <c r="AF59" s="117">
        <f>AF58-Model!AG10</f>
        <v>0</v>
      </c>
      <c r="AG59" s="117">
        <f>AG58-Model!AH10</f>
        <v>0</v>
      </c>
      <c r="AH59" s="117">
        <f>AH58-Model!AI10</f>
        <v>0</v>
      </c>
      <c r="AI59" s="117">
        <f>AI58-Model!AJ10</f>
        <v>2.0770000000002256</v>
      </c>
      <c r="AJ59" s="117">
        <f>AJ58-Model!AK10</f>
        <v>0</v>
      </c>
      <c r="AK59" s="117">
        <f>AK58-Model!AL10</f>
        <v>4.2919999999994616</v>
      </c>
      <c r="AL59" s="117">
        <f>AL58-Model!AM10</f>
        <v>-6.3690000000015061</v>
      </c>
      <c r="AM59" s="117">
        <f>AM58-Model!AN10</f>
        <v>0</v>
      </c>
      <c r="AN59" s="117">
        <f>AN58-Model!AO10</f>
        <v>0</v>
      </c>
      <c r="AO59" s="117">
        <f>AO58-[33]Model!AH9</f>
        <v>0</v>
      </c>
      <c r="AP59" s="117">
        <f>AP58-Model!AQ10</f>
        <v>-7.2759576141834259E-12</v>
      </c>
      <c r="AQ59" s="117">
        <f>AQ58-Model!AR10</f>
        <v>0</v>
      </c>
      <c r="AR59" s="117">
        <f>AR58-Model!AS10</f>
        <v>0</v>
      </c>
      <c r="AS59" s="117">
        <f>AS58-Model!AT10</f>
        <v>0</v>
      </c>
      <c r="AT59" s="117">
        <f>AT58-Model!AU10</f>
        <v>-2.1827872842550278E-11</v>
      </c>
      <c r="AU59" s="117">
        <f>AU58-Model!AV10</f>
        <v>-0.22199999999975262</v>
      </c>
      <c r="AV59" s="117">
        <f>AV58-Model!AW10</f>
        <v>0</v>
      </c>
      <c r="AW59" s="117">
        <f>AW58-Model!AX10</f>
        <v>0</v>
      </c>
      <c r="AX59" s="117">
        <f>AX58-Model!AY10</f>
        <v>0.22199999998338171</v>
      </c>
      <c r="AY59" s="117">
        <f>AY58-Model!AZ10</f>
        <v>0</v>
      </c>
      <c r="AZ59" s="117">
        <f>AZ58-Model!BA10</f>
        <v>0</v>
      </c>
      <c r="BA59" s="117">
        <f>BA58-Model!BB10</f>
        <v>0</v>
      </c>
      <c r="BB59" s="117">
        <f>BB58-Model!BC10</f>
        <v>2.9999999991559889E-2</v>
      </c>
      <c r="BC59" s="117">
        <f>BC58-Model!BD10</f>
        <v>0</v>
      </c>
      <c r="BD59" s="117">
        <f>BD58-Model!BE10</f>
        <v>0</v>
      </c>
      <c r="BE59" s="117">
        <f>BE58-Model!BF10</f>
        <v>0</v>
      </c>
      <c r="BF59" s="117">
        <f>BF58-Model!BG10</f>
        <v>0</v>
      </c>
      <c r="BG59" s="117">
        <f>BG58-Model!BH10</f>
        <v>0</v>
      </c>
      <c r="BI59" s="117">
        <f>BI58-Model!BJ10</f>
        <v>0</v>
      </c>
      <c r="BJ59" s="117">
        <f>BJ58-Model!BK10</f>
        <v>0</v>
      </c>
      <c r="BK59" s="117">
        <f>BK58-Model!BL10</f>
        <v>0</v>
      </c>
      <c r="BL59" s="117">
        <f>BL58-Model!BM10</f>
        <v>5.8207660913467407E-11</v>
      </c>
      <c r="BM59" s="117">
        <f>BM58-Model!BN10</f>
        <v>0</v>
      </c>
      <c r="BN59" s="117">
        <f>BN58-Model!BO10</f>
        <v>0</v>
      </c>
      <c r="BO59" s="117">
        <f>BO58-Model!BP10</f>
        <v>0</v>
      </c>
      <c r="BP59" s="117">
        <f>BP58-Model!BQ10</f>
        <v>0</v>
      </c>
      <c r="BQ59" s="117">
        <f>BQ58-Model!BR10</f>
        <v>0</v>
      </c>
      <c r="BS59" s="117">
        <f>BS58-Model!BT10</f>
        <v>0</v>
      </c>
      <c r="BT59" s="117">
        <f>BT58-Model!BU10</f>
        <v>0</v>
      </c>
    </row>
    <row r="60" spans="2:72">
      <c r="B60" s="1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7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N60" s="115"/>
      <c r="AO60" s="232"/>
      <c r="AP60" s="115"/>
      <c r="AT60" s="115"/>
      <c r="AX60" s="115"/>
      <c r="BB60" s="115"/>
      <c r="BF60" s="115"/>
    </row>
    <row r="61" spans="2:72">
      <c r="B61" s="5" t="s">
        <v>421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7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N61" s="115"/>
      <c r="AO61" s="232"/>
      <c r="AP61" s="115"/>
      <c r="AT61" s="115"/>
      <c r="AX61" s="115"/>
      <c r="BB61" s="115"/>
      <c r="BF61" s="115"/>
    </row>
    <row r="62" spans="2:72">
      <c r="B62" s="1" t="s">
        <v>415</v>
      </c>
      <c r="C62" s="141">
        <f t="shared" ref="C62:Z62" si="163">C55/C36</f>
        <v>0.33959703763294674</v>
      </c>
      <c r="D62" s="141">
        <f t="shared" si="163"/>
        <v>0.34744902496989016</v>
      </c>
      <c r="E62" s="141">
        <f t="shared" si="163"/>
        <v>0.35662499554733856</v>
      </c>
      <c r="F62" s="141">
        <f t="shared" si="163"/>
        <v>0.33120318965679424</v>
      </c>
      <c r="G62" s="141">
        <f t="shared" ref="G62:H65" si="164">G55/G36</f>
        <v>0.32830938978751983</v>
      </c>
      <c r="H62" s="141">
        <f t="shared" si="164"/>
        <v>0.33805405938969502</v>
      </c>
      <c r="I62" s="141">
        <f t="shared" ref="I62:K65" si="165">I55/I36</f>
        <v>0.36226987395376159</v>
      </c>
      <c r="J62" s="141">
        <f t="shared" si="165"/>
        <v>0.30899299040089484</v>
      </c>
      <c r="K62" s="141">
        <f t="shared" ref="K62:M62" si="166">K55/K36</f>
        <v>0.29423287304329743</v>
      </c>
      <c r="L62" s="141">
        <f t="shared" ref="L62" si="167">L55/L36</f>
        <v>0.27214840483600056</v>
      </c>
      <c r="M62" s="141">
        <f t="shared" si="166"/>
        <v>0.30851386852399565</v>
      </c>
      <c r="N62" s="141">
        <f t="shared" ref="N62" si="168">N55/N36</f>
        <v>0.30851386484001708</v>
      </c>
      <c r="O62" s="141">
        <f t="shared" ref="O62:P62" si="169">O55/O36</f>
        <v>0.27065718239847381</v>
      </c>
      <c r="P62" s="141">
        <f t="shared" si="169"/>
        <v>0.27065709330511317</v>
      </c>
      <c r="Q62" s="141">
        <f t="shared" ref="Q62" si="170">Q55/Q36</f>
        <v>0.28060134103668577</v>
      </c>
      <c r="R62" s="145"/>
      <c r="S62" s="141">
        <f t="shared" si="163"/>
        <v>0.36539105679165962</v>
      </c>
      <c r="T62" s="141">
        <f t="shared" si="163"/>
        <v>0.3701643113719752</v>
      </c>
      <c r="U62" s="141">
        <f t="shared" si="163"/>
        <v>0.35648061280041443</v>
      </c>
      <c r="V62" s="141">
        <f t="shared" si="163"/>
        <v>0.33927345109827095</v>
      </c>
      <c r="W62" s="141">
        <f t="shared" si="163"/>
        <v>0.34891587550860154</v>
      </c>
      <c r="X62" s="141">
        <f t="shared" si="163"/>
        <v>0.33226712785953305</v>
      </c>
      <c r="Y62" s="141">
        <f t="shared" si="163"/>
        <v>0.33057844784005086</v>
      </c>
      <c r="Z62" s="141">
        <f t="shared" si="163"/>
        <v>0.31659738857723957</v>
      </c>
      <c r="AA62" s="141">
        <f t="shared" ref="AA62:AB65" si="171">AA55/AA36</f>
        <v>0.32531281793592892</v>
      </c>
      <c r="AB62" s="141">
        <f t="shared" si="171"/>
        <v>0.31919459771829101</v>
      </c>
      <c r="AC62" s="141">
        <f t="shared" ref="AC62:AE65" si="172">AC55/AC36</f>
        <v>0.33081154361579457</v>
      </c>
      <c r="AD62" s="141">
        <f t="shared" si="172"/>
        <v>0.33494618805006859</v>
      </c>
      <c r="AE62" s="141">
        <f t="shared" ref="AE62:AF64" si="173">AE55/AE36</f>
        <v>0.34241464062963489</v>
      </c>
      <c r="AF62" s="141">
        <f t="shared" si="173"/>
        <v>0.32496642376401547</v>
      </c>
      <c r="AG62" s="141">
        <f t="shared" ref="AG62:AJ65" si="174">AG55/AG36</f>
        <v>0.35169373361542039</v>
      </c>
      <c r="AH62" s="141">
        <f t="shared" si="174"/>
        <v>0.33372187810468146</v>
      </c>
      <c r="AI62" s="141">
        <f t="shared" si="174"/>
        <v>0.33557582795701929</v>
      </c>
      <c r="AJ62" s="141">
        <f t="shared" si="174"/>
        <v>0.33705793317780219</v>
      </c>
      <c r="AK62" s="141">
        <f t="shared" ref="AK62:AL65" si="175">AK55/AK36</f>
        <v>0.37246811634790938</v>
      </c>
      <c r="AL62" s="141">
        <f t="shared" si="175"/>
        <v>0.38085616440968478</v>
      </c>
      <c r="AM62" s="141">
        <f t="shared" ref="AM62:AP65" si="176">AM55/AM36</f>
        <v>0.36455433596105447</v>
      </c>
      <c r="AN62" s="141">
        <f t="shared" si="176"/>
        <v>0.31365600001435218</v>
      </c>
      <c r="AO62" s="233">
        <f t="shared" si="176"/>
        <v>0.28464207681082881</v>
      </c>
      <c r="AP62" s="141">
        <f t="shared" si="176"/>
        <v>0.29453427238351476</v>
      </c>
      <c r="AQ62" s="141">
        <f t="shared" ref="AQ62:AR65" si="177">AQ55/AQ36</f>
        <v>0.30963030736822705</v>
      </c>
      <c r="AR62" s="141">
        <f t="shared" si="177"/>
        <v>0.29575808471545856</v>
      </c>
      <c r="AS62" s="141">
        <f t="shared" ref="AS62:AV62" si="178">AS55/AS36</f>
        <v>0.28432821285374704</v>
      </c>
      <c r="AT62" s="141">
        <f t="shared" si="178"/>
        <v>0.29082690681357587</v>
      </c>
      <c r="AU62" s="141">
        <f t="shared" si="178"/>
        <v>0.32251395501133034</v>
      </c>
      <c r="AV62" s="141">
        <f t="shared" si="178"/>
        <v>0.32984801864435187</v>
      </c>
      <c r="AW62" s="141">
        <f t="shared" ref="AW62:AZ62" si="179">AW55/AW36</f>
        <v>0.33973293372309205</v>
      </c>
      <c r="AX62" s="141">
        <f t="shared" si="179"/>
        <v>0.27870811324214423</v>
      </c>
      <c r="AY62" s="141">
        <f t="shared" si="179"/>
        <v>0.31494075037492814</v>
      </c>
      <c r="AZ62" s="141">
        <f t="shared" si="179"/>
        <v>0.26230507855584551</v>
      </c>
      <c r="BA62" s="141">
        <f t="shared" ref="BA62:BB62" si="180">BA55/BA36</f>
        <v>0.2507973456215869</v>
      </c>
      <c r="BB62" s="141">
        <f t="shared" si="180"/>
        <v>0.26906772353608538</v>
      </c>
      <c r="BC62" s="141">
        <f>BC55/BC36</f>
        <v>0.27956424328874474</v>
      </c>
      <c r="BD62" s="141">
        <f t="shared" ref="BD62:BE62" si="181">BD55/BD36</f>
        <v>0.27055569790788814</v>
      </c>
      <c r="BE62" s="141">
        <f t="shared" si="181"/>
        <v>0.28553728541355811</v>
      </c>
      <c r="BF62" s="141">
        <f>BF55/BF36</f>
        <v>0.2842893487497119</v>
      </c>
      <c r="BG62" s="141">
        <f>BG55/BG36</f>
        <v>0.28977910957683006</v>
      </c>
      <c r="BI62" s="141">
        <f t="shared" ref="BI62:BK65" si="182">BI55/BI36</f>
        <v>0.30209838356602575</v>
      </c>
      <c r="BJ62" s="141">
        <f t="shared" si="182"/>
        <v>0.31040062221880355</v>
      </c>
      <c r="BK62" s="141">
        <f t="shared" si="182"/>
        <v>0.31420467004272851</v>
      </c>
      <c r="BL62" s="141">
        <f t="shared" ref="BL62:BO62" si="183">BL55/BL36</f>
        <v>0.30669242210966902</v>
      </c>
      <c r="BM62" s="141">
        <f t="shared" si="183"/>
        <v>0.31494074464470495</v>
      </c>
      <c r="BN62" s="141">
        <f t="shared" si="183"/>
        <v>0.26230507819129933</v>
      </c>
      <c r="BO62" s="141">
        <f t="shared" si="183"/>
        <v>0.25079734685823263</v>
      </c>
      <c r="BP62" s="141">
        <f t="shared" ref="BP62:BQ62" si="184">BP55/BP36</f>
        <v>0.26821001726243138</v>
      </c>
      <c r="BQ62" s="141">
        <f t="shared" si="184"/>
        <v>0.27956424070089736</v>
      </c>
      <c r="BS62" s="141">
        <f t="shared" ref="BS62:BT62" si="185">BS55/BS36</f>
        <v>0.27315778268854368</v>
      </c>
      <c r="BT62" s="141">
        <f t="shared" si="185"/>
        <v>0.27858779811843298</v>
      </c>
    </row>
    <row r="63" spans="2:72">
      <c r="B63" s="1" t="s">
        <v>416</v>
      </c>
      <c r="C63" s="141">
        <f t="shared" ref="C63:Z63" si="186">C56/C37</f>
        <v>0.24187361780410496</v>
      </c>
      <c r="D63" s="141">
        <f t="shared" si="186"/>
        <v>0.22033208488626108</v>
      </c>
      <c r="E63" s="141">
        <f t="shared" si="186"/>
        <v>0.29152487387299103</v>
      </c>
      <c r="F63" s="141">
        <f t="shared" si="186"/>
        <v>0.203596010448929</v>
      </c>
      <c r="G63" s="141">
        <f t="shared" si="164"/>
        <v>0.22321236094101699</v>
      </c>
      <c r="H63" s="141">
        <f t="shared" si="164"/>
        <v>0.2344790479067595</v>
      </c>
      <c r="I63" s="141">
        <f t="shared" si="165"/>
        <v>0.22357214015615764</v>
      </c>
      <c r="J63" s="141">
        <f t="shared" si="165"/>
        <v>0.19240224132679778</v>
      </c>
      <c r="K63" s="141">
        <f t="shared" ref="K63:M63" si="187">K56/K37</f>
        <v>0.26849980207496654</v>
      </c>
      <c r="L63" s="141">
        <f t="shared" ref="L63" si="188">L56/L37</f>
        <v>0.1766573541578246</v>
      </c>
      <c r="M63" s="141">
        <f t="shared" si="187"/>
        <v>0.1360081909623789</v>
      </c>
      <c r="N63" s="141">
        <f t="shared" ref="N63" si="189">N56/N37</f>
        <v>0.13600822175460017</v>
      </c>
      <c r="O63" s="141">
        <f t="shared" ref="O63:P63" si="190">O56/O37</f>
        <v>0.14692150021779907</v>
      </c>
      <c r="P63" s="141">
        <f t="shared" si="190"/>
        <v>0.1469215281787333</v>
      </c>
      <c r="Q63" s="141">
        <f t="shared" ref="Q63" si="191">Q56/Q37</f>
        <v>0.10779630647835318</v>
      </c>
      <c r="R63" s="145"/>
      <c r="S63" s="141">
        <f t="shared" si="186"/>
        <v>0.31689754130731596</v>
      </c>
      <c r="T63" s="141">
        <f t="shared" si="186"/>
        <v>0.31663073392216673</v>
      </c>
      <c r="U63" s="141">
        <f t="shared" si="186"/>
        <v>0.28514324629564614</v>
      </c>
      <c r="V63" s="141">
        <f t="shared" si="186"/>
        <v>0.25264836656724232</v>
      </c>
      <c r="W63" s="141">
        <f t="shared" si="186"/>
        <v>0.18070437911932394</v>
      </c>
      <c r="X63" s="141">
        <f t="shared" si="186"/>
        <v>0.17024670710164494</v>
      </c>
      <c r="Y63" s="141">
        <f t="shared" si="186"/>
        <v>0.20843622585073826</v>
      </c>
      <c r="Z63" s="141">
        <f t="shared" si="186"/>
        <v>0.23704897249400281</v>
      </c>
      <c r="AA63" s="141">
        <f t="shared" si="171"/>
        <v>0.24223322400117719</v>
      </c>
      <c r="AB63" s="141">
        <f t="shared" si="171"/>
        <v>0.21475307071347449</v>
      </c>
      <c r="AC63" s="141">
        <f t="shared" si="172"/>
        <v>0.24789945132219882</v>
      </c>
      <c r="AD63" s="141">
        <f t="shared" si="172"/>
        <v>0.19546080477674566</v>
      </c>
      <c r="AE63" s="141">
        <f t="shared" si="173"/>
        <v>0.23250909401676417</v>
      </c>
      <c r="AF63" s="141">
        <f t="shared" si="173"/>
        <v>0.25618893365989837</v>
      </c>
      <c r="AG63" s="141">
        <f t="shared" si="174"/>
        <v>0.22516513202428903</v>
      </c>
      <c r="AH63" s="141">
        <f t="shared" si="174"/>
        <v>0.22660113812726312</v>
      </c>
      <c r="AI63" s="141">
        <f t="shared" si="174"/>
        <v>0.23298660552180528</v>
      </c>
      <c r="AJ63" s="141">
        <f t="shared" si="174"/>
        <v>0.21786920821692038</v>
      </c>
      <c r="AK63" s="141">
        <f t="shared" si="175"/>
        <v>0.21243978612339653</v>
      </c>
      <c r="AL63" s="141">
        <f t="shared" si="175"/>
        <v>0.22973300729061388</v>
      </c>
      <c r="AM63" s="141">
        <f t="shared" si="176"/>
        <v>0.20463433095385433</v>
      </c>
      <c r="AN63" s="141">
        <f t="shared" si="176"/>
        <v>0.21305247084575205</v>
      </c>
      <c r="AO63" s="233">
        <f t="shared" si="176"/>
        <v>0.18042289965041725</v>
      </c>
      <c r="AP63" s="141">
        <f t="shared" si="176"/>
        <v>0.18179640340750572</v>
      </c>
      <c r="AQ63" s="141">
        <f t="shared" si="177"/>
        <v>0.25600687032535274</v>
      </c>
      <c r="AR63" s="141">
        <f t="shared" si="177"/>
        <v>0.27461854416583875</v>
      </c>
      <c r="AS63" s="141">
        <f t="shared" ref="AS63:AV63" si="192">AS56/AS37</f>
        <v>0.25645736065509772</v>
      </c>
      <c r="AT63" s="141">
        <f t="shared" si="192"/>
        <v>0.27941271931657602</v>
      </c>
      <c r="AU63" s="141">
        <f t="shared" si="192"/>
        <v>0.20021583695175979</v>
      </c>
      <c r="AV63" s="141">
        <f t="shared" si="192"/>
        <v>0.23378687442890123</v>
      </c>
      <c r="AW63" s="141">
        <f t="shared" ref="AW63:AZ63" si="193">AW56/AW37</f>
        <v>0.23839482887809429</v>
      </c>
      <c r="AX63" s="141">
        <f t="shared" si="193"/>
        <v>3.9851211740005187E-2</v>
      </c>
      <c r="AY63" s="141">
        <f t="shared" si="193"/>
        <v>0.12714617965180935</v>
      </c>
      <c r="AZ63" s="141">
        <f t="shared" si="193"/>
        <v>0.16724563581594984</v>
      </c>
      <c r="BA63" s="141">
        <f t="shared" ref="BA63:BD63" si="194">BA56/BA37</f>
        <v>0.1827727737319535</v>
      </c>
      <c r="BB63" s="141">
        <f t="shared" si="194"/>
        <v>0.12680811396101341</v>
      </c>
      <c r="BC63" s="141">
        <f t="shared" si="194"/>
        <v>0.10770705400459077</v>
      </c>
      <c r="BD63" s="141">
        <f t="shared" si="194"/>
        <v>0.10640186133777454</v>
      </c>
      <c r="BE63" s="141">
        <f t="shared" ref="BE63:BG63" si="195">BE56/BE37</f>
        <v>9.5271966698568258E-2</v>
      </c>
      <c r="BF63" s="141">
        <f t="shared" si="195"/>
        <v>0.11815255428676445</v>
      </c>
      <c r="BG63" s="141">
        <f t="shared" si="195"/>
        <v>0.15748031780360949</v>
      </c>
      <c r="BI63" s="141">
        <f t="shared" ref="BI63:BJ63" si="196">BI56/BI37</f>
        <v>0.15699533440924385</v>
      </c>
      <c r="BJ63" s="141">
        <f t="shared" si="196"/>
        <v>0.23131856036203377</v>
      </c>
      <c r="BK63" s="141">
        <f t="shared" si="182"/>
        <v>9.4188492551686612E-2</v>
      </c>
      <c r="BL63" s="141">
        <f t="shared" ref="BL63:BO63" si="197">BL56/BL37</f>
        <v>0.10540339810829798</v>
      </c>
      <c r="BM63" s="141">
        <f t="shared" si="197"/>
        <v>0.12714618834766081</v>
      </c>
      <c r="BN63" s="141">
        <f t="shared" si="197"/>
        <v>0.16724564750136517</v>
      </c>
      <c r="BO63" s="141">
        <f t="shared" si="197"/>
        <v>0.18277282964368577</v>
      </c>
      <c r="BP63" s="141">
        <f t="shared" ref="BP63:BQ63" si="198">BP56/BP37</f>
        <v>0.12530533813395925</v>
      </c>
      <c r="BQ63" s="141">
        <f t="shared" si="198"/>
        <v>0.10770706111627766</v>
      </c>
      <c r="BS63" s="141">
        <f t="shared" ref="BS63:BT63" si="199">BS56/BS37</f>
        <v>0.1559475202725536</v>
      </c>
      <c r="BT63" s="141">
        <f t="shared" si="199"/>
        <v>0.10333507317817631</v>
      </c>
    </row>
    <row r="64" spans="2:72">
      <c r="B64" s="1" t="s">
        <v>45</v>
      </c>
      <c r="C64" s="141">
        <f t="shared" ref="C64:Z64" si="200">C57/C38</f>
        <v>0.28255022469553337</v>
      </c>
      <c r="D64" s="141">
        <f t="shared" si="200"/>
        <v>0.27580102803374607</v>
      </c>
      <c r="E64" s="141">
        <f t="shared" si="200"/>
        <v>0.2503908078924072</v>
      </c>
      <c r="F64" s="141">
        <f t="shared" si="200"/>
        <v>0.31426934654596977</v>
      </c>
      <c r="G64" s="141">
        <f t="shared" si="164"/>
        <v>0.33056194993780014</v>
      </c>
      <c r="H64" s="141">
        <f t="shared" si="164"/>
        <v>0.29007197876482915</v>
      </c>
      <c r="I64" s="141">
        <f t="shared" si="165"/>
        <v>0.2920649074827803</v>
      </c>
      <c r="J64" s="141">
        <f t="shared" si="165"/>
        <v>0.31533333923030982</v>
      </c>
      <c r="K64" s="141">
        <f t="shared" ref="K64:M64" si="201">K57/K38</f>
        <v>0.31136630352178402</v>
      </c>
      <c r="L64" s="141">
        <f t="shared" ref="L64" si="202">L57/L38</f>
        <v>0.28159857750759187</v>
      </c>
      <c r="M64" s="141">
        <f t="shared" si="201"/>
        <v>0.29199112022565871</v>
      </c>
      <c r="N64" s="141">
        <f t="shared" ref="N64" si="203">N57/N38</f>
        <v>0.29199113397174331</v>
      </c>
      <c r="O64" s="141">
        <f t="shared" ref="O64:P64" si="204">O57/O38</f>
        <v>0.33397929127839887</v>
      </c>
      <c r="P64" s="141">
        <f t="shared" si="204"/>
        <v>0.33397927794535198</v>
      </c>
      <c r="Q64" s="141">
        <f t="shared" ref="Q64" si="205">Q57/Q38</f>
        <v>0.3638924120197376</v>
      </c>
      <c r="R64" s="145"/>
      <c r="S64" s="141">
        <f t="shared" si="200"/>
        <v>0.24393577462013941</v>
      </c>
      <c r="T64" s="141">
        <f t="shared" si="200"/>
        <v>0.25216254081752953</v>
      </c>
      <c r="U64" s="141">
        <f t="shared" si="200"/>
        <v>0.2521589745963656</v>
      </c>
      <c r="V64" s="141">
        <f t="shared" si="200"/>
        <v>0.25262389461284501</v>
      </c>
      <c r="W64" s="141">
        <f t="shared" si="200"/>
        <v>0.28725928896131137</v>
      </c>
      <c r="X64" s="141">
        <f t="shared" si="200"/>
        <v>0.29546548005735168</v>
      </c>
      <c r="Y64" s="141">
        <f t="shared" si="200"/>
        <v>0.34416927297503347</v>
      </c>
      <c r="Z64" s="141">
        <f t="shared" si="200"/>
        <v>0.33687037931646002</v>
      </c>
      <c r="AA64" s="141">
        <f t="shared" si="171"/>
        <v>0.30587143871681843</v>
      </c>
      <c r="AB64" s="141">
        <f t="shared" si="171"/>
        <v>0.29063361894605227</v>
      </c>
      <c r="AC64" s="141">
        <f t="shared" si="172"/>
        <v>0.35344587525197019</v>
      </c>
      <c r="AD64" s="141">
        <f t="shared" si="172"/>
        <v>0.39175905490623802</v>
      </c>
      <c r="AE64" s="141">
        <f t="shared" si="173"/>
        <v>0.29676581057760631</v>
      </c>
      <c r="AF64" s="141">
        <f t="shared" si="173"/>
        <v>0.292387110616524</v>
      </c>
      <c r="AG64" s="141">
        <f t="shared" si="174"/>
        <v>0.27572509294737546</v>
      </c>
      <c r="AH64" s="141">
        <f t="shared" si="174"/>
        <v>0.2945571505050753</v>
      </c>
      <c r="AI64" s="141">
        <f t="shared" si="174"/>
        <v>0.30153958627377647</v>
      </c>
      <c r="AJ64" s="141">
        <f t="shared" si="174"/>
        <v>0.26057532391326527</v>
      </c>
      <c r="AK64" s="141">
        <f t="shared" si="175"/>
        <v>0.28163026976526917</v>
      </c>
      <c r="AL64" s="141">
        <f t="shared" si="175"/>
        <v>0.32846539598673663</v>
      </c>
      <c r="AM64" s="141">
        <f t="shared" si="176"/>
        <v>0.32985435019314374</v>
      </c>
      <c r="AN64" s="141">
        <f t="shared" si="176"/>
        <v>0.28972472588422782</v>
      </c>
      <c r="AO64" s="233">
        <f t="shared" si="176"/>
        <v>0.32186791749203236</v>
      </c>
      <c r="AP64" s="141">
        <f t="shared" si="176"/>
        <v>0.32056446080693562</v>
      </c>
      <c r="AQ64" s="141">
        <f t="shared" si="177"/>
        <v>0.32497397271609374</v>
      </c>
      <c r="AR64" s="141">
        <f t="shared" si="177"/>
        <v>0.30506388800053791</v>
      </c>
      <c r="AS64" s="141">
        <f t="shared" ref="AS64:AV64" si="206">AS57/AS38</f>
        <v>0.32366255801671595</v>
      </c>
      <c r="AT64" s="141">
        <f t="shared" si="206"/>
        <v>0.29457014378665169</v>
      </c>
      <c r="AU64" s="141">
        <f t="shared" si="206"/>
        <v>0.30820631195736753</v>
      </c>
      <c r="AV64" s="141">
        <f t="shared" si="206"/>
        <v>0.30562839561599953</v>
      </c>
      <c r="AW64" s="141">
        <f t="shared" ref="AW64:AZ64" si="207">AW57/AW38</f>
        <v>0.30868231009763797</v>
      </c>
      <c r="AX64" s="141">
        <f t="shared" si="207"/>
        <v>0.2688653915553072</v>
      </c>
      <c r="AY64" s="141">
        <f t="shared" si="207"/>
        <v>0.28873189882593797</v>
      </c>
      <c r="AZ64" s="141">
        <f t="shared" si="207"/>
        <v>0.35088426041116816</v>
      </c>
      <c r="BA64" s="141">
        <f t="shared" ref="BA64:BD64" si="208">BA57/BA38</f>
        <v>0.33833998063911402</v>
      </c>
      <c r="BB64" s="141">
        <f t="shared" si="208"/>
        <v>0.33807871615392743</v>
      </c>
      <c r="BC64" s="141">
        <f t="shared" si="208"/>
        <v>0.3602254657819785</v>
      </c>
      <c r="BD64" s="141">
        <f t="shared" si="208"/>
        <v>0.36552612656657452</v>
      </c>
      <c r="BE64" s="141">
        <f t="shared" ref="BE64:BG64" si="209">BE57/BE38</f>
        <v>0.36553504780640278</v>
      </c>
      <c r="BF64" s="141">
        <f t="shared" si="209"/>
        <v>0.36383038984651411</v>
      </c>
      <c r="BG64" s="141">
        <f t="shared" si="209"/>
        <v>0.36108548840921684</v>
      </c>
      <c r="BI64" s="141">
        <f t="shared" ref="BI64:BJ64" si="210">BI57/BI38</f>
        <v>0.27599983246756127</v>
      </c>
      <c r="BJ64" s="141">
        <f t="shared" si="210"/>
        <v>0.33735794704480715</v>
      </c>
      <c r="BK64" s="141">
        <f t="shared" si="182"/>
        <v>0.27601069344026768</v>
      </c>
      <c r="BL64" s="141">
        <f t="shared" ref="BL64:BO64" si="211">BL57/BL38</f>
        <v>0.27466561878131585</v>
      </c>
      <c r="BM64" s="141">
        <f t="shared" si="211"/>
        <v>0.28873193230444666</v>
      </c>
      <c r="BN64" s="141">
        <f t="shared" si="211"/>
        <v>0.35088425079536151</v>
      </c>
      <c r="BO64" s="141">
        <f t="shared" si="211"/>
        <v>0.33833993433740084</v>
      </c>
      <c r="BP64" s="141">
        <f t="shared" ref="BP64:BQ64" si="212">BP57/BP38</f>
        <v>0.33917322039380948</v>
      </c>
      <c r="BQ64" s="141">
        <f t="shared" si="212"/>
        <v>0.36022545821189866</v>
      </c>
      <c r="BS64" s="141">
        <f t="shared" ref="BS64:BT64" si="213">BS57/BS38</f>
        <v>0.33113338118636837</v>
      </c>
      <c r="BT64" s="141">
        <f t="shared" si="213"/>
        <v>0.3638129985370438</v>
      </c>
    </row>
    <row r="65" spans="2:72" s="50" customFormat="1" ht="12" customHeight="1">
      <c r="B65" s="5" t="s">
        <v>417</v>
      </c>
      <c r="C65" s="143">
        <f t="shared" ref="C65:Z65" si="214">C58/C39</f>
        <v>0.31794961704192404</v>
      </c>
      <c r="D65" s="143">
        <f t="shared" si="214"/>
        <v>0.32019349009254489</v>
      </c>
      <c r="E65" s="143">
        <f t="shared" si="214"/>
        <v>0.33172854193353912</v>
      </c>
      <c r="F65" s="143">
        <f t="shared" si="214"/>
        <v>0.3121884658575062</v>
      </c>
      <c r="G65" s="143">
        <f t="shared" si="164"/>
        <v>0.31763455353595904</v>
      </c>
      <c r="H65" s="143">
        <f t="shared" si="164"/>
        <v>0.32118151362480724</v>
      </c>
      <c r="I65" s="143">
        <f t="shared" si="165"/>
        <v>0.33779139378441975</v>
      </c>
      <c r="J65" s="143">
        <f t="shared" si="165"/>
        <v>0.30033752423591903</v>
      </c>
      <c r="K65" s="143">
        <f t="shared" si="165"/>
        <v>0.29490865986932596</v>
      </c>
      <c r="L65" s="143">
        <f t="shared" ref="L65" si="215">L58/L39</f>
        <v>0.26702172083021625</v>
      </c>
      <c r="M65" s="143">
        <f t="shared" ref="M65:O65" si="216">M58/M39</f>
        <v>0.29318123996633128</v>
      </c>
      <c r="N65" s="143">
        <f t="shared" ref="N65" si="217">N58/N39</f>
        <v>0.2931812416048018</v>
      </c>
      <c r="O65" s="143">
        <f t="shared" si="216"/>
        <v>0.27558640932691486</v>
      </c>
      <c r="P65" s="143">
        <f t="shared" ref="P65:Q65" si="218">P58/P39</f>
        <v>0.27558633998869686</v>
      </c>
      <c r="Q65" s="143">
        <f t="shared" si="218"/>
        <v>0.28781003413218681</v>
      </c>
      <c r="R65" s="224"/>
      <c r="S65" s="143">
        <f t="shared" si="214"/>
        <v>0.33850666586533212</v>
      </c>
      <c r="T65" s="143">
        <f t="shared" si="214"/>
        <v>0.34162087870458202</v>
      </c>
      <c r="U65" s="143">
        <f t="shared" si="214"/>
        <v>0.33331839420538173</v>
      </c>
      <c r="V65" s="143">
        <f t="shared" si="214"/>
        <v>0.31635701030351548</v>
      </c>
      <c r="W65" s="143">
        <f t="shared" si="214"/>
        <v>0.31891260168303243</v>
      </c>
      <c r="X65" s="143">
        <f t="shared" si="214"/>
        <v>0.307126921799451</v>
      </c>
      <c r="Y65" s="143">
        <f t="shared" si="214"/>
        <v>0.31704901638168914</v>
      </c>
      <c r="Z65" s="143">
        <f t="shared" si="214"/>
        <v>0.30658281793976244</v>
      </c>
      <c r="AA65" s="143">
        <f t="shared" si="171"/>
        <v>0.31249600073302541</v>
      </c>
      <c r="AB65" s="143">
        <f t="shared" si="171"/>
        <v>0.30314073035290967</v>
      </c>
      <c r="AC65" s="143">
        <f t="shared" si="172"/>
        <v>0.32623861894168288</v>
      </c>
      <c r="AD65" s="143">
        <f t="shared" si="172"/>
        <v>0.32509425752691229</v>
      </c>
      <c r="AE65" s="143">
        <f t="shared" si="172"/>
        <v>0.32434744674744431</v>
      </c>
      <c r="AF65" s="143">
        <f>AF58/AF39</f>
        <v>0.31365181071716736</v>
      </c>
      <c r="AG65" s="143">
        <f t="shared" si="174"/>
        <v>0.33052209502578905</v>
      </c>
      <c r="AH65" s="143">
        <f t="shared" si="174"/>
        <v>0.31694817097404793</v>
      </c>
      <c r="AI65" s="143">
        <f t="shared" si="174"/>
        <v>0.31796409359580041</v>
      </c>
      <c r="AJ65" s="143">
        <f>AJ58/AJ39</f>
        <v>0.30889008595236367</v>
      </c>
      <c r="AK65" s="143">
        <f t="shared" si="175"/>
        <v>0.34608111554926196</v>
      </c>
      <c r="AL65" s="143">
        <f t="shared" si="175"/>
        <v>0.35889456890237492</v>
      </c>
      <c r="AM65" s="143">
        <f t="shared" si="176"/>
        <v>0.34526388008947145</v>
      </c>
      <c r="AN65" s="143">
        <f t="shared" si="176"/>
        <v>0.30226268496273739</v>
      </c>
      <c r="AO65" s="234">
        <f t="shared" si="176"/>
        <v>0.28243169374818156</v>
      </c>
      <c r="AP65" s="143">
        <f t="shared" si="176"/>
        <v>0.28762145164988362</v>
      </c>
      <c r="AQ65" s="143">
        <f t="shared" si="177"/>
        <v>0.30842547833887435</v>
      </c>
      <c r="AR65" s="143">
        <f t="shared" si="177"/>
        <v>0.29619330453312992</v>
      </c>
      <c r="AS65" s="143">
        <f t="shared" ref="AS65:AV65" si="219">AS58/AS39</f>
        <v>0.28787961324902345</v>
      </c>
      <c r="AT65" s="143">
        <f t="shared" si="219"/>
        <v>0.29027974672304546</v>
      </c>
      <c r="AU65" s="143">
        <f t="shared" si="219"/>
        <v>0.31124563586762133</v>
      </c>
      <c r="AV65" s="143">
        <f t="shared" si="219"/>
        <v>0.31945240655616691</v>
      </c>
      <c r="AW65" s="143">
        <f t="shared" ref="AW65:AZ65" si="220">AW58/AW39</f>
        <v>0.32769020474344629</v>
      </c>
      <c r="AX65" s="143">
        <f t="shared" si="220"/>
        <v>0.25781168748810807</v>
      </c>
      <c r="AY65" s="143">
        <f t="shared" si="220"/>
        <v>0.29678086868900089</v>
      </c>
      <c r="AZ65" s="143">
        <f t="shared" si="220"/>
        <v>0.27678454407593295</v>
      </c>
      <c r="BA65" s="143">
        <f t="shared" ref="BA65:BD65" si="221">BA58/BA39</f>
        <v>0.26403266692853022</v>
      </c>
      <c r="BB65" s="143">
        <f t="shared" si="221"/>
        <v>0.27266843274888014</v>
      </c>
      <c r="BC65" s="143">
        <f t="shared" si="221"/>
        <v>0.28661660412346518</v>
      </c>
      <c r="BD65" s="143">
        <f t="shared" si="221"/>
        <v>0.28404304613628972</v>
      </c>
      <c r="BE65" s="143">
        <f t="shared" ref="BE65:BG65" si="222">BE58/BE39</f>
        <v>0.29072756250403886</v>
      </c>
      <c r="BF65" s="143">
        <f t="shared" si="222"/>
        <v>0.28913735377344002</v>
      </c>
      <c r="BG65" s="143">
        <f t="shared" si="222"/>
        <v>0.29800786325930545</v>
      </c>
      <c r="BI65" s="143">
        <f t="shared" ref="BI65:BJ65" si="223">BI58/BI39</f>
        <v>0.28769318202183092</v>
      </c>
      <c r="BJ65" s="143">
        <f t="shared" si="223"/>
        <v>0.31059478521787881</v>
      </c>
      <c r="BK65" s="143">
        <f t="shared" si="182"/>
        <v>0.29289727268134164</v>
      </c>
      <c r="BL65" s="143">
        <f t="shared" ref="BL65:BO65" si="224">BL58/BL39</f>
        <v>0.28504796519965642</v>
      </c>
      <c r="BM65" s="143">
        <f t="shared" si="224"/>
        <v>0.29678087102577516</v>
      </c>
      <c r="BN65" s="143">
        <f t="shared" si="224"/>
        <v>0.27678454091169263</v>
      </c>
      <c r="BO65" s="143">
        <f t="shared" si="224"/>
        <v>0.26403266149368132</v>
      </c>
      <c r="BP65" s="143">
        <f t="shared" ref="BP65:BQ65" si="225">BP58/BP39</f>
        <v>0.27200772665226175</v>
      </c>
      <c r="BQ65" s="143">
        <f t="shared" si="225"/>
        <v>0.28661660046655207</v>
      </c>
      <c r="BS65" s="143">
        <f t="shared" ref="BS65:BT65" si="226">BS58/BS39</f>
        <v>0.27798671022043014</v>
      </c>
      <c r="BT65" s="143">
        <f t="shared" si="226"/>
        <v>0.28708016861180885</v>
      </c>
    </row>
    <row r="66" spans="2:72">
      <c r="B66" s="1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7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N66" s="115"/>
      <c r="AO66" s="232"/>
      <c r="AP66" s="115"/>
      <c r="AT66" s="115"/>
      <c r="AX66" s="115"/>
      <c r="BB66" s="115"/>
      <c r="BF66" s="115"/>
    </row>
    <row r="67" spans="2:72">
      <c r="B67" s="104" t="s">
        <v>422</v>
      </c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222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I67" s="38"/>
      <c r="BJ67" s="38"/>
      <c r="BK67" s="38"/>
      <c r="BL67" s="38"/>
      <c r="BM67" s="38"/>
      <c r="BN67" s="38"/>
      <c r="BO67" s="38"/>
      <c r="BP67" s="38"/>
      <c r="BQ67" s="38"/>
      <c r="BS67" s="38"/>
      <c r="BT67" s="38"/>
    </row>
    <row r="68" spans="2:72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U68" s="1"/>
      <c r="V68" s="1"/>
      <c r="W68" s="1"/>
      <c r="Y68" s="1"/>
      <c r="Z68" s="1"/>
      <c r="AD68" s="1"/>
      <c r="AH68" s="1"/>
      <c r="AL68" s="1"/>
      <c r="AP68" s="1"/>
      <c r="AT68" s="1"/>
      <c r="AX68" s="1"/>
      <c r="BB68" s="1"/>
      <c r="BF68" s="1"/>
    </row>
    <row r="69" spans="2:72">
      <c r="B69" s="1" t="s">
        <v>415</v>
      </c>
      <c r="C69" s="134">
        <v>388.53199999999998</v>
      </c>
      <c r="D69" s="134">
        <v>556.12</v>
      </c>
      <c r="E69" s="134">
        <v>668.54499999999996</v>
      </c>
      <c r="F69" s="134">
        <v>819.70100000000002</v>
      </c>
      <c r="G69" s="134">
        <v>1571.424</v>
      </c>
      <c r="H69" s="134">
        <v>1164.6559999999999</v>
      </c>
      <c r="I69" s="134">
        <v>1464.492</v>
      </c>
      <c r="J69" s="134">
        <v>2100.8240000000001</v>
      </c>
      <c r="K69" s="134">
        <v>4913.7920000000004</v>
      </c>
      <c r="L69" s="134">
        <v>9825.2620000000006</v>
      </c>
      <c r="M69" s="134">
        <v>12618.541999999999</v>
      </c>
      <c r="N69" s="134">
        <v>16981.716</v>
      </c>
      <c r="O69" s="134">
        <v>21852.688999999998</v>
      </c>
      <c r="P69" s="134">
        <v>28603.493999999999</v>
      </c>
      <c r="Q69" s="134">
        <v>17095.465</v>
      </c>
      <c r="R69" s="134"/>
      <c r="S69" s="134">
        <v>118.86799999999999</v>
      </c>
      <c r="T69" s="134">
        <v>119.572</v>
      </c>
      <c r="U69" s="134">
        <v>121.404</v>
      </c>
      <c r="V69" s="135">
        <f>E69-SUM(S69:U69)</f>
        <v>308.70099999999996</v>
      </c>
      <c r="W69" s="134">
        <v>110.429</v>
      </c>
      <c r="X69" s="134">
        <v>179.244</v>
      </c>
      <c r="Y69" s="134">
        <v>198.25299999999999</v>
      </c>
      <c r="Z69" s="135">
        <f>F69-SUM(W69:Y69)</f>
        <v>331.77500000000003</v>
      </c>
      <c r="AA69" s="134">
        <v>194.27500000000001</v>
      </c>
      <c r="AB69" s="134">
        <v>334.98200000000003</v>
      </c>
      <c r="AC69" s="134">
        <v>397.74799999999999</v>
      </c>
      <c r="AD69" s="135">
        <f>G69-AC69-AB69-AA69</f>
        <v>644.41899999999998</v>
      </c>
      <c r="AE69" s="134">
        <v>287.40899999999999</v>
      </c>
      <c r="AF69" s="134">
        <v>217.327</v>
      </c>
      <c r="AG69" s="134">
        <v>262.06900000000002</v>
      </c>
      <c r="AH69" s="135">
        <f>H69-AG69-AF69-AE69</f>
        <v>397.851</v>
      </c>
      <c r="AI69" s="134">
        <v>248.298</v>
      </c>
      <c r="AJ69" s="134">
        <v>236.602</v>
      </c>
      <c r="AK69" s="134">
        <v>301.72500000000002</v>
      </c>
      <c r="AL69" s="135">
        <f>I69-AK69-AJ69-AI69</f>
        <v>677.86699999999985</v>
      </c>
      <c r="AM69" s="134">
        <v>347.42200000000003</v>
      </c>
      <c r="AN69" s="134">
        <v>406.67500000000001</v>
      </c>
      <c r="AO69" s="229">
        <v>534.78499999999997</v>
      </c>
      <c r="AP69" s="135">
        <f>J69-AO69-AN69-AM69</f>
        <v>811.94200000000023</v>
      </c>
      <c r="AQ69" s="134">
        <v>705.37699999999995</v>
      </c>
      <c r="AR69" s="134">
        <v>1074.569</v>
      </c>
      <c r="AS69" s="134">
        <v>1468.951</v>
      </c>
      <c r="AT69" s="135">
        <f>K69-AQ69-AR69-AS69</f>
        <v>1664.8950000000009</v>
      </c>
      <c r="AU69" s="134">
        <v>1473.117</v>
      </c>
      <c r="AV69" s="134">
        <v>2087.2620000000002</v>
      </c>
      <c r="AW69" s="134">
        <v>2218.1080000000002</v>
      </c>
      <c r="AX69" s="135">
        <f>M69-AU69-AV69-AW69</f>
        <v>6840.0549999999985</v>
      </c>
      <c r="AY69" s="134">
        <v>2702.4720000000002</v>
      </c>
      <c r="AZ69" s="134">
        <f>7561.027-AY69</f>
        <v>4858.5550000000003</v>
      </c>
      <c r="BA69" s="134">
        <v>4818.1880000000001</v>
      </c>
      <c r="BB69" s="135">
        <f t="shared" ref="BB69:BB71" si="227">O69-AY69-AZ69-BA69</f>
        <v>9473.4739999999965</v>
      </c>
      <c r="BC69" s="134">
        <v>3062.0940000000001</v>
      </c>
      <c r="BD69" s="134">
        <v>3430.8310000000001</v>
      </c>
      <c r="BE69" s="134">
        <v>2955.509</v>
      </c>
      <c r="BF69" s="135">
        <f t="shared" ref="BF69:BF71" si="228">Q69-BC69-BD69-BE69</f>
        <v>7647.030999999999</v>
      </c>
      <c r="BG69" s="134">
        <v>2512.5909999999999</v>
      </c>
      <c r="BI69" s="134">
        <v>2391.4450000000002</v>
      </c>
      <c r="BJ69" s="134">
        <f>5029.492-BI69</f>
        <v>2638.047</v>
      </c>
      <c r="BK69" s="134">
        <v>3801.7190000000001</v>
      </c>
      <c r="BL69" s="135">
        <f t="shared" ref="BL69:BL71" si="229">N69-SUM(BI69:BK69)</f>
        <v>8150.505000000001</v>
      </c>
      <c r="BM69" s="134">
        <v>3732.2179999999998</v>
      </c>
      <c r="BN69" s="134">
        <v>6254.6660000000002</v>
      </c>
      <c r="BO69" s="134">
        <v>6422.3559999999998</v>
      </c>
      <c r="BP69" s="135">
        <f t="shared" ref="BP69:BP71" si="230">P69-SUM(BM69:BO69)</f>
        <v>12194.254000000001</v>
      </c>
      <c r="BQ69" s="134">
        <v>4007.2240000000002</v>
      </c>
      <c r="BS69" s="134">
        <v>17399.701000000001</v>
      </c>
      <c r="BT69" s="134">
        <v>10133.422</v>
      </c>
    </row>
    <row r="70" spans="2:72">
      <c r="B70" s="1" t="s">
        <v>416</v>
      </c>
      <c r="C70" s="134">
        <v>62.326000000000001</v>
      </c>
      <c r="D70" s="134">
        <v>83.58</v>
      </c>
      <c r="E70" s="134">
        <v>141.25700000000001</v>
      </c>
      <c r="F70" s="134">
        <v>136.76400000000001</v>
      </c>
      <c r="G70" s="134">
        <v>187.66900000000001</v>
      </c>
      <c r="H70" s="134">
        <v>179.577</v>
      </c>
      <c r="I70" s="134">
        <v>227.37100000000001</v>
      </c>
      <c r="J70" s="134">
        <v>324.74900000000002</v>
      </c>
      <c r="K70" s="134">
        <v>769.24199999999996</v>
      </c>
      <c r="L70" s="134">
        <v>637.95100000000002</v>
      </c>
      <c r="M70" s="134">
        <v>954.28</v>
      </c>
      <c r="N70" s="134">
        <v>1254.768</v>
      </c>
      <c r="O70" s="134">
        <v>1292.7539999999999</v>
      </c>
      <c r="P70" s="134">
        <v>1692.115</v>
      </c>
      <c r="Q70" s="134">
        <v>1033.222</v>
      </c>
      <c r="R70" s="134"/>
      <c r="S70" s="134">
        <v>21.974</v>
      </c>
      <c r="T70" s="134">
        <v>22.797999999999998</v>
      </c>
      <c r="U70" s="134">
        <v>25.109000000000002</v>
      </c>
      <c r="V70" s="135">
        <f>E70-SUM(S70:U70)</f>
        <v>71.376000000000005</v>
      </c>
      <c r="W70" s="134">
        <v>16.975999999999999</v>
      </c>
      <c r="X70" s="134">
        <v>29.548999999999999</v>
      </c>
      <c r="Y70" s="134">
        <v>32.558</v>
      </c>
      <c r="Z70" s="135">
        <f>F70-SUM(W70:Y70)</f>
        <v>57.681000000000012</v>
      </c>
      <c r="AA70" s="134">
        <v>32.246000000000002</v>
      </c>
      <c r="AB70" s="134">
        <v>50.546999999999997</v>
      </c>
      <c r="AC70" s="134">
        <v>40.237000000000002</v>
      </c>
      <c r="AD70" s="135">
        <f>G70-AC70-AB70-AA70</f>
        <v>64.63900000000001</v>
      </c>
      <c r="AE70" s="134">
        <v>32.363</v>
      </c>
      <c r="AF70" s="134">
        <v>36.515999999999998</v>
      </c>
      <c r="AG70" s="134">
        <v>41.045999999999999</v>
      </c>
      <c r="AH70" s="135">
        <f>H70-AG70-AF70-AE70</f>
        <v>69.652000000000015</v>
      </c>
      <c r="AI70" s="134">
        <v>45.953000000000003</v>
      </c>
      <c r="AJ70" s="134">
        <v>43.265000000000001</v>
      </c>
      <c r="AK70" s="134">
        <v>46.375</v>
      </c>
      <c r="AL70" s="135">
        <f>I70-AK70-AJ70-AI70</f>
        <v>91.777999999999992</v>
      </c>
      <c r="AM70" s="134">
        <v>10.746</v>
      </c>
      <c r="AN70" s="134">
        <v>115.169</v>
      </c>
      <c r="AO70" s="229">
        <v>65.718999999999994</v>
      </c>
      <c r="AP70" s="135">
        <f>J70-AO70-AN70-AM70</f>
        <v>133.11500000000004</v>
      </c>
      <c r="AQ70" s="134">
        <v>75.040000000000006</v>
      </c>
      <c r="AR70" s="134">
        <v>86.228999999999999</v>
      </c>
      <c r="AS70" s="134">
        <v>249.88300000000001</v>
      </c>
      <c r="AT70" s="135">
        <f>K70-AQ70-AR70-AS70</f>
        <v>358.08999999999992</v>
      </c>
      <c r="AU70" s="134">
        <v>113.995</v>
      </c>
      <c r="AV70" s="134">
        <v>179.74700000000001</v>
      </c>
      <c r="AW70" s="134">
        <v>176.84899999999999</v>
      </c>
      <c r="AX70" s="135">
        <f t="shared" ref="AX70:AX71" si="231">M70-AU70-AV70-AW70</f>
        <v>483.68900000000002</v>
      </c>
      <c r="AY70" s="134">
        <v>181.328</v>
      </c>
      <c r="AZ70" s="134">
        <f>421.12-AY70</f>
        <v>239.792</v>
      </c>
      <c r="BA70" s="134">
        <v>290.41899999999998</v>
      </c>
      <c r="BB70" s="135">
        <f t="shared" si="227"/>
        <v>581.21499999999992</v>
      </c>
      <c r="BC70" s="134">
        <v>202.56899999999999</v>
      </c>
      <c r="BD70" s="134">
        <v>187.489</v>
      </c>
      <c r="BE70" s="134">
        <v>175.31299999999999</v>
      </c>
      <c r="BF70" s="135">
        <f t="shared" si="228"/>
        <v>467.851</v>
      </c>
      <c r="BG70" s="134">
        <v>192.30099999999999</v>
      </c>
      <c r="BI70" s="134">
        <v>180.22900000000001</v>
      </c>
      <c r="BJ70" s="134">
        <f>391.99-BI70</f>
        <v>211.761</v>
      </c>
      <c r="BK70" s="134">
        <v>306.53500000000003</v>
      </c>
      <c r="BL70" s="135">
        <f t="shared" si="229"/>
        <v>556.24299999999994</v>
      </c>
      <c r="BM70" s="134">
        <v>250.42099999999999</v>
      </c>
      <c r="BN70" s="134">
        <v>303.25400000000002</v>
      </c>
      <c r="BO70" s="134">
        <v>387.11200000000002</v>
      </c>
      <c r="BP70" s="135">
        <f t="shared" si="230"/>
        <v>751.32799999999997</v>
      </c>
      <c r="BQ70" s="134">
        <v>265.09300000000002</v>
      </c>
      <c r="BS70" s="134">
        <v>998.50699999999995</v>
      </c>
      <c r="BT70" s="134">
        <v>607.72400000000005</v>
      </c>
    </row>
    <row r="71" spans="2:72">
      <c r="B71" s="1" t="s">
        <v>45</v>
      </c>
      <c r="C71" s="134">
        <v>11.012</v>
      </c>
      <c r="D71" s="134">
        <v>15.865</v>
      </c>
      <c r="E71" s="134">
        <v>29.181000000000001</v>
      </c>
      <c r="F71" s="134">
        <v>41.447000000000003</v>
      </c>
      <c r="G71" s="134">
        <v>51.05</v>
      </c>
      <c r="H71" s="134">
        <v>49.612000000000002</v>
      </c>
      <c r="I71" s="134">
        <v>63.006999999999998</v>
      </c>
      <c r="J71" s="134">
        <v>111.40900000000001</v>
      </c>
      <c r="K71" s="134">
        <v>250.62100000000001</v>
      </c>
      <c r="L71" s="134">
        <v>243.221</v>
      </c>
      <c r="M71" s="134">
        <v>284.62599999999998</v>
      </c>
      <c r="N71" s="134">
        <v>392.50900000000001</v>
      </c>
      <c r="O71" s="134">
        <v>745.76199999999994</v>
      </c>
      <c r="P71" s="134">
        <v>976.14</v>
      </c>
      <c r="Q71" s="134">
        <v>512.32100000000003</v>
      </c>
      <c r="R71" s="134"/>
      <c r="S71" s="134">
        <v>4.5030000000000001</v>
      </c>
      <c r="T71" s="134">
        <v>5.3319999999999999</v>
      </c>
      <c r="U71" s="134">
        <v>4.8920000000000003</v>
      </c>
      <c r="V71" s="135">
        <f>E71-SUM(S71:U71)</f>
        <v>14.454000000000001</v>
      </c>
      <c r="W71" s="134">
        <v>4.359</v>
      </c>
      <c r="X71" s="134">
        <v>8.0920000000000005</v>
      </c>
      <c r="Y71" s="134">
        <v>9.4420000000000002</v>
      </c>
      <c r="Z71" s="135">
        <f>F71-SUM(W71:Y71)</f>
        <v>19.554000000000002</v>
      </c>
      <c r="AA71" s="134">
        <v>9.4269999999999996</v>
      </c>
      <c r="AB71" s="134">
        <v>13.821999999999999</v>
      </c>
      <c r="AC71" s="134">
        <v>13.528</v>
      </c>
      <c r="AD71" s="135">
        <f>G71-AC71-AB71-AA71</f>
        <v>14.273</v>
      </c>
      <c r="AE71" s="134">
        <v>8.7189999999999994</v>
      </c>
      <c r="AF71" s="134">
        <v>11.593</v>
      </c>
      <c r="AG71" s="134">
        <v>11.885999999999999</v>
      </c>
      <c r="AH71" s="135">
        <f>H71-AG71-AF71-AE71</f>
        <v>17.414000000000001</v>
      </c>
      <c r="AI71" s="134">
        <v>13.343999999999999</v>
      </c>
      <c r="AJ71" s="134">
        <v>6.0549999999999997</v>
      </c>
      <c r="AK71" s="134">
        <v>19.831</v>
      </c>
      <c r="AL71" s="135">
        <f>I71-AK71-AJ71-AI71</f>
        <v>23.777000000000001</v>
      </c>
      <c r="AM71" s="134">
        <v>42.795000000000002</v>
      </c>
      <c r="AN71" s="134">
        <v>-3.2890000000000001</v>
      </c>
      <c r="AO71" s="229">
        <v>34.798000000000002</v>
      </c>
      <c r="AP71" s="135">
        <f>J71-AO71-AN71-AM71</f>
        <v>37.105000000000004</v>
      </c>
      <c r="AQ71" s="134">
        <v>48.7</v>
      </c>
      <c r="AR71" s="134">
        <v>12.202</v>
      </c>
      <c r="AS71" s="134">
        <v>87.578999999999994</v>
      </c>
      <c r="AT71" s="135">
        <f>K71-AQ71-AR71-AS71</f>
        <v>102.14</v>
      </c>
      <c r="AU71" s="134">
        <v>39.390999999999998</v>
      </c>
      <c r="AV71" s="134">
        <v>48.811</v>
      </c>
      <c r="AW71" s="134">
        <v>49.673999999999999</v>
      </c>
      <c r="AX71" s="135">
        <f t="shared" si="231"/>
        <v>146.74999999999997</v>
      </c>
      <c r="AY71" s="134">
        <v>80.977999999999994</v>
      </c>
      <c r="AZ71" s="134">
        <f>248.139-AY71</f>
        <v>167.161</v>
      </c>
      <c r="BA71" s="134">
        <v>134.75899999999999</v>
      </c>
      <c r="BB71" s="135">
        <f t="shared" si="227"/>
        <v>362.86400000000003</v>
      </c>
      <c r="BC71" s="134">
        <v>106.81699999999999</v>
      </c>
      <c r="BD71" s="134">
        <v>108.15</v>
      </c>
      <c r="BE71" s="134">
        <v>124.616</v>
      </c>
      <c r="BF71" s="135">
        <f t="shared" si="228"/>
        <v>172.73800000000006</v>
      </c>
      <c r="BG71" s="134">
        <v>630.47699999999998</v>
      </c>
      <c r="BI71" s="134">
        <v>61.49</v>
      </c>
      <c r="BJ71" s="134">
        <f>140.938-BI71</f>
        <v>79.447999999999979</v>
      </c>
      <c r="BK71" s="134">
        <v>83.292000000000002</v>
      </c>
      <c r="BL71" s="135">
        <f t="shared" si="229"/>
        <v>168.27900000000002</v>
      </c>
      <c r="BM71" s="134">
        <v>111.83499999999999</v>
      </c>
      <c r="BN71" s="134">
        <v>216.55600000000001</v>
      </c>
      <c r="BO71" s="134">
        <v>179.624</v>
      </c>
      <c r="BP71" s="135">
        <f t="shared" si="230"/>
        <v>468.125</v>
      </c>
      <c r="BQ71" s="134">
        <v>139.78700000000001</v>
      </c>
      <c r="BS71" s="134">
        <v>539.87800000000004</v>
      </c>
      <c r="BT71" s="134">
        <v>362.61200000000002</v>
      </c>
    </row>
    <row r="72" spans="2:72">
      <c r="B72" s="5" t="s">
        <v>417</v>
      </c>
      <c r="C72" s="116">
        <f t="shared" ref="C72:U72" si="232">SUM(C69:C71)</f>
        <v>461.87</v>
      </c>
      <c r="D72" s="116">
        <f t="shared" si="232"/>
        <v>655.56500000000005</v>
      </c>
      <c r="E72" s="116">
        <f t="shared" si="232"/>
        <v>838.98299999999995</v>
      </c>
      <c r="F72" s="116">
        <f t="shared" si="232"/>
        <v>997.91200000000003</v>
      </c>
      <c r="G72" s="116">
        <f t="shared" si="232"/>
        <v>1810.143</v>
      </c>
      <c r="H72" s="116">
        <f>SUM(H69:H71)</f>
        <v>1393.845</v>
      </c>
      <c r="I72" s="116">
        <f>SUM(I69:I71)</f>
        <v>1754.8700000000001</v>
      </c>
      <c r="J72" s="116">
        <f>SUM(J69:J71)</f>
        <v>2536.9820000000004</v>
      </c>
      <c r="K72" s="116">
        <f t="shared" ref="K72:M72" si="233">SUM(K69:K71)</f>
        <v>5933.6550000000007</v>
      </c>
      <c r="L72" s="116">
        <f>SUM(L69:L71)</f>
        <v>10706.433999999999</v>
      </c>
      <c r="M72" s="116">
        <f t="shared" si="233"/>
        <v>13857.448</v>
      </c>
      <c r="N72" s="116">
        <f t="shared" ref="N72" si="234">SUM(N69:N71)</f>
        <v>18628.993000000002</v>
      </c>
      <c r="O72" s="116">
        <f t="shared" ref="O72:P72" si="235">SUM(O69:O71)</f>
        <v>23891.204999999998</v>
      </c>
      <c r="P72" s="116">
        <f t="shared" si="235"/>
        <v>31271.749</v>
      </c>
      <c r="Q72" s="116">
        <f t="shared" ref="Q72" si="236">SUM(Q69:Q71)</f>
        <v>18641.008000000002</v>
      </c>
      <c r="R72" s="116"/>
      <c r="S72" s="116">
        <f t="shared" si="232"/>
        <v>145.34499999999997</v>
      </c>
      <c r="T72" s="116">
        <f t="shared" si="232"/>
        <v>147.702</v>
      </c>
      <c r="U72" s="116">
        <f t="shared" si="232"/>
        <v>151.405</v>
      </c>
      <c r="V72" s="116">
        <f>E72-SUM(S72:U72)</f>
        <v>394.53099999999995</v>
      </c>
      <c r="W72" s="116">
        <f t="shared" ref="W72:AD72" si="237">SUM(W69:W71)</f>
        <v>131.76400000000001</v>
      </c>
      <c r="X72" s="116">
        <f t="shared" si="237"/>
        <v>216.88500000000002</v>
      </c>
      <c r="Y72" s="116">
        <f t="shared" si="237"/>
        <v>240.25299999999999</v>
      </c>
      <c r="Z72" s="116">
        <f t="shared" si="237"/>
        <v>409.01</v>
      </c>
      <c r="AA72" s="116">
        <f t="shared" si="237"/>
        <v>235.94800000000001</v>
      </c>
      <c r="AB72" s="116">
        <f t="shared" si="237"/>
        <v>399.351</v>
      </c>
      <c r="AC72" s="116">
        <f t="shared" si="237"/>
        <v>451.51300000000003</v>
      </c>
      <c r="AD72" s="116">
        <f t="shared" si="237"/>
        <v>723.33100000000002</v>
      </c>
      <c r="AE72" s="116">
        <f t="shared" ref="AE72:AJ72" si="238">SUM(AE69:AE71)</f>
        <v>328.49099999999999</v>
      </c>
      <c r="AF72" s="116">
        <f t="shared" si="238"/>
        <v>265.43599999999998</v>
      </c>
      <c r="AG72" s="116">
        <f t="shared" si="238"/>
        <v>315.00100000000003</v>
      </c>
      <c r="AH72" s="116">
        <f t="shared" si="238"/>
        <v>484.91700000000003</v>
      </c>
      <c r="AI72" s="116">
        <f t="shared" si="238"/>
        <v>307.59499999999997</v>
      </c>
      <c r="AJ72" s="116">
        <f t="shared" si="238"/>
        <v>285.92200000000003</v>
      </c>
      <c r="AK72" s="116">
        <f t="shared" ref="AK72:AP72" si="239">SUM(AK69:AK71)</f>
        <v>367.93100000000004</v>
      </c>
      <c r="AL72" s="116">
        <f t="shared" si="239"/>
        <v>793.42199999999991</v>
      </c>
      <c r="AM72" s="199">
        <f t="shared" si="239"/>
        <v>400.96300000000002</v>
      </c>
      <c r="AN72" s="116">
        <f t="shared" si="239"/>
        <v>518.55500000000006</v>
      </c>
      <c r="AO72" s="116">
        <f t="shared" si="239"/>
        <v>635.30199999999991</v>
      </c>
      <c r="AP72" s="116">
        <f t="shared" si="239"/>
        <v>982.16200000000026</v>
      </c>
      <c r="AQ72" s="199">
        <f>SUM(AQ69:AQ71)</f>
        <v>829.11699999999996</v>
      </c>
      <c r="AR72" s="199">
        <f>SUM(AR69:AR71)</f>
        <v>1173</v>
      </c>
      <c r="AS72" s="199">
        <f>SUM(AS69:AS71)</f>
        <v>1806.413</v>
      </c>
      <c r="AT72" s="116">
        <f t="shared" ref="AT72" si="240">SUM(AT69:AT71)</f>
        <v>2125.1250000000009</v>
      </c>
      <c r="AU72" s="199">
        <f>SUM(AU69:AU71)</f>
        <v>1626.5030000000002</v>
      </c>
      <c r="AV72" s="199">
        <f>SUM(AV69:AV71)</f>
        <v>2315.8200000000002</v>
      </c>
      <c r="AW72" s="199">
        <f>SUM(AW69:AW71)</f>
        <v>2444.6310000000003</v>
      </c>
      <c r="AX72" s="116">
        <f t="shared" ref="AX72" si="241">SUM(AX69:AX71)</f>
        <v>7470.4939999999988</v>
      </c>
      <c r="AY72" s="199">
        <f>SUM(AY69:AY71)</f>
        <v>2964.7780000000002</v>
      </c>
      <c r="AZ72" s="199">
        <f>SUM(AZ69:AZ71)</f>
        <v>5265.5080000000007</v>
      </c>
      <c r="BA72" s="199">
        <f>SUM(BA69:BA71)</f>
        <v>5243.366</v>
      </c>
      <c r="BB72" s="116">
        <f t="shared" ref="BB72" si="242">SUM(BB69:BB71)</f>
        <v>10417.552999999996</v>
      </c>
      <c r="BC72" s="199">
        <f>SUM(BC69:BC71)</f>
        <v>3371.48</v>
      </c>
      <c r="BD72" s="199">
        <f>SUM(BD69:BD71)</f>
        <v>3726.4700000000003</v>
      </c>
      <c r="BE72" s="199">
        <f>SUM(BE69:BE71)</f>
        <v>3255.4380000000001</v>
      </c>
      <c r="BF72" s="116">
        <f t="shared" ref="BF72" si="243">SUM(BF69:BF71)</f>
        <v>8287.619999999999</v>
      </c>
      <c r="BG72" s="199">
        <f>SUM(BG69:BG71)</f>
        <v>3335.3689999999997</v>
      </c>
      <c r="BI72" s="199">
        <f t="shared" ref="BI72:BN72" si="244">SUM(BI69:BI71)</f>
        <v>2633.1639999999998</v>
      </c>
      <c r="BJ72" s="199">
        <f t="shared" si="244"/>
        <v>2929.2559999999999</v>
      </c>
      <c r="BK72" s="199">
        <f t="shared" si="244"/>
        <v>4191.5460000000003</v>
      </c>
      <c r="BL72" s="199">
        <f t="shared" si="244"/>
        <v>8875.0270000000019</v>
      </c>
      <c r="BM72" s="199">
        <f t="shared" si="244"/>
        <v>4094.4739999999997</v>
      </c>
      <c r="BN72" s="199">
        <f t="shared" si="244"/>
        <v>6774.4759999999997</v>
      </c>
      <c r="BO72" s="199">
        <f t="shared" ref="BO72:BS72" si="245">SUM(BO69:BO71)</f>
        <v>6989.0919999999996</v>
      </c>
      <c r="BP72" s="199">
        <f t="shared" si="245"/>
        <v>13413.707</v>
      </c>
      <c r="BQ72" s="199">
        <f t="shared" si="245"/>
        <v>4412.1040000000003</v>
      </c>
      <c r="BS72" s="199">
        <f t="shared" si="245"/>
        <v>18938.086000000003</v>
      </c>
      <c r="BT72" s="199">
        <f t="shared" ref="BT72" si="246">SUM(BT69:BT71)</f>
        <v>11103.758</v>
      </c>
    </row>
    <row r="73" spans="2:72">
      <c r="B73" s="76"/>
      <c r="C73" s="144"/>
      <c r="D73" s="144"/>
      <c r="E73" s="144"/>
      <c r="F73" s="144"/>
      <c r="G73" s="144"/>
      <c r="H73" s="144"/>
      <c r="I73" s="144"/>
      <c r="J73" s="246"/>
      <c r="K73" s="246"/>
      <c r="L73" s="246"/>
      <c r="M73" s="246"/>
      <c r="N73" s="246"/>
      <c r="O73" s="246"/>
      <c r="P73" s="246"/>
      <c r="Q73" s="246"/>
      <c r="R73" s="144"/>
      <c r="S73" s="144">
        <v>41005997</v>
      </c>
      <c r="T73" s="144"/>
      <c r="U73" s="144"/>
      <c r="V73" s="144"/>
      <c r="W73" s="144"/>
      <c r="X73" s="144"/>
      <c r="Y73" s="144"/>
      <c r="Z73" s="144"/>
      <c r="AA73" s="144"/>
      <c r="AB73" s="144"/>
      <c r="AC73" s="144"/>
      <c r="AD73" s="144"/>
      <c r="AE73" s="144"/>
      <c r="AF73" s="144"/>
      <c r="AG73" s="144"/>
      <c r="AH73" s="144"/>
      <c r="AI73" s="144"/>
      <c r="AJ73" s="144"/>
      <c r="AK73" s="144"/>
      <c r="AL73" s="144"/>
      <c r="AN73" s="144"/>
      <c r="AO73" s="144"/>
      <c r="AP73" s="144"/>
      <c r="AT73" s="144"/>
      <c r="AX73" s="144"/>
      <c r="BB73" s="144"/>
      <c r="BF73" s="144"/>
    </row>
    <row r="74" spans="2:72">
      <c r="B74" s="1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7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N74" s="115"/>
      <c r="AO74" s="232"/>
      <c r="AP74" s="115"/>
      <c r="AT74" s="115"/>
      <c r="AX74" s="115"/>
      <c r="BB74" s="115"/>
      <c r="BF74" s="115"/>
    </row>
    <row r="75" spans="2:72">
      <c r="B75" s="5" t="s">
        <v>423</v>
      </c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7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N75" s="115"/>
      <c r="AO75" s="232"/>
      <c r="AP75" s="115"/>
      <c r="AT75" s="115"/>
      <c r="AX75" s="115"/>
      <c r="BB75" s="115"/>
      <c r="BF75" s="115"/>
    </row>
    <row r="76" spans="2:72">
      <c r="B76" s="1" t="s">
        <v>415</v>
      </c>
      <c r="C76" s="141">
        <f t="shared" ref="C76:Z76" si="247">C69/C36</f>
        <v>4.2840663279831569E-2</v>
      </c>
      <c r="D76" s="141">
        <f t="shared" si="247"/>
        <v>5.3997664231081884E-2</v>
      </c>
      <c r="E76" s="141">
        <f t="shared" si="247"/>
        <v>5.8083991530820674E-2</v>
      </c>
      <c r="F76" s="141">
        <f t="shared" si="247"/>
        <v>5.3732179400627023E-2</v>
      </c>
      <c r="G76" s="141">
        <f t="shared" ref="G76:H79" si="248">G69/G36</f>
        <v>7.60707137985491E-2</v>
      </c>
      <c r="H76" s="141">
        <f t="shared" si="248"/>
        <v>4.7583794276622189E-2</v>
      </c>
      <c r="I76" s="141">
        <f t="shared" ref="I76:K79" si="249">I69/I36</f>
        <v>4.7200043935439653E-2</v>
      </c>
      <c r="J76" s="141">
        <f t="shared" si="249"/>
        <v>3.9556283289796441E-2</v>
      </c>
      <c r="K76" s="141">
        <f t="shared" ref="K76:M76" si="250">K69/K36</f>
        <v>4.6536775330343408E-2</v>
      </c>
      <c r="L76" s="141">
        <f t="shared" ref="L76" si="251">L69/L36</f>
        <v>4.8483498564391311E-2</v>
      </c>
      <c r="M76" s="141">
        <f t="shared" si="250"/>
        <v>6.3997159455579905E-2</v>
      </c>
      <c r="N76" s="141">
        <f t="shared" ref="N76" si="252">N69/N36</f>
        <v>5.965264361265487E-2</v>
      </c>
      <c r="O76" s="141">
        <f t="shared" ref="O76:P76" si="253">O69/O36</f>
        <v>6.6272708881591008E-2</v>
      </c>
      <c r="P76" s="141">
        <f t="shared" si="253"/>
        <v>6.6272709479856931E-2</v>
      </c>
      <c r="Q76" s="141">
        <f t="shared" ref="Q76" si="254">Q69/Q36</f>
        <v>4.262879339249382E-2</v>
      </c>
      <c r="R76" s="145"/>
      <c r="S76" s="141">
        <f t="shared" si="247"/>
        <v>4.8973201686713728E-2</v>
      </c>
      <c r="T76" s="141">
        <f t="shared" si="247"/>
        <v>4.3850104608456321E-2</v>
      </c>
      <c r="U76" s="141">
        <f t="shared" si="247"/>
        <v>4.0105022806915538E-2</v>
      </c>
      <c r="V76" s="141">
        <f t="shared" si="247"/>
        <v>9.2737034431253765E-2</v>
      </c>
      <c r="W76" s="141">
        <f t="shared" si="247"/>
        <v>3.2844659385633045E-2</v>
      </c>
      <c r="X76" s="141">
        <f t="shared" si="247"/>
        <v>4.9378417176605995E-2</v>
      </c>
      <c r="Y76" s="141">
        <f t="shared" si="247"/>
        <v>4.8394510473438831E-2</v>
      </c>
      <c r="Z76" s="141">
        <f t="shared" si="247"/>
        <v>7.962840159259206E-2</v>
      </c>
      <c r="AA76" s="141">
        <f t="shared" ref="AA76:AB79" si="255">AA69/AA36</f>
        <v>5.0217075278956469E-2</v>
      </c>
      <c r="AB76" s="141">
        <f t="shared" si="255"/>
        <v>7.0960659838260332E-2</v>
      </c>
      <c r="AC76" s="141">
        <f t="shared" ref="AC76:AE79" si="256">AC69/AC36</f>
        <v>6.4562101993538401E-2</v>
      </c>
      <c r="AD76" s="141">
        <f t="shared" si="256"/>
        <v>0.10908801284370216</v>
      </c>
      <c r="AE76" s="141">
        <f t="shared" ref="AE76:AF78" si="257">AE69/AE36</f>
        <v>5.5360603130453538E-2</v>
      </c>
      <c r="AF76" s="141">
        <f t="shared" si="257"/>
        <v>3.4254301785305329E-2</v>
      </c>
      <c r="AG76" s="141">
        <f t="shared" ref="AG76:AJ79" si="258">AG69/AG36</f>
        <v>4.0444013909695015E-2</v>
      </c>
      <c r="AH76" s="141">
        <f t="shared" si="258"/>
        <v>6.1586823038135258E-2</v>
      </c>
      <c r="AI76" s="141">
        <f t="shared" si="258"/>
        <v>4.3386426072464131E-2</v>
      </c>
      <c r="AJ76" s="141">
        <f t="shared" si="258"/>
        <v>4.3350714392113979E-2</v>
      </c>
      <c r="AK76" s="141">
        <f t="shared" ref="AK76:AL79" si="259">AK69/AK36</f>
        <v>3.2239734333262854E-2</v>
      </c>
      <c r="AL76" s="141">
        <f t="shared" si="259"/>
        <v>6.463415610895451E-2</v>
      </c>
      <c r="AM76" s="141">
        <f t="shared" ref="AM76:AP79" si="260">AM69/AM36</f>
        <v>3.4927237518927776E-2</v>
      </c>
      <c r="AN76" s="141">
        <f t="shared" si="260"/>
        <v>3.6479179486443483E-2</v>
      </c>
      <c r="AO76" s="233">
        <f t="shared" si="260"/>
        <v>3.731692700861132E-2</v>
      </c>
      <c r="AP76" s="141">
        <f t="shared" si="260"/>
        <v>4.5914753961900721E-2</v>
      </c>
      <c r="AQ76" s="141">
        <f t="shared" ref="AQ76:AR79" si="261">AQ69/AQ36</f>
        <v>3.1795381081239575E-2</v>
      </c>
      <c r="AR76" s="141">
        <f t="shared" si="261"/>
        <v>4.3653352321559237E-2</v>
      </c>
      <c r="AS76" s="141">
        <f t="shared" ref="AS76:AV76" si="262">AS69/AS36</f>
        <v>5.3360009142338377E-2</v>
      </c>
      <c r="AT76" s="141">
        <f t="shared" si="262"/>
        <v>5.3260394301488607E-2</v>
      </c>
      <c r="AU76" s="141">
        <f t="shared" si="262"/>
        <v>4.7852338049105006E-2</v>
      </c>
      <c r="AV76" s="141">
        <f t="shared" si="262"/>
        <v>5.948149193685244E-2</v>
      </c>
      <c r="AW76" s="141">
        <f t="shared" ref="AW76:AZ76" si="263">AW69/AW36</f>
        <v>4.9513198241058966E-2</v>
      </c>
      <c r="AX76" s="141">
        <f t="shared" si="263"/>
        <v>7.9076179841509678E-2</v>
      </c>
      <c r="AY76" s="141">
        <f t="shared" si="263"/>
        <v>4.921831042835436E-2</v>
      </c>
      <c r="AZ76" s="141">
        <f t="shared" si="263"/>
        <v>6.4335356814203756E-2</v>
      </c>
      <c r="BA76" s="141">
        <f t="shared" ref="BA76:BD76" si="264">BA69/BA36</f>
        <v>5.9320536971990412E-2</v>
      </c>
      <c r="BB76" s="141">
        <f t="shared" si="264"/>
        <v>8.0223247425475361E-2</v>
      </c>
      <c r="BC76" s="141">
        <f t="shared" si="264"/>
        <v>3.7378773263391195E-2</v>
      </c>
      <c r="BD76" s="141">
        <f t="shared" si="264"/>
        <v>3.8861952701235283E-2</v>
      </c>
      <c r="BE76" s="141">
        <f t="shared" ref="BE76:BG76" si="265">BE69/BE36</f>
        <v>3.0603156293586453E-2</v>
      </c>
      <c r="BF76" s="141">
        <f t="shared" si="265"/>
        <v>5.6960083150807174E-2</v>
      </c>
      <c r="BG76" s="141">
        <f t="shared" si="265"/>
        <v>2.5272048399797149E-2</v>
      </c>
      <c r="BI76" s="141">
        <f t="shared" ref="BI76:BK79" si="266">BI69/BI36</f>
        <v>4.4793201151609771E-2</v>
      </c>
      <c r="BJ76" s="141">
        <f t="shared" si="266"/>
        <v>4.2845870784093402E-2</v>
      </c>
      <c r="BK76" s="141">
        <f t="shared" si="266"/>
        <v>5.3334785815265351E-2</v>
      </c>
      <c r="BL76" s="141">
        <f t="shared" ref="BL76:BO76" si="267">BL69/BL36</f>
        <v>8.2799045068192037E-2</v>
      </c>
      <c r="BM76" s="141">
        <f t="shared" si="267"/>
        <v>4.9218319090811924E-2</v>
      </c>
      <c r="BN76" s="141">
        <f t="shared" si="267"/>
        <v>6.1327656308325054E-2</v>
      </c>
      <c r="BO76" s="141">
        <f t="shared" si="267"/>
        <v>5.9320537260949269E-2</v>
      </c>
      <c r="BP76" s="141">
        <f t="shared" ref="BP76:BQ76" si="268">BP69/BP36</f>
        <v>8.3797754422264961E-2</v>
      </c>
      <c r="BQ76" s="141">
        <f t="shared" si="268"/>
        <v>3.7378769944731209E-2</v>
      </c>
      <c r="BS76" s="141">
        <f t="shared" ref="BS76:BT76" si="269">BS69/BS36</f>
        <v>5.7174987503107386E-2</v>
      </c>
      <c r="BT76" s="141">
        <f t="shared" si="269"/>
        <v>3.5575689066133377E-2</v>
      </c>
    </row>
    <row r="77" spans="2:72">
      <c r="B77" s="1" t="s">
        <v>416</v>
      </c>
      <c r="C77" s="141">
        <f t="shared" ref="C77:Z77" si="270">C70/C37</f>
        <v>3.4083775016241824E-2</v>
      </c>
      <c r="D77" s="141">
        <f t="shared" si="270"/>
        <v>4.2520458964552039E-2</v>
      </c>
      <c r="E77" s="141">
        <f t="shared" si="270"/>
        <v>6.7193373182776892E-2</v>
      </c>
      <c r="F77" s="141">
        <f t="shared" si="270"/>
        <v>5.0169826277934031E-2</v>
      </c>
      <c r="G77" s="141">
        <f t="shared" si="248"/>
        <v>6.6870530167439116E-2</v>
      </c>
      <c r="H77" s="141">
        <f t="shared" si="248"/>
        <v>5.5244160627279958E-2</v>
      </c>
      <c r="I77" s="141">
        <f t="shared" si="249"/>
        <v>5.0347015783831849E-2</v>
      </c>
      <c r="J77" s="141">
        <f t="shared" si="249"/>
        <v>5.8216450415117291E-2</v>
      </c>
      <c r="K77" s="141">
        <f t="shared" ref="K77:M77" si="271">K70/K37</f>
        <v>8.3517415557233327E-2</v>
      </c>
      <c r="L77" s="141">
        <f t="shared" ref="L77" si="272">L70/L37</f>
        <v>3.6510105262483182E-2</v>
      </c>
      <c r="M77" s="141">
        <f t="shared" si="271"/>
        <v>5.042624625137495E-2</v>
      </c>
      <c r="N77" s="141">
        <f t="shared" ref="N77" si="273">N70/N37</f>
        <v>4.592412115449334E-2</v>
      </c>
      <c r="O77" s="141">
        <f t="shared" ref="O77:P77" si="274">O70/O37</f>
        <v>5.834848328038468E-2</v>
      </c>
      <c r="P77" s="141">
        <f t="shared" si="274"/>
        <v>5.8348455084811922E-2</v>
      </c>
      <c r="Q77" s="141">
        <f t="shared" ref="Q77" si="275">Q70/Q37</f>
        <v>4.096168146421493E-2</v>
      </c>
      <c r="R77" s="145"/>
      <c r="S77" s="141">
        <f t="shared" si="270"/>
        <v>4.1324241273089035E-2</v>
      </c>
      <c r="T77" s="141">
        <f t="shared" si="270"/>
        <v>4.5301089904720267E-2</v>
      </c>
      <c r="U77" s="141">
        <f t="shared" si="270"/>
        <v>5.3104550972670479E-2</v>
      </c>
      <c r="V77" s="141">
        <f t="shared" si="270"/>
        <v>0.12007610741845449</v>
      </c>
      <c r="W77" s="141">
        <f t="shared" si="270"/>
        <v>2.9844606223838062E-2</v>
      </c>
      <c r="X77" s="141">
        <f t="shared" si="270"/>
        <v>4.9618487248204939E-2</v>
      </c>
      <c r="Y77" s="141">
        <f t="shared" si="270"/>
        <v>4.811453618195978E-2</v>
      </c>
      <c r="Z77" s="141">
        <f t="shared" si="270"/>
        <v>6.517575567198905E-2</v>
      </c>
      <c r="AA77" s="141">
        <f t="shared" si="255"/>
        <v>5.1020618051039607E-2</v>
      </c>
      <c r="AB77" s="141">
        <f t="shared" si="255"/>
        <v>7.1850644135544942E-2</v>
      </c>
      <c r="AC77" s="141">
        <f t="shared" si="256"/>
        <v>6.0718230710263117E-2</v>
      </c>
      <c r="AD77" s="141">
        <f t="shared" si="256"/>
        <v>7.9974116887246371E-2</v>
      </c>
      <c r="AE77" s="141">
        <f t="shared" si="257"/>
        <v>4.460927086592683E-2</v>
      </c>
      <c r="AF77" s="141">
        <f t="shared" si="257"/>
        <v>4.8084064154222957E-2</v>
      </c>
      <c r="AG77" s="141">
        <f t="shared" si="258"/>
        <v>5.1358280499844221E-2</v>
      </c>
      <c r="AH77" s="141">
        <f t="shared" si="258"/>
        <v>7.2066218313502323E-2</v>
      </c>
      <c r="AI77" s="141">
        <f t="shared" si="258"/>
        <v>4.6871493792354994E-2</v>
      </c>
      <c r="AJ77" s="141">
        <f t="shared" si="258"/>
        <v>4.7347645421784185E-2</v>
      </c>
      <c r="AK77" s="141">
        <f t="shared" si="259"/>
        <v>3.9756804093043351E-2</v>
      </c>
      <c r="AL77" s="141">
        <f t="shared" si="259"/>
        <v>6.3058897249134785E-2</v>
      </c>
      <c r="AM77" s="141">
        <f t="shared" si="260"/>
        <v>9.2745307714017181E-3</v>
      </c>
      <c r="AN77" s="141">
        <f t="shared" si="260"/>
        <v>0.10442937830566691</v>
      </c>
      <c r="AO77" s="233">
        <f t="shared" si="260"/>
        <v>5.1019829874381549E-2</v>
      </c>
      <c r="AP77" s="141">
        <f t="shared" si="260"/>
        <v>6.5615976355278133E-2</v>
      </c>
      <c r="AQ77" s="141">
        <f t="shared" si="261"/>
        <v>4.117805227373747E-2</v>
      </c>
      <c r="AR77" s="141">
        <f t="shared" si="261"/>
        <v>4.5665077223226068E-2</v>
      </c>
      <c r="AS77" s="141">
        <f t="shared" ref="AS77:AV77" si="276">AS70/AS37</f>
        <v>0.11752469291704469</v>
      </c>
      <c r="AT77" s="141">
        <f t="shared" si="276"/>
        <v>0.10614102715727058</v>
      </c>
      <c r="AU77" s="141">
        <f t="shared" si="276"/>
        <v>3.8564785761527234E-2</v>
      </c>
      <c r="AV77" s="141">
        <f t="shared" si="276"/>
        <v>6.4283862246056631E-2</v>
      </c>
      <c r="AW77" s="141">
        <f t="shared" ref="AW77:AZ77" si="277">AW70/AW37</f>
        <v>4.3704491220994485E-2</v>
      </c>
      <c r="AX77" s="141">
        <f t="shared" si="277"/>
        <v>5.3002831557400397E-2</v>
      </c>
      <c r="AY77" s="141">
        <f t="shared" si="277"/>
        <v>3.4172654752497582E-2</v>
      </c>
      <c r="AZ77" s="141">
        <f t="shared" si="277"/>
        <v>5.2551449212633369E-2</v>
      </c>
      <c r="BA77" s="141">
        <f t="shared" ref="BA77:BD77" si="278">BA70/BA37</f>
        <v>6.2676968843124459E-2</v>
      </c>
      <c r="BB77" s="141">
        <f t="shared" si="278"/>
        <v>7.5946699128294978E-2</v>
      </c>
      <c r="BC77" s="141">
        <f t="shared" si="278"/>
        <v>3.5916476625362896E-2</v>
      </c>
      <c r="BD77" s="141">
        <f t="shared" si="278"/>
        <v>3.2284298957405644E-2</v>
      </c>
      <c r="BE77" s="141">
        <f t="shared" ref="BE77:BG77" si="279">BE70/BE37</f>
        <v>2.991848712764229E-2</v>
      </c>
      <c r="BF77" s="141">
        <f t="shared" si="279"/>
        <v>5.9094592196397996E-2</v>
      </c>
      <c r="BG77" s="141">
        <f t="shared" si="279"/>
        <v>3.471594632505727E-2</v>
      </c>
      <c r="BI77" s="141">
        <f t="shared" ref="BI77:BJ77" si="280">BI70/BI37</f>
        <v>3.654547161520607E-2</v>
      </c>
      <c r="BJ77" s="141">
        <f t="shared" si="280"/>
        <v>4.0820752327384892E-2</v>
      </c>
      <c r="BK77" s="141">
        <f t="shared" si="266"/>
        <v>4.8132068737621936E-2</v>
      </c>
      <c r="BL77" s="141">
        <f t="shared" ref="BL77:BO77" si="281">BL70/BL37</f>
        <v>5.133859040961835E-2</v>
      </c>
      <c r="BM77" s="141">
        <f t="shared" si="281"/>
        <v>3.4172667760900902E-2</v>
      </c>
      <c r="BN77" s="141">
        <f t="shared" si="281"/>
        <v>4.9211450659781754E-2</v>
      </c>
      <c r="BO77" s="141">
        <f t="shared" si="281"/>
        <v>6.2677108749751062E-2</v>
      </c>
      <c r="BP77" s="141">
        <f t="shared" ref="BP77:BQ77" si="282">BP70/BP37</f>
        <v>8.0497947984170995E-2</v>
      </c>
      <c r="BQ77" s="141">
        <f t="shared" si="282"/>
        <v>3.5916489450488948E-2</v>
      </c>
      <c r="BS77" s="141">
        <f t="shared" ref="BS77:BT77" si="283">BS70/BS37</f>
        <v>4.7205724366644032E-2</v>
      </c>
      <c r="BT77" s="141">
        <f t="shared" si="283"/>
        <v>3.2796075289950759E-2</v>
      </c>
    </row>
    <row r="78" spans="2:72">
      <c r="B78" s="1" t="s">
        <v>45</v>
      </c>
      <c r="C78" s="141">
        <f t="shared" ref="C78:Z78" si="284">C71/C38</f>
        <v>6.8135679843978458E-3</v>
      </c>
      <c r="D78" s="141">
        <f t="shared" si="284"/>
        <v>8.3434394218440868E-3</v>
      </c>
      <c r="E78" s="141">
        <f t="shared" si="284"/>
        <v>1.1747787904541021E-2</v>
      </c>
      <c r="F78" s="141">
        <f t="shared" si="284"/>
        <v>1.4495592076754908E-2</v>
      </c>
      <c r="G78" s="141">
        <f t="shared" si="248"/>
        <v>1.4837873344726958E-2</v>
      </c>
      <c r="H78" s="141">
        <f t="shared" si="248"/>
        <v>1.1769587293438549E-2</v>
      </c>
      <c r="I78" s="141">
        <f t="shared" si="249"/>
        <v>1.1823281470547726E-2</v>
      </c>
      <c r="J78" s="141">
        <f t="shared" si="249"/>
        <v>1.1731718741180862E-2</v>
      </c>
      <c r="K78" s="141">
        <f t="shared" ref="K78:M78" si="285">K71/K38</f>
        <v>1.3110871061725739E-2</v>
      </c>
      <c r="L78" s="141">
        <f t="shared" ref="L78" si="286">L71/L38</f>
        <v>6.5651855434679654E-3</v>
      </c>
      <c r="M78" s="141">
        <f t="shared" si="285"/>
        <v>6.9410823007181113E-3</v>
      </c>
      <c r="N78" s="141">
        <f t="shared" ref="N78" si="287">N71/N38</f>
        <v>6.6297758923634202E-3</v>
      </c>
      <c r="O78" s="141">
        <f t="shared" ref="O78:P78" si="288">O71/O38</f>
        <v>9.7289889736028954E-3</v>
      </c>
      <c r="P78" s="141">
        <f t="shared" si="288"/>
        <v>9.7289364847377279E-3</v>
      </c>
      <c r="Q78" s="141">
        <f t="shared" ref="Q78" si="289">Q71/Q38</f>
        <v>5.2449842683539695E-3</v>
      </c>
      <c r="R78" s="145"/>
      <c r="S78" s="141">
        <f t="shared" si="284"/>
        <v>7.9208721930420171E-3</v>
      </c>
      <c r="T78" s="141">
        <f t="shared" si="284"/>
        <v>7.3094565065404005E-3</v>
      </c>
      <c r="U78" s="141">
        <f t="shared" si="284"/>
        <v>8.3872969826647679E-3</v>
      </c>
      <c r="V78" s="141">
        <f t="shared" si="284"/>
        <v>2.398088696431238E-2</v>
      </c>
      <c r="W78" s="141">
        <f t="shared" si="284"/>
        <v>6.198091516762148E-3</v>
      </c>
      <c r="X78" s="141">
        <f t="shared" si="284"/>
        <v>9.6846852237937823E-3</v>
      </c>
      <c r="Y78" s="141">
        <f t="shared" si="284"/>
        <v>1.4170113396925256E-2</v>
      </c>
      <c r="Z78" s="141">
        <f t="shared" si="284"/>
        <v>2.989341470424569E-2</v>
      </c>
      <c r="AA78" s="141">
        <f t="shared" si="255"/>
        <v>1.2062777113097332E-2</v>
      </c>
      <c r="AB78" s="141">
        <f t="shared" si="255"/>
        <v>1.2707314382377816E-2</v>
      </c>
      <c r="AC78" s="141">
        <f t="shared" si="256"/>
        <v>1.550268558128768E-2</v>
      </c>
      <c r="AD78" s="141">
        <f t="shared" si="256"/>
        <v>2.0428463879132427E-2</v>
      </c>
      <c r="AE78" s="141">
        <f t="shared" si="257"/>
        <v>8.8508780834433039E-3</v>
      </c>
      <c r="AF78" s="141">
        <f t="shared" si="257"/>
        <v>8.7582715540133697E-3</v>
      </c>
      <c r="AG78" s="141">
        <f t="shared" si="258"/>
        <v>1.2292322727766314E-2</v>
      </c>
      <c r="AH78" s="141">
        <f t="shared" si="258"/>
        <v>1.8534148322145519E-2</v>
      </c>
      <c r="AI78" s="141">
        <f t="shared" si="258"/>
        <v>1.2539208518843581E-2</v>
      </c>
      <c r="AJ78" s="141">
        <f t="shared" si="258"/>
        <v>4.145843304240537E-3</v>
      </c>
      <c r="AK78" s="141">
        <f t="shared" si="259"/>
        <v>1.4035720984220342E-2</v>
      </c>
      <c r="AL78" s="141">
        <f t="shared" si="259"/>
        <v>1.7087487764878704E-2</v>
      </c>
      <c r="AM78" s="141">
        <f t="shared" si="260"/>
        <v>2.2785901971902979E-2</v>
      </c>
      <c r="AN78" s="141">
        <f t="shared" si="260"/>
        <v>-1.4403750843576318E-3</v>
      </c>
      <c r="AO78" s="233">
        <f t="shared" si="260"/>
        <v>1.3761346348307831E-2</v>
      </c>
      <c r="AP78" s="141">
        <f t="shared" si="260"/>
        <v>1.3222757040169316E-2</v>
      </c>
      <c r="AQ78" s="141">
        <f t="shared" si="261"/>
        <v>1.1714683236889657E-2</v>
      </c>
      <c r="AR78" s="141">
        <f t="shared" si="261"/>
        <v>2.1036534643821057E-3</v>
      </c>
      <c r="AS78" s="141">
        <f t="shared" ref="AS78:AV78" si="290">AS71/AS38</f>
        <v>1.9041723767486547E-2</v>
      </c>
      <c r="AT78" s="141">
        <f t="shared" si="290"/>
        <v>2.2405859305506114E-2</v>
      </c>
      <c r="AU78" s="141">
        <f t="shared" si="290"/>
        <v>6.4042055003558883E-3</v>
      </c>
      <c r="AV78" s="141">
        <f t="shared" si="290"/>
        <v>5.3869639247460643E-3</v>
      </c>
      <c r="AW78" s="141">
        <f t="shared" ref="AW78:AZ78" si="291">AW71/AW38</f>
        <v>5.2996380170345046E-3</v>
      </c>
      <c r="AX78" s="141">
        <f t="shared" si="291"/>
        <v>8.936643551360637E-3</v>
      </c>
      <c r="AY78" s="141">
        <f t="shared" si="291"/>
        <v>6.7195235774969893E-3</v>
      </c>
      <c r="AZ78" s="141">
        <f t="shared" si="291"/>
        <v>7.7741528172764118E-3</v>
      </c>
      <c r="BA78" s="141">
        <f t="shared" ref="BA78:BD78" si="292">BA71/BA38</f>
        <v>6.8986082379494862E-3</v>
      </c>
      <c r="BB78" s="141">
        <f t="shared" si="292"/>
        <v>1.5397733987409444E-2</v>
      </c>
      <c r="BC78" s="141">
        <f t="shared" si="292"/>
        <v>4.9551017689217422E-3</v>
      </c>
      <c r="BD78" s="141">
        <f t="shared" si="292"/>
        <v>3.9653732534529092E-3</v>
      </c>
      <c r="BE78" s="141">
        <f t="shared" ref="BE78:BG78" si="293">BE71/BE38</f>
        <v>5.6616228961888903E-3</v>
      </c>
      <c r="BF78" s="141">
        <f t="shared" si="293"/>
        <v>6.4365497115573362E-3</v>
      </c>
      <c r="BG78" s="141">
        <f t="shared" si="293"/>
        <v>2.4909533216247014E-2</v>
      </c>
      <c r="BI78" s="141">
        <f t="shared" ref="BI78:BJ78" si="294">BI71/BI38</f>
        <v>5.774422454455406E-3</v>
      </c>
      <c r="BJ78" s="141">
        <f t="shared" si="294"/>
        <v>5.0242113639328671E-3</v>
      </c>
      <c r="BK78" s="141">
        <f t="shared" si="266"/>
        <v>5.5528555285552852E-3</v>
      </c>
      <c r="BL78" s="141">
        <f t="shared" ref="BL78:BO78" si="295">BL71/BL38</f>
        <v>9.4845685749711771E-3</v>
      </c>
      <c r="BM78" s="141">
        <f t="shared" si="295"/>
        <v>6.7196007090505128E-3</v>
      </c>
      <c r="BN78" s="141">
        <f t="shared" si="295"/>
        <v>7.4575816381967476E-3</v>
      </c>
      <c r="BO78" s="141">
        <f t="shared" si="295"/>
        <v>6.8985440409727984E-3</v>
      </c>
      <c r="BP78" s="141">
        <f t="shared" ref="BP78:BQ78" si="296">BP71/BP38</f>
        <v>1.6359854522844074E-2</v>
      </c>
      <c r="BQ78" s="141">
        <f t="shared" si="296"/>
        <v>4.9551165769451937E-3</v>
      </c>
      <c r="BS78" s="141">
        <f t="shared" ref="BS78:BT78" si="297">BS71/BS38</f>
        <v>7.082943639669376E-3</v>
      </c>
      <c r="BT78" s="141">
        <f t="shared" si="297"/>
        <v>4.7776417979491998E-3</v>
      </c>
    </row>
    <row r="79" spans="2:72" s="50" customFormat="1" ht="12" customHeight="1">
      <c r="B79" s="5" t="s">
        <v>417</v>
      </c>
      <c r="C79" s="143">
        <f t="shared" ref="C79:Z79" si="298">C72/C39</f>
        <v>3.6908165417176057E-2</v>
      </c>
      <c r="D79" s="143">
        <f t="shared" si="298"/>
        <v>4.6277027551690303E-2</v>
      </c>
      <c r="E79" s="143">
        <f t="shared" si="298"/>
        <v>5.2123135107953918E-2</v>
      </c>
      <c r="F79" s="143">
        <f t="shared" si="298"/>
        <v>4.7883044515053381E-2</v>
      </c>
      <c r="G79" s="143">
        <f t="shared" si="248"/>
        <v>6.7280596351880786E-2</v>
      </c>
      <c r="H79" s="143">
        <f t="shared" si="248"/>
        <v>4.3637057967946861E-2</v>
      </c>
      <c r="I79" s="143">
        <f t="shared" si="249"/>
        <v>4.2935243254000499E-2</v>
      </c>
      <c r="J79" s="143">
        <f t="shared" si="249"/>
        <v>3.7207640212677862E-2</v>
      </c>
      <c r="K79" s="143">
        <f t="shared" si="249"/>
        <v>4.430894590639943E-2</v>
      </c>
      <c r="L79" s="143">
        <f t="shared" ref="L79" si="299">L72/L39</f>
        <v>4.1631409138855414E-2</v>
      </c>
      <c r="M79" s="143">
        <f t="shared" ref="M79:O79" si="300">M72/M39</f>
        <v>5.3898274890510245E-2</v>
      </c>
      <c r="N79" s="143">
        <f t="shared" ref="N79" si="301">N72/N39</f>
        <v>5.0185422936524372E-2</v>
      </c>
      <c r="O79" s="143">
        <f t="shared" si="300"/>
        <v>5.5749163612796027E-2</v>
      </c>
      <c r="P79" s="143">
        <f t="shared" ref="P79:Q79" si="302">P72/P39</f>
        <v>5.5749153138929461E-2</v>
      </c>
      <c r="Q79" s="143">
        <f t="shared" si="302"/>
        <v>3.5578970172045997E-2</v>
      </c>
      <c r="R79" s="224"/>
      <c r="S79" s="143">
        <f t="shared" si="298"/>
        <v>4.1203997563111466E-2</v>
      </c>
      <c r="T79" s="143">
        <f t="shared" si="298"/>
        <v>3.7302667268754378E-2</v>
      </c>
      <c r="U79" s="143">
        <f t="shared" si="298"/>
        <v>3.707965028725984E-2</v>
      </c>
      <c r="V79" s="143">
        <f t="shared" si="298"/>
        <v>8.7171236150087109E-2</v>
      </c>
      <c r="W79" s="143">
        <f t="shared" si="298"/>
        <v>2.8432623675784707E-2</v>
      </c>
      <c r="X79" s="143">
        <f t="shared" si="298"/>
        <v>4.2853527025967002E-2</v>
      </c>
      <c r="Y79" s="143">
        <f t="shared" si="298"/>
        <v>4.4167320818955774E-2</v>
      </c>
      <c r="Z79" s="143">
        <f t="shared" si="298"/>
        <v>7.1684807679095477E-2</v>
      </c>
      <c r="AA79" s="143">
        <f t="shared" si="255"/>
        <v>4.4668357118165136E-2</v>
      </c>
      <c r="AB79" s="143">
        <f t="shared" si="255"/>
        <v>6.1326406929597892E-2</v>
      </c>
      <c r="AC79" s="143">
        <f t="shared" si="256"/>
        <v>5.8668445250403101E-2</v>
      </c>
      <c r="AD79" s="143">
        <f t="shared" si="256"/>
        <v>9.7559406452051467E-2</v>
      </c>
      <c r="AE79" s="143">
        <f t="shared" si="256"/>
        <v>4.7592513470788911E-2</v>
      </c>
      <c r="AF79" s="143">
        <f>AF72/AF39</f>
        <v>3.1496036831363608E-2</v>
      </c>
      <c r="AG79" s="143">
        <f t="shared" si="258"/>
        <v>3.8200687828486984E-2</v>
      </c>
      <c r="AH79" s="143">
        <f t="shared" si="258"/>
        <v>5.7962375381974671E-2</v>
      </c>
      <c r="AI79" s="143">
        <f t="shared" si="258"/>
        <v>3.960011473405696E-2</v>
      </c>
      <c r="AJ79" s="143">
        <f>AJ72/AJ39</f>
        <v>3.6506293499506973E-2</v>
      </c>
      <c r="AK79" s="143">
        <f t="shared" si="259"/>
        <v>3.0819753973708671E-2</v>
      </c>
      <c r="AL79" s="143">
        <f t="shared" si="259"/>
        <v>5.9500680594219375E-2</v>
      </c>
      <c r="AM79" s="143">
        <f t="shared" si="260"/>
        <v>3.0881757856358695E-2</v>
      </c>
      <c r="AN79" s="143">
        <f t="shared" si="260"/>
        <v>3.5677736990290768E-2</v>
      </c>
      <c r="AO79" s="234">
        <f t="shared" si="260"/>
        <v>3.5007339781173125E-2</v>
      </c>
      <c r="AP79" s="143">
        <f t="shared" si="260"/>
        <v>4.3615726409127357E-2</v>
      </c>
      <c r="AQ79" s="143">
        <f t="shared" si="261"/>
        <v>2.9438480748476936E-2</v>
      </c>
      <c r="AR79" s="143">
        <f t="shared" si="261"/>
        <v>3.6310581209822133E-2</v>
      </c>
      <c r="AS79" s="143">
        <f t="shared" ref="AS79:AV79" si="303">AS72/AS39</f>
        <v>5.2734902757585835E-2</v>
      </c>
      <c r="AT79" s="143">
        <f t="shared" si="303"/>
        <v>5.4223604481336458E-2</v>
      </c>
      <c r="AU79" s="143">
        <f t="shared" si="303"/>
        <v>4.0773297948576717E-2</v>
      </c>
      <c r="AV79" s="143">
        <f t="shared" si="303"/>
        <v>4.9327296759255693E-2</v>
      </c>
      <c r="AW79" s="143">
        <f t="shared" ref="AW79:AZ79" si="304">AW72/AW39</f>
        <v>4.1991066559393789E-2</v>
      </c>
      <c r="AX79" s="143">
        <f t="shared" si="304"/>
        <v>6.6673195507323424E-2</v>
      </c>
      <c r="AY79" s="143">
        <f t="shared" si="304"/>
        <v>4.1026335192046209E-2</v>
      </c>
      <c r="AZ79" s="143">
        <f t="shared" si="304"/>
        <v>5.1833850391325043E-2</v>
      </c>
      <c r="BA79" s="143">
        <f t="shared" ref="BA79:BD79" si="305">BA72/BA39</f>
        <v>4.9751673171080188E-2</v>
      </c>
      <c r="BB79" s="143">
        <f t="shared" si="305"/>
        <v>6.9772289655030614E-2</v>
      </c>
      <c r="BC79" s="143">
        <f t="shared" si="305"/>
        <v>3.0897661809810736E-2</v>
      </c>
      <c r="BD79" s="143">
        <f t="shared" si="305"/>
        <v>3.070501759869388E-2</v>
      </c>
      <c r="BE79" s="143">
        <f t="shared" ref="BE79:BG79" si="306">BE72/BE39</f>
        <v>2.6159518745044321E-2</v>
      </c>
      <c r="BF79" s="143">
        <f t="shared" si="306"/>
        <v>4.9037288739842401E-2</v>
      </c>
      <c r="BG79" s="143">
        <f t="shared" si="306"/>
        <v>2.560317791249794E-2</v>
      </c>
      <c r="BI79" s="143">
        <f t="shared" ref="BI79:BJ79" si="307">BI72/BI39</f>
        <v>3.8179009748336969E-2</v>
      </c>
      <c r="BJ79" s="143">
        <f t="shared" si="307"/>
        <v>3.547550185000866E-2</v>
      </c>
      <c r="BK79" s="143">
        <f t="shared" si="266"/>
        <v>4.5241251629015274E-2</v>
      </c>
      <c r="BL79" s="143">
        <f t="shared" ref="BL79:BO79" si="308">BL72/BL39</f>
        <v>6.9874191723396872E-2</v>
      </c>
      <c r="BM79" s="143">
        <f t="shared" si="308"/>
        <v>4.1026355780872679E-2</v>
      </c>
      <c r="BN79" s="143">
        <f t="shared" si="308"/>
        <v>4.9380850001351791E-2</v>
      </c>
      <c r="BO79" s="143">
        <f t="shared" si="308"/>
        <v>4.9751667772972394E-2</v>
      </c>
      <c r="BP79" s="143">
        <f t="shared" ref="BP79:BQ79" si="309">BP72/BP39</f>
        <v>7.3112044600912945E-2</v>
      </c>
      <c r="BQ79" s="143">
        <f t="shared" si="309"/>
        <v>3.0897663244922161E-2</v>
      </c>
      <c r="BS79" s="143">
        <f t="shared" ref="BS79:BT79" si="310">BS72/BS39</f>
        <v>4.7145065339607238E-2</v>
      </c>
      <c r="BT79" s="143">
        <f t="shared" si="310"/>
        <v>2.9276713059631795E-2</v>
      </c>
    </row>
    <row r="80" spans="2:72">
      <c r="B80" s="1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7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N80" s="115"/>
      <c r="AO80" s="232"/>
      <c r="AP80" s="115"/>
      <c r="AT80" s="115"/>
      <c r="AX80" s="115"/>
      <c r="BB80" s="115"/>
      <c r="BF80" s="115"/>
    </row>
    <row r="81" spans="2:72">
      <c r="B81" s="104" t="s">
        <v>424</v>
      </c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222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I81" s="38"/>
      <c r="BJ81" s="38"/>
      <c r="BK81" s="38"/>
      <c r="BL81" s="38"/>
      <c r="BM81" s="38"/>
      <c r="BN81" s="38"/>
      <c r="BO81" s="38"/>
      <c r="BP81" s="38"/>
      <c r="BQ81" s="38"/>
      <c r="BS81" s="38"/>
      <c r="BT81" s="38"/>
    </row>
    <row r="82" spans="2:72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U82" s="1"/>
      <c r="V82" s="1"/>
      <c r="W82" s="1"/>
      <c r="Y82" s="1"/>
      <c r="Z82" s="1"/>
      <c r="AD82" s="1"/>
      <c r="AH82" s="1"/>
      <c r="AL82" s="1"/>
      <c r="AP82" s="1"/>
      <c r="AT82" s="1"/>
      <c r="AX82" s="1"/>
      <c r="BB82" s="1"/>
      <c r="BF82" s="1"/>
    </row>
    <row r="83" spans="2:72">
      <c r="B83" s="1" t="s">
        <v>415</v>
      </c>
      <c r="C83" s="134">
        <v>289.68099999999998</v>
      </c>
      <c r="D83" s="134">
        <v>301.41800000000001</v>
      </c>
      <c r="E83" s="134">
        <v>361.726</v>
      </c>
      <c r="F83" s="134">
        <v>423.23200000000003</v>
      </c>
      <c r="G83" s="134">
        <v>542.09199999999998</v>
      </c>
      <c r="H83" s="134">
        <v>822.33500000000004</v>
      </c>
      <c r="I83" s="134">
        <v>949.70100000000002</v>
      </c>
      <c r="J83" s="134">
        <v>1450.864</v>
      </c>
      <c r="K83" s="134">
        <v>3015.0390000000002</v>
      </c>
      <c r="L83" s="134">
        <v>7483.0079999999998</v>
      </c>
      <c r="M83" s="134">
        <v>8001.6589999999997</v>
      </c>
      <c r="N83" s="134">
        <v>11552.698</v>
      </c>
      <c r="O83" s="134">
        <v>15445.407999999999</v>
      </c>
      <c r="P83" s="134">
        <v>20216.853999999999</v>
      </c>
      <c r="Q83" s="134">
        <v>21945.367999999999</v>
      </c>
      <c r="R83" s="134"/>
      <c r="S83" s="134">
        <v>79.459999999999994</v>
      </c>
      <c r="T83" s="134">
        <v>89.290999999999997</v>
      </c>
      <c r="U83" s="134">
        <v>89.88</v>
      </c>
      <c r="V83" s="135">
        <f>E83-SUM(S83:U83)</f>
        <v>103.09500000000003</v>
      </c>
      <c r="W83" s="134">
        <v>110.961</v>
      </c>
      <c r="X83" s="134">
        <v>93.790999999999997</v>
      </c>
      <c r="Y83" s="134">
        <v>107.233</v>
      </c>
      <c r="Z83" s="135">
        <f>F83-SUM(W83:Y83)</f>
        <v>111.24700000000001</v>
      </c>
      <c r="AA83" s="134">
        <v>115.50700000000001</v>
      </c>
      <c r="AB83" s="134">
        <v>124.124</v>
      </c>
      <c r="AC83" s="134">
        <v>147.40799999999999</v>
      </c>
      <c r="AD83" s="135">
        <f>G83-AC83-AB83-AA83</f>
        <v>155.05299999999994</v>
      </c>
      <c r="AE83" s="134">
        <v>192.10400000000001</v>
      </c>
      <c r="AF83" s="134">
        <v>198.91900000000001</v>
      </c>
      <c r="AG83" s="134">
        <v>213.24199999999999</v>
      </c>
      <c r="AH83" s="135">
        <f>H83-AG83-AF83-AE83</f>
        <v>218.07000000000008</v>
      </c>
      <c r="AI83" s="134">
        <v>219.86199999999999</v>
      </c>
      <c r="AJ83" s="134">
        <v>238.119</v>
      </c>
      <c r="AK83" s="134">
        <v>228.363</v>
      </c>
      <c r="AL83" s="135">
        <f>I83-AK83-AJ83-AI83</f>
        <v>263.35699999999997</v>
      </c>
      <c r="AM83" s="134">
        <v>273.65499999999997</v>
      </c>
      <c r="AN83" s="134">
        <v>292.447</v>
      </c>
      <c r="AO83" s="229">
        <v>367.19299999999998</v>
      </c>
      <c r="AP83" s="135">
        <f>J83-AO83-AN83-AM83</f>
        <v>517.56900000000007</v>
      </c>
      <c r="AQ83" s="134">
        <v>562.45299999999997</v>
      </c>
      <c r="AR83" s="134">
        <v>614.07500000000005</v>
      </c>
      <c r="AS83" s="134">
        <v>809.13900000000001</v>
      </c>
      <c r="AT83" s="135">
        <f>K83-AQ83-AR83-AS83</f>
        <v>1029.3720000000003</v>
      </c>
      <c r="AU83" s="134">
        <v>933.94500000000005</v>
      </c>
      <c r="AV83" s="134">
        <v>1010.212</v>
      </c>
      <c r="AW83" s="134">
        <v>1251.713</v>
      </c>
      <c r="AX83" s="135">
        <f t="shared" ref="AX83:AX85" si="311">M83-AU83-AV83-AW83</f>
        <v>4805.7890000000007</v>
      </c>
      <c r="AY83" s="134">
        <v>2333.3780000000002</v>
      </c>
      <c r="AZ83" s="134">
        <v>3611.1660000000002</v>
      </c>
      <c r="BA83" s="134">
        <v>4021.0250000000001</v>
      </c>
      <c r="BB83" s="135">
        <f t="shared" ref="BB83:BB85" si="312">O83-AY83-AZ83-BA83</f>
        <v>5479.8389999999981</v>
      </c>
      <c r="BC83" s="134">
        <v>4457.2190000000001</v>
      </c>
      <c r="BD83" s="134">
        <v>5036.7910000000002</v>
      </c>
      <c r="BE83" s="134">
        <v>5431.9</v>
      </c>
      <c r="BF83" s="135">
        <f t="shared" ref="BF83:BF84" si="313">Q83-BC83-BD83-BE83</f>
        <v>7019.4579999999969</v>
      </c>
      <c r="BG83" s="134">
        <v>4612.9380000000001</v>
      </c>
      <c r="BH83" s="134"/>
      <c r="BI83" s="134">
        <v>2359.7829999999999</v>
      </c>
      <c r="BJ83" s="134">
        <v>2562.6880000000001</v>
      </c>
      <c r="BK83" s="134">
        <v>2722.0079999999998</v>
      </c>
      <c r="BL83" s="135">
        <f t="shared" ref="BL83:BL85" si="314">N83-SUM(BI83:BK83)</f>
        <v>3908.219000000001</v>
      </c>
      <c r="BM83" s="134">
        <v>3222.4839999999999</v>
      </c>
      <c r="BN83" s="134">
        <v>4876.8320000000003</v>
      </c>
      <c r="BO83" s="134">
        <v>5359.7849999999999</v>
      </c>
      <c r="BP83" s="135">
        <f t="shared" ref="BP83:BP85" si="315">P83-SUM(BM83:BO83)</f>
        <v>6757.7529999999988</v>
      </c>
      <c r="BQ83" s="134">
        <v>5832.9620000000004</v>
      </c>
      <c r="BS83" s="134">
        <v>14274.995999999999</v>
      </c>
      <c r="BT83" s="134">
        <v>15926.200999999999</v>
      </c>
    </row>
    <row r="84" spans="2:72">
      <c r="B84" s="1" t="s">
        <v>416</v>
      </c>
      <c r="C84" s="134">
        <v>50.454000000000001</v>
      </c>
      <c r="D84" s="134">
        <v>60.468000000000004</v>
      </c>
      <c r="E84" s="134">
        <v>67.462000000000003</v>
      </c>
      <c r="F84" s="134">
        <v>93.180999999999997</v>
      </c>
      <c r="G84" s="134">
        <v>107.735</v>
      </c>
      <c r="H84" s="134">
        <v>148.15299999999999</v>
      </c>
      <c r="I84" s="134">
        <v>177.858</v>
      </c>
      <c r="J84" s="134">
        <v>219.17400000000001</v>
      </c>
      <c r="K84" s="134">
        <v>199.04400000000001</v>
      </c>
      <c r="L84" s="134">
        <v>353.125</v>
      </c>
      <c r="M84" s="134">
        <v>438.589</v>
      </c>
      <c r="N84" s="134">
        <v>633.22900000000004</v>
      </c>
      <c r="O84" s="134">
        <v>616.99199999999996</v>
      </c>
      <c r="P84" s="134">
        <v>807.59500000000003</v>
      </c>
      <c r="Q84" s="134">
        <v>867.54399999999998</v>
      </c>
      <c r="R84" s="134"/>
      <c r="S84" s="134">
        <v>15.670999999999999</v>
      </c>
      <c r="T84" s="134">
        <v>17.542000000000002</v>
      </c>
      <c r="U84" s="134">
        <v>16.933</v>
      </c>
      <c r="V84" s="135">
        <f>E84-SUM(S84:U84)</f>
        <v>17.316000000000003</v>
      </c>
      <c r="W84" s="134">
        <v>17.885000000000002</v>
      </c>
      <c r="X84" s="134">
        <v>26.408000000000001</v>
      </c>
      <c r="Y84" s="134">
        <v>23.001999999999999</v>
      </c>
      <c r="Z84" s="135">
        <f>F84-SUM(W84:Y84)</f>
        <v>25.885999999999996</v>
      </c>
      <c r="AA84" s="134">
        <v>24.562000000000001</v>
      </c>
      <c r="AB84" s="134">
        <v>26.242000000000001</v>
      </c>
      <c r="AC84" s="134">
        <v>25.797000000000001</v>
      </c>
      <c r="AD84" s="135">
        <f>G84-AC84-AB84-AA84</f>
        <v>31.133999999999997</v>
      </c>
      <c r="AE84" s="134">
        <v>35.563000000000002</v>
      </c>
      <c r="AF84" s="134">
        <v>34.264000000000003</v>
      </c>
      <c r="AG84" s="134">
        <v>37.182000000000002</v>
      </c>
      <c r="AH84" s="135">
        <f>H84-AG84-AF84-AE84</f>
        <v>41.143999999999991</v>
      </c>
      <c r="AI84" s="134">
        <v>39.451000000000001</v>
      </c>
      <c r="AJ84" s="134">
        <v>52.938000000000002</v>
      </c>
      <c r="AK84" s="134">
        <v>41.808</v>
      </c>
      <c r="AL84" s="135">
        <f>I84-AK84-AJ84-AI84</f>
        <v>43.661000000000008</v>
      </c>
      <c r="AM84" s="134">
        <v>19.731999999999999</v>
      </c>
      <c r="AN84" s="134">
        <v>75.319000000000003</v>
      </c>
      <c r="AO84" s="229">
        <v>48.603999999999999</v>
      </c>
      <c r="AP84" s="135">
        <f>J84-AO84-AN84-AM84</f>
        <v>75.518999999999991</v>
      </c>
      <c r="AQ84" s="134">
        <v>68.760999999999996</v>
      </c>
      <c r="AR84" s="134">
        <v>81.754999999999995</v>
      </c>
      <c r="AS84" s="134">
        <v>53.476999999999997</v>
      </c>
      <c r="AT84" s="135">
        <f>K84-AQ84-AR84-AS84</f>
        <v>-4.9489999999999768</v>
      </c>
      <c r="AU84" s="134">
        <v>37.865000000000002</v>
      </c>
      <c r="AV84" s="134">
        <v>38.966999999999999</v>
      </c>
      <c r="AW84" s="134">
        <v>47.156999999999996</v>
      </c>
      <c r="AX84" s="135">
        <f t="shared" si="311"/>
        <v>314.60000000000002</v>
      </c>
      <c r="AY84" s="134">
        <v>134.85900000000001</v>
      </c>
      <c r="AZ84" s="134">
        <v>118.66800000000001</v>
      </c>
      <c r="BA84" s="134">
        <v>146.56299999999999</v>
      </c>
      <c r="BB84" s="135">
        <f t="shared" si="312"/>
        <v>216.90199999999993</v>
      </c>
      <c r="BC84" s="134">
        <v>175.37100000000001</v>
      </c>
      <c r="BD84" s="134">
        <v>205.19900000000001</v>
      </c>
      <c r="BE84" s="134">
        <v>205.81299999999999</v>
      </c>
      <c r="BF84" s="135">
        <f t="shared" si="313"/>
        <v>281.161</v>
      </c>
      <c r="BG84" s="134">
        <v>147.37899999999999</v>
      </c>
      <c r="BI84" s="134">
        <v>132.553</v>
      </c>
      <c r="BJ84" s="134">
        <v>136.99700000000001</v>
      </c>
      <c r="BK84" s="134">
        <v>141.11099999999999</v>
      </c>
      <c r="BL84" s="135">
        <f t="shared" si="314"/>
        <v>222.56800000000004</v>
      </c>
      <c r="BM84" s="134">
        <v>186.245</v>
      </c>
      <c r="BN84" s="134">
        <v>160.25899999999999</v>
      </c>
      <c r="BO84" s="134">
        <v>195.35900000000001</v>
      </c>
      <c r="BP84" s="135">
        <f t="shared" si="315"/>
        <v>265.73199999999997</v>
      </c>
      <c r="BQ84" s="134">
        <v>229.501</v>
      </c>
      <c r="BS84" s="134">
        <v>579.89300000000003</v>
      </c>
      <c r="BT84" s="134">
        <v>626.26700000000005</v>
      </c>
    </row>
    <row r="85" spans="2:72">
      <c r="B85" s="1" t="s">
        <v>45</v>
      </c>
      <c r="C85" s="134">
        <v>12.526999999999999</v>
      </c>
      <c r="D85" s="134">
        <v>14.875</v>
      </c>
      <c r="E85" s="134">
        <v>17.454999999999998</v>
      </c>
      <c r="F85" s="134">
        <v>42.469000000000001</v>
      </c>
      <c r="G85" s="134">
        <v>53.424999999999997</v>
      </c>
      <c r="H85" s="134">
        <v>98.686999999999998</v>
      </c>
      <c r="I85" s="134">
        <v>113.989</v>
      </c>
      <c r="J85" s="134">
        <v>197.28200000000001</v>
      </c>
      <c r="K85" s="134">
        <v>122.428</v>
      </c>
      <c r="L85" s="134">
        <v>260.98899999999998</v>
      </c>
      <c r="M85" s="134">
        <v>341.09699999999998</v>
      </c>
      <c r="N85" s="134">
        <v>492.47199999999998</v>
      </c>
      <c r="O85" s="134">
        <v>582.76</v>
      </c>
      <c r="P85" s="134">
        <v>762.78499999999997</v>
      </c>
      <c r="Q85" s="134">
        <v>799.65800000000002</v>
      </c>
      <c r="R85" s="134"/>
      <c r="S85" s="134">
        <v>4.0830000000000002</v>
      </c>
      <c r="T85" s="134">
        <v>5.0910000000000002</v>
      </c>
      <c r="U85" s="134">
        <v>4.25</v>
      </c>
      <c r="V85" s="135">
        <f>E85-SUM(S85:U85)</f>
        <v>4.0309999999999988</v>
      </c>
      <c r="W85" s="134">
        <v>5.3570000000000002</v>
      </c>
      <c r="X85" s="134">
        <v>17.367999999999999</v>
      </c>
      <c r="Y85" s="134">
        <v>9.7639999999999993</v>
      </c>
      <c r="Z85" s="135">
        <f>F85-SUM(W85:Y85)</f>
        <v>9.980000000000004</v>
      </c>
      <c r="AA85" s="134">
        <v>12.645</v>
      </c>
      <c r="AB85" s="134">
        <v>13.878</v>
      </c>
      <c r="AC85" s="134">
        <v>15.164999999999999</v>
      </c>
      <c r="AD85" s="135">
        <f>G85-AC85-AB85-AA85</f>
        <v>11.736999999999998</v>
      </c>
      <c r="AE85" s="134">
        <v>24.745000000000001</v>
      </c>
      <c r="AF85" s="134">
        <v>28.082000000000001</v>
      </c>
      <c r="AG85" s="134">
        <v>22.76</v>
      </c>
      <c r="AH85" s="135">
        <f>H85-AG85-AF85-AE85</f>
        <v>23.099999999999991</v>
      </c>
      <c r="AI85" s="134">
        <v>26.574000000000002</v>
      </c>
      <c r="AJ85" s="134">
        <v>10.874000000000001</v>
      </c>
      <c r="AK85" s="134">
        <v>53.267000000000003</v>
      </c>
      <c r="AL85" s="135">
        <f>I85-AK85-AJ85-AI85</f>
        <v>23.273999999999997</v>
      </c>
      <c r="AM85" s="134">
        <v>56.68</v>
      </c>
      <c r="AN85" s="134">
        <v>18.428999999999998</v>
      </c>
      <c r="AO85" s="229">
        <v>50.93</v>
      </c>
      <c r="AP85" s="135">
        <f>J85-AO85-AN85-AM85</f>
        <v>71.242999999999995</v>
      </c>
      <c r="AQ85" s="134">
        <v>86.171000000000006</v>
      </c>
      <c r="AR85" s="134">
        <v>91.412999999999997</v>
      </c>
      <c r="AS85" s="134">
        <v>23.888000000000002</v>
      </c>
      <c r="AT85" s="135">
        <f>K85-AQ85-AR85-AS85</f>
        <v>-79.044000000000011</v>
      </c>
      <c r="AU85" s="134">
        <v>36.395000000000003</v>
      </c>
      <c r="AV85" s="134">
        <v>52.441000000000003</v>
      </c>
      <c r="AW85" s="134">
        <v>53.671999999999997</v>
      </c>
      <c r="AX85" s="135">
        <f t="shared" si="311"/>
        <v>198.589</v>
      </c>
      <c r="AY85" s="134">
        <v>107.822</v>
      </c>
      <c r="AZ85" s="134">
        <v>150.56100000000001</v>
      </c>
      <c r="BA85" s="134">
        <v>147.60300000000001</v>
      </c>
      <c r="BB85" s="135">
        <f t="shared" si="312"/>
        <v>176.77399999999994</v>
      </c>
      <c r="BC85" s="134">
        <v>167.62799999999999</v>
      </c>
      <c r="BD85" s="134">
        <v>194.90899999999999</v>
      </c>
      <c r="BE85" s="134">
        <v>253.04300000000001</v>
      </c>
      <c r="BF85" s="135">
        <f>Q85-BC85-BD85-BE85</f>
        <v>184.07799999999997</v>
      </c>
      <c r="BG85" s="134">
        <v>942.64400000000001</v>
      </c>
      <c r="BI85" s="134">
        <v>102.425</v>
      </c>
      <c r="BJ85" s="134">
        <v>129.53299999999999</v>
      </c>
      <c r="BK85" s="134">
        <v>129.36099999999999</v>
      </c>
      <c r="BL85" s="135">
        <f t="shared" si="314"/>
        <v>131.15300000000002</v>
      </c>
      <c r="BM85" s="134">
        <v>148.90700000000001</v>
      </c>
      <c r="BN85" s="134">
        <v>203.33099999999999</v>
      </c>
      <c r="BO85" s="134">
        <v>196.74700000000001</v>
      </c>
      <c r="BP85" s="135">
        <f t="shared" si="315"/>
        <v>213.79999999999995</v>
      </c>
      <c r="BQ85" s="134">
        <v>219.36699999999999</v>
      </c>
      <c r="BS85" s="134">
        <v>585.03300000000002</v>
      </c>
      <c r="BT85" s="134">
        <v>653.61500000000001</v>
      </c>
    </row>
    <row r="86" spans="2:72">
      <c r="B86" s="5" t="s">
        <v>417</v>
      </c>
      <c r="C86" s="116">
        <f t="shared" ref="C86:U86" si="316">SUM(C83:C85)</f>
        <v>352.66199999999998</v>
      </c>
      <c r="D86" s="116">
        <f t="shared" si="316"/>
        <v>376.76100000000002</v>
      </c>
      <c r="E86" s="116">
        <f t="shared" si="316"/>
        <v>446.64299999999997</v>
      </c>
      <c r="F86" s="116">
        <f t="shared" si="316"/>
        <v>558.88200000000006</v>
      </c>
      <c r="G86" s="116">
        <f>SUM(G83:G85)</f>
        <v>703.25199999999995</v>
      </c>
      <c r="H86" s="116">
        <f>SUM(H83:H85)</f>
        <v>1069.175</v>
      </c>
      <c r="I86" s="116">
        <f>SUM(I83:I85)</f>
        <v>1241.548</v>
      </c>
      <c r="J86" s="116">
        <f>SUM(J83:J85)</f>
        <v>1867.32</v>
      </c>
      <c r="K86" s="116">
        <f t="shared" ref="K86:M86" si="317">SUM(K83:K85)</f>
        <v>3336.511</v>
      </c>
      <c r="L86" s="116">
        <f>SUM(L83:L85)</f>
        <v>8097.1219999999994</v>
      </c>
      <c r="M86" s="116">
        <f t="shared" si="317"/>
        <v>8781.3449999999993</v>
      </c>
      <c r="N86" s="116">
        <f t="shared" ref="N86" si="318">SUM(N83:N85)</f>
        <v>12678.398999999999</v>
      </c>
      <c r="O86" s="116">
        <f t="shared" ref="O86:P86" si="319">SUM(O83:O85)</f>
        <v>16645.16</v>
      </c>
      <c r="P86" s="116">
        <f t="shared" si="319"/>
        <v>21787.234</v>
      </c>
      <c r="Q86" s="116">
        <f t="shared" ref="Q86" si="320">SUM(Q83:Q85)</f>
        <v>23612.57</v>
      </c>
      <c r="R86" s="116"/>
      <c r="S86" s="116">
        <f t="shared" si="316"/>
        <v>99.213999999999999</v>
      </c>
      <c r="T86" s="116">
        <f t="shared" si="316"/>
        <v>111.92399999999999</v>
      </c>
      <c r="U86" s="116">
        <f t="shared" si="316"/>
        <v>111.06299999999999</v>
      </c>
      <c r="V86" s="116">
        <f>E86-SUM(S86:U86)</f>
        <v>124.44200000000001</v>
      </c>
      <c r="W86" s="116">
        <f t="shared" ref="W86:AC86" si="321">SUM(W83:W85)</f>
        <v>134.203</v>
      </c>
      <c r="X86" s="116">
        <f t="shared" si="321"/>
        <v>137.56700000000001</v>
      </c>
      <c r="Y86" s="116">
        <f t="shared" si="321"/>
        <v>139.99900000000002</v>
      </c>
      <c r="Z86" s="116">
        <f t="shared" si="321"/>
        <v>147.113</v>
      </c>
      <c r="AA86" s="116">
        <f t="shared" si="321"/>
        <v>152.71400000000003</v>
      </c>
      <c r="AB86" s="116">
        <f t="shared" si="321"/>
        <v>164.24399999999997</v>
      </c>
      <c r="AC86" s="116">
        <f t="shared" si="321"/>
        <v>188.36999999999998</v>
      </c>
      <c r="AD86" s="116">
        <f t="shared" ref="AD86:AJ86" si="322">SUM(AD83:AD85)</f>
        <v>197.92399999999992</v>
      </c>
      <c r="AE86" s="116">
        <f t="shared" si="322"/>
        <v>252.41200000000003</v>
      </c>
      <c r="AF86" s="116">
        <f t="shared" si="322"/>
        <v>261.26500000000004</v>
      </c>
      <c r="AG86" s="116">
        <f t="shared" si="322"/>
        <v>273.18399999999997</v>
      </c>
      <c r="AH86" s="116">
        <f t="shared" si="322"/>
        <v>282.31400000000002</v>
      </c>
      <c r="AI86" s="116">
        <f t="shared" si="322"/>
        <v>285.887</v>
      </c>
      <c r="AJ86" s="116">
        <f t="shared" si="322"/>
        <v>301.93100000000004</v>
      </c>
      <c r="AK86" s="116">
        <f t="shared" ref="AK86:AP86" si="323">SUM(AK83:AK85)</f>
        <v>323.43799999999999</v>
      </c>
      <c r="AL86" s="116">
        <f t="shared" si="323"/>
        <v>330.29199999999997</v>
      </c>
      <c r="AM86" s="116">
        <f t="shared" si="323"/>
        <v>350.06699999999995</v>
      </c>
      <c r="AN86" s="116">
        <f t="shared" si="323"/>
        <v>386.19499999999999</v>
      </c>
      <c r="AO86" s="116">
        <f t="shared" si="323"/>
        <v>466.72699999999998</v>
      </c>
      <c r="AP86" s="116">
        <f t="shared" si="323"/>
        <v>664.33100000000013</v>
      </c>
      <c r="AQ86" s="116">
        <f>SUM(AQ83:AQ85)</f>
        <v>717.38499999999999</v>
      </c>
      <c r="AR86" s="116">
        <f>SUM(AR83:AR85)</f>
        <v>787.24300000000005</v>
      </c>
      <c r="AS86" s="116">
        <f>SUM(AS83:AS85)</f>
        <v>886.50400000000002</v>
      </c>
      <c r="AT86" s="116">
        <f t="shared" ref="AT86" si="324">SUM(AT83:AT85)</f>
        <v>945.37900000000025</v>
      </c>
      <c r="AU86" s="116">
        <f>SUM(AU83:AU85)</f>
        <v>1008.205</v>
      </c>
      <c r="AV86" s="116">
        <f>SUM(AV83:AV85)</f>
        <v>1101.6200000000001</v>
      </c>
      <c r="AW86" s="116">
        <f>SUM(AW83:AW85)</f>
        <v>1352.5419999999999</v>
      </c>
      <c r="AX86" s="116">
        <f t="shared" ref="AX86" si="325">SUM(AX83:AX85)</f>
        <v>5318.978000000001</v>
      </c>
      <c r="AY86" s="116">
        <f>SUM(AY83:AY85)</f>
        <v>2576.0590000000002</v>
      </c>
      <c r="AZ86" s="116">
        <f>SUM(AZ83:AZ85)</f>
        <v>3880.3950000000004</v>
      </c>
      <c r="BA86" s="116">
        <f>SUM(BA83:BA85)</f>
        <v>4315.1909999999998</v>
      </c>
      <c r="BB86" s="116">
        <f t="shared" ref="BB86" si="326">SUM(BB83:BB85)</f>
        <v>5873.5149999999985</v>
      </c>
      <c r="BC86" s="116">
        <f>SUM(BC83:BC85)</f>
        <v>4800.2179999999998</v>
      </c>
      <c r="BD86" s="116">
        <f>SUM(BD83:BD85)</f>
        <v>5436.8989999999994</v>
      </c>
      <c r="BE86" s="116">
        <f>SUM(BE83:BE85)</f>
        <v>5890.7559999999994</v>
      </c>
      <c r="BF86" s="116">
        <f t="shared" ref="BF86" si="327">SUM(BF83:BF85)</f>
        <v>7484.6969999999965</v>
      </c>
      <c r="BG86" s="116">
        <f>SUM(BG83:BG85)</f>
        <v>5702.9610000000002</v>
      </c>
      <c r="BI86" s="116">
        <f t="shared" ref="BI86:BN86" si="328">SUM(BI83:BI85)</f>
        <v>2594.761</v>
      </c>
      <c r="BJ86" s="116">
        <f t="shared" si="328"/>
        <v>2829.2179999999998</v>
      </c>
      <c r="BK86" s="116">
        <f t="shared" si="328"/>
        <v>2992.4799999999996</v>
      </c>
      <c r="BL86" s="116">
        <f t="shared" si="328"/>
        <v>4261.9400000000014</v>
      </c>
      <c r="BM86" s="116">
        <f t="shared" si="328"/>
        <v>3557.636</v>
      </c>
      <c r="BN86" s="116">
        <f t="shared" si="328"/>
        <v>5240.4220000000005</v>
      </c>
      <c r="BO86" s="116">
        <f t="shared" ref="BO86:BS86" si="329">SUM(BO83:BO85)</f>
        <v>5751.8910000000005</v>
      </c>
      <c r="BP86" s="116">
        <f t="shared" si="329"/>
        <v>7237.2849999999989</v>
      </c>
      <c r="BQ86" s="116">
        <f t="shared" si="329"/>
        <v>6281.8300000000008</v>
      </c>
      <c r="BS86" s="116">
        <f t="shared" si="329"/>
        <v>15439.921999999999</v>
      </c>
      <c r="BT86" s="116">
        <f t="shared" ref="BT86" si="330">SUM(BT83:BT85)</f>
        <v>17206.083000000002</v>
      </c>
    </row>
    <row r="87" spans="2:72">
      <c r="B87" s="1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7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N87" s="115"/>
      <c r="AO87" s="232"/>
      <c r="AP87" s="115"/>
      <c r="AT87" s="115"/>
      <c r="AX87" s="115"/>
      <c r="BB87" s="115"/>
      <c r="BF87" s="115"/>
    </row>
    <row r="88" spans="2:72">
      <c r="B88" s="5" t="s">
        <v>425</v>
      </c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7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N88" s="115"/>
      <c r="AO88" s="232"/>
      <c r="AP88" s="115"/>
      <c r="AT88" s="115"/>
      <c r="AX88" s="115"/>
      <c r="BB88" s="115"/>
      <c r="BF88" s="115"/>
    </row>
    <row r="89" spans="2:72">
      <c r="B89" s="1" t="s">
        <v>415</v>
      </c>
      <c r="C89" s="141">
        <f t="shared" ref="C89:O89" si="331">C83/C36</f>
        <v>3.1941065805557556E-2</v>
      </c>
      <c r="D89" s="141">
        <f t="shared" si="331"/>
        <v>2.9266827226505501E-2</v>
      </c>
      <c r="E89" s="141">
        <f t="shared" si="331"/>
        <v>3.1427188776339127E-2</v>
      </c>
      <c r="F89" s="141">
        <f t="shared" si="331"/>
        <v>2.7743259739937097E-2</v>
      </c>
      <c r="G89" s="141">
        <f t="shared" si="331"/>
        <v>2.6242010675974835E-2</v>
      </c>
      <c r="H89" s="141">
        <f t="shared" si="331"/>
        <v>3.3597748576803893E-2</v>
      </c>
      <c r="I89" s="141">
        <f t="shared" si="331"/>
        <v>3.0608517441905438E-2</v>
      </c>
      <c r="J89" s="141">
        <f t="shared" si="331"/>
        <v>2.7318227228443324E-2</v>
      </c>
      <c r="K89" s="141">
        <f t="shared" si="331"/>
        <v>2.8554361388358169E-2</v>
      </c>
      <c r="L89" s="141">
        <f t="shared" si="331"/>
        <v>3.6925469023149575E-2</v>
      </c>
      <c r="M89" s="141">
        <f t="shared" si="331"/>
        <v>4.0581823710867389E-2</v>
      </c>
      <c r="N89" s="141">
        <f t="shared" si="331"/>
        <v>4.0581822034865656E-2</v>
      </c>
      <c r="O89" s="141">
        <f t="shared" si="331"/>
        <v>4.6841330508176682E-2</v>
      </c>
      <c r="P89" s="141">
        <f t="shared" ref="P89:Q89" si="332">P83/P36</f>
        <v>4.6841329654995413E-2</v>
      </c>
      <c r="Q89" s="141">
        <f t="shared" si="332"/>
        <v>5.4722381543540657E-2</v>
      </c>
      <c r="R89" s="145"/>
      <c r="S89" s="141">
        <f t="shared" ref="S89:BE89" si="333">S83/S36</f>
        <v>3.2737243042923858E-2</v>
      </c>
      <c r="T89" s="141">
        <f t="shared" si="333"/>
        <v>3.2745288952210162E-2</v>
      </c>
      <c r="U89" s="141">
        <f t="shared" si="333"/>
        <v>2.9691274174537648E-2</v>
      </c>
      <c r="V89" s="141">
        <f t="shared" si="333"/>
        <v>3.0970824729074767E-2</v>
      </c>
      <c r="W89" s="141">
        <f t="shared" si="333"/>
        <v>3.3002890998643723E-2</v>
      </c>
      <c r="X89" s="141">
        <f t="shared" si="333"/>
        <v>2.5837691222083042E-2</v>
      </c>
      <c r="Y89" s="141">
        <f t="shared" si="333"/>
        <v>2.6176090861668007E-2</v>
      </c>
      <c r="Z89" s="141">
        <f t="shared" si="333"/>
        <v>2.6700085274571888E-2</v>
      </c>
      <c r="AA89" s="141">
        <f t="shared" si="333"/>
        <v>2.9856768571594E-2</v>
      </c>
      <c r="AB89" s="141">
        <f t="shared" si="333"/>
        <v>2.6293714115278505E-2</v>
      </c>
      <c r="AC89" s="141">
        <f t="shared" si="333"/>
        <v>2.3927135600087263E-2</v>
      </c>
      <c r="AD89" s="141">
        <f t="shared" si="333"/>
        <v>2.6247555791270194E-2</v>
      </c>
      <c r="AE89" s="141">
        <f t="shared" si="333"/>
        <v>3.7002993308395522E-2</v>
      </c>
      <c r="AF89" s="141">
        <f t="shared" si="333"/>
        <v>3.1352898888914633E-2</v>
      </c>
      <c r="AG89" s="141">
        <f t="shared" si="333"/>
        <v>3.2908746986981229E-2</v>
      </c>
      <c r="AH89" s="141">
        <f t="shared" si="333"/>
        <v>3.3756955493202637E-2</v>
      </c>
      <c r="AI89" s="141">
        <f t="shared" si="333"/>
        <v>3.8417653018325192E-2</v>
      </c>
      <c r="AJ89" s="141">
        <f t="shared" si="333"/>
        <v>4.3628662311966035E-2</v>
      </c>
      <c r="AK89" s="141">
        <f t="shared" si="333"/>
        <v>2.4400902979689797E-2</v>
      </c>
      <c r="AL89" s="141">
        <f t="shared" si="333"/>
        <v>2.5110910326636249E-2</v>
      </c>
      <c r="AM89" s="141">
        <f t="shared" si="333"/>
        <v>2.751124909545791E-2</v>
      </c>
      <c r="AN89" s="141">
        <f t="shared" si="333"/>
        <v>2.6232806548895152E-2</v>
      </c>
      <c r="AO89" s="233">
        <f t="shared" si="333"/>
        <v>2.5622473291272225E-2</v>
      </c>
      <c r="AP89" s="141">
        <f t="shared" si="333"/>
        <v>2.9268166067658762E-2</v>
      </c>
      <c r="AQ89" s="141">
        <f t="shared" si="333"/>
        <v>2.5352977876066902E-2</v>
      </c>
      <c r="AR89" s="141">
        <f t="shared" si="333"/>
        <v>2.4946217810919068E-2</v>
      </c>
      <c r="AS89" s="141">
        <f t="shared" si="333"/>
        <v>2.9392174713399243E-2</v>
      </c>
      <c r="AT89" s="141">
        <f t="shared" si="333"/>
        <v>3.2929859602504614E-2</v>
      </c>
      <c r="AU89" s="141">
        <f t="shared" si="333"/>
        <v>3.033801921997464E-2</v>
      </c>
      <c r="AV89" s="141">
        <f t="shared" si="333"/>
        <v>2.8788392129263873E-2</v>
      </c>
      <c r="AW89" s="141">
        <f t="shared" si="333"/>
        <v>2.794107135897379E-2</v>
      </c>
      <c r="AX89" s="141">
        <f t="shared" si="333"/>
        <v>5.5558535018263612E-2</v>
      </c>
      <c r="AY89" s="141">
        <f t="shared" si="333"/>
        <v>4.2496248897562171E-2</v>
      </c>
      <c r="AZ89" s="141">
        <f t="shared" si="333"/>
        <v>4.781784977741755E-2</v>
      </c>
      <c r="BA89" s="141">
        <f t="shared" si="333"/>
        <v>4.9506030519730182E-2</v>
      </c>
      <c r="BB89" s="141">
        <f t="shared" si="333"/>
        <v>4.6404358100182626E-2</v>
      </c>
      <c r="BC89" s="141">
        <f t="shared" si="333"/>
        <v>5.4408969282549534E-2</v>
      </c>
      <c r="BD89" s="141">
        <f t="shared" si="333"/>
        <v>5.70530969342435E-2</v>
      </c>
      <c r="BE89" s="141">
        <f t="shared" si="333"/>
        <v>5.6245230405704144E-2</v>
      </c>
      <c r="BF89" s="141">
        <f t="shared" ref="BF89:BG89" si="334">BF83/BF36</f>
        <v>5.2285509415824064E-2</v>
      </c>
      <c r="BG89" s="141">
        <f t="shared" si="334"/>
        <v>4.6397679686532141E-2</v>
      </c>
      <c r="BI89" s="141">
        <f t="shared" ref="BI89:BO92" si="335">BI83/BI36</f>
        <v>4.4200152875415968E-2</v>
      </c>
      <c r="BJ89" s="141">
        <f t="shared" si="335"/>
        <v>4.162192671622103E-2</v>
      </c>
      <c r="BK89" s="141">
        <f t="shared" si="335"/>
        <v>3.8187386723594979E-2</v>
      </c>
      <c r="BL89" s="141">
        <f t="shared" si="335"/>
        <v>3.9702668867433913E-2</v>
      </c>
      <c r="BM89" s="141">
        <f t="shared" si="335"/>
        <v>4.2496243728805762E-2</v>
      </c>
      <c r="BN89" s="141">
        <f t="shared" si="335"/>
        <v>4.7817849389470438E-2</v>
      </c>
      <c r="BO89" s="141">
        <f t="shared" si="335"/>
        <v>4.9506026418214277E-2</v>
      </c>
      <c r="BP89" s="141">
        <f t="shared" ref="BP89:BQ89" si="336">BP83/BP36</f>
        <v>4.6438636290528648E-2</v>
      </c>
      <c r="BQ89" s="141">
        <f t="shared" si="336"/>
        <v>5.4408973567327219E-2</v>
      </c>
      <c r="BS89" s="141">
        <f t="shared" ref="BS89:BT92" si="337">BS83/BS36</f>
        <v>4.6907284091083391E-2</v>
      </c>
      <c r="BT89" s="141">
        <f t="shared" si="337"/>
        <v>5.5912560907928482E-2</v>
      </c>
    </row>
    <row r="90" spans="2:72">
      <c r="B90" s="1" t="s">
        <v>416</v>
      </c>
      <c r="C90" s="141">
        <f t="shared" ref="C90:O90" si="338">C84/C37</f>
        <v>2.7591419065389484E-2</v>
      </c>
      <c r="D90" s="141">
        <f t="shared" si="338"/>
        <v>3.0762468445423938E-2</v>
      </c>
      <c r="E90" s="141">
        <f t="shared" si="338"/>
        <v>3.2090440414680302E-2</v>
      </c>
      <c r="F90" s="141">
        <f t="shared" si="338"/>
        <v>3.4182055090551389E-2</v>
      </c>
      <c r="G90" s="141">
        <f t="shared" si="338"/>
        <v>3.8388314359798649E-2</v>
      </c>
      <c r="H90" s="141">
        <f t="shared" si="338"/>
        <v>4.5577040096523531E-2</v>
      </c>
      <c r="I90" s="141">
        <f t="shared" si="338"/>
        <v>3.9383296608981641E-2</v>
      </c>
      <c r="J90" s="141">
        <f t="shared" si="338"/>
        <v>3.9290443706625475E-2</v>
      </c>
      <c r="K90" s="141">
        <f t="shared" si="338"/>
        <v>2.1610417088736643E-2</v>
      </c>
      <c r="L90" s="141">
        <f t="shared" si="338"/>
        <v>2.0209437591310889E-2</v>
      </c>
      <c r="M90" s="141">
        <f t="shared" si="338"/>
        <v>2.3176003811401568E-2</v>
      </c>
      <c r="N90" s="141">
        <f t="shared" si="338"/>
        <v>2.3175985771504107E-2</v>
      </c>
      <c r="O90" s="141">
        <f t="shared" si="338"/>
        <v>2.7847948949398807E-2</v>
      </c>
      <c r="P90" s="141">
        <f t="shared" ref="P90:Q90" si="339">P84/P37</f>
        <v>2.7847942122266326E-2</v>
      </c>
      <c r="Q90" s="141">
        <f t="shared" si="339"/>
        <v>3.4393442052328423E-2</v>
      </c>
      <c r="R90" s="145"/>
      <c r="S90" s="141">
        <f t="shared" ref="S90:BE90" si="340">S84/S37</f>
        <v>2.9470837580348512E-2</v>
      </c>
      <c r="T90" s="141">
        <f t="shared" si="340"/>
        <v>3.4857080406553338E-2</v>
      </c>
      <c r="U90" s="141">
        <f t="shared" si="340"/>
        <v>3.5812631391940304E-2</v>
      </c>
      <c r="V90" s="141">
        <f t="shared" si="340"/>
        <v>2.9130770511908179E-2</v>
      </c>
      <c r="W90" s="141">
        <f t="shared" si="340"/>
        <v>3.1442670965677655E-2</v>
      </c>
      <c r="X90" s="141">
        <f t="shared" si="340"/>
        <v>4.4344140622376259E-2</v>
      </c>
      <c r="Y90" s="141">
        <f t="shared" si="340"/>
        <v>3.3992584349697118E-2</v>
      </c>
      <c r="Z90" s="141">
        <f t="shared" si="340"/>
        <v>2.9249486162256338E-2</v>
      </c>
      <c r="AA90" s="141">
        <f t="shared" si="340"/>
        <v>3.8862755708293582E-2</v>
      </c>
      <c r="AB90" s="141">
        <f t="shared" si="340"/>
        <v>3.7302008099490976E-2</v>
      </c>
      <c r="AC90" s="141">
        <f t="shared" si="340"/>
        <v>3.8928056207785312E-2</v>
      </c>
      <c r="AD90" s="141">
        <f t="shared" si="340"/>
        <v>3.852030747950197E-2</v>
      </c>
      <c r="AE90" s="141">
        <f t="shared" si="340"/>
        <v>4.9020161907269294E-2</v>
      </c>
      <c r="AF90" s="141">
        <f t="shared" si="340"/>
        <v>4.5118643175054651E-2</v>
      </c>
      <c r="AG90" s="141">
        <f t="shared" si="340"/>
        <v>4.6523500110734493E-2</v>
      </c>
      <c r="AH90" s="141">
        <f t="shared" si="340"/>
        <v>4.2570098292809083E-2</v>
      </c>
      <c r="AI90" s="141">
        <f t="shared" si="340"/>
        <v>4.0239533906430411E-2</v>
      </c>
      <c r="AJ90" s="141">
        <f t="shared" si="340"/>
        <v>5.793342547875676E-2</v>
      </c>
      <c r="AK90" s="141">
        <f t="shared" si="340"/>
        <v>3.5841562598856201E-2</v>
      </c>
      <c r="AL90" s="141">
        <f t="shared" si="340"/>
        <v>2.9998632709303696E-2</v>
      </c>
      <c r="AM90" s="141">
        <f t="shared" si="340"/>
        <v>1.7030061528131277E-2</v>
      </c>
      <c r="AN90" s="141">
        <f t="shared" si="340"/>
        <v>6.8295429712896066E-2</v>
      </c>
      <c r="AO90" s="233">
        <f t="shared" si="340"/>
        <v>3.7732890202444365E-2</v>
      </c>
      <c r="AP90" s="141">
        <f t="shared" si="340"/>
        <v>3.7225353404005915E-2</v>
      </c>
      <c r="AQ90" s="141">
        <f t="shared" si="340"/>
        <v>3.7732463384787605E-2</v>
      </c>
      <c r="AR90" s="141">
        <f t="shared" si="340"/>
        <v>4.3295740277457084E-2</v>
      </c>
      <c r="AS90" s="141">
        <f t="shared" si="340"/>
        <v>2.5151242794126845E-2</v>
      </c>
      <c r="AT90" s="141">
        <f t="shared" si="340"/>
        <v>-1.466927150720014E-3</v>
      </c>
      <c r="AU90" s="141">
        <f t="shared" si="340"/>
        <v>1.2809821596212367E-2</v>
      </c>
      <c r="AV90" s="141">
        <f t="shared" si="340"/>
        <v>1.3935972562224062E-2</v>
      </c>
      <c r="AW90" s="141">
        <f t="shared" si="340"/>
        <v>1.1653855506722892E-2</v>
      </c>
      <c r="AX90" s="141">
        <f t="shared" si="340"/>
        <v>3.4473992189109459E-2</v>
      </c>
      <c r="AY90" s="141">
        <f t="shared" si="340"/>
        <v>2.5415214678742786E-2</v>
      </c>
      <c r="AZ90" s="141">
        <f t="shared" si="340"/>
        <v>2.6006603119223232E-2</v>
      </c>
      <c r="BA90" s="141">
        <f t="shared" si="340"/>
        <v>3.1630590920548755E-2</v>
      </c>
      <c r="BB90" s="141">
        <f t="shared" si="340"/>
        <v>2.8342336199728906E-2</v>
      </c>
      <c r="BC90" s="141">
        <f t="shared" si="340"/>
        <v>3.1094137909880172E-2</v>
      </c>
      <c r="BD90" s="141">
        <f t="shared" si="340"/>
        <v>3.5333837514524485E-2</v>
      </c>
      <c r="BE90" s="141">
        <f t="shared" si="340"/>
        <v>3.5123542413862306E-2</v>
      </c>
      <c r="BF90" s="141">
        <f t="shared" ref="BF90:BG90" si="341">BF84/BF37</f>
        <v>3.5513645661827069E-2</v>
      </c>
      <c r="BG90" s="141">
        <f t="shared" si="341"/>
        <v>2.6606213454119402E-2</v>
      </c>
      <c r="BI90" s="141">
        <f t="shared" si="335"/>
        <v>2.6878093420095599E-2</v>
      </c>
      <c r="BJ90" s="141">
        <f t="shared" si="335"/>
        <v>2.6408642793501868E-2</v>
      </c>
      <c r="BK90" s="141">
        <f t="shared" si="335"/>
        <v>2.2157222997812871E-2</v>
      </c>
      <c r="BL90" s="141">
        <f t="shared" si="335"/>
        <v>2.0541970668013693E-2</v>
      </c>
      <c r="BM90" s="141">
        <f t="shared" si="335"/>
        <v>2.541515490765147E-2</v>
      </c>
      <c r="BN90" s="141">
        <f t="shared" si="335"/>
        <v>2.6006508970321786E-2</v>
      </c>
      <c r="BO90" s="141">
        <f t="shared" si="335"/>
        <v>3.1630477195857064E-2</v>
      </c>
      <c r="BP90" s="141">
        <f t="shared" ref="BP90:BQ90" si="342">BP84/BP37</f>
        <v>2.8470762055626472E-2</v>
      </c>
      <c r="BQ90" s="141">
        <f t="shared" si="342"/>
        <v>3.1094258412619962E-2</v>
      </c>
      <c r="BS90" s="141">
        <f t="shared" si="337"/>
        <v>2.7415200013766863E-2</v>
      </c>
      <c r="BT90" s="141">
        <f t="shared" si="337"/>
        <v>3.3796755901711294E-2</v>
      </c>
    </row>
    <row r="91" spans="2:72">
      <c r="B91" s="1" t="s">
        <v>45</v>
      </c>
      <c r="C91" s="141">
        <f t="shared" ref="C91:O91" si="343">C85/C38</f>
        <v>7.7509595114921724E-3</v>
      </c>
      <c r="D91" s="141">
        <f t="shared" si="343"/>
        <v>7.8227961802666748E-3</v>
      </c>
      <c r="E91" s="141">
        <f t="shared" si="343"/>
        <v>7.0270942693452416E-3</v>
      </c>
      <c r="F91" s="141">
        <f t="shared" si="343"/>
        <v>1.4853024342116539E-2</v>
      </c>
      <c r="G91" s="141">
        <f t="shared" si="343"/>
        <v>1.552817597339937E-2</v>
      </c>
      <c r="H91" s="141">
        <f t="shared" si="343"/>
        <v>2.3411780642335928E-2</v>
      </c>
      <c r="I91" s="141">
        <f t="shared" si="343"/>
        <v>2.1390068270926481E-2</v>
      </c>
      <c r="J91" s="141">
        <f t="shared" si="343"/>
        <v>2.0774416220391913E-2</v>
      </c>
      <c r="K91" s="141">
        <f t="shared" si="343"/>
        <v>6.4046417592498574E-3</v>
      </c>
      <c r="L91" s="141">
        <f t="shared" si="343"/>
        <v>7.0447914028976145E-3</v>
      </c>
      <c r="M91" s="141">
        <f t="shared" si="343"/>
        <v>8.3182223322115535E-3</v>
      </c>
      <c r="N91" s="141">
        <f t="shared" si="343"/>
        <v>8.3182270808159764E-3</v>
      </c>
      <c r="O91" s="141">
        <f t="shared" si="343"/>
        <v>7.6025134215162793E-3</v>
      </c>
      <c r="P91" s="141">
        <f t="shared" ref="P91:Q91" si="344">P85/P38</f>
        <v>7.6024820379358158E-3</v>
      </c>
      <c r="Q91" s="141">
        <f t="shared" si="344"/>
        <v>8.1866517867965564E-3</v>
      </c>
      <c r="R91" s="145"/>
      <c r="S91" s="141">
        <f t="shared" ref="S91:BE91" si="345">S85/S38</f>
        <v>7.1820833142772723E-3</v>
      </c>
      <c r="T91" s="141">
        <f t="shared" si="345"/>
        <v>6.9790778459859681E-3</v>
      </c>
      <c r="U91" s="141">
        <f t="shared" si="345"/>
        <v>7.2865928406224975E-3</v>
      </c>
      <c r="V91" s="141">
        <f t="shared" si="345"/>
        <v>6.6879033729862437E-3</v>
      </c>
      <c r="W91" s="141">
        <f t="shared" si="345"/>
        <v>7.6171544517767446E-3</v>
      </c>
      <c r="X91" s="141">
        <f t="shared" si="345"/>
        <v>2.078640792966515E-2</v>
      </c>
      <c r="Y91" s="141">
        <f t="shared" si="345"/>
        <v>1.4653355984704321E-2</v>
      </c>
      <c r="Z91" s="141">
        <f t="shared" si="345"/>
        <v>1.5257046064660534E-2</v>
      </c>
      <c r="AA91" s="141">
        <f t="shared" si="345"/>
        <v>1.6180525787113161E-2</v>
      </c>
      <c r="AB91" s="141">
        <f t="shared" si="345"/>
        <v>1.275879822013018E-2</v>
      </c>
      <c r="AC91" s="141">
        <f t="shared" si="345"/>
        <v>1.7378638885291814E-2</v>
      </c>
      <c r="AD91" s="141">
        <f t="shared" si="345"/>
        <v>1.6798772546022366E-2</v>
      </c>
      <c r="AE91" s="141">
        <f t="shared" si="345"/>
        <v>2.5119277230737997E-2</v>
      </c>
      <c r="AF91" s="141">
        <f t="shared" si="345"/>
        <v>2.1215369773122012E-2</v>
      </c>
      <c r="AG91" s="141">
        <f t="shared" si="345"/>
        <v>2.3538050251048406E-2</v>
      </c>
      <c r="AH91" s="141">
        <f t="shared" si="345"/>
        <v>2.4585897912114463E-2</v>
      </c>
      <c r="AI91" s="141">
        <f t="shared" si="345"/>
        <v>2.4971292504477619E-2</v>
      </c>
      <c r="AJ91" s="141">
        <f t="shared" si="345"/>
        <v>7.4454005103735095E-3</v>
      </c>
      <c r="AK91" s="141">
        <f t="shared" si="345"/>
        <v>3.7700607617692755E-2</v>
      </c>
      <c r="AL91" s="141">
        <f t="shared" si="345"/>
        <v>1.6726003711140466E-2</v>
      </c>
      <c r="AM91" s="141">
        <f t="shared" si="345"/>
        <v>3.0178874255578008E-2</v>
      </c>
      <c r="AN91" s="141">
        <f t="shared" si="345"/>
        <v>8.0707426055417423E-3</v>
      </c>
      <c r="AO91" s="233">
        <f t="shared" si="345"/>
        <v>2.014096699578475E-2</v>
      </c>
      <c r="AP91" s="141">
        <f t="shared" si="345"/>
        <v>2.5388192421851027E-2</v>
      </c>
      <c r="AQ91" s="141">
        <f t="shared" si="345"/>
        <v>2.0728253987803258E-2</v>
      </c>
      <c r="AR91" s="141">
        <f t="shared" si="345"/>
        <v>1.5759815943252042E-2</v>
      </c>
      <c r="AS91" s="141">
        <f t="shared" si="345"/>
        <v>5.1938101297995948E-3</v>
      </c>
      <c r="AT91" s="141">
        <f t="shared" si="345"/>
        <v>-1.7339423760959715E-2</v>
      </c>
      <c r="AU91" s="141">
        <f t="shared" si="345"/>
        <v>5.9171145486393486E-3</v>
      </c>
      <c r="AV91" s="141">
        <f t="shared" si="345"/>
        <v>5.7875842571880999E-3</v>
      </c>
      <c r="AW91" s="141">
        <f t="shared" si="345"/>
        <v>5.7261781143108249E-3</v>
      </c>
      <c r="AX91" s="141">
        <f t="shared" si="345"/>
        <v>1.2093486243415044E-2</v>
      </c>
      <c r="AY91" s="141">
        <f t="shared" si="345"/>
        <v>8.9470284666561348E-3</v>
      </c>
      <c r="AZ91" s="141">
        <f t="shared" si="345"/>
        <v>7.0021369956027651E-3</v>
      </c>
      <c r="BA91" s="141">
        <f t="shared" si="345"/>
        <v>7.5561207173254338E-3</v>
      </c>
      <c r="BB91" s="141">
        <f t="shared" si="345"/>
        <v>7.5012098965185747E-3</v>
      </c>
      <c r="BC91" s="141">
        <f t="shared" si="345"/>
        <v>7.7760450052034207E-3</v>
      </c>
      <c r="BD91" s="141">
        <f t="shared" si="345"/>
        <v>7.1464349094521777E-3</v>
      </c>
      <c r="BE91" s="141">
        <f t="shared" si="345"/>
        <v>1.149638924793225E-2</v>
      </c>
      <c r="BF91" s="141">
        <f t="shared" ref="BF91:BG91" si="346">BF85/BF38</f>
        <v>6.8590998958193965E-3</v>
      </c>
      <c r="BG91" s="141">
        <f t="shared" si="346"/>
        <v>3.7242947845989548E-2</v>
      </c>
      <c r="BI91" s="141">
        <f t="shared" si="335"/>
        <v>9.6185594388940466E-3</v>
      </c>
      <c r="BJ91" s="141">
        <f t="shared" si="335"/>
        <v>8.1915362325586053E-3</v>
      </c>
      <c r="BK91" s="141">
        <f t="shared" si="335"/>
        <v>8.6241529081957473E-3</v>
      </c>
      <c r="BL91" s="141">
        <f t="shared" si="335"/>
        <v>7.3920668788927607E-3</v>
      </c>
      <c r="BM91" s="141">
        <f t="shared" si="335"/>
        <v>8.9470700834495889E-3</v>
      </c>
      <c r="BN91" s="141">
        <f t="shared" si="335"/>
        <v>7.0021497075868728E-3</v>
      </c>
      <c r="BO91" s="141">
        <f t="shared" si="335"/>
        <v>7.5561608940301703E-3</v>
      </c>
      <c r="BP91" s="141">
        <f t="shared" ref="BP91:BQ91" si="347">BP85/BP38</f>
        <v>7.4718011150527366E-3</v>
      </c>
      <c r="BQ91" s="141">
        <f t="shared" si="347"/>
        <v>7.7760382448635156E-3</v>
      </c>
      <c r="BS91" s="141">
        <f t="shared" si="337"/>
        <v>7.675355851408455E-3</v>
      </c>
      <c r="BT91" s="141">
        <f t="shared" si="337"/>
        <v>8.6117898573863146E-3</v>
      </c>
    </row>
    <row r="92" spans="2:72" s="50" customFormat="1" ht="12" customHeight="1">
      <c r="B92" s="5" t="s">
        <v>417</v>
      </c>
      <c r="C92" s="143">
        <f t="shared" ref="C92:O92" si="348">C86/C39</f>
        <v>2.8181322520086045E-2</v>
      </c>
      <c r="D92" s="143">
        <f t="shared" si="348"/>
        <v>2.65959579559653E-2</v>
      </c>
      <c r="E92" s="143">
        <f t="shared" si="348"/>
        <v>2.7748397087928912E-2</v>
      </c>
      <c r="F92" s="143">
        <f t="shared" si="348"/>
        <v>2.6816965508644115E-2</v>
      </c>
      <c r="G92" s="143">
        <f t="shared" si="348"/>
        <v>2.6138937059476994E-2</v>
      </c>
      <c r="H92" s="143">
        <f t="shared" si="348"/>
        <v>3.3472625329846274E-2</v>
      </c>
      <c r="I92" s="143">
        <f t="shared" si="348"/>
        <v>3.0376133497933073E-2</v>
      </c>
      <c r="J92" s="143">
        <f t="shared" si="348"/>
        <v>2.7386308110163023E-2</v>
      </c>
      <c r="K92" s="143">
        <f t="shared" si="348"/>
        <v>2.4915045686866977E-2</v>
      </c>
      <c r="L92" s="143">
        <f t="shared" si="348"/>
        <v>3.1485235777778786E-2</v>
      </c>
      <c r="M92" s="143">
        <f t="shared" si="348"/>
        <v>3.4154870847677557E-2</v>
      </c>
      <c r="N92" s="143">
        <f t="shared" si="348"/>
        <v>3.4154869024482837E-2</v>
      </c>
      <c r="O92" s="143">
        <f t="shared" si="348"/>
        <v>3.8840809754098551E-2</v>
      </c>
      <c r="P92" s="143">
        <f t="shared" ref="P92:Q92" si="349">P86/P39</f>
        <v>3.8840803075635158E-2</v>
      </c>
      <c r="Q92" s="143">
        <f t="shared" si="349"/>
        <v>4.5067891377727431E-2</v>
      </c>
      <c r="R92" s="224"/>
      <c r="S92" s="143">
        <f t="shared" ref="S92:BE92" si="350">S86/S39</f>
        <v>2.8126274823533946E-2</v>
      </c>
      <c r="T92" s="143">
        <f t="shared" si="350"/>
        <v>2.8266805672151119E-2</v>
      </c>
      <c r="U92" s="143">
        <f t="shared" si="350"/>
        <v>2.7199743732729691E-2</v>
      </c>
      <c r="V92" s="143">
        <f t="shared" si="350"/>
        <v>2.7495337423394214E-2</v>
      </c>
      <c r="W92" s="143">
        <f t="shared" si="350"/>
        <v>2.895892197536E-2</v>
      </c>
      <c r="X92" s="143">
        <f t="shared" si="350"/>
        <v>2.7181368708676039E-2</v>
      </c>
      <c r="Y92" s="143">
        <f t="shared" si="350"/>
        <v>2.5736955406729531E-2</v>
      </c>
      <c r="Z92" s="143">
        <f t="shared" si="350"/>
        <v>2.5783641260836591E-2</v>
      </c>
      <c r="AA92" s="143">
        <f t="shared" si="350"/>
        <v>2.8910961266649736E-2</v>
      </c>
      <c r="AB92" s="143">
        <f t="shared" si="350"/>
        <v>2.5222158902180974E-2</v>
      </c>
      <c r="AC92" s="143">
        <f t="shared" si="350"/>
        <v>2.4476316367011426E-2</v>
      </c>
      <c r="AD92" s="143">
        <f t="shared" si="350"/>
        <v>2.6695037213413812E-2</v>
      </c>
      <c r="AE92" s="143">
        <f t="shared" si="350"/>
        <v>3.6570017169994834E-2</v>
      </c>
      <c r="AF92" s="143">
        <f t="shared" si="350"/>
        <v>3.1001115382789886E-2</v>
      </c>
      <c r="AG92" s="143">
        <f t="shared" si="350"/>
        <v>3.3129471664335622E-2</v>
      </c>
      <c r="AH92" s="143">
        <f t="shared" si="350"/>
        <v>3.3745135855387201E-2</v>
      </c>
      <c r="AI92" s="143">
        <f t="shared" si="350"/>
        <v>3.6805403211935643E-2</v>
      </c>
      <c r="AJ92" s="143">
        <f t="shared" si="350"/>
        <v>3.8550309883813208E-2</v>
      </c>
      <c r="AK92" s="143">
        <f t="shared" si="350"/>
        <v>2.7092796164901525E-2</v>
      </c>
      <c r="AL92" s="143">
        <f t="shared" si="350"/>
        <v>2.4769415008439277E-2</v>
      </c>
      <c r="AM92" s="143">
        <f t="shared" si="350"/>
        <v>2.6961800284569692E-2</v>
      </c>
      <c r="AN92" s="143">
        <f t="shared" si="350"/>
        <v>2.6571074692106608E-2</v>
      </c>
      <c r="AO92" s="234">
        <f t="shared" si="350"/>
        <v>2.5718273630568753E-2</v>
      </c>
      <c r="AP92" s="143">
        <f t="shared" si="350"/>
        <v>2.9501527386624597E-2</v>
      </c>
      <c r="AQ92" s="143">
        <f t="shared" si="350"/>
        <v>2.5471344227348043E-2</v>
      </c>
      <c r="AR92" s="143">
        <f t="shared" si="350"/>
        <v>2.4369352841742544E-2</v>
      </c>
      <c r="AS92" s="143">
        <f t="shared" si="350"/>
        <v>2.5879852632931046E-2</v>
      </c>
      <c r="AT92" s="143">
        <f t="shared" si="350"/>
        <v>2.4121807884694486E-2</v>
      </c>
      <c r="AU92" s="143">
        <f t="shared" si="350"/>
        <v>2.5273757784796454E-2</v>
      </c>
      <c r="AV92" s="143">
        <f t="shared" si="350"/>
        <v>2.3464663339953562E-2</v>
      </c>
      <c r="AW92" s="143">
        <f t="shared" si="350"/>
        <v>2.3232414686051018E-2</v>
      </c>
      <c r="AX92" s="143">
        <f t="shared" si="350"/>
        <v>4.7471192680584744E-2</v>
      </c>
      <c r="AY92" s="143">
        <f t="shared" si="350"/>
        <v>3.5647276122693625E-2</v>
      </c>
      <c r="AZ92" s="143">
        <f t="shared" si="350"/>
        <v>3.8198748133939926E-2</v>
      </c>
      <c r="BA92" s="143">
        <f t="shared" si="350"/>
        <v>4.0944685589902878E-2</v>
      </c>
      <c r="BB92" s="143">
        <f t="shared" si="350"/>
        <v>3.9338277412475572E-2</v>
      </c>
      <c r="BC92" s="143">
        <f t="shared" si="350"/>
        <v>4.3991218211991784E-2</v>
      </c>
      <c r="BD92" s="143">
        <f t="shared" si="350"/>
        <v>4.4798449867386868E-2</v>
      </c>
      <c r="BE92" s="143">
        <f t="shared" si="350"/>
        <v>4.7335978140109654E-2</v>
      </c>
      <c r="BF92" s="143">
        <f t="shared" ref="BF92:BG92" si="351">BF86/BF39</f>
        <v>4.4286447486640568E-2</v>
      </c>
      <c r="BG92" s="143">
        <f t="shared" si="351"/>
        <v>4.3777442649085355E-2</v>
      </c>
      <c r="BI92" s="143">
        <f t="shared" si="335"/>
        <v>3.7622193495583482E-2</v>
      </c>
      <c r="BJ92" s="143">
        <f t="shared" si="335"/>
        <v>3.4263966137844493E-2</v>
      </c>
      <c r="BK92" s="143">
        <f t="shared" si="335"/>
        <v>3.22991900064548E-2</v>
      </c>
      <c r="BL92" s="143">
        <f t="shared" si="335"/>
        <v>3.3554783852895786E-2</v>
      </c>
      <c r="BM92" s="143">
        <f t="shared" si="335"/>
        <v>3.5647274906334923E-2</v>
      </c>
      <c r="BN92" s="143">
        <f t="shared" si="335"/>
        <v>3.8198746696539179E-2</v>
      </c>
      <c r="BO92" s="143">
        <f t="shared" si="335"/>
        <v>4.0944684960270948E-2</v>
      </c>
      <c r="BP92" s="143">
        <f t="shared" ref="BP92:BQ92" si="352">BP86/BP39</f>
        <v>3.9447164285720426E-2</v>
      </c>
      <c r="BQ92" s="143">
        <f t="shared" si="352"/>
        <v>4.399122683913375E-2</v>
      </c>
      <c r="BS92" s="143">
        <f t="shared" si="337"/>
        <v>3.8436626147354019E-2</v>
      </c>
      <c r="BT92" s="143">
        <f t="shared" si="337"/>
        <v>4.5366402516265995E-2</v>
      </c>
    </row>
    <row r="93" spans="2:72">
      <c r="B93" s="1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</row>
    <row r="94" spans="2:72" hidden="1">
      <c r="B94" s="104" t="s">
        <v>426</v>
      </c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222"/>
      <c r="S94" s="38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  <c r="BA94" s="38"/>
      <c r="BB94" s="38"/>
      <c r="BC94" s="38"/>
      <c r="BD94" s="38"/>
      <c r="BE94" s="38"/>
      <c r="BF94" s="38"/>
      <c r="BG94" s="38"/>
      <c r="BI94" s="38"/>
      <c r="BJ94" s="38"/>
      <c r="BK94" s="38"/>
      <c r="BL94" s="38"/>
      <c r="BM94" s="38"/>
      <c r="BN94" s="38"/>
      <c r="BO94" s="38"/>
      <c r="BP94" s="38"/>
      <c r="BQ94" s="38"/>
      <c r="BS94" s="38"/>
      <c r="BT94" s="38"/>
    </row>
    <row r="95" spans="2:72" hidden="1">
      <c r="B95" s="1" t="s">
        <v>427</v>
      </c>
      <c r="C95" s="70">
        <v>-7453.5439999999999</v>
      </c>
      <c r="D95" s="70">
        <v>-8369.0609999999997</v>
      </c>
      <c r="E95" s="70">
        <v>-9817.0049999999992</v>
      </c>
      <c r="F95" s="70">
        <v>-13188.335999999999</v>
      </c>
      <c r="G95" s="70">
        <v>-16860.787</v>
      </c>
      <c r="H95" s="70">
        <v>-19508.766</v>
      </c>
      <c r="I95" s="70">
        <v>-24382.231</v>
      </c>
      <c r="J95" s="70">
        <v>-48438.483</v>
      </c>
      <c r="K95" s="70">
        <v>-90881.797999999995</v>
      </c>
      <c r="L95" s="70">
        <v>-169545.38500000001</v>
      </c>
      <c r="M95" s="70">
        <v>-157943.367</v>
      </c>
      <c r="N95" s="70">
        <v>-228036.72399999999</v>
      </c>
      <c r="O95" s="70">
        <v>-263751.43599999999</v>
      </c>
      <c r="P95" s="70">
        <v>-263751.43599999999</v>
      </c>
      <c r="Q95" s="70">
        <v>-263751.43599999999</v>
      </c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N95" s="70"/>
      <c r="AO95" s="235"/>
      <c r="AP95" s="70"/>
      <c r="AT95" s="70"/>
      <c r="AX95" s="70"/>
      <c r="BB95" s="70"/>
      <c r="BF95" s="70"/>
    </row>
    <row r="96" spans="2:72" hidden="1">
      <c r="B96" s="1" t="s">
        <v>428</v>
      </c>
      <c r="C96" s="70">
        <v>83.561999999999998</v>
      </c>
      <c r="D96" s="70">
        <v>28.215</v>
      </c>
      <c r="E96" s="70">
        <v>501.48200000000003</v>
      </c>
      <c r="F96" s="70">
        <v>642.51499999999999</v>
      </c>
      <c r="G96" s="70">
        <v>745.23299999999995</v>
      </c>
      <c r="H96" s="70">
        <v>500.63299999999998</v>
      </c>
      <c r="I96" s="70">
        <v>694.38</v>
      </c>
      <c r="J96" s="70">
        <v>5929.3860000000004</v>
      </c>
      <c r="K96" s="70">
        <v>6757.98</v>
      </c>
      <c r="L96" s="70">
        <v>1381.5809999999999</v>
      </c>
      <c r="M96" s="70">
        <v>-1095.73</v>
      </c>
      <c r="N96" s="70">
        <v>-1582.002</v>
      </c>
      <c r="O96" s="70">
        <v>-354.404</v>
      </c>
      <c r="P96" s="70">
        <v>-354.404</v>
      </c>
      <c r="Q96" s="70">
        <v>-354.404</v>
      </c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N96" s="70"/>
      <c r="AO96" s="235"/>
      <c r="AP96" s="70"/>
      <c r="AT96" s="70"/>
      <c r="AX96" s="70"/>
      <c r="BB96" s="70"/>
      <c r="BF96" s="70"/>
    </row>
    <row r="97" spans="2:58" hidden="1">
      <c r="B97" s="1" t="s">
        <v>429</v>
      </c>
      <c r="C97" s="70">
        <v>-1345.64</v>
      </c>
      <c r="D97" s="70">
        <v>-1530.5419999999999</v>
      </c>
      <c r="E97" s="70">
        <v>-1793.4069999999999</v>
      </c>
      <c r="F97" s="70">
        <v>-2264.31</v>
      </c>
      <c r="G97" s="70">
        <v>-2924.665</v>
      </c>
      <c r="H97" s="70">
        <v>-3572.0329999999999</v>
      </c>
      <c r="I97" s="70">
        <v>-4402.2190000000001</v>
      </c>
      <c r="J97" s="70">
        <v>-6914.5330000000004</v>
      </c>
      <c r="K97" s="70">
        <v>-13902.519</v>
      </c>
      <c r="L97" s="70">
        <v>-26632.888999999999</v>
      </c>
      <c r="M97" s="70">
        <v>-31247.278999999999</v>
      </c>
      <c r="N97" s="70">
        <v>-45114.444000000003</v>
      </c>
      <c r="O97" s="70">
        <v>-63800.201000000001</v>
      </c>
      <c r="P97" s="70">
        <v>-63800.201000000001</v>
      </c>
      <c r="Q97" s="70">
        <v>-63800.201000000001</v>
      </c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N97" s="70"/>
      <c r="AO97" s="235"/>
      <c r="AP97" s="70"/>
      <c r="AT97" s="70"/>
      <c r="AX97" s="70"/>
      <c r="BB97" s="70"/>
      <c r="BF97" s="70"/>
    </row>
    <row r="98" spans="2:58" hidden="1">
      <c r="B98" s="1" t="s">
        <v>430</v>
      </c>
      <c r="C98" s="70">
        <v>-781.10199999999998</v>
      </c>
      <c r="D98" s="70">
        <v>-882.59799999999996</v>
      </c>
      <c r="E98" s="70">
        <v>-1001.071</v>
      </c>
      <c r="F98" s="70">
        <v>-1322.636</v>
      </c>
      <c r="G98" s="70">
        <v>-1714.9559999999999</v>
      </c>
      <c r="H98" s="70">
        <v>-1901.4780000000001</v>
      </c>
      <c r="I98" s="70">
        <v>-2204.375</v>
      </c>
      <c r="J98" s="70">
        <v>-3869.2170000000001</v>
      </c>
      <c r="K98" s="70">
        <v>-8678.3340000000007</v>
      </c>
      <c r="L98" s="70">
        <v>-16618.599999999999</v>
      </c>
      <c r="M98" s="70">
        <v>-13575.831</v>
      </c>
      <c r="N98" s="70">
        <v>-19600.620999999999</v>
      </c>
      <c r="O98" s="70">
        <v>-22110.897000000001</v>
      </c>
      <c r="P98" s="70">
        <v>-22110.897000000001</v>
      </c>
      <c r="Q98" s="70">
        <v>-22110.897000000001</v>
      </c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N98" s="70"/>
      <c r="AO98" s="235"/>
      <c r="AP98" s="70"/>
      <c r="AT98" s="70"/>
      <c r="AX98" s="70"/>
      <c r="BB98" s="70"/>
      <c r="BF98" s="70"/>
    </row>
    <row r="99" spans="2:58" hidden="1">
      <c r="B99" s="1" t="s">
        <v>431</v>
      </c>
      <c r="C99" s="70">
        <v>-511.79300000000001</v>
      </c>
      <c r="D99" s="70">
        <v>-668.77200000000005</v>
      </c>
      <c r="E99" s="70">
        <v>-761.93299999999999</v>
      </c>
      <c r="F99" s="70">
        <v>-884.28700000000003</v>
      </c>
      <c r="G99" s="70">
        <v>-1030.4549999999999</v>
      </c>
      <c r="H99" s="70">
        <v>-1264.96</v>
      </c>
      <c r="I99" s="70">
        <v>-1714.8140000000001</v>
      </c>
      <c r="J99" s="70">
        <v>-2348.6</v>
      </c>
      <c r="K99" s="70">
        <v>-4364.4489999999996</v>
      </c>
      <c r="L99" s="70">
        <v>-8356.2849999999999</v>
      </c>
      <c r="M99" s="70">
        <v>-9626.1389999999992</v>
      </c>
      <c r="N99" s="70">
        <v>-13898.1</v>
      </c>
      <c r="O99" s="70">
        <v>-16892.657999999999</v>
      </c>
      <c r="P99" s="70">
        <v>-16892.657999999999</v>
      </c>
      <c r="Q99" s="70">
        <v>-16892.657999999999</v>
      </c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N99" s="70"/>
      <c r="AO99" s="235"/>
      <c r="AP99" s="70"/>
      <c r="AT99" s="70"/>
      <c r="AX99" s="70"/>
      <c r="BB99" s="70"/>
      <c r="BF99" s="70"/>
    </row>
    <row r="100" spans="2:58" hidden="1">
      <c r="B100" s="1" t="s">
        <v>432</v>
      </c>
      <c r="C100" s="70">
        <v>-429.89100000000002</v>
      </c>
      <c r="D100" s="70">
        <v>-426.75099999999998</v>
      </c>
      <c r="E100" s="70">
        <v>-574.10900000000004</v>
      </c>
      <c r="F100" s="70">
        <v>-656.15300000000002</v>
      </c>
      <c r="G100" s="70">
        <v>-849.01</v>
      </c>
      <c r="H100" s="70">
        <v>-1072.42</v>
      </c>
      <c r="I100" s="70">
        <v>-1084.326</v>
      </c>
      <c r="J100" s="70">
        <v>-1832.4949999999999</v>
      </c>
      <c r="K100" s="70">
        <v>-3445.451</v>
      </c>
      <c r="L100" s="70">
        <v>-6701.1670000000004</v>
      </c>
      <c r="M100" s="70">
        <v>-7261.1890000000003</v>
      </c>
      <c r="N100" s="70">
        <v>-10483.617</v>
      </c>
      <c r="O100" s="70">
        <v>-10994.328</v>
      </c>
      <c r="P100" s="70">
        <v>-10994.328</v>
      </c>
      <c r="Q100" s="70">
        <v>-10994.328</v>
      </c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N100" s="70"/>
      <c r="AO100" s="235"/>
      <c r="AP100" s="70"/>
      <c r="AT100" s="70"/>
      <c r="AX100" s="70"/>
      <c r="BB100" s="70"/>
      <c r="BF100" s="70"/>
    </row>
    <row r="101" spans="2:58" hidden="1">
      <c r="B101" s="1" t="s">
        <v>433</v>
      </c>
      <c r="C101" s="70">
        <v>-100.809</v>
      </c>
      <c r="D101" s="70">
        <v>-106.67400000000001</v>
      </c>
      <c r="E101" s="70">
        <v>-109.072</v>
      </c>
      <c r="F101" s="70">
        <v>-130.97200000000001</v>
      </c>
      <c r="G101" s="70">
        <v>-165.17599999999999</v>
      </c>
      <c r="H101" s="70">
        <v>-223.64099999999999</v>
      </c>
      <c r="I101" s="205"/>
      <c r="J101" s="196"/>
      <c r="K101" s="196"/>
      <c r="L101" s="196"/>
      <c r="M101" s="196"/>
      <c r="N101" s="196"/>
      <c r="O101" s="196"/>
      <c r="P101" s="196"/>
      <c r="Q101" s="196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N101" s="70"/>
      <c r="AO101" s="235"/>
      <c r="AP101" s="70"/>
      <c r="AT101" s="70"/>
      <c r="AX101" s="70"/>
      <c r="BB101" s="70"/>
      <c r="BF101" s="70"/>
    </row>
    <row r="102" spans="2:58" hidden="1">
      <c r="B102" s="1" t="s">
        <v>434</v>
      </c>
      <c r="C102" s="70">
        <v>-68.668999999999997</v>
      </c>
      <c r="D102" s="70">
        <v>-73.013999999999996</v>
      </c>
      <c r="E102" s="70">
        <v>-86.953999999999994</v>
      </c>
      <c r="F102" s="70">
        <v>-102.005</v>
      </c>
      <c r="G102" s="70">
        <v>-116.48</v>
      </c>
      <c r="H102" s="70">
        <v>-145.94499999999999</v>
      </c>
      <c r="I102" s="205"/>
      <c r="J102" s="196"/>
      <c r="K102" s="196"/>
      <c r="L102" s="196"/>
      <c r="M102" s="196"/>
      <c r="N102" s="196"/>
      <c r="O102" s="196"/>
      <c r="P102" s="196"/>
      <c r="Q102" s="196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N102" s="70"/>
      <c r="AO102" s="235"/>
      <c r="AP102" s="70"/>
      <c r="AT102" s="70"/>
      <c r="AX102" s="70"/>
      <c r="BB102" s="70"/>
      <c r="BF102" s="70"/>
    </row>
    <row r="103" spans="2:58" hidden="1">
      <c r="B103" s="1" t="s">
        <v>435</v>
      </c>
      <c r="C103" s="70">
        <v>-42.103000000000002</v>
      </c>
      <c r="D103" s="70">
        <v>-42.573999999999998</v>
      </c>
      <c r="E103" s="70">
        <v>-52.838000000000001</v>
      </c>
      <c r="F103" s="70">
        <v>-57.241</v>
      </c>
      <c r="G103" s="70">
        <v>0</v>
      </c>
      <c r="H103" s="70">
        <v>0</v>
      </c>
      <c r="I103" s="205"/>
      <c r="J103" s="196"/>
      <c r="K103" s="196"/>
      <c r="L103" s="196"/>
      <c r="M103" s="196"/>
      <c r="N103" s="196"/>
      <c r="O103" s="196"/>
      <c r="P103" s="196"/>
      <c r="Q103" s="196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N103" s="70"/>
      <c r="AO103" s="235"/>
      <c r="AP103" s="70"/>
      <c r="AT103" s="70"/>
      <c r="AX103" s="70"/>
      <c r="BB103" s="70"/>
      <c r="BF103" s="70"/>
    </row>
    <row r="104" spans="2:58" hidden="1">
      <c r="B104" s="1" t="s">
        <v>436</v>
      </c>
      <c r="C104" s="70"/>
      <c r="D104" s="70"/>
      <c r="E104" s="70"/>
      <c r="F104" s="70"/>
      <c r="G104" s="70">
        <v>-90.372</v>
      </c>
      <c r="H104" s="70">
        <v>-108.714</v>
      </c>
      <c r="I104" s="70">
        <v>-133.77600000000001</v>
      </c>
      <c r="J104" s="70">
        <v>-237.46199999999999</v>
      </c>
      <c r="K104" s="70">
        <v>-467.84399999999999</v>
      </c>
      <c r="L104" s="70">
        <v>-930.38199999999995</v>
      </c>
      <c r="M104" s="70">
        <v>-1124.19</v>
      </c>
      <c r="N104" s="70">
        <v>-1623.0920000000001</v>
      </c>
      <c r="O104" s="70">
        <v>-2118.8719999999998</v>
      </c>
      <c r="P104" s="70">
        <v>-2118.8719999999998</v>
      </c>
      <c r="Q104" s="70">
        <v>-2118.8719999999998</v>
      </c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N104" s="70"/>
      <c r="AO104" s="235"/>
      <c r="AP104" s="70"/>
      <c r="AT104" s="70"/>
      <c r="AX104" s="70"/>
      <c r="BB104" s="70"/>
      <c r="BF104" s="70"/>
    </row>
    <row r="105" spans="2:58" hidden="1">
      <c r="B105" s="1" t="s">
        <v>437</v>
      </c>
      <c r="C105" s="70"/>
      <c r="D105" s="70"/>
      <c r="E105" s="70"/>
      <c r="F105" s="70"/>
      <c r="G105" s="70">
        <v>-71.305999999999997</v>
      </c>
      <c r="H105" s="70">
        <v>-108.902</v>
      </c>
      <c r="I105" s="70">
        <v>-227.70699999999999</v>
      </c>
      <c r="J105" s="70">
        <v>-318.11700000000002</v>
      </c>
      <c r="K105" s="70">
        <v>-641.78700000000003</v>
      </c>
      <c r="L105" s="70">
        <v>-1217.519</v>
      </c>
      <c r="M105" s="70">
        <v>-1902.9949999999999</v>
      </c>
      <c r="N105" s="70">
        <v>-2747.5219999999999</v>
      </c>
      <c r="O105" s="70">
        <v>-3565.087</v>
      </c>
      <c r="P105" s="70">
        <v>-3565.087</v>
      </c>
      <c r="Q105" s="70">
        <v>-3565.087</v>
      </c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N105" s="70"/>
      <c r="AO105" s="235"/>
      <c r="AP105" s="70"/>
      <c r="AT105" s="70"/>
      <c r="AX105" s="70"/>
      <c r="BB105" s="70"/>
      <c r="BF105" s="70"/>
    </row>
    <row r="106" spans="2:58" hidden="1">
      <c r="B106" s="1" t="s">
        <v>45</v>
      </c>
      <c r="C106" s="70">
        <v>-765.09899999999993</v>
      </c>
      <c r="D106" s="70">
        <v>-913.01600000000008</v>
      </c>
      <c r="E106" s="70">
        <v>-1154.579</v>
      </c>
      <c r="F106" s="70">
        <f>-19840.62-SUM(F95:F103)-F107</f>
        <v>-1329.0079999999962</v>
      </c>
      <c r="G106" s="70">
        <v>-1098.932</v>
      </c>
      <c r="H106" s="70">
        <v>-1197.174</v>
      </c>
      <c r="I106" s="70">
        <f>-2276.956-75.51</f>
        <v>-2352.4660000000003</v>
      </c>
      <c r="J106" s="70">
        <f>-3325.283+23.563</f>
        <v>-3301.72</v>
      </c>
      <c r="K106" s="70">
        <f>-6360.042-72.608</f>
        <v>-6432.6500000000005</v>
      </c>
      <c r="L106" s="70">
        <f>-87.306-12243.79</f>
        <v>-12331.096000000001</v>
      </c>
      <c r="M106" s="70">
        <f>-12859.524-136.545</f>
        <v>-12996.069</v>
      </c>
      <c r="N106" s="70">
        <f>-18566.425-197.142</f>
        <v>-18763.566999999999</v>
      </c>
      <c r="O106" s="70">
        <f>-23226.301+563.3</f>
        <v>-22663.001</v>
      </c>
      <c r="P106" s="70">
        <f>-23226.301+563.3</f>
        <v>-22663.001</v>
      </c>
      <c r="Q106" s="70">
        <f>-23226.301+563.3</f>
        <v>-22663.001</v>
      </c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N106" s="70"/>
      <c r="AO106" s="235"/>
      <c r="AP106" s="70"/>
    </row>
    <row r="107" spans="2:58" hidden="1">
      <c r="B107" s="1" t="s">
        <v>438</v>
      </c>
      <c r="C107" s="70">
        <v>-346.29300000000001</v>
      </c>
      <c r="D107" s="70">
        <v>-369.82299999999998</v>
      </c>
      <c r="E107" s="70">
        <v>-438.68200000000002</v>
      </c>
      <c r="F107" s="70">
        <v>-548.18700000000001</v>
      </c>
      <c r="G107" s="70">
        <v>-690.41399999999999</v>
      </c>
      <c r="H107" s="70">
        <v>-1054.9359999999999</v>
      </c>
      <c r="I107" s="70">
        <v>-1221.9939999999999</v>
      </c>
      <c r="J107" s="70">
        <f>-1845.682</f>
        <v>-1845.682</v>
      </c>
      <c r="K107" s="70">
        <v>-3310.643</v>
      </c>
      <c r="L107" s="70">
        <f>-8062.82</f>
        <v>-8062.82</v>
      </c>
      <c r="M107" s="70">
        <f>-8715.056</f>
        <v>-8715.0560000000005</v>
      </c>
      <c r="N107" s="70">
        <v>-12582.691999999999</v>
      </c>
      <c r="O107" s="70">
        <v>-16549.996999999999</v>
      </c>
      <c r="P107" s="70">
        <v>-16549.996999999999</v>
      </c>
      <c r="Q107" s="70">
        <v>-16549.996999999999</v>
      </c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N107" s="70"/>
      <c r="AO107" s="235"/>
      <c r="AP107" s="70"/>
    </row>
    <row r="108" spans="2:58" hidden="1">
      <c r="B108" s="5" t="s">
        <v>417</v>
      </c>
      <c r="C108" s="116">
        <f t="shared" ref="C108:H108" si="353">SUM(C95:C107)</f>
        <v>-11761.380999999998</v>
      </c>
      <c r="D108" s="116">
        <f t="shared" si="353"/>
        <v>-13354.61</v>
      </c>
      <c r="E108" s="116">
        <f t="shared" si="353"/>
        <v>-15288.167999999998</v>
      </c>
      <c r="F108" s="116">
        <f t="shared" si="353"/>
        <v>-19840.62</v>
      </c>
      <c r="G108" s="116">
        <f t="shared" si="353"/>
        <v>-24867.319999999996</v>
      </c>
      <c r="H108" s="116">
        <f t="shared" si="353"/>
        <v>-29658.335999999996</v>
      </c>
      <c r="I108" s="116">
        <f>SUM(I95:I107)</f>
        <v>-37029.527999999998</v>
      </c>
      <c r="J108" s="116">
        <f>SUM(J95:J107)</f>
        <v>-63176.923000000003</v>
      </c>
      <c r="K108" s="116">
        <f t="shared" ref="K108:M108" si="354">SUM(K95:K107)</f>
        <v>-125367.49499999998</v>
      </c>
      <c r="L108" s="116">
        <f>SUM(L95:L107)</f>
        <v>-249014.56200000001</v>
      </c>
      <c r="M108" s="116">
        <f t="shared" si="354"/>
        <v>-245487.84500000003</v>
      </c>
      <c r="N108" s="116">
        <f t="shared" ref="N108" si="355">SUM(N95:N107)</f>
        <v>-354432.38099999994</v>
      </c>
      <c r="O108" s="116">
        <f t="shared" ref="O108:P108" si="356">SUM(O95:O107)</f>
        <v>-422800.88099999988</v>
      </c>
      <c r="P108" s="116">
        <f t="shared" si="356"/>
        <v>-422800.88099999988</v>
      </c>
      <c r="Q108" s="116">
        <f t="shared" ref="Q108" si="357">SUM(Q95:Q107)</f>
        <v>-422800.88099999988</v>
      </c>
      <c r="R108" s="116"/>
      <c r="S108" s="116"/>
      <c r="T108" s="116"/>
      <c r="U108" s="116"/>
      <c r="V108" s="116"/>
      <c r="W108" s="116"/>
      <c r="X108" s="116"/>
      <c r="Y108" s="116"/>
      <c r="Z108" s="116"/>
      <c r="AA108" s="116"/>
      <c r="AB108" s="116"/>
      <c r="AC108" s="116"/>
      <c r="AD108" s="116"/>
      <c r="AE108" s="116"/>
      <c r="AF108" s="116"/>
      <c r="AG108" s="116"/>
      <c r="AH108" s="116"/>
      <c r="AI108" s="116"/>
      <c r="AJ108" s="116"/>
      <c r="AK108" s="116"/>
      <c r="AL108" s="116"/>
      <c r="AN108" s="116"/>
      <c r="AO108" s="116"/>
      <c r="AP108" s="116"/>
    </row>
    <row r="109" spans="2:58" hidden="1">
      <c r="B109" s="76"/>
      <c r="C109" s="117"/>
      <c r="D109" s="117"/>
      <c r="E109" s="117"/>
      <c r="F109" s="117"/>
      <c r="G109" s="117"/>
      <c r="H109" s="117"/>
      <c r="I109" s="117"/>
      <c r="J109" s="117"/>
      <c r="K109" s="117"/>
      <c r="L109" s="117"/>
      <c r="M109" s="117"/>
      <c r="N109" s="117"/>
      <c r="O109" s="117"/>
      <c r="P109" s="117"/>
      <c r="Q109" s="117"/>
      <c r="R109" s="117"/>
      <c r="S109" s="117"/>
      <c r="T109" s="117"/>
      <c r="U109" s="117"/>
      <c r="V109" s="117"/>
      <c r="W109" s="117"/>
      <c r="X109" s="117"/>
      <c r="Y109" s="117"/>
      <c r="Z109" s="117"/>
      <c r="AA109" s="117"/>
      <c r="AB109" s="117"/>
      <c r="AC109" s="117"/>
      <c r="AD109" s="117"/>
      <c r="AE109" s="117"/>
      <c r="AF109" s="117"/>
      <c r="AG109" s="117"/>
      <c r="AH109" s="117"/>
      <c r="AI109" s="117"/>
      <c r="AJ109" s="117"/>
      <c r="AK109" s="117"/>
      <c r="AL109" s="117"/>
      <c r="AN109" s="117"/>
      <c r="AO109" s="117"/>
      <c r="AP109" s="117"/>
    </row>
    <row r="110" spans="2:58" hidden="1">
      <c r="B110" s="76"/>
      <c r="C110" s="117"/>
      <c r="D110" s="117"/>
      <c r="E110" s="117"/>
      <c r="F110" s="117"/>
      <c r="G110" s="117"/>
      <c r="H110" s="117"/>
      <c r="I110" s="117"/>
      <c r="J110" s="117"/>
      <c r="K110" s="117"/>
      <c r="L110" s="117"/>
      <c r="M110" s="117"/>
      <c r="N110" s="117"/>
      <c r="O110" s="117"/>
      <c r="P110" s="117"/>
      <c r="Q110" s="117"/>
      <c r="R110" s="117"/>
      <c r="S110" s="117"/>
      <c r="T110" s="117"/>
      <c r="U110" s="117"/>
      <c r="V110" s="117"/>
      <c r="W110" s="117"/>
      <c r="X110" s="117"/>
      <c r="Y110" s="117"/>
      <c r="Z110" s="117"/>
      <c r="AA110" s="117"/>
      <c r="AB110" s="117"/>
      <c r="AC110" s="117"/>
      <c r="AD110" s="117"/>
      <c r="AE110" s="117"/>
      <c r="AF110" s="117"/>
      <c r="AG110" s="117"/>
      <c r="AH110" s="117"/>
      <c r="AI110" s="117"/>
      <c r="AJ110" s="117"/>
      <c r="AK110" s="117"/>
      <c r="AL110" s="117"/>
      <c r="AN110" s="117"/>
      <c r="AO110" s="117"/>
      <c r="AP110" s="117"/>
    </row>
    <row r="111" spans="2:58" hidden="1">
      <c r="B111" s="5" t="s">
        <v>439</v>
      </c>
      <c r="C111" s="117"/>
      <c r="D111" s="117"/>
      <c r="E111" s="117"/>
      <c r="F111" s="117"/>
      <c r="G111" s="117"/>
      <c r="H111" s="117"/>
      <c r="I111" s="117"/>
      <c r="J111" s="117"/>
      <c r="K111" s="117"/>
      <c r="L111" s="117"/>
      <c r="M111" s="117"/>
      <c r="N111" s="117"/>
      <c r="O111" s="117"/>
      <c r="P111" s="117"/>
      <c r="Q111" s="117"/>
      <c r="R111" s="117"/>
      <c r="S111" s="117"/>
      <c r="T111" s="117"/>
      <c r="U111" s="117"/>
      <c r="V111" s="117"/>
      <c r="W111" s="117"/>
      <c r="X111" s="117"/>
      <c r="Y111" s="117"/>
      <c r="Z111" s="117"/>
      <c r="AA111" s="117"/>
      <c r="AB111" s="117"/>
      <c r="AC111" s="117"/>
      <c r="AD111" s="117"/>
      <c r="AE111" s="117"/>
      <c r="AF111" s="117"/>
      <c r="AG111" s="117"/>
      <c r="AH111" s="117"/>
      <c r="AI111" s="117"/>
      <c r="AJ111" s="117"/>
      <c r="AK111" s="117"/>
      <c r="AL111" s="117"/>
      <c r="AN111" s="117"/>
      <c r="AO111" s="117"/>
      <c r="AP111" s="117"/>
    </row>
    <row r="112" spans="2:58" hidden="1">
      <c r="B112" s="1" t="s">
        <v>427</v>
      </c>
      <c r="C112" s="145">
        <f t="shared" ref="C112:H120" si="358">-C95/C$24</f>
        <v>0.5956148589347654</v>
      </c>
      <c r="D112" s="145">
        <f t="shared" si="358"/>
        <v>0.59078087829395531</v>
      </c>
      <c r="E112" s="145">
        <f t="shared" si="358"/>
        <v>0.60989687485943855</v>
      </c>
      <c r="F112" s="145">
        <f t="shared" si="358"/>
        <v>0.63281900585169937</v>
      </c>
      <c r="G112" s="145">
        <f t="shared" si="358"/>
        <v>0.62669292112393282</v>
      </c>
      <c r="H112" s="145">
        <f t="shared" si="358"/>
        <v>0.61076027307563674</v>
      </c>
      <c r="I112" s="145">
        <f t="shared" ref="I112:J120" si="359">-I95/I$24</f>
        <v>0.59654391439834964</v>
      </c>
      <c r="J112" s="145">
        <f t="shared" si="359"/>
        <v>0.71040379786372654</v>
      </c>
      <c r="K112" s="145">
        <f t="shared" ref="K112:M112" si="360">-K95/K$24</f>
        <v>0.67865028746334588</v>
      </c>
      <c r="L112" s="145">
        <f t="shared" ref="L112:L120" si="361">-L95/L$24</f>
        <v>0.65926836989232462</v>
      </c>
      <c r="M112" s="145">
        <f t="shared" si="360"/>
        <v>0.61431765875641353</v>
      </c>
      <c r="N112" s="145">
        <f t="shared" ref="N112" si="362">-N95/N$24</f>
        <v>0.61431766274212873</v>
      </c>
      <c r="O112" s="145">
        <f t="shared" ref="O112:P112" si="363">-O95/O$24</f>
        <v>0.61545334187513345</v>
      </c>
      <c r="P112" s="145">
        <f t="shared" si="363"/>
        <v>0.47019817139669906</v>
      </c>
      <c r="Q112" s="145">
        <f t="shared" ref="Q112" si="364">-Q95/Q$24</f>
        <v>0.50340649359081324</v>
      </c>
      <c r="R112" s="145"/>
      <c r="S112" s="117"/>
      <c r="T112" s="117"/>
      <c r="U112" s="117"/>
      <c r="V112" s="117"/>
      <c r="W112" s="117"/>
      <c r="X112" s="117"/>
      <c r="Y112" s="117"/>
      <c r="Z112" s="117"/>
      <c r="AA112" s="117"/>
      <c r="AB112" s="117"/>
      <c r="AC112" s="117"/>
      <c r="AD112" s="117"/>
      <c r="AE112" s="117"/>
      <c r="AF112" s="117"/>
      <c r="AG112" s="117"/>
      <c r="AH112" s="117"/>
      <c r="AI112" s="117"/>
      <c r="AJ112" s="117"/>
      <c r="AK112" s="117"/>
      <c r="AL112" s="117"/>
      <c r="AN112" s="117"/>
      <c r="AO112" s="117"/>
      <c r="AP112" s="117"/>
    </row>
    <row r="113" spans="2:72" hidden="1">
      <c r="B113" s="1" t="s">
        <v>428</v>
      </c>
      <c r="C113" s="145">
        <f t="shared" si="358"/>
        <v>-6.6774636122503422E-3</v>
      </c>
      <c r="D113" s="145">
        <f t="shared" si="358"/>
        <v>-1.9917267278926451E-3</v>
      </c>
      <c r="E113" s="145">
        <f t="shared" si="358"/>
        <v>-3.1155357932308378E-2</v>
      </c>
      <c r="F113" s="145">
        <f t="shared" si="358"/>
        <v>-3.0829947276502859E-2</v>
      </c>
      <c r="G113" s="145">
        <f t="shared" si="358"/>
        <v>-2.7699314728781742E-2</v>
      </c>
      <c r="H113" s="145">
        <f t="shared" si="358"/>
        <v>-1.5673300289248189E-2</v>
      </c>
      <c r="I113" s="145">
        <f t="shared" si="359"/>
        <v>-1.6988936052649405E-2</v>
      </c>
      <c r="J113" s="145">
        <f t="shared" si="359"/>
        <v>-8.6960987886429267E-2</v>
      </c>
      <c r="K113" s="145">
        <f t="shared" ref="K113:M113" si="365">-K96/K$24</f>
        <v>-5.0464506321403785E-2</v>
      </c>
      <c r="L113" s="145">
        <f t="shared" si="361"/>
        <v>-5.3722055232833833E-3</v>
      </c>
      <c r="M113" s="145">
        <f t="shared" si="365"/>
        <v>4.2618205564097225E-3</v>
      </c>
      <c r="N113" s="145">
        <f t="shared" ref="N113" si="366">-N96/N$24</f>
        <v>4.2618213156463917E-3</v>
      </c>
      <c r="O113" s="145">
        <f t="shared" ref="O113:P113" si="367">-O96/O$24</f>
        <v>8.2698744500452623E-4</v>
      </c>
      <c r="P113" s="145">
        <f t="shared" si="367"/>
        <v>6.3180741406721949E-4</v>
      </c>
      <c r="Q113" s="145">
        <f t="shared" ref="Q113" si="368">-Q96/Q$24</f>
        <v>6.7642958711534222E-4</v>
      </c>
      <c r="R113" s="145"/>
      <c r="S113" s="117"/>
      <c r="T113" s="117"/>
      <c r="U113" s="117"/>
      <c r="V113" s="117"/>
      <c r="W113" s="117"/>
      <c r="X113" s="117"/>
      <c r="Y113" s="117"/>
      <c r="Z113" s="117"/>
      <c r="AA113" s="117"/>
      <c r="AB113" s="117"/>
      <c r="AC113" s="117"/>
      <c r="AD113" s="117"/>
      <c r="AE113" s="117"/>
      <c r="AF113" s="117"/>
      <c r="AG113" s="117"/>
      <c r="AH113" s="117"/>
      <c r="AI113" s="117"/>
      <c r="AJ113" s="117"/>
      <c r="AK113" s="117"/>
      <c r="AL113" s="117"/>
      <c r="AN113" s="117"/>
      <c r="AO113" s="117"/>
      <c r="AP113" s="117"/>
    </row>
    <row r="114" spans="2:72" hidden="1">
      <c r="B114" s="1" t="s">
        <v>429</v>
      </c>
      <c r="C114" s="145">
        <f t="shared" si="358"/>
        <v>0.1075304819797103</v>
      </c>
      <c r="D114" s="145">
        <f t="shared" si="358"/>
        <v>0.10804258052675049</v>
      </c>
      <c r="E114" s="145">
        <f t="shared" si="358"/>
        <v>0.11141823037179274</v>
      </c>
      <c r="F114" s="145">
        <f t="shared" si="358"/>
        <v>0.10864891546136383</v>
      </c>
      <c r="G114" s="145">
        <f t="shared" si="358"/>
        <v>0.10870588971670936</v>
      </c>
      <c r="H114" s="145">
        <f t="shared" si="358"/>
        <v>0.11182951553753763</v>
      </c>
      <c r="I114" s="145">
        <f t="shared" si="359"/>
        <v>0.10770617972977076</v>
      </c>
      <c r="J114" s="145">
        <f t="shared" si="359"/>
        <v>0.10140925560476506</v>
      </c>
      <c r="K114" s="145">
        <f t="shared" ref="K114:M114" si="369">-K97/K$24</f>
        <v>0.10381560140144486</v>
      </c>
      <c r="L114" s="145">
        <f t="shared" si="361"/>
        <v>0.10356059716136315</v>
      </c>
      <c r="M114" s="145">
        <f t="shared" si="369"/>
        <v>0.12153568486221042</v>
      </c>
      <c r="N114" s="145">
        <f t="shared" ref="N114" si="370">-N97/N$24</f>
        <v>0.12153568648000161</v>
      </c>
      <c r="O114" s="145">
        <f t="shared" ref="O114:P114" si="371">-O97/O$24</f>
        <v>0.14887519671269292</v>
      </c>
      <c r="P114" s="145">
        <f t="shared" si="371"/>
        <v>0.1137386711515074</v>
      </c>
      <c r="Q114" s="145">
        <f t="shared" ref="Q114" si="372">-Q97/Q$24</f>
        <v>0.12177160421526237</v>
      </c>
      <c r="R114" s="145"/>
      <c r="S114" s="117"/>
      <c r="T114" s="117"/>
      <c r="U114" s="117"/>
      <c r="V114" s="117"/>
      <c r="W114" s="117"/>
      <c r="X114" s="117"/>
      <c r="Y114" s="117"/>
      <c r="Z114" s="117"/>
      <c r="AA114" s="117"/>
      <c r="AB114" s="117"/>
      <c r="AC114" s="117"/>
      <c r="AD114" s="117"/>
      <c r="AE114" s="117"/>
      <c r="AF114" s="117"/>
      <c r="AG114" s="117"/>
      <c r="AH114" s="117"/>
      <c r="AI114" s="117"/>
      <c r="AJ114" s="117"/>
      <c r="AK114" s="117"/>
      <c r="AL114" s="117"/>
      <c r="AN114" s="117"/>
      <c r="AO114" s="117"/>
      <c r="AP114" s="117"/>
    </row>
    <row r="115" spans="2:72" hidden="1">
      <c r="B115" s="1" t="s">
        <v>430</v>
      </c>
      <c r="C115" s="145">
        <f t="shared" si="358"/>
        <v>6.2418086958856499E-2</v>
      </c>
      <c r="D115" s="145">
        <f t="shared" si="358"/>
        <v>6.2303527435215056E-2</v>
      </c>
      <c r="E115" s="145">
        <f t="shared" si="358"/>
        <v>6.2193110262489741E-2</v>
      </c>
      <c r="F115" s="145">
        <f t="shared" si="358"/>
        <v>6.3464352032255492E-2</v>
      </c>
      <c r="G115" s="145">
        <f t="shared" si="358"/>
        <v>6.3742622763635834E-2</v>
      </c>
      <c r="H115" s="145">
        <f t="shared" si="358"/>
        <v>5.9529507018912194E-2</v>
      </c>
      <c r="I115" s="145">
        <f t="shared" si="359"/>
        <v>5.3932984692904515E-2</v>
      </c>
      <c r="J115" s="145">
        <f t="shared" si="359"/>
        <v>5.6746336411049342E-2</v>
      </c>
      <c r="K115" s="145">
        <f t="shared" ref="K115:M115" si="373">-K98/K$24</f>
        <v>6.4804548252917801E-2</v>
      </c>
      <c r="L115" s="145">
        <f t="shared" si="361"/>
        <v>6.462055768661934E-2</v>
      </c>
      <c r="M115" s="145">
        <f t="shared" si="373"/>
        <v>5.2802931037887399E-2</v>
      </c>
      <c r="N115" s="145">
        <f t="shared" ref="N115" si="374">-N98/N$24</f>
        <v>5.2802932219874754E-2</v>
      </c>
      <c r="O115" s="145">
        <f t="shared" ref="O115:P115" si="375">-O98/O$24</f>
        <v>5.1594886673932139E-2</v>
      </c>
      <c r="P115" s="145">
        <f t="shared" si="375"/>
        <v>3.9417807519883073E-2</v>
      </c>
      <c r="Q115" s="145">
        <f t="shared" ref="Q115" si="376">-Q98/Q$24</f>
        <v>4.2201738491833778E-2</v>
      </c>
      <c r="R115" s="145"/>
      <c r="S115" s="117"/>
      <c r="T115" s="117"/>
      <c r="U115" s="117"/>
      <c r="V115" s="117"/>
      <c r="W115" s="117"/>
      <c r="X115" s="117"/>
      <c r="Y115" s="117"/>
      <c r="Z115" s="117"/>
      <c r="AA115" s="117"/>
      <c r="AB115" s="117"/>
      <c r="AC115" s="117"/>
      <c r="AD115" s="117"/>
      <c r="AE115" s="117"/>
      <c r="AF115" s="117"/>
      <c r="AG115" s="117"/>
      <c r="AH115" s="117"/>
      <c r="AI115" s="117"/>
      <c r="AJ115" s="117"/>
      <c r="AK115" s="117"/>
      <c r="AL115" s="117"/>
      <c r="AN115" s="117"/>
      <c r="AO115" s="117"/>
      <c r="AP115" s="117"/>
    </row>
    <row r="116" spans="2:72" hidden="1">
      <c r="B116" s="1" t="s">
        <v>431</v>
      </c>
      <c r="C116" s="145">
        <f t="shared" si="358"/>
        <v>4.0897526800512667E-2</v>
      </c>
      <c r="D116" s="145">
        <f t="shared" si="358"/>
        <v>4.7209323667064339E-2</v>
      </c>
      <c r="E116" s="145">
        <f t="shared" si="358"/>
        <v>4.7336285919409908E-2</v>
      </c>
      <c r="F116" s="145">
        <f t="shared" si="358"/>
        <v>4.2430949607864227E-2</v>
      </c>
      <c r="G116" s="145">
        <f t="shared" si="358"/>
        <v>3.8300635316534284E-2</v>
      </c>
      <c r="H116" s="145">
        <f t="shared" si="358"/>
        <v>3.9602059660244909E-2</v>
      </c>
      <c r="I116" s="145">
        <f t="shared" si="359"/>
        <v>4.1955219603369828E-2</v>
      </c>
      <c r="J116" s="145">
        <f t="shared" si="359"/>
        <v>3.4444810331131719E-2</v>
      </c>
      <c r="K116" s="145">
        <f t="shared" ref="K116:M116" si="377">-K99/K$24</f>
        <v>3.2591064807818967E-2</v>
      </c>
      <c r="L116" s="145">
        <f t="shared" si="361"/>
        <v>3.249297756058464E-2</v>
      </c>
      <c r="M116" s="145">
        <f t="shared" si="377"/>
        <v>3.7440680705153023E-2</v>
      </c>
      <c r="N116" s="145">
        <f t="shared" ref="N116" si="378">-N99/N$24</f>
        <v>3.7440672532010152E-2</v>
      </c>
      <c r="O116" s="145">
        <f t="shared" ref="O116:P116" si="379">-O99/O$24</f>
        <v>3.94183363583799E-2</v>
      </c>
      <c r="P116" s="145">
        <f t="shared" si="379"/>
        <v>3.0115084953053373E-2</v>
      </c>
      <c r="Q116" s="145">
        <f t="shared" ref="Q116" si="380">-Q99/Q$24</f>
        <v>3.2241999741031938E-2</v>
      </c>
      <c r="R116" s="145"/>
      <c r="S116" s="117"/>
      <c r="T116" s="117"/>
      <c r="U116" s="117"/>
      <c r="V116" s="117"/>
      <c r="W116" s="117"/>
      <c r="X116" s="117"/>
      <c r="Y116" s="117"/>
      <c r="Z116" s="117"/>
      <c r="AA116" s="117"/>
      <c r="AB116" s="117"/>
      <c r="AC116" s="117"/>
      <c r="AD116" s="117"/>
      <c r="AE116" s="117"/>
      <c r="AF116" s="117"/>
      <c r="AG116" s="117"/>
      <c r="AH116" s="117"/>
      <c r="AI116" s="117"/>
      <c r="AJ116" s="117"/>
      <c r="AK116" s="117"/>
      <c r="AL116" s="117"/>
      <c r="AN116" s="117"/>
      <c r="AO116" s="117"/>
      <c r="AP116" s="117"/>
    </row>
    <row r="117" spans="2:72" hidden="1">
      <c r="B117" s="1" t="s">
        <v>432</v>
      </c>
      <c r="C117" s="145">
        <f t="shared" si="358"/>
        <v>3.435271426885321E-2</v>
      </c>
      <c r="D117" s="145">
        <f t="shared" si="358"/>
        <v>3.0124804992199689E-2</v>
      </c>
      <c r="E117" s="145">
        <f t="shared" si="358"/>
        <v>3.5667424528018216E-2</v>
      </c>
      <c r="F117" s="145">
        <f t="shared" si="358"/>
        <v>3.148434261506608E-2</v>
      </c>
      <c r="G117" s="145">
        <f t="shared" si="358"/>
        <v>3.1556567137905847E-2</v>
      </c>
      <c r="H117" s="145">
        <f t="shared" si="358"/>
        <v>3.3574216434385157E-2</v>
      </c>
      <c r="I117" s="145">
        <f t="shared" si="359"/>
        <v>2.6529486843263228E-2</v>
      </c>
      <c r="J117" s="145">
        <f t="shared" si="359"/>
        <v>2.6875561060950019E-2</v>
      </c>
      <c r="K117" s="145">
        <f t="shared" ref="K117:M117" si="381">-K100/K$24</f>
        <v>2.5728543702347006E-2</v>
      </c>
      <c r="L117" s="145">
        <f t="shared" si="361"/>
        <v>2.6057137706616076E-2</v>
      </c>
      <c r="M117" s="145">
        <f t="shared" si="381"/>
        <v>2.8242253606432382E-2</v>
      </c>
      <c r="N117" s="145">
        <f t="shared" ref="N117" si="382">-N100/N$24</f>
        <v>2.8242254052569391E-2</v>
      </c>
      <c r="O117" s="145">
        <f t="shared" ref="O117:P117" si="383">-O100/O$24</f>
        <v>2.5654821114495668E-2</v>
      </c>
      <c r="P117" s="145">
        <f t="shared" si="383"/>
        <v>1.9599942277984516E-2</v>
      </c>
      <c r="Q117" s="145">
        <f t="shared" ref="Q117" si="384">-Q100/Q$24</f>
        <v>2.0984212225738551E-2</v>
      </c>
      <c r="R117" s="145"/>
      <c r="S117" s="117"/>
      <c r="T117" s="117"/>
      <c r="U117" s="117"/>
      <c r="V117" s="117"/>
      <c r="W117" s="117"/>
      <c r="X117" s="117"/>
      <c r="Y117" s="117"/>
      <c r="Z117" s="117"/>
      <c r="AA117" s="117"/>
      <c r="AB117" s="117"/>
      <c r="AC117" s="117"/>
      <c r="AD117" s="117"/>
      <c r="AE117" s="117"/>
      <c r="AF117" s="117"/>
      <c r="AG117" s="117"/>
      <c r="AH117" s="117"/>
      <c r="AI117" s="117"/>
      <c r="AJ117" s="117"/>
      <c r="AK117" s="117"/>
      <c r="AL117" s="117"/>
      <c r="AN117" s="117"/>
      <c r="AO117" s="117"/>
      <c r="AP117" s="117"/>
    </row>
    <row r="118" spans="2:72" hidden="1">
      <c r="B118" s="1" t="s">
        <v>433</v>
      </c>
      <c r="C118" s="145">
        <f t="shared" si="358"/>
        <v>8.0556763754738372E-3</v>
      </c>
      <c r="D118" s="145">
        <f t="shared" si="358"/>
        <v>7.5302306209895468E-3</v>
      </c>
      <c r="E118" s="145">
        <f t="shared" si="358"/>
        <v>6.7762695378752163E-3</v>
      </c>
      <c r="F118" s="145">
        <f t="shared" si="358"/>
        <v>6.2844600588284052E-3</v>
      </c>
      <c r="G118" s="145">
        <f t="shared" si="358"/>
        <v>6.1393711894685999E-3</v>
      </c>
      <c r="H118" s="145">
        <f t="shared" si="358"/>
        <v>7.0015211741690101E-3</v>
      </c>
      <c r="I118" s="145">
        <f t="shared" si="359"/>
        <v>0</v>
      </c>
      <c r="J118" s="145">
        <f t="shared" si="359"/>
        <v>0</v>
      </c>
      <c r="K118" s="145">
        <f t="shared" ref="K118:M118" si="385">-K101/K$24</f>
        <v>0</v>
      </c>
      <c r="L118" s="145">
        <f t="shared" si="361"/>
        <v>0</v>
      </c>
      <c r="M118" s="145">
        <f t="shared" si="385"/>
        <v>0</v>
      </c>
      <c r="N118" s="145">
        <f t="shared" ref="N118" si="386">-N101/N$24</f>
        <v>0</v>
      </c>
      <c r="O118" s="145">
        <f t="shared" ref="O118:P118" si="387">-O101/O$24</f>
        <v>0</v>
      </c>
      <c r="P118" s="145">
        <f t="shared" si="387"/>
        <v>0</v>
      </c>
      <c r="Q118" s="145">
        <f t="shared" ref="Q118" si="388">-Q101/Q$24</f>
        <v>0</v>
      </c>
      <c r="R118" s="145"/>
      <c r="S118" s="117"/>
      <c r="T118" s="117"/>
      <c r="U118" s="117"/>
      <c r="V118" s="117"/>
      <c r="W118" s="117"/>
      <c r="X118" s="117"/>
      <c r="Y118" s="117"/>
      <c r="Z118" s="117"/>
      <c r="AA118" s="117"/>
      <c r="AB118" s="117"/>
      <c r="AC118" s="117"/>
      <c r="AD118" s="117"/>
      <c r="AE118" s="117"/>
      <c r="AF118" s="117"/>
      <c r="AG118" s="117"/>
      <c r="AH118" s="117"/>
      <c r="AI118" s="117"/>
      <c r="AJ118" s="117"/>
      <c r="AK118" s="117"/>
      <c r="AL118" s="117"/>
      <c r="AN118" s="117"/>
      <c r="AO118" s="117"/>
      <c r="AP118" s="117"/>
    </row>
    <row r="119" spans="2:72" hidden="1">
      <c r="B119" s="1" t="s">
        <v>434</v>
      </c>
      <c r="C119" s="145">
        <f t="shared" si="358"/>
        <v>5.4873596705394649E-3</v>
      </c>
      <c r="D119" s="145">
        <f t="shared" si="358"/>
        <v>5.1541355771877939E-3</v>
      </c>
      <c r="E119" s="145">
        <f t="shared" si="358"/>
        <v>5.402154002827504E-3</v>
      </c>
      <c r="F119" s="145">
        <f t="shared" si="358"/>
        <v>4.894529733842282E-3</v>
      </c>
      <c r="G119" s="145">
        <f t="shared" si="358"/>
        <v>4.3294059436558736E-3</v>
      </c>
      <c r="H119" s="145">
        <f t="shared" si="358"/>
        <v>4.5690951469725865E-3</v>
      </c>
      <c r="I119" s="145">
        <f t="shared" si="359"/>
        <v>0</v>
      </c>
      <c r="J119" s="145">
        <f t="shared" si="359"/>
        <v>0</v>
      </c>
      <c r="K119" s="145">
        <f t="shared" ref="K119:M119" si="389">-K102/K$24</f>
        <v>0</v>
      </c>
      <c r="L119" s="145">
        <f t="shared" si="361"/>
        <v>0</v>
      </c>
      <c r="M119" s="145">
        <f t="shared" si="389"/>
        <v>0</v>
      </c>
      <c r="N119" s="145">
        <f t="shared" ref="N119" si="390">-N102/N$24</f>
        <v>0</v>
      </c>
      <c r="O119" s="145">
        <f t="shared" ref="O119:P119" si="391">-O102/O$24</f>
        <v>0</v>
      </c>
      <c r="P119" s="145">
        <f t="shared" si="391"/>
        <v>0</v>
      </c>
      <c r="Q119" s="145">
        <f t="shared" ref="Q119" si="392">-Q102/Q$24</f>
        <v>0</v>
      </c>
      <c r="R119" s="145"/>
      <c r="S119" s="117"/>
      <c r="T119" s="117"/>
      <c r="U119" s="117"/>
      <c r="V119" s="117"/>
      <c r="W119" s="117"/>
      <c r="X119" s="117"/>
      <c r="Y119" s="117"/>
      <c r="Z119" s="117"/>
      <c r="AA119" s="117"/>
      <c r="AB119" s="117"/>
      <c r="AC119" s="117"/>
      <c r="AD119" s="117"/>
      <c r="AE119" s="117"/>
      <c r="AF119" s="117"/>
      <c r="AG119" s="117"/>
      <c r="AH119" s="117"/>
      <c r="AI119" s="117"/>
      <c r="AJ119" s="117"/>
      <c r="AK119" s="117"/>
      <c r="AL119" s="117"/>
      <c r="AN119" s="117"/>
      <c r="AO119" s="117"/>
      <c r="AP119" s="117"/>
    </row>
    <row r="120" spans="2:72" hidden="1">
      <c r="B120" s="1" t="s">
        <v>435</v>
      </c>
      <c r="C120" s="145">
        <f t="shared" si="358"/>
        <v>3.3644629193482229E-3</v>
      </c>
      <c r="D120" s="145">
        <f t="shared" si="358"/>
        <v>3.0053437431614913E-3</v>
      </c>
      <c r="E120" s="145">
        <f t="shared" si="358"/>
        <v>3.2826438484877024E-3</v>
      </c>
      <c r="F120" s="145">
        <f t="shared" si="358"/>
        <v>2.74660826915216E-3</v>
      </c>
      <c r="G120" s="145">
        <f t="shared" si="358"/>
        <v>0</v>
      </c>
      <c r="H120" s="145">
        <f t="shared" si="358"/>
        <v>0</v>
      </c>
      <c r="I120" s="145">
        <f t="shared" si="359"/>
        <v>0</v>
      </c>
      <c r="J120" s="145">
        <f t="shared" si="359"/>
        <v>0</v>
      </c>
      <c r="K120" s="145">
        <f t="shared" ref="K120:M120" si="393">-K103/K$24</f>
        <v>0</v>
      </c>
      <c r="L120" s="145">
        <f t="shared" si="361"/>
        <v>0</v>
      </c>
      <c r="M120" s="145">
        <f t="shared" si="393"/>
        <v>0</v>
      </c>
      <c r="N120" s="145">
        <f t="shared" ref="N120" si="394">-N103/N$24</f>
        <v>0</v>
      </c>
      <c r="O120" s="145">
        <f t="shared" ref="O120:P120" si="395">-O103/O$24</f>
        <v>0</v>
      </c>
      <c r="P120" s="145">
        <f t="shared" si="395"/>
        <v>0</v>
      </c>
      <c r="Q120" s="145">
        <f t="shared" ref="Q120" si="396">-Q103/Q$24</f>
        <v>0</v>
      </c>
      <c r="R120" s="145"/>
      <c r="S120" s="117"/>
      <c r="T120" s="117"/>
      <c r="U120" s="117"/>
      <c r="V120" s="117"/>
      <c r="W120" s="117"/>
      <c r="X120" s="117"/>
      <c r="Y120" s="117"/>
      <c r="Z120" s="117"/>
      <c r="AA120" s="117"/>
      <c r="AB120" s="117"/>
      <c r="AC120" s="117"/>
      <c r="AD120" s="117"/>
      <c r="AE120" s="117"/>
      <c r="AF120" s="117"/>
      <c r="AG120" s="117"/>
      <c r="AH120" s="117"/>
      <c r="AI120" s="117"/>
      <c r="AJ120" s="117"/>
      <c r="AK120" s="117"/>
      <c r="AL120" s="117"/>
      <c r="AN120" s="117"/>
      <c r="AO120" s="117"/>
      <c r="AP120" s="117"/>
    </row>
    <row r="121" spans="2:72" hidden="1">
      <c r="B121" s="1" t="s">
        <v>45</v>
      </c>
      <c r="C121" s="145">
        <f t="shared" ref="C121:F122" si="397">-C106/C$24</f>
        <v>6.1139282595786652E-2</v>
      </c>
      <c r="D121" s="145">
        <f t="shared" si="397"/>
        <v>6.4450766265944773E-2</v>
      </c>
      <c r="E121" s="145">
        <f t="shared" si="397"/>
        <v>7.1730036185000998E-2</v>
      </c>
      <c r="F121" s="145">
        <f t="shared" si="397"/>
        <v>6.3770101196159459E-2</v>
      </c>
      <c r="G121" s="145">
        <f t="shared" ref="G121:I122" si="398">-G106/G$24</f>
        <v>4.0845833898297018E-2</v>
      </c>
      <c r="H121" s="145">
        <f t="shared" si="398"/>
        <v>3.7479885665708035E-2</v>
      </c>
      <c r="I121" s="145">
        <f t="shared" si="398"/>
        <v>5.7556229211716853E-2</v>
      </c>
      <c r="J121" s="145">
        <f>-J106/J$24</f>
        <v>4.8423366757431752E-2</v>
      </c>
      <c r="K121" s="145">
        <f t="shared" ref="K121:M122" si="399">-K106/K$24</f>
        <v>4.8035138693570879E-2</v>
      </c>
      <c r="L121" s="145">
        <f>-L106/L$24</f>
        <v>4.7948822428317737E-2</v>
      </c>
      <c r="M121" s="145">
        <f t="shared" si="399"/>
        <v>5.0547957997608112E-2</v>
      </c>
      <c r="N121" s="145">
        <f t="shared" ref="N121" si="400">-N106/N$24</f>
        <v>5.0547957460331416E-2</v>
      </c>
      <c r="O121" s="145">
        <f t="shared" ref="O121:P121" si="401">-O106/O$24</f>
        <v>5.2883199097992752E-2</v>
      </c>
      <c r="P121" s="145">
        <f t="shared" si="401"/>
        <v>4.0402061085125472E-2</v>
      </c>
      <c r="Q121" s="145">
        <f t="shared" ref="Q121" si="402">-Q106/Q$24</f>
        <v>4.3255506171557281E-2</v>
      </c>
      <c r="R121" s="145"/>
      <c r="S121" s="117"/>
      <c r="T121" s="117"/>
      <c r="U121" s="117"/>
      <c r="V121" s="117"/>
      <c r="W121" s="117"/>
      <c r="X121" s="117"/>
      <c r="Y121" s="117"/>
      <c r="Z121" s="117"/>
      <c r="AA121" s="117"/>
      <c r="AB121" s="117"/>
      <c r="AC121" s="117"/>
      <c r="AD121" s="117"/>
      <c r="AE121" s="117"/>
      <c r="AF121" s="117"/>
      <c r="AG121" s="117"/>
      <c r="AH121" s="117"/>
      <c r="AI121" s="117"/>
      <c r="AJ121" s="117"/>
      <c r="AK121" s="117"/>
      <c r="AL121" s="117"/>
      <c r="AN121" s="117"/>
      <c r="AO121" s="117"/>
      <c r="AP121" s="117"/>
    </row>
    <row r="122" spans="2:72" hidden="1">
      <c r="B122" s="1" t="s">
        <v>438</v>
      </c>
      <c r="C122" s="145">
        <f t="shared" si="397"/>
        <v>2.7672373886180417E-2</v>
      </c>
      <c r="D122" s="145">
        <f t="shared" si="397"/>
        <v>2.6106197189064033E-2</v>
      </c>
      <c r="E122" s="145">
        <f t="shared" si="397"/>
        <v>2.7253809166552147E-2</v>
      </c>
      <c r="F122" s="145">
        <f t="shared" si="397"/>
        <v>2.6303784826290862E-2</v>
      </c>
      <c r="G122" s="145">
        <f t="shared" si="398"/>
        <v>2.56617657553505E-2</v>
      </c>
      <c r="H122" s="145">
        <f t="shared" si="398"/>
        <v>3.3026845441547652E-2</v>
      </c>
      <c r="I122" s="145">
        <f t="shared" si="398"/>
        <v>2.9897718717015551E-2</v>
      </c>
      <c r="J122" s="145">
        <f>-J107/J$24</f>
        <v>2.7068962965845121E-2</v>
      </c>
      <c r="K122" s="145">
        <f t="shared" si="399"/>
        <v>2.4721879112014421E-2</v>
      </c>
      <c r="L122" s="145">
        <f>-L107/L$24</f>
        <v>3.1351854243247212E-2</v>
      </c>
      <c r="M122" s="145">
        <f t="shared" si="399"/>
        <v>3.3897041069480521E-2</v>
      </c>
      <c r="N122" s="145">
        <f t="shared" ref="N122" si="403">-N107/N$24</f>
        <v>3.3897039936620389E-2</v>
      </c>
      <c r="O122" s="145">
        <f t="shared" ref="O122:P122" si="404">-O107/O$24</f>
        <v>3.8618750730416623E-2</v>
      </c>
      <c r="P122" s="145">
        <f t="shared" si="404"/>
        <v>2.9504212162927732E-2</v>
      </c>
      <c r="Q122" s="145">
        <f t="shared" ref="Q122" si="405">-Q107/Q$24</f>
        <v>3.1587983311334382E-2</v>
      </c>
      <c r="R122" s="145"/>
      <c r="S122" s="117"/>
      <c r="T122" s="117"/>
      <c r="U122" s="117"/>
      <c r="V122" s="117"/>
      <c r="W122" s="117"/>
      <c r="X122" s="117"/>
      <c r="Y122" s="117"/>
      <c r="Z122" s="117"/>
      <c r="AA122" s="117"/>
      <c r="AB122" s="117"/>
      <c r="AC122" s="117"/>
      <c r="AD122" s="117"/>
      <c r="AE122" s="117"/>
      <c r="AF122" s="117"/>
      <c r="AG122" s="117"/>
      <c r="AH122" s="117"/>
      <c r="AI122" s="117"/>
      <c r="AJ122" s="117"/>
      <c r="AK122" s="117"/>
      <c r="AL122" s="117"/>
      <c r="AN122" s="117"/>
      <c r="AO122" s="117"/>
      <c r="AP122" s="117"/>
    </row>
    <row r="123" spans="2:72" hidden="1">
      <c r="B123" s="5"/>
      <c r="C123" s="145"/>
      <c r="D123" s="145"/>
      <c r="E123" s="145"/>
      <c r="F123" s="145"/>
      <c r="G123" s="145"/>
      <c r="H123" s="145"/>
      <c r="I123" s="145"/>
      <c r="J123" s="145"/>
      <c r="K123" s="145"/>
      <c r="L123" s="145"/>
      <c r="M123" s="145"/>
      <c r="N123" s="145"/>
      <c r="O123" s="145"/>
      <c r="P123" s="145"/>
      <c r="Q123" s="145"/>
      <c r="R123" s="145"/>
      <c r="S123" s="23"/>
      <c r="T123" s="114"/>
    </row>
    <row r="124" spans="2:72" hidden="1">
      <c r="B124" s="5" t="s">
        <v>440</v>
      </c>
    </row>
    <row r="125" spans="2:72" hidden="1"/>
    <row r="126" spans="2:72" hidden="1">
      <c r="B126" s="1" t="s">
        <v>441</v>
      </c>
      <c r="C126" s="102">
        <v>1908</v>
      </c>
      <c r="D126" s="102">
        <v>1976</v>
      </c>
      <c r="E126" s="102">
        <v>2040</v>
      </c>
      <c r="F126" s="173">
        <f t="shared" ref="F126:F131" si="406">W126+X126+Y126+Z126</f>
        <v>2171</v>
      </c>
      <c r="G126" s="173">
        <f t="shared" ref="G126:G131" si="407">+AA126+AB126+AC126+AD126</f>
        <v>1810</v>
      </c>
      <c r="H126" s="205"/>
      <c r="I126" s="205"/>
      <c r="J126" s="205"/>
      <c r="K126" s="205"/>
      <c r="L126" s="205"/>
      <c r="M126" s="205"/>
      <c r="N126" s="205"/>
      <c r="O126" s="205"/>
      <c r="P126" s="205"/>
      <c r="Q126" s="205"/>
      <c r="R126" s="102"/>
      <c r="S126" s="102">
        <v>410</v>
      </c>
      <c r="T126" s="102">
        <v>527</v>
      </c>
      <c r="U126" s="102">
        <v>615</v>
      </c>
      <c r="V126" s="172">
        <v>487</v>
      </c>
      <c r="W126" s="102">
        <v>468</v>
      </c>
      <c r="X126" s="102">
        <v>607</v>
      </c>
      <c r="Y126" s="102">
        <v>708</v>
      </c>
      <c r="Z126" s="102">
        <v>388</v>
      </c>
      <c r="AA126" s="102">
        <v>397</v>
      </c>
      <c r="AB126" s="172">
        <v>527</v>
      </c>
      <c r="AC126" s="172">
        <v>574</v>
      </c>
      <c r="AD126" s="102">
        <v>312</v>
      </c>
      <c r="AE126" s="205"/>
      <c r="AF126" s="205"/>
      <c r="AG126" s="205"/>
      <c r="AH126" s="205"/>
      <c r="AI126" s="205"/>
      <c r="AJ126" s="205"/>
      <c r="AK126" s="205"/>
      <c r="AL126" s="205"/>
      <c r="AM126" s="205"/>
      <c r="AN126" s="205"/>
      <c r="AO126" s="236"/>
      <c r="AP126" s="205"/>
      <c r="AQ126" s="205"/>
      <c r="AR126" s="205"/>
      <c r="AS126" s="205"/>
      <c r="AT126" s="205"/>
      <c r="AU126" s="205"/>
      <c r="AV126" s="205"/>
      <c r="AW126" s="205"/>
      <c r="AX126" s="205"/>
      <c r="AY126" s="205"/>
      <c r="AZ126" s="205"/>
      <c r="BA126" s="205"/>
      <c r="BB126" s="205"/>
      <c r="BC126" s="205"/>
      <c r="BD126" s="205"/>
      <c r="BE126" s="205"/>
      <c r="BF126" s="205"/>
      <c r="BG126" s="205"/>
      <c r="BI126" s="205"/>
      <c r="BJ126" s="205"/>
      <c r="BK126" s="205"/>
      <c r="BL126" s="205"/>
      <c r="BM126" s="205"/>
      <c r="BN126" s="205"/>
      <c r="BO126" s="205"/>
      <c r="BP126" s="205"/>
      <c r="BQ126" s="205"/>
      <c r="BS126" s="205"/>
      <c r="BT126" s="205"/>
    </row>
    <row r="127" spans="2:72" hidden="1">
      <c r="B127" s="1" t="s">
        <v>442</v>
      </c>
      <c r="C127" s="102">
        <v>535</v>
      </c>
      <c r="D127" s="102">
        <v>571</v>
      </c>
      <c r="E127" s="102">
        <v>648</v>
      </c>
      <c r="F127" s="173">
        <f t="shared" si="406"/>
        <v>936</v>
      </c>
      <c r="G127" s="173">
        <f t="shared" si="407"/>
        <v>818</v>
      </c>
      <c r="H127" s="205"/>
      <c r="I127" s="205"/>
      <c r="J127" s="205"/>
      <c r="K127" s="205"/>
      <c r="L127" s="205"/>
      <c r="M127" s="205"/>
      <c r="N127" s="205"/>
      <c r="O127" s="205"/>
      <c r="P127" s="205"/>
      <c r="Q127" s="205"/>
      <c r="R127" s="102"/>
      <c r="S127" s="102">
        <v>81</v>
      </c>
      <c r="T127" s="102">
        <v>205</v>
      </c>
      <c r="U127" s="102">
        <v>303</v>
      </c>
      <c r="V127" s="172">
        <v>58</v>
      </c>
      <c r="W127" s="102">
        <v>247</v>
      </c>
      <c r="X127" s="102">
        <v>337</v>
      </c>
      <c r="Y127" s="102">
        <v>306</v>
      </c>
      <c r="Z127" s="102">
        <v>46</v>
      </c>
      <c r="AA127" s="102">
        <v>195</v>
      </c>
      <c r="AB127" s="172">
        <v>393</v>
      </c>
      <c r="AC127" s="172">
        <v>224</v>
      </c>
      <c r="AD127" s="102">
        <v>6</v>
      </c>
      <c r="AE127" s="205"/>
      <c r="AF127" s="205"/>
      <c r="AG127" s="205"/>
      <c r="AH127" s="205"/>
      <c r="AI127" s="205"/>
      <c r="AJ127" s="205"/>
      <c r="AK127" s="205"/>
      <c r="AL127" s="205"/>
      <c r="AM127" s="205"/>
      <c r="AN127" s="205"/>
      <c r="AO127" s="236"/>
      <c r="AP127" s="205"/>
      <c r="AQ127" s="205"/>
      <c r="AR127" s="205"/>
      <c r="AS127" s="205"/>
      <c r="AT127" s="205"/>
      <c r="AU127" s="205"/>
      <c r="AV127" s="205"/>
      <c r="AW127" s="205"/>
      <c r="AX127" s="205"/>
      <c r="AY127" s="205"/>
      <c r="AZ127" s="205"/>
      <c r="BA127" s="205"/>
      <c r="BB127" s="205"/>
      <c r="BC127" s="205"/>
      <c r="BD127" s="205"/>
      <c r="BE127" s="205"/>
      <c r="BF127" s="205"/>
      <c r="BG127" s="205"/>
      <c r="BI127" s="205"/>
      <c r="BJ127" s="205"/>
      <c r="BK127" s="205"/>
      <c r="BL127" s="205"/>
      <c r="BM127" s="205"/>
      <c r="BN127" s="205"/>
      <c r="BO127" s="205"/>
      <c r="BP127" s="205"/>
      <c r="BQ127" s="205"/>
      <c r="BS127" s="205"/>
      <c r="BT127" s="205"/>
    </row>
    <row r="128" spans="2:72" hidden="1">
      <c r="B128" s="1" t="s">
        <v>443</v>
      </c>
      <c r="C128" s="102">
        <v>1897</v>
      </c>
      <c r="D128" s="102">
        <v>2026</v>
      </c>
      <c r="E128" s="102">
        <v>2122</v>
      </c>
      <c r="F128" s="173">
        <f t="shared" si="406"/>
        <v>2355</v>
      </c>
      <c r="G128" s="173">
        <f t="shared" si="407"/>
        <v>1950</v>
      </c>
      <c r="H128" s="205"/>
      <c r="I128" s="205"/>
      <c r="J128" s="205"/>
      <c r="K128" s="205"/>
      <c r="L128" s="205"/>
      <c r="M128" s="205"/>
      <c r="N128" s="205"/>
      <c r="O128" s="205"/>
      <c r="P128" s="205"/>
      <c r="Q128" s="205"/>
      <c r="R128" s="102"/>
      <c r="S128" s="102">
        <v>472</v>
      </c>
      <c r="T128" s="102">
        <v>538</v>
      </c>
      <c r="U128" s="102">
        <v>557</v>
      </c>
      <c r="V128" s="172">
        <v>555</v>
      </c>
      <c r="W128" s="102">
        <v>608</v>
      </c>
      <c r="X128" s="102">
        <v>589</v>
      </c>
      <c r="Y128" s="102">
        <v>640</v>
      </c>
      <c r="Z128" s="102">
        <v>518</v>
      </c>
      <c r="AA128" s="102">
        <v>476</v>
      </c>
      <c r="AB128" s="172">
        <v>538</v>
      </c>
      <c r="AC128" s="172">
        <v>535</v>
      </c>
      <c r="AD128" s="102">
        <v>401</v>
      </c>
      <c r="AE128" s="205"/>
      <c r="AF128" s="205"/>
      <c r="AG128" s="205"/>
      <c r="AH128" s="205"/>
      <c r="AI128" s="205"/>
      <c r="AJ128" s="205"/>
      <c r="AK128" s="205"/>
      <c r="AL128" s="205"/>
      <c r="AM128" s="205"/>
      <c r="AN128" s="205"/>
      <c r="AO128" s="236"/>
      <c r="AP128" s="205"/>
      <c r="AQ128" s="205"/>
      <c r="AR128" s="205"/>
      <c r="AS128" s="205"/>
      <c r="AT128" s="205"/>
      <c r="AU128" s="205"/>
      <c r="AV128" s="205"/>
      <c r="AW128" s="205"/>
      <c r="AX128" s="205"/>
      <c r="AY128" s="205"/>
      <c r="AZ128" s="205"/>
      <c r="BA128" s="205"/>
      <c r="BB128" s="205"/>
      <c r="BC128" s="205"/>
      <c r="BD128" s="205"/>
      <c r="BE128" s="205"/>
      <c r="BF128" s="205"/>
      <c r="BG128" s="205"/>
      <c r="BI128" s="205"/>
      <c r="BJ128" s="205"/>
      <c r="BK128" s="205"/>
      <c r="BL128" s="205"/>
      <c r="BM128" s="205"/>
      <c r="BN128" s="205"/>
      <c r="BO128" s="205"/>
      <c r="BP128" s="205"/>
      <c r="BQ128" s="205"/>
      <c r="BS128" s="205"/>
      <c r="BT128" s="205"/>
    </row>
    <row r="129" spans="2:72" hidden="1">
      <c r="B129" s="1" t="s">
        <v>444</v>
      </c>
      <c r="C129" s="102">
        <v>64</v>
      </c>
      <c r="D129" s="102">
        <v>82</v>
      </c>
      <c r="E129" s="102">
        <v>93</v>
      </c>
      <c r="F129" s="173">
        <f t="shared" si="406"/>
        <v>146</v>
      </c>
      <c r="G129" s="173">
        <f t="shared" si="407"/>
        <v>126</v>
      </c>
      <c r="H129" s="205"/>
      <c r="I129" s="205"/>
      <c r="J129" s="205"/>
      <c r="K129" s="205"/>
      <c r="L129" s="205"/>
      <c r="M129" s="205"/>
      <c r="N129" s="205"/>
      <c r="O129" s="205"/>
      <c r="P129" s="205"/>
      <c r="Q129" s="205"/>
      <c r="R129" s="102"/>
      <c r="S129" s="102">
        <v>27</v>
      </c>
      <c r="T129" s="102">
        <v>10</v>
      </c>
      <c r="U129" s="102">
        <v>17</v>
      </c>
      <c r="V129" s="172">
        <v>38</v>
      </c>
      <c r="W129" s="102">
        <v>37</v>
      </c>
      <c r="X129" s="102">
        <v>21</v>
      </c>
      <c r="Y129" s="102">
        <v>43</v>
      </c>
      <c r="Z129" s="102">
        <v>45</v>
      </c>
      <c r="AA129" s="102">
        <v>35</v>
      </c>
      <c r="AB129" s="172">
        <v>18</v>
      </c>
      <c r="AC129" s="172">
        <v>26</v>
      </c>
      <c r="AD129" s="102">
        <v>47</v>
      </c>
      <c r="AE129" s="205"/>
      <c r="AF129" s="205"/>
      <c r="AG129" s="205"/>
      <c r="AH129" s="205"/>
      <c r="AI129" s="205"/>
      <c r="AJ129" s="205"/>
      <c r="AK129" s="205"/>
      <c r="AL129" s="205"/>
      <c r="AM129" s="205"/>
      <c r="AN129" s="205"/>
      <c r="AO129" s="236"/>
      <c r="AP129" s="205"/>
      <c r="AQ129" s="205"/>
      <c r="AR129" s="205"/>
      <c r="AS129" s="205"/>
      <c r="AT129" s="205"/>
      <c r="AU129" s="205"/>
      <c r="AV129" s="205"/>
      <c r="AW129" s="205"/>
      <c r="AX129" s="205"/>
      <c r="AY129" s="205"/>
      <c r="AZ129" s="205"/>
      <c r="BA129" s="205"/>
      <c r="BB129" s="205"/>
      <c r="BC129" s="205"/>
      <c r="BD129" s="205"/>
      <c r="BE129" s="205"/>
      <c r="BF129" s="205"/>
      <c r="BG129" s="205"/>
      <c r="BI129" s="205"/>
      <c r="BJ129" s="205"/>
      <c r="BK129" s="205"/>
      <c r="BL129" s="205"/>
      <c r="BM129" s="205"/>
      <c r="BN129" s="205"/>
      <c r="BO129" s="205"/>
      <c r="BP129" s="205"/>
      <c r="BQ129" s="205"/>
      <c r="BS129" s="205"/>
      <c r="BT129" s="205"/>
    </row>
    <row r="130" spans="2:72" hidden="1">
      <c r="B130" s="1" t="s">
        <v>445</v>
      </c>
      <c r="C130" s="102">
        <v>1435</v>
      </c>
      <c r="D130" s="102">
        <v>1483</v>
      </c>
      <c r="E130" s="102">
        <v>1573</v>
      </c>
      <c r="F130" s="173">
        <f t="shared" si="406"/>
        <v>1804</v>
      </c>
      <c r="G130" s="173">
        <f t="shared" si="407"/>
        <v>1460</v>
      </c>
      <c r="H130" s="205"/>
      <c r="I130" s="205"/>
      <c r="J130" s="205"/>
      <c r="K130" s="205"/>
      <c r="L130" s="205"/>
      <c r="M130" s="205"/>
      <c r="N130" s="205"/>
      <c r="O130" s="205"/>
      <c r="P130" s="205"/>
      <c r="Q130" s="205"/>
      <c r="R130" s="102"/>
      <c r="S130" s="102">
        <v>371</v>
      </c>
      <c r="T130" s="102">
        <v>394</v>
      </c>
      <c r="U130" s="102">
        <v>385</v>
      </c>
      <c r="V130" s="172">
        <v>423</v>
      </c>
      <c r="W130" s="102">
        <v>486</v>
      </c>
      <c r="X130" s="102">
        <v>472</v>
      </c>
      <c r="Y130" s="102">
        <v>489</v>
      </c>
      <c r="Z130" s="102">
        <v>357</v>
      </c>
      <c r="AA130" s="102">
        <v>369</v>
      </c>
      <c r="AB130" s="172">
        <v>408</v>
      </c>
      <c r="AC130" s="172">
        <v>385</v>
      </c>
      <c r="AD130" s="102">
        <v>298</v>
      </c>
      <c r="AE130" s="205"/>
      <c r="AF130" s="205"/>
      <c r="AG130" s="205"/>
      <c r="AH130" s="205"/>
      <c r="AI130" s="205"/>
      <c r="AJ130" s="205"/>
      <c r="AK130" s="205"/>
      <c r="AL130" s="205"/>
      <c r="AM130" s="205"/>
      <c r="AN130" s="205"/>
      <c r="AO130" s="236"/>
      <c r="AP130" s="205"/>
      <c r="AQ130" s="205"/>
      <c r="AR130" s="205"/>
      <c r="AS130" s="205"/>
      <c r="AT130" s="205"/>
      <c r="AU130" s="205"/>
      <c r="AV130" s="205"/>
      <c r="AW130" s="205"/>
      <c r="AX130" s="205"/>
      <c r="AY130" s="205"/>
      <c r="AZ130" s="205"/>
      <c r="BA130" s="205"/>
      <c r="BB130" s="205"/>
      <c r="BC130" s="205"/>
      <c r="BD130" s="205"/>
      <c r="BE130" s="205"/>
      <c r="BF130" s="205"/>
      <c r="BG130" s="205"/>
      <c r="BI130" s="205"/>
      <c r="BJ130" s="205"/>
      <c r="BK130" s="205"/>
      <c r="BL130" s="205"/>
      <c r="BM130" s="205"/>
      <c r="BN130" s="205"/>
      <c r="BO130" s="205"/>
      <c r="BP130" s="205"/>
      <c r="BQ130" s="205"/>
      <c r="BS130" s="205"/>
      <c r="BT130" s="205"/>
    </row>
    <row r="131" spans="2:72" hidden="1">
      <c r="B131" s="1" t="s">
        <v>446</v>
      </c>
      <c r="C131" s="102">
        <v>868</v>
      </c>
      <c r="D131" s="102">
        <v>951</v>
      </c>
      <c r="E131" s="102">
        <v>995</v>
      </c>
      <c r="F131" s="173">
        <f t="shared" si="406"/>
        <v>1122</v>
      </c>
      <c r="G131" s="173">
        <f t="shared" si="407"/>
        <v>946</v>
      </c>
      <c r="H131" s="205"/>
      <c r="I131" s="205"/>
      <c r="J131" s="205"/>
      <c r="K131" s="205"/>
      <c r="L131" s="205"/>
      <c r="M131" s="205"/>
      <c r="N131" s="205"/>
      <c r="O131" s="205"/>
      <c r="P131" s="205"/>
      <c r="Q131" s="205"/>
      <c r="R131" s="102"/>
      <c r="S131" s="102">
        <v>176</v>
      </c>
      <c r="T131" s="102">
        <v>263</v>
      </c>
      <c r="U131" s="102">
        <v>278</v>
      </c>
      <c r="V131" s="172">
        <v>278</v>
      </c>
      <c r="W131" s="102">
        <v>253</v>
      </c>
      <c r="X131" s="102">
        <v>306</v>
      </c>
      <c r="Y131" s="102">
        <v>323</v>
      </c>
      <c r="Z131" s="102">
        <v>240</v>
      </c>
      <c r="AA131" s="102">
        <v>222</v>
      </c>
      <c r="AB131" s="172">
        <v>285</v>
      </c>
      <c r="AC131" s="172">
        <v>261</v>
      </c>
      <c r="AD131" s="102">
        <v>178</v>
      </c>
      <c r="AE131" s="205"/>
      <c r="AF131" s="205"/>
      <c r="AG131" s="205"/>
      <c r="AH131" s="205"/>
      <c r="AI131" s="205"/>
      <c r="AJ131" s="205"/>
      <c r="AK131" s="205"/>
      <c r="AL131" s="205"/>
      <c r="AM131" s="205"/>
      <c r="AN131" s="205"/>
      <c r="AO131" s="236"/>
      <c r="AP131" s="205"/>
      <c r="AQ131" s="205"/>
      <c r="AR131" s="205"/>
      <c r="AS131" s="205"/>
      <c r="AT131" s="205"/>
      <c r="AU131" s="205"/>
      <c r="AV131" s="205"/>
      <c r="AW131" s="205"/>
      <c r="AX131" s="205"/>
      <c r="AY131" s="205"/>
      <c r="AZ131" s="205"/>
      <c r="BA131" s="205"/>
      <c r="BB131" s="205"/>
      <c r="BC131" s="205"/>
      <c r="BD131" s="205"/>
      <c r="BE131" s="205"/>
      <c r="BF131" s="205"/>
      <c r="BG131" s="205"/>
      <c r="BI131" s="205"/>
      <c r="BJ131" s="205"/>
      <c r="BK131" s="205"/>
      <c r="BL131" s="205"/>
      <c r="BM131" s="205"/>
      <c r="BN131" s="205"/>
      <c r="BO131" s="205"/>
      <c r="BP131" s="205"/>
      <c r="BQ131" s="205"/>
      <c r="BS131" s="205"/>
      <c r="BT131" s="205"/>
    </row>
    <row r="132" spans="2:72" s="50" customFormat="1" hidden="1">
      <c r="B132" s="5" t="s">
        <v>417</v>
      </c>
      <c r="C132" s="199">
        <f t="shared" ref="C132:T132" si="408">SUM(C126:C131)</f>
        <v>6707</v>
      </c>
      <c r="D132" s="199">
        <f t="shared" si="408"/>
        <v>7089</v>
      </c>
      <c r="E132" s="199">
        <f t="shared" si="408"/>
        <v>7471</v>
      </c>
      <c r="F132" s="199">
        <f t="shared" si="408"/>
        <v>8534</v>
      </c>
      <c r="G132" s="199">
        <f t="shared" si="408"/>
        <v>7110</v>
      </c>
      <c r="H132" s="206"/>
      <c r="I132" s="206"/>
      <c r="J132" s="206"/>
      <c r="K132" s="206"/>
      <c r="L132" s="206"/>
      <c r="M132" s="206"/>
      <c r="N132" s="206"/>
      <c r="O132" s="206"/>
      <c r="P132" s="206"/>
      <c r="Q132" s="206"/>
      <c r="R132" s="199"/>
      <c r="S132" s="199">
        <f t="shared" si="408"/>
        <v>1537</v>
      </c>
      <c r="T132" s="199">
        <f t="shared" si="408"/>
        <v>1937</v>
      </c>
      <c r="U132" s="199">
        <f t="shared" ref="U132:AD132" si="409">SUM(U126:U131)</f>
        <v>2155</v>
      </c>
      <c r="V132" s="199">
        <f t="shared" si="409"/>
        <v>1839</v>
      </c>
      <c r="W132" s="199">
        <f t="shared" si="409"/>
        <v>2099</v>
      </c>
      <c r="X132" s="199">
        <f t="shared" si="409"/>
        <v>2332</v>
      </c>
      <c r="Y132" s="199">
        <f t="shared" si="409"/>
        <v>2509</v>
      </c>
      <c r="Z132" s="199">
        <f t="shared" si="409"/>
        <v>1594</v>
      </c>
      <c r="AA132" s="199">
        <f t="shared" si="409"/>
        <v>1694</v>
      </c>
      <c r="AB132" s="199">
        <f t="shared" si="409"/>
        <v>2169</v>
      </c>
      <c r="AC132" s="199">
        <f t="shared" si="409"/>
        <v>2005</v>
      </c>
      <c r="AD132" s="199">
        <f t="shared" si="409"/>
        <v>1242</v>
      </c>
      <c r="AE132" s="206"/>
      <c r="AF132" s="206"/>
      <c r="AG132" s="206"/>
      <c r="AH132" s="206"/>
      <c r="AI132" s="206"/>
      <c r="AJ132" s="206"/>
      <c r="AK132" s="206"/>
      <c r="AL132" s="206"/>
      <c r="AM132" s="206"/>
      <c r="AN132" s="206"/>
      <c r="AO132" s="206"/>
      <c r="AP132" s="206"/>
      <c r="AQ132" s="206"/>
      <c r="AR132" s="206"/>
      <c r="AS132" s="206"/>
      <c r="AT132" s="206"/>
      <c r="AU132" s="206"/>
      <c r="AV132" s="206"/>
      <c r="AW132" s="206"/>
      <c r="AX132" s="206"/>
      <c r="AY132" s="206"/>
      <c r="AZ132" s="206"/>
      <c r="BA132" s="206"/>
      <c r="BB132" s="206"/>
      <c r="BC132" s="206"/>
      <c r="BD132" s="206"/>
      <c r="BE132" s="206"/>
      <c r="BF132" s="206"/>
      <c r="BG132" s="206"/>
      <c r="BI132" s="206"/>
      <c r="BJ132" s="206"/>
      <c r="BK132" s="206"/>
      <c r="BL132" s="206"/>
      <c r="BM132" s="206"/>
      <c r="BN132" s="206"/>
      <c r="BO132" s="206"/>
      <c r="BP132" s="206"/>
      <c r="BQ132" s="206"/>
      <c r="BS132" s="206"/>
      <c r="BT132" s="206"/>
    </row>
    <row r="134" spans="2:72">
      <c r="B134" s="5" t="s">
        <v>447</v>
      </c>
    </row>
    <row r="135" spans="2:72">
      <c r="B135" s="1" t="s">
        <v>408</v>
      </c>
      <c r="C135" s="115">
        <v>0.38800000000000001</v>
      </c>
      <c r="D135" s="115">
        <v>0.40400000000000003</v>
      </c>
      <c r="E135" s="115">
        <v>0.40100000000000002</v>
      </c>
      <c r="F135" s="115">
        <v>0.39</v>
      </c>
      <c r="G135" s="115">
        <v>0.313</v>
      </c>
      <c r="H135" s="115">
        <v>0.32300000000000001</v>
      </c>
      <c r="I135" s="115">
        <v>0.34499999999999997</v>
      </c>
      <c r="J135" s="115">
        <v>0.31</v>
      </c>
      <c r="K135" s="115">
        <v>0.3</v>
      </c>
      <c r="L135" s="115">
        <v>0.3</v>
      </c>
      <c r="M135" s="115">
        <v>0.37</v>
      </c>
      <c r="N135" s="115">
        <v>0.37</v>
      </c>
      <c r="O135" s="115">
        <v>0.32</v>
      </c>
      <c r="P135" s="115">
        <v>0.32</v>
      </c>
      <c r="Q135" s="115">
        <v>0.32</v>
      </c>
      <c r="R135" s="115"/>
      <c r="S135" s="115">
        <v>0.41</v>
      </c>
      <c r="T135" s="115">
        <v>0.44</v>
      </c>
      <c r="U135" s="115">
        <v>0.41</v>
      </c>
      <c r="V135" s="115">
        <v>0.35399999999999998</v>
      </c>
      <c r="W135" s="115">
        <v>0.42299999999999999</v>
      </c>
      <c r="X135" s="115">
        <v>0.40799999999999997</v>
      </c>
      <c r="Y135" s="115">
        <v>0.4</v>
      </c>
      <c r="Z135" s="115">
        <v>0.33</v>
      </c>
      <c r="AA135" s="115">
        <v>0.36099999999999999</v>
      </c>
      <c r="AB135" s="115">
        <v>0.36299999999999999</v>
      </c>
      <c r="AC135" s="115">
        <v>0.30099999999999999</v>
      </c>
      <c r="AD135" s="115">
        <v>0.249</v>
      </c>
      <c r="AE135" s="115">
        <v>0.31900000000000001</v>
      </c>
      <c r="AF135" s="115">
        <v>0.34699999999999998</v>
      </c>
      <c r="AG135" s="115">
        <v>0.33400000000000002</v>
      </c>
      <c r="AH135" s="115">
        <v>0.29199999999999998</v>
      </c>
      <c r="AI135" s="115">
        <v>0.35599999999999998</v>
      </c>
      <c r="AJ135" s="115">
        <v>0.41399999999999998</v>
      </c>
      <c r="AK135" s="115">
        <v>0.34399999999999997</v>
      </c>
      <c r="AL135" s="115">
        <v>0.29899999999999999</v>
      </c>
      <c r="AM135" s="175">
        <v>0.36099999999999999</v>
      </c>
      <c r="AN135" s="115">
        <v>0.33</v>
      </c>
      <c r="AO135" s="232">
        <v>0.29799999999999999</v>
      </c>
      <c r="AP135" s="115">
        <v>0.26</v>
      </c>
      <c r="AQ135" s="175">
        <v>0.3</v>
      </c>
      <c r="AR135" s="175">
        <v>0.3</v>
      </c>
      <c r="AS135" s="175">
        <v>0.3</v>
      </c>
      <c r="AT135" s="175">
        <v>0.32</v>
      </c>
      <c r="AU135" s="175">
        <v>0.38</v>
      </c>
      <c r="AV135" s="175">
        <v>0.39</v>
      </c>
      <c r="AW135" s="175">
        <v>0.38</v>
      </c>
      <c r="AX135" s="274"/>
      <c r="AY135" s="175">
        <v>0.43</v>
      </c>
      <c r="AZ135" s="175">
        <v>0.39</v>
      </c>
      <c r="BA135" s="175">
        <v>0.3</v>
      </c>
      <c r="BB135" s="175">
        <v>0.27</v>
      </c>
      <c r="BC135" s="175">
        <v>0.34</v>
      </c>
      <c r="BD135" s="175">
        <v>0.34</v>
      </c>
      <c r="BE135" s="175">
        <v>0.31</v>
      </c>
      <c r="BF135" s="175">
        <v>0.3</v>
      </c>
      <c r="BG135" s="175">
        <v>0.33</v>
      </c>
      <c r="BI135" s="175">
        <v>0.38</v>
      </c>
      <c r="BJ135" s="175">
        <v>0.39</v>
      </c>
      <c r="BK135" s="175">
        <v>0.38</v>
      </c>
      <c r="BL135" s="175">
        <v>0.34</v>
      </c>
      <c r="BM135" s="175">
        <v>0.43</v>
      </c>
      <c r="BN135" s="175">
        <v>0.32</v>
      </c>
      <c r="BO135" s="175">
        <v>0.3</v>
      </c>
      <c r="BP135" s="175">
        <v>0.27</v>
      </c>
      <c r="BQ135" s="175">
        <v>0.34</v>
      </c>
      <c r="BS135" s="175">
        <v>0.34</v>
      </c>
      <c r="BT135" s="175">
        <v>0.33</v>
      </c>
    </row>
    <row r="136" spans="2:72">
      <c r="B136" s="1" t="s">
        <v>448</v>
      </c>
      <c r="C136" s="115">
        <v>0.33400000000000002</v>
      </c>
      <c r="D136" s="115">
        <v>0.32800000000000001</v>
      </c>
      <c r="E136" s="115">
        <v>0.316</v>
      </c>
      <c r="F136" s="115">
        <v>0.3</v>
      </c>
      <c r="G136" s="115">
        <v>0.33600000000000002</v>
      </c>
      <c r="H136" s="115">
        <v>0.32</v>
      </c>
      <c r="I136" s="115">
        <v>0.317</v>
      </c>
      <c r="J136" s="115">
        <v>0.3</v>
      </c>
      <c r="K136" s="115">
        <v>0.26</v>
      </c>
      <c r="L136" s="115">
        <v>0.26</v>
      </c>
      <c r="M136" s="115">
        <v>0.23</v>
      </c>
      <c r="N136" s="115">
        <v>0.23</v>
      </c>
      <c r="O136" s="115">
        <v>0.33</v>
      </c>
      <c r="P136" s="115">
        <v>0.33</v>
      </c>
      <c r="Q136" s="115">
        <v>0.34</v>
      </c>
      <c r="R136" s="115"/>
      <c r="S136" s="115">
        <v>0.33</v>
      </c>
      <c r="T136" s="115">
        <v>0.3</v>
      </c>
      <c r="U136" s="115">
        <v>0.31</v>
      </c>
      <c r="V136" s="115">
        <v>0.32800000000000001</v>
      </c>
      <c r="W136" s="115">
        <v>0.28399999999999997</v>
      </c>
      <c r="X136" s="115">
        <v>0.27</v>
      </c>
      <c r="Y136" s="115">
        <v>0.28999999999999998</v>
      </c>
      <c r="Z136" s="115">
        <v>0.34</v>
      </c>
      <c r="AA136" s="115">
        <v>0.311</v>
      </c>
      <c r="AB136" s="115">
        <v>0.29899999999999999</v>
      </c>
      <c r="AC136" s="115">
        <v>0.32800000000000001</v>
      </c>
      <c r="AD136" s="115">
        <v>0.39700000000000002</v>
      </c>
      <c r="AE136" s="115">
        <v>0.34</v>
      </c>
      <c r="AF136" s="115">
        <v>0.28100000000000003</v>
      </c>
      <c r="AG136" s="115">
        <v>0.29499999999999998</v>
      </c>
      <c r="AH136" s="115">
        <v>0.36599999999999999</v>
      </c>
      <c r="AI136" s="115">
        <v>0.32500000000000001</v>
      </c>
      <c r="AJ136" s="115">
        <v>0.28000000000000003</v>
      </c>
      <c r="AK136" s="115">
        <v>0.30299999999999999</v>
      </c>
      <c r="AL136" s="115">
        <v>0.34599999999999997</v>
      </c>
      <c r="AM136" s="175">
        <v>0.30599999999999999</v>
      </c>
      <c r="AN136" s="115">
        <v>0.30599999999999999</v>
      </c>
      <c r="AO136" s="232">
        <v>0.29799999999999999</v>
      </c>
      <c r="AP136" s="115">
        <v>0.31</v>
      </c>
      <c r="AQ136" s="175">
        <v>0.27</v>
      </c>
      <c r="AR136" s="175">
        <v>0.24</v>
      </c>
      <c r="AS136" s="175">
        <v>0.25</v>
      </c>
      <c r="AT136" s="175">
        <v>0.26</v>
      </c>
      <c r="AU136" s="175">
        <v>0.23</v>
      </c>
      <c r="AV136" s="175">
        <v>0.22</v>
      </c>
      <c r="AW136" s="175">
        <v>0.23</v>
      </c>
      <c r="AX136" s="274"/>
      <c r="AY136" s="175">
        <v>0.21</v>
      </c>
      <c r="AZ136" s="175">
        <v>0.22</v>
      </c>
      <c r="BA136" s="175">
        <v>0.34</v>
      </c>
      <c r="BB136" s="175">
        <v>0.39</v>
      </c>
      <c r="BC136" s="175">
        <v>0.33</v>
      </c>
      <c r="BD136" s="175">
        <v>0.32</v>
      </c>
      <c r="BE136" s="175">
        <v>0.35</v>
      </c>
      <c r="BF136" s="175">
        <v>0.35</v>
      </c>
      <c r="BG136" s="175">
        <v>0.35</v>
      </c>
      <c r="BI136" s="175">
        <v>0.23</v>
      </c>
      <c r="BJ136" s="175">
        <v>0.22</v>
      </c>
      <c r="BK136" s="175">
        <v>0.23</v>
      </c>
      <c r="BL136" s="175">
        <v>0.25</v>
      </c>
      <c r="BM136" s="175">
        <v>0.21</v>
      </c>
      <c r="BN136" s="175">
        <v>0.34</v>
      </c>
      <c r="BO136" s="175">
        <v>0.34</v>
      </c>
      <c r="BP136" s="175">
        <v>0.39</v>
      </c>
      <c r="BQ136" s="175">
        <v>0.33</v>
      </c>
      <c r="BS136" s="175">
        <v>0.3</v>
      </c>
      <c r="BT136" s="175">
        <v>0.33</v>
      </c>
    </row>
    <row r="137" spans="2:72">
      <c r="B137" s="1" t="s">
        <v>449</v>
      </c>
      <c r="C137" s="115">
        <v>0.13400000000000001</v>
      </c>
      <c r="D137" s="115">
        <v>0.125</v>
      </c>
      <c r="E137" s="115">
        <v>0.13</v>
      </c>
      <c r="F137" s="115">
        <v>0.13</v>
      </c>
      <c r="G137" s="115">
        <v>0.157</v>
      </c>
      <c r="H137" s="115">
        <v>0.152</v>
      </c>
      <c r="I137" s="115">
        <v>0.156</v>
      </c>
      <c r="J137" s="115">
        <v>0.14000000000000001</v>
      </c>
      <c r="K137" s="115">
        <v>0.15</v>
      </c>
      <c r="L137" s="115">
        <v>0.15</v>
      </c>
      <c r="M137" s="115">
        <v>0.16</v>
      </c>
      <c r="N137" s="115">
        <v>0.16</v>
      </c>
      <c r="O137" s="115">
        <v>0.16</v>
      </c>
      <c r="P137" s="115">
        <v>0.16</v>
      </c>
      <c r="Q137" s="115">
        <v>0.15</v>
      </c>
      <c r="R137" s="115"/>
      <c r="S137" s="115">
        <v>0.11</v>
      </c>
      <c r="T137" s="115">
        <v>0.12</v>
      </c>
      <c r="U137" s="115">
        <v>0.14000000000000001</v>
      </c>
      <c r="V137" s="115">
        <v>0.13900000000000001</v>
      </c>
      <c r="W137" s="115">
        <v>0.109</v>
      </c>
      <c r="X137" s="115">
        <v>0.11799999999999999</v>
      </c>
      <c r="Y137" s="115">
        <v>0.14000000000000001</v>
      </c>
      <c r="Z137" s="115">
        <v>0.16</v>
      </c>
      <c r="AA137" s="115">
        <v>0.13400000000000001</v>
      </c>
      <c r="AB137" s="115">
        <v>0.13600000000000001</v>
      </c>
      <c r="AC137" s="115">
        <v>0.17399999999999999</v>
      </c>
      <c r="AD137" s="115">
        <v>0.17299999999999999</v>
      </c>
      <c r="AE137" s="115">
        <v>0.13700000000000001</v>
      </c>
      <c r="AF137" s="115">
        <v>0.13900000000000001</v>
      </c>
      <c r="AG137" s="115">
        <v>0.16600000000000001</v>
      </c>
      <c r="AH137" s="115">
        <v>0.16300000000000001</v>
      </c>
      <c r="AI137" s="115">
        <v>0.13800000000000001</v>
      </c>
      <c r="AJ137" s="115">
        <v>0.14099999999999999</v>
      </c>
      <c r="AK137" s="115">
        <v>0.158</v>
      </c>
      <c r="AL137" s="115">
        <v>0.17199999999999999</v>
      </c>
      <c r="AM137" s="175">
        <v>0.128</v>
      </c>
      <c r="AN137" s="115">
        <v>0.14199999999999999</v>
      </c>
      <c r="AO137" s="232">
        <v>0.13200000000000001</v>
      </c>
      <c r="AP137" s="115">
        <v>0.14000000000000001</v>
      </c>
      <c r="AQ137" s="175">
        <v>0.11</v>
      </c>
      <c r="AR137" s="175">
        <v>0.13</v>
      </c>
      <c r="AS137" s="175">
        <v>0.17</v>
      </c>
      <c r="AT137" s="175">
        <v>0.18</v>
      </c>
      <c r="AU137" s="175">
        <v>0.15</v>
      </c>
      <c r="AV137" s="175">
        <v>0.14000000000000001</v>
      </c>
      <c r="AW137" s="175">
        <v>0.16</v>
      </c>
      <c r="AX137" s="274"/>
      <c r="AY137" s="175">
        <v>0.13</v>
      </c>
      <c r="AZ137" s="175">
        <v>0.14000000000000001</v>
      </c>
      <c r="BA137" s="175">
        <v>0.18</v>
      </c>
      <c r="BB137" s="175">
        <v>0.17</v>
      </c>
      <c r="BC137" s="175">
        <v>0.14000000000000001</v>
      </c>
      <c r="BD137" s="175">
        <v>0.14000000000000001</v>
      </c>
      <c r="BE137" s="175">
        <v>0.16</v>
      </c>
      <c r="BF137" s="175">
        <v>0.17</v>
      </c>
      <c r="BG137" s="175">
        <v>0.14000000000000001</v>
      </c>
      <c r="BI137" s="175">
        <v>0.15</v>
      </c>
      <c r="BJ137" s="175">
        <v>0.14000000000000001</v>
      </c>
      <c r="BK137" s="175">
        <v>0.16</v>
      </c>
      <c r="BL137" s="175">
        <v>0.17</v>
      </c>
      <c r="BM137" s="175">
        <v>0.13</v>
      </c>
      <c r="BN137" s="175">
        <v>0.16</v>
      </c>
      <c r="BO137" s="175">
        <v>0.18</v>
      </c>
      <c r="BP137" s="175">
        <v>0.17</v>
      </c>
      <c r="BQ137" s="175">
        <v>0.14000000000000001</v>
      </c>
      <c r="BS137" s="175">
        <v>0.16</v>
      </c>
      <c r="BT137" s="175">
        <v>0.15</v>
      </c>
    </row>
    <row r="138" spans="2:72">
      <c r="B138" s="1" t="s">
        <v>410</v>
      </c>
      <c r="C138" s="115">
        <v>8.5000000000000006E-2</v>
      </c>
      <c r="D138" s="115">
        <v>0.08</v>
      </c>
      <c r="E138" s="115">
        <v>6.9000000000000006E-2</v>
      </c>
      <c r="F138" s="115">
        <v>7.0000000000000007E-2</v>
      </c>
      <c r="G138" s="115">
        <v>7.1999999999999995E-2</v>
      </c>
      <c r="H138" s="115">
        <v>6.6000000000000003E-2</v>
      </c>
      <c r="I138" s="115">
        <v>5.5E-2</v>
      </c>
      <c r="J138" s="115">
        <v>0.05</v>
      </c>
      <c r="K138" s="245">
        <v>0.06</v>
      </c>
      <c r="L138" s="115">
        <v>0.05</v>
      </c>
      <c r="M138" s="245">
        <v>0.05</v>
      </c>
      <c r="N138" s="245">
        <v>0.05</v>
      </c>
      <c r="O138" s="245">
        <v>0.04</v>
      </c>
      <c r="P138" s="245">
        <v>0.04</v>
      </c>
      <c r="Q138" s="245">
        <v>0.05</v>
      </c>
      <c r="R138" s="115"/>
      <c r="S138" s="115">
        <v>0.06</v>
      </c>
      <c r="T138" s="115">
        <v>0.06</v>
      </c>
      <c r="U138" s="115">
        <v>7.0000000000000007E-2</v>
      </c>
      <c r="V138" s="115">
        <v>8.2000000000000003E-2</v>
      </c>
      <c r="W138" s="115">
        <v>0.06</v>
      </c>
      <c r="X138" s="115">
        <v>6.8000000000000005E-2</v>
      </c>
      <c r="Y138" s="115">
        <v>0.06</v>
      </c>
      <c r="Z138" s="115">
        <v>0.08</v>
      </c>
      <c r="AA138" s="115">
        <v>7.0999999999999994E-2</v>
      </c>
      <c r="AB138" s="115">
        <v>6.3E-2</v>
      </c>
      <c r="AC138" s="115">
        <v>7.1999999999999995E-2</v>
      </c>
      <c r="AD138" s="115">
        <v>7.9000000000000001E-2</v>
      </c>
      <c r="AE138" s="115">
        <v>7.3999999999999996E-2</v>
      </c>
      <c r="AF138" s="115">
        <v>6.6000000000000003E-2</v>
      </c>
      <c r="AG138" s="115">
        <v>5.2999999999999999E-2</v>
      </c>
      <c r="AH138" s="115">
        <v>7.1999999999999995E-2</v>
      </c>
      <c r="AI138" s="115">
        <v>0.05</v>
      </c>
      <c r="AJ138" s="115">
        <v>3.5000000000000003E-2</v>
      </c>
      <c r="AK138" s="115">
        <v>5.8999999999999997E-2</v>
      </c>
      <c r="AL138" s="115">
        <v>6.7000000000000004E-2</v>
      </c>
      <c r="AM138" s="175">
        <v>5.7000000000000002E-2</v>
      </c>
      <c r="AN138" s="115">
        <v>5.2999999999999999E-2</v>
      </c>
      <c r="AO138" s="232">
        <v>4.4999999999999998E-2</v>
      </c>
      <c r="AP138" s="115">
        <v>0.05</v>
      </c>
      <c r="AQ138" s="175">
        <v>0.05</v>
      </c>
      <c r="AR138" s="175">
        <v>0.06</v>
      </c>
      <c r="AS138" s="175">
        <v>0.05</v>
      </c>
      <c r="AT138" s="175">
        <v>0.05</v>
      </c>
      <c r="AU138" s="175">
        <v>0.05</v>
      </c>
      <c r="AV138" s="175">
        <v>0.04</v>
      </c>
      <c r="AW138" s="175">
        <v>0.05</v>
      </c>
      <c r="AX138" s="274"/>
      <c r="AY138" s="175">
        <v>0.09</v>
      </c>
      <c r="AZ138" s="175">
        <v>0.04</v>
      </c>
      <c r="BA138" s="175">
        <v>0.04</v>
      </c>
      <c r="BB138" s="175">
        <v>0.05</v>
      </c>
      <c r="BC138" s="175">
        <v>0.05</v>
      </c>
      <c r="BD138" s="175">
        <v>0.05</v>
      </c>
      <c r="BE138" s="175">
        <v>0.05</v>
      </c>
      <c r="BF138" s="175">
        <v>0.06</v>
      </c>
      <c r="BG138" s="175">
        <v>0.05</v>
      </c>
      <c r="BI138" s="175">
        <v>0.05</v>
      </c>
      <c r="BJ138" s="175">
        <v>0.04</v>
      </c>
      <c r="BK138" s="175">
        <v>0.05</v>
      </c>
      <c r="BL138" s="175">
        <v>0.06</v>
      </c>
      <c r="BM138" s="175">
        <v>0.04</v>
      </c>
      <c r="BN138" s="175">
        <v>0.04</v>
      </c>
      <c r="BO138" s="175">
        <v>0.05</v>
      </c>
      <c r="BP138" s="175">
        <v>0.05</v>
      </c>
      <c r="BQ138" s="175">
        <v>0.05</v>
      </c>
      <c r="BS138" s="175">
        <v>0.04</v>
      </c>
      <c r="BT138" s="175">
        <v>0.05</v>
      </c>
    </row>
    <row r="139" spans="2:72">
      <c r="B139" s="1" t="s">
        <v>450</v>
      </c>
      <c r="C139" s="115">
        <v>3.1E-2</v>
      </c>
      <c r="D139" s="115">
        <v>2.8000000000000001E-2</v>
      </c>
      <c r="E139" s="115">
        <v>3.3000000000000002E-2</v>
      </c>
      <c r="F139" s="115">
        <v>0.03</v>
      </c>
      <c r="G139" s="115">
        <v>2.1999999999999999E-2</v>
      </c>
      <c r="H139" s="115">
        <v>3.7999999999999999E-2</v>
      </c>
      <c r="I139" s="115">
        <v>2.7E-2</v>
      </c>
      <c r="J139" s="115">
        <v>0.02</v>
      </c>
      <c r="K139" s="245">
        <v>0.04</v>
      </c>
      <c r="L139" s="115">
        <v>0.04</v>
      </c>
      <c r="M139" s="245">
        <v>0.04</v>
      </c>
      <c r="N139" s="245">
        <v>0.04</v>
      </c>
      <c r="O139" s="245">
        <v>0.03</v>
      </c>
      <c r="P139" s="245">
        <v>0.03</v>
      </c>
      <c r="Q139" s="245">
        <v>0.03</v>
      </c>
      <c r="R139" s="115"/>
      <c r="S139" s="115">
        <v>0.03</v>
      </c>
      <c r="T139" s="115">
        <v>0.04</v>
      </c>
      <c r="U139" s="115">
        <v>0.03</v>
      </c>
      <c r="V139" s="115">
        <v>3.3000000000000002E-2</v>
      </c>
      <c r="W139" s="115">
        <v>3.2000000000000001E-2</v>
      </c>
      <c r="X139" s="115">
        <v>3.1E-2</v>
      </c>
      <c r="Y139" s="115">
        <v>0.02</v>
      </c>
      <c r="Z139" s="115">
        <v>0.02</v>
      </c>
      <c r="AA139" s="115">
        <v>0.02</v>
      </c>
      <c r="AB139" s="115">
        <v>2.3E-2</v>
      </c>
      <c r="AC139" s="115">
        <v>2.5000000000000001E-2</v>
      </c>
      <c r="AD139" s="115">
        <v>2.1000000000000001E-2</v>
      </c>
      <c r="AE139" s="115">
        <v>2.3E-2</v>
      </c>
      <c r="AF139" s="115">
        <v>2.8000000000000001E-2</v>
      </c>
      <c r="AG139" s="115">
        <v>3.2000000000000001E-2</v>
      </c>
      <c r="AH139" s="115">
        <v>2.4E-2</v>
      </c>
      <c r="AI139" s="115">
        <v>2.9000000000000001E-2</v>
      </c>
      <c r="AJ139" s="115">
        <v>2.5999999999999999E-2</v>
      </c>
      <c r="AK139" s="115">
        <v>2.3E-2</v>
      </c>
      <c r="AL139" s="115">
        <v>2.7E-2</v>
      </c>
      <c r="AM139" s="175">
        <v>2.7999999999999997E-2</v>
      </c>
      <c r="AN139" s="115">
        <v>3.2000000000000001E-2</v>
      </c>
      <c r="AO139" s="232">
        <v>0.02</v>
      </c>
      <c r="AP139" s="115">
        <v>0.03</v>
      </c>
      <c r="AQ139" s="175">
        <v>0.06</v>
      </c>
      <c r="AR139" s="175">
        <v>0.03</v>
      </c>
      <c r="AS139" s="175">
        <v>0.04</v>
      </c>
      <c r="AT139" s="175">
        <v>0.03</v>
      </c>
      <c r="AU139" s="175">
        <v>0.04</v>
      </c>
      <c r="AV139" s="175">
        <v>0.02</v>
      </c>
      <c r="AW139" s="175">
        <v>0.05</v>
      </c>
      <c r="AX139" s="274"/>
      <c r="AY139" s="175"/>
      <c r="AZ139" s="175">
        <v>0.02</v>
      </c>
      <c r="BA139" s="175">
        <v>0.03</v>
      </c>
      <c r="BB139" s="175">
        <v>0.03</v>
      </c>
      <c r="BC139" s="175">
        <v>0.04</v>
      </c>
      <c r="BD139" s="175">
        <v>0.03</v>
      </c>
      <c r="BE139" s="175">
        <v>0.03</v>
      </c>
      <c r="BF139" s="175">
        <v>0.03</v>
      </c>
      <c r="BG139" s="175">
        <v>0.03</v>
      </c>
      <c r="BI139" s="175">
        <v>0.04</v>
      </c>
      <c r="BJ139" s="175">
        <v>0.02</v>
      </c>
      <c r="BK139" s="175">
        <v>0.05</v>
      </c>
      <c r="BL139" s="175">
        <v>0.03</v>
      </c>
      <c r="BM139" s="175">
        <v>0.05</v>
      </c>
      <c r="BN139" s="175">
        <v>0.03</v>
      </c>
      <c r="BO139" s="175">
        <v>0.03</v>
      </c>
      <c r="BP139" s="175">
        <v>0.03</v>
      </c>
      <c r="BQ139" s="175">
        <v>0.03</v>
      </c>
      <c r="BS139" s="175">
        <v>0.03</v>
      </c>
      <c r="BT139" s="175">
        <v>0.03</v>
      </c>
    </row>
    <row r="140" spans="2:72">
      <c r="B140" s="1" t="s">
        <v>451</v>
      </c>
      <c r="C140" s="115"/>
      <c r="D140" s="115"/>
      <c r="E140" s="115"/>
      <c r="F140" s="115">
        <v>0.04</v>
      </c>
      <c r="G140" s="115">
        <v>4.2999999999999997E-2</v>
      </c>
      <c r="H140" s="115">
        <v>2.7E-2</v>
      </c>
      <c r="I140" s="115">
        <v>2.5000000000000001E-2</v>
      </c>
      <c r="J140" s="115">
        <v>0.03</v>
      </c>
      <c r="K140" s="115">
        <v>0.03</v>
      </c>
      <c r="L140" s="115">
        <v>0.03</v>
      </c>
      <c r="M140" s="115">
        <v>0.02</v>
      </c>
      <c r="N140" s="115"/>
      <c r="O140" s="115"/>
      <c r="P140" s="115"/>
      <c r="Q140" s="115"/>
      <c r="R140" s="115"/>
      <c r="S140" s="115"/>
      <c r="T140" s="115"/>
      <c r="U140" s="115"/>
      <c r="V140" s="115"/>
      <c r="W140" s="115">
        <v>4.9000000000000002E-2</v>
      </c>
      <c r="X140" s="115">
        <v>0.06</v>
      </c>
      <c r="Y140" s="115">
        <v>0.03</v>
      </c>
      <c r="Z140" s="115">
        <v>0.03</v>
      </c>
      <c r="AA140" s="115">
        <v>5.0999999999999997E-2</v>
      </c>
      <c r="AB140" s="115">
        <v>6.0999999999999999E-2</v>
      </c>
      <c r="AC140" s="115">
        <v>3.3000000000000002E-2</v>
      </c>
      <c r="AD140" s="115">
        <v>3.2000000000000001E-2</v>
      </c>
      <c r="AE140" s="115">
        <v>0.05</v>
      </c>
      <c r="AF140" s="115">
        <v>5.2999999999999999E-2</v>
      </c>
      <c r="AG140" s="115">
        <v>2.8000000000000001E-2</v>
      </c>
      <c r="AH140" s="115">
        <v>2.1999999999999999E-2</v>
      </c>
      <c r="AI140" s="115">
        <v>2.8000000000000001E-2</v>
      </c>
      <c r="AJ140" s="115">
        <v>2.5000000000000001E-2</v>
      </c>
      <c r="AK140" s="115">
        <v>2.8000000000000001E-2</v>
      </c>
      <c r="AL140" s="115">
        <v>2.5000000000000001E-2</v>
      </c>
      <c r="AM140" s="175">
        <v>0.04</v>
      </c>
      <c r="AN140" s="115">
        <v>0.05</v>
      </c>
      <c r="AO140" s="232">
        <v>2.8000000000000001E-2</v>
      </c>
      <c r="AP140" s="115">
        <v>0.03</v>
      </c>
      <c r="AQ140" s="175">
        <v>0.04</v>
      </c>
      <c r="AR140" s="175">
        <v>0.05</v>
      </c>
      <c r="AS140" s="175">
        <v>0.03</v>
      </c>
      <c r="AT140" s="175">
        <v>0.02</v>
      </c>
      <c r="AU140" s="175">
        <v>0.02</v>
      </c>
      <c r="AV140" s="175">
        <v>0.03</v>
      </c>
      <c r="AW140" s="175">
        <v>0.02</v>
      </c>
      <c r="AX140" s="274"/>
      <c r="AY140" s="175">
        <v>0.13</v>
      </c>
      <c r="AZ140" s="175">
        <v>0.03</v>
      </c>
      <c r="BA140" s="274"/>
      <c r="BB140" s="274"/>
      <c r="BC140" s="274"/>
      <c r="BD140" s="175">
        <v>0</v>
      </c>
      <c r="BE140" s="274"/>
      <c r="BF140" s="274"/>
      <c r="BG140" s="274"/>
      <c r="BI140" s="175">
        <v>0.02</v>
      </c>
      <c r="BJ140" s="175">
        <v>0.03</v>
      </c>
      <c r="BK140" s="274"/>
      <c r="BL140" s="274"/>
      <c r="BM140" s="274"/>
      <c r="BN140" s="175">
        <v>0</v>
      </c>
      <c r="BO140" s="274"/>
      <c r="BP140" s="274"/>
      <c r="BQ140" s="274"/>
      <c r="BS140" s="274"/>
      <c r="BT140" s="274"/>
    </row>
    <row r="141" spans="2:72">
      <c r="B141" s="1" t="s">
        <v>411</v>
      </c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>
        <v>0.14000000000000001</v>
      </c>
      <c r="O141" s="115">
        <v>0.1</v>
      </c>
      <c r="P141" s="115">
        <v>0.11</v>
      </c>
      <c r="Q141" s="115">
        <v>0.1</v>
      </c>
      <c r="R141" s="115"/>
      <c r="S141" s="115"/>
      <c r="T141" s="115"/>
      <c r="U141" s="115"/>
      <c r="V141" s="115"/>
      <c r="W141" s="115"/>
      <c r="X141" s="115"/>
      <c r="Y141" s="115"/>
      <c r="Z141" s="115"/>
      <c r="AA141" s="115"/>
      <c r="AB141" s="115"/>
      <c r="AC141" s="115"/>
      <c r="AD141" s="115"/>
      <c r="AE141" s="115"/>
      <c r="AF141" s="115"/>
      <c r="AG141" s="115"/>
      <c r="AH141" s="115"/>
      <c r="AI141" s="115"/>
      <c r="AJ141" s="115"/>
      <c r="AK141" s="115"/>
      <c r="AL141" s="115"/>
      <c r="AM141" s="175"/>
      <c r="AN141" s="115"/>
      <c r="AO141" s="232"/>
      <c r="AP141" s="115"/>
      <c r="AQ141" s="175"/>
      <c r="AR141" s="175"/>
      <c r="AS141" s="175"/>
      <c r="AT141" s="175"/>
      <c r="AU141" s="175"/>
      <c r="AV141" s="175"/>
      <c r="AW141" s="175"/>
      <c r="AX141" s="274"/>
      <c r="AY141" s="274"/>
      <c r="AZ141" s="274"/>
      <c r="BA141" s="175">
        <v>0.09</v>
      </c>
      <c r="BB141" s="175">
        <v>0.09</v>
      </c>
      <c r="BC141" s="175">
        <v>0.1</v>
      </c>
      <c r="BD141" s="175">
        <v>0.12</v>
      </c>
      <c r="BE141" s="175">
        <v>0.09</v>
      </c>
      <c r="BF141" s="175">
        <v>0.08</v>
      </c>
      <c r="BG141" s="175">
        <v>0.1</v>
      </c>
      <c r="BI141" s="274"/>
      <c r="BJ141" s="274"/>
      <c r="BK141" s="175">
        <v>0.12</v>
      </c>
      <c r="BL141" s="175">
        <v>0.13</v>
      </c>
      <c r="BM141" s="175">
        <v>0.13</v>
      </c>
      <c r="BN141" s="175">
        <v>0.12</v>
      </c>
      <c r="BO141" s="175">
        <v>0.09</v>
      </c>
      <c r="BP141" s="175">
        <v>0.08</v>
      </c>
      <c r="BQ141" s="175">
        <v>0.1</v>
      </c>
      <c r="BS141" s="175">
        <v>0.11</v>
      </c>
      <c r="BT141" s="175">
        <v>0.1</v>
      </c>
    </row>
    <row r="142" spans="2:72">
      <c r="B142" s="1" t="s">
        <v>452</v>
      </c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>
        <v>0.01</v>
      </c>
      <c r="O142" s="115">
        <v>0.01</v>
      </c>
      <c r="P142" s="115">
        <v>0.01</v>
      </c>
      <c r="Q142" s="115">
        <v>0.01</v>
      </c>
      <c r="R142" s="115"/>
      <c r="S142" s="115"/>
      <c r="T142" s="115"/>
      <c r="U142" s="115"/>
      <c r="V142" s="115"/>
      <c r="W142" s="115"/>
      <c r="X142" s="115"/>
      <c r="Y142" s="115"/>
      <c r="Z142" s="115"/>
      <c r="AA142" s="115"/>
      <c r="AB142" s="115"/>
      <c r="AC142" s="115"/>
      <c r="AD142" s="115"/>
      <c r="AE142" s="115"/>
      <c r="AF142" s="115"/>
      <c r="AG142" s="115"/>
      <c r="AH142" s="115"/>
      <c r="AI142" s="115"/>
      <c r="AJ142" s="115"/>
      <c r="AK142" s="115"/>
      <c r="AL142" s="115"/>
      <c r="AM142" s="175"/>
      <c r="AN142" s="115"/>
      <c r="AO142" s="232"/>
      <c r="AP142" s="115"/>
      <c r="AQ142" s="175"/>
      <c r="AR142" s="175"/>
      <c r="AS142" s="175"/>
      <c r="AT142" s="175"/>
      <c r="AU142" s="175"/>
      <c r="AV142" s="175"/>
      <c r="AW142" s="175"/>
      <c r="AX142" s="274"/>
      <c r="AY142" s="274"/>
      <c r="AZ142" s="274"/>
      <c r="BA142" s="175">
        <v>0.01</v>
      </c>
      <c r="BB142" s="175">
        <v>0.01</v>
      </c>
      <c r="BC142" s="175">
        <v>0.01</v>
      </c>
      <c r="BD142" s="175">
        <v>0.01</v>
      </c>
      <c r="BE142" s="175">
        <v>0.01</v>
      </c>
      <c r="BF142" s="175">
        <v>0.01</v>
      </c>
      <c r="BG142" s="175">
        <v>0.01</v>
      </c>
      <c r="BI142" s="274"/>
      <c r="BJ142" s="274"/>
      <c r="BK142" s="175">
        <v>0.01</v>
      </c>
      <c r="BL142" s="175">
        <v>0.01</v>
      </c>
      <c r="BM142" s="175">
        <v>0.01</v>
      </c>
      <c r="BN142" s="175">
        <v>0.01</v>
      </c>
      <c r="BO142" s="175">
        <v>0.01</v>
      </c>
      <c r="BP142" s="175">
        <v>0.01</v>
      </c>
      <c r="BQ142" s="175">
        <v>0.01</v>
      </c>
      <c r="BS142" s="175">
        <v>0.01</v>
      </c>
      <c r="BT142" s="175">
        <v>0.01</v>
      </c>
    </row>
    <row r="143" spans="2:72">
      <c r="B143" s="1" t="s">
        <v>453</v>
      </c>
      <c r="C143" s="115"/>
      <c r="D143" s="115"/>
      <c r="E143" s="115"/>
      <c r="F143" s="115"/>
      <c r="G143" s="115"/>
      <c r="H143" s="115">
        <v>2.7E-2</v>
      </c>
      <c r="I143" s="115">
        <v>0.03</v>
      </c>
      <c r="J143" s="115">
        <v>0.02</v>
      </c>
      <c r="K143" s="115">
        <v>0.02</v>
      </c>
      <c r="L143" s="115">
        <v>0.02</v>
      </c>
      <c r="M143" s="115">
        <v>0.02</v>
      </c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  <c r="AA143" s="115"/>
      <c r="AB143" s="115"/>
      <c r="AC143" s="115"/>
      <c r="AD143" s="115"/>
      <c r="AE143" s="115"/>
      <c r="AF143" s="115">
        <v>4.2999999999999997E-2</v>
      </c>
      <c r="AG143" s="115">
        <v>4.3999999999999997E-2</v>
      </c>
      <c r="AH143" s="115">
        <v>1.7999999999999999E-2</v>
      </c>
      <c r="AI143" s="115">
        <v>2.8000000000000001E-2</v>
      </c>
      <c r="AJ143" s="115">
        <v>3.1E-2</v>
      </c>
      <c r="AK143" s="115">
        <v>4.3999999999999997E-2</v>
      </c>
      <c r="AL143" s="115">
        <v>1.9E-2</v>
      </c>
      <c r="AM143" s="175">
        <v>2.5000000000000001E-2</v>
      </c>
      <c r="AN143" s="115">
        <v>3.4000000000000002E-2</v>
      </c>
      <c r="AO143" s="232">
        <v>2.5999999999999999E-2</v>
      </c>
      <c r="AP143" s="115">
        <v>0.02</v>
      </c>
      <c r="AQ143" s="175">
        <v>0.02</v>
      </c>
      <c r="AR143" s="175">
        <v>0.03</v>
      </c>
      <c r="AS143" s="175">
        <v>0.03</v>
      </c>
      <c r="AT143" s="175">
        <v>0.01</v>
      </c>
      <c r="AU143" s="175">
        <v>0.02</v>
      </c>
      <c r="AV143" s="175">
        <v>0.03</v>
      </c>
      <c r="AW143" s="175">
        <v>0.02</v>
      </c>
      <c r="AX143" s="274"/>
      <c r="AY143" s="175"/>
      <c r="AZ143" s="175">
        <v>0.03</v>
      </c>
      <c r="BA143" s="274"/>
      <c r="BB143" s="274"/>
      <c r="BC143" s="274"/>
      <c r="BD143" s="175">
        <v>0</v>
      </c>
      <c r="BE143" s="274"/>
      <c r="BF143" s="274"/>
      <c r="BG143" s="274"/>
      <c r="BI143" s="175">
        <v>0.02</v>
      </c>
      <c r="BJ143" s="175">
        <v>0.03</v>
      </c>
      <c r="BK143" s="274"/>
      <c r="BL143" s="274"/>
      <c r="BM143" s="274"/>
      <c r="BN143" s="175">
        <v>0</v>
      </c>
      <c r="BO143" s="274"/>
      <c r="BP143" s="274"/>
      <c r="BQ143" s="274"/>
      <c r="BS143" s="274"/>
      <c r="BT143" s="274"/>
    </row>
    <row r="144" spans="2:72">
      <c r="B144" s="1" t="s">
        <v>45</v>
      </c>
      <c r="C144" s="115">
        <v>2.8000000000000001E-2</v>
      </c>
      <c r="D144" s="115">
        <v>3.5000000000000003E-2</v>
      </c>
      <c r="E144" s="115">
        <v>5.0999999999999997E-2</v>
      </c>
      <c r="F144" s="115">
        <v>0.04</v>
      </c>
      <c r="G144" s="115">
        <v>5.6000000000000001E-2</v>
      </c>
      <c r="H144" s="115">
        <v>4.7E-2</v>
      </c>
      <c r="I144" s="115">
        <f>4.4%+0.1%</f>
        <v>4.5000000000000005E-2</v>
      </c>
      <c r="J144" s="115">
        <v>0.12</v>
      </c>
      <c r="K144" s="115">
        <v>0.14000000000000001</v>
      </c>
      <c r="L144" s="115">
        <v>0.15</v>
      </c>
      <c r="M144" s="115">
        <v>0.11</v>
      </c>
      <c r="N144" s="115"/>
      <c r="O144" s="115">
        <v>0.01</v>
      </c>
      <c r="P144" s="115"/>
      <c r="Q144" s="115"/>
      <c r="R144" s="115"/>
      <c r="S144" s="115">
        <v>0.05</v>
      </c>
      <c r="T144" s="115">
        <v>0.04</v>
      </c>
      <c r="U144" s="115">
        <v>0.05</v>
      </c>
      <c r="V144" s="115">
        <v>6.6000000000000003E-2</v>
      </c>
      <c r="W144" s="115">
        <v>4.2999999999999997E-2</v>
      </c>
      <c r="X144" s="115">
        <v>4.5999999999999999E-2</v>
      </c>
      <c r="Y144" s="115">
        <v>0.04</v>
      </c>
      <c r="Z144" s="115">
        <v>0.04</v>
      </c>
      <c r="AA144" s="115">
        <v>5.1999999999999998E-2</v>
      </c>
      <c r="AB144" s="115">
        <v>5.6000000000000001E-2</v>
      </c>
      <c r="AC144" s="115">
        <v>6.7000000000000004E-2</v>
      </c>
      <c r="AD144" s="115">
        <v>4.9000000000000002E-2</v>
      </c>
      <c r="AE144" s="115">
        <v>5.7000000000000002E-2</v>
      </c>
      <c r="AF144" s="115">
        <v>4.2999999999999997E-2</v>
      </c>
      <c r="AG144" s="115">
        <v>4.5999999999999999E-2</v>
      </c>
      <c r="AH144" s="115">
        <v>4.3999999999999997E-2</v>
      </c>
      <c r="AI144" s="115">
        <v>4.4999999999999998E-2</v>
      </c>
      <c r="AJ144" s="115">
        <v>4.7E-2</v>
      </c>
      <c r="AK144" s="115">
        <v>4.1000000000000002E-2</v>
      </c>
      <c r="AL144" s="115">
        <f>4.6%-0.1%</f>
        <v>4.4999999999999998E-2</v>
      </c>
      <c r="AM144" s="175">
        <v>5.5E-2</v>
      </c>
      <c r="AN144" s="115">
        <v>5.3999999999999999E-2</v>
      </c>
      <c r="AO144" s="232">
        <v>0.153</v>
      </c>
      <c r="AP144" s="115">
        <v>0.17</v>
      </c>
      <c r="AQ144" s="175">
        <v>0.15</v>
      </c>
      <c r="AR144" s="175">
        <v>0.15</v>
      </c>
      <c r="AS144" s="175">
        <v>0.14000000000000001</v>
      </c>
      <c r="AT144" s="175">
        <v>0.12</v>
      </c>
      <c r="AU144" s="175">
        <v>0.11</v>
      </c>
      <c r="AV144" s="175">
        <v>0.13</v>
      </c>
      <c r="AW144" s="175">
        <v>0.09</v>
      </c>
      <c r="AX144" s="274"/>
      <c r="AY144" s="175">
        <f>100%-AY135-AY136-AY137-AY138-AY140</f>
        <v>1.0000000000000092E-2</v>
      </c>
      <c r="AZ144" s="175">
        <v>0.13</v>
      </c>
      <c r="BA144" s="175">
        <v>0.01</v>
      </c>
      <c r="BB144" s="175">
        <v>-0.01</v>
      </c>
      <c r="BC144" s="175">
        <v>-0.01</v>
      </c>
      <c r="BD144" s="175">
        <v>-0.01</v>
      </c>
      <c r="BE144" s="274"/>
      <c r="BF144" s="274"/>
      <c r="BG144" s="175">
        <v>-0.01</v>
      </c>
      <c r="BI144" s="175">
        <v>0.11</v>
      </c>
      <c r="BJ144" s="175">
        <v>0.13</v>
      </c>
      <c r="BK144" s="274"/>
      <c r="BL144" s="175">
        <v>0.01</v>
      </c>
      <c r="BM144" s="274"/>
      <c r="BN144" s="175">
        <v>-0.02</v>
      </c>
      <c r="BO144" s="274"/>
      <c r="BP144" s="274"/>
      <c r="BQ144" s="274"/>
      <c r="BS144" s="175">
        <v>0.01</v>
      </c>
      <c r="BT144" s="274"/>
    </row>
    <row r="145" spans="2:72" s="50" customFormat="1">
      <c r="B145" s="5" t="s">
        <v>417</v>
      </c>
      <c r="C145" s="174">
        <f t="shared" ref="C145:M145" si="410">SUM(C135:C144)</f>
        <v>1</v>
      </c>
      <c r="D145" s="174">
        <f t="shared" si="410"/>
        <v>1</v>
      </c>
      <c r="E145" s="174">
        <f t="shared" si="410"/>
        <v>1.0000000000000002</v>
      </c>
      <c r="F145" s="174">
        <f t="shared" si="410"/>
        <v>1</v>
      </c>
      <c r="G145" s="174">
        <f t="shared" si="410"/>
        <v>0.99900000000000011</v>
      </c>
      <c r="H145" s="174">
        <f t="shared" si="410"/>
        <v>1</v>
      </c>
      <c r="I145" s="174">
        <f t="shared" si="410"/>
        <v>1</v>
      </c>
      <c r="J145" s="174">
        <f t="shared" si="410"/>
        <v>0.9900000000000001</v>
      </c>
      <c r="K145" s="174">
        <f t="shared" si="410"/>
        <v>1</v>
      </c>
      <c r="L145" s="174">
        <f t="shared" si="410"/>
        <v>1.0000000000000002</v>
      </c>
      <c r="M145" s="174">
        <f t="shared" si="410"/>
        <v>1.0000000000000002</v>
      </c>
      <c r="N145" s="174">
        <f t="shared" ref="N145" si="411">SUM(N135:N144)</f>
        <v>1</v>
      </c>
      <c r="O145" s="174">
        <f t="shared" ref="O145:P145" si="412">SUM(O135:O144)</f>
        <v>1</v>
      </c>
      <c r="P145" s="174">
        <f t="shared" si="412"/>
        <v>1</v>
      </c>
      <c r="Q145" s="174">
        <f t="shared" ref="Q145" si="413">SUM(Q135:Q144)</f>
        <v>1</v>
      </c>
      <c r="R145" s="81"/>
      <c r="S145" s="174">
        <f t="shared" ref="S145:AW145" si="414">SUM(S135:S144)</f>
        <v>0.99</v>
      </c>
      <c r="T145" s="174">
        <f t="shared" si="414"/>
        <v>1</v>
      </c>
      <c r="U145" s="174">
        <f t="shared" si="414"/>
        <v>1.01</v>
      </c>
      <c r="V145" s="174">
        <f t="shared" si="414"/>
        <v>1.002</v>
      </c>
      <c r="W145" s="174">
        <f t="shared" si="414"/>
        <v>1</v>
      </c>
      <c r="X145" s="174">
        <f t="shared" si="414"/>
        <v>1.0009999999999999</v>
      </c>
      <c r="Y145" s="174">
        <f t="shared" si="414"/>
        <v>0.98</v>
      </c>
      <c r="Z145" s="174">
        <f t="shared" si="414"/>
        <v>1</v>
      </c>
      <c r="AA145" s="174">
        <f t="shared" si="414"/>
        <v>1</v>
      </c>
      <c r="AB145" s="174">
        <f t="shared" si="414"/>
        <v>1.0010000000000001</v>
      </c>
      <c r="AC145" s="174">
        <f t="shared" si="414"/>
        <v>1</v>
      </c>
      <c r="AD145" s="174">
        <f t="shared" si="414"/>
        <v>1</v>
      </c>
      <c r="AE145" s="174">
        <f t="shared" si="414"/>
        <v>1</v>
      </c>
      <c r="AF145" s="174">
        <f t="shared" si="414"/>
        <v>1</v>
      </c>
      <c r="AG145" s="174">
        <f t="shared" si="414"/>
        <v>0.99800000000000022</v>
      </c>
      <c r="AH145" s="81">
        <f t="shared" si="414"/>
        <v>1.0009999999999999</v>
      </c>
      <c r="AI145" s="174">
        <f t="shared" si="414"/>
        <v>0.99900000000000022</v>
      </c>
      <c r="AJ145" s="174">
        <f t="shared" si="414"/>
        <v>0.99900000000000011</v>
      </c>
      <c r="AK145" s="174">
        <f t="shared" si="414"/>
        <v>1.0000000000000002</v>
      </c>
      <c r="AL145" s="81">
        <f t="shared" si="414"/>
        <v>1</v>
      </c>
      <c r="AM145" s="81">
        <f t="shared" si="414"/>
        <v>1.0000000000000002</v>
      </c>
      <c r="AN145" s="174">
        <f t="shared" si="414"/>
        <v>1.0010000000000001</v>
      </c>
      <c r="AO145" s="237">
        <f t="shared" si="414"/>
        <v>1</v>
      </c>
      <c r="AP145" s="81">
        <f t="shared" si="414"/>
        <v>1.0100000000000002</v>
      </c>
      <c r="AQ145" s="81">
        <f t="shared" si="414"/>
        <v>1</v>
      </c>
      <c r="AR145" s="81">
        <f t="shared" si="414"/>
        <v>0.9900000000000001</v>
      </c>
      <c r="AS145" s="81">
        <f t="shared" si="414"/>
        <v>1.0100000000000002</v>
      </c>
      <c r="AT145" s="81">
        <f t="shared" si="414"/>
        <v>0.9900000000000001</v>
      </c>
      <c r="AU145" s="81">
        <f t="shared" si="414"/>
        <v>1.0000000000000002</v>
      </c>
      <c r="AV145" s="81">
        <f t="shared" si="414"/>
        <v>1</v>
      </c>
      <c r="AW145" s="81">
        <f t="shared" si="414"/>
        <v>1.0000000000000002</v>
      </c>
      <c r="AX145" s="275"/>
      <c r="AY145" s="81">
        <f t="shared" ref="AY145:BD145" si="415">SUM(AY135:AY144)</f>
        <v>1</v>
      </c>
      <c r="AZ145" s="81">
        <f t="shared" si="415"/>
        <v>1</v>
      </c>
      <c r="BA145" s="81">
        <f t="shared" si="415"/>
        <v>1</v>
      </c>
      <c r="BB145" s="81">
        <f t="shared" si="415"/>
        <v>1.0000000000000002</v>
      </c>
      <c r="BC145" s="81">
        <f t="shared" si="415"/>
        <v>1.0000000000000002</v>
      </c>
      <c r="BD145" s="81">
        <f t="shared" si="415"/>
        <v>1</v>
      </c>
      <c r="BE145" s="81">
        <f t="shared" ref="BE145:BG145" si="416">SUM(BE135:BE144)</f>
        <v>1</v>
      </c>
      <c r="BF145" s="81">
        <f t="shared" si="416"/>
        <v>0.99999999999999989</v>
      </c>
      <c r="BG145" s="81">
        <f t="shared" si="416"/>
        <v>1</v>
      </c>
      <c r="BI145" s="81">
        <f t="shared" ref="BI145:BN145" si="417">SUM(BI135:BI144)</f>
        <v>1.0000000000000002</v>
      </c>
      <c r="BJ145" s="81">
        <f t="shared" si="417"/>
        <v>1</v>
      </c>
      <c r="BK145" s="81">
        <f t="shared" si="417"/>
        <v>1</v>
      </c>
      <c r="BL145" s="81">
        <f t="shared" si="417"/>
        <v>1</v>
      </c>
      <c r="BM145" s="81">
        <f t="shared" si="417"/>
        <v>1</v>
      </c>
      <c r="BN145" s="81">
        <f t="shared" si="417"/>
        <v>1.0000000000000002</v>
      </c>
      <c r="BO145" s="81">
        <f t="shared" ref="BO145:BS145" si="418">SUM(BO135:BO144)</f>
        <v>1</v>
      </c>
      <c r="BP145" s="81">
        <f t="shared" si="418"/>
        <v>1</v>
      </c>
      <c r="BQ145" s="81">
        <f t="shared" si="418"/>
        <v>1</v>
      </c>
      <c r="BS145" s="81">
        <f t="shared" si="418"/>
        <v>1</v>
      </c>
      <c r="BT145" s="81">
        <f t="shared" ref="BT145" si="419">SUM(BT135:BT144)</f>
        <v>1</v>
      </c>
    </row>
    <row r="147" spans="2:72">
      <c r="B147" s="5" t="s">
        <v>454</v>
      </c>
    </row>
    <row r="148" spans="2:72">
      <c r="B148" s="5" t="s">
        <v>455</v>
      </c>
    </row>
    <row r="149" spans="2:72">
      <c r="B149" s="1" t="s">
        <v>456</v>
      </c>
      <c r="C149" s="115"/>
      <c r="D149" s="115"/>
      <c r="E149" s="115">
        <v>0.127</v>
      </c>
      <c r="F149" s="200"/>
      <c r="G149" s="200"/>
      <c r="H149" s="115">
        <v>0.22600000000000001</v>
      </c>
      <c r="I149" s="200"/>
      <c r="J149" s="175">
        <v>0.47399999999999998</v>
      </c>
      <c r="K149" s="175">
        <v>0.96099999999999997</v>
      </c>
      <c r="L149" s="200"/>
      <c r="M149" s="175">
        <v>0.23200000000000001</v>
      </c>
      <c r="N149" s="274"/>
      <c r="O149" s="175">
        <v>0.13600000000000001</v>
      </c>
      <c r="P149" s="175">
        <v>0.13600000000000001</v>
      </c>
      <c r="Q149" s="175">
        <v>1.2999999999999999E-2</v>
      </c>
      <c r="R149" s="175"/>
      <c r="S149" s="115"/>
      <c r="T149" s="115"/>
      <c r="U149" s="115"/>
      <c r="V149" s="115"/>
      <c r="W149" s="115">
        <v>0.34499999999999997</v>
      </c>
      <c r="X149" s="115">
        <v>0.19700000000000001</v>
      </c>
      <c r="Y149" s="115">
        <v>0.318</v>
      </c>
      <c r="Z149" s="115">
        <v>0.19</v>
      </c>
      <c r="AA149" s="115">
        <v>-2.7E-2</v>
      </c>
      <c r="AB149" s="115">
        <v>0.14499999999999999</v>
      </c>
      <c r="AC149" s="115">
        <v>5.1999999999999998E-2</v>
      </c>
      <c r="AD149" s="115">
        <v>-3.1E-2</v>
      </c>
      <c r="AE149" s="115">
        <v>0.156</v>
      </c>
      <c r="AF149" s="115">
        <v>0.23799999999999999</v>
      </c>
      <c r="AG149" s="115">
        <v>0.192</v>
      </c>
      <c r="AH149" s="115">
        <v>0.32300000000000001</v>
      </c>
      <c r="AI149" s="115">
        <v>0.25700000000000001</v>
      </c>
      <c r="AJ149" s="115">
        <v>-0.109</v>
      </c>
      <c r="AK149" s="115">
        <v>0.48799999999999999</v>
      </c>
      <c r="AL149" s="115">
        <v>0.63300000000000001</v>
      </c>
      <c r="AM149" s="175">
        <v>0.69299999999999995</v>
      </c>
      <c r="AN149" s="115">
        <v>0.47599999999999998</v>
      </c>
      <c r="AO149" s="232">
        <v>0.316</v>
      </c>
      <c r="AP149" s="115">
        <v>0.48399999999999999</v>
      </c>
      <c r="AQ149" s="175">
        <v>0.78800000000000003</v>
      </c>
      <c r="AR149" s="175">
        <v>1.0329999999999999</v>
      </c>
      <c r="AS149" s="175">
        <v>0.875</v>
      </c>
      <c r="AT149" s="175">
        <v>1.1179999999999999</v>
      </c>
      <c r="AU149" s="175">
        <v>0.79300000000000004</v>
      </c>
      <c r="AV149" s="175">
        <v>0.89</v>
      </c>
      <c r="AW149" s="175">
        <v>1.212</v>
      </c>
      <c r="AX149" s="200"/>
      <c r="AY149" s="175">
        <v>0.183</v>
      </c>
      <c r="AZ149" s="175">
        <v>-1.0999999999999999E-2</v>
      </c>
      <c r="BA149" s="175">
        <v>0.105</v>
      </c>
      <c r="BB149" s="175">
        <v>0.155</v>
      </c>
      <c r="BC149" s="175">
        <v>8.7999999999999995E-2</v>
      </c>
      <c r="BD149" s="175">
        <v>0.02</v>
      </c>
      <c r="BE149" s="175">
        <v>-5.8999999999999997E-2</v>
      </c>
      <c r="BF149" s="175">
        <v>2E-3</v>
      </c>
      <c r="BG149" s="175">
        <v>-0.13900000000000001</v>
      </c>
      <c r="BI149" s="175">
        <v>0.79300000000000004</v>
      </c>
      <c r="BJ149" s="175">
        <v>0.89</v>
      </c>
      <c r="BK149" s="175">
        <v>1.212</v>
      </c>
      <c r="BL149" s="274"/>
      <c r="BM149" s="274"/>
      <c r="BN149" s="274"/>
      <c r="BO149" s="274"/>
      <c r="BP149" s="274"/>
      <c r="BQ149" s="274"/>
      <c r="BS149" s="274"/>
      <c r="BT149" s="274"/>
    </row>
    <row r="150" spans="2:72">
      <c r="B150" s="1" t="s">
        <v>457</v>
      </c>
      <c r="C150" s="115"/>
      <c r="D150" s="115"/>
      <c r="E150" s="115">
        <v>0</v>
      </c>
      <c r="F150" s="200"/>
      <c r="G150" s="200"/>
      <c r="H150" s="115">
        <v>0</v>
      </c>
      <c r="I150" s="200"/>
      <c r="J150" s="175">
        <v>0</v>
      </c>
      <c r="K150" s="175">
        <v>0</v>
      </c>
      <c r="L150" s="200"/>
      <c r="M150" s="175">
        <v>0</v>
      </c>
      <c r="N150" s="274"/>
      <c r="O150" s="175">
        <v>0</v>
      </c>
      <c r="P150" s="175">
        <v>0</v>
      </c>
      <c r="Q150" s="175">
        <v>0</v>
      </c>
      <c r="R150" s="175"/>
      <c r="S150" s="115"/>
      <c r="T150" s="115"/>
      <c r="U150" s="115"/>
      <c r="V150" s="115"/>
      <c r="W150" s="115">
        <v>0</v>
      </c>
      <c r="X150" s="115">
        <v>0</v>
      </c>
      <c r="Y150" s="115">
        <v>0</v>
      </c>
      <c r="Z150" s="115">
        <v>0</v>
      </c>
      <c r="AA150" s="115">
        <v>0</v>
      </c>
      <c r="AB150" s="115">
        <v>0</v>
      </c>
      <c r="AC150" s="115">
        <v>0</v>
      </c>
      <c r="AD150" s="115">
        <v>0</v>
      </c>
      <c r="AE150" s="115">
        <v>0</v>
      </c>
      <c r="AF150" s="115">
        <v>0</v>
      </c>
      <c r="AG150" s="115">
        <v>0</v>
      </c>
      <c r="AH150" s="115">
        <v>0</v>
      </c>
      <c r="AI150" s="115">
        <v>0</v>
      </c>
      <c r="AJ150" s="115">
        <v>0</v>
      </c>
      <c r="AK150" s="115">
        <v>0</v>
      </c>
      <c r="AL150" s="115">
        <v>0</v>
      </c>
      <c r="AM150" s="175">
        <v>0</v>
      </c>
      <c r="AN150" s="115">
        <v>0</v>
      </c>
      <c r="AO150" s="232">
        <v>0</v>
      </c>
      <c r="AP150" s="115">
        <v>0</v>
      </c>
      <c r="AQ150" s="175">
        <v>0</v>
      </c>
      <c r="AR150" s="175">
        <v>0</v>
      </c>
      <c r="AS150" s="175">
        <v>0</v>
      </c>
      <c r="AT150" s="175">
        <v>0</v>
      </c>
      <c r="AU150" s="175">
        <v>0</v>
      </c>
      <c r="AV150" s="175">
        <v>0</v>
      </c>
      <c r="AW150" s="175">
        <v>0</v>
      </c>
      <c r="AX150" s="200"/>
      <c r="AY150" s="175">
        <v>0</v>
      </c>
      <c r="AZ150" s="175">
        <v>0</v>
      </c>
      <c r="BA150" s="175">
        <v>0</v>
      </c>
      <c r="BB150" s="175">
        <v>0</v>
      </c>
      <c r="BC150" s="175">
        <v>0</v>
      </c>
      <c r="BD150" s="175">
        <v>0</v>
      </c>
      <c r="BE150" s="175">
        <v>0</v>
      </c>
      <c r="BF150" s="175">
        <v>0</v>
      </c>
      <c r="BG150" s="175">
        <v>0</v>
      </c>
      <c r="BI150" s="175">
        <v>0</v>
      </c>
      <c r="BJ150" s="175">
        <v>0</v>
      </c>
      <c r="BK150" s="175">
        <v>0</v>
      </c>
      <c r="BL150" s="274"/>
      <c r="BM150" s="274"/>
      <c r="BN150" s="274"/>
      <c r="BO150" s="274"/>
      <c r="BP150" s="274"/>
      <c r="BQ150" s="274"/>
      <c r="BS150" s="274"/>
      <c r="BT150" s="274"/>
    </row>
    <row r="151" spans="2:72">
      <c r="B151" s="1" t="s">
        <v>458</v>
      </c>
      <c r="C151" s="115"/>
      <c r="D151" s="115"/>
      <c r="E151" s="115">
        <v>0</v>
      </c>
      <c r="F151" s="200"/>
      <c r="G151" s="200"/>
      <c r="H151" s="115">
        <v>0</v>
      </c>
      <c r="I151" s="200"/>
      <c r="J151" s="175">
        <v>0</v>
      </c>
      <c r="K151" s="175">
        <v>0</v>
      </c>
      <c r="L151" s="200"/>
      <c r="M151" s="175">
        <v>0</v>
      </c>
      <c r="N151" s="274"/>
      <c r="O151" s="175">
        <v>0</v>
      </c>
      <c r="P151" s="175">
        <v>0</v>
      </c>
      <c r="Q151" s="175">
        <v>0</v>
      </c>
      <c r="R151" s="175"/>
      <c r="S151" s="115"/>
      <c r="T151" s="115"/>
      <c r="U151" s="115"/>
      <c r="V151" s="115"/>
      <c r="W151" s="115">
        <v>0</v>
      </c>
      <c r="X151" s="115">
        <v>0</v>
      </c>
      <c r="Y151" s="115">
        <v>0</v>
      </c>
      <c r="Z151" s="115">
        <v>0</v>
      </c>
      <c r="AA151" s="115">
        <v>0</v>
      </c>
      <c r="AB151" s="115">
        <v>0</v>
      </c>
      <c r="AC151" s="115">
        <v>0</v>
      </c>
      <c r="AD151" s="115">
        <v>0</v>
      </c>
      <c r="AE151" s="115">
        <v>0</v>
      </c>
      <c r="AF151" s="115">
        <v>0</v>
      </c>
      <c r="AG151" s="115">
        <v>0</v>
      </c>
      <c r="AH151" s="115">
        <v>0</v>
      </c>
      <c r="AI151" s="115">
        <v>0</v>
      </c>
      <c r="AJ151" s="115">
        <v>0</v>
      </c>
      <c r="AK151" s="115">
        <v>0</v>
      </c>
      <c r="AL151" s="115">
        <v>0</v>
      </c>
      <c r="AM151" s="175">
        <v>0</v>
      </c>
      <c r="AN151" s="115">
        <v>0</v>
      </c>
      <c r="AO151" s="232">
        <v>0</v>
      </c>
      <c r="AP151" s="115">
        <v>0</v>
      </c>
      <c r="AQ151" s="175">
        <v>0</v>
      </c>
      <c r="AR151" s="175">
        <v>0</v>
      </c>
      <c r="AS151" s="175">
        <v>0</v>
      </c>
      <c r="AT151" s="175">
        <v>0</v>
      </c>
      <c r="AU151" s="175">
        <v>0</v>
      </c>
      <c r="AV151" s="175">
        <v>0</v>
      </c>
      <c r="AW151" s="175">
        <v>0</v>
      </c>
      <c r="AX151" s="200"/>
      <c r="AY151" s="175">
        <v>0</v>
      </c>
      <c r="AZ151" s="175">
        <v>0</v>
      </c>
      <c r="BA151" s="175">
        <v>0</v>
      </c>
      <c r="BB151" s="175">
        <v>0</v>
      </c>
      <c r="BC151" s="175">
        <v>0</v>
      </c>
      <c r="BD151" s="175">
        <v>0</v>
      </c>
      <c r="BE151" s="175">
        <v>0</v>
      </c>
      <c r="BF151" s="175">
        <v>0</v>
      </c>
      <c r="BG151" s="175">
        <v>0</v>
      </c>
      <c r="BI151" s="175">
        <v>0</v>
      </c>
      <c r="BJ151" s="175">
        <v>0</v>
      </c>
      <c r="BK151" s="175">
        <v>0</v>
      </c>
      <c r="BL151" s="274"/>
      <c r="BM151" s="274"/>
      <c r="BN151" s="274"/>
      <c r="BO151" s="274"/>
      <c r="BP151" s="274"/>
      <c r="BQ151" s="274"/>
      <c r="BS151" s="274"/>
      <c r="BT151" s="274"/>
    </row>
    <row r="152" spans="2:72">
      <c r="B152" s="5" t="s">
        <v>459</v>
      </c>
      <c r="C152" s="174">
        <f t="shared" ref="C152:X152" si="420">SUM(C149:C151)</f>
        <v>0</v>
      </c>
      <c r="D152" s="174">
        <f t="shared" si="420"/>
        <v>0</v>
      </c>
      <c r="E152" s="174">
        <f t="shared" si="420"/>
        <v>0.127</v>
      </c>
      <c r="F152" s="201"/>
      <c r="G152" s="201"/>
      <c r="H152" s="174">
        <f>SUM(H149:H151)</f>
        <v>0.22600000000000001</v>
      </c>
      <c r="I152" s="201"/>
      <c r="J152" s="174">
        <f>SUM(J149:J151)</f>
        <v>0.47399999999999998</v>
      </c>
      <c r="K152" s="174">
        <f t="shared" ref="K152:M152" si="421">SUM(K149:K151)</f>
        <v>0.96099999999999997</v>
      </c>
      <c r="L152" s="201"/>
      <c r="M152" s="174">
        <f t="shared" si="421"/>
        <v>0.23200000000000001</v>
      </c>
      <c r="N152" s="275"/>
      <c r="O152" s="174">
        <f t="shared" ref="O152:P152" si="422">SUM(O149:O151)</f>
        <v>0.13600000000000001</v>
      </c>
      <c r="P152" s="174">
        <f t="shared" si="422"/>
        <v>0.13600000000000001</v>
      </c>
      <c r="Q152" s="174">
        <f t="shared" ref="Q152" si="423">SUM(Q149:Q151)</f>
        <v>1.2999999999999999E-2</v>
      </c>
      <c r="R152" s="81"/>
      <c r="S152" s="174">
        <f t="shared" si="420"/>
        <v>0</v>
      </c>
      <c r="T152" s="174">
        <f t="shared" si="420"/>
        <v>0</v>
      </c>
      <c r="U152" s="174">
        <f t="shared" si="420"/>
        <v>0</v>
      </c>
      <c r="V152" s="174">
        <f t="shared" si="420"/>
        <v>0</v>
      </c>
      <c r="W152" s="174">
        <f t="shared" si="420"/>
        <v>0.34499999999999997</v>
      </c>
      <c r="X152" s="174">
        <f t="shared" si="420"/>
        <v>0.19700000000000001</v>
      </c>
      <c r="Y152" s="174">
        <f t="shared" ref="Y152:AD152" si="424">SUM(Y149:Y151)</f>
        <v>0.318</v>
      </c>
      <c r="Z152" s="174">
        <f t="shared" si="424"/>
        <v>0.19</v>
      </c>
      <c r="AA152" s="174">
        <f t="shared" si="424"/>
        <v>-2.7E-2</v>
      </c>
      <c r="AB152" s="174">
        <f t="shared" si="424"/>
        <v>0.14499999999999999</v>
      </c>
      <c r="AC152" s="174">
        <f t="shared" si="424"/>
        <v>5.1999999999999998E-2</v>
      </c>
      <c r="AD152" s="174">
        <f t="shared" si="424"/>
        <v>-3.1E-2</v>
      </c>
      <c r="AE152" s="174">
        <f t="shared" ref="AE152:AJ152" si="425">SUM(AE149:AE151)</f>
        <v>0.156</v>
      </c>
      <c r="AF152" s="174">
        <f t="shared" si="425"/>
        <v>0.23799999999999999</v>
      </c>
      <c r="AG152" s="174">
        <f t="shared" si="425"/>
        <v>0.192</v>
      </c>
      <c r="AH152" s="174">
        <f t="shared" si="425"/>
        <v>0.32300000000000001</v>
      </c>
      <c r="AI152" s="174">
        <f t="shared" si="425"/>
        <v>0.25700000000000001</v>
      </c>
      <c r="AJ152" s="174">
        <f t="shared" si="425"/>
        <v>-0.109</v>
      </c>
      <c r="AK152" s="174">
        <f t="shared" ref="AK152:AP152" si="426">SUM(AK149:AK151)</f>
        <v>0.48799999999999999</v>
      </c>
      <c r="AL152" s="174">
        <f t="shared" si="426"/>
        <v>0.63300000000000001</v>
      </c>
      <c r="AM152" s="174">
        <f t="shared" si="426"/>
        <v>0.69299999999999995</v>
      </c>
      <c r="AN152" s="174">
        <f t="shared" si="426"/>
        <v>0.47599999999999998</v>
      </c>
      <c r="AO152" s="237">
        <f t="shared" si="426"/>
        <v>0.316</v>
      </c>
      <c r="AP152" s="174">
        <f t="shared" si="426"/>
        <v>0.48399999999999999</v>
      </c>
      <c r="AQ152" s="174">
        <f>SUM(AQ149:AQ151)</f>
        <v>0.78800000000000003</v>
      </c>
      <c r="AR152" s="174">
        <f>SUM(AR149:AR151)</f>
        <v>1.0329999999999999</v>
      </c>
      <c r="AS152" s="174">
        <f>SUM(AS149:AS151)</f>
        <v>0.875</v>
      </c>
      <c r="AT152" s="174">
        <f t="shared" ref="AT152" si="427">SUM(AT149:AT151)</f>
        <v>1.1179999999999999</v>
      </c>
      <c r="AU152" s="174">
        <f>SUM(AU149:AU151)</f>
        <v>0.79300000000000004</v>
      </c>
      <c r="AV152" s="174">
        <f>SUM(AV149:AV151)</f>
        <v>0.89</v>
      </c>
      <c r="AW152" s="174">
        <f>SUM(AW149:AW151)</f>
        <v>1.212</v>
      </c>
      <c r="AX152" s="201"/>
      <c r="AY152" s="174">
        <f t="shared" ref="AY152:BD152" si="428">SUM(AY149:AY151)</f>
        <v>0.183</v>
      </c>
      <c r="AZ152" s="174">
        <f t="shared" si="428"/>
        <v>-1.0999999999999999E-2</v>
      </c>
      <c r="BA152" s="81">
        <f t="shared" si="428"/>
        <v>0.105</v>
      </c>
      <c r="BB152" s="81">
        <f t="shared" si="428"/>
        <v>0.155</v>
      </c>
      <c r="BC152" s="174">
        <f t="shared" si="428"/>
        <v>8.7999999999999995E-2</v>
      </c>
      <c r="BD152" s="174">
        <f t="shared" si="428"/>
        <v>0.02</v>
      </c>
      <c r="BE152" s="81">
        <f t="shared" ref="BE152:BG152" si="429">SUM(BE149:BE151)</f>
        <v>-5.8999999999999997E-2</v>
      </c>
      <c r="BF152" s="81">
        <f t="shared" si="429"/>
        <v>2E-3</v>
      </c>
      <c r="BG152" s="174">
        <f t="shared" si="429"/>
        <v>-0.13900000000000001</v>
      </c>
      <c r="BI152" s="174">
        <f>SUM(BI149:BI151)</f>
        <v>0.79300000000000004</v>
      </c>
      <c r="BJ152" s="174">
        <f>SUM(BJ149:BJ151)</f>
        <v>0.89</v>
      </c>
      <c r="BK152" s="81">
        <f>SUM(BK149:BK151)</f>
        <v>1.212</v>
      </c>
      <c r="BL152" s="275"/>
      <c r="BM152" s="275"/>
      <c r="BN152" s="275"/>
      <c r="BO152" s="275"/>
      <c r="BP152" s="275"/>
      <c r="BQ152" s="275"/>
      <c r="BS152" s="275"/>
      <c r="BT152" s="275"/>
    </row>
    <row r="154" spans="2:72">
      <c r="B154" s="5" t="s">
        <v>460</v>
      </c>
      <c r="X154" s="175"/>
    </row>
    <row r="155" spans="2:72">
      <c r="B155" s="1" t="s">
        <v>456</v>
      </c>
      <c r="C155" s="115">
        <v>0.05</v>
      </c>
      <c r="D155" s="115">
        <v>0.03</v>
      </c>
      <c r="E155" s="115">
        <v>6.5000000000000002E-2</v>
      </c>
      <c r="F155" s="200"/>
      <c r="G155" s="200"/>
      <c r="H155" s="115">
        <v>1.6E-2</v>
      </c>
      <c r="I155" s="200"/>
      <c r="J155" s="175">
        <v>0.17599999999999999</v>
      </c>
      <c r="K155" s="175">
        <v>0.11</v>
      </c>
      <c r="L155" s="200"/>
      <c r="M155" s="175">
        <v>-0.13</v>
      </c>
      <c r="N155" s="274"/>
      <c r="O155" s="175">
        <v>0.43</v>
      </c>
      <c r="P155" s="175">
        <v>0.43</v>
      </c>
      <c r="Q155" s="175">
        <v>-1E-3</v>
      </c>
      <c r="R155" s="175"/>
      <c r="S155" s="115"/>
      <c r="T155" s="115"/>
      <c r="U155" s="115"/>
      <c r="V155" s="115"/>
      <c r="W155" s="115">
        <v>-5.3999999999999999E-2</v>
      </c>
      <c r="X155" s="115">
        <v>-1.2E-2</v>
      </c>
      <c r="Y155" s="115">
        <v>2.4E-2</v>
      </c>
      <c r="Z155" s="115">
        <v>1.6E-2</v>
      </c>
      <c r="AA155" s="115">
        <v>0.106</v>
      </c>
      <c r="AB155" s="115">
        <v>9.9000000000000005E-2</v>
      </c>
      <c r="AC155" s="115">
        <v>9.2999999999999999E-2</v>
      </c>
      <c r="AD155" s="115">
        <v>5.7000000000000002E-2</v>
      </c>
      <c r="AE155" s="115">
        <v>9.0999999999999998E-2</v>
      </c>
      <c r="AF155" s="115">
        <v>-2.1000000000000001E-2</v>
      </c>
      <c r="AG155" s="115">
        <v>-7.0000000000000001E-3</v>
      </c>
      <c r="AH155" s="115">
        <v>2.1000000000000001E-2</v>
      </c>
      <c r="AI155" s="115">
        <v>-7.6999999999999999E-2</v>
      </c>
      <c r="AJ155" s="115">
        <v>-0.26200000000000001</v>
      </c>
      <c r="AK155" s="115">
        <v>0.115</v>
      </c>
      <c r="AL155" s="115">
        <v>0.13100000000000001</v>
      </c>
      <c r="AM155" s="175">
        <v>0.3</v>
      </c>
      <c r="AN155" s="115">
        <v>0.60199999999999998</v>
      </c>
      <c r="AO155" s="232">
        <v>4.3999999999999997E-2</v>
      </c>
      <c r="AP155" s="115">
        <v>1.0999999999999999E-2</v>
      </c>
      <c r="AQ155" s="175">
        <v>5.6000000000000001E-2</v>
      </c>
      <c r="AR155" s="175">
        <v>7.1999999999999995E-2</v>
      </c>
      <c r="AS155" s="175">
        <v>0.191</v>
      </c>
      <c r="AT155" s="175">
        <v>9.6999999999999989E-2</v>
      </c>
      <c r="AU155" s="175">
        <v>-4.2000000000000003E-2</v>
      </c>
      <c r="AV155" s="175">
        <v>-0.03</v>
      </c>
      <c r="AW155" s="175">
        <v>-1.2999999999999999E-2</v>
      </c>
      <c r="AX155" s="200"/>
      <c r="AY155" s="175">
        <v>-3.4000000000000002E-2</v>
      </c>
      <c r="AZ155" s="175">
        <v>-0.11799999999999999</v>
      </c>
      <c r="BA155" s="175">
        <v>0.58099999999999996</v>
      </c>
      <c r="BB155" s="175">
        <v>0.60699999999999998</v>
      </c>
      <c r="BC155" s="175">
        <v>0.53700000000000003</v>
      </c>
      <c r="BD155" s="175">
        <v>-7.4999999999999997E-2</v>
      </c>
      <c r="BE155" s="175">
        <v>-0.10100000000000001</v>
      </c>
      <c r="BF155" s="175">
        <v>-0.14299999999999999</v>
      </c>
      <c r="BG155" s="175">
        <v>-9.1999999999999998E-2</v>
      </c>
      <c r="BI155" s="175">
        <v>-4.2000000000000003E-2</v>
      </c>
      <c r="BJ155" s="175">
        <v>-0.03</v>
      </c>
      <c r="BK155" s="175">
        <v>-1.2999999999999999E-2</v>
      </c>
      <c r="BL155" s="274"/>
      <c r="BM155" s="274"/>
      <c r="BN155" s="274"/>
      <c r="BO155" s="274"/>
      <c r="BP155" s="274"/>
      <c r="BQ155" s="274"/>
      <c r="BS155" s="274"/>
      <c r="BT155" s="274"/>
    </row>
    <row r="156" spans="2:72">
      <c r="B156" s="1" t="s">
        <v>457</v>
      </c>
      <c r="C156" s="115">
        <v>0.13</v>
      </c>
      <c r="D156" s="115">
        <v>7.0000000000000007E-2</v>
      </c>
      <c r="E156" s="115">
        <v>6.7000000000000004E-2</v>
      </c>
      <c r="F156" s="200"/>
      <c r="G156" s="200"/>
      <c r="H156" s="115">
        <v>0.106</v>
      </c>
      <c r="I156" s="200"/>
      <c r="J156" s="175">
        <v>0.35499999999999998</v>
      </c>
      <c r="K156" s="175">
        <v>0.63100000000000001</v>
      </c>
      <c r="L156" s="200"/>
      <c r="M156" s="175">
        <v>0</v>
      </c>
      <c r="N156" s="274"/>
      <c r="O156" s="175">
        <v>0</v>
      </c>
      <c r="P156" s="175">
        <v>0</v>
      </c>
      <c r="Q156" s="175">
        <v>0</v>
      </c>
      <c r="R156" s="175"/>
      <c r="S156" s="115"/>
      <c r="T156" s="115"/>
      <c r="U156" s="115"/>
      <c r="V156" s="115"/>
      <c r="W156" s="115">
        <v>0.23599999999999999</v>
      </c>
      <c r="X156" s="115">
        <v>0.218</v>
      </c>
      <c r="Y156" s="115">
        <v>0.24199999999999999</v>
      </c>
      <c r="Z156" s="115">
        <v>0.246</v>
      </c>
      <c r="AA156" s="115">
        <v>0.156</v>
      </c>
      <c r="AB156" s="115">
        <v>0.28599999999999998</v>
      </c>
      <c r="AC156" s="115">
        <v>0.56799999999999995</v>
      </c>
      <c r="AD156" s="115">
        <v>0.40799999999999997</v>
      </c>
      <c r="AE156" s="115">
        <v>0.30099999999999999</v>
      </c>
      <c r="AF156" s="115">
        <v>0.25900000000000001</v>
      </c>
      <c r="AG156" s="115">
        <v>-4.1000000000000002E-2</v>
      </c>
      <c r="AH156" s="115">
        <v>1.7000000000000001E-2</v>
      </c>
      <c r="AI156" s="115">
        <v>9.4E-2</v>
      </c>
      <c r="AJ156" s="115">
        <v>9.5000000000000001E-2</v>
      </c>
      <c r="AK156" s="115">
        <v>0.312</v>
      </c>
      <c r="AL156" s="115">
        <v>0.44700000000000001</v>
      </c>
      <c r="AM156" s="175">
        <v>0.36</v>
      </c>
      <c r="AN156" s="115">
        <v>0.52300000000000002</v>
      </c>
      <c r="AO156" s="232">
        <v>0.22600000000000001</v>
      </c>
      <c r="AP156" s="115">
        <v>0.379</v>
      </c>
      <c r="AQ156" s="175">
        <v>0.81499999999999995</v>
      </c>
      <c r="AR156" s="175">
        <v>0.76500000000000001</v>
      </c>
      <c r="AS156" s="175">
        <v>0.68600000000000005</v>
      </c>
      <c r="AT156" s="175">
        <v>0.41899999999999998</v>
      </c>
      <c r="AU156" s="175">
        <v>0.246</v>
      </c>
      <c r="AV156" s="175">
        <v>0.22700000000000001</v>
      </c>
      <c r="AW156" s="175">
        <v>0.44</v>
      </c>
      <c r="AX156" s="200"/>
      <c r="AY156" s="175">
        <v>0</v>
      </c>
      <c r="AZ156" s="175">
        <v>0</v>
      </c>
      <c r="BA156" s="175">
        <v>0</v>
      </c>
      <c r="BB156" s="175">
        <v>0</v>
      </c>
      <c r="BC156" s="175">
        <v>0</v>
      </c>
      <c r="BD156" s="175">
        <v>0</v>
      </c>
      <c r="BE156" s="175">
        <v>0</v>
      </c>
      <c r="BF156" s="175">
        <v>0</v>
      </c>
      <c r="BG156" s="175">
        <v>0</v>
      </c>
      <c r="BI156" s="175">
        <v>0.246</v>
      </c>
      <c r="BJ156" s="175">
        <v>0.22700000000000001</v>
      </c>
      <c r="BK156" s="175">
        <v>0.44</v>
      </c>
      <c r="BL156" s="274"/>
      <c r="BM156" s="274"/>
      <c r="BN156" s="274"/>
      <c r="BO156" s="274"/>
      <c r="BP156" s="274"/>
      <c r="BQ156" s="274"/>
      <c r="BS156" s="274"/>
      <c r="BT156" s="274"/>
    </row>
    <row r="157" spans="2:72">
      <c r="B157" s="1" t="s">
        <v>458</v>
      </c>
      <c r="C157" s="115"/>
      <c r="D157" s="115">
        <v>0</v>
      </c>
      <c r="E157" s="115">
        <v>1.0999999999999999E-2</v>
      </c>
      <c r="F157" s="200"/>
      <c r="G157" s="200"/>
      <c r="H157" s="115">
        <v>4.7E-2</v>
      </c>
      <c r="I157" s="200"/>
      <c r="J157" s="175">
        <v>0.23899999999999999</v>
      </c>
      <c r="K157" s="175">
        <v>0.224</v>
      </c>
      <c r="L157" s="200"/>
      <c r="M157" s="175">
        <v>2.9000000000000001E-2</v>
      </c>
      <c r="N157" s="274"/>
      <c r="O157" s="175">
        <v>0</v>
      </c>
      <c r="P157" s="175">
        <v>0</v>
      </c>
      <c r="Q157" s="175">
        <v>0</v>
      </c>
      <c r="R157" s="175"/>
      <c r="S157" s="115"/>
      <c r="T157" s="115"/>
      <c r="U157" s="115"/>
      <c r="V157" s="115"/>
      <c r="W157" s="115">
        <v>0.11</v>
      </c>
      <c r="X157" s="115">
        <v>0.13500000000000001</v>
      </c>
      <c r="Y157" s="115">
        <v>7.5999999999999998E-2</v>
      </c>
      <c r="Z157" s="115">
        <v>3.7999999999999999E-2</v>
      </c>
      <c r="AA157" s="115">
        <v>0</v>
      </c>
      <c r="AB157" s="115">
        <v>0</v>
      </c>
      <c r="AC157" s="115">
        <v>0</v>
      </c>
      <c r="AD157" s="115">
        <v>0</v>
      </c>
      <c r="AE157" s="115">
        <v>0</v>
      </c>
      <c r="AF157" s="115">
        <v>8.6999999999999994E-2</v>
      </c>
      <c r="AG157" s="115">
        <v>6.8000000000000005E-2</v>
      </c>
      <c r="AH157" s="115">
        <v>2.5999999999999999E-2</v>
      </c>
      <c r="AI157" s="115">
        <v>4.7E-2</v>
      </c>
      <c r="AJ157" s="115">
        <v>0</v>
      </c>
      <c r="AK157" s="115">
        <v>0</v>
      </c>
      <c r="AL157" s="115">
        <v>0</v>
      </c>
      <c r="AM157" s="175">
        <v>0</v>
      </c>
      <c r="AN157" s="115">
        <v>0</v>
      </c>
      <c r="AO157" s="232">
        <v>0</v>
      </c>
      <c r="AP157" s="115">
        <v>0.38600000000000001</v>
      </c>
      <c r="AQ157" s="175">
        <v>0.51300000000000001</v>
      </c>
      <c r="AR157" s="175">
        <v>0.47899999999999998</v>
      </c>
      <c r="AS157" s="175">
        <v>1.6E-2</v>
      </c>
      <c r="AT157" s="175">
        <v>9.0999999999999998E-2</v>
      </c>
      <c r="AU157" s="175">
        <v>5.2999999999999999E-2</v>
      </c>
      <c r="AV157" s="175">
        <v>6.7000000000000004E-2</v>
      </c>
      <c r="AW157" s="175">
        <v>5.8000000000000003E-2</v>
      </c>
      <c r="AX157" s="200"/>
      <c r="AY157" s="175">
        <v>0</v>
      </c>
      <c r="AZ157" s="175">
        <v>0</v>
      </c>
      <c r="BA157" s="175">
        <v>0</v>
      </c>
      <c r="BB157" s="175">
        <v>0</v>
      </c>
      <c r="BC157" s="175">
        <v>0</v>
      </c>
      <c r="BD157" s="175">
        <v>0</v>
      </c>
      <c r="BE157" s="175">
        <v>0</v>
      </c>
      <c r="BF157" s="175">
        <v>0</v>
      </c>
      <c r="BG157" s="175">
        <v>0</v>
      </c>
      <c r="BI157" s="175">
        <v>5.2999999999999999E-2</v>
      </c>
      <c r="BJ157" s="175">
        <v>6.7000000000000004E-2</v>
      </c>
      <c r="BK157" s="175">
        <v>5.8000000000000003E-2</v>
      </c>
      <c r="BL157" s="274"/>
      <c r="BM157" s="274"/>
      <c r="BN157" s="274"/>
      <c r="BO157" s="274"/>
      <c r="BP157" s="274"/>
      <c r="BQ157" s="274"/>
      <c r="BS157" s="274"/>
      <c r="BT157" s="274"/>
    </row>
    <row r="158" spans="2:72">
      <c r="B158" s="5" t="s">
        <v>459</v>
      </c>
      <c r="C158" s="174">
        <f t="shared" ref="C158:AD158" si="430">SUM(C155:C157)</f>
        <v>0.18</v>
      </c>
      <c r="D158" s="174">
        <f t="shared" si="430"/>
        <v>0.1</v>
      </c>
      <c r="E158" s="174">
        <f t="shared" si="430"/>
        <v>0.14300000000000002</v>
      </c>
      <c r="F158" s="201"/>
      <c r="G158" s="201"/>
      <c r="H158" s="174">
        <f>SUM(H155:H157)</f>
        <v>0.16899999999999998</v>
      </c>
      <c r="I158" s="201"/>
      <c r="J158" s="174">
        <f>SUM(J155:J157)</f>
        <v>0.76999999999999991</v>
      </c>
      <c r="K158" s="174">
        <f t="shared" ref="K158:M158" si="431">SUM(K155:K157)</f>
        <v>0.96499999999999997</v>
      </c>
      <c r="L158" s="201"/>
      <c r="M158" s="174">
        <f t="shared" si="431"/>
        <v>-0.10100000000000001</v>
      </c>
      <c r="N158" s="275"/>
      <c r="O158" s="174">
        <f t="shared" ref="O158:P158" si="432">SUM(O155:O157)</f>
        <v>0.43</v>
      </c>
      <c r="P158" s="174">
        <f t="shared" si="432"/>
        <v>0.43</v>
      </c>
      <c r="Q158" s="174">
        <f t="shared" ref="Q158" si="433">SUM(Q155:Q157)</f>
        <v>-1E-3</v>
      </c>
      <c r="R158" s="81"/>
      <c r="S158" s="174">
        <f t="shared" si="430"/>
        <v>0</v>
      </c>
      <c r="T158" s="174">
        <f t="shared" si="430"/>
        <v>0</v>
      </c>
      <c r="U158" s="174">
        <f t="shared" si="430"/>
        <v>0</v>
      </c>
      <c r="V158" s="174">
        <f t="shared" si="430"/>
        <v>0</v>
      </c>
      <c r="W158" s="174">
        <f t="shared" si="430"/>
        <v>0.29199999999999998</v>
      </c>
      <c r="X158" s="174">
        <f t="shared" si="430"/>
        <v>0.34099999999999997</v>
      </c>
      <c r="Y158" s="174">
        <f t="shared" si="430"/>
        <v>0.34200000000000003</v>
      </c>
      <c r="Z158" s="174">
        <f t="shared" si="430"/>
        <v>0.3</v>
      </c>
      <c r="AA158" s="174">
        <f t="shared" si="430"/>
        <v>0.26200000000000001</v>
      </c>
      <c r="AB158" s="174">
        <f t="shared" si="430"/>
        <v>0.38500000000000001</v>
      </c>
      <c r="AC158" s="174">
        <f t="shared" si="430"/>
        <v>0.66099999999999992</v>
      </c>
      <c r="AD158" s="174">
        <f t="shared" si="430"/>
        <v>0.46499999999999997</v>
      </c>
      <c r="AE158" s="174">
        <f t="shared" ref="AE158:AJ158" si="434">SUM(AE155:AE157)</f>
        <v>0.39200000000000002</v>
      </c>
      <c r="AF158" s="174">
        <f t="shared" si="434"/>
        <v>0.32500000000000001</v>
      </c>
      <c r="AG158" s="174">
        <f t="shared" si="434"/>
        <v>2.0000000000000004E-2</v>
      </c>
      <c r="AH158" s="174">
        <f t="shared" si="434"/>
        <v>6.4000000000000001E-2</v>
      </c>
      <c r="AI158" s="174">
        <f t="shared" si="434"/>
        <v>6.4000000000000001E-2</v>
      </c>
      <c r="AJ158" s="174">
        <f t="shared" si="434"/>
        <v>-0.16700000000000001</v>
      </c>
      <c r="AK158" s="174">
        <f t="shared" ref="AK158:AP158" si="435">SUM(AK155:AK157)</f>
        <v>0.42699999999999999</v>
      </c>
      <c r="AL158" s="174">
        <f t="shared" si="435"/>
        <v>0.57800000000000007</v>
      </c>
      <c r="AM158" s="174">
        <f t="shared" si="435"/>
        <v>0.65999999999999992</v>
      </c>
      <c r="AN158" s="174">
        <f t="shared" si="435"/>
        <v>1.125</v>
      </c>
      <c r="AO158" s="237">
        <f t="shared" si="435"/>
        <v>0.27</v>
      </c>
      <c r="AP158" s="174">
        <f t="shared" si="435"/>
        <v>0.77600000000000002</v>
      </c>
      <c r="AQ158" s="174">
        <f>SUM(AQ155:AQ157)</f>
        <v>1.3839999999999999</v>
      </c>
      <c r="AR158" s="174">
        <f>SUM(AR155:AR157)</f>
        <v>1.3159999999999998</v>
      </c>
      <c r="AS158" s="174">
        <f>SUM(AS155:AS157)</f>
        <v>0.89300000000000002</v>
      </c>
      <c r="AT158" s="174">
        <f t="shared" ref="AT158" si="436">SUM(AT155:AT157)</f>
        <v>0.60699999999999998</v>
      </c>
      <c r="AU158" s="174">
        <f>SUM(AU155:AU157)</f>
        <v>0.25700000000000001</v>
      </c>
      <c r="AV158" s="174">
        <f>SUM(AV155:AV157)</f>
        <v>0.26400000000000001</v>
      </c>
      <c r="AW158" s="174">
        <f>SUM(AW155:AW157)</f>
        <v>0.48499999999999999</v>
      </c>
      <c r="AX158" s="201"/>
      <c r="AY158" s="174">
        <f t="shared" ref="AY158:BD158" si="437">SUM(AY155:AY157)</f>
        <v>-3.4000000000000002E-2</v>
      </c>
      <c r="AZ158" s="174">
        <f t="shared" si="437"/>
        <v>-0.11799999999999999</v>
      </c>
      <c r="BA158" s="81">
        <f t="shared" si="437"/>
        <v>0.58099999999999996</v>
      </c>
      <c r="BB158" s="81">
        <f t="shared" si="437"/>
        <v>0.60699999999999998</v>
      </c>
      <c r="BC158" s="174">
        <f t="shared" si="437"/>
        <v>0.53700000000000003</v>
      </c>
      <c r="BD158" s="174">
        <f t="shared" si="437"/>
        <v>-7.4999999999999997E-2</v>
      </c>
      <c r="BE158" s="81">
        <f t="shared" ref="BE158:BG158" si="438">SUM(BE155:BE157)</f>
        <v>-0.10100000000000001</v>
      </c>
      <c r="BF158" s="81">
        <f t="shared" si="438"/>
        <v>-0.14299999999999999</v>
      </c>
      <c r="BG158" s="174">
        <f t="shared" si="438"/>
        <v>-9.1999999999999998E-2</v>
      </c>
      <c r="BI158" s="174">
        <f>SUM(BI155:BI157)</f>
        <v>0.25700000000000001</v>
      </c>
      <c r="BJ158" s="174">
        <f>SUM(BJ155:BJ157)</f>
        <v>0.26400000000000001</v>
      </c>
      <c r="BK158" s="81">
        <f>SUM(BK155:BK157)</f>
        <v>0.48499999999999999</v>
      </c>
      <c r="BL158" s="275"/>
      <c r="BM158" s="275"/>
      <c r="BN158" s="275"/>
      <c r="BO158" s="275"/>
      <c r="BP158" s="275"/>
      <c r="BQ158" s="275"/>
      <c r="BS158" s="275"/>
      <c r="BT158" s="275"/>
    </row>
    <row r="159" spans="2:72">
      <c r="R159" s="81"/>
    </row>
    <row r="160" spans="2:72">
      <c r="B160" s="5" t="s">
        <v>461</v>
      </c>
      <c r="R160" s="81"/>
    </row>
    <row r="161" spans="2:72">
      <c r="B161" s="1" t="s">
        <v>456</v>
      </c>
      <c r="C161" s="274">
        <v>0.05</v>
      </c>
      <c r="D161" s="274">
        <v>0.09</v>
      </c>
      <c r="E161" s="274">
        <v>0.09</v>
      </c>
      <c r="F161" s="274"/>
      <c r="G161" s="274"/>
      <c r="H161" s="274">
        <v>8.2000000000000003E-2</v>
      </c>
      <c r="I161" s="274"/>
      <c r="J161" s="274"/>
      <c r="K161" s="274"/>
      <c r="L161" s="274"/>
      <c r="M161" s="274"/>
      <c r="N161" s="274"/>
      <c r="O161" s="274"/>
      <c r="P161" s="274"/>
      <c r="Q161" s="274"/>
      <c r="R161" s="81"/>
      <c r="S161" s="274"/>
      <c r="T161" s="274"/>
      <c r="U161" s="274"/>
      <c r="V161" s="274"/>
      <c r="W161" s="274">
        <v>0.111</v>
      </c>
      <c r="X161" s="274">
        <v>7.9000000000000001E-2</v>
      </c>
      <c r="Y161" s="274">
        <v>0.14399999999999999</v>
      </c>
      <c r="Z161" s="274">
        <v>7.8E-2</v>
      </c>
      <c r="AA161" s="274">
        <v>0.05</v>
      </c>
      <c r="AB161" s="274">
        <v>0.11700000000000001</v>
      </c>
      <c r="AC161" s="274">
        <v>7.5999999999999998E-2</v>
      </c>
      <c r="AD161" s="274">
        <v>2.7E-2</v>
      </c>
      <c r="AE161" s="274">
        <v>0.114</v>
      </c>
      <c r="AF161" s="274">
        <v>7.3999999999999996E-2</v>
      </c>
      <c r="AG161" s="274">
        <v>5.2999999999999999E-2</v>
      </c>
      <c r="AH161" s="274">
        <v>9.6000000000000002E-2</v>
      </c>
      <c r="AI161" s="274">
        <v>0.03</v>
      </c>
      <c r="AJ161" s="274">
        <v>-0.13300000000000001</v>
      </c>
      <c r="AK161" s="274">
        <v>0.24</v>
      </c>
      <c r="AL161" s="274">
        <v>0.27700000000000002</v>
      </c>
      <c r="AM161" s="274">
        <v>0.44</v>
      </c>
      <c r="AN161" s="313"/>
      <c r="AO161" s="314">
        <v>0.28999999999999998</v>
      </c>
      <c r="AP161" s="274"/>
      <c r="AQ161" s="274"/>
      <c r="AR161" s="274"/>
      <c r="AS161" s="274"/>
      <c r="AT161" s="274"/>
      <c r="AU161" s="274"/>
      <c r="AV161" s="274"/>
      <c r="AW161" s="274"/>
      <c r="AX161" s="274"/>
      <c r="AY161" s="274"/>
      <c r="AZ161" s="274"/>
      <c r="BA161" s="274"/>
      <c r="BB161" s="274"/>
      <c r="BC161" s="274"/>
      <c r="BD161" s="274"/>
      <c r="BE161" s="274"/>
      <c r="BF161" s="274"/>
      <c r="BG161" s="274"/>
      <c r="BI161" s="274"/>
      <c r="BJ161" s="274"/>
      <c r="BK161" s="274"/>
      <c r="BL161" s="274"/>
      <c r="BM161" s="274"/>
      <c r="BN161" s="274"/>
      <c r="BO161" s="274"/>
      <c r="BP161" s="274"/>
      <c r="BQ161" s="274"/>
      <c r="BS161" s="274"/>
      <c r="BT161" s="274"/>
    </row>
    <row r="162" spans="2:72">
      <c r="B162" s="1" t="s">
        <v>457</v>
      </c>
      <c r="C162" s="274">
        <v>0.08</v>
      </c>
      <c r="D162" s="274">
        <v>0.04</v>
      </c>
      <c r="E162" s="274">
        <v>0.04</v>
      </c>
      <c r="F162" s="274"/>
      <c r="G162" s="274"/>
      <c r="H162" s="274">
        <v>7.2999999999999995E-2</v>
      </c>
      <c r="I162" s="274"/>
      <c r="J162" s="274"/>
      <c r="K162" s="274"/>
      <c r="L162" s="274"/>
      <c r="M162" s="274"/>
      <c r="N162" s="274"/>
      <c r="O162" s="274"/>
      <c r="P162" s="274"/>
      <c r="Q162" s="274"/>
      <c r="R162" s="81"/>
      <c r="S162" s="274"/>
      <c r="T162" s="274"/>
      <c r="U162" s="274"/>
      <c r="V162" s="274"/>
      <c r="W162" s="274">
        <v>0.13900000000000001</v>
      </c>
      <c r="X162" s="274">
        <v>0.123</v>
      </c>
      <c r="Y162" s="274">
        <v>0.14299999999999999</v>
      </c>
      <c r="Z162" s="274">
        <v>0.159</v>
      </c>
      <c r="AA162" s="274">
        <v>0.09</v>
      </c>
      <c r="AB162" s="274">
        <v>0.16900000000000001</v>
      </c>
      <c r="AC162" s="274">
        <v>0.33900000000000002</v>
      </c>
      <c r="AD162" s="274">
        <v>0.27200000000000002</v>
      </c>
      <c r="AE162" s="274">
        <v>0.193</v>
      </c>
      <c r="AF162" s="274">
        <v>0.16500000000000001</v>
      </c>
      <c r="AG162" s="274">
        <v>-2.9000000000000001E-2</v>
      </c>
      <c r="AH162" s="274">
        <v>1.2999999999999999E-2</v>
      </c>
      <c r="AI162" s="274">
        <v>6.4000000000000001E-2</v>
      </c>
      <c r="AJ162" s="274">
        <v>6.2E-2</v>
      </c>
      <c r="AK162" s="274">
        <v>0.20799999999999999</v>
      </c>
      <c r="AL162" s="274">
        <v>0.316</v>
      </c>
      <c r="AM162" s="274">
        <v>0.23199999999999998</v>
      </c>
      <c r="AN162" s="313"/>
      <c r="AO162" s="315"/>
      <c r="AP162" s="274"/>
      <c r="AQ162" s="274"/>
      <c r="AR162" s="274"/>
      <c r="AS162" s="274"/>
      <c r="AT162" s="274"/>
      <c r="AU162" s="274"/>
      <c r="AV162" s="274"/>
      <c r="AW162" s="274"/>
      <c r="AX162" s="274"/>
      <c r="AY162" s="274"/>
      <c r="AZ162" s="274"/>
      <c r="BA162" s="274"/>
      <c r="BB162" s="274"/>
      <c r="BC162" s="274"/>
      <c r="BD162" s="274"/>
      <c r="BE162" s="274"/>
      <c r="BF162" s="274"/>
      <c r="BG162" s="274"/>
      <c r="BI162" s="274"/>
      <c r="BJ162" s="274"/>
      <c r="BK162" s="274"/>
      <c r="BL162" s="274"/>
      <c r="BM162" s="274"/>
      <c r="BN162" s="274"/>
      <c r="BO162" s="274"/>
      <c r="BP162" s="274"/>
      <c r="BQ162" s="274"/>
      <c r="BS162" s="274"/>
      <c r="BT162" s="274"/>
    </row>
    <row r="163" spans="2:72">
      <c r="B163" s="1" t="s">
        <v>458</v>
      </c>
      <c r="C163" s="274"/>
      <c r="D163" s="274"/>
      <c r="E163" s="274">
        <v>6.0000000000000001E-3</v>
      </c>
      <c r="F163" s="274"/>
      <c r="G163" s="274"/>
      <c r="H163" s="274">
        <v>3.2000000000000001E-2</v>
      </c>
      <c r="I163" s="274"/>
      <c r="J163" s="274"/>
      <c r="K163" s="274"/>
      <c r="L163" s="274"/>
      <c r="M163" s="274"/>
      <c r="N163" s="274"/>
      <c r="O163" s="274"/>
      <c r="P163" s="274"/>
      <c r="Q163" s="274"/>
      <c r="R163" s="81"/>
      <c r="S163" s="274"/>
      <c r="T163" s="274"/>
      <c r="U163" s="274"/>
      <c r="V163" s="274"/>
      <c r="W163" s="274">
        <v>6.4000000000000001E-2</v>
      </c>
      <c r="X163" s="274">
        <v>7.5999999999999998E-2</v>
      </c>
      <c r="Y163" s="274">
        <v>4.4999999999999998E-2</v>
      </c>
      <c r="Z163" s="274">
        <v>2.4E-2</v>
      </c>
      <c r="AA163" s="274">
        <v>0</v>
      </c>
      <c r="AB163" s="274">
        <v>0</v>
      </c>
      <c r="AC163" s="274">
        <v>0</v>
      </c>
      <c r="AD163" s="274">
        <v>0</v>
      </c>
      <c r="AE163" s="274">
        <v>0</v>
      </c>
      <c r="AF163" s="274">
        <v>5.5E-2</v>
      </c>
      <c r="AG163" s="274">
        <v>4.7E-2</v>
      </c>
      <c r="AH163" s="274">
        <v>0.02</v>
      </c>
      <c r="AI163" s="274">
        <v>3.2000000000000001E-2</v>
      </c>
      <c r="AJ163" s="274">
        <v>0</v>
      </c>
      <c r="AK163" s="274">
        <v>0</v>
      </c>
      <c r="AL163" s="274">
        <v>0</v>
      </c>
      <c r="AM163" s="274">
        <v>0</v>
      </c>
      <c r="AN163" s="313"/>
      <c r="AO163" s="314">
        <v>0.35599999999999998</v>
      </c>
      <c r="AP163" s="274"/>
      <c r="AQ163" s="274"/>
      <c r="AR163" s="274"/>
      <c r="AS163" s="274"/>
      <c r="AT163" s="274"/>
      <c r="AU163" s="274"/>
      <c r="AV163" s="274"/>
      <c r="AW163" s="274"/>
      <c r="AX163" s="274"/>
      <c r="AY163" s="274"/>
      <c r="AZ163" s="274"/>
      <c r="BA163" s="274"/>
      <c r="BB163" s="274"/>
      <c r="BC163" s="274"/>
      <c r="BD163" s="274"/>
      <c r="BE163" s="274"/>
      <c r="BF163" s="274"/>
      <c r="BG163" s="274"/>
      <c r="BI163" s="274"/>
      <c r="BJ163" s="274"/>
      <c r="BK163" s="274"/>
      <c r="BL163" s="274"/>
      <c r="BM163" s="274"/>
      <c r="BN163" s="274"/>
      <c r="BO163" s="274"/>
      <c r="BP163" s="274"/>
      <c r="BQ163" s="274"/>
      <c r="BS163" s="274"/>
      <c r="BT163" s="274"/>
    </row>
    <row r="164" spans="2:72" ht="13.5" thickBot="1">
      <c r="B164" s="202" t="s">
        <v>459</v>
      </c>
      <c r="C164" s="316">
        <f t="shared" ref="C164:E164" si="439">SUM(C161:C163)</f>
        <v>0.13</v>
      </c>
      <c r="D164" s="316">
        <f t="shared" si="439"/>
        <v>0.13</v>
      </c>
      <c r="E164" s="316">
        <f t="shared" si="439"/>
        <v>0.13600000000000001</v>
      </c>
      <c r="F164" s="316"/>
      <c r="G164" s="316"/>
      <c r="H164" s="316">
        <f>SUM(H161:H163)</f>
        <v>0.187</v>
      </c>
      <c r="I164" s="316"/>
      <c r="J164" s="316"/>
      <c r="K164" s="316"/>
      <c r="L164" s="316"/>
      <c r="M164" s="316"/>
      <c r="N164" s="316"/>
      <c r="O164" s="316"/>
      <c r="P164" s="316"/>
      <c r="Q164" s="316"/>
      <c r="R164" s="81"/>
      <c r="S164" s="316"/>
      <c r="T164" s="316"/>
      <c r="U164" s="316"/>
      <c r="V164" s="316"/>
      <c r="W164" s="316"/>
      <c r="X164" s="316"/>
      <c r="Y164" s="316"/>
      <c r="Z164" s="316"/>
      <c r="AA164" s="316"/>
      <c r="AB164" s="316"/>
      <c r="AC164" s="316"/>
      <c r="AD164" s="316"/>
      <c r="AE164" s="316"/>
      <c r="AF164" s="316"/>
      <c r="AG164" s="316"/>
      <c r="AH164" s="316"/>
      <c r="AI164" s="316"/>
      <c r="AJ164" s="316"/>
      <c r="AK164" s="316"/>
      <c r="AL164" s="316"/>
      <c r="AM164" s="316"/>
      <c r="AN164" s="316"/>
      <c r="AO164" s="316"/>
      <c r="AP164" s="316"/>
      <c r="AQ164" s="316"/>
      <c r="AR164" s="316"/>
      <c r="AS164" s="316"/>
      <c r="AT164" s="316"/>
      <c r="AU164" s="316"/>
      <c r="AV164" s="316"/>
      <c r="AW164" s="316"/>
      <c r="AX164" s="316"/>
      <c r="AY164" s="316"/>
      <c r="AZ164" s="316"/>
      <c r="BA164" s="316"/>
      <c r="BB164" s="316"/>
      <c r="BC164" s="316"/>
      <c r="BD164" s="316"/>
      <c r="BE164" s="316"/>
      <c r="BF164" s="316"/>
      <c r="BG164" s="316"/>
      <c r="BI164" s="316"/>
      <c r="BJ164" s="316"/>
      <c r="BK164" s="316"/>
      <c r="BL164" s="316"/>
      <c r="BM164" s="316"/>
      <c r="BN164" s="316"/>
      <c r="BO164" s="316"/>
      <c r="BP164" s="316"/>
      <c r="BQ164" s="316"/>
      <c r="BS164" s="316"/>
      <c r="BT164" s="316"/>
    </row>
    <row r="165" spans="2:72" ht="13.5" thickTop="1">
      <c r="R165" s="81"/>
    </row>
    <row r="166" spans="2:72">
      <c r="R166" s="81"/>
    </row>
  </sheetData>
  <customSheetViews>
    <customSheetView guid="{46EB06C9-2753-4B8D-B228-9BDD8DF82F27}">
      <pane xSplit="1" ySplit="2" topLeftCell="B3" activePane="bottomRight" state="frozen"/>
      <selection pane="bottomRight" activeCell="F10" sqref="F10"/>
      <pageMargins left="0" right="0" top="0" bottom="0" header="0" footer="0"/>
      <pageSetup paperSize="9" orientation="portrait" r:id="rId1"/>
    </customSheetView>
  </customSheetViews>
  <pageMargins left="0.7" right="0.7" top="0.75" bottom="0.75" header="0.3" footer="0.3"/>
  <pageSetup paperSize="9" orientation="portrait"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00EECCAA3DB94895FACE15614ECBE0" ma:contentTypeVersion="3" ma:contentTypeDescription="Create a new document." ma:contentTypeScope="" ma:versionID="df48d4251bee182ecc7fb5dcb95088a2">
  <xsd:schema xmlns:xsd="http://www.w3.org/2001/XMLSchema" xmlns:xs="http://www.w3.org/2001/XMLSchema" xmlns:p="http://schemas.microsoft.com/office/2006/metadata/properties" xmlns:ns2="aa33d72f-12a9-4590-815a-2b1f92f4a722" targetNamespace="http://schemas.microsoft.com/office/2006/metadata/properties" ma:root="true" ma:fieldsID="e53bcbeb5cc26077ba81130311515115" ns2:_="">
    <xsd:import namespace="aa33d72f-12a9-4590-815a-2b1f92f4a7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33d72f-12a9-4590-815a-2b1f92f4a7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B021795-7575-45E6-B830-94248C28B19A}"/>
</file>

<file path=customXml/itemProps2.xml><?xml version="1.0" encoding="utf-8"?>
<ds:datastoreItem xmlns:ds="http://schemas.openxmlformats.org/officeDocument/2006/customXml" ds:itemID="{8B341B55-B8A9-4455-BDAA-80CF4D339C87}"/>
</file>

<file path=customXml/itemProps3.xml><?xml version="1.0" encoding="utf-8"?>
<ds:datastoreItem xmlns:ds="http://schemas.openxmlformats.org/officeDocument/2006/customXml" ds:itemID="{1D03ED5B-2DF1-489D-BA92-9AF24537FEF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MassMutual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MAB</dc:creator>
  <cp:keywords/>
  <dc:description/>
  <cp:lastModifiedBy/>
  <cp:revision/>
  <dcterms:created xsi:type="dcterms:W3CDTF">2008-03-12T15:44:19Z</dcterms:created>
  <dcterms:modified xsi:type="dcterms:W3CDTF">2026-10-06T13:45:27Z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{8D3C93BF-E6B8-4ECB-AC25-765FF70B1B67}</vt:lpwstr>
  </property>
  <property fmtid="{D5CDD505-2E9C-101B-9397-08002B2CF9AE}" pid="3" name="MSIP_Label_8c63c790-1b4f-473b-b88f-a693ca173b52_Enabled">
    <vt:lpwstr>true</vt:lpwstr>
  </property>
  <property fmtid="{D5CDD505-2E9C-101B-9397-08002B2CF9AE}" pid="4" name="MSIP_Label_8c63c790-1b4f-473b-b88f-a693ca173b52_SetDate">
    <vt:lpwstr>2022-08-08T14:48:21Z</vt:lpwstr>
  </property>
  <property fmtid="{D5CDD505-2E9C-101B-9397-08002B2CF9AE}" pid="5" name="MSIP_Label_8c63c790-1b4f-473b-b88f-a693ca173b52_Method">
    <vt:lpwstr>Privileged</vt:lpwstr>
  </property>
  <property fmtid="{D5CDD505-2E9C-101B-9397-08002B2CF9AE}" pid="6" name="MSIP_Label_8c63c790-1b4f-473b-b88f-a693ca173b52_Name">
    <vt:lpwstr>Internal</vt:lpwstr>
  </property>
  <property fmtid="{D5CDD505-2E9C-101B-9397-08002B2CF9AE}" pid="7" name="MSIP_Label_8c63c790-1b4f-473b-b88f-a693ca173b52_SiteId">
    <vt:lpwstr>4d8b04bf-7a7c-48a0-b6e3-38da5008297e</vt:lpwstr>
  </property>
  <property fmtid="{D5CDD505-2E9C-101B-9397-08002B2CF9AE}" pid="8" name="MSIP_Label_8c63c790-1b4f-473b-b88f-a693ca173b52_ActionId">
    <vt:lpwstr>47ec64f0-9803-4e34-a9ec-6bb627ade86c</vt:lpwstr>
  </property>
  <property fmtid="{D5CDD505-2E9C-101B-9397-08002B2CF9AE}" pid="9" name="MSIP_Label_8c63c790-1b4f-473b-b88f-a693ca173b52_ContentBits">
    <vt:lpwstr>0</vt:lpwstr>
  </property>
  <property fmtid="{D5CDD505-2E9C-101B-9397-08002B2CF9AE}" pid="10" name="ContentTypeId">
    <vt:lpwstr>0x0101003A00EECCAA3DB94895FACE15614ECBE0</vt:lpwstr>
  </property>
</Properties>
</file>